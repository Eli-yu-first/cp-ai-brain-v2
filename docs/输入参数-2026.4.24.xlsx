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1.战房\3.专项报告\2026年4月AI决策平台项目\"/>
    </mc:Choice>
  </mc:AlternateContent>
  <xr:revisionPtr revIDLastSave="0" documentId="13_ncr:1_{8EF24FEA-95F0-40F1-9CBC-84AED8B1C6C3}" xr6:coauthVersionLast="47" xr6:coauthVersionMax="47" xr10:uidLastSave="{00000000-0000-0000-0000-000000000000}"/>
  <bookViews>
    <workbookView xWindow="-98" yWindow="-98" windowWidth="21795" windowHeight="12975" tabRatio="901" xr2:uid="{00000000-000D-0000-FFFF-FFFF00000000}"/>
  </bookViews>
  <sheets>
    <sheet name="1.出栏表" sheetId="3" r:id="rId1"/>
    <sheet name="2.出品率表" sheetId="4" r:id="rId2"/>
    <sheet name="3.屠宰能力表" sheetId="5" r:id="rId3"/>
    <sheet name="4.分割能力表" sheetId="6" r:id="rId4"/>
    <sheet name="5.成本表" sheetId="2" r:id="rId5"/>
    <sheet name="6.仓库表" sheetId="7" r:id="rId6"/>
    <sheet name="7.部位订单表" sheetId="8" r:id="rId7"/>
    <sheet name="8.深加工需求表" sheetId="9" r:id="rId8"/>
    <sheet name="9.运输费用表" sheetId="10" r:id="rId9"/>
    <sheet name="辅助表→" sheetId="14" r:id="rId10"/>
    <sheet name="系数辅助表" sheetId="11" r:id="rId11"/>
    <sheet name="价格系数辅助表" sheetId="16" r:id="rId12"/>
    <sheet name="标准费用表-2024年&amp;2025年优化" sheetId="12" r:id="rId13"/>
    <sheet name="根据产能每天需要鲜销部分" sheetId="15" r:id="rId14"/>
  </sheets>
  <definedNames>
    <definedName name="————">#REF!,#REF!,#REF!,#REF!,#REF!,#REF!,#REF!,#REF!,#REF!,#REF!,#REF!,#REF!</definedName>
    <definedName name="\1">#N/A</definedName>
    <definedName name="\a">#N/A</definedName>
    <definedName name="\b">#N/A</definedName>
    <definedName name="\f">#N/A</definedName>
    <definedName name="_??" localSheetId="12" hidden="1">{"'Prn2'!$A$4:$N$24"}</definedName>
    <definedName name="_??" hidden="1">{"'Prn2'!$A$4:$N$24"}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dy1" hidden="1">{"Input_Fin",#N/A,FALSE,"By Code";"Input_Opt",#N/A,FALSE,"By Code"}</definedName>
    <definedName name="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dy5" hidden="1">{"Input_Fin",#N/A,FALSE,"By Code";"Input_Opt",#N/A,FALSE,"By Code"}</definedName>
    <definedName name="_______________________________________________________________________________dy6" hidden="1">{"Input_Fin",#N/A,FALSE,"By Code";"Input_Opt",#N/A,FALSE,"By Code"}</definedName>
    <definedName name="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dy1" hidden="1">{"Input_Fin",#N/A,FALSE,"By Code";"Input_Opt",#N/A,FALSE,"By Code"}</definedName>
    <definedName name="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dy5" hidden="1">{"Input_Fin",#N/A,FALSE,"By Code";"Input_Opt",#N/A,FALSE,"By Code"}</definedName>
    <definedName name="______________________________________________________________________________dy6" hidden="1">{"Input_Fin",#N/A,FALSE,"By Code";"Input_Opt",#N/A,FALSE,"By Code"}</definedName>
    <definedName name="______________________________________________________________________________jhi44" hidden="1">{"Input_Fin",#N/A,FALSE,"By Code";"Input_Opt",#N/A,FALSE,"By Code"}</definedName>
    <definedName name="_____________________________________________________________________________dy1" hidden="1">{"Input_Fin",#N/A,FALSE,"By Code";"Input_Opt",#N/A,FALSE,"By Code"}</definedName>
    <definedName name="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dy5" hidden="1">{"Input_Fin",#N/A,FALSE,"By Code";"Input_Opt",#N/A,FALSE,"By Code"}</definedName>
    <definedName name="_____________________________________________________________________________dy6" hidden="1">{"Input_Fin",#N/A,FALSE,"By Code";"Input_Opt",#N/A,FALSE,"By Code"}</definedName>
    <definedName name="_____________________________________________________________________________jhi44" hidden="1">{"Input_Fin",#N/A,FALSE,"By Code";"Input_Opt",#N/A,FALSE,"By Code"}</definedName>
    <definedName name="____________________________________________________________________________dy1" hidden="1">{"Input_Fin",#N/A,FALSE,"By Code";"Input_Opt",#N/A,FALSE,"By Code"}</definedName>
    <definedName name="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dy5" hidden="1">{"Input_Fin",#N/A,FALSE,"By Code";"Input_Opt",#N/A,FALSE,"By Code"}</definedName>
    <definedName name="____________________________________________________________________________dy6" hidden="1">{"Input_Fin",#N/A,FALSE,"By Code";"Input_Opt",#N/A,FALSE,"By Code"}</definedName>
    <definedName name="____________________________________________________________________________jhi44" hidden="1">{"Input_Fin",#N/A,FALSE,"By Code";"Input_Opt",#N/A,FALSE,"By Code"}</definedName>
    <definedName name="___________________________________________________________________________dy1" hidden="1">{"Input_Fin",#N/A,FALSE,"By Code";"Input_Opt",#N/A,FALSE,"By Code"}</definedName>
    <definedName name="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dy5" hidden="1">{"Input_Fin",#N/A,FALSE,"By Code";"Input_Opt",#N/A,FALSE,"By Code"}</definedName>
    <definedName name="___________________________________________________________________________dy6" hidden="1">{"Input_Fin",#N/A,FALSE,"By Code";"Input_Opt",#N/A,FALSE,"By Code"}</definedName>
    <definedName name="___________________________________________________________________________jhi44" hidden="1">{"Input_Fin",#N/A,FALSE,"By Code";"Input_Opt",#N/A,FALSE,"By Code"}</definedName>
    <definedName name="__________________________________________________________________________dy1" hidden="1">{"Input_Fin",#N/A,FALSE,"By Code";"Input_Opt",#N/A,FALSE,"By Code"}</definedName>
    <definedName name="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dy5" hidden="1">{"Input_Fin",#N/A,FALSE,"By Code";"Input_Opt",#N/A,FALSE,"By Code"}</definedName>
    <definedName name="__________________________________________________________________________dy6" hidden="1">{"Input_Fin",#N/A,FALSE,"By Code";"Input_Opt",#N/A,FALSE,"By Code"}</definedName>
    <definedName name="__________________________________________________________________________jhi44" hidden="1">{"Input_Fin",#N/A,FALSE,"By Code";"Input_Opt",#N/A,FALSE,"By Code"}</definedName>
    <definedName name="_________________________________________________________________________dy1" hidden="1">{"Input_Fin",#N/A,FALSE,"By Code";"Input_Opt",#N/A,FALSE,"By Code"}</definedName>
    <definedName name="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dy5" hidden="1">{"Input_Fin",#N/A,FALSE,"By Code";"Input_Opt",#N/A,FALSE,"By Code"}</definedName>
    <definedName name="_________________________________________________________________________dy6" hidden="1">{"Input_Fin",#N/A,FALSE,"By Code";"Input_Opt",#N/A,FALSE,"By Code"}</definedName>
    <definedName name="_________________________________________________________________________jhi44" hidden="1">{"Input_Fin",#N/A,FALSE,"By Code";"Input_Opt",#N/A,FALSE,"By Code"}</definedName>
    <definedName name="________________________________________________________________________dy1" hidden="1">{"Input_Fin",#N/A,FALSE,"By Code";"Input_Opt",#N/A,FALSE,"By Code"}</definedName>
    <definedName name="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dy5" hidden="1">{"Input_Fin",#N/A,FALSE,"By Code";"Input_Opt",#N/A,FALSE,"By Code"}</definedName>
    <definedName name="________________________________________________________________________dy6" hidden="1">{"Input_Fin",#N/A,FALSE,"By Code";"Input_Opt",#N/A,FALSE,"By Code"}</definedName>
    <definedName name="________________________________________________________________________jhi44" hidden="1">{"Input_Fin",#N/A,FALSE,"By Code";"Input_Opt",#N/A,FALSE,"By Code"}</definedName>
    <definedName name="_______________________________________________________________________dy1" hidden="1">{"Input_Fin",#N/A,FALSE,"By Code";"Input_Opt",#N/A,FALSE,"By Code"}</definedName>
    <definedName name="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dy5" hidden="1">{"Input_Fin",#N/A,FALSE,"By Code";"Input_Opt",#N/A,FALSE,"By Code"}</definedName>
    <definedName name="_______________________________________________________________________dy6" hidden="1">{"Input_Fin",#N/A,FALSE,"By Code";"Input_Opt",#N/A,FALSE,"By Code"}</definedName>
    <definedName name="_______________________________________________________________________jhi44" hidden="1">{"Input_Fin",#N/A,FALSE,"By Code";"Input_Opt",#N/A,FALSE,"By Code"}</definedName>
    <definedName name="______________________________________________________________________dy1" hidden="1">{"Input_Fin",#N/A,FALSE,"By Code";"Input_Opt",#N/A,FALSE,"By Code"}</definedName>
    <definedName name="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dy5" hidden="1">{"Input_Fin",#N/A,FALSE,"By Code";"Input_Opt",#N/A,FALSE,"By Code"}</definedName>
    <definedName name="______________________________________________________________________dy6" hidden="1">{"Input_Fin",#N/A,FALSE,"By Code";"Input_Opt",#N/A,FALSE,"By Code"}</definedName>
    <definedName name="______________________________________________________________________jhi44" hidden="1">{"Input_Fin",#N/A,FALSE,"By Code";"Input_Opt",#N/A,FALSE,"By Code"}</definedName>
    <definedName name="_____________________________________________________________________dy1" hidden="1">{"Input_Fin",#N/A,FALSE,"By Code";"Input_Opt",#N/A,FALSE,"By Code"}</definedName>
    <definedName name="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dy5" hidden="1">{"Input_Fin",#N/A,FALSE,"By Code";"Input_Opt",#N/A,FALSE,"By Code"}</definedName>
    <definedName name="_____________________________________________________________________dy6" hidden="1">{"Input_Fin",#N/A,FALSE,"By Code";"Input_Opt",#N/A,FALSE,"By Code"}</definedName>
    <definedName name="_____________________________________________________________________jhi44" hidden="1">{"Input_Fin",#N/A,FALSE,"By Code";"Input_Opt",#N/A,FALSE,"By Code"}</definedName>
    <definedName name="____________________________________________________________________dy1" hidden="1">{"Input_Fin",#N/A,FALSE,"By Code";"Input_Opt",#N/A,FALSE,"By Code"}</definedName>
    <definedName name="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dy5" hidden="1">{"Input_Fin",#N/A,FALSE,"By Code";"Input_Opt",#N/A,FALSE,"By Code"}</definedName>
    <definedName name="____________________________________________________________________dy6" hidden="1">{"Input_Fin",#N/A,FALSE,"By Code";"Input_Opt",#N/A,FALSE,"By Code"}</definedName>
    <definedName name="____________________________________________________________________jhi44" hidden="1">{"Input_Fin",#N/A,FALSE,"By Code";"Input_Opt",#N/A,FALSE,"By Code"}</definedName>
    <definedName name="___________________________________________________________________dy1" hidden="1">{"Input_Fin",#N/A,FALSE,"By Code";"Input_Opt",#N/A,FALSE,"By Code"}</definedName>
    <definedName name="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dy5" hidden="1">{"Input_Fin",#N/A,FALSE,"By Code";"Input_Opt",#N/A,FALSE,"By Code"}</definedName>
    <definedName name="___________________________________________________________________dy6" hidden="1">{"Input_Fin",#N/A,FALSE,"By Code";"Input_Opt",#N/A,FALSE,"By Code"}</definedName>
    <definedName name="___________________________________________________________________jhi44" hidden="1">{"Input_Fin",#N/A,FALSE,"By Code";"Input_Opt",#N/A,FALSE,"By Code"}</definedName>
    <definedName name="__________________________________________________________________dy1" hidden="1">{"Input_Fin",#N/A,FALSE,"By Code";"Input_Opt",#N/A,FALSE,"By Code"}</definedName>
    <definedName name="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dy5" hidden="1">{"Input_Fin",#N/A,FALSE,"By Code";"Input_Opt",#N/A,FALSE,"By Code"}</definedName>
    <definedName name="__________________________________________________________________dy6" hidden="1">{"Input_Fin",#N/A,FALSE,"By Code";"Input_Opt",#N/A,FALSE,"By Code"}</definedName>
    <definedName name="__________________________________________________________________jhi44" hidden="1">{"Input_Fin",#N/A,FALSE,"By Code";"Input_Opt",#N/A,FALSE,"By Code"}</definedName>
    <definedName name="_________________________________________________________________dy1" hidden="1">{"Input_Fin",#N/A,FALSE,"By Code";"Input_Opt",#N/A,FALSE,"By Code"}</definedName>
    <definedName name="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dy5" hidden="1">{"Input_Fin",#N/A,FALSE,"By Code";"Input_Opt",#N/A,FALSE,"By Code"}</definedName>
    <definedName name="_________________________________________________________________dy6" hidden="1">{"Input_Fin",#N/A,FALSE,"By Code";"Input_Opt",#N/A,FALSE,"By Code"}</definedName>
    <definedName name="_________________________________________________________________jhi44" hidden="1">{"Input_Fin",#N/A,FALSE,"By Code";"Input_Opt",#N/A,FALSE,"By Code"}</definedName>
    <definedName name="________________________________________________________________dy1" hidden="1">{"Input_Fin",#N/A,FALSE,"By Code";"Input_Opt",#N/A,FALSE,"By Code"}</definedName>
    <definedName name="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dy5" hidden="1">{"Input_Fin",#N/A,FALSE,"By Code";"Input_Opt",#N/A,FALSE,"By Code"}</definedName>
    <definedName name="________________________________________________________________dy6" hidden="1">{"Input_Fin",#N/A,FALSE,"By Code";"Input_Opt",#N/A,FALSE,"By Code"}</definedName>
    <definedName name="________________________________________________________________jhi44" hidden="1">{"Input_Fin",#N/A,FALSE,"By Code";"Input_Opt",#N/A,FALSE,"By Code"}</definedName>
    <definedName name="_______________________________________________________________dy1" hidden="1">{"Input_Fin",#N/A,FALSE,"By Code";"Input_Opt",#N/A,FALSE,"By Code"}</definedName>
    <definedName name="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dy5" hidden="1">{"Input_Fin",#N/A,FALSE,"By Code";"Input_Opt",#N/A,FALSE,"By Code"}</definedName>
    <definedName name="_______________________________________________________________dy6" hidden="1">{"Input_Fin",#N/A,FALSE,"By Code";"Input_Opt",#N/A,FALSE,"By Code"}</definedName>
    <definedName name="_______________________________________________________________jhi44" hidden="1">{"Input_Fin",#N/A,FALSE,"By Code";"Input_Opt",#N/A,FALSE,"By Code"}</definedName>
    <definedName name="______________________________________________________________dy1" hidden="1">{"Input_Fin",#N/A,FALSE,"By Code";"Input_Opt",#N/A,FALSE,"By Code"}</definedName>
    <definedName name="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dy5" hidden="1">{"Input_Fin",#N/A,FALSE,"By Code";"Input_Opt",#N/A,FALSE,"By Code"}</definedName>
    <definedName name="______________________________________________________________dy6" hidden="1">{"Input_Fin",#N/A,FALSE,"By Code";"Input_Opt",#N/A,FALSE,"By Code"}</definedName>
    <definedName name="______________________________________________________________jhi44" hidden="1">{"Input_Fin",#N/A,FALSE,"By Code";"Input_Opt",#N/A,FALSE,"By Code"}</definedName>
    <definedName name="_____________________________________________________________dy1" hidden="1">{"Input_Fin",#N/A,FALSE,"By Code";"Input_Opt",#N/A,FALSE,"By Code"}</definedName>
    <definedName name="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dy5" hidden="1">{"Input_Fin",#N/A,FALSE,"By Code";"Input_Opt",#N/A,FALSE,"By Code"}</definedName>
    <definedName name="_____________________________________________________________dy6" hidden="1">{"Input_Fin",#N/A,FALSE,"By Code";"Input_Opt",#N/A,FALSE,"By Code"}</definedName>
    <definedName name="_____________________________________________________________jhi44" hidden="1">{"Input_Fin",#N/A,FALSE,"By Code";"Input_Opt",#N/A,FALSE,"By Code"}</definedName>
    <definedName name="____________________________________________________________dy1" hidden="1">{"Input_Fin",#N/A,FALSE,"By Code";"Input_Opt",#N/A,FALSE,"By Code"}</definedName>
    <definedName name="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dy5" hidden="1">{"Input_Fin",#N/A,FALSE,"By Code";"Input_Opt",#N/A,FALSE,"By Code"}</definedName>
    <definedName name="____________________________________________________________dy6" hidden="1">{"Input_Fin",#N/A,FALSE,"By Code";"Input_Opt",#N/A,FALSE,"By Code"}</definedName>
    <definedName name="____________________________________________________________jhi44" hidden="1">{"Input_Fin",#N/A,FALSE,"By Code";"Input_Opt",#N/A,FALSE,"By Code"}</definedName>
    <definedName name="___________________________________________________________dy1" hidden="1">{"Input_Fin",#N/A,FALSE,"By Code";"Input_Opt",#N/A,FALSE,"By Code"}</definedName>
    <definedName name="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dy5" hidden="1">{"Input_Fin",#N/A,FALSE,"By Code";"Input_Opt",#N/A,FALSE,"By Code"}</definedName>
    <definedName name="___________________________________________________________dy6" hidden="1">{"Input_Fin",#N/A,FALSE,"By Code";"Input_Opt",#N/A,FALSE,"By Code"}</definedName>
    <definedName name="___________________________________________________________jhi44" hidden="1">{"Input_Fin",#N/A,FALSE,"By Code";"Input_Opt",#N/A,FALSE,"By Code"}</definedName>
    <definedName name="__________________________________________________________dy1" hidden="1">{"Input_Fin",#N/A,FALSE,"By Code";"Input_Opt",#N/A,FALSE,"By Code"}</definedName>
    <definedName name="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dy5" hidden="1">{"Input_Fin",#N/A,FALSE,"By Code";"Input_Opt",#N/A,FALSE,"By Code"}</definedName>
    <definedName name="__________________________________________________________dy6" hidden="1">{"Input_Fin",#N/A,FALSE,"By Code";"Input_Opt",#N/A,FALSE,"By Code"}</definedName>
    <definedName name="__________________________________________________________jhi44" hidden="1">{"Input_Fin",#N/A,FALSE,"By Code";"Input_Opt",#N/A,FALSE,"By Code"}</definedName>
    <definedName name="_________________________________________________________dy1" hidden="1">{"Input_Fin",#N/A,FALSE,"By Code";"Input_Opt",#N/A,FALSE,"By Code"}</definedName>
    <definedName name="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dy5" hidden="1">{"Input_Fin",#N/A,FALSE,"By Code";"Input_Opt",#N/A,FALSE,"By Code"}</definedName>
    <definedName name="_________________________________________________________dy6" hidden="1">{"Input_Fin",#N/A,FALSE,"By Code";"Input_Opt",#N/A,FALSE,"By Code"}</definedName>
    <definedName name="_________________________________________________________jhi44" hidden="1">{"Input_Fin",#N/A,FALSE,"By Code";"Input_Opt",#N/A,FALSE,"By Code"}</definedName>
    <definedName name="________________________________________________________dy1" hidden="1">{"Input_Fin",#N/A,FALSE,"By Code";"Input_Opt",#N/A,FALSE,"By Code"}</definedName>
    <definedName name="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dy5" hidden="1">{"Input_Fin",#N/A,FALSE,"By Code";"Input_Opt",#N/A,FALSE,"By Code"}</definedName>
    <definedName name="________________________________________________________dy6" hidden="1">{"Input_Fin",#N/A,FALSE,"By Code";"Input_Opt",#N/A,FALSE,"By Code"}</definedName>
    <definedName name="________________________________________________________jhi44" hidden="1">{"Input_Fin",#N/A,FALSE,"By Code";"Input_Opt",#N/A,FALSE,"By Code"}</definedName>
    <definedName name="_______________________________________________________dy1" hidden="1">{"Input_Fin",#N/A,FALSE,"By Code";"Input_Opt",#N/A,FALSE,"By Code"}</definedName>
    <definedName name="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dy5" hidden="1">{"Input_Fin",#N/A,FALSE,"By Code";"Input_Opt",#N/A,FALSE,"By Code"}</definedName>
    <definedName name="_______________________________________________________dy6" hidden="1">{"Input_Fin",#N/A,FALSE,"By Code";"Input_Opt",#N/A,FALSE,"By Code"}</definedName>
    <definedName name="_______________________________________________________jhi44" hidden="1">{"Input_Fin",#N/A,FALSE,"By Code";"Input_Opt",#N/A,FALSE,"By Code"}</definedName>
    <definedName name="______________________________________________________dy1" hidden="1">{"Input_Fin",#N/A,FALSE,"By Code";"Input_Opt",#N/A,FALSE,"By Code"}</definedName>
    <definedName name="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dy5" hidden="1">{"Input_Fin",#N/A,FALSE,"By Code";"Input_Opt",#N/A,FALSE,"By Code"}</definedName>
    <definedName name="______________________________________________________dy6" hidden="1">{"Input_Fin",#N/A,FALSE,"By Code";"Input_Opt",#N/A,FALSE,"By Code"}</definedName>
    <definedName name="______________________________________________________jhi44" hidden="1">{"Input_Fin",#N/A,FALSE,"By Code";"Input_Opt",#N/A,FALSE,"By Code"}</definedName>
    <definedName name="_____________________________________________________dy1" hidden="1">{"Input_Fin",#N/A,FALSE,"By Code";"Input_Opt",#N/A,FALSE,"By Code"}</definedName>
    <definedName name="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dy5" hidden="1">{"Input_Fin",#N/A,FALSE,"By Code";"Input_Opt",#N/A,FALSE,"By Code"}</definedName>
    <definedName name="_____________________________________________________dy6" hidden="1">{"Input_Fin",#N/A,FALSE,"By Code";"Input_Opt",#N/A,FALSE,"By Code"}</definedName>
    <definedName name="_____________________________________________________jhi44" hidden="1">{"Input_Fin",#N/A,FALSE,"By Code";"Input_Opt",#N/A,FALSE,"By Code"}</definedName>
    <definedName name="____________________________________________________dy1" hidden="1">{"Input_Fin",#N/A,FALSE,"By Code";"Input_Opt",#N/A,FALSE,"By Code"}</definedName>
    <definedName name="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dy5" hidden="1">{"Input_Fin",#N/A,FALSE,"By Code";"Input_Opt",#N/A,FALSE,"By Code"}</definedName>
    <definedName name="____________________________________________________dy6" hidden="1">{"Input_Fin",#N/A,FALSE,"By Code";"Input_Opt",#N/A,FALSE,"By Code"}</definedName>
    <definedName name="____________________________________________________jhi44" hidden="1">{"Input_Fin",#N/A,FALSE,"By Code";"Input_Opt",#N/A,FALSE,"By Code"}</definedName>
    <definedName name="___________________________________________________dy1" hidden="1">{"Input_Fin",#N/A,FALSE,"By Code";"Input_Opt",#N/A,FALSE,"By Code"}</definedName>
    <definedName name="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dy5" hidden="1">{"Input_Fin",#N/A,FALSE,"By Code";"Input_Opt",#N/A,FALSE,"By Code"}</definedName>
    <definedName name="___________________________________________________dy6" hidden="1">{"Input_Fin",#N/A,FALSE,"By Code";"Input_Opt",#N/A,FALSE,"By Code"}</definedName>
    <definedName name="___________________________________________________jhi44" hidden="1">{"Input_Fin",#N/A,FALSE,"By Code";"Input_Opt",#N/A,FALSE,"By Code"}</definedName>
    <definedName name="__________________________________________________dy1" hidden="1">{"Input_Fin",#N/A,FALSE,"By Code";"Input_Opt",#N/A,FALSE,"By Code"}</definedName>
    <definedName name="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dy5" hidden="1">{"Input_Fin",#N/A,FALSE,"By Code";"Input_Opt",#N/A,FALSE,"By Code"}</definedName>
    <definedName name="__________________________________________________dy6" hidden="1">{"Input_Fin",#N/A,FALSE,"By Code";"Input_Opt",#N/A,FALSE,"By Code"}</definedName>
    <definedName name="__________________________________________________jhi44" hidden="1">{"Input_Fin",#N/A,FALSE,"By Code";"Input_Opt",#N/A,FALSE,"By Code"}</definedName>
    <definedName name="_________________________________________________dy1" hidden="1">{"Input_Fin",#N/A,FALSE,"By Code";"Input_Opt",#N/A,FALSE,"By Code"}</definedName>
    <definedName name="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dy5" hidden="1">{"Input_Fin",#N/A,FALSE,"By Code";"Input_Opt",#N/A,FALSE,"By Code"}</definedName>
    <definedName name="_________________________________________________dy6" hidden="1">{"Input_Fin",#N/A,FALSE,"By Code";"Input_Opt",#N/A,FALSE,"By Code"}</definedName>
    <definedName name="_________________________________________________jhi44" hidden="1">{"Input_Fin",#N/A,FALSE,"By Code";"Input_Opt",#N/A,FALSE,"By Code"}</definedName>
    <definedName name="________________________________________________dy1" hidden="1">{"Input_Fin",#N/A,FALSE,"By Code";"Input_Opt",#N/A,FALSE,"By Code"}</definedName>
    <definedName name="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dy5" hidden="1">{"Input_Fin",#N/A,FALSE,"By Code";"Input_Opt",#N/A,FALSE,"By Code"}</definedName>
    <definedName name="________________________________________________dy6" hidden="1">{"Input_Fin",#N/A,FALSE,"By Code";"Input_Opt",#N/A,FALSE,"By Code"}</definedName>
    <definedName name="________________________________________________jhi44" hidden="1">{"Input_Fin",#N/A,FALSE,"By Code";"Input_Opt",#N/A,FALSE,"By Code"}</definedName>
    <definedName name="_______________________________________________dy1" hidden="1">{"Input_Fin",#N/A,FALSE,"By Code";"Input_Opt",#N/A,FALSE,"By Code"}</definedName>
    <definedName name="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dy5" hidden="1">{"Input_Fin",#N/A,FALSE,"By Code";"Input_Opt",#N/A,FALSE,"By Code"}</definedName>
    <definedName name="_______________________________________________dy6" hidden="1">{"Input_Fin",#N/A,FALSE,"By Code";"Input_Opt",#N/A,FALSE,"By Code"}</definedName>
    <definedName name="_______________________________________________jhi44" hidden="1">{"Input_Fin",#N/A,FALSE,"By Code";"Input_Opt",#N/A,FALSE,"By Code"}</definedName>
    <definedName name="______________________________________________dy1" hidden="1">{"Input_Fin",#N/A,FALSE,"By Code";"Input_Opt",#N/A,FALSE,"By Code"}</definedName>
    <definedName name="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dy5" hidden="1">{"Input_Fin",#N/A,FALSE,"By Code";"Input_Opt",#N/A,FALSE,"By Code"}</definedName>
    <definedName name="______________________________________________dy6" hidden="1">{"Input_Fin",#N/A,FALSE,"By Code";"Input_Opt",#N/A,FALSE,"By Code"}</definedName>
    <definedName name="______________________________________________jhi44" hidden="1">{"Input_Fin",#N/A,FALSE,"By Code";"Input_Opt",#N/A,FALSE,"By Code"}</definedName>
    <definedName name="_____________________________________________dy1" hidden="1">{"Input_Fin",#N/A,FALSE,"By Code";"Input_Opt",#N/A,FALSE,"By Code"}</definedName>
    <definedName name="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dy5" hidden="1">{"Input_Fin",#N/A,FALSE,"By Code";"Input_Opt",#N/A,FALSE,"By Code"}</definedName>
    <definedName name="_____________________________________________dy6" hidden="1">{"Input_Fin",#N/A,FALSE,"By Code";"Input_Opt",#N/A,FALSE,"By Code"}</definedName>
    <definedName name="_____________________________________________jhi44" hidden="1">{"Input_Fin",#N/A,FALSE,"By Code";"Input_Opt",#N/A,FALSE,"By Code"}</definedName>
    <definedName name="____________________________________________dy1" hidden="1">{"Input_Fin",#N/A,FALSE,"By Code";"Input_Opt",#N/A,FALSE,"By Code"}</definedName>
    <definedName name="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dy5" hidden="1">{"Input_Fin",#N/A,FALSE,"By Code";"Input_Opt",#N/A,FALSE,"By Code"}</definedName>
    <definedName name="____________________________________________dy6" hidden="1">{"Input_Fin",#N/A,FALSE,"By Code";"Input_Opt",#N/A,FALSE,"By Code"}</definedName>
    <definedName name="____________________________________________jhi44" hidden="1">{"Input_Fin",#N/A,FALSE,"By Code";"Input_Opt",#N/A,FALSE,"By Code"}</definedName>
    <definedName name="___________________________________________dy1" hidden="1">{"Input_Fin",#N/A,FALSE,"By Code";"Input_Opt",#N/A,FALSE,"By Code"}</definedName>
    <definedName name="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dy5" hidden="1">{"Input_Fin",#N/A,FALSE,"By Code";"Input_Opt",#N/A,FALSE,"By Code"}</definedName>
    <definedName name="___________________________________________dy6" hidden="1">{"Input_Fin",#N/A,FALSE,"By Code";"Input_Opt",#N/A,FALSE,"By Code"}</definedName>
    <definedName name="___________________________________________jhi44" hidden="1">{"Input_Fin",#N/A,FALSE,"By Code";"Input_Opt",#N/A,FALSE,"By Code"}</definedName>
    <definedName name="__________________________________________dy1" hidden="1">{"Input_Fin",#N/A,FALSE,"By Code";"Input_Opt",#N/A,FALSE,"By Code"}</definedName>
    <definedName name="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dy5" hidden="1">{"Input_Fin",#N/A,FALSE,"By Code";"Input_Opt",#N/A,FALSE,"By Code"}</definedName>
    <definedName name="__________________________________________dy6" hidden="1">{"Input_Fin",#N/A,FALSE,"By Code";"Input_Opt",#N/A,FALSE,"By Code"}</definedName>
    <definedName name="__________________________________________jhi44" hidden="1">{"Input_Fin",#N/A,FALSE,"By Code";"Input_Opt",#N/A,FALSE,"By Code"}</definedName>
    <definedName name="_________________________________________dy1" hidden="1">{"Input_Fin",#N/A,FALSE,"By Code";"Input_Opt",#N/A,FALSE,"By Code"}</definedName>
    <definedName name="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dy5" hidden="1">{"Input_Fin",#N/A,FALSE,"By Code";"Input_Opt",#N/A,FALSE,"By Code"}</definedName>
    <definedName name="_________________________________________dy6" hidden="1">{"Input_Fin",#N/A,FALSE,"By Code";"Input_Opt",#N/A,FALSE,"By Code"}</definedName>
    <definedName name="_________________________________________jhi44" hidden="1">{"Input_Fin",#N/A,FALSE,"By Code";"Input_Opt",#N/A,FALSE,"By Code"}</definedName>
    <definedName name="________________________________________dy1" hidden="1">{"Input_Fin",#N/A,FALSE,"By Code";"Input_Opt",#N/A,FALSE,"By Code"}</definedName>
    <definedName name="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dy5" hidden="1">{"Input_Fin",#N/A,FALSE,"By Code";"Input_Opt",#N/A,FALSE,"By Code"}</definedName>
    <definedName name="________________________________________dy6" hidden="1">{"Input_Fin",#N/A,FALSE,"By Code";"Input_Opt",#N/A,FALSE,"By Code"}</definedName>
    <definedName name="________________________________________jhi44" hidden="1">{"Input_Fin",#N/A,FALSE,"By Code";"Input_Opt",#N/A,FALSE,"By Code"}</definedName>
    <definedName name="_______________________________________dy1" hidden="1">{"Input_Fin",#N/A,FALSE,"By Code";"Input_Opt",#N/A,FALSE,"By Code"}</definedName>
    <definedName name="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dy5" hidden="1">{"Input_Fin",#N/A,FALSE,"By Code";"Input_Opt",#N/A,FALSE,"By Code"}</definedName>
    <definedName name="_______________________________________dy6" hidden="1">{"Input_Fin",#N/A,FALSE,"By Code";"Input_Opt",#N/A,FALSE,"By Code"}</definedName>
    <definedName name="_______________________________________jhi44" hidden="1">{"Input_Fin",#N/A,FALSE,"By Code";"Input_Opt",#N/A,FALSE,"By Code"}</definedName>
    <definedName name="____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dy1" hidden="1">{"Input_Fin",#N/A,FALSE,"By Code";"Input_Opt",#N/A,FALSE,"By Code"}</definedName>
    <definedName name="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dy5" hidden="1">{"Input_Fin",#N/A,FALSE,"By Code";"Input_Opt",#N/A,FALSE,"By Code"}</definedName>
    <definedName name="______________________________________dy6" hidden="1">{"Input_Fin",#N/A,FALSE,"By Code";"Input_Opt",#N/A,FALSE,"By Code"}</definedName>
    <definedName name="______________________________________jhi44" hidden="1">{"Input_Fin",#N/A,FALSE,"By Code";"Input_Opt",#N/A,FALSE,"By Code"}</definedName>
    <definedName name="___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dy1" hidden="1">{"Input_Fin",#N/A,FALSE,"By Code";"Input_Opt",#N/A,FALSE,"By Code"}</definedName>
    <definedName name="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dy5" hidden="1">{"Input_Fin",#N/A,FALSE,"By Code";"Input_Opt",#N/A,FALSE,"By Code"}</definedName>
    <definedName name="_____________________________________dy6" hidden="1">{"Input_Fin",#N/A,FALSE,"By Code";"Input_Opt",#N/A,FALSE,"By Code"}</definedName>
    <definedName name="_____________________________________jhi44" hidden="1">{"Input_Fin",#N/A,FALSE,"By Code";"Input_Opt",#N/A,FALSE,"By Code"}</definedName>
    <definedName name="__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dy1" hidden="1">{"Input_Fin",#N/A,FALSE,"By Code";"Input_Opt",#N/A,FALSE,"By Code"}</definedName>
    <definedName name="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dy5" hidden="1">{"Input_Fin",#N/A,FALSE,"By Code";"Input_Opt",#N/A,FALSE,"By Code"}</definedName>
    <definedName name="____________________________________dy6" hidden="1">{"Input_Fin",#N/A,FALSE,"By Code";"Input_Opt",#N/A,FALSE,"By Code"}</definedName>
    <definedName name="____________________________________jhi44" hidden="1">{"Input_Fin",#N/A,FALSE,"By Code";"Input_Opt",#N/A,FALSE,"By Code"}</definedName>
    <definedName name="_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dy1" hidden="1">{"Input_Fin",#N/A,FALSE,"By Code";"Input_Opt",#N/A,FALSE,"By Code"}</definedName>
    <definedName name="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dy5" hidden="1">{"Input_Fin",#N/A,FALSE,"By Code";"Input_Opt",#N/A,FALSE,"By Code"}</definedName>
    <definedName name="___________________________________dy6" hidden="1">{"Input_Fin",#N/A,FALSE,"By Code";"Input_Opt",#N/A,FALSE,"By Code"}</definedName>
    <definedName name="___________________________________jhi44" hidden="1">{"Input_Fin",#N/A,FALSE,"By Code";"Input_Opt",#N/A,FALSE,"By Code"}</definedName>
    <definedName name="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dy1" hidden="1">{"Input_Fin",#N/A,FALSE,"By Code";"Input_Opt",#N/A,FALSE,"By Code"}</definedName>
    <definedName name="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dy5" hidden="1">{"Input_Fin",#N/A,FALSE,"By Code";"Input_Opt",#N/A,FALSE,"By Code"}</definedName>
    <definedName name="__________________________________dy6" hidden="1">{"Input_Fin",#N/A,FALSE,"By Code";"Input_Opt",#N/A,FALSE,"By Code"}</definedName>
    <definedName name="__________________________________jhi44" hidden="1">{"Input_Fin",#N/A,FALSE,"By Code";"Input_Opt",#N/A,FALSE,"By Code"}</definedName>
    <definedName name="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dy1" hidden="1">{"Input_Fin",#N/A,FALSE,"By Code";"Input_Opt",#N/A,FALSE,"By Code"}</definedName>
    <definedName name="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dy5" hidden="1">{"Input_Fin",#N/A,FALSE,"By Code";"Input_Opt",#N/A,FALSE,"By Code"}</definedName>
    <definedName name="_________________________________dy6" hidden="1">{"Input_Fin",#N/A,FALSE,"By Code";"Input_Opt",#N/A,FALSE,"By Code"}</definedName>
    <definedName name="_________________________________jhi44" hidden="1">{"Input_Fin",#N/A,FALSE,"By Code";"Input_Opt",#N/A,FALSE,"By Code"}</definedName>
    <definedName name="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dy1" hidden="1">{"Input_Fin",#N/A,FALSE,"By Code";"Input_Opt",#N/A,FALSE,"By Code"}</definedName>
    <definedName name="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dy5" hidden="1">{"Input_Fin",#N/A,FALSE,"By Code";"Input_Opt",#N/A,FALSE,"By Code"}</definedName>
    <definedName name="________________________________dy6" hidden="1">{"Input_Fin",#N/A,FALSE,"By Code";"Input_Opt",#N/A,FALSE,"By Code"}</definedName>
    <definedName name="________________________________jhi44" hidden="1">{"Input_Fin",#N/A,FALSE,"By Code";"Input_Opt",#N/A,FALSE,"By Code"}</definedName>
    <definedName name="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dy1" hidden="1">{"Input_Fin",#N/A,FALSE,"By Code";"Input_Opt",#N/A,FALSE,"By Code"}</definedName>
    <definedName name="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dy5" hidden="1">{"Input_Fin",#N/A,FALSE,"By Code";"Input_Opt",#N/A,FALSE,"By Code"}</definedName>
    <definedName name="_______________________________dy6" hidden="1">{"Input_Fin",#N/A,FALSE,"By Code";"Input_Opt",#N/A,FALSE,"By Code"}</definedName>
    <definedName name="_______________________________jhi44" hidden="1">{"Input_Fin",#N/A,FALSE,"By Code";"Input_Opt",#N/A,FALSE,"By Code"}</definedName>
    <definedName name="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dy1" hidden="1">{"Input_Fin",#N/A,FALSE,"By Code";"Input_Opt",#N/A,FALSE,"By Code"}</definedName>
    <definedName name="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dy5" hidden="1">{"Input_Fin",#N/A,FALSE,"By Code";"Input_Opt",#N/A,FALSE,"By Code"}</definedName>
    <definedName name="______________________________dy6" hidden="1">{"Input_Fin",#N/A,FALSE,"By Code";"Input_Opt",#N/A,FALSE,"By Code"}</definedName>
    <definedName name="______________________________jhi44" hidden="1">{"Input_Fin",#N/A,FALSE,"By Code";"Input_Opt",#N/A,FALSE,"By Code"}</definedName>
    <definedName name="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dy1" hidden="1">{"Input_Fin",#N/A,FALSE,"By Code";"Input_Opt",#N/A,FALSE,"By Code"}</definedName>
    <definedName name="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dy5" hidden="1">{"Input_Fin",#N/A,FALSE,"By Code";"Input_Opt",#N/A,FALSE,"By Code"}</definedName>
    <definedName name="_____________________________dy6" hidden="1">{"Input_Fin",#N/A,FALSE,"By Code";"Input_Opt",#N/A,FALSE,"By Code"}</definedName>
    <definedName name="_____________________________jhi44" hidden="1">{"Input_Fin",#N/A,FALSE,"By Code";"Input_Opt",#N/A,FALSE,"By Code"}</definedName>
    <definedName name="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dy1" hidden="1">{"Input_Fin",#N/A,FALSE,"By Code";"Input_Opt",#N/A,FALSE,"By Code"}</definedName>
    <definedName name="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dy5" hidden="1">{"Input_Fin",#N/A,FALSE,"By Code";"Input_Opt",#N/A,FALSE,"By Code"}</definedName>
    <definedName name="____________________________dy6" hidden="1">{"Input_Fin",#N/A,FALSE,"By Code";"Input_Opt",#N/A,FALSE,"By Code"}</definedName>
    <definedName name="____________________________jhi44" hidden="1">{"Input_Fin",#N/A,FALSE,"By Code";"Input_Opt",#N/A,FALSE,"By Code"}</definedName>
    <definedName name="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dy1" hidden="1">{"Input_Fin",#N/A,FALSE,"By Code";"Input_Opt",#N/A,FALSE,"By Code"}</definedName>
    <definedName name="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dy5" hidden="1">{"Input_Fin",#N/A,FALSE,"By Code";"Input_Opt",#N/A,FALSE,"By Code"}</definedName>
    <definedName name="___________________________dy6" hidden="1">{"Input_Fin",#N/A,FALSE,"By Code";"Input_Opt",#N/A,FALSE,"By Code"}</definedName>
    <definedName name="___________________________jhi44" hidden="1">{"Input_Fin",#N/A,FALSE,"By Code";"Input_Opt",#N/A,FALSE,"By Code"}</definedName>
    <definedName name="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dy1" hidden="1">{"Input_Fin",#N/A,FALSE,"By Code";"Input_Opt",#N/A,FALSE,"By Code"}</definedName>
    <definedName name="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dy5" hidden="1">{"Input_Fin",#N/A,FALSE,"By Code";"Input_Opt",#N/A,FALSE,"By Code"}</definedName>
    <definedName name="__________________________dy6" hidden="1">{"Input_Fin",#N/A,FALSE,"By Code";"Input_Opt",#N/A,FALSE,"By Code"}</definedName>
    <definedName name="__________________________jhi44" hidden="1">{"Input_Fin",#N/A,FALSE,"By Code";"Input_Opt",#N/A,FALSE,"By Code"}</definedName>
    <definedName name="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dy1" hidden="1">{"Input_Fin",#N/A,FALSE,"By Code";"Input_Opt",#N/A,FALSE,"By Code"}</definedName>
    <definedName name="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dy5" hidden="1">{"Input_Fin",#N/A,FALSE,"By Code";"Input_Opt",#N/A,FALSE,"By Code"}</definedName>
    <definedName name="_________________________dy6" hidden="1">{"Input_Fin",#N/A,FALSE,"By Code";"Input_Opt",#N/A,FALSE,"By Code"}</definedName>
    <definedName name="_________________________jhi44" hidden="1">{"Input_Fin",#N/A,FALSE,"By Code";"Input_Opt",#N/A,FALSE,"By Code"}</definedName>
    <definedName name="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dy1" hidden="1">{"Input_Fin",#N/A,FALSE,"By Code";"Input_Opt",#N/A,FALSE,"By Code"}</definedName>
    <definedName name="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dy5" hidden="1">{"Input_Fin",#N/A,FALSE,"By Code";"Input_Opt",#N/A,FALSE,"By Code"}</definedName>
    <definedName name="________________________dy6" hidden="1">{"Input_Fin",#N/A,FALSE,"By Code";"Input_Opt",#N/A,FALSE,"By Code"}</definedName>
    <definedName name="________________________jhi44" hidden="1">{"Input_Fin",#N/A,FALSE,"By Code";"Input_Opt",#N/A,FALSE,"By Code"}</definedName>
    <definedName name="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dy1" hidden="1">{"Input_Fin",#N/A,FALSE,"By Code";"Input_Opt",#N/A,FALSE,"By Code"}</definedName>
    <definedName name="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dy5" hidden="1">{"Input_Fin",#N/A,FALSE,"By Code";"Input_Opt",#N/A,FALSE,"By Code"}</definedName>
    <definedName name="_______________________dy6" hidden="1">{"Input_Fin",#N/A,FALSE,"By Code";"Input_Opt",#N/A,FALSE,"By Code"}</definedName>
    <definedName name="_______________________jhi44" hidden="1">{"Input_Fin",#N/A,FALSE,"By Code";"Input_Opt",#N/A,FALSE,"By Code"}</definedName>
    <definedName name="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dy1" hidden="1">{"Input_Fin",#N/A,FALSE,"By Code";"Input_Opt",#N/A,FALSE,"By Code"}</definedName>
    <definedName name="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dy5" hidden="1">{"Input_Fin",#N/A,FALSE,"By Code";"Input_Opt",#N/A,FALSE,"By Code"}</definedName>
    <definedName name="______________________dy6" hidden="1">{"Input_Fin",#N/A,FALSE,"By Code";"Input_Opt",#N/A,FALSE,"By Code"}</definedName>
    <definedName name="______________________jhi44" hidden="1">{"Input_Fin",#N/A,FALSE,"By Code";"Input_Opt",#N/A,FALSE,"By Code"}</definedName>
    <definedName name="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dy1" hidden="1">{"Input_Fin",#N/A,FALSE,"By Code";"Input_Opt",#N/A,FALSE,"By Code"}</definedName>
    <definedName name="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dy5" hidden="1">{"Input_Fin",#N/A,FALSE,"By Code";"Input_Opt",#N/A,FALSE,"By Code"}</definedName>
    <definedName name="_____________________dy6" hidden="1">{"Input_Fin",#N/A,FALSE,"By Code";"Input_Opt",#N/A,FALSE,"By Code"}</definedName>
    <definedName name="_____________________jhi44" hidden="1">{"Input_Fin",#N/A,FALSE,"By Code";"Input_Opt",#N/A,FALSE,"By Code"}</definedName>
    <definedName name="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y1" hidden="1">{"Input_Fin",#N/A,FALSE,"By Code";"Input_Opt",#N/A,FALSE,"By Code"}</definedName>
    <definedName name="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y5" hidden="1">{"Input_Fin",#N/A,FALSE,"By Code";"Input_Opt",#N/A,FALSE,"By Code"}</definedName>
    <definedName name="____________________dy6" localSheetId="12" hidden="1">{"Input_Fin",#N/A,FALSE,"By Code";"Input_Opt",#N/A,FALSE,"By Code"}</definedName>
    <definedName name="____________________dy6" hidden="1">{"Input_Fin",#N/A,FALSE,"By Code";"Input_Opt",#N/A,FALSE,"By Code"}</definedName>
    <definedName name="____________________jhi44" hidden="1">{"Input_Fin",#N/A,FALSE,"By Code";"Input_Opt",#N/A,FALSE,"By Code"}</definedName>
    <definedName name="____________________jhi44_1" hidden="1">{"Input_Fin",#N/A,FALSE,"By Code";"Input_Opt",#N/A,FALSE,"By Code"}</definedName>
    <definedName name="____________________jhi44_1_1" hidden="1">{"Input_Fin",#N/A,FALSE,"By Code";"Input_Opt",#N/A,FALSE,"By Code"}</definedName>
    <definedName name="____________________jhi44_1_1_1" hidden="1">{"Input_Fin",#N/A,FALSE,"By Code";"Input_Opt",#N/A,FALSE,"By Code"}</definedName>
    <definedName name="____________________jhi44_1_1_2" hidden="1">{"Input_Fin",#N/A,FALSE,"By Code";"Input_Opt",#N/A,FALSE,"By Code"}</definedName>
    <definedName name="____________________jhi44_1_1_3" hidden="1">{"Input_Fin",#N/A,FALSE,"By Code";"Input_Opt",#N/A,FALSE,"By Code"}</definedName>
    <definedName name="____________________jhi44_1_2" hidden="1">{"Input_Fin",#N/A,FALSE,"By Code";"Input_Opt",#N/A,FALSE,"By Code"}</definedName>
    <definedName name="____________________jhi44_1_2_1" hidden="1">{"Input_Fin",#N/A,FALSE,"By Code";"Input_Opt",#N/A,FALSE,"By Code"}</definedName>
    <definedName name="____________________jhi44_1_2_2" hidden="1">{"Input_Fin",#N/A,FALSE,"By Code";"Input_Opt",#N/A,FALSE,"By Code"}</definedName>
    <definedName name="____________________jhi44_1_3" hidden="1">{"Input_Fin",#N/A,FALSE,"By Code";"Input_Opt",#N/A,FALSE,"By Code"}</definedName>
    <definedName name="____________________jhi44_1_4" hidden="1">{"Input_Fin",#N/A,FALSE,"By Code";"Input_Opt",#N/A,FALSE,"By Code"}</definedName>
    <definedName name="____________________jhi44_2" hidden="1">{"Input_Fin",#N/A,FALSE,"By Code";"Input_Opt",#N/A,FALSE,"By Code"}</definedName>
    <definedName name="____________________jhi44_2_1" hidden="1">{"Input_Fin",#N/A,FALSE,"By Code";"Input_Opt",#N/A,FALSE,"By Code"}</definedName>
    <definedName name="____________________jhi44_2_2" hidden="1">{"Input_Fin",#N/A,FALSE,"By Code";"Input_Opt",#N/A,FALSE,"By Code"}</definedName>
    <definedName name="____________________jhi44_2_3" hidden="1">{"Input_Fin",#N/A,FALSE,"By Code";"Input_Opt",#N/A,FALSE,"By Code"}</definedName>
    <definedName name="____________________jhi44_3" hidden="1">{"Input_Fin",#N/A,FALSE,"By Code";"Input_Opt",#N/A,FALSE,"By Code"}</definedName>
    <definedName name="____________________jhi44_3_1" hidden="1">{"Input_Fin",#N/A,FALSE,"By Code";"Input_Opt",#N/A,FALSE,"By Code"}</definedName>
    <definedName name="____________________jhi44_3_2" hidden="1">{"Input_Fin",#N/A,FALSE,"By Code";"Input_Opt",#N/A,FALSE,"By Code"}</definedName>
    <definedName name="____________________jhi44_4" hidden="1">{"Input_Fin",#N/A,FALSE,"By Code";"Input_Opt",#N/A,FALSE,"By Code"}</definedName>
    <definedName name="____________________jhi44_5" hidden="1">{"Input_Fin",#N/A,FALSE,"By Code";"Input_Opt",#N/A,FALSE,"By Code"}</definedName>
    <definedName name="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dy1" localSheetId="12" hidden="1">{"Input_Fin",#N/A,FALSE,"By Code";"Input_Opt",#N/A,FALSE,"By Code"}</definedName>
    <definedName name="___________________dy1" hidden="1">{"Input_Fin",#N/A,FALSE,"By Code";"Input_Opt",#N/A,FALSE,"By Code"}</definedName>
    <definedName name="________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dy5" localSheetId="12" hidden="1">{"Input_Fin",#N/A,FALSE,"By Code";"Input_Opt",#N/A,FALSE,"By Code"}</definedName>
    <definedName name="___________________dy5" hidden="1">{"Input_Fin",#N/A,FALSE,"By Code";"Input_Opt",#N/A,FALSE,"By Code"}</definedName>
    <definedName name="___________________dy6" localSheetId="12" hidden="1">{"Input_Fin",#N/A,FALSE,"By Code";"Input_Opt",#N/A,FALSE,"By Code"}</definedName>
    <definedName name="___________________dy6" hidden="1">{"Input_Fin",#N/A,FALSE,"By Code";"Input_Opt",#N/A,FALSE,"By Code"}</definedName>
    <definedName name="___________________jhi44" hidden="1">{"Input_Fin",#N/A,FALSE,"By Code";"Input_Opt",#N/A,FALSE,"By Code"}</definedName>
    <definedName name="___________________jhi44_1" hidden="1">{"Input_Fin",#N/A,FALSE,"By Code";"Input_Opt",#N/A,FALSE,"By Code"}</definedName>
    <definedName name="___________________jhi44_1_1" hidden="1">{"Input_Fin",#N/A,FALSE,"By Code";"Input_Opt",#N/A,FALSE,"By Code"}</definedName>
    <definedName name="___________________jhi44_1_1_1" hidden="1">{"Input_Fin",#N/A,FALSE,"By Code";"Input_Opt",#N/A,FALSE,"By Code"}</definedName>
    <definedName name="___________________jhi44_1_1_2" hidden="1">{"Input_Fin",#N/A,FALSE,"By Code";"Input_Opt",#N/A,FALSE,"By Code"}</definedName>
    <definedName name="___________________jhi44_1_1_3" hidden="1">{"Input_Fin",#N/A,FALSE,"By Code";"Input_Opt",#N/A,FALSE,"By Code"}</definedName>
    <definedName name="___________________jhi44_1_2" hidden="1">{"Input_Fin",#N/A,FALSE,"By Code";"Input_Opt",#N/A,FALSE,"By Code"}</definedName>
    <definedName name="___________________jhi44_1_2_1" hidden="1">{"Input_Fin",#N/A,FALSE,"By Code";"Input_Opt",#N/A,FALSE,"By Code"}</definedName>
    <definedName name="___________________jhi44_1_2_2" hidden="1">{"Input_Fin",#N/A,FALSE,"By Code";"Input_Opt",#N/A,FALSE,"By Code"}</definedName>
    <definedName name="___________________jhi44_1_3" hidden="1">{"Input_Fin",#N/A,FALSE,"By Code";"Input_Opt",#N/A,FALSE,"By Code"}</definedName>
    <definedName name="___________________jhi44_1_4" hidden="1">{"Input_Fin",#N/A,FALSE,"By Code";"Input_Opt",#N/A,FALSE,"By Code"}</definedName>
    <definedName name="___________________jhi44_2" hidden="1">{"Input_Fin",#N/A,FALSE,"By Code";"Input_Opt",#N/A,FALSE,"By Code"}</definedName>
    <definedName name="___________________jhi44_2_1" hidden="1">{"Input_Fin",#N/A,FALSE,"By Code";"Input_Opt",#N/A,FALSE,"By Code"}</definedName>
    <definedName name="___________________jhi44_2_2" hidden="1">{"Input_Fin",#N/A,FALSE,"By Code";"Input_Opt",#N/A,FALSE,"By Code"}</definedName>
    <definedName name="___________________jhi44_2_3" hidden="1">{"Input_Fin",#N/A,FALSE,"By Code";"Input_Opt",#N/A,FALSE,"By Code"}</definedName>
    <definedName name="___________________jhi44_3" hidden="1">{"Input_Fin",#N/A,FALSE,"By Code";"Input_Opt",#N/A,FALSE,"By Code"}</definedName>
    <definedName name="___________________jhi44_3_1" hidden="1">{"Input_Fin",#N/A,FALSE,"By Code";"Input_Opt",#N/A,FALSE,"By Code"}</definedName>
    <definedName name="___________________jhi44_3_2" hidden="1">{"Input_Fin",#N/A,FALSE,"By Code";"Input_Opt",#N/A,FALSE,"By Code"}</definedName>
    <definedName name="___________________jhi44_4" hidden="1">{"Input_Fin",#N/A,FALSE,"By Code";"Input_Opt",#N/A,FALSE,"By Code"}</definedName>
    <definedName name="___________________jhi44_5" hidden="1">{"Input_Fin",#N/A,FALSE,"By Code";"Input_Opt",#N/A,FALSE,"By Code"}</definedName>
    <definedName name="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1" localSheetId="12" hidden="1">{"Input_Fin",#N/A,FALSE,"By Code";"Input_Opt",#N/A,FALSE,"By Code"}</definedName>
    <definedName name="__________________dy1" hidden="1">{"Input_Fin",#N/A,FALSE,"By Code";"Input_Opt",#N/A,FALSE,"By Code"}</definedName>
    <definedName name="__________________dy1_1" hidden="1">{"Input_Fin",#N/A,FALSE,"By Code";"Input_Opt",#N/A,FALSE,"By Code"}</definedName>
    <definedName name="__________________dy1_1_1" hidden="1">{"Input_Fin",#N/A,FALSE,"By Code";"Input_Opt",#N/A,FALSE,"By Code"}</definedName>
    <definedName name="__________________dy1_1_1_1" hidden="1">{"Input_Fin",#N/A,FALSE,"By Code";"Input_Opt",#N/A,FALSE,"By Code"}</definedName>
    <definedName name="__________________dy1_1_1_2" hidden="1">{"Input_Fin",#N/A,FALSE,"By Code";"Input_Opt",#N/A,FALSE,"By Code"}</definedName>
    <definedName name="__________________dy1_1_1_3" hidden="1">{"Input_Fin",#N/A,FALSE,"By Code";"Input_Opt",#N/A,FALSE,"By Code"}</definedName>
    <definedName name="__________________dy1_1_2" hidden="1">{"Input_Fin",#N/A,FALSE,"By Code";"Input_Opt",#N/A,FALSE,"By Code"}</definedName>
    <definedName name="__________________dy1_1_2_1" hidden="1">{"Input_Fin",#N/A,FALSE,"By Code";"Input_Opt",#N/A,FALSE,"By Code"}</definedName>
    <definedName name="__________________dy1_1_2_2" hidden="1">{"Input_Fin",#N/A,FALSE,"By Code";"Input_Opt",#N/A,FALSE,"By Code"}</definedName>
    <definedName name="__________________dy1_1_3" hidden="1">{"Input_Fin",#N/A,FALSE,"By Code";"Input_Opt",#N/A,FALSE,"By Code"}</definedName>
    <definedName name="__________________dy1_1_4" hidden="1">{"Input_Fin",#N/A,FALSE,"By Code";"Input_Opt",#N/A,FALSE,"By Code"}</definedName>
    <definedName name="__________________dy1_2" hidden="1">{"Input_Fin",#N/A,FALSE,"By Code";"Input_Opt",#N/A,FALSE,"By Code"}</definedName>
    <definedName name="__________________dy1_2_1" hidden="1">{"Input_Fin",#N/A,FALSE,"By Code";"Input_Opt",#N/A,FALSE,"By Code"}</definedName>
    <definedName name="__________________dy1_2_2" hidden="1">{"Input_Fin",#N/A,FALSE,"By Code";"Input_Opt",#N/A,FALSE,"By Code"}</definedName>
    <definedName name="__________________dy1_2_3" hidden="1">{"Input_Fin",#N/A,FALSE,"By Code";"Input_Opt",#N/A,FALSE,"By Code"}</definedName>
    <definedName name="__________________dy1_3" hidden="1">{"Input_Fin",#N/A,FALSE,"By Code";"Input_Opt",#N/A,FALSE,"By Code"}</definedName>
    <definedName name="__________________dy1_3_1" hidden="1">{"Input_Fin",#N/A,FALSE,"By Code";"Input_Opt",#N/A,FALSE,"By Code"}</definedName>
    <definedName name="__________________dy1_3_2" hidden="1">{"Input_Fin",#N/A,FALSE,"By Code";"Input_Opt",#N/A,FALSE,"By Code"}</definedName>
    <definedName name="__________________dy1_4" hidden="1">{"Input_Fin",#N/A,FALSE,"By Code";"Input_Opt",#N/A,FALSE,"By Code"}</definedName>
    <definedName name="__________________dy1_5" hidden="1">{"Input_Fin",#N/A,FALSE,"By Code";"Input_Opt",#N/A,FALSE,"By Code"}</definedName>
    <definedName name="_______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5" localSheetId="12" hidden="1">{"Input_Fin",#N/A,FALSE,"By Code";"Input_Opt",#N/A,FALSE,"By Code"}</definedName>
    <definedName name="__________________dy5" hidden="1">{"Input_Fin",#N/A,FALSE,"By Code";"Input_Opt",#N/A,FALSE,"By Code"}</definedName>
    <definedName name="__________________dy5_1" hidden="1">{"Input_Fin",#N/A,FALSE,"By Code";"Input_Opt",#N/A,FALSE,"By Code"}</definedName>
    <definedName name="__________________dy5_1_1" hidden="1">{"Input_Fin",#N/A,FALSE,"By Code";"Input_Opt",#N/A,FALSE,"By Code"}</definedName>
    <definedName name="__________________dy5_1_1_1" hidden="1">{"Input_Fin",#N/A,FALSE,"By Code";"Input_Opt",#N/A,FALSE,"By Code"}</definedName>
    <definedName name="__________________dy5_1_1_2" hidden="1">{"Input_Fin",#N/A,FALSE,"By Code";"Input_Opt",#N/A,FALSE,"By Code"}</definedName>
    <definedName name="__________________dy5_1_1_3" hidden="1">{"Input_Fin",#N/A,FALSE,"By Code";"Input_Opt",#N/A,FALSE,"By Code"}</definedName>
    <definedName name="__________________dy5_1_2" hidden="1">{"Input_Fin",#N/A,FALSE,"By Code";"Input_Opt",#N/A,FALSE,"By Code"}</definedName>
    <definedName name="__________________dy5_1_2_1" hidden="1">{"Input_Fin",#N/A,FALSE,"By Code";"Input_Opt",#N/A,FALSE,"By Code"}</definedName>
    <definedName name="__________________dy5_1_2_2" hidden="1">{"Input_Fin",#N/A,FALSE,"By Code";"Input_Opt",#N/A,FALSE,"By Code"}</definedName>
    <definedName name="__________________dy5_1_3" hidden="1">{"Input_Fin",#N/A,FALSE,"By Code";"Input_Opt",#N/A,FALSE,"By Code"}</definedName>
    <definedName name="__________________dy5_1_4" hidden="1">{"Input_Fin",#N/A,FALSE,"By Code";"Input_Opt",#N/A,FALSE,"By Code"}</definedName>
    <definedName name="__________________dy5_2" hidden="1">{"Input_Fin",#N/A,FALSE,"By Code";"Input_Opt",#N/A,FALSE,"By Code"}</definedName>
    <definedName name="__________________dy5_2_1" hidden="1">{"Input_Fin",#N/A,FALSE,"By Code";"Input_Opt",#N/A,FALSE,"By Code"}</definedName>
    <definedName name="__________________dy5_2_2" hidden="1">{"Input_Fin",#N/A,FALSE,"By Code";"Input_Opt",#N/A,FALSE,"By Code"}</definedName>
    <definedName name="__________________dy5_2_3" hidden="1">{"Input_Fin",#N/A,FALSE,"By Code";"Input_Opt",#N/A,FALSE,"By Code"}</definedName>
    <definedName name="__________________dy5_3" hidden="1">{"Input_Fin",#N/A,FALSE,"By Code";"Input_Opt",#N/A,FALSE,"By Code"}</definedName>
    <definedName name="__________________dy5_3_1" hidden="1">{"Input_Fin",#N/A,FALSE,"By Code";"Input_Opt",#N/A,FALSE,"By Code"}</definedName>
    <definedName name="__________________dy5_3_2" hidden="1">{"Input_Fin",#N/A,FALSE,"By Code";"Input_Opt",#N/A,FALSE,"By Code"}</definedName>
    <definedName name="__________________dy5_4" hidden="1">{"Input_Fin",#N/A,FALSE,"By Code";"Input_Opt",#N/A,FALSE,"By Code"}</definedName>
    <definedName name="__________________dy5_5" hidden="1">{"Input_Fin",#N/A,FALSE,"By Code";"Input_Opt",#N/A,FALSE,"By Code"}</definedName>
    <definedName name="__________________dy6" localSheetId="12" hidden="1">{"Input_Fin",#N/A,FALSE,"By Code";"Input_Opt",#N/A,FALSE,"By Code"}</definedName>
    <definedName name="__________________dy6" hidden="1">{"Input_Fin",#N/A,FALSE,"By Code";"Input_Opt",#N/A,FALSE,"By Code"}</definedName>
    <definedName name="__________________dy6_1" hidden="1">{"Input_Fin",#N/A,FALSE,"By Code";"Input_Opt",#N/A,FALSE,"By Code"}</definedName>
    <definedName name="__________________dy6_1_1" hidden="1">{"Input_Fin",#N/A,FALSE,"By Code";"Input_Opt",#N/A,FALSE,"By Code"}</definedName>
    <definedName name="__________________dy6_1_1_1" hidden="1">{"Input_Fin",#N/A,FALSE,"By Code";"Input_Opt",#N/A,FALSE,"By Code"}</definedName>
    <definedName name="__________________dy6_1_1_2" hidden="1">{"Input_Fin",#N/A,FALSE,"By Code";"Input_Opt",#N/A,FALSE,"By Code"}</definedName>
    <definedName name="__________________dy6_1_1_3" hidden="1">{"Input_Fin",#N/A,FALSE,"By Code";"Input_Opt",#N/A,FALSE,"By Code"}</definedName>
    <definedName name="__________________dy6_1_2" hidden="1">{"Input_Fin",#N/A,FALSE,"By Code";"Input_Opt",#N/A,FALSE,"By Code"}</definedName>
    <definedName name="__________________dy6_1_2_1" hidden="1">{"Input_Fin",#N/A,FALSE,"By Code";"Input_Opt",#N/A,FALSE,"By Code"}</definedName>
    <definedName name="__________________dy6_1_2_2" hidden="1">{"Input_Fin",#N/A,FALSE,"By Code";"Input_Opt",#N/A,FALSE,"By Code"}</definedName>
    <definedName name="__________________dy6_1_3" hidden="1">{"Input_Fin",#N/A,FALSE,"By Code";"Input_Opt",#N/A,FALSE,"By Code"}</definedName>
    <definedName name="__________________dy6_1_4" hidden="1">{"Input_Fin",#N/A,FALSE,"By Code";"Input_Opt",#N/A,FALSE,"By Code"}</definedName>
    <definedName name="__________________dy6_2" hidden="1">{"Input_Fin",#N/A,FALSE,"By Code";"Input_Opt",#N/A,FALSE,"By Code"}</definedName>
    <definedName name="__________________dy6_2_1" hidden="1">{"Input_Fin",#N/A,FALSE,"By Code";"Input_Opt",#N/A,FALSE,"By Code"}</definedName>
    <definedName name="__________________dy6_2_2" hidden="1">{"Input_Fin",#N/A,FALSE,"By Code";"Input_Opt",#N/A,FALSE,"By Code"}</definedName>
    <definedName name="__________________dy6_2_3" hidden="1">{"Input_Fin",#N/A,FALSE,"By Code";"Input_Opt",#N/A,FALSE,"By Code"}</definedName>
    <definedName name="__________________dy6_3" hidden="1">{"Input_Fin",#N/A,FALSE,"By Code";"Input_Opt",#N/A,FALSE,"By Code"}</definedName>
    <definedName name="__________________dy6_3_1" hidden="1">{"Input_Fin",#N/A,FALSE,"By Code";"Input_Opt",#N/A,FALSE,"By Code"}</definedName>
    <definedName name="__________________dy6_3_2" hidden="1">{"Input_Fin",#N/A,FALSE,"By Code";"Input_Opt",#N/A,FALSE,"By Code"}</definedName>
    <definedName name="__________________dy6_4" hidden="1">{"Input_Fin",#N/A,FALSE,"By Code";"Input_Opt",#N/A,FALSE,"By Code"}</definedName>
    <definedName name="__________________dy6_5" hidden="1">{"Input_Fin",#N/A,FALSE,"By Code";"Input_Opt",#N/A,FALSE,"By Code"}</definedName>
    <definedName name="__________________jhi44" hidden="1">{"Input_Fin",#N/A,FALSE,"By Code";"Input_Opt",#N/A,FALSE,"By Code"}</definedName>
    <definedName name="__________________jhi44_1" hidden="1">{"Input_Fin",#N/A,FALSE,"By Code";"Input_Opt",#N/A,FALSE,"By Code"}</definedName>
    <definedName name="__________________jhi44_1_1" hidden="1">{"Input_Fin",#N/A,FALSE,"By Code";"Input_Opt",#N/A,FALSE,"By Code"}</definedName>
    <definedName name="__________________jhi44_1_1_1" hidden="1">{"Input_Fin",#N/A,FALSE,"By Code";"Input_Opt",#N/A,FALSE,"By Code"}</definedName>
    <definedName name="__________________jhi44_1_1_2" hidden="1">{"Input_Fin",#N/A,FALSE,"By Code";"Input_Opt",#N/A,FALSE,"By Code"}</definedName>
    <definedName name="__________________jhi44_1_1_3" hidden="1">{"Input_Fin",#N/A,FALSE,"By Code";"Input_Opt",#N/A,FALSE,"By Code"}</definedName>
    <definedName name="__________________jhi44_1_2" hidden="1">{"Input_Fin",#N/A,FALSE,"By Code";"Input_Opt",#N/A,FALSE,"By Code"}</definedName>
    <definedName name="__________________jhi44_1_2_1" hidden="1">{"Input_Fin",#N/A,FALSE,"By Code";"Input_Opt",#N/A,FALSE,"By Code"}</definedName>
    <definedName name="__________________jhi44_1_2_2" hidden="1">{"Input_Fin",#N/A,FALSE,"By Code";"Input_Opt",#N/A,FALSE,"By Code"}</definedName>
    <definedName name="__________________jhi44_1_3" hidden="1">{"Input_Fin",#N/A,FALSE,"By Code";"Input_Opt",#N/A,FALSE,"By Code"}</definedName>
    <definedName name="__________________jhi44_1_4" hidden="1">{"Input_Fin",#N/A,FALSE,"By Code";"Input_Opt",#N/A,FALSE,"By Code"}</definedName>
    <definedName name="__________________jhi44_2" hidden="1">{"Input_Fin",#N/A,FALSE,"By Code";"Input_Opt",#N/A,FALSE,"By Code"}</definedName>
    <definedName name="__________________jhi44_2_1" hidden="1">{"Input_Fin",#N/A,FALSE,"By Code";"Input_Opt",#N/A,FALSE,"By Code"}</definedName>
    <definedName name="__________________jhi44_2_2" hidden="1">{"Input_Fin",#N/A,FALSE,"By Code";"Input_Opt",#N/A,FALSE,"By Code"}</definedName>
    <definedName name="__________________jhi44_2_3" hidden="1">{"Input_Fin",#N/A,FALSE,"By Code";"Input_Opt",#N/A,FALSE,"By Code"}</definedName>
    <definedName name="__________________jhi44_3" hidden="1">{"Input_Fin",#N/A,FALSE,"By Code";"Input_Opt",#N/A,FALSE,"By Code"}</definedName>
    <definedName name="__________________jhi44_3_1" hidden="1">{"Input_Fin",#N/A,FALSE,"By Code";"Input_Opt",#N/A,FALSE,"By Code"}</definedName>
    <definedName name="__________________jhi44_3_2" hidden="1">{"Input_Fin",#N/A,FALSE,"By Code";"Input_Opt",#N/A,FALSE,"By Code"}</definedName>
    <definedName name="__________________jhi44_4" hidden="1">{"Input_Fin",#N/A,FALSE,"By Code";"Input_Opt",#N/A,FALSE,"By Code"}</definedName>
    <definedName name="__________________jhi44_5" hidden="1">{"Input_Fin",#N/A,FALSE,"By Code";"Input_Opt",#N/A,FALSE,"By Code"}</definedName>
    <definedName name="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1" localSheetId="12" hidden="1">{"Input_Fin",#N/A,FALSE,"By Code";"Input_Opt",#N/A,FALSE,"By Code"}</definedName>
    <definedName name="_________________dy1" hidden="1">{"Input_Fin",#N/A,FALSE,"By Code";"Input_Opt",#N/A,FALSE,"By Code"}</definedName>
    <definedName name="_________________dy1_1" hidden="1">{"Input_Fin",#N/A,FALSE,"By Code";"Input_Opt",#N/A,FALSE,"By Code"}</definedName>
    <definedName name="_________________dy1_1_1" hidden="1">{"Input_Fin",#N/A,FALSE,"By Code";"Input_Opt",#N/A,FALSE,"By Code"}</definedName>
    <definedName name="_________________dy1_1_1_1" hidden="1">{"Input_Fin",#N/A,FALSE,"By Code";"Input_Opt",#N/A,FALSE,"By Code"}</definedName>
    <definedName name="_________________dy1_1_1_2" hidden="1">{"Input_Fin",#N/A,FALSE,"By Code";"Input_Opt",#N/A,FALSE,"By Code"}</definedName>
    <definedName name="_________________dy1_1_1_3" hidden="1">{"Input_Fin",#N/A,FALSE,"By Code";"Input_Opt",#N/A,FALSE,"By Code"}</definedName>
    <definedName name="_________________dy1_1_2" hidden="1">{"Input_Fin",#N/A,FALSE,"By Code";"Input_Opt",#N/A,FALSE,"By Code"}</definedName>
    <definedName name="_________________dy1_1_2_1" hidden="1">{"Input_Fin",#N/A,FALSE,"By Code";"Input_Opt",#N/A,FALSE,"By Code"}</definedName>
    <definedName name="_________________dy1_1_2_2" hidden="1">{"Input_Fin",#N/A,FALSE,"By Code";"Input_Opt",#N/A,FALSE,"By Code"}</definedName>
    <definedName name="_________________dy1_1_3" hidden="1">{"Input_Fin",#N/A,FALSE,"By Code";"Input_Opt",#N/A,FALSE,"By Code"}</definedName>
    <definedName name="_________________dy1_1_4" hidden="1">{"Input_Fin",#N/A,FALSE,"By Code";"Input_Opt",#N/A,FALSE,"By Code"}</definedName>
    <definedName name="_________________dy1_2" hidden="1">{"Input_Fin",#N/A,FALSE,"By Code";"Input_Opt",#N/A,FALSE,"By Code"}</definedName>
    <definedName name="_________________dy1_2_1" hidden="1">{"Input_Fin",#N/A,FALSE,"By Code";"Input_Opt",#N/A,FALSE,"By Code"}</definedName>
    <definedName name="_________________dy1_2_2" hidden="1">{"Input_Fin",#N/A,FALSE,"By Code";"Input_Opt",#N/A,FALSE,"By Code"}</definedName>
    <definedName name="_________________dy1_2_3" hidden="1">{"Input_Fin",#N/A,FALSE,"By Code";"Input_Opt",#N/A,FALSE,"By Code"}</definedName>
    <definedName name="_________________dy1_3" hidden="1">{"Input_Fin",#N/A,FALSE,"By Code";"Input_Opt",#N/A,FALSE,"By Code"}</definedName>
    <definedName name="_________________dy1_3_1" hidden="1">{"Input_Fin",#N/A,FALSE,"By Code";"Input_Opt",#N/A,FALSE,"By Code"}</definedName>
    <definedName name="_________________dy1_3_2" hidden="1">{"Input_Fin",#N/A,FALSE,"By Code";"Input_Opt",#N/A,FALSE,"By Code"}</definedName>
    <definedName name="_________________dy1_4" hidden="1">{"Input_Fin",#N/A,FALSE,"By Code";"Input_Opt",#N/A,FALSE,"By Code"}</definedName>
    <definedName name="_________________dy1_5" hidden="1">{"Input_Fin",#N/A,FALSE,"By Code";"Input_Opt",#N/A,FALSE,"By Code"}</definedName>
    <definedName name="______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5" localSheetId="12" hidden="1">{"Input_Fin",#N/A,FALSE,"By Code";"Input_Opt",#N/A,FALSE,"By Code"}</definedName>
    <definedName name="_________________dy5" hidden="1">{"Input_Fin",#N/A,FALSE,"By Code";"Input_Opt",#N/A,FALSE,"By Code"}</definedName>
    <definedName name="_________________dy5_1" hidden="1">{"Input_Fin",#N/A,FALSE,"By Code";"Input_Opt",#N/A,FALSE,"By Code"}</definedName>
    <definedName name="_________________dy5_1_1" hidden="1">{"Input_Fin",#N/A,FALSE,"By Code";"Input_Opt",#N/A,FALSE,"By Code"}</definedName>
    <definedName name="_________________dy5_1_1_1" hidden="1">{"Input_Fin",#N/A,FALSE,"By Code";"Input_Opt",#N/A,FALSE,"By Code"}</definedName>
    <definedName name="_________________dy5_1_1_2" hidden="1">{"Input_Fin",#N/A,FALSE,"By Code";"Input_Opt",#N/A,FALSE,"By Code"}</definedName>
    <definedName name="_________________dy5_1_1_3" hidden="1">{"Input_Fin",#N/A,FALSE,"By Code";"Input_Opt",#N/A,FALSE,"By Code"}</definedName>
    <definedName name="_________________dy5_1_2" hidden="1">{"Input_Fin",#N/A,FALSE,"By Code";"Input_Opt",#N/A,FALSE,"By Code"}</definedName>
    <definedName name="_________________dy5_1_2_1" hidden="1">{"Input_Fin",#N/A,FALSE,"By Code";"Input_Opt",#N/A,FALSE,"By Code"}</definedName>
    <definedName name="_________________dy5_1_2_2" hidden="1">{"Input_Fin",#N/A,FALSE,"By Code";"Input_Opt",#N/A,FALSE,"By Code"}</definedName>
    <definedName name="_________________dy5_1_3" hidden="1">{"Input_Fin",#N/A,FALSE,"By Code";"Input_Opt",#N/A,FALSE,"By Code"}</definedName>
    <definedName name="_________________dy5_1_4" hidden="1">{"Input_Fin",#N/A,FALSE,"By Code";"Input_Opt",#N/A,FALSE,"By Code"}</definedName>
    <definedName name="_________________dy5_2" hidden="1">{"Input_Fin",#N/A,FALSE,"By Code";"Input_Opt",#N/A,FALSE,"By Code"}</definedName>
    <definedName name="_________________dy5_2_1" hidden="1">{"Input_Fin",#N/A,FALSE,"By Code";"Input_Opt",#N/A,FALSE,"By Code"}</definedName>
    <definedName name="_________________dy5_2_2" hidden="1">{"Input_Fin",#N/A,FALSE,"By Code";"Input_Opt",#N/A,FALSE,"By Code"}</definedName>
    <definedName name="_________________dy5_2_3" hidden="1">{"Input_Fin",#N/A,FALSE,"By Code";"Input_Opt",#N/A,FALSE,"By Code"}</definedName>
    <definedName name="_________________dy5_3" hidden="1">{"Input_Fin",#N/A,FALSE,"By Code";"Input_Opt",#N/A,FALSE,"By Code"}</definedName>
    <definedName name="_________________dy5_3_1" hidden="1">{"Input_Fin",#N/A,FALSE,"By Code";"Input_Opt",#N/A,FALSE,"By Code"}</definedName>
    <definedName name="_________________dy5_3_2" hidden="1">{"Input_Fin",#N/A,FALSE,"By Code";"Input_Opt",#N/A,FALSE,"By Code"}</definedName>
    <definedName name="_________________dy5_4" hidden="1">{"Input_Fin",#N/A,FALSE,"By Code";"Input_Opt",#N/A,FALSE,"By Code"}</definedName>
    <definedName name="_________________dy5_5" hidden="1">{"Input_Fin",#N/A,FALSE,"By Code";"Input_Opt",#N/A,FALSE,"By Code"}</definedName>
    <definedName name="_________________dy6" localSheetId="12" hidden="1">{"Input_Fin",#N/A,FALSE,"By Code";"Input_Opt",#N/A,FALSE,"By Code"}</definedName>
    <definedName name="_________________dy6" hidden="1">{"Input_Fin",#N/A,FALSE,"By Code";"Input_Opt",#N/A,FALSE,"By Code"}</definedName>
    <definedName name="_________________dy6_1" hidden="1">{"Input_Fin",#N/A,FALSE,"By Code";"Input_Opt",#N/A,FALSE,"By Code"}</definedName>
    <definedName name="_________________dy6_1_1" hidden="1">{"Input_Fin",#N/A,FALSE,"By Code";"Input_Opt",#N/A,FALSE,"By Code"}</definedName>
    <definedName name="_________________dy6_1_1_1" hidden="1">{"Input_Fin",#N/A,FALSE,"By Code";"Input_Opt",#N/A,FALSE,"By Code"}</definedName>
    <definedName name="_________________dy6_1_1_2" hidden="1">{"Input_Fin",#N/A,FALSE,"By Code";"Input_Opt",#N/A,FALSE,"By Code"}</definedName>
    <definedName name="_________________dy6_1_1_3" hidden="1">{"Input_Fin",#N/A,FALSE,"By Code";"Input_Opt",#N/A,FALSE,"By Code"}</definedName>
    <definedName name="_________________dy6_1_2" hidden="1">{"Input_Fin",#N/A,FALSE,"By Code";"Input_Opt",#N/A,FALSE,"By Code"}</definedName>
    <definedName name="_________________dy6_1_2_1" hidden="1">{"Input_Fin",#N/A,FALSE,"By Code";"Input_Opt",#N/A,FALSE,"By Code"}</definedName>
    <definedName name="_________________dy6_1_2_2" hidden="1">{"Input_Fin",#N/A,FALSE,"By Code";"Input_Opt",#N/A,FALSE,"By Code"}</definedName>
    <definedName name="_________________dy6_1_3" hidden="1">{"Input_Fin",#N/A,FALSE,"By Code";"Input_Opt",#N/A,FALSE,"By Code"}</definedName>
    <definedName name="_________________dy6_1_4" hidden="1">{"Input_Fin",#N/A,FALSE,"By Code";"Input_Opt",#N/A,FALSE,"By Code"}</definedName>
    <definedName name="_________________dy6_2" hidden="1">{"Input_Fin",#N/A,FALSE,"By Code";"Input_Opt",#N/A,FALSE,"By Code"}</definedName>
    <definedName name="_________________dy6_2_1" hidden="1">{"Input_Fin",#N/A,FALSE,"By Code";"Input_Opt",#N/A,FALSE,"By Code"}</definedName>
    <definedName name="_________________dy6_2_2" hidden="1">{"Input_Fin",#N/A,FALSE,"By Code";"Input_Opt",#N/A,FALSE,"By Code"}</definedName>
    <definedName name="_________________dy6_2_3" hidden="1">{"Input_Fin",#N/A,FALSE,"By Code";"Input_Opt",#N/A,FALSE,"By Code"}</definedName>
    <definedName name="_________________dy6_3" hidden="1">{"Input_Fin",#N/A,FALSE,"By Code";"Input_Opt",#N/A,FALSE,"By Code"}</definedName>
    <definedName name="_________________dy6_3_1" hidden="1">{"Input_Fin",#N/A,FALSE,"By Code";"Input_Opt",#N/A,FALSE,"By Code"}</definedName>
    <definedName name="_________________dy6_3_2" hidden="1">{"Input_Fin",#N/A,FALSE,"By Code";"Input_Opt",#N/A,FALSE,"By Code"}</definedName>
    <definedName name="_________________dy6_4" hidden="1">{"Input_Fin",#N/A,FALSE,"By Code";"Input_Opt",#N/A,FALSE,"By Code"}</definedName>
    <definedName name="_________________dy6_5" hidden="1">{"Input_Fin",#N/A,FALSE,"By Code";"Input_Opt",#N/A,FALSE,"By Code"}</definedName>
    <definedName name="_________________jhi44" hidden="1">{"Input_Fin",#N/A,FALSE,"By Code";"Input_Opt",#N/A,FALSE,"By Code"}</definedName>
    <definedName name="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1" localSheetId="12" hidden="1">{"Input_Fin",#N/A,FALSE,"By Code";"Input_Opt",#N/A,FALSE,"By Code"}</definedName>
    <definedName name="________________dy1" hidden="1">{"Input_Fin",#N/A,FALSE,"By Code";"Input_Opt",#N/A,FALSE,"By Code"}</definedName>
    <definedName name="________________dy1_1" hidden="1">{"Input_Fin",#N/A,FALSE,"By Code";"Input_Opt",#N/A,FALSE,"By Code"}</definedName>
    <definedName name="________________dy1_1_1" hidden="1">{"Input_Fin",#N/A,FALSE,"By Code";"Input_Opt",#N/A,FALSE,"By Code"}</definedName>
    <definedName name="________________dy1_1_1_1" hidden="1">{"Input_Fin",#N/A,FALSE,"By Code";"Input_Opt",#N/A,FALSE,"By Code"}</definedName>
    <definedName name="________________dy1_1_1_2" hidden="1">{"Input_Fin",#N/A,FALSE,"By Code";"Input_Opt",#N/A,FALSE,"By Code"}</definedName>
    <definedName name="________________dy1_1_1_3" hidden="1">{"Input_Fin",#N/A,FALSE,"By Code";"Input_Opt",#N/A,FALSE,"By Code"}</definedName>
    <definedName name="________________dy1_1_2" hidden="1">{"Input_Fin",#N/A,FALSE,"By Code";"Input_Opt",#N/A,FALSE,"By Code"}</definedName>
    <definedName name="________________dy1_1_2_1" hidden="1">{"Input_Fin",#N/A,FALSE,"By Code";"Input_Opt",#N/A,FALSE,"By Code"}</definedName>
    <definedName name="________________dy1_1_2_2" hidden="1">{"Input_Fin",#N/A,FALSE,"By Code";"Input_Opt",#N/A,FALSE,"By Code"}</definedName>
    <definedName name="________________dy1_1_3" hidden="1">{"Input_Fin",#N/A,FALSE,"By Code";"Input_Opt",#N/A,FALSE,"By Code"}</definedName>
    <definedName name="________________dy1_1_4" hidden="1">{"Input_Fin",#N/A,FALSE,"By Code";"Input_Opt",#N/A,FALSE,"By Code"}</definedName>
    <definedName name="________________dy1_2" hidden="1">{"Input_Fin",#N/A,FALSE,"By Code";"Input_Opt",#N/A,FALSE,"By Code"}</definedName>
    <definedName name="________________dy1_2_1" hidden="1">{"Input_Fin",#N/A,FALSE,"By Code";"Input_Opt",#N/A,FALSE,"By Code"}</definedName>
    <definedName name="________________dy1_2_2" hidden="1">{"Input_Fin",#N/A,FALSE,"By Code";"Input_Opt",#N/A,FALSE,"By Code"}</definedName>
    <definedName name="________________dy1_2_3" hidden="1">{"Input_Fin",#N/A,FALSE,"By Code";"Input_Opt",#N/A,FALSE,"By Code"}</definedName>
    <definedName name="________________dy1_3" hidden="1">{"Input_Fin",#N/A,FALSE,"By Code";"Input_Opt",#N/A,FALSE,"By Code"}</definedName>
    <definedName name="________________dy1_3_1" hidden="1">{"Input_Fin",#N/A,FALSE,"By Code";"Input_Opt",#N/A,FALSE,"By Code"}</definedName>
    <definedName name="________________dy1_3_2" hidden="1">{"Input_Fin",#N/A,FALSE,"By Code";"Input_Opt",#N/A,FALSE,"By Code"}</definedName>
    <definedName name="________________dy1_4" hidden="1">{"Input_Fin",#N/A,FALSE,"By Code";"Input_Opt",#N/A,FALSE,"By Code"}</definedName>
    <definedName name="________________dy1_5" hidden="1">{"Input_Fin",#N/A,FALSE,"By Code";"Input_Opt",#N/A,FALSE,"By Code"}</definedName>
    <definedName name="_____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5" localSheetId="12" hidden="1">{"Input_Fin",#N/A,FALSE,"By Code";"Input_Opt",#N/A,FALSE,"By Code"}</definedName>
    <definedName name="________________dy5" hidden="1">{"Input_Fin",#N/A,FALSE,"By Code";"Input_Opt",#N/A,FALSE,"By Code"}</definedName>
    <definedName name="________________dy5_1" hidden="1">{"Input_Fin",#N/A,FALSE,"By Code";"Input_Opt",#N/A,FALSE,"By Code"}</definedName>
    <definedName name="________________dy5_1_1" hidden="1">{"Input_Fin",#N/A,FALSE,"By Code";"Input_Opt",#N/A,FALSE,"By Code"}</definedName>
    <definedName name="________________dy5_1_1_1" hidden="1">{"Input_Fin",#N/A,FALSE,"By Code";"Input_Opt",#N/A,FALSE,"By Code"}</definedName>
    <definedName name="________________dy5_1_1_2" hidden="1">{"Input_Fin",#N/A,FALSE,"By Code";"Input_Opt",#N/A,FALSE,"By Code"}</definedName>
    <definedName name="________________dy5_1_1_3" hidden="1">{"Input_Fin",#N/A,FALSE,"By Code";"Input_Opt",#N/A,FALSE,"By Code"}</definedName>
    <definedName name="________________dy5_1_2" hidden="1">{"Input_Fin",#N/A,FALSE,"By Code";"Input_Opt",#N/A,FALSE,"By Code"}</definedName>
    <definedName name="________________dy5_1_2_1" hidden="1">{"Input_Fin",#N/A,FALSE,"By Code";"Input_Opt",#N/A,FALSE,"By Code"}</definedName>
    <definedName name="________________dy5_1_2_2" hidden="1">{"Input_Fin",#N/A,FALSE,"By Code";"Input_Opt",#N/A,FALSE,"By Code"}</definedName>
    <definedName name="________________dy5_1_3" hidden="1">{"Input_Fin",#N/A,FALSE,"By Code";"Input_Opt",#N/A,FALSE,"By Code"}</definedName>
    <definedName name="________________dy5_1_4" hidden="1">{"Input_Fin",#N/A,FALSE,"By Code";"Input_Opt",#N/A,FALSE,"By Code"}</definedName>
    <definedName name="________________dy5_2" hidden="1">{"Input_Fin",#N/A,FALSE,"By Code";"Input_Opt",#N/A,FALSE,"By Code"}</definedName>
    <definedName name="________________dy5_2_1" hidden="1">{"Input_Fin",#N/A,FALSE,"By Code";"Input_Opt",#N/A,FALSE,"By Code"}</definedName>
    <definedName name="________________dy5_2_2" hidden="1">{"Input_Fin",#N/A,FALSE,"By Code";"Input_Opt",#N/A,FALSE,"By Code"}</definedName>
    <definedName name="________________dy5_2_3" hidden="1">{"Input_Fin",#N/A,FALSE,"By Code";"Input_Opt",#N/A,FALSE,"By Code"}</definedName>
    <definedName name="________________dy5_3" hidden="1">{"Input_Fin",#N/A,FALSE,"By Code";"Input_Opt",#N/A,FALSE,"By Code"}</definedName>
    <definedName name="________________dy5_3_1" hidden="1">{"Input_Fin",#N/A,FALSE,"By Code";"Input_Opt",#N/A,FALSE,"By Code"}</definedName>
    <definedName name="________________dy5_3_2" hidden="1">{"Input_Fin",#N/A,FALSE,"By Code";"Input_Opt",#N/A,FALSE,"By Code"}</definedName>
    <definedName name="________________dy5_4" hidden="1">{"Input_Fin",#N/A,FALSE,"By Code";"Input_Opt",#N/A,FALSE,"By Code"}</definedName>
    <definedName name="________________dy5_5" hidden="1">{"Input_Fin",#N/A,FALSE,"By Code";"Input_Opt",#N/A,FALSE,"By Code"}</definedName>
    <definedName name="________________dy6" localSheetId="12" hidden="1">{"Input_Fin",#N/A,FALSE,"By Code";"Input_Opt",#N/A,FALSE,"By Code"}</definedName>
    <definedName name="________________dy6" hidden="1">{"Input_Fin",#N/A,FALSE,"By Code";"Input_Opt",#N/A,FALSE,"By Code"}</definedName>
    <definedName name="________________dy6_1" hidden="1">{"Input_Fin",#N/A,FALSE,"By Code";"Input_Opt",#N/A,FALSE,"By Code"}</definedName>
    <definedName name="________________dy6_1_1" hidden="1">{"Input_Fin",#N/A,FALSE,"By Code";"Input_Opt",#N/A,FALSE,"By Code"}</definedName>
    <definedName name="________________dy6_1_1_1" hidden="1">{"Input_Fin",#N/A,FALSE,"By Code";"Input_Opt",#N/A,FALSE,"By Code"}</definedName>
    <definedName name="________________dy6_1_1_2" hidden="1">{"Input_Fin",#N/A,FALSE,"By Code";"Input_Opt",#N/A,FALSE,"By Code"}</definedName>
    <definedName name="________________dy6_1_1_3" hidden="1">{"Input_Fin",#N/A,FALSE,"By Code";"Input_Opt",#N/A,FALSE,"By Code"}</definedName>
    <definedName name="________________dy6_1_2" hidden="1">{"Input_Fin",#N/A,FALSE,"By Code";"Input_Opt",#N/A,FALSE,"By Code"}</definedName>
    <definedName name="________________dy6_1_2_1" hidden="1">{"Input_Fin",#N/A,FALSE,"By Code";"Input_Opt",#N/A,FALSE,"By Code"}</definedName>
    <definedName name="________________dy6_1_2_2" hidden="1">{"Input_Fin",#N/A,FALSE,"By Code";"Input_Opt",#N/A,FALSE,"By Code"}</definedName>
    <definedName name="________________dy6_1_3" hidden="1">{"Input_Fin",#N/A,FALSE,"By Code";"Input_Opt",#N/A,FALSE,"By Code"}</definedName>
    <definedName name="________________dy6_1_4" hidden="1">{"Input_Fin",#N/A,FALSE,"By Code";"Input_Opt",#N/A,FALSE,"By Code"}</definedName>
    <definedName name="________________dy6_2" hidden="1">{"Input_Fin",#N/A,FALSE,"By Code";"Input_Opt",#N/A,FALSE,"By Code"}</definedName>
    <definedName name="________________dy6_2_1" hidden="1">{"Input_Fin",#N/A,FALSE,"By Code";"Input_Opt",#N/A,FALSE,"By Code"}</definedName>
    <definedName name="________________dy6_2_2" hidden="1">{"Input_Fin",#N/A,FALSE,"By Code";"Input_Opt",#N/A,FALSE,"By Code"}</definedName>
    <definedName name="________________dy6_2_3" hidden="1">{"Input_Fin",#N/A,FALSE,"By Code";"Input_Opt",#N/A,FALSE,"By Code"}</definedName>
    <definedName name="________________dy6_3" hidden="1">{"Input_Fin",#N/A,FALSE,"By Code";"Input_Opt",#N/A,FALSE,"By Code"}</definedName>
    <definedName name="________________dy6_3_1" hidden="1">{"Input_Fin",#N/A,FALSE,"By Code";"Input_Opt",#N/A,FALSE,"By Code"}</definedName>
    <definedName name="________________dy6_3_2" hidden="1">{"Input_Fin",#N/A,FALSE,"By Code";"Input_Opt",#N/A,FALSE,"By Code"}</definedName>
    <definedName name="________________dy6_4" hidden="1">{"Input_Fin",#N/A,FALSE,"By Code";"Input_Opt",#N/A,FALSE,"By Code"}</definedName>
    <definedName name="________________dy6_5" hidden="1">{"Input_Fin",#N/A,FALSE,"By Code";"Input_Opt",#N/A,FALSE,"By Code"}</definedName>
    <definedName name="________________jhi44" hidden="1">{"Input_Fin",#N/A,FALSE,"By Code";"Input_Opt",#N/A,FALSE,"By Code"}</definedName>
    <definedName name="________________jhi44_1" hidden="1">{"Input_Fin",#N/A,FALSE,"By Code";"Input_Opt",#N/A,FALSE,"By Code"}</definedName>
    <definedName name="________________jhi44_1_1" hidden="1">{"Input_Fin",#N/A,FALSE,"By Code";"Input_Opt",#N/A,FALSE,"By Code"}</definedName>
    <definedName name="________________jhi44_1_1_1" hidden="1">{"Input_Fin",#N/A,FALSE,"By Code";"Input_Opt",#N/A,FALSE,"By Code"}</definedName>
    <definedName name="________________jhi44_1_1_2" hidden="1">{"Input_Fin",#N/A,FALSE,"By Code";"Input_Opt",#N/A,FALSE,"By Code"}</definedName>
    <definedName name="________________jhi44_1_1_3" hidden="1">{"Input_Fin",#N/A,FALSE,"By Code";"Input_Opt",#N/A,FALSE,"By Code"}</definedName>
    <definedName name="________________jhi44_1_2" hidden="1">{"Input_Fin",#N/A,FALSE,"By Code";"Input_Opt",#N/A,FALSE,"By Code"}</definedName>
    <definedName name="________________jhi44_1_2_1" hidden="1">{"Input_Fin",#N/A,FALSE,"By Code";"Input_Opt",#N/A,FALSE,"By Code"}</definedName>
    <definedName name="________________jhi44_1_2_2" hidden="1">{"Input_Fin",#N/A,FALSE,"By Code";"Input_Opt",#N/A,FALSE,"By Code"}</definedName>
    <definedName name="________________jhi44_1_3" hidden="1">{"Input_Fin",#N/A,FALSE,"By Code";"Input_Opt",#N/A,FALSE,"By Code"}</definedName>
    <definedName name="________________jhi44_1_4" hidden="1">{"Input_Fin",#N/A,FALSE,"By Code";"Input_Opt",#N/A,FALSE,"By Code"}</definedName>
    <definedName name="________________jhi44_2" hidden="1">{"Input_Fin",#N/A,FALSE,"By Code";"Input_Opt",#N/A,FALSE,"By Code"}</definedName>
    <definedName name="________________jhi44_2_1" hidden="1">{"Input_Fin",#N/A,FALSE,"By Code";"Input_Opt",#N/A,FALSE,"By Code"}</definedName>
    <definedName name="________________jhi44_2_2" hidden="1">{"Input_Fin",#N/A,FALSE,"By Code";"Input_Opt",#N/A,FALSE,"By Code"}</definedName>
    <definedName name="________________jhi44_2_3" hidden="1">{"Input_Fin",#N/A,FALSE,"By Code";"Input_Opt",#N/A,FALSE,"By Code"}</definedName>
    <definedName name="________________jhi44_3" hidden="1">{"Input_Fin",#N/A,FALSE,"By Code";"Input_Opt",#N/A,FALSE,"By Code"}</definedName>
    <definedName name="________________jhi44_3_1" hidden="1">{"Input_Fin",#N/A,FALSE,"By Code";"Input_Opt",#N/A,FALSE,"By Code"}</definedName>
    <definedName name="________________jhi44_3_2" hidden="1">{"Input_Fin",#N/A,FALSE,"By Code";"Input_Opt",#N/A,FALSE,"By Code"}</definedName>
    <definedName name="________________jhi44_4" hidden="1">{"Input_Fin",#N/A,FALSE,"By Code";"Input_Opt",#N/A,FALSE,"By Code"}</definedName>
    <definedName name="________________jhi44_5" hidden="1">{"Input_Fin",#N/A,FALSE,"By Code";"Input_Opt",#N/A,FALSE,"By Code"}</definedName>
    <definedName name="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1" localSheetId="12" hidden="1">{"Input_Fin",#N/A,FALSE,"By Code";"Input_Opt",#N/A,FALSE,"By Code"}</definedName>
    <definedName name="_______________dy1" hidden="1">{"Input_Fin",#N/A,FALSE,"By Code";"Input_Opt",#N/A,FALSE,"By Code"}</definedName>
    <definedName name="_______________dy1_1" hidden="1">{"Input_Fin",#N/A,FALSE,"By Code";"Input_Opt",#N/A,FALSE,"By Code"}</definedName>
    <definedName name="_______________dy1_1_1" hidden="1">{"Input_Fin",#N/A,FALSE,"By Code";"Input_Opt",#N/A,FALSE,"By Code"}</definedName>
    <definedName name="_______________dy1_1_1_1" hidden="1">{"Input_Fin",#N/A,FALSE,"By Code";"Input_Opt",#N/A,FALSE,"By Code"}</definedName>
    <definedName name="_______________dy1_1_1_2" hidden="1">{"Input_Fin",#N/A,FALSE,"By Code";"Input_Opt",#N/A,FALSE,"By Code"}</definedName>
    <definedName name="_______________dy1_1_1_3" hidden="1">{"Input_Fin",#N/A,FALSE,"By Code";"Input_Opt",#N/A,FALSE,"By Code"}</definedName>
    <definedName name="_______________dy1_1_2" hidden="1">{"Input_Fin",#N/A,FALSE,"By Code";"Input_Opt",#N/A,FALSE,"By Code"}</definedName>
    <definedName name="_______________dy1_1_2_1" hidden="1">{"Input_Fin",#N/A,FALSE,"By Code";"Input_Opt",#N/A,FALSE,"By Code"}</definedName>
    <definedName name="_______________dy1_1_2_2" hidden="1">{"Input_Fin",#N/A,FALSE,"By Code";"Input_Opt",#N/A,FALSE,"By Code"}</definedName>
    <definedName name="_______________dy1_1_3" hidden="1">{"Input_Fin",#N/A,FALSE,"By Code";"Input_Opt",#N/A,FALSE,"By Code"}</definedName>
    <definedName name="_______________dy1_1_4" hidden="1">{"Input_Fin",#N/A,FALSE,"By Code";"Input_Opt",#N/A,FALSE,"By Code"}</definedName>
    <definedName name="_______________dy1_2" hidden="1">{"Input_Fin",#N/A,FALSE,"By Code";"Input_Opt",#N/A,FALSE,"By Code"}</definedName>
    <definedName name="_______________dy1_2_1" hidden="1">{"Input_Fin",#N/A,FALSE,"By Code";"Input_Opt",#N/A,FALSE,"By Code"}</definedName>
    <definedName name="_______________dy1_2_2" hidden="1">{"Input_Fin",#N/A,FALSE,"By Code";"Input_Opt",#N/A,FALSE,"By Code"}</definedName>
    <definedName name="_______________dy1_2_3" hidden="1">{"Input_Fin",#N/A,FALSE,"By Code";"Input_Opt",#N/A,FALSE,"By Code"}</definedName>
    <definedName name="_______________dy1_3" hidden="1">{"Input_Fin",#N/A,FALSE,"By Code";"Input_Opt",#N/A,FALSE,"By Code"}</definedName>
    <definedName name="_______________dy1_3_1" hidden="1">{"Input_Fin",#N/A,FALSE,"By Code";"Input_Opt",#N/A,FALSE,"By Code"}</definedName>
    <definedName name="_______________dy1_3_2" hidden="1">{"Input_Fin",#N/A,FALSE,"By Code";"Input_Opt",#N/A,FALSE,"By Code"}</definedName>
    <definedName name="_______________dy1_4" hidden="1">{"Input_Fin",#N/A,FALSE,"By Code";"Input_Opt",#N/A,FALSE,"By Code"}</definedName>
    <definedName name="_______________dy1_5" hidden="1">{"Input_Fin",#N/A,FALSE,"By Code";"Input_Opt",#N/A,FALSE,"By Code"}</definedName>
    <definedName name="____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5" localSheetId="12" hidden="1">{"Input_Fin",#N/A,FALSE,"By Code";"Input_Opt",#N/A,FALSE,"By Code"}</definedName>
    <definedName name="_______________dy5" hidden="1">{"Input_Fin",#N/A,FALSE,"By Code";"Input_Opt",#N/A,FALSE,"By Code"}</definedName>
    <definedName name="_______________dy5_1" hidden="1">{"Input_Fin",#N/A,FALSE,"By Code";"Input_Opt",#N/A,FALSE,"By Code"}</definedName>
    <definedName name="_______________dy5_1_1" hidden="1">{"Input_Fin",#N/A,FALSE,"By Code";"Input_Opt",#N/A,FALSE,"By Code"}</definedName>
    <definedName name="_______________dy5_1_1_1" hidden="1">{"Input_Fin",#N/A,FALSE,"By Code";"Input_Opt",#N/A,FALSE,"By Code"}</definedName>
    <definedName name="_______________dy5_1_1_2" hidden="1">{"Input_Fin",#N/A,FALSE,"By Code";"Input_Opt",#N/A,FALSE,"By Code"}</definedName>
    <definedName name="_______________dy5_1_1_3" hidden="1">{"Input_Fin",#N/A,FALSE,"By Code";"Input_Opt",#N/A,FALSE,"By Code"}</definedName>
    <definedName name="_______________dy5_1_2" hidden="1">{"Input_Fin",#N/A,FALSE,"By Code";"Input_Opt",#N/A,FALSE,"By Code"}</definedName>
    <definedName name="_______________dy5_1_2_1" hidden="1">{"Input_Fin",#N/A,FALSE,"By Code";"Input_Opt",#N/A,FALSE,"By Code"}</definedName>
    <definedName name="_______________dy5_1_2_2" hidden="1">{"Input_Fin",#N/A,FALSE,"By Code";"Input_Opt",#N/A,FALSE,"By Code"}</definedName>
    <definedName name="_______________dy5_1_3" hidden="1">{"Input_Fin",#N/A,FALSE,"By Code";"Input_Opt",#N/A,FALSE,"By Code"}</definedName>
    <definedName name="_______________dy5_1_4" hidden="1">{"Input_Fin",#N/A,FALSE,"By Code";"Input_Opt",#N/A,FALSE,"By Code"}</definedName>
    <definedName name="_______________dy5_2" hidden="1">{"Input_Fin",#N/A,FALSE,"By Code";"Input_Opt",#N/A,FALSE,"By Code"}</definedName>
    <definedName name="_______________dy5_2_1" hidden="1">{"Input_Fin",#N/A,FALSE,"By Code";"Input_Opt",#N/A,FALSE,"By Code"}</definedName>
    <definedName name="_______________dy5_2_2" hidden="1">{"Input_Fin",#N/A,FALSE,"By Code";"Input_Opt",#N/A,FALSE,"By Code"}</definedName>
    <definedName name="_______________dy5_2_3" hidden="1">{"Input_Fin",#N/A,FALSE,"By Code";"Input_Opt",#N/A,FALSE,"By Code"}</definedName>
    <definedName name="_______________dy5_3" hidden="1">{"Input_Fin",#N/A,FALSE,"By Code";"Input_Opt",#N/A,FALSE,"By Code"}</definedName>
    <definedName name="_______________dy5_3_1" hidden="1">{"Input_Fin",#N/A,FALSE,"By Code";"Input_Opt",#N/A,FALSE,"By Code"}</definedName>
    <definedName name="_______________dy5_3_2" hidden="1">{"Input_Fin",#N/A,FALSE,"By Code";"Input_Opt",#N/A,FALSE,"By Code"}</definedName>
    <definedName name="_______________dy5_4" hidden="1">{"Input_Fin",#N/A,FALSE,"By Code";"Input_Opt",#N/A,FALSE,"By Code"}</definedName>
    <definedName name="_______________dy5_5" hidden="1">{"Input_Fin",#N/A,FALSE,"By Code";"Input_Opt",#N/A,FALSE,"By Code"}</definedName>
    <definedName name="_______________dy6" localSheetId="12" hidden="1">{"Input_Fin",#N/A,FALSE,"By Code";"Input_Opt",#N/A,FALSE,"By Code"}</definedName>
    <definedName name="_______________dy6" hidden="1">{"Input_Fin",#N/A,FALSE,"By Code";"Input_Opt",#N/A,FALSE,"By Code"}</definedName>
    <definedName name="_______________dy6_1" hidden="1">{"Input_Fin",#N/A,FALSE,"By Code";"Input_Opt",#N/A,FALSE,"By Code"}</definedName>
    <definedName name="_______________dy6_1_1" hidden="1">{"Input_Fin",#N/A,FALSE,"By Code";"Input_Opt",#N/A,FALSE,"By Code"}</definedName>
    <definedName name="_______________dy6_1_1_1" hidden="1">{"Input_Fin",#N/A,FALSE,"By Code";"Input_Opt",#N/A,FALSE,"By Code"}</definedName>
    <definedName name="_______________dy6_1_1_2" hidden="1">{"Input_Fin",#N/A,FALSE,"By Code";"Input_Opt",#N/A,FALSE,"By Code"}</definedName>
    <definedName name="_______________dy6_1_1_3" hidden="1">{"Input_Fin",#N/A,FALSE,"By Code";"Input_Opt",#N/A,FALSE,"By Code"}</definedName>
    <definedName name="_______________dy6_1_2" hidden="1">{"Input_Fin",#N/A,FALSE,"By Code";"Input_Opt",#N/A,FALSE,"By Code"}</definedName>
    <definedName name="_______________dy6_1_2_1" hidden="1">{"Input_Fin",#N/A,FALSE,"By Code";"Input_Opt",#N/A,FALSE,"By Code"}</definedName>
    <definedName name="_______________dy6_1_2_2" hidden="1">{"Input_Fin",#N/A,FALSE,"By Code";"Input_Opt",#N/A,FALSE,"By Code"}</definedName>
    <definedName name="_______________dy6_1_3" hidden="1">{"Input_Fin",#N/A,FALSE,"By Code";"Input_Opt",#N/A,FALSE,"By Code"}</definedName>
    <definedName name="_______________dy6_1_4" hidden="1">{"Input_Fin",#N/A,FALSE,"By Code";"Input_Opt",#N/A,FALSE,"By Code"}</definedName>
    <definedName name="_______________dy6_2" hidden="1">{"Input_Fin",#N/A,FALSE,"By Code";"Input_Opt",#N/A,FALSE,"By Code"}</definedName>
    <definedName name="_______________dy6_2_1" hidden="1">{"Input_Fin",#N/A,FALSE,"By Code";"Input_Opt",#N/A,FALSE,"By Code"}</definedName>
    <definedName name="_______________dy6_2_2" hidden="1">{"Input_Fin",#N/A,FALSE,"By Code";"Input_Opt",#N/A,FALSE,"By Code"}</definedName>
    <definedName name="_______________dy6_2_3" hidden="1">{"Input_Fin",#N/A,FALSE,"By Code";"Input_Opt",#N/A,FALSE,"By Code"}</definedName>
    <definedName name="_______________dy6_3" hidden="1">{"Input_Fin",#N/A,FALSE,"By Code";"Input_Opt",#N/A,FALSE,"By Code"}</definedName>
    <definedName name="_______________dy6_3_1" hidden="1">{"Input_Fin",#N/A,FALSE,"By Code";"Input_Opt",#N/A,FALSE,"By Code"}</definedName>
    <definedName name="_______________dy6_3_2" hidden="1">{"Input_Fin",#N/A,FALSE,"By Code";"Input_Opt",#N/A,FALSE,"By Code"}</definedName>
    <definedName name="_______________dy6_4" hidden="1">{"Input_Fin",#N/A,FALSE,"By Code";"Input_Opt",#N/A,FALSE,"By Code"}</definedName>
    <definedName name="_______________dy6_5" hidden="1">{"Input_Fin",#N/A,FALSE,"By Code";"Input_Opt",#N/A,FALSE,"By Code"}</definedName>
    <definedName name="_______________jhi44" localSheetId="12" hidden="1">{"Input_Fin",#N/A,FALSE,"By Code";"Input_Opt",#N/A,FALSE,"By Code"}</definedName>
    <definedName name="_______________jhi44" hidden="1">{"Input_Fin",#N/A,FALSE,"By Code";"Input_Opt",#N/A,FALSE,"By Code"}</definedName>
    <definedName name="_______________jhi44_1" hidden="1">{"Input_Fin",#N/A,FALSE,"By Code";"Input_Opt",#N/A,FALSE,"By Code"}</definedName>
    <definedName name="_______________jhi44_1_1" hidden="1">{"Input_Fin",#N/A,FALSE,"By Code";"Input_Opt",#N/A,FALSE,"By Code"}</definedName>
    <definedName name="_______________jhi44_1_1_1" hidden="1">{"Input_Fin",#N/A,FALSE,"By Code";"Input_Opt",#N/A,FALSE,"By Code"}</definedName>
    <definedName name="_______________jhi44_1_1_2" hidden="1">{"Input_Fin",#N/A,FALSE,"By Code";"Input_Opt",#N/A,FALSE,"By Code"}</definedName>
    <definedName name="_______________jhi44_1_1_3" hidden="1">{"Input_Fin",#N/A,FALSE,"By Code";"Input_Opt",#N/A,FALSE,"By Code"}</definedName>
    <definedName name="_______________jhi44_1_2" hidden="1">{"Input_Fin",#N/A,FALSE,"By Code";"Input_Opt",#N/A,FALSE,"By Code"}</definedName>
    <definedName name="_______________jhi44_1_2_1" hidden="1">{"Input_Fin",#N/A,FALSE,"By Code";"Input_Opt",#N/A,FALSE,"By Code"}</definedName>
    <definedName name="_______________jhi44_1_2_2" hidden="1">{"Input_Fin",#N/A,FALSE,"By Code";"Input_Opt",#N/A,FALSE,"By Code"}</definedName>
    <definedName name="_______________jhi44_1_3" hidden="1">{"Input_Fin",#N/A,FALSE,"By Code";"Input_Opt",#N/A,FALSE,"By Code"}</definedName>
    <definedName name="_______________jhi44_1_4" hidden="1">{"Input_Fin",#N/A,FALSE,"By Code";"Input_Opt",#N/A,FALSE,"By Code"}</definedName>
    <definedName name="_______________jhi44_2" hidden="1">{"Input_Fin",#N/A,FALSE,"By Code";"Input_Opt",#N/A,FALSE,"By Code"}</definedName>
    <definedName name="_______________jhi44_2_1" hidden="1">{"Input_Fin",#N/A,FALSE,"By Code";"Input_Opt",#N/A,FALSE,"By Code"}</definedName>
    <definedName name="_______________jhi44_2_2" hidden="1">{"Input_Fin",#N/A,FALSE,"By Code";"Input_Opt",#N/A,FALSE,"By Code"}</definedName>
    <definedName name="_______________jhi44_2_3" hidden="1">{"Input_Fin",#N/A,FALSE,"By Code";"Input_Opt",#N/A,FALSE,"By Code"}</definedName>
    <definedName name="_______________jhi44_3" hidden="1">{"Input_Fin",#N/A,FALSE,"By Code";"Input_Opt",#N/A,FALSE,"By Code"}</definedName>
    <definedName name="_______________jhi44_3_1" hidden="1">{"Input_Fin",#N/A,FALSE,"By Code";"Input_Opt",#N/A,FALSE,"By Code"}</definedName>
    <definedName name="_______________jhi44_3_2" hidden="1">{"Input_Fin",#N/A,FALSE,"By Code";"Input_Opt",#N/A,FALSE,"By Code"}</definedName>
    <definedName name="_______________jhi44_4" hidden="1">{"Input_Fin",#N/A,FALSE,"By Code";"Input_Opt",#N/A,FALSE,"By Code"}</definedName>
    <definedName name="_______________jhi44_5" hidden="1">{"Input_Fin",#N/A,FALSE,"By Code";"Input_Opt",#N/A,FALSE,"By Code"}</definedName>
    <definedName name="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1" localSheetId="12" hidden="1">{"Input_Fin",#N/A,FALSE,"By Code";"Input_Opt",#N/A,FALSE,"By Code"}</definedName>
    <definedName name="______________dy1" hidden="1">{"Input_Fin",#N/A,FALSE,"By Code";"Input_Opt",#N/A,FALSE,"By Code"}</definedName>
    <definedName name="______________dy1_1" hidden="1">{"Input_Fin",#N/A,FALSE,"By Code";"Input_Opt",#N/A,FALSE,"By Code"}</definedName>
    <definedName name="______________dy1_1_1" hidden="1">{"Input_Fin",#N/A,FALSE,"By Code";"Input_Opt",#N/A,FALSE,"By Code"}</definedName>
    <definedName name="______________dy1_1_1_1" hidden="1">{"Input_Fin",#N/A,FALSE,"By Code";"Input_Opt",#N/A,FALSE,"By Code"}</definedName>
    <definedName name="______________dy1_1_1_2" hidden="1">{"Input_Fin",#N/A,FALSE,"By Code";"Input_Opt",#N/A,FALSE,"By Code"}</definedName>
    <definedName name="______________dy1_1_1_3" hidden="1">{"Input_Fin",#N/A,FALSE,"By Code";"Input_Opt",#N/A,FALSE,"By Code"}</definedName>
    <definedName name="______________dy1_1_2" hidden="1">{"Input_Fin",#N/A,FALSE,"By Code";"Input_Opt",#N/A,FALSE,"By Code"}</definedName>
    <definedName name="______________dy1_1_2_1" hidden="1">{"Input_Fin",#N/A,FALSE,"By Code";"Input_Opt",#N/A,FALSE,"By Code"}</definedName>
    <definedName name="______________dy1_1_2_2" hidden="1">{"Input_Fin",#N/A,FALSE,"By Code";"Input_Opt",#N/A,FALSE,"By Code"}</definedName>
    <definedName name="______________dy1_1_3" hidden="1">{"Input_Fin",#N/A,FALSE,"By Code";"Input_Opt",#N/A,FALSE,"By Code"}</definedName>
    <definedName name="______________dy1_1_4" hidden="1">{"Input_Fin",#N/A,FALSE,"By Code";"Input_Opt",#N/A,FALSE,"By Code"}</definedName>
    <definedName name="______________dy1_2" hidden="1">{"Input_Fin",#N/A,FALSE,"By Code";"Input_Opt",#N/A,FALSE,"By Code"}</definedName>
    <definedName name="______________dy1_2_1" hidden="1">{"Input_Fin",#N/A,FALSE,"By Code";"Input_Opt",#N/A,FALSE,"By Code"}</definedName>
    <definedName name="______________dy1_2_2" hidden="1">{"Input_Fin",#N/A,FALSE,"By Code";"Input_Opt",#N/A,FALSE,"By Code"}</definedName>
    <definedName name="______________dy1_2_3" hidden="1">{"Input_Fin",#N/A,FALSE,"By Code";"Input_Opt",#N/A,FALSE,"By Code"}</definedName>
    <definedName name="______________dy1_3" hidden="1">{"Input_Fin",#N/A,FALSE,"By Code";"Input_Opt",#N/A,FALSE,"By Code"}</definedName>
    <definedName name="______________dy1_3_1" hidden="1">{"Input_Fin",#N/A,FALSE,"By Code";"Input_Opt",#N/A,FALSE,"By Code"}</definedName>
    <definedName name="______________dy1_3_2" hidden="1">{"Input_Fin",#N/A,FALSE,"By Code";"Input_Opt",#N/A,FALSE,"By Code"}</definedName>
    <definedName name="______________dy1_4" hidden="1">{"Input_Fin",#N/A,FALSE,"By Code";"Input_Opt",#N/A,FALSE,"By Code"}</definedName>
    <definedName name="______________dy1_5" hidden="1">{"Input_Fin",#N/A,FALSE,"By Code";"Input_Opt",#N/A,FALSE,"By Code"}</definedName>
    <definedName name="___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5" localSheetId="12" hidden="1">{"Input_Fin",#N/A,FALSE,"By Code";"Input_Opt",#N/A,FALSE,"By Code"}</definedName>
    <definedName name="______________dy5" hidden="1">{"Input_Fin",#N/A,FALSE,"By Code";"Input_Opt",#N/A,FALSE,"By Code"}</definedName>
    <definedName name="______________dy5_1" hidden="1">{"Input_Fin",#N/A,FALSE,"By Code";"Input_Opt",#N/A,FALSE,"By Code"}</definedName>
    <definedName name="______________dy5_1_1" hidden="1">{"Input_Fin",#N/A,FALSE,"By Code";"Input_Opt",#N/A,FALSE,"By Code"}</definedName>
    <definedName name="______________dy5_1_1_1" hidden="1">{"Input_Fin",#N/A,FALSE,"By Code";"Input_Opt",#N/A,FALSE,"By Code"}</definedName>
    <definedName name="______________dy5_1_1_2" hidden="1">{"Input_Fin",#N/A,FALSE,"By Code";"Input_Opt",#N/A,FALSE,"By Code"}</definedName>
    <definedName name="______________dy5_1_1_3" hidden="1">{"Input_Fin",#N/A,FALSE,"By Code";"Input_Opt",#N/A,FALSE,"By Code"}</definedName>
    <definedName name="______________dy5_1_2" hidden="1">{"Input_Fin",#N/A,FALSE,"By Code";"Input_Opt",#N/A,FALSE,"By Code"}</definedName>
    <definedName name="______________dy5_1_2_1" hidden="1">{"Input_Fin",#N/A,FALSE,"By Code";"Input_Opt",#N/A,FALSE,"By Code"}</definedName>
    <definedName name="______________dy5_1_2_2" hidden="1">{"Input_Fin",#N/A,FALSE,"By Code";"Input_Opt",#N/A,FALSE,"By Code"}</definedName>
    <definedName name="______________dy5_1_3" hidden="1">{"Input_Fin",#N/A,FALSE,"By Code";"Input_Opt",#N/A,FALSE,"By Code"}</definedName>
    <definedName name="______________dy5_1_4" hidden="1">{"Input_Fin",#N/A,FALSE,"By Code";"Input_Opt",#N/A,FALSE,"By Code"}</definedName>
    <definedName name="______________dy5_2" hidden="1">{"Input_Fin",#N/A,FALSE,"By Code";"Input_Opt",#N/A,FALSE,"By Code"}</definedName>
    <definedName name="______________dy5_2_1" hidden="1">{"Input_Fin",#N/A,FALSE,"By Code";"Input_Opt",#N/A,FALSE,"By Code"}</definedName>
    <definedName name="______________dy5_2_2" hidden="1">{"Input_Fin",#N/A,FALSE,"By Code";"Input_Opt",#N/A,FALSE,"By Code"}</definedName>
    <definedName name="______________dy5_2_3" hidden="1">{"Input_Fin",#N/A,FALSE,"By Code";"Input_Opt",#N/A,FALSE,"By Code"}</definedName>
    <definedName name="______________dy5_3" hidden="1">{"Input_Fin",#N/A,FALSE,"By Code";"Input_Opt",#N/A,FALSE,"By Code"}</definedName>
    <definedName name="______________dy5_3_1" hidden="1">{"Input_Fin",#N/A,FALSE,"By Code";"Input_Opt",#N/A,FALSE,"By Code"}</definedName>
    <definedName name="______________dy5_3_2" hidden="1">{"Input_Fin",#N/A,FALSE,"By Code";"Input_Opt",#N/A,FALSE,"By Code"}</definedName>
    <definedName name="______________dy5_4" hidden="1">{"Input_Fin",#N/A,FALSE,"By Code";"Input_Opt",#N/A,FALSE,"By Code"}</definedName>
    <definedName name="______________dy5_5" hidden="1">{"Input_Fin",#N/A,FALSE,"By Code";"Input_Opt",#N/A,FALSE,"By Code"}</definedName>
    <definedName name="______________dy6" localSheetId="12" hidden="1">{"Input_Fin",#N/A,FALSE,"By Code";"Input_Opt",#N/A,FALSE,"By Code"}</definedName>
    <definedName name="______________dy6" hidden="1">{"Input_Fin",#N/A,FALSE,"By Code";"Input_Opt",#N/A,FALSE,"By Code"}</definedName>
    <definedName name="______________dy6_1" hidden="1">{"Input_Fin",#N/A,FALSE,"By Code";"Input_Opt",#N/A,FALSE,"By Code"}</definedName>
    <definedName name="______________dy6_1_1" hidden="1">{"Input_Fin",#N/A,FALSE,"By Code";"Input_Opt",#N/A,FALSE,"By Code"}</definedName>
    <definedName name="______________dy6_1_1_1" hidden="1">{"Input_Fin",#N/A,FALSE,"By Code";"Input_Opt",#N/A,FALSE,"By Code"}</definedName>
    <definedName name="______________dy6_1_1_2" hidden="1">{"Input_Fin",#N/A,FALSE,"By Code";"Input_Opt",#N/A,FALSE,"By Code"}</definedName>
    <definedName name="______________dy6_1_1_3" hidden="1">{"Input_Fin",#N/A,FALSE,"By Code";"Input_Opt",#N/A,FALSE,"By Code"}</definedName>
    <definedName name="______________dy6_1_2" hidden="1">{"Input_Fin",#N/A,FALSE,"By Code";"Input_Opt",#N/A,FALSE,"By Code"}</definedName>
    <definedName name="______________dy6_1_2_1" hidden="1">{"Input_Fin",#N/A,FALSE,"By Code";"Input_Opt",#N/A,FALSE,"By Code"}</definedName>
    <definedName name="______________dy6_1_2_2" hidden="1">{"Input_Fin",#N/A,FALSE,"By Code";"Input_Opt",#N/A,FALSE,"By Code"}</definedName>
    <definedName name="______________dy6_1_3" hidden="1">{"Input_Fin",#N/A,FALSE,"By Code";"Input_Opt",#N/A,FALSE,"By Code"}</definedName>
    <definedName name="______________dy6_1_4" hidden="1">{"Input_Fin",#N/A,FALSE,"By Code";"Input_Opt",#N/A,FALSE,"By Code"}</definedName>
    <definedName name="______________dy6_2" hidden="1">{"Input_Fin",#N/A,FALSE,"By Code";"Input_Opt",#N/A,FALSE,"By Code"}</definedName>
    <definedName name="______________dy6_2_1" hidden="1">{"Input_Fin",#N/A,FALSE,"By Code";"Input_Opt",#N/A,FALSE,"By Code"}</definedName>
    <definedName name="______________dy6_2_2" hidden="1">{"Input_Fin",#N/A,FALSE,"By Code";"Input_Opt",#N/A,FALSE,"By Code"}</definedName>
    <definedName name="______________dy6_2_3" hidden="1">{"Input_Fin",#N/A,FALSE,"By Code";"Input_Opt",#N/A,FALSE,"By Code"}</definedName>
    <definedName name="______________dy6_3" hidden="1">{"Input_Fin",#N/A,FALSE,"By Code";"Input_Opt",#N/A,FALSE,"By Code"}</definedName>
    <definedName name="______________dy6_3_1" hidden="1">{"Input_Fin",#N/A,FALSE,"By Code";"Input_Opt",#N/A,FALSE,"By Code"}</definedName>
    <definedName name="______________dy6_3_2" hidden="1">{"Input_Fin",#N/A,FALSE,"By Code";"Input_Opt",#N/A,FALSE,"By Code"}</definedName>
    <definedName name="______________dy6_4" hidden="1">{"Input_Fin",#N/A,FALSE,"By Code";"Input_Opt",#N/A,FALSE,"By Code"}</definedName>
    <definedName name="______________dy6_5" hidden="1">{"Input_Fin",#N/A,FALSE,"By Code";"Input_Opt",#N/A,FALSE,"By Code"}</definedName>
    <definedName name="______________jhi44" localSheetId="12" hidden="1">{"Input_Fin",#N/A,FALSE,"By Code";"Input_Opt",#N/A,FALSE,"By Code"}</definedName>
    <definedName name="______________jhi44" hidden="1">{"Input_Fin",#N/A,FALSE,"By Code";"Input_Opt",#N/A,FALSE,"By Code"}</definedName>
    <definedName name="______________jhi44_1" hidden="1">{"Input_Fin",#N/A,FALSE,"By Code";"Input_Opt",#N/A,FALSE,"By Code"}</definedName>
    <definedName name="______________jhi44_1_1" hidden="1">{"Input_Fin",#N/A,FALSE,"By Code";"Input_Opt",#N/A,FALSE,"By Code"}</definedName>
    <definedName name="______________jhi44_1_1_1" hidden="1">{"Input_Fin",#N/A,FALSE,"By Code";"Input_Opt",#N/A,FALSE,"By Code"}</definedName>
    <definedName name="______________jhi44_1_1_2" hidden="1">{"Input_Fin",#N/A,FALSE,"By Code";"Input_Opt",#N/A,FALSE,"By Code"}</definedName>
    <definedName name="______________jhi44_1_1_3" hidden="1">{"Input_Fin",#N/A,FALSE,"By Code";"Input_Opt",#N/A,FALSE,"By Code"}</definedName>
    <definedName name="______________jhi44_1_2" hidden="1">{"Input_Fin",#N/A,FALSE,"By Code";"Input_Opt",#N/A,FALSE,"By Code"}</definedName>
    <definedName name="______________jhi44_1_2_1" hidden="1">{"Input_Fin",#N/A,FALSE,"By Code";"Input_Opt",#N/A,FALSE,"By Code"}</definedName>
    <definedName name="______________jhi44_1_2_2" hidden="1">{"Input_Fin",#N/A,FALSE,"By Code";"Input_Opt",#N/A,FALSE,"By Code"}</definedName>
    <definedName name="______________jhi44_1_3" hidden="1">{"Input_Fin",#N/A,FALSE,"By Code";"Input_Opt",#N/A,FALSE,"By Code"}</definedName>
    <definedName name="______________jhi44_1_4" hidden="1">{"Input_Fin",#N/A,FALSE,"By Code";"Input_Opt",#N/A,FALSE,"By Code"}</definedName>
    <definedName name="______________jhi44_2" hidden="1">{"Input_Fin",#N/A,FALSE,"By Code";"Input_Opt",#N/A,FALSE,"By Code"}</definedName>
    <definedName name="______________jhi44_2_1" hidden="1">{"Input_Fin",#N/A,FALSE,"By Code";"Input_Opt",#N/A,FALSE,"By Code"}</definedName>
    <definedName name="______________jhi44_2_2" hidden="1">{"Input_Fin",#N/A,FALSE,"By Code";"Input_Opt",#N/A,FALSE,"By Code"}</definedName>
    <definedName name="______________jhi44_2_3" hidden="1">{"Input_Fin",#N/A,FALSE,"By Code";"Input_Opt",#N/A,FALSE,"By Code"}</definedName>
    <definedName name="______________jhi44_3" hidden="1">{"Input_Fin",#N/A,FALSE,"By Code";"Input_Opt",#N/A,FALSE,"By Code"}</definedName>
    <definedName name="______________jhi44_3_1" hidden="1">{"Input_Fin",#N/A,FALSE,"By Code";"Input_Opt",#N/A,FALSE,"By Code"}</definedName>
    <definedName name="______________jhi44_3_2" hidden="1">{"Input_Fin",#N/A,FALSE,"By Code";"Input_Opt",#N/A,FALSE,"By Code"}</definedName>
    <definedName name="______________jhi44_4" hidden="1">{"Input_Fin",#N/A,FALSE,"By Code";"Input_Opt",#N/A,FALSE,"By Code"}</definedName>
    <definedName name="______________jhi44_5" hidden="1">{"Input_Fin",#N/A,FALSE,"By Code";"Input_Opt",#N/A,FALSE,"By Code"}</definedName>
    <definedName name="____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1" localSheetId="12" hidden="1">{"Input_Fin",#N/A,FALSE,"By Code";"Input_Opt",#N/A,FALSE,"By Code"}</definedName>
    <definedName name="_____________dy1" hidden="1">{"Input_Fin",#N/A,FALSE,"By Code";"Input_Opt",#N/A,FALSE,"By Code"}</definedName>
    <definedName name="_____________dy1_1" hidden="1">{"Input_Fin",#N/A,FALSE,"By Code";"Input_Opt",#N/A,FALSE,"By Code"}</definedName>
    <definedName name="_____________dy1_1_1" hidden="1">{"Input_Fin",#N/A,FALSE,"By Code";"Input_Opt",#N/A,FALSE,"By Code"}</definedName>
    <definedName name="_____________dy1_1_1_1" hidden="1">{"Input_Fin",#N/A,FALSE,"By Code";"Input_Opt",#N/A,FALSE,"By Code"}</definedName>
    <definedName name="_____________dy1_1_1_2" hidden="1">{"Input_Fin",#N/A,FALSE,"By Code";"Input_Opt",#N/A,FALSE,"By Code"}</definedName>
    <definedName name="_____________dy1_1_1_3" hidden="1">{"Input_Fin",#N/A,FALSE,"By Code";"Input_Opt",#N/A,FALSE,"By Code"}</definedName>
    <definedName name="_____________dy1_1_2" hidden="1">{"Input_Fin",#N/A,FALSE,"By Code";"Input_Opt",#N/A,FALSE,"By Code"}</definedName>
    <definedName name="_____________dy1_1_2_1" hidden="1">{"Input_Fin",#N/A,FALSE,"By Code";"Input_Opt",#N/A,FALSE,"By Code"}</definedName>
    <definedName name="_____________dy1_1_2_2" hidden="1">{"Input_Fin",#N/A,FALSE,"By Code";"Input_Opt",#N/A,FALSE,"By Code"}</definedName>
    <definedName name="_____________dy1_1_3" hidden="1">{"Input_Fin",#N/A,FALSE,"By Code";"Input_Opt",#N/A,FALSE,"By Code"}</definedName>
    <definedName name="_____________dy1_1_4" hidden="1">{"Input_Fin",#N/A,FALSE,"By Code";"Input_Opt",#N/A,FALSE,"By Code"}</definedName>
    <definedName name="_____________dy1_2" hidden="1">{"Input_Fin",#N/A,FALSE,"By Code";"Input_Opt",#N/A,FALSE,"By Code"}</definedName>
    <definedName name="_____________dy1_2_1" hidden="1">{"Input_Fin",#N/A,FALSE,"By Code";"Input_Opt",#N/A,FALSE,"By Code"}</definedName>
    <definedName name="_____________dy1_2_2" hidden="1">{"Input_Fin",#N/A,FALSE,"By Code";"Input_Opt",#N/A,FALSE,"By Code"}</definedName>
    <definedName name="_____________dy1_2_3" hidden="1">{"Input_Fin",#N/A,FALSE,"By Code";"Input_Opt",#N/A,FALSE,"By Code"}</definedName>
    <definedName name="_____________dy1_3" hidden="1">{"Input_Fin",#N/A,FALSE,"By Code";"Input_Opt",#N/A,FALSE,"By Code"}</definedName>
    <definedName name="_____________dy1_3_1" hidden="1">{"Input_Fin",#N/A,FALSE,"By Code";"Input_Opt",#N/A,FALSE,"By Code"}</definedName>
    <definedName name="_____________dy1_3_2" hidden="1">{"Input_Fin",#N/A,FALSE,"By Code";"Input_Opt",#N/A,FALSE,"By Code"}</definedName>
    <definedName name="_____________dy1_4" hidden="1">{"Input_Fin",#N/A,FALSE,"By Code";"Input_Opt",#N/A,FALSE,"By Code"}</definedName>
    <definedName name="_____________dy1_5" hidden="1">{"Input_Fin",#N/A,FALSE,"By Code";"Input_Opt",#N/A,FALSE,"By Code"}</definedName>
    <definedName name="__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5" localSheetId="12" hidden="1">{"Input_Fin",#N/A,FALSE,"By Code";"Input_Opt",#N/A,FALSE,"By Code"}</definedName>
    <definedName name="_____________dy5" hidden="1">{"Input_Fin",#N/A,FALSE,"By Code";"Input_Opt",#N/A,FALSE,"By Code"}</definedName>
    <definedName name="_____________dy5_1" hidden="1">{"Input_Fin",#N/A,FALSE,"By Code";"Input_Opt",#N/A,FALSE,"By Code"}</definedName>
    <definedName name="_____________dy5_1_1" hidden="1">{"Input_Fin",#N/A,FALSE,"By Code";"Input_Opt",#N/A,FALSE,"By Code"}</definedName>
    <definedName name="_____________dy5_1_1_1" hidden="1">{"Input_Fin",#N/A,FALSE,"By Code";"Input_Opt",#N/A,FALSE,"By Code"}</definedName>
    <definedName name="_____________dy5_1_1_2" hidden="1">{"Input_Fin",#N/A,FALSE,"By Code";"Input_Opt",#N/A,FALSE,"By Code"}</definedName>
    <definedName name="_____________dy5_1_1_3" hidden="1">{"Input_Fin",#N/A,FALSE,"By Code";"Input_Opt",#N/A,FALSE,"By Code"}</definedName>
    <definedName name="_____________dy5_1_2" hidden="1">{"Input_Fin",#N/A,FALSE,"By Code";"Input_Opt",#N/A,FALSE,"By Code"}</definedName>
    <definedName name="_____________dy5_1_2_1" hidden="1">{"Input_Fin",#N/A,FALSE,"By Code";"Input_Opt",#N/A,FALSE,"By Code"}</definedName>
    <definedName name="_____________dy5_1_2_2" hidden="1">{"Input_Fin",#N/A,FALSE,"By Code";"Input_Opt",#N/A,FALSE,"By Code"}</definedName>
    <definedName name="_____________dy5_1_3" hidden="1">{"Input_Fin",#N/A,FALSE,"By Code";"Input_Opt",#N/A,FALSE,"By Code"}</definedName>
    <definedName name="_____________dy5_1_4" hidden="1">{"Input_Fin",#N/A,FALSE,"By Code";"Input_Opt",#N/A,FALSE,"By Code"}</definedName>
    <definedName name="_____________dy5_2" hidden="1">{"Input_Fin",#N/A,FALSE,"By Code";"Input_Opt",#N/A,FALSE,"By Code"}</definedName>
    <definedName name="_____________dy5_2_1" hidden="1">{"Input_Fin",#N/A,FALSE,"By Code";"Input_Opt",#N/A,FALSE,"By Code"}</definedName>
    <definedName name="_____________dy5_2_2" hidden="1">{"Input_Fin",#N/A,FALSE,"By Code";"Input_Opt",#N/A,FALSE,"By Code"}</definedName>
    <definedName name="_____________dy5_2_3" hidden="1">{"Input_Fin",#N/A,FALSE,"By Code";"Input_Opt",#N/A,FALSE,"By Code"}</definedName>
    <definedName name="_____________dy5_3" hidden="1">{"Input_Fin",#N/A,FALSE,"By Code";"Input_Opt",#N/A,FALSE,"By Code"}</definedName>
    <definedName name="_____________dy5_3_1" hidden="1">{"Input_Fin",#N/A,FALSE,"By Code";"Input_Opt",#N/A,FALSE,"By Code"}</definedName>
    <definedName name="_____________dy5_3_2" hidden="1">{"Input_Fin",#N/A,FALSE,"By Code";"Input_Opt",#N/A,FALSE,"By Code"}</definedName>
    <definedName name="_____________dy5_4" hidden="1">{"Input_Fin",#N/A,FALSE,"By Code";"Input_Opt",#N/A,FALSE,"By Code"}</definedName>
    <definedName name="_____________dy5_5" hidden="1">{"Input_Fin",#N/A,FALSE,"By Code";"Input_Opt",#N/A,FALSE,"By Code"}</definedName>
    <definedName name="_____________dy6" localSheetId="12" hidden="1">{"Input_Fin",#N/A,FALSE,"By Code";"Input_Opt",#N/A,FALSE,"By Code"}</definedName>
    <definedName name="_____________dy6" hidden="1">{"Input_Fin",#N/A,FALSE,"By Code";"Input_Opt",#N/A,FALSE,"By Code"}</definedName>
    <definedName name="_____________dy6_1" hidden="1">{"Input_Fin",#N/A,FALSE,"By Code";"Input_Opt",#N/A,FALSE,"By Code"}</definedName>
    <definedName name="_____________dy6_1_1" hidden="1">{"Input_Fin",#N/A,FALSE,"By Code";"Input_Opt",#N/A,FALSE,"By Code"}</definedName>
    <definedName name="_____________dy6_1_1_1" hidden="1">{"Input_Fin",#N/A,FALSE,"By Code";"Input_Opt",#N/A,FALSE,"By Code"}</definedName>
    <definedName name="_____________dy6_1_1_2" hidden="1">{"Input_Fin",#N/A,FALSE,"By Code";"Input_Opt",#N/A,FALSE,"By Code"}</definedName>
    <definedName name="_____________dy6_1_1_3" hidden="1">{"Input_Fin",#N/A,FALSE,"By Code";"Input_Opt",#N/A,FALSE,"By Code"}</definedName>
    <definedName name="_____________dy6_1_2" hidden="1">{"Input_Fin",#N/A,FALSE,"By Code";"Input_Opt",#N/A,FALSE,"By Code"}</definedName>
    <definedName name="_____________dy6_1_2_1" hidden="1">{"Input_Fin",#N/A,FALSE,"By Code";"Input_Opt",#N/A,FALSE,"By Code"}</definedName>
    <definedName name="_____________dy6_1_2_2" hidden="1">{"Input_Fin",#N/A,FALSE,"By Code";"Input_Opt",#N/A,FALSE,"By Code"}</definedName>
    <definedName name="_____________dy6_1_3" hidden="1">{"Input_Fin",#N/A,FALSE,"By Code";"Input_Opt",#N/A,FALSE,"By Code"}</definedName>
    <definedName name="_____________dy6_1_4" hidden="1">{"Input_Fin",#N/A,FALSE,"By Code";"Input_Opt",#N/A,FALSE,"By Code"}</definedName>
    <definedName name="_____________dy6_2" hidden="1">{"Input_Fin",#N/A,FALSE,"By Code";"Input_Opt",#N/A,FALSE,"By Code"}</definedName>
    <definedName name="_____________dy6_2_1" hidden="1">{"Input_Fin",#N/A,FALSE,"By Code";"Input_Opt",#N/A,FALSE,"By Code"}</definedName>
    <definedName name="_____________dy6_2_2" hidden="1">{"Input_Fin",#N/A,FALSE,"By Code";"Input_Opt",#N/A,FALSE,"By Code"}</definedName>
    <definedName name="_____________dy6_2_3" hidden="1">{"Input_Fin",#N/A,FALSE,"By Code";"Input_Opt",#N/A,FALSE,"By Code"}</definedName>
    <definedName name="_____________dy6_3" hidden="1">{"Input_Fin",#N/A,FALSE,"By Code";"Input_Opt",#N/A,FALSE,"By Code"}</definedName>
    <definedName name="_____________dy6_3_1" hidden="1">{"Input_Fin",#N/A,FALSE,"By Code";"Input_Opt",#N/A,FALSE,"By Code"}</definedName>
    <definedName name="_____________dy6_3_2" hidden="1">{"Input_Fin",#N/A,FALSE,"By Code";"Input_Opt",#N/A,FALSE,"By Code"}</definedName>
    <definedName name="_____________dy6_4" hidden="1">{"Input_Fin",#N/A,FALSE,"By Code";"Input_Opt",#N/A,FALSE,"By Code"}</definedName>
    <definedName name="_____________dy6_5" hidden="1">{"Input_Fin",#N/A,FALSE,"By Code";"Input_Opt",#N/A,FALSE,"By Code"}</definedName>
    <definedName name="_____________jhi44" localSheetId="12" hidden="1">{"Input_Fin",#N/A,FALSE,"By Code";"Input_Opt",#N/A,FALSE,"By Code"}</definedName>
    <definedName name="_____________jhi44" hidden="1">{"Input_Fin",#N/A,FALSE,"By Code";"Input_Opt",#N/A,FALSE,"By Code"}</definedName>
    <definedName name="_____________jhi44_1" hidden="1">{"Input_Fin",#N/A,FALSE,"By Code";"Input_Opt",#N/A,FALSE,"By Code"}</definedName>
    <definedName name="_____________jhi44_1_1" hidden="1">{"Input_Fin",#N/A,FALSE,"By Code";"Input_Opt",#N/A,FALSE,"By Code"}</definedName>
    <definedName name="_____________jhi44_1_1_1" hidden="1">{"Input_Fin",#N/A,FALSE,"By Code";"Input_Opt",#N/A,FALSE,"By Code"}</definedName>
    <definedName name="_____________jhi44_1_1_2" hidden="1">{"Input_Fin",#N/A,FALSE,"By Code";"Input_Opt",#N/A,FALSE,"By Code"}</definedName>
    <definedName name="_____________jhi44_1_1_3" hidden="1">{"Input_Fin",#N/A,FALSE,"By Code";"Input_Opt",#N/A,FALSE,"By Code"}</definedName>
    <definedName name="_____________jhi44_1_2" hidden="1">{"Input_Fin",#N/A,FALSE,"By Code";"Input_Opt",#N/A,FALSE,"By Code"}</definedName>
    <definedName name="_____________jhi44_1_2_1" hidden="1">{"Input_Fin",#N/A,FALSE,"By Code";"Input_Opt",#N/A,FALSE,"By Code"}</definedName>
    <definedName name="_____________jhi44_1_2_2" hidden="1">{"Input_Fin",#N/A,FALSE,"By Code";"Input_Opt",#N/A,FALSE,"By Code"}</definedName>
    <definedName name="_____________jhi44_1_3" hidden="1">{"Input_Fin",#N/A,FALSE,"By Code";"Input_Opt",#N/A,FALSE,"By Code"}</definedName>
    <definedName name="_____________jhi44_1_4" hidden="1">{"Input_Fin",#N/A,FALSE,"By Code";"Input_Opt",#N/A,FALSE,"By Code"}</definedName>
    <definedName name="_____________jhi44_2" hidden="1">{"Input_Fin",#N/A,FALSE,"By Code";"Input_Opt",#N/A,FALSE,"By Code"}</definedName>
    <definedName name="_____________jhi44_2_1" hidden="1">{"Input_Fin",#N/A,FALSE,"By Code";"Input_Opt",#N/A,FALSE,"By Code"}</definedName>
    <definedName name="_____________jhi44_2_2" hidden="1">{"Input_Fin",#N/A,FALSE,"By Code";"Input_Opt",#N/A,FALSE,"By Code"}</definedName>
    <definedName name="_____________jhi44_2_3" hidden="1">{"Input_Fin",#N/A,FALSE,"By Code";"Input_Opt",#N/A,FALSE,"By Code"}</definedName>
    <definedName name="_____________jhi44_3" hidden="1">{"Input_Fin",#N/A,FALSE,"By Code";"Input_Opt",#N/A,FALSE,"By Code"}</definedName>
    <definedName name="_____________jhi44_3_1" hidden="1">{"Input_Fin",#N/A,FALSE,"By Code";"Input_Opt",#N/A,FALSE,"By Code"}</definedName>
    <definedName name="_____________jhi44_3_2" hidden="1">{"Input_Fin",#N/A,FALSE,"By Code";"Input_Opt",#N/A,FALSE,"By Code"}</definedName>
    <definedName name="_____________jhi44_4" hidden="1">{"Input_Fin",#N/A,FALSE,"By Code";"Input_Opt",#N/A,FALSE,"By Code"}</definedName>
    <definedName name="_____________jhi44_5" hidden="1">{"Input_Fin",#N/A,FALSE,"By Code";"Input_Opt",#N/A,FALSE,"By Code"}</definedName>
    <definedName name="___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1" localSheetId="12" hidden="1">{"Input_Fin",#N/A,FALSE,"By Code";"Input_Opt",#N/A,FALSE,"By Code"}</definedName>
    <definedName name="____________dy1" hidden="1">{"Input_Fin",#N/A,FALSE,"By Code";"Input_Opt",#N/A,FALSE,"By Code"}</definedName>
    <definedName name="____________dy1_1" hidden="1">{"Input_Fin",#N/A,FALSE,"By Code";"Input_Opt",#N/A,FALSE,"By Code"}</definedName>
    <definedName name="____________dy1_1_1" hidden="1">{"Input_Fin",#N/A,FALSE,"By Code";"Input_Opt",#N/A,FALSE,"By Code"}</definedName>
    <definedName name="____________dy1_1_1_1" hidden="1">{"Input_Fin",#N/A,FALSE,"By Code";"Input_Opt",#N/A,FALSE,"By Code"}</definedName>
    <definedName name="____________dy1_1_1_2" hidden="1">{"Input_Fin",#N/A,FALSE,"By Code";"Input_Opt",#N/A,FALSE,"By Code"}</definedName>
    <definedName name="____________dy1_1_1_3" hidden="1">{"Input_Fin",#N/A,FALSE,"By Code";"Input_Opt",#N/A,FALSE,"By Code"}</definedName>
    <definedName name="____________dy1_1_2" hidden="1">{"Input_Fin",#N/A,FALSE,"By Code";"Input_Opt",#N/A,FALSE,"By Code"}</definedName>
    <definedName name="____________dy1_1_2_1" hidden="1">{"Input_Fin",#N/A,FALSE,"By Code";"Input_Opt",#N/A,FALSE,"By Code"}</definedName>
    <definedName name="____________dy1_1_2_2" hidden="1">{"Input_Fin",#N/A,FALSE,"By Code";"Input_Opt",#N/A,FALSE,"By Code"}</definedName>
    <definedName name="____________dy1_1_3" hidden="1">{"Input_Fin",#N/A,FALSE,"By Code";"Input_Opt",#N/A,FALSE,"By Code"}</definedName>
    <definedName name="____________dy1_1_4" hidden="1">{"Input_Fin",#N/A,FALSE,"By Code";"Input_Opt",#N/A,FALSE,"By Code"}</definedName>
    <definedName name="____________dy1_2" hidden="1">{"Input_Fin",#N/A,FALSE,"By Code";"Input_Opt",#N/A,FALSE,"By Code"}</definedName>
    <definedName name="____________dy1_2_1" hidden="1">{"Input_Fin",#N/A,FALSE,"By Code";"Input_Opt",#N/A,FALSE,"By Code"}</definedName>
    <definedName name="____________dy1_2_2" hidden="1">{"Input_Fin",#N/A,FALSE,"By Code";"Input_Opt",#N/A,FALSE,"By Code"}</definedName>
    <definedName name="____________dy1_2_3" hidden="1">{"Input_Fin",#N/A,FALSE,"By Code";"Input_Opt",#N/A,FALSE,"By Code"}</definedName>
    <definedName name="____________dy1_3" hidden="1">{"Input_Fin",#N/A,FALSE,"By Code";"Input_Opt",#N/A,FALSE,"By Code"}</definedName>
    <definedName name="____________dy1_3_1" hidden="1">{"Input_Fin",#N/A,FALSE,"By Code";"Input_Opt",#N/A,FALSE,"By Code"}</definedName>
    <definedName name="____________dy1_3_2" hidden="1">{"Input_Fin",#N/A,FALSE,"By Code";"Input_Opt",#N/A,FALSE,"By Code"}</definedName>
    <definedName name="____________dy1_4" hidden="1">{"Input_Fin",#N/A,FALSE,"By Code";"Input_Opt",#N/A,FALSE,"By Code"}</definedName>
    <definedName name="____________dy1_5" hidden="1">{"Input_Fin",#N/A,FALSE,"By Code";"Input_Opt",#N/A,FALSE,"By Code"}</definedName>
    <definedName name="_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5" localSheetId="12" hidden="1">{"Input_Fin",#N/A,FALSE,"By Code";"Input_Opt",#N/A,FALSE,"By Code"}</definedName>
    <definedName name="____________dy5" hidden="1">{"Input_Fin",#N/A,FALSE,"By Code";"Input_Opt",#N/A,FALSE,"By Code"}</definedName>
    <definedName name="____________dy5_1" hidden="1">{"Input_Fin",#N/A,FALSE,"By Code";"Input_Opt",#N/A,FALSE,"By Code"}</definedName>
    <definedName name="____________dy5_1_1" hidden="1">{"Input_Fin",#N/A,FALSE,"By Code";"Input_Opt",#N/A,FALSE,"By Code"}</definedName>
    <definedName name="____________dy5_1_1_1" hidden="1">{"Input_Fin",#N/A,FALSE,"By Code";"Input_Opt",#N/A,FALSE,"By Code"}</definedName>
    <definedName name="____________dy5_1_1_2" hidden="1">{"Input_Fin",#N/A,FALSE,"By Code";"Input_Opt",#N/A,FALSE,"By Code"}</definedName>
    <definedName name="____________dy5_1_1_3" hidden="1">{"Input_Fin",#N/A,FALSE,"By Code";"Input_Opt",#N/A,FALSE,"By Code"}</definedName>
    <definedName name="____________dy5_1_2" hidden="1">{"Input_Fin",#N/A,FALSE,"By Code";"Input_Opt",#N/A,FALSE,"By Code"}</definedName>
    <definedName name="____________dy5_1_2_1" hidden="1">{"Input_Fin",#N/A,FALSE,"By Code";"Input_Opt",#N/A,FALSE,"By Code"}</definedName>
    <definedName name="____________dy5_1_2_2" hidden="1">{"Input_Fin",#N/A,FALSE,"By Code";"Input_Opt",#N/A,FALSE,"By Code"}</definedName>
    <definedName name="____________dy5_1_3" hidden="1">{"Input_Fin",#N/A,FALSE,"By Code";"Input_Opt",#N/A,FALSE,"By Code"}</definedName>
    <definedName name="____________dy5_1_4" hidden="1">{"Input_Fin",#N/A,FALSE,"By Code";"Input_Opt",#N/A,FALSE,"By Code"}</definedName>
    <definedName name="____________dy5_2" hidden="1">{"Input_Fin",#N/A,FALSE,"By Code";"Input_Opt",#N/A,FALSE,"By Code"}</definedName>
    <definedName name="____________dy5_2_1" hidden="1">{"Input_Fin",#N/A,FALSE,"By Code";"Input_Opt",#N/A,FALSE,"By Code"}</definedName>
    <definedName name="____________dy5_2_2" hidden="1">{"Input_Fin",#N/A,FALSE,"By Code";"Input_Opt",#N/A,FALSE,"By Code"}</definedName>
    <definedName name="____________dy5_2_3" hidden="1">{"Input_Fin",#N/A,FALSE,"By Code";"Input_Opt",#N/A,FALSE,"By Code"}</definedName>
    <definedName name="____________dy5_3" hidden="1">{"Input_Fin",#N/A,FALSE,"By Code";"Input_Opt",#N/A,FALSE,"By Code"}</definedName>
    <definedName name="____________dy5_3_1" hidden="1">{"Input_Fin",#N/A,FALSE,"By Code";"Input_Opt",#N/A,FALSE,"By Code"}</definedName>
    <definedName name="____________dy5_3_2" hidden="1">{"Input_Fin",#N/A,FALSE,"By Code";"Input_Opt",#N/A,FALSE,"By Code"}</definedName>
    <definedName name="____________dy5_4" hidden="1">{"Input_Fin",#N/A,FALSE,"By Code";"Input_Opt",#N/A,FALSE,"By Code"}</definedName>
    <definedName name="____________dy5_5" hidden="1">{"Input_Fin",#N/A,FALSE,"By Code";"Input_Opt",#N/A,FALSE,"By Code"}</definedName>
    <definedName name="____________dy6" localSheetId="12" hidden="1">{"Input_Fin",#N/A,FALSE,"By Code";"Input_Opt",#N/A,FALSE,"By Code"}</definedName>
    <definedName name="____________dy6" hidden="1">{"Input_Fin",#N/A,FALSE,"By Code";"Input_Opt",#N/A,FALSE,"By Code"}</definedName>
    <definedName name="____________dy6_1" hidden="1">{"Input_Fin",#N/A,FALSE,"By Code";"Input_Opt",#N/A,FALSE,"By Code"}</definedName>
    <definedName name="____________dy6_1_1" hidden="1">{"Input_Fin",#N/A,FALSE,"By Code";"Input_Opt",#N/A,FALSE,"By Code"}</definedName>
    <definedName name="____________dy6_1_1_1" hidden="1">{"Input_Fin",#N/A,FALSE,"By Code";"Input_Opt",#N/A,FALSE,"By Code"}</definedName>
    <definedName name="____________dy6_1_1_2" hidden="1">{"Input_Fin",#N/A,FALSE,"By Code";"Input_Opt",#N/A,FALSE,"By Code"}</definedName>
    <definedName name="____________dy6_1_1_3" hidden="1">{"Input_Fin",#N/A,FALSE,"By Code";"Input_Opt",#N/A,FALSE,"By Code"}</definedName>
    <definedName name="____________dy6_1_2" hidden="1">{"Input_Fin",#N/A,FALSE,"By Code";"Input_Opt",#N/A,FALSE,"By Code"}</definedName>
    <definedName name="____________dy6_1_2_1" hidden="1">{"Input_Fin",#N/A,FALSE,"By Code";"Input_Opt",#N/A,FALSE,"By Code"}</definedName>
    <definedName name="____________dy6_1_2_2" hidden="1">{"Input_Fin",#N/A,FALSE,"By Code";"Input_Opt",#N/A,FALSE,"By Code"}</definedName>
    <definedName name="____________dy6_1_3" hidden="1">{"Input_Fin",#N/A,FALSE,"By Code";"Input_Opt",#N/A,FALSE,"By Code"}</definedName>
    <definedName name="____________dy6_1_4" hidden="1">{"Input_Fin",#N/A,FALSE,"By Code";"Input_Opt",#N/A,FALSE,"By Code"}</definedName>
    <definedName name="____________dy6_2" hidden="1">{"Input_Fin",#N/A,FALSE,"By Code";"Input_Opt",#N/A,FALSE,"By Code"}</definedName>
    <definedName name="____________dy6_2_1" hidden="1">{"Input_Fin",#N/A,FALSE,"By Code";"Input_Opt",#N/A,FALSE,"By Code"}</definedName>
    <definedName name="____________dy6_2_2" hidden="1">{"Input_Fin",#N/A,FALSE,"By Code";"Input_Opt",#N/A,FALSE,"By Code"}</definedName>
    <definedName name="____________dy6_2_3" hidden="1">{"Input_Fin",#N/A,FALSE,"By Code";"Input_Opt",#N/A,FALSE,"By Code"}</definedName>
    <definedName name="____________dy6_3" hidden="1">{"Input_Fin",#N/A,FALSE,"By Code";"Input_Opt",#N/A,FALSE,"By Code"}</definedName>
    <definedName name="____________dy6_3_1" hidden="1">{"Input_Fin",#N/A,FALSE,"By Code";"Input_Opt",#N/A,FALSE,"By Code"}</definedName>
    <definedName name="____________dy6_3_2" hidden="1">{"Input_Fin",#N/A,FALSE,"By Code";"Input_Opt",#N/A,FALSE,"By Code"}</definedName>
    <definedName name="____________dy6_4" hidden="1">{"Input_Fin",#N/A,FALSE,"By Code";"Input_Opt",#N/A,FALSE,"By Code"}</definedName>
    <definedName name="____________dy6_5" hidden="1">{"Input_Fin",#N/A,FALSE,"By Code";"Input_Opt",#N/A,FALSE,"By Code"}</definedName>
    <definedName name="____________jhi44" localSheetId="12" hidden="1">{"Input_Fin",#N/A,FALSE,"By Code";"Input_Opt",#N/A,FALSE,"By Code"}</definedName>
    <definedName name="____________jhi44" hidden="1">{"Input_Fin",#N/A,FALSE,"By Code";"Input_Opt",#N/A,FALSE,"By Code"}</definedName>
    <definedName name="____________jhi44_1" hidden="1">{"Input_Fin",#N/A,FALSE,"By Code";"Input_Opt",#N/A,FALSE,"By Code"}</definedName>
    <definedName name="____________jhi44_1_1" hidden="1">{"Input_Fin",#N/A,FALSE,"By Code";"Input_Opt",#N/A,FALSE,"By Code"}</definedName>
    <definedName name="____________jhi44_1_1_1" hidden="1">{"Input_Fin",#N/A,FALSE,"By Code";"Input_Opt",#N/A,FALSE,"By Code"}</definedName>
    <definedName name="____________jhi44_1_1_2" hidden="1">{"Input_Fin",#N/A,FALSE,"By Code";"Input_Opt",#N/A,FALSE,"By Code"}</definedName>
    <definedName name="____________jhi44_1_1_3" hidden="1">{"Input_Fin",#N/A,FALSE,"By Code";"Input_Opt",#N/A,FALSE,"By Code"}</definedName>
    <definedName name="____________jhi44_1_2" hidden="1">{"Input_Fin",#N/A,FALSE,"By Code";"Input_Opt",#N/A,FALSE,"By Code"}</definedName>
    <definedName name="____________jhi44_1_2_1" hidden="1">{"Input_Fin",#N/A,FALSE,"By Code";"Input_Opt",#N/A,FALSE,"By Code"}</definedName>
    <definedName name="____________jhi44_1_2_2" hidden="1">{"Input_Fin",#N/A,FALSE,"By Code";"Input_Opt",#N/A,FALSE,"By Code"}</definedName>
    <definedName name="____________jhi44_1_3" hidden="1">{"Input_Fin",#N/A,FALSE,"By Code";"Input_Opt",#N/A,FALSE,"By Code"}</definedName>
    <definedName name="____________jhi44_1_4" hidden="1">{"Input_Fin",#N/A,FALSE,"By Code";"Input_Opt",#N/A,FALSE,"By Code"}</definedName>
    <definedName name="____________jhi44_2" hidden="1">{"Input_Fin",#N/A,FALSE,"By Code";"Input_Opt",#N/A,FALSE,"By Code"}</definedName>
    <definedName name="____________jhi44_2_1" hidden="1">{"Input_Fin",#N/A,FALSE,"By Code";"Input_Opt",#N/A,FALSE,"By Code"}</definedName>
    <definedName name="____________jhi44_2_2" hidden="1">{"Input_Fin",#N/A,FALSE,"By Code";"Input_Opt",#N/A,FALSE,"By Code"}</definedName>
    <definedName name="____________jhi44_2_3" hidden="1">{"Input_Fin",#N/A,FALSE,"By Code";"Input_Opt",#N/A,FALSE,"By Code"}</definedName>
    <definedName name="____________jhi44_3" hidden="1">{"Input_Fin",#N/A,FALSE,"By Code";"Input_Opt",#N/A,FALSE,"By Code"}</definedName>
    <definedName name="____________jhi44_3_1" hidden="1">{"Input_Fin",#N/A,FALSE,"By Code";"Input_Opt",#N/A,FALSE,"By Code"}</definedName>
    <definedName name="____________jhi44_3_2" hidden="1">{"Input_Fin",#N/A,FALSE,"By Code";"Input_Opt",#N/A,FALSE,"By Code"}</definedName>
    <definedName name="____________jhi44_4" hidden="1">{"Input_Fin",#N/A,FALSE,"By Code";"Input_Opt",#N/A,FALSE,"By Code"}</definedName>
    <definedName name="____________jhi44_5" hidden="1">{"Input_Fin",#N/A,FALSE,"By Code";"Input_Opt",#N/A,FALSE,"By Code"}</definedName>
    <definedName name="__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123" hidden="1">{"Input_Fin",#N/A,FALSE,"By Code";"Input_Opt",#N/A,FALSE,"By Code"}</definedName>
    <definedName name="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1" localSheetId="12" hidden="1">{"Input_Fin",#N/A,FALSE,"By Code";"Input_Opt",#N/A,FALSE,"By Code"}</definedName>
    <definedName name="___________dy1" hidden="1">{"Input_Fin",#N/A,FALSE,"By Code";"Input_Opt",#N/A,FALSE,"By Code"}</definedName>
    <definedName name="___________dy1_1" hidden="1">{"Input_Fin",#N/A,FALSE,"By Code";"Input_Opt",#N/A,FALSE,"By Code"}</definedName>
    <definedName name="___________dy1_1_1" hidden="1">{"Input_Fin",#N/A,FALSE,"By Code";"Input_Opt",#N/A,FALSE,"By Code"}</definedName>
    <definedName name="___________dy1_1_1_1" hidden="1">{"Input_Fin",#N/A,FALSE,"By Code";"Input_Opt",#N/A,FALSE,"By Code"}</definedName>
    <definedName name="___________dy1_1_1_2" hidden="1">{"Input_Fin",#N/A,FALSE,"By Code";"Input_Opt",#N/A,FALSE,"By Code"}</definedName>
    <definedName name="___________dy1_1_1_3" hidden="1">{"Input_Fin",#N/A,FALSE,"By Code";"Input_Opt",#N/A,FALSE,"By Code"}</definedName>
    <definedName name="___________dy1_1_2" hidden="1">{"Input_Fin",#N/A,FALSE,"By Code";"Input_Opt",#N/A,FALSE,"By Code"}</definedName>
    <definedName name="___________dy1_1_2_1" hidden="1">{"Input_Fin",#N/A,FALSE,"By Code";"Input_Opt",#N/A,FALSE,"By Code"}</definedName>
    <definedName name="___________dy1_1_2_2" hidden="1">{"Input_Fin",#N/A,FALSE,"By Code";"Input_Opt",#N/A,FALSE,"By Code"}</definedName>
    <definedName name="___________dy1_1_3" hidden="1">{"Input_Fin",#N/A,FALSE,"By Code";"Input_Opt",#N/A,FALSE,"By Code"}</definedName>
    <definedName name="___________dy1_1_4" hidden="1">{"Input_Fin",#N/A,FALSE,"By Code";"Input_Opt",#N/A,FALSE,"By Code"}</definedName>
    <definedName name="___________dy1_2" hidden="1">{"Input_Fin",#N/A,FALSE,"By Code";"Input_Opt",#N/A,FALSE,"By Code"}</definedName>
    <definedName name="___________dy1_2_1" hidden="1">{"Input_Fin",#N/A,FALSE,"By Code";"Input_Opt",#N/A,FALSE,"By Code"}</definedName>
    <definedName name="___________dy1_2_2" hidden="1">{"Input_Fin",#N/A,FALSE,"By Code";"Input_Opt",#N/A,FALSE,"By Code"}</definedName>
    <definedName name="___________dy1_2_3" hidden="1">{"Input_Fin",#N/A,FALSE,"By Code";"Input_Opt",#N/A,FALSE,"By Code"}</definedName>
    <definedName name="___________dy1_3" hidden="1">{"Input_Fin",#N/A,FALSE,"By Code";"Input_Opt",#N/A,FALSE,"By Code"}</definedName>
    <definedName name="___________dy1_3_1" hidden="1">{"Input_Fin",#N/A,FALSE,"By Code";"Input_Opt",#N/A,FALSE,"By Code"}</definedName>
    <definedName name="___________dy1_3_2" hidden="1">{"Input_Fin",#N/A,FALSE,"By Code";"Input_Opt",#N/A,FALSE,"By Code"}</definedName>
    <definedName name="___________dy1_4" hidden="1">{"Input_Fin",#N/A,FALSE,"By Code";"Input_Opt",#N/A,FALSE,"By Code"}</definedName>
    <definedName name="___________dy1_5" hidden="1">{"Input_Fin",#N/A,FALSE,"By Code";"Input_Opt",#N/A,FALSE,"By Code"}</definedName>
    <definedName name="_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5" localSheetId="12" hidden="1">{"Input_Fin",#N/A,FALSE,"By Code";"Input_Opt",#N/A,FALSE,"By Code"}</definedName>
    <definedName name="___________dy5" hidden="1">{"Input_Fin",#N/A,FALSE,"By Code";"Input_Opt",#N/A,FALSE,"By Code"}</definedName>
    <definedName name="___________dy5_1" hidden="1">{"Input_Fin",#N/A,FALSE,"By Code";"Input_Opt",#N/A,FALSE,"By Code"}</definedName>
    <definedName name="___________dy5_1_1" hidden="1">{"Input_Fin",#N/A,FALSE,"By Code";"Input_Opt",#N/A,FALSE,"By Code"}</definedName>
    <definedName name="___________dy5_1_1_1" hidden="1">{"Input_Fin",#N/A,FALSE,"By Code";"Input_Opt",#N/A,FALSE,"By Code"}</definedName>
    <definedName name="___________dy5_1_1_2" hidden="1">{"Input_Fin",#N/A,FALSE,"By Code";"Input_Opt",#N/A,FALSE,"By Code"}</definedName>
    <definedName name="___________dy5_1_1_3" hidden="1">{"Input_Fin",#N/A,FALSE,"By Code";"Input_Opt",#N/A,FALSE,"By Code"}</definedName>
    <definedName name="___________dy5_1_2" hidden="1">{"Input_Fin",#N/A,FALSE,"By Code";"Input_Opt",#N/A,FALSE,"By Code"}</definedName>
    <definedName name="___________dy5_1_2_1" hidden="1">{"Input_Fin",#N/A,FALSE,"By Code";"Input_Opt",#N/A,FALSE,"By Code"}</definedName>
    <definedName name="___________dy5_1_2_2" hidden="1">{"Input_Fin",#N/A,FALSE,"By Code";"Input_Opt",#N/A,FALSE,"By Code"}</definedName>
    <definedName name="___________dy5_1_3" hidden="1">{"Input_Fin",#N/A,FALSE,"By Code";"Input_Opt",#N/A,FALSE,"By Code"}</definedName>
    <definedName name="___________dy5_1_4" hidden="1">{"Input_Fin",#N/A,FALSE,"By Code";"Input_Opt",#N/A,FALSE,"By Code"}</definedName>
    <definedName name="___________dy5_2" hidden="1">{"Input_Fin",#N/A,FALSE,"By Code";"Input_Opt",#N/A,FALSE,"By Code"}</definedName>
    <definedName name="___________dy5_2_1" hidden="1">{"Input_Fin",#N/A,FALSE,"By Code";"Input_Opt",#N/A,FALSE,"By Code"}</definedName>
    <definedName name="___________dy5_2_2" hidden="1">{"Input_Fin",#N/A,FALSE,"By Code";"Input_Opt",#N/A,FALSE,"By Code"}</definedName>
    <definedName name="___________dy5_2_3" hidden="1">{"Input_Fin",#N/A,FALSE,"By Code";"Input_Opt",#N/A,FALSE,"By Code"}</definedName>
    <definedName name="___________dy5_3" hidden="1">{"Input_Fin",#N/A,FALSE,"By Code";"Input_Opt",#N/A,FALSE,"By Code"}</definedName>
    <definedName name="___________dy5_3_1" hidden="1">{"Input_Fin",#N/A,FALSE,"By Code";"Input_Opt",#N/A,FALSE,"By Code"}</definedName>
    <definedName name="___________dy5_3_2" hidden="1">{"Input_Fin",#N/A,FALSE,"By Code";"Input_Opt",#N/A,FALSE,"By Code"}</definedName>
    <definedName name="___________dy5_4" hidden="1">{"Input_Fin",#N/A,FALSE,"By Code";"Input_Opt",#N/A,FALSE,"By Code"}</definedName>
    <definedName name="___________dy5_5" hidden="1">{"Input_Fin",#N/A,FALSE,"By Code";"Input_Opt",#N/A,FALSE,"By Code"}</definedName>
    <definedName name="___________dy6" localSheetId="12" hidden="1">{"Input_Fin",#N/A,FALSE,"By Code";"Input_Opt",#N/A,FALSE,"By Code"}</definedName>
    <definedName name="___________dy6" hidden="1">{"Input_Fin",#N/A,FALSE,"By Code";"Input_Opt",#N/A,FALSE,"By Code"}</definedName>
    <definedName name="___________dy6_1" hidden="1">{"Input_Fin",#N/A,FALSE,"By Code";"Input_Opt",#N/A,FALSE,"By Code"}</definedName>
    <definedName name="___________dy6_1_1" hidden="1">{"Input_Fin",#N/A,FALSE,"By Code";"Input_Opt",#N/A,FALSE,"By Code"}</definedName>
    <definedName name="___________dy6_1_1_1" hidden="1">{"Input_Fin",#N/A,FALSE,"By Code";"Input_Opt",#N/A,FALSE,"By Code"}</definedName>
    <definedName name="___________dy6_1_1_2" hidden="1">{"Input_Fin",#N/A,FALSE,"By Code";"Input_Opt",#N/A,FALSE,"By Code"}</definedName>
    <definedName name="___________dy6_1_1_3" hidden="1">{"Input_Fin",#N/A,FALSE,"By Code";"Input_Opt",#N/A,FALSE,"By Code"}</definedName>
    <definedName name="___________dy6_1_2" hidden="1">{"Input_Fin",#N/A,FALSE,"By Code";"Input_Opt",#N/A,FALSE,"By Code"}</definedName>
    <definedName name="___________dy6_1_2_1" hidden="1">{"Input_Fin",#N/A,FALSE,"By Code";"Input_Opt",#N/A,FALSE,"By Code"}</definedName>
    <definedName name="___________dy6_1_2_2" hidden="1">{"Input_Fin",#N/A,FALSE,"By Code";"Input_Opt",#N/A,FALSE,"By Code"}</definedName>
    <definedName name="___________dy6_1_3" hidden="1">{"Input_Fin",#N/A,FALSE,"By Code";"Input_Opt",#N/A,FALSE,"By Code"}</definedName>
    <definedName name="___________dy6_1_4" hidden="1">{"Input_Fin",#N/A,FALSE,"By Code";"Input_Opt",#N/A,FALSE,"By Code"}</definedName>
    <definedName name="___________dy6_2" hidden="1">{"Input_Fin",#N/A,FALSE,"By Code";"Input_Opt",#N/A,FALSE,"By Code"}</definedName>
    <definedName name="___________dy6_2_1" hidden="1">{"Input_Fin",#N/A,FALSE,"By Code";"Input_Opt",#N/A,FALSE,"By Code"}</definedName>
    <definedName name="___________dy6_2_2" hidden="1">{"Input_Fin",#N/A,FALSE,"By Code";"Input_Opt",#N/A,FALSE,"By Code"}</definedName>
    <definedName name="___________dy6_2_3" hidden="1">{"Input_Fin",#N/A,FALSE,"By Code";"Input_Opt",#N/A,FALSE,"By Code"}</definedName>
    <definedName name="___________dy6_3" hidden="1">{"Input_Fin",#N/A,FALSE,"By Code";"Input_Opt",#N/A,FALSE,"By Code"}</definedName>
    <definedName name="___________dy6_3_1" hidden="1">{"Input_Fin",#N/A,FALSE,"By Code";"Input_Opt",#N/A,FALSE,"By Code"}</definedName>
    <definedName name="___________dy6_3_2" hidden="1">{"Input_Fin",#N/A,FALSE,"By Code";"Input_Opt",#N/A,FALSE,"By Code"}</definedName>
    <definedName name="___________dy6_4" hidden="1">{"Input_Fin",#N/A,FALSE,"By Code";"Input_Opt",#N/A,FALSE,"By Code"}</definedName>
    <definedName name="___________dy6_5" hidden="1">{"Input_Fin",#N/A,FALSE,"By Code";"Input_Opt",#N/A,FALSE,"By Code"}</definedName>
    <definedName name="___________jhi44" localSheetId="12" hidden="1">{"Input_Fin",#N/A,FALSE,"By Code";"Input_Opt",#N/A,FALSE,"By Code"}</definedName>
    <definedName name="___________jhi44" hidden="1">{"Input_Fin",#N/A,FALSE,"By Code";"Input_Opt",#N/A,FALSE,"By Code"}</definedName>
    <definedName name="___________jhi44_1" hidden="1">{"Input_Fin",#N/A,FALSE,"By Code";"Input_Opt",#N/A,FALSE,"By Code"}</definedName>
    <definedName name="___________jhi44_1_1" hidden="1">{"Input_Fin",#N/A,FALSE,"By Code";"Input_Opt",#N/A,FALSE,"By Code"}</definedName>
    <definedName name="___________jhi44_1_1_1" hidden="1">{"Input_Fin",#N/A,FALSE,"By Code";"Input_Opt",#N/A,FALSE,"By Code"}</definedName>
    <definedName name="___________jhi44_1_1_2" hidden="1">{"Input_Fin",#N/A,FALSE,"By Code";"Input_Opt",#N/A,FALSE,"By Code"}</definedName>
    <definedName name="___________jhi44_1_1_3" hidden="1">{"Input_Fin",#N/A,FALSE,"By Code";"Input_Opt",#N/A,FALSE,"By Code"}</definedName>
    <definedName name="___________jhi44_1_2" hidden="1">{"Input_Fin",#N/A,FALSE,"By Code";"Input_Opt",#N/A,FALSE,"By Code"}</definedName>
    <definedName name="___________jhi44_1_2_1" hidden="1">{"Input_Fin",#N/A,FALSE,"By Code";"Input_Opt",#N/A,FALSE,"By Code"}</definedName>
    <definedName name="___________jhi44_1_2_2" hidden="1">{"Input_Fin",#N/A,FALSE,"By Code";"Input_Opt",#N/A,FALSE,"By Code"}</definedName>
    <definedName name="___________jhi44_1_3" hidden="1">{"Input_Fin",#N/A,FALSE,"By Code";"Input_Opt",#N/A,FALSE,"By Code"}</definedName>
    <definedName name="___________jhi44_1_4" hidden="1">{"Input_Fin",#N/A,FALSE,"By Code";"Input_Opt",#N/A,FALSE,"By Code"}</definedName>
    <definedName name="___________jhi44_2" hidden="1">{"Input_Fin",#N/A,FALSE,"By Code";"Input_Opt",#N/A,FALSE,"By Code"}</definedName>
    <definedName name="___________jhi44_2_1" hidden="1">{"Input_Fin",#N/A,FALSE,"By Code";"Input_Opt",#N/A,FALSE,"By Code"}</definedName>
    <definedName name="___________jhi44_2_2" hidden="1">{"Input_Fin",#N/A,FALSE,"By Code";"Input_Opt",#N/A,FALSE,"By Code"}</definedName>
    <definedName name="___________jhi44_2_3" hidden="1">{"Input_Fin",#N/A,FALSE,"By Code";"Input_Opt",#N/A,FALSE,"By Code"}</definedName>
    <definedName name="___________jhi44_3" hidden="1">{"Input_Fin",#N/A,FALSE,"By Code";"Input_Opt",#N/A,FALSE,"By Code"}</definedName>
    <definedName name="___________jhi44_3_1" hidden="1">{"Input_Fin",#N/A,FALSE,"By Code";"Input_Opt",#N/A,FALSE,"By Code"}</definedName>
    <definedName name="___________jhi44_3_2" hidden="1">{"Input_Fin",#N/A,FALSE,"By Code";"Input_Opt",#N/A,FALSE,"By Code"}</definedName>
    <definedName name="___________jhi44_4" hidden="1">{"Input_Fin",#N/A,FALSE,"By Code";"Input_Opt",#N/A,FALSE,"By Code"}</definedName>
    <definedName name="___________jhi44_5" hidden="1">{"Input_Fin",#N/A,FALSE,"By Code";"Input_Opt",#N/A,FALSE,"By Code"}</definedName>
    <definedName name="_____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1" localSheetId="12" hidden="1">{"Input_Fin",#N/A,FALSE,"By Code";"Input_Opt",#N/A,FALSE,"By Code"}</definedName>
    <definedName name="__________dy1" hidden="1">{"Input_Fin",#N/A,FALSE,"By Code";"Input_Opt",#N/A,FALSE,"By Code"}</definedName>
    <definedName name="__________dy1_1" hidden="1">{"Input_Fin",#N/A,FALSE,"By Code";"Input_Opt",#N/A,FALSE,"By Code"}</definedName>
    <definedName name="__________dy1_1_1" hidden="1">{"Input_Fin",#N/A,FALSE,"By Code";"Input_Opt",#N/A,FALSE,"By Code"}</definedName>
    <definedName name="__________dy1_1_1_1" hidden="1">{"Input_Fin",#N/A,FALSE,"By Code";"Input_Opt",#N/A,FALSE,"By Code"}</definedName>
    <definedName name="__________dy1_1_1_2" hidden="1">{"Input_Fin",#N/A,FALSE,"By Code";"Input_Opt",#N/A,FALSE,"By Code"}</definedName>
    <definedName name="__________dy1_1_1_3" hidden="1">{"Input_Fin",#N/A,FALSE,"By Code";"Input_Opt",#N/A,FALSE,"By Code"}</definedName>
    <definedName name="__________dy1_1_2" hidden="1">{"Input_Fin",#N/A,FALSE,"By Code";"Input_Opt",#N/A,FALSE,"By Code"}</definedName>
    <definedName name="__________dy1_1_2_1" hidden="1">{"Input_Fin",#N/A,FALSE,"By Code";"Input_Opt",#N/A,FALSE,"By Code"}</definedName>
    <definedName name="__________dy1_1_2_2" hidden="1">{"Input_Fin",#N/A,FALSE,"By Code";"Input_Opt",#N/A,FALSE,"By Code"}</definedName>
    <definedName name="__________dy1_1_3" hidden="1">{"Input_Fin",#N/A,FALSE,"By Code";"Input_Opt",#N/A,FALSE,"By Code"}</definedName>
    <definedName name="__________dy1_1_4" hidden="1">{"Input_Fin",#N/A,FALSE,"By Code";"Input_Opt",#N/A,FALSE,"By Code"}</definedName>
    <definedName name="__________dy1_2" hidden="1">{"Input_Fin",#N/A,FALSE,"By Code";"Input_Opt",#N/A,FALSE,"By Code"}</definedName>
    <definedName name="__________dy1_2_1" hidden="1">{"Input_Fin",#N/A,FALSE,"By Code";"Input_Opt",#N/A,FALSE,"By Code"}</definedName>
    <definedName name="__________dy1_2_2" hidden="1">{"Input_Fin",#N/A,FALSE,"By Code";"Input_Opt",#N/A,FALSE,"By Code"}</definedName>
    <definedName name="__________dy1_2_3" hidden="1">{"Input_Fin",#N/A,FALSE,"By Code";"Input_Opt",#N/A,FALSE,"By Code"}</definedName>
    <definedName name="__________dy1_3" hidden="1">{"Input_Fin",#N/A,FALSE,"By Code";"Input_Opt",#N/A,FALSE,"By Code"}</definedName>
    <definedName name="__________dy1_3_1" hidden="1">{"Input_Fin",#N/A,FALSE,"By Code";"Input_Opt",#N/A,FALSE,"By Code"}</definedName>
    <definedName name="__________dy1_3_2" hidden="1">{"Input_Fin",#N/A,FALSE,"By Code";"Input_Opt",#N/A,FALSE,"By Code"}</definedName>
    <definedName name="__________dy1_4" hidden="1">{"Input_Fin",#N/A,FALSE,"By Code";"Input_Opt",#N/A,FALSE,"By Code"}</definedName>
    <definedName name="__________dy1_5" hidden="1">{"Input_Fin",#N/A,FALSE,"By Code";"Input_Opt",#N/A,FALSE,"By Code"}</definedName>
    <definedName name="_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5" localSheetId="12" hidden="1">{"Input_Fin",#N/A,FALSE,"By Code";"Input_Opt",#N/A,FALSE,"By Code"}</definedName>
    <definedName name="__________dy5" hidden="1">{"Input_Fin",#N/A,FALSE,"By Code";"Input_Opt",#N/A,FALSE,"By Code"}</definedName>
    <definedName name="__________dy5_1" hidden="1">{"Input_Fin",#N/A,FALSE,"By Code";"Input_Opt",#N/A,FALSE,"By Code"}</definedName>
    <definedName name="__________dy5_1_1" hidden="1">{"Input_Fin",#N/A,FALSE,"By Code";"Input_Opt",#N/A,FALSE,"By Code"}</definedName>
    <definedName name="__________dy5_1_1_1" hidden="1">{"Input_Fin",#N/A,FALSE,"By Code";"Input_Opt",#N/A,FALSE,"By Code"}</definedName>
    <definedName name="__________dy5_1_1_2" hidden="1">{"Input_Fin",#N/A,FALSE,"By Code";"Input_Opt",#N/A,FALSE,"By Code"}</definedName>
    <definedName name="__________dy5_1_1_3" hidden="1">{"Input_Fin",#N/A,FALSE,"By Code";"Input_Opt",#N/A,FALSE,"By Code"}</definedName>
    <definedName name="__________dy5_1_2" hidden="1">{"Input_Fin",#N/A,FALSE,"By Code";"Input_Opt",#N/A,FALSE,"By Code"}</definedName>
    <definedName name="__________dy5_1_2_1" hidden="1">{"Input_Fin",#N/A,FALSE,"By Code";"Input_Opt",#N/A,FALSE,"By Code"}</definedName>
    <definedName name="__________dy5_1_2_2" hidden="1">{"Input_Fin",#N/A,FALSE,"By Code";"Input_Opt",#N/A,FALSE,"By Code"}</definedName>
    <definedName name="__________dy5_1_3" hidden="1">{"Input_Fin",#N/A,FALSE,"By Code";"Input_Opt",#N/A,FALSE,"By Code"}</definedName>
    <definedName name="__________dy5_1_4" hidden="1">{"Input_Fin",#N/A,FALSE,"By Code";"Input_Opt",#N/A,FALSE,"By Code"}</definedName>
    <definedName name="__________dy5_2" hidden="1">{"Input_Fin",#N/A,FALSE,"By Code";"Input_Opt",#N/A,FALSE,"By Code"}</definedName>
    <definedName name="__________dy5_2_1" hidden="1">{"Input_Fin",#N/A,FALSE,"By Code";"Input_Opt",#N/A,FALSE,"By Code"}</definedName>
    <definedName name="__________dy5_2_2" hidden="1">{"Input_Fin",#N/A,FALSE,"By Code";"Input_Opt",#N/A,FALSE,"By Code"}</definedName>
    <definedName name="__________dy5_2_3" hidden="1">{"Input_Fin",#N/A,FALSE,"By Code";"Input_Opt",#N/A,FALSE,"By Code"}</definedName>
    <definedName name="__________dy5_3" hidden="1">{"Input_Fin",#N/A,FALSE,"By Code";"Input_Opt",#N/A,FALSE,"By Code"}</definedName>
    <definedName name="__________dy5_3_1" hidden="1">{"Input_Fin",#N/A,FALSE,"By Code";"Input_Opt",#N/A,FALSE,"By Code"}</definedName>
    <definedName name="__________dy5_3_2" hidden="1">{"Input_Fin",#N/A,FALSE,"By Code";"Input_Opt",#N/A,FALSE,"By Code"}</definedName>
    <definedName name="__________dy5_4" hidden="1">{"Input_Fin",#N/A,FALSE,"By Code";"Input_Opt",#N/A,FALSE,"By Code"}</definedName>
    <definedName name="__________dy5_5" hidden="1">{"Input_Fin",#N/A,FALSE,"By Code";"Input_Opt",#N/A,FALSE,"By Code"}</definedName>
    <definedName name="__________dy6" localSheetId="12" hidden="1">{"Input_Fin",#N/A,FALSE,"By Code";"Input_Opt",#N/A,FALSE,"By Code"}</definedName>
    <definedName name="__________dy6" hidden="1">{"Input_Fin",#N/A,FALSE,"By Code";"Input_Opt",#N/A,FALSE,"By Code"}</definedName>
    <definedName name="__________dy6_1" hidden="1">{"Input_Fin",#N/A,FALSE,"By Code";"Input_Opt",#N/A,FALSE,"By Code"}</definedName>
    <definedName name="__________dy6_1_1" hidden="1">{"Input_Fin",#N/A,FALSE,"By Code";"Input_Opt",#N/A,FALSE,"By Code"}</definedName>
    <definedName name="__________dy6_1_1_1" hidden="1">{"Input_Fin",#N/A,FALSE,"By Code";"Input_Opt",#N/A,FALSE,"By Code"}</definedName>
    <definedName name="__________dy6_1_1_2" hidden="1">{"Input_Fin",#N/A,FALSE,"By Code";"Input_Opt",#N/A,FALSE,"By Code"}</definedName>
    <definedName name="__________dy6_1_1_3" hidden="1">{"Input_Fin",#N/A,FALSE,"By Code";"Input_Opt",#N/A,FALSE,"By Code"}</definedName>
    <definedName name="__________dy6_1_2" hidden="1">{"Input_Fin",#N/A,FALSE,"By Code";"Input_Opt",#N/A,FALSE,"By Code"}</definedName>
    <definedName name="__________dy6_1_2_1" hidden="1">{"Input_Fin",#N/A,FALSE,"By Code";"Input_Opt",#N/A,FALSE,"By Code"}</definedName>
    <definedName name="__________dy6_1_2_2" hidden="1">{"Input_Fin",#N/A,FALSE,"By Code";"Input_Opt",#N/A,FALSE,"By Code"}</definedName>
    <definedName name="__________dy6_1_3" hidden="1">{"Input_Fin",#N/A,FALSE,"By Code";"Input_Opt",#N/A,FALSE,"By Code"}</definedName>
    <definedName name="__________dy6_1_4" hidden="1">{"Input_Fin",#N/A,FALSE,"By Code";"Input_Opt",#N/A,FALSE,"By Code"}</definedName>
    <definedName name="__________dy6_2" hidden="1">{"Input_Fin",#N/A,FALSE,"By Code";"Input_Opt",#N/A,FALSE,"By Code"}</definedName>
    <definedName name="__________dy6_2_1" hidden="1">{"Input_Fin",#N/A,FALSE,"By Code";"Input_Opt",#N/A,FALSE,"By Code"}</definedName>
    <definedName name="__________dy6_2_2" hidden="1">{"Input_Fin",#N/A,FALSE,"By Code";"Input_Opt",#N/A,FALSE,"By Code"}</definedName>
    <definedName name="__________dy6_2_3" hidden="1">{"Input_Fin",#N/A,FALSE,"By Code";"Input_Opt",#N/A,FALSE,"By Code"}</definedName>
    <definedName name="__________dy6_3" hidden="1">{"Input_Fin",#N/A,FALSE,"By Code";"Input_Opt",#N/A,FALSE,"By Code"}</definedName>
    <definedName name="__________dy6_3_1" hidden="1">{"Input_Fin",#N/A,FALSE,"By Code";"Input_Opt",#N/A,FALSE,"By Code"}</definedName>
    <definedName name="__________dy6_3_2" hidden="1">{"Input_Fin",#N/A,FALSE,"By Code";"Input_Opt",#N/A,FALSE,"By Code"}</definedName>
    <definedName name="__________dy6_4" hidden="1">{"Input_Fin",#N/A,FALSE,"By Code";"Input_Opt",#N/A,FALSE,"By Code"}</definedName>
    <definedName name="__________dy6_5" hidden="1">{"Input_Fin",#N/A,FALSE,"By Code";"Input_Opt",#N/A,FALSE,"By Code"}</definedName>
    <definedName name="__________jhi44" localSheetId="12" hidden="1">{"Input_Fin",#N/A,FALSE,"By Code";"Input_Opt",#N/A,FALSE,"By Code"}</definedName>
    <definedName name="__________jhi44" hidden="1">{"Input_Fin",#N/A,FALSE,"By Code";"Input_Opt",#N/A,FALSE,"By Code"}</definedName>
    <definedName name="__________jhi44_1" hidden="1">{"Input_Fin",#N/A,FALSE,"By Code";"Input_Opt",#N/A,FALSE,"By Code"}</definedName>
    <definedName name="__________jhi44_1_1" hidden="1">{"Input_Fin",#N/A,FALSE,"By Code";"Input_Opt",#N/A,FALSE,"By Code"}</definedName>
    <definedName name="__________jhi44_1_1_1" hidden="1">{"Input_Fin",#N/A,FALSE,"By Code";"Input_Opt",#N/A,FALSE,"By Code"}</definedName>
    <definedName name="__________jhi44_1_1_2" hidden="1">{"Input_Fin",#N/A,FALSE,"By Code";"Input_Opt",#N/A,FALSE,"By Code"}</definedName>
    <definedName name="__________jhi44_1_1_3" hidden="1">{"Input_Fin",#N/A,FALSE,"By Code";"Input_Opt",#N/A,FALSE,"By Code"}</definedName>
    <definedName name="__________jhi44_1_2" hidden="1">{"Input_Fin",#N/A,FALSE,"By Code";"Input_Opt",#N/A,FALSE,"By Code"}</definedName>
    <definedName name="__________jhi44_1_2_1" hidden="1">{"Input_Fin",#N/A,FALSE,"By Code";"Input_Opt",#N/A,FALSE,"By Code"}</definedName>
    <definedName name="__________jhi44_1_2_2" hidden="1">{"Input_Fin",#N/A,FALSE,"By Code";"Input_Opt",#N/A,FALSE,"By Code"}</definedName>
    <definedName name="__________jhi44_1_3" hidden="1">{"Input_Fin",#N/A,FALSE,"By Code";"Input_Opt",#N/A,FALSE,"By Code"}</definedName>
    <definedName name="__________jhi44_1_4" hidden="1">{"Input_Fin",#N/A,FALSE,"By Code";"Input_Opt",#N/A,FALSE,"By Code"}</definedName>
    <definedName name="__________jhi44_2" hidden="1">{"Input_Fin",#N/A,FALSE,"By Code";"Input_Opt",#N/A,FALSE,"By Code"}</definedName>
    <definedName name="__________jhi44_2_1" hidden="1">{"Input_Fin",#N/A,FALSE,"By Code";"Input_Opt",#N/A,FALSE,"By Code"}</definedName>
    <definedName name="__________jhi44_2_2" hidden="1">{"Input_Fin",#N/A,FALSE,"By Code";"Input_Opt",#N/A,FALSE,"By Code"}</definedName>
    <definedName name="__________jhi44_2_3" hidden="1">{"Input_Fin",#N/A,FALSE,"By Code";"Input_Opt",#N/A,FALSE,"By Code"}</definedName>
    <definedName name="__________jhi44_3" hidden="1">{"Input_Fin",#N/A,FALSE,"By Code";"Input_Opt",#N/A,FALSE,"By Code"}</definedName>
    <definedName name="__________jhi44_3_1" hidden="1">{"Input_Fin",#N/A,FALSE,"By Code";"Input_Opt",#N/A,FALSE,"By Code"}</definedName>
    <definedName name="__________jhi44_3_2" hidden="1">{"Input_Fin",#N/A,FALSE,"By Code";"Input_Opt",#N/A,FALSE,"By Code"}</definedName>
    <definedName name="__________jhi44_4" hidden="1">{"Input_Fin",#N/A,FALSE,"By Code";"Input_Opt",#N/A,FALSE,"By Code"}</definedName>
    <definedName name="__________jhi44_5" hidden="1">{"Input_Fin",#N/A,FALSE,"By Code";"Input_Opt",#N/A,FALSE,"By Code"}</definedName>
    <definedName name="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123" localSheetId="12" hidden="1">{"Input_Fin",#N/A,FALSE,"By Code";"Input_Opt",#N/A,FALSE,"By Code"}</definedName>
    <definedName name="_________D123" hidden="1">{"Input_Fin",#N/A,FALSE,"By Code";"Input_Opt",#N/A,FALSE,"By Code"}</definedName>
    <definedName name="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1" localSheetId="12" hidden="1">{"Input_Fin",#N/A,FALSE,"By Code";"Input_Opt",#N/A,FALSE,"By Code"}</definedName>
    <definedName name="_________dy1" hidden="1">{"Input_Fin",#N/A,FALSE,"By Code";"Input_Opt",#N/A,FALSE,"By Code"}</definedName>
    <definedName name="_________dy1_1" hidden="1">{"Input_Fin",#N/A,FALSE,"By Code";"Input_Opt",#N/A,FALSE,"By Code"}</definedName>
    <definedName name="_________dy1_1_1" hidden="1">{"Input_Fin",#N/A,FALSE,"By Code";"Input_Opt",#N/A,FALSE,"By Code"}</definedName>
    <definedName name="_________dy1_1_1_1" hidden="1">{"Input_Fin",#N/A,FALSE,"By Code";"Input_Opt",#N/A,FALSE,"By Code"}</definedName>
    <definedName name="_________dy1_1_1_2" hidden="1">{"Input_Fin",#N/A,FALSE,"By Code";"Input_Opt",#N/A,FALSE,"By Code"}</definedName>
    <definedName name="_________dy1_1_1_3" hidden="1">{"Input_Fin",#N/A,FALSE,"By Code";"Input_Opt",#N/A,FALSE,"By Code"}</definedName>
    <definedName name="_________dy1_1_2" hidden="1">{"Input_Fin",#N/A,FALSE,"By Code";"Input_Opt",#N/A,FALSE,"By Code"}</definedName>
    <definedName name="_________dy1_1_2_1" hidden="1">{"Input_Fin",#N/A,FALSE,"By Code";"Input_Opt",#N/A,FALSE,"By Code"}</definedName>
    <definedName name="_________dy1_1_2_2" hidden="1">{"Input_Fin",#N/A,FALSE,"By Code";"Input_Opt",#N/A,FALSE,"By Code"}</definedName>
    <definedName name="_________dy1_1_3" hidden="1">{"Input_Fin",#N/A,FALSE,"By Code";"Input_Opt",#N/A,FALSE,"By Code"}</definedName>
    <definedName name="_________dy1_1_4" hidden="1">{"Input_Fin",#N/A,FALSE,"By Code";"Input_Opt",#N/A,FALSE,"By Code"}</definedName>
    <definedName name="_________dy1_2" hidden="1">{"Input_Fin",#N/A,FALSE,"By Code";"Input_Opt",#N/A,FALSE,"By Code"}</definedName>
    <definedName name="_________dy1_2_1" hidden="1">{"Input_Fin",#N/A,FALSE,"By Code";"Input_Opt",#N/A,FALSE,"By Code"}</definedName>
    <definedName name="_________dy1_2_2" hidden="1">{"Input_Fin",#N/A,FALSE,"By Code";"Input_Opt",#N/A,FALSE,"By Code"}</definedName>
    <definedName name="_________dy1_2_3" hidden="1">{"Input_Fin",#N/A,FALSE,"By Code";"Input_Opt",#N/A,FALSE,"By Code"}</definedName>
    <definedName name="_________dy1_3" hidden="1">{"Input_Fin",#N/A,FALSE,"By Code";"Input_Opt",#N/A,FALSE,"By Code"}</definedName>
    <definedName name="_________dy1_3_1" hidden="1">{"Input_Fin",#N/A,FALSE,"By Code";"Input_Opt",#N/A,FALSE,"By Code"}</definedName>
    <definedName name="_________dy1_3_2" hidden="1">{"Input_Fin",#N/A,FALSE,"By Code";"Input_Opt",#N/A,FALSE,"By Code"}</definedName>
    <definedName name="_________dy1_4" hidden="1">{"Input_Fin",#N/A,FALSE,"By Code";"Input_Opt",#N/A,FALSE,"By Code"}</definedName>
    <definedName name="_________dy1_5" hidden="1">{"Input_Fin",#N/A,FALSE,"By Code";"Input_Opt",#N/A,FALSE,"By Code"}</definedName>
    <definedName name="_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5" localSheetId="12" hidden="1">{"Input_Fin",#N/A,FALSE,"By Code";"Input_Opt",#N/A,FALSE,"By Code"}</definedName>
    <definedName name="_________dy5" hidden="1">{"Input_Fin",#N/A,FALSE,"By Code";"Input_Opt",#N/A,FALSE,"By Code"}</definedName>
    <definedName name="_________dy5_1" hidden="1">{"Input_Fin",#N/A,FALSE,"By Code";"Input_Opt",#N/A,FALSE,"By Code"}</definedName>
    <definedName name="_________dy5_1_1" hidden="1">{"Input_Fin",#N/A,FALSE,"By Code";"Input_Opt",#N/A,FALSE,"By Code"}</definedName>
    <definedName name="_________dy5_1_1_1" hidden="1">{"Input_Fin",#N/A,FALSE,"By Code";"Input_Opt",#N/A,FALSE,"By Code"}</definedName>
    <definedName name="_________dy5_1_1_2" hidden="1">{"Input_Fin",#N/A,FALSE,"By Code";"Input_Opt",#N/A,FALSE,"By Code"}</definedName>
    <definedName name="_________dy5_1_1_3" hidden="1">{"Input_Fin",#N/A,FALSE,"By Code";"Input_Opt",#N/A,FALSE,"By Code"}</definedName>
    <definedName name="_________dy5_1_2" hidden="1">{"Input_Fin",#N/A,FALSE,"By Code";"Input_Opt",#N/A,FALSE,"By Code"}</definedName>
    <definedName name="_________dy5_1_2_1" hidden="1">{"Input_Fin",#N/A,FALSE,"By Code";"Input_Opt",#N/A,FALSE,"By Code"}</definedName>
    <definedName name="_________dy5_1_2_2" hidden="1">{"Input_Fin",#N/A,FALSE,"By Code";"Input_Opt",#N/A,FALSE,"By Code"}</definedName>
    <definedName name="_________dy5_1_3" hidden="1">{"Input_Fin",#N/A,FALSE,"By Code";"Input_Opt",#N/A,FALSE,"By Code"}</definedName>
    <definedName name="_________dy5_1_4" hidden="1">{"Input_Fin",#N/A,FALSE,"By Code";"Input_Opt",#N/A,FALSE,"By Code"}</definedName>
    <definedName name="_________dy5_2" hidden="1">{"Input_Fin",#N/A,FALSE,"By Code";"Input_Opt",#N/A,FALSE,"By Code"}</definedName>
    <definedName name="_________dy5_2_1" hidden="1">{"Input_Fin",#N/A,FALSE,"By Code";"Input_Opt",#N/A,FALSE,"By Code"}</definedName>
    <definedName name="_________dy5_2_2" hidden="1">{"Input_Fin",#N/A,FALSE,"By Code";"Input_Opt",#N/A,FALSE,"By Code"}</definedName>
    <definedName name="_________dy5_2_3" hidden="1">{"Input_Fin",#N/A,FALSE,"By Code";"Input_Opt",#N/A,FALSE,"By Code"}</definedName>
    <definedName name="_________dy5_3" hidden="1">{"Input_Fin",#N/A,FALSE,"By Code";"Input_Opt",#N/A,FALSE,"By Code"}</definedName>
    <definedName name="_________dy5_3_1" hidden="1">{"Input_Fin",#N/A,FALSE,"By Code";"Input_Opt",#N/A,FALSE,"By Code"}</definedName>
    <definedName name="_________dy5_3_2" hidden="1">{"Input_Fin",#N/A,FALSE,"By Code";"Input_Opt",#N/A,FALSE,"By Code"}</definedName>
    <definedName name="_________dy5_4" hidden="1">{"Input_Fin",#N/A,FALSE,"By Code";"Input_Opt",#N/A,FALSE,"By Code"}</definedName>
    <definedName name="_________dy5_5" hidden="1">{"Input_Fin",#N/A,FALSE,"By Code";"Input_Opt",#N/A,FALSE,"By Code"}</definedName>
    <definedName name="_________dy6" localSheetId="12" hidden="1">{"Input_Fin",#N/A,FALSE,"By Code";"Input_Opt",#N/A,FALSE,"By Code"}</definedName>
    <definedName name="_________dy6" hidden="1">{"Input_Fin",#N/A,FALSE,"By Code";"Input_Opt",#N/A,FALSE,"By Code"}</definedName>
    <definedName name="_________dy6_1" hidden="1">{"Input_Fin",#N/A,FALSE,"By Code";"Input_Opt",#N/A,FALSE,"By Code"}</definedName>
    <definedName name="_________dy6_1_1" hidden="1">{"Input_Fin",#N/A,FALSE,"By Code";"Input_Opt",#N/A,FALSE,"By Code"}</definedName>
    <definedName name="_________dy6_1_1_1" hidden="1">{"Input_Fin",#N/A,FALSE,"By Code";"Input_Opt",#N/A,FALSE,"By Code"}</definedName>
    <definedName name="_________dy6_1_1_2" hidden="1">{"Input_Fin",#N/A,FALSE,"By Code";"Input_Opt",#N/A,FALSE,"By Code"}</definedName>
    <definedName name="_________dy6_1_1_3" hidden="1">{"Input_Fin",#N/A,FALSE,"By Code";"Input_Opt",#N/A,FALSE,"By Code"}</definedName>
    <definedName name="_________dy6_1_2" hidden="1">{"Input_Fin",#N/A,FALSE,"By Code";"Input_Opt",#N/A,FALSE,"By Code"}</definedName>
    <definedName name="_________dy6_1_2_1" hidden="1">{"Input_Fin",#N/A,FALSE,"By Code";"Input_Opt",#N/A,FALSE,"By Code"}</definedName>
    <definedName name="_________dy6_1_2_2" hidden="1">{"Input_Fin",#N/A,FALSE,"By Code";"Input_Opt",#N/A,FALSE,"By Code"}</definedName>
    <definedName name="_________dy6_1_3" hidden="1">{"Input_Fin",#N/A,FALSE,"By Code";"Input_Opt",#N/A,FALSE,"By Code"}</definedName>
    <definedName name="_________dy6_1_4" hidden="1">{"Input_Fin",#N/A,FALSE,"By Code";"Input_Opt",#N/A,FALSE,"By Code"}</definedName>
    <definedName name="_________dy6_2" hidden="1">{"Input_Fin",#N/A,FALSE,"By Code";"Input_Opt",#N/A,FALSE,"By Code"}</definedName>
    <definedName name="_________dy6_2_1" hidden="1">{"Input_Fin",#N/A,FALSE,"By Code";"Input_Opt",#N/A,FALSE,"By Code"}</definedName>
    <definedName name="_________dy6_2_2" hidden="1">{"Input_Fin",#N/A,FALSE,"By Code";"Input_Opt",#N/A,FALSE,"By Code"}</definedName>
    <definedName name="_________dy6_2_3" hidden="1">{"Input_Fin",#N/A,FALSE,"By Code";"Input_Opt",#N/A,FALSE,"By Code"}</definedName>
    <definedName name="_________dy6_3" hidden="1">{"Input_Fin",#N/A,FALSE,"By Code";"Input_Opt",#N/A,FALSE,"By Code"}</definedName>
    <definedName name="_________dy6_3_1" hidden="1">{"Input_Fin",#N/A,FALSE,"By Code";"Input_Opt",#N/A,FALSE,"By Code"}</definedName>
    <definedName name="_________dy6_3_2" hidden="1">{"Input_Fin",#N/A,FALSE,"By Code";"Input_Opt",#N/A,FALSE,"By Code"}</definedName>
    <definedName name="_________dy6_4" hidden="1">{"Input_Fin",#N/A,FALSE,"By Code";"Input_Opt",#N/A,FALSE,"By Code"}</definedName>
    <definedName name="_________dy6_5" hidden="1">{"Input_Fin",#N/A,FALSE,"By Code";"Input_Opt",#N/A,FALSE,"By Code"}</definedName>
    <definedName name="_________jhi44" localSheetId="12" hidden="1">{"Input_Fin",#N/A,FALSE,"By Code";"Input_Opt",#N/A,FALSE,"By Code"}</definedName>
    <definedName name="_________jhi44" hidden="1">{"Input_Fin",#N/A,FALSE,"By Code";"Input_Opt",#N/A,FALSE,"By Code"}</definedName>
    <definedName name="_________jhi44_1" hidden="1">{"Input_Fin",#N/A,FALSE,"By Code";"Input_Opt",#N/A,FALSE,"By Code"}</definedName>
    <definedName name="_________jhi44_1_1" hidden="1">{"Input_Fin",#N/A,FALSE,"By Code";"Input_Opt",#N/A,FALSE,"By Code"}</definedName>
    <definedName name="_________jhi44_1_1_1" hidden="1">{"Input_Fin",#N/A,FALSE,"By Code";"Input_Opt",#N/A,FALSE,"By Code"}</definedName>
    <definedName name="_________jhi44_1_1_1_1" hidden="1">{"Input_Fin",#N/A,FALSE,"By Code";"Input_Opt",#N/A,FALSE,"By Code"}</definedName>
    <definedName name="_________jhi44_1_1_1_1_1" hidden="1">{"Input_Fin",#N/A,FALSE,"By Code";"Input_Opt",#N/A,FALSE,"By Code"}</definedName>
    <definedName name="_________jhi44_1_1_1_1_2" hidden="1">{"Input_Fin",#N/A,FALSE,"By Code";"Input_Opt",#N/A,FALSE,"By Code"}</definedName>
    <definedName name="_________jhi44_1_1_1_1_3" hidden="1">{"Input_Fin",#N/A,FALSE,"By Code";"Input_Opt",#N/A,FALSE,"By Code"}</definedName>
    <definedName name="_________jhi44_1_1_1_2" hidden="1">{"Input_Fin",#N/A,FALSE,"By Code";"Input_Opt",#N/A,FALSE,"By Code"}</definedName>
    <definedName name="_________jhi44_1_1_1_2_1" hidden="1">{"Input_Fin",#N/A,FALSE,"By Code";"Input_Opt",#N/A,FALSE,"By Code"}</definedName>
    <definedName name="_________jhi44_1_1_1_2_2" hidden="1">{"Input_Fin",#N/A,FALSE,"By Code";"Input_Opt",#N/A,FALSE,"By Code"}</definedName>
    <definedName name="_________jhi44_1_1_1_3" hidden="1">{"Input_Fin",#N/A,FALSE,"By Code";"Input_Opt",#N/A,FALSE,"By Code"}</definedName>
    <definedName name="_________jhi44_1_1_1_3_1" hidden="1">{"Input_Fin",#N/A,FALSE,"By Code";"Input_Opt",#N/A,FALSE,"By Code"}</definedName>
    <definedName name="_________jhi44_1_1_1_3_2" hidden="1">{"Input_Fin",#N/A,FALSE,"By Code";"Input_Opt",#N/A,FALSE,"By Code"}</definedName>
    <definedName name="_________jhi44_1_1_1_4" hidden="1">{"Input_Fin",#N/A,FALSE,"By Code";"Input_Opt",#N/A,FALSE,"By Code"}</definedName>
    <definedName name="_________jhi44_1_1_1_5" hidden="1">{"Input_Fin",#N/A,FALSE,"By Code";"Input_Opt",#N/A,FALSE,"By Code"}</definedName>
    <definedName name="_________jhi44_1_1_2" hidden="1">{"Input_Fin",#N/A,FALSE,"By Code";"Input_Opt",#N/A,FALSE,"By Code"}</definedName>
    <definedName name="_________jhi44_1_1_2_1" hidden="1">{"Input_Fin",#N/A,FALSE,"By Code";"Input_Opt",#N/A,FALSE,"By Code"}</definedName>
    <definedName name="_________jhi44_1_1_2_2" hidden="1">{"Input_Fin",#N/A,FALSE,"By Code";"Input_Opt",#N/A,FALSE,"By Code"}</definedName>
    <definedName name="_________jhi44_1_1_2_3" hidden="1">{"Input_Fin",#N/A,FALSE,"By Code";"Input_Opt",#N/A,FALSE,"By Code"}</definedName>
    <definedName name="_________jhi44_1_1_3" hidden="1">{"Input_Fin",#N/A,FALSE,"By Code";"Input_Opt",#N/A,FALSE,"By Code"}</definedName>
    <definedName name="_________jhi44_1_1_3_1" hidden="1">{"Input_Fin",#N/A,FALSE,"By Code";"Input_Opt",#N/A,FALSE,"By Code"}</definedName>
    <definedName name="_________jhi44_1_1_3_2" hidden="1">{"Input_Fin",#N/A,FALSE,"By Code";"Input_Opt",#N/A,FALSE,"By Code"}</definedName>
    <definedName name="_________jhi44_1_1_4" hidden="1">{"Input_Fin",#N/A,FALSE,"By Code";"Input_Opt",#N/A,FALSE,"By Code"}</definedName>
    <definedName name="_________jhi44_1_1_5" hidden="1">{"Input_Fin",#N/A,FALSE,"By Code";"Input_Opt",#N/A,FALSE,"By Code"}</definedName>
    <definedName name="_________jhi44_1_2" hidden="1">{"Input_Fin",#N/A,FALSE,"By Code";"Input_Opt",#N/A,FALSE,"By Code"}</definedName>
    <definedName name="_________jhi44_1_2_1" hidden="1">{"Input_Fin",#N/A,FALSE,"By Code";"Input_Opt",#N/A,FALSE,"By Code"}</definedName>
    <definedName name="_________jhi44_1_2_2" hidden="1">{"Input_Fin",#N/A,FALSE,"By Code";"Input_Opt",#N/A,FALSE,"By Code"}</definedName>
    <definedName name="_________jhi44_1_2_3" hidden="1">{"Input_Fin",#N/A,FALSE,"By Code";"Input_Opt",#N/A,FALSE,"By Code"}</definedName>
    <definedName name="_________jhi44_1_3" hidden="1">{"Input_Fin",#N/A,FALSE,"By Code";"Input_Opt",#N/A,FALSE,"By Code"}</definedName>
    <definedName name="_________jhi44_1_3_1" hidden="1">{"Input_Fin",#N/A,FALSE,"By Code";"Input_Opt",#N/A,FALSE,"By Code"}</definedName>
    <definedName name="_________jhi44_1_3_2" hidden="1">{"Input_Fin",#N/A,FALSE,"By Code";"Input_Opt",#N/A,FALSE,"By Code"}</definedName>
    <definedName name="_________jhi44_1_4" hidden="1">{"Input_Fin",#N/A,FALSE,"By Code";"Input_Opt",#N/A,FALSE,"By Code"}</definedName>
    <definedName name="_________jhi44_1_5" hidden="1">{"Input_Fin",#N/A,FALSE,"By Code";"Input_Opt",#N/A,FALSE,"By Code"}</definedName>
    <definedName name="_________jhi44_2" hidden="1">{"Input_Fin",#N/A,FALSE,"By Code";"Input_Opt",#N/A,FALSE,"By Code"}</definedName>
    <definedName name="_________jhi44_2_1" hidden="1">{"Input_Fin",#N/A,FALSE,"By Code";"Input_Opt",#N/A,FALSE,"By Code"}</definedName>
    <definedName name="_________jhi44_2_1_1" hidden="1">{"Input_Fin",#N/A,FALSE,"By Code";"Input_Opt",#N/A,FALSE,"By Code"}</definedName>
    <definedName name="_________jhi44_2_1_1_1" hidden="1">{"Input_Fin",#N/A,FALSE,"By Code";"Input_Opt",#N/A,FALSE,"By Code"}</definedName>
    <definedName name="_________jhi44_2_1_1_2" hidden="1">{"Input_Fin",#N/A,FALSE,"By Code";"Input_Opt",#N/A,FALSE,"By Code"}</definedName>
    <definedName name="_________jhi44_2_1_1_3" hidden="1">{"Input_Fin",#N/A,FALSE,"By Code";"Input_Opt",#N/A,FALSE,"By Code"}</definedName>
    <definedName name="_________jhi44_2_1_2" hidden="1">{"Input_Fin",#N/A,FALSE,"By Code";"Input_Opt",#N/A,FALSE,"By Code"}</definedName>
    <definedName name="_________jhi44_2_1_2_1" hidden="1">{"Input_Fin",#N/A,FALSE,"By Code";"Input_Opt",#N/A,FALSE,"By Code"}</definedName>
    <definedName name="_________jhi44_2_1_2_2" hidden="1">{"Input_Fin",#N/A,FALSE,"By Code";"Input_Opt",#N/A,FALSE,"By Code"}</definedName>
    <definedName name="_________jhi44_2_1_3" hidden="1">{"Input_Fin",#N/A,FALSE,"By Code";"Input_Opt",#N/A,FALSE,"By Code"}</definedName>
    <definedName name="_________jhi44_2_1_4" hidden="1">{"Input_Fin",#N/A,FALSE,"By Code";"Input_Opt",#N/A,FALSE,"By Code"}</definedName>
    <definedName name="_________jhi44_2_2" hidden="1">{"Input_Fin",#N/A,FALSE,"By Code";"Input_Opt",#N/A,FALSE,"By Code"}</definedName>
    <definedName name="_________jhi44_2_2_1" hidden="1">{"Input_Fin",#N/A,FALSE,"By Code";"Input_Opt",#N/A,FALSE,"By Code"}</definedName>
    <definedName name="_________jhi44_2_2_2" hidden="1">{"Input_Fin",#N/A,FALSE,"By Code";"Input_Opt",#N/A,FALSE,"By Code"}</definedName>
    <definedName name="_________jhi44_2_2_3" hidden="1">{"Input_Fin",#N/A,FALSE,"By Code";"Input_Opt",#N/A,FALSE,"By Code"}</definedName>
    <definedName name="_________jhi44_2_3" hidden="1">{"Input_Fin",#N/A,FALSE,"By Code";"Input_Opt",#N/A,FALSE,"By Code"}</definedName>
    <definedName name="_________jhi44_2_3_1" hidden="1">{"Input_Fin",#N/A,FALSE,"By Code";"Input_Opt",#N/A,FALSE,"By Code"}</definedName>
    <definedName name="_________jhi44_2_3_2" hidden="1">{"Input_Fin",#N/A,FALSE,"By Code";"Input_Opt",#N/A,FALSE,"By Code"}</definedName>
    <definedName name="_________jhi44_2_4" hidden="1">{"Input_Fin",#N/A,FALSE,"By Code";"Input_Opt",#N/A,FALSE,"By Code"}</definedName>
    <definedName name="_________jhi44_2_5" hidden="1">{"Input_Fin",#N/A,FALSE,"By Code";"Input_Opt",#N/A,FALSE,"By Code"}</definedName>
    <definedName name="_________jhi44_3" hidden="1">{"Input_Fin",#N/A,FALSE,"By Code";"Input_Opt",#N/A,FALSE,"By Code"}</definedName>
    <definedName name="_________jhi44_3_1" hidden="1">{"Input_Fin",#N/A,FALSE,"By Code";"Input_Opt",#N/A,FALSE,"By Code"}</definedName>
    <definedName name="_________jhi44_3_1_1" hidden="1">{"Input_Fin",#N/A,FALSE,"By Code";"Input_Opt",#N/A,FALSE,"By Code"}</definedName>
    <definedName name="_________jhi44_3_1_1_1" hidden="1">{"Input_Fin",#N/A,FALSE,"By Code";"Input_Opt",#N/A,FALSE,"By Code"}</definedName>
    <definedName name="_________jhi44_3_1_1_2" hidden="1">{"Input_Fin",#N/A,FALSE,"By Code";"Input_Opt",#N/A,FALSE,"By Code"}</definedName>
    <definedName name="_________jhi44_3_1_1_3" hidden="1">{"Input_Fin",#N/A,FALSE,"By Code";"Input_Opt",#N/A,FALSE,"By Code"}</definedName>
    <definedName name="_________jhi44_3_1_2" hidden="1">{"Input_Fin",#N/A,FALSE,"By Code";"Input_Opt",#N/A,FALSE,"By Code"}</definedName>
    <definedName name="_________jhi44_3_1_2_1" hidden="1">{"Input_Fin",#N/A,FALSE,"By Code";"Input_Opt",#N/A,FALSE,"By Code"}</definedName>
    <definedName name="_________jhi44_3_1_2_2" hidden="1">{"Input_Fin",#N/A,FALSE,"By Code";"Input_Opt",#N/A,FALSE,"By Code"}</definedName>
    <definedName name="_________jhi44_3_1_3" hidden="1">{"Input_Fin",#N/A,FALSE,"By Code";"Input_Opt",#N/A,FALSE,"By Code"}</definedName>
    <definedName name="_________jhi44_3_1_4" hidden="1">{"Input_Fin",#N/A,FALSE,"By Code";"Input_Opt",#N/A,FALSE,"By Code"}</definedName>
    <definedName name="_________jhi44_3_2" hidden="1">{"Input_Fin",#N/A,FALSE,"By Code";"Input_Opt",#N/A,FALSE,"By Code"}</definedName>
    <definedName name="_________jhi44_3_2_1" hidden="1">{"Input_Fin",#N/A,FALSE,"By Code";"Input_Opt",#N/A,FALSE,"By Code"}</definedName>
    <definedName name="_________jhi44_3_2_2" hidden="1">{"Input_Fin",#N/A,FALSE,"By Code";"Input_Opt",#N/A,FALSE,"By Code"}</definedName>
    <definedName name="_________jhi44_3_2_3" hidden="1">{"Input_Fin",#N/A,FALSE,"By Code";"Input_Opt",#N/A,FALSE,"By Code"}</definedName>
    <definedName name="_________jhi44_3_3" hidden="1">{"Input_Fin",#N/A,FALSE,"By Code";"Input_Opt",#N/A,FALSE,"By Code"}</definedName>
    <definedName name="_________jhi44_3_3_1" hidden="1">{"Input_Fin",#N/A,FALSE,"By Code";"Input_Opt",#N/A,FALSE,"By Code"}</definedName>
    <definedName name="_________jhi44_3_3_2" hidden="1">{"Input_Fin",#N/A,FALSE,"By Code";"Input_Opt",#N/A,FALSE,"By Code"}</definedName>
    <definedName name="_________jhi44_3_4" hidden="1">{"Input_Fin",#N/A,FALSE,"By Code";"Input_Opt",#N/A,FALSE,"By Code"}</definedName>
    <definedName name="_________jhi44_3_5" hidden="1">{"Input_Fin",#N/A,FALSE,"By Code";"Input_Opt",#N/A,FALSE,"By Code"}</definedName>
    <definedName name="_________jhi44_4" hidden="1">{"Input_Fin",#N/A,FALSE,"By Code";"Input_Opt",#N/A,FALSE,"By Code"}</definedName>
    <definedName name="_________jhi44_4_1" hidden="1">{"Input_Fin",#N/A,FALSE,"By Code";"Input_Opt",#N/A,FALSE,"By Code"}</definedName>
    <definedName name="_________jhi44_4_1_1" hidden="1">{"Input_Fin",#N/A,FALSE,"By Code";"Input_Opt",#N/A,FALSE,"By Code"}</definedName>
    <definedName name="_________jhi44_4_1_1_1" hidden="1">{"Input_Fin",#N/A,FALSE,"By Code";"Input_Opt",#N/A,FALSE,"By Code"}</definedName>
    <definedName name="_________jhi44_4_1_1_2" hidden="1">{"Input_Fin",#N/A,FALSE,"By Code";"Input_Opt",#N/A,FALSE,"By Code"}</definedName>
    <definedName name="_________jhi44_4_1_1_3" hidden="1">{"Input_Fin",#N/A,FALSE,"By Code";"Input_Opt",#N/A,FALSE,"By Code"}</definedName>
    <definedName name="_________jhi44_4_1_2" hidden="1">{"Input_Fin",#N/A,FALSE,"By Code";"Input_Opt",#N/A,FALSE,"By Code"}</definedName>
    <definedName name="_________jhi44_4_1_2_1" hidden="1">{"Input_Fin",#N/A,FALSE,"By Code";"Input_Opt",#N/A,FALSE,"By Code"}</definedName>
    <definedName name="_________jhi44_4_1_2_2" hidden="1">{"Input_Fin",#N/A,FALSE,"By Code";"Input_Opt",#N/A,FALSE,"By Code"}</definedName>
    <definedName name="_________jhi44_4_1_3" hidden="1">{"Input_Fin",#N/A,FALSE,"By Code";"Input_Opt",#N/A,FALSE,"By Code"}</definedName>
    <definedName name="_________jhi44_4_1_4" hidden="1">{"Input_Fin",#N/A,FALSE,"By Code";"Input_Opt",#N/A,FALSE,"By Code"}</definedName>
    <definedName name="_________jhi44_4_2" hidden="1">{"Input_Fin",#N/A,FALSE,"By Code";"Input_Opt",#N/A,FALSE,"By Code"}</definedName>
    <definedName name="_________jhi44_4_2_1" hidden="1">{"Input_Fin",#N/A,FALSE,"By Code";"Input_Opt",#N/A,FALSE,"By Code"}</definedName>
    <definedName name="_________jhi44_4_2_2" hidden="1">{"Input_Fin",#N/A,FALSE,"By Code";"Input_Opt",#N/A,FALSE,"By Code"}</definedName>
    <definedName name="_________jhi44_4_2_3" hidden="1">{"Input_Fin",#N/A,FALSE,"By Code";"Input_Opt",#N/A,FALSE,"By Code"}</definedName>
    <definedName name="_________jhi44_4_3" hidden="1">{"Input_Fin",#N/A,FALSE,"By Code";"Input_Opt",#N/A,FALSE,"By Code"}</definedName>
    <definedName name="_________jhi44_4_3_1" hidden="1">{"Input_Fin",#N/A,FALSE,"By Code";"Input_Opt",#N/A,FALSE,"By Code"}</definedName>
    <definedName name="_________jhi44_4_3_2" hidden="1">{"Input_Fin",#N/A,FALSE,"By Code";"Input_Opt",#N/A,FALSE,"By Code"}</definedName>
    <definedName name="_________jhi44_4_4" hidden="1">{"Input_Fin",#N/A,FALSE,"By Code";"Input_Opt",#N/A,FALSE,"By Code"}</definedName>
    <definedName name="_________jhi44_4_5" hidden="1">{"Input_Fin",#N/A,FALSE,"By Code";"Input_Opt",#N/A,FALSE,"By Code"}</definedName>
    <definedName name="_________jhi44_5" hidden="1">{"Input_Fin",#N/A,FALSE,"By Code";"Input_Opt",#N/A,FALSE,"By Code"}</definedName>
    <definedName name="_________jhi44_5_1" hidden="1">{"Input_Fin",#N/A,FALSE,"By Code";"Input_Opt",#N/A,FALSE,"By Code"}</definedName>
    <definedName name="_________jhi44_5_1_1" hidden="1">{"Input_Fin",#N/A,FALSE,"By Code";"Input_Opt",#N/A,FALSE,"By Code"}</definedName>
    <definedName name="_________jhi44_5_1_1_1" hidden="1">{"Input_Fin",#N/A,FALSE,"By Code";"Input_Opt",#N/A,FALSE,"By Code"}</definedName>
    <definedName name="_________jhi44_5_1_1_2" hidden="1">{"Input_Fin",#N/A,FALSE,"By Code";"Input_Opt",#N/A,FALSE,"By Code"}</definedName>
    <definedName name="_________jhi44_5_1_1_3" hidden="1">{"Input_Fin",#N/A,FALSE,"By Code";"Input_Opt",#N/A,FALSE,"By Code"}</definedName>
    <definedName name="_________jhi44_5_1_2" hidden="1">{"Input_Fin",#N/A,FALSE,"By Code";"Input_Opt",#N/A,FALSE,"By Code"}</definedName>
    <definedName name="_________jhi44_5_1_2_1" hidden="1">{"Input_Fin",#N/A,FALSE,"By Code";"Input_Opt",#N/A,FALSE,"By Code"}</definedName>
    <definedName name="_________jhi44_5_1_2_2" hidden="1">{"Input_Fin",#N/A,FALSE,"By Code";"Input_Opt",#N/A,FALSE,"By Code"}</definedName>
    <definedName name="_________jhi44_5_1_3" hidden="1">{"Input_Fin",#N/A,FALSE,"By Code";"Input_Opt",#N/A,FALSE,"By Code"}</definedName>
    <definedName name="_________jhi44_5_1_4" hidden="1">{"Input_Fin",#N/A,FALSE,"By Code";"Input_Opt",#N/A,FALSE,"By Code"}</definedName>
    <definedName name="_________jhi44_5_2" hidden="1">{"Input_Fin",#N/A,FALSE,"By Code";"Input_Opt",#N/A,FALSE,"By Code"}</definedName>
    <definedName name="_________jhi44_5_2_1" hidden="1">{"Input_Fin",#N/A,FALSE,"By Code";"Input_Opt",#N/A,FALSE,"By Code"}</definedName>
    <definedName name="_________jhi44_5_2_2" hidden="1">{"Input_Fin",#N/A,FALSE,"By Code";"Input_Opt",#N/A,FALSE,"By Code"}</definedName>
    <definedName name="_________jhi44_5_2_3" hidden="1">{"Input_Fin",#N/A,FALSE,"By Code";"Input_Opt",#N/A,FALSE,"By Code"}</definedName>
    <definedName name="_________jhi44_5_3" hidden="1">{"Input_Fin",#N/A,FALSE,"By Code";"Input_Opt",#N/A,FALSE,"By Code"}</definedName>
    <definedName name="_________jhi44_5_3_1" hidden="1">{"Input_Fin",#N/A,FALSE,"By Code";"Input_Opt",#N/A,FALSE,"By Code"}</definedName>
    <definedName name="_________jhi44_5_3_2" hidden="1">{"Input_Fin",#N/A,FALSE,"By Code";"Input_Opt",#N/A,FALSE,"By Code"}</definedName>
    <definedName name="_________jhi44_5_4" hidden="1">{"Input_Fin",#N/A,FALSE,"By Code";"Input_Opt",#N/A,FALSE,"By Code"}</definedName>
    <definedName name="_________jhi44_5_5" hidden="1">{"Input_Fin",#N/A,FALSE,"By Code";"Input_Opt",#N/A,FALSE,"By Code"}</definedName>
    <definedName name="________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123" localSheetId="12" hidden="1">{"Input_Fin",#N/A,FALSE,"By Code";"Input_Opt",#N/A,FALSE,"By Code"}</definedName>
    <definedName name="________D123" hidden="1">{"Input_Fin",#N/A,FALSE,"By Code";"Input_Opt",#N/A,FALSE,"By Code"}</definedName>
    <definedName name="________dd2" hidden="1">{"Input_Fin",#N/A,FALSE,"By Code";"Input_Opt",#N/A,FALSE,"By Code"}</definedName>
    <definedName name="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1" localSheetId="12" hidden="1">{"Input_Fin",#N/A,FALSE,"By Code";"Input_Opt",#N/A,FALSE,"By Code"}</definedName>
    <definedName name="________dy1" hidden="1">{"Input_Fin",#N/A,FALSE,"By Code";"Input_Opt",#N/A,FALSE,"By Code"}</definedName>
    <definedName name="________dy1_1" hidden="1">{"Input_Fin",#N/A,FALSE,"By Code";"Input_Opt",#N/A,FALSE,"By Code"}</definedName>
    <definedName name="________dy1_1_1" hidden="1">{"Input_Fin",#N/A,FALSE,"By Code";"Input_Opt",#N/A,FALSE,"By Code"}</definedName>
    <definedName name="________dy1_1_1_1" hidden="1">{"Input_Fin",#N/A,FALSE,"By Code";"Input_Opt",#N/A,FALSE,"By Code"}</definedName>
    <definedName name="________dy1_1_1_2" hidden="1">{"Input_Fin",#N/A,FALSE,"By Code";"Input_Opt",#N/A,FALSE,"By Code"}</definedName>
    <definedName name="________dy1_1_1_3" hidden="1">{"Input_Fin",#N/A,FALSE,"By Code";"Input_Opt",#N/A,FALSE,"By Code"}</definedName>
    <definedName name="________dy1_1_2" hidden="1">{"Input_Fin",#N/A,FALSE,"By Code";"Input_Opt",#N/A,FALSE,"By Code"}</definedName>
    <definedName name="________dy1_1_2_1" hidden="1">{"Input_Fin",#N/A,FALSE,"By Code";"Input_Opt",#N/A,FALSE,"By Code"}</definedName>
    <definedName name="________dy1_1_2_2" hidden="1">{"Input_Fin",#N/A,FALSE,"By Code";"Input_Opt",#N/A,FALSE,"By Code"}</definedName>
    <definedName name="________dy1_1_3" hidden="1">{"Input_Fin",#N/A,FALSE,"By Code";"Input_Opt",#N/A,FALSE,"By Code"}</definedName>
    <definedName name="________dy1_1_4" hidden="1">{"Input_Fin",#N/A,FALSE,"By Code";"Input_Opt",#N/A,FALSE,"By Code"}</definedName>
    <definedName name="________dy1_2" hidden="1">{"Input_Fin",#N/A,FALSE,"By Code";"Input_Opt",#N/A,FALSE,"By Code"}</definedName>
    <definedName name="________dy1_2_1" hidden="1">{"Input_Fin",#N/A,FALSE,"By Code";"Input_Opt",#N/A,FALSE,"By Code"}</definedName>
    <definedName name="________dy1_2_2" hidden="1">{"Input_Fin",#N/A,FALSE,"By Code";"Input_Opt",#N/A,FALSE,"By Code"}</definedName>
    <definedName name="________dy1_2_3" hidden="1">{"Input_Fin",#N/A,FALSE,"By Code";"Input_Opt",#N/A,FALSE,"By Code"}</definedName>
    <definedName name="________dy1_3" hidden="1">{"Input_Fin",#N/A,FALSE,"By Code";"Input_Opt",#N/A,FALSE,"By Code"}</definedName>
    <definedName name="________dy1_3_1" hidden="1">{"Input_Fin",#N/A,FALSE,"By Code";"Input_Opt",#N/A,FALSE,"By Code"}</definedName>
    <definedName name="________dy1_3_2" hidden="1">{"Input_Fin",#N/A,FALSE,"By Code";"Input_Opt",#N/A,FALSE,"By Code"}</definedName>
    <definedName name="________dy1_4" hidden="1">{"Input_Fin",#N/A,FALSE,"By Code";"Input_Opt",#N/A,FALSE,"By Code"}</definedName>
    <definedName name="________dy1_5" hidden="1">{"Input_Fin",#N/A,FALSE,"By Code";"Input_Opt",#N/A,FALSE,"By Code"}</definedName>
    <definedName name="_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5" localSheetId="12" hidden="1">{"Input_Fin",#N/A,FALSE,"By Code";"Input_Opt",#N/A,FALSE,"By Code"}</definedName>
    <definedName name="________dy5" hidden="1">{"Input_Fin",#N/A,FALSE,"By Code";"Input_Opt",#N/A,FALSE,"By Code"}</definedName>
    <definedName name="________dy5_1" hidden="1">{"Input_Fin",#N/A,FALSE,"By Code";"Input_Opt",#N/A,FALSE,"By Code"}</definedName>
    <definedName name="________dy5_1_1" hidden="1">{"Input_Fin",#N/A,FALSE,"By Code";"Input_Opt",#N/A,FALSE,"By Code"}</definedName>
    <definedName name="________dy5_1_1_1" hidden="1">{"Input_Fin",#N/A,FALSE,"By Code";"Input_Opt",#N/A,FALSE,"By Code"}</definedName>
    <definedName name="________dy5_1_1_2" hidden="1">{"Input_Fin",#N/A,FALSE,"By Code";"Input_Opt",#N/A,FALSE,"By Code"}</definedName>
    <definedName name="________dy5_1_1_3" hidden="1">{"Input_Fin",#N/A,FALSE,"By Code";"Input_Opt",#N/A,FALSE,"By Code"}</definedName>
    <definedName name="________dy5_1_2" hidden="1">{"Input_Fin",#N/A,FALSE,"By Code";"Input_Opt",#N/A,FALSE,"By Code"}</definedName>
    <definedName name="________dy5_1_2_1" hidden="1">{"Input_Fin",#N/A,FALSE,"By Code";"Input_Opt",#N/A,FALSE,"By Code"}</definedName>
    <definedName name="________dy5_1_2_2" hidden="1">{"Input_Fin",#N/A,FALSE,"By Code";"Input_Opt",#N/A,FALSE,"By Code"}</definedName>
    <definedName name="________dy5_1_3" hidden="1">{"Input_Fin",#N/A,FALSE,"By Code";"Input_Opt",#N/A,FALSE,"By Code"}</definedName>
    <definedName name="________dy5_1_4" hidden="1">{"Input_Fin",#N/A,FALSE,"By Code";"Input_Opt",#N/A,FALSE,"By Code"}</definedName>
    <definedName name="________dy5_2" hidden="1">{"Input_Fin",#N/A,FALSE,"By Code";"Input_Opt",#N/A,FALSE,"By Code"}</definedName>
    <definedName name="________dy5_2_1" hidden="1">{"Input_Fin",#N/A,FALSE,"By Code";"Input_Opt",#N/A,FALSE,"By Code"}</definedName>
    <definedName name="________dy5_2_2" hidden="1">{"Input_Fin",#N/A,FALSE,"By Code";"Input_Opt",#N/A,FALSE,"By Code"}</definedName>
    <definedName name="________dy5_2_3" hidden="1">{"Input_Fin",#N/A,FALSE,"By Code";"Input_Opt",#N/A,FALSE,"By Code"}</definedName>
    <definedName name="________dy5_3" hidden="1">{"Input_Fin",#N/A,FALSE,"By Code";"Input_Opt",#N/A,FALSE,"By Code"}</definedName>
    <definedName name="________dy5_3_1" hidden="1">{"Input_Fin",#N/A,FALSE,"By Code";"Input_Opt",#N/A,FALSE,"By Code"}</definedName>
    <definedName name="________dy5_3_2" hidden="1">{"Input_Fin",#N/A,FALSE,"By Code";"Input_Opt",#N/A,FALSE,"By Code"}</definedName>
    <definedName name="________dy5_4" hidden="1">{"Input_Fin",#N/A,FALSE,"By Code";"Input_Opt",#N/A,FALSE,"By Code"}</definedName>
    <definedName name="________dy5_5" hidden="1">{"Input_Fin",#N/A,FALSE,"By Code";"Input_Opt",#N/A,FALSE,"By Code"}</definedName>
    <definedName name="________dy6" localSheetId="12" hidden="1">{"Input_Fin",#N/A,FALSE,"By Code";"Input_Opt",#N/A,FALSE,"By Code"}</definedName>
    <definedName name="________dy6" hidden="1">{"Input_Fin",#N/A,FALSE,"By Code";"Input_Opt",#N/A,FALSE,"By Code"}</definedName>
    <definedName name="________dy6_1" hidden="1">{"Input_Fin",#N/A,FALSE,"By Code";"Input_Opt",#N/A,FALSE,"By Code"}</definedName>
    <definedName name="________dy6_1_1" hidden="1">{"Input_Fin",#N/A,FALSE,"By Code";"Input_Opt",#N/A,FALSE,"By Code"}</definedName>
    <definedName name="________dy6_1_1_1" hidden="1">{"Input_Fin",#N/A,FALSE,"By Code";"Input_Opt",#N/A,FALSE,"By Code"}</definedName>
    <definedName name="________dy6_1_1_2" hidden="1">{"Input_Fin",#N/A,FALSE,"By Code";"Input_Opt",#N/A,FALSE,"By Code"}</definedName>
    <definedName name="________dy6_1_1_3" hidden="1">{"Input_Fin",#N/A,FALSE,"By Code";"Input_Opt",#N/A,FALSE,"By Code"}</definedName>
    <definedName name="________dy6_1_2" hidden="1">{"Input_Fin",#N/A,FALSE,"By Code";"Input_Opt",#N/A,FALSE,"By Code"}</definedName>
    <definedName name="________dy6_1_2_1" hidden="1">{"Input_Fin",#N/A,FALSE,"By Code";"Input_Opt",#N/A,FALSE,"By Code"}</definedName>
    <definedName name="________dy6_1_2_2" hidden="1">{"Input_Fin",#N/A,FALSE,"By Code";"Input_Opt",#N/A,FALSE,"By Code"}</definedName>
    <definedName name="________dy6_1_3" hidden="1">{"Input_Fin",#N/A,FALSE,"By Code";"Input_Opt",#N/A,FALSE,"By Code"}</definedName>
    <definedName name="________dy6_1_4" hidden="1">{"Input_Fin",#N/A,FALSE,"By Code";"Input_Opt",#N/A,FALSE,"By Code"}</definedName>
    <definedName name="________dy6_2" hidden="1">{"Input_Fin",#N/A,FALSE,"By Code";"Input_Opt",#N/A,FALSE,"By Code"}</definedName>
    <definedName name="________dy6_2_1" hidden="1">{"Input_Fin",#N/A,FALSE,"By Code";"Input_Opt",#N/A,FALSE,"By Code"}</definedName>
    <definedName name="________dy6_2_2" hidden="1">{"Input_Fin",#N/A,FALSE,"By Code";"Input_Opt",#N/A,FALSE,"By Code"}</definedName>
    <definedName name="________dy6_2_3" hidden="1">{"Input_Fin",#N/A,FALSE,"By Code";"Input_Opt",#N/A,FALSE,"By Code"}</definedName>
    <definedName name="________dy6_3" hidden="1">{"Input_Fin",#N/A,FALSE,"By Code";"Input_Opt",#N/A,FALSE,"By Code"}</definedName>
    <definedName name="________dy6_3_1" hidden="1">{"Input_Fin",#N/A,FALSE,"By Code";"Input_Opt",#N/A,FALSE,"By Code"}</definedName>
    <definedName name="________dy6_3_2" hidden="1">{"Input_Fin",#N/A,FALSE,"By Code";"Input_Opt",#N/A,FALSE,"By Code"}</definedName>
    <definedName name="________dy6_4" hidden="1">{"Input_Fin",#N/A,FALSE,"By Code";"Input_Opt",#N/A,FALSE,"By Code"}</definedName>
    <definedName name="________dy6_5" hidden="1">{"Input_Fin",#N/A,FALSE,"By Code";"Input_Opt",#N/A,FALSE,"By Code"}</definedName>
    <definedName name="________dy7" hidden="1">{"Input_Fin",#N/A,FALSE,"By Code";"Input_Opt",#N/A,FALSE,"By Code"}</definedName>
    <definedName name="________jhi44" localSheetId="12" hidden="1">{"Input_Fin",#N/A,FALSE,"By Code";"Input_Opt",#N/A,FALSE,"By Code"}</definedName>
    <definedName name="________jhi44" hidden="1">{"Input_Fin",#N/A,FALSE,"By Code";"Input_Opt",#N/A,FALSE,"By Code"}</definedName>
    <definedName name="________jhi44_1" hidden="1">{"Input_Fin",#N/A,FALSE,"By Code";"Input_Opt",#N/A,FALSE,"By Code"}</definedName>
    <definedName name="________jhi44_1_1" hidden="1">{"Input_Fin",#N/A,FALSE,"By Code";"Input_Opt",#N/A,FALSE,"By Code"}</definedName>
    <definedName name="________jhi44_1_1_1" hidden="1">{"Input_Fin",#N/A,FALSE,"By Code";"Input_Opt",#N/A,FALSE,"By Code"}</definedName>
    <definedName name="________jhi44_1_1_1_1" hidden="1">{"Input_Fin",#N/A,FALSE,"By Code";"Input_Opt",#N/A,FALSE,"By Code"}</definedName>
    <definedName name="________jhi44_1_1_1_1_1" hidden="1">{"Input_Fin",#N/A,FALSE,"By Code";"Input_Opt",#N/A,FALSE,"By Code"}</definedName>
    <definedName name="________jhi44_1_1_1_1_2" hidden="1">{"Input_Fin",#N/A,FALSE,"By Code";"Input_Opt",#N/A,FALSE,"By Code"}</definedName>
    <definedName name="________jhi44_1_1_1_1_3" hidden="1">{"Input_Fin",#N/A,FALSE,"By Code";"Input_Opt",#N/A,FALSE,"By Code"}</definedName>
    <definedName name="________jhi44_1_1_1_2" hidden="1">{"Input_Fin",#N/A,FALSE,"By Code";"Input_Opt",#N/A,FALSE,"By Code"}</definedName>
    <definedName name="________jhi44_1_1_1_2_1" hidden="1">{"Input_Fin",#N/A,FALSE,"By Code";"Input_Opt",#N/A,FALSE,"By Code"}</definedName>
    <definedName name="________jhi44_1_1_1_2_2" hidden="1">{"Input_Fin",#N/A,FALSE,"By Code";"Input_Opt",#N/A,FALSE,"By Code"}</definedName>
    <definedName name="________jhi44_1_1_1_3" hidden="1">{"Input_Fin",#N/A,FALSE,"By Code";"Input_Opt",#N/A,FALSE,"By Code"}</definedName>
    <definedName name="________jhi44_1_1_1_3_1" hidden="1">{"Input_Fin",#N/A,FALSE,"By Code";"Input_Opt",#N/A,FALSE,"By Code"}</definedName>
    <definedName name="________jhi44_1_1_1_3_2" hidden="1">{"Input_Fin",#N/A,FALSE,"By Code";"Input_Opt",#N/A,FALSE,"By Code"}</definedName>
    <definedName name="________jhi44_1_1_1_4" hidden="1">{"Input_Fin",#N/A,FALSE,"By Code";"Input_Opt",#N/A,FALSE,"By Code"}</definedName>
    <definedName name="________jhi44_1_1_1_5" hidden="1">{"Input_Fin",#N/A,FALSE,"By Code";"Input_Opt",#N/A,FALSE,"By Code"}</definedName>
    <definedName name="________jhi44_1_1_2" hidden="1">{"Input_Fin",#N/A,FALSE,"By Code";"Input_Opt",#N/A,FALSE,"By Code"}</definedName>
    <definedName name="________jhi44_1_1_2_1" hidden="1">{"Input_Fin",#N/A,FALSE,"By Code";"Input_Opt",#N/A,FALSE,"By Code"}</definedName>
    <definedName name="________jhi44_1_1_2_2" hidden="1">{"Input_Fin",#N/A,FALSE,"By Code";"Input_Opt",#N/A,FALSE,"By Code"}</definedName>
    <definedName name="________jhi44_1_1_2_3" hidden="1">{"Input_Fin",#N/A,FALSE,"By Code";"Input_Opt",#N/A,FALSE,"By Code"}</definedName>
    <definedName name="________jhi44_1_1_3" hidden="1">{"Input_Fin",#N/A,FALSE,"By Code";"Input_Opt",#N/A,FALSE,"By Code"}</definedName>
    <definedName name="________jhi44_1_1_3_1" hidden="1">{"Input_Fin",#N/A,FALSE,"By Code";"Input_Opt",#N/A,FALSE,"By Code"}</definedName>
    <definedName name="________jhi44_1_1_3_2" hidden="1">{"Input_Fin",#N/A,FALSE,"By Code";"Input_Opt",#N/A,FALSE,"By Code"}</definedName>
    <definedName name="________jhi44_1_1_4" hidden="1">{"Input_Fin",#N/A,FALSE,"By Code";"Input_Opt",#N/A,FALSE,"By Code"}</definedName>
    <definedName name="________jhi44_1_1_5" hidden="1">{"Input_Fin",#N/A,FALSE,"By Code";"Input_Opt",#N/A,FALSE,"By Code"}</definedName>
    <definedName name="________jhi44_1_2" hidden="1">{"Input_Fin",#N/A,FALSE,"By Code";"Input_Opt",#N/A,FALSE,"By Code"}</definedName>
    <definedName name="________jhi44_1_2_1" hidden="1">{"Input_Fin",#N/A,FALSE,"By Code";"Input_Opt",#N/A,FALSE,"By Code"}</definedName>
    <definedName name="________jhi44_1_2_2" hidden="1">{"Input_Fin",#N/A,FALSE,"By Code";"Input_Opt",#N/A,FALSE,"By Code"}</definedName>
    <definedName name="________jhi44_1_2_3" hidden="1">{"Input_Fin",#N/A,FALSE,"By Code";"Input_Opt",#N/A,FALSE,"By Code"}</definedName>
    <definedName name="________jhi44_1_3" hidden="1">{"Input_Fin",#N/A,FALSE,"By Code";"Input_Opt",#N/A,FALSE,"By Code"}</definedName>
    <definedName name="________jhi44_1_3_1" hidden="1">{"Input_Fin",#N/A,FALSE,"By Code";"Input_Opt",#N/A,FALSE,"By Code"}</definedName>
    <definedName name="________jhi44_1_3_2" hidden="1">{"Input_Fin",#N/A,FALSE,"By Code";"Input_Opt",#N/A,FALSE,"By Code"}</definedName>
    <definedName name="________jhi44_1_4" hidden="1">{"Input_Fin",#N/A,FALSE,"By Code";"Input_Opt",#N/A,FALSE,"By Code"}</definedName>
    <definedName name="________jhi44_1_5" hidden="1">{"Input_Fin",#N/A,FALSE,"By Code";"Input_Opt",#N/A,FALSE,"By Code"}</definedName>
    <definedName name="________jhi44_2" hidden="1">{"Input_Fin",#N/A,FALSE,"By Code";"Input_Opt",#N/A,FALSE,"By Code"}</definedName>
    <definedName name="________jhi44_2_1" hidden="1">{"Input_Fin",#N/A,FALSE,"By Code";"Input_Opt",#N/A,FALSE,"By Code"}</definedName>
    <definedName name="________jhi44_2_1_1" hidden="1">{"Input_Fin",#N/A,FALSE,"By Code";"Input_Opt",#N/A,FALSE,"By Code"}</definedName>
    <definedName name="________jhi44_2_1_1_1" hidden="1">{"Input_Fin",#N/A,FALSE,"By Code";"Input_Opt",#N/A,FALSE,"By Code"}</definedName>
    <definedName name="________jhi44_2_1_1_2" hidden="1">{"Input_Fin",#N/A,FALSE,"By Code";"Input_Opt",#N/A,FALSE,"By Code"}</definedName>
    <definedName name="________jhi44_2_1_1_3" hidden="1">{"Input_Fin",#N/A,FALSE,"By Code";"Input_Opt",#N/A,FALSE,"By Code"}</definedName>
    <definedName name="________jhi44_2_1_2" hidden="1">{"Input_Fin",#N/A,FALSE,"By Code";"Input_Opt",#N/A,FALSE,"By Code"}</definedName>
    <definedName name="________jhi44_2_1_2_1" hidden="1">{"Input_Fin",#N/A,FALSE,"By Code";"Input_Opt",#N/A,FALSE,"By Code"}</definedName>
    <definedName name="________jhi44_2_1_2_2" hidden="1">{"Input_Fin",#N/A,FALSE,"By Code";"Input_Opt",#N/A,FALSE,"By Code"}</definedName>
    <definedName name="________jhi44_2_1_3" hidden="1">{"Input_Fin",#N/A,FALSE,"By Code";"Input_Opt",#N/A,FALSE,"By Code"}</definedName>
    <definedName name="________jhi44_2_1_4" hidden="1">{"Input_Fin",#N/A,FALSE,"By Code";"Input_Opt",#N/A,FALSE,"By Code"}</definedName>
    <definedName name="________jhi44_2_2" hidden="1">{"Input_Fin",#N/A,FALSE,"By Code";"Input_Opt",#N/A,FALSE,"By Code"}</definedName>
    <definedName name="________jhi44_2_2_1" hidden="1">{"Input_Fin",#N/A,FALSE,"By Code";"Input_Opt",#N/A,FALSE,"By Code"}</definedName>
    <definedName name="________jhi44_2_2_2" hidden="1">{"Input_Fin",#N/A,FALSE,"By Code";"Input_Opt",#N/A,FALSE,"By Code"}</definedName>
    <definedName name="________jhi44_2_2_3" hidden="1">{"Input_Fin",#N/A,FALSE,"By Code";"Input_Opt",#N/A,FALSE,"By Code"}</definedName>
    <definedName name="________jhi44_2_3" hidden="1">{"Input_Fin",#N/A,FALSE,"By Code";"Input_Opt",#N/A,FALSE,"By Code"}</definedName>
    <definedName name="________jhi44_2_3_1" hidden="1">{"Input_Fin",#N/A,FALSE,"By Code";"Input_Opt",#N/A,FALSE,"By Code"}</definedName>
    <definedName name="________jhi44_2_3_2" hidden="1">{"Input_Fin",#N/A,FALSE,"By Code";"Input_Opt",#N/A,FALSE,"By Code"}</definedName>
    <definedName name="________jhi44_2_4" hidden="1">{"Input_Fin",#N/A,FALSE,"By Code";"Input_Opt",#N/A,FALSE,"By Code"}</definedName>
    <definedName name="________jhi44_2_5" hidden="1">{"Input_Fin",#N/A,FALSE,"By Code";"Input_Opt",#N/A,FALSE,"By Code"}</definedName>
    <definedName name="________jhi44_3" hidden="1">{"Input_Fin",#N/A,FALSE,"By Code";"Input_Opt",#N/A,FALSE,"By Code"}</definedName>
    <definedName name="________jhi44_3_1" hidden="1">{"Input_Fin",#N/A,FALSE,"By Code";"Input_Opt",#N/A,FALSE,"By Code"}</definedName>
    <definedName name="________jhi44_3_1_1" hidden="1">{"Input_Fin",#N/A,FALSE,"By Code";"Input_Opt",#N/A,FALSE,"By Code"}</definedName>
    <definedName name="________jhi44_3_1_1_1" hidden="1">{"Input_Fin",#N/A,FALSE,"By Code";"Input_Opt",#N/A,FALSE,"By Code"}</definedName>
    <definedName name="________jhi44_3_1_1_2" hidden="1">{"Input_Fin",#N/A,FALSE,"By Code";"Input_Opt",#N/A,FALSE,"By Code"}</definedName>
    <definedName name="________jhi44_3_1_1_3" hidden="1">{"Input_Fin",#N/A,FALSE,"By Code";"Input_Opt",#N/A,FALSE,"By Code"}</definedName>
    <definedName name="________jhi44_3_1_2" hidden="1">{"Input_Fin",#N/A,FALSE,"By Code";"Input_Opt",#N/A,FALSE,"By Code"}</definedName>
    <definedName name="________jhi44_3_1_2_1" hidden="1">{"Input_Fin",#N/A,FALSE,"By Code";"Input_Opt",#N/A,FALSE,"By Code"}</definedName>
    <definedName name="________jhi44_3_1_2_2" hidden="1">{"Input_Fin",#N/A,FALSE,"By Code";"Input_Opt",#N/A,FALSE,"By Code"}</definedName>
    <definedName name="________jhi44_3_1_3" hidden="1">{"Input_Fin",#N/A,FALSE,"By Code";"Input_Opt",#N/A,FALSE,"By Code"}</definedName>
    <definedName name="________jhi44_3_1_4" hidden="1">{"Input_Fin",#N/A,FALSE,"By Code";"Input_Opt",#N/A,FALSE,"By Code"}</definedName>
    <definedName name="________jhi44_3_2" hidden="1">{"Input_Fin",#N/A,FALSE,"By Code";"Input_Opt",#N/A,FALSE,"By Code"}</definedName>
    <definedName name="________jhi44_3_2_1" hidden="1">{"Input_Fin",#N/A,FALSE,"By Code";"Input_Opt",#N/A,FALSE,"By Code"}</definedName>
    <definedName name="________jhi44_3_2_2" hidden="1">{"Input_Fin",#N/A,FALSE,"By Code";"Input_Opt",#N/A,FALSE,"By Code"}</definedName>
    <definedName name="________jhi44_3_2_3" hidden="1">{"Input_Fin",#N/A,FALSE,"By Code";"Input_Opt",#N/A,FALSE,"By Code"}</definedName>
    <definedName name="________jhi44_3_3" hidden="1">{"Input_Fin",#N/A,FALSE,"By Code";"Input_Opt",#N/A,FALSE,"By Code"}</definedName>
    <definedName name="________jhi44_3_3_1" hidden="1">{"Input_Fin",#N/A,FALSE,"By Code";"Input_Opt",#N/A,FALSE,"By Code"}</definedName>
    <definedName name="________jhi44_3_3_2" hidden="1">{"Input_Fin",#N/A,FALSE,"By Code";"Input_Opt",#N/A,FALSE,"By Code"}</definedName>
    <definedName name="________jhi44_3_4" hidden="1">{"Input_Fin",#N/A,FALSE,"By Code";"Input_Opt",#N/A,FALSE,"By Code"}</definedName>
    <definedName name="________jhi44_3_5" hidden="1">{"Input_Fin",#N/A,FALSE,"By Code";"Input_Opt",#N/A,FALSE,"By Code"}</definedName>
    <definedName name="________jhi44_4" hidden="1">{"Input_Fin",#N/A,FALSE,"By Code";"Input_Opt",#N/A,FALSE,"By Code"}</definedName>
    <definedName name="________jhi44_4_1" hidden="1">{"Input_Fin",#N/A,FALSE,"By Code";"Input_Opt",#N/A,FALSE,"By Code"}</definedName>
    <definedName name="________jhi44_4_1_1" hidden="1">{"Input_Fin",#N/A,FALSE,"By Code";"Input_Opt",#N/A,FALSE,"By Code"}</definedName>
    <definedName name="________jhi44_4_1_1_1" hidden="1">{"Input_Fin",#N/A,FALSE,"By Code";"Input_Opt",#N/A,FALSE,"By Code"}</definedName>
    <definedName name="________jhi44_4_1_1_2" hidden="1">{"Input_Fin",#N/A,FALSE,"By Code";"Input_Opt",#N/A,FALSE,"By Code"}</definedName>
    <definedName name="________jhi44_4_1_1_3" hidden="1">{"Input_Fin",#N/A,FALSE,"By Code";"Input_Opt",#N/A,FALSE,"By Code"}</definedName>
    <definedName name="________jhi44_4_1_2" hidden="1">{"Input_Fin",#N/A,FALSE,"By Code";"Input_Opt",#N/A,FALSE,"By Code"}</definedName>
    <definedName name="________jhi44_4_1_2_1" hidden="1">{"Input_Fin",#N/A,FALSE,"By Code";"Input_Opt",#N/A,FALSE,"By Code"}</definedName>
    <definedName name="________jhi44_4_1_2_2" hidden="1">{"Input_Fin",#N/A,FALSE,"By Code";"Input_Opt",#N/A,FALSE,"By Code"}</definedName>
    <definedName name="________jhi44_4_1_3" hidden="1">{"Input_Fin",#N/A,FALSE,"By Code";"Input_Opt",#N/A,FALSE,"By Code"}</definedName>
    <definedName name="________jhi44_4_1_4" hidden="1">{"Input_Fin",#N/A,FALSE,"By Code";"Input_Opt",#N/A,FALSE,"By Code"}</definedName>
    <definedName name="________jhi44_4_2" hidden="1">{"Input_Fin",#N/A,FALSE,"By Code";"Input_Opt",#N/A,FALSE,"By Code"}</definedName>
    <definedName name="________jhi44_4_2_1" hidden="1">{"Input_Fin",#N/A,FALSE,"By Code";"Input_Opt",#N/A,FALSE,"By Code"}</definedName>
    <definedName name="________jhi44_4_2_2" hidden="1">{"Input_Fin",#N/A,FALSE,"By Code";"Input_Opt",#N/A,FALSE,"By Code"}</definedName>
    <definedName name="________jhi44_4_2_3" hidden="1">{"Input_Fin",#N/A,FALSE,"By Code";"Input_Opt",#N/A,FALSE,"By Code"}</definedName>
    <definedName name="________jhi44_4_3" hidden="1">{"Input_Fin",#N/A,FALSE,"By Code";"Input_Opt",#N/A,FALSE,"By Code"}</definedName>
    <definedName name="________jhi44_4_3_1" hidden="1">{"Input_Fin",#N/A,FALSE,"By Code";"Input_Opt",#N/A,FALSE,"By Code"}</definedName>
    <definedName name="________jhi44_4_3_2" hidden="1">{"Input_Fin",#N/A,FALSE,"By Code";"Input_Opt",#N/A,FALSE,"By Code"}</definedName>
    <definedName name="________jhi44_4_4" hidden="1">{"Input_Fin",#N/A,FALSE,"By Code";"Input_Opt",#N/A,FALSE,"By Code"}</definedName>
    <definedName name="________jhi44_4_5" hidden="1">{"Input_Fin",#N/A,FALSE,"By Code";"Input_Opt",#N/A,FALSE,"By Code"}</definedName>
    <definedName name="________jhi44_5" hidden="1">{"Input_Fin",#N/A,FALSE,"By Code";"Input_Opt",#N/A,FALSE,"By Code"}</definedName>
    <definedName name="________jhi44_5_1" hidden="1">{"Input_Fin",#N/A,FALSE,"By Code";"Input_Opt",#N/A,FALSE,"By Code"}</definedName>
    <definedName name="________jhi44_5_1_1" hidden="1">{"Input_Fin",#N/A,FALSE,"By Code";"Input_Opt",#N/A,FALSE,"By Code"}</definedName>
    <definedName name="________jhi44_5_1_1_1" hidden="1">{"Input_Fin",#N/A,FALSE,"By Code";"Input_Opt",#N/A,FALSE,"By Code"}</definedName>
    <definedName name="________jhi44_5_1_1_2" hidden="1">{"Input_Fin",#N/A,FALSE,"By Code";"Input_Opt",#N/A,FALSE,"By Code"}</definedName>
    <definedName name="________jhi44_5_1_1_3" hidden="1">{"Input_Fin",#N/A,FALSE,"By Code";"Input_Opt",#N/A,FALSE,"By Code"}</definedName>
    <definedName name="________jhi44_5_1_2" hidden="1">{"Input_Fin",#N/A,FALSE,"By Code";"Input_Opt",#N/A,FALSE,"By Code"}</definedName>
    <definedName name="________jhi44_5_1_2_1" hidden="1">{"Input_Fin",#N/A,FALSE,"By Code";"Input_Opt",#N/A,FALSE,"By Code"}</definedName>
    <definedName name="________jhi44_5_1_2_2" hidden="1">{"Input_Fin",#N/A,FALSE,"By Code";"Input_Opt",#N/A,FALSE,"By Code"}</definedName>
    <definedName name="________jhi44_5_1_3" hidden="1">{"Input_Fin",#N/A,FALSE,"By Code";"Input_Opt",#N/A,FALSE,"By Code"}</definedName>
    <definedName name="________jhi44_5_1_4" hidden="1">{"Input_Fin",#N/A,FALSE,"By Code";"Input_Opt",#N/A,FALSE,"By Code"}</definedName>
    <definedName name="________jhi44_5_2" hidden="1">{"Input_Fin",#N/A,FALSE,"By Code";"Input_Opt",#N/A,FALSE,"By Code"}</definedName>
    <definedName name="________jhi44_5_2_1" hidden="1">{"Input_Fin",#N/A,FALSE,"By Code";"Input_Opt",#N/A,FALSE,"By Code"}</definedName>
    <definedName name="________jhi44_5_2_2" hidden="1">{"Input_Fin",#N/A,FALSE,"By Code";"Input_Opt",#N/A,FALSE,"By Code"}</definedName>
    <definedName name="________jhi44_5_2_3" hidden="1">{"Input_Fin",#N/A,FALSE,"By Code";"Input_Opt",#N/A,FALSE,"By Code"}</definedName>
    <definedName name="________jhi44_5_3" hidden="1">{"Input_Fin",#N/A,FALSE,"By Code";"Input_Opt",#N/A,FALSE,"By Code"}</definedName>
    <definedName name="________jhi44_5_3_1" hidden="1">{"Input_Fin",#N/A,FALSE,"By Code";"Input_Opt",#N/A,FALSE,"By Code"}</definedName>
    <definedName name="________jhi44_5_3_2" hidden="1">{"Input_Fin",#N/A,FALSE,"By Code";"Input_Opt",#N/A,FALSE,"By Code"}</definedName>
    <definedName name="________jhi44_5_4" hidden="1">{"Input_Fin",#N/A,FALSE,"By Code";"Input_Opt",#N/A,FALSE,"By Code"}</definedName>
    <definedName name="________jhi44_5_5" hidden="1">{"Input_Fin",#N/A,FALSE,"By Code";"Input_Opt",#N/A,FALSE,"By Code"}</definedName>
    <definedName name="_______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123" localSheetId="12" hidden="1">{"Input_Fin",#N/A,FALSE,"By Code";"Input_Opt",#N/A,FALSE,"By Code"}</definedName>
    <definedName name="_______D123" hidden="1">{"Input_Fin",#N/A,FALSE,"By Code";"Input_Opt",#N/A,FALSE,"By Code"}</definedName>
    <definedName name="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1" localSheetId="12" hidden="1">{"Input_Fin",#N/A,FALSE,"By Code";"Input_Opt",#N/A,FALSE,"By Code"}</definedName>
    <definedName name="_______dy1" hidden="1">{"Input_Fin",#N/A,FALSE,"By Code";"Input_Opt",#N/A,FALSE,"By Code"}</definedName>
    <definedName name="_______dy1_1" hidden="1">{"Input_Fin",#N/A,FALSE,"By Code";"Input_Opt",#N/A,FALSE,"By Code"}</definedName>
    <definedName name="_______dy1_1_1" hidden="1">{"Input_Fin",#N/A,FALSE,"By Code";"Input_Opt",#N/A,FALSE,"By Code"}</definedName>
    <definedName name="_______dy1_1_1_1" hidden="1">{"Input_Fin",#N/A,FALSE,"By Code";"Input_Opt",#N/A,FALSE,"By Code"}</definedName>
    <definedName name="_______dy1_1_1_1_1" hidden="1">{"Input_Fin",#N/A,FALSE,"By Code";"Input_Opt",#N/A,FALSE,"By Code"}</definedName>
    <definedName name="_______dy1_1_1_1_1_1" hidden="1">{"Input_Fin",#N/A,FALSE,"By Code";"Input_Opt",#N/A,FALSE,"By Code"}</definedName>
    <definedName name="_______dy1_1_1_1_1_2" hidden="1">{"Input_Fin",#N/A,FALSE,"By Code";"Input_Opt",#N/A,FALSE,"By Code"}</definedName>
    <definedName name="_______dy1_1_1_1_1_3" hidden="1">{"Input_Fin",#N/A,FALSE,"By Code";"Input_Opt",#N/A,FALSE,"By Code"}</definedName>
    <definedName name="_______dy1_1_1_1_2" hidden="1">{"Input_Fin",#N/A,FALSE,"By Code";"Input_Opt",#N/A,FALSE,"By Code"}</definedName>
    <definedName name="_______dy1_1_1_1_2_1" hidden="1">{"Input_Fin",#N/A,FALSE,"By Code";"Input_Opt",#N/A,FALSE,"By Code"}</definedName>
    <definedName name="_______dy1_1_1_1_2_2" hidden="1">{"Input_Fin",#N/A,FALSE,"By Code";"Input_Opt",#N/A,FALSE,"By Code"}</definedName>
    <definedName name="_______dy1_1_1_1_3" hidden="1">{"Input_Fin",#N/A,FALSE,"By Code";"Input_Opt",#N/A,FALSE,"By Code"}</definedName>
    <definedName name="_______dy1_1_1_1_3_1" hidden="1">{"Input_Fin",#N/A,FALSE,"By Code";"Input_Opt",#N/A,FALSE,"By Code"}</definedName>
    <definedName name="_______dy1_1_1_1_3_2" hidden="1">{"Input_Fin",#N/A,FALSE,"By Code";"Input_Opt",#N/A,FALSE,"By Code"}</definedName>
    <definedName name="_______dy1_1_1_1_4" hidden="1">{"Input_Fin",#N/A,FALSE,"By Code";"Input_Opt",#N/A,FALSE,"By Code"}</definedName>
    <definedName name="_______dy1_1_1_1_5" hidden="1">{"Input_Fin",#N/A,FALSE,"By Code";"Input_Opt",#N/A,FALSE,"By Code"}</definedName>
    <definedName name="_______dy1_1_1_2" hidden="1">{"Input_Fin",#N/A,FALSE,"By Code";"Input_Opt",#N/A,FALSE,"By Code"}</definedName>
    <definedName name="_______dy1_1_1_2_1" hidden="1">{"Input_Fin",#N/A,FALSE,"By Code";"Input_Opt",#N/A,FALSE,"By Code"}</definedName>
    <definedName name="_______dy1_1_1_2_2" hidden="1">{"Input_Fin",#N/A,FALSE,"By Code";"Input_Opt",#N/A,FALSE,"By Code"}</definedName>
    <definedName name="_______dy1_1_1_2_3" hidden="1">{"Input_Fin",#N/A,FALSE,"By Code";"Input_Opt",#N/A,FALSE,"By Code"}</definedName>
    <definedName name="_______dy1_1_1_3" hidden="1">{"Input_Fin",#N/A,FALSE,"By Code";"Input_Opt",#N/A,FALSE,"By Code"}</definedName>
    <definedName name="_______dy1_1_1_3_1" hidden="1">{"Input_Fin",#N/A,FALSE,"By Code";"Input_Opt",#N/A,FALSE,"By Code"}</definedName>
    <definedName name="_______dy1_1_1_3_2" hidden="1">{"Input_Fin",#N/A,FALSE,"By Code";"Input_Opt",#N/A,FALSE,"By Code"}</definedName>
    <definedName name="_______dy1_1_1_4" hidden="1">{"Input_Fin",#N/A,FALSE,"By Code";"Input_Opt",#N/A,FALSE,"By Code"}</definedName>
    <definedName name="_______dy1_1_1_5" hidden="1">{"Input_Fin",#N/A,FALSE,"By Code";"Input_Opt",#N/A,FALSE,"By Code"}</definedName>
    <definedName name="_______dy1_1_2" hidden="1">{"Input_Fin",#N/A,FALSE,"By Code";"Input_Opt",#N/A,FALSE,"By Code"}</definedName>
    <definedName name="_______dy1_1_2_1" hidden="1">{"Input_Fin",#N/A,FALSE,"By Code";"Input_Opt",#N/A,FALSE,"By Code"}</definedName>
    <definedName name="_______dy1_1_2_2" hidden="1">{"Input_Fin",#N/A,FALSE,"By Code";"Input_Opt",#N/A,FALSE,"By Code"}</definedName>
    <definedName name="_______dy1_1_2_3" hidden="1">{"Input_Fin",#N/A,FALSE,"By Code";"Input_Opt",#N/A,FALSE,"By Code"}</definedName>
    <definedName name="_______dy1_1_3" hidden="1">{"Input_Fin",#N/A,FALSE,"By Code";"Input_Opt",#N/A,FALSE,"By Code"}</definedName>
    <definedName name="_______dy1_1_3_1" hidden="1">{"Input_Fin",#N/A,FALSE,"By Code";"Input_Opt",#N/A,FALSE,"By Code"}</definedName>
    <definedName name="_______dy1_1_3_2" hidden="1">{"Input_Fin",#N/A,FALSE,"By Code";"Input_Opt",#N/A,FALSE,"By Code"}</definedName>
    <definedName name="_______dy1_1_4" hidden="1">{"Input_Fin",#N/A,FALSE,"By Code";"Input_Opt",#N/A,FALSE,"By Code"}</definedName>
    <definedName name="_______dy1_1_5" hidden="1">{"Input_Fin",#N/A,FALSE,"By Code";"Input_Opt",#N/A,FALSE,"By Code"}</definedName>
    <definedName name="_______dy1_2" hidden="1">{"Input_Fin",#N/A,FALSE,"By Code";"Input_Opt",#N/A,FALSE,"By Code"}</definedName>
    <definedName name="_______dy1_2_1" hidden="1">{"Input_Fin",#N/A,FALSE,"By Code";"Input_Opt",#N/A,FALSE,"By Code"}</definedName>
    <definedName name="_______dy1_2_1_1" hidden="1">{"Input_Fin",#N/A,FALSE,"By Code";"Input_Opt",#N/A,FALSE,"By Code"}</definedName>
    <definedName name="_______dy1_2_1_1_1" hidden="1">{"Input_Fin",#N/A,FALSE,"By Code";"Input_Opt",#N/A,FALSE,"By Code"}</definedName>
    <definedName name="_______dy1_2_1_1_2" hidden="1">{"Input_Fin",#N/A,FALSE,"By Code";"Input_Opt",#N/A,FALSE,"By Code"}</definedName>
    <definedName name="_______dy1_2_1_1_3" hidden="1">{"Input_Fin",#N/A,FALSE,"By Code";"Input_Opt",#N/A,FALSE,"By Code"}</definedName>
    <definedName name="_______dy1_2_1_2" hidden="1">{"Input_Fin",#N/A,FALSE,"By Code";"Input_Opt",#N/A,FALSE,"By Code"}</definedName>
    <definedName name="_______dy1_2_1_2_1" hidden="1">{"Input_Fin",#N/A,FALSE,"By Code";"Input_Opt",#N/A,FALSE,"By Code"}</definedName>
    <definedName name="_______dy1_2_1_2_2" hidden="1">{"Input_Fin",#N/A,FALSE,"By Code";"Input_Opt",#N/A,FALSE,"By Code"}</definedName>
    <definedName name="_______dy1_2_1_3" hidden="1">{"Input_Fin",#N/A,FALSE,"By Code";"Input_Opt",#N/A,FALSE,"By Code"}</definedName>
    <definedName name="_______dy1_2_1_4" hidden="1">{"Input_Fin",#N/A,FALSE,"By Code";"Input_Opt",#N/A,FALSE,"By Code"}</definedName>
    <definedName name="_______dy1_2_2" hidden="1">{"Input_Fin",#N/A,FALSE,"By Code";"Input_Opt",#N/A,FALSE,"By Code"}</definedName>
    <definedName name="_______dy1_2_2_1" hidden="1">{"Input_Fin",#N/A,FALSE,"By Code";"Input_Opt",#N/A,FALSE,"By Code"}</definedName>
    <definedName name="_______dy1_2_2_2" hidden="1">{"Input_Fin",#N/A,FALSE,"By Code";"Input_Opt",#N/A,FALSE,"By Code"}</definedName>
    <definedName name="_______dy1_2_2_3" hidden="1">{"Input_Fin",#N/A,FALSE,"By Code";"Input_Opt",#N/A,FALSE,"By Code"}</definedName>
    <definedName name="_______dy1_2_3" hidden="1">{"Input_Fin",#N/A,FALSE,"By Code";"Input_Opt",#N/A,FALSE,"By Code"}</definedName>
    <definedName name="_______dy1_2_3_1" hidden="1">{"Input_Fin",#N/A,FALSE,"By Code";"Input_Opt",#N/A,FALSE,"By Code"}</definedName>
    <definedName name="_______dy1_2_3_2" hidden="1">{"Input_Fin",#N/A,FALSE,"By Code";"Input_Opt",#N/A,FALSE,"By Code"}</definedName>
    <definedName name="_______dy1_2_4" hidden="1">{"Input_Fin",#N/A,FALSE,"By Code";"Input_Opt",#N/A,FALSE,"By Code"}</definedName>
    <definedName name="_______dy1_2_5" hidden="1">{"Input_Fin",#N/A,FALSE,"By Code";"Input_Opt",#N/A,FALSE,"By Code"}</definedName>
    <definedName name="_______dy1_3" hidden="1">{"Input_Fin",#N/A,FALSE,"By Code";"Input_Opt",#N/A,FALSE,"By Code"}</definedName>
    <definedName name="_______dy1_3_1" hidden="1">{"Input_Fin",#N/A,FALSE,"By Code";"Input_Opt",#N/A,FALSE,"By Code"}</definedName>
    <definedName name="_______dy1_3_1_1" hidden="1">{"Input_Fin",#N/A,FALSE,"By Code";"Input_Opt",#N/A,FALSE,"By Code"}</definedName>
    <definedName name="_______dy1_3_1_1_1" hidden="1">{"Input_Fin",#N/A,FALSE,"By Code";"Input_Opt",#N/A,FALSE,"By Code"}</definedName>
    <definedName name="_______dy1_3_1_1_2" hidden="1">{"Input_Fin",#N/A,FALSE,"By Code";"Input_Opt",#N/A,FALSE,"By Code"}</definedName>
    <definedName name="_______dy1_3_1_1_3" hidden="1">{"Input_Fin",#N/A,FALSE,"By Code";"Input_Opt",#N/A,FALSE,"By Code"}</definedName>
    <definedName name="_______dy1_3_1_2" hidden="1">{"Input_Fin",#N/A,FALSE,"By Code";"Input_Opt",#N/A,FALSE,"By Code"}</definedName>
    <definedName name="_______dy1_3_1_2_1" hidden="1">{"Input_Fin",#N/A,FALSE,"By Code";"Input_Opt",#N/A,FALSE,"By Code"}</definedName>
    <definedName name="_______dy1_3_1_2_2" hidden="1">{"Input_Fin",#N/A,FALSE,"By Code";"Input_Opt",#N/A,FALSE,"By Code"}</definedName>
    <definedName name="_______dy1_3_1_3" hidden="1">{"Input_Fin",#N/A,FALSE,"By Code";"Input_Opt",#N/A,FALSE,"By Code"}</definedName>
    <definedName name="_______dy1_3_1_4" hidden="1">{"Input_Fin",#N/A,FALSE,"By Code";"Input_Opt",#N/A,FALSE,"By Code"}</definedName>
    <definedName name="_______dy1_3_2" hidden="1">{"Input_Fin",#N/A,FALSE,"By Code";"Input_Opt",#N/A,FALSE,"By Code"}</definedName>
    <definedName name="_______dy1_3_2_1" hidden="1">{"Input_Fin",#N/A,FALSE,"By Code";"Input_Opt",#N/A,FALSE,"By Code"}</definedName>
    <definedName name="_______dy1_3_2_2" hidden="1">{"Input_Fin",#N/A,FALSE,"By Code";"Input_Opt",#N/A,FALSE,"By Code"}</definedName>
    <definedName name="_______dy1_3_2_3" hidden="1">{"Input_Fin",#N/A,FALSE,"By Code";"Input_Opt",#N/A,FALSE,"By Code"}</definedName>
    <definedName name="_______dy1_3_3" hidden="1">{"Input_Fin",#N/A,FALSE,"By Code";"Input_Opt",#N/A,FALSE,"By Code"}</definedName>
    <definedName name="_______dy1_3_3_1" hidden="1">{"Input_Fin",#N/A,FALSE,"By Code";"Input_Opt",#N/A,FALSE,"By Code"}</definedName>
    <definedName name="_______dy1_3_3_2" hidden="1">{"Input_Fin",#N/A,FALSE,"By Code";"Input_Opt",#N/A,FALSE,"By Code"}</definedName>
    <definedName name="_______dy1_3_4" hidden="1">{"Input_Fin",#N/A,FALSE,"By Code";"Input_Opt",#N/A,FALSE,"By Code"}</definedName>
    <definedName name="_______dy1_3_5" hidden="1">{"Input_Fin",#N/A,FALSE,"By Code";"Input_Opt",#N/A,FALSE,"By Code"}</definedName>
    <definedName name="_______dy1_4" hidden="1">{"Input_Fin",#N/A,FALSE,"By Code";"Input_Opt",#N/A,FALSE,"By Code"}</definedName>
    <definedName name="_______dy1_4_1" hidden="1">{"Input_Fin",#N/A,FALSE,"By Code";"Input_Opt",#N/A,FALSE,"By Code"}</definedName>
    <definedName name="_______dy1_4_1_1" hidden="1">{"Input_Fin",#N/A,FALSE,"By Code";"Input_Opt",#N/A,FALSE,"By Code"}</definedName>
    <definedName name="_______dy1_4_1_1_1" hidden="1">{"Input_Fin",#N/A,FALSE,"By Code";"Input_Opt",#N/A,FALSE,"By Code"}</definedName>
    <definedName name="_______dy1_4_1_1_2" hidden="1">{"Input_Fin",#N/A,FALSE,"By Code";"Input_Opt",#N/A,FALSE,"By Code"}</definedName>
    <definedName name="_______dy1_4_1_1_3" hidden="1">{"Input_Fin",#N/A,FALSE,"By Code";"Input_Opt",#N/A,FALSE,"By Code"}</definedName>
    <definedName name="_______dy1_4_1_2" hidden="1">{"Input_Fin",#N/A,FALSE,"By Code";"Input_Opt",#N/A,FALSE,"By Code"}</definedName>
    <definedName name="_______dy1_4_1_2_1" hidden="1">{"Input_Fin",#N/A,FALSE,"By Code";"Input_Opt",#N/A,FALSE,"By Code"}</definedName>
    <definedName name="_______dy1_4_1_2_2" hidden="1">{"Input_Fin",#N/A,FALSE,"By Code";"Input_Opt",#N/A,FALSE,"By Code"}</definedName>
    <definedName name="_______dy1_4_1_3" hidden="1">{"Input_Fin",#N/A,FALSE,"By Code";"Input_Opt",#N/A,FALSE,"By Code"}</definedName>
    <definedName name="_______dy1_4_1_4" hidden="1">{"Input_Fin",#N/A,FALSE,"By Code";"Input_Opt",#N/A,FALSE,"By Code"}</definedName>
    <definedName name="_______dy1_4_2" hidden="1">{"Input_Fin",#N/A,FALSE,"By Code";"Input_Opt",#N/A,FALSE,"By Code"}</definedName>
    <definedName name="_______dy1_4_2_1" hidden="1">{"Input_Fin",#N/A,FALSE,"By Code";"Input_Opt",#N/A,FALSE,"By Code"}</definedName>
    <definedName name="_______dy1_4_2_2" hidden="1">{"Input_Fin",#N/A,FALSE,"By Code";"Input_Opt",#N/A,FALSE,"By Code"}</definedName>
    <definedName name="_______dy1_4_2_3" hidden="1">{"Input_Fin",#N/A,FALSE,"By Code";"Input_Opt",#N/A,FALSE,"By Code"}</definedName>
    <definedName name="_______dy1_4_3" hidden="1">{"Input_Fin",#N/A,FALSE,"By Code";"Input_Opt",#N/A,FALSE,"By Code"}</definedName>
    <definedName name="_______dy1_4_3_1" hidden="1">{"Input_Fin",#N/A,FALSE,"By Code";"Input_Opt",#N/A,FALSE,"By Code"}</definedName>
    <definedName name="_______dy1_4_3_2" hidden="1">{"Input_Fin",#N/A,FALSE,"By Code";"Input_Opt",#N/A,FALSE,"By Code"}</definedName>
    <definedName name="_______dy1_4_4" hidden="1">{"Input_Fin",#N/A,FALSE,"By Code";"Input_Opt",#N/A,FALSE,"By Code"}</definedName>
    <definedName name="_______dy1_4_5" hidden="1">{"Input_Fin",#N/A,FALSE,"By Code";"Input_Opt",#N/A,FALSE,"By Code"}</definedName>
    <definedName name="_______dy1_5" hidden="1">{"Input_Fin",#N/A,FALSE,"By Code";"Input_Opt",#N/A,FALSE,"By Code"}</definedName>
    <definedName name="_______dy1_5_1" hidden="1">{"Input_Fin",#N/A,FALSE,"By Code";"Input_Opt",#N/A,FALSE,"By Code"}</definedName>
    <definedName name="_______dy1_5_1_1" hidden="1">{"Input_Fin",#N/A,FALSE,"By Code";"Input_Opt",#N/A,FALSE,"By Code"}</definedName>
    <definedName name="_______dy1_5_1_1_1" hidden="1">{"Input_Fin",#N/A,FALSE,"By Code";"Input_Opt",#N/A,FALSE,"By Code"}</definedName>
    <definedName name="_______dy1_5_1_1_2" hidden="1">{"Input_Fin",#N/A,FALSE,"By Code";"Input_Opt",#N/A,FALSE,"By Code"}</definedName>
    <definedName name="_______dy1_5_1_1_3" hidden="1">{"Input_Fin",#N/A,FALSE,"By Code";"Input_Opt",#N/A,FALSE,"By Code"}</definedName>
    <definedName name="_______dy1_5_1_2" hidden="1">{"Input_Fin",#N/A,FALSE,"By Code";"Input_Opt",#N/A,FALSE,"By Code"}</definedName>
    <definedName name="_______dy1_5_1_2_1" hidden="1">{"Input_Fin",#N/A,FALSE,"By Code";"Input_Opt",#N/A,FALSE,"By Code"}</definedName>
    <definedName name="_______dy1_5_1_2_2" hidden="1">{"Input_Fin",#N/A,FALSE,"By Code";"Input_Opt",#N/A,FALSE,"By Code"}</definedName>
    <definedName name="_______dy1_5_1_3" hidden="1">{"Input_Fin",#N/A,FALSE,"By Code";"Input_Opt",#N/A,FALSE,"By Code"}</definedName>
    <definedName name="_______dy1_5_1_4" hidden="1">{"Input_Fin",#N/A,FALSE,"By Code";"Input_Opt",#N/A,FALSE,"By Code"}</definedName>
    <definedName name="_______dy1_5_2" hidden="1">{"Input_Fin",#N/A,FALSE,"By Code";"Input_Opt",#N/A,FALSE,"By Code"}</definedName>
    <definedName name="_______dy1_5_2_1" hidden="1">{"Input_Fin",#N/A,FALSE,"By Code";"Input_Opt",#N/A,FALSE,"By Code"}</definedName>
    <definedName name="_______dy1_5_2_2" hidden="1">{"Input_Fin",#N/A,FALSE,"By Code";"Input_Opt",#N/A,FALSE,"By Code"}</definedName>
    <definedName name="_______dy1_5_2_3" hidden="1">{"Input_Fin",#N/A,FALSE,"By Code";"Input_Opt",#N/A,FALSE,"By Code"}</definedName>
    <definedName name="_______dy1_5_3" hidden="1">{"Input_Fin",#N/A,FALSE,"By Code";"Input_Opt",#N/A,FALSE,"By Code"}</definedName>
    <definedName name="_______dy1_5_3_1" hidden="1">{"Input_Fin",#N/A,FALSE,"By Code";"Input_Opt",#N/A,FALSE,"By Code"}</definedName>
    <definedName name="_______dy1_5_3_2" hidden="1">{"Input_Fin",#N/A,FALSE,"By Code";"Input_Opt",#N/A,FALSE,"By Code"}</definedName>
    <definedName name="_______dy1_5_4" hidden="1">{"Input_Fin",#N/A,FALSE,"By Code";"Input_Opt",#N/A,FALSE,"By Code"}</definedName>
    <definedName name="_______dy1_5_5" hidden="1">{"Input_Fin",#N/A,FALSE,"By Code";"Input_Opt",#N/A,FALSE,"By Code"}</definedName>
    <definedName name="_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5" localSheetId="12" hidden="1">{"Input_Fin",#N/A,FALSE,"By Code";"Input_Opt",#N/A,FALSE,"By Code"}</definedName>
    <definedName name="_______dy5" hidden="1">{"Input_Fin",#N/A,FALSE,"By Code";"Input_Opt",#N/A,FALSE,"By Code"}</definedName>
    <definedName name="_______dy5_1" hidden="1">{"Input_Fin",#N/A,FALSE,"By Code";"Input_Opt",#N/A,FALSE,"By Code"}</definedName>
    <definedName name="_______dy5_1_1" hidden="1">{"Input_Fin",#N/A,FALSE,"By Code";"Input_Opt",#N/A,FALSE,"By Code"}</definedName>
    <definedName name="_______dy5_1_1_1" hidden="1">{"Input_Fin",#N/A,FALSE,"By Code";"Input_Opt",#N/A,FALSE,"By Code"}</definedName>
    <definedName name="_______dy5_1_1_1_1" hidden="1">{"Input_Fin",#N/A,FALSE,"By Code";"Input_Opt",#N/A,FALSE,"By Code"}</definedName>
    <definedName name="_______dy5_1_1_1_1_1" hidden="1">{"Input_Fin",#N/A,FALSE,"By Code";"Input_Opt",#N/A,FALSE,"By Code"}</definedName>
    <definedName name="_______dy5_1_1_1_1_2" hidden="1">{"Input_Fin",#N/A,FALSE,"By Code";"Input_Opt",#N/A,FALSE,"By Code"}</definedName>
    <definedName name="_______dy5_1_1_1_1_3" hidden="1">{"Input_Fin",#N/A,FALSE,"By Code";"Input_Opt",#N/A,FALSE,"By Code"}</definedName>
    <definedName name="_______dy5_1_1_1_2" hidden="1">{"Input_Fin",#N/A,FALSE,"By Code";"Input_Opt",#N/A,FALSE,"By Code"}</definedName>
    <definedName name="_______dy5_1_1_1_2_1" hidden="1">{"Input_Fin",#N/A,FALSE,"By Code";"Input_Opt",#N/A,FALSE,"By Code"}</definedName>
    <definedName name="_______dy5_1_1_1_2_2" hidden="1">{"Input_Fin",#N/A,FALSE,"By Code";"Input_Opt",#N/A,FALSE,"By Code"}</definedName>
    <definedName name="_______dy5_1_1_1_3" hidden="1">{"Input_Fin",#N/A,FALSE,"By Code";"Input_Opt",#N/A,FALSE,"By Code"}</definedName>
    <definedName name="_______dy5_1_1_1_3_1" hidden="1">{"Input_Fin",#N/A,FALSE,"By Code";"Input_Opt",#N/A,FALSE,"By Code"}</definedName>
    <definedName name="_______dy5_1_1_1_3_2" hidden="1">{"Input_Fin",#N/A,FALSE,"By Code";"Input_Opt",#N/A,FALSE,"By Code"}</definedName>
    <definedName name="_______dy5_1_1_1_4" hidden="1">{"Input_Fin",#N/A,FALSE,"By Code";"Input_Opt",#N/A,FALSE,"By Code"}</definedName>
    <definedName name="_______dy5_1_1_1_5" hidden="1">{"Input_Fin",#N/A,FALSE,"By Code";"Input_Opt",#N/A,FALSE,"By Code"}</definedName>
    <definedName name="_______dy5_1_1_2" hidden="1">{"Input_Fin",#N/A,FALSE,"By Code";"Input_Opt",#N/A,FALSE,"By Code"}</definedName>
    <definedName name="_______dy5_1_1_2_1" hidden="1">{"Input_Fin",#N/A,FALSE,"By Code";"Input_Opt",#N/A,FALSE,"By Code"}</definedName>
    <definedName name="_______dy5_1_1_2_2" hidden="1">{"Input_Fin",#N/A,FALSE,"By Code";"Input_Opt",#N/A,FALSE,"By Code"}</definedName>
    <definedName name="_______dy5_1_1_2_3" hidden="1">{"Input_Fin",#N/A,FALSE,"By Code";"Input_Opt",#N/A,FALSE,"By Code"}</definedName>
    <definedName name="_______dy5_1_1_3" hidden="1">{"Input_Fin",#N/A,FALSE,"By Code";"Input_Opt",#N/A,FALSE,"By Code"}</definedName>
    <definedName name="_______dy5_1_1_3_1" hidden="1">{"Input_Fin",#N/A,FALSE,"By Code";"Input_Opt",#N/A,FALSE,"By Code"}</definedName>
    <definedName name="_______dy5_1_1_3_2" hidden="1">{"Input_Fin",#N/A,FALSE,"By Code";"Input_Opt",#N/A,FALSE,"By Code"}</definedName>
    <definedName name="_______dy5_1_1_4" hidden="1">{"Input_Fin",#N/A,FALSE,"By Code";"Input_Opt",#N/A,FALSE,"By Code"}</definedName>
    <definedName name="_______dy5_1_1_5" hidden="1">{"Input_Fin",#N/A,FALSE,"By Code";"Input_Opt",#N/A,FALSE,"By Code"}</definedName>
    <definedName name="_______dy5_1_2" hidden="1">{"Input_Fin",#N/A,FALSE,"By Code";"Input_Opt",#N/A,FALSE,"By Code"}</definedName>
    <definedName name="_______dy5_1_2_1" hidden="1">{"Input_Fin",#N/A,FALSE,"By Code";"Input_Opt",#N/A,FALSE,"By Code"}</definedName>
    <definedName name="_______dy5_1_2_2" hidden="1">{"Input_Fin",#N/A,FALSE,"By Code";"Input_Opt",#N/A,FALSE,"By Code"}</definedName>
    <definedName name="_______dy5_1_2_3" hidden="1">{"Input_Fin",#N/A,FALSE,"By Code";"Input_Opt",#N/A,FALSE,"By Code"}</definedName>
    <definedName name="_______dy5_1_3" hidden="1">{"Input_Fin",#N/A,FALSE,"By Code";"Input_Opt",#N/A,FALSE,"By Code"}</definedName>
    <definedName name="_______dy5_1_3_1" hidden="1">{"Input_Fin",#N/A,FALSE,"By Code";"Input_Opt",#N/A,FALSE,"By Code"}</definedName>
    <definedName name="_______dy5_1_3_2" hidden="1">{"Input_Fin",#N/A,FALSE,"By Code";"Input_Opt",#N/A,FALSE,"By Code"}</definedName>
    <definedName name="_______dy5_1_4" hidden="1">{"Input_Fin",#N/A,FALSE,"By Code";"Input_Opt",#N/A,FALSE,"By Code"}</definedName>
    <definedName name="_______dy5_1_5" hidden="1">{"Input_Fin",#N/A,FALSE,"By Code";"Input_Opt",#N/A,FALSE,"By Code"}</definedName>
    <definedName name="_______dy5_2" hidden="1">{"Input_Fin",#N/A,FALSE,"By Code";"Input_Opt",#N/A,FALSE,"By Code"}</definedName>
    <definedName name="_______dy5_2_1" hidden="1">{"Input_Fin",#N/A,FALSE,"By Code";"Input_Opt",#N/A,FALSE,"By Code"}</definedName>
    <definedName name="_______dy5_2_1_1" hidden="1">{"Input_Fin",#N/A,FALSE,"By Code";"Input_Opt",#N/A,FALSE,"By Code"}</definedName>
    <definedName name="_______dy5_2_1_1_1" hidden="1">{"Input_Fin",#N/A,FALSE,"By Code";"Input_Opt",#N/A,FALSE,"By Code"}</definedName>
    <definedName name="_______dy5_2_1_1_2" hidden="1">{"Input_Fin",#N/A,FALSE,"By Code";"Input_Opt",#N/A,FALSE,"By Code"}</definedName>
    <definedName name="_______dy5_2_1_1_3" hidden="1">{"Input_Fin",#N/A,FALSE,"By Code";"Input_Opt",#N/A,FALSE,"By Code"}</definedName>
    <definedName name="_______dy5_2_1_2" hidden="1">{"Input_Fin",#N/A,FALSE,"By Code";"Input_Opt",#N/A,FALSE,"By Code"}</definedName>
    <definedName name="_______dy5_2_1_2_1" hidden="1">{"Input_Fin",#N/A,FALSE,"By Code";"Input_Opt",#N/A,FALSE,"By Code"}</definedName>
    <definedName name="_______dy5_2_1_2_2" hidden="1">{"Input_Fin",#N/A,FALSE,"By Code";"Input_Opt",#N/A,FALSE,"By Code"}</definedName>
    <definedName name="_______dy5_2_1_3" hidden="1">{"Input_Fin",#N/A,FALSE,"By Code";"Input_Opt",#N/A,FALSE,"By Code"}</definedName>
    <definedName name="_______dy5_2_1_4" hidden="1">{"Input_Fin",#N/A,FALSE,"By Code";"Input_Opt",#N/A,FALSE,"By Code"}</definedName>
    <definedName name="_______dy5_2_2" hidden="1">{"Input_Fin",#N/A,FALSE,"By Code";"Input_Opt",#N/A,FALSE,"By Code"}</definedName>
    <definedName name="_______dy5_2_2_1" hidden="1">{"Input_Fin",#N/A,FALSE,"By Code";"Input_Opt",#N/A,FALSE,"By Code"}</definedName>
    <definedName name="_______dy5_2_2_2" hidden="1">{"Input_Fin",#N/A,FALSE,"By Code";"Input_Opt",#N/A,FALSE,"By Code"}</definedName>
    <definedName name="_______dy5_2_2_3" hidden="1">{"Input_Fin",#N/A,FALSE,"By Code";"Input_Opt",#N/A,FALSE,"By Code"}</definedName>
    <definedName name="_______dy5_2_3" hidden="1">{"Input_Fin",#N/A,FALSE,"By Code";"Input_Opt",#N/A,FALSE,"By Code"}</definedName>
    <definedName name="_______dy5_2_3_1" hidden="1">{"Input_Fin",#N/A,FALSE,"By Code";"Input_Opt",#N/A,FALSE,"By Code"}</definedName>
    <definedName name="_______dy5_2_3_2" hidden="1">{"Input_Fin",#N/A,FALSE,"By Code";"Input_Opt",#N/A,FALSE,"By Code"}</definedName>
    <definedName name="_______dy5_2_4" hidden="1">{"Input_Fin",#N/A,FALSE,"By Code";"Input_Opt",#N/A,FALSE,"By Code"}</definedName>
    <definedName name="_______dy5_2_5" hidden="1">{"Input_Fin",#N/A,FALSE,"By Code";"Input_Opt",#N/A,FALSE,"By Code"}</definedName>
    <definedName name="_______dy5_3" hidden="1">{"Input_Fin",#N/A,FALSE,"By Code";"Input_Opt",#N/A,FALSE,"By Code"}</definedName>
    <definedName name="_______dy5_3_1" hidden="1">{"Input_Fin",#N/A,FALSE,"By Code";"Input_Opt",#N/A,FALSE,"By Code"}</definedName>
    <definedName name="_______dy5_3_1_1" hidden="1">{"Input_Fin",#N/A,FALSE,"By Code";"Input_Opt",#N/A,FALSE,"By Code"}</definedName>
    <definedName name="_______dy5_3_1_1_1" hidden="1">{"Input_Fin",#N/A,FALSE,"By Code";"Input_Opt",#N/A,FALSE,"By Code"}</definedName>
    <definedName name="_______dy5_3_1_1_2" hidden="1">{"Input_Fin",#N/A,FALSE,"By Code";"Input_Opt",#N/A,FALSE,"By Code"}</definedName>
    <definedName name="_______dy5_3_1_1_3" hidden="1">{"Input_Fin",#N/A,FALSE,"By Code";"Input_Opt",#N/A,FALSE,"By Code"}</definedName>
    <definedName name="_______dy5_3_1_2" hidden="1">{"Input_Fin",#N/A,FALSE,"By Code";"Input_Opt",#N/A,FALSE,"By Code"}</definedName>
    <definedName name="_______dy5_3_1_2_1" hidden="1">{"Input_Fin",#N/A,FALSE,"By Code";"Input_Opt",#N/A,FALSE,"By Code"}</definedName>
    <definedName name="_______dy5_3_1_2_2" hidden="1">{"Input_Fin",#N/A,FALSE,"By Code";"Input_Opt",#N/A,FALSE,"By Code"}</definedName>
    <definedName name="_______dy5_3_1_3" hidden="1">{"Input_Fin",#N/A,FALSE,"By Code";"Input_Opt",#N/A,FALSE,"By Code"}</definedName>
    <definedName name="_______dy5_3_1_4" hidden="1">{"Input_Fin",#N/A,FALSE,"By Code";"Input_Opt",#N/A,FALSE,"By Code"}</definedName>
    <definedName name="_______dy5_3_2" hidden="1">{"Input_Fin",#N/A,FALSE,"By Code";"Input_Opt",#N/A,FALSE,"By Code"}</definedName>
    <definedName name="_______dy5_3_2_1" hidden="1">{"Input_Fin",#N/A,FALSE,"By Code";"Input_Opt",#N/A,FALSE,"By Code"}</definedName>
    <definedName name="_______dy5_3_2_2" hidden="1">{"Input_Fin",#N/A,FALSE,"By Code";"Input_Opt",#N/A,FALSE,"By Code"}</definedName>
    <definedName name="_______dy5_3_2_3" hidden="1">{"Input_Fin",#N/A,FALSE,"By Code";"Input_Opt",#N/A,FALSE,"By Code"}</definedName>
    <definedName name="_______dy5_3_3" hidden="1">{"Input_Fin",#N/A,FALSE,"By Code";"Input_Opt",#N/A,FALSE,"By Code"}</definedName>
    <definedName name="_______dy5_3_3_1" hidden="1">{"Input_Fin",#N/A,FALSE,"By Code";"Input_Opt",#N/A,FALSE,"By Code"}</definedName>
    <definedName name="_______dy5_3_3_2" hidden="1">{"Input_Fin",#N/A,FALSE,"By Code";"Input_Opt",#N/A,FALSE,"By Code"}</definedName>
    <definedName name="_______dy5_3_4" hidden="1">{"Input_Fin",#N/A,FALSE,"By Code";"Input_Opt",#N/A,FALSE,"By Code"}</definedName>
    <definedName name="_______dy5_3_5" hidden="1">{"Input_Fin",#N/A,FALSE,"By Code";"Input_Opt",#N/A,FALSE,"By Code"}</definedName>
    <definedName name="_______dy5_4" hidden="1">{"Input_Fin",#N/A,FALSE,"By Code";"Input_Opt",#N/A,FALSE,"By Code"}</definedName>
    <definedName name="_______dy5_4_1" hidden="1">{"Input_Fin",#N/A,FALSE,"By Code";"Input_Opt",#N/A,FALSE,"By Code"}</definedName>
    <definedName name="_______dy5_4_1_1" hidden="1">{"Input_Fin",#N/A,FALSE,"By Code";"Input_Opt",#N/A,FALSE,"By Code"}</definedName>
    <definedName name="_______dy5_4_1_1_1" hidden="1">{"Input_Fin",#N/A,FALSE,"By Code";"Input_Opt",#N/A,FALSE,"By Code"}</definedName>
    <definedName name="_______dy5_4_1_1_2" hidden="1">{"Input_Fin",#N/A,FALSE,"By Code";"Input_Opt",#N/A,FALSE,"By Code"}</definedName>
    <definedName name="_______dy5_4_1_1_3" hidden="1">{"Input_Fin",#N/A,FALSE,"By Code";"Input_Opt",#N/A,FALSE,"By Code"}</definedName>
    <definedName name="_______dy5_4_1_2" hidden="1">{"Input_Fin",#N/A,FALSE,"By Code";"Input_Opt",#N/A,FALSE,"By Code"}</definedName>
    <definedName name="_______dy5_4_1_2_1" hidden="1">{"Input_Fin",#N/A,FALSE,"By Code";"Input_Opt",#N/A,FALSE,"By Code"}</definedName>
    <definedName name="_______dy5_4_1_2_2" hidden="1">{"Input_Fin",#N/A,FALSE,"By Code";"Input_Opt",#N/A,FALSE,"By Code"}</definedName>
    <definedName name="_______dy5_4_1_3" hidden="1">{"Input_Fin",#N/A,FALSE,"By Code";"Input_Opt",#N/A,FALSE,"By Code"}</definedName>
    <definedName name="_______dy5_4_1_4" hidden="1">{"Input_Fin",#N/A,FALSE,"By Code";"Input_Opt",#N/A,FALSE,"By Code"}</definedName>
    <definedName name="_______dy5_4_2" hidden="1">{"Input_Fin",#N/A,FALSE,"By Code";"Input_Opt",#N/A,FALSE,"By Code"}</definedName>
    <definedName name="_______dy5_4_2_1" hidden="1">{"Input_Fin",#N/A,FALSE,"By Code";"Input_Opt",#N/A,FALSE,"By Code"}</definedName>
    <definedName name="_______dy5_4_2_2" hidden="1">{"Input_Fin",#N/A,FALSE,"By Code";"Input_Opt",#N/A,FALSE,"By Code"}</definedName>
    <definedName name="_______dy5_4_2_3" hidden="1">{"Input_Fin",#N/A,FALSE,"By Code";"Input_Opt",#N/A,FALSE,"By Code"}</definedName>
    <definedName name="_______dy5_4_3" hidden="1">{"Input_Fin",#N/A,FALSE,"By Code";"Input_Opt",#N/A,FALSE,"By Code"}</definedName>
    <definedName name="_______dy5_4_3_1" hidden="1">{"Input_Fin",#N/A,FALSE,"By Code";"Input_Opt",#N/A,FALSE,"By Code"}</definedName>
    <definedName name="_______dy5_4_3_2" hidden="1">{"Input_Fin",#N/A,FALSE,"By Code";"Input_Opt",#N/A,FALSE,"By Code"}</definedName>
    <definedName name="_______dy5_4_4" hidden="1">{"Input_Fin",#N/A,FALSE,"By Code";"Input_Opt",#N/A,FALSE,"By Code"}</definedName>
    <definedName name="_______dy5_4_5" hidden="1">{"Input_Fin",#N/A,FALSE,"By Code";"Input_Opt",#N/A,FALSE,"By Code"}</definedName>
    <definedName name="_______dy5_5" hidden="1">{"Input_Fin",#N/A,FALSE,"By Code";"Input_Opt",#N/A,FALSE,"By Code"}</definedName>
    <definedName name="_______dy5_5_1" hidden="1">{"Input_Fin",#N/A,FALSE,"By Code";"Input_Opt",#N/A,FALSE,"By Code"}</definedName>
    <definedName name="_______dy5_5_1_1" hidden="1">{"Input_Fin",#N/A,FALSE,"By Code";"Input_Opt",#N/A,FALSE,"By Code"}</definedName>
    <definedName name="_______dy5_5_1_1_1" hidden="1">{"Input_Fin",#N/A,FALSE,"By Code";"Input_Opt",#N/A,FALSE,"By Code"}</definedName>
    <definedName name="_______dy5_5_1_1_2" hidden="1">{"Input_Fin",#N/A,FALSE,"By Code";"Input_Opt",#N/A,FALSE,"By Code"}</definedName>
    <definedName name="_______dy5_5_1_1_3" hidden="1">{"Input_Fin",#N/A,FALSE,"By Code";"Input_Opt",#N/A,FALSE,"By Code"}</definedName>
    <definedName name="_______dy5_5_1_2" hidden="1">{"Input_Fin",#N/A,FALSE,"By Code";"Input_Opt",#N/A,FALSE,"By Code"}</definedName>
    <definedName name="_______dy5_5_1_2_1" hidden="1">{"Input_Fin",#N/A,FALSE,"By Code";"Input_Opt",#N/A,FALSE,"By Code"}</definedName>
    <definedName name="_______dy5_5_1_2_2" hidden="1">{"Input_Fin",#N/A,FALSE,"By Code";"Input_Opt",#N/A,FALSE,"By Code"}</definedName>
    <definedName name="_______dy5_5_1_3" hidden="1">{"Input_Fin",#N/A,FALSE,"By Code";"Input_Opt",#N/A,FALSE,"By Code"}</definedName>
    <definedName name="_______dy5_5_1_4" hidden="1">{"Input_Fin",#N/A,FALSE,"By Code";"Input_Opt",#N/A,FALSE,"By Code"}</definedName>
    <definedName name="_______dy5_5_2" hidden="1">{"Input_Fin",#N/A,FALSE,"By Code";"Input_Opt",#N/A,FALSE,"By Code"}</definedName>
    <definedName name="_______dy5_5_2_1" hidden="1">{"Input_Fin",#N/A,FALSE,"By Code";"Input_Opt",#N/A,FALSE,"By Code"}</definedName>
    <definedName name="_______dy5_5_2_2" hidden="1">{"Input_Fin",#N/A,FALSE,"By Code";"Input_Opt",#N/A,FALSE,"By Code"}</definedName>
    <definedName name="_______dy5_5_2_3" hidden="1">{"Input_Fin",#N/A,FALSE,"By Code";"Input_Opt",#N/A,FALSE,"By Code"}</definedName>
    <definedName name="_______dy5_5_3" hidden="1">{"Input_Fin",#N/A,FALSE,"By Code";"Input_Opt",#N/A,FALSE,"By Code"}</definedName>
    <definedName name="_______dy5_5_3_1" hidden="1">{"Input_Fin",#N/A,FALSE,"By Code";"Input_Opt",#N/A,FALSE,"By Code"}</definedName>
    <definedName name="_______dy5_5_3_2" hidden="1">{"Input_Fin",#N/A,FALSE,"By Code";"Input_Opt",#N/A,FALSE,"By Code"}</definedName>
    <definedName name="_______dy5_5_4" hidden="1">{"Input_Fin",#N/A,FALSE,"By Code";"Input_Opt",#N/A,FALSE,"By Code"}</definedName>
    <definedName name="_______dy5_5_5" hidden="1">{"Input_Fin",#N/A,FALSE,"By Code";"Input_Opt",#N/A,FALSE,"By Code"}</definedName>
    <definedName name="_______dy6" localSheetId="12" hidden="1">{"Input_Fin",#N/A,FALSE,"By Code";"Input_Opt",#N/A,FALSE,"By Code"}</definedName>
    <definedName name="_______dy6" hidden="1">{"Input_Fin",#N/A,FALSE,"By Code";"Input_Opt",#N/A,FALSE,"By Code"}</definedName>
    <definedName name="_______dy6_1" hidden="1">{"Input_Fin",#N/A,FALSE,"By Code";"Input_Opt",#N/A,FALSE,"By Code"}</definedName>
    <definedName name="_______dy6_1_1" hidden="1">{"Input_Fin",#N/A,FALSE,"By Code";"Input_Opt",#N/A,FALSE,"By Code"}</definedName>
    <definedName name="_______dy6_1_1_1" hidden="1">{"Input_Fin",#N/A,FALSE,"By Code";"Input_Opt",#N/A,FALSE,"By Code"}</definedName>
    <definedName name="_______dy6_1_1_1_1" hidden="1">{"Input_Fin",#N/A,FALSE,"By Code";"Input_Opt",#N/A,FALSE,"By Code"}</definedName>
    <definedName name="_______dy6_1_1_1_1_1" hidden="1">{"Input_Fin",#N/A,FALSE,"By Code";"Input_Opt",#N/A,FALSE,"By Code"}</definedName>
    <definedName name="_______dy6_1_1_1_1_2" hidden="1">{"Input_Fin",#N/A,FALSE,"By Code";"Input_Opt",#N/A,FALSE,"By Code"}</definedName>
    <definedName name="_______dy6_1_1_1_1_3" hidden="1">{"Input_Fin",#N/A,FALSE,"By Code";"Input_Opt",#N/A,FALSE,"By Code"}</definedName>
    <definedName name="_______dy6_1_1_1_2" hidden="1">{"Input_Fin",#N/A,FALSE,"By Code";"Input_Opt",#N/A,FALSE,"By Code"}</definedName>
    <definedName name="_______dy6_1_1_1_2_1" hidden="1">{"Input_Fin",#N/A,FALSE,"By Code";"Input_Opt",#N/A,FALSE,"By Code"}</definedName>
    <definedName name="_______dy6_1_1_1_2_2" hidden="1">{"Input_Fin",#N/A,FALSE,"By Code";"Input_Opt",#N/A,FALSE,"By Code"}</definedName>
    <definedName name="_______dy6_1_1_1_3" hidden="1">{"Input_Fin",#N/A,FALSE,"By Code";"Input_Opt",#N/A,FALSE,"By Code"}</definedName>
    <definedName name="_______dy6_1_1_1_3_1" hidden="1">{"Input_Fin",#N/A,FALSE,"By Code";"Input_Opt",#N/A,FALSE,"By Code"}</definedName>
    <definedName name="_______dy6_1_1_1_3_2" hidden="1">{"Input_Fin",#N/A,FALSE,"By Code";"Input_Opt",#N/A,FALSE,"By Code"}</definedName>
    <definedName name="_______dy6_1_1_1_4" hidden="1">{"Input_Fin",#N/A,FALSE,"By Code";"Input_Opt",#N/A,FALSE,"By Code"}</definedName>
    <definedName name="_______dy6_1_1_1_5" hidden="1">{"Input_Fin",#N/A,FALSE,"By Code";"Input_Opt",#N/A,FALSE,"By Code"}</definedName>
    <definedName name="_______dy6_1_1_2" hidden="1">{"Input_Fin",#N/A,FALSE,"By Code";"Input_Opt",#N/A,FALSE,"By Code"}</definedName>
    <definedName name="_______dy6_1_1_2_1" hidden="1">{"Input_Fin",#N/A,FALSE,"By Code";"Input_Opt",#N/A,FALSE,"By Code"}</definedName>
    <definedName name="_______dy6_1_1_2_2" hidden="1">{"Input_Fin",#N/A,FALSE,"By Code";"Input_Opt",#N/A,FALSE,"By Code"}</definedName>
    <definedName name="_______dy6_1_1_2_3" hidden="1">{"Input_Fin",#N/A,FALSE,"By Code";"Input_Opt",#N/A,FALSE,"By Code"}</definedName>
    <definedName name="_______dy6_1_1_3" hidden="1">{"Input_Fin",#N/A,FALSE,"By Code";"Input_Opt",#N/A,FALSE,"By Code"}</definedName>
    <definedName name="_______dy6_1_1_3_1" hidden="1">{"Input_Fin",#N/A,FALSE,"By Code";"Input_Opt",#N/A,FALSE,"By Code"}</definedName>
    <definedName name="_______dy6_1_1_3_2" hidden="1">{"Input_Fin",#N/A,FALSE,"By Code";"Input_Opt",#N/A,FALSE,"By Code"}</definedName>
    <definedName name="_______dy6_1_1_4" hidden="1">{"Input_Fin",#N/A,FALSE,"By Code";"Input_Opt",#N/A,FALSE,"By Code"}</definedName>
    <definedName name="_______dy6_1_1_5" hidden="1">{"Input_Fin",#N/A,FALSE,"By Code";"Input_Opt",#N/A,FALSE,"By Code"}</definedName>
    <definedName name="_______dy6_1_2" hidden="1">{"Input_Fin",#N/A,FALSE,"By Code";"Input_Opt",#N/A,FALSE,"By Code"}</definedName>
    <definedName name="_______dy6_1_2_1" hidden="1">{"Input_Fin",#N/A,FALSE,"By Code";"Input_Opt",#N/A,FALSE,"By Code"}</definedName>
    <definedName name="_______dy6_1_2_2" hidden="1">{"Input_Fin",#N/A,FALSE,"By Code";"Input_Opt",#N/A,FALSE,"By Code"}</definedName>
    <definedName name="_______dy6_1_2_3" hidden="1">{"Input_Fin",#N/A,FALSE,"By Code";"Input_Opt",#N/A,FALSE,"By Code"}</definedName>
    <definedName name="_______dy6_1_3" hidden="1">{"Input_Fin",#N/A,FALSE,"By Code";"Input_Opt",#N/A,FALSE,"By Code"}</definedName>
    <definedName name="_______dy6_1_3_1" hidden="1">{"Input_Fin",#N/A,FALSE,"By Code";"Input_Opt",#N/A,FALSE,"By Code"}</definedName>
    <definedName name="_______dy6_1_3_2" hidden="1">{"Input_Fin",#N/A,FALSE,"By Code";"Input_Opt",#N/A,FALSE,"By Code"}</definedName>
    <definedName name="_______dy6_1_4" hidden="1">{"Input_Fin",#N/A,FALSE,"By Code";"Input_Opt",#N/A,FALSE,"By Code"}</definedName>
    <definedName name="_______dy6_1_5" hidden="1">{"Input_Fin",#N/A,FALSE,"By Code";"Input_Opt",#N/A,FALSE,"By Code"}</definedName>
    <definedName name="_______dy6_2" hidden="1">{"Input_Fin",#N/A,FALSE,"By Code";"Input_Opt",#N/A,FALSE,"By Code"}</definedName>
    <definedName name="_______dy6_2_1" hidden="1">{"Input_Fin",#N/A,FALSE,"By Code";"Input_Opt",#N/A,FALSE,"By Code"}</definedName>
    <definedName name="_______dy6_2_1_1" hidden="1">{"Input_Fin",#N/A,FALSE,"By Code";"Input_Opt",#N/A,FALSE,"By Code"}</definedName>
    <definedName name="_______dy6_2_1_1_1" hidden="1">{"Input_Fin",#N/A,FALSE,"By Code";"Input_Opt",#N/A,FALSE,"By Code"}</definedName>
    <definedName name="_______dy6_2_1_1_2" hidden="1">{"Input_Fin",#N/A,FALSE,"By Code";"Input_Opt",#N/A,FALSE,"By Code"}</definedName>
    <definedName name="_______dy6_2_1_1_3" hidden="1">{"Input_Fin",#N/A,FALSE,"By Code";"Input_Opt",#N/A,FALSE,"By Code"}</definedName>
    <definedName name="_______dy6_2_1_2" hidden="1">{"Input_Fin",#N/A,FALSE,"By Code";"Input_Opt",#N/A,FALSE,"By Code"}</definedName>
    <definedName name="_______dy6_2_1_2_1" hidden="1">{"Input_Fin",#N/A,FALSE,"By Code";"Input_Opt",#N/A,FALSE,"By Code"}</definedName>
    <definedName name="_______dy6_2_1_2_2" hidden="1">{"Input_Fin",#N/A,FALSE,"By Code";"Input_Opt",#N/A,FALSE,"By Code"}</definedName>
    <definedName name="_______dy6_2_1_3" hidden="1">{"Input_Fin",#N/A,FALSE,"By Code";"Input_Opt",#N/A,FALSE,"By Code"}</definedName>
    <definedName name="_______dy6_2_1_4" hidden="1">{"Input_Fin",#N/A,FALSE,"By Code";"Input_Opt",#N/A,FALSE,"By Code"}</definedName>
    <definedName name="_______dy6_2_2" hidden="1">{"Input_Fin",#N/A,FALSE,"By Code";"Input_Opt",#N/A,FALSE,"By Code"}</definedName>
    <definedName name="_______dy6_2_2_1" hidden="1">{"Input_Fin",#N/A,FALSE,"By Code";"Input_Opt",#N/A,FALSE,"By Code"}</definedName>
    <definedName name="_______dy6_2_2_2" hidden="1">{"Input_Fin",#N/A,FALSE,"By Code";"Input_Opt",#N/A,FALSE,"By Code"}</definedName>
    <definedName name="_______dy6_2_2_3" hidden="1">{"Input_Fin",#N/A,FALSE,"By Code";"Input_Opt",#N/A,FALSE,"By Code"}</definedName>
    <definedName name="_______dy6_2_3" hidden="1">{"Input_Fin",#N/A,FALSE,"By Code";"Input_Opt",#N/A,FALSE,"By Code"}</definedName>
    <definedName name="_______dy6_2_3_1" hidden="1">{"Input_Fin",#N/A,FALSE,"By Code";"Input_Opt",#N/A,FALSE,"By Code"}</definedName>
    <definedName name="_______dy6_2_3_2" hidden="1">{"Input_Fin",#N/A,FALSE,"By Code";"Input_Opt",#N/A,FALSE,"By Code"}</definedName>
    <definedName name="_______dy6_2_4" hidden="1">{"Input_Fin",#N/A,FALSE,"By Code";"Input_Opt",#N/A,FALSE,"By Code"}</definedName>
    <definedName name="_______dy6_2_5" hidden="1">{"Input_Fin",#N/A,FALSE,"By Code";"Input_Opt",#N/A,FALSE,"By Code"}</definedName>
    <definedName name="_______dy6_3" hidden="1">{"Input_Fin",#N/A,FALSE,"By Code";"Input_Opt",#N/A,FALSE,"By Code"}</definedName>
    <definedName name="_______dy6_3_1" hidden="1">{"Input_Fin",#N/A,FALSE,"By Code";"Input_Opt",#N/A,FALSE,"By Code"}</definedName>
    <definedName name="_______dy6_3_1_1" hidden="1">{"Input_Fin",#N/A,FALSE,"By Code";"Input_Opt",#N/A,FALSE,"By Code"}</definedName>
    <definedName name="_______dy6_3_1_1_1" hidden="1">{"Input_Fin",#N/A,FALSE,"By Code";"Input_Opt",#N/A,FALSE,"By Code"}</definedName>
    <definedName name="_______dy6_3_1_1_2" hidden="1">{"Input_Fin",#N/A,FALSE,"By Code";"Input_Opt",#N/A,FALSE,"By Code"}</definedName>
    <definedName name="_______dy6_3_1_1_3" hidden="1">{"Input_Fin",#N/A,FALSE,"By Code";"Input_Opt",#N/A,FALSE,"By Code"}</definedName>
    <definedName name="_______dy6_3_1_2" hidden="1">{"Input_Fin",#N/A,FALSE,"By Code";"Input_Opt",#N/A,FALSE,"By Code"}</definedName>
    <definedName name="_______dy6_3_1_2_1" hidden="1">{"Input_Fin",#N/A,FALSE,"By Code";"Input_Opt",#N/A,FALSE,"By Code"}</definedName>
    <definedName name="_______dy6_3_1_2_2" hidden="1">{"Input_Fin",#N/A,FALSE,"By Code";"Input_Opt",#N/A,FALSE,"By Code"}</definedName>
    <definedName name="_______dy6_3_1_3" hidden="1">{"Input_Fin",#N/A,FALSE,"By Code";"Input_Opt",#N/A,FALSE,"By Code"}</definedName>
    <definedName name="_______dy6_3_1_4" hidden="1">{"Input_Fin",#N/A,FALSE,"By Code";"Input_Opt",#N/A,FALSE,"By Code"}</definedName>
    <definedName name="_______dy6_3_2" hidden="1">{"Input_Fin",#N/A,FALSE,"By Code";"Input_Opt",#N/A,FALSE,"By Code"}</definedName>
    <definedName name="_______dy6_3_2_1" hidden="1">{"Input_Fin",#N/A,FALSE,"By Code";"Input_Opt",#N/A,FALSE,"By Code"}</definedName>
    <definedName name="_______dy6_3_2_2" hidden="1">{"Input_Fin",#N/A,FALSE,"By Code";"Input_Opt",#N/A,FALSE,"By Code"}</definedName>
    <definedName name="_______dy6_3_2_3" hidden="1">{"Input_Fin",#N/A,FALSE,"By Code";"Input_Opt",#N/A,FALSE,"By Code"}</definedName>
    <definedName name="_______dy6_3_3" hidden="1">{"Input_Fin",#N/A,FALSE,"By Code";"Input_Opt",#N/A,FALSE,"By Code"}</definedName>
    <definedName name="_______dy6_3_3_1" hidden="1">{"Input_Fin",#N/A,FALSE,"By Code";"Input_Opt",#N/A,FALSE,"By Code"}</definedName>
    <definedName name="_______dy6_3_3_2" hidden="1">{"Input_Fin",#N/A,FALSE,"By Code";"Input_Opt",#N/A,FALSE,"By Code"}</definedName>
    <definedName name="_______dy6_3_4" hidden="1">{"Input_Fin",#N/A,FALSE,"By Code";"Input_Opt",#N/A,FALSE,"By Code"}</definedName>
    <definedName name="_______dy6_3_5" hidden="1">{"Input_Fin",#N/A,FALSE,"By Code";"Input_Opt",#N/A,FALSE,"By Code"}</definedName>
    <definedName name="_______dy6_4" hidden="1">{"Input_Fin",#N/A,FALSE,"By Code";"Input_Opt",#N/A,FALSE,"By Code"}</definedName>
    <definedName name="_______dy6_4_1" hidden="1">{"Input_Fin",#N/A,FALSE,"By Code";"Input_Opt",#N/A,FALSE,"By Code"}</definedName>
    <definedName name="_______dy6_4_1_1" hidden="1">{"Input_Fin",#N/A,FALSE,"By Code";"Input_Opt",#N/A,FALSE,"By Code"}</definedName>
    <definedName name="_______dy6_4_1_1_1" hidden="1">{"Input_Fin",#N/A,FALSE,"By Code";"Input_Opt",#N/A,FALSE,"By Code"}</definedName>
    <definedName name="_______dy6_4_1_1_2" hidden="1">{"Input_Fin",#N/A,FALSE,"By Code";"Input_Opt",#N/A,FALSE,"By Code"}</definedName>
    <definedName name="_______dy6_4_1_1_3" hidden="1">{"Input_Fin",#N/A,FALSE,"By Code";"Input_Opt",#N/A,FALSE,"By Code"}</definedName>
    <definedName name="_______dy6_4_1_2" hidden="1">{"Input_Fin",#N/A,FALSE,"By Code";"Input_Opt",#N/A,FALSE,"By Code"}</definedName>
    <definedName name="_______dy6_4_1_2_1" hidden="1">{"Input_Fin",#N/A,FALSE,"By Code";"Input_Opt",#N/A,FALSE,"By Code"}</definedName>
    <definedName name="_______dy6_4_1_2_2" hidden="1">{"Input_Fin",#N/A,FALSE,"By Code";"Input_Opt",#N/A,FALSE,"By Code"}</definedName>
    <definedName name="_______dy6_4_1_3" hidden="1">{"Input_Fin",#N/A,FALSE,"By Code";"Input_Opt",#N/A,FALSE,"By Code"}</definedName>
    <definedName name="_______dy6_4_1_4" hidden="1">{"Input_Fin",#N/A,FALSE,"By Code";"Input_Opt",#N/A,FALSE,"By Code"}</definedName>
    <definedName name="_______dy6_4_2" hidden="1">{"Input_Fin",#N/A,FALSE,"By Code";"Input_Opt",#N/A,FALSE,"By Code"}</definedName>
    <definedName name="_______dy6_4_2_1" hidden="1">{"Input_Fin",#N/A,FALSE,"By Code";"Input_Opt",#N/A,FALSE,"By Code"}</definedName>
    <definedName name="_______dy6_4_2_2" hidden="1">{"Input_Fin",#N/A,FALSE,"By Code";"Input_Opt",#N/A,FALSE,"By Code"}</definedName>
    <definedName name="_______dy6_4_2_3" hidden="1">{"Input_Fin",#N/A,FALSE,"By Code";"Input_Opt",#N/A,FALSE,"By Code"}</definedName>
    <definedName name="_______dy6_4_3" hidden="1">{"Input_Fin",#N/A,FALSE,"By Code";"Input_Opt",#N/A,FALSE,"By Code"}</definedName>
    <definedName name="_______dy6_4_3_1" hidden="1">{"Input_Fin",#N/A,FALSE,"By Code";"Input_Opt",#N/A,FALSE,"By Code"}</definedName>
    <definedName name="_______dy6_4_3_2" hidden="1">{"Input_Fin",#N/A,FALSE,"By Code";"Input_Opt",#N/A,FALSE,"By Code"}</definedName>
    <definedName name="_______dy6_4_4" hidden="1">{"Input_Fin",#N/A,FALSE,"By Code";"Input_Opt",#N/A,FALSE,"By Code"}</definedName>
    <definedName name="_______dy6_4_5" hidden="1">{"Input_Fin",#N/A,FALSE,"By Code";"Input_Opt",#N/A,FALSE,"By Code"}</definedName>
    <definedName name="_______dy6_5" hidden="1">{"Input_Fin",#N/A,FALSE,"By Code";"Input_Opt",#N/A,FALSE,"By Code"}</definedName>
    <definedName name="_______dy6_5_1" hidden="1">{"Input_Fin",#N/A,FALSE,"By Code";"Input_Opt",#N/A,FALSE,"By Code"}</definedName>
    <definedName name="_______dy6_5_1_1" hidden="1">{"Input_Fin",#N/A,FALSE,"By Code";"Input_Opt",#N/A,FALSE,"By Code"}</definedName>
    <definedName name="_______dy6_5_1_1_1" hidden="1">{"Input_Fin",#N/A,FALSE,"By Code";"Input_Opt",#N/A,FALSE,"By Code"}</definedName>
    <definedName name="_______dy6_5_1_1_2" hidden="1">{"Input_Fin",#N/A,FALSE,"By Code";"Input_Opt",#N/A,FALSE,"By Code"}</definedName>
    <definedName name="_______dy6_5_1_1_3" hidden="1">{"Input_Fin",#N/A,FALSE,"By Code";"Input_Opt",#N/A,FALSE,"By Code"}</definedName>
    <definedName name="_______dy6_5_1_2" hidden="1">{"Input_Fin",#N/A,FALSE,"By Code";"Input_Opt",#N/A,FALSE,"By Code"}</definedName>
    <definedName name="_______dy6_5_1_2_1" hidden="1">{"Input_Fin",#N/A,FALSE,"By Code";"Input_Opt",#N/A,FALSE,"By Code"}</definedName>
    <definedName name="_______dy6_5_1_2_2" hidden="1">{"Input_Fin",#N/A,FALSE,"By Code";"Input_Opt",#N/A,FALSE,"By Code"}</definedName>
    <definedName name="_______dy6_5_1_3" hidden="1">{"Input_Fin",#N/A,FALSE,"By Code";"Input_Opt",#N/A,FALSE,"By Code"}</definedName>
    <definedName name="_______dy6_5_1_4" hidden="1">{"Input_Fin",#N/A,FALSE,"By Code";"Input_Opt",#N/A,FALSE,"By Code"}</definedName>
    <definedName name="_______dy6_5_2" hidden="1">{"Input_Fin",#N/A,FALSE,"By Code";"Input_Opt",#N/A,FALSE,"By Code"}</definedName>
    <definedName name="_______dy6_5_2_1" hidden="1">{"Input_Fin",#N/A,FALSE,"By Code";"Input_Opt",#N/A,FALSE,"By Code"}</definedName>
    <definedName name="_______dy6_5_2_2" hidden="1">{"Input_Fin",#N/A,FALSE,"By Code";"Input_Opt",#N/A,FALSE,"By Code"}</definedName>
    <definedName name="_______dy6_5_2_3" hidden="1">{"Input_Fin",#N/A,FALSE,"By Code";"Input_Opt",#N/A,FALSE,"By Code"}</definedName>
    <definedName name="_______dy6_5_3" hidden="1">{"Input_Fin",#N/A,FALSE,"By Code";"Input_Opt",#N/A,FALSE,"By Code"}</definedName>
    <definedName name="_______dy6_5_3_1" hidden="1">{"Input_Fin",#N/A,FALSE,"By Code";"Input_Opt",#N/A,FALSE,"By Code"}</definedName>
    <definedName name="_______dy6_5_3_2" hidden="1">{"Input_Fin",#N/A,FALSE,"By Code";"Input_Opt",#N/A,FALSE,"By Code"}</definedName>
    <definedName name="_______dy6_5_4" hidden="1">{"Input_Fin",#N/A,FALSE,"By Code";"Input_Opt",#N/A,FALSE,"By Code"}</definedName>
    <definedName name="_______dy6_5_5" hidden="1">{"Input_Fin",#N/A,FALSE,"By Code";"Input_Opt",#N/A,FALSE,"By Code"}</definedName>
    <definedName name="_______jhi44" localSheetId="12" hidden="1">{"Input_Fin",#N/A,FALSE,"By Code";"Input_Opt",#N/A,FALSE,"By Code"}</definedName>
    <definedName name="_______jhi44" hidden="1">{"Input_Fin",#N/A,FALSE,"By Code";"Input_Opt",#N/A,FALSE,"By Code"}</definedName>
    <definedName name="_______jhi44_1" hidden="1">{"Input_Fin",#N/A,FALSE,"By Code";"Input_Opt",#N/A,FALSE,"By Code"}</definedName>
    <definedName name="_______jhi44_1_1" hidden="1">{"Input_Fin",#N/A,FALSE,"By Code";"Input_Opt",#N/A,FALSE,"By Code"}</definedName>
    <definedName name="_______jhi44_1_1_1" hidden="1">{"Input_Fin",#N/A,FALSE,"By Code";"Input_Opt",#N/A,FALSE,"By Code"}</definedName>
    <definedName name="_______jhi44_1_1_1_1" hidden="1">{"Input_Fin",#N/A,FALSE,"By Code";"Input_Opt",#N/A,FALSE,"By Code"}</definedName>
    <definedName name="_______jhi44_1_1_1_1_1" hidden="1">{"Input_Fin",#N/A,FALSE,"By Code";"Input_Opt",#N/A,FALSE,"By Code"}</definedName>
    <definedName name="_______jhi44_1_1_1_1_2" hidden="1">{"Input_Fin",#N/A,FALSE,"By Code";"Input_Opt",#N/A,FALSE,"By Code"}</definedName>
    <definedName name="_______jhi44_1_1_1_1_3" hidden="1">{"Input_Fin",#N/A,FALSE,"By Code";"Input_Opt",#N/A,FALSE,"By Code"}</definedName>
    <definedName name="_______jhi44_1_1_1_2" hidden="1">{"Input_Fin",#N/A,FALSE,"By Code";"Input_Opt",#N/A,FALSE,"By Code"}</definedName>
    <definedName name="_______jhi44_1_1_1_2_1" hidden="1">{"Input_Fin",#N/A,FALSE,"By Code";"Input_Opt",#N/A,FALSE,"By Code"}</definedName>
    <definedName name="_______jhi44_1_1_1_2_2" hidden="1">{"Input_Fin",#N/A,FALSE,"By Code";"Input_Opt",#N/A,FALSE,"By Code"}</definedName>
    <definedName name="_______jhi44_1_1_1_3" hidden="1">{"Input_Fin",#N/A,FALSE,"By Code";"Input_Opt",#N/A,FALSE,"By Code"}</definedName>
    <definedName name="_______jhi44_1_1_1_3_1" hidden="1">{"Input_Fin",#N/A,FALSE,"By Code";"Input_Opt",#N/A,FALSE,"By Code"}</definedName>
    <definedName name="_______jhi44_1_1_1_3_2" hidden="1">{"Input_Fin",#N/A,FALSE,"By Code";"Input_Opt",#N/A,FALSE,"By Code"}</definedName>
    <definedName name="_______jhi44_1_1_1_4" hidden="1">{"Input_Fin",#N/A,FALSE,"By Code";"Input_Opt",#N/A,FALSE,"By Code"}</definedName>
    <definedName name="_______jhi44_1_1_1_5" hidden="1">{"Input_Fin",#N/A,FALSE,"By Code";"Input_Opt",#N/A,FALSE,"By Code"}</definedName>
    <definedName name="_______jhi44_1_1_2" hidden="1">{"Input_Fin",#N/A,FALSE,"By Code";"Input_Opt",#N/A,FALSE,"By Code"}</definedName>
    <definedName name="_______jhi44_1_1_2_1" hidden="1">{"Input_Fin",#N/A,FALSE,"By Code";"Input_Opt",#N/A,FALSE,"By Code"}</definedName>
    <definedName name="_______jhi44_1_1_2_2" hidden="1">{"Input_Fin",#N/A,FALSE,"By Code";"Input_Opt",#N/A,FALSE,"By Code"}</definedName>
    <definedName name="_______jhi44_1_1_2_3" hidden="1">{"Input_Fin",#N/A,FALSE,"By Code";"Input_Opt",#N/A,FALSE,"By Code"}</definedName>
    <definedName name="_______jhi44_1_1_3" hidden="1">{"Input_Fin",#N/A,FALSE,"By Code";"Input_Opt",#N/A,FALSE,"By Code"}</definedName>
    <definedName name="_______jhi44_1_1_3_1" hidden="1">{"Input_Fin",#N/A,FALSE,"By Code";"Input_Opt",#N/A,FALSE,"By Code"}</definedName>
    <definedName name="_______jhi44_1_1_3_2" hidden="1">{"Input_Fin",#N/A,FALSE,"By Code";"Input_Opt",#N/A,FALSE,"By Code"}</definedName>
    <definedName name="_______jhi44_1_1_4" hidden="1">{"Input_Fin",#N/A,FALSE,"By Code";"Input_Opt",#N/A,FALSE,"By Code"}</definedName>
    <definedName name="_______jhi44_1_1_5" hidden="1">{"Input_Fin",#N/A,FALSE,"By Code";"Input_Opt",#N/A,FALSE,"By Code"}</definedName>
    <definedName name="_______jhi44_1_2" hidden="1">{"Input_Fin",#N/A,FALSE,"By Code";"Input_Opt",#N/A,FALSE,"By Code"}</definedName>
    <definedName name="_______jhi44_1_2_1" hidden="1">{"Input_Fin",#N/A,FALSE,"By Code";"Input_Opt",#N/A,FALSE,"By Code"}</definedName>
    <definedName name="_______jhi44_1_2_2" hidden="1">{"Input_Fin",#N/A,FALSE,"By Code";"Input_Opt",#N/A,FALSE,"By Code"}</definedName>
    <definedName name="_______jhi44_1_2_3" hidden="1">{"Input_Fin",#N/A,FALSE,"By Code";"Input_Opt",#N/A,FALSE,"By Code"}</definedName>
    <definedName name="_______jhi44_1_3" hidden="1">{"Input_Fin",#N/A,FALSE,"By Code";"Input_Opt",#N/A,FALSE,"By Code"}</definedName>
    <definedName name="_______jhi44_1_3_1" hidden="1">{"Input_Fin",#N/A,FALSE,"By Code";"Input_Opt",#N/A,FALSE,"By Code"}</definedName>
    <definedName name="_______jhi44_1_3_2" hidden="1">{"Input_Fin",#N/A,FALSE,"By Code";"Input_Opt",#N/A,FALSE,"By Code"}</definedName>
    <definedName name="_______jhi44_1_4" hidden="1">{"Input_Fin",#N/A,FALSE,"By Code";"Input_Opt",#N/A,FALSE,"By Code"}</definedName>
    <definedName name="_______jhi44_1_5" hidden="1">{"Input_Fin",#N/A,FALSE,"By Code";"Input_Opt",#N/A,FALSE,"By Code"}</definedName>
    <definedName name="_______jhi44_2" hidden="1">{"Input_Fin",#N/A,FALSE,"By Code";"Input_Opt",#N/A,FALSE,"By Code"}</definedName>
    <definedName name="_______jhi44_2_1" hidden="1">{"Input_Fin",#N/A,FALSE,"By Code";"Input_Opt",#N/A,FALSE,"By Code"}</definedName>
    <definedName name="_______jhi44_2_1_1" hidden="1">{"Input_Fin",#N/A,FALSE,"By Code";"Input_Opt",#N/A,FALSE,"By Code"}</definedName>
    <definedName name="_______jhi44_2_1_1_1" hidden="1">{"Input_Fin",#N/A,FALSE,"By Code";"Input_Opt",#N/A,FALSE,"By Code"}</definedName>
    <definedName name="_______jhi44_2_1_1_2" hidden="1">{"Input_Fin",#N/A,FALSE,"By Code";"Input_Opt",#N/A,FALSE,"By Code"}</definedName>
    <definedName name="_______jhi44_2_1_1_3" hidden="1">{"Input_Fin",#N/A,FALSE,"By Code";"Input_Opt",#N/A,FALSE,"By Code"}</definedName>
    <definedName name="_______jhi44_2_1_2" hidden="1">{"Input_Fin",#N/A,FALSE,"By Code";"Input_Opt",#N/A,FALSE,"By Code"}</definedName>
    <definedName name="_______jhi44_2_1_2_1" hidden="1">{"Input_Fin",#N/A,FALSE,"By Code";"Input_Opt",#N/A,FALSE,"By Code"}</definedName>
    <definedName name="_______jhi44_2_1_2_2" hidden="1">{"Input_Fin",#N/A,FALSE,"By Code";"Input_Opt",#N/A,FALSE,"By Code"}</definedName>
    <definedName name="_______jhi44_2_1_3" hidden="1">{"Input_Fin",#N/A,FALSE,"By Code";"Input_Opt",#N/A,FALSE,"By Code"}</definedName>
    <definedName name="_______jhi44_2_1_4" hidden="1">{"Input_Fin",#N/A,FALSE,"By Code";"Input_Opt",#N/A,FALSE,"By Code"}</definedName>
    <definedName name="_______jhi44_2_2" hidden="1">{"Input_Fin",#N/A,FALSE,"By Code";"Input_Opt",#N/A,FALSE,"By Code"}</definedName>
    <definedName name="_______jhi44_2_2_1" hidden="1">{"Input_Fin",#N/A,FALSE,"By Code";"Input_Opt",#N/A,FALSE,"By Code"}</definedName>
    <definedName name="_______jhi44_2_2_2" hidden="1">{"Input_Fin",#N/A,FALSE,"By Code";"Input_Opt",#N/A,FALSE,"By Code"}</definedName>
    <definedName name="_______jhi44_2_2_3" hidden="1">{"Input_Fin",#N/A,FALSE,"By Code";"Input_Opt",#N/A,FALSE,"By Code"}</definedName>
    <definedName name="_______jhi44_2_3" hidden="1">{"Input_Fin",#N/A,FALSE,"By Code";"Input_Opt",#N/A,FALSE,"By Code"}</definedName>
    <definedName name="_______jhi44_2_3_1" hidden="1">{"Input_Fin",#N/A,FALSE,"By Code";"Input_Opt",#N/A,FALSE,"By Code"}</definedName>
    <definedName name="_______jhi44_2_3_2" hidden="1">{"Input_Fin",#N/A,FALSE,"By Code";"Input_Opt",#N/A,FALSE,"By Code"}</definedName>
    <definedName name="_______jhi44_2_4" hidden="1">{"Input_Fin",#N/A,FALSE,"By Code";"Input_Opt",#N/A,FALSE,"By Code"}</definedName>
    <definedName name="_______jhi44_2_5" hidden="1">{"Input_Fin",#N/A,FALSE,"By Code";"Input_Opt",#N/A,FALSE,"By Code"}</definedName>
    <definedName name="_______jhi44_3" hidden="1">{"Input_Fin",#N/A,FALSE,"By Code";"Input_Opt",#N/A,FALSE,"By Code"}</definedName>
    <definedName name="_______jhi44_3_1" hidden="1">{"Input_Fin",#N/A,FALSE,"By Code";"Input_Opt",#N/A,FALSE,"By Code"}</definedName>
    <definedName name="_______jhi44_3_1_1" hidden="1">{"Input_Fin",#N/A,FALSE,"By Code";"Input_Opt",#N/A,FALSE,"By Code"}</definedName>
    <definedName name="_______jhi44_3_1_1_1" hidden="1">{"Input_Fin",#N/A,FALSE,"By Code";"Input_Opt",#N/A,FALSE,"By Code"}</definedName>
    <definedName name="_______jhi44_3_1_1_2" hidden="1">{"Input_Fin",#N/A,FALSE,"By Code";"Input_Opt",#N/A,FALSE,"By Code"}</definedName>
    <definedName name="_______jhi44_3_1_1_3" hidden="1">{"Input_Fin",#N/A,FALSE,"By Code";"Input_Opt",#N/A,FALSE,"By Code"}</definedName>
    <definedName name="_______jhi44_3_1_2" hidden="1">{"Input_Fin",#N/A,FALSE,"By Code";"Input_Opt",#N/A,FALSE,"By Code"}</definedName>
    <definedName name="_______jhi44_3_1_2_1" hidden="1">{"Input_Fin",#N/A,FALSE,"By Code";"Input_Opt",#N/A,FALSE,"By Code"}</definedName>
    <definedName name="_______jhi44_3_1_2_2" hidden="1">{"Input_Fin",#N/A,FALSE,"By Code";"Input_Opt",#N/A,FALSE,"By Code"}</definedName>
    <definedName name="_______jhi44_3_1_3" hidden="1">{"Input_Fin",#N/A,FALSE,"By Code";"Input_Opt",#N/A,FALSE,"By Code"}</definedName>
    <definedName name="_______jhi44_3_1_4" hidden="1">{"Input_Fin",#N/A,FALSE,"By Code";"Input_Opt",#N/A,FALSE,"By Code"}</definedName>
    <definedName name="_______jhi44_3_2" hidden="1">{"Input_Fin",#N/A,FALSE,"By Code";"Input_Opt",#N/A,FALSE,"By Code"}</definedName>
    <definedName name="_______jhi44_3_2_1" hidden="1">{"Input_Fin",#N/A,FALSE,"By Code";"Input_Opt",#N/A,FALSE,"By Code"}</definedName>
    <definedName name="_______jhi44_3_2_2" hidden="1">{"Input_Fin",#N/A,FALSE,"By Code";"Input_Opt",#N/A,FALSE,"By Code"}</definedName>
    <definedName name="_______jhi44_3_2_3" hidden="1">{"Input_Fin",#N/A,FALSE,"By Code";"Input_Opt",#N/A,FALSE,"By Code"}</definedName>
    <definedName name="_______jhi44_3_3" hidden="1">{"Input_Fin",#N/A,FALSE,"By Code";"Input_Opt",#N/A,FALSE,"By Code"}</definedName>
    <definedName name="_______jhi44_3_3_1" hidden="1">{"Input_Fin",#N/A,FALSE,"By Code";"Input_Opt",#N/A,FALSE,"By Code"}</definedName>
    <definedName name="_______jhi44_3_3_2" hidden="1">{"Input_Fin",#N/A,FALSE,"By Code";"Input_Opt",#N/A,FALSE,"By Code"}</definedName>
    <definedName name="_______jhi44_3_4" hidden="1">{"Input_Fin",#N/A,FALSE,"By Code";"Input_Opt",#N/A,FALSE,"By Code"}</definedName>
    <definedName name="_______jhi44_3_5" hidden="1">{"Input_Fin",#N/A,FALSE,"By Code";"Input_Opt",#N/A,FALSE,"By Code"}</definedName>
    <definedName name="_______jhi44_4" hidden="1">{"Input_Fin",#N/A,FALSE,"By Code";"Input_Opt",#N/A,FALSE,"By Code"}</definedName>
    <definedName name="_______jhi44_4_1" hidden="1">{"Input_Fin",#N/A,FALSE,"By Code";"Input_Opt",#N/A,FALSE,"By Code"}</definedName>
    <definedName name="_______jhi44_4_1_1" hidden="1">{"Input_Fin",#N/A,FALSE,"By Code";"Input_Opt",#N/A,FALSE,"By Code"}</definedName>
    <definedName name="_______jhi44_4_1_1_1" hidden="1">{"Input_Fin",#N/A,FALSE,"By Code";"Input_Opt",#N/A,FALSE,"By Code"}</definedName>
    <definedName name="_______jhi44_4_1_1_2" hidden="1">{"Input_Fin",#N/A,FALSE,"By Code";"Input_Opt",#N/A,FALSE,"By Code"}</definedName>
    <definedName name="_______jhi44_4_1_1_3" hidden="1">{"Input_Fin",#N/A,FALSE,"By Code";"Input_Opt",#N/A,FALSE,"By Code"}</definedName>
    <definedName name="_______jhi44_4_1_2" hidden="1">{"Input_Fin",#N/A,FALSE,"By Code";"Input_Opt",#N/A,FALSE,"By Code"}</definedName>
    <definedName name="_______jhi44_4_1_2_1" hidden="1">{"Input_Fin",#N/A,FALSE,"By Code";"Input_Opt",#N/A,FALSE,"By Code"}</definedName>
    <definedName name="_______jhi44_4_1_2_2" hidden="1">{"Input_Fin",#N/A,FALSE,"By Code";"Input_Opt",#N/A,FALSE,"By Code"}</definedName>
    <definedName name="_______jhi44_4_1_3" hidden="1">{"Input_Fin",#N/A,FALSE,"By Code";"Input_Opt",#N/A,FALSE,"By Code"}</definedName>
    <definedName name="_______jhi44_4_1_4" hidden="1">{"Input_Fin",#N/A,FALSE,"By Code";"Input_Opt",#N/A,FALSE,"By Code"}</definedName>
    <definedName name="_______jhi44_4_2" hidden="1">{"Input_Fin",#N/A,FALSE,"By Code";"Input_Opt",#N/A,FALSE,"By Code"}</definedName>
    <definedName name="_______jhi44_4_2_1" hidden="1">{"Input_Fin",#N/A,FALSE,"By Code";"Input_Opt",#N/A,FALSE,"By Code"}</definedName>
    <definedName name="_______jhi44_4_2_2" hidden="1">{"Input_Fin",#N/A,FALSE,"By Code";"Input_Opt",#N/A,FALSE,"By Code"}</definedName>
    <definedName name="_______jhi44_4_2_3" hidden="1">{"Input_Fin",#N/A,FALSE,"By Code";"Input_Opt",#N/A,FALSE,"By Code"}</definedName>
    <definedName name="_______jhi44_4_3" hidden="1">{"Input_Fin",#N/A,FALSE,"By Code";"Input_Opt",#N/A,FALSE,"By Code"}</definedName>
    <definedName name="_______jhi44_4_3_1" hidden="1">{"Input_Fin",#N/A,FALSE,"By Code";"Input_Opt",#N/A,FALSE,"By Code"}</definedName>
    <definedName name="_______jhi44_4_3_2" hidden="1">{"Input_Fin",#N/A,FALSE,"By Code";"Input_Opt",#N/A,FALSE,"By Code"}</definedName>
    <definedName name="_______jhi44_4_4" hidden="1">{"Input_Fin",#N/A,FALSE,"By Code";"Input_Opt",#N/A,FALSE,"By Code"}</definedName>
    <definedName name="_______jhi44_4_5" hidden="1">{"Input_Fin",#N/A,FALSE,"By Code";"Input_Opt",#N/A,FALSE,"By Code"}</definedName>
    <definedName name="_______jhi44_5" hidden="1">{"Input_Fin",#N/A,FALSE,"By Code";"Input_Opt",#N/A,FALSE,"By Code"}</definedName>
    <definedName name="_______jhi44_5_1" hidden="1">{"Input_Fin",#N/A,FALSE,"By Code";"Input_Opt",#N/A,FALSE,"By Code"}</definedName>
    <definedName name="_______jhi44_5_1_1" hidden="1">{"Input_Fin",#N/A,FALSE,"By Code";"Input_Opt",#N/A,FALSE,"By Code"}</definedName>
    <definedName name="_______jhi44_5_1_1_1" hidden="1">{"Input_Fin",#N/A,FALSE,"By Code";"Input_Opt",#N/A,FALSE,"By Code"}</definedName>
    <definedName name="_______jhi44_5_1_1_2" hidden="1">{"Input_Fin",#N/A,FALSE,"By Code";"Input_Opt",#N/A,FALSE,"By Code"}</definedName>
    <definedName name="_______jhi44_5_1_1_3" hidden="1">{"Input_Fin",#N/A,FALSE,"By Code";"Input_Opt",#N/A,FALSE,"By Code"}</definedName>
    <definedName name="_______jhi44_5_1_2" hidden="1">{"Input_Fin",#N/A,FALSE,"By Code";"Input_Opt",#N/A,FALSE,"By Code"}</definedName>
    <definedName name="_______jhi44_5_1_2_1" hidden="1">{"Input_Fin",#N/A,FALSE,"By Code";"Input_Opt",#N/A,FALSE,"By Code"}</definedName>
    <definedName name="_______jhi44_5_1_2_2" hidden="1">{"Input_Fin",#N/A,FALSE,"By Code";"Input_Opt",#N/A,FALSE,"By Code"}</definedName>
    <definedName name="_______jhi44_5_1_3" hidden="1">{"Input_Fin",#N/A,FALSE,"By Code";"Input_Opt",#N/A,FALSE,"By Code"}</definedName>
    <definedName name="_______jhi44_5_1_4" hidden="1">{"Input_Fin",#N/A,FALSE,"By Code";"Input_Opt",#N/A,FALSE,"By Code"}</definedName>
    <definedName name="_______jhi44_5_2" hidden="1">{"Input_Fin",#N/A,FALSE,"By Code";"Input_Opt",#N/A,FALSE,"By Code"}</definedName>
    <definedName name="_______jhi44_5_2_1" hidden="1">{"Input_Fin",#N/A,FALSE,"By Code";"Input_Opt",#N/A,FALSE,"By Code"}</definedName>
    <definedName name="_______jhi44_5_2_2" hidden="1">{"Input_Fin",#N/A,FALSE,"By Code";"Input_Opt",#N/A,FALSE,"By Code"}</definedName>
    <definedName name="_______jhi44_5_2_3" hidden="1">{"Input_Fin",#N/A,FALSE,"By Code";"Input_Opt",#N/A,FALSE,"By Code"}</definedName>
    <definedName name="_______jhi44_5_3" hidden="1">{"Input_Fin",#N/A,FALSE,"By Code";"Input_Opt",#N/A,FALSE,"By Code"}</definedName>
    <definedName name="_______jhi44_5_3_1" hidden="1">{"Input_Fin",#N/A,FALSE,"By Code";"Input_Opt",#N/A,FALSE,"By Code"}</definedName>
    <definedName name="_______jhi44_5_3_2" hidden="1">{"Input_Fin",#N/A,FALSE,"By Code";"Input_Opt",#N/A,FALSE,"By Code"}</definedName>
    <definedName name="_______jhi44_5_4" hidden="1">{"Input_Fin",#N/A,FALSE,"By Code";"Input_Opt",#N/A,FALSE,"By Code"}</definedName>
    <definedName name="_______jhi44_5_5" hidden="1">{"Input_Fin",#N/A,FALSE,"By Code";"Input_Opt",#N/A,FALSE,"By Code"}</definedName>
    <definedName name="______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123" localSheetId="12" hidden="1">{"Input_Fin",#N/A,FALSE,"By Code";"Input_Opt",#N/A,FALSE,"By Code"}</definedName>
    <definedName name="______D123" hidden="1">{"Input_Fin",#N/A,FALSE,"By Code";"Input_Opt",#N/A,FALSE,"By Code"}</definedName>
    <definedName name="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1" localSheetId="12" hidden="1">{"Input_Fin",#N/A,FALSE,"By Code";"Input_Opt",#N/A,FALSE,"By Code"}</definedName>
    <definedName name="______dy1" hidden="1">{"Input_Fin",#N/A,FALSE,"By Code";"Input_Opt",#N/A,FALSE,"By Code"}</definedName>
    <definedName name="______dy1_1" hidden="1">{"Input_Fin",#N/A,FALSE,"By Code";"Input_Opt",#N/A,FALSE,"By Code"}</definedName>
    <definedName name="______dy1_1_1" hidden="1">{"Input_Fin",#N/A,FALSE,"By Code";"Input_Opt",#N/A,FALSE,"By Code"}</definedName>
    <definedName name="______dy1_1_1_1" hidden="1">{"Input_Fin",#N/A,FALSE,"By Code";"Input_Opt",#N/A,FALSE,"By Code"}</definedName>
    <definedName name="______dy1_1_1_1_1" hidden="1">{"Input_Fin",#N/A,FALSE,"By Code";"Input_Opt",#N/A,FALSE,"By Code"}</definedName>
    <definedName name="______dy1_1_1_1_1_1" hidden="1">{"Input_Fin",#N/A,FALSE,"By Code";"Input_Opt",#N/A,FALSE,"By Code"}</definedName>
    <definedName name="______dy1_1_1_1_1_2" hidden="1">{"Input_Fin",#N/A,FALSE,"By Code";"Input_Opt",#N/A,FALSE,"By Code"}</definedName>
    <definedName name="______dy1_1_1_1_1_3" hidden="1">{"Input_Fin",#N/A,FALSE,"By Code";"Input_Opt",#N/A,FALSE,"By Code"}</definedName>
    <definedName name="______dy1_1_1_1_2" hidden="1">{"Input_Fin",#N/A,FALSE,"By Code";"Input_Opt",#N/A,FALSE,"By Code"}</definedName>
    <definedName name="______dy1_1_1_1_2_1" hidden="1">{"Input_Fin",#N/A,FALSE,"By Code";"Input_Opt",#N/A,FALSE,"By Code"}</definedName>
    <definedName name="______dy1_1_1_1_2_2" hidden="1">{"Input_Fin",#N/A,FALSE,"By Code";"Input_Opt",#N/A,FALSE,"By Code"}</definedName>
    <definedName name="______dy1_1_1_1_3" hidden="1">{"Input_Fin",#N/A,FALSE,"By Code";"Input_Opt",#N/A,FALSE,"By Code"}</definedName>
    <definedName name="______dy1_1_1_1_3_1" hidden="1">{"Input_Fin",#N/A,FALSE,"By Code";"Input_Opt",#N/A,FALSE,"By Code"}</definedName>
    <definedName name="______dy1_1_1_1_3_2" hidden="1">{"Input_Fin",#N/A,FALSE,"By Code";"Input_Opt",#N/A,FALSE,"By Code"}</definedName>
    <definedName name="______dy1_1_1_1_4" hidden="1">{"Input_Fin",#N/A,FALSE,"By Code";"Input_Opt",#N/A,FALSE,"By Code"}</definedName>
    <definedName name="______dy1_1_1_1_5" hidden="1">{"Input_Fin",#N/A,FALSE,"By Code";"Input_Opt",#N/A,FALSE,"By Code"}</definedName>
    <definedName name="______dy1_1_1_2" hidden="1">{"Input_Fin",#N/A,FALSE,"By Code";"Input_Opt",#N/A,FALSE,"By Code"}</definedName>
    <definedName name="______dy1_1_1_2_1" hidden="1">{"Input_Fin",#N/A,FALSE,"By Code";"Input_Opt",#N/A,FALSE,"By Code"}</definedName>
    <definedName name="______dy1_1_1_2_2" hidden="1">{"Input_Fin",#N/A,FALSE,"By Code";"Input_Opt",#N/A,FALSE,"By Code"}</definedName>
    <definedName name="______dy1_1_1_2_3" hidden="1">{"Input_Fin",#N/A,FALSE,"By Code";"Input_Opt",#N/A,FALSE,"By Code"}</definedName>
    <definedName name="______dy1_1_1_3" hidden="1">{"Input_Fin",#N/A,FALSE,"By Code";"Input_Opt",#N/A,FALSE,"By Code"}</definedName>
    <definedName name="______dy1_1_1_3_1" hidden="1">{"Input_Fin",#N/A,FALSE,"By Code";"Input_Opt",#N/A,FALSE,"By Code"}</definedName>
    <definedName name="______dy1_1_1_3_2" hidden="1">{"Input_Fin",#N/A,FALSE,"By Code";"Input_Opt",#N/A,FALSE,"By Code"}</definedName>
    <definedName name="______dy1_1_1_4" hidden="1">{"Input_Fin",#N/A,FALSE,"By Code";"Input_Opt",#N/A,FALSE,"By Code"}</definedName>
    <definedName name="______dy1_1_1_5" hidden="1">{"Input_Fin",#N/A,FALSE,"By Code";"Input_Opt",#N/A,FALSE,"By Code"}</definedName>
    <definedName name="______dy1_1_2" hidden="1">{"Input_Fin",#N/A,FALSE,"By Code";"Input_Opt",#N/A,FALSE,"By Code"}</definedName>
    <definedName name="______dy1_1_2_1" hidden="1">{"Input_Fin",#N/A,FALSE,"By Code";"Input_Opt",#N/A,FALSE,"By Code"}</definedName>
    <definedName name="______dy1_1_2_2" hidden="1">{"Input_Fin",#N/A,FALSE,"By Code";"Input_Opt",#N/A,FALSE,"By Code"}</definedName>
    <definedName name="______dy1_1_2_3" hidden="1">{"Input_Fin",#N/A,FALSE,"By Code";"Input_Opt",#N/A,FALSE,"By Code"}</definedName>
    <definedName name="______dy1_1_3" hidden="1">{"Input_Fin",#N/A,FALSE,"By Code";"Input_Opt",#N/A,FALSE,"By Code"}</definedName>
    <definedName name="______dy1_1_3_1" hidden="1">{"Input_Fin",#N/A,FALSE,"By Code";"Input_Opt",#N/A,FALSE,"By Code"}</definedName>
    <definedName name="______dy1_1_3_2" hidden="1">{"Input_Fin",#N/A,FALSE,"By Code";"Input_Opt",#N/A,FALSE,"By Code"}</definedName>
    <definedName name="______dy1_1_4" hidden="1">{"Input_Fin",#N/A,FALSE,"By Code";"Input_Opt",#N/A,FALSE,"By Code"}</definedName>
    <definedName name="______dy1_1_5" hidden="1">{"Input_Fin",#N/A,FALSE,"By Code";"Input_Opt",#N/A,FALSE,"By Code"}</definedName>
    <definedName name="______dy1_2" hidden="1">{"Input_Fin",#N/A,FALSE,"By Code";"Input_Opt",#N/A,FALSE,"By Code"}</definedName>
    <definedName name="______dy1_2_1" hidden="1">{"Input_Fin",#N/A,FALSE,"By Code";"Input_Opt",#N/A,FALSE,"By Code"}</definedName>
    <definedName name="______dy1_2_1_1" hidden="1">{"Input_Fin",#N/A,FALSE,"By Code";"Input_Opt",#N/A,FALSE,"By Code"}</definedName>
    <definedName name="______dy1_2_1_1_1" hidden="1">{"Input_Fin",#N/A,FALSE,"By Code";"Input_Opt",#N/A,FALSE,"By Code"}</definedName>
    <definedName name="______dy1_2_1_1_2" hidden="1">{"Input_Fin",#N/A,FALSE,"By Code";"Input_Opt",#N/A,FALSE,"By Code"}</definedName>
    <definedName name="______dy1_2_1_1_3" hidden="1">{"Input_Fin",#N/A,FALSE,"By Code";"Input_Opt",#N/A,FALSE,"By Code"}</definedName>
    <definedName name="______dy1_2_1_2" hidden="1">{"Input_Fin",#N/A,FALSE,"By Code";"Input_Opt",#N/A,FALSE,"By Code"}</definedName>
    <definedName name="______dy1_2_1_2_1" hidden="1">{"Input_Fin",#N/A,FALSE,"By Code";"Input_Opt",#N/A,FALSE,"By Code"}</definedName>
    <definedName name="______dy1_2_1_2_2" hidden="1">{"Input_Fin",#N/A,FALSE,"By Code";"Input_Opt",#N/A,FALSE,"By Code"}</definedName>
    <definedName name="______dy1_2_1_3" hidden="1">{"Input_Fin",#N/A,FALSE,"By Code";"Input_Opt",#N/A,FALSE,"By Code"}</definedName>
    <definedName name="______dy1_2_1_4" hidden="1">{"Input_Fin",#N/A,FALSE,"By Code";"Input_Opt",#N/A,FALSE,"By Code"}</definedName>
    <definedName name="______dy1_2_2" hidden="1">{"Input_Fin",#N/A,FALSE,"By Code";"Input_Opt",#N/A,FALSE,"By Code"}</definedName>
    <definedName name="______dy1_2_2_1" hidden="1">{"Input_Fin",#N/A,FALSE,"By Code";"Input_Opt",#N/A,FALSE,"By Code"}</definedName>
    <definedName name="______dy1_2_2_2" hidden="1">{"Input_Fin",#N/A,FALSE,"By Code";"Input_Opt",#N/A,FALSE,"By Code"}</definedName>
    <definedName name="______dy1_2_2_3" hidden="1">{"Input_Fin",#N/A,FALSE,"By Code";"Input_Opt",#N/A,FALSE,"By Code"}</definedName>
    <definedName name="______dy1_2_3" hidden="1">{"Input_Fin",#N/A,FALSE,"By Code";"Input_Opt",#N/A,FALSE,"By Code"}</definedName>
    <definedName name="______dy1_2_3_1" hidden="1">{"Input_Fin",#N/A,FALSE,"By Code";"Input_Opt",#N/A,FALSE,"By Code"}</definedName>
    <definedName name="______dy1_2_3_2" hidden="1">{"Input_Fin",#N/A,FALSE,"By Code";"Input_Opt",#N/A,FALSE,"By Code"}</definedName>
    <definedName name="______dy1_2_4" hidden="1">{"Input_Fin",#N/A,FALSE,"By Code";"Input_Opt",#N/A,FALSE,"By Code"}</definedName>
    <definedName name="______dy1_2_5" hidden="1">{"Input_Fin",#N/A,FALSE,"By Code";"Input_Opt",#N/A,FALSE,"By Code"}</definedName>
    <definedName name="______dy1_3" hidden="1">{"Input_Fin",#N/A,FALSE,"By Code";"Input_Opt",#N/A,FALSE,"By Code"}</definedName>
    <definedName name="______dy1_3_1" hidden="1">{"Input_Fin",#N/A,FALSE,"By Code";"Input_Opt",#N/A,FALSE,"By Code"}</definedName>
    <definedName name="______dy1_3_1_1" hidden="1">{"Input_Fin",#N/A,FALSE,"By Code";"Input_Opt",#N/A,FALSE,"By Code"}</definedName>
    <definedName name="______dy1_3_1_1_1" hidden="1">{"Input_Fin",#N/A,FALSE,"By Code";"Input_Opt",#N/A,FALSE,"By Code"}</definedName>
    <definedName name="______dy1_3_1_1_2" hidden="1">{"Input_Fin",#N/A,FALSE,"By Code";"Input_Opt",#N/A,FALSE,"By Code"}</definedName>
    <definedName name="______dy1_3_1_1_3" hidden="1">{"Input_Fin",#N/A,FALSE,"By Code";"Input_Opt",#N/A,FALSE,"By Code"}</definedName>
    <definedName name="______dy1_3_1_2" hidden="1">{"Input_Fin",#N/A,FALSE,"By Code";"Input_Opt",#N/A,FALSE,"By Code"}</definedName>
    <definedName name="______dy1_3_1_2_1" hidden="1">{"Input_Fin",#N/A,FALSE,"By Code";"Input_Opt",#N/A,FALSE,"By Code"}</definedName>
    <definedName name="______dy1_3_1_2_2" hidden="1">{"Input_Fin",#N/A,FALSE,"By Code";"Input_Opt",#N/A,FALSE,"By Code"}</definedName>
    <definedName name="______dy1_3_1_3" hidden="1">{"Input_Fin",#N/A,FALSE,"By Code";"Input_Opt",#N/A,FALSE,"By Code"}</definedName>
    <definedName name="______dy1_3_1_4" hidden="1">{"Input_Fin",#N/A,FALSE,"By Code";"Input_Opt",#N/A,FALSE,"By Code"}</definedName>
    <definedName name="______dy1_3_2" hidden="1">{"Input_Fin",#N/A,FALSE,"By Code";"Input_Opt",#N/A,FALSE,"By Code"}</definedName>
    <definedName name="______dy1_3_2_1" hidden="1">{"Input_Fin",#N/A,FALSE,"By Code";"Input_Opt",#N/A,FALSE,"By Code"}</definedName>
    <definedName name="______dy1_3_2_2" hidden="1">{"Input_Fin",#N/A,FALSE,"By Code";"Input_Opt",#N/A,FALSE,"By Code"}</definedName>
    <definedName name="______dy1_3_2_3" hidden="1">{"Input_Fin",#N/A,FALSE,"By Code";"Input_Opt",#N/A,FALSE,"By Code"}</definedName>
    <definedName name="______dy1_3_3" hidden="1">{"Input_Fin",#N/A,FALSE,"By Code";"Input_Opt",#N/A,FALSE,"By Code"}</definedName>
    <definedName name="______dy1_3_3_1" hidden="1">{"Input_Fin",#N/A,FALSE,"By Code";"Input_Opt",#N/A,FALSE,"By Code"}</definedName>
    <definedName name="______dy1_3_3_2" hidden="1">{"Input_Fin",#N/A,FALSE,"By Code";"Input_Opt",#N/A,FALSE,"By Code"}</definedName>
    <definedName name="______dy1_3_4" hidden="1">{"Input_Fin",#N/A,FALSE,"By Code";"Input_Opt",#N/A,FALSE,"By Code"}</definedName>
    <definedName name="______dy1_3_5" hidden="1">{"Input_Fin",#N/A,FALSE,"By Code";"Input_Opt",#N/A,FALSE,"By Code"}</definedName>
    <definedName name="______dy1_4" hidden="1">{"Input_Fin",#N/A,FALSE,"By Code";"Input_Opt",#N/A,FALSE,"By Code"}</definedName>
    <definedName name="______dy1_4_1" hidden="1">{"Input_Fin",#N/A,FALSE,"By Code";"Input_Opt",#N/A,FALSE,"By Code"}</definedName>
    <definedName name="______dy1_4_1_1" hidden="1">{"Input_Fin",#N/A,FALSE,"By Code";"Input_Opt",#N/A,FALSE,"By Code"}</definedName>
    <definedName name="______dy1_4_1_1_1" hidden="1">{"Input_Fin",#N/A,FALSE,"By Code";"Input_Opt",#N/A,FALSE,"By Code"}</definedName>
    <definedName name="______dy1_4_1_1_2" hidden="1">{"Input_Fin",#N/A,FALSE,"By Code";"Input_Opt",#N/A,FALSE,"By Code"}</definedName>
    <definedName name="______dy1_4_1_1_3" hidden="1">{"Input_Fin",#N/A,FALSE,"By Code";"Input_Opt",#N/A,FALSE,"By Code"}</definedName>
    <definedName name="______dy1_4_1_2" hidden="1">{"Input_Fin",#N/A,FALSE,"By Code";"Input_Opt",#N/A,FALSE,"By Code"}</definedName>
    <definedName name="______dy1_4_1_2_1" hidden="1">{"Input_Fin",#N/A,FALSE,"By Code";"Input_Opt",#N/A,FALSE,"By Code"}</definedName>
    <definedName name="______dy1_4_1_2_2" hidden="1">{"Input_Fin",#N/A,FALSE,"By Code";"Input_Opt",#N/A,FALSE,"By Code"}</definedName>
    <definedName name="______dy1_4_1_3" hidden="1">{"Input_Fin",#N/A,FALSE,"By Code";"Input_Opt",#N/A,FALSE,"By Code"}</definedName>
    <definedName name="______dy1_4_1_4" hidden="1">{"Input_Fin",#N/A,FALSE,"By Code";"Input_Opt",#N/A,FALSE,"By Code"}</definedName>
    <definedName name="______dy1_4_2" hidden="1">{"Input_Fin",#N/A,FALSE,"By Code";"Input_Opt",#N/A,FALSE,"By Code"}</definedName>
    <definedName name="______dy1_4_2_1" hidden="1">{"Input_Fin",#N/A,FALSE,"By Code";"Input_Opt",#N/A,FALSE,"By Code"}</definedName>
    <definedName name="______dy1_4_2_2" hidden="1">{"Input_Fin",#N/A,FALSE,"By Code";"Input_Opt",#N/A,FALSE,"By Code"}</definedName>
    <definedName name="______dy1_4_2_3" hidden="1">{"Input_Fin",#N/A,FALSE,"By Code";"Input_Opt",#N/A,FALSE,"By Code"}</definedName>
    <definedName name="______dy1_4_3" hidden="1">{"Input_Fin",#N/A,FALSE,"By Code";"Input_Opt",#N/A,FALSE,"By Code"}</definedName>
    <definedName name="______dy1_4_3_1" hidden="1">{"Input_Fin",#N/A,FALSE,"By Code";"Input_Opt",#N/A,FALSE,"By Code"}</definedName>
    <definedName name="______dy1_4_3_2" hidden="1">{"Input_Fin",#N/A,FALSE,"By Code";"Input_Opt",#N/A,FALSE,"By Code"}</definedName>
    <definedName name="______dy1_4_4" hidden="1">{"Input_Fin",#N/A,FALSE,"By Code";"Input_Opt",#N/A,FALSE,"By Code"}</definedName>
    <definedName name="______dy1_4_5" hidden="1">{"Input_Fin",#N/A,FALSE,"By Code";"Input_Opt",#N/A,FALSE,"By Code"}</definedName>
    <definedName name="______dy1_5" hidden="1">{"Input_Fin",#N/A,FALSE,"By Code";"Input_Opt",#N/A,FALSE,"By Code"}</definedName>
    <definedName name="______dy1_5_1" hidden="1">{"Input_Fin",#N/A,FALSE,"By Code";"Input_Opt",#N/A,FALSE,"By Code"}</definedName>
    <definedName name="______dy1_5_1_1" hidden="1">{"Input_Fin",#N/A,FALSE,"By Code";"Input_Opt",#N/A,FALSE,"By Code"}</definedName>
    <definedName name="______dy1_5_1_1_1" hidden="1">{"Input_Fin",#N/A,FALSE,"By Code";"Input_Opt",#N/A,FALSE,"By Code"}</definedName>
    <definedName name="______dy1_5_1_1_2" hidden="1">{"Input_Fin",#N/A,FALSE,"By Code";"Input_Opt",#N/A,FALSE,"By Code"}</definedName>
    <definedName name="______dy1_5_1_1_3" hidden="1">{"Input_Fin",#N/A,FALSE,"By Code";"Input_Opt",#N/A,FALSE,"By Code"}</definedName>
    <definedName name="______dy1_5_1_2" hidden="1">{"Input_Fin",#N/A,FALSE,"By Code";"Input_Opt",#N/A,FALSE,"By Code"}</definedName>
    <definedName name="______dy1_5_1_2_1" hidden="1">{"Input_Fin",#N/A,FALSE,"By Code";"Input_Opt",#N/A,FALSE,"By Code"}</definedName>
    <definedName name="______dy1_5_1_2_2" hidden="1">{"Input_Fin",#N/A,FALSE,"By Code";"Input_Opt",#N/A,FALSE,"By Code"}</definedName>
    <definedName name="______dy1_5_1_3" hidden="1">{"Input_Fin",#N/A,FALSE,"By Code";"Input_Opt",#N/A,FALSE,"By Code"}</definedName>
    <definedName name="______dy1_5_1_4" hidden="1">{"Input_Fin",#N/A,FALSE,"By Code";"Input_Opt",#N/A,FALSE,"By Code"}</definedName>
    <definedName name="______dy1_5_2" hidden="1">{"Input_Fin",#N/A,FALSE,"By Code";"Input_Opt",#N/A,FALSE,"By Code"}</definedName>
    <definedName name="______dy1_5_2_1" hidden="1">{"Input_Fin",#N/A,FALSE,"By Code";"Input_Opt",#N/A,FALSE,"By Code"}</definedName>
    <definedName name="______dy1_5_2_2" hidden="1">{"Input_Fin",#N/A,FALSE,"By Code";"Input_Opt",#N/A,FALSE,"By Code"}</definedName>
    <definedName name="______dy1_5_2_3" hidden="1">{"Input_Fin",#N/A,FALSE,"By Code";"Input_Opt",#N/A,FALSE,"By Code"}</definedName>
    <definedName name="______dy1_5_3" hidden="1">{"Input_Fin",#N/A,FALSE,"By Code";"Input_Opt",#N/A,FALSE,"By Code"}</definedName>
    <definedName name="______dy1_5_3_1" hidden="1">{"Input_Fin",#N/A,FALSE,"By Code";"Input_Opt",#N/A,FALSE,"By Code"}</definedName>
    <definedName name="______dy1_5_3_2" hidden="1">{"Input_Fin",#N/A,FALSE,"By Code";"Input_Opt",#N/A,FALSE,"By Code"}</definedName>
    <definedName name="______dy1_5_4" hidden="1">{"Input_Fin",#N/A,FALSE,"By Code";"Input_Opt",#N/A,FALSE,"By Code"}</definedName>
    <definedName name="______dy1_5_5" hidden="1">{"Input_Fin",#N/A,FALSE,"By Code";"Input_Opt",#N/A,FALSE,"By Code"}</definedName>
    <definedName name="_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5" localSheetId="12" hidden="1">{"Input_Fin",#N/A,FALSE,"By Code";"Input_Opt",#N/A,FALSE,"By Code"}</definedName>
    <definedName name="______dy5" hidden="1">{"Input_Fin",#N/A,FALSE,"By Code";"Input_Opt",#N/A,FALSE,"By Code"}</definedName>
    <definedName name="______dy5_1" hidden="1">{"Input_Fin",#N/A,FALSE,"By Code";"Input_Opt",#N/A,FALSE,"By Code"}</definedName>
    <definedName name="______dy5_1_1" hidden="1">{"Input_Fin",#N/A,FALSE,"By Code";"Input_Opt",#N/A,FALSE,"By Code"}</definedName>
    <definedName name="______dy5_1_1_1" hidden="1">{"Input_Fin",#N/A,FALSE,"By Code";"Input_Opt",#N/A,FALSE,"By Code"}</definedName>
    <definedName name="______dy5_1_1_1_1" hidden="1">{"Input_Fin",#N/A,FALSE,"By Code";"Input_Opt",#N/A,FALSE,"By Code"}</definedName>
    <definedName name="______dy5_1_1_1_1_1" hidden="1">{"Input_Fin",#N/A,FALSE,"By Code";"Input_Opt",#N/A,FALSE,"By Code"}</definedName>
    <definedName name="______dy5_1_1_1_1_2" hidden="1">{"Input_Fin",#N/A,FALSE,"By Code";"Input_Opt",#N/A,FALSE,"By Code"}</definedName>
    <definedName name="______dy5_1_1_1_1_3" hidden="1">{"Input_Fin",#N/A,FALSE,"By Code";"Input_Opt",#N/A,FALSE,"By Code"}</definedName>
    <definedName name="______dy5_1_1_1_2" hidden="1">{"Input_Fin",#N/A,FALSE,"By Code";"Input_Opt",#N/A,FALSE,"By Code"}</definedName>
    <definedName name="______dy5_1_1_1_2_1" hidden="1">{"Input_Fin",#N/A,FALSE,"By Code";"Input_Opt",#N/A,FALSE,"By Code"}</definedName>
    <definedName name="______dy5_1_1_1_2_2" hidden="1">{"Input_Fin",#N/A,FALSE,"By Code";"Input_Opt",#N/A,FALSE,"By Code"}</definedName>
    <definedName name="______dy5_1_1_1_3" hidden="1">{"Input_Fin",#N/A,FALSE,"By Code";"Input_Opt",#N/A,FALSE,"By Code"}</definedName>
    <definedName name="______dy5_1_1_1_3_1" hidden="1">{"Input_Fin",#N/A,FALSE,"By Code";"Input_Opt",#N/A,FALSE,"By Code"}</definedName>
    <definedName name="______dy5_1_1_1_3_2" hidden="1">{"Input_Fin",#N/A,FALSE,"By Code";"Input_Opt",#N/A,FALSE,"By Code"}</definedName>
    <definedName name="______dy5_1_1_1_4" hidden="1">{"Input_Fin",#N/A,FALSE,"By Code";"Input_Opt",#N/A,FALSE,"By Code"}</definedName>
    <definedName name="______dy5_1_1_1_5" hidden="1">{"Input_Fin",#N/A,FALSE,"By Code";"Input_Opt",#N/A,FALSE,"By Code"}</definedName>
    <definedName name="______dy5_1_1_2" hidden="1">{"Input_Fin",#N/A,FALSE,"By Code";"Input_Opt",#N/A,FALSE,"By Code"}</definedName>
    <definedName name="______dy5_1_1_2_1" hidden="1">{"Input_Fin",#N/A,FALSE,"By Code";"Input_Opt",#N/A,FALSE,"By Code"}</definedName>
    <definedName name="______dy5_1_1_2_2" hidden="1">{"Input_Fin",#N/A,FALSE,"By Code";"Input_Opt",#N/A,FALSE,"By Code"}</definedName>
    <definedName name="______dy5_1_1_2_3" hidden="1">{"Input_Fin",#N/A,FALSE,"By Code";"Input_Opt",#N/A,FALSE,"By Code"}</definedName>
    <definedName name="______dy5_1_1_3" hidden="1">{"Input_Fin",#N/A,FALSE,"By Code";"Input_Opt",#N/A,FALSE,"By Code"}</definedName>
    <definedName name="______dy5_1_1_3_1" hidden="1">{"Input_Fin",#N/A,FALSE,"By Code";"Input_Opt",#N/A,FALSE,"By Code"}</definedName>
    <definedName name="______dy5_1_1_3_2" hidden="1">{"Input_Fin",#N/A,FALSE,"By Code";"Input_Opt",#N/A,FALSE,"By Code"}</definedName>
    <definedName name="______dy5_1_1_4" hidden="1">{"Input_Fin",#N/A,FALSE,"By Code";"Input_Opt",#N/A,FALSE,"By Code"}</definedName>
    <definedName name="______dy5_1_1_5" hidden="1">{"Input_Fin",#N/A,FALSE,"By Code";"Input_Opt",#N/A,FALSE,"By Code"}</definedName>
    <definedName name="______dy5_1_2" hidden="1">{"Input_Fin",#N/A,FALSE,"By Code";"Input_Opt",#N/A,FALSE,"By Code"}</definedName>
    <definedName name="______dy5_1_2_1" hidden="1">{"Input_Fin",#N/A,FALSE,"By Code";"Input_Opt",#N/A,FALSE,"By Code"}</definedName>
    <definedName name="______dy5_1_2_2" hidden="1">{"Input_Fin",#N/A,FALSE,"By Code";"Input_Opt",#N/A,FALSE,"By Code"}</definedName>
    <definedName name="______dy5_1_2_3" hidden="1">{"Input_Fin",#N/A,FALSE,"By Code";"Input_Opt",#N/A,FALSE,"By Code"}</definedName>
    <definedName name="______dy5_1_3" hidden="1">{"Input_Fin",#N/A,FALSE,"By Code";"Input_Opt",#N/A,FALSE,"By Code"}</definedName>
    <definedName name="______dy5_1_3_1" hidden="1">{"Input_Fin",#N/A,FALSE,"By Code";"Input_Opt",#N/A,FALSE,"By Code"}</definedName>
    <definedName name="______dy5_1_3_2" hidden="1">{"Input_Fin",#N/A,FALSE,"By Code";"Input_Opt",#N/A,FALSE,"By Code"}</definedName>
    <definedName name="______dy5_1_4" hidden="1">{"Input_Fin",#N/A,FALSE,"By Code";"Input_Opt",#N/A,FALSE,"By Code"}</definedName>
    <definedName name="______dy5_1_5" hidden="1">{"Input_Fin",#N/A,FALSE,"By Code";"Input_Opt",#N/A,FALSE,"By Code"}</definedName>
    <definedName name="______dy5_2" hidden="1">{"Input_Fin",#N/A,FALSE,"By Code";"Input_Opt",#N/A,FALSE,"By Code"}</definedName>
    <definedName name="______dy5_2_1" hidden="1">{"Input_Fin",#N/A,FALSE,"By Code";"Input_Opt",#N/A,FALSE,"By Code"}</definedName>
    <definedName name="______dy5_2_1_1" hidden="1">{"Input_Fin",#N/A,FALSE,"By Code";"Input_Opt",#N/A,FALSE,"By Code"}</definedName>
    <definedName name="______dy5_2_1_1_1" hidden="1">{"Input_Fin",#N/A,FALSE,"By Code";"Input_Opt",#N/A,FALSE,"By Code"}</definedName>
    <definedName name="______dy5_2_1_1_2" hidden="1">{"Input_Fin",#N/A,FALSE,"By Code";"Input_Opt",#N/A,FALSE,"By Code"}</definedName>
    <definedName name="______dy5_2_1_1_3" hidden="1">{"Input_Fin",#N/A,FALSE,"By Code";"Input_Opt",#N/A,FALSE,"By Code"}</definedName>
    <definedName name="______dy5_2_1_2" hidden="1">{"Input_Fin",#N/A,FALSE,"By Code";"Input_Opt",#N/A,FALSE,"By Code"}</definedName>
    <definedName name="______dy5_2_1_2_1" hidden="1">{"Input_Fin",#N/A,FALSE,"By Code";"Input_Opt",#N/A,FALSE,"By Code"}</definedName>
    <definedName name="______dy5_2_1_2_2" hidden="1">{"Input_Fin",#N/A,FALSE,"By Code";"Input_Opt",#N/A,FALSE,"By Code"}</definedName>
    <definedName name="______dy5_2_1_3" hidden="1">{"Input_Fin",#N/A,FALSE,"By Code";"Input_Opt",#N/A,FALSE,"By Code"}</definedName>
    <definedName name="______dy5_2_1_4" hidden="1">{"Input_Fin",#N/A,FALSE,"By Code";"Input_Opt",#N/A,FALSE,"By Code"}</definedName>
    <definedName name="______dy5_2_2" hidden="1">{"Input_Fin",#N/A,FALSE,"By Code";"Input_Opt",#N/A,FALSE,"By Code"}</definedName>
    <definedName name="______dy5_2_2_1" hidden="1">{"Input_Fin",#N/A,FALSE,"By Code";"Input_Opt",#N/A,FALSE,"By Code"}</definedName>
    <definedName name="______dy5_2_2_2" hidden="1">{"Input_Fin",#N/A,FALSE,"By Code";"Input_Opt",#N/A,FALSE,"By Code"}</definedName>
    <definedName name="______dy5_2_2_3" hidden="1">{"Input_Fin",#N/A,FALSE,"By Code";"Input_Opt",#N/A,FALSE,"By Code"}</definedName>
    <definedName name="______dy5_2_3" hidden="1">{"Input_Fin",#N/A,FALSE,"By Code";"Input_Opt",#N/A,FALSE,"By Code"}</definedName>
    <definedName name="______dy5_2_3_1" hidden="1">{"Input_Fin",#N/A,FALSE,"By Code";"Input_Opt",#N/A,FALSE,"By Code"}</definedName>
    <definedName name="______dy5_2_3_2" hidden="1">{"Input_Fin",#N/A,FALSE,"By Code";"Input_Opt",#N/A,FALSE,"By Code"}</definedName>
    <definedName name="______dy5_2_4" hidden="1">{"Input_Fin",#N/A,FALSE,"By Code";"Input_Opt",#N/A,FALSE,"By Code"}</definedName>
    <definedName name="______dy5_2_5" hidden="1">{"Input_Fin",#N/A,FALSE,"By Code";"Input_Opt",#N/A,FALSE,"By Code"}</definedName>
    <definedName name="______dy5_3" hidden="1">{"Input_Fin",#N/A,FALSE,"By Code";"Input_Opt",#N/A,FALSE,"By Code"}</definedName>
    <definedName name="______dy5_3_1" hidden="1">{"Input_Fin",#N/A,FALSE,"By Code";"Input_Opt",#N/A,FALSE,"By Code"}</definedName>
    <definedName name="______dy5_3_1_1" hidden="1">{"Input_Fin",#N/A,FALSE,"By Code";"Input_Opt",#N/A,FALSE,"By Code"}</definedName>
    <definedName name="______dy5_3_1_1_1" hidden="1">{"Input_Fin",#N/A,FALSE,"By Code";"Input_Opt",#N/A,FALSE,"By Code"}</definedName>
    <definedName name="______dy5_3_1_1_2" hidden="1">{"Input_Fin",#N/A,FALSE,"By Code";"Input_Opt",#N/A,FALSE,"By Code"}</definedName>
    <definedName name="______dy5_3_1_1_3" hidden="1">{"Input_Fin",#N/A,FALSE,"By Code";"Input_Opt",#N/A,FALSE,"By Code"}</definedName>
    <definedName name="______dy5_3_1_2" hidden="1">{"Input_Fin",#N/A,FALSE,"By Code";"Input_Opt",#N/A,FALSE,"By Code"}</definedName>
    <definedName name="______dy5_3_1_2_1" hidden="1">{"Input_Fin",#N/A,FALSE,"By Code";"Input_Opt",#N/A,FALSE,"By Code"}</definedName>
    <definedName name="______dy5_3_1_2_2" hidden="1">{"Input_Fin",#N/A,FALSE,"By Code";"Input_Opt",#N/A,FALSE,"By Code"}</definedName>
    <definedName name="______dy5_3_1_3" hidden="1">{"Input_Fin",#N/A,FALSE,"By Code";"Input_Opt",#N/A,FALSE,"By Code"}</definedName>
    <definedName name="______dy5_3_1_4" hidden="1">{"Input_Fin",#N/A,FALSE,"By Code";"Input_Opt",#N/A,FALSE,"By Code"}</definedName>
    <definedName name="______dy5_3_2" hidden="1">{"Input_Fin",#N/A,FALSE,"By Code";"Input_Opt",#N/A,FALSE,"By Code"}</definedName>
    <definedName name="______dy5_3_2_1" hidden="1">{"Input_Fin",#N/A,FALSE,"By Code";"Input_Opt",#N/A,FALSE,"By Code"}</definedName>
    <definedName name="______dy5_3_2_2" hidden="1">{"Input_Fin",#N/A,FALSE,"By Code";"Input_Opt",#N/A,FALSE,"By Code"}</definedName>
    <definedName name="______dy5_3_2_3" hidden="1">{"Input_Fin",#N/A,FALSE,"By Code";"Input_Opt",#N/A,FALSE,"By Code"}</definedName>
    <definedName name="______dy5_3_3" hidden="1">{"Input_Fin",#N/A,FALSE,"By Code";"Input_Opt",#N/A,FALSE,"By Code"}</definedName>
    <definedName name="______dy5_3_3_1" hidden="1">{"Input_Fin",#N/A,FALSE,"By Code";"Input_Opt",#N/A,FALSE,"By Code"}</definedName>
    <definedName name="______dy5_3_3_2" hidden="1">{"Input_Fin",#N/A,FALSE,"By Code";"Input_Opt",#N/A,FALSE,"By Code"}</definedName>
    <definedName name="______dy5_3_4" hidden="1">{"Input_Fin",#N/A,FALSE,"By Code";"Input_Opt",#N/A,FALSE,"By Code"}</definedName>
    <definedName name="______dy5_3_5" hidden="1">{"Input_Fin",#N/A,FALSE,"By Code";"Input_Opt",#N/A,FALSE,"By Code"}</definedName>
    <definedName name="______dy5_4" hidden="1">{"Input_Fin",#N/A,FALSE,"By Code";"Input_Opt",#N/A,FALSE,"By Code"}</definedName>
    <definedName name="______dy5_4_1" hidden="1">{"Input_Fin",#N/A,FALSE,"By Code";"Input_Opt",#N/A,FALSE,"By Code"}</definedName>
    <definedName name="______dy5_4_1_1" hidden="1">{"Input_Fin",#N/A,FALSE,"By Code";"Input_Opt",#N/A,FALSE,"By Code"}</definedName>
    <definedName name="______dy5_4_1_1_1" hidden="1">{"Input_Fin",#N/A,FALSE,"By Code";"Input_Opt",#N/A,FALSE,"By Code"}</definedName>
    <definedName name="______dy5_4_1_1_2" hidden="1">{"Input_Fin",#N/A,FALSE,"By Code";"Input_Opt",#N/A,FALSE,"By Code"}</definedName>
    <definedName name="______dy5_4_1_1_3" hidden="1">{"Input_Fin",#N/A,FALSE,"By Code";"Input_Opt",#N/A,FALSE,"By Code"}</definedName>
    <definedName name="______dy5_4_1_2" hidden="1">{"Input_Fin",#N/A,FALSE,"By Code";"Input_Opt",#N/A,FALSE,"By Code"}</definedName>
    <definedName name="______dy5_4_1_2_1" hidden="1">{"Input_Fin",#N/A,FALSE,"By Code";"Input_Opt",#N/A,FALSE,"By Code"}</definedName>
    <definedName name="______dy5_4_1_2_2" hidden="1">{"Input_Fin",#N/A,FALSE,"By Code";"Input_Opt",#N/A,FALSE,"By Code"}</definedName>
    <definedName name="______dy5_4_1_3" hidden="1">{"Input_Fin",#N/A,FALSE,"By Code";"Input_Opt",#N/A,FALSE,"By Code"}</definedName>
    <definedName name="______dy5_4_1_4" hidden="1">{"Input_Fin",#N/A,FALSE,"By Code";"Input_Opt",#N/A,FALSE,"By Code"}</definedName>
    <definedName name="______dy5_4_2" hidden="1">{"Input_Fin",#N/A,FALSE,"By Code";"Input_Opt",#N/A,FALSE,"By Code"}</definedName>
    <definedName name="______dy5_4_2_1" hidden="1">{"Input_Fin",#N/A,FALSE,"By Code";"Input_Opt",#N/A,FALSE,"By Code"}</definedName>
    <definedName name="______dy5_4_2_2" hidden="1">{"Input_Fin",#N/A,FALSE,"By Code";"Input_Opt",#N/A,FALSE,"By Code"}</definedName>
    <definedName name="______dy5_4_2_3" hidden="1">{"Input_Fin",#N/A,FALSE,"By Code";"Input_Opt",#N/A,FALSE,"By Code"}</definedName>
    <definedName name="______dy5_4_3" hidden="1">{"Input_Fin",#N/A,FALSE,"By Code";"Input_Opt",#N/A,FALSE,"By Code"}</definedName>
    <definedName name="______dy5_4_3_1" hidden="1">{"Input_Fin",#N/A,FALSE,"By Code";"Input_Opt",#N/A,FALSE,"By Code"}</definedName>
    <definedName name="______dy5_4_3_2" hidden="1">{"Input_Fin",#N/A,FALSE,"By Code";"Input_Opt",#N/A,FALSE,"By Code"}</definedName>
    <definedName name="______dy5_4_4" hidden="1">{"Input_Fin",#N/A,FALSE,"By Code";"Input_Opt",#N/A,FALSE,"By Code"}</definedName>
    <definedName name="______dy5_4_5" hidden="1">{"Input_Fin",#N/A,FALSE,"By Code";"Input_Opt",#N/A,FALSE,"By Code"}</definedName>
    <definedName name="______dy5_5" hidden="1">{"Input_Fin",#N/A,FALSE,"By Code";"Input_Opt",#N/A,FALSE,"By Code"}</definedName>
    <definedName name="______dy5_5_1" hidden="1">{"Input_Fin",#N/A,FALSE,"By Code";"Input_Opt",#N/A,FALSE,"By Code"}</definedName>
    <definedName name="______dy5_5_1_1" hidden="1">{"Input_Fin",#N/A,FALSE,"By Code";"Input_Opt",#N/A,FALSE,"By Code"}</definedName>
    <definedName name="______dy5_5_1_1_1" hidden="1">{"Input_Fin",#N/A,FALSE,"By Code";"Input_Opt",#N/A,FALSE,"By Code"}</definedName>
    <definedName name="______dy5_5_1_1_2" hidden="1">{"Input_Fin",#N/A,FALSE,"By Code";"Input_Opt",#N/A,FALSE,"By Code"}</definedName>
    <definedName name="______dy5_5_1_1_3" hidden="1">{"Input_Fin",#N/A,FALSE,"By Code";"Input_Opt",#N/A,FALSE,"By Code"}</definedName>
    <definedName name="______dy5_5_1_2" hidden="1">{"Input_Fin",#N/A,FALSE,"By Code";"Input_Opt",#N/A,FALSE,"By Code"}</definedName>
    <definedName name="______dy5_5_1_2_1" hidden="1">{"Input_Fin",#N/A,FALSE,"By Code";"Input_Opt",#N/A,FALSE,"By Code"}</definedName>
    <definedName name="______dy5_5_1_2_2" hidden="1">{"Input_Fin",#N/A,FALSE,"By Code";"Input_Opt",#N/A,FALSE,"By Code"}</definedName>
    <definedName name="______dy5_5_1_3" hidden="1">{"Input_Fin",#N/A,FALSE,"By Code";"Input_Opt",#N/A,FALSE,"By Code"}</definedName>
    <definedName name="______dy5_5_1_4" hidden="1">{"Input_Fin",#N/A,FALSE,"By Code";"Input_Opt",#N/A,FALSE,"By Code"}</definedName>
    <definedName name="______dy5_5_2" hidden="1">{"Input_Fin",#N/A,FALSE,"By Code";"Input_Opt",#N/A,FALSE,"By Code"}</definedName>
    <definedName name="______dy5_5_2_1" hidden="1">{"Input_Fin",#N/A,FALSE,"By Code";"Input_Opt",#N/A,FALSE,"By Code"}</definedName>
    <definedName name="______dy5_5_2_2" hidden="1">{"Input_Fin",#N/A,FALSE,"By Code";"Input_Opt",#N/A,FALSE,"By Code"}</definedName>
    <definedName name="______dy5_5_2_3" hidden="1">{"Input_Fin",#N/A,FALSE,"By Code";"Input_Opt",#N/A,FALSE,"By Code"}</definedName>
    <definedName name="______dy5_5_3" hidden="1">{"Input_Fin",#N/A,FALSE,"By Code";"Input_Opt",#N/A,FALSE,"By Code"}</definedName>
    <definedName name="______dy5_5_3_1" hidden="1">{"Input_Fin",#N/A,FALSE,"By Code";"Input_Opt",#N/A,FALSE,"By Code"}</definedName>
    <definedName name="______dy5_5_3_2" hidden="1">{"Input_Fin",#N/A,FALSE,"By Code";"Input_Opt",#N/A,FALSE,"By Code"}</definedName>
    <definedName name="______dy5_5_4" hidden="1">{"Input_Fin",#N/A,FALSE,"By Code";"Input_Opt",#N/A,FALSE,"By Code"}</definedName>
    <definedName name="______dy5_5_5" hidden="1">{"Input_Fin",#N/A,FALSE,"By Code";"Input_Opt",#N/A,FALSE,"By Code"}</definedName>
    <definedName name="______dy6" localSheetId="12" hidden="1">{"Input_Fin",#N/A,FALSE,"By Code";"Input_Opt",#N/A,FALSE,"By Code"}</definedName>
    <definedName name="______dy6" hidden="1">{"Input_Fin",#N/A,FALSE,"By Code";"Input_Opt",#N/A,FALSE,"By Code"}</definedName>
    <definedName name="______dy6_1" hidden="1">{"Input_Fin",#N/A,FALSE,"By Code";"Input_Opt",#N/A,FALSE,"By Code"}</definedName>
    <definedName name="______dy6_1_1" hidden="1">{"Input_Fin",#N/A,FALSE,"By Code";"Input_Opt",#N/A,FALSE,"By Code"}</definedName>
    <definedName name="______dy6_1_1_1" hidden="1">{"Input_Fin",#N/A,FALSE,"By Code";"Input_Opt",#N/A,FALSE,"By Code"}</definedName>
    <definedName name="______dy6_1_1_1_1" hidden="1">{"Input_Fin",#N/A,FALSE,"By Code";"Input_Opt",#N/A,FALSE,"By Code"}</definedName>
    <definedName name="______dy6_1_1_1_1_1" hidden="1">{"Input_Fin",#N/A,FALSE,"By Code";"Input_Opt",#N/A,FALSE,"By Code"}</definedName>
    <definedName name="______dy6_1_1_1_1_2" hidden="1">{"Input_Fin",#N/A,FALSE,"By Code";"Input_Opt",#N/A,FALSE,"By Code"}</definedName>
    <definedName name="______dy6_1_1_1_1_3" hidden="1">{"Input_Fin",#N/A,FALSE,"By Code";"Input_Opt",#N/A,FALSE,"By Code"}</definedName>
    <definedName name="______dy6_1_1_1_2" hidden="1">{"Input_Fin",#N/A,FALSE,"By Code";"Input_Opt",#N/A,FALSE,"By Code"}</definedName>
    <definedName name="______dy6_1_1_1_2_1" hidden="1">{"Input_Fin",#N/A,FALSE,"By Code";"Input_Opt",#N/A,FALSE,"By Code"}</definedName>
    <definedName name="______dy6_1_1_1_2_2" hidden="1">{"Input_Fin",#N/A,FALSE,"By Code";"Input_Opt",#N/A,FALSE,"By Code"}</definedName>
    <definedName name="______dy6_1_1_1_3" hidden="1">{"Input_Fin",#N/A,FALSE,"By Code";"Input_Opt",#N/A,FALSE,"By Code"}</definedName>
    <definedName name="______dy6_1_1_1_3_1" hidden="1">{"Input_Fin",#N/A,FALSE,"By Code";"Input_Opt",#N/A,FALSE,"By Code"}</definedName>
    <definedName name="______dy6_1_1_1_3_2" hidden="1">{"Input_Fin",#N/A,FALSE,"By Code";"Input_Opt",#N/A,FALSE,"By Code"}</definedName>
    <definedName name="______dy6_1_1_1_4" hidden="1">{"Input_Fin",#N/A,FALSE,"By Code";"Input_Opt",#N/A,FALSE,"By Code"}</definedName>
    <definedName name="______dy6_1_1_1_5" hidden="1">{"Input_Fin",#N/A,FALSE,"By Code";"Input_Opt",#N/A,FALSE,"By Code"}</definedName>
    <definedName name="______dy6_1_1_2" hidden="1">{"Input_Fin",#N/A,FALSE,"By Code";"Input_Opt",#N/A,FALSE,"By Code"}</definedName>
    <definedName name="______dy6_1_1_2_1" hidden="1">{"Input_Fin",#N/A,FALSE,"By Code";"Input_Opt",#N/A,FALSE,"By Code"}</definedName>
    <definedName name="______dy6_1_1_2_2" hidden="1">{"Input_Fin",#N/A,FALSE,"By Code";"Input_Opt",#N/A,FALSE,"By Code"}</definedName>
    <definedName name="______dy6_1_1_2_3" hidden="1">{"Input_Fin",#N/A,FALSE,"By Code";"Input_Opt",#N/A,FALSE,"By Code"}</definedName>
    <definedName name="______dy6_1_1_3" hidden="1">{"Input_Fin",#N/A,FALSE,"By Code";"Input_Opt",#N/A,FALSE,"By Code"}</definedName>
    <definedName name="______dy6_1_1_3_1" hidden="1">{"Input_Fin",#N/A,FALSE,"By Code";"Input_Opt",#N/A,FALSE,"By Code"}</definedName>
    <definedName name="______dy6_1_1_3_2" hidden="1">{"Input_Fin",#N/A,FALSE,"By Code";"Input_Opt",#N/A,FALSE,"By Code"}</definedName>
    <definedName name="______dy6_1_1_4" hidden="1">{"Input_Fin",#N/A,FALSE,"By Code";"Input_Opt",#N/A,FALSE,"By Code"}</definedName>
    <definedName name="______dy6_1_1_5" hidden="1">{"Input_Fin",#N/A,FALSE,"By Code";"Input_Opt",#N/A,FALSE,"By Code"}</definedName>
    <definedName name="______dy6_1_2" hidden="1">{"Input_Fin",#N/A,FALSE,"By Code";"Input_Opt",#N/A,FALSE,"By Code"}</definedName>
    <definedName name="______dy6_1_2_1" hidden="1">{"Input_Fin",#N/A,FALSE,"By Code";"Input_Opt",#N/A,FALSE,"By Code"}</definedName>
    <definedName name="______dy6_1_2_2" hidden="1">{"Input_Fin",#N/A,FALSE,"By Code";"Input_Opt",#N/A,FALSE,"By Code"}</definedName>
    <definedName name="______dy6_1_2_3" hidden="1">{"Input_Fin",#N/A,FALSE,"By Code";"Input_Opt",#N/A,FALSE,"By Code"}</definedName>
    <definedName name="______dy6_1_3" hidden="1">{"Input_Fin",#N/A,FALSE,"By Code";"Input_Opt",#N/A,FALSE,"By Code"}</definedName>
    <definedName name="______dy6_1_3_1" hidden="1">{"Input_Fin",#N/A,FALSE,"By Code";"Input_Opt",#N/A,FALSE,"By Code"}</definedName>
    <definedName name="______dy6_1_3_2" hidden="1">{"Input_Fin",#N/A,FALSE,"By Code";"Input_Opt",#N/A,FALSE,"By Code"}</definedName>
    <definedName name="______dy6_1_4" hidden="1">{"Input_Fin",#N/A,FALSE,"By Code";"Input_Opt",#N/A,FALSE,"By Code"}</definedName>
    <definedName name="______dy6_1_5" hidden="1">{"Input_Fin",#N/A,FALSE,"By Code";"Input_Opt",#N/A,FALSE,"By Code"}</definedName>
    <definedName name="______dy6_2" hidden="1">{"Input_Fin",#N/A,FALSE,"By Code";"Input_Opt",#N/A,FALSE,"By Code"}</definedName>
    <definedName name="______dy6_2_1" hidden="1">{"Input_Fin",#N/A,FALSE,"By Code";"Input_Opt",#N/A,FALSE,"By Code"}</definedName>
    <definedName name="______dy6_2_1_1" hidden="1">{"Input_Fin",#N/A,FALSE,"By Code";"Input_Opt",#N/A,FALSE,"By Code"}</definedName>
    <definedName name="______dy6_2_1_1_1" hidden="1">{"Input_Fin",#N/A,FALSE,"By Code";"Input_Opt",#N/A,FALSE,"By Code"}</definedName>
    <definedName name="______dy6_2_1_1_2" hidden="1">{"Input_Fin",#N/A,FALSE,"By Code";"Input_Opt",#N/A,FALSE,"By Code"}</definedName>
    <definedName name="______dy6_2_1_1_3" hidden="1">{"Input_Fin",#N/A,FALSE,"By Code";"Input_Opt",#N/A,FALSE,"By Code"}</definedName>
    <definedName name="______dy6_2_1_2" hidden="1">{"Input_Fin",#N/A,FALSE,"By Code";"Input_Opt",#N/A,FALSE,"By Code"}</definedName>
    <definedName name="______dy6_2_1_2_1" hidden="1">{"Input_Fin",#N/A,FALSE,"By Code";"Input_Opt",#N/A,FALSE,"By Code"}</definedName>
    <definedName name="______dy6_2_1_2_2" hidden="1">{"Input_Fin",#N/A,FALSE,"By Code";"Input_Opt",#N/A,FALSE,"By Code"}</definedName>
    <definedName name="______dy6_2_1_3" hidden="1">{"Input_Fin",#N/A,FALSE,"By Code";"Input_Opt",#N/A,FALSE,"By Code"}</definedName>
    <definedName name="______dy6_2_1_4" hidden="1">{"Input_Fin",#N/A,FALSE,"By Code";"Input_Opt",#N/A,FALSE,"By Code"}</definedName>
    <definedName name="______dy6_2_2" hidden="1">{"Input_Fin",#N/A,FALSE,"By Code";"Input_Opt",#N/A,FALSE,"By Code"}</definedName>
    <definedName name="______dy6_2_2_1" hidden="1">{"Input_Fin",#N/A,FALSE,"By Code";"Input_Opt",#N/A,FALSE,"By Code"}</definedName>
    <definedName name="______dy6_2_2_2" hidden="1">{"Input_Fin",#N/A,FALSE,"By Code";"Input_Opt",#N/A,FALSE,"By Code"}</definedName>
    <definedName name="______dy6_2_2_3" hidden="1">{"Input_Fin",#N/A,FALSE,"By Code";"Input_Opt",#N/A,FALSE,"By Code"}</definedName>
    <definedName name="______dy6_2_3" hidden="1">{"Input_Fin",#N/A,FALSE,"By Code";"Input_Opt",#N/A,FALSE,"By Code"}</definedName>
    <definedName name="______dy6_2_3_1" hidden="1">{"Input_Fin",#N/A,FALSE,"By Code";"Input_Opt",#N/A,FALSE,"By Code"}</definedName>
    <definedName name="______dy6_2_3_2" hidden="1">{"Input_Fin",#N/A,FALSE,"By Code";"Input_Opt",#N/A,FALSE,"By Code"}</definedName>
    <definedName name="______dy6_2_4" hidden="1">{"Input_Fin",#N/A,FALSE,"By Code";"Input_Opt",#N/A,FALSE,"By Code"}</definedName>
    <definedName name="______dy6_2_5" hidden="1">{"Input_Fin",#N/A,FALSE,"By Code";"Input_Opt",#N/A,FALSE,"By Code"}</definedName>
    <definedName name="______dy6_3" hidden="1">{"Input_Fin",#N/A,FALSE,"By Code";"Input_Opt",#N/A,FALSE,"By Code"}</definedName>
    <definedName name="______dy6_3_1" hidden="1">{"Input_Fin",#N/A,FALSE,"By Code";"Input_Opt",#N/A,FALSE,"By Code"}</definedName>
    <definedName name="______dy6_3_1_1" hidden="1">{"Input_Fin",#N/A,FALSE,"By Code";"Input_Opt",#N/A,FALSE,"By Code"}</definedName>
    <definedName name="______dy6_3_1_1_1" hidden="1">{"Input_Fin",#N/A,FALSE,"By Code";"Input_Opt",#N/A,FALSE,"By Code"}</definedName>
    <definedName name="______dy6_3_1_1_2" hidden="1">{"Input_Fin",#N/A,FALSE,"By Code";"Input_Opt",#N/A,FALSE,"By Code"}</definedName>
    <definedName name="______dy6_3_1_1_3" hidden="1">{"Input_Fin",#N/A,FALSE,"By Code";"Input_Opt",#N/A,FALSE,"By Code"}</definedName>
    <definedName name="______dy6_3_1_2" hidden="1">{"Input_Fin",#N/A,FALSE,"By Code";"Input_Opt",#N/A,FALSE,"By Code"}</definedName>
    <definedName name="______dy6_3_1_2_1" hidden="1">{"Input_Fin",#N/A,FALSE,"By Code";"Input_Opt",#N/A,FALSE,"By Code"}</definedName>
    <definedName name="______dy6_3_1_2_2" hidden="1">{"Input_Fin",#N/A,FALSE,"By Code";"Input_Opt",#N/A,FALSE,"By Code"}</definedName>
    <definedName name="______dy6_3_1_3" hidden="1">{"Input_Fin",#N/A,FALSE,"By Code";"Input_Opt",#N/A,FALSE,"By Code"}</definedName>
    <definedName name="______dy6_3_1_4" hidden="1">{"Input_Fin",#N/A,FALSE,"By Code";"Input_Opt",#N/A,FALSE,"By Code"}</definedName>
    <definedName name="______dy6_3_2" hidden="1">{"Input_Fin",#N/A,FALSE,"By Code";"Input_Opt",#N/A,FALSE,"By Code"}</definedName>
    <definedName name="______dy6_3_2_1" hidden="1">{"Input_Fin",#N/A,FALSE,"By Code";"Input_Opt",#N/A,FALSE,"By Code"}</definedName>
    <definedName name="______dy6_3_2_2" hidden="1">{"Input_Fin",#N/A,FALSE,"By Code";"Input_Opt",#N/A,FALSE,"By Code"}</definedName>
    <definedName name="______dy6_3_2_3" hidden="1">{"Input_Fin",#N/A,FALSE,"By Code";"Input_Opt",#N/A,FALSE,"By Code"}</definedName>
    <definedName name="______dy6_3_3" hidden="1">{"Input_Fin",#N/A,FALSE,"By Code";"Input_Opt",#N/A,FALSE,"By Code"}</definedName>
    <definedName name="______dy6_3_3_1" hidden="1">{"Input_Fin",#N/A,FALSE,"By Code";"Input_Opt",#N/A,FALSE,"By Code"}</definedName>
    <definedName name="______dy6_3_3_2" hidden="1">{"Input_Fin",#N/A,FALSE,"By Code";"Input_Opt",#N/A,FALSE,"By Code"}</definedName>
    <definedName name="______dy6_3_4" hidden="1">{"Input_Fin",#N/A,FALSE,"By Code";"Input_Opt",#N/A,FALSE,"By Code"}</definedName>
    <definedName name="______dy6_3_5" hidden="1">{"Input_Fin",#N/A,FALSE,"By Code";"Input_Opt",#N/A,FALSE,"By Code"}</definedName>
    <definedName name="______dy6_4" hidden="1">{"Input_Fin",#N/A,FALSE,"By Code";"Input_Opt",#N/A,FALSE,"By Code"}</definedName>
    <definedName name="______dy6_4_1" hidden="1">{"Input_Fin",#N/A,FALSE,"By Code";"Input_Opt",#N/A,FALSE,"By Code"}</definedName>
    <definedName name="______dy6_4_1_1" hidden="1">{"Input_Fin",#N/A,FALSE,"By Code";"Input_Opt",#N/A,FALSE,"By Code"}</definedName>
    <definedName name="______dy6_4_1_1_1" hidden="1">{"Input_Fin",#N/A,FALSE,"By Code";"Input_Opt",#N/A,FALSE,"By Code"}</definedName>
    <definedName name="______dy6_4_1_1_2" hidden="1">{"Input_Fin",#N/A,FALSE,"By Code";"Input_Opt",#N/A,FALSE,"By Code"}</definedName>
    <definedName name="______dy6_4_1_1_3" hidden="1">{"Input_Fin",#N/A,FALSE,"By Code";"Input_Opt",#N/A,FALSE,"By Code"}</definedName>
    <definedName name="______dy6_4_1_2" hidden="1">{"Input_Fin",#N/A,FALSE,"By Code";"Input_Opt",#N/A,FALSE,"By Code"}</definedName>
    <definedName name="______dy6_4_1_2_1" hidden="1">{"Input_Fin",#N/A,FALSE,"By Code";"Input_Opt",#N/A,FALSE,"By Code"}</definedName>
    <definedName name="______dy6_4_1_2_2" hidden="1">{"Input_Fin",#N/A,FALSE,"By Code";"Input_Opt",#N/A,FALSE,"By Code"}</definedName>
    <definedName name="______dy6_4_1_3" hidden="1">{"Input_Fin",#N/A,FALSE,"By Code";"Input_Opt",#N/A,FALSE,"By Code"}</definedName>
    <definedName name="______dy6_4_1_4" hidden="1">{"Input_Fin",#N/A,FALSE,"By Code";"Input_Opt",#N/A,FALSE,"By Code"}</definedName>
    <definedName name="______dy6_4_2" hidden="1">{"Input_Fin",#N/A,FALSE,"By Code";"Input_Opt",#N/A,FALSE,"By Code"}</definedName>
    <definedName name="______dy6_4_2_1" hidden="1">{"Input_Fin",#N/A,FALSE,"By Code";"Input_Opt",#N/A,FALSE,"By Code"}</definedName>
    <definedName name="______dy6_4_2_2" hidden="1">{"Input_Fin",#N/A,FALSE,"By Code";"Input_Opt",#N/A,FALSE,"By Code"}</definedName>
    <definedName name="______dy6_4_2_3" hidden="1">{"Input_Fin",#N/A,FALSE,"By Code";"Input_Opt",#N/A,FALSE,"By Code"}</definedName>
    <definedName name="______dy6_4_3" hidden="1">{"Input_Fin",#N/A,FALSE,"By Code";"Input_Opt",#N/A,FALSE,"By Code"}</definedName>
    <definedName name="______dy6_4_3_1" hidden="1">{"Input_Fin",#N/A,FALSE,"By Code";"Input_Opt",#N/A,FALSE,"By Code"}</definedName>
    <definedName name="______dy6_4_3_2" hidden="1">{"Input_Fin",#N/A,FALSE,"By Code";"Input_Opt",#N/A,FALSE,"By Code"}</definedName>
    <definedName name="______dy6_4_4" hidden="1">{"Input_Fin",#N/A,FALSE,"By Code";"Input_Opt",#N/A,FALSE,"By Code"}</definedName>
    <definedName name="______dy6_4_5" hidden="1">{"Input_Fin",#N/A,FALSE,"By Code";"Input_Opt",#N/A,FALSE,"By Code"}</definedName>
    <definedName name="______dy6_5" hidden="1">{"Input_Fin",#N/A,FALSE,"By Code";"Input_Opt",#N/A,FALSE,"By Code"}</definedName>
    <definedName name="______dy6_5_1" hidden="1">{"Input_Fin",#N/A,FALSE,"By Code";"Input_Opt",#N/A,FALSE,"By Code"}</definedName>
    <definedName name="______dy6_5_1_1" hidden="1">{"Input_Fin",#N/A,FALSE,"By Code";"Input_Opt",#N/A,FALSE,"By Code"}</definedName>
    <definedName name="______dy6_5_1_1_1" hidden="1">{"Input_Fin",#N/A,FALSE,"By Code";"Input_Opt",#N/A,FALSE,"By Code"}</definedName>
    <definedName name="______dy6_5_1_1_2" hidden="1">{"Input_Fin",#N/A,FALSE,"By Code";"Input_Opt",#N/A,FALSE,"By Code"}</definedName>
    <definedName name="______dy6_5_1_1_3" hidden="1">{"Input_Fin",#N/A,FALSE,"By Code";"Input_Opt",#N/A,FALSE,"By Code"}</definedName>
    <definedName name="______dy6_5_1_2" hidden="1">{"Input_Fin",#N/A,FALSE,"By Code";"Input_Opt",#N/A,FALSE,"By Code"}</definedName>
    <definedName name="______dy6_5_1_2_1" hidden="1">{"Input_Fin",#N/A,FALSE,"By Code";"Input_Opt",#N/A,FALSE,"By Code"}</definedName>
    <definedName name="______dy6_5_1_2_2" hidden="1">{"Input_Fin",#N/A,FALSE,"By Code";"Input_Opt",#N/A,FALSE,"By Code"}</definedName>
    <definedName name="______dy6_5_1_3" hidden="1">{"Input_Fin",#N/A,FALSE,"By Code";"Input_Opt",#N/A,FALSE,"By Code"}</definedName>
    <definedName name="______dy6_5_1_4" hidden="1">{"Input_Fin",#N/A,FALSE,"By Code";"Input_Opt",#N/A,FALSE,"By Code"}</definedName>
    <definedName name="______dy6_5_2" hidden="1">{"Input_Fin",#N/A,FALSE,"By Code";"Input_Opt",#N/A,FALSE,"By Code"}</definedName>
    <definedName name="______dy6_5_2_1" hidden="1">{"Input_Fin",#N/A,FALSE,"By Code";"Input_Opt",#N/A,FALSE,"By Code"}</definedName>
    <definedName name="______dy6_5_2_2" hidden="1">{"Input_Fin",#N/A,FALSE,"By Code";"Input_Opt",#N/A,FALSE,"By Code"}</definedName>
    <definedName name="______dy6_5_2_3" hidden="1">{"Input_Fin",#N/A,FALSE,"By Code";"Input_Opt",#N/A,FALSE,"By Code"}</definedName>
    <definedName name="______dy6_5_3" hidden="1">{"Input_Fin",#N/A,FALSE,"By Code";"Input_Opt",#N/A,FALSE,"By Code"}</definedName>
    <definedName name="______dy6_5_3_1" hidden="1">{"Input_Fin",#N/A,FALSE,"By Code";"Input_Opt",#N/A,FALSE,"By Code"}</definedName>
    <definedName name="______dy6_5_3_2" hidden="1">{"Input_Fin",#N/A,FALSE,"By Code";"Input_Opt",#N/A,FALSE,"By Code"}</definedName>
    <definedName name="______dy6_5_4" hidden="1">{"Input_Fin",#N/A,FALSE,"By Code";"Input_Opt",#N/A,FALSE,"By Code"}</definedName>
    <definedName name="______dy6_5_5" hidden="1">{"Input_Fin",#N/A,FALSE,"By Code";"Input_Opt",#N/A,FALSE,"By Code"}</definedName>
    <definedName name="______jhi44" localSheetId="12" hidden="1">{"Input_Fin",#N/A,FALSE,"By Code";"Input_Opt",#N/A,FALSE,"By Code"}</definedName>
    <definedName name="______jhi44" hidden="1">{"Input_Fin",#N/A,FALSE,"By Code";"Input_Opt",#N/A,FALSE,"By Code"}</definedName>
    <definedName name="______jhi44_1" hidden="1">{"Input_Fin",#N/A,FALSE,"By Code";"Input_Opt",#N/A,FALSE,"By Code"}</definedName>
    <definedName name="______jhi44_1_1" hidden="1">{"Input_Fin",#N/A,FALSE,"By Code";"Input_Opt",#N/A,FALSE,"By Code"}</definedName>
    <definedName name="______jhi44_1_1_1" hidden="1">{"Input_Fin",#N/A,FALSE,"By Code";"Input_Opt",#N/A,FALSE,"By Code"}</definedName>
    <definedName name="______jhi44_1_1_1_1" hidden="1">{"Input_Fin",#N/A,FALSE,"By Code";"Input_Opt",#N/A,FALSE,"By Code"}</definedName>
    <definedName name="______jhi44_1_1_1_1_1" hidden="1">{"Input_Fin",#N/A,FALSE,"By Code";"Input_Opt",#N/A,FALSE,"By Code"}</definedName>
    <definedName name="______jhi44_1_1_1_1_2" hidden="1">{"Input_Fin",#N/A,FALSE,"By Code";"Input_Opt",#N/A,FALSE,"By Code"}</definedName>
    <definedName name="______jhi44_1_1_1_1_3" hidden="1">{"Input_Fin",#N/A,FALSE,"By Code";"Input_Opt",#N/A,FALSE,"By Code"}</definedName>
    <definedName name="______jhi44_1_1_1_2" hidden="1">{"Input_Fin",#N/A,FALSE,"By Code";"Input_Opt",#N/A,FALSE,"By Code"}</definedName>
    <definedName name="______jhi44_1_1_1_2_1" hidden="1">{"Input_Fin",#N/A,FALSE,"By Code";"Input_Opt",#N/A,FALSE,"By Code"}</definedName>
    <definedName name="______jhi44_1_1_1_2_2" hidden="1">{"Input_Fin",#N/A,FALSE,"By Code";"Input_Opt",#N/A,FALSE,"By Code"}</definedName>
    <definedName name="______jhi44_1_1_1_3" hidden="1">{"Input_Fin",#N/A,FALSE,"By Code";"Input_Opt",#N/A,FALSE,"By Code"}</definedName>
    <definedName name="______jhi44_1_1_1_3_1" hidden="1">{"Input_Fin",#N/A,FALSE,"By Code";"Input_Opt",#N/A,FALSE,"By Code"}</definedName>
    <definedName name="______jhi44_1_1_1_3_2" hidden="1">{"Input_Fin",#N/A,FALSE,"By Code";"Input_Opt",#N/A,FALSE,"By Code"}</definedName>
    <definedName name="______jhi44_1_1_1_4" hidden="1">{"Input_Fin",#N/A,FALSE,"By Code";"Input_Opt",#N/A,FALSE,"By Code"}</definedName>
    <definedName name="______jhi44_1_1_1_5" hidden="1">{"Input_Fin",#N/A,FALSE,"By Code";"Input_Opt",#N/A,FALSE,"By Code"}</definedName>
    <definedName name="______jhi44_1_1_2" hidden="1">{"Input_Fin",#N/A,FALSE,"By Code";"Input_Opt",#N/A,FALSE,"By Code"}</definedName>
    <definedName name="______jhi44_1_1_2_1" hidden="1">{"Input_Fin",#N/A,FALSE,"By Code";"Input_Opt",#N/A,FALSE,"By Code"}</definedName>
    <definedName name="______jhi44_1_1_2_2" hidden="1">{"Input_Fin",#N/A,FALSE,"By Code";"Input_Opt",#N/A,FALSE,"By Code"}</definedName>
    <definedName name="______jhi44_1_1_2_3" hidden="1">{"Input_Fin",#N/A,FALSE,"By Code";"Input_Opt",#N/A,FALSE,"By Code"}</definedName>
    <definedName name="______jhi44_1_1_3" hidden="1">{"Input_Fin",#N/A,FALSE,"By Code";"Input_Opt",#N/A,FALSE,"By Code"}</definedName>
    <definedName name="______jhi44_1_1_3_1" hidden="1">{"Input_Fin",#N/A,FALSE,"By Code";"Input_Opt",#N/A,FALSE,"By Code"}</definedName>
    <definedName name="______jhi44_1_1_3_2" hidden="1">{"Input_Fin",#N/A,FALSE,"By Code";"Input_Opt",#N/A,FALSE,"By Code"}</definedName>
    <definedName name="______jhi44_1_1_4" hidden="1">{"Input_Fin",#N/A,FALSE,"By Code";"Input_Opt",#N/A,FALSE,"By Code"}</definedName>
    <definedName name="______jhi44_1_1_5" hidden="1">{"Input_Fin",#N/A,FALSE,"By Code";"Input_Opt",#N/A,FALSE,"By Code"}</definedName>
    <definedName name="______jhi44_1_2" hidden="1">{"Input_Fin",#N/A,FALSE,"By Code";"Input_Opt",#N/A,FALSE,"By Code"}</definedName>
    <definedName name="______jhi44_1_2_1" hidden="1">{"Input_Fin",#N/A,FALSE,"By Code";"Input_Opt",#N/A,FALSE,"By Code"}</definedName>
    <definedName name="______jhi44_1_2_2" hidden="1">{"Input_Fin",#N/A,FALSE,"By Code";"Input_Opt",#N/A,FALSE,"By Code"}</definedName>
    <definedName name="______jhi44_1_2_3" hidden="1">{"Input_Fin",#N/A,FALSE,"By Code";"Input_Opt",#N/A,FALSE,"By Code"}</definedName>
    <definedName name="______jhi44_1_3" hidden="1">{"Input_Fin",#N/A,FALSE,"By Code";"Input_Opt",#N/A,FALSE,"By Code"}</definedName>
    <definedName name="______jhi44_1_3_1" hidden="1">{"Input_Fin",#N/A,FALSE,"By Code";"Input_Opt",#N/A,FALSE,"By Code"}</definedName>
    <definedName name="______jhi44_1_3_2" hidden="1">{"Input_Fin",#N/A,FALSE,"By Code";"Input_Opt",#N/A,FALSE,"By Code"}</definedName>
    <definedName name="______jhi44_1_4" hidden="1">{"Input_Fin",#N/A,FALSE,"By Code";"Input_Opt",#N/A,FALSE,"By Code"}</definedName>
    <definedName name="______jhi44_1_5" hidden="1">{"Input_Fin",#N/A,FALSE,"By Code";"Input_Opt",#N/A,FALSE,"By Code"}</definedName>
    <definedName name="______jhi44_2" hidden="1">{"Input_Fin",#N/A,FALSE,"By Code";"Input_Opt",#N/A,FALSE,"By Code"}</definedName>
    <definedName name="______jhi44_2_1" hidden="1">{"Input_Fin",#N/A,FALSE,"By Code";"Input_Opt",#N/A,FALSE,"By Code"}</definedName>
    <definedName name="______jhi44_2_1_1" hidden="1">{"Input_Fin",#N/A,FALSE,"By Code";"Input_Opt",#N/A,FALSE,"By Code"}</definedName>
    <definedName name="______jhi44_2_1_1_1" hidden="1">{"Input_Fin",#N/A,FALSE,"By Code";"Input_Opt",#N/A,FALSE,"By Code"}</definedName>
    <definedName name="______jhi44_2_1_1_2" hidden="1">{"Input_Fin",#N/A,FALSE,"By Code";"Input_Opt",#N/A,FALSE,"By Code"}</definedName>
    <definedName name="______jhi44_2_1_1_3" hidden="1">{"Input_Fin",#N/A,FALSE,"By Code";"Input_Opt",#N/A,FALSE,"By Code"}</definedName>
    <definedName name="______jhi44_2_1_2" hidden="1">{"Input_Fin",#N/A,FALSE,"By Code";"Input_Opt",#N/A,FALSE,"By Code"}</definedName>
    <definedName name="______jhi44_2_1_2_1" hidden="1">{"Input_Fin",#N/A,FALSE,"By Code";"Input_Opt",#N/A,FALSE,"By Code"}</definedName>
    <definedName name="______jhi44_2_1_2_2" hidden="1">{"Input_Fin",#N/A,FALSE,"By Code";"Input_Opt",#N/A,FALSE,"By Code"}</definedName>
    <definedName name="______jhi44_2_1_3" hidden="1">{"Input_Fin",#N/A,FALSE,"By Code";"Input_Opt",#N/A,FALSE,"By Code"}</definedName>
    <definedName name="______jhi44_2_1_4" hidden="1">{"Input_Fin",#N/A,FALSE,"By Code";"Input_Opt",#N/A,FALSE,"By Code"}</definedName>
    <definedName name="______jhi44_2_2" hidden="1">{"Input_Fin",#N/A,FALSE,"By Code";"Input_Opt",#N/A,FALSE,"By Code"}</definedName>
    <definedName name="______jhi44_2_2_1" hidden="1">{"Input_Fin",#N/A,FALSE,"By Code";"Input_Opt",#N/A,FALSE,"By Code"}</definedName>
    <definedName name="______jhi44_2_2_2" hidden="1">{"Input_Fin",#N/A,FALSE,"By Code";"Input_Opt",#N/A,FALSE,"By Code"}</definedName>
    <definedName name="______jhi44_2_2_3" hidden="1">{"Input_Fin",#N/A,FALSE,"By Code";"Input_Opt",#N/A,FALSE,"By Code"}</definedName>
    <definedName name="______jhi44_2_3" hidden="1">{"Input_Fin",#N/A,FALSE,"By Code";"Input_Opt",#N/A,FALSE,"By Code"}</definedName>
    <definedName name="______jhi44_2_3_1" hidden="1">{"Input_Fin",#N/A,FALSE,"By Code";"Input_Opt",#N/A,FALSE,"By Code"}</definedName>
    <definedName name="______jhi44_2_3_2" hidden="1">{"Input_Fin",#N/A,FALSE,"By Code";"Input_Opt",#N/A,FALSE,"By Code"}</definedName>
    <definedName name="______jhi44_2_4" hidden="1">{"Input_Fin",#N/A,FALSE,"By Code";"Input_Opt",#N/A,FALSE,"By Code"}</definedName>
    <definedName name="______jhi44_2_5" hidden="1">{"Input_Fin",#N/A,FALSE,"By Code";"Input_Opt",#N/A,FALSE,"By Code"}</definedName>
    <definedName name="______jhi44_3" hidden="1">{"Input_Fin",#N/A,FALSE,"By Code";"Input_Opt",#N/A,FALSE,"By Code"}</definedName>
    <definedName name="______jhi44_3_1" hidden="1">{"Input_Fin",#N/A,FALSE,"By Code";"Input_Opt",#N/A,FALSE,"By Code"}</definedName>
    <definedName name="______jhi44_3_1_1" hidden="1">{"Input_Fin",#N/A,FALSE,"By Code";"Input_Opt",#N/A,FALSE,"By Code"}</definedName>
    <definedName name="______jhi44_3_1_1_1" hidden="1">{"Input_Fin",#N/A,FALSE,"By Code";"Input_Opt",#N/A,FALSE,"By Code"}</definedName>
    <definedName name="______jhi44_3_1_1_2" hidden="1">{"Input_Fin",#N/A,FALSE,"By Code";"Input_Opt",#N/A,FALSE,"By Code"}</definedName>
    <definedName name="______jhi44_3_1_1_3" hidden="1">{"Input_Fin",#N/A,FALSE,"By Code";"Input_Opt",#N/A,FALSE,"By Code"}</definedName>
    <definedName name="______jhi44_3_1_2" hidden="1">{"Input_Fin",#N/A,FALSE,"By Code";"Input_Opt",#N/A,FALSE,"By Code"}</definedName>
    <definedName name="______jhi44_3_1_2_1" hidden="1">{"Input_Fin",#N/A,FALSE,"By Code";"Input_Opt",#N/A,FALSE,"By Code"}</definedName>
    <definedName name="______jhi44_3_1_2_2" hidden="1">{"Input_Fin",#N/A,FALSE,"By Code";"Input_Opt",#N/A,FALSE,"By Code"}</definedName>
    <definedName name="______jhi44_3_1_3" hidden="1">{"Input_Fin",#N/A,FALSE,"By Code";"Input_Opt",#N/A,FALSE,"By Code"}</definedName>
    <definedName name="______jhi44_3_1_4" hidden="1">{"Input_Fin",#N/A,FALSE,"By Code";"Input_Opt",#N/A,FALSE,"By Code"}</definedName>
    <definedName name="______jhi44_3_2" hidden="1">{"Input_Fin",#N/A,FALSE,"By Code";"Input_Opt",#N/A,FALSE,"By Code"}</definedName>
    <definedName name="______jhi44_3_2_1" hidden="1">{"Input_Fin",#N/A,FALSE,"By Code";"Input_Opt",#N/A,FALSE,"By Code"}</definedName>
    <definedName name="______jhi44_3_2_2" hidden="1">{"Input_Fin",#N/A,FALSE,"By Code";"Input_Opt",#N/A,FALSE,"By Code"}</definedName>
    <definedName name="______jhi44_3_2_3" hidden="1">{"Input_Fin",#N/A,FALSE,"By Code";"Input_Opt",#N/A,FALSE,"By Code"}</definedName>
    <definedName name="______jhi44_3_3" hidden="1">{"Input_Fin",#N/A,FALSE,"By Code";"Input_Opt",#N/A,FALSE,"By Code"}</definedName>
    <definedName name="______jhi44_3_3_1" hidden="1">{"Input_Fin",#N/A,FALSE,"By Code";"Input_Opt",#N/A,FALSE,"By Code"}</definedName>
    <definedName name="______jhi44_3_3_2" hidden="1">{"Input_Fin",#N/A,FALSE,"By Code";"Input_Opt",#N/A,FALSE,"By Code"}</definedName>
    <definedName name="______jhi44_3_4" hidden="1">{"Input_Fin",#N/A,FALSE,"By Code";"Input_Opt",#N/A,FALSE,"By Code"}</definedName>
    <definedName name="______jhi44_3_5" hidden="1">{"Input_Fin",#N/A,FALSE,"By Code";"Input_Opt",#N/A,FALSE,"By Code"}</definedName>
    <definedName name="______jhi44_4" hidden="1">{"Input_Fin",#N/A,FALSE,"By Code";"Input_Opt",#N/A,FALSE,"By Code"}</definedName>
    <definedName name="______jhi44_4_1" hidden="1">{"Input_Fin",#N/A,FALSE,"By Code";"Input_Opt",#N/A,FALSE,"By Code"}</definedName>
    <definedName name="______jhi44_4_1_1" hidden="1">{"Input_Fin",#N/A,FALSE,"By Code";"Input_Opt",#N/A,FALSE,"By Code"}</definedName>
    <definedName name="______jhi44_4_1_1_1" hidden="1">{"Input_Fin",#N/A,FALSE,"By Code";"Input_Opt",#N/A,FALSE,"By Code"}</definedName>
    <definedName name="______jhi44_4_1_1_2" hidden="1">{"Input_Fin",#N/A,FALSE,"By Code";"Input_Opt",#N/A,FALSE,"By Code"}</definedName>
    <definedName name="______jhi44_4_1_1_3" hidden="1">{"Input_Fin",#N/A,FALSE,"By Code";"Input_Opt",#N/A,FALSE,"By Code"}</definedName>
    <definedName name="______jhi44_4_1_2" hidden="1">{"Input_Fin",#N/A,FALSE,"By Code";"Input_Opt",#N/A,FALSE,"By Code"}</definedName>
    <definedName name="______jhi44_4_1_2_1" hidden="1">{"Input_Fin",#N/A,FALSE,"By Code";"Input_Opt",#N/A,FALSE,"By Code"}</definedName>
    <definedName name="______jhi44_4_1_2_2" hidden="1">{"Input_Fin",#N/A,FALSE,"By Code";"Input_Opt",#N/A,FALSE,"By Code"}</definedName>
    <definedName name="______jhi44_4_1_3" hidden="1">{"Input_Fin",#N/A,FALSE,"By Code";"Input_Opt",#N/A,FALSE,"By Code"}</definedName>
    <definedName name="______jhi44_4_1_4" hidden="1">{"Input_Fin",#N/A,FALSE,"By Code";"Input_Opt",#N/A,FALSE,"By Code"}</definedName>
    <definedName name="______jhi44_4_2" hidden="1">{"Input_Fin",#N/A,FALSE,"By Code";"Input_Opt",#N/A,FALSE,"By Code"}</definedName>
    <definedName name="______jhi44_4_2_1" hidden="1">{"Input_Fin",#N/A,FALSE,"By Code";"Input_Opt",#N/A,FALSE,"By Code"}</definedName>
    <definedName name="______jhi44_4_2_2" hidden="1">{"Input_Fin",#N/A,FALSE,"By Code";"Input_Opt",#N/A,FALSE,"By Code"}</definedName>
    <definedName name="______jhi44_4_2_3" hidden="1">{"Input_Fin",#N/A,FALSE,"By Code";"Input_Opt",#N/A,FALSE,"By Code"}</definedName>
    <definedName name="______jhi44_4_3" hidden="1">{"Input_Fin",#N/A,FALSE,"By Code";"Input_Opt",#N/A,FALSE,"By Code"}</definedName>
    <definedName name="______jhi44_4_3_1" hidden="1">{"Input_Fin",#N/A,FALSE,"By Code";"Input_Opt",#N/A,FALSE,"By Code"}</definedName>
    <definedName name="______jhi44_4_3_2" hidden="1">{"Input_Fin",#N/A,FALSE,"By Code";"Input_Opt",#N/A,FALSE,"By Code"}</definedName>
    <definedName name="______jhi44_4_4" hidden="1">{"Input_Fin",#N/A,FALSE,"By Code";"Input_Opt",#N/A,FALSE,"By Code"}</definedName>
    <definedName name="______jhi44_4_5" hidden="1">{"Input_Fin",#N/A,FALSE,"By Code";"Input_Opt",#N/A,FALSE,"By Code"}</definedName>
    <definedName name="______jhi44_5" hidden="1">{"Input_Fin",#N/A,FALSE,"By Code";"Input_Opt",#N/A,FALSE,"By Code"}</definedName>
    <definedName name="______jhi44_5_1" hidden="1">{"Input_Fin",#N/A,FALSE,"By Code";"Input_Opt",#N/A,FALSE,"By Code"}</definedName>
    <definedName name="______jhi44_5_1_1" hidden="1">{"Input_Fin",#N/A,FALSE,"By Code";"Input_Opt",#N/A,FALSE,"By Code"}</definedName>
    <definedName name="______jhi44_5_1_1_1" hidden="1">{"Input_Fin",#N/A,FALSE,"By Code";"Input_Opt",#N/A,FALSE,"By Code"}</definedName>
    <definedName name="______jhi44_5_1_1_2" hidden="1">{"Input_Fin",#N/A,FALSE,"By Code";"Input_Opt",#N/A,FALSE,"By Code"}</definedName>
    <definedName name="______jhi44_5_1_1_3" hidden="1">{"Input_Fin",#N/A,FALSE,"By Code";"Input_Opt",#N/A,FALSE,"By Code"}</definedName>
    <definedName name="______jhi44_5_1_2" hidden="1">{"Input_Fin",#N/A,FALSE,"By Code";"Input_Opt",#N/A,FALSE,"By Code"}</definedName>
    <definedName name="______jhi44_5_1_2_1" hidden="1">{"Input_Fin",#N/A,FALSE,"By Code";"Input_Opt",#N/A,FALSE,"By Code"}</definedName>
    <definedName name="______jhi44_5_1_2_2" hidden="1">{"Input_Fin",#N/A,FALSE,"By Code";"Input_Opt",#N/A,FALSE,"By Code"}</definedName>
    <definedName name="______jhi44_5_1_3" hidden="1">{"Input_Fin",#N/A,FALSE,"By Code";"Input_Opt",#N/A,FALSE,"By Code"}</definedName>
    <definedName name="______jhi44_5_1_4" hidden="1">{"Input_Fin",#N/A,FALSE,"By Code";"Input_Opt",#N/A,FALSE,"By Code"}</definedName>
    <definedName name="______jhi44_5_2" hidden="1">{"Input_Fin",#N/A,FALSE,"By Code";"Input_Opt",#N/A,FALSE,"By Code"}</definedName>
    <definedName name="______jhi44_5_2_1" hidden="1">{"Input_Fin",#N/A,FALSE,"By Code";"Input_Opt",#N/A,FALSE,"By Code"}</definedName>
    <definedName name="______jhi44_5_2_2" hidden="1">{"Input_Fin",#N/A,FALSE,"By Code";"Input_Opt",#N/A,FALSE,"By Code"}</definedName>
    <definedName name="______jhi44_5_2_3" hidden="1">{"Input_Fin",#N/A,FALSE,"By Code";"Input_Opt",#N/A,FALSE,"By Code"}</definedName>
    <definedName name="______jhi44_5_3" hidden="1">{"Input_Fin",#N/A,FALSE,"By Code";"Input_Opt",#N/A,FALSE,"By Code"}</definedName>
    <definedName name="______jhi44_5_3_1" hidden="1">{"Input_Fin",#N/A,FALSE,"By Code";"Input_Opt",#N/A,FALSE,"By Code"}</definedName>
    <definedName name="______jhi44_5_3_2" hidden="1">{"Input_Fin",#N/A,FALSE,"By Code";"Input_Opt",#N/A,FALSE,"By Code"}</definedName>
    <definedName name="______jhi44_5_4" hidden="1">{"Input_Fin",#N/A,FALSE,"By Code";"Input_Opt",#N/A,FALSE,"By Code"}</definedName>
    <definedName name="______jhi44_5_5" hidden="1">{"Input_Fin",#N/A,FALSE,"By Code";"Input_Opt",#N/A,FALSE,"By Code"}</definedName>
    <definedName name="______Module1.Macro1">#N/A</definedName>
    <definedName name="______Module1.Macro111">#N/A</definedName>
    <definedName name="_____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AAA00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AAA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BBB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123" localSheetId="12" hidden="1">{"Input_Fin",#N/A,FALSE,"By Code";"Input_Opt",#N/A,FALSE,"By Code"}</definedName>
    <definedName name="_____D123" hidden="1">{"Input_Fin",#N/A,FALSE,"By Code";"Input_Opt",#N/A,FALSE,"By Code"}</definedName>
    <definedName name="_____dd2" hidden="1">{"Input_Fin",#N/A,FALSE,"By Code";"Input_Opt",#N/A,FALSE,"By Code"}</definedName>
    <definedName name="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1" localSheetId="12" hidden="1">{"Input_Fin",#N/A,FALSE,"By Code";"Input_Opt",#N/A,FALSE,"By Code"}</definedName>
    <definedName name="_____dy1" hidden="1">{"Input_Fin",#N/A,FALSE,"By Code";"Input_Opt",#N/A,FALSE,"By Code"}</definedName>
    <definedName name="_____dy1_1" hidden="1">{"Input_Fin",#N/A,FALSE,"By Code";"Input_Opt",#N/A,FALSE,"By Code"}</definedName>
    <definedName name="_____dy1_1_1" hidden="1">{"Input_Fin",#N/A,FALSE,"By Code";"Input_Opt",#N/A,FALSE,"By Code"}</definedName>
    <definedName name="_____dy1_1_1_1" hidden="1">{"Input_Fin",#N/A,FALSE,"By Code";"Input_Opt",#N/A,FALSE,"By Code"}</definedName>
    <definedName name="_____dy1_1_1_1_1" hidden="1">{"Input_Fin",#N/A,FALSE,"By Code";"Input_Opt",#N/A,FALSE,"By Code"}</definedName>
    <definedName name="_____dy1_1_1_1_1_1" hidden="1">{"Input_Fin",#N/A,FALSE,"By Code";"Input_Opt",#N/A,FALSE,"By Code"}</definedName>
    <definedName name="_____dy1_1_1_1_1_2" hidden="1">{"Input_Fin",#N/A,FALSE,"By Code";"Input_Opt",#N/A,FALSE,"By Code"}</definedName>
    <definedName name="_____dy1_1_1_1_1_3" hidden="1">{"Input_Fin",#N/A,FALSE,"By Code";"Input_Opt",#N/A,FALSE,"By Code"}</definedName>
    <definedName name="_____dy1_1_1_1_2" hidden="1">{"Input_Fin",#N/A,FALSE,"By Code";"Input_Opt",#N/A,FALSE,"By Code"}</definedName>
    <definedName name="_____dy1_1_1_1_2_1" hidden="1">{"Input_Fin",#N/A,FALSE,"By Code";"Input_Opt",#N/A,FALSE,"By Code"}</definedName>
    <definedName name="_____dy1_1_1_1_2_2" hidden="1">{"Input_Fin",#N/A,FALSE,"By Code";"Input_Opt",#N/A,FALSE,"By Code"}</definedName>
    <definedName name="_____dy1_1_1_1_3" hidden="1">{"Input_Fin",#N/A,FALSE,"By Code";"Input_Opt",#N/A,FALSE,"By Code"}</definedName>
    <definedName name="_____dy1_1_1_1_3_1" hidden="1">{"Input_Fin",#N/A,FALSE,"By Code";"Input_Opt",#N/A,FALSE,"By Code"}</definedName>
    <definedName name="_____dy1_1_1_1_3_2" hidden="1">{"Input_Fin",#N/A,FALSE,"By Code";"Input_Opt",#N/A,FALSE,"By Code"}</definedName>
    <definedName name="_____dy1_1_1_1_4" hidden="1">{"Input_Fin",#N/A,FALSE,"By Code";"Input_Opt",#N/A,FALSE,"By Code"}</definedName>
    <definedName name="_____dy1_1_1_1_5" hidden="1">{"Input_Fin",#N/A,FALSE,"By Code";"Input_Opt",#N/A,FALSE,"By Code"}</definedName>
    <definedName name="_____dy1_1_1_2" hidden="1">{"Input_Fin",#N/A,FALSE,"By Code";"Input_Opt",#N/A,FALSE,"By Code"}</definedName>
    <definedName name="_____dy1_1_1_2_1" hidden="1">{"Input_Fin",#N/A,FALSE,"By Code";"Input_Opt",#N/A,FALSE,"By Code"}</definedName>
    <definedName name="_____dy1_1_1_2_2" hidden="1">{"Input_Fin",#N/A,FALSE,"By Code";"Input_Opt",#N/A,FALSE,"By Code"}</definedName>
    <definedName name="_____dy1_1_1_2_3" hidden="1">{"Input_Fin",#N/A,FALSE,"By Code";"Input_Opt",#N/A,FALSE,"By Code"}</definedName>
    <definedName name="_____dy1_1_1_3" hidden="1">{"Input_Fin",#N/A,FALSE,"By Code";"Input_Opt",#N/A,FALSE,"By Code"}</definedName>
    <definedName name="_____dy1_1_1_3_1" hidden="1">{"Input_Fin",#N/A,FALSE,"By Code";"Input_Opt",#N/A,FALSE,"By Code"}</definedName>
    <definedName name="_____dy1_1_1_3_2" hidden="1">{"Input_Fin",#N/A,FALSE,"By Code";"Input_Opt",#N/A,FALSE,"By Code"}</definedName>
    <definedName name="_____dy1_1_1_4" hidden="1">{"Input_Fin",#N/A,FALSE,"By Code";"Input_Opt",#N/A,FALSE,"By Code"}</definedName>
    <definedName name="_____dy1_1_1_5" hidden="1">{"Input_Fin",#N/A,FALSE,"By Code";"Input_Opt",#N/A,FALSE,"By Code"}</definedName>
    <definedName name="_____dy1_1_2" hidden="1">{"Input_Fin",#N/A,FALSE,"By Code";"Input_Opt",#N/A,FALSE,"By Code"}</definedName>
    <definedName name="_____dy1_1_2_1" hidden="1">{"Input_Fin",#N/A,FALSE,"By Code";"Input_Opt",#N/A,FALSE,"By Code"}</definedName>
    <definedName name="_____dy1_1_2_2" hidden="1">{"Input_Fin",#N/A,FALSE,"By Code";"Input_Opt",#N/A,FALSE,"By Code"}</definedName>
    <definedName name="_____dy1_1_2_3" hidden="1">{"Input_Fin",#N/A,FALSE,"By Code";"Input_Opt",#N/A,FALSE,"By Code"}</definedName>
    <definedName name="_____dy1_1_3" hidden="1">{"Input_Fin",#N/A,FALSE,"By Code";"Input_Opt",#N/A,FALSE,"By Code"}</definedName>
    <definedName name="_____dy1_1_3_1" hidden="1">{"Input_Fin",#N/A,FALSE,"By Code";"Input_Opt",#N/A,FALSE,"By Code"}</definedName>
    <definedName name="_____dy1_1_3_2" hidden="1">{"Input_Fin",#N/A,FALSE,"By Code";"Input_Opt",#N/A,FALSE,"By Code"}</definedName>
    <definedName name="_____dy1_1_4" hidden="1">{"Input_Fin",#N/A,FALSE,"By Code";"Input_Opt",#N/A,FALSE,"By Code"}</definedName>
    <definedName name="_____dy1_1_5" hidden="1">{"Input_Fin",#N/A,FALSE,"By Code";"Input_Opt",#N/A,FALSE,"By Code"}</definedName>
    <definedName name="_____dy1_2" hidden="1">{"Input_Fin",#N/A,FALSE,"By Code";"Input_Opt",#N/A,FALSE,"By Code"}</definedName>
    <definedName name="_____dy1_2_1" hidden="1">{"Input_Fin",#N/A,FALSE,"By Code";"Input_Opt",#N/A,FALSE,"By Code"}</definedName>
    <definedName name="_____dy1_2_1_1" hidden="1">{"Input_Fin",#N/A,FALSE,"By Code";"Input_Opt",#N/A,FALSE,"By Code"}</definedName>
    <definedName name="_____dy1_2_1_1_1" hidden="1">{"Input_Fin",#N/A,FALSE,"By Code";"Input_Opt",#N/A,FALSE,"By Code"}</definedName>
    <definedName name="_____dy1_2_1_1_2" hidden="1">{"Input_Fin",#N/A,FALSE,"By Code";"Input_Opt",#N/A,FALSE,"By Code"}</definedName>
    <definedName name="_____dy1_2_1_1_3" hidden="1">{"Input_Fin",#N/A,FALSE,"By Code";"Input_Opt",#N/A,FALSE,"By Code"}</definedName>
    <definedName name="_____dy1_2_1_2" hidden="1">{"Input_Fin",#N/A,FALSE,"By Code";"Input_Opt",#N/A,FALSE,"By Code"}</definedName>
    <definedName name="_____dy1_2_1_2_1" hidden="1">{"Input_Fin",#N/A,FALSE,"By Code";"Input_Opt",#N/A,FALSE,"By Code"}</definedName>
    <definedName name="_____dy1_2_1_2_2" hidden="1">{"Input_Fin",#N/A,FALSE,"By Code";"Input_Opt",#N/A,FALSE,"By Code"}</definedName>
    <definedName name="_____dy1_2_1_3" hidden="1">{"Input_Fin",#N/A,FALSE,"By Code";"Input_Opt",#N/A,FALSE,"By Code"}</definedName>
    <definedName name="_____dy1_2_1_4" hidden="1">{"Input_Fin",#N/A,FALSE,"By Code";"Input_Opt",#N/A,FALSE,"By Code"}</definedName>
    <definedName name="_____dy1_2_2" hidden="1">{"Input_Fin",#N/A,FALSE,"By Code";"Input_Opt",#N/A,FALSE,"By Code"}</definedName>
    <definedName name="_____dy1_2_2_1" hidden="1">{"Input_Fin",#N/A,FALSE,"By Code";"Input_Opt",#N/A,FALSE,"By Code"}</definedName>
    <definedName name="_____dy1_2_2_2" hidden="1">{"Input_Fin",#N/A,FALSE,"By Code";"Input_Opt",#N/A,FALSE,"By Code"}</definedName>
    <definedName name="_____dy1_2_2_3" hidden="1">{"Input_Fin",#N/A,FALSE,"By Code";"Input_Opt",#N/A,FALSE,"By Code"}</definedName>
    <definedName name="_____dy1_2_3" hidden="1">{"Input_Fin",#N/A,FALSE,"By Code";"Input_Opt",#N/A,FALSE,"By Code"}</definedName>
    <definedName name="_____dy1_2_3_1" hidden="1">{"Input_Fin",#N/A,FALSE,"By Code";"Input_Opt",#N/A,FALSE,"By Code"}</definedName>
    <definedName name="_____dy1_2_3_2" hidden="1">{"Input_Fin",#N/A,FALSE,"By Code";"Input_Opt",#N/A,FALSE,"By Code"}</definedName>
    <definedName name="_____dy1_2_4" hidden="1">{"Input_Fin",#N/A,FALSE,"By Code";"Input_Opt",#N/A,FALSE,"By Code"}</definedName>
    <definedName name="_____dy1_2_5" hidden="1">{"Input_Fin",#N/A,FALSE,"By Code";"Input_Opt",#N/A,FALSE,"By Code"}</definedName>
    <definedName name="_____dy1_3" hidden="1">{"Input_Fin",#N/A,FALSE,"By Code";"Input_Opt",#N/A,FALSE,"By Code"}</definedName>
    <definedName name="_____dy1_3_1" hidden="1">{"Input_Fin",#N/A,FALSE,"By Code";"Input_Opt",#N/A,FALSE,"By Code"}</definedName>
    <definedName name="_____dy1_3_1_1" hidden="1">{"Input_Fin",#N/A,FALSE,"By Code";"Input_Opt",#N/A,FALSE,"By Code"}</definedName>
    <definedName name="_____dy1_3_1_1_1" hidden="1">{"Input_Fin",#N/A,FALSE,"By Code";"Input_Opt",#N/A,FALSE,"By Code"}</definedName>
    <definedName name="_____dy1_3_1_1_2" hidden="1">{"Input_Fin",#N/A,FALSE,"By Code";"Input_Opt",#N/A,FALSE,"By Code"}</definedName>
    <definedName name="_____dy1_3_1_1_3" hidden="1">{"Input_Fin",#N/A,FALSE,"By Code";"Input_Opt",#N/A,FALSE,"By Code"}</definedName>
    <definedName name="_____dy1_3_1_2" hidden="1">{"Input_Fin",#N/A,FALSE,"By Code";"Input_Opt",#N/A,FALSE,"By Code"}</definedName>
    <definedName name="_____dy1_3_1_2_1" hidden="1">{"Input_Fin",#N/A,FALSE,"By Code";"Input_Opt",#N/A,FALSE,"By Code"}</definedName>
    <definedName name="_____dy1_3_1_2_2" hidden="1">{"Input_Fin",#N/A,FALSE,"By Code";"Input_Opt",#N/A,FALSE,"By Code"}</definedName>
    <definedName name="_____dy1_3_1_3" hidden="1">{"Input_Fin",#N/A,FALSE,"By Code";"Input_Opt",#N/A,FALSE,"By Code"}</definedName>
    <definedName name="_____dy1_3_1_4" hidden="1">{"Input_Fin",#N/A,FALSE,"By Code";"Input_Opt",#N/A,FALSE,"By Code"}</definedName>
    <definedName name="_____dy1_3_2" hidden="1">{"Input_Fin",#N/A,FALSE,"By Code";"Input_Opt",#N/A,FALSE,"By Code"}</definedName>
    <definedName name="_____dy1_3_2_1" hidden="1">{"Input_Fin",#N/A,FALSE,"By Code";"Input_Opt",#N/A,FALSE,"By Code"}</definedName>
    <definedName name="_____dy1_3_2_2" hidden="1">{"Input_Fin",#N/A,FALSE,"By Code";"Input_Opt",#N/A,FALSE,"By Code"}</definedName>
    <definedName name="_____dy1_3_2_3" hidden="1">{"Input_Fin",#N/A,FALSE,"By Code";"Input_Opt",#N/A,FALSE,"By Code"}</definedName>
    <definedName name="_____dy1_3_3" hidden="1">{"Input_Fin",#N/A,FALSE,"By Code";"Input_Opt",#N/A,FALSE,"By Code"}</definedName>
    <definedName name="_____dy1_3_3_1" hidden="1">{"Input_Fin",#N/A,FALSE,"By Code";"Input_Opt",#N/A,FALSE,"By Code"}</definedName>
    <definedName name="_____dy1_3_3_2" hidden="1">{"Input_Fin",#N/A,FALSE,"By Code";"Input_Opt",#N/A,FALSE,"By Code"}</definedName>
    <definedName name="_____dy1_3_4" hidden="1">{"Input_Fin",#N/A,FALSE,"By Code";"Input_Opt",#N/A,FALSE,"By Code"}</definedName>
    <definedName name="_____dy1_3_5" hidden="1">{"Input_Fin",#N/A,FALSE,"By Code";"Input_Opt",#N/A,FALSE,"By Code"}</definedName>
    <definedName name="_____dy1_4" hidden="1">{"Input_Fin",#N/A,FALSE,"By Code";"Input_Opt",#N/A,FALSE,"By Code"}</definedName>
    <definedName name="_____dy1_4_1" hidden="1">{"Input_Fin",#N/A,FALSE,"By Code";"Input_Opt",#N/A,FALSE,"By Code"}</definedName>
    <definedName name="_____dy1_4_1_1" hidden="1">{"Input_Fin",#N/A,FALSE,"By Code";"Input_Opt",#N/A,FALSE,"By Code"}</definedName>
    <definedName name="_____dy1_4_1_1_1" hidden="1">{"Input_Fin",#N/A,FALSE,"By Code";"Input_Opt",#N/A,FALSE,"By Code"}</definedName>
    <definedName name="_____dy1_4_1_1_2" hidden="1">{"Input_Fin",#N/A,FALSE,"By Code";"Input_Opt",#N/A,FALSE,"By Code"}</definedName>
    <definedName name="_____dy1_4_1_1_3" hidden="1">{"Input_Fin",#N/A,FALSE,"By Code";"Input_Opt",#N/A,FALSE,"By Code"}</definedName>
    <definedName name="_____dy1_4_1_2" hidden="1">{"Input_Fin",#N/A,FALSE,"By Code";"Input_Opt",#N/A,FALSE,"By Code"}</definedName>
    <definedName name="_____dy1_4_1_2_1" hidden="1">{"Input_Fin",#N/A,FALSE,"By Code";"Input_Opt",#N/A,FALSE,"By Code"}</definedName>
    <definedName name="_____dy1_4_1_2_2" hidden="1">{"Input_Fin",#N/A,FALSE,"By Code";"Input_Opt",#N/A,FALSE,"By Code"}</definedName>
    <definedName name="_____dy1_4_1_3" hidden="1">{"Input_Fin",#N/A,FALSE,"By Code";"Input_Opt",#N/A,FALSE,"By Code"}</definedName>
    <definedName name="_____dy1_4_1_4" hidden="1">{"Input_Fin",#N/A,FALSE,"By Code";"Input_Opt",#N/A,FALSE,"By Code"}</definedName>
    <definedName name="_____dy1_4_2" hidden="1">{"Input_Fin",#N/A,FALSE,"By Code";"Input_Opt",#N/A,FALSE,"By Code"}</definedName>
    <definedName name="_____dy1_4_2_1" hidden="1">{"Input_Fin",#N/A,FALSE,"By Code";"Input_Opt",#N/A,FALSE,"By Code"}</definedName>
    <definedName name="_____dy1_4_2_2" hidden="1">{"Input_Fin",#N/A,FALSE,"By Code";"Input_Opt",#N/A,FALSE,"By Code"}</definedName>
    <definedName name="_____dy1_4_2_3" hidden="1">{"Input_Fin",#N/A,FALSE,"By Code";"Input_Opt",#N/A,FALSE,"By Code"}</definedName>
    <definedName name="_____dy1_4_3" hidden="1">{"Input_Fin",#N/A,FALSE,"By Code";"Input_Opt",#N/A,FALSE,"By Code"}</definedName>
    <definedName name="_____dy1_4_3_1" hidden="1">{"Input_Fin",#N/A,FALSE,"By Code";"Input_Opt",#N/A,FALSE,"By Code"}</definedName>
    <definedName name="_____dy1_4_3_2" hidden="1">{"Input_Fin",#N/A,FALSE,"By Code";"Input_Opt",#N/A,FALSE,"By Code"}</definedName>
    <definedName name="_____dy1_4_4" hidden="1">{"Input_Fin",#N/A,FALSE,"By Code";"Input_Opt",#N/A,FALSE,"By Code"}</definedName>
    <definedName name="_____dy1_4_5" hidden="1">{"Input_Fin",#N/A,FALSE,"By Code";"Input_Opt",#N/A,FALSE,"By Code"}</definedName>
    <definedName name="_____dy1_5" hidden="1">{"Input_Fin",#N/A,FALSE,"By Code";"Input_Opt",#N/A,FALSE,"By Code"}</definedName>
    <definedName name="_____dy1_5_1" hidden="1">{"Input_Fin",#N/A,FALSE,"By Code";"Input_Opt",#N/A,FALSE,"By Code"}</definedName>
    <definedName name="_____dy1_5_1_1" hidden="1">{"Input_Fin",#N/A,FALSE,"By Code";"Input_Opt",#N/A,FALSE,"By Code"}</definedName>
    <definedName name="_____dy1_5_1_1_1" hidden="1">{"Input_Fin",#N/A,FALSE,"By Code";"Input_Opt",#N/A,FALSE,"By Code"}</definedName>
    <definedName name="_____dy1_5_1_1_2" hidden="1">{"Input_Fin",#N/A,FALSE,"By Code";"Input_Opt",#N/A,FALSE,"By Code"}</definedName>
    <definedName name="_____dy1_5_1_1_3" hidden="1">{"Input_Fin",#N/A,FALSE,"By Code";"Input_Opt",#N/A,FALSE,"By Code"}</definedName>
    <definedName name="_____dy1_5_1_2" hidden="1">{"Input_Fin",#N/A,FALSE,"By Code";"Input_Opt",#N/A,FALSE,"By Code"}</definedName>
    <definedName name="_____dy1_5_1_2_1" hidden="1">{"Input_Fin",#N/A,FALSE,"By Code";"Input_Opt",#N/A,FALSE,"By Code"}</definedName>
    <definedName name="_____dy1_5_1_2_2" hidden="1">{"Input_Fin",#N/A,FALSE,"By Code";"Input_Opt",#N/A,FALSE,"By Code"}</definedName>
    <definedName name="_____dy1_5_1_3" hidden="1">{"Input_Fin",#N/A,FALSE,"By Code";"Input_Opt",#N/A,FALSE,"By Code"}</definedName>
    <definedName name="_____dy1_5_1_4" hidden="1">{"Input_Fin",#N/A,FALSE,"By Code";"Input_Opt",#N/A,FALSE,"By Code"}</definedName>
    <definedName name="_____dy1_5_2" hidden="1">{"Input_Fin",#N/A,FALSE,"By Code";"Input_Opt",#N/A,FALSE,"By Code"}</definedName>
    <definedName name="_____dy1_5_2_1" hidden="1">{"Input_Fin",#N/A,FALSE,"By Code";"Input_Opt",#N/A,FALSE,"By Code"}</definedName>
    <definedName name="_____dy1_5_2_2" hidden="1">{"Input_Fin",#N/A,FALSE,"By Code";"Input_Opt",#N/A,FALSE,"By Code"}</definedName>
    <definedName name="_____dy1_5_2_3" hidden="1">{"Input_Fin",#N/A,FALSE,"By Code";"Input_Opt",#N/A,FALSE,"By Code"}</definedName>
    <definedName name="_____dy1_5_3" hidden="1">{"Input_Fin",#N/A,FALSE,"By Code";"Input_Opt",#N/A,FALSE,"By Code"}</definedName>
    <definedName name="_____dy1_5_3_1" hidden="1">{"Input_Fin",#N/A,FALSE,"By Code";"Input_Opt",#N/A,FALSE,"By Code"}</definedName>
    <definedName name="_____dy1_5_3_2" hidden="1">{"Input_Fin",#N/A,FALSE,"By Code";"Input_Opt",#N/A,FALSE,"By Code"}</definedName>
    <definedName name="_____dy1_5_4" hidden="1">{"Input_Fin",#N/A,FALSE,"By Code";"Input_Opt",#N/A,FALSE,"By Code"}</definedName>
    <definedName name="_____dy1_5_5" hidden="1">{"Input_Fin",#N/A,FALSE,"By Code";"Input_Opt",#N/A,FALSE,"By Code"}</definedName>
    <definedName name="_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5" localSheetId="12" hidden="1">{"Input_Fin",#N/A,FALSE,"By Code";"Input_Opt",#N/A,FALSE,"By Code"}</definedName>
    <definedName name="_____dy5" hidden="1">{"Input_Fin",#N/A,FALSE,"By Code";"Input_Opt",#N/A,FALSE,"By Code"}</definedName>
    <definedName name="_____dy5_1" hidden="1">{"Input_Fin",#N/A,FALSE,"By Code";"Input_Opt",#N/A,FALSE,"By Code"}</definedName>
    <definedName name="_____dy5_1_1" hidden="1">{"Input_Fin",#N/A,FALSE,"By Code";"Input_Opt",#N/A,FALSE,"By Code"}</definedName>
    <definedName name="_____dy5_1_1_1" hidden="1">{"Input_Fin",#N/A,FALSE,"By Code";"Input_Opt",#N/A,FALSE,"By Code"}</definedName>
    <definedName name="_____dy5_1_1_1_1" hidden="1">{"Input_Fin",#N/A,FALSE,"By Code";"Input_Opt",#N/A,FALSE,"By Code"}</definedName>
    <definedName name="_____dy5_1_1_1_1_1" hidden="1">{"Input_Fin",#N/A,FALSE,"By Code";"Input_Opt",#N/A,FALSE,"By Code"}</definedName>
    <definedName name="_____dy5_1_1_1_1_2" hidden="1">{"Input_Fin",#N/A,FALSE,"By Code";"Input_Opt",#N/A,FALSE,"By Code"}</definedName>
    <definedName name="_____dy5_1_1_1_1_3" hidden="1">{"Input_Fin",#N/A,FALSE,"By Code";"Input_Opt",#N/A,FALSE,"By Code"}</definedName>
    <definedName name="_____dy5_1_1_1_2" hidden="1">{"Input_Fin",#N/A,FALSE,"By Code";"Input_Opt",#N/A,FALSE,"By Code"}</definedName>
    <definedName name="_____dy5_1_1_1_2_1" hidden="1">{"Input_Fin",#N/A,FALSE,"By Code";"Input_Opt",#N/A,FALSE,"By Code"}</definedName>
    <definedName name="_____dy5_1_1_1_2_2" hidden="1">{"Input_Fin",#N/A,FALSE,"By Code";"Input_Opt",#N/A,FALSE,"By Code"}</definedName>
    <definedName name="_____dy5_1_1_1_3" hidden="1">{"Input_Fin",#N/A,FALSE,"By Code";"Input_Opt",#N/A,FALSE,"By Code"}</definedName>
    <definedName name="_____dy5_1_1_1_3_1" hidden="1">{"Input_Fin",#N/A,FALSE,"By Code";"Input_Opt",#N/A,FALSE,"By Code"}</definedName>
    <definedName name="_____dy5_1_1_1_3_2" hidden="1">{"Input_Fin",#N/A,FALSE,"By Code";"Input_Opt",#N/A,FALSE,"By Code"}</definedName>
    <definedName name="_____dy5_1_1_1_4" hidden="1">{"Input_Fin",#N/A,FALSE,"By Code";"Input_Opt",#N/A,FALSE,"By Code"}</definedName>
    <definedName name="_____dy5_1_1_1_5" hidden="1">{"Input_Fin",#N/A,FALSE,"By Code";"Input_Opt",#N/A,FALSE,"By Code"}</definedName>
    <definedName name="_____dy5_1_1_2" hidden="1">{"Input_Fin",#N/A,FALSE,"By Code";"Input_Opt",#N/A,FALSE,"By Code"}</definedName>
    <definedName name="_____dy5_1_1_2_1" hidden="1">{"Input_Fin",#N/A,FALSE,"By Code";"Input_Opt",#N/A,FALSE,"By Code"}</definedName>
    <definedName name="_____dy5_1_1_2_2" hidden="1">{"Input_Fin",#N/A,FALSE,"By Code";"Input_Opt",#N/A,FALSE,"By Code"}</definedName>
    <definedName name="_____dy5_1_1_2_3" hidden="1">{"Input_Fin",#N/A,FALSE,"By Code";"Input_Opt",#N/A,FALSE,"By Code"}</definedName>
    <definedName name="_____dy5_1_1_3" hidden="1">{"Input_Fin",#N/A,FALSE,"By Code";"Input_Opt",#N/A,FALSE,"By Code"}</definedName>
    <definedName name="_____dy5_1_1_3_1" hidden="1">{"Input_Fin",#N/A,FALSE,"By Code";"Input_Opt",#N/A,FALSE,"By Code"}</definedName>
    <definedName name="_____dy5_1_1_3_2" hidden="1">{"Input_Fin",#N/A,FALSE,"By Code";"Input_Opt",#N/A,FALSE,"By Code"}</definedName>
    <definedName name="_____dy5_1_1_4" hidden="1">{"Input_Fin",#N/A,FALSE,"By Code";"Input_Opt",#N/A,FALSE,"By Code"}</definedName>
    <definedName name="_____dy5_1_1_5" hidden="1">{"Input_Fin",#N/A,FALSE,"By Code";"Input_Opt",#N/A,FALSE,"By Code"}</definedName>
    <definedName name="_____dy5_1_2" hidden="1">{"Input_Fin",#N/A,FALSE,"By Code";"Input_Opt",#N/A,FALSE,"By Code"}</definedName>
    <definedName name="_____dy5_1_2_1" hidden="1">{"Input_Fin",#N/A,FALSE,"By Code";"Input_Opt",#N/A,FALSE,"By Code"}</definedName>
    <definedName name="_____dy5_1_2_2" hidden="1">{"Input_Fin",#N/A,FALSE,"By Code";"Input_Opt",#N/A,FALSE,"By Code"}</definedName>
    <definedName name="_____dy5_1_2_3" hidden="1">{"Input_Fin",#N/A,FALSE,"By Code";"Input_Opt",#N/A,FALSE,"By Code"}</definedName>
    <definedName name="_____dy5_1_3" hidden="1">{"Input_Fin",#N/A,FALSE,"By Code";"Input_Opt",#N/A,FALSE,"By Code"}</definedName>
    <definedName name="_____dy5_1_3_1" hidden="1">{"Input_Fin",#N/A,FALSE,"By Code";"Input_Opt",#N/A,FALSE,"By Code"}</definedName>
    <definedName name="_____dy5_1_3_2" hidden="1">{"Input_Fin",#N/A,FALSE,"By Code";"Input_Opt",#N/A,FALSE,"By Code"}</definedName>
    <definedName name="_____dy5_1_4" hidden="1">{"Input_Fin",#N/A,FALSE,"By Code";"Input_Opt",#N/A,FALSE,"By Code"}</definedName>
    <definedName name="_____dy5_1_5" hidden="1">{"Input_Fin",#N/A,FALSE,"By Code";"Input_Opt",#N/A,FALSE,"By Code"}</definedName>
    <definedName name="_____dy5_2" hidden="1">{"Input_Fin",#N/A,FALSE,"By Code";"Input_Opt",#N/A,FALSE,"By Code"}</definedName>
    <definedName name="_____dy5_2_1" hidden="1">{"Input_Fin",#N/A,FALSE,"By Code";"Input_Opt",#N/A,FALSE,"By Code"}</definedName>
    <definedName name="_____dy5_2_1_1" hidden="1">{"Input_Fin",#N/A,FALSE,"By Code";"Input_Opt",#N/A,FALSE,"By Code"}</definedName>
    <definedName name="_____dy5_2_1_1_1" hidden="1">{"Input_Fin",#N/A,FALSE,"By Code";"Input_Opt",#N/A,FALSE,"By Code"}</definedName>
    <definedName name="_____dy5_2_1_1_2" hidden="1">{"Input_Fin",#N/A,FALSE,"By Code";"Input_Opt",#N/A,FALSE,"By Code"}</definedName>
    <definedName name="_____dy5_2_1_1_3" hidden="1">{"Input_Fin",#N/A,FALSE,"By Code";"Input_Opt",#N/A,FALSE,"By Code"}</definedName>
    <definedName name="_____dy5_2_1_2" hidden="1">{"Input_Fin",#N/A,FALSE,"By Code";"Input_Opt",#N/A,FALSE,"By Code"}</definedName>
    <definedName name="_____dy5_2_1_2_1" hidden="1">{"Input_Fin",#N/A,FALSE,"By Code";"Input_Opt",#N/A,FALSE,"By Code"}</definedName>
    <definedName name="_____dy5_2_1_2_2" hidden="1">{"Input_Fin",#N/A,FALSE,"By Code";"Input_Opt",#N/A,FALSE,"By Code"}</definedName>
    <definedName name="_____dy5_2_1_3" hidden="1">{"Input_Fin",#N/A,FALSE,"By Code";"Input_Opt",#N/A,FALSE,"By Code"}</definedName>
    <definedName name="_____dy5_2_1_4" hidden="1">{"Input_Fin",#N/A,FALSE,"By Code";"Input_Opt",#N/A,FALSE,"By Code"}</definedName>
    <definedName name="_____dy5_2_2" hidden="1">{"Input_Fin",#N/A,FALSE,"By Code";"Input_Opt",#N/A,FALSE,"By Code"}</definedName>
    <definedName name="_____dy5_2_2_1" hidden="1">{"Input_Fin",#N/A,FALSE,"By Code";"Input_Opt",#N/A,FALSE,"By Code"}</definedName>
    <definedName name="_____dy5_2_2_2" hidden="1">{"Input_Fin",#N/A,FALSE,"By Code";"Input_Opt",#N/A,FALSE,"By Code"}</definedName>
    <definedName name="_____dy5_2_2_3" hidden="1">{"Input_Fin",#N/A,FALSE,"By Code";"Input_Opt",#N/A,FALSE,"By Code"}</definedName>
    <definedName name="_____dy5_2_3" hidden="1">{"Input_Fin",#N/A,FALSE,"By Code";"Input_Opt",#N/A,FALSE,"By Code"}</definedName>
    <definedName name="_____dy5_2_3_1" hidden="1">{"Input_Fin",#N/A,FALSE,"By Code";"Input_Opt",#N/A,FALSE,"By Code"}</definedName>
    <definedName name="_____dy5_2_3_2" hidden="1">{"Input_Fin",#N/A,FALSE,"By Code";"Input_Opt",#N/A,FALSE,"By Code"}</definedName>
    <definedName name="_____dy5_2_4" hidden="1">{"Input_Fin",#N/A,FALSE,"By Code";"Input_Opt",#N/A,FALSE,"By Code"}</definedName>
    <definedName name="_____dy5_2_5" hidden="1">{"Input_Fin",#N/A,FALSE,"By Code";"Input_Opt",#N/A,FALSE,"By Code"}</definedName>
    <definedName name="_____dy5_3" hidden="1">{"Input_Fin",#N/A,FALSE,"By Code";"Input_Opt",#N/A,FALSE,"By Code"}</definedName>
    <definedName name="_____dy5_3_1" hidden="1">{"Input_Fin",#N/A,FALSE,"By Code";"Input_Opt",#N/A,FALSE,"By Code"}</definedName>
    <definedName name="_____dy5_3_1_1" hidden="1">{"Input_Fin",#N/A,FALSE,"By Code";"Input_Opt",#N/A,FALSE,"By Code"}</definedName>
    <definedName name="_____dy5_3_1_1_1" hidden="1">{"Input_Fin",#N/A,FALSE,"By Code";"Input_Opt",#N/A,FALSE,"By Code"}</definedName>
    <definedName name="_____dy5_3_1_1_2" hidden="1">{"Input_Fin",#N/A,FALSE,"By Code";"Input_Opt",#N/A,FALSE,"By Code"}</definedName>
    <definedName name="_____dy5_3_1_1_3" hidden="1">{"Input_Fin",#N/A,FALSE,"By Code";"Input_Opt",#N/A,FALSE,"By Code"}</definedName>
    <definedName name="_____dy5_3_1_2" hidden="1">{"Input_Fin",#N/A,FALSE,"By Code";"Input_Opt",#N/A,FALSE,"By Code"}</definedName>
    <definedName name="_____dy5_3_1_2_1" hidden="1">{"Input_Fin",#N/A,FALSE,"By Code";"Input_Opt",#N/A,FALSE,"By Code"}</definedName>
    <definedName name="_____dy5_3_1_2_2" hidden="1">{"Input_Fin",#N/A,FALSE,"By Code";"Input_Opt",#N/A,FALSE,"By Code"}</definedName>
    <definedName name="_____dy5_3_1_3" hidden="1">{"Input_Fin",#N/A,FALSE,"By Code";"Input_Opt",#N/A,FALSE,"By Code"}</definedName>
    <definedName name="_____dy5_3_1_4" hidden="1">{"Input_Fin",#N/A,FALSE,"By Code";"Input_Opt",#N/A,FALSE,"By Code"}</definedName>
    <definedName name="_____dy5_3_2" hidden="1">{"Input_Fin",#N/A,FALSE,"By Code";"Input_Opt",#N/A,FALSE,"By Code"}</definedName>
    <definedName name="_____dy5_3_2_1" hidden="1">{"Input_Fin",#N/A,FALSE,"By Code";"Input_Opt",#N/A,FALSE,"By Code"}</definedName>
    <definedName name="_____dy5_3_2_2" hidden="1">{"Input_Fin",#N/A,FALSE,"By Code";"Input_Opt",#N/A,FALSE,"By Code"}</definedName>
    <definedName name="_____dy5_3_2_3" hidden="1">{"Input_Fin",#N/A,FALSE,"By Code";"Input_Opt",#N/A,FALSE,"By Code"}</definedName>
    <definedName name="_____dy5_3_3" hidden="1">{"Input_Fin",#N/A,FALSE,"By Code";"Input_Opt",#N/A,FALSE,"By Code"}</definedName>
    <definedName name="_____dy5_3_3_1" hidden="1">{"Input_Fin",#N/A,FALSE,"By Code";"Input_Opt",#N/A,FALSE,"By Code"}</definedName>
    <definedName name="_____dy5_3_3_2" hidden="1">{"Input_Fin",#N/A,FALSE,"By Code";"Input_Opt",#N/A,FALSE,"By Code"}</definedName>
    <definedName name="_____dy5_3_4" hidden="1">{"Input_Fin",#N/A,FALSE,"By Code";"Input_Opt",#N/A,FALSE,"By Code"}</definedName>
    <definedName name="_____dy5_3_5" hidden="1">{"Input_Fin",#N/A,FALSE,"By Code";"Input_Opt",#N/A,FALSE,"By Code"}</definedName>
    <definedName name="_____dy5_4" hidden="1">{"Input_Fin",#N/A,FALSE,"By Code";"Input_Opt",#N/A,FALSE,"By Code"}</definedName>
    <definedName name="_____dy5_4_1" hidden="1">{"Input_Fin",#N/A,FALSE,"By Code";"Input_Opt",#N/A,FALSE,"By Code"}</definedName>
    <definedName name="_____dy5_4_1_1" hidden="1">{"Input_Fin",#N/A,FALSE,"By Code";"Input_Opt",#N/A,FALSE,"By Code"}</definedName>
    <definedName name="_____dy5_4_1_1_1" hidden="1">{"Input_Fin",#N/A,FALSE,"By Code";"Input_Opt",#N/A,FALSE,"By Code"}</definedName>
    <definedName name="_____dy5_4_1_1_2" hidden="1">{"Input_Fin",#N/A,FALSE,"By Code";"Input_Opt",#N/A,FALSE,"By Code"}</definedName>
    <definedName name="_____dy5_4_1_1_3" hidden="1">{"Input_Fin",#N/A,FALSE,"By Code";"Input_Opt",#N/A,FALSE,"By Code"}</definedName>
    <definedName name="_____dy5_4_1_2" hidden="1">{"Input_Fin",#N/A,FALSE,"By Code";"Input_Opt",#N/A,FALSE,"By Code"}</definedName>
    <definedName name="_____dy5_4_1_2_1" hidden="1">{"Input_Fin",#N/A,FALSE,"By Code";"Input_Opt",#N/A,FALSE,"By Code"}</definedName>
    <definedName name="_____dy5_4_1_2_2" hidden="1">{"Input_Fin",#N/A,FALSE,"By Code";"Input_Opt",#N/A,FALSE,"By Code"}</definedName>
    <definedName name="_____dy5_4_1_3" hidden="1">{"Input_Fin",#N/A,FALSE,"By Code";"Input_Opt",#N/A,FALSE,"By Code"}</definedName>
    <definedName name="_____dy5_4_1_4" hidden="1">{"Input_Fin",#N/A,FALSE,"By Code";"Input_Opt",#N/A,FALSE,"By Code"}</definedName>
    <definedName name="_____dy5_4_2" hidden="1">{"Input_Fin",#N/A,FALSE,"By Code";"Input_Opt",#N/A,FALSE,"By Code"}</definedName>
    <definedName name="_____dy5_4_2_1" hidden="1">{"Input_Fin",#N/A,FALSE,"By Code";"Input_Opt",#N/A,FALSE,"By Code"}</definedName>
    <definedName name="_____dy5_4_2_2" hidden="1">{"Input_Fin",#N/A,FALSE,"By Code";"Input_Opt",#N/A,FALSE,"By Code"}</definedName>
    <definedName name="_____dy5_4_2_3" hidden="1">{"Input_Fin",#N/A,FALSE,"By Code";"Input_Opt",#N/A,FALSE,"By Code"}</definedName>
    <definedName name="_____dy5_4_3" hidden="1">{"Input_Fin",#N/A,FALSE,"By Code";"Input_Opt",#N/A,FALSE,"By Code"}</definedName>
    <definedName name="_____dy5_4_3_1" hidden="1">{"Input_Fin",#N/A,FALSE,"By Code";"Input_Opt",#N/A,FALSE,"By Code"}</definedName>
    <definedName name="_____dy5_4_3_2" hidden="1">{"Input_Fin",#N/A,FALSE,"By Code";"Input_Opt",#N/A,FALSE,"By Code"}</definedName>
    <definedName name="_____dy5_4_4" hidden="1">{"Input_Fin",#N/A,FALSE,"By Code";"Input_Opt",#N/A,FALSE,"By Code"}</definedName>
    <definedName name="_____dy5_4_5" hidden="1">{"Input_Fin",#N/A,FALSE,"By Code";"Input_Opt",#N/A,FALSE,"By Code"}</definedName>
    <definedName name="_____dy5_5" hidden="1">{"Input_Fin",#N/A,FALSE,"By Code";"Input_Opt",#N/A,FALSE,"By Code"}</definedName>
    <definedName name="_____dy5_5_1" hidden="1">{"Input_Fin",#N/A,FALSE,"By Code";"Input_Opt",#N/A,FALSE,"By Code"}</definedName>
    <definedName name="_____dy5_5_1_1" hidden="1">{"Input_Fin",#N/A,FALSE,"By Code";"Input_Opt",#N/A,FALSE,"By Code"}</definedName>
    <definedName name="_____dy5_5_1_1_1" hidden="1">{"Input_Fin",#N/A,FALSE,"By Code";"Input_Opt",#N/A,FALSE,"By Code"}</definedName>
    <definedName name="_____dy5_5_1_1_2" hidden="1">{"Input_Fin",#N/A,FALSE,"By Code";"Input_Opt",#N/A,FALSE,"By Code"}</definedName>
    <definedName name="_____dy5_5_1_1_3" hidden="1">{"Input_Fin",#N/A,FALSE,"By Code";"Input_Opt",#N/A,FALSE,"By Code"}</definedName>
    <definedName name="_____dy5_5_1_2" hidden="1">{"Input_Fin",#N/A,FALSE,"By Code";"Input_Opt",#N/A,FALSE,"By Code"}</definedName>
    <definedName name="_____dy5_5_1_2_1" hidden="1">{"Input_Fin",#N/A,FALSE,"By Code";"Input_Opt",#N/A,FALSE,"By Code"}</definedName>
    <definedName name="_____dy5_5_1_2_2" hidden="1">{"Input_Fin",#N/A,FALSE,"By Code";"Input_Opt",#N/A,FALSE,"By Code"}</definedName>
    <definedName name="_____dy5_5_1_3" hidden="1">{"Input_Fin",#N/A,FALSE,"By Code";"Input_Opt",#N/A,FALSE,"By Code"}</definedName>
    <definedName name="_____dy5_5_1_4" hidden="1">{"Input_Fin",#N/A,FALSE,"By Code";"Input_Opt",#N/A,FALSE,"By Code"}</definedName>
    <definedName name="_____dy5_5_2" hidden="1">{"Input_Fin",#N/A,FALSE,"By Code";"Input_Opt",#N/A,FALSE,"By Code"}</definedName>
    <definedName name="_____dy5_5_2_1" hidden="1">{"Input_Fin",#N/A,FALSE,"By Code";"Input_Opt",#N/A,FALSE,"By Code"}</definedName>
    <definedName name="_____dy5_5_2_2" hidden="1">{"Input_Fin",#N/A,FALSE,"By Code";"Input_Opt",#N/A,FALSE,"By Code"}</definedName>
    <definedName name="_____dy5_5_2_3" hidden="1">{"Input_Fin",#N/A,FALSE,"By Code";"Input_Opt",#N/A,FALSE,"By Code"}</definedName>
    <definedName name="_____dy5_5_3" hidden="1">{"Input_Fin",#N/A,FALSE,"By Code";"Input_Opt",#N/A,FALSE,"By Code"}</definedName>
    <definedName name="_____dy5_5_3_1" hidden="1">{"Input_Fin",#N/A,FALSE,"By Code";"Input_Opt",#N/A,FALSE,"By Code"}</definedName>
    <definedName name="_____dy5_5_3_2" hidden="1">{"Input_Fin",#N/A,FALSE,"By Code";"Input_Opt",#N/A,FALSE,"By Code"}</definedName>
    <definedName name="_____dy5_5_4" hidden="1">{"Input_Fin",#N/A,FALSE,"By Code";"Input_Opt",#N/A,FALSE,"By Code"}</definedName>
    <definedName name="_____dy5_5_5" hidden="1">{"Input_Fin",#N/A,FALSE,"By Code";"Input_Opt",#N/A,FALSE,"By Code"}</definedName>
    <definedName name="_____dy6" localSheetId="12" hidden="1">{"Input_Fin",#N/A,FALSE,"By Code";"Input_Opt",#N/A,FALSE,"By Code"}</definedName>
    <definedName name="_____dy6" hidden="1">{"Input_Fin",#N/A,FALSE,"By Code";"Input_Opt",#N/A,FALSE,"By Code"}</definedName>
    <definedName name="_____dy6_1" hidden="1">{"Input_Fin",#N/A,FALSE,"By Code";"Input_Opt",#N/A,FALSE,"By Code"}</definedName>
    <definedName name="_____dy6_1_1" hidden="1">{"Input_Fin",#N/A,FALSE,"By Code";"Input_Opt",#N/A,FALSE,"By Code"}</definedName>
    <definedName name="_____dy6_1_1_1" hidden="1">{"Input_Fin",#N/A,FALSE,"By Code";"Input_Opt",#N/A,FALSE,"By Code"}</definedName>
    <definedName name="_____dy6_1_1_1_1" hidden="1">{"Input_Fin",#N/A,FALSE,"By Code";"Input_Opt",#N/A,FALSE,"By Code"}</definedName>
    <definedName name="_____dy6_1_1_1_1_1" hidden="1">{"Input_Fin",#N/A,FALSE,"By Code";"Input_Opt",#N/A,FALSE,"By Code"}</definedName>
    <definedName name="_____dy6_1_1_1_1_2" hidden="1">{"Input_Fin",#N/A,FALSE,"By Code";"Input_Opt",#N/A,FALSE,"By Code"}</definedName>
    <definedName name="_____dy6_1_1_1_1_3" hidden="1">{"Input_Fin",#N/A,FALSE,"By Code";"Input_Opt",#N/A,FALSE,"By Code"}</definedName>
    <definedName name="_____dy6_1_1_1_2" hidden="1">{"Input_Fin",#N/A,FALSE,"By Code";"Input_Opt",#N/A,FALSE,"By Code"}</definedName>
    <definedName name="_____dy6_1_1_1_2_1" hidden="1">{"Input_Fin",#N/A,FALSE,"By Code";"Input_Opt",#N/A,FALSE,"By Code"}</definedName>
    <definedName name="_____dy6_1_1_1_2_2" hidden="1">{"Input_Fin",#N/A,FALSE,"By Code";"Input_Opt",#N/A,FALSE,"By Code"}</definedName>
    <definedName name="_____dy6_1_1_1_3" hidden="1">{"Input_Fin",#N/A,FALSE,"By Code";"Input_Opt",#N/A,FALSE,"By Code"}</definedName>
    <definedName name="_____dy6_1_1_1_3_1" hidden="1">{"Input_Fin",#N/A,FALSE,"By Code";"Input_Opt",#N/A,FALSE,"By Code"}</definedName>
    <definedName name="_____dy6_1_1_1_3_2" hidden="1">{"Input_Fin",#N/A,FALSE,"By Code";"Input_Opt",#N/A,FALSE,"By Code"}</definedName>
    <definedName name="_____dy6_1_1_1_4" hidden="1">{"Input_Fin",#N/A,FALSE,"By Code";"Input_Opt",#N/A,FALSE,"By Code"}</definedName>
    <definedName name="_____dy6_1_1_1_5" hidden="1">{"Input_Fin",#N/A,FALSE,"By Code";"Input_Opt",#N/A,FALSE,"By Code"}</definedName>
    <definedName name="_____dy6_1_1_2" hidden="1">{"Input_Fin",#N/A,FALSE,"By Code";"Input_Opt",#N/A,FALSE,"By Code"}</definedName>
    <definedName name="_____dy6_1_1_2_1" hidden="1">{"Input_Fin",#N/A,FALSE,"By Code";"Input_Opt",#N/A,FALSE,"By Code"}</definedName>
    <definedName name="_____dy6_1_1_2_2" hidden="1">{"Input_Fin",#N/A,FALSE,"By Code";"Input_Opt",#N/A,FALSE,"By Code"}</definedName>
    <definedName name="_____dy6_1_1_2_3" hidden="1">{"Input_Fin",#N/A,FALSE,"By Code";"Input_Opt",#N/A,FALSE,"By Code"}</definedName>
    <definedName name="_____dy6_1_1_3" hidden="1">{"Input_Fin",#N/A,FALSE,"By Code";"Input_Opt",#N/A,FALSE,"By Code"}</definedName>
    <definedName name="_____dy6_1_1_3_1" hidden="1">{"Input_Fin",#N/A,FALSE,"By Code";"Input_Opt",#N/A,FALSE,"By Code"}</definedName>
    <definedName name="_____dy6_1_1_3_2" hidden="1">{"Input_Fin",#N/A,FALSE,"By Code";"Input_Opt",#N/A,FALSE,"By Code"}</definedName>
    <definedName name="_____dy6_1_1_4" hidden="1">{"Input_Fin",#N/A,FALSE,"By Code";"Input_Opt",#N/A,FALSE,"By Code"}</definedName>
    <definedName name="_____dy6_1_1_5" hidden="1">{"Input_Fin",#N/A,FALSE,"By Code";"Input_Opt",#N/A,FALSE,"By Code"}</definedName>
    <definedName name="_____dy6_1_2" hidden="1">{"Input_Fin",#N/A,FALSE,"By Code";"Input_Opt",#N/A,FALSE,"By Code"}</definedName>
    <definedName name="_____dy6_1_2_1" hidden="1">{"Input_Fin",#N/A,FALSE,"By Code";"Input_Opt",#N/A,FALSE,"By Code"}</definedName>
    <definedName name="_____dy6_1_2_2" hidden="1">{"Input_Fin",#N/A,FALSE,"By Code";"Input_Opt",#N/A,FALSE,"By Code"}</definedName>
    <definedName name="_____dy6_1_2_3" hidden="1">{"Input_Fin",#N/A,FALSE,"By Code";"Input_Opt",#N/A,FALSE,"By Code"}</definedName>
    <definedName name="_____dy6_1_3" hidden="1">{"Input_Fin",#N/A,FALSE,"By Code";"Input_Opt",#N/A,FALSE,"By Code"}</definedName>
    <definedName name="_____dy6_1_3_1" hidden="1">{"Input_Fin",#N/A,FALSE,"By Code";"Input_Opt",#N/A,FALSE,"By Code"}</definedName>
    <definedName name="_____dy6_1_3_2" hidden="1">{"Input_Fin",#N/A,FALSE,"By Code";"Input_Opt",#N/A,FALSE,"By Code"}</definedName>
    <definedName name="_____dy6_1_4" hidden="1">{"Input_Fin",#N/A,FALSE,"By Code";"Input_Opt",#N/A,FALSE,"By Code"}</definedName>
    <definedName name="_____dy6_1_5" hidden="1">{"Input_Fin",#N/A,FALSE,"By Code";"Input_Opt",#N/A,FALSE,"By Code"}</definedName>
    <definedName name="_____dy6_2" hidden="1">{"Input_Fin",#N/A,FALSE,"By Code";"Input_Opt",#N/A,FALSE,"By Code"}</definedName>
    <definedName name="_____dy6_2_1" hidden="1">{"Input_Fin",#N/A,FALSE,"By Code";"Input_Opt",#N/A,FALSE,"By Code"}</definedName>
    <definedName name="_____dy6_2_1_1" hidden="1">{"Input_Fin",#N/A,FALSE,"By Code";"Input_Opt",#N/A,FALSE,"By Code"}</definedName>
    <definedName name="_____dy6_2_1_1_1" hidden="1">{"Input_Fin",#N/A,FALSE,"By Code";"Input_Opt",#N/A,FALSE,"By Code"}</definedName>
    <definedName name="_____dy6_2_1_1_2" hidden="1">{"Input_Fin",#N/A,FALSE,"By Code";"Input_Opt",#N/A,FALSE,"By Code"}</definedName>
    <definedName name="_____dy6_2_1_1_3" hidden="1">{"Input_Fin",#N/A,FALSE,"By Code";"Input_Opt",#N/A,FALSE,"By Code"}</definedName>
    <definedName name="_____dy6_2_1_2" hidden="1">{"Input_Fin",#N/A,FALSE,"By Code";"Input_Opt",#N/A,FALSE,"By Code"}</definedName>
    <definedName name="_____dy6_2_1_2_1" hidden="1">{"Input_Fin",#N/A,FALSE,"By Code";"Input_Opt",#N/A,FALSE,"By Code"}</definedName>
    <definedName name="_____dy6_2_1_2_2" hidden="1">{"Input_Fin",#N/A,FALSE,"By Code";"Input_Opt",#N/A,FALSE,"By Code"}</definedName>
    <definedName name="_____dy6_2_1_3" hidden="1">{"Input_Fin",#N/A,FALSE,"By Code";"Input_Opt",#N/A,FALSE,"By Code"}</definedName>
    <definedName name="_____dy6_2_1_4" hidden="1">{"Input_Fin",#N/A,FALSE,"By Code";"Input_Opt",#N/A,FALSE,"By Code"}</definedName>
    <definedName name="_____dy6_2_2" hidden="1">{"Input_Fin",#N/A,FALSE,"By Code";"Input_Opt",#N/A,FALSE,"By Code"}</definedName>
    <definedName name="_____dy6_2_2_1" hidden="1">{"Input_Fin",#N/A,FALSE,"By Code";"Input_Opt",#N/A,FALSE,"By Code"}</definedName>
    <definedName name="_____dy6_2_2_2" hidden="1">{"Input_Fin",#N/A,FALSE,"By Code";"Input_Opt",#N/A,FALSE,"By Code"}</definedName>
    <definedName name="_____dy6_2_2_3" hidden="1">{"Input_Fin",#N/A,FALSE,"By Code";"Input_Opt",#N/A,FALSE,"By Code"}</definedName>
    <definedName name="_____dy6_2_3" hidden="1">{"Input_Fin",#N/A,FALSE,"By Code";"Input_Opt",#N/A,FALSE,"By Code"}</definedName>
    <definedName name="_____dy6_2_3_1" hidden="1">{"Input_Fin",#N/A,FALSE,"By Code";"Input_Opt",#N/A,FALSE,"By Code"}</definedName>
    <definedName name="_____dy6_2_3_2" hidden="1">{"Input_Fin",#N/A,FALSE,"By Code";"Input_Opt",#N/A,FALSE,"By Code"}</definedName>
    <definedName name="_____dy6_2_4" hidden="1">{"Input_Fin",#N/A,FALSE,"By Code";"Input_Opt",#N/A,FALSE,"By Code"}</definedName>
    <definedName name="_____dy6_2_5" hidden="1">{"Input_Fin",#N/A,FALSE,"By Code";"Input_Opt",#N/A,FALSE,"By Code"}</definedName>
    <definedName name="_____dy6_3" hidden="1">{"Input_Fin",#N/A,FALSE,"By Code";"Input_Opt",#N/A,FALSE,"By Code"}</definedName>
    <definedName name="_____dy6_3_1" hidden="1">{"Input_Fin",#N/A,FALSE,"By Code";"Input_Opt",#N/A,FALSE,"By Code"}</definedName>
    <definedName name="_____dy6_3_1_1" hidden="1">{"Input_Fin",#N/A,FALSE,"By Code";"Input_Opt",#N/A,FALSE,"By Code"}</definedName>
    <definedName name="_____dy6_3_1_1_1" hidden="1">{"Input_Fin",#N/A,FALSE,"By Code";"Input_Opt",#N/A,FALSE,"By Code"}</definedName>
    <definedName name="_____dy6_3_1_1_2" hidden="1">{"Input_Fin",#N/A,FALSE,"By Code";"Input_Opt",#N/A,FALSE,"By Code"}</definedName>
    <definedName name="_____dy6_3_1_1_3" hidden="1">{"Input_Fin",#N/A,FALSE,"By Code";"Input_Opt",#N/A,FALSE,"By Code"}</definedName>
    <definedName name="_____dy6_3_1_2" hidden="1">{"Input_Fin",#N/A,FALSE,"By Code";"Input_Opt",#N/A,FALSE,"By Code"}</definedName>
    <definedName name="_____dy6_3_1_2_1" hidden="1">{"Input_Fin",#N/A,FALSE,"By Code";"Input_Opt",#N/A,FALSE,"By Code"}</definedName>
    <definedName name="_____dy6_3_1_2_2" hidden="1">{"Input_Fin",#N/A,FALSE,"By Code";"Input_Opt",#N/A,FALSE,"By Code"}</definedName>
    <definedName name="_____dy6_3_1_3" hidden="1">{"Input_Fin",#N/A,FALSE,"By Code";"Input_Opt",#N/A,FALSE,"By Code"}</definedName>
    <definedName name="_____dy6_3_1_4" hidden="1">{"Input_Fin",#N/A,FALSE,"By Code";"Input_Opt",#N/A,FALSE,"By Code"}</definedName>
    <definedName name="_____dy6_3_2" hidden="1">{"Input_Fin",#N/A,FALSE,"By Code";"Input_Opt",#N/A,FALSE,"By Code"}</definedName>
    <definedName name="_____dy6_3_2_1" hidden="1">{"Input_Fin",#N/A,FALSE,"By Code";"Input_Opt",#N/A,FALSE,"By Code"}</definedName>
    <definedName name="_____dy6_3_2_2" hidden="1">{"Input_Fin",#N/A,FALSE,"By Code";"Input_Opt",#N/A,FALSE,"By Code"}</definedName>
    <definedName name="_____dy6_3_2_3" hidden="1">{"Input_Fin",#N/A,FALSE,"By Code";"Input_Opt",#N/A,FALSE,"By Code"}</definedName>
    <definedName name="_____dy6_3_3" hidden="1">{"Input_Fin",#N/A,FALSE,"By Code";"Input_Opt",#N/A,FALSE,"By Code"}</definedName>
    <definedName name="_____dy6_3_3_1" hidden="1">{"Input_Fin",#N/A,FALSE,"By Code";"Input_Opt",#N/A,FALSE,"By Code"}</definedName>
    <definedName name="_____dy6_3_3_2" hidden="1">{"Input_Fin",#N/A,FALSE,"By Code";"Input_Opt",#N/A,FALSE,"By Code"}</definedName>
    <definedName name="_____dy6_3_4" hidden="1">{"Input_Fin",#N/A,FALSE,"By Code";"Input_Opt",#N/A,FALSE,"By Code"}</definedName>
    <definedName name="_____dy6_3_5" hidden="1">{"Input_Fin",#N/A,FALSE,"By Code";"Input_Opt",#N/A,FALSE,"By Code"}</definedName>
    <definedName name="_____dy6_4" hidden="1">{"Input_Fin",#N/A,FALSE,"By Code";"Input_Opt",#N/A,FALSE,"By Code"}</definedName>
    <definedName name="_____dy6_4_1" hidden="1">{"Input_Fin",#N/A,FALSE,"By Code";"Input_Opt",#N/A,FALSE,"By Code"}</definedName>
    <definedName name="_____dy6_4_1_1" hidden="1">{"Input_Fin",#N/A,FALSE,"By Code";"Input_Opt",#N/A,FALSE,"By Code"}</definedName>
    <definedName name="_____dy6_4_1_1_1" hidden="1">{"Input_Fin",#N/A,FALSE,"By Code";"Input_Opt",#N/A,FALSE,"By Code"}</definedName>
    <definedName name="_____dy6_4_1_1_2" hidden="1">{"Input_Fin",#N/A,FALSE,"By Code";"Input_Opt",#N/A,FALSE,"By Code"}</definedName>
    <definedName name="_____dy6_4_1_1_3" hidden="1">{"Input_Fin",#N/A,FALSE,"By Code";"Input_Opt",#N/A,FALSE,"By Code"}</definedName>
    <definedName name="_____dy6_4_1_2" hidden="1">{"Input_Fin",#N/A,FALSE,"By Code";"Input_Opt",#N/A,FALSE,"By Code"}</definedName>
    <definedName name="_____dy6_4_1_2_1" hidden="1">{"Input_Fin",#N/A,FALSE,"By Code";"Input_Opt",#N/A,FALSE,"By Code"}</definedName>
    <definedName name="_____dy6_4_1_2_2" hidden="1">{"Input_Fin",#N/A,FALSE,"By Code";"Input_Opt",#N/A,FALSE,"By Code"}</definedName>
    <definedName name="_____dy6_4_1_3" hidden="1">{"Input_Fin",#N/A,FALSE,"By Code";"Input_Opt",#N/A,FALSE,"By Code"}</definedName>
    <definedName name="_____dy6_4_1_4" hidden="1">{"Input_Fin",#N/A,FALSE,"By Code";"Input_Opt",#N/A,FALSE,"By Code"}</definedName>
    <definedName name="_____dy6_4_2" hidden="1">{"Input_Fin",#N/A,FALSE,"By Code";"Input_Opt",#N/A,FALSE,"By Code"}</definedName>
    <definedName name="_____dy6_4_2_1" hidden="1">{"Input_Fin",#N/A,FALSE,"By Code";"Input_Opt",#N/A,FALSE,"By Code"}</definedName>
    <definedName name="_____dy6_4_2_2" hidden="1">{"Input_Fin",#N/A,FALSE,"By Code";"Input_Opt",#N/A,FALSE,"By Code"}</definedName>
    <definedName name="_____dy6_4_2_3" hidden="1">{"Input_Fin",#N/A,FALSE,"By Code";"Input_Opt",#N/A,FALSE,"By Code"}</definedName>
    <definedName name="_____dy6_4_3" hidden="1">{"Input_Fin",#N/A,FALSE,"By Code";"Input_Opt",#N/A,FALSE,"By Code"}</definedName>
    <definedName name="_____dy6_4_3_1" hidden="1">{"Input_Fin",#N/A,FALSE,"By Code";"Input_Opt",#N/A,FALSE,"By Code"}</definedName>
    <definedName name="_____dy6_4_3_2" hidden="1">{"Input_Fin",#N/A,FALSE,"By Code";"Input_Opt",#N/A,FALSE,"By Code"}</definedName>
    <definedName name="_____dy6_4_4" hidden="1">{"Input_Fin",#N/A,FALSE,"By Code";"Input_Opt",#N/A,FALSE,"By Code"}</definedName>
    <definedName name="_____dy6_4_5" hidden="1">{"Input_Fin",#N/A,FALSE,"By Code";"Input_Opt",#N/A,FALSE,"By Code"}</definedName>
    <definedName name="_____dy6_5" hidden="1">{"Input_Fin",#N/A,FALSE,"By Code";"Input_Opt",#N/A,FALSE,"By Code"}</definedName>
    <definedName name="_____dy6_5_1" hidden="1">{"Input_Fin",#N/A,FALSE,"By Code";"Input_Opt",#N/A,FALSE,"By Code"}</definedName>
    <definedName name="_____dy6_5_1_1" hidden="1">{"Input_Fin",#N/A,FALSE,"By Code";"Input_Opt",#N/A,FALSE,"By Code"}</definedName>
    <definedName name="_____dy6_5_1_1_1" hidden="1">{"Input_Fin",#N/A,FALSE,"By Code";"Input_Opt",#N/A,FALSE,"By Code"}</definedName>
    <definedName name="_____dy6_5_1_1_2" hidden="1">{"Input_Fin",#N/A,FALSE,"By Code";"Input_Opt",#N/A,FALSE,"By Code"}</definedName>
    <definedName name="_____dy6_5_1_1_3" hidden="1">{"Input_Fin",#N/A,FALSE,"By Code";"Input_Opt",#N/A,FALSE,"By Code"}</definedName>
    <definedName name="_____dy6_5_1_2" hidden="1">{"Input_Fin",#N/A,FALSE,"By Code";"Input_Opt",#N/A,FALSE,"By Code"}</definedName>
    <definedName name="_____dy6_5_1_2_1" hidden="1">{"Input_Fin",#N/A,FALSE,"By Code";"Input_Opt",#N/A,FALSE,"By Code"}</definedName>
    <definedName name="_____dy6_5_1_2_2" hidden="1">{"Input_Fin",#N/A,FALSE,"By Code";"Input_Opt",#N/A,FALSE,"By Code"}</definedName>
    <definedName name="_____dy6_5_1_3" hidden="1">{"Input_Fin",#N/A,FALSE,"By Code";"Input_Opt",#N/A,FALSE,"By Code"}</definedName>
    <definedName name="_____dy6_5_1_4" hidden="1">{"Input_Fin",#N/A,FALSE,"By Code";"Input_Opt",#N/A,FALSE,"By Code"}</definedName>
    <definedName name="_____dy6_5_2" hidden="1">{"Input_Fin",#N/A,FALSE,"By Code";"Input_Opt",#N/A,FALSE,"By Code"}</definedName>
    <definedName name="_____dy6_5_2_1" hidden="1">{"Input_Fin",#N/A,FALSE,"By Code";"Input_Opt",#N/A,FALSE,"By Code"}</definedName>
    <definedName name="_____dy6_5_2_2" hidden="1">{"Input_Fin",#N/A,FALSE,"By Code";"Input_Opt",#N/A,FALSE,"By Code"}</definedName>
    <definedName name="_____dy6_5_2_3" hidden="1">{"Input_Fin",#N/A,FALSE,"By Code";"Input_Opt",#N/A,FALSE,"By Code"}</definedName>
    <definedName name="_____dy6_5_3" hidden="1">{"Input_Fin",#N/A,FALSE,"By Code";"Input_Opt",#N/A,FALSE,"By Code"}</definedName>
    <definedName name="_____dy6_5_3_1" hidden="1">{"Input_Fin",#N/A,FALSE,"By Code";"Input_Opt",#N/A,FALSE,"By Code"}</definedName>
    <definedName name="_____dy6_5_3_2" hidden="1">{"Input_Fin",#N/A,FALSE,"By Code";"Input_Opt",#N/A,FALSE,"By Code"}</definedName>
    <definedName name="_____dy6_5_4" hidden="1">{"Input_Fin",#N/A,FALSE,"By Code";"Input_Opt",#N/A,FALSE,"By Code"}</definedName>
    <definedName name="_____dy6_5_5" hidden="1">{"Input_Fin",#N/A,FALSE,"By Code";"Input_Opt",#N/A,FALSE,"By Code"}</definedName>
    <definedName name="_____dy7" hidden="1">{"Input_Fin",#N/A,FALSE,"By Code";"Input_Opt",#N/A,FALSE,"By Code"}</definedName>
    <definedName name="_____jhi44" localSheetId="12" hidden="1">{"Input_Fin",#N/A,FALSE,"By Code";"Input_Opt",#N/A,FALSE,"By Code"}</definedName>
    <definedName name="_____jhi44" hidden="1">{"Input_Fin",#N/A,FALSE,"By Code";"Input_Opt",#N/A,FALSE,"By Code"}</definedName>
    <definedName name="_____jhi44_1" hidden="1">{"Input_Fin",#N/A,FALSE,"By Code";"Input_Opt",#N/A,FALSE,"By Code"}</definedName>
    <definedName name="_____jhi44_1_1" hidden="1">{"Input_Fin",#N/A,FALSE,"By Code";"Input_Opt",#N/A,FALSE,"By Code"}</definedName>
    <definedName name="_____jhi44_1_1_1" hidden="1">{"Input_Fin",#N/A,FALSE,"By Code";"Input_Opt",#N/A,FALSE,"By Code"}</definedName>
    <definedName name="_____jhi44_1_1_1_1" hidden="1">{"Input_Fin",#N/A,FALSE,"By Code";"Input_Opt",#N/A,FALSE,"By Code"}</definedName>
    <definedName name="_____jhi44_1_1_1_1_1" hidden="1">{"Input_Fin",#N/A,FALSE,"By Code";"Input_Opt",#N/A,FALSE,"By Code"}</definedName>
    <definedName name="_____jhi44_1_1_1_1_2" hidden="1">{"Input_Fin",#N/A,FALSE,"By Code";"Input_Opt",#N/A,FALSE,"By Code"}</definedName>
    <definedName name="_____jhi44_1_1_1_1_3" hidden="1">{"Input_Fin",#N/A,FALSE,"By Code";"Input_Opt",#N/A,FALSE,"By Code"}</definedName>
    <definedName name="_____jhi44_1_1_1_2" hidden="1">{"Input_Fin",#N/A,FALSE,"By Code";"Input_Opt",#N/A,FALSE,"By Code"}</definedName>
    <definedName name="_____jhi44_1_1_1_2_1" hidden="1">{"Input_Fin",#N/A,FALSE,"By Code";"Input_Opt",#N/A,FALSE,"By Code"}</definedName>
    <definedName name="_____jhi44_1_1_1_2_2" hidden="1">{"Input_Fin",#N/A,FALSE,"By Code";"Input_Opt",#N/A,FALSE,"By Code"}</definedName>
    <definedName name="_____jhi44_1_1_1_3" hidden="1">{"Input_Fin",#N/A,FALSE,"By Code";"Input_Opt",#N/A,FALSE,"By Code"}</definedName>
    <definedName name="_____jhi44_1_1_1_3_1" hidden="1">{"Input_Fin",#N/A,FALSE,"By Code";"Input_Opt",#N/A,FALSE,"By Code"}</definedName>
    <definedName name="_____jhi44_1_1_1_3_2" hidden="1">{"Input_Fin",#N/A,FALSE,"By Code";"Input_Opt",#N/A,FALSE,"By Code"}</definedName>
    <definedName name="_____jhi44_1_1_1_4" hidden="1">{"Input_Fin",#N/A,FALSE,"By Code";"Input_Opt",#N/A,FALSE,"By Code"}</definedName>
    <definedName name="_____jhi44_1_1_1_5" hidden="1">{"Input_Fin",#N/A,FALSE,"By Code";"Input_Opt",#N/A,FALSE,"By Code"}</definedName>
    <definedName name="_____jhi44_1_1_2" hidden="1">{"Input_Fin",#N/A,FALSE,"By Code";"Input_Opt",#N/A,FALSE,"By Code"}</definedName>
    <definedName name="_____jhi44_1_1_2_1" hidden="1">{"Input_Fin",#N/A,FALSE,"By Code";"Input_Opt",#N/A,FALSE,"By Code"}</definedName>
    <definedName name="_____jhi44_1_1_2_2" hidden="1">{"Input_Fin",#N/A,FALSE,"By Code";"Input_Opt",#N/A,FALSE,"By Code"}</definedName>
    <definedName name="_____jhi44_1_1_2_3" hidden="1">{"Input_Fin",#N/A,FALSE,"By Code";"Input_Opt",#N/A,FALSE,"By Code"}</definedName>
    <definedName name="_____jhi44_1_1_3" hidden="1">{"Input_Fin",#N/A,FALSE,"By Code";"Input_Opt",#N/A,FALSE,"By Code"}</definedName>
    <definedName name="_____jhi44_1_1_3_1" hidden="1">{"Input_Fin",#N/A,FALSE,"By Code";"Input_Opt",#N/A,FALSE,"By Code"}</definedName>
    <definedName name="_____jhi44_1_1_3_2" hidden="1">{"Input_Fin",#N/A,FALSE,"By Code";"Input_Opt",#N/A,FALSE,"By Code"}</definedName>
    <definedName name="_____jhi44_1_1_4" hidden="1">{"Input_Fin",#N/A,FALSE,"By Code";"Input_Opt",#N/A,FALSE,"By Code"}</definedName>
    <definedName name="_____jhi44_1_1_5" hidden="1">{"Input_Fin",#N/A,FALSE,"By Code";"Input_Opt",#N/A,FALSE,"By Code"}</definedName>
    <definedName name="_____jhi44_1_2" hidden="1">{"Input_Fin",#N/A,FALSE,"By Code";"Input_Opt",#N/A,FALSE,"By Code"}</definedName>
    <definedName name="_____jhi44_1_2_1" hidden="1">{"Input_Fin",#N/A,FALSE,"By Code";"Input_Opt",#N/A,FALSE,"By Code"}</definedName>
    <definedName name="_____jhi44_1_2_2" hidden="1">{"Input_Fin",#N/A,FALSE,"By Code";"Input_Opt",#N/A,FALSE,"By Code"}</definedName>
    <definedName name="_____jhi44_1_2_3" hidden="1">{"Input_Fin",#N/A,FALSE,"By Code";"Input_Opt",#N/A,FALSE,"By Code"}</definedName>
    <definedName name="_____jhi44_1_3" hidden="1">{"Input_Fin",#N/A,FALSE,"By Code";"Input_Opt",#N/A,FALSE,"By Code"}</definedName>
    <definedName name="_____jhi44_1_3_1" hidden="1">{"Input_Fin",#N/A,FALSE,"By Code";"Input_Opt",#N/A,FALSE,"By Code"}</definedName>
    <definedName name="_____jhi44_1_3_2" hidden="1">{"Input_Fin",#N/A,FALSE,"By Code";"Input_Opt",#N/A,FALSE,"By Code"}</definedName>
    <definedName name="_____jhi44_1_4" hidden="1">{"Input_Fin",#N/A,FALSE,"By Code";"Input_Opt",#N/A,FALSE,"By Code"}</definedName>
    <definedName name="_____jhi44_1_5" hidden="1">{"Input_Fin",#N/A,FALSE,"By Code";"Input_Opt",#N/A,FALSE,"By Code"}</definedName>
    <definedName name="_____jhi44_2" hidden="1">{"Input_Fin",#N/A,FALSE,"By Code";"Input_Opt",#N/A,FALSE,"By Code"}</definedName>
    <definedName name="_____jhi44_2_1" hidden="1">{"Input_Fin",#N/A,FALSE,"By Code";"Input_Opt",#N/A,FALSE,"By Code"}</definedName>
    <definedName name="_____jhi44_2_1_1" hidden="1">{"Input_Fin",#N/A,FALSE,"By Code";"Input_Opt",#N/A,FALSE,"By Code"}</definedName>
    <definedName name="_____jhi44_2_1_1_1" hidden="1">{"Input_Fin",#N/A,FALSE,"By Code";"Input_Opt",#N/A,FALSE,"By Code"}</definedName>
    <definedName name="_____jhi44_2_1_1_2" hidden="1">{"Input_Fin",#N/A,FALSE,"By Code";"Input_Opt",#N/A,FALSE,"By Code"}</definedName>
    <definedName name="_____jhi44_2_1_1_3" hidden="1">{"Input_Fin",#N/A,FALSE,"By Code";"Input_Opt",#N/A,FALSE,"By Code"}</definedName>
    <definedName name="_____jhi44_2_1_2" hidden="1">{"Input_Fin",#N/A,FALSE,"By Code";"Input_Opt",#N/A,FALSE,"By Code"}</definedName>
    <definedName name="_____jhi44_2_1_2_1" hidden="1">{"Input_Fin",#N/A,FALSE,"By Code";"Input_Opt",#N/A,FALSE,"By Code"}</definedName>
    <definedName name="_____jhi44_2_1_2_2" hidden="1">{"Input_Fin",#N/A,FALSE,"By Code";"Input_Opt",#N/A,FALSE,"By Code"}</definedName>
    <definedName name="_____jhi44_2_1_3" hidden="1">{"Input_Fin",#N/A,FALSE,"By Code";"Input_Opt",#N/A,FALSE,"By Code"}</definedName>
    <definedName name="_____jhi44_2_1_4" hidden="1">{"Input_Fin",#N/A,FALSE,"By Code";"Input_Opt",#N/A,FALSE,"By Code"}</definedName>
    <definedName name="_____jhi44_2_2" hidden="1">{"Input_Fin",#N/A,FALSE,"By Code";"Input_Opt",#N/A,FALSE,"By Code"}</definedName>
    <definedName name="_____jhi44_2_2_1" hidden="1">{"Input_Fin",#N/A,FALSE,"By Code";"Input_Opt",#N/A,FALSE,"By Code"}</definedName>
    <definedName name="_____jhi44_2_2_2" hidden="1">{"Input_Fin",#N/A,FALSE,"By Code";"Input_Opt",#N/A,FALSE,"By Code"}</definedName>
    <definedName name="_____jhi44_2_2_3" hidden="1">{"Input_Fin",#N/A,FALSE,"By Code";"Input_Opt",#N/A,FALSE,"By Code"}</definedName>
    <definedName name="_____jhi44_2_3" hidden="1">{"Input_Fin",#N/A,FALSE,"By Code";"Input_Opt",#N/A,FALSE,"By Code"}</definedName>
    <definedName name="_____jhi44_2_3_1" hidden="1">{"Input_Fin",#N/A,FALSE,"By Code";"Input_Opt",#N/A,FALSE,"By Code"}</definedName>
    <definedName name="_____jhi44_2_3_2" hidden="1">{"Input_Fin",#N/A,FALSE,"By Code";"Input_Opt",#N/A,FALSE,"By Code"}</definedName>
    <definedName name="_____jhi44_2_4" hidden="1">{"Input_Fin",#N/A,FALSE,"By Code";"Input_Opt",#N/A,FALSE,"By Code"}</definedName>
    <definedName name="_____jhi44_2_5" hidden="1">{"Input_Fin",#N/A,FALSE,"By Code";"Input_Opt",#N/A,FALSE,"By Code"}</definedName>
    <definedName name="_____jhi44_3" hidden="1">{"Input_Fin",#N/A,FALSE,"By Code";"Input_Opt",#N/A,FALSE,"By Code"}</definedName>
    <definedName name="_____jhi44_3_1" hidden="1">{"Input_Fin",#N/A,FALSE,"By Code";"Input_Opt",#N/A,FALSE,"By Code"}</definedName>
    <definedName name="_____jhi44_3_1_1" hidden="1">{"Input_Fin",#N/A,FALSE,"By Code";"Input_Opt",#N/A,FALSE,"By Code"}</definedName>
    <definedName name="_____jhi44_3_1_1_1" hidden="1">{"Input_Fin",#N/A,FALSE,"By Code";"Input_Opt",#N/A,FALSE,"By Code"}</definedName>
    <definedName name="_____jhi44_3_1_1_2" hidden="1">{"Input_Fin",#N/A,FALSE,"By Code";"Input_Opt",#N/A,FALSE,"By Code"}</definedName>
    <definedName name="_____jhi44_3_1_1_3" hidden="1">{"Input_Fin",#N/A,FALSE,"By Code";"Input_Opt",#N/A,FALSE,"By Code"}</definedName>
    <definedName name="_____jhi44_3_1_2" hidden="1">{"Input_Fin",#N/A,FALSE,"By Code";"Input_Opt",#N/A,FALSE,"By Code"}</definedName>
    <definedName name="_____jhi44_3_1_2_1" hidden="1">{"Input_Fin",#N/A,FALSE,"By Code";"Input_Opt",#N/A,FALSE,"By Code"}</definedName>
    <definedName name="_____jhi44_3_1_2_2" hidden="1">{"Input_Fin",#N/A,FALSE,"By Code";"Input_Opt",#N/A,FALSE,"By Code"}</definedName>
    <definedName name="_____jhi44_3_1_3" hidden="1">{"Input_Fin",#N/A,FALSE,"By Code";"Input_Opt",#N/A,FALSE,"By Code"}</definedName>
    <definedName name="_____jhi44_3_1_4" hidden="1">{"Input_Fin",#N/A,FALSE,"By Code";"Input_Opt",#N/A,FALSE,"By Code"}</definedName>
    <definedName name="_____jhi44_3_2" hidden="1">{"Input_Fin",#N/A,FALSE,"By Code";"Input_Opt",#N/A,FALSE,"By Code"}</definedName>
    <definedName name="_____jhi44_3_2_1" hidden="1">{"Input_Fin",#N/A,FALSE,"By Code";"Input_Opt",#N/A,FALSE,"By Code"}</definedName>
    <definedName name="_____jhi44_3_2_2" hidden="1">{"Input_Fin",#N/A,FALSE,"By Code";"Input_Opt",#N/A,FALSE,"By Code"}</definedName>
    <definedName name="_____jhi44_3_2_3" hidden="1">{"Input_Fin",#N/A,FALSE,"By Code";"Input_Opt",#N/A,FALSE,"By Code"}</definedName>
    <definedName name="_____jhi44_3_3" hidden="1">{"Input_Fin",#N/A,FALSE,"By Code";"Input_Opt",#N/A,FALSE,"By Code"}</definedName>
    <definedName name="_____jhi44_3_3_1" hidden="1">{"Input_Fin",#N/A,FALSE,"By Code";"Input_Opt",#N/A,FALSE,"By Code"}</definedName>
    <definedName name="_____jhi44_3_3_2" hidden="1">{"Input_Fin",#N/A,FALSE,"By Code";"Input_Opt",#N/A,FALSE,"By Code"}</definedName>
    <definedName name="_____jhi44_3_4" hidden="1">{"Input_Fin",#N/A,FALSE,"By Code";"Input_Opt",#N/A,FALSE,"By Code"}</definedName>
    <definedName name="_____jhi44_3_5" hidden="1">{"Input_Fin",#N/A,FALSE,"By Code";"Input_Opt",#N/A,FALSE,"By Code"}</definedName>
    <definedName name="_____jhi44_4" hidden="1">{"Input_Fin",#N/A,FALSE,"By Code";"Input_Opt",#N/A,FALSE,"By Code"}</definedName>
    <definedName name="_____jhi44_4_1" hidden="1">{"Input_Fin",#N/A,FALSE,"By Code";"Input_Opt",#N/A,FALSE,"By Code"}</definedName>
    <definedName name="_____jhi44_4_1_1" hidden="1">{"Input_Fin",#N/A,FALSE,"By Code";"Input_Opt",#N/A,FALSE,"By Code"}</definedName>
    <definedName name="_____jhi44_4_1_1_1" hidden="1">{"Input_Fin",#N/A,FALSE,"By Code";"Input_Opt",#N/A,FALSE,"By Code"}</definedName>
    <definedName name="_____jhi44_4_1_1_2" hidden="1">{"Input_Fin",#N/A,FALSE,"By Code";"Input_Opt",#N/A,FALSE,"By Code"}</definedName>
    <definedName name="_____jhi44_4_1_1_3" hidden="1">{"Input_Fin",#N/A,FALSE,"By Code";"Input_Opt",#N/A,FALSE,"By Code"}</definedName>
    <definedName name="_____jhi44_4_1_2" hidden="1">{"Input_Fin",#N/A,FALSE,"By Code";"Input_Opt",#N/A,FALSE,"By Code"}</definedName>
    <definedName name="_____jhi44_4_1_2_1" hidden="1">{"Input_Fin",#N/A,FALSE,"By Code";"Input_Opt",#N/A,FALSE,"By Code"}</definedName>
    <definedName name="_____jhi44_4_1_2_2" hidden="1">{"Input_Fin",#N/A,FALSE,"By Code";"Input_Opt",#N/A,FALSE,"By Code"}</definedName>
    <definedName name="_____jhi44_4_1_3" hidden="1">{"Input_Fin",#N/A,FALSE,"By Code";"Input_Opt",#N/A,FALSE,"By Code"}</definedName>
    <definedName name="_____jhi44_4_1_4" hidden="1">{"Input_Fin",#N/A,FALSE,"By Code";"Input_Opt",#N/A,FALSE,"By Code"}</definedName>
    <definedName name="_____jhi44_4_2" hidden="1">{"Input_Fin",#N/A,FALSE,"By Code";"Input_Opt",#N/A,FALSE,"By Code"}</definedName>
    <definedName name="_____jhi44_4_2_1" hidden="1">{"Input_Fin",#N/A,FALSE,"By Code";"Input_Opt",#N/A,FALSE,"By Code"}</definedName>
    <definedName name="_____jhi44_4_2_2" hidden="1">{"Input_Fin",#N/A,FALSE,"By Code";"Input_Opt",#N/A,FALSE,"By Code"}</definedName>
    <definedName name="_____jhi44_4_2_3" hidden="1">{"Input_Fin",#N/A,FALSE,"By Code";"Input_Opt",#N/A,FALSE,"By Code"}</definedName>
    <definedName name="_____jhi44_4_3" hidden="1">{"Input_Fin",#N/A,FALSE,"By Code";"Input_Opt",#N/A,FALSE,"By Code"}</definedName>
    <definedName name="_____jhi44_4_3_1" hidden="1">{"Input_Fin",#N/A,FALSE,"By Code";"Input_Opt",#N/A,FALSE,"By Code"}</definedName>
    <definedName name="_____jhi44_4_3_2" hidden="1">{"Input_Fin",#N/A,FALSE,"By Code";"Input_Opt",#N/A,FALSE,"By Code"}</definedName>
    <definedName name="_____jhi44_4_4" hidden="1">{"Input_Fin",#N/A,FALSE,"By Code";"Input_Opt",#N/A,FALSE,"By Code"}</definedName>
    <definedName name="_____jhi44_4_5" hidden="1">{"Input_Fin",#N/A,FALSE,"By Code";"Input_Opt",#N/A,FALSE,"By Code"}</definedName>
    <definedName name="_____jhi44_5" hidden="1">{"Input_Fin",#N/A,FALSE,"By Code";"Input_Opt",#N/A,FALSE,"By Code"}</definedName>
    <definedName name="_____jhi44_5_1" hidden="1">{"Input_Fin",#N/A,FALSE,"By Code";"Input_Opt",#N/A,FALSE,"By Code"}</definedName>
    <definedName name="_____jhi44_5_1_1" hidden="1">{"Input_Fin",#N/A,FALSE,"By Code";"Input_Opt",#N/A,FALSE,"By Code"}</definedName>
    <definedName name="_____jhi44_5_1_1_1" hidden="1">{"Input_Fin",#N/A,FALSE,"By Code";"Input_Opt",#N/A,FALSE,"By Code"}</definedName>
    <definedName name="_____jhi44_5_1_1_2" hidden="1">{"Input_Fin",#N/A,FALSE,"By Code";"Input_Opt",#N/A,FALSE,"By Code"}</definedName>
    <definedName name="_____jhi44_5_1_1_3" hidden="1">{"Input_Fin",#N/A,FALSE,"By Code";"Input_Opt",#N/A,FALSE,"By Code"}</definedName>
    <definedName name="_____jhi44_5_1_2" hidden="1">{"Input_Fin",#N/A,FALSE,"By Code";"Input_Opt",#N/A,FALSE,"By Code"}</definedName>
    <definedName name="_____jhi44_5_1_2_1" hidden="1">{"Input_Fin",#N/A,FALSE,"By Code";"Input_Opt",#N/A,FALSE,"By Code"}</definedName>
    <definedName name="_____jhi44_5_1_2_2" hidden="1">{"Input_Fin",#N/A,FALSE,"By Code";"Input_Opt",#N/A,FALSE,"By Code"}</definedName>
    <definedName name="_____jhi44_5_1_3" hidden="1">{"Input_Fin",#N/A,FALSE,"By Code";"Input_Opt",#N/A,FALSE,"By Code"}</definedName>
    <definedName name="_____jhi44_5_1_4" hidden="1">{"Input_Fin",#N/A,FALSE,"By Code";"Input_Opt",#N/A,FALSE,"By Code"}</definedName>
    <definedName name="_____jhi44_5_2" hidden="1">{"Input_Fin",#N/A,FALSE,"By Code";"Input_Opt",#N/A,FALSE,"By Code"}</definedName>
    <definedName name="_____jhi44_5_2_1" hidden="1">{"Input_Fin",#N/A,FALSE,"By Code";"Input_Opt",#N/A,FALSE,"By Code"}</definedName>
    <definedName name="_____jhi44_5_2_2" hidden="1">{"Input_Fin",#N/A,FALSE,"By Code";"Input_Opt",#N/A,FALSE,"By Code"}</definedName>
    <definedName name="_____jhi44_5_2_3" hidden="1">{"Input_Fin",#N/A,FALSE,"By Code";"Input_Opt",#N/A,FALSE,"By Code"}</definedName>
    <definedName name="_____jhi44_5_3" hidden="1">{"Input_Fin",#N/A,FALSE,"By Code";"Input_Opt",#N/A,FALSE,"By Code"}</definedName>
    <definedName name="_____jhi44_5_3_1" hidden="1">{"Input_Fin",#N/A,FALSE,"By Code";"Input_Opt",#N/A,FALSE,"By Code"}</definedName>
    <definedName name="_____jhi44_5_3_2" hidden="1">{"Input_Fin",#N/A,FALSE,"By Code";"Input_Opt",#N/A,FALSE,"By Code"}</definedName>
    <definedName name="_____jhi44_5_4" hidden="1">{"Input_Fin",#N/A,FALSE,"By Code";"Input_Opt",#N/A,FALSE,"By Code"}</definedName>
    <definedName name="_____jhi44_5_5" hidden="1">{"Input_Fin",#N/A,FALSE,"By Code";"Input_Opt",#N/A,FALSE,"By Code"}</definedName>
    <definedName name="_____Module1.Macro1">#N/A</definedName>
    <definedName name="_____Module1.Macro111">#N/A</definedName>
    <definedName name="____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xlfn.BAHTTEXT" hidden="1">#NAME?</definedName>
    <definedName name="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AAA00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AAA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BBB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123" localSheetId="12" hidden="1">{"Input_Fin",#N/A,FALSE,"By Code";"Input_Opt",#N/A,FALSE,"By Code"}</definedName>
    <definedName name="____D123" hidden="1">{"Input_Fin",#N/A,FALSE,"By Code";"Input_Opt",#N/A,FALSE,"By Code"}</definedName>
    <definedName name="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1" localSheetId="12" hidden="1">{"Input_Fin",#N/A,FALSE,"By Code";"Input_Opt",#N/A,FALSE,"By Code"}</definedName>
    <definedName name="____dy1" hidden="1">{"Input_Fin",#N/A,FALSE,"By Code";"Input_Opt",#N/A,FALSE,"By Code"}</definedName>
    <definedName name="____dy1_1" hidden="1">{"Input_Fin",#N/A,FALSE,"By Code";"Input_Opt",#N/A,FALSE,"By Code"}</definedName>
    <definedName name="____dy1_1_1" hidden="1">{"Input_Fin",#N/A,FALSE,"By Code";"Input_Opt",#N/A,FALSE,"By Code"}</definedName>
    <definedName name="____dy1_1_1_1" hidden="1">{"Input_Fin",#N/A,FALSE,"By Code";"Input_Opt",#N/A,FALSE,"By Code"}</definedName>
    <definedName name="____dy1_1_1_1_1" hidden="1">{"Input_Fin",#N/A,FALSE,"By Code";"Input_Opt",#N/A,FALSE,"By Code"}</definedName>
    <definedName name="____dy1_1_1_1_1_1" hidden="1">{"Input_Fin",#N/A,FALSE,"By Code";"Input_Opt",#N/A,FALSE,"By Code"}</definedName>
    <definedName name="____dy1_1_1_1_1_2" hidden="1">{"Input_Fin",#N/A,FALSE,"By Code";"Input_Opt",#N/A,FALSE,"By Code"}</definedName>
    <definedName name="____dy1_1_1_1_1_3" hidden="1">{"Input_Fin",#N/A,FALSE,"By Code";"Input_Opt",#N/A,FALSE,"By Code"}</definedName>
    <definedName name="____dy1_1_1_1_2" hidden="1">{"Input_Fin",#N/A,FALSE,"By Code";"Input_Opt",#N/A,FALSE,"By Code"}</definedName>
    <definedName name="____dy1_1_1_1_2_1" hidden="1">{"Input_Fin",#N/A,FALSE,"By Code";"Input_Opt",#N/A,FALSE,"By Code"}</definedName>
    <definedName name="____dy1_1_1_1_2_2" hidden="1">{"Input_Fin",#N/A,FALSE,"By Code";"Input_Opt",#N/A,FALSE,"By Code"}</definedName>
    <definedName name="____dy1_1_1_1_3" hidden="1">{"Input_Fin",#N/A,FALSE,"By Code";"Input_Opt",#N/A,FALSE,"By Code"}</definedName>
    <definedName name="____dy1_1_1_1_3_1" hidden="1">{"Input_Fin",#N/A,FALSE,"By Code";"Input_Opt",#N/A,FALSE,"By Code"}</definedName>
    <definedName name="____dy1_1_1_1_3_2" hidden="1">{"Input_Fin",#N/A,FALSE,"By Code";"Input_Opt",#N/A,FALSE,"By Code"}</definedName>
    <definedName name="____dy1_1_1_1_4" hidden="1">{"Input_Fin",#N/A,FALSE,"By Code";"Input_Opt",#N/A,FALSE,"By Code"}</definedName>
    <definedName name="____dy1_1_1_1_5" hidden="1">{"Input_Fin",#N/A,FALSE,"By Code";"Input_Opt",#N/A,FALSE,"By Code"}</definedName>
    <definedName name="____dy1_1_1_2" hidden="1">{"Input_Fin",#N/A,FALSE,"By Code";"Input_Opt",#N/A,FALSE,"By Code"}</definedName>
    <definedName name="____dy1_1_1_2_1" hidden="1">{"Input_Fin",#N/A,FALSE,"By Code";"Input_Opt",#N/A,FALSE,"By Code"}</definedName>
    <definedName name="____dy1_1_1_2_2" hidden="1">{"Input_Fin",#N/A,FALSE,"By Code";"Input_Opt",#N/A,FALSE,"By Code"}</definedName>
    <definedName name="____dy1_1_1_2_3" hidden="1">{"Input_Fin",#N/A,FALSE,"By Code";"Input_Opt",#N/A,FALSE,"By Code"}</definedName>
    <definedName name="____dy1_1_1_3" hidden="1">{"Input_Fin",#N/A,FALSE,"By Code";"Input_Opt",#N/A,FALSE,"By Code"}</definedName>
    <definedName name="____dy1_1_1_3_1" hidden="1">{"Input_Fin",#N/A,FALSE,"By Code";"Input_Opt",#N/A,FALSE,"By Code"}</definedName>
    <definedName name="____dy1_1_1_3_2" hidden="1">{"Input_Fin",#N/A,FALSE,"By Code";"Input_Opt",#N/A,FALSE,"By Code"}</definedName>
    <definedName name="____dy1_1_1_4" hidden="1">{"Input_Fin",#N/A,FALSE,"By Code";"Input_Opt",#N/A,FALSE,"By Code"}</definedName>
    <definedName name="____dy1_1_1_5" hidden="1">{"Input_Fin",#N/A,FALSE,"By Code";"Input_Opt",#N/A,FALSE,"By Code"}</definedName>
    <definedName name="____dy1_1_2" hidden="1">{"Input_Fin",#N/A,FALSE,"By Code";"Input_Opt",#N/A,FALSE,"By Code"}</definedName>
    <definedName name="____dy1_1_2_1" hidden="1">{"Input_Fin",#N/A,FALSE,"By Code";"Input_Opt",#N/A,FALSE,"By Code"}</definedName>
    <definedName name="____dy1_1_2_2" hidden="1">{"Input_Fin",#N/A,FALSE,"By Code";"Input_Opt",#N/A,FALSE,"By Code"}</definedName>
    <definedName name="____dy1_1_2_3" hidden="1">{"Input_Fin",#N/A,FALSE,"By Code";"Input_Opt",#N/A,FALSE,"By Code"}</definedName>
    <definedName name="____dy1_1_3" hidden="1">{"Input_Fin",#N/A,FALSE,"By Code";"Input_Opt",#N/A,FALSE,"By Code"}</definedName>
    <definedName name="____dy1_1_3_1" hidden="1">{"Input_Fin",#N/A,FALSE,"By Code";"Input_Opt",#N/A,FALSE,"By Code"}</definedName>
    <definedName name="____dy1_1_3_2" hidden="1">{"Input_Fin",#N/A,FALSE,"By Code";"Input_Opt",#N/A,FALSE,"By Code"}</definedName>
    <definedName name="____dy1_1_4" hidden="1">{"Input_Fin",#N/A,FALSE,"By Code";"Input_Opt",#N/A,FALSE,"By Code"}</definedName>
    <definedName name="____dy1_1_5" hidden="1">{"Input_Fin",#N/A,FALSE,"By Code";"Input_Opt",#N/A,FALSE,"By Code"}</definedName>
    <definedName name="____dy1_2" hidden="1">{"Input_Fin",#N/A,FALSE,"By Code";"Input_Opt",#N/A,FALSE,"By Code"}</definedName>
    <definedName name="____dy1_2_1" hidden="1">{"Input_Fin",#N/A,FALSE,"By Code";"Input_Opt",#N/A,FALSE,"By Code"}</definedName>
    <definedName name="____dy1_2_1_1" hidden="1">{"Input_Fin",#N/A,FALSE,"By Code";"Input_Opt",#N/A,FALSE,"By Code"}</definedName>
    <definedName name="____dy1_2_1_1_1" hidden="1">{"Input_Fin",#N/A,FALSE,"By Code";"Input_Opt",#N/A,FALSE,"By Code"}</definedName>
    <definedName name="____dy1_2_1_1_2" hidden="1">{"Input_Fin",#N/A,FALSE,"By Code";"Input_Opt",#N/A,FALSE,"By Code"}</definedName>
    <definedName name="____dy1_2_1_1_3" hidden="1">{"Input_Fin",#N/A,FALSE,"By Code";"Input_Opt",#N/A,FALSE,"By Code"}</definedName>
    <definedName name="____dy1_2_1_2" hidden="1">{"Input_Fin",#N/A,FALSE,"By Code";"Input_Opt",#N/A,FALSE,"By Code"}</definedName>
    <definedName name="____dy1_2_1_2_1" hidden="1">{"Input_Fin",#N/A,FALSE,"By Code";"Input_Opt",#N/A,FALSE,"By Code"}</definedName>
    <definedName name="____dy1_2_1_2_2" hidden="1">{"Input_Fin",#N/A,FALSE,"By Code";"Input_Opt",#N/A,FALSE,"By Code"}</definedName>
    <definedName name="____dy1_2_1_3" hidden="1">{"Input_Fin",#N/A,FALSE,"By Code";"Input_Opt",#N/A,FALSE,"By Code"}</definedName>
    <definedName name="____dy1_2_1_4" hidden="1">{"Input_Fin",#N/A,FALSE,"By Code";"Input_Opt",#N/A,FALSE,"By Code"}</definedName>
    <definedName name="____dy1_2_2" hidden="1">{"Input_Fin",#N/A,FALSE,"By Code";"Input_Opt",#N/A,FALSE,"By Code"}</definedName>
    <definedName name="____dy1_2_2_1" hidden="1">{"Input_Fin",#N/A,FALSE,"By Code";"Input_Opt",#N/A,FALSE,"By Code"}</definedName>
    <definedName name="____dy1_2_2_2" hidden="1">{"Input_Fin",#N/A,FALSE,"By Code";"Input_Opt",#N/A,FALSE,"By Code"}</definedName>
    <definedName name="____dy1_2_2_3" hidden="1">{"Input_Fin",#N/A,FALSE,"By Code";"Input_Opt",#N/A,FALSE,"By Code"}</definedName>
    <definedName name="____dy1_2_3" hidden="1">{"Input_Fin",#N/A,FALSE,"By Code";"Input_Opt",#N/A,FALSE,"By Code"}</definedName>
    <definedName name="____dy1_2_3_1" hidden="1">{"Input_Fin",#N/A,FALSE,"By Code";"Input_Opt",#N/A,FALSE,"By Code"}</definedName>
    <definedName name="____dy1_2_3_2" hidden="1">{"Input_Fin",#N/A,FALSE,"By Code";"Input_Opt",#N/A,FALSE,"By Code"}</definedName>
    <definedName name="____dy1_2_4" hidden="1">{"Input_Fin",#N/A,FALSE,"By Code";"Input_Opt",#N/A,FALSE,"By Code"}</definedName>
    <definedName name="____dy1_2_5" hidden="1">{"Input_Fin",#N/A,FALSE,"By Code";"Input_Opt",#N/A,FALSE,"By Code"}</definedName>
    <definedName name="____dy1_3" hidden="1">{"Input_Fin",#N/A,FALSE,"By Code";"Input_Opt",#N/A,FALSE,"By Code"}</definedName>
    <definedName name="____dy1_3_1" hidden="1">{"Input_Fin",#N/A,FALSE,"By Code";"Input_Opt",#N/A,FALSE,"By Code"}</definedName>
    <definedName name="____dy1_3_1_1" hidden="1">{"Input_Fin",#N/A,FALSE,"By Code";"Input_Opt",#N/A,FALSE,"By Code"}</definedName>
    <definedName name="____dy1_3_1_1_1" hidden="1">{"Input_Fin",#N/A,FALSE,"By Code";"Input_Opt",#N/A,FALSE,"By Code"}</definedName>
    <definedName name="____dy1_3_1_1_2" hidden="1">{"Input_Fin",#N/A,FALSE,"By Code";"Input_Opt",#N/A,FALSE,"By Code"}</definedName>
    <definedName name="____dy1_3_1_1_3" hidden="1">{"Input_Fin",#N/A,FALSE,"By Code";"Input_Opt",#N/A,FALSE,"By Code"}</definedName>
    <definedName name="____dy1_3_1_2" hidden="1">{"Input_Fin",#N/A,FALSE,"By Code";"Input_Opt",#N/A,FALSE,"By Code"}</definedName>
    <definedName name="____dy1_3_1_2_1" hidden="1">{"Input_Fin",#N/A,FALSE,"By Code";"Input_Opt",#N/A,FALSE,"By Code"}</definedName>
    <definedName name="____dy1_3_1_2_2" hidden="1">{"Input_Fin",#N/A,FALSE,"By Code";"Input_Opt",#N/A,FALSE,"By Code"}</definedName>
    <definedName name="____dy1_3_1_3" hidden="1">{"Input_Fin",#N/A,FALSE,"By Code";"Input_Opt",#N/A,FALSE,"By Code"}</definedName>
    <definedName name="____dy1_3_1_4" hidden="1">{"Input_Fin",#N/A,FALSE,"By Code";"Input_Opt",#N/A,FALSE,"By Code"}</definedName>
    <definedName name="____dy1_3_2" hidden="1">{"Input_Fin",#N/A,FALSE,"By Code";"Input_Opt",#N/A,FALSE,"By Code"}</definedName>
    <definedName name="____dy1_3_2_1" hidden="1">{"Input_Fin",#N/A,FALSE,"By Code";"Input_Opt",#N/A,FALSE,"By Code"}</definedName>
    <definedName name="____dy1_3_2_2" hidden="1">{"Input_Fin",#N/A,FALSE,"By Code";"Input_Opt",#N/A,FALSE,"By Code"}</definedName>
    <definedName name="____dy1_3_2_3" hidden="1">{"Input_Fin",#N/A,FALSE,"By Code";"Input_Opt",#N/A,FALSE,"By Code"}</definedName>
    <definedName name="____dy1_3_3" hidden="1">{"Input_Fin",#N/A,FALSE,"By Code";"Input_Opt",#N/A,FALSE,"By Code"}</definedName>
    <definedName name="____dy1_3_3_1" hidden="1">{"Input_Fin",#N/A,FALSE,"By Code";"Input_Opt",#N/A,FALSE,"By Code"}</definedName>
    <definedName name="____dy1_3_3_2" hidden="1">{"Input_Fin",#N/A,FALSE,"By Code";"Input_Opt",#N/A,FALSE,"By Code"}</definedName>
    <definedName name="____dy1_3_4" hidden="1">{"Input_Fin",#N/A,FALSE,"By Code";"Input_Opt",#N/A,FALSE,"By Code"}</definedName>
    <definedName name="____dy1_3_5" hidden="1">{"Input_Fin",#N/A,FALSE,"By Code";"Input_Opt",#N/A,FALSE,"By Code"}</definedName>
    <definedName name="____dy1_4" hidden="1">{"Input_Fin",#N/A,FALSE,"By Code";"Input_Opt",#N/A,FALSE,"By Code"}</definedName>
    <definedName name="____dy1_4_1" hidden="1">{"Input_Fin",#N/A,FALSE,"By Code";"Input_Opt",#N/A,FALSE,"By Code"}</definedName>
    <definedName name="____dy1_4_1_1" hidden="1">{"Input_Fin",#N/A,FALSE,"By Code";"Input_Opt",#N/A,FALSE,"By Code"}</definedName>
    <definedName name="____dy1_4_1_1_1" hidden="1">{"Input_Fin",#N/A,FALSE,"By Code";"Input_Opt",#N/A,FALSE,"By Code"}</definedName>
    <definedName name="____dy1_4_1_1_2" hidden="1">{"Input_Fin",#N/A,FALSE,"By Code";"Input_Opt",#N/A,FALSE,"By Code"}</definedName>
    <definedName name="____dy1_4_1_1_3" hidden="1">{"Input_Fin",#N/A,FALSE,"By Code";"Input_Opt",#N/A,FALSE,"By Code"}</definedName>
    <definedName name="____dy1_4_1_2" hidden="1">{"Input_Fin",#N/A,FALSE,"By Code";"Input_Opt",#N/A,FALSE,"By Code"}</definedName>
    <definedName name="____dy1_4_1_2_1" hidden="1">{"Input_Fin",#N/A,FALSE,"By Code";"Input_Opt",#N/A,FALSE,"By Code"}</definedName>
    <definedName name="____dy1_4_1_2_2" hidden="1">{"Input_Fin",#N/A,FALSE,"By Code";"Input_Opt",#N/A,FALSE,"By Code"}</definedName>
    <definedName name="____dy1_4_1_3" hidden="1">{"Input_Fin",#N/A,FALSE,"By Code";"Input_Opt",#N/A,FALSE,"By Code"}</definedName>
    <definedName name="____dy1_4_1_4" hidden="1">{"Input_Fin",#N/A,FALSE,"By Code";"Input_Opt",#N/A,FALSE,"By Code"}</definedName>
    <definedName name="____dy1_4_2" hidden="1">{"Input_Fin",#N/A,FALSE,"By Code";"Input_Opt",#N/A,FALSE,"By Code"}</definedName>
    <definedName name="____dy1_4_2_1" hidden="1">{"Input_Fin",#N/A,FALSE,"By Code";"Input_Opt",#N/A,FALSE,"By Code"}</definedName>
    <definedName name="____dy1_4_2_2" hidden="1">{"Input_Fin",#N/A,FALSE,"By Code";"Input_Opt",#N/A,FALSE,"By Code"}</definedName>
    <definedName name="____dy1_4_2_3" hidden="1">{"Input_Fin",#N/A,FALSE,"By Code";"Input_Opt",#N/A,FALSE,"By Code"}</definedName>
    <definedName name="____dy1_4_3" hidden="1">{"Input_Fin",#N/A,FALSE,"By Code";"Input_Opt",#N/A,FALSE,"By Code"}</definedName>
    <definedName name="____dy1_4_3_1" hidden="1">{"Input_Fin",#N/A,FALSE,"By Code";"Input_Opt",#N/A,FALSE,"By Code"}</definedName>
    <definedName name="____dy1_4_3_2" hidden="1">{"Input_Fin",#N/A,FALSE,"By Code";"Input_Opt",#N/A,FALSE,"By Code"}</definedName>
    <definedName name="____dy1_4_4" hidden="1">{"Input_Fin",#N/A,FALSE,"By Code";"Input_Opt",#N/A,FALSE,"By Code"}</definedName>
    <definedName name="____dy1_4_5" hidden="1">{"Input_Fin",#N/A,FALSE,"By Code";"Input_Opt",#N/A,FALSE,"By Code"}</definedName>
    <definedName name="____dy1_5" hidden="1">{"Input_Fin",#N/A,FALSE,"By Code";"Input_Opt",#N/A,FALSE,"By Code"}</definedName>
    <definedName name="____dy1_5_1" hidden="1">{"Input_Fin",#N/A,FALSE,"By Code";"Input_Opt",#N/A,FALSE,"By Code"}</definedName>
    <definedName name="____dy1_5_1_1" hidden="1">{"Input_Fin",#N/A,FALSE,"By Code";"Input_Opt",#N/A,FALSE,"By Code"}</definedName>
    <definedName name="____dy1_5_1_1_1" hidden="1">{"Input_Fin",#N/A,FALSE,"By Code";"Input_Opt",#N/A,FALSE,"By Code"}</definedName>
    <definedName name="____dy1_5_1_1_2" hidden="1">{"Input_Fin",#N/A,FALSE,"By Code";"Input_Opt",#N/A,FALSE,"By Code"}</definedName>
    <definedName name="____dy1_5_1_1_3" hidden="1">{"Input_Fin",#N/A,FALSE,"By Code";"Input_Opt",#N/A,FALSE,"By Code"}</definedName>
    <definedName name="____dy1_5_1_2" hidden="1">{"Input_Fin",#N/A,FALSE,"By Code";"Input_Opt",#N/A,FALSE,"By Code"}</definedName>
    <definedName name="____dy1_5_1_2_1" hidden="1">{"Input_Fin",#N/A,FALSE,"By Code";"Input_Opt",#N/A,FALSE,"By Code"}</definedName>
    <definedName name="____dy1_5_1_2_2" hidden="1">{"Input_Fin",#N/A,FALSE,"By Code";"Input_Opt",#N/A,FALSE,"By Code"}</definedName>
    <definedName name="____dy1_5_1_3" hidden="1">{"Input_Fin",#N/A,FALSE,"By Code";"Input_Opt",#N/A,FALSE,"By Code"}</definedName>
    <definedName name="____dy1_5_1_4" hidden="1">{"Input_Fin",#N/A,FALSE,"By Code";"Input_Opt",#N/A,FALSE,"By Code"}</definedName>
    <definedName name="____dy1_5_2" hidden="1">{"Input_Fin",#N/A,FALSE,"By Code";"Input_Opt",#N/A,FALSE,"By Code"}</definedName>
    <definedName name="____dy1_5_2_1" hidden="1">{"Input_Fin",#N/A,FALSE,"By Code";"Input_Opt",#N/A,FALSE,"By Code"}</definedName>
    <definedName name="____dy1_5_2_2" hidden="1">{"Input_Fin",#N/A,FALSE,"By Code";"Input_Opt",#N/A,FALSE,"By Code"}</definedName>
    <definedName name="____dy1_5_2_3" hidden="1">{"Input_Fin",#N/A,FALSE,"By Code";"Input_Opt",#N/A,FALSE,"By Code"}</definedName>
    <definedName name="____dy1_5_3" hidden="1">{"Input_Fin",#N/A,FALSE,"By Code";"Input_Opt",#N/A,FALSE,"By Code"}</definedName>
    <definedName name="____dy1_5_3_1" hidden="1">{"Input_Fin",#N/A,FALSE,"By Code";"Input_Opt",#N/A,FALSE,"By Code"}</definedName>
    <definedName name="____dy1_5_3_2" hidden="1">{"Input_Fin",#N/A,FALSE,"By Code";"Input_Opt",#N/A,FALSE,"By Code"}</definedName>
    <definedName name="____dy1_5_4" hidden="1">{"Input_Fin",#N/A,FALSE,"By Code";"Input_Opt",#N/A,FALSE,"By Code"}</definedName>
    <definedName name="____dy1_5_5" hidden="1">{"Input_Fin",#N/A,FALSE,"By Code";"Input_Opt",#N/A,FALSE,"By Code"}</definedName>
    <definedName name="_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5" localSheetId="12" hidden="1">{"Input_Fin",#N/A,FALSE,"By Code";"Input_Opt",#N/A,FALSE,"By Code"}</definedName>
    <definedName name="____dy5" hidden="1">{"Input_Fin",#N/A,FALSE,"By Code";"Input_Opt",#N/A,FALSE,"By Code"}</definedName>
    <definedName name="____dy5_1" hidden="1">{"Input_Fin",#N/A,FALSE,"By Code";"Input_Opt",#N/A,FALSE,"By Code"}</definedName>
    <definedName name="____dy5_1_1" hidden="1">{"Input_Fin",#N/A,FALSE,"By Code";"Input_Opt",#N/A,FALSE,"By Code"}</definedName>
    <definedName name="____dy5_1_1_1" hidden="1">{"Input_Fin",#N/A,FALSE,"By Code";"Input_Opt",#N/A,FALSE,"By Code"}</definedName>
    <definedName name="____dy5_1_1_1_1" hidden="1">{"Input_Fin",#N/A,FALSE,"By Code";"Input_Opt",#N/A,FALSE,"By Code"}</definedName>
    <definedName name="____dy5_1_1_1_1_1" hidden="1">{"Input_Fin",#N/A,FALSE,"By Code";"Input_Opt",#N/A,FALSE,"By Code"}</definedName>
    <definedName name="____dy5_1_1_1_1_2" hidden="1">{"Input_Fin",#N/A,FALSE,"By Code";"Input_Opt",#N/A,FALSE,"By Code"}</definedName>
    <definedName name="____dy5_1_1_1_1_3" hidden="1">{"Input_Fin",#N/A,FALSE,"By Code";"Input_Opt",#N/A,FALSE,"By Code"}</definedName>
    <definedName name="____dy5_1_1_1_2" hidden="1">{"Input_Fin",#N/A,FALSE,"By Code";"Input_Opt",#N/A,FALSE,"By Code"}</definedName>
    <definedName name="____dy5_1_1_1_2_1" hidden="1">{"Input_Fin",#N/A,FALSE,"By Code";"Input_Opt",#N/A,FALSE,"By Code"}</definedName>
    <definedName name="____dy5_1_1_1_2_2" hidden="1">{"Input_Fin",#N/A,FALSE,"By Code";"Input_Opt",#N/A,FALSE,"By Code"}</definedName>
    <definedName name="____dy5_1_1_1_3" hidden="1">{"Input_Fin",#N/A,FALSE,"By Code";"Input_Opt",#N/A,FALSE,"By Code"}</definedName>
    <definedName name="____dy5_1_1_1_3_1" hidden="1">{"Input_Fin",#N/A,FALSE,"By Code";"Input_Opt",#N/A,FALSE,"By Code"}</definedName>
    <definedName name="____dy5_1_1_1_3_2" hidden="1">{"Input_Fin",#N/A,FALSE,"By Code";"Input_Opt",#N/A,FALSE,"By Code"}</definedName>
    <definedName name="____dy5_1_1_1_4" hidden="1">{"Input_Fin",#N/A,FALSE,"By Code";"Input_Opt",#N/A,FALSE,"By Code"}</definedName>
    <definedName name="____dy5_1_1_1_5" hidden="1">{"Input_Fin",#N/A,FALSE,"By Code";"Input_Opt",#N/A,FALSE,"By Code"}</definedName>
    <definedName name="____dy5_1_1_2" hidden="1">{"Input_Fin",#N/A,FALSE,"By Code";"Input_Opt",#N/A,FALSE,"By Code"}</definedName>
    <definedName name="____dy5_1_1_2_1" hidden="1">{"Input_Fin",#N/A,FALSE,"By Code";"Input_Opt",#N/A,FALSE,"By Code"}</definedName>
    <definedName name="____dy5_1_1_2_2" hidden="1">{"Input_Fin",#N/A,FALSE,"By Code";"Input_Opt",#N/A,FALSE,"By Code"}</definedName>
    <definedName name="____dy5_1_1_2_3" hidden="1">{"Input_Fin",#N/A,FALSE,"By Code";"Input_Opt",#N/A,FALSE,"By Code"}</definedName>
    <definedName name="____dy5_1_1_3" hidden="1">{"Input_Fin",#N/A,FALSE,"By Code";"Input_Opt",#N/A,FALSE,"By Code"}</definedName>
    <definedName name="____dy5_1_1_3_1" hidden="1">{"Input_Fin",#N/A,FALSE,"By Code";"Input_Opt",#N/A,FALSE,"By Code"}</definedName>
    <definedName name="____dy5_1_1_3_2" hidden="1">{"Input_Fin",#N/A,FALSE,"By Code";"Input_Opt",#N/A,FALSE,"By Code"}</definedName>
    <definedName name="____dy5_1_1_4" hidden="1">{"Input_Fin",#N/A,FALSE,"By Code";"Input_Opt",#N/A,FALSE,"By Code"}</definedName>
    <definedName name="____dy5_1_1_5" hidden="1">{"Input_Fin",#N/A,FALSE,"By Code";"Input_Opt",#N/A,FALSE,"By Code"}</definedName>
    <definedName name="____dy5_1_2" hidden="1">{"Input_Fin",#N/A,FALSE,"By Code";"Input_Opt",#N/A,FALSE,"By Code"}</definedName>
    <definedName name="____dy5_1_2_1" hidden="1">{"Input_Fin",#N/A,FALSE,"By Code";"Input_Opt",#N/A,FALSE,"By Code"}</definedName>
    <definedName name="____dy5_1_2_2" hidden="1">{"Input_Fin",#N/A,FALSE,"By Code";"Input_Opt",#N/A,FALSE,"By Code"}</definedName>
    <definedName name="____dy5_1_2_3" hidden="1">{"Input_Fin",#N/A,FALSE,"By Code";"Input_Opt",#N/A,FALSE,"By Code"}</definedName>
    <definedName name="____dy5_1_3" hidden="1">{"Input_Fin",#N/A,FALSE,"By Code";"Input_Opt",#N/A,FALSE,"By Code"}</definedName>
    <definedName name="____dy5_1_3_1" hidden="1">{"Input_Fin",#N/A,FALSE,"By Code";"Input_Opt",#N/A,FALSE,"By Code"}</definedName>
    <definedName name="____dy5_1_3_2" hidden="1">{"Input_Fin",#N/A,FALSE,"By Code";"Input_Opt",#N/A,FALSE,"By Code"}</definedName>
    <definedName name="____dy5_1_4" hidden="1">{"Input_Fin",#N/A,FALSE,"By Code";"Input_Opt",#N/A,FALSE,"By Code"}</definedName>
    <definedName name="____dy5_1_5" hidden="1">{"Input_Fin",#N/A,FALSE,"By Code";"Input_Opt",#N/A,FALSE,"By Code"}</definedName>
    <definedName name="____dy5_2" hidden="1">{"Input_Fin",#N/A,FALSE,"By Code";"Input_Opt",#N/A,FALSE,"By Code"}</definedName>
    <definedName name="____dy5_2_1" hidden="1">{"Input_Fin",#N/A,FALSE,"By Code";"Input_Opt",#N/A,FALSE,"By Code"}</definedName>
    <definedName name="____dy5_2_1_1" hidden="1">{"Input_Fin",#N/A,FALSE,"By Code";"Input_Opt",#N/A,FALSE,"By Code"}</definedName>
    <definedName name="____dy5_2_1_1_1" hidden="1">{"Input_Fin",#N/A,FALSE,"By Code";"Input_Opt",#N/A,FALSE,"By Code"}</definedName>
    <definedName name="____dy5_2_1_1_2" hidden="1">{"Input_Fin",#N/A,FALSE,"By Code";"Input_Opt",#N/A,FALSE,"By Code"}</definedName>
    <definedName name="____dy5_2_1_1_3" hidden="1">{"Input_Fin",#N/A,FALSE,"By Code";"Input_Opt",#N/A,FALSE,"By Code"}</definedName>
    <definedName name="____dy5_2_1_2" hidden="1">{"Input_Fin",#N/A,FALSE,"By Code";"Input_Opt",#N/A,FALSE,"By Code"}</definedName>
    <definedName name="____dy5_2_1_2_1" hidden="1">{"Input_Fin",#N/A,FALSE,"By Code";"Input_Opt",#N/A,FALSE,"By Code"}</definedName>
    <definedName name="____dy5_2_1_2_2" hidden="1">{"Input_Fin",#N/A,FALSE,"By Code";"Input_Opt",#N/A,FALSE,"By Code"}</definedName>
    <definedName name="____dy5_2_1_3" hidden="1">{"Input_Fin",#N/A,FALSE,"By Code";"Input_Opt",#N/A,FALSE,"By Code"}</definedName>
    <definedName name="____dy5_2_1_4" hidden="1">{"Input_Fin",#N/A,FALSE,"By Code";"Input_Opt",#N/A,FALSE,"By Code"}</definedName>
    <definedName name="____dy5_2_2" hidden="1">{"Input_Fin",#N/A,FALSE,"By Code";"Input_Opt",#N/A,FALSE,"By Code"}</definedName>
    <definedName name="____dy5_2_2_1" hidden="1">{"Input_Fin",#N/A,FALSE,"By Code";"Input_Opt",#N/A,FALSE,"By Code"}</definedName>
    <definedName name="____dy5_2_2_2" hidden="1">{"Input_Fin",#N/A,FALSE,"By Code";"Input_Opt",#N/A,FALSE,"By Code"}</definedName>
    <definedName name="____dy5_2_2_3" hidden="1">{"Input_Fin",#N/A,FALSE,"By Code";"Input_Opt",#N/A,FALSE,"By Code"}</definedName>
    <definedName name="____dy5_2_3" hidden="1">{"Input_Fin",#N/A,FALSE,"By Code";"Input_Opt",#N/A,FALSE,"By Code"}</definedName>
    <definedName name="____dy5_2_3_1" hidden="1">{"Input_Fin",#N/A,FALSE,"By Code";"Input_Opt",#N/A,FALSE,"By Code"}</definedName>
    <definedName name="____dy5_2_3_2" hidden="1">{"Input_Fin",#N/A,FALSE,"By Code";"Input_Opt",#N/A,FALSE,"By Code"}</definedName>
    <definedName name="____dy5_2_4" hidden="1">{"Input_Fin",#N/A,FALSE,"By Code";"Input_Opt",#N/A,FALSE,"By Code"}</definedName>
    <definedName name="____dy5_2_5" hidden="1">{"Input_Fin",#N/A,FALSE,"By Code";"Input_Opt",#N/A,FALSE,"By Code"}</definedName>
    <definedName name="____dy5_3" hidden="1">{"Input_Fin",#N/A,FALSE,"By Code";"Input_Opt",#N/A,FALSE,"By Code"}</definedName>
    <definedName name="____dy5_3_1" hidden="1">{"Input_Fin",#N/A,FALSE,"By Code";"Input_Opt",#N/A,FALSE,"By Code"}</definedName>
    <definedName name="____dy5_3_1_1" hidden="1">{"Input_Fin",#N/A,FALSE,"By Code";"Input_Opt",#N/A,FALSE,"By Code"}</definedName>
    <definedName name="____dy5_3_1_1_1" hidden="1">{"Input_Fin",#N/A,FALSE,"By Code";"Input_Opt",#N/A,FALSE,"By Code"}</definedName>
    <definedName name="____dy5_3_1_1_2" hidden="1">{"Input_Fin",#N/A,FALSE,"By Code";"Input_Opt",#N/A,FALSE,"By Code"}</definedName>
    <definedName name="____dy5_3_1_1_3" hidden="1">{"Input_Fin",#N/A,FALSE,"By Code";"Input_Opt",#N/A,FALSE,"By Code"}</definedName>
    <definedName name="____dy5_3_1_2" hidden="1">{"Input_Fin",#N/A,FALSE,"By Code";"Input_Opt",#N/A,FALSE,"By Code"}</definedName>
    <definedName name="____dy5_3_1_2_1" hidden="1">{"Input_Fin",#N/A,FALSE,"By Code";"Input_Opt",#N/A,FALSE,"By Code"}</definedName>
    <definedName name="____dy5_3_1_2_2" hidden="1">{"Input_Fin",#N/A,FALSE,"By Code";"Input_Opt",#N/A,FALSE,"By Code"}</definedName>
    <definedName name="____dy5_3_1_3" hidden="1">{"Input_Fin",#N/A,FALSE,"By Code";"Input_Opt",#N/A,FALSE,"By Code"}</definedName>
    <definedName name="____dy5_3_1_4" hidden="1">{"Input_Fin",#N/A,FALSE,"By Code";"Input_Opt",#N/A,FALSE,"By Code"}</definedName>
    <definedName name="____dy5_3_2" hidden="1">{"Input_Fin",#N/A,FALSE,"By Code";"Input_Opt",#N/A,FALSE,"By Code"}</definedName>
    <definedName name="____dy5_3_2_1" hidden="1">{"Input_Fin",#N/A,FALSE,"By Code";"Input_Opt",#N/A,FALSE,"By Code"}</definedName>
    <definedName name="____dy5_3_2_2" hidden="1">{"Input_Fin",#N/A,FALSE,"By Code";"Input_Opt",#N/A,FALSE,"By Code"}</definedName>
    <definedName name="____dy5_3_2_3" hidden="1">{"Input_Fin",#N/A,FALSE,"By Code";"Input_Opt",#N/A,FALSE,"By Code"}</definedName>
    <definedName name="____dy5_3_3" hidden="1">{"Input_Fin",#N/A,FALSE,"By Code";"Input_Opt",#N/A,FALSE,"By Code"}</definedName>
    <definedName name="____dy5_3_3_1" hidden="1">{"Input_Fin",#N/A,FALSE,"By Code";"Input_Opt",#N/A,FALSE,"By Code"}</definedName>
    <definedName name="____dy5_3_3_2" hidden="1">{"Input_Fin",#N/A,FALSE,"By Code";"Input_Opt",#N/A,FALSE,"By Code"}</definedName>
    <definedName name="____dy5_3_4" hidden="1">{"Input_Fin",#N/A,FALSE,"By Code";"Input_Opt",#N/A,FALSE,"By Code"}</definedName>
    <definedName name="____dy5_3_5" hidden="1">{"Input_Fin",#N/A,FALSE,"By Code";"Input_Opt",#N/A,FALSE,"By Code"}</definedName>
    <definedName name="____dy5_4" hidden="1">{"Input_Fin",#N/A,FALSE,"By Code";"Input_Opt",#N/A,FALSE,"By Code"}</definedName>
    <definedName name="____dy5_4_1" hidden="1">{"Input_Fin",#N/A,FALSE,"By Code";"Input_Opt",#N/A,FALSE,"By Code"}</definedName>
    <definedName name="____dy5_4_1_1" hidden="1">{"Input_Fin",#N/A,FALSE,"By Code";"Input_Opt",#N/A,FALSE,"By Code"}</definedName>
    <definedName name="____dy5_4_1_1_1" hidden="1">{"Input_Fin",#N/A,FALSE,"By Code";"Input_Opt",#N/A,FALSE,"By Code"}</definedName>
    <definedName name="____dy5_4_1_1_2" hidden="1">{"Input_Fin",#N/A,FALSE,"By Code";"Input_Opt",#N/A,FALSE,"By Code"}</definedName>
    <definedName name="____dy5_4_1_1_3" hidden="1">{"Input_Fin",#N/A,FALSE,"By Code";"Input_Opt",#N/A,FALSE,"By Code"}</definedName>
    <definedName name="____dy5_4_1_2" hidden="1">{"Input_Fin",#N/A,FALSE,"By Code";"Input_Opt",#N/A,FALSE,"By Code"}</definedName>
    <definedName name="____dy5_4_1_2_1" hidden="1">{"Input_Fin",#N/A,FALSE,"By Code";"Input_Opt",#N/A,FALSE,"By Code"}</definedName>
    <definedName name="____dy5_4_1_2_2" hidden="1">{"Input_Fin",#N/A,FALSE,"By Code";"Input_Opt",#N/A,FALSE,"By Code"}</definedName>
    <definedName name="____dy5_4_1_3" hidden="1">{"Input_Fin",#N/A,FALSE,"By Code";"Input_Opt",#N/A,FALSE,"By Code"}</definedName>
    <definedName name="____dy5_4_1_4" hidden="1">{"Input_Fin",#N/A,FALSE,"By Code";"Input_Opt",#N/A,FALSE,"By Code"}</definedName>
    <definedName name="____dy5_4_2" hidden="1">{"Input_Fin",#N/A,FALSE,"By Code";"Input_Opt",#N/A,FALSE,"By Code"}</definedName>
    <definedName name="____dy5_4_2_1" hidden="1">{"Input_Fin",#N/A,FALSE,"By Code";"Input_Opt",#N/A,FALSE,"By Code"}</definedName>
    <definedName name="____dy5_4_2_2" hidden="1">{"Input_Fin",#N/A,FALSE,"By Code";"Input_Opt",#N/A,FALSE,"By Code"}</definedName>
    <definedName name="____dy5_4_2_3" hidden="1">{"Input_Fin",#N/A,FALSE,"By Code";"Input_Opt",#N/A,FALSE,"By Code"}</definedName>
    <definedName name="____dy5_4_3" hidden="1">{"Input_Fin",#N/A,FALSE,"By Code";"Input_Opt",#N/A,FALSE,"By Code"}</definedName>
    <definedName name="____dy5_4_3_1" hidden="1">{"Input_Fin",#N/A,FALSE,"By Code";"Input_Opt",#N/A,FALSE,"By Code"}</definedName>
    <definedName name="____dy5_4_3_2" hidden="1">{"Input_Fin",#N/A,FALSE,"By Code";"Input_Opt",#N/A,FALSE,"By Code"}</definedName>
    <definedName name="____dy5_4_4" hidden="1">{"Input_Fin",#N/A,FALSE,"By Code";"Input_Opt",#N/A,FALSE,"By Code"}</definedName>
    <definedName name="____dy5_4_5" hidden="1">{"Input_Fin",#N/A,FALSE,"By Code";"Input_Opt",#N/A,FALSE,"By Code"}</definedName>
    <definedName name="____dy5_5" hidden="1">{"Input_Fin",#N/A,FALSE,"By Code";"Input_Opt",#N/A,FALSE,"By Code"}</definedName>
    <definedName name="____dy5_5_1" hidden="1">{"Input_Fin",#N/A,FALSE,"By Code";"Input_Opt",#N/A,FALSE,"By Code"}</definedName>
    <definedName name="____dy5_5_1_1" hidden="1">{"Input_Fin",#N/A,FALSE,"By Code";"Input_Opt",#N/A,FALSE,"By Code"}</definedName>
    <definedName name="____dy5_5_1_1_1" hidden="1">{"Input_Fin",#N/A,FALSE,"By Code";"Input_Opt",#N/A,FALSE,"By Code"}</definedName>
    <definedName name="____dy5_5_1_1_2" hidden="1">{"Input_Fin",#N/A,FALSE,"By Code";"Input_Opt",#N/A,FALSE,"By Code"}</definedName>
    <definedName name="____dy5_5_1_1_3" hidden="1">{"Input_Fin",#N/A,FALSE,"By Code";"Input_Opt",#N/A,FALSE,"By Code"}</definedName>
    <definedName name="____dy5_5_1_2" hidden="1">{"Input_Fin",#N/A,FALSE,"By Code";"Input_Opt",#N/A,FALSE,"By Code"}</definedName>
    <definedName name="____dy5_5_1_2_1" hidden="1">{"Input_Fin",#N/A,FALSE,"By Code";"Input_Opt",#N/A,FALSE,"By Code"}</definedName>
    <definedName name="____dy5_5_1_2_2" hidden="1">{"Input_Fin",#N/A,FALSE,"By Code";"Input_Opt",#N/A,FALSE,"By Code"}</definedName>
    <definedName name="____dy5_5_1_3" hidden="1">{"Input_Fin",#N/A,FALSE,"By Code";"Input_Opt",#N/A,FALSE,"By Code"}</definedName>
    <definedName name="____dy5_5_1_4" hidden="1">{"Input_Fin",#N/A,FALSE,"By Code";"Input_Opt",#N/A,FALSE,"By Code"}</definedName>
    <definedName name="____dy5_5_2" hidden="1">{"Input_Fin",#N/A,FALSE,"By Code";"Input_Opt",#N/A,FALSE,"By Code"}</definedName>
    <definedName name="____dy5_5_2_1" hidden="1">{"Input_Fin",#N/A,FALSE,"By Code";"Input_Opt",#N/A,FALSE,"By Code"}</definedName>
    <definedName name="____dy5_5_2_2" hidden="1">{"Input_Fin",#N/A,FALSE,"By Code";"Input_Opt",#N/A,FALSE,"By Code"}</definedName>
    <definedName name="____dy5_5_2_3" hidden="1">{"Input_Fin",#N/A,FALSE,"By Code";"Input_Opt",#N/A,FALSE,"By Code"}</definedName>
    <definedName name="____dy5_5_3" hidden="1">{"Input_Fin",#N/A,FALSE,"By Code";"Input_Opt",#N/A,FALSE,"By Code"}</definedName>
    <definedName name="____dy5_5_3_1" hidden="1">{"Input_Fin",#N/A,FALSE,"By Code";"Input_Opt",#N/A,FALSE,"By Code"}</definedName>
    <definedName name="____dy5_5_3_2" hidden="1">{"Input_Fin",#N/A,FALSE,"By Code";"Input_Opt",#N/A,FALSE,"By Code"}</definedName>
    <definedName name="____dy5_5_4" hidden="1">{"Input_Fin",#N/A,FALSE,"By Code";"Input_Opt",#N/A,FALSE,"By Code"}</definedName>
    <definedName name="____dy5_5_5" hidden="1">{"Input_Fin",#N/A,FALSE,"By Code";"Input_Opt",#N/A,FALSE,"By Code"}</definedName>
    <definedName name="____dy6" localSheetId="12" hidden="1">{"Input_Fin",#N/A,FALSE,"By Code";"Input_Opt",#N/A,FALSE,"By Code"}</definedName>
    <definedName name="____dy6" hidden="1">{"Input_Fin",#N/A,FALSE,"By Code";"Input_Opt",#N/A,FALSE,"By Code"}</definedName>
    <definedName name="____dy6_1" hidden="1">{"Input_Fin",#N/A,FALSE,"By Code";"Input_Opt",#N/A,FALSE,"By Code"}</definedName>
    <definedName name="____dy6_1_1" hidden="1">{"Input_Fin",#N/A,FALSE,"By Code";"Input_Opt",#N/A,FALSE,"By Code"}</definedName>
    <definedName name="____dy6_1_1_1" hidden="1">{"Input_Fin",#N/A,FALSE,"By Code";"Input_Opt",#N/A,FALSE,"By Code"}</definedName>
    <definedName name="____dy6_1_1_1_1" hidden="1">{"Input_Fin",#N/A,FALSE,"By Code";"Input_Opt",#N/A,FALSE,"By Code"}</definedName>
    <definedName name="____dy6_1_1_1_1_1" hidden="1">{"Input_Fin",#N/A,FALSE,"By Code";"Input_Opt",#N/A,FALSE,"By Code"}</definedName>
    <definedName name="____dy6_1_1_1_1_2" hidden="1">{"Input_Fin",#N/A,FALSE,"By Code";"Input_Opt",#N/A,FALSE,"By Code"}</definedName>
    <definedName name="____dy6_1_1_1_1_3" hidden="1">{"Input_Fin",#N/A,FALSE,"By Code";"Input_Opt",#N/A,FALSE,"By Code"}</definedName>
    <definedName name="____dy6_1_1_1_2" hidden="1">{"Input_Fin",#N/A,FALSE,"By Code";"Input_Opt",#N/A,FALSE,"By Code"}</definedName>
    <definedName name="____dy6_1_1_1_2_1" hidden="1">{"Input_Fin",#N/A,FALSE,"By Code";"Input_Opt",#N/A,FALSE,"By Code"}</definedName>
    <definedName name="____dy6_1_1_1_2_2" hidden="1">{"Input_Fin",#N/A,FALSE,"By Code";"Input_Opt",#N/A,FALSE,"By Code"}</definedName>
    <definedName name="____dy6_1_1_1_3" hidden="1">{"Input_Fin",#N/A,FALSE,"By Code";"Input_Opt",#N/A,FALSE,"By Code"}</definedName>
    <definedName name="____dy6_1_1_1_3_1" hidden="1">{"Input_Fin",#N/A,FALSE,"By Code";"Input_Opt",#N/A,FALSE,"By Code"}</definedName>
    <definedName name="____dy6_1_1_1_3_2" hidden="1">{"Input_Fin",#N/A,FALSE,"By Code";"Input_Opt",#N/A,FALSE,"By Code"}</definedName>
    <definedName name="____dy6_1_1_1_4" hidden="1">{"Input_Fin",#N/A,FALSE,"By Code";"Input_Opt",#N/A,FALSE,"By Code"}</definedName>
    <definedName name="____dy6_1_1_1_5" hidden="1">{"Input_Fin",#N/A,FALSE,"By Code";"Input_Opt",#N/A,FALSE,"By Code"}</definedName>
    <definedName name="____dy6_1_1_2" hidden="1">{"Input_Fin",#N/A,FALSE,"By Code";"Input_Opt",#N/A,FALSE,"By Code"}</definedName>
    <definedName name="____dy6_1_1_2_1" hidden="1">{"Input_Fin",#N/A,FALSE,"By Code";"Input_Opt",#N/A,FALSE,"By Code"}</definedName>
    <definedName name="____dy6_1_1_2_2" hidden="1">{"Input_Fin",#N/A,FALSE,"By Code";"Input_Opt",#N/A,FALSE,"By Code"}</definedName>
    <definedName name="____dy6_1_1_2_3" hidden="1">{"Input_Fin",#N/A,FALSE,"By Code";"Input_Opt",#N/A,FALSE,"By Code"}</definedName>
    <definedName name="____dy6_1_1_3" hidden="1">{"Input_Fin",#N/A,FALSE,"By Code";"Input_Opt",#N/A,FALSE,"By Code"}</definedName>
    <definedName name="____dy6_1_1_3_1" hidden="1">{"Input_Fin",#N/A,FALSE,"By Code";"Input_Opt",#N/A,FALSE,"By Code"}</definedName>
    <definedName name="____dy6_1_1_3_2" hidden="1">{"Input_Fin",#N/A,FALSE,"By Code";"Input_Opt",#N/A,FALSE,"By Code"}</definedName>
    <definedName name="____dy6_1_1_4" hidden="1">{"Input_Fin",#N/A,FALSE,"By Code";"Input_Opt",#N/A,FALSE,"By Code"}</definedName>
    <definedName name="____dy6_1_1_5" hidden="1">{"Input_Fin",#N/A,FALSE,"By Code";"Input_Opt",#N/A,FALSE,"By Code"}</definedName>
    <definedName name="____dy6_1_2" hidden="1">{"Input_Fin",#N/A,FALSE,"By Code";"Input_Opt",#N/A,FALSE,"By Code"}</definedName>
    <definedName name="____dy6_1_2_1" hidden="1">{"Input_Fin",#N/A,FALSE,"By Code";"Input_Opt",#N/A,FALSE,"By Code"}</definedName>
    <definedName name="____dy6_1_2_2" hidden="1">{"Input_Fin",#N/A,FALSE,"By Code";"Input_Opt",#N/A,FALSE,"By Code"}</definedName>
    <definedName name="____dy6_1_2_3" hidden="1">{"Input_Fin",#N/A,FALSE,"By Code";"Input_Opt",#N/A,FALSE,"By Code"}</definedName>
    <definedName name="____dy6_1_3" hidden="1">{"Input_Fin",#N/A,FALSE,"By Code";"Input_Opt",#N/A,FALSE,"By Code"}</definedName>
    <definedName name="____dy6_1_3_1" hidden="1">{"Input_Fin",#N/A,FALSE,"By Code";"Input_Opt",#N/A,FALSE,"By Code"}</definedName>
    <definedName name="____dy6_1_3_2" hidden="1">{"Input_Fin",#N/A,FALSE,"By Code";"Input_Opt",#N/A,FALSE,"By Code"}</definedName>
    <definedName name="____dy6_1_4" hidden="1">{"Input_Fin",#N/A,FALSE,"By Code";"Input_Opt",#N/A,FALSE,"By Code"}</definedName>
    <definedName name="____dy6_1_5" hidden="1">{"Input_Fin",#N/A,FALSE,"By Code";"Input_Opt",#N/A,FALSE,"By Code"}</definedName>
    <definedName name="____dy6_2" hidden="1">{"Input_Fin",#N/A,FALSE,"By Code";"Input_Opt",#N/A,FALSE,"By Code"}</definedName>
    <definedName name="____dy6_2_1" hidden="1">{"Input_Fin",#N/A,FALSE,"By Code";"Input_Opt",#N/A,FALSE,"By Code"}</definedName>
    <definedName name="____dy6_2_1_1" hidden="1">{"Input_Fin",#N/A,FALSE,"By Code";"Input_Opt",#N/A,FALSE,"By Code"}</definedName>
    <definedName name="____dy6_2_1_1_1" hidden="1">{"Input_Fin",#N/A,FALSE,"By Code";"Input_Opt",#N/A,FALSE,"By Code"}</definedName>
    <definedName name="____dy6_2_1_1_2" hidden="1">{"Input_Fin",#N/A,FALSE,"By Code";"Input_Opt",#N/A,FALSE,"By Code"}</definedName>
    <definedName name="____dy6_2_1_1_3" hidden="1">{"Input_Fin",#N/A,FALSE,"By Code";"Input_Opt",#N/A,FALSE,"By Code"}</definedName>
    <definedName name="____dy6_2_1_2" hidden="1">{"Input_Fin",#N/A,FALSE,"By Code";"Input_Opt",#N/A,FALSE,"By Code"}</definedName>
    <definedName name="____dy6_2_1_2_1" hidden="1">{"Input_Fin",#N/A,FALSE,"By Code";"Input_Opt",#N/A,FALSE,"By Code"}</definedName>
    <definedName name="____dy6_2_1_2_2" hidden="1">{"Input_Fin",#N/A,FALSE,"By Code";"Input_Opt",#N/A,FALSE,"By Code"}</definedName>
    <definedName name="____dy6_2_1_3" hidden="1">{"Input_Fin",#N/A,FALSE,"By Code";"Input_Opt",#N/A,FALSE,"By Code"}</definedName>
    <definedName name="____dy6_2_1_4" hidden="1">{"Input_Fin",#N/A,FALSE,"By Code";"Input_Opt",#N/A,FALSE,"By Code"}</definedName>
    <definedName name="____dy6_2_2" hidden="1">{"Input_Fin",#N/A,FALSE,"By Code";"Input_Opt",#N/A,FALSE,"By Code"}</definedName>
    <definedName name="____dy6_2_2_1" hidden="1">{"Input_Fin",#N/A,FALSE,"By Code";"Input_Opt",#N/A,FALSE,"By Code"}</definedName>
    <definedName name="____dy6_2_2_2" hidden="1">{"Input_Fin",#N/A,FALSE,"By Code";"Input_Opt",#N/A,FALSE,"By Code"}</definedName>
    <definedName name="____dy6_2_2_3" hidden="1">{"Input_Fin",#N/A,FALSE,"By Code";"Input_Opt",#N/A,FALSE,"By Code"}</definedName>
    <definedName name="____dy6_2_3" hidden="1">{"Input_Fin",#N/A,FALSE,"By Code";"Input_Opt",#N/A,FALSE,"By Code"}</definedName>
    <definedName name="____dy6_2_3_1" hidden="1">{"Input_Fin",#N/A,FALSE,"By Code";"Input_Opt",#N/A,FALSE,"By Code"}</definedName>
    <definedName name="____dy6_2_3_2" hidden="1">{"Input_Fin",#N/A,FALSE,"By Code";"Input_Opt",#N/A,FALSE,"By Code"}</definedName>
    <definedName name="____dy6_2_4" hidden="1">{"Input_Fin",#N/A,FALSE,"By Code";"Input_Opt",#N/A,FALSE,"By Code"}</definedName>
    <definedName name="____dy6_2_5" hidden="1">{"Input_Fin",#N/A,FALSE,"By Code";"Input_Opt",#N/A,FALSE,"By Code"}</definedName>
    <definedName name="____dy6_3" hidden="1">{"Input_Fin",#N/A,FALSE,"By Code";"Input_Opt",#N/A,FALSE,"By Code"}</definedName>
    <definedName name="____dy6_3_1" hidden="1">{"Input_Fin",#N/A,FALSE,"By Code";"Input_Opt",#N/A,FALSE,"By Code"}</definedName>
    <definedName name="____dy6_3_1_1" hidden="1">{"Input_Fin",#N/A,FALSE,"By Code";"Input_Opt",#N/A,FALSE,"By Code"}</definedName>
    <definedName name="____dy6_3_1_1_1" hidden="1">{"Input_Fin",#N/A,FALSE,"By Code";"Input_Opt",#N/A,FALSE,"By Code"}</definedName>
    <definedName name="____dy6_3_1_1_2" hidden="1">{"Input_Fin",#N/A,FALSE,"By Code";"Input_Opt",#N/A,FALSE,"By Code"}</definedName>
    <definedName name="____dy6_3_1_1_3" hidden="1">{"Input_Fin",#N/A,FALSE,"By Code";"Input_Opt",#N/A,FALSE,"By Code"}</definedName>
    <definedName name="____dy6_3_1_2" hidden="1">{"Input_Fin",#N/A,FALSE,"By Code";"Input_Opt",#N/A,FALSE,"By Code"}</definedName>
    <definedName name="____dy6_3_1_2_1" hidden="1">{"Input_Fin",#N/A,FALSE,"By Code";"Input_Opt",#N/A,FALSE,"By Code"}</definedName>
    <definedName name="____dy6_3_1_2_2" hidden="1">{"Input_Fin",#N/A,FALSE,"By Code";"Input_Opt",#N/A,FALSE,"By Code"}</definedName>
    <definedName name="____dy6_3_1_3" hidden="1">{"Input_Fin",#N/A,FALSE,"By Code";"Input_Opt",#N/A,FALSE,"By Code"}</definedName>
    <definedName name="____dy6_3_1_4" hidden="1">{"Input_Fin",#N/A,FALSE,"By Code";"Input_Opt",#N/A,FALSE,"By Code"}</definedName>
    <definedName name="____dy6_3_2" hidden="1">{"Input_Fin",#N/A,FALSE,"By Code";"Input_Opt",#N/A,FALSE,"By Code"}</definedName>
    <definedName name="____dy6_3_2_1" hidden="1">{"Input_Fin",#N/A,FALSE,"By Code";"Input_Opt",#N/A,FALSE,"By Code"}</definedName>
    <definedName name="____dy6_3_2_2" hidden="1">{"Input_Fin",#N/A,FALSE,"By Code";"Input_Opt",#N/A,FALSE,"By Code"}</definedName>
    <definedName name="____dy6_3_2_3" hidden="1">{"Input_Fin",#N/A,FALSE,"By Code";"Input_Opt",#N/A,FALSE,"By Code"}</definedName>
    <definedName name="____dy6_3_3" hidden="1">{"Input_Fin",#N/A,FALSE,"By Code";"Input_Opt",#N/A,FALSE,"By Code"}</definedName>
    <definedName name="____dy6_3_3_1" hidden="1">{"Input_Fin",#N/A,FALSE,"By Code";"Input_Opt",#N/A,FALSE,"By Code"}</definedName>
    <definedName name="____dy6_3_3_2" hidden="1">{"Input_Fin",#N/A,FALSE,"By Code";"Input_Opt",#N/A,FALSE,"By Code"}</definedName>
    <definedName name="____dy6_3_4" hidden="1">{"Input_Fin",#N/A,FALSE,"By Code";"Input_Opt",#N/A,FALSE,"By Code"}</definedName>
    <definedName name="____dy6_3_5" hidden="1">{"Input_Fin",#N/A,FALSE,"By Code";"Input_Opt",#N/A,FALSE,"By Code"}</definedName>
    <definedName name="____dy6_4" hidden="1">{"Input_Fin",#N/A,FALSE,"By Code";"Input_Opt",#N/A,FALSE,"By Code"}</definedName>
    <definedName name="____dy6_4_1" hidden="1">{"Input_Fin",#N/A,FALSE,"By Code";"Input_Opt",#N/A,FALSE,"By Code"}</definedName>
    <definedName name="____dy6_4_1_1" hidden="1">{"Input_Fin",#N/A,FALSE,"By Code";"Input_Opt",#N/A,FALSE,"By Code"}</definedName>
    <definedName name="____dy6_4_1_1_1" hidden="1">{"Input_Fin",#N/A,FALSE,"By Code";"Input_Opt",#N/A,FALSE,"By Code"}</definedName>
    <definedName name="____dy6_4_1_1_2" hidden="1">{"Input_Fin",#N/A,FALSE,"By Code";"Input_Opt",#N/A,FALSE,"By Code"}</definedName>
    <definedName name="____dy6_4_1_1_3" hidden="1">{"Input_Fin",#N/A,FALSE,"By Code";"Input_Opt",#N/A,FALSE,"By Code"}</definedName>
    <definedName name="____dy6_4_1_2" hidden="1">{"Input_Fin",#N/A,FALSE,"By Code";"Input_Opt",#N/A,FALSE,"By Code"}</definedName>
    <definedName name="____dy6_4_1_2_1" hidden="1">{"Input_Fin",#N/A,FALSE,"By Code";"Input_Opt",#N/A,FALSE,"By Code"}</definedName>
    <definedName name="____dy6_4_1_2_2" hidden="1">{"Input_Fin",#N/A,FALSE,"By Code";"Input_Opt",#N/A,FALSE,"By Code"}</definedName>
    <definedName name="____dy6_4_1_3" hidden="1">{"Input_Fin",#N/A,FALSE,"By Code";"Input_Opt",#N/A,FALSE,"By Code"}</definedName>
    <definedName name="____dy6_4_1_4" hidden="1">{"Input_Fin",#N/A,FALSE,"By Code";"Input_Opt",#N/A,FALSE,"By Code"}</definedName>
    <definedName name="____dy6_4_2" hidden="1">{"Input_Fin",#N/A,FALSE,"By Code";"Input_Opt",#N/A,FALSE,"By Code"}</definedName>
    <definedName name="____dy6_4_2_1" hidden="1">{"Input_Fin",#N/A,FALSE,"By Code";"Input_Opt",#N/A,FALSE,"By Code"}</definedName>
    <definedName name="____dy6_4_2_2" hidden="1">{"Input_Fin",#N/A,FALSE,"By Code";"Input_Opt",#N/A,FALSE,"By Code"}</definedName>
    <definedName name="____dy6_4_2_3" hidden="1">{"Input_Fin",#N/A,FALSE,"By Code";"Input_Opt",#N/A,FALSE,"By Code"}</definedName>
    <definedName name="____dy6_4_3" hidden="1">{"Input_Fin",#N/A,FALSE,"By Code";"Input_Opt",#N/A,FALSE,"By Code"}</definedName>
    <definedName name="____dy6_4_3_1" hidden="1">{"Input_Fin",#N/A,FALSE,"By Code";"Input_Opt",#N/A,FALSE,"By Code"}</definedName>
    <definedName name="____dy6_4_3_2" hidden="1">{"Input_Fin",#N/A,FALSE,"By Code";"Input_Opt",#N/A,FALSE,"By Code"}</definedName>
    <definedName name="____dy6_4_4" hidden="1">{"Input_Fin",#N/A,FALSE,"By Code";"Input_Opt",#N/A,FALSE,"By Code"}</definedName>
    <definedName name="____dy6_4_5" hidden="1">{"Input_Fin",#N/A,FALSE,"By Code";"Input_Opt",#N/A,FALSE,"By Code"}</definedName>
    <definedName name="____dy6_5" hidden="1">{"Input_Fin",#N/A,FALSE,"By Code";"Input_Opt",#N/A,FALSE,"By Code"}</definedName>
    <definedName name="____dy6_5_1" hidden="1">{"Input_Fin",#N/A,FALSE,"By Code";"Input_Opt",#N/A,FALSE,"By Code"}</definedName>
    <definedName name="____dy6_5_1_1" hidden="1">{"Input_Fin",#N/A,FALSE,"By Code";"Input_Opt",#N/A,FALSE,"By Code"}</definedName>
    <definedName name="____dy6_5_1_1_1" hidden="1">{"Input_Fin",#N/A,FALSE,"By Code";"Input_Opt",#N/A,FALSE,"By Code"}</definedName>
    <definedName name="____dy6_5_1_1_2" hidden="1">{"Input_Fin",#N/A,FALSE,"By Code";"Input_Opt",#N/A,FALSE,"By Code"}</definedName>
    <definedName name="____dy6_5_1_1_3" hidden="1">{"Input_Fin",#N/A,FALSE,"By Code";"Input_Opt",#N/A,FALSE,"By Code"}</definedName>
    <definedName name="____dy6_5_1_2" hidden="1">{"Input_Fin",#N/A,FALSE,"By Code";"Input_Opt",#N/A,FALSE,"By Code"}</definedName>
    <definedName name="____dy6_5_1_2_1" hidden="1">{"Input_Fin",#N/A,FALSE,"By Code";"Input_Opt",#N/A,FALSE,"By Code"}</definedName>
    <definedName name="____dy6_5_1_2_2" hidden="1">{"Input_Fin",#N/A,FALSE,"By Code";"Input_Opt",#N/A,FALSE,"By Code"}</definedName>
    <definedName name="____dy6_5_1_3" hidden="1">{"Input_Fin",#N/A,FALSE,"By Code";"Input_Opt",#N/A,FALSE,"By Code"}</definedName>
    <definedName name="____dy6_5_1_4" hidden="1">{"Input_Fin",#N/A,FALSE,"By Code";"Input_Opt",#N/A,FALSE,"By Code"}</definedName>
    <definedName name="____dy6_5_2" hidden="1">{"Input_Fin",#N/A,FALSE,"By Code";"Input_Opt",#N/A,FALSE,"By Code"}</definedName>
    <definedName name="____dy6_5_2_1" hidden="1">{"Input_Fin",#N/A,FALSE,"By Code";"Input_Opt",#N/A,FALSE,"By Code"}</definedName>
    <definedName name="____dy6_5_2_2" hidden="1">{"Input_Fin",#N/A,FALSE,"By Code";"Input_Opt",#N/A,FALSE,"By Code"}</definedName>
    <definedName name="____dy6_5_2_3" hidden="1">{"Input_Fin",#N/A,FALSE,"By Code";"Input_Opt",#N/A,FALSE,"By Code"}</definedName>
    <definedName name="____dy6_5_3" hidden="1">{"Input_Fin",#N/A,FALSE,"By Code";"Input_Opt",#N/A,FALSE,"By Code"}</definedName>
    <definedName name="____dy6_5_3_1" hidden="1">{"Input_Fin",#N/A,FALSE,"By Code";"Input_Opt",#N/A,FALSE,"By Code"}</definedName>
    <definedName name="____dy6_5_3_2" hidden="1">{"Input_Fin",#N/A,FALSE,"By Code";"Input_Opt",#N/A,FALSE,"By Code"}</definedName>
    <definedName name="____dy6_5_4" hidden="1">{"Input_Fin",#N/A,FALSE,"By Code";"Input_Opt",#N/A,FALSE,"By Code"}</definedName>
    <definedName name="____dy6_5_5" hidden="1">{"Input_Fin",#N/A,FALSE,"By Code";"Input_Opt",#N/A,FALSE,"By Code"}</definedName>
    <definedName name="____jhi44" localSheetId="12" hidden="1">{"Input_Fin",#N/A,FALSE,"By Code";"Input_Opt",#N/A,FALSE,"By Code"}</definedName>
    <definedName name="____jhi44" hidden="1">{"Input_Fin",#N/A,FALSE,"By Code";"Input_Opt",#N/A,FALSE,"By Code"}</definedName>
    <definedName name="____jhi44_1" hidden="1">{"Input_Fin",#N/A,FALSE,"By Code";"Input_Opt",#N/A,FALSE,"By Code"}</definedName>
    <definedName name="____jhi44_1_1" hidden="1">{"Input_Fin",#N/A,FALSE,"By Code";"Input_Opt",#N/A,FALSE,"By Code"}</definedName>
    <definedName name="____jhi44_1_1_1" hidden="1">{"Input_Fin",#N/A,FALSE,"By Code";"Input_Opt",#N/A,FALSE,"By Code"}</definedName>
    <definedName name="____jhi44_1_1_1_1" hidden="1">{"Input_Fin",#N/A,FALSE,"By Code";"Input_Opt",#N/A,FALSE,"By Code"}</definedName>
    <definedName name="____jhi44_1_1_1_1_1" hidden="1">{"Input_Fin",#N/A,FALSE,"By Code";"Input_Opt",#N/A,FALSE,"By Code"}</definedName>
    <definedName name="____jhi44_1_1_1_1_2" hidden="1">{"Input_Fin",#N/A,FALSE,"By Code";"Input_Opt",#N/A,FALSE,"By Code"}</definedName>
    <definedName name="____jhi44_1_1_1_1_3" hidden="1">{"Input_Fin",#N/A,FALSE,"By Code";"Input_Opt",#N/A,FALSE,"By Code"}</definedName>
    <definedName name="____jhi44_1_1_1_2" hidden="1">{"Input_Fin",#N/A,FALSE,"By Code";"Input_Opt",#N/A,FALSE,"By Code"}</definedName>
    <definedName name="____jhi44_1_1_1_2_1" hidden="1">{"Input_Fin",#N/A,FALSE,"By Code";"Input_Opt",#N/A,FALSE,"By Code"}</definedName>
    <definedName name="____jhi44_1_1_1_2_2" hidden="1">{"Input_Fin",#N/A,FALSE,"By Code";"Input_Opt",#N/A,FALSE,"By Code"}</definedName>
    <definedName name="____jhi44_1_1_1_3" hidden="1">{"Input_Fin",#N/A,FALSE,"By Code";"Input_Opt",#N/A,FALSE,"By Code"}</definedName>
    <definedName name="____jhi44_1_1_1_3_1" hidden="1">{"Input_Fin",#N/A,FALSE,"By Code";"Input_Opt",#N/A,FALSE,"By Code"}</definedName>
    <definedName name="____jhi44_1_1_1_3_2" hidden="1">{"Input_Fin",#N/A,FALSE,"By Code";"Input_Opt",#N/A,FALSE,"By Code"}</definedName>
    <definedName name="____jhi44_1_1_1_4" hidden="1">{"Input_Fin",#N/A,FALSE,"By Code";"Input_Opt",#N/A,FALSE,"By Code"}</definedName>
    <definedName name="____jhi44_1_1_1_5" hidden="1">{"Input_Fin",#N/A,FALSE,"By Code";"Input_Opt",#N/A,FALSE,"By Code"}</definedName>
    <definedName name="____jhi44_1_1_2" hidden="1">{"Input_Fin",#N/A,FALSE,"By Code";"Input_Opt",#N/A,FALSE,"By Code"}</definedName>
    <definedName name="____jhi44_1_1_2_1" hidden="1">{"Input_Fin",#N/A,FALSE,"By Code";"Input_Opt",#N/A,FALSE,"By Code"}</definedName>
    <definedName name="____jhi44_1_1_2_2" hidden="1">{"Input_Fin",#N/A,FALSE,"By Code";"Input_Opt",#N/A,FALSE,"By Code"}</definedName>
    <definedName name="____jhi44_1_1_2_3" hidden="1">{"Input_Fin",#N/A,FALSE,"By Code";"Input_Opt",#N/A,FALSE,"By Code"}</definedName>
    <definedName name="____jhi44_1_1_3" hidden="1">{"Input_Fin",#N/A,FALSE,"By Code";"Input_Opt",#N/A,FALSE,"By Code"}</definedName>
    <definedName name="____jhi44_1_1_3_1" hidden="1">{"Input_Fin",#N/A,FALSE,"By Code";"Input_Opt",#N/A,FALSE,"By Code"}</definedName>
    <definedName name="____jhi44_1_1_3_2" hidden="1">{"Input_Fin",#N/A,FALSE,"By Code";"Input_Opt",#N/A,FALSE,"By Code"}</definedName>
    <definedName name="____jhi44_1_1_4" hidden="1">{"Input_Fin",#N/A,FALSE,"By Code";"Input_Opt",#N/A,FALSE,"By Code"}</definedName>
    <definedName name="____jhi44_1_1_5" hidden="1">{"Input_Fin",#N/A,FALSE,"By Code";"Input_Opt",#N/A,FALSE,"By Code"}</definedName>
    <definedName name="____jhi44_1_2" hidden="1">{"Input_Fin",#N/A,FALSE,"By Code";"Input_Opt",#N/A,FALSE,"By Code"}</definedName>
    <definedName name="____jhi44_1_2_1" hidden="1">{"Input_Fin",#N/A,FALSE,"By Code";"Input_Opt",#N/A,FALSE,"By Code"}</definedName>
    <definedName name="____jhi44_1_2_2" hidden="1">{"Input_Fin",#N/A,FALSE,"By Code";"Input_Opt",#N/A,FALSE,"By Code"}</definedName>
    <definedName name="____jhi44_1_2_3" hidden="1">{"Input_Fin",#N/A,FALSE,"By Code";"Input_Opt",#N/A,FALSE,"By Code"}</definedName>
    <definedName name="____jhi44_1_3" hidden="1">{"Input_Fin",#N/A,FALSE,"By Code";"Input_Opt",#N/A,FALSE,"By Code"}</definedName>
    <definedName name="____jhi44_1_3_1" hidden="1">{"Input_Fin",#N/A,FALSE,"By Code";"Input_Opt",#N/A,FALSE,"By Code"}</definedName>
    <definedName name="____jhi44_1_3_2" hidden="1">{"Input_Fin",#N/A,FALSE,"By Code";"Input_Opt",#N/A,FALSE,"By Code"}</definedName>
    <definedName name="____jhi44_1_4" hidden="1">{"Input_Fin",#N/A,FALSE,"By Code";"Input_Opt",#N/A,FALSE,"By Code"}</definedName>
    <definedName name="____jhi44_1_5" hidden="1">{"Input_Fin",#N/A,FALSE,"By Code";"Input_Opt",#N/A,FALSE,"By Code"}</definedName>
    <definedName name="____jhi44_2" hidden="1">{"Input_Fin",#N/A,FALSE,"By Code";"Input_Opt",#N/A,FALSE,"By Code"}</definedName>
    <definedName name="____jhi44_2_1" hidden="1">{"Input_Fin",#N/A,FALSE,"By Code";"Input_Opt",#N/A,FALSE,"By Code"}</definedName>
    <definedName name="____jhi44_2_1_1" hidden="1">{"Input_Fin",#N/A,FALSE,"By Code";"Input_Opt",#N/A,FALSE,"By Code"}</definedName>
    <definedName name="____jhi44_2_1_1_1" hidden="1">{"Input_Fin",#N/A,FALSE,"By Code";"Input_Opt",#N/A,FALSE,"By Code"}</definedName>
    <definedName name="____jhi44_2_1_1_2" hidden="1">{"Input_Fin",#N/A,FALSE,"By Code";"Input_Opt",#N/A,FALSE,"By Code"}</definedName>
    <definedName name="____jhi44_2_1_1_3" hidden="1">{"Input_Fin",#N/A,FALSE,"By Code";"Input_Opt",#N/A,FALSE,"By Code"}</definedName>
    <definedName name="____jhi44_2_1_2" hidden="1">{"Input_Fin",#N/A,FALSE,"By Code";"Input_Opt",#N/A,FALSE,"By Code"}</definedName>
    <definedName name="____jhi44_2_1_2_1" hidden="1">{"Input_Fin",#N/A,FALSE,"By Code";"Input_Opt",#N/A,FALSE,"By Code"}</definedName>
    <definedName name="____jhi44_2_1_2_2" hidden="1">{"Input_Fin",#N/A,FALSE,"By Code";"Input_Opt",#N/A,FALSE,"By Code"}</definedName>
    <definedName name="____jhi44_2_1_3" hidden="1">{"Input_Fin",#N/A,FALSE,"By Code";"Input_Opt",#N/A,FALSE,"By Code"}</definedName>
    <definedName name="____jhi44_2_1_4" hidden="1">{"Input_Fin",#N/A,FALSE,"By Code";"Input_Opt",#N/A,FALSE,"By Code"}</definedName>
    <definedName name="____jhi44_2_2" hidden="1">{"Input_Fin",#N/A,FALSE,"By Code";"Input_Opt",#N/A,FALSE,"By Code"}</definedName>
    <definedName name="____jhi44_2_2_1" hidden="1">{"Input_Fin",#N/A,FALSE,"By Code";"Input_Opt",#N/A,FALSE,"By Code"}</definedName>
    <definedName name="____jhi44_2_2_2" hidden="1">{"Input_Fin",#N/A,FALSE,"By Code";"Input_Opt",#N/A,FALSE,"By Code"}</definedName>
    <definedName name="____jhi44_2_2_3" hidden="1">{"Input_Fin",#N/A,FALSE,"By Code";"Input_Opt",#N/A,FALSE,"By Code"}</definedName>
    <definedName name="____jhi44_2_3" hidden="1">{"Input_Fin",#N/A,FALSE,"By Code";"Input_Opt",#N/A,FALSE,"By Code"}</definedName>
    <definedName name="____jhi44_2_3_1" hidden="1">{"Input_Fin",#N/A,FALSE,"By Code";"Input_Opt",#N/A,FALSE,"By Code"}</definedName>
    <definedName name="____jhi44_2_3_2" hidden="1">{"Input_Fin",#N/A,FALSE,"By Code";"Input_Opt",#N/A,FALSE,"By Code"}</definedName>
    <definedName name="____jhi44_2_4" hidden="1">{"Input_Fin",#N/A,FALSE,"By Code";"Input_Opt",#N/A,FALSE,"By Code"}</definedName>
    <definedName name="____jhi44_2_5" hidden="1">{"Input_Fin",#N/A,FALSE,"By Code";"Input_Opt",#N/A,FALSE,"By Code"}</definedName>
    <definedName name="____jhi44_3" hidden="1">{"Input_Fin",#N/A,FALSE,"By Code";"Input_Opt",#N/A,FALSE,"By Code"}</definedName>
    <definedName name="____jhi44_3_1" hidden="1">{"Input_Fin",#N/A,FALSE,"By Code";"Input_Opt",#N/A,FALSE,"By Code"}</definedName>
    <definedName name="____jhi44_3_1_1" hidden="1">{"Input_Fin",#N/A,FALSE,"By Code";"Input_Opt",#N/A,FALSE,"By Code"}</definedName>
    <definedName name="____jhi44_3_1_1_1" hidden="1">{"Input_Fin",#N/A,FALSE,"By Code";"Input_Opt",#N/A,FALSE,"By Code"}</definedName>
    <definedName name="____jhi44_3_1_1_2" hidden="1">{"Input_Fin",#N/A,FALSE,"By Code";"Input_Opt",#N/A,FALSE,"By Code"}</definedName>
    <definedName name="____jhi44_3_1_1_3" hidden="1">{"Input_Fin",#N/A,FALSE,"By Code";"Input_Opt",#N/A,FALSE,"By Code"}</definedName>
    <definedName name="____jhi44_3_1_2" hidden="1">{"Input_Fin",#N/A,FALSE,"By Code";"Input_Opt",#N/A,FALSE,"By Code"}</definedName>
    <definedName name="____jhi44_3_1_2_1" hidden="1">{"Input_Fin",#N/A,FALSE,"By Code";"Input_Opt",#N/A,FALSE,"By Code"}</definedName>
    <definedName name="____jhi44_3_1_2_2" hidden="1">{"Input_Fin",#N/A,FALSE,"By Code";"Input_Opt",#N/A,FALSE,"By Code"}</definedName>
    <definedName name="____jhi44_3_1_3" hidden="1">{"Input_Fin",#N/A,FALSE,"By Code";"Input_Opt",#N/A,FALSE,"By Code"}</definedName>
    <definedName name="____jhi44_3_1_4" hidden="1">{"Input_Fin",#N/A,FALSE,"By Code";"Input_Opt",#N/A,FALSE,"By Code"}</definedName>
    <definedName name="____jhi44_3_2" hidden="1">{"Input_Fin",#N/A,FALSE,"By Code";"Input_Opt",#N/A,FALSE,"By Code"}</definedName>
    <definedName name="____jhi44_3_2_1" hidden="1">{"Input_Fin",#N/A,FALSE,"By Code";"Input_Opt",#N/A,FALSE,"By Code"}</definedName>
    <definedName name="____jhi44_3_2_2" hidden="1">{"Input_Fin",#N/A,FALSE,"By Code";"Input_Opt",#N/A,FALSE,"By Code"}</definedName>
    <definedName name="____jhi44_3_2_3" hidden="1">{"Input_Fin",#N/A,FALSE,"By Code";"Input_Opt",#N/A,FALSE,"By Code"}</definedName>
    <definedName name="____jhi44_3_3" hidden="1">{"Input_Fin",#N/A,FALSE,"By Code";"Input_Opt",#N/A,FALSE,"By Code"}</definedName>
    <definedName name="____jhi44_3_3_1" hidden="1">{"Input_Fin",#N/A,FALSE,"By Code";"Input_Opt",#N/A,FALSE,"By Code"}</definedName>
    <definedName name="____jhi44_3_3_2" hidden="1">{"Input_Fin",#N/A,FALSE,"By Code";"Input_Opt",#N/A,FALSE,"By Code"}</definedName>
    <definedName name="____jhi44_3_4" hidden="1">{"Input_Fin",#N/A,FALSE,"By Code";"Input_Opt",#N/A,FALSE,"By Code"}</definedName>
    <definedName name="____jhi44_3_5" hidden="1">{"Input_Fin",#N/A,FALSE,"By Code";"Input_Opt",#N/A,FALSE,"By Code"}</definedName>
    <definedName name="____jhi44_4" hidden="1">{"Input_Fin",#N/A,FALSE,"By Code";"Input_Opt",#N/A,FALSE,"By Code"}</definedName>
    <definedName name="____jhi44_4_1" hidden="1">{"Input_Fin",#N/A,FALSE,"By Code";"Input_Opt",#N/A,FALSE,"By Code"}</definedName>
    <definedName name="____jhi44_4_1_1" hidden="1">{"Input_Fin",#N/A,FALSE,"By Code";"Input_Opt",#N/A,FALSE,"By Code"}</definedName>
    <definedName name="____jhi44_4_1_1_1" hidden="1">{"Input_Fin",#N/A,FALSE,"By Code";"Input_Opt",#N/A,FALSE,"By Code"}</definedName>
    <definedName name="____jhi44_4_1_1_2" hidden="1">{"Input_Fin",#N/A,FALSE,"By Code";"Input_Opt",#N/A,FALSE,"By Code"}</definedName>
    <definedName name="____jhi44_4_1_1_3" hidden="1">{"Input_Fin",#N/A,FALSE,"By Code";"Input_Opt",#N/A,FALSE,"By Code"}</definedName>
    <definedName name="____jhi44_4_1_2" hidden="1">{"Input_Fin",#N/A,FALSE,"By Code";"Input_Opt",#N/A,FALSE,"By Code"}</definedName>
    <definedName name="____jhi44_4_1_2_1" hidden="1">{"Input_Fin",#N/A,FALSE,"By Code";"Input_Opt",#N/A,FALSE,"By Code"}</definedName>
    <definedName name="____jhi44_4_1_2_2" hidden="1">{"Input_Fin",#N/A,FALSE,"By Code";"Input_Opt",#N/A,FALSE,"By Code"}</definedName>
    <definedName name="____jhi44_4_1_3" hidden="1">{"Input_Fin",#N/A,FALSE,"By Code";"Input_Opt",#N/A,FALSE,"By Code"}</definedName>
    <definedName name="____jhi44_4_1_4" hidden="1">{"Input_Fin",#N/A,FALSE,"By Code";"Input_Opt",#N/A,FALSE,"By Code"}</definedName>
    <definedName name="____jhi44_4_2" hidden="1">{"Input_Fin",#N/A,FALSE,"By Code";"Input_Opt",#N/A,FALSE,"By Code"}</definedName>
    <definedName name="____jhi44_4_2_1" hidden="1">{"Input_Fin",#N/A,FALSE,"By Code";"Input_Opt",#N/A,FALSE,"By Code"}</definedName>
    <definedName name="____jhi44_4_2_2" hidden="1">{"Input_Fin",#N/A,FALSE,"By Code";"Input_Opt",#N/A,FALSE,"By Code"}</definedName>
    <definedName name="____jhi44_4_2_3" hidden="1">{"Input_Fin",#N/A,FALSE,"By Code";"Input_Opt",#N/A,FALSE,"By Code"}</definedName>
    <definedName name="____jhi44_4_3" hidden="1">{"Input_Fin",#N/A,FALSE,"By Code";"Input_Opt",#N/A,FALSE,"By Code"}</definedName>
    <definedName name="____jhi44_4_3_1" hidden="1">{"Input_Fin",#N/A,FALSE,"By Code";"Input_Opt",#N/A,FALSE,"By Code"}</definedName>
    <definedName name="____jhi44_4_3_2" hidden="1">{"Input_Fin",#N/A,FALSE,"By Code";"Input_Opt",#N/A,FALSE,"By Code"}</definedName>
    <definedName name="____jhi44_4_4" hidden="1">{"Input_Fin",#N/A,FALSE,"By Code";"Input_Opt",#N/A,FALSE,"By Code"}</definedName>
    <definedName name="____jhi44_4_5" hidden="1">{"Input_Fin",#N/A,FALSE,"By Code";"Input_Opt",#N/A,FALSE,"By Code"}</definedName>
    <definedName name="____jhi44_5" hidden="1">{"Input_Fin",#N/A,FALSE,"By Code";"Input_Opt",#N/A,FALSE,"By Code"}</definedName>
    <definedName name="____jhi44_5_1" hidden="1">{"Input_Fin",#N/A,FALSE,"By Code";"Input_Opt",#N/A,FALSE,"By Code"}</definedName>
    <definedName name="____jhi44_5_1_1" hidden="1">{"Input_Fin",#N/A,FALSE,"By Code";"Input_Opt",#N/A,FALSE,"By Code"}</definedName>
    <definedName name="____jhi44_5_1_1_1" hidden="1">{"Input_Fin",#N/A,FALSE,"By Code";"Input_Opt",#N/A,FALSE,"By Code"}</definedName>
    <definedName name="____jhi44_5_1_1_2" hidden="1">{"Input_Fin",#N/A,FALSE,"By Code";"Input_Opt",#N/A,FALSE,"By Code"}</definedName>
    <definedName name="____jhi44_5_1_1_3" hidden="1">{"Input_Fin",#N/A,FALSE,"By Code";"Input_Opt",#N/A,FALSE,"By Code"}</definedName>
    <definedName name="____jhi44_5_1_2" hidden="1">{"Input_Fin",#N/A,FALSE,"By Code";"Input_Opt",#N/A,FALSE,"By Code"}</definedName>
    <definedName name="____jhi44_5_1_2_1" hidden="1">{"Input_Fin",#N/A,FALSE,"By Code";"Input_Opt",#N/A,FALSE,"By Code"}</definedName>
    <definedName name="____jhi44_5_1_2_2" hidden="1">{"Input_Fin",#N/A,FALSE,"By Code";"Input_Opt",#N/A,FALSE,"By Code"}</definedName>
    <definedName name="____jhi44_5_1_3" hidden="1">{"Input_Fin",#N/A,FALSE,"By Code";"Input_Opt",#N/A,FALSE,"By Code"}</definedName>
    <definedName name="____jhi44_5_1_4" hidden="1">{"Input_Fin",#N/A,FALSE,"By Code";"Input_Opt",#N/A,FALSE,"By Code"}</definedName>
    <definedName name="____jhi44_5_2" hidden="1">{"Input_Fin",#N/A,FALSE,"By Code";"Input_Opt",#N/A,FALSE,"By Code"}</definedName>
    <definedName name="____jhi44_5_2_1" hidden="1">{"Input_Fin",#N/A,FALSE,"By Code";"Input_Opt",#N/A,FALSE,"By Code"}</definedName>
    <definedName name="____jhi44_5_2_2" hidden="1">{"Input_Fin",#N/A,FALSE,"By Code";"Input_Opt",#N/A,FALSE,"By Code"}</definedName>
    <definedName name="____jhi44_5_2_3" hidden="1">{"Input_Fin",#N/A,FALSE,"By Code";"Input_Opt",#N/A,FALSE,"By Code"}</definedName>
    <definedName name="____jhi44_5_3" hidden="1">{"Input_Fin",#N/A,FALSE,"By Code";"Input_Opt",#N/A,FALSE,"By Code"}</definedName>
    <definedName name="____jhi44_5_3_1" hidden="1">{"Input_Fin",#N/A,FALSE,"By Code";"Input_Opt",#N/A,FALSE,"By Code"}</definedName>
    <definedName name="____jhi44_5_3_2" hidden="1">{"Input_Fin",#N/A,FALSE,"By Code";"Input_Opt",#N/A,FALSE,"By Code"}</definedName>
    <definedName name="____jhi44_5_4" hidden="1">{"Input_Fin",#N/A,FALSE,"By Code";"Input_Opt",#N/A,FALSE,"By Code"}</definedName>
    <definedName name="____jhi44_5_5" hidden="1">{"Input_Fin",#N/A,FALSE,"By Code";"Input_Opt",#N/A,FALSE,"By Code"}</definedName>
    <definedName name="___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xlfn.BAHTTEXT" hidden="1">#NAME?</definedName>
    <definedName name="___11dy1_" localSheetId="12" hidden="1">{"Input_Fin",#N/A,FALSE,"By Code";"Input_Opt",#N/A,FALSE,"By Code"}</definedName>
    <definedName name="___11dy1_" hidden="1">{"Input_Fin",#N/A,FALSE,"By Code";"Input_Opt",#N/A,FALSE,"By Code"}</definedName>
    <definedName name="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AAA00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AAA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BBB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123" localSheetId="12" hidden="1">{"Input_Fin",#N/A,FALSE,"By Code";"Input_Opt",#N/A,FALSE,"By Code"}</definedName>
    <definedName name="___D123" hidden="1">{"Input_Fin",#N/A,FALSE,"By Code";"Input_Opt",#N/A,FALSE,"By Code"}</definedName>
    <definedName name="___dd2" hidden="1">{"Input_Fin",#N/A,FALSE,"By Code";"Input_Opt",#N/A,FALSE,"By Code"}</definedName>
    <definedName name="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1" localSheetId="12" hidden="1">{"Input_Fin",#N/A,FALSE,"By Code";"Input_Opt",#N/A,FALSE,"By Code"}</definedName>
    <definedName name="___dy1" hidden="1">{"Input_Fin",#N/A,FALSE,"By Code";"Input_Opt",#N/A,FALSE,"By Code"}</definedName>
    <definedName name="___dy1_1" hidden="1">{"Input_Fin",#N/A,FALSE,"By Code";"Input_Opt",#N/A,FALSE,"By Code"}</definedName>
    <definedName name="___dy1_1_1" hidden="1">{"Input_Fin",#N/A,FALSE,"By Code";"Input_Opt",#N/A,FALSE,"By Code"}</definedName>
    <definedName name="___dy1_1_1_1" hidden="1">{"Input_Fin",#N/A,FALSE,"By Code";"Input_Opt",#N/A,FALSE,"By Code"}</definedName>
    <definedName name="___dy1_1_1_1_1" hidden="1">{"Input_Fin",#N/A,FALSE,"By Code";"Input_Opt",#N/A,FALSE,"By Code"}</definedName>
    <definedName name="___dy1_1_1_1_1_1" hidden="1">{"Input_Fin",#N/A,FALSE,"By Code";"Input_Opt",#N/A,FALSE,"By Code"}</definedName>
    <definedName name="___dy1_1_1_1_1_2" hidden="1">{"Input_Fin",#N/A,FALSE,"By Code";"Input_Opt",#N/A,FALSE,"By Code"}</definedName>
    <definedName name="___dy1_1_1_1_1_3" hidden="1">{"Input_Fin",#N/A,FALSE,"By Code";"Input_Opt",#N/A,FALSE,"By Code"}</definedName>
    <definedName name="___dy1_1_1_1_2" hidden="1">{"Input_Fin",#N/A,FALSE,"By Code";"Input_Opt",#N/A,FALSE,"By Code"}</definedName>
    <definedName name="___dy1_1_1_1_2_1" hidden="1">{"Input_Fin",#N/A,FALSE,"By Code";"Input_Opt",#N/A,FALSE,"By Code"}</definedName>
    <definedName name="___dy1_1_1_1_2_2" hidden="1">{"Input_Fin",#N/A,FALSE,"By Code";"Input_Opt",#N/A,FALSE,"By Code"}</definedName>
    <definedName name="___dy1_1_1_1_3" hidden="1">{"Input_Fin",#N/A,FALSE,"By Code";"Input_Opt",#N/A,FALSE,"By Code"}</definedName>
    <definedName name="___dy1_1_1_1_3_1" hidden="1">{"Input_Fin",#N/A,FALSE,"By Code";"Input_Opt",#N/A,FALSE,"By Code"}</definedName>
    <definedName name="___dy1_1_1_1_3_2" hidden="1">{"Input_Fin",#N/A,FALSE,"By Code";"Input_Opt",#N/A,FALSE,"By Code"}</definedName>
    <definedName name="___dy1_1_1_1_4" hidden="1">{"Input_Fin",#N/A,FALSE,"By Code";"Input_Opt",#N/A,FALSE,"By Code"}</definedName>
    <definedName name="___dy1_1_1_1_5" hidden="1">{"Input_Fin",#N/A,FALSE,"By Code";"Input_Opt",#N/A,FALSE,"By Code"}</definedName>
    <definedName name="___dy1_1_1_2" hidden="1">{"Input_Fin",#N/A,FALSE,"By Code";"Input_Opt",#N/A,FALSE,"By Code"}</definedName>
    <definedName name="___dy1_1_1_2_1" hidden="1">{"Input_Fin",#N/A,FALSE,"By Code";"Input_Opt",#N/A,FALSE,"By Code"}</definedName>
    <definedName name="___dy1_1_1_2_2" hidden="1">{"Input_Fin",#N/A,FALSE,"By Code";"Input_Opt",#N/A,FALSE,"By Code"}</definedName>
    <definedName name="___dy1_1_1_2_3" hidden="1">{"Input_Fin",#N/A,FALSE,"By Code";"Input_Opt",#N/A,FALSE,"By Code"}</definedName>
    <definedName name="___dy1_1_1_3" hidden="1">{"Input_Fin",#N/A,FALSE,"By Code";"Input_Opt",#N/A,FALSE,"By Code"}</definedName>
    <definedName name="___dy1_1_1_3_1" hidden="1">{"Input_Fin",#N/A,FALSE,"By Code";"Input_Opt",#N/A,FALSE,"By Code"}</definedName>
    <definedName name="___dy1_1_1_3_2" hidden="1">{"Input_Fin",#N/A,FALSE,"By Code";"Input_Opt",#N/A,FALSE,"By Code"}</definedName>
    <definedName name="___dy1_1_1_4" hidden="1">{"Input_Fin",#N/A,FALSE,"By Code";"Input_Opt",#N/A,FALSE,"By Code"}</definedName>
    <definedName name="___dy1_1_1_5" hidden="1">{"Input_Fin",#N/A,FALSE,"By Code";"Input_Opt",#N/A,FALSE,"By Code"}</definedName>
    <definedName name="___dy1_1_2" hidden="1">{"Input_Fin",#N/A,FALSE,"By Code";"Input_Opt",#N/A,FALSE,"By Code"}</definedName>
    <definedName name="___dy1_1_2_1" hidden="1">{"Input_Fin",#N/A,FALSE,"By Code";"Input_Opt",#N/A,FALSE,"By Code"}</definedName>
    <definedName name="___dy1_1_2_2" hidden="1">{"Input_Fin",#N/A,FALSE,"By Code";"Input_Opt",#N/A,FALSE,"By Code"}</definedName>
    <definedName name="___dy1_1_2_3" hidden="1">{"Input_Fin",#N/A,FALSE,"By Code";"Input_Opt",#N/A,FALSE,"By Code"}</definedName>
    <definedName name="___dy1_1_3" hidden="1">{"Input_Fin",#N/A,FALSE,"By Code";"Input_Opt",#N/A,FALSE,"By Code"}</definedName>
    <definedName name="___dy1_1_3_1" hidden="1">{"Input_Fin",#N/A,FALSE,"By Code";"Input_Opt",#N/A,FALSE,"By Code"}</definedName>
    <definedName name="___dy1_1_3_2" hidden="1">{"Input_Fin",#N/A,FALSE,"By Code";"Input_Opt",#N/A,FALSE,"By Code"}</definedName>
    <definedName name="___dy1_1_4" hidden="1">{"Input_Fin",#N/A,FALSE,"By Code";"Input_Opt",#N/A,FALSE,"By Code"}</definedName>
    <definedName name="___dy1_1_5" hidden="1">{"Input_Fin",#N/A,FALSE,"By Code";"Input_Opt",#N/A,FALSE,"By Code"}</definedName>
    <definedName name="___dy1_2" hidden="1">{"Input_Fin",#N/A,FALSE,"By Code";"Input_Opt",#N/A,FALSE,"By Code"}</definedName>
    <definedName name="___dy1_2_1" hidden="1">{"Input_Fin",#N/A,FALSE,"By Code";"Input_Opt",#N/A,FALSE,"By Code"}</definedName>
    <definedName name="___dy1_2_1_1" hidden="1">{"Input_Fin",#N/A,FALSE,"By Code";"Input_Opt",#N/A,FALSE,"By Code"}</definedName>
    <definedName name="___dy1_2_1_1_1" hidden="1">{"Input_Fin",#N/A,FALSE,"By Code";"Input_Opt",#N/A,FALSE,"By Code"}</definedName>
    <definedName name="___dy1_2_1_1_2" hidden="1">{"Input_Fin",#N/A,FALSE,"By Code";"Input_Opt",#N/A,FALSE,"By Code"}</definedName>
    <definedName name="___dy1_2_1_1_3" hidden="1">{"Input_Fin",#N/A,FALSE,"By Code";"Input_Opt",#N/A,FALSE,"By Code"}</definedName>
    <definedName name="___dy1_2_1_2" hidden="1">{"Input_Fin",#N/A,FALSE,"By Code";"Input_Opt",#N/A,FALSE,"By Code"}</definedName>
    <definedName name="___dy1_2_1_2_1" hidden="1">{"Input_Fin",#N/A,FALSE,"By Code";"Input_Opt",#N/A,FALSE,"By Code"}</definedName>
    <definedName name="___dy1_2_1_2_2" hidden="1">{"Input_Fin",#N/A,FALSE,"By Code";"Input_Opt",#N/A,FALSE,"By Code"}</definedName>
    <definedName name="___dy1_2_1_3" hidden="1">{"Input_Fin",#N/A,FALSE,"By Code";"Input_Opt",#N/A,FALSE,"By Code"}</definedName>
    <definedName name="___dy1_2_1_4" hidden="1">{"Input_Fin",#N/A,FALSE,"By Code";"Input_Opt",#N/A,FALSE,"By Code"}</definedName>
    <definedName name="___dy1_2_2" hidden="1">{"Input_Fin",#N/A,FALSE,"By Code";"Input_Opt",#N/A,FALSE,"By Code"}</definedName>
    <definedName name="___dy1_2_2_1" hidden="1">{"Input_Fin",#N/A,FALSE,"By Code";"Input_Opt",#N/A,FALSE,"By Code"}</definedName>
    <definedName name="___dy1_2_2_2" hidden="1">{"Input_Fin",#N/A,FALSE,"By Code";"Input_Opt",#N/A,FALSE,"By Code"}</definedName>
    <definedName name="___dy1_2_2_3" hidden="1">{"Input_Fin",#N/A,FALSE,"By Code";"Input_Opt",#N/A,FALSE,"By Code"}</definedName>
    <definedName name="___dy1_2_3" hidden="1">{"Input_Fin",#N/A,FALSE,"By Code";"Input_Opt",#N/A,FALSE,"By Code"}</definedName>
    <definedName name="___dy1_2_3_1" hidden="1">{"Input_Fin",#N/A,FALSE,"By Code";"Input_Opt",#N/A,FALSE,"By Code"}</definedName>
    <definedName name="___dy1_2_3_2" hidden="1">{"Input_Fin",#N/A,FALSE,"By Code";"Input_Opt",#N/A,FALSE,"By Code"}</definedName>
    <definedName name="___dy1_2_4" hidden="1">{"Input_Fin",#N/A,FALSE,"By Code";"Input_Opt",#N/A,FALSE,"By Code"}</definedName>
    <definedName name="___dy1_2_5" hidden="1">{"Input_Fin",#N/A,FALSE,"By Code";"Input_Opt",#N/A,FALSE,"By Code"}</definedName>
    <definedName name="___dy1_3" hidden="1">{"Input_Fin",#N/A,FALSE,"By Code";"Input_Opt",#N/A,FALSE,"By Code"}</definedName>
    <definedName name="___dy1_3_1" hidden="1">{"Input_Fin",#N/A,FALSE,"By Code";"Input_Opt",#N/A,FALSE,"By Code"}</definedName>
    <definedName name="___dy1_3_1_1" hidden="1">{"Input_Fin",#N/A,FALSE,"By Code";"Input_Opt",#N/A,FALSE,"By Code"}</definedName>
    <definedName name="___dy1_3_1_1_1" hidden="1">{"Input_Fin",#N/A,FALSE,"By Code";"Input_Opt",#N/A,FALSE,"By Code"}</definedName>
    <definedName name="___dy1_3_1_1_2" hidden="1">{"Input_Fin",#N/A,FALSE,"By Code";"Input_Opt",#N/A,FALSE,"By Code"}</definedName>
    <definedName name="___dy1_3_1_1_3" hidden="1">{"Input_Fin",#N/A,FALSE,"By Code";"Input_Opt",#N/A,FALSE,"By Code"}</definedName>
    <definedName name="___dy1_3_1_2" hidden="1">{"Input_Fin",#N/A,FALSE,"By Code";"Input_Opt",#N/A,FALSE,"By Code"}</definedName>
    <definedName name="___dy1_3_1_2_1" hidden="1">{"Input_Fin",#N/A,FALSE,"By Code";"Input_Opt",#N/A,FALSE,"By Code"}</definedName>
    <definedName name="___dy1_3_1_2_2" hidden="1">{"Input_Fin",#N/A,FALSE,"By Code";"Input_Opt",#N/A,FALSE,"By Code"}</definedName>
    <definedName name="___dy1_3_1_3" hidden="1">{"Input_Fin",#N/A,FALSE,"By Code";"Input_Opt",#N/A,FALSE,"By Code"}</definedName>
    <definedName name="___dy1_3_1_4" hidden="1">{"Input_Fin",#N/A,FALSE,"By Code";"Input_Opt",#N/A,FALSE,"By Code"}</definedName>
    <definedName name="___dy1_3_2" hidden="1">{"Input_Fin",#N/A,FALSE,"By Code";"Input_Opt",#N/A,FALSE,"By Code"}</definedName>
    <definedName name="___dy1_3_2_1" hidden="1">{"Input_Fin",#N/A,FALSE,"By Code";"Input_Opt",#N/A,FALSE,"By Code"}</definedName>
    <definedName name="___dy1_3_2_2" hidden="1">{"Input_Fin",#N/A,FALSE,"By Code";"Input_Opt",#N/A,FALSE,"By Code"}</definedName>
    <definedName name="___dy1_3_2_3" hidden="1">{"Input_Fin",#N/A,FALSE,"By Code";"Input_Opt",#N/A,FALSE,"By Code"}</definedName>
    <definedName name="___dy1_3_3" hidden="1">{"Input_Fin",#N/A,FALSE,"By Code";"Input_Opt",#N/A,FALSE,"By Code"}</definedName>
    <definedName name="___dy1_3_3_1" hidden="1">{"Input_Fin",#N/A,FALSE,"By Code";"Input_Opt",#N/A,FALSE,"By Code"}</definedName>
    <definedName name="___dy1_3_3_2" hidden="1">{"Input_Fin",#N/A,FALSE,"By Code";"Input_Opt",#N/A,FALSE,"By Code"}</definedName>
    <definedName name="___dy1_3_4" hidden="1">{"Input_Fin",#N/A,FALSE,"By Code";"Input_Opt",#N/A,FALSE,"By Code"}</definedName>
    <definedName name="___dy1_3_5" hidden="1">{"Input_Fin",#N/A,FALSE,"By Code";"Input_Opt",#N/A,FALSE,"By Code"}</definedName>
    <definedName name="___dy1_4" hidden="1">{"Input_Fin",#N/A,FALSE,"By Code";"Input_Opt",#N/A,FALSE,"By Code"}</definedName>
    <definedName name="___dy1_4_1" hidden="1">{"Input_Fin",#N/A,FALSE,"By Code";"Input_Opt",#N/A,FALSE,"By Code"}</definedName>
    <definedName name="___dy1_4_1_1" hidden="1">{"Input_Fin",#N/A,FALSE,"By Code";"Input_Opt",#N/A,FALSE,"By Code"}</definedName>
    <definedName name="___dy1_4_1_1_1" hidden="1">{"Input_Fin",#N/A,FALSE,"By Code";"Input_Opt",#N/A,FALSE,"By Code"}</definedName>
    <definedName name="___dy1_4_1_1_2" hidden="1">{"Input_Fin",#N/A,FALSE,"By Code";"Input_Opt",#N/A,FALSE,"By Code"}</definedName>
    <definedName name="___dy1_4_1_1_3" hidden="1">{"Input_Fin",#N/A,FALSE,"By Code";"Input_Opt",#N/A,FALSE,"By Code"}</definedName>
    <definedName name="___dy1_4_1_2" hidden="1">{"Input_Fin",#N/A,FALSE,"By Code";"Input_Opt",#N/A,FALSE,"By Code"}</definedName>
    <definedName name="___dy1_4_1_2_1" hidden="1">{"Input_Fin",#N/A,FALSE,"By Code";"Input_Opt",#N/A,FALSE,"By Code"}</definedName>
    <definedName name="___dy1_4_1_2_2" hidden="1">{"Input_Fin",#N/A,FALSE,"By Code";"Input_Opt",#N/A,FALSE,"By Code"}</definedName>
    <definedName name="___dy1_4_1_3" hidden="1">{"Input_Fin",#N/A,FALSE,"By Code";"Input_Opt",#N/A,FALSE,"By Code"}</definedName>
    <definedName name="___dy1_4_1_4" hidden="1">{"Input_Fin",#N/A,FALSE,"By Code";"Input_Opt",#N/A,FALSE,"By Code"}</definedName>
    <definedName name="___dy1_4_2" hidden="1">{"Input_Fin",#N/A,FALSE,"By Code";"Input_Opt",#N/A,FALSE,"By Code"}</definedName>
    <definedName name="___dy1_4_2_1" hidden="1">{"Input_Fin",#N/A,FALSE,"By Code";"Input_Opt",#N/A,FALSE,"By Code"}</definedName>
    <definedName name="___dy1_4_2_2" hidden="1">{"Input_Fin",#N/A,FALSE,"By Code";"Input_Opt",#N/A,FALSE,"By Code"}</definedName>
    <definedName name="___dy1_4_2_3" hidden="1">{"Input_Fin",#N/A,FALSE,"By Code";"Input_Opt",#N/A,FALSE,"By Code"}</definedName>
    <definedName name="___dy1_4_3" hidden="1">{"Input_Fin",#N/A,FALSE,"By Code";"Input_Opt",#N/A,FALSE,"By Code"}</definedName>
    <definedName name="___dy1_4_3_1" hidden="1">{"Input_Fin",#N/A,FALSE,"By Code";"Input_Opt",#N/A,FALSE,"By Code"}</definedName>
    <definedName name="___dy1_4_3_2" hidden="1">{"Input_Fin",#N/A,FALSE,"By Code";"Input_Opt",#N/A,FALSE,"By Code"}</definedName>
    <definedName name="___dy1_4_4" hidden="1">{"Input_Fin",#N/A,FALSE,"By Code";"Input_Opt",#N/A,FALSE,"By Code"}</definedName>
    <definedName name="___dy1_4_5" hidden="1">{"Input_Fin",#N/A,FALSE,"By Code";"Input_Opt",#N/A,FALSE,"By Code"}</definedName>
    <definedName name="___dy1_5" hidden="1">{"Input_Fin",#N/A,FALSE,"By Code";"Input_Opt",#N/A,FALSE,"By Code"}</definedName>
    <definedName name="___dy1_5_1" hidden="1">{"Input_Fin",#N/A,FALSE,"By Code";"Input_Opt",#N/A,FALSE,"By Code"}</definedName>
    <definedName name="___dy1_5_1_1" hidden="1">{"Input_Fin",#N/A,FALSE,"By Code";"Input_Opt",#N/A,FALSE,"By Code"}</definedName>
    <definedName name="___dy1_5_1_1_1" hidden="1">{"Input_Fin",#N/A,FALSE,"By Code";"Input_Opt",#N/A,FALSE,"By Code"}</definedName>
    <definedName name="___dy1_5_1_1_2" hidden="1">{"Input_Fin",#N/A,FALSE,"By Code";"Input_Opt",#N/A,FALSE,"By Code"}</definedName>
    <definedName name="___dy1_5_1_1_3" hidden="1">{"Input_Fin",#N/A,FALSE,"By Code";"Input_Opt",#N/A,FALSE,"By Code"}</definedName>
    <definedName name="___dy1_5_1_2" hidden="1">{"Input_Fin",#N/A,FALSE,"By Code";"Input_Opt",#N/A,FALSE,"By Code"}</definedName>
    <definedName name="___dy1_5_1_2_1" hidden="1">{"Input_Fin",#N/A,FALSE,"By Code";"Input_Opt",#N/A,FALSE,"By Code"}</definedName>
    <definedName name="___dy1_5_1_2_2" hidden="1">{"Input_Fin",#N/A,FALSE,"By Code";"Input_Opt",#N/A,FALSE,"By Code"}</definedName>
    <definedName name="___dy1_5_1_3" hidden="1">{"Input_Fin",#N/A,FALSE,"By Code";"Input_Opt",#N/A,FALSE,"By Code"}</definedName>
    <definedName name="___dy1_5_1_4" hidden="1">{"Input_Fin",#N/A,FALSE,"By Code";"Input_Opt",#N/A,FALSE,"By Code"}</definedName>
    <definedName name="___dy1_5_2" hidden="1">{"Input_Fin",#N/A,FALSE,"By Code";"Input_Opt",#N/A,FALSE,"By Code"}</definedName>
    <definedName name="___dy1_5_2_1" hidden="1">{"Input_Fin",#N/A,FALSE,"By Code";"Input_Opt",#N/A,FALSE,"By Code"}</definedName>
    <definedName name="___dy1_5_2_2" hidden="1">{"Input_Fin",#N/A,FALSE,"By Code";"Input_Opt",#N/A,FALSE,"By Code"}</definedName>
    <definedName name="___dy1_5_2_3" hidden="1">{"Input_Fin",#N/A,FALSE,"By Code";"Input_Opt",#N/A,FALSE,"By Code"}</definedName>
    <definedName name="___dy1_5_3" hidden="1">{"Input_Fin",#N/A,FALSE,"By Code";"Input_Opt",#N/A,FALSE,"By Code"}</definedName>
    <definedName name="___dy1_5_3_1" hidden="1">{"Input_Fin",#N/A,FALSE,"By Code";"Input_Opt",#N/A,FALSE,"By Code"}</definedName>
    <definedName name="___dy1_5_3_2" hidden="1">{"Input_Fin",#N/A,FALSE,"By Code";"Input_Opt",#N/A,FALSE,"By Code"}</definedName>
    <definedName name="___dy1_5_4" hidden="1">{"Input_Fin",#N/A,FALSE,"By Code";"Input_Opt",#N/A,FALSE,"By Code"}</definedName>
    <definedName name="___dy1_5_5" hidden="1">{"Input_Fin",#N/A,FALSE,"By Code";"Input_Opt",#N/A,FALSE,"By Code"}</definedName>
    <definedName name="_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5" localSheetId="12" hidden="1">{"Input_Fin",#N/A,FALSE,"By Code";"Input_Opt",#N/A,FALSE,"By Code"}</definedName>
    <definedName name="___dy5" hidden="1">{"Input_Fin",#N/A,FALSE,"By Code";"Input_Opt",#N/A,FALSE,"By Code"}</definedName>
    <definedName name="___dy5_1" hidden="1">{"Input_Fin",#N/A,FALSE,"By Code";"Input_Opt",#N/A,FALSE,"By Code"}</definedName>
    <definedName name="___dy5_1_1" hidden="1">{"Input_Fin",#N/A,FALSE,"By Code";"Input_Opt",#N/A,FALSE,"By Code"}</definedName>
    <definedName name="___dy5_1_1_1" hidden="1">{"Input_Fin",#N/A,FALSE,"By Code";"Input_Opt",#N/A,FALSE,"By Code"}</definedName>
    <definedName name="___dy5_1_1_1_1" hidden="1">{"Input_Fin",#N/A,FALSE,"By Code";"Input_Opt",#N/A,FALSE,"By Code"}</definedName>
    <definedName name="___dy5_1_1_1_1_1" hidden="1">{"Input_Fin",#N/A,FALSE,"By Code";"Input_Opt",#N/A,FALSE,"By Code"}</definedName>
    <definedName name="___dy5_1_1_1_1_2" hidden="1">{"Input_Fin",#N/A,FALSE,"By Code";"Input_Opt",#N/A,FALSE,"By Code"}</definedName>
    <definedName name="___dy5_1_1_1_1_3" hidden="1">{"Input_Fin",#N/A,FALSE,"By Code";"Input_Opt",#N/A,FALSE,"By Code"}</definedName>
    <definedName name="___dy5_1_1_1_2" hidden="1">{"Input_Fin",#N/A,FALSE,"By Code";"Input_Opt",#N/A,FALSE,"By Code"}</definedName>
    <definedName name="___dy5_1_1_1_2_1" hidden="1">{"Input_Fin",#N/A,FALSE,"By Code";"Input_Opt",#N/A,FALSE,"By Code"}</definedName>
    <definedName name="___dy5_1_1_1_2_2" hidden="1">{"Input_Fin",#N/A,FALSE,"By Code";"Input_Opt",#N/A,FALSE,"By Code"}</definedName>
    <definedName name="___dy5_1_1_1_3" hidden="1">{"Input_Fin",#N/A,FALSE,"By Code";"Input_Opt",#N/A,FALSE,"By Code"}</definedName>
    <definedName name="___dy5_1_1_1_3_1" hidden="1">{"Input_Fin",#N/A,FALSE,"By Code";"Input_Opt",#N/A,FALSE,"By Code"}</definedName>
    <definedName name="___dy5_1_1_1_3_2" hidden="1">{"Input_Fin",#N/A,FALSE,"By Code";"Input_Opt",#N/A,FALSE,"By Code"}</definedName>
    <definedName name="___dy5_1_1_1_4" hidden="1">{"Input_Fin",#N/A,FALSE,"By Code";"Input_Opt",#N/A,FALSE,"By Code"}</definedName>
    <definedName name="___dy5_1_1_1_5" hidden="1">{"Input_Fin",#N/A,FALSE,"By Code";"Input_Opt",#N/A,FALSE,"By Code"}</definedName>
    <definedName name="___dy5_1_1_2" hidden="1">{"Input_Fin",#N/A,FALSE,"By Code";"Input_Opt",#N/A,FALSE,"By Code"}</definedName>
    <definedName name="___dy5_1_1_2_1" hidden="1">{"Input_Fin",#N/A,FALSE,"By Code";"Input_Opt",#N/A,FALSE,"By Code"}</definedName>
    <definedName name="___dy5_1_1_2_2" hidden="1">{"Input_Fin",#N/A,FALSE,"By Code";"Input_Opt",#N/A,FALSE,"By Code"}</definedName>
    <definedName name="___dy5_1_1_2_3" hidden="1">{"Input_Fin",#N/A,FALSE,"By Code";"Input_Opt",#N/A,FALSE,"By Code"}</definedName>
    <definedName name="___dy5_1_1_3" hidden="1">{"Input_Fin",#N/A,FALSE,"By Code";"Input_Opt",#N/A,FALSE,"By Code"}</definedName>
    <definedName name="___dy5_1_1_3_1" hidden="1">{"Input_Fin",#N/A,FALSE,"By Code";"Input_Opt",#N/A,FALSE,"By Code"}</definedName>
    <definedName name="___dy5_1_1_3_2" hidden="1">{"Input_Fin",#N/A,FALSE,"By Code";"Input_Opt",#N/A,FALSE,"By Code"}</definedName>
    <definedName name="___dy5_1_1_4" hidden="1">{"Input_Fin",#N/A,FALSE,"By Code";"Input_Opt",#N/A,FALSE,"By Code"}</definedName>
    <definedName name="___dy5_1_1_5" hidden="1">{"Input_Fin",#N/A,FALSE,"By Code";"Input_Opt",#N/A,FALSE,"By Code"}</definedName>
    <definedName name="___dy5_1_2" hidden="1">{"Input_Fin",#N/A,FALSE,"By Code";"Input_Opt",#N/A,FALSE,"By Code"}</definedName>
    <definedName name="___dy5_1_2_1" hidden="1">{"Input_Fin",#N/A,FALSE,"By Code";"Input_Opt",#N/A,FALSE,"By Code"}</definedName>
    <definedName name="___dy5_1_2_2" hidden="1">{"Input_Fin",#N/A,FALSE,"By Code";"Input_Opt",#N/A,FALSE,"By Code"}</definedName>
    <definedName name="___dy5_1_2_3" hidden="1">{"Input_Fin",#N/A,FALSE,"By Code";"Input_Opt",#N/A,FALSE,"By Code"}</definedName>
    <definedName name="___dy5_1_3" hidden="1">{"Input_Fin",#N/A,FALSE,"By Code";"Input_Opt",#N/A,FALSE,"By Code"}</definedName>
    <definedName name="___dy5_1_3_1" hidden="1">{"Input_Fin",#N/A,FALSE,"By Code";"Input_Opt",#N/A,FALSE,"By Code"}</definedName>
    <definedName name="___dy5_1_3_2" hidden="1">{"Input_Fin",#N/A,FALSE,"By Code";"Input_Opt",#N/A,FALSE,"By Code"}</definedName>
    <definedName name="___dy5_1_4" hidden="1">{"Input_Fin",#N/A,FALSE,"By Code";"Input_Opt",#N/A,FALSE,"By Code"}</definedName>
    <definedName name="___dy5_1_5" hidden="1">{"Input_Fin",#N/A,FALSE,"By Code";"Input_Opt",#N/A,FALSE,"By Code"}</definedName>
    <definedName name="___dy5_2" hidden="1">{"Input_Fin",#N/A,FALSE,"By Code";"Input_Opt",#N/A,FALSE,"By Code"}</definedName>
    <definedName name="___dy5_2_1" hidden="1">{"Input_Fin",#N/A,FALSE,"By Code";"Input_Opt",#N/A,FALSE,"By Code"}</definedName>
    <definedName name="___dy5_2_1_1" hidden="1">{"Input_Fin",#N/A,FALSE,"By Code";"Input_Opt",#N/A,FALSE,"By Code"}</definedName>
    <definedName name="___dy5_2_1_1_1" hidden="1">{"Input_Fin",#N/A,FALSE,"By Code";"Input_Opt",#N/A,FALSE,"By Code"}</definedName>
    <definedName name="___dy5_2_1_1_2" hidden="1">{"Input_Fin",#N/A,FALSE,"By Code";"Input_Opt",#N/A,FALSE,"By Code"}</definedName>
    <definedName name="___dy5_2_1_1_3" hidden="1">{"Input_Fin",#N/A,FALSE,"By Code";"Input_Opt",#N/A,FALSE,"By Code"}</definedName>
    <definedName name="___dy5_2_1_2" hidden="1">{"Input_Fin",#N/A,FALSE,"By Code";"Input_Opt",#N/A,FALSE,"By Code"}</definedName>
    <definedName name="___dy5_2_1_2_1" hidden="1">{"Input_Fin",#N/A,FALSE,"By Code";"Input_Opt",#N/A,FALSE,"By Code"}</definedName>
    <definedName name="___dy5_2_1_2_2" hidden="1">{"Input_Fin",#N/A,FALSE,"By Code";"Input_Opt",#N/A,FALSE,"By Code"}</definedName>
    <definedName name="___dy5_2_1_3" hidden="1">{"Input_Fin",#N/A,FALSE,"By Code";"Input_Opt",#N/A,FALSE,"By Code"}</definedName>
    <definedName name="___dy5_2_1_4" hidden="1">{"Input_Fin",#N/A,FALSE,"By Code";"Input_Opt",#N/A,FALSE,"By Code"}</definedName>
    <definedName name="___dy5_2_2" hidden="1">{"Input_Fin",#N/A,FALSE,"By Code";"Input_Opt",#N/A,FALSE,"By Code"}</definedName>
    <definedName name="___dy5_2_2_1" hidden="1">{"Input_Fin",#N/A,FALSE,"By Code";"Input_Opt",#N/A,FALSE,"By Code"}</definedName>
    <definedName name="___dy5_2_2_2" hidden="1">{"Input_Fin",#N/A,FALSE,"By Code";"Input_Opt",#N/A,FALSE,"By Code"}</definedName>
    <definedName name="___dy5_2_2_3" hidden="1">{"Input_Fin",#N/A,FALSE,"By Code";"Input_Opt",#N/A,FALSE,"By Code"}</definedName>
    <definedName name="___dy5_2_3" hidden="1">{"Input_Fin",#N/A,FALSE,"By Code";"Input_Opt",#N/A,FALSE,"By Code"}</definedName>
    <definedName name="___dy5_2_3_1" hidden="1">{"Input_Fin",#N/A,FALSE,"By Code";"Input_Opt",#N/A,FALSE,"By Code"}</definedName>
    <definedName name="___dy5_2_3_2" hidden="1">{"Input_Fin",#N/A,FALSE,"By Code";"Input_Opt",#N/A,FALSE,"By Code"}</definedName>
    <definedName name="___dy5_2_4" hidden="1">{"Input_Fin",#N/A,FALSE,"By Code";"Input_Opt",#N/A,FALSE,"By Code"}</definedName>
    <definedName name="___dy5_2_5" hidden="1">{"Input_Fin",#N/A,FALSE,"By Code";"Input_Opt",#N/A,FALSE,"By Code"}</definedName>
    <definedName name="___dy5_3" hidden="1">{"Input_Fin",#N/A,FALSE,"By Code";"Input_Opt",#N/A,FALSE,"By Code"}</definedName>
    <definedName name="___dy5_3_1" hidden="1">{"Input_Fin",#N/A,FALSE,"By Code";"Input_Opt",#N/A,FALSE,"By Code"}</definedName>
    <definedName name="___dy5_3_1_1" hidden="1">{"Input_Fin",#N/A,FALSE,"By Code";"Input_Opt",#N/A,FALSE,"By Code"}</definedName>
    <definedName name="___dy5_3_1_1_1" hidden="1">{"Input_Fin",#N/A,FALSE,"By Code";"Input_Opt",#N/A,FALSE,"By Code"}</definedName>
    <definedName name="___dy5_3_1_1_2" hidden="1">{"Input_Fin",#N/A,FALSE,"By Code";"Input_Opt",#N/A,FALSE,"By Code"}</definedName>
    <definedName name="___dy5_3_1_1_3" hidden="1">{"Input_Fin",#N/A,FALSE,"By Code";"Input_Opt",#N/A,FALSE,"By Code"}</definedName>
    <definedName name="___dy5_3_1_2" hidden="1">{"Input_Fin",#N/A,FALSE,"By Code";"Input_Opt",#N/A,FALSE,"By Code"}</definedName>
    <definedName name="___dy5_3_1_2_1" hidden="1">{"Input_Fin",#N/A,FALSE,"By Code";"Input_Opt",#N/A,FALSE,"By Code"}</definedName>
    <definedName name="___dy5_3_1_2_2" hidden="1">{"Input_Fin",#N/A,FALSE,"By Code";"Input_Opt",#N/A,FALSE,"By Code"}</definedName>
    <definedName name="___dy5_3_1_3" hidden="1">{"Input_Fin",#N/A,FALSE,"By Code";"Input_Opt",#N/A,FALSE,"By Code"}</definedName>
    <definedName name="___dy5_3_1_4" hidden="1">{"Input_Fin",#N/A,FALSE,"By Code";"Input_Opt",#N/A,FALSE,"By Code"}</definedName>
    <definedName name="___dy5_3_2" hidden="1">{"Input_Fin",#N/A,FALSE,"By Code";"Input_Opt",#N/A,FALSE,"By Code"}</definedName>
    <definedName name="___dy5_3_2_1" hidden="1">{"Input_Fin",#N/A,FALSE,"By Code";"Input_Opt",#N/A,FALSE,"By Code"}</definedName>
    <definedName name="___dy5_3_2_2" hidden="1">{"Input_Fin",#N/A,FALSE,"By Code";"Input_Opt",#N/A,FALSE,"By Code"}</definedName>
    <definedName name="___dy5_3_2_3" hidden="1">{"Input_Fin",#N/A,FALSE,"By Code";"Input_Opt",#N/A,FALSE,"By Code"}</definedName>
    <definedName name="___dy5_3_3" hidden="1">{"Input_Fin",#N/A,FALSE,"By Code";"Input_Opt",#N/A,FALSE,"By Code"}</definedName>
    <definedName name="___dy5_3_3_1" hidden="1">{"Input_Fin",#N/A,FALSE,"By Code";"Input_Opt",#N/A,FALSE,"By Code"}</definedName>
    <definedName name="___dy5_3_3_2" hidden="1">{"Input_Fin",#N/A,FALSE,"By Code";"Input_Opt",#N/A,FALSE,"By Code"}</definedName>
    <definedName name="___dy5_3_4" hidden="1">{"Input_Fin",#N/A,FALSE,"By Code";"Input_Opt",#N/A,FALSE,"By Code"}</definedName>
    <definedName name="___dy5_3_5" hidden="1">{"Input_Fin",#N/A,FALSE,"By Code";"Input_Opt",#N/A,FALSE,"By Code"}</definedName>
    <definedName name="___dy5_4" hidden="1">{"Input_Fin",#N/A,FALSE,"By Code";"Input_Opt",#N/A,FALSE,"By Code"}</definedName>
    <definedName name="___dy5_4_1" hidden="1">{"Input_Fin",#N/A,FALSE,"By Code";"Input_Opt",#N/A,FALSE,"By Code"}</definedName>
    <definedName name="___dy5_4_1_1" hidden="1">{"Input_Fin",#N/A,FALSE,"By Code";"Input_Opt",#N/A,FALSE,"By Code"}</definedName>
    <definedName name="___dy5_4_1_1_1" hidden="1">{"Input_Fin",#N/A,FALSE,"By Code";"Input_Opt",#N/A,FALSE,"By Code"}</definedName>
    <definedName name="___dy5_4_1_1_2" hidden="1">{"Input_Fin",#N/A,FALSE,"By Code";"Input_Opt",#N/A,FALSE,"By Code"}</definedName>
    <definedName name="___dy5_4_1_1_3" hidden="1">{"Input_Fin",#N/A,FALSE,"By Code";"Input_Opt",#N/A,FALSE,"By Code"}</definedName>
    <definedName name="___dy5_4_1_2" hidden="1">{"Input_Fin",#N/A,FALSE,"By Code";"Input_Opt",#N/A,FALSE,"By Code"}</definedName>
    <definedName name="___dy5_4_1_2_1" hidden="1">{"Input_Fin",#N/A,FALSE,"By Code";"Input_Opt",#N/A,FALSE,"By Code"}</definedName>
    <definedName name="___dy5_4_1_2_2" hidden="1">{"Input_Fin",#N/A,FALSE,"By Code";"Input_Opt",#N/A,FALSE,"By Code"}</definedName>
    <definedName name="___dy5_4_1_3" hidden="1">{"Input_Fin",#N/A,FALSE,"By Code";"Input_Opt",#N/A,FALSE,"By Code"}</definedName>
    <definedName name="___dy5_4_1_4" hidden="1">{"Input_Fin",#N/A,FALSE,"By Code";"Input_Opt",#N/A,FALSE,"By Code"}</definedName>
    <definedName name="___dy5_4_2" hidden="1">{"Input_Fin",#N/A,FALSE,"By Code";"Input_Opt",#N/A,FALSE,"By Code"}</definedName>
    <definedName name="___dy5_4_2_1" hidden="1">{"Input_Fin",#N/A,FALSE,"By Code";"Input_Opt",#N/A,FALSE,"By Code"}</definedName>
    <definedName name="___dy5_4_2_2" hidden="1">{"Input_Fin",#N/A,FALSE,"By Code";"Input_Opt",#N/A,FALSE,"By Code"}</definedName>
    <definedName name="___dy5_4_2_3" hidden="1">{"Input_Fin",#N/A,FALSE,"By Code";"Input_Opt",#N/A,FALSE,"By Code"}</definedName>
    <definedName name="___dy5_4_3" hidden="1">{"Input_Fin",#N/A,FALSE,"By Code";"Input_Opt",#N/A,FALSE,"By Code"}</definedName>
    <definedName name="___dy5_4_3_1" hidden="1">{"Input_Fin",#N/A,FALSE,"By Code";"Input_Opt",#N/A,FALSE,"By Code"}</definedName>
    <definedName name="___dy5_4_3_2" hidden="1">{"Input_Fin",#N/A,FALSE,"By Code";"Input_Opt",#N/A,FALSE,"By Code"}</definedName>
    <definedName name="___dy5_4_4" hidden="1">{"Input_Fin",#N/A,FALSE,"By Code";"Input_Opt",#N/A,FALSE,"By Code"}</definedName>
    <definedName name="___dy5_4_5" hidden="1">{"Input_Fin",#N/A,FALSE,"By Code";"Input_Opt",#N/A,FALSE,"By Code"}</definedName>
    <definedName name="___dy5_5" hidden="1">{"Input_Fin",#N/A,FALSE,"By Code";"Input_Opt",#N/A,FALSE,"By Code"}</definedName>
    <definedName name="___dy5_5_1" hidden="1">{"Input_Fin",#N/A,FALSE,"By Code";"Input_Opt",#N/A,FALSE,"By Code"}</definedName>
    <definedName name="___dy5_5_1_1" hidden="1">{"Input_Fin",#N/A,FALSE,"By Code";"Input_Opt",#N/A,FALSE,"By Code"}</definedName>
    <definedName name="___dy5_5_1_1_1" hidden="1">{"Input_Fin",#N/A,FALSE,"By Code";"Input_Opt",#N/A,FALSE,"By Code"}</definedName>
    <definedName name="___dy5_5_1_1_2" hidden="1">{"Input_Fin",#N/A,FALSE,"By Code";"Input_Opt",#N/A,FALSE,"By Code"}</definedName>
    <definedName name="___dy5_5_1_1_3" hidden="1">{"Input_Fin",#N/A,FALSE,"By Code";"Input_Opt",#N/A,FALSE,"By Code"}</definedName>
    <definedName name="___dy5_5_1_2" hidden="1">{"Input_Fin",#N/A,FALSE,"By Code";"Input_Opt",#N/A,FALSE,"By Code"}</definedName>
    <definedName name="___dy5_5_1_2_1" hidden="1">{"Input_Fin",#N/A,FALSE,"By Code";"Input_Opt",#N/A,FALSE,"By Code"}</definedName>
    <definedName name="___dy5_5_1_2_2" hidden="1">{"Input_Fin",#N/A,FALSE,"By Code";"Input_Opt",#N/A,FALSE,"By Code"}</definedName>
    <definedName name="___dy5_5_1_3" hidden="1">{"Input_Fin",#N/A,FALSE,"By Code";"Input_Opt",#N/A,FALSE,"By Code"}</definedName>
    <definedName name="___dy5_5_1_4" hidden="1">{"Input_Fin",#N/A,FALSE,"By Code";"Input_Opt",#N/A,FALSE,"By Code"}</definedName>
    <definedName name="___dy5_5_2" hidden="1">{"Input_Fin",#N/A,FALSE,"By Code";"Input_Opt",#N/A,FALSE,"By Code"}</definedName>
    <definedName name="___dy5_5_2_1" hidden="1">{"Input_Fin",#N/A,FALSE,"By Code";"Input_Opt",#N/A,FALSE,"By Code"}</definedName>
    <definedName name="___dy5_5_2_2" hidden="1">{"Input_Fin",#N/A,FALSE,"By Code";"Input_Opt",#N/A,FALSE,"By Code"}</definedName>
    <definedName name="___dy5_5_2_3" hidden="1">{"Input_Fin",#N/A,FALSE,"By Code";"Input_Opt",#N/A,FALSE,"By Code"}</definedName>
    <definedName name="___dy5_5_3" hidden="1">{"Input_Fin",#N/A,FALSE,"By Code";"Input_Opt",#N/A,FALSE,"By Code"}</definedName>
    <definedName name="___dy5_5_3_1" hidden="1">{"Input_Fin",#N/A,FALSE,"By Code";"Input_Opt",#N/A,FALSE,"By Code"}</definedName>
    <definedName name="___dy5_5_3_2" hidden="1">{"Input_Fin",#N/A,FALSE,"By Code";"Input_Opt",#N/A,FALSE,"By Code"}</definedName>
    <definedName name="___dy5_5_4" hidden="1">{"Input_Fin",#N/A,FALSE,"By Code";"Input_Opt",#N/A,FALSE,"By Code"}</definedName>
    <definedName name="___dy5_5_5" hidden="1">{"Input_Fin",#N/A,FALSE,"By Code";"Input_Opt",#N/A,FALSE,"By Code"}</definedName>
    <definedName name="___dy6" localSheetId="12" hidden="1">{"Input_Fin",#N/A,FALSE,"By Code";"Input_Opt",#N/A,FALSE,"By Code"}</definedName>
    <definedName name="___dy6" hidden="1">{"Input_Fin",#N/A,FALSE,"By Code";"Input_Opt",#N/A,FALSE,"By Code"}</definedName>
    <definedName name="___dy6_1" hidden="1">{"Input_Fin",#N/A,FALSE,"By Code";"Input_Opt",#N/A,FALSE,"By Code"}</definedName>
    <definedName name="___dy6_1_1" hidden="1">{"Input_Fin",#N/A,FALSE,"By Code";"Input_Opt",#N/A,FALSE,"By Code"}</definedName>
    <definedName name="___dy6_1_1_1" hidden="1">{"Input_Fin",#N/A,FALSE,"By Code";"Input_Opt",#N/A,FALSE,"By Code"}</definedName>
    <definedName name="___dy6_1_1_1_1" hidden="1">{"Input_Fin",#N/A,FALSE,"By Code";"Input_Opt",#N/A,FALSE,"By Code"}</definedName>
    <definedName name="___dy6_1_1_1_1_1" hidden="1">{"Input_Fin",#N/A,FALSE,"By Code";"Input_Opt",#N/A,FALSE,"By Code"}</definedName>
    <definedName name="___dy6_1_1_1_1_2" hidden="1">{"Input_Fin",#N/A,FALSE,"By Code";"Input_Opt",#N/A,FALSE,"By Code"}</definedName>
    <definedName name="___dy6_1_1_1_1_3" hidden="1">{"Input_Fin",#N/A,FALSE,"By Code";"Input_Opt",#N/A,FALSE,"By Code"}</definedName>
    <definedName name="___dy6_1_1_1_2" hidden="1">{"Input_Fin",#N/A,FALSE,"By Code";"Input_Opt",#N/A,FALSE,"By Code"}</definedName>
    <definedName name="___dy6_1_1_1_2_1" hidden="1">{"Input_Fin",#N/A,FALSE,"By Code";"Input_Opt",#N/A,FALSE,"By Code"}</definedName>
    <definedName name="___dy6_1_1_1_2_2" hidden="1">{"Input_Fin",#N/A,FALSE,"By Code";"Input_Opt",#N/A,FALSE,"By Code"}</definedName>
    <definedName name="___dy6_1_1_1_3" hidden="1">{"Input_Fin",#N/A,FALSE,"By Code";"Input_Opt",#N/A,FALSE,"By Code"}</definedName>
    <definedName name="___dy6_1_1_1_3_1" hidden="1">{"Input_Fin",#N/A,FALSE,"By Code";"Input_Opt",#N/A,FALSE,"By Code"}</definedName>
    <definedName name="___dy6_1_1_1_3_2" hidden="1">{"Input_Fin",#N/A,FALSE,"By Code";"Input_Opt",#N/A,FALSE,"By Code"}</definedName>
    <definedName name="___dy6_1_1_1_4" hidden="1">{"Input_Fin",#N/A,FALSE,"By Code";"Input_Opt",#N/A,FALSE,"By Code"}</definedName>
    <definedName name="___dy6_1_1_1_5" hidden="1">{"Input_Fin",#N/A,FALSE,"By Code";"Input_Opt",#N/A,FALSE,"By Code"}</definedName>
    <definedName name="___dy6_1_1_2" hidden="1">{"Input_Fin",#N/A,FALSE,"By Code";"Input_Opt",#N/A,FALSE,"By Code"}</definedName>
    <definedName name="___dy6_1_1_2_1" hidden="1">{"Input_Fin",#N/A,FALSE,"By Code";"Input_Opt",#N/A,FALSE,"By Code"}</definedName>
    <definedName name="___dy6_1_1_2_2" hidden="1">{"Input_Fin",#N/A,FALSE,"By Code";"Input_Opt",#N/A,FALSE,"By Code"}</definedName>
    <definedName name="___dy6_1_1_2_3" hidden="1">{"Input_Fin",#N/A,FALSE,"By Code";"Input_Opt",#N/A,FALSE,"By Code"}</definedName>
    <definedName name="___dy6_1_1_3" hidden="1">{"Input_Fin",#N/A,FALSE,"By Code";"Input_Opt",#N/A,FALSE,"By Code"}</definedName>
    <definedName name="___dy6_1_1_3_1" hidden="1">{"Input_Fin",#N/A,FALSE,"By Code";"Input_Opt",#N/A,FALSE,"By Code"}</definedName>
    <definedName name="___dy6_1_1_3_2" hidden="1">{"Input_Fin",#N/A,FALSE,"By Code";"Input_Opt",#N/A,FALSE,"By Code"}</definedName>
    <definedName name="___dy6_1_1_4" hidden="1">{"Input_Fin",#N/A,FALSE,"By Code";"Input_Opt",#N/A,FALSE,"By Code"}</definedName>
    <definedName name="___dy6_1_1_5" hidden="1">{"Input_Fin",#N/A,FALSE,"By Code";"Input_Opt",#N/A,FALSE,"By Code"}</definedName>
    <definedName name="___dy6_1_2" hidden="1">{"Input_Fin",#N/A,FALSE,"By Code";"Input_Opt",#N/A,FALSE,"By Code"}</definedName>
    <definedName name="___dy6_1_2_1" hidden="1">{"Input_Fin",#N/A,FALSE,"By Code";"Input_Opt",#N/A,FALSE,"By Code"}</definedName>
    <definedName name="___dy6_1_2_2" hidden="1">{"Input_Fin",#N/A,FALSE,"By Code";"Input_Opt",#N/A,FALSE,"By Code"}</definedName>
    <definedName name="___dy6_1_2_3" hidden="1">{"Input_Fin",#N/A,FALSE,"By Code";"Input_Opt",#N/A,FALSE,"By Code"}</definedName>
    <definedName name="___dy6_1_3" hidden="1">{"Input_Fin",#N/A,FALSE,"By Code";"Input_Opt",#N/A,FALSE,"By Code"}</definedName>
    <definedName name="___dy6_1_3_1" hidden="1">{"Input_Fin",#N/A,FALSE,"By Code";"Input_Opt",#N/A,FALSE,"By Code"}</definedName>
    <definedName name="___dy6_1_3_2" hidden="1">{"Input_Fin",#N/A,FALSE,"By Code";"Input_Opt",#N/A,FALSE,"By Code"}</definedName>
    <definedName name="___dy6_1_4" hidden="1">{"Input_Fin",#N/A,FALSE,"By Code";"Input_Opt",#N/A,FALSE,"By Code"}</definedName>
    <definedName name="___dy6_1_5" hidden="1">{"Input_Fin",#N/A,FALSE,"By Code";"Input_Opt",#N/A,FALSE,"By Code"}</definedName>
    <definedName name="___dy6_2" hidden="1">{"Input_Fin",#N/A,FALSE,"By Code";"Input_Opt",#N/A,FALSE,"By Code"}</definedName>
    <definedName name="___dy6_2_1" hidden="1">{"Input_Fin",#N/A,FALSE,"By Code";"Input_Opt",#N/A,FALSE,"By Code"}</definedName>
    <definedName name="___dy6_2_1_1" hidden="1">{"Input_Fin",#N/A,FALSE,"By Code";"Input_Opt",#N/A,FALSE,"By Code"}</definedName>
    <definedName name="___dy6_2_1_1_1" hidden="1">{"Input_Fin",#N/A,FALSE,"By Code";"Input_Opt",#N/A,FALSE,"By Code"}</definedName>
    <definedName name="___dy6_2_1_1_2" hidden="1">{"Input_Fin",#N/A,FALSE,"By Code";"Input_Opt",#N/A,FALSE,"By Code"}</definedName>
    <definedName name="___dy6_2_1_1_3" hidden="1">{"Input_Fin",#N/A,FALSE,"By Code";"Input_Opt",#N/A,FALSE,"By Code"}</definedName>
    <definedName name="___dy6_2_1_2" hidden="1">{"Input_Fin",#N/A,FALSE,"By Code";"Input_Opt",#N/A,FALSE,"By Code"}</definedName>
    <definedName name="___dy6_2_1_2_1" hidden="1">{"Input_Fin",#N/A,FALSE,"By Code";"Input_Opt",#N/A,FALSE,"By Code"}</definedName>
    <definedName name="___dy6_2_1_2_2" hidden="1">{"Input_Fin",#N/A,FALSE,"By Code";"Input_Opt",#N/A,FALSE,"By Code"}</definedName>
    <definedName name="___dy6_2_1_3" hidden="1">{"Input_Fin",#N/A,FALSE,"By Code";"Input_Opt",#N/A,FALSE,"By Code"}</definedName>
    <definedName name="___dy6_2_1_4" hidden="1">{"Input_Fin",#N/A,FALSE,"By Code";"Input_Opt",#N/A,FALSE,"By Code"}</definedName>
    <definedName name="___dy6_2_2" hidden="1">{"Input_Fin",#N/A,FALSE,"By Code";"Input_Opt",#N/A,FALSE,"By Code"}</definedName>
    <definedName name="___dy6_2_2_1" hidden="1">{"Input_Fin",#N/A,FALSE,"By Code";"Input_Opt",#N/A,FALSE,"By Code"}</definedName>
    <definedName name="___dy6_2_2_2" hidden="1">{"Input_Fin",#N/A,FALSE,"By Code";"Input_Opt",#N/A,FALSE,"By Code"}</definedName>
    <definedName name="___dy6_2_2_3" hidden="1">{"Input_Fin",#N/A,FALSE,"By Code";"Input_Opt",#N/A,FALSE,"By Code"}</definedName>
    <definedName name="___dy6_2_3" hidden="1">{"Input_Fin",#N/A,FALSE,"By Code";"Input_Opt",#N/A,FALSE,"By Code"}</definedName>
    <definedName name="___dy6_2_3_1" hidden="1">{"Input_Fin",#N/A,FALSE,"By Code";"Input_Opt",#N/A,FALSE,"By Code"}</definedName>
    <definedName name="___dy6_2_3_2" hidden="1">{"Input_Fin",#N/A,FALSE,"By Code";"Input_Opt",#N/A,FALSE,"By Code"}</definedName>
    <definedName name="___dy6_2_4" hidden="1">{"Input_Fin",#N/A,FALSE,"By Code";"Input_Opt",#N/A,FALSE,"By Code"}</definedName>
    <definedName name="___dy6_2_5" hidden="1">{"Input_Fin",#N/A,FALSE,"By Code";"Input_Opt",#N/A,FALSE,"By Code"}</definedName>
    <definedName name="___dy6_3" hidden="1">{"Input_Fin",#N/A,FALSE,"By Code";"Input_Opt",#N/A,FALSE,"By Code"}</definedName>
    <definedName name="___dy6_3_1" hidden="1">{"Input_Fin",#N/A,FALSE,"By Code";"Input_Opt",#N/A,FALSE,"By Code"}</definedName>
    <definedName name="___dy6_3_1_1" hidden="1">{"Input_Fin",#N/A,FALSE,"By Code";"Input_Opt",#N/A,FALSE,"By Code"}</definedName>
    <definedName name="___dy6_3_1_1_1" hidden="1">{"Input_Fin",#N/A,FALSE,"By Code";"Input_Opt",#N/A,FALSE,"By Code"}</definedName>
    <definedName name="___dy6_3_1_1_2" hidden="1">{"Input_Fin",#N/A,FALSE,"By Code";"Input_Opt",#N/A,FALSE,"By Code"}</definedName>
    <definedName name="___dy6_3_1_1_3" hidden="1">{"Input_Fin",#N/A,FALSE,"By Code";"Input_Opt",#N/A,FALSE,"By Code"}</definedName>
    <definedName name="___dy6_3_1_2" hidden="1">{"Input_Fin",#N/A,FALSE,"By Code";"Input_Opt",#N/A,FALSE,"By Code"}</definedName>
    <definedName name="___dy6_3_1_2_1" hidden="1">{"Input_Fin",#N/A,FALSE,"By Code";"Input_Opt",#N/A,FALSE,"By Code"}</definedName>
    <definedName name="___dy6_3_1_2_2" hidden="1">{"Input_Fin",#N/A,FALSE,"By Code";"Input_Opt",#N/A,FALSE,"By Code"}</definedName>
    <definedName name="___dy6_3_1_3" hidden="1">{"Input_Fin",#N/A,FALSE,"By Code";"Input_Opt",#N/A,FALSE,"By Code"}</definedName>
    <definedName name="___dy6_3_1_4" hidden="1">{"Input_Fin",#N/A,FALSE,"By Code";"Input_Opt",#N/A,FALSE,"By Code"}</definedName>
    <definedName name="___dy6_3_2" hidden="1">{"Input_Fin",#N/A,FALSE,"By Code";"Input_Opt",#N/A,FALSE,"By Code"}</definedName>
    <definedName name="___dy6_3_2_1" hidden="1">{"Input_Fin",#N/A,FALSE,"By Code";"Input_Opt",#N/A,FALSE,"By Code"}</definedName>
    <definedName name="___dy6_3_2_2" hidden="1">{"Input_Fin",#N/A,FALSE,"By Code";"Input_Opt",#N/A,FALSE,"By Code"}</definedName>
    <definedName name="___dy6_3_2_3" hidden="1">{"Input_Fin",#N/A,FALSE,"By Code";"Input_Opt",#N/A,FALSE,"By Code"}</definedName>
    <definedName name="___dy6_3_3" hidden="1">{"Input_Fin",#N/A,FALSE,"By Code";"Input_Opt",#N/A,FALSE,"By Code"}</definedName>
    <definedName name="___dy6_3_3_1" hidden="1">{"Input_Fin",#N/A,FALSE,"By Code";"Input_Opt",#N/A,FALSE,"By Code"}</definedName>
    <definedName name="___dy6_3_3_2" hidden="1">{"Input_Fin",#N/A,FALSE,"By Code";"Input_Opt",#N/A,FALSE,"By Code"}</definedName>
    <definedName name="___dy6_3_4" hidden="1">{"Input_Fin",#N/A,FALSE,"By Code";"Input_Opt",#N/A,FALSE,"By Code"}</definedName>
    <definedName name="___dy6_3_5" hidden="1">{"Input_Fin",#N/A,FALSE,"By Code";"Input_Opt",#N/A,FALSE,"By Code"}</definedName>
    <definedName name="___dy6_4" hidden="1">{"Input_Fin",#N/A,FALSE,"By Code";"Input_Opt",#N/A,FALSE,"By Code"}</definedName>
    <definedName name="___dy6_4_1" hidden="1">{"Input_Fin",#N/A,FALSE,"By Code";"Input_Opt",#N/A,FALSE,"By Code"}</definedName>
    <definedName name="___dy6_4_1_1" hidden="1">{"Input_Fin",#N/A,FALSE,"By Code";"Input_Opt",#N/A,FALSE,"By Code"}</definedName>
    <definedName name="___dy6_4_1_1_1" hidden="1">{"Input_Fin",#N/A,FALSE,"By Code";"Input_Opt",#N/A,FALSE,"By Code"}</definedName>
    <definedName name="___dy6_4_1_1_2" hidden="1">{"Input_Fin",#N/A,FALSE,"By Code";"Input_Opt",#N/A,FALSE,"By Code"}</definedName>
    <definedName name="___dy6_4_1_1_3" hidden="1">{"Input_Fin",#N/A,FALSE,"By Code";"Input_Opt",#N/A,FALSE,"By Code"}</definedName>
    <definedName name="___dy6_4_1_2" hidden="1">{"Input_Fin",#N/A,FALSE,"By Code";"Input_Opt",#N/A,FALSE,"By Code"}</definedName>
    <definedName name="___dy6_4_1_2_1" hidden="1">{"Input_Fin",#N/A,FALSE,"By Code";"Input_Opt",#N/A,FALSE,"By Code"}</definedName>
    <definedName name="___dy6_4_1_2_2" hidden="1">{"Input_Fin",#N/A,FALSE,"By Code";"Input_Opt",#N/A,FALSE,"By Code"}</definedName>
    <definedName name="___dy6_4_1_3" hidden="1">{"Input_Fin",#N/A,FALSE,"By Code";"Input_Opt",#N/A,FALSE,"By Code"}</definedName>
    <definedName name="___dy6_4_1_4" hidden="1">{"Input_Fin",#N/A,FALSE,"By Code";"Input_Opt",#N/A,FALSE,"By Code"}</definedName>
    <definedName name="___dy6_4_2" hidden="1">{"Input_Fin",#N/A,FALSE,"By Code";"Input_Opt",#N/A,FALSE,"By Code"}</definedName>
    <definedName name="___dy6_4_2_1" hidden="1">{"Input_Fin",#N/A,FALSE,"By Code";"Input_Opt",#N/A,FALSE,"By Code"}</definedName>
    <definedName name="___dy6_4_2_2" hidden="1">{"Input_Fin",#N/A,FALSE,"By Code";"Input_Opt",#N/A,FALSE,"By Code"}</definedName>
    <definedName name="___dy6_4_2_3" hidden="1">{"Input_Fin",#N/A,FALSE,"By Code";"Input_Opt",#N/A,FALSE,"By Code"}</definedName>
    <definedName name="___dy6_4_3" hidden="1">{"Input_Fin",#N/A,FALSE,"By Code";"Input_Opt",#N/A,FALSE,"By Code"}</definedName>
    <definedName name="___dy6_4_3_1" hidden="1">{"Input_Fin",#N/A,FALSE,"By Code";"Input_Opt",#N/A,FALSE,"By Code"}</definedName>
    <definedName name="___dy6_4_3_2" hidden="1">{"Input_Fin",#N/A,FALSE,"By Code";"Input_Opt",#N/A,FALSE,"By Code"}</definedName>
    <definedName name="___dy6_4_4" hidden="1">{"Input_Fin",#N/A,FALSE,"By Code";"Input_Opt",#N/A,FALSE,"By Code"}</definedName>
    <definedName name="___dy6_4_5" hidden="1">{"Input_Fin",#N/A,FALSE,"By Code";"Input_Opt",#N/A,FALSE,"By Code"}</definedName>
    <definedName name="___dy6_5" hidden="1">{"Input_Fin",#N/A,FALSE,"By Code";"Input_Opt",#N/A,FALSE,"By Code"}</definedName>
    <definedName name="___dy6_5_1" hidden="1">{"Input_Fin",#N/A,FALSE,"By Code";"Input_Opt",#N/A,FALSE,"By Code"}</definedName>
    <definedName name="___dy6_5_1_1" hidden="1">{"Input_Fin",#N/A,FALSE,"By Code";"Input_Opt",#N/A,FALSE,"By Code"}</definedName>
    <definedName name="___dy6_5_1_1_1" hidden="1">{"Input_Fin",#N/A,FALSE,"By Code";"Input_Opt",#N/A,FALSE,"By Code"}</definedName>
    <definedName name="___dy6_5_1_1_2" hidden="1">{"Input_Fin",#N/A,FALSE,"By Code";"Input_Opt",#N/A,FALSE,"By Code"}</definedName>
    <definedName name="___dy6_5_1_1_3" hidden="1">{"Input_Fin",#N/A,FALSE,"By Code";"Input_Opt",#N/A,FALSE,"By Code"}</definedName>
    <definedName name="___dy6_5_1_2" hidden="1">{"Input_Fin",#N/A,FALSE,"By Code";"Input_Opt",#N/A,FALSE,"By Code"}</definedName>
    <definedName name="___dy6_5_1_2_1" hidden="1">{"Input_Fin",#N/A,FALSE,"By Code";"Input_Opt",#N/A,FALSE,"By Code"}</definedName>
    <definedName name="___dy6_5_1_2_2" hidden="1">{"Input_Fin",#N/A,FALSE,"By Code";"Input_Opt",#N/A,FALSE,"By Code"}</definedName>
    <definedName name="___dy6_5_1_3" hidden="1">{"Input_Fin",#N/A,FALSE,"By Code";"Input_Opt",#N/A,FALSE,"By Code"}</definedName>
    <definedName name="___dy6_5_1_4" hidden="1">{"Input_Fin",#N/A,FALSE,"By Code";"Input_Opt",#N/A,FALSE,"By Code"}</definedName>
    <definedName name="___dy6_5_2" hidden="1">{"Input_Fin",#N/A,FALSE,"By Code";"Input_Opt",#N/A,FALSE,"By Code"}</definedName>
    <definedName name="___dy6_5_2_1" hidden="1">{"Input_Fin",#N/A,FALSE,"By Code";"Input_Opt",#N/A,FALSE,"By Code"}</definedName>
    <definedName name="___dy6_5_2_2" hidden="1">{"Input_Fin",#N/A,FALSE,"By Code";"Input_Opt",#N/A,FALSE,"By Code"}</definedName>
    <definedName name="___dy6_5_2_3" hidden="1">{"Input_Fin",#N/A,FALSE,"By Code";"Input_Opt",#N/A,FALSE,"By Code"}</definedName>
    <definedName name="___dy6_5_3" hidden="1">{"Input_Fin",#N/A,FALSE,"By Code";"Input_Opt",#N/A,FALSE,"By Code"}</definedName>
    <definedName name="___dy6_5_3_1" hidden="1">{"Input_Fin",#N/A,FALSE,"By Code";"Input_Opt",#N/A,FALSE,"By Code"}</definedName>
    <definedName name="___dy6_5_3_2" hidden="1">{"Input_Fin",#N/A,FALSE,"By Code";"Input_Opt",#N/A,FALSE,"By Code"}</definedName>
    <definedName name="___dy6_5_4" hidden="1">{"Input_Fin",#N/A,FALSE,"By Code";"Input_Opt",#N/A,FALSE,"By Code"}</definedName>
    <definedName name="___dy6_5_5" hidden="1">{"Input_Fin",#N/A,FALSE,"By Code";"Input_Opt",#N/A,FALSE,"By Code"}</definedName>
    <definedName name="___dy7" hidden="1">{"Input_Fin",#N/A,FALSE,"By Code";"Input_Opt",#N/A,FALSE,"By Code"}</definedName>
    <definedName name="___jhi44" localSheetId="12" hidden="1">{"Input_Fin",#N/A,FALSE,"By Code";"Input_Opt",#N/A,FALSE,"By Code"}</definedName>
    <definedName name="___jhi44" hidden="1">{"Input_Fin",#N/A,FALSE,"By Code";"Input_Opt",#N/A,FALSE,"By Code"}</definedName>
    <definedName name="___jhi44_1" hidden="1">{"Input_Fin",#N/A,FALSE,"By Code";"Input_Opt",#N/A,FALSE,"By Code"}</definedName>
    <definedName name="___jhi44_1_1" hidden="1">{"Input_Fin",#N/A,FALSE,"By Code";"Input_Opt",#N/A,FALSE,"By Code"}</definedName>
    <definedName name="___jhi44_1_1_1" hidden="1">{"Input_Fin",#N/A,FALSE,"By Code";"Input_Opt",#N/A,FALSE,"By Code"}</definedName>
    <definedName name="___jhi44_1_1_1_1" hidden="1">{"Input_Fin",#N/A,FALSE,"By Code";"Input_Opt",#N/A,FALSE,"By Code"}</definedName>
    <definedName name="___jhi44_1_1_1_1_1" hidden="1">{"Input_Fin",#N/A,FALSE,"By Code";"Input_Opt",#N/A,FALSE,"By Code"}</definedName>
    <definedName name="___jhi44_1_1_1_1_2" hidden="1">{"Input_Fin",#N/A,FALSE,"By Code";"Input_Opt",#N/A,FALSE,"By Code"}</definedName>
    <definedName name="___jhi44_1_1_1_1_3" hidden="1">{"Input_Fin",#N/A,FALSE,"By Code";"Input_Opt",#N/A,FALSE,"By Code"}</definedName>
    <definedName name="___jhi44_1_1_1_2" hidden="1">{"Input_Fin",#N/A,FALSE,"By Code";"Input_Opt",#N/A,FALSE,"By Code"}</definedName>
    <definedName name="___jhi44_1_1_1_2_1" hidden="1">{"Input_Fin",#N/A,FALSE,"By Code";"Input_Opt",#N/A,FALSE,"By Code"}</definedName>
    <definedName name="___jhi44_1_1_1_2_2" hidden="1">{"Input_Fin",#N/A,FALSE,"By Code";"Input_Opt",#N/A,FALSE,"By Code"}</definedName>
    <definedName name="___jhi44_1_1_1_3" hidden="1">{"Input_Fin",#N/A,FALSE,"By Code";"Input_Opt",#N/A,FALSE,"By Code"}</definedName>
    <definedName name="___jhi44_1_1_1_3_1" hidden="1">{"Input_Fin",#N/A,FALSE,"By Code";"Input_Opt",#N/A,FALSE,"By Code"}</definedName>
    <definedName name="___jhi44_1_1_1_3_2" hidden="1">{"Input_Fin",#N/A,FALSE,"By Code";"Input_Opt",#N/A,FALSE,"By Code"}</definedName>
    <definedName name="___jhi44_1_1_1_4" hidden="1">{"Input_Fin",#N/A,FALSE,"By Code";"Input_Opt",#N/A,FALSE,"By Code"}</definedName>
    <definedName name="___jhi44_1_1_1_5" hidden="1">{"Input_Fin",#N/A,FALSE,"By Code";"Input_Opt",#N/A,FALSE,"By Code"}</definedName>
    <definedName name="___jhi44_1_1_2" hidden="1">{"Input_Fin",#N/A,FALSE,"By Code";"Input_Opt",#N/A,FALSE,"By Code"}</definedName>
    <definedName name="___jhi44_1_1_2_1" hidden="1">{"Input_Fin",#N/A,FALSE,"By Code";"Input_Opt",#N/A,FALSE,"By Code"}</definedName>
    <definedName name="___jhi44_1_1_2_2" hidden="1">{"Input_Fin",#N/A,FALSE,"By Code";"Input_Opt",#N/A,FALSE,"By Code"}</definedName>
    <definedName name="___jhi44_1_1_2_3" hidden="1">{"Input_Fin",#N/A,FALSE,"By Code";"Input_Opt",#N/A,FALSE,"By Code"}</definedName>
    <definedName name="___jhi44_1_1_3" hidden="1">{"Input_Fin",#N/A,FALSE,"By Code";"Input_Opt",#N/A,FALSE,"By Code"}</definedName>
    <definedName name="___jhi44_1_1_3_1" hidden="1">{"Input_Fin",#N/A,FALSE,"By Code";"Input_Opt",#N/A,FALSE,"By Code"}</definedName>
    <definedName name="___jhi44_1_1_3_2" hidden="1">{"Input_Fin",#N/A,FALSE,"By Code";"Input_Opt",#N/A,FALSE,"By Code"}</definedName>
    <definedName name="___jhi44_1_1_4" hidden="1">{"Input_Fin",#N/A,FALSE,"By Code";"Input_Opt",#N/A,FALSE,"By Code"}</definedName>
    <definedName name="___jhi44_1_1_5" hidden="1">{"Input_Fin",#N/A,FALSE,"By Code";"Input_Opt",#N/A,FALSE,"By Code"}</definedName>
    <definedName name="___jhi44_1_2" hidden="1">{"Input_Fin",#N/A,FALSE,"By Code";"Input_Opt",#N/A,FALSE,"By Code"}</definedName>
    <definedName name="___jhi44_1_2_1" hidden="1">{"Input_Fin",#N/A,FALSE,"By Code";"Input_Opt",#N/A,FALSE,"By Code"}</definedName>
    <definedName name="___jhi44_1_2_2" hidden="1">{"Input_Fin",#N/A,FALSE,"By Code";"Input_Opt",#N/A,FALSE,"By Code"}</definedName>
    <definedName name="___jhi44_1_2_3" hidden="1">{"Input_Fin",#N/A,FALSE,"By Code";"Input_Opt",#N/A,FALSE,"By Code"}</definedName>
    <definedName name="___jhi44_1_3" hidden="1">{"Input_Fin",#N/A,FALSE,"By Code";"Input_Opt",#N/A,FALSE,"By Code"}</definedName>
    <definedName name="___jhi44_1_3_1" hidden="1">{"Input_Fin",#N/A,FALSE,"By Code";"Input_Opt",#N/A,FALSE,"By Code"}</definedName>
    <definedName name="___jhi44_1_3_2" hidden="1">{"Input_Fin",#N/A,FALSE,"By Code";"Input_Opt",#N/A,FALSE,"By Code"}</definedName>
    <definedName name="___jhi44_1_4" hidden="1">{"Input_Fin",#N/A,FALSE,"By Code";"Input_Opt",#N/A,FALSE,"By Code"}</definedName>
    <definedName name="___jhi44_1_5" hidden="1">{"Input_Fin",#N/A,FALSE,"By Code";"Input_Opt",#N/A,FALSE,"By Code"}</definedName>
    <definedName name="___jhi44_2" hidden="1">{"Input_Fin",#N/A,FALSE,"By Code";"Input_Opt",#N/A,FALSE,"By Code"}</definedName>
    <definedName name="___jhi44_2_1" hidden="1">{"Input_Fin",#N/A,FALSE,"By Code";"Input_Opt",#N/A,FALSE,"By Code"}</definedName>
    <definedName name="___jhi44_2_1_1" hidden="1">{"Input_Fin",#N/A,FALSE,"By Code";"Input_Opt",#N/A,FALSE,"By Code"}</definedName>
    <definedName name="___jhi44_2_1_1_1" hidden="1">{"Input_Fin",#N/A,FALSE,"By Code";"Input_Opt",#N/A,FALSE,"By Code"}</definedName>
    <definedName name="___jhi44_2_1_1_2" hidden="1">{"Input_Fin",#N/A,FALSE,"By Code";"Input_Opt",#N/A,FALSE,"By Code"}</definedName>
    <definedName name="___jhi44_2_1_1_3" hidden="1">{"Input_Fin",#N/A,FALSE,"By Code";"Input_Opt",#N/A,FALSE,"By Code"}</definedName>
    <definedName name="___jhi44_2_1_2" hidden="1">{"Input_Fin",#N/A,FALSE,"By Code";"Input_Opt",#N/A,FALSE,"By Code"}</definedName>
    <definedName name="___jhi44_2_1_2_1" hidden="1">{"Input_Fin",#N/A,FALSE,"By Code";"Input_Opt",#N/A,FALSE,"By Code"}</definedName>
    <definedName name="___jhi44_2_1_2_2" hidden="1">{"Input_Fin",#N/A,FALSE,"By Code";"Input_Opt",#N/A,FALSE,"By Code"}</definedName>
    <definedName name="___jhi44_2_1_3" hidden="1">{"Input_Fin",#N/A,FALSE,"By Code";"Input_Opt",#N/A,FALSE,"By Code"}</definedName>
    <definedName name="___jhi44_2_1_4" hidden="1">{"Input_Fin",#N/A,FALSE,"By Code";"Input_Opt",#N/A,FALSE,"By Code"}</definedName>
    <definedName name="___jhi44_2_2" hidden="1">{"Input_Fin",#N/A,FALSE,"By Code";"Input_Opt",#N/A,FALSE,"By Code"}</definedName>
    <definedName name="___jhi44_2_2_1" hidden="1">{"Input_Fin",#N/A,FALSE,"By Code";"Input_Opt",#N/A,FALSE,"By Code"}</definedName>
    <definedName name="___jhi44_2_2_2" hidden="1">{"Input_Fin",#N/A,FALSE,"By Code";"Input_Opt",#N/A,FALSE,"By Code"}</definedName>
    <definedName name="___jhi44_2_2_3" hidden="1">{"Input_Fin",#N/A,FALSE,"By Code";"Input_Opt",#N/A,FALSE,"By Code"}</definedName>
    <definedName name="___jhi44_2_3" hidden="1">{"Input_Fin",#N/A,FALSE,"By Code";"Input_Opt",#N/A,FALSE,"By Code"}</definedName>
    <definedName name="___jhi44_2_3_1" hidden="1">{"Input_Fin",#N/A,FALSE,"By Code";"Input_Opt",#N/A,FALSE,"By Code"}</definedName>
    <definedName name="___jhi44_2_3_2" hidden="1">{"Input_Fin",#N/A,FALSE,"By Code";"Input_Opt",#N/A,FALSE,"By Code"}</definedName>
    <definedName name="___jhi44_2_4" hidden="1">{"Input_Fin",#N/A,FALSE,"By Code";"Input_Opt",#N/A,FALSE,"By Code"}</definedName>
    <definedName name="___jhi44_2_5" hidden="1">{"Input_Fin",#N/A,FALSE,"By Code";"Input_Opt",#N/A,FALSE,"By Code"}</definedName>
    <definedName name="___jhi44_3" hidden="1">{"Input_Fin",#N/A,FALSE,"By Code";"Input_Opt",#N/A,FALSE,"By Code"}</definedName>
    <definedName name="___jhi44_3_1" hidden="1">{"Input_Fin",#N/A,FALSE,"By Code";"Input_Opt",#N/A,FALSE,"By Code"}</definedName>
    <definedName name="___jhi44_3_1_1" hidden="1">{"Input_Fin",#N/A,FALSE,"By Code";"Input_Opt",#N/A,FALSE,"By Code"}</definedName>
    <definedName name="___jhi44_3_1_1_1" hidden="1">{"Input_Fin",#N/A,FALSE,"By Code";"Input_Opt",#N/A,FALSE,"By Code"}</definedName>
    <definedName name="___jhi44_3_1_1_2" hidden="1">{"Input_Fin",#N/A,FALSE,"By Code";"Input_Opt",#N/A,FALSE,"By Code"}</definedName>
    <definedName name="___jhi44_3_1_1_3" hidden="1">{"Input_Fin",#N/A,FALSE,"By Code";"Input_Opt",#N/A,FALSE,"By Code"}</definedName>
    <definedName name="___jhi44_3_1_2" hidden="1">{"Input_Fin",#N/A,FALSE,"By Code";"Input_Opt",#N/A,FALSE,"By Code"}</definedName>
    <definedName name="___jhi44_3_1_2_1" hidden="1">{"Input_Fin",#N/A,FALSE,"By Code";"Input_Opt",#N/A,FALSE,"By Code"}</definedName>
    <definedName name="___jhi44_3_1_2_2" hidden="1">{"Input_Fin",#N/A,FALSE,"By Code";"Input_Opt",#N/A,FALSE,"By Code"}</definedName>
    <definedName name="___jhi44_3_1_3" hidden="1">{"Input_Fin",#N/A,FALSE,"By Code";"Input_Opt",#N/A,FALSE,"By Code"}</definedName>
    <definedName name="___jhi44_3_1_4" hidden="1">{"Input_Fin",#N/A,FALSE,"By Code";"Input_Opt",#N/A,FALSE,"By Code"}</definedName>
    <definedName name="___jhi44_3_2" hidden="1">{"Input_Fin",#N/A,FALSE,"By Code";"Input_Opt",#N/A,FALSE,"By Code"}</definedName>
    <definedName name="___jhi44_3_2_1" hidden="1">{"Input_Fin",#N/A,FALSE,"By Code";"Input_Opt",#N/A,FALSE,"By Code"}</definedName>
    <definedName name="___jhi44_3_2_2" hidden="1">{"Input_Fin",#N/A,FALSE,"By Code";"Input_Opt",#N/A,FALSE,"By Code"}</definedName>
    <definedName name="___jhi44_3_2_3" hidden="1">{"Input_Fin",#N/A,FALSE,"By Code";"Input_Opt",#N/A,FALSE,"By Code"}</definedName>
    <definedName name="___jhi44_3_3" hidden="1">{"Input_Fin",#N/A,FALSE,"By Code";"Input_Opt",#N/A,FALSE,"By Code"}</definedName>
    <definedName name="___jhi44_3_3_1" hidden="1">{"Input_Fin",#N/A,FALSE,"By Code";"Input_Opt",#N/A,FALSE,"By Code"}</definedName>
    <definedName name="___jhi44_3_3_2" hidden="1">{"Input_Fin",#N/A,FALSE,"By Code";"Input_Opt",#N/A,FALSE,"By Code"}</definedName>
    <definedName name="___jhi44_3_4" hidden="1">{"Input_Fin",#N/A,FALSE,"By Code";"Input_Opt",#N/A,FALSE,"By Code"}</definedName>
    <definedName name="___jhi44_3_5" hidden="1">{"Input_Fin",#N/A,FALSE,"By Code";"Input_Opt",#N/A,FALSE,"By Code"}</definedName>
    <definedName name="___jhi44_4" hidden="1">{"Input_Fin",#N/A,FALSE,"By Code";"Input_Opt",#N/A,FALSE,"By Code"}</definedName>
    <definedName name="___jhi44_4_1" hidden="1">{"Input_Fin",#N/A,FALSE,"By Code";"Input_Opt",#N/A,FALSE,"By Code"}</definedName>
    <definedName name="___jhi44_4_1_1" hidden="1">{"Input_Fin",#N/A,FALSE,"By Code";"Input_Opt",#N/A,FALSE,"By Code"}</definedName>
    <definedName name="___jhi44_4_1_1_1" hidden="1">{"Input_Fin",#N/A,FALSE,"By Code";"Input_Opt",#N/A,FALSE,"By Code"}</definedName>
    <definedName name="___jhi44_4_1_1_2" hidden="1">{"Input_Fin",#N/A,FALSE,"By Code";"Input_Opt",#N/A,FALSE,"By Code"}</definedName>
    <definedName name="___jhi44_4_1_1_3" hidden="1">{"Input_Fin",#N/A,FALSE,"By Code";"Input_Opt",#N/A,FALSE,"By Code"}</definedName>
    <definedName name="___jhi44_4_1_2" hidden="1">{"Input_Fin",#N/A,FALSE,"By Code";"Input_Opt",#N/A,FALSE,"By Code"}</definedName>
    <definedName name="___jhi44_4_1_2_1" hidden="1">{"Input_Fin",#N/A,FALSE,"By Code";"Input_Opt",#N/A,FALSE,"By Code"}</definedName>
    <definedName name="___jhi44_4_1_2_2" hidden="1">{"Input_Fin",#N/A,FALSE,"By Code";"Input_Opt",#N/A,FALSE,"By Code"}</definedName>
    <definedName name="___jhi44_4_1_3" hidden="1">{"Input_Fin",#N/A,FALSE,"By Code";"Input_Opt",#N/A,FALSE,"By Code"}</definedName>
    <definedName name="___jhi44_4_1_4" hidden="1">{"Input_Fin",#N/A,FALSE,"By Code";"Input_Opt",#N/A,FALSE,"By Code"}</definedName>
    <definedName name="___jhi44_4_2" hidden="1">{"Input_Fin",#N/A,FALSE,"By Code";"Input_Opt",#N/A,FALSE,"By Code"}</definedName>
    <definedName name="___jhi44_4_2_1" hidden="1">{"Input_Fin",#N/A,FALSE,"By Code";"Input_Opt",#N/A,FALSE,"By Code"}</definedName>
    <definedName name="___jhi44_4_2_2" hidden="1">{"Input_Fin",#N/A,FALSE,"By Code";"Input_Opt",#N/A,FALSE,"By Code"}</definedName>
    <definedName name="___jhi44_4_2_3" hidden="1">{"Input_Fin",#N/A,FALSE,"By Code";"Input_Opt",#N/A,FALSE,"By Code"}</definedName>
    <definedName name="___jhi44_4_3" hidden="1">{"Input_Fin",#N/A,FALSE,"By Code";"Input_Opt",#N/A,FALSE,"By Code"}</definedName>
    <definedName name="___jhi44_4_3_1" hidden="1">{"Input_Fin",#N/A,FALSE,"By Code";"Input_Opt",#N/A,FALSE,"By Code"}</definedName>
    <definedName name="___jhi44_4_3_2" hidden="1">{"Input_Fin",#N/A,FALSE,"By Code";"Input_Opt",#N/A,FALSE,"By Code"}</definedName>
    <definedName name="___jhi44_4_4" hidden="1">{"Input_Fin",#N/A,FALSE,"By Code";"Input_Opt",#N/A,FALSE,"By Code"}</definedName>
    <definedName name="___jhi44_4_5" hidden="1">{"Input_Fin",#N/A,FALSE,"By Code";"Input_Opt",#N/A,FALSE,"By Code"}</definedName>
    <definedName name="___jhi44_5" hidden="1">{"Input_Fin",#N/A,FALSE,"By Code";"Input_Opt",#N/A,FALSE,"By Code"}</definedName>
    <definedName name="___jhi44_5_1" hidden="1">{"Input_Fin",#N/A,FALSE,"By Code";"Input_Opt",#N/A,FALSE,"By Code"}</definedName>
    <definedName name="___jhi44_5_1_1" hidden="1">{"Input_Fin",#N/A,FALSE,"By Code";"Input_Opt",#N/A,FALSE,"By Code"}</definedName>
    <definedName name="___jhi44_5_1_1_1" hidden="1">{"Input_Fin",#N/A,FALSE,"By Code";"Input_Opt",#N/A,FALSE,"By Code"}</definedName>
    <definedName name="___jhi44_5_1_1_2" hidden="1">{"Input_Fin",#N/A,FALSE,"By Code";"Input_Opt",#N/A,FALSE,"By Code"}</definedName>
    <definedName name="___jhi44_5_1_1_3" hidden="1">{"Input_Fin",#N/A,FALSE,"By Code";"Input_Opt",#N/A,FALSE,"By Code"}</definedName>
    <definedName name="___jhi44_5_1_2" hidden="1">{"Input_Fin",#N/A,FALSE,"By Code";"Input_Opt",#N/A,FALSE,"By Code"}</definedName>
    <definedName name="___jhi44_5_1_2_1" hidden="1">{"Input_Fin",#N/A,FALSE,"By Code";"Input_Opt",#N/A,FALSE,"By Code"}</definedName>
    <definedName name="___jhi44_5_1_2_2" hidden="1">{"Input_Fin",#N/A,FALSE,"By Code";"Input_Opt",#N/A,FALSE,"By Code"}</definedName>
    <definedName name="___jhi44_5_1_3" hidden="1">{"Input_Fin",#N/A,FALSE,"By Code";"Input_Opt",#N/A,FALSE,"By Code"}</definedName>
    <definedName name="___jhi44_5_1_4" hidden="1">{"Input_Fin",#N/A,FALSE,"By Code";"Input_Opt",#N/A,FALSE,"By Code"}</definedName>
    <definedName name="___jhi44_5_2" hidden="1">{"Input_Fin",#N/A,FALSE,"By Code";"Input_Opt",#N/A,FALSE,"By Code"}</definedName>
    <definedName name="___jhi44_5_2_1" hidden="1">{"Input_Fin",#N/A,FALSE,"By Code";"Input_Opt",#N/A,FALSE,"By Code"}</definedName>
    <definedName name="___jhi44_5_2_2" hidden="1">{"Input_Fin",#N/A,FALSE,"By Code";"Input_Opt",#N/A,FALSE,"By Code"}</definedName>
    <definedName name="___jhi44_5_2_3" hidden="1">{"Input_Fin",#N/A,FALSE,"By Code";"Input_Opt",#N/A,FALSE,"By Code"}</definedName>
    <definedName name="___jhi44_5_3" hidden="1">{"Input_Fin",#N/A,FALSE,"By Code";"Input_Opt",#N/A,FALSE,"By Code"}</definedName>
    <definedName name="___jhi44_5_3_1" hidden="1">{"Input_Fin",#N/A,FALSE,"By Code";"Input_Opt",#N/A,FALSE,"By Code"}</definedName>
    <definedName name="___jhi44_5_3_2" hidden="1">{"Input_Fin",#N/A,FALSE,"By Code";"Input_Opt",#N/A,FALSE,"By Code"}</definedName>
    <definedName name="___jhi44_5_4" hidden="1">{"Input_Fin",#N/A,FALSE,"By Code";"Input_Opt",#N/A,FALSE,"By Code"}</definedName>
    <definedName name="___jhi44_5_5" hidden="1">{"Input_Fin",#N/A,FALSE,"By Code";"Input_Opt",#N/A,FALSE,"By Code"}</definedName>
    <definedName name="__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xlfn.BAHTTEXT" hidden="1">#NAME?</definedName>
    <definedName name="__10D123_" hidden="1">{"Input_Fin",#N/A,FALSE,"By Code";"Input_Opt",#N/A,FALSE,"By Code"}</definedName>
    <definedName name="__10dy1_" hidden="1">{"Input_Fin",#N/A,FALSE,"By Code";"Input_Opt",#N/A,FALSE,"By Code"}</definedName>
    <definedName name="__10dy1__1" hidden="1">{"Input_Fin",#N/A,FALSE,"By Code";"Input_Opt",#N/A,FALSE,"By Code"}</definedName>
    <definedName name="__10dy1__1_1" hidden="1">{"Input_Fin",#N/A,FALSE,"By Code";"Input_Opt",#N/A,FALSE,"By Code"}</definedName>
    <definedName name="__10dy1__1_1_1" hidden="1">{"Input_Fin",#N/A,FALSE,"By Code";"Input_Opt",#N/A,FALSE,"By Code"}</definedName>
    <definedName name="__10dy1__1_1_2" hidden="1">{"Input_Fin",#N/A,FALSE,"By Code";"Input_Opt",#N/A,FALSE,"By Code"}</definedName>
    <definedName name="__10dy1__1_1_3" hidden="1">{"Input_Fin",#N/A,FALSE,"By Code";"Input_Opt",#N/A,FALSE,"By Code"}</definedName>
    <definedName name="__10dy1__1_2" hidden="1">{"Input_Fin",#N/A,FALSE,"By Code";"Input_Opt",#N/A,FALSE,"By Code"}</definedName>
    <definedName name="__10dy1__1_2_1" hidden="1">{"Input_Fin",#N/A,FALSE,"By Code";"Input_Opt",#N/A,FALSE,"By Code"}</definedName>
    <definedName name="__10dy1__1_2_2" hidden="1">{"Input_Fin",#N/A,FALSE,"By Code";"Input_Opt",#N/A,FALSE,"By Code"}</definedName>
    <definedName name="__10dy1__1_3" hidden="1">{"Input_Fin",#N/A,FALSE,"By Code";"Input_Opt",#N/A,FALSE,"By Code"}</definedName>
    <definedName name="__10dy1__1_4" hidden="1">{"Input_Fin",#N/A,FALSE,"By Code";"Input_Opt",#N/A,FALSE,"By Code"}</definedName>
    <definedName name="__10dy1__2" hidden="1">{"Input_Fin",#N/A,FALSE,"By Code";"Input_Opt",#N/A,FALSE,"By Code"}</definedName>
    <definedName name="__10dy1__2_1" hidden="1">{"Input_Fin",#N/A,FALSE,"By Code";"Input_Opt",#N/A,FALSE,"By Code"}</definedName>
    <definedName name="__10dy1__2_2" hidden="1">{"Input_Fin",#N/A,FALSE,"By Code";"Input_Opt",#N/A,FALSE,"By Code"}</definedName>
    <definedName name="__10dy1__2_3" hidden="1">{"Input_Fin",#N/A,FALSE,"By Code";"Input_Opt",#N/A,FALSE,"By Code"}</definedName>
    <definedName name="__10dy1__3" hidden="1">{"Input_Fin",#N/A,FALSE,"By Code";"Input_Opt",#N/A,FALSE,"By Code"}</definedName>
    <definedName name="__10dy1__3_1" hidden="1">{"Input_Fin",#N/A,FALSE,"By Code";"Input_Opt",#N/A,FALSE,"By Code"}</definedName>
    <definedName name="__10dy1__3_2" hidden="1">{"Input_Fin",#N/A,FALSE,"By Code";"Input_Opt",#N/A,FALSE,"By Code"}</definedName>
    <definedName name="__10dy1__4" hidden="1">{"Input_Fin",#N/A,FALSE,"By Code";"Input_Opt",#N/A,FALSE,"By Code"}</definedName>
    <definedName name="__10dy1__5" hidden="1">{"Input_Fin",#N/A,FALSE,"By Code";"Input_Opt",#N/A,FALSE,"By Code"}</definedName>
    <definedName name="__11dy1_" localSheetId="12" hidden="1">{"Input_Fin",#N/A,FALSE,"By Code";"Input_Opt",#N/A,FALSE,"By Code"}</definedName>
    <definedName name="__11dy1_" hidden="1">{"Input_Fin",#N/A,FALSE,"By Code";"Input_Opt",#N/A,FALSE,"By Code"}</definedName>
    <definedName name="__11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2_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3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3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4dy5_" hidden="1">{"Input_Fin",#N/A,FALSE,"By Code";"Input_Opt",#N/A,FALSE,"By Code"}</definedName>
    <definedName name="__14dy5__1" hidden="1">{"Input_Fin",#N/A,FALSE,"By Code";"Input_Opt",#N/A,FALSE,"By Code"}</definedName>
    <definedName name="__14dy5__1_1" hidden="1">{"Input_Fin",#N/A,FALSE,"By Code";"Input_Opt",#N/A,FALSE,"By Code"}</definedName>
    <definedName name="__14dy5__1_1_1" hidden="1">{"Input_Fin",#N/A,FALSE,"By Code";"Input_Opt",#N/A,FALSE,"By Code"}</definedName>
    <definedName name="__14dy5__1_1_2" hidden="1">{"Input_Fin",#N/A,FALSE,"By Code";"Input_Opt",#N/A,FALSE,"By Code"}</definedName>
    <definedName name="__14dy5__1_1_3" hidden="1">{"Input_Fin",#N/A,FALSE,"By Code";"Input_Opt",#N/A,FALSE,"By Code"}</definedName>
    <definedName name="__14dy5__1_2" hidden="1">{"Input_Fin",#N/A,FALSE,"By Code";"Input_Opt",#N/A,FALSE,"By Code"}</definedName>
    <definedName name="__14dy5__1_2_1" hidden="1">{"Input_Fin",#N/A,FALSE,"By Code";"Input_Opt",#N/A,FALSE,"By Code"}</definedName>
    <definedName name="__14dy5__1_2_2" hidden="1">{"Input_Fin",#N/A,FALSE,"By Code";"Input_Opt",#N/A,FALSE,"By Code"}</definedName>
    <definedName name="__14dy5__1_3" hidden="1">{"Input_Fin",#N/A,FALSE,"By Code";"Input_Opt",#N/A,FALSE,"By Code"}</definedName>
    <definedName name="__14dy5__1_4" hidden="1">{"Input_Fin",#N/A,FALSE,"By Code";"Input_Opt",#N/A,FALSE,"By Code"}</definedName>
    <definedName name="__14dy5__2" hidden="1">{"Input_Fin",#N/A,FALSE,"By Code";"Input_Opt",#N/A,FALSE,"By Code"}</definedName>
    <definedName name="__14dy5__2_1" hidden="1">{"Input_Fin",#N/A,FALSE,"By Code";"Input_Opt",#N/A,FALSE,"By Code"}</definedName>
    <definedName name="__14dy5__2_2" hidden="1">{"Input_Fin",#N/A,FALSE,"By Code";"Input_Opt",#N/A,FALSE,"By Code"}</definedName>
    <definedName name="__14dy5__2_3" hidden="1">{"Input_Fin",#N/A,FALSE,"By Code";"Input_Opt",#N/A,FALSE,"By Code"}</definedName>
    <definedName name="__14dy5__3" hidden="1">{"Input_Fin",#N/A,FALSE,"By Code";"Input_Opt",#N/A,FALSE,"By Code"}</definedName>
    <definedName name="__14dy5__3_1" hidden="1">{"Input_Fin",#N/A,FALSE,"By Code";"Input_Opt",#N/A,FALSE,"By Code"}</definedName>
    <definedName name="__14dy5__3_2" hidden="1">{"Input_Fin",#N/A,FALSE,"By Code";"Input_Opt",#N/A,FALSE,"By Code"}</definedName>
    <definedName name="__14dy5__4" hidden="1">{"Input_Fin",#N/A,FALSE,"By Code";"Input_Opt",#N/A,FALSE,"By Code"}</definedName>
    <definedName name="__14dy5__5" hidden="1">{"Input_Fin",#N/A,FALSE,"By Code";"Input_Opt",#N/A,FALSE,"By Code"}</definedName>
    <definedName name="__15dy3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5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5dy5_" hidden="1">{"Input_Fin",#N/A,FALSE,"By Code";"Input_Opt",#N/A,FALSE,"By Code"}</definedName>
    <definedName name="__15dy6_" hidden="1">{"Input_Fin",#N/A,FALSE,"By Code";"Input_Opt",#N/A,FALSE,"By Code"}</definedName>
    <definedName name="__15dy6__1" hidden="1">{"Input_Fin",#N/A,FALSE,"By Code";"Input_Opt",#N/A,FALSE,"By Code"}</definedName>
    <definedName name="__15dy6__1_1" hidden="1">{"Input_Fin",#N/A,FALSE,"By Code";"Input_Opt",#N/A,FALSE,"By Code"}</definedName>
    <definedName name="__15dy6__1_1_1" hidden="1">{"Input_Fin",#N/A,FALSE,"By Code";"Input_Opt",#N/A,FALSE,"By Code"}</definedName>
    <definedName name="__15dy6__1_1_2" hidden="1">{"Input_Fin",#N/A,FALSE,"By Code";"Input_Opt",#N/A,FALSE,"By Code"}</definedName>
    <definedName name="__15dy6__1_1_3" hidden="1">{"Input_Fin",#N/A,FALSE,"By Code";"Input_Opt",#N/A,FALSE,"By Code"}</definedName>
    <definedName name="__15dy6__1_2" hidden="1">{"Input_Fin",#N/A,FALSE,"By Code";"Input_Opt",#N/A,FALSE,"By Code"}</definedName>
    <definedName name="__15dy6__1_2_1" hidden="1">{"Input_Fin",#N/A,FALSE,"By Code";"Input_Opt",#N/A,FALSE,"By Code"}</definedName>
    <definedName name="__15dy6__1_2_2" hidden="1">{"Input_Fin",#N/A,FALSE,"By Code";"Input_Opt",#N/A,FALSE,"By Code"}</definedName>
    <definedName name="__15dy6__1_3" hidden="1">{"Input_Fin",#N/A,FALSE,"By Code";"Input_Opt",#N/A,FALSE,"By Code"}</definedName>
    <definedName name="__15dy6__1_4" hidden="1">{"Input_Fin",#N/A,FALSE,"By Code";"Input_Opt",#N/A,FALSE,"By Code"}</definedName>
    <definedName name="__15dy6__2" hidden="1">{"Input_Fin",#N/A,FALSE,"By Code";"Input_Opt",#N/A,FALSE,"By Code"}</definedName>
    <definedName name="__15dy6__2_1" hidden="1">{"Input_Fin",#N/A,FALSE,"By Code";"Input_Opt",#N/A,FALSE,"By Code"}</definedName>
    <definedName name="__15dy6__2_2" hidden="1">{"Input_Fin",#N/A,FALSE,"By Code";"Input_Opt",#N/A,FALSE,"By Code"}</definedName>
    <definedName name="__15dy6__2_3" hidden="1">{"Input_Fin",#N/A,FALSE,"By Code";"Input_Opt",#N/A,FALSE,"By Code"}</definedName>
    <definedName name="__15dy6__3" hidden="1">{"Input_Fin",#N/A,FALSE,"By Code";"Input_Opt",#N/A,FALSE,"By Code"}</definedName>
    <definedName name="__15dy6__3_1" hidden="1">{"Input_Fin",#N/A,FALSE,"By Code";"Input_Opt",#N/A,FALSE,"By Code"}</definedName>
    <definedName name="__15dy6__3_2" hidden="1">{"Input_Fin",#N/A,FALSE,"By Code";"Input_Opt",#N/A,FALSE,"By Code"}</definedName>
    <definedName name="__15dy6__4" hidden="1">{"Input_Fin",#N/A,FALSE,"By Code";"Input_Opt",#N/A,FALSE,"By Code"}</definedName>
    <definedName name="__15dy6__5" hidden="1">{"Input_Fin",#N/A,FALSE,"By Code";"Input_Opt",#N/A,FALSE,"By Code"}</definedName>
    <definedName name="__17dy4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7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8dy6_" hidden="1">{"Input_Fin",#N/A,FALSE,"By Code";"Input_Opt",#N/A,FALSE,"By Code"}</definedName>
    <definedName name="__19dy5_" localSheetId="12" hidden="1">{"Input_Fin",#N/A,FALSE,"By Code";"Input_Opt",#N/A,FALSE,"By Code"}</definedName>
    <definedName name="__19dy5_" hidden="1">{"Input_Fin",#N/A,FALSE,"By Code";"Input_Opt",#N/A,FALSE,"By Code"}</definedName>
    <definedName name="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21dy6_" localSheetId="12" hidden="1">{"Input_Fin",#N/A,FALSE,"By Code";"Input_Opt",#N/A,FALSE,"By Code"}</definedName>
    <definedName name="__21dy6_" hidden="1">{"Input_Fin",#N/A,FALSE,"By Code";"Input_Opt",#N/A,FALSE,"By Code"}</definedName>
    <definedName name="__2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3dy1_" hidden="1">{"Input_Fin",#N/A,FALSE,"By Code";"Input_Opt",#N/A,FALSE,"By Code"}</definedName>
    <definedName name="__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9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AAA00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AAA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BBB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cd1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cd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cf21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cf2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123" localSheetId="12" hidden="1">{"Input_Fin",#N/A,FALSE,"By Code";"Input_Opt",#N/A,FALSE,"By Code"}</definedName>
    <definedName name="__D123" hidden="1">{"Input_Fin",#N/A,FALSE,"By Code";"Input_Opt",#N/A,FALSE,"By Code"}</definedName>
    <definedName name="__dd2" hidden="1">{"Input_Fin",#N/A,FALSE,"By Code";"Input_Opt",#N/A,FALSE,"By Code"}</definedName>
    <definedName name="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1" localSheetId="12" hidden="1">{"Input_Fin",#N/A,FALSE,"By Code";"Input_Opt",#N/A,FALSE,"By Code"}</definedName>
    <definedName name="__dy1" hidden="1">{"Input_Fin",#N/A,FALSE,"By Code";"Input_Opt",#N/A,FALSE,"By Code"}</definedName>
    <definedName name="__dy1_1" hidden="1">{"Input_Fin",#N/A,FALSE,"By Code";"Input_Opt",#N/A,FALSE,"By Code"}</definedName>
    <definedName name="__dy1_1_1" hidden="1">{"Input_Fin",#N/A,FALSE,"By Code";"Input_Opt",#N/A,FALSE,"By Code"}</definedName>
    <definedName name="__dy1_1_1_1" hidden="1">{"Input_Fin",#N/A,FALSE,"By Code";"Input_Opt",#N/A,FALSE,"By Code"}</definedName>
    <definedName name="__dy1_1_1_1_1" hidden="1">{"Input_Fin",#N/A,FALSE,"By Code";"Input_Opt",#N/A,FALSE,"By Code"}</definedName>
    <definedName name="__dy1_1_1_1_1_1" hidden="1">{"Input_Fin",#N/A,FALSE,"By Code";"Input_Opt",#N/A,FALSE,"By Code"}</definedName>
    <definedName name="__dy1_1_1_1_1_2" hidden="1">{"Input_Fin",#N/A,FALSE,"By Code";"Input_Opt",#N/A,FALSE,"By Code"}</definedName>
    <definedName name="__dy1_1_1_1_1_3" hidden="1">{"Input_Fin",#N/A,FALSE,"By Code";"Input_Opt",#N/A,FALSE,"By Code"}</definedName>
    <definedName name="__dy1_1_1_1_2" hidden="1">{"Input_Fin",#N/A,FALSE,"By Code";"Input_Opt",#N/A,FALSE,"By Code"}</definedName>
    <definedName name="__dy1_1_1_1_2_1" hidden="1">{"Input_Fin",#N/A,FALSE,"By Code";"Input_Opt",#N/A,FALSE,"By Code"}</definedName>
    <definedName name="__dy1_1_1_1_2_2" hidden="1">{"Input_Fin",#N/A,FALSE,"By Code";"Input_Opt",#N/A,FALSE,"By Code"}</definedName>
    <definedName name="__dy1_1_1_1_3" hidden="1">{"Input_Fin",#N/A,FALSE,"By Code";"Input_Opt",#N/A,FALSE,"By Code"}</definedName>
    <definedName name="__dy1_1_1_1_3_1" hidden="1">{"Input_Fin",#N/A,FALSE,"By Code";"Input_Opt",#N/A,FALSE,"By Code"}</definedName>
    <definedName name="__dy1_1_1_1_3_2" hidden="1">{"Input_Fin",#N/A,FALSE,"By Code";"Input_Opt",#N/A,FALSE,"By Code"}</definedName>
    <definedName name="__dy1_1_1_1_4" hidden="1">{"Input_Fin",#N/A,FALSE,"By Code";"Input_Opt",#N/A,FALSE,"By Code"}</definedName>
    <definedName name="__dy1_1_1_1_5" hidden="1">{"Input_Fin",#N/A,FALSE,"By Code";"Input_Opt",#N/A,FALSE,"By Code"}</definedName>
    <definedName name="__dy1_1_1_2" hidden="1">{"Input_Fin",#N/A,FALSE,"By Code";"Input_Opt",#N/A,FALSE,"By Code"}</definedName>
    <definedName name="__dy1_1_1_2_1" hidden="1">{"Input_Fin",#N/A,FALSE,"By Code";"Input_Opt",#N/A,FALSE,"By Code"}</definedName>
    <definedName name="__dy1_1_1_2_2" hidden="1">{"Input_Fin",#N/A,FALSE,"By Code";"Input_Opt",#N/A,FALSE,"By Code"}</definedName>
    <definedName name="__dy1_1_1_2_3" hidden="1">{"Input_Fin",#N/A,FALSE,"By Code";"Input_Opt",#N/A,FALSE,"By Code"}</definedName>
    <definedName name="__dy1_1_1_3" hidden="1">{"Input_Fin",#N/A,FALSE,"By Code";"Input_Opt",#N/A,FALSE,"By Code"}</definedName>
    <definedName name="__dy1_1_1_3_1" hidden="1">{"Input_Fin",#N/A,FALSE,"By Code";"Input_Opt",#N/A,FALSE,"By Code"}</definedName>
    <definedName name="__dy1_1_1_3_2" hidden="1">{"Input_Fin",#N/A,FALSE,"By Code";"Input_Opt",#N/A,FALSE,"By Code"}</definedName>
    <definedName name="__dy1_1_1_4" hidden="1">{"Input_Fin",#N/A,FALSE,"By Code";"Input_Opt",#N/A,FALSE,"By Code"}</definedName>
    <definedName name="__dy1_1_1_5" hidden="1">{"Input_Fin",#N/A,FALSE,"By Code";"Input_Opt",#N/A,FALSE,"By Code"}</definedName>
    <definedName name="__dy1_1_2" hidden="1">{"Input_Fin",#N/A,FALSE,"By Code";"Input_Opt",#N/A,FALSE,"By Code"}</definedName>
    <definedName name="__dy1_1_2_1" hidden="1">{"Input_Fin",#N/A,FALSE,"By Code";"Input_Opt",#N/A,FALSE,"By Code"}</definedName>
    <definedName name="__dy1_1_2_2" hidden="1">{"Input_Fin",#N/A,FALSE,"By Code";"Input_Opt",#N/A,FALSE,"By Code"}</definedName>
    <definedName name="__dy1_1_2_3" hidden="1">{"Input_Fin",#N/A,FALSE,"By Code";"Input_Opt",#N/A,FALSE,"By Code"}</definedName>
    <definedName name="__dy1_1_3" hidden="1">{"Input_Fin",#N/A,FALSE,"By Code";"Input_Opt",#N/A,FALSE,"By Code"}</definedName>
    <definedName name="__dy1_1_3_1" hidden="1">{"Input_Fin",#N/A,FALSE,"By Code";"Input_Opt",#N/A,FALSE,"By Code"}</definedName>
    <definedName name="__dy1_1_3_2" hidden="1">{"Input_Fin",#N/A,FALSE,"By Code";"Input_Opt",#N/A,FALSE,"By Code"}</definedName>
    <definedName name="__dy1_1_4" hidden="1">{"Input_Fin",#N/A,FALSE,"By Code";"Input_Opt",#N/A,FALSE,"By Code"}</definedName>
    <definedName name="__dy1_1_5" hidden="1">{"Input_Fin",#N/A,FALSE,"By Code";"Input_Opt",#N/A,FALSE,"By Code"}</definedName>
    <definedName name="__dy1_2" hidden="1">{"Input_Fin",#N/A,FALSE,"By Code";"Input_Opt",#N/A,FALSE,"By Code"}</definedName>
    <definedName name="__dy1_2_1" hidden="1">{"Input_Fin",#N/A,FALSE,"By Code";"Input_Opt",#N/A,FALSE,"By Code"}</definedName>
    <definedName name="__dy1_2_1_1" hidden="1">{"Input_Fin",#N/A,FALSE,"By Code";"Input_Opt",#N/A,FALSE,"By Code"}</definedName>
    <definedName name="__dy1_2_1_1_1" hidden="1">{"Input_Fin",#N/A,FALSE,"By Code";"Input_Opt",#N/A,FALSE,"By Code"}</definedName>
    <definedName name="__dy1_2_1_1_2" hidden="1">{"Input_Fin",#N/A,FALSE,"By Code";"Input_Opt",#N/A,FALSE,"By Code"}</definedName>
    <definedName name="__dy1_2_1_1_3" hidden="1">{"Input_Fin",#N/A,FALSE,"By Code";"Input_Opt",#N/A,FALSE,"By Code"}</definedName>
    <definedName name="__dy1_2_1_2" hidden="1">{"Input_Fin",#N/A,FALSE,"By Code";"Input_Opt",#N/A,FALSE,"By Code"}</definedName>
    <definedName name="__dy1_2_1_2_1" hidden="1">{"Input_Fin",#N/A,FALSE,"By Code";"Input_Opt",#N/A,FALSE,"By Code"}</definedName>
    <definedName name="__dy1_2_1_2_2" hidden="1">{"Input_Fin",#N/A,FALSE,"By Code";"Input_Opt",#N/A,FALSE,"By Code"}</definedName>
    <definedName name="__dy1_2_1_3" hidden="1">{"Input_Fin",#N/A,FALSE,"By Code";"Input_Opt",#N/A,FALSE,"By Code"}</definedName>
    <definedName name="__dy1_2_1_4" hidden="1">{"Input_Fin",#N/A,FALSE,"By Code";"Input_Opt",#N/A,FALSE,"By Code"}</definedName>
    <definedName name="__dy1_2_2" hidden="1">{"Input_Fin",#N/A,FALSE,"By Code";"Input_Opt",#N/A,FALSE,"By Code"}</definedName>
    <definedName name="__dy1_2_2_1" hidden="1">{"Input_Fin",#N/A,FALSE,"By Code";"Input_Opt",#N/A,FALSE,"By Code"}</definedName>
    <definedName name="__dy1_2_2_2" hidden="1">{"Input_Fin",#N/A,FALSE,"By Code";"Input_Opt",#N/A,FALSE,"By Code"}</definedName>
    <definedName name="__dy1_2_2_3" hidden="1">{"Input_Fin",#N/A,FALSE,"By Code";"Input_Opt",#N/A,FALSE,"By Code"}</definedName>
    <definedName name="__dy1_2_3" hidden="1">{"Input_Fin",#N/A,FALSE,"By Code";"Input_Opt",#N/A,FALSE,"By Code"}</definedName>
    <definedName name="__dy1_2_3_1" hidden="1">{"Input_Fin",#N/A,FALSE,"By Code";"Input_Opt",#N/A,FALSE,"By Code"}</definedName>
    <definedName name="__dy1_2_3_2" hidden="1">{"Input_Fin",#N/A,FALSE,"By Code";"Input_Opt",#N/A,FALSE,"By Code"}</definedName>
    <definedName name="__dy1_2_4" hidden="1">{"Input_Fin",#N/A,FALSE,"By Code";"Input_Opt",#N/A,FALSE,"By Code"}</definedName>
    <definedName name="__dy1_2_5" hidden="1">{"Input_Fin",#N/A,FALSE,"By Code";"Input_Opt",#N/A,FALSE,"By Code"}</definedName>
    <definedName name="__dy1_3" hidden="1">{"Input_Fin",#N/A,FALSE,"By Code";"Input_Opt",#N/A,FALSE,"By Code"}</definedName>
    <definedName name="__dy1_3_1" hidden="1">{"Input_Fin",#N/A,FALSE,"By Code";"Input_Opt",#N/A,FALSE,"By Code"}</definedName>
    <definedName name="__dy1_3_1_1" hidden="1">{"Input_Fin",#N/A,FALSE,"By Code";"Input_Opt",#N/A,FALSE,"By Code"}</definedName>
    <definedName name="__dy1_3_1_1_1" hidden="1">{"Input_Fin",#N/A,FALSE,"By Code";"Input_Opt",#N/A,FALSE,"By Code"}</definedName>
    <definedName name="__dy1_3_1_1_2" hidden="1">{"Input_Fin",#N/A,FALSE,"By Code";"Input_Opt",#N/A,FALSE,"By Code"}</definedName>
    <definedName name="__dy1_3_1_1_3" hidden="1">{"Input_Fin",#N/A,FALSE,"By Code";"Input_Opt",#N/A,FALSE,"By Code"}</definedName>
    <definedName name="__dy1_3_1_2" hidden="1">{"Input_Fin",#N/A,FALSE,"By Code";"Input_Opt",#N/A,FALSE,"By Code"}</definedName>
    <definedName name="__dy1_3_1_2_1" hidden="1">{"Input_Fin",#N/A,FALSE,"By Code";"Input_Opt",#N/A,FALSE,"By Code"}</definedName>
    <definedName name="__dy1_3_1_2_2" hidden="1">{"Input_Fin",#N/A,FALSE,"By Code";"Input_Opt",#N/A,FALSE,"By Code"}</definedName>
    <definedName name="__dy1_3_1_3" hidden="1">{"Input_Fin",#N/A,FALSE,"By Code";"Input_Opt",#N/A,FALSE,"By Code"}</definedName>
    <definedName name="__dy1_3_1_4" hidden="1">{"Input_Fin",#N/A,FALSE,"By Code";"Input_Opt",#N/A,FALSE,"By Code"}</definedName>
    <definedName name="__dy1_3_2" hidden="1">{"Input_Fin",#N/A,FALSE,"By Code";"Input_Opt",#N/A,FALSE,"By Code"}</definedName>
    <definedName name="__dy1_3_2_1" hidden="1">{"Input_Fin",#N/A,FALSE,"By Code";"Input_Opt",#N/A,FALSE,"By Code"}</definedName>
    <definedName name="__dy1_3_2_2" hidden="1">{"Input_Fin",#N/A,FALSE,"By Code";"Input_Opt",#N/A,FALSE,"By Code"}</definedName>
    <definedName name="__dy1_3_2_3" hidden="1">{"Input_Fin",#N/A,FALSE,"By Code";"Input_Opt",#N/A,FALSE,"By Code"}</definedName>
    <definedName name="__dy1_3_3" hidden="1">{"Input_Fin",#N/A,FALSE,"By Code";"Input_Opt",#N/A,FALSE,"By Code"}</definedName>
    <definedName name="__dy1_3_3_1" hidden="1">{"Input_Fin",#N/A,FALSE,"By Code";"Input_Opt",#N/A,FALSE,"By Code"}</definedName>
    <definedName name="__dy1_3_3_2" hidden="1">{"Input_Fin",#N/A,FALSE,"By Code";"Input_Opt",#N/A,FALSE,"By Code"}</definedName>
    <definedName name="__dy1_3_4" hidden="1">{"Input_Fin",#N/A,FALSE,"By Code";"Input_Opt",#N/A,FALSE,"By Code"}</definedName>
    <definedName name="__dy1_3_5" hidden="1">{"Input_Fin",#N/A,FALSE,"By Code";"Input_Opt",#N/A,FALSE,"By Code"}</definedName>
    <definedName name="__dy1_4" hidden="1">{"Input_Fin",#N/A,FALSE,"By Code";"Input_Opt",#N/A,FALSE,"By Code"}</definedName>
    <definedName name="__dy1_4_1" hidden="1">{"Input_Fin",#N/A,FALSE,"By Code";"Input_Opt",#N/A,FALSE,"By Code"}</definedName>
    <definedName name="__dy1_4_1_1" hidden="1">{"Input_Fin",#N/A,FALSE,"By Code";"Input_Opt",#N/A,FALSE,"By Code"}</definedName>
    <definedName name="__dy1_4_1_1_1" hidden="1">{"Input_Fin",#N/A,FALSE,"By Code";"Input_Opt",#N/A,FALSE,"By Code"}</definedName>
    <definedName name="__dy1_4_1_1_2" hidden="1">{"Input_Fin",#N/A,FALSE,"By Code";"Input_Opt",#N/A,FALSE,"By Code"}</definedName>
    <definedName name="__dy1_4_1_1_3" hidden="1">{"Input_Fin",#N/A,FALSE,"By Code";"Input_Opt",#N/A,FALSE,"By Code"}</definedName>
    <definedName name="__dy1_4_1_2" hidden="1">{"Input_Fin",#N/A,FALSE,"By Code";"Input_Opt",#N/A,FALSE,"By Code"}</definedName>
    <definedName name="__dy1_4_1_2_1" hidden="1">{"Input_Fin",#N/A,FALSE,"By Code";"Input_Opt",#N/A,FALSE,"By Code"}</definedName>
    <definedName name="__dy1_4_1_2_2" hidden="1">{"Input_Fin",#N/A,FALSE,"By Code";"Input_Opt",#N/A,FALSE,"By Code"}</definedName>
    <definedName name="__dy1_4_1_3" hidden="1">{"Input_Fin",#N/A,FALSE,"By Code";"Input_Opt",#N/A,FALSE,"By Code"}</definedName>
    <definedName name="__dy1_4_1_4" hidden="1">{"Input_Fin",#N/A,FALSE,"By Code";"Input_Opt",#N/A,FALSE,"By Code"}</definedName>
    <definedName name="__dy1_4_2" hidden="1">{"Input_Fin",#N/A,FALSE,"By Code";"Input_Opt",#N/A,FALSE,"By Code"}</definedName>
    <definedName name="__dy1_4_2_1" hidden="1">{"Input_Fin",#N/A,FALSE,"By Code";"Input_Opt",#N/A,FALSE,"By Code"}</definedName>
    <definedName name="__dy1_4_2_2" hidden="1">{"Input_Fin",#N/A,FALSE,"By Code";"Input_Opt",#N/A,FALSE,"By Code"}</definedName>
    <definedName name="__dy1_4_2_3" hidden="1">{"Input_Fin",#N/A,FALSE,"By Code";"Input_Opt",#N/A,FALSE,"By Code"}</definedName>
    <definedName name="__dy1_4_3" hidden="1">{"Input_Fin",#N/A,FALSE,"By Code";"Input_Opt",#N/A,FALSE,"By Code"}</definedName>
    <definedName name="__dy1_4_3_1" hidden="1">{"Input_Fin",#N/A,FALSE,"By Code";"Input_Opt",#N/A,FALSE,"By Code"}</definedName>
    <definedName name="__dy1_4_3_2" hidden="1">{"Input_Fin",#N/A,FALSE,"By Code";"Input_Opt",#N/A,FALSE,"By Code"}</definedName>
    <definedName name="__dy1_4_4" hidden="1">{"Input_Fin",#N/A,FALSE,"By Code";"Input_Opt",#N/A,FALSE,"By Code"}</definedName>
    <definedName name="__dy1_4_5" hidden="1">{"Input_Fin",#N/A,FALSE,"By Code";"Input_Opt",#N/A,FALSE,"By Code"}</definedName>
    <definedName name="__dy1_5" hidden="1">{"Input_Fin",#N/A,FALSE,"By Code";"Input_Opt",#N/A,FALSE,"By Code"}</definedName>
    <definedName name="__dy1_5_1" hidden="1">{"Input_Fin",#N/A,FALSE,"By Code";"Input_Opt",#N/A,FALSE,"By Code"}</definedName>
    <definedName name="__dy1_5_1_1" hidden="1">{"Input_Fin",#N/A,FALSE,"By Code";"Input_Opt",#N/A,FALSE,"By Code"}</definedName>
    <definedName name="__dy1_5_1_1_1" hidden="1">{"Input_Fin",#N/A,FALSE,"By Code";"Input_Opt",#N/A,FALSE,"By Code"}</definedName>
    <definedName name="__dy1_5_1_1_2" hidden="1">{"Input_Fin",#N/A,FALSE,"By Code";"Input_Opt",#N/A,FALSE,"By Code"}</definedName>
    <definedName name="__dy1_5_1_1_3" hidden="1">{"Input_Fin",#N/A,FALSE,"By Code";"Input_Opt",#N/A,FALSE,"By Code"}</definedName>
    <definedName name="__dy1_5_1_2" hidden="1">{"Input_Fin",#N/A,FALSE,"By Code";"Input_Opt",#N/A,FALSE,"By Code"}</definedName>
    <definedName name="__dy1_5_1_2_1" hidden="1">{"Input_Fin",#N/A,FALSE,"By Code";"Input_Opt",#N/A,FALSE,"By Code"}</definedName>
    <definedName name="__dy1_5_1_2_2" hidden="1">{"Input_Fin",#N/A,FALSE,"By Code";"Input_Opt",#N/A,FALSE,"By Code"}</definedName>
    <definedName name="__dy1_5_1_3" hidden="1">{"Input_Fin",#N/A,FALSE,"By Code";"Input_Opt",#N/A,FALSE,"By Code"}</definedName>
    <definedName name="__dy1_5_1_4" hidden="1">{"Input_Fin",#N/A,FALSE,"By Code";"Input_Opt",#N/A,FALSE,"By Code"}</definedName>
    <definedName name="__dy1_5_2" hidden="1">{"Input_Fin",#N/A,FALSE,"By Code";"Input_Opt",#N/A,FALSE,"By Code"}</definedName>
    <definedName name="__dy1_5_2_1" hidden="1">{"Input_Fin",#N/A,FALSE,"By Code";"Input_Opt",#N/A,FALSE,"By Code"}</definedName>
    <definedName name="__dy1_5_2_2" hidden="1">{"Input_Fin",#N/A,FALSE,"By Code";"Input_Opt",#N/A,FALSE,"By Code"}</definedName>
    <definedName name="__dy1_5_2_3" hidden="1">{"Input_Fin",#N/A,FALSE,"By Code";"Input_Opt",#N/A,FALSE,"By Code"}</definedName>
    <definedName name="__dy1_5_3" hidden="1">{"Input_Fin",#N/A,FALSE,"By Code";"Input_Opt",#N/A,FALSE,"By Code"}</definedName>
    <definedName name="__dy1_5_3_1" hidden="1">{"Input_Fin",#N/A,FALSE,"By Code";"Input_Opt",#N/A,FALSE,"By Code"}</definedName>
    <definedName name="__dy1_5_3_2" hidden="1">{"Input_Fin",#N/A,FALSE,"By Code";"Input_Opt",#N/A,FALSE,"By Code"}</definedName>
    <definedName name="__dy1_5_4" hidden="1">{"Input_Fin",#N/A,FALSE,"By Code";"Input_Opt",#N/A,FALSE,"By Code"}</definedName>
    <definedName name="__dy1_5_5" hidden="1">{"Input_Fin",#N/A,FALSE,"By Code";"Input_Opt",#N/A,FALSE,"By Code"}</definedName>
    <definedName name="_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5" localSheetId="12" hidden="1">{"Input_Fin",#N/A,FALSE,"By Code";"Input_Opt",#N/A,FALSE,"By Code"}</definedName>
    <definedName name="__dy5" hidden="1">{"Input_Fin",#N/A,FALSE,"By Code";"Input_Opt",#N/A,FALSE,"By Code"}</definedName>
    <definedName name="__dy5_1" hidden="1">{"Input_Fin",#N/A,FALSE,"By Code";"Input_Opt",#N/A,FALSE,"By Code"}</definedName>
    <definedName name="__dy5_1_1" hidden="1">{"Input_Fin",#N/A,FALSE,"By Code";"Input_Opt",#N/A,FALSE,"By Code"}</definedName>
    <definedName name="__dy5_1_1_1" hidden="1">{"Input_Fin",#N/A,FALSE,"By Code";"Input_Opt",#N/A,FALSE,"By Code"}</definedName>
    <definedName name="__dy5_1_1_1_1" hidden="1">{"Input_Fin",#N/A,FALSE,"By Code";"Input_Opt",#N/A,FALSE,"By Code"}</definedName>
    <definedName name="__dy5_1_1_1_1_1" hidden="1">{"Input_Fin",#N/A,FALSE,"By Code";"Input_Opt",#N/A,FALSE,"By Code"}</definedName>
    <definedName name="__dy5_1_1_1_1_2" hidden="1">{"Input_Fin",#N/A,FALSE,"By Code";"Input_Opt",#N/A,FALSE,"By Code"}</definedName>
    <definedName name="__dy5_1_1_1_1_3" hidden="1">{"Input_Fin",#N/A,FALSE,"By Code";"Input_Opt",#N/A,FALSE,"By Code"}</definedName>
    <definedName name="__dy5_1_1_1_2" hidden="1">{"Input_Fin",#N/A,FALSE,"By Code";"Input_Opt",#N/A,FALSE,"By Code"}</definedName>
    <definedName name="__dy5_1_1_1_2_1" hidden="1">{"Input_Fin",#N/A,FALSE,"By Code";"Input_Opt",#N/A,FALSE,"By Code"}</definedName>
    <definedName name="__dy5_1_1_1_2_2" hidden="1">{"Input_Fin",#N/A,FALSE,"By Code";"Input_Opt",#N/A,FALSE,"By Code"}</definedName>
    <definedName name="__dy5_1_1_1_3" hidden="1">{"Input_Fin",#N/A,FALSE,"By Code";"Input_Opt",#N/A,FALSE,"By Code"}</definedName>
    <definedName name="__dy5_1_1_1_3_1" hidden="1">{"Input_Fin",#N/A,FALSE,"By Code";"Input_Opt",#N/A,FALSE,"By Code"}</definedName>
    <definedName name="__dy5_1_1_1_3_2" hidden="1">{"Input_Fin",#N/A,FALSE,"By Code";"Input_Opt",#N/A,FALSE,"By Code"}</definedName>
    <definedName name="__dy5_1_1_1_4" hidden="1">{"Input_Fin",#N/A,FALSE,"By Code";"Input_Opt",#N/A,FALSE,"By Code"}</definedName>
    <definedName name="__dy5_1_1_1_5" hidden="1">{"Input_Fin",#N/A,FALSE,"By Code";"Input_Opt",#N/A,FALSE,"By Code"}</definedName>
    <definedName name="__dy5_1_1_2" hidden="1">{"Input_Fin",#N/A,FALSE,"By Code";"Input_Opt",#N/A,FALSE,"By Code"}</definedName>
    <definedName name="__dy5_1_1_2_1" hidden="1">{"Input_Fin",#N/A,FALSE,"By Code";"Input_Opt",#N/A,FALSE,"By Code"}</definedName>
    <definedName name="__dy5_1_1_2_2" hidden="1">{"Input_Fin",#N/A,FALSE,"By Code";"Input_Opt",#N/A,FALSE,"By Code"}</definedName>
    <definedName name="__dy5_1_1_2_3" hidden="1">{"Input_Fin",#N/A,FALSE,"By Code";"Input_Opt",#N/A,FALSE,"By Code"}</definedName>
    <definedName name="__dy5_1_1_3" hidden="1">{"Input_Fin",#N/A,FALSE,"By Code";"Input_Opt",#N/A,FALSE,"By Code"}</definedName>
    <definedName name="__dy5_1_1_3_1" hidden="1">{"Input_Fin",#N/A,FALSE,"By Code";"Input_Opt",#N/A,FALSE,"By Code"}</definedName>
    <definedName name="__dy5_1_1_3_2" hidden="1">{"Input_Fin",#N/A,FALSE,"By Code";"Input_Opt",#N/A,FALSE,"By Code"}</definedName>
    <definedName name="__dy5_1_1_4" hidden="1">{"Input_Fin",#N/A,FALSE,"By Code";"Input_Opt",#N/A,FALSE,"By Code"}</definedName>
    <definedName name="__dy5_1_1_5" hidden="1">{"Input_Fin",#N/A,FALSE,"By Code";"Input_Opt",#N/A,FALSE,"By Code"}</definedName>
    <definedName name="__dy5_1_2" hidden="1">{"Input_Fin",#N/A,FALSE,"By Code";"Input_Opt",#N/A,FALSE,"By Code"}</definedName>
    <definedName name="__dy5_1_2_1" hidden="1">{"Input_Fin",#N/A,FALSE,"By Code";"Input_Opt",#N/A,FALSE,"By Code"}</definedName>
    <definedName name="__dy5_1_2_2" hidden="1">{"Input_Fin",#N/A,FALSE,"By Code";"Input_Opt",#N/A,FALSE,"By Code"}</definedName>
    <definedName name="__dy5_1_2_3" hidden="1">{"Input_Fin",#N/A,FALSE,"By Code";"Input_Opt",#N/A,FALSE,"By Code"}</definedName>
    <definedName name="__dy5_1_3" hidden="1">{"Input_Fin",#N/A,FALSE,"By Code";"Input_Opt",#N/A,FALSE,"By Code"}</definedName>
    <definedName name="__dy5_1_3_1" hidden="1">{"Input_Fin",#N/A,FALSE,"By Code";"Input_Opt",#N/A,FALSE,"By Code"}</definedName>
    <definedName name="__dy5_1_3_2" hidden="1">{"Input_Fin",#N/A,FALSE,"By Code";"Input_Opt",#N/A,FALSE,"By Code"}</definedName>
    <definedName name="__dy5_1_4" hidden="1">{"Input_Fin",#N/A,FALSE,"By Code";"Input_Opt",#N/A,FALSE,"By Code"}</definedName>
    <definedName name="__dy5_1_5" hidden="1">{"Input_Fin",#N/A,FALSE,"By Code";"Input_Opt",#N/A,FALSE,"By Code"}</definedName>
    <definedName name="__dy5_2" hidden="1">{"Input_Fin",#N/A,FALSE,"By Code";"Input_Opt",#N/A,FALSE,"By Code"}</definedName>
    <definedName name="__dy5_2_1" hidden="1">{"Input_Fin",#N/A,FALSE,"By Code";"Input_Opt",#N/A,FALSE,"By Code"}</definedName>
    <definedName name="__dy5_2_1_1" hidden="1">{"Input_Fin",#N/A,FALSE,"By Code";"Input_Opt",#N/A,FALSE,"By Code"}</definedName>
    <definedName name="__dy5_2_1_1_1" hidden="1">{"Input_Fin",#N/A,FALSE,"By Code";"Input_Opt",#N/A,FALSE,"By Code"}</definedName>
    <definedName name="__dy5_2_1_1_2" hidden="1">{"Input_Fin",#N/A,FALSE,"By Code";"Input_Opt",#N/A,FALSE,"By Code"}</definedName>
    <definedName name="__dy5_2_1_1_3" hidden="1">{"Input_Fin",#N/A,FALSE,"By Code";"Input_Opt",#N/A,FALSE,"By Code"}</definedName>
    <definedName name="__dy5_2_1_2" hidden="1">{"Input_Fin",#N/A,FALSE,"By Code";"Input_Opt",#N/A,FALSE,"By Code"}</definedName>
    <definedName name="__dy5_2_1_2_1" hidden="1">{"Input_Fin",#N/A,FALSE,"By Code";"Input_Opt",#N/A,FALSE,"By Code"}</definedName>
    <definedName name="__dy5_2_1_2_2" hidden="1">{"Input_Fin",#N/A,FALSE,"By Code";"Input_Opt",#N/A,FALSE,"By Code"}</definedName>
    <definedName name="__dy5_2_1_3" hidden="1">{"Input_Fin",#N/A,FALSE,"By Code";"Input_Opt",#N/A,FALSE,"By Code"}</definedName>
    <definedName name="__dy5_2_1_4" hidden="1">{"Input_Fin",#N/A,FALSE,"By Code";"Input_Opt",#N/A,FALSE,"By Code"}</definedName>
    <definedName name="__dy5_2_2" hidden="1">{"Input_Fin",#N/A,FALSE,"By Code";"Input_Opt",#N/A,FALSE,"By Code"}</definedName>
    <definedName name="__dy5_2_2_1" hidden="1">{"Input_Fin",#N/A,FALSE,"By Code";"Input_Opt",#N/A,FALSE,"By Code"}</definedName>
    <definedName name="__dy5_2_2_2" hidden="1">{"Input_Fin",#N/A,FALSE,"By Code";"Input_Opt",#N/A,FALSE,"By Code"}</definedName>
    <definedName name="__dy5_2_2_3" hidden="1">{"Input_Fin",#N/A,FALSE,"By Code";"Input_Opt",#N/A,FALSE,"By Code"}</definedName>
    <definedName name="__dy5_2_3" hidden="1">{"Input_Fin",#N/A,FALSE,"By Code";"Input_Opt",#N/A,FALSE,"By Code"}</definedName>
    <definedName name="__dy5_2_3_1" hidden="1">{"Input_Fin",#N/A,FALSE,"By Code";"Input_Opt",#N/A,FALSE,"By Code"}</definedName>
    <definedName name="__dy5_2_3_2" hidden="1">{"Input_Fin",#N/A,FALSE,"By Code";"Input_Opt",#N/A,FALSE,"By Code"}</definedName>
    <definedName name="__dy5_2_4" hidden="1">{"Input_Fin",#N/A,FALSE,"By Code";"Input_Opt",#N/A,FALSE,"By Code"}</definedName>
    <definedName name="__dy5_2_5" hidden="1">{"Input_Fin",#N/A,FALSE,"By Code";"Input_Opt",#N/A,FALSE,"By Code"}</definedName>
    <definedName name="__dy5_3" hidden="1">{"Input_Fin",#N/A,FALSE,"By Code";"Input_Opt",#N/A,FALSE,"By Code"}</definedName>
    <definedName name="__dy5_3_1" hidden="1">{"Input_Fin",#N/A,FALSE,"By Code";"Input_Opt",#N/A,FALSE,"By Code"}</definedName>
    <definedName name="__dy5_3_1_1" hidden="1">{"Input_Fin",#N/A,FALSE,"By Code";"Input_Opt",#N/A,FALSE,"By Code"}</definedName>
    <definedName name="__dy5_3_1_1_1" hidden="1">{"Input_Fin",#N/A,FALSE,"By Code";"Input_Opt",#N/A,FALSE,"By Code"}</definedName>
    <definedName name="__dy5_3_1_1_2" hidden="1">{"Input_Fin",#N/A,FALSE,"By Code";"Input_Opt",#N/A,FALSE,"By Code"}</definedName>
    <definedName name="__dy5_3_1_1_3" hidden="1">{"Input_Fin",#N/A,FALSE,"By Code";"Input_Opt",#N/A,FALSE,"By Code"}</definedName>
    <definedName name="__dy5_3_1_2" hidden="1">{"Input_Fin",#N/A,FALSE,"By Code";"Input_Opt",#N/A,FALSE,"By Code"}</definedName>
    <definedName name="__dy5_3_1_2_1" hidden="1">{"Input_Fin",#N/A,FALSE,"By Code";"Input_Opt",#N/A,FALSE,"By Code"}</definedName>
    <definedName name="__dy5_3_1_2_2" hidden="1">{"Input_Fin",#N/A,FALSE,"By Code";"Input_Opt",#N/A,FALSE,"By Code"}</definedName>
    <definedName name="__dy5_3_1_3" hidden="1">{"Input_Fin",#N/A,FALSE,"By Code";"Input_Opt",#N/A,FALSE,"By Code"}</definedName>
    <definedName name="__dy5_3_1_4" hidden="1">{"Input_Fin",#N/A,FALSE,"By Code";"Input_Opt",#N/A,FALSE,"By Code"}</definedName>
    <definedName name="__dy5_3_2" hidden="1">{"Input_Fin",#N/A,FALSE,"By Code";"Input_Opt",#N/A,FALSE,"By Code"}</definedName>
    <definedName name="__dy5_3_2_1" hidden="1">{"Input_Fin",#N/A,FALSE,"By Code";"Input_Opt",#N/A,FALSE,"By Code"}</definedName>
    <definedName name="__dy5_3_2_2" hidden="1">{"Input_Fin",#N/A,FALSE,"By Code";"Input_Opt",#N/A,FALSE,"By Code"}</definedName>
    <definedName name="__dy5_3_2_3" hidden="1">{"Input_Fin",#N/A,FALSE,"By Code";"Input_Opt",#N/A,FALSE,"By Code"}</definedName>
    <definedName name="__dy5_3_3" hidden="1">{"Input_Fin",#N/A,FALSE,"By Code";"Input_Opt",#N/A,FALSE,"By Code"}</definedName>
    <definedName name="__dy5_3_3_1" hidden="1">{"Input_Fin",#N/A,FALSE,"By Code";"Input_Opt",#N/A,FALSE,"By Code"}</definedName>
    <definedName name="__dy5_3_3_2" hidden="1">{"Input_Fin",#N/A,FALSE,"By Code";"Input_Opt",#N/A,FALSE,"By Code"}</definedName>
    <definedName name="__dy5_3_4" hidden="1">{"Input_Fin",#N/A,FALSE,"By Code";"Input_Opt",#N/A,FALSE,"By Code"}</definedName>
    <definedName name="__dy5_3_5" hidden="1">{"Input_Fin",#N/A,FALSE,"By Code";"Input_Opt",#N/A,FALSE,"By Code"}</definedName>
    <definedName name="__dy5_4" hidden="1">{"Input_Fin",#N/A,FALSE,"By Code";"Input_Opt",#N/A,FALSE,"By Code"}</definedName>
    <definedName name="__dy5_4_1" hidden="1">{"Input_Fin",#N/A,FALSE,"By Code";"Input_Opt",#N/A,FALSE,"By Code"}</definedName>
    <definedName name="__dy5_4_1_1" hidden="1">{"Input_Fin",#N/A,FALSE,"By Code";"Input_Opt",#N/A,FALSE,"By Code"}</definedName>
    <definedName name="__dy5_4_1_1_1" hidden="1">{"Input_Fin",#N/A,FALSE,"By Code";"Input_Opt",#N/A,FALSE,"By Code"}</definedName>
    <definedName name="__dy5_4_1_1_2" hidden="1">{"Input_Fin",#N/A,FALSE,"By Code";"Input_Opt",#N/A,FALSE,"By Code"}</definedName>
    <definedName name="__dy5_4_1_1_3" hidden="1">{"Input_Fin",#N/A,FALSE,"By Code";"Input_Opt",#N/A,FALSE,"By Code"}</definedName>
    <definedName name="__dy5_4_1_2" hidden="1">{"Input_Fin",#N/A,FALSE,"By Code";"Input_Opt",#N/A,FALSE,"By Code"}</definedName>
    <definedName name="__dy5_4_1_2_1" hidden="1">{"Input_Fin",#N/A,FALSE,"By Code";"Input_Opt",#N/A,FALSE,"By Code"}</definedName>
    <definedName name="__dy5_4_1_2_2" hidden="1">{"Input_Fin",#N/A,FALSE,"By Code";"Input_Opt",#N/A,FALSE,"By Code"}</definedName>
    <definedName name="__dy5_4_1_3" hidden="1">{"Input_Fin",#N/A,FALSE,"By Code";"Input_Opt",#N/A,FALSE,"By Code"}</definedName>
    <definedName name="__dy5_4_1_4" hidden="1">{"Input_Fin",#N/A,FALSE,"By Code";"Input_Opt",#N/A,FALSE,"By Code"}</definedName>
    <definedName name="__dy5_4_2" hidden="1">{"Input_Fin",#N/A,FALSE,"By Code";"Input_Opt",#N/A,FALSE,"By Code"}</definedName>
    <definedName name="__dy5_4_2_1" hidden="1">{"Input_Fin",#N/A,FALSE,"By Code";"Input_Opt",#N/A,FALSE,"By Code"}</definedName>
    <definedName name="__dy5_4_2_2" hidden="1">{"Input_Fin",#N/A,FALSE,"By Code";"Input_Opt",#N/A,FALSE,"By Code"}</definedName>
    <definedName name="__dy5_4_2_3" hidden="1">{"Input_Fin",#N/A,FALSE,"By Code";"Input_Opt",#N/A,FALSE,"By Code"}</definedName>
    <definedName name="__dy5_4_3" hidden="1">{"Input_Fin",#N/A,FALSE,"By Code";"Input_Opt",#N/A,FALSE,"By Code"}</definedName>
    <definedName name="__dy5_4_3_1" hidden="1">{"Input_Fin",#N/A,FALSE,"By Code";"Input_Opt",#N/A,FALSE,"By Code"}</definedName>
    <definedName name="__dy5_4_3_2" hidden="1">{"Input_Fin",#N/A,FALSE,"By Code";"Input_Opt",#N/A,FALSE,"By Code"}</definedName>
    <definedName name="__dy5_4_4" hidden="1">{"Input_Fin",#N/A,FALSE,"By Code";"Input_Opt",#N/A,FALSE,"By Code"}</definedName>
    <definedName name="__dy5_4_5" hidden="1">{"Input_Fin",#N/A,FALSE,"By Code";"Input_Opt",#N/A,FALSE,"By Code"}</definedName>
    <definedName name="__dy5_5" hidden="1">{"Input_Fin",#N/A,FALSE,"By Code";"Input_Opt",#N/A,FALSE,"By Code"}</definedName>
    <definedName name="__dy5_5_1" hidden="1">{"Input_Fin",#N/A,FALSE,"By Code";"Input_Opt",#N/A,FALSE,"By Code"}</definedName>
    <definedName name="__dy5_5_1_1" hidden="1">{"Input_Fin",#N/A,FALSE,"By Code";"Input_Opt",#N/A,FALSE,"By Code"}</definedName>
    <definedName name="__dy5_5_1_1_1" hidden="1">{"Input_Fin",#N/A,FALSE,"By Code";"Input_Opt",#N/A,FALSE,"By Code"}</definedName>
    <definedName name="__dy5_5_1_1_2" hidden="1">{"Input_Fin",#N/A,FALSE,"By Code";"Input_Opt",#N/A,FALSE,"By Code"}</definedName>
    <definedName name="__dy5_5_1_1_3" hidden="1">{"Input_Fin",#N/A,FALSE,"By Code";"Input_Opt",#N/A,FALSE,"By Code"}</definedName>
    <definedName name="__dy5_5_1_2" hidden="1">{"Input_Fin",#N/A,FALSE,"By Code";"Input_Opt",#N/A,FALSE,"By Code"}</definedName>
    <definedName name="__dy5_5_1_2_1" hidden="1">{"Input_Fin",#N/A,FALSE,"By Code";"Input_Opt",#N/A,FALSE,"By Code"}</definedName>
    <definedName name="__dy5_5_1_2_2" hidden="1">{"Input_Fin",#N/A,FALSE,"By Code";"Input_Opt",#N/A,FALSE,"By Code"}</definedName>
    <definedName name="__dy5_5_1_3" hidden="1">{"Input_Fin",#N/A,FALSE,"By Code";"Input_Opt",#N/A,FALSE,"By Code"}</definedName>
    <definedName name="__dy5_5_1_4" hidden="1">{"Input_Fin",#N/A,FALSE,"By Code";"Input_Opt",#N/A,FALSE,"By Code"}</definedName>
    <definedName name="__dy5_5_2" hidden="1">{"Input_Fin",#N/A,FALSE,"By Code";"Input_Opt",#N/A,FALSE,"By Code"}</definedName>
    <definedName name="__dy5_5_2_1" hidden="1">{"Input_Fin",#N/A,FALSE,"By Code";"Input_Opt",#N/A,FALSE,"By Code"}</definedName>
    <definedName name="__dy5_5_2_2" hidden="1">{"Input_Fin",#N/A,FALSE,"By Code";"Input_Opt",#N/A,FALSE,"By Code"}</definedName>
    <definedName name="__dy5_5_2_3" hidden="1">{"Input_Fin",#N/A,FALSE,"By Code";"Input_Opt",#N/A,FALSE,"By Code"}</definedName>
    <definedName name="__dy5_5_3" hidden="1">{"Input_Fin",#N/A,FALSE,"By Code";"Input_Opt",#N/A,FALSE,"By Code"}</definedName>
    <definedName name="__dy5_5_3_1" hidden="1">{"Input_Fin",#N/A,FALSE,"By Code";"Input_Opt",#N/A,FALSE,"By Code"}</definedName>
    <definedName name="__dy5_5_3_2" hidden="1">{"Input_Fin",#N/A,FALSE,"By Code";"Input_Opt",#N/A,FALSE,"By Code"}</definedName>
    <definedName name="__dy5_5_4" hidden="1">{"Input_Fin",#N/A,FALSE,"By Code";"Input_Opt",#N/A,FALSE,"By Code"}</definedName>
    <definedName name="__dy5_5_5" hidden="1">{"Input_Fin",#N/A,FALSE,"By Code";"Input_Opt",#N/A,FALSE,"By Code"}</definedName>
    <definedName name="__dy6" localSheetId="12" hidden="1">{"Input_Fin",#N/A,FALSE,"By Code";"Input_Opt",#N/A,FALSE,"By Code"}</definedName>
    <definedName name="__dy6" hidden="1">{"Input_Fin",#N/A,FALSE,"By Code";"Input_Opt",#N/A,FALSE,"By Code"}</definedName>
    <definedName name="__dy6_1" hidden="1">{"Input_Fin",#N/A,FALSE,"By Code";"Input_Opt",#N/A,FALSE,"By Code"}</definedName>
    <definedName name="__dy6_1_1" hidden="1">{"Input_Fin",#N/A,FALSE,"By Code";"Input_Opt",#N/A,FALSE,"By Code"}</definedName>
    <definedName name="__dy6_1_1_1" hidden="1">{"Input_Fin",#N/A,FALSE,"By Code";"Input_Opt",#N/A,FALSE,"By Code"}</definedName>
    <definedName name="__dy6_1_1_1_1" hidden="1">{"Input_Fin",#N/A,FALSE,"By Code";"Input_Opt",#N/A,FALSE,"By Code"}</definedName>
    <definedName name="__dy6_1_1_1_1_1" hidden="1">{"Input_Fin",#N/A,FALSE,"By Code";"Input_Opt",#N/A,FALSE,"By Code"}</definedName>
    <definedName name="__dy6_1_1_1_1_2" hidden="1">{"Input_Fin",#N/A,FALSE,"By Code";"Input_Opt",#N/A,FALSE,"By Code"}</definedName>
    <definedName name="__dy6_1_1_1_1_3" hidden="1">{"Input_Fin",#N/A,FALSE,"By Code";"Input_Opt",#N/A,FALSE,"By Code"}</definedName>
    <definedName name="__dy6_1_1_1_2" hidden="1">{"Input_Fin",#N/A,FALSE,"By Code";"Input_Opt",#N/A,FALSE,"By Code"}</definedName>
    <definedName name="__dy6_1_1_1_2_1" hidden="1">{"Input_Fin",#N/A,FALSE,"By Code";"Input_Opt",#N/A,FALSE,"By Code"}</definedName>
    <definedName name="__dy6_1_1_1_2_2" hidden="1">{"Input_Fin",#N/A,FALSE,"By Code";"Input_Opt",#N/A,FALSE,"By Code"}</definedName>
    <definedName name="__dy6_1_1_1_3" hidden="1">{"Input_Fin",#N/A,FALSE,"By Code";"Input_Opt",#N/A,FALSE,"By Code"}</definedName>
    <definedName name="__dy6_1_1_1_3_1" hidden="1">{"Input_Fin",#N/A,FALSE,"By Code";"Input_Opt",#N/A,FALSE,"By Code"}</definedName>
    <definedName name="__dy6_1_1_1_3_2" hidden="1">{"Input_Fin",#N/A,FALSE,"By Code";"Input_Opt",#N/A,FALSE,"By Code"}</definedName>
    <definedName name="__dy6_1_1_1_4" hidden="1">{"Input_Fin",#N/A,FALSE,"By Code";"Input_Opt",#N/A,FALSE,"By Code"}</definedName>
    <definedName name="__dy6_1_1_1_5" hidden="1">{"Input_Fin",#N/A,FALSE,"By Code";"Input_Opt",#N/A,FALSE,"By Code"}</definedName>
    <definedName name="__dy6_1_1_2" hidden="1">{"Input_Fin",#N/A,FALSE,"By Code";"Input_Opt",#N/A,FALSE,"By Code"}</definedName>
    <definedName name="__dy6_1_1_2_1" hidden="1">{"Input_Fin",#N/A,FALSE,"By Code";"Input_Opt",#N/A,FALSE,"By Code"}</definedName>
    <definedName name="__dy6_1_1_2_2" hidden="1">{"Input_Fin",#N/A,FALSE,"By Code";"Input_Opt",#N/A,FALSE,"By Code"}</definedName>
    <definedName name="__dy6_1_1_2_3" hidden="1">{"Input_Fin",#N/A,FALSE,"By Code";"Input_Opt",#N/A,FALSE,"By Code"}</definedName>
    <definedName name="__dy6_1_1_3" hidden="1">{"Input_Fin",#N/A,FALSE,"By Code";"Input_Opt",#N/A,FALSE,"By Code"}</definedName>
    <definedName name="__dy6_1_1_3_1" hidden="1">{"Input_Fin",#N/A,FALSE,"By Code";"Input_Opt",#N/A,FALSE,"By Code"}</definedName>
    <definedName name="__dy6_1_1_3_2" hidden="1">{"Input_Fin",#N/A,FALSE,"By Code";"Input_Opt",#N/A,FALSE,"By Code"}</definedName>
    <definedName name="__dy6_1_1_4" hidden="1">{"Input_Fin",#N/A,FALSE,"By Code";"Input_Opt",#N/A,FALSE,"By Code"}</definedName>
    <definedName name="__dy6_1_1_5" hidden="1">{"Input_Fin",#N/A,FALSE,"By Code";"Input_Opt",#N/A,FALSE,"By Code"}</definedName>
    <definedName name="__dy6_1_2" hidden="1">{"Input_Fin",#N/A,FALSE,"By Code";"Input_Opt",#N/A,FALSE,"By Code"}</definedName>
    <definedName name="__dy6_1_2_1" hidden="1">{"Input_Fin",#N/A,FALSE,"By Code";"Input_Opt",#N/A,FALSE,"By Code"}</definedName>
    <definedName name="__dy6_1_2_2" hidden="1">{"Input_Fin",#N/A,FALSE,"By Code";"Input_Opt",#N/A,FALSE,"By Code"}</definedName>
    <definedName name="__dy6_1_2_3" hidden="1">{"Input_Fin",#N/A,FALSE,"By Code";"Input_Opt",#N/A,FALSE,"By Code"}</definedName>
    <definedName name="__dy6_1_3" hidden="1">{"Input_Fin",#N/A,FALSE,"By Code";"Input_Opt",#N/A,FALSE,"By Code"}</definedName>
    <definedName name="__dy6_1_3_1" hidden="1">{"Input_Fin",#N/A,FALSE,"By Code";"Input_Opt",#N/A,FALSE,"By Code"}</definedName>
    <definedName name="__dy6_1_3_2" hidden="1">{"Input_Fin",#N/A,FALSE,"By Code";"Input_Opt",#N/A,FALSE,"By Code"}</definedName>
    <definedName name="__dy6_1_4" hidden="1">{"Input_Fin",#N/A,FALSE,"By Code";"Input_Opt",#N/A,FALSE,"By Code"}</definedName>
    <definedName name="__dy6_1_5" hidden="1">{"Input_Fin",#N/A,FALSE,"By Code";"Input_Opt",#N/A,FALSE,"By Code"}</definedName>
    <definedName name="__dy6_2" hidden="1">{"Input_Fin",#N/A,FALSE,"By Code";"Input_Opt",#N/A,FALSE,"By Code"}</definedName>
    <definedName name="__dy6_2_1" hidden="1">{"Input_Fin",#N/A,FALSE,"By Code";"Input_Opt",#N/A,FALSE,"By Code"}</definedName>
    <definedName name="__dy6_2_1_1" hidden="1">{"Input_Fin",#N/A,FALSE,"By Code";"Input_Opt",#N/A,FALSE,"By Code"}</definedName>
    <definedName name="__dy6_2_1_1_1" hidden="1">{"Input_Fin",#N/A,FALSE,"By Code";"Input_Opt",#N/A,FALSE,"By Code"}</definedName>
    <definedName name="__dy6_2_1_1_2" hidden="1">{"Input_Fin",#N/A,FALSE,"By Code";"Input_Opt",#N/A,FALSE,"By Code"}</definedName>
    <definedName name="__dy6_2_1_1_3" hidden="1">{"Input_Fin",#N/A,FALSE,"By Code";"Input_Opt",#N/A,FALSE,"By Code"}</definedName>
    <definedName name="__dy6_2_1_2" hidden="1">{"Input_Fin",#N/A,FALSE,"By Code";"Input_Opt",#N/A,FALSE,"By Code"}</definedName>
    <definedName name="__dy6_2_1_2_1" hidden="1">{"Input_Fin",#N/A,FALSE,"By Code";"Input_Opt",#N/A,FALSE,"By Code"}</definedName>
    <definedName name="__dy6_2_1_2_2" hidden="1">{"Input_Fin",#N/A,FALSE,"By Code";"Input_Opt",#N/A,FALSE,"By Code"}</definedName>
    <definedName name="__dy6_2_1_3" hidden="1">{"Input_Fin",#N/A,FALSE,"By Code";"Input_Opt",#N/A,FALSE,"By Code"}</definedName>
    <definedName name="__dy6_2_1_4" hidden="1">{"Input_Fin",#N/A,FALSE,"By Code";"Input_Opt",#N/A,FALSE,"By Code"}</definedName>
    <definedName name="__dy6_2_2" hidden="1">{"Input_Fin",#N/A,FALSE,"By Code";"Input_Opt",#N/A,FALSE,"By Code"}</definedName>
    <definedName name="__dy6_2_2_1" hidden="1">{"Input_Fin",#N/A,FALSE,"By Code";"Input_Opt",#N/A,FALSE,"By Code"}</definedName>
    <definedName name="__dy6_2_2_2" hidden="1">{"Input_Fin",#N/A,FALSE,"By Code";"Input_Opt",#N/A,FALSE,"By Code"}</definedName>
    <definedName name="__dy6_2_2_3" hidden="1">{"Input_Fin",#N/A,FALSE,"By Code";"Input_Opt",#N/A,FALSE,"By Code"}</definedName>
    <definedName name="__dy6_2_3" hidden="1">{"Input_Fin",#N/A,FALSE,"By Code";"Input_Opt",#N/A,FALSE,"By Code"}</definedName>
    <definedName name="__dy6_2_3_1" hidden="1">{"Input_Fin",#N/A,FALSE,"By Code";"Input_Opt",#N/A,FALSE,"By Code"}</definedName>
    <definedName name="__dy6_2_3_2" hidden="1">{"Input_Fin",#N/A,FALSE,"By Code";"Input_Opt",#N/A,FALSE,"By Code"}</definedName>
    <definedName name="__dy6_2_4" hidden="1">{"Input_Fin",#N/A,FALSE,"By Code";"Input_Opt",#N/A,FALSE,"By Code"}</definedName>
    <definedName name="__dy6_2_5" hidden="1">{"Input_Fin",#N/A,FALSE,"By Code";"Input_Opt",#N/A,FALSE,"By Code"}</definedName>
    <definedName name="__dy6_3" hidden="1">{"Input_Fin",#N/A,FALSE,"By Code";"Input_Opt",#N/A,FALSE,"By Code"}</definedName>
    <definedName name="__dy6_3_1" hidden="1">{"Input_Fin",#N/A,FALSE,"By Code";"Input_Opt",#N/A,FALSE,"By Code"}</definedName>
    <definedName name="__dy6_3_1_1" hidden="1">{"Input_Fin",#N/A,FALSE,"By Code";"Input_Opt",#N/A,FALSE,"By Code"}</definedName>
    <definedName name="__dy6_3_1_1_1" hidden="1">{"Input_Fin",#N/A,FALSE,"By Code";"Input_Opt",#N/A,FALSE,"By Code"}</definedName>
    <definedName name="__dy6_3_1_1_2" hidden="1">{"Input_Fin",#N/A,FALSE,"By Code";"Input_Opt",#N/A,FALSE,"By Code"}</definedName>
    <definedName name="__dy6_3_1_1_3" hidden="1">{"Input_Fin",#N/A,FALSE,"By Code";"Input_Opt",#N/A,FALSE,"By Code"}</definedName>
    <definedName name="__dy6_3_1_2" hidden="1">{"Input_Fin",#N/A,FALSE,"By Code";"Input_Opt",#N/A,FALSE,"By Code"}</definedName>
    <definedName name="__dy6_3_1_2_1" hidden="1">{"Input_Fin",#N/A,FALSE,"By Code";"Input_Opt",#N/A,FALSE,"By Code"}</definedName>
    <definedName name="__dy6_3_1_2_2" hidden="1">{"Input_Fin",#N/A,FALSE,"By Code";"Input_Opt",#N/A,FALSE,"By Code"}</definedName>
    <definedName name="__dy6_3_1_3" hidden="1">{"Input_Fin",#N/A,FALSE,"By Code";"Input_Opt",#N/A,FALSE,"By Code"}</definedName>
    <definedName name="__dy6_3_1_4" hidden="1">{"Input_Fin",#N/A,FALSE,"By Code";"Input_Opt",#N/A,FALSE,"By Code"}</definedName>
    <definedName name="__dy6_3_2" hidden="1">{"Input_Fin",#N/A,FALSE,"By Code";"Input_Opt",#N/A,FALSE,"By Code"}</definedName>
    <definedName name="__dy6_3_2_1" hidden="1">{"Input_Fin",#N/A,FALSE,"By Code";"Input_Opt",#N/A,FALSE,"By Code"}</definedName>
    <definedName name="__dy6_3_2_2" hidden="1">{"Input_Fin",#N/A,FALSE,"By Code";"Input_Opt",#N/A,FALSE,"By Code"}</definedName>
    <definedName name="__dy6_3_2_3" hidden="1">{"Input_Fin",#N/A,FALSE,"By Code";"Input_Opt",#N/A,FALSE,"By Code"}</definedName>
    <definedName name="__dy6_3_3" hidden="1">{"Input_Fin",#N/A,FALSE,"By Code";"Input_Opt",#N/A,FALSE,"By Code"}</definedName>
    <definedName name="__dy6_3_3_1" hidden="1">{"Input_Fin",#N/A,FALSE,"By Code";"Input_Opt",#N/A,FALSE,"By Code"}</definedName>
    <definedName name="__dy6_3_3_2" hidden="1">{"Input_Fin",#N/A,FALSE,"By Code";"Input_Opt",#N/A,FALSE,"By Code"}</definedName>
    <definedName name="__dy6_3_4" hidden="1">{"Input_Fin",#N/A,FALSE,"By Code";"Input_Opt",#N/A,FALSE,"By Code"}</definedName>
    <definedName name="__dy6_3_5" hidden="1">{"Input_Fin",#N/A,FALSE,"By Code";"Input_Opt",#N/A,FALSE,"By Code"}</definedName>
    <definedName name="__dy6_4" hidden="1">{"Input_Fin",#N/A,FALSE,"By Code";"Input_Opt",#N/A,FALSE,"By Code"}</definedName>
    <definedName name="__dy6_4_1" hidden="1">{"Input_Fin",#N/A,FALSE,"By Code";"Input_Opt",#N/A,FALSE,"By Code"}</definedName>
    <definedName name="__dy6_4_1_1" hidden="1">{"Input_Fin",#N/A,FALSE,"By Code";"Input_Opt",#N/A,FALSE,"By Code"}</definedName>
    <definedName name="__dy6_4_1_1_1" hidden="1">{"Input_Fin",#N/A,FALSE,"By Code";"Input_Opt",#N/A,FALSE,"By Code"}</definedName>
    <definedName name="__dy6_4_1_1_2" hidden="1">{"Input_Fin",#N/A,FALSE,"By Code";"Input_Opt",#N/A,FALSE,"By Code"}</definedName>
    <definedName name="__dy6_4_1_1_3" hidden="1">{"Input_Fin",#N/A,FALSE,"By Code";"Input_Opt",#N/A,FALSE,"By Code"}</definedName>
    <definedName name="__dy6_4_1_2" hidden="1">{"Input_Fin",#N/A,FALSE,"By Code";"Input_Opt",#N/A,FALSE,"By Code"}</definedName>
    <definedName name="__dy6_4_1_2_1" hidden="1">{"Input_Fin",#N/A,FALSE,"By Code";"Input_Opt",#N/A,FALSE,"By Code"}</definedName>
    <definedName name="__dy6_4_1_2_2" hidden="1">{"Input_Fin",#N/A,FALSE,"By Code";"Input_Opt",#N/A,FALSE,"By Code"}</definedName>
    <definedName name="__dy6_4_1_3" hidden="1">{"Input_Fin",#N/A,FALSE,"By Code";"Input_Opt",#N/A,FALSE,"By Code"}</definedName>
    <definedName name="__dy6_4_1_4" hidden="1">{"Input_Fin",#N/A,FALSE,"By Code";"Input_Opt",#N/A,FALSE,"By Code"}</definedName>
    <definedName name="__dy6_4_2" hidden="1">{"Input_Fin",#N/A,FALSE,"By Code";"Input_Opt",#N/A,FALSE,"By Code"}</definedName>
    <definedName name="__dy6_4_2_1" hidden="1">{"Input_Fin",#N/A,FALSE,"By Code";"Input_Opt",#N/A,FALSE,"By Code"}</definedName>
    <definedName name="__dy6_4_2_2" hidden="1">{"Input_Fin",#N/A,FALSE,"By Code";"Input_Opt",#N/A,FALSE,"By Code"}</definedName>
    <definedName name="__dy6_4_2_3" hidden="1">{"Input_Fin",#N/A,FALSE,"By Code";"Input_Opt",#N/A,FALSE,"By Code"}</definedName>
    <definedName name="__dy6_4_3" hidden="1">{"Input_Fin",#N/A,FALSE,"By Code";"Input_Opt",#N/A,FALSE,"By Code"}</definedName>
    <definedName name="__dy6_4_3_1" hidden="1">{"Input_Fin",#N/A,FALSE,"By Code";"Input_Opt",#N/A,FALSE,"By Code"}</definedName>
    <definedName name="__dy6_4_3_2" hidden="1">{"Input_Fin",#N/A,FALSE,"By Code";"Input_Opt",#N/A,FALSE,"By Code"}</definedName>
    <definedName name="__dy6_4_4" hidden="1">{"Input_Fin",#N/A,FALSE,"By Code";"Input_Opt",#N/A,FALSE,"By Code"}</definedName>
    <definedName name="__dy6_4_5" hidden="1">{"Input_Fin",#N/A,FALSE,"By Code";"Input_Opt",#N/A,FALSE,"By Code"}</definedName>
    <definedName name="__dy6_5" hidden="1">{"Input_Fin",#N/A,FALSE,"By Code";"Input_Opt",#N/A,FALSE,"By Code"}</definedName>
    <definedName name="__dy6_5_1" hidden="1">{"Input_Fin",#N/A,FALSE,"By Code";"Input_Opt",#N/A,FALSE,"By Code"}</definedName>
    <definedName name="__dy6_5_1_1" hidden="1">{"Input_Fin",#N/A,FALSE,"By Code";"Input_Opt",#N/A,FALSE,"By Code"}</definedName>
    <definedName name="__dy6_5_1_1_1" hidden="1">{"Input_Fin",#N/A,FALSE,"By Code";"Input_Opt",#N/A,FALSE,"By Code"}</definedName>
    <definedName name="__dy6_5_1_1_2" hidden="1">{"Input_Fin",#N/A,FALSE,"By Code";"Input_Opt",#N/A,FALSE,"By Code"}</definedName>
    <definedName name="__dy6_5_1_1_3" hidden="1">{"Input_Fin",#N/A,FALSE,"By Code";"Input_Opt",#N/A,FALSE,"By Code"}</definedName>
    <definedName name="__dy6_5_1_2" hidden="1">{"Input_Fin",#N/A,FALSE,"By Code";"Input_Opt",#N/A,FALSE,"By Code"}</definedName>
    <definedName name="__dy6_5_1_2_1" hidden="1">{"Input_Fin",#N/A,FALSE,"By Code";"Input_Opt",#N/A,FALSE,"By Code"}</definedName>
    <definedName name="__dy6_5_1_2_2" hidden="1">{"Input_Fin",#N/A,FALSE,"By Code";"Input_Opt",#N/A,FALSE,"By Code"}</definedName>
    <definedName name="__dy6_5_1_3" hidden="1">{"Input_Fin",#N/A,FALSE,"By Code";"Input_Opt",#N/A,FALSE,"By Code"}</definedName>
    <definedName name="__dy6_5_1_4" hidden="1">{"Input_Fin",#N/A,FALSE,"By Code";"Input_Opt",#N/A,FALSE,"By Code"}</definedName>
    <definedName name="__dy6_5_2" hidden="1">{"Input_Fin",#N/A,FALSE,"By Code";"Input_Opt",#N/A,FALSE,"By Code"}</definedName>
    <definedName name="__dy6_5_2_1" hidden="1">{"Input_Fin",#N/A,FALSE,"By Code";"Input_Opt",#N/A,FALSE,"By Code"}</definedName>
    <definedName name="__dy6_5_2_2" hidden="1">{"Input_Fin",#N/A,FALSE,"By Code";"Input_Opt",#N/A,FALSE,"By Code"}</definedName>
    <definedName name="__dy6_5_2_3" hidden="1">{"Input_Fin",#N/A,FALSE,"By Code";"Input_Opt",#N/A,FALSE,"By Code"}</definedName>
    <definedName name="__dy6_5_3" hidden="1">{"Input_Fin",#N/A,FALSE,"By Code";"Input_Opt",#N/A,FALSE,"By Code"}</definedName>
    <definedName name="__dy6_5_3_1" hidden="1">{"Input_Fin",#N/A,FALSE,"By Code";"Input_Opt",#N/A,FALSE,"By Code"}</definedName>
    <definedName name="__dy6_5_3_2" hidden="1">{"Input_Fin",#N/A,FALSE,"By Code";"Input_Opt",#N/A,FALSE,"By Code"}</definedName>
    <definedName name="__dy6_5_4" hidden="1">{"Input_Fin",#N/A,FALSE,"By Code";"Input_Opt",#N/A,FALSE,"By Code"}</definedName>
    <definedName name="__dy6_5_5" hidden="1">{"Input_Fin",#N/A,FALSE,"By Code";"Input_Opt",#N/A,FALSE,"By Code"}</definedName>
    <definedName name="__dy7" hidden="1">{"Input_Fin",#N/A,FALSE,"By Code";"Input_Opt",#N/A,FALSE,"By Code"}</definedName>
    <definedName name="__jhi44" localSheetId="12" hidden="1">{"Input_Fin",#N/A,FALSE,"By Code";"Input_Opt",#N/A,FALSE,"By Code"}</definedName>
    <definedName name="__jhi44" hidden="1">{"Input_Fin",#N/A,FALSE,"By Code";"Input_Opt",#N/A,FALSE,"By Code"}</definedName>
    <definedName name="__jhi44_1" hidden="1">{"Input_Fin",#N/A,FALSE,"By Code";"Input_Opt",#N/A,FALSE,"By Code"}</definedName>
    <definedName name="__jhi44_1_1" hidden="1">{"Input_Fin",#N/A,FALSE,"By Code";"Input_Opt",#N/A,FALSE,"By Code"}</definedName>
    <definedName name="__jhi44_1_1_1" hidden="1">{"Input_Fin",#N/A,FALSE,"By Code";"Input_Opt",#N/A,FALSE,"By Code"}</definedName>
    <definedName name="__jhi44_1_1_1_1" hidden="1">{"Input_Fin",#N/A,FALSE,"By Code";"Input_Opt",#N/A,FALSE,"By Code"}</definedName>
    <definedName name="__jhi44_1_1_1_1_1" hidden="1">{"Input_Fin",#N/A,FALSE,"By Code";"Input_Opt",#N/A,FALSE,"By Code"}</definedName>
    <definedName name="__jhi44_1_1_1_1_2" hidden="1">{"Input_Fin",#N/A,FALSE,"By Code";"Input_Opt",#N/A,FALSE,"By Code"}</definedName>
    <definedName name="__jhi44_1_1_1_1_3" hidden="1">{"Input_Fin",#N/A,FALSE,"By Code";"Input_Opt",#N/A,FALSE,"By Code"}</definedName>
    <definedName name="__jhi44_1_1_1_2" hidden="1">{"Input_Fin",#N/A,FALSE,"By Code";"Input_Opt",#N/A,FALSE,"By Code"}</definedName>
    <definedName name="__jhi44_1_1_1_2_1" hidden="1">{"Input_Fin",#N/A,FALSE,"By Code";"Input_Opt",#N/A,FALSE,"By Code"}</definedName>
    <definedName name="__jhi44_1_1_1_2_2" hidden="1">{"Input_Fin",#N/A,FALSE,"By Code";"Input_Opt",#N/A,FALSE,"By Code"}</definedName>
    <definedName name="__jhi44_1_1_1_3" hidden="1">{"Input_Fin",#N/A,FALSE,"By Code";"Input_Opt",#N/A,FALSE,"By Code"}</definedName>
    <definedName name="__jhi44_1_1_1_3_1" hidden="1">{"Input_Fin",#N/A,FALSE,"By Code";"Input_Opt",#N/A,FALSE,"By Code"}</definedName>
    <definedName name="__jhi44_1_1_1_3_2" hidden="1">{"Input_Fin",#N/A,FALSE,"By Code";"Input_Opt",#N/A,FALSE,"By Code"}</definedName>
    <definedName name="__jhi44_1_1_1_4" hidden="1">{"Input_Fin",#N/A,FALSE,"By Code";"Input_Opt",#N/A,FALSE,"By Code"}</definedName>
    <definedName name="__jhi44_1_1_1_5" hidden="1">{"Input_Fin",#N/A,FALSE,"By Code";"Input_Opt",#N/A,FALSE,"By Code"}</definedName>
    <definedName name="__jhi44_1_1_2" hidden="1">{"Input_Fin",#N/A,FALSE,"By Code";"Input_Opt",#N/A,FALSE,"By Code"}</definedName>
    <definedName name="__jhi44_1_1_2_1" hidden="1">{"Input_Fin",#N/A,FALSE,"By Code";"Input_Opt",#N/A,FALSE,"By Code"}</definedName>
    <definedName name="__jhi44_1_1_2_2" hidden="1">{"Input_Fin",#N/A,FALSE,"By Code";"Input_Opt",#N/A,FALSE,"By Code"}</definedName>
    <definedName name="__jhi44_1_1_2_3" hidden="1">{"Input_Fin",#N/A,FALSE,"By Code";"Input_Opt",#N/A,FALSE,"By Code"}</definedName>
    <definedName name="__jhi44_1_1_3" hidden="1">{"Input_Fin",#N/A,FALSE,"By Code";"Input_Opt",#N/A,FALSE,"By Code"}</definedName>
    <definedName name="__jhi44_1_1_3_1" hidden="1">{"Input_Fin",#N/A,FALSE,"By Code";"Input_Opt",#N/A,FALSE,"By Code"}</definedName>
    <definedName name="__jhi44_1_1_3_2" hidden="1">{"Input_Fin",#N/A,FALSE,"By Code";"Input_Opt",#N/A,FALSE,"By Code"}</definedName>
    <definedName name="__jhi44_1_1_4" hidden="1">{"Input_Fin",#N/A,FALSE,"By Code";"Input_Opt",#N/A,FALSE,"By Code"}</definedName>
    <definedName name="__jhi44_1_1_5" hidden="1">{"Input_Fin",#N/A,FALSE,"By Code";"Input_Opt",#N/A,FALSE,"By Code"}</definedName>
    <definedName name="__jhi44_1_2" hidden="1">{"Input_Fin",#N/A,FALSE,"By Code";"Input_Opt",#N/A,FALSE,"By Code"}</definedName>
    <definedName name="__jhi44_1_2_1" hidden="1">{"Input_Fin",#N/A,FALSE,"By Code";"Input_Opt",#N/A,FALSE,"By Code"}</definedName>
    <definedName name="__jhi44_1_2_2" hidden="1">{"Input_Fin",#N/A,FALSE,"By Code";"Input_Opt",#N/A,FALSE,"By Code"}</definedName>
    <definedName name="__jhi44_1_2_3" hidden="1">{"Input_Fin",#N/A,FALSE,"By Code";"Input_Opt",#N/A,FALSE,"By Code"}</definedName>
    <definedName name="__jhi44_1_3" hidden="1">{"Input_Fin",#N/A,FALSE,"By Code";"Input_Opt",#N/A,FALSE,"By Code"}</definedName>
    <definedName name="__jhi44_1_3_1" hidden="1">{"Input_Fin",#N/A,FALSE,"By Code";"Input_Opt",#N/A,FALSE,"By Code"}</definedName>
    <definedName name="__jhi44_1_3_2" hidden="1">{"Input_Fin",#N/A,FALSE,"By Code";"Input_Opt",#N/A,FALSE,"By Code"}</definedName>
    <definedName name="__jhi44_1_4" hidden="1">{"Input_Fin",#N/A,FALSE,"By Code";"Input_Opt",#N/A,FALSE,"By Code"}</definedName>
    <definedName name="__jhi44_1_5" hidden="1">{"Input_Fin",#N/A,FALSE,"By Code";"Input_Opt",#N/A,FALSE,"By Code"}</definedName>
    <definedName name="__jhi44_2" hidden="1">{"Input_Fin",#N/A,FALSE,"By Code";"Input_Opt",#N/A,FALSE,"By Code"}</definedName>
    <definedName name="__jhi44_2_1" hidden="1">{"Input_Fin",#N/A,FALSE,"By Code";"Input_Opt",#N/A,FALSE,"By Code"}</definedName>
    <definedName name="__jhi44_2_1_1" hidden="1">{"Input_Fin",#N/A,FALSE,"By Code";"Input_Opt",#N/A,FALSE,"By Code"}</definedName>
    <definedName name="__jhi44_2_1_1_1" hidden="1">{"Input_Fin",#N/A,FALSE,"By Code";"Input_Opt",#N/A,FALSE,"By Code"}</definedName>
    <definedName name="__jhi44_2_1_1_2" hidden="1">{"Input_Fin",#N/A,FALSE,"By Code";"Input_Opt",#N/A,FALSE,"By Code"}</definedName>
    <definedName name="__jhi44_2_1_1_3" hidden="1">{"Input_Fin",#N/A,FALSE,"By Code";"Input_Opt",#N/A,FALSE,"By Code"}</definedName>
    <definedName name="__jhi44_2_1_2" hidden="1">{"Input_Fin",#N/A,FALSE,"By Code";"Input_Opt",#N/A,FALSE,"By Code"}</definedName>
    <definedName name="__jhi44_2_1_2_1" hidden="1">{"Input_Fin",#N/A,FALSE,"By Code";"Input_Opt",#N/A,FALSE,"By Code"}</definedName>
    <definedName name="__jhi44_2_1_2_2" hidden="1">{"Input_Fin",#N/A,FALSE,"By Code";"Input_Opt",#N/A,FALSE,"By Code"}</definedName>
    <definedName name="__jhi44_2_1_3" hidden="1">{"Input_Fin",#N/A,FALSE,"By Code";"Input_Opt",#N/A,FALSE,"By Code"}</definedName>
    <definedName name="__jhi44_2_1_4" hidden="1">{"Input_Fin",#N/A,FALSE,"By Code";"Input_Opt",#N/A,FALSE,"By Code"}</definedName>
    <definedName name="__jhi44_2_2" hidden="1">{"Input_Fin",#N/A,FALSE,"By Code";"Input_Opt",#N/A,FALSE,"By Code"}</definedName>
    <definedName name="__jhi44_2_2_1" hidden="1">{"Input_Fin",#N/A,FALSE,"By Code";"Input_Opt",#N/A,FALSE,"By Code"}</definedName>
    <definedName name="__jhi44_2_2_2" hidden="1">{"Input_Fin",#N/A,FALSE,"By Code";"Input_Opt",#N/A,FALSE,"By Code"}</definedName>
    <definedName name="__jhi44_2_2_3" hidden="1">{"Input_Fin",#N/A,FALSE,"By Code";"Input_Opt",#N/A,FALSE,"By Code"}</definedName>
    <definedName name="__jhi44_2_3" hidden="1">{"Input_Fin",#N/A,FALSE,"By Code";"Input_Opt",#N/A,FALSE,"By Code"}</definedName>
    <definedName name="__jhi44_2_3_1" hidden="1">{"Input_Fin",#N/A,FALSE,"By Code";"Input_Opt",#N/A,FALSE,"By Code"}</definedName>
    <definedName name="__jhi44_2_3_2" hidden="1">{"Input_Fin",#N/A,FALSE,"By Code";"Input_Opt",#N/A,FALSE,"By Code"}</definedName>
    <definedName name="__jhi44_2_4" hidden="1">{"Input_Fin",#N/A,FALSE,"By Code";"Input_Opt",#N/A,FALSE,"By Code"}</definedName>
    <definedName name="__jhi44_2_5" hidden="1">{"Input_Fin",#N/A,FALSE,"By Code";"Input_Opt",#N/A,FALSE,"By Code"}</definedName>
    <definedName name="__jhi44_3" hidden="1">{"Input_Fin",#N/A,FALSE,"By Code";"Input_Opt",#N/A,FALSE,"By Code"}</definedName>
    <definedName name="__jhi44_3_1" hidden="1">{"Input_Fin",#N/A,FALSE,"By Code";"Input_Opt",#N/A,FALSE,"By Code"}</definedName>
    <definedName name="__jhi44_3_1_1" hidden="1">{"Input_Fin",#N/A,FALSE,"By Code";"Input_Opt",#N/A,FALSE,"By Code"}</definedName>
    <definedName name="__jhi44_3_1_1_1" hidden="1">{"Input_Fin",#N/A,FALSE,"By Code";"Input_Opt",#N/A,FALSE,"By Code"}</definedName>
    <definedName name="__jhi44_3_1_1_2" hidden="1">{"Input_Fin",#N/A,FALSE,"By Code";"Input_Opt",#N/A,FALSE,"By Code"}</definedName>
    <definedName name="__jhi44_3_1_1_3" hidden="1">{"Input_Fin",#N/A,FALSE,"By Code";"Input_Opt",#N/A,FALSE,"By Code"}</definedName>
    <definedName name="__jhi44_3_1_2" hidden="1">{"Input_Fin",#N/A,FALSE,"By Code";"Input_Opt",#N/A,FALSE,"By Code"}</definedName>
    <definedName name="__jhi44_3_1_2_1" hidden="1">{"Input_Fin",#N/A,FALSE,"By Code";"Input_Opt",#N/A,FALSE,"By Code"}</definedName>
    <definedName name="__jhi44_3_1_2_2" hidden="1">{"Input_Fin",#N/A,FALSE,"By Code";"Input_Opt",#N/A,FALSE,"By Code"}</definedName>
    <definedName name="__jhi44_3_1_3" hidden="1">{"Input_Fin",#N/A,FALSE,"By Code";"Input_Opt",#N/A,FALSE,"By Code"}</definedName>
    <definedName name="__jhi44_3_1_4" hidden="1">{"Input_Fin",#N/A,FALSE,"By Code";"Input_Opt",#N/A,FALSE,"By Code"}</definedName>
    <definedName name="__jhi44_3_2" hidden="1">{"Input_Fin",#N/A,FALSE,"By Code";"Input_Opt",#N/A,FALSE,"By Code"}</definedName>
    <definedName name="__jhi44_3_2_1" hidden="1">{"Input_Fin",#N/A,FALSE,"By Code";"Input_Opt",#N/A,FALSE,"By Code"}</definedName>
    <definedName name="__jhi44_3_2_2" hidden="1">{"Input_Fin",#N/A,FALSE,"By Code";"Input_Opt",#N/A,FALSE,"By Code"}</definedName>
    <definedName name="__jhi44_3_2_3" hidden="1">{"Input_Fin",#N/A,FALSE,"By Code";"Input_Opt",#N/A,FALSE,"By Code"}</definedName>
    <definedName name="__jhi44_3_3" hidden="1">{"Input_Fin",#N/A,FALSE,"By Code";"Input_Opt",#N/A,FALSE,"By Code"}</definedName>
    <definedName name="__jhi44_3_3_1" hidden="1">{"Input_Fin",#N/A,FALSE,"By Code";"Input_Opt",#N/A,FALSE,"By Code"}</definedName>
    <definedName name="__jhi44_3_3_2" hidden="1">{"Input_Fin",#N/A,FALSE,"By Code";"Input_Opt",#N/A,FALSE,"By Code"}</definedName>
    <definedName name="__jhi44_3_4" hidden="1">{"Input_Fin",#N/A,FALSE,"By Code";"Input_Opt",#N/A,FALSE,"By Code"}</definedName>
    <definedName name="__jhi44_3_5" hidden="1">{"Input_Fin",#N/A,FALSE,"By Code";"Input_Opt",#N/A,FALSE,"By Code"}</definedName>
    <definedName name="__jhi44_4" hidden="1">{"Input_Fin",#N/A,FALSE,"By Code";"Input_Opt",#N/A,FALSE,"By Code"}</definedName>
    <definedName name="__jhi44_4_1" hidden="1">{"Input_Fin",#N/A,FALSE,"By Code";"Input_Opt",#N/A,FALSE,"By Code"}</definedName>
    <definedName name="__jhi44_4_1_1" hidden="1">{"Input_Fin",#N/A,FALSE,"By Code";"Input_Opt",#N/A,FALSE,"By Code"}</definedName>
    <definedName name="__jhi44_4_1_1_1" hidden="1">{"Input_Fin",#N/A,FALSE,"By Code";"Input_Opt",#N/A,FALSE,"By Code"}</definedName>
    <definedName name="__jhi44_4_1_1_2" hidden="1">{"Input_Fin",#N/A,FALSE,"By Code";"Input_Opt",#N/A,FALSE,"By Code"}</definedName>
    <definedName name="__jhi44_4_1_1_3" hidden="1">{"Input_Fin",#N/A,FALSE,"By Code";"Input_Opt",#N/A,FALSE,"By Code"}</definedName>
    <definedName name="__jhi44_4_1_2" hidden="1">{"Input_Fin",#N/A,FALSE,"By Code";"Input_Opt",#N/A,FALSE,"By Code"}</definedName>
    <definedName name="__jhi44_4_1_2_1" hidden="1">{"Input_Fin",#N/A,FALSE,"By Code";"Input_Opt",#N/A,FALSE,"By Code"}</definedName>
    <definedName name="__jhi44_4_1_2_2" hidden="1">{"Input_Fin",#N/A,FALSE,"By Code";"Input_Opt",#N/A,FALSE,"By Code"}</definedName>
    <definedName name="__jhi44_4_1_3" hidden="1">{"Input_Fin",#N/A,FALSE,"By Code";"Input_Opt",#N/A,FALSE,"By Code"}</definedName>
    <definedName name="__jhi44_4_1_4" hidden="1">{"Input_Fin",#N/A,FALSE,"By Code";"Input_Opt",#N/A,FALSE,"By Code"}</definedName>
    <definedName name="__jhi44_4_2" hidden="1">{"Input_Fin",#N/A,FALSE,"By Code";"Input_Opt",#N/A,FALSE,"By Code"}</definedName>
    <definedName name="__jhi44_4_2_1" hidden="1">{"Input_Fin",#N/A,FALSE,"By Code";"Input_Opt",#N/A,FALSE,"By Code"}</definedName>
    <definedName name="__jhi44_4_2_2" hidden="1">{"Input_Fin",#N/A,FALSE,"By Code";"Input_Opt",#N/A,FALSE,"By Code"}</definedName>
    <definedName name="__jhi44_4_2_3" hidden="1">{"Input_Fin",#N/A,FALSE,"By Code";"Input_Opt",#N/A,FALSE,"By Code"}</definedName>
    <definedName name="__jhi44_4_3" hidden="1">{"Input_Fin",#N/A,FALSE,"By Code";"Input_Opt",#N/A,FALSE,"By Code"}</definedName>
    <definedName name="__jhi44_4_3_1" hidden="1">{"Input_Fin",#N/A,FALSE,"By Code";"Input_Opt",#N/A,FALSE,"By Code"}</definedName>
    <definedName name="__jhi44_4_3_2" hidden="1">{"Input_Fin",#N/A,FALSE,"By Code";"Input_Opt",#N/A,FALSE,"By Code"}</definedName>
    <definedName name="__jhi44_4_4" hidden="1">{"Input_Fin",#N/A,FALSE,"By Code";"Input_Opt",#N/A,FALSE,"By Code"}</definedName>
    <definedName name="__jhi44_4_5" hidden="1">{"Input_Fin",#N/A,FALSE,"By Code";"Input_Opt",#N/A,FALSE,"By Code"}</definedName>
    <definedName name="__jhi44_5" hidden="1">{"Input_Fin",#N/A,FALSE,"By Code";"Input_Opt",#N/A,FALSE,"By Code"}</definedName>
    <definedName name="__jhi44_5_1" hidden="1">{"Input_Fin",#N/A,FALSE,"By Code";"Input_Opt",#N/A,FALSE,"By Code"}</definedName>
    <definedName name="__jhi44_5_1_1" hidden="1">{"Input_Fin",#N/A,FALSE,"By Code";"Input_Opt",#N/A,FALSE,"By Code"}</definedName>
    <definedName name="__jhi44_5_1_1_1" hidden="1">{"Input_Fin",#N/A,FALSE,"By Code";"Input_Opt",#N/A,FALSE,"By Code"}</definedName>
    <definedName name="__jhi44_5_1_1_2" hidden="1">{"Input_Fin",#N/A,FALSE,"By Code";"Input_Opt",#N/A,FALSE,"By Code"}</definedName>
    <definedName name="__jhi44_5_1_1_3" hidden="1">{"Input_Fin",#N/A,FALSE,"By Code";"Input_Opt",#N/A,FALSE,"By Code"}</definedName>
    <definedName name="__jhi44_5_1_2" hidden="1">{"Input_Fin",#N/A,FALSE,"By Code";"Input_Opt",#N/A,FALSE,"By Code"}</definedName>
    <definedName name="__jhi44_5_1_2_1" hidden="1">{"Input_Fin",#N/A,FALSE,"By Code";"Input_Opt",#N/A,FALSE,"By Code"}</definedName>
    <definedName name="__jhi44_5_1_2_2" hidden="1">{"Input_Fin",#N/A,FALSE,"By Code";"Input_Opt",#N/A,FALSE,"By Code"}</definedName>
    <definedName name="__jhi44_5_1_3" hidden="1">{"Input_Fin",#N/A,FALSE,"By Code";"Input_Opt",#N/A,FALSE,"By Code"}</definedName>
    <definedName name="__jhi44_5_1_4" hidden="1">{"Input_Fin",#N/A,FALSE,"By Code";"Input_Opt",#N/A,FALSE,"By Code"}</definedName>
    <definedName name="__jhi44_5_2" hidden="1">{"Input_Fin",#N/A,FALSE,"By Code";"Input_Opt",#N/A,FALSE,"By Code"}</definedName>
    <definedName name="__jhi44_5_2_1" hidden="1">{"Input_Fin",#N/A,FALSE,"By Code";"Input_Opt",#N/A,FALSE,"By Code"}</definedName>
    <definedName name="__jhi44_5_2_2" hidden="1">{"Input_Fin",#N/A,FALSE,"By Code";"Input_Opt",#N/A,FALSE,"By Code"}</definedName>
    <definedName name="__jhi44_5_2_3" hidden="1">{"Input_Fin",#N/A,FALSE,"By Code";"Input_Opt",#N/A,FALSE,"By Code"}</definedName>
    <definedName name="__jhi44_5_3" hidden="1">{"Input_Fin",#N/A,FALSE,"By Code";"Input_Opt",#N/A,FALSE,"By Code"}</definedName>
    <definedName name="__jhi44_5_3_1" hidden="1">{"Input_Fin",#N/A,FALSE,"By Code";"Input_Opt",#N/A,FALSE,"By Code"}</definedName>
    <definedName name="__jhi44_5_3_2" hidden="1">{"Input_Fin",#N/A,FALSE,"By Code";"Input_Opt",#N/A,FALSE,"By Code"}</definedName>
    <definedName name="__jhi44_5_4" hidden="1">{"Input_Fin",#N/A,FALSE,"By Code";"Input_Opt",#N/A,FALSE,"By Code"}</definedName>
    <definedName name="__jhi44_5_5" hidden="1">{"Input_Fin",#N/A,FALSE,"By Code";"Input_Opt",#N/A,FALSE,"By Code"}</definedName>
    <definedName name="_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xlfn.BAHTTEXT" hidden="1">#NAME?</definedName>
    <definedName name="_10__123Graph_Fｸﾞﾗﾌ_2" localSheetId="12" hidden="1">#REF!</definedName>
    <definedName name="_10__123Graph_Fｸﾞﾗﾌ_2" hidden="1">#REF!</definedName>
    <definedName name="_10D123_" localSheetId="12" hidden="1">{"Input_Fin",#N/A,FALSE,"By Code";"Input_Opt",#N/A,FALSE,"By Code"}</definedName>
    <definedName name="_10D123_" hidden="1">{"Input_Fin",#N/A,FALSE,"By Code";"Input_Opt",#N/A,FALSE,"By Code"}</definedName>
    <definedName name="_10dy1_" localSheetId="12" hidden="1">{"Input_Fin",#N/A,FALSE,"By Code";"Input_Opt",#N/A,FALSE,"By Code"}</definedName>
    <definedName name="_10dy1_" hidden="1">{"Input_Fin",#N/A,FALSE,"By Code";"Input_Opt",#N/A,FALSE,"By Code"}</definedName>
    <definedName name="_10dy1__1" hidden="1">{"Input_Fin",#N/A,FALSE,"By Code";"Input_Opt",#N/A,FALSE,"By Code"}</definedName>
    <definedName name="_10dy1__1_1" hidden="1">{"Input_Fin",#N/A,FALSE,"By Code";"Input_Opt",#N/A,FALSE,"By Code"}</definedName>
    <definedName name="_10dy1__1_1_1" hidden="1">{"Input_Fin",#N/A,FALSE,"By Code";"Input_Opt",#N/A,FALSE,"By Code"}</definedName>
    <definedName name="_10dy1__1_1_1_1" hidden="1">{"Input_Fin",#N/A,FALSE,"By Code";"Input_Opt",#N/A,FALSE,"By Code"}</definedName>
    <definedName name="_10dy1__1_1_1_1_1" hidden="1">{"Input_Fin",#N/A,FALSE,"By Code";"Input_Opt",#N/A,FALSE,"By Code"}</definedName>
    <definedName name="_10dy1__1_1_1_1_2" hidden="1">{"Input_Fin",#N/A,FALSE,"By Code";"Input_Opt",#N/A,FALSE,"By Code"}</definedName>
    <definedName name="_10dy1__1_1_1_1_3" hidden="1">{"Input_Fin",#N/A,FALSE,"By Code";"Input_Opt",#N/A,FALSE,"By Code"}</definedName>
    <definedName name="_10dy1__1_1_1_2" hidden="1">{"Input_Fin",#N/A,FALSE,"By Code";"Input_Opt",#N/A,FALSE,"By Code"}</definedName>
    <definedName name="_10dy1__1_1_1_2_1" hidden="1">{"Input_Fin",#N/A,FALSE,"By Code";"Input_Opt",#N/A,FALSE,"By Code"}</definedName>
    <definedName name="_10dy1__1_1_1_2_2" hidden="1">{"Input_Fin",#N/A,FALSE,"By Code";"Input_Opt",#N/A,FALSE,"By Code"}</definedName>
    <definedName name="_10dy1__1_1_1_3" hidden="1">{"Input_Fin",#N/A,FALSE,"By Code";"Input_Opt",#N/A,FALSE,"By Code"}</definedName>
    <definedName name="_10dy1__1_1_1_3_1" hidden="1">{"Input_Fin",#N/A,FALSE,"By Code";"Input_Opt",#N/A,FALSE,"By Code"}</definedName>
    <definedName name="_10dy1__1_1_1_3_2" hidden="1">{"Input_Fin",#N/A,FALSE,"By Code";"Input_Opt",#N/A,FALSE,"By Code"}</definedName>
    <definedName name="_10dy1__1_1_1_4" hidden="1">{"Input_Fin",#N/A,FALSE,"By Code";"Input_Opt",#N/A,FALSE,"By Code"}</definedName>
    <definedName name="_10dy1__1_1_1_5" hidden="1">{"Input_Fin",#N/A,FALSE,"By Code";"Input_Opt",#N/A,FALSE,"By Code"}</definedName>
    <definedName name="_10dy1__1_1_2" hidden="1">{"Input_Fin",#N/A,FALSE,"By Code";"Input_Opt",#N/A,FALSE,"By Code"}</definedName>
    <definedName name="_10dy1__1_1_2_1" hidden="1">{"Input_Fin",#N/A,FALSE,"By Code";"Input_Opt",#N/A,FALSE,"By Code"}</definedName>
    <definedName name="_10dy1__1_1_2_2" hidden="1">{"Input_Fin",#N/A,FALSE,"By Code";"Input_Opt",#N/A,FALSE,"By Code"}</definedName>
    <definedName name="_10dy1__1_1_2_3" hidden="1">{"Input_Fin",#N/A,FALSE,"By Code";"Input_Opt",#N/A,FALSE,"By Code"}</definedName>
    <definedName name="_10dy1__1_1_3" hidden="1">{"Input_Fin",#N/A,FALSE,"By Code";"Input_Opt",#N/A,FALSE,"By Code"}</definedName>
    <definedName name="_10dy1__1_1_3_1" hidden="1">{"Input_Fin",#N/A,FALSE,"By Code";"Input_Opt",#N/A,FALSE,"By Code"}</definedName>
    <definedName name="_10dy1__1_1_3_2" hidden="1">{"Input_Fin",#N/A,FALSE,"By Code";"Input_Opt",#N/A,FALSE,"By Code"}</definedName>
    <definedName name="_10dy1__1_1_4" hidden="1">{"Input_Fin",#N/A,FALSE,"By Code";"Input_Opt",#N/A,FALSE,"By Code"}</definedName>
    <definedName name="_10dy1__1_1_5" hidden="1">{"Input_Fin",#N/A,FALSE,"By Code";"Input_Opt",#N/A,FALSE,"By Code"}</definedName>
    <definedName name="_10dy1__1_2" hidden="1">{"Input_Fin",#N/A,FALSE,"By Code";"Input_Opt",#N/A,FALSE,"By Code"}</definedName>
    <definedName name="_10dy1__1_2_1" hidden="1">{"Input_Fin",#N/A,FALSE,"By Code";"Input_Opt",#N/A,FALSE,"By Code"}</definedName>
    <definedName name="_10dy1__1_2_2" hidden="1">{"Input_Fin",#N/A,FALSE,"By Code";"Input_Opt",#N/A,FALSE,"By Code"}</definedName>
    <definedName name="_10dy1__1_2_3" hidden="1">{"Input_Fin",#N/A,FALSE,"By Code";"Input_Opt",#N/A,FALSE,"By Code"}</definedName>
    <definedName name="_10dy1__1_3" hidden="1">{"Input_Fin",#N/A,FALSE,"By Code";"Input_Opt",#N/A,FALSE,"By Code"}</definedName>
    <definedName name="_10dy1__1_3_1" hidden="1">{"Input_Fin",#N/A,FALSE,"By Code";"Input_Opt",#N/A,FALSE,"By Code"}</definedName>
    <definedName name="_10dy1__1_3_2" hidden="1">{"Input_Fin",#N/A,FALSE,"By Code";"Input_Opt",#N/A,FALSE,"By Code"}</definedName>
    <definedName name="_10dy1__1_4" hidden="1">{"Input_Fin",#N/A,FALSE,"By Code";"Input_Opt",#N/A,FALSE,"By Code"}</definedName>
    <definedName name="_10dy1__1_5" hidden="1">{"Input_Fin",#N/A,FALSE,"By Code";"Input_Opt",#N/A,FALSE,"By Code"}</definedName>
    <definedName name="_10dy1__2" hidden="1">{"Input_Fin",#N/A,FALSE,"By Code";"Input_Opt",#N/A,FALSE,"By Code"}</definedName>
    <definedName name="_10dy1__2_1" hidden="1">{"Input_Fin",#N/A,FALSE,"By Code";"Input_Opt",#N/A,FALSE,"By Code"}</definedName>
    <definedName name="_10dy1__2_1_1" hidden="1">{"Input_Fin",#N/A,FALSE,"By Code";"Input_Opt",#N/A,FALSE,"By Code"}</definedName>
    <definedName name="_10dy1__2_1_1_1" hidden="1">{"Input_Fin",#N/A,FALSE,"By Code";"Input_Opt",#N/A,FALSE,"By Code"}</definedName>
    <definedName name="_10dy1__2_1_1_2" hidden="1">{"Input_Fin",#N/A,FALSE,"By Code";"Input_Opt",#N/A,FALSE,"By Code"}</definedName>
    <definedName name="_10dy1__2_1_1_3" hidden="1">{"Input_Fin",#N/A,FALSE,"By Code";"Input_Opt",#N/A,FALSE,"By Code"}</definedName>
    <definedName name="_10dy1__2_1_2" hidden="1">{"Input_Fin",#N/A,FALSE,"By Code";"Input_Opt",#N/A,FALSE,"By Code"}</definedName>
    <definedName name="_10dy1__2_1_2_1" hidden="1">{"Input_Fin",#N/A,FALSE,"By Code";"Input_Opt",#N/A,FALSE,"By Code"}</definedName>
    <definedName name="_10dy1__2_1_2_2" hidden="1">{"Input_Fin",#N/A,FALSE,"By Code";"Input_Opt",#N/A,FALSE,"By Code"}</definedName>
    <definedName name="_10dy1__2_1_3" hidden="1">{"Input_Fin",#N/A,FALSE,"By Code";"Input_Opt",#N/A,FALSE,"By Code"}</definedName>
    <definedName name="_10dy1__2_1_4" hidden="1">{"Input_Fin",#N/A,FALSE,"By Code";"Input_Opt",#N/A,FALSE,"By Code"}</definedName>
    <definedName name="_10dy1__2_2" hidden="1">{"Input_Fin",#N/A,FALSE,"By Code";"Input_Opt",#N/A,FALSE,"By Code"}</definedName>
    <definedName name="_10dy1__2_2_1" hidden="1">{"Input_Fin",#N/A,FALSE,"By Code";"Input_Opt",#N/A,FALSE,"By Code"}</definedName>
    <definedName name="_10dy1__2_2_2" hidden="1">{"Input_Fin",#N/A,FALSE,"By Code";"Input_Opt",#N/A,FALSE,"By Code"}</definedName>
    <definedName name="_10dy1__2_2_3" hidden="1">{"Input_Fin",#N/A,FALSE,"By Code";"Input_Opt",#N/A,FALSE,"By Code"}</definedName>
    <definedName name="_10dy1__2_3" hidden="1">{"Input_Fin",#N/A,FALSE,"By Code";"Input_Opt",#N/A,FALSE,"By Code"}</definedName>
    <definedName name="_10dy1__2_3_1" hidden="1">{"Input_Fin",#N/A,FALSE,"By Code";"Input_Opt",#N/A,FALSE,"By Code"}</definedName>
    <definedName name="_10dy1__2_3_2" hidden="1">{"Input_Fin",#N/A,FALSE,"By Code";"Input_Opt",#N/A,FALSE,"By Code"}</definedName>
    <definedName name="_10dy1__2_4" hidden="1">{"Input_Fin",#N/A,FALSE,"By Code";"Input_Opt",#N/A,FALSE,"By Code"}</definedName>
    <definedName name="_10dy1__2_5" hidden="1">{"Input_Fin",#N/A,FALSE,"By Code";"Input_Opt",#N/A,FALSE,"By Code"}</definedName>
    <definedName name="_10dy1__3" hidden="1">{"Input_Fin",#N/A,FALSE,"By Code";"Input_Opt",#N/A,FALSE,"By Code"}</definedName>
    <definedName name="_10dy1__3_1" hidden="1">{"Input_Fin",#N/A,FALSE,"By Code";"Input_Opt",#N/A,FALSE,"By Code"}</definedName>
    <definedName name="_10dy1__3_1_1" hidden="1">{"Input_Fin",#N/A,FALSE,"By Code";"Input_Opt",#N/A,FALSE,"By Code"}</definedName>
    <definedName name="_10dy1__3_1_1_1" hidden="1">{"Input_Fin",#N/A,FALSE,"By Code";"Input_Opt",#N/A,FALSE,"By Code"}</definedName>
    <definedName name="_10dy1__3_1_1_2" hidden="1">{"Input_Fin",#N/A,FALSE,"By Code";"Input_Opt",#N/A,FALSE,"By Code"}</definedName>
    <definedName name="_10dy1__3_1_1_3" hidden="1">{"Input_Fin",#N/A,FALSE,"By Code";"Input_Opt",#N/A,FALSE,"By Code"}</definedName>
    <definedName name="_10dy1__3_1_2" hidden="1">{"Input_Fin",#N/A,FALSE,"By Code";"Input_Opt",#N/A,FALSE,"By Code"}</definedName>
    <definedName name="_10dy1__3_1_2_1" hidden="1">{"Input_Fin",#N/A,FALSE,"By Code";"Input_Opt",#N/A,FALSE,"By Code"}</definedName>
    <definedName name="_10dy1__3_1_2_2" hidden="1">{"Input_Fin",#N/A,FALSE,"By Code";"Input_Opt",#N/A,FALSE,"By Code"}</definedName>
    <definedName name="_10dy1__3_1_3" hidden="1">{"Input_Fin",#N/A,FALSE,"By Code";"Input_Opt",#N/A,FALSE,"By Code"}</definedName>
    <definedName name="_10dy1__3_1_4" hidden="1">{"Input_Fin",#N/A,FALSE,"By Code";"Input_Opt",#N/A,FALSE,"By Code"}</definedName>
    <definedName name="_10dy1__3_2" hidden="1">{"Input_Fin",#N/A,FALSE,"By Code";"Input_Opt",#N/A,FALSE,"By Code"}</definedName>
    <definedName name="_10dy1__3_2_1" hidden="1">{"Input_Fin",#N/A,FALSE,"By Code";"Input_Opt",#N/A,FALSE,"By Code"}</definedName>
    <definedName name="_10dy1__3_2_2" hidden="1">{"Input_Fin",#N/A,FALSE,"By Code";"Input_Opt",#N/A,FALSE,"By Code"}</definedName>
    <definedName name="_10dy1__3_2_3" hidden="1">{"Input_Fin",#N/A,FALSE,"By Code";"Input_Opt",#N/A,FALSE,"By Code"}</definedName>
    <definedName name="_10dy1__3_3" hidden="1">{"Input_Fin",#N/A,FALSE,"By Code";"Input_Opt",#N/A,FALSE,"By Code"}</definedName>
    <definedName name="_10dy1__3_3_1" hidden="1">{"Input_Fin",#N/A,FALSE,"By Code";"Input_Opt",#N/A,FALSE,"By Code"}</definedName>
    <definedName name="_10dy1__3_3_2" hidden="1">{"Input_Fin",#N/A,FALSE,"By Code";"Input_Opt",#N/A,FALSE,"By Code"}</definedName>
    <definedName name="_10dy1__3_4" hidden="1">{"Input_Fin",#N/A,FALSE,"By Code";"Input_Opt",#N/A,FALSE,"By Code"}</definedName>
    <definedName name="_10dy1__3_5" hidden="1">{"Input_Fin",#N/A,FALSE,"By Code";"Input_Opt",#N/A,FALSE,"By Code"}</definedName>
    <definedName name="_10dy1__4" hidden="1">{"Input_Fin",#N/A,FALSE,"By Code";"Input_Opt",#N/A,FALSE,"By Code"}</definedName>
    <definedName name="_10dy1__4_1" hidden="1">{"Input_Fin",#N/A,FALSE,"By Code";"Input_Opt",#N/A,FALSE,"By Code"}</definedName>
    <definedName name="_10dy1__4_1_1" hidden="1">{"Input_Fin",#N/A,FALSE,"By Code";"Input_Opt",#N/A,FALSE,"By Code"}</definedName>
    <definedName name="_10dy1__4_1_1_1" hidden="1">{"Input_Fin",#N/A,FALSE,"By Code";"Input_Opt",#N/A,FALSE,"By Code"}</definedName>
    <definedName name="_10dy1__4_1_1_2" hidden="1">{"Input_Fin",#N/A,FALSE,"By Code";"Input_Opt",#N/A,FALSE,"By Code"}</definedName>
    <definedName name="_10dy1__4_1_1_3" hidden="1">{"Input_Fin",#N/A,FALSE,"By Code";"Input_Opt",#N/A,FALSE,"By Code"}</definedName>
    <definedName name="_10dy1__4_1_2" hidden="1">{"Input_Fin",#N/A,FALSE,"By Code";"Input_Opt",#N/A,FALSE,"By Code"}</definedName>
    <definedName name="_10dy1__4_1_2_1" hidden="1">{"Input_Fin",#N/A,FALSE,"By Code";"Input_Opt",#N/A,FALSE,"By Code"}</definedName>
    <definedName name="_10dy1__4_1_2_2" hidden="1">{"Input_Fin",#N/A,FALSE,"By Code";"Input_Opt",#N/A,FALSE,"By Code"}</definedName>
    <definedName name="_10dy1__4_1_3" hidden="1">{"Input_Fin",#N/A,FALSE,"By Code";"Input_Opt",#N/A,FALSE,"By Code"}</definedName>
    <definedName name="_10dy1__4_1_4" hidden="1">{"Input_Fin",#N/A,FALSE,"By Code";"Input_Opt",#N/A,FALSE,"By Code"}</definedName>
    <definedName name="_10dy1__4_2" hidden="1">{"Input_Fin",#N/A,FALSE,"By Code";"Input_Opt",#N/A,FALSE,"By Code"}</definedName>
    <definedName name="_10dy1__4_2_1" hidden="1">{"Input_Fin",#N/A,FALSE,"By Code";"Input_Opt",#N/A,FALSE,"By Code"}</definedName>
    <definedName name="_10dy1__4_2_2" hidden="1">{"Input_Fin",#N/A,FALSE,"By Code";"Input_Opt",#N/A,FALSE,"By Code"}</definedName>
    <definedName name="_10dy1__4_2_3" hidden="1">{"Input_Fin",#N/A,FALSE,"By Code";"Input_Opt",#N/A,FALSE,"By Code"}</definedName>
    <definedName name="_10dy1__4_3" hidden="1">{"Input_Fin",#N/A,FALSE,"By Code";"Input_Opt",#N/A,FALSE,"By Code"}</definedName>
    <definedName name="_10dy1__4_3_1" hidden="1">{"Input_Fin",#N/A,FALSE,"By Code";"Input_Opt",#N/A,FALSE,"By Code"}</definedName>
    <definedName name="_10dy1__4_3_2" hidden="1">{"Input_Fin",#N/A,FALSE,"By Code";"Input_Opt",#N/A,FALSE,"By Code"}</definedName>
    <definedName name="_10dy1__4_4" hidden="1">{"Input_Fin",#N/A,FALSE,"By Code";"Input_Opt",#N/A,FALSE,"By Code"}</definedName>
    <definedName name="_10dy1__4_5" hidden="1">{"Input_Fin",#N/A,FALSE,"By Code";"Input_Opt",#N/A,FALSE,"By Code"}</definedName>
    <definedName name="_10dy1__5" hidden="1">{"Input_Fin",#N/A,FALSE,"By Code";"Input_Opt",#N/A,FALSE,"By Code"}</definedName>
    <definedName name="_10dy1__5_1" hidden="1">{"Input_Fin",#N/A,FALSE,"By Code";"Input_Opt",#N/A,FALSE,"By Code"}</definedName>
    <definedName name="_10dy1__5_1_1" hidden="1">{"Input_Fin",#N/A,FALSE,"By Code";"Input_Opt",#N/A,FALSE,"By Code"}</definedName>
    <definedName name="_10dy1__5_1_1_1" hidden="1">{"Input_Fin",#N/A,FALSE,"By Code";"Input_Opt",#N/A,FALSE,"By Code"}</definedName>
    <definedName name="_10dy1__5_1_1_2" hidden="1">{"Input_Fin",#N/A,FALSE,"By Code";"Input_Opt",#N/A,FALSE,"By Code"}</definedName>
    <definedName name="_10dy1__5_1_1_3" hidden="1">{"Input_Fin",#N/A,FALSE,"By Code";"Input_Opt",#N/A,FALSE,"By Code"}</definedName>
    <definedName name="_10dy1__5_1_2" hidden="1">{"Input_Fin",#N/A,FALSE,"By Code";"Input_Opt",#N/A,FALSE,"By Code"}</definedName>
    <definedName name="_10dy1__5_1_2_1" hidden="1">{"Input_Fin",#N/A,FALSE,"By Code";"Input_Opt",#N/A,FALSE,"By Code"}</definedName>
    <definedName name="_10dy1__5_1_2_2" hidden="1">{"Input_Fin",#N/A,FALSE,"By Code";"Input_Opt",#N/A,FALSE,"By Code"}</definedName>
    <definedName name="_10dy1__5_1_3" hidden="1">{"Input_Fin",#N/A,FALSE,"By Code";"Input_Opt",#N/A,FALSE,"By Code"}</definedName>
    <definedName name="_10dy1__5_1_4" hidden="1">{"Input_Fin",#N/A,FALSE,"By Code";"Input_Opt",#N/A,FALSE,"By Code"}</definedName>
    <definedName name="_10dy1__5_2" hidden="1">{"Input_Fin",#N/A,FALSE,"By Code";"Input_Opt",#N/A,FALSE,"By Code"}</definedName>
    <definedName name="_10dy1__5_2_1" hidden="1">{"Input_Fin",#N/A,FALSE,"By Code";"Input_Opt",#N/A,FALSE,"By Code"}</definedName>
    <definedName name="_10dy1__5_2_2" hidden="1">{"Input_Fin",#N/A,FALSE,"By Code";"Input_Opt",#N/A,FALSE,"By Code"}</definedName>
    <definedName name="_10dy1__5_2_3" hidden="1">{"Input_Fin",#N/A,FALSE,"By Code";"Input_Opt",#N/A,FALSE,"By Code"}</definedName>
    <definedName name="_10dy1__5_3" hidden="1">{"Input_Fin",#N/A,FALSE,"By Code";"Input_Opt",#N/A,FALSE,"By Code"}</definedName>
    <definedName name="_10dy1__5_3_1" hidden="1">{"Input_Fin",#N/A,FALSE,"By Code";"Input_Opt",#N/A,FALSE,"By Code"}</definedName>
    <definedName name="_10dy1__5_3_2" hidden="1">{"Input_Fin",#N/A,FALSE,"By Code";"Input_Opt",#N/A,FALSE,"By Code"}</definedName>
    <definedName name="_10dy1__5_4" hidden="1">{"Input_Fin",#N/A,FALSE,"By Code";"Input_Opt",#N/A,FALSE,"By Code"}</definedName>
    <definedName name="_10dy1__5_5" hidden="1">{"Input_Fin",#N/A,FALSE,"By Code";"Input_Opt",#N/A,FALSE,"By Code"}</definedName>
    <definedName name="_10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1__123Graph_Xｸﾞﾗﾌ_2" localSheetId="12" hidden="1">#REF!</definedName>
    <definedName name="_11__123Graph_Xｸﾞﾗﾌ_2" hidden="1">#REF!</definedName>
    <definedName name="_113dy5_" hidden="1">{"Input_Fin",#N/A,FALSE,"By Code";"Input_Opt",#N/A,FALSE,"By Code"}</definedName>
    <definedName name="_11dy1_" localSheetId="12" hidden="1">{"Input_Fin",#N/A,FALSE,"By Code";"Input_Opt",#N/A,FALSE,"By Code"}</definedName>
    <definedName name="_11dy1_" hidden="1">{"Input_Fin",#N/A,FALSE,"By Code";"Input_Opt",#N/A,FALSE,"By Code"}</definedName>
    <definedName name="_11dy2_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Q1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1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123_" hidden="1">{"Input_Fin",#N/A,FALSE,"By Code";"Input_Opt",#N/A,FALSE,"By Code"}</definedName>
    <definedName name="_12dy1_" localSheetId="12" hidden="1">{"Input_Fin",#N/A,FALSE,"By Code";"Input_Opt",#N/A,FALSE,"By Code"}</definedName>
    <definedName name="_12dy1_" hidden="1">{"Input_Fin",#N/A,FALSE,"By Code";"Input_Opt",#N/A,FALSE,"By Code"}</definedName>
    <definedName name="_12dy2_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2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2dy3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5_" hidden="1">{"Input_Fin",#N/A,FALSE,"By Code";"Input_Opt",#N/A,FALSE,"By Code"}</definedName>
    <definedName name="_132dy6_" hidden="1">{"Input_Fin",#N/A,FALSE,"By Code";"Input_Opt",#N/A,FALSE,"By Code"}</definedName>
    <definedName name="_13dy1_" hidden="1">{"Input_Fin",#N/A,FALSE,"By Code";"Input_Opt",#N/A,FALSE,"By Code"}</definedName>
    <definedName name="_13dy1__1" hidden="1">{"Input_Fin",#N/A,FALSE,"By Code";"Input_Opt",#N/A,FALSE,"By Code"}</definedName>
    <definedName name="_13dy1__1_1" hidden="1">{"Input_Fin",#N/A,FALSE,"By Code";"Input_Opt",#N/A,FALSE,"By Code"}</definedName>
    <definedName name="_13dy1__1_1_1" hidden="1">{"Input_Fin",#N/A,FALSE,"By Code";"Input_Opt",#N/A,FALSE,"By Code"}</definedName>
    <definedName name="_13dy1__1_1_2" hidden="1">{"Input_Fin",#N/A,FALSE,"By Code";"Input_Opt",#N/A,FALSE,"By Code"}</definedName>
    <definedName name="_13dy1__1_1_3" hidden="1">{"Input_Fin",#N/A,FALSE,"By Code";"Input_Opt",#N/A,FALSE,"By Code"}</definedName>
    <definedName name="_13dy1__1_2" hidden="1">{"Input_Fin",#N/A,FALSE,"By Code";"Input_Opt",#N/A,FALSE,"By Code"}</definedName>
    <definedName name="_13dy1__1_2_1" hidden="1">{"Input_Fin",#N/A,FALSE,"By Code";"Input_Opt",#N/A,FALSE,"By Code"}</definedName>
    <definedName name="_13dy1__1_2_2" hidden="1">{"Input_Fin",#N/A,FALSE,"By Code";"Input_Opt",#N/A,FALSE,"By Code"}</definedName>
    <definedName name="_13dy1__1_3" hidden="1">{"Input_Fin",#N/A,FALSE,"By Code";"Input_Opt",#N/A,FALSE,"By Code"}</definedName>
    <definedName name="_13dy1__1_4" hidden="1">{"Input_Fin",#N/A,FALSE,"By Code";"Input_Opt",#N/A,FALSE,"By Code"}</definedName>
    <definedName name="_13dy1__2" hidden="1">{"Input_Fin",#N/A,FALSE,"By Code";"Input_Opt",#N/A,FALSE,"By Code"}</definedName>
    <definedName name="_13dy1__2_1" hidden="1">{"Input_Fin",#N/A,FALSE,"By Code";"Input_Opt",#N/A,FALSE,"By Code"}</definedName>
    <definedName name="_13dy1__2_2" hidden="1">{"Input_Fin",#N/A,FALSE,"By Code";"Input_Opt",#N/A,FALSE,"By Code"}</definedName>
    <definedName name="_13dy1__2_3" hidden="1">{"Input_Fin",#N/A,FALSE,"By Code";"Input_Opt",#N/A,FALSE,"By Code"}</definedName>
    <definedName name="_13dy1__3" hidden="1">{"Input_Fin",#N/A,FALSE,"By Code";"Input_Opt",#N/A,FALSE,"By Code"}</definedName>
    <definedName name="_13dy1__3_1" hidden="1">{"Input_Fin",#N/A,FALSE,"By Code";"Input_Opt",#N/A,FALSE,"By Code"}</definedName>
    <definedName name="_13dy1__3_2" hidden="1">{"Input_Fin",#N/A,FALSE,"By Code";"Input_Opt",#N/A,FALSE,"By Code"}</definedName>
    <definedName name="_13dy1__4" hidden="1">{"Input_Fin",#N/A,FALSE,"By Code";"Input_Opt",#N/A,FALSE,"By Code"}</definedName>
    <definedName name="_13dy1__5" hidden="1">{"Input_Fin",#N/A,FALSE,"By Code";"Input_Opt",#N/A,FALSE,"By Code"}</definedName>
    <definedName name="_13dy2_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3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3dy3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4dy1_" hidden="1">{"Input_Fin",#N/A,FALSE,"By Code";"Input_Opt",#N/A,FALSE,"By Code"}</definedName>
    <definedName name="_14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4dy3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4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4dy4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4dy5_" localSheetId="12" hidden="1">{"Input_Fin",#N/A,FALSE,"By Code";"Input_Opt",#N/A,FALSE,"By Code"}</definedName>
    <definedName name="_14dy5_" hidden="1">{"Input_Fin",#N/A,FALSE,"By Code";"Input_Opt",#N/A,FALSE,"By Code"}</definedName>
    <definedName name="_14dy5__1" hidden="1">{"Input_Fin",#N/A,FALSE,"By Code";"Input_Opt",#N/A,FALSE,"By Code"}</definedName>
    <definedName name="_14dy5__1_1" hidden="1">{"Input_Fin",#N/A,FALSE,"By Code";"Input_Opt",#N/A,FALSE,"By Code"}</definedName>
    <definedName name="_14dy5__1_1_1" hidden="1">{"Input_Fin",#N/A,FALSE,"By Code";"Input_Opt",#N/A,FALSE,"By Code"}</definedName>
    <definedName name="_14dy5__1_1_1_1" hidden="1">{"Input_Fin",#N/A,FALSE,"By Code";"Input_Opt",#N/A,FALSE,"By Code"}</definedName>
    <definedName name="_14dy5__1_1_1_1_1" hidden="1">{"Input_Fin",#N/A,FALSE,"By Code";"Input_Opt",#N/A,FALSE,"By Code"}</definedName>
    <definedName name="_14dy5__1_1_1_1_2" hidden="1">{"Input_Fin",#N/A,FALSE,"By Code";"Input_Opt",#N/A,FALSE,"By Code"}</definedName>
    <definedName name="_14dy5__1_1_1_1_3" hidden="1">{"Input_Fin",#N/A,FALSE,"By Code";"Input_Opt",#N/A,FALSE,"By Code"}</definedName>
    <definedName name="_14dy5__1_1_1_2" hidden="1">{"Input_Fin",#N/A,FALSE,"By Code";"Input_Opt",#N/A,FALSE,"By Code"}</definedName>
    <definedName name="_14dy5__1_1_1_2_1" hidden="1">{"Input_Fin",#N/A,FALSE,"By Code";"Input_Opt",#N/A,FALSE,"By Code"}</definedName>
    <definedName name="_14dy5__1_1_1_2_2" hidden="1">{"Input_Fin",#N/A,FALSE,"By Code";"Input_Opt",#N/A,FALSE,"By Code"}</definedName>
    <definedName name="_14dy5__1_1_1_3" hidden="1">{"Input_Fin",#N/A,FALSE,"By Code";"Input_Opt",#N/A,FALSE,"By Code"}</definedName>
    <definedName name="_14dy5__1_1_1_3_1" hidden="1">{"Input_Fin",#N/A,FALSE,"By Code";"Input_Opt",#N/A,FALSE,"By Code"}</definedName>
    <definedName name="_14dy5__1_1_1_3_2" hidden="1">{"Input_Fin",#N/A,FALSE,"By Code";"Input_Opt",#N/A,FALSE,"By Code"}</definedName>
    <definedName name="_14dy5__1_1_1_4" hidden="1">{"Input_Fin",#N/A,FALSE,"By Code";"Input_Opt",#N/A,FALSE,"By Code"}</definedName>
    <definedName name="_14dy5__1_1_1_5" hidden="1">{"Input_Fin",#N/A,FALSE,"By Code";"Input_Opt",#N/A,FALSE,"By Code"}</definedName>
    <definedName name="_14dy5__1_1_2" hidden="1">{"Input_Fin",#N/A,FALSE,"By Code";"Input_Opt",#N/A,FALSE,"By Code"}</definedName>
    <definedName name="_14dy5__1_1_2_1" hidden="1">{"Input_Fin",#N/A,FALSE,"By Code";"Input_Opt",#N/A,FALSE,"By Code"}</definedName>
    <definedName name="_14dy5__1_1_2_2" hidden="1">{"Input_Fin",#N/A,FALSE,"By Code";"Input_Opt",#N/A,FALSE,"By Code"}</definedName>
    <definedName name="_14dy5__1_1_2_3" hidden="1">{"Input_Fin",#N/A,FALSE,"By Code";"Input_Opt",#N/A,FALSE,"By Code"}</definedName>
    <definedName name="_14dy5__1_1_3" hidden="1">{"Input_Fin",#N/A,FALSE,"By Code";"Input_Opt",#N/A,FALSE,"By Code"}</definedName>
    <definedName name="_14dy5__1_1_3_1" hidden="1">{"Input_Fin",#N/A,FALSE,"By Code";"Input_Opt",#N/A,FALSE,"By Code"}</definedName>
    <definedName name="_14dy5__1_1_3_2" hidden="1">{"Input_Fin",#N/A,FALSE,"By Code";"Input_Opt",#N/A,FALSE,"By Code"}</definedName>
    <definedName name="_14dy5__1_1_4" hidden="1">{"Input_Fin",#N/A,FALSE,"By Code";"Input_Opt",#N/A,FALSE,"By Code"}</definedName>
    <definedName name="_14dy5__1_1_5" hidden="1">{"Input_Fin",#N/A,FALSE,"By Code";"Input_Opt",#N/A,FALSE,"By Code"}</definedName>
    <definedName name="_14dy5__1_2" hidden="1">{"Input_Fin",#N/A,FALSE,"By Code";"Input_Opt",#N/A,FALSE,"By Code"}</definedName>
    <definedName name="_14dy5__1_2_1" hidden="1">{"Input_Fin",#N/A,FALSE,"By Code";"Input_Opt",#N/A,FALSE,"By Code"}</definedName>
    <definedName name="_14dy5__1_2_2" hidden="1">{"Input_Fin",#N/A,FALSE,"By Code";"Input_Opt",#N/A,FALSE,"By Code"}</definedName>
    <definedName name="_14dy5__1_2_3" hidden="1">{"Input_Fin",#N/A,FALSE,"By Code";"Input_Opt",#N/A,FALSE,"By Code"}</definedName>
    <definedName name="_14dy5__1_3" hidden="1">{"Input_Fin",#N/A,FALSE,"By Code";"Input_Opt",#N/A,FALSE,"By Code"}</definedName>
    <definedName name="_14dy5__1_3_1" hidden="1">{"Input_Fin",#N/A,FALSE,"By Code";"Input_Opt",#N/A,FALSE,"By Code"}</definedName>
    <definedName name="_14dy5__1_3_2" hidden="1">{"Input_Fin",#N/A,FALSE,"By Code";"Input_Opt",#N/A,FALSE,"By Code"}</definedName>
    <definedName name="_14dy5__1_4" hidden="1">{"Input_Fin",#N/A,FALSE,"By Code";"Input_Opt",#N/A,FALSE,"By Code"}</definedName>
    <definedName name="_14dy5__1_5" hidden="1">{"Input_Fin",#N/A,FALSE,"By Code";"Input_Opt",#N/A,FALSE,"By Code"}</definedName>
    <definedName name="_14dy5__2" hidden="1">{"Input_Fin",#N/A,FALSE,"By Code";"Input_Opt",#N/A,FALSE,"By Code"}</definedName>
    <definedName name="_14dy5__2_1" hidden="1">{"Input_Fin",#N/A,FALSE,"By Code";"Input_Opt",#N/A,FALSE,"By Code"}</definedName>
    <definedName name="_14dy5__2_1_1" hidden="1">{"Input_Fin",#N/A,FALSE,"By Code";"Input_Opt",#N/A,FALSE,"By Code"}</definedName>
    <definedName name="_14dy5__2_1_1_1" hidden="1">{"Input_Fin",#N/A,FALSE,"By Code";"Input_Opt",#N/A,FALSE,"By Code"}</definedName>
    <definedName name="_14dy5__2_1_1_2" hidden="1">{"Input_Fin",#N/A,FALSE,"By Code";"Input_Opt",#N/A,FALSE,"By Code"}</definedName>
    <definedName name="_14dy5__2_1_1_3" hidden="1">{"Input_Fin",#N/A,FALSE,"By Code";"Input_Opt",#N/A,FALSE,"By Code"}</definedName>
    <definedName name="_14dy5__2_1_2" hidden="1">{"Input_Fin",#N/A,FALSE,"By Code";"Input_Opt",#N/A,FALSE,"By Code"}</definedName>
    <definedName name="_14dy5__2_1_2_1" hidden="1">{"Input_Fin",#N/A,FALSE,"By Code";"Input_Opt",#N/A,FALSE,"By Code"}</definedName>
    <definedName name="_14dy5__2_1_2_2" hidden="1">{"Input_Fin",#N/A,FALSE,"By Code";"Input_Opt",#N/A,FALSE,"By Code"}</definedName>
    <definedName name="_14dy5__2_1_3" hidden="1">{"Input_Fin",#N/A,FALSE,"By Code";"Input_Opt",#N/A,FALSE,"By Code"}</definedName>
    <definedName name="_14dy5__2_1_4" hidden="1">{"Input_Fin",#N/A,FALSE,"By Code";"Input_Opt",#N/A,FALSE,"By Code"}</definedName>
    <definedName name="_14dy5__2_2" hidden="1">{"Input_Fin",#N/A,FALSE,"By Code";"Input_Opt",#N/A,FALSE,"By Code"}</definedName>
    <definedName name="_14dy5__2_2_1" hidden="1">{"Input_Fin",#N/A,FALSE,"By Code";"Input_Opt",#N/A,FALSE,"By Code"}</definedName>
    <definedName name="_14dy5__2_2_2" hidden="1">{"Input_Fin",#N/A,FALSE,"By Code";"Input_Opt",#N/A,FALSE,"By Code"}</definedName>
    <definedName name="_14dy5__2_2_3" hidden="1">{"Input_Fin",#N/A,FALSE,"By Code";"Input_Opt",#N/A,FALSE,"By Code"}</definedName>
    <definedName name="_14dy5__2_3" hidden="1">{"Input_Fin",#N/A,FALSE,"By Code";"Input_Opt",#N/A,FALSE,"By Code"}</definedName>
    <definedName name="_14dy5__2_3_1" hidden="1">{"Input_Fin",#N/A,FALSE,"By Code";"Input_Opt",#N/A,FALSE,"By Code"}</definedName>
    <definedName name="_14dy5__2_3_2" hidden="1">{"Input_Fin",#N/A,FALSE,"By Code";"Input_Opt",#N/A,FALSE,"By Code"}</definedName>
    <definedName name="_14dy5__2_4" hidden="1">{"Input_Fin",#N/A,FALSE,"By Code";"Input_Opt",#N/A,FALSE,"By Code"}</definedName>
    <definedName name="_14dy5__2_5" hidden="1">{"Input_Fin",#N/A,FALSE,"By Code";"Input_Opt",#N/A,FALSE,"By Code"}</definedName>
    <definedName name="_14dy5__3" hidden="1">{"Input_Fin",#N/A,FALSE,"By Code";"Input_Opt",#N/A,FALSE,"By Code"}</definedName>
    <definedName name="_14dy5__3_1" hidden="1">{"Input_Fin",#N/A,FALSE,"By Code";"Input_Opt",#N/A,FALSE,"By Code"}</definedName>
    <definedName name="_14dy5__3_1_1" hidden="1">{"Input_Fin",#N/A,FALSE,"By Code";"Input_Opt",#N/A,FALSE,"By Code"}</definedName>
    <definedName name="_14dy5__3_1_1_1" hidden="1">{"Input_Fin",#N/A,FALSE,"By Code";"Input_Opt",#N/A,FALSE,"By Code"}</definedName>
    <definedName name="_14dy5__3_1_1_2" hidden="1">{"Input_Fin",#N/A,FALSE,"By Code";"Input_Opt",#N/A,FALSE,"By Code"}</definedName>
    <definedName name="_14dy5__3_1_1_3" hidden="1">{"Input_Fin",#N/A,FALSE,"By Code";"Input_Opt",#N/A,FALSE,"By Code"}</definedName>
    <definedName name="_14dy5__3_1_2" hidden="1">{"Input_Fin",#N/A,FALSE,"By Code";"Input_Opt",#N/A,FALSE,"By Code"}</definedName>
    <definedName name="_14dy5__3_1_2_1" hidden="1">{"Input_Fin",#N/A,FALSE,"By Code";"Input_Opt",#N/A,FALSE,"By Code"}</definedName>
    <definedName name="_14dy5__3_1_2_2" hidden="1">{"Input_Fin",#N/A,FALSE,"By Code";"Input_Opt",#N/A,FALSE,"By Code"}</definedName>
    <definedName name="_14dy5__3_1_3" hidden="1">{"Input_Fin",#N/A,FALSE,"By Code";"Input_Opt",#N/A,FALSE,"By Code"}</definedName>
    <definedName name="_14dy5__3_1_4" hidden="1">{"Input_Fin",#N/A,FALSE,"By Code";"Input_Opt",#N/A,FALSE,"By Code"}</definedName>
    <definedName name="_14dy5__3_2" hidden="1">{"Input_Fin",#N/A,FALSE,"By Code";"Input_Opt",#N/A,FALSE,"By Code"}</definedName>
    <definedName name="_14dy5__3_2_1" hidden="1">{"Input_Fin",#N/A,FALSE,"By Code";"Input_Opt",#N/A,FALSE,"By Code"}</definedName>
    <definedName name="_14dy5__3_2_2" hidden="1">{"Input_Fin",#N/A,FALSE,"By Code";"Input_Opt",#N/A,FALSE,"By Code"}</definedName>
    <definedName name="_14dy5__3_2_3" hidden="1">{"Input_Fin",#N/A,FALSE,"By Code";"Input_Opt",#N/A,FALSE,"By Code"}</definedName>
    <definedName name="_14dy5__3_3" hidden="1">{"Input_Fin",#N/A,FALSE,"By Code";"Input_Opt",#N/A,FALSE,"By Code"}</definedName>
    <definedName name="_14dy5__3_3_1" hidden="1">{"Input_Fin",#N/A,FALSE,"By Code";"Input_Opt",#N/A,FALSE,"By Code"}</definedName>
    <definedName name="_14dy5__3_3_2" hidden="1">{"Input_Fin",#N/A,FALSE,"By Code";"Input_Opt",#N/A,FALSE,"By Code"}</definedName>
    <definedName name="_14dy5__3_4" hidden="1">{"Input_Fin",#N/A,FALSE,"By Code";"Input_Opt",#N/A,FALSE,"By Code"}</definedName>
    <definedName name="_14dy5__3_5" hidden="1">{"Input_Fin",#N/A,FALSE,"By Code";"Input_Opt",#N/A,FALSE,"By Code"}</definedName>
    <definedName name="_14dy5__4" hidden="1">{"Input_Fin",#N/A,FALSE,"By Code";"Input_Opt",#N/A,FALSE,"By Code"}</definedName>
    <definedName name="_14dy5__4_1" hidden="1">{"Input_Fin",#N/A,FALSE,"By Code";"Input_Opt",#N/A,FALSE,"By Code"}</definedName>
    <definedName name="_14dy5__4_1_1" hidden="1">{"Input_Fin",#N/A,FALSE,"By Code";"Input_Opt",#N/A,FALSE,"By Code"}</definedName>
    <definedName name="_14dy5__4_1_1_1" hidden="1">{"Input_Fin",#N/A,FALSE,"By Code";"Input_Opt",#N/A,FALSE,"By Code"}</definedName>
    <definedName name="_14dy5__4_1_1_2" hidden="1">{"Input_Fin",#N/A,FALSE,"By Code";"Input_Opt",#N/A,FALSE,"By Code"}</definedName>
    <definedName name="_14dy5__4_1_1_3" hidden="1">{"Input_Fin",#N/A,FALSE,"By Code";"Input_Opt",#N/A,FALSE,"By Code"}</definedName>
    <definedName name="_14dy5__4_1_2" hidden="1">{"Input_Fin",#N/A,FALSE,"By Code";"Input_Opt",#N/A,FALSE,"By Code"}</definedName>
    <definedName name="_14dy5__4_1_2_1" hidden="1">{"Input_Fin",#N/A,FALSE,"By Code";"Input_Opt",#N/A,FALSE,"By Code"}</definedName>
    <definedName name="_14dy5__4_1_2_2" hidden="1">{"Input_Fin",#N/A,FALSE,"By Code";"Input_Opt",#N/A,FALSE,"By Code"}</definedName>
    <definedName name="_14dy5__4_1_3" hidden="1">{"Input_Fin",#N/A,FALSE,"By Code";"Input_Opt",#N/A,FALSE,"By Code"}</definedName>
    <definedName name="_14dy5__4_1_4" hidden="1">{"Input_Fin",#N/A,FALSE,"By Code";"Input_Opt",#N/A,FALSE,"By Code"}</definedName>
    <definedName name="_14dy5__4_2" hidden="1">{"Input_Fin",#N/A,FALSE,"By Code";"Input_Opt",#N/A,FALSE,"By Code"}</definedName>
    <definedName name="_14dy5__4_2_1" hidden="1">{"Input_Fin",#N/A,FALSE,"By Code";"Input_Opt",#N/A,FALSE,"By Code"}</definedName>
    <definedName name="_14dy5__4_2_2" hidden="1">{"Input_Fin",#N/A,FALSE,"By Code";"Input_Opt",#N/A,FALSE,"By Code"}</definedName>
    <definedName name="_14dy5__4_2_3" hidden="1">{"Input_Fin",#N/A,FALSE,"By Code";"Input_Opt",#N/A,FALSE,"By Code"}</definedName>
    <definedName name="_14dy5__4_3" hidden="1">{"Input_Fin",#N/A,FALSE,"By Code";"Input_Opt",#N/A,FALSE,"By Code"}</definedName>
    <definedName name="_14dy5__4_3_1" hidden="1">{"Input_Fin",#N/A,FALSE,"By Code";"Input_Opt",#N/A,FALSE,"By Code"}</definedName>
    <definedName name="_14dy5__4_3_2" hidden="1">{"Input_Fin",#N/A,FALSE,"By Code";"Input_Opt",#N/A,FALSE,"By Code"}</definedName>
    <definedName name="_14dy5__4_4" hidden="1">{"Input_Fin",#N/A,FALSE,"By Code";"Input_Opt",#N/A,FALSE,"By Code"}</definedName>
    <definedName name="_14dy5__4_5" hidden="1">{"Input_Fin",#N/A,FALSE,"By Code";"Input_Opt",#N/A,FALSE,"By Code"}</definedName>
    <definedName name="_14dy5__5" hidden="1">{"Input_Fin",#N/A,FALSE,"By Code";"Input_Opt",#N/A,FALSE,"By Code"}</definedName>
    <definedName name="_14dy5__5_1" hidden="1">{"Input_Fin",#N/A,FALSE,"By Code";"Input_Opt",#N/A,FALSE,"By Code"}</definedName>
    <definedName name="_14dy5__5_1_1" hidden="1">{"Input_Fin",#N/A,FALSE,"By Code";"Input_Opt",#N/A,FALSE,"By Code"}</definedName>
    <definedName name="_14dy5__5_1_1_1" hidden="1">{"Input_Fin",#N/A,FALSE,"By Code";"Input_Opt",#N/A,FALSE,"By Code"}</definedName>
    <definedName name="_14dy5__5_1_1_2" hidden="1">{"Input_Fin",#N/A,FALSE,"By Code";"Input_Opt",#N/A,FALSE,"By Code"}</definedName>
    <definedName name="_14dy5__5_1_1_3" hidden="1">{"Input_Fin",#N/A,FALSE,"By Code";"Input_Opt",#N/A,FALSE,"By Code"}</definedName>
    <definedName name="_14dy5__5_1_2" hidden="1">{"Input_Fin",#N/A,FALSE,"By Code";"Input_Opt",#N/A,FALSE,"By Code"}</definedName>
    <definedName name="_14dy5__5_1_2_1" hidden="1">{"Input_Fin",#N/A,FALSE,"By Code";"Input_Opt",#N/A,FALSE,"By Code"}</definedName>
    <definedName name="_14dy5__5_1_2_2" hidden="1">{"Input_Fin",#N/A,FALSE,"By Code";"Input_Opt",#N/A,FALSE,"By Code"}</definedName>
    <definedName name="_14dy5__5_1_3" hidden="1">{"Input_Fin",#N/A,FALSE,"By Code";"Input_Opt",#N/A,FALSE,"By Code"}</definedName>
    <definedName name="_14dy5__5_1_4" hidden="1">{"Input_Fin",#N/A,FALSE,"By Code";"Input_Opt",#N/A,FALSE,"By Code"}</definedName>
    <definedName name="_14dy5__5_2" hidden="1">{"Input_Fin",#N/A,FALSE,"By Code";"Input_Opt",#N/A,FALSE,"By Code"}</definedName>
    <definedName name="_14dy5__5_2_1" hidden="1">{"Input_Fin",#N/A,FALSE,"By Code";"Input_Opt",#N/A,FALSE,"By Code"}</definedName>
    <definedName name="_14dy5__5_2_2" hidden="1">{"Input_Fin",#N/A,FALSE,"By Code";"Input_Opt",#N/A,FALSE,"By Code"}</definedName>
    <definedName name="_14dy5__5_2_3" hidden="1">{"Input_Fin",#N/A,FALSE,"By Code";"Input_Opt",#N/A,FALSE,"By Code"}</definedName>
    <definedName name="_14dy5__5_3" hidden="1">{"Input_Fin",#N/A,FALSE,"By Code";"Input_Opt",#N/A,FALSE,"By Code"}</definedName>
    <definedName name="_14dy5__5_3_1" hidden="1">{"Input_Fin",#N/A,FALSE,"By Code";"Input_Opt",#N/A,FALSE,"By Code"}</definedName>
    <definedName name="_14dy5__5_3_2" hidden="1">{"Input_Fin",#N/A,FALSE,"By Code";"Input_Opt",#N/A,FALSE,"By Code"}</definedName>
    <definedName name="_14dy5__5_4" hidden="1">{"Input_Fin",#N/A,FALSE,"By Code";"Input_Opt",#N/A,FALSE,"By Code"}</definedName>
    <definedName name="_14dy5__5_5" hidden="1">{"Input_Fin",#N/A,FALSE,"By Code";"Input_Opt",#N/A,FALSE,"By Code"}</definedName>
    <definedName name="_14dy6_" hidden="1">{"Input_Fin",#N/A,FALSE,"By Code";"Input_Opt",#N/A,FALSE,"By Code"}</definedName>
    <definedName name="_15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5dy1_" hidden="1">{"Input_Fin",#N/A,FALSE,"By Code";"Input_Opt",#N/A,FALSE,"By Code"}</definedName>
    <definedName name="_15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3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5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5dy4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5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5dy5_" localSheetId="12" hidden="1">{"Input_Fin",#N/A,FALSE,"By Code";"Input_Opt",#N/A,FALSE,"By Code"}</definedName>
    <definedName name="_15dy5_" hidden="1">{"Input_Fin",#N/A,FALSE,"By Code";"Input_Opt",#N/A,FALSE,"By Code"}</definedName>
    <definedName name="_15dy6_" localSheetId="12" hidden="1">{"Input_Fin",#N/A,FALSE,"By Code";"Input_Opt",#N/A,FALSE,"By Code"}</definedName>
    <definedName name="_15dy6_" hidden="1">{"Input_Fin",#N/A,FALSE,"By Code";"Input_Opt",#N/A,FALSE,"By Code"}</definedName>
    <definedName name="_15dy6__1" hidden="1">{"Input_Fin",#N/A,FALSE,"By Code";"Input_Opt",#N/A,FALSE,"By Code"}</definedName>
    <definedName name="_15dy6__1_1" hidden="1">{"Input_Fin",#N/A,FALSE,"By Code";"Input_Opt",#N/A,FALSE,"By Code"}</definedName>
    <definedName name="_15dy6__1_1_1" hidden="1">{"Input_Fin",#N/A,FALSE,"By Code";"Input_Opt",#N/A,FALSE,"By Code"}</definedName>
    <definedName name="_15dy6__1_1_1_1" hidden="1">{"Input_Fin",#N/A,FALSE,"By Code";"Input_Opt",#N/A,FALSE,"By Code"}</definedName>
    <definedName name="_15dy6__1_1_1_1_1" hidden="1">{"Input_Fin",#N/A,FALSE,"By Code";"Input_Opt",#N/A,FALSE,"By Code"}</definedName>
    <definedName name="_15dy6__1_1_1_1_2" hidden="1">{"Input_Fin",#N/A,FALSE,"By Code";"Input_Opt",#N/A,FALSE,"By Code"}</definedName>
    <definedName name="_15dy6__1_1_1_1_3" hidden="1">{"Input_Fin",#N/A,FALSE,"By Code";"Input_Opt",#N/A,FALSE,"By Code"}</definedName>
    <definedName name="_15dy6__1_1_1_2" hidden="1">{"Input_Fin",#N/A,FALSE,"By Code";"Input_Opt",#N/A,FALSE,"By Code"}</definedName>
    <definedName name="_15dy6__1_1_1_2_1" hidden="1">{"Input_Fin",#N/A,FALSE,"By Code";"Input_Opt",#N/A,FALSE,"By Code"}</definedName>
    <definedName name="_15dy6__1_1_1_2_2" hidden="1">{"Input_Fin",#N/A,FALSE,"By Code";"Input_Opt",#N/A,FALSE,"By Code"}</definedName>
    <definedName name="_15dy6__1_1_1_3" hidden="1">{"Input_Fin",#N/A,FALSE,"By Code";"Input_Opt",#N/A,FALSE,"By Code"}</definedName>
    <definedName name="_15dy6__1_1_1_3_1" hidden="1">{"Input_Fin",#N/A,FALSE,"By Code";"Input_Opt",#N/A,FALSE,"By Code"}</definedName>
    <definedName name="_15dy6__1_1_1_3_2" hidden="1">{"Input_Fin",#N/A,FALSE,"By Code";"Input_Opt",#N/A,FALSE,"By Code"}</definedName>
    <definedName name="_15dy6__1_1_1_4" hidden="1">{"Input_Fin",#N/A,FALSE,"By Code";"Input_Opt",#N/A,FALSE,"By Code"}</definedName>
    <definedName name="_15dy6__1_1_1_5" hidden="1">{"Input_Fin",#N/A,FALSE,"By Code";"Input_Opt",#N/A,FALSE,"By Code"}</definedName>
    <definedName name="_15dy6__1_1_2" hidden="1">{"Input_Fin",#N/A,FALSE,"By Code";"Input_Opt",#N/A,FALSE,"By Code"}</definedName>
    <definedName name="_15dy6__1_1_2_1" hidden="1">{"Input_Fin",#N/A,FALSE,"By Code";"Input_Opt",#N/A,FALSE,"By Code"}</definedName>
    <definedName name="_15dy6__1_1_2_2" hidden="1">{"Input_Fin",#N/A,FALSE,"By Code";"Input_Opt",#N/A,FALSE,"By Code"}</definedName>
    <definedName name="_15dy6__1_1_2_3" hidden="1">{"Input_Fin",#N/A,FALSE,"By Code";"Input_Opt",#N/A,FALSE,"By Code"}</definedName>
    <definedName name="_15dy6__1_1_3" hidden="1">{"Input_Fin",#N/A,FALSE,"By Code";"Input_Opt",#N/A,FALSE,"By Code"}</definedName>
    <definedName name="_15dy6__1_1_3_1" hidden="1">{"Input_Fin",#N/A,FALSE,"By Code";"Input_Opt",#N/A,FALSE,"By Code"}</definedName>
    <definedName name="_15dy6__1_1_3_2" hidden="1">{"Input_Fin",#N/A,FALSE,"By Code";"Input_Opt",#N/A,FALSE,"By Code"}</definedName>
    <definedName name="_15dy6__1_1_4" hidden="1">{"Input_Fin",#N/A,FALSE,"By Code";"Input_Opt",#N/A,FALSE,"By Code"}</definedName>
    <definedName name="_15dy6__1_1_5" hidden="1">{"Input_Fin",#N/A,FALSE,"By Code";"Input_Opt",#N/A,FALSE,"By Code"}</definedName>
    <definedName name="_15dy6__1_2" hidden="1">{"Input_Fin",#N/A,FALSE,"By Code";"Input_Opt",#N/A,FALSE,"By Code"}</definedName>
    <definedName name="_15dy6__1_2_1" hidden="1">{"Input_Fin",#N/A,FALSE,"By Code";"Input_Opt",#N/A,FALSE,"By Code"}</definedName>
    <definedName name="_15dy6__1_2_2" hidden="1">{"Input_Fin",#N/A,FALSE,"By Code";"Input_Opt",#N/A,FALSE,"By Code"}</definedName>
    <definedName name="_15dy6__1_2_3" hidden="1">{"Input_Fin",#N/A,FALSE,"By Code";"Input_Opt",#N/A,FALSE,"By Code"}</definedName>
    <definedName name="_15dy6__1_3" hidden="1">{"Input_Fin",#N/A,FALSE,"By Code";"Input_Opt",#N/A,FALSE,"By Code"}</definedName>
    <definedName name="_15dy6__1_3_1" hidden="1">{"Input_Fin",#N/A,FALSE,"By Code";"Input_Opt",#N/A,FALSE,"By Code"}</definedName>
    <definedName name="_15dy6__1_3_2" hidden="1">{"Input_Fin",#N/A,FALSE,"By Code";"Input_Opt",#N/A,FALSE,"By Code"}</definedName>
    <definedName name="_15dy6__1_4" hidden="1">{"Input_Fin",#N/A,FALSE,"By Code";"Input_Opt",#N/A,FALSE,"By Code"}</definedName>
    <definedName name="_15dy6__1_5" hidden="1">{"Input_Fin",#N/A,FALSE,"By Code";"Input_Opt",#N/A,FALSE,"By Code"}</definedName>
    <definedName name="_15dy6__2" hidden="1">{"Input_Fin",#N/A,FALSE,"By Code";"Input_Opt",#N/A,FALSE,"By Code"}</definedName>
    <definedName name="_15dy6__2_1" hidden="1">{"Input_Fin",#N/A,FALSE,"By Code";"Input_Opt",#N/A,FALSE,"By Code"}</definedName>
    <definedName name="_15dy6__2_1_1" hidden="1">{"Input_Fin",#N/A,FALSE,"By Code";"Input_Opt",#N/A,FALSE,"By Code"}</definedName>
    <definedName name="_15dy6__2_1_1_1" hidden="1">{"Input_Fin",#N/A,FALSE,"By Code";"Input_Opt",#N/A,FALSE,"By Code"}</definedName>
    <definedName name="_15dy6__2_1_1_2" hidden="1">{"Input_Fin",#N/A,FALSE,"By Code";"Input_Opt",#N/A,FALSE,"By Code"}</definedName>
    <definedName name="_15dy6__2_1_1_3" hidden="1">{"Input_Fin",#N/A,FALSE,"By Code";"Input_Opt",#N/A,FALSE,"By Code"}</definedName>
    <definedName name="_15dy6__2_1_2" hidden="1">{"Input_Fin",#N/A,FALSE,"By Code";"Input_Opt",#N/A,FALSE,"By Code"}</definedName>
    <definedName name="_15dy6__2_1_2_1" hidden="1">{"Input_Fin",#N/A,FALSE,"By Code";"Input_Opt",#N/A,FALSE,"By Code"}</definedName>
    <definedName name="_15dy6__2_1_2_2" hidden="1">{"Input_Fin",#N/A,FALSE,"By Code";"Input_Opt",#N/A,FALSE,"By Code"}</definedName>
    <definedName name="_15dy6__2_1_3" hidden="1">{"Input_Fin",#N/A,FALSE,"By Code";"Input_Opt",#N/A,FALSE,"By Code"}</definedName>
    <definedName name="_15dy6__2_1_4" hidden="1">{"Input_Fin",#N/A,FALSE,"By Code";"Input_Opt",#N/A,FALSE,"By Code"}</definedName>
    <definedName name="_15dy6__2_2" hidden="1">{"Input_Fin",#N/A,FALSE,"By Code";"Input_Opt",#N/A,FALSE,"By Code"}</definedName>
    <definedName name="_15dy6__2_2_1" hidden="1">{"Input_Fin",#N/A,FALSE,"By Code";"Input_Opt",#N/A,FALSE,"By Code"}</definedName>
    <definedName name="_15dy6__2_2_2" hidden="1">{"Input_Fin",#N/A,FALSE,"By Code";"Input_Opt",#N/A,FALSE,"By Code"}</definedName>
    <definedName name="_15dy6__2_2_3" hidden="1">{"Input_Fin",#N/A,FALSE,"By Code";"Input_Opt",#N/A,FALSE,"By Code"}</definedName>
    <definedName name="_15dy6__2_3" hidden="1">{"Input_Fin",#N/A,FALSE,"By Code";"Input_Opt",#N/A,FALSE,"By Code"}</definedName>
    <definedName name="_15dy6__2_3_1" hidden="1">{"Input_Fin",#N/A,FALSE,"By Code";"Input_Opt",#N/A,FALSE,"By Code"}</definedName>
    <definedName name="_15dy6__2_3_2" hidden="1">{"Input_Fin",#N/A,FALSE,"By Code";"Input_Opt",#N/A,FALSE,"By Code"}</definedName>
    <definedName name="_15dy6__2_4" hidden="1">{"Input_Fin",#N/A,FALSE,"By Code";"Input_Opt",#N/A,FALSE,"By Code"}</definedName>
    <definedName name="_15dy6__2_5" hidden="1">{"Input_Fin",#N/A,FALSE,"By Code";"Input_Opt",#N/A,FALSE,"By Code"}</definedName>
    <definedName name="_15dy6__3" hidden="1">{"Input_Fin",#N/A,FALSE,"By Code";"Input_Opt",#N/A,FALSE,"By Code"}</definedName>
    <definedName name="_15dy6__3_1" hidden="1">{"Input_Fin",#N/A,FALSE,"By Code";"Input_Opt",#N/A,FALSE,"By Code"}</definedName>
    <definedName name="_15dy6__3_1_1" hidden="1">{"Input_Fin",#N/A,FALSE,"By Code";"Input_Opt",#N/A,FALSE,"By Code"}</definedName>
    <definedName name="_15dy6__3_1_1_1" hidden="1">{"Input_Fin",#N/A,FALSE,"By Code";"Input_Opt",#N/A,FALSE,"By Code"}</definedName>
    <definedName name="_15dy6__3_1_1_2" hidden="1">{"Input_Fin",#N/A,FALSE,"By Code";"Input_Opt",#N/A,FALSE,"By Code"}</definedName>
    <definedName name="_15dy6__3_1_1_3" hidden="1">{"Input_Fin",#N/A,FALSE,"By Code";"Input_Opt",#N/A,FALSE,"By Code"}</definedName>
    <definedName name="_15dy6__3_1_2" hidden="1">{"Input_Fin",#N/A,FALSE,"By Code";"Input_Opt",#N/A,FALSE,"By Code"}</definedName>
    <definedName name="_15dy6__3_1_2_1" hidden="1">{"Input_Fin",#N/A,FALSE,"By Code";"Input_Opt",#N/A,FALSE,"By Code"}</definedName>
    <definedName name="_15dy6__3_1_2_2" hidden="1">{"Input_Fin",#N/A,FALSE,"By Code";"Input_Opt",#N/A,FALSE,"By Code"}</definedName>
    <definedName name="_15dy6__3_1_3" hidden="1">{"Input_Fin",#N/A,FALSE,"By Code";"Input_Opt",#N/A,FALSE,"By Code"}</definedName>
    <definedName name="_15dy6__3_1_4" hidden="1">{"Input_Fin",#N/A,FALSE,"By Code";"Input_Opt",#N/A,FALSE,"By Code"}</definedName>
    <definedName name="_15dy6__3_2" hidden="1">{"Input_Fin",#N/A,FALSE,"By Code";"Input_Opt",#N/A,FALSE,"By Code"}</definedName>
    <definedName name="_15dy6__3_2_1" hidden="1">{"Input_Fin",#N/A,FALSE,"By Code";"Input_Opt",#N/A,FALSE,"By Code"}</definedName>
    <definedName name="_15dy6__3_2_2" hidden="1">{"Input_Fin",#N/A,FALSE,"By Code";"Input_Opt",#N/A,FALSE,"By Code"}</definedName>
    <definedName name="_15dy6__3_2_3" hidden="1">{"Input_Fin",#N/A,FALSE,"By Code";"Input_Opt",#N/A,FALSE,"By Code"}</definedName>
    <definedName name="_15dy6__3_3" hidden="1">{"Input_Fin",#N/A,FALSE,"By Code";"Input_Opt",#N/A,FALSE,"By Code"}</definedName>
    <definedName name="_15dy6__3_3_1" hidden="1">{"Input_Fin",#N/A,FALSE,"By Code";"Input_Opt",#N/A,FALSE,"By Code"}</definedName>
    <definedName name="_15dy6__3_3_2" hidden="1">{"Input_Fin",#N/A,FALSE,"By Code";"Input_Opt",#N/A,FALSE,"By Code"}</definedName>
    <definedName name="_15dy6__3_4" hidden="1">{"Input_Fin",#N/A,FALSE,"By Code";"Input_Opt",#N/A,FALSE,"By Code"}</definedName>
    <definedName name="_15dy6__3_5" hidden="1">{"Input_Fin",#N/A,FALSE,"By Code";"Input_Opt",#N/A,FALSE,"By Code"}</definedName>
    <definedName name="_15dy6__4" hidden="1">{"Input_Fin",#N/A,FALSE,"By Code";"Input_Opt",#N/A,FALSE,"By Code"}</definedName>
    <definedName name="_15dy6__4_1" hidden="1">{"Input_Fin",#N/A,FALSE,"By Code";"Input_Opt",#N/A,FALSE,"By Code"}</definedName>
    <definedName name="_15dy6__4_1_1" hidden="1">{"Input_Fin",#N/A,FALSE,"By Code";"Input_Opt",#N/A,FALSE,"By Code"}</definedName>
    <definedName name="_15dy6__4_1_1_1" hidden="1">{"Input_Fin",#N/A,FALSE,"By Code";"Input_Opt",#N/A,FALSE,"By Code"}</definedName>
    <definedName name="_15dy6__4_1_1_2" hidden="1">{"Input_Fin",#N/A,FALSE,"By Code";"Input_Opt",#N/A,FALSE,"By Code"}</definedName>
    <definedName name="_15dy6__4_1_1_3" hidden="1">{"Input_Fin",#N/A,FALSE,"By Code";"Input_Opt",#N/A,FALSE,"By Code"}</definedName>
    <definedName name="_15dy6__4_1_2" hidden="1">{"Input_Fin",#N/A,FALSE,"By Code";"Input_Opt",#N/A,FALSE,"By Code"}</definedName>
    <definedName name="_15dy6__4_1_2_1" hidden="1">{"Input_Fin",#N/A,FALSE,"By Code";"Input_Opt",#N/A,FALSE,"By Code"}</definedName>
    <definedName name="_15dy6__4_1_2_2" hidden="1">{"Input_Fin",#N/A,FALSE,"By Code";"Input_Opt",#N/A,FALSE,"By Code"}</definedName>
    <definedName name="_15dy6__4_1_3" hidden="1">{"Input_Fin",#N/A,FALSE,"By Code";"Input_Opt",#N/A,FALSE,"By Code"}</definedName>
    <definedName name="_15dy6__4_1_4" hidden="1">{"Input_Fin",#N/A,FALSE,"By Code";"Input_Opt",#N/A,FALSE,"By Code"}</definedName>
    <definedName name="_15dy6__4_2" hidden="1">{"Input_Fin",#N/A,FALSE,"By Code";"Input_Opt",#N/A,FALSE,"By Code"}</definedName>
    <definedName name="_15dy6__4_2_1" hidden="1">{"Input_Fin",#N/A,FALSE,"By Code";"Input_Opt",#N/A,FALSE,"By Code"}</definedName>
    <definedName name="_15dy6__4_2_2" hidden="1">{"Input_Fin",#N/A,FALSE,"By Code";"Input_Opt",#N/A,FALSE,"By Code"}</definedName>
    <definedName name="_15dy6__4_2_3" hidden="1">{"Input_Fin",#N/A,FALSE,"By Code";"Input_Opt",#N/A,FALSE,"By Code"}</definedName>
    <definedName name="_15dy6__4_3" hidden="1">{"Input_Fin",#N/A,FALSE,"By Code";"Input_Opt",#N/A,FALSE,"By Code"}</definedName>
    <definedName name="_15dy6__4_3_1" hidden="1">{"Input_Fin",#N/A,FALSE,"By Code";"Input_Opt",#N/A,FALSE,"By Code"}</definedName>
    <definedName name="_15dy6__4_3_2" hidden="1">{"Input_Fin",#N/A,FALSE,"By Code";"Input_Opt",#N/A,FALSE,"By Code"}</definedName>
    <definedName name="_15dy6__4_4" hidden="1">{"Input_Fin",#N/A,FALSE,"By Code";"Input_Opt",#N/A,FALSE,"By Code"}</definedName>
    <definedName name="_15dy6__4_5" hidden="1">{"Input_Fin",#N/A,FALSE,"By Code";"Input_Opt",#N/A,FALSE,"By Code"}</definedName>
    <definedName name="_15dy6__5" hidden="1">{"Input_Fin",#N/A,FALSE,"By Code";"Input_Opt",#N/A,FALSE,"By Code"}</definedName>
    <definedName name="_15dy6__5_1" hidden="1">{"Input_Fin",#N/A,FALSE,"By Code";"Input_Opt",#N/A,FALSE,"By Code"}</definedName>
    <definedName name="_15dy6__5_1_1" hidden="1">{"Input_Fin",#N/A,FALSE,"By Code";"Input_Opt",#N/A,FALSE,"By Code"}</definedName>
    <definedName name="_15dy6__5_1_1_1" hidden="1">{"Input_Fin",#N/A,FALSE,"By Code";"Input_Opt",#N/A,FALSE,"By Code"}</definedName>
    <definedName name="_15dy6__5_1_1_2" hidden="1">{"Input_Fin",#N/A,FALSE,"By Code";"Input_Opt",#N/A,FALSE,"By Code"}</definedName>
    <definedName name="_15dy6__5_1_1_3" hidden="1">{"Input_Fin",#N/A,FALSE,"By Code";"Input_Opt",#N/A,FALSE,"By Code"}</definedName>
    <definedName name="_15dy6__5_1_2" hidden="1">{"Input_Fin",#N/A,FALSE,"By Code";"Input_Opt",#N/A,FALSE,"By Code"}</definedName>
    <definedName name="_15dy6__5_1_2_1" hidden="1">{"Input_Fin",#N/A,FALSE,"By Code";"Input_Opt",#N/A,FALSE,"By Code"}</definedName>
    <definedName name="_15dy6__5_1_2_2" hidden="1">{"Input_Fin",#N/A,FALSE,"By Code";"Input_Opt",#N/A,FALSE,"By Code"}</definedName>
    <definedName name="_15dy6__5_1_3" hidden="1">{"Input_Fin",#N/A,FALSE,"By Code";"Input_Opt",#N/A,FALSE,"By Code"}</definedName>
    <definedName name="_15dy6__5_1_4" hidden="1">{"Input_Fin",#N/A,FALSE,"By Code";"Input_Opt",#N/A,FALSE,"By Code"}</definedName>
    <definedName name="_15dy6__5_2" hidden="1">{"Input_Fin",#N/A,FALSE,"By Code";"Input_Opt",#N/A,FALSE,"By Code"}</definedName>
    <definedName name="_15dy6__5_2_1" hidden="1">{"Input_Fin",#N/A,FALSE,"By Code";"Input_Opt",#N/A,FALSE,"By Code"}</definedName>
    <definedName name="_15dy6__5_2_2" hidden="1">{"Input_Fin",#N/A,FALSE,"By Code";"Input_Opt",#N/A,FALSE,"By Code"}</definedName>
    <definedName name="_15dy6__5_2_3" hidden="1">{"Input_Fin",#N/A,FALSE,"By Code";"Input_Opt",#N/A,FALSE,"By Code"}</definedName>
    <definedName name="_15dy6__5_3" hidden="1">{"Input_Fin",#N/A,FALSE,"By Code";"Input_Opt",#N/A,FALSE,"By Code"}</definedName>
    <definedName name="_15dy6__5_3_1" hidden="1">{"Input_Fin",#N/A,FALSE,"By Code";"Input_Opt",#N/A,FALSE,"By Code"}</definedName>
    <definedName name="_15dy6__5_3_2" hidden="1">{"Input_Fin",#N/A,FALSE,"By Code";"Input_Opt",#N/A,FALSE,"By Code"}</definedName>
    <definedName name="_15dy6__5_4" hidden="1">{"Input_Fin",#N/A,FALSE,"By Code";"Input_Opt",#N/A,FALSE,"By Code"}</definedName>
    <definedName name="_15dy6__5_5" hidden="1">{"Input_Fin",#N/A,FALSE,"By Code";"Input_Opt",#N/A,FALSE,"By Code"}</definedName>
    <definedName name="_16dy1_" localSheetId="12" hidden="1">{"Input_Fin",#N/A,FALSE,"By Code";"Input_Opt",#N/A,FALSE,"By Code"}</definedName>
    <definedName name="_16dy1_" hidden="1">{"Input_Fin",#N/A,FALSE,"By Code";"Input_Opt",#N/A,FALSE,"By Code"}</definedName>
    <definedName name="_1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6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6dy5_" localSheetId="12" hidden="1">{"Input_Fin",#N/A,FALSE,"By Code";"Input_Opt",#N/A,FALSE,"By Code"}</definedName>
    <definedName name="_16dy5_" hidden="1">{"Input_Fin",#N/A,FALSE,"By Code";"Input_Opt",#N/A,FALSE,"By Code"}</definedName>
    <definedName name="_16dy6_" localSheetId="12" hidden="1">{"Input_Fin",#N/A,FALSE,"By Code";"Input_Opt",#N/A,FALSE,"By Code"}</definedName>
    <definedName name="_16dy6_" hidden="1">{"Input_Fin",#N/A,FALSE,"By Code";"Input_Opt",#N/A,FALSE,"By Code"}</definedName>
    <definedName name="_16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7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4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6_" localSheetId="12" hidden="1">{"Input_Fin",#N/A,FALSE,"By Code";"Input_Opt",#N/A,FALSE,"By Code"}</definedName>
    <definedName name="_17dy6_" hidden="1">{"Input_Fin",#N/A,FALSE,"By Code";"Input_Opt",#N/A,FALSE,"By Code"}</definedName>
    <definedName name="_17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8df1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8dy1_" localSheetId="12" hidden="1">{"Input_Fin",#N/A,FALSE,"By Code";"Input_Opt",#N/A,FALSE,"By Code"}</definedName>
    <definedName name="_18dy1_" hidden="1">{"Input_Fin",#N/A,FALSE,"By Code";"Input_Opt",#N/A,FALSE,"By Code"}</definedName>
    <definedName name="_18dy1__1" hidden="1">{"Input_Fin",#N/A,FALSE,"By Code";"Input_Opt",#N/A,FALSE,"By Code"}</definedName>
    <definedName name="_18dy1__1_1" hidden="1">{"Input_Fin",#N/A,FALSE,"By Code";"Input_Opt",#N/A,FALSE,"By Code"}</definedName>
    <definedName name="_18dy1__1_1_1" hidden="1">{"Input_Fin",#N/A,FALSE,"By Code";"Input_Opt",#N/A,FALSE,"By Code"}</definedName>
    <definedName name="_18dy1__1_1_1_1" hidden="1">{"Input_Fin",#N/A,FALSE,"By Code";"Input_Opt",#N/A,FALSE,"By Code"}</definedName>
    <definedName name="_18dy1__1_1_1_1_1" hidden="1">{"Input_Fin",#N/A,FALSE,"By Code";"Input_Opt",#N/A,FALSE,"By Code"}</definedName>
    <definedName name="_18dy1__1_1_1_1_2" hidden="1">{"Input_Fin",#N/A,FALSE,"By Code";"Input_Opt",#N/A,FALSE,"By Code"}</definedName>
    <definedName name="_18dy1__1_1_1_1_3" hidden="1">{"Input_Fin",#N/A,FALSE,"By Code";"Input_Opt",#N/A,FALSE,"By Code"}</definedName>
    <definedName name="_18dy1__1_1_1_2" hidden="1">{"Input_Fin",#N/A,FALSE,"By Code";"Input_Opt",#N/A,FALSE,"By Code"}</definedName>
    <definedName name="_18dy1__1_1_1_2_1" hidden="1">{"Input_Fin",#N/A,FALSE,"By Code";"Input_Opt",#N/A,FALSE,"By Code"}</definedName>
    <definedName name="_18dy1__1_1_1_2_2" hidden="1">{"Input_Fin",#N/A,FALSE,"By Code";"Input_Opt",#N/A,FALSE,"By Code"}</definedName>
    <definedName name="_18dy1__1_1_1_3" hidden="1">{"Input_Fin",#N/A,FALSE,"By Code";"Input_Opt",#N/A,FALSE,"By Code"}</definedName>
    <definedName name="_18dy1__1_1_1_3_1" hidden="1">{"Input_Fin",#N/A,FALSE,"By Code";"Input_Opt",#N/A,FALSE,"By Code"}</definedName>
    <definedName name="_18dy1__1_1_1_3_2" hidden="1">{"Input_Fin",#N/A,FALSE,"By Code";"Input_Opt",#N/A,FALSE,"By Code"}</definedName>
    <definedName name="_18dy1__1_1_1_4" hidden="1">{"Input_Fin",#N/A,FALSE,"By Code";"Input_Opt",#N/A,FALSE,"By Code"}</definedName>
    <definedName name="_18dy1__1_1_1_5" hidden="1">{"Input_Fin",#N/A,FALSE,"By Code";"Input_Opt",#N/A,FALSE,"By Code"}</definedName>
    <definedName name="_18dy1__1_1_2" hidden="1">{"Input_Fin",#N/A,FALSE,"By Code";"Input_Opt",#N/A,FALSE,"By Code"}</definedName>
    <definedName name="_18dy1__1_1_2_1" hidden="1">{"Input_Fin",#N/A,FALSE,"By Code";"Input_Opt",#N/A,FALSE,"By Code"}</definedName>
    <definedName name="_18dy1__1_1_2_2" hidden="1">{"Input_Fin",#N/A,FALSE,"By Code";"Input_Opt",#N/A,FALSE,"By Code"}</definedName>
    <definedName name="_18dy1__1_1_2_3" hidden="1">{"Input_Fin",#N/A,FALSE,"By Code";"Input_Opt",#N/A,FALSE,"By Code"}</definedName>
    <definedName name="_18dy1__1_1_3" hidden="1">{"Input_Fin",#N/A,FALSE,"By Code";"Input_Opt",#N/A,FALSE,"By Code"}</definedName>
    <definedName name="_18dy1__1_1_3_1" hidden="1">{"Input_Fin",#N/A,FALSE,"By Code";"Input_Opt",#N/A,FALSE,"By Code"}</definedName>
    <definedName name="_18dy1__1_1_3_2" hidden="1">{"Input_Fin",#N/A,FALSE,"By Code";"Input_Opt",#N/A,FALSE,"By Code"}</definedName>
    <definedName name="_18dy1__1_1_4" hidden="1">{"Input_Fin",#N/A,FALSE,"By Code";"Input_Opt",#N/A,FALSE,"By Code"}</definedName>
    <definedName name="_18dy1__1_1_5" hidden="1">{"Input_Fin",#N/A,FALSE,"By Code";"Input_Opt",#N/A,FALSE,"By Code"}</definedName>
    <definedName name="_18dy1__1_2" hidden="1">{"Input_Fin",#N/A,FALSE,"By Code";"Input_Opt",#N/A,FALSE,"By Code"}</definedName>
    <definedName name="_18dy1__1_2_1" hidden="1">{"Input_Fin",#N/A,FALSE,"By Code";"Input_Opt",#N/A,FALSE,"By Code"}</definedName>
    <definedName name="_18dy1__1_2_2" hidden="1">{"Input_Fin",#N/A,FALSE,"By Code";"Input_Opt",#N/A,FALSE,"By Code"}</definedName>
    <definedName name="_18dy1__1_2_3" hidden="1">{"Input_Fin",#N/A,FALSE,"By Code";"Input_Opt",#N/A,FALSE,"By Code"}</definedName>
    <definedName name="_18dy1__1_3" hidden="1">{"Input_Fin",#N/A,FALSE,"By Code";"Input_Opt",#N/A,FALSE,"By Code"}</definedName>
    <definedName name="_18dy1__1_3_1" hidden="1">{"Input_Fin",#N/A,FALSE,"By Code";"Input_Opt",#N/A,FALSE,"By Code"}</definedName>
    <definedName name="_18dy1__1_3_2" hidden="1">{"Input_Fin",#N/A,FALSE,"By Code";"Input_Opt",#N/A,FALSE,"By Code"}</definedName>
    <definedName name="_18dy1__1_4" hidden="1">{"Input_Fin",#N/A,FALSE,"By Code";"Input_Opt",#N/A,FALSE,"By Code"}</definedName>
    <definedName name="_18dy1__1_5" hidden="1">{"Input_Fin",#N/A,FALSE,"By Code";"Input_Opt",#N/A,FALSE,"By Code"}</definedName>
    <definedName name="_18dy1__2" hidden="1">{"Input_Fin",#N/A,FALSE,"By Code";"Input_Opt",#N/A,FALSE,"By Code"}</definedName>
    <definedName name="_18dy1__2_1" hidden="1">{"Input_Fin",#N/A,FALSE,"By Code";"Input_Opt",#N/A,FALSE,"By Code"}</definedName>
    <definedName name="_18dy1__2_1_1" hidden="1">{"Input_Fin",#N/A,FALSE,"By Code";"Input_Opt",#N/A,FALSE,"By Code"}</definedName>
    <definedName name="_18dy1__2_1_1_1" hidden="1">{"Input_Fin",#N/A,FALSE,"By Code";"Input_Opt",#N/A,FALSE,"By Code"}</definedName>
    <definedName name="_18dy1__2_1_1_2" hidden="1">{"Input_Fin",#N/A,FALSE,"By Code";"Input_Opt",#N/A,FALSE,"By Code"}</definedName>
    <definedName name="_18dy1__2_1_1_3" hidden="1">{"Input_Fin",#N/A,FALSE,"By Code";"Input_Opt",#N/A,FALSE,"By Code"}</definedName>
    <definedName name="_18dy1__2_1_2" hidden="1">{"Input_Fin",#N/A,FALSE,"By Code";"Input_Opt",#N/A,FALSE,"By Code"}</definedName>
    <definedName name="_18dy1__2_1_2_1" hidden="1">{"Input_Fin",#N/A,FALSE,"By Code";"Input_Opt",#N/A,FALSE,"By Code"}</definedName>
    <definedName name="_18dy1__2_1_2_2" hidden="1">{"Input_Fin",#N/A,FALSE,"By Code";"Input_Opt",#N/A,FALSE,"By Code"}</definedName>
    <definedName name="_18dy1__2_1_3" hidden="1">{"Input_Fin",#N/A,FALSE,"By Code";"Input_Opt",#N/A,FALSE,"By Code"}</definedName>
    <definedName name="_18dy1__2_1_4" hidden="1">{"Input_Fin",#N/A,FALSE,"By Code";"Input_Opt",#N/A,FALSE,"By Code"}</definedName>
    <definedName name="_18dy1__2_2" hidden="1">{"Input_Fin",#N/A,FALSE,"By Code";"Input_Opt",#N/A,FALSE,"By Code"}</definedName>
    <definedName name="_18dy1__2_2_1" hidden="1">{"Input_Fin",#N/A,FALSE,"By Code";"Input_Opt",#N/A,FALSE,"By Code"}</definedName>
    <definedName name="_18dy1__2_2_2" hidden="1">{"Input_Fin",#N/A,FALSE,"By Code";"Input_Opt",#N/A,FALSE,"By Code"}</definedName>
    <definedName name="_18dy1__2_2_3" hidden="1">{"Input_Fin",#N/A,FALSE,"By Code";"Input_Opt",#N/A,FALSE,"By Code"}</definedName>
    <definedName name="_18dy1__2_3" hidden="1">{"Input_Fin",#N/A,FALSE,"By Code";"Input_Opt",#N/A,FALSE,"By Code"}</definedName>
    <definedName name="_18dy1__2_3_1" hidden="1">{"Input_Fin",#N/A,FALSE,"By Code";"Input_Opt",#N/A,FALSE,"By Code"}</definedName>
    <definedName name="_18dy1__2_3_2" hidden="1">{"Input_Fin",#N/A,FALSE,"By Code";"Input_Opt",#N/A,FALSE,"By Code"}</definedName>
    <definedName name="_18dy1__2_4" hidden="1">{"Input_Fin",#N/A,FALSE,"By Code";"Input_Opt",#N/A,FALSE,"By Code"}</definedName>
    <definedName name="_18dy1__2_5" hidden="1">{"Input_Fin",#N/A,FALSE,"By Code";"Input_Opt",#N/A,FALSE,"By Code"}</definedName>
    <definedName name="_18dy1__3" hidden="1">{"Input_Fin",#N/A,FALSE,"By Code";"Input_Opt",#N/A,FALSE,"By Code"}</definedName>
    <definedName name="_18dy1__3_1" hidden="1">{"Input_Fin",#N/A,FALSE,"By Code";"Input_Opt",#N/A,FALSE,"By Code"}</definedName>
    <definedName name="_18dy1__3_1_1" hidden="1">{"Input_Fin",#N/A,FALSE,"By Code";"Input_Opt",#N/A,FALSE,"By Code"}</definedName>
    <definedName name="_18dy1__3_1_1_1" hidden="1">{"Input_Fin",#N/A,FALSE,"By Code";"Input_Opt",#N/A,FALSE,"By Code"}</definedName>
    <definedName name="_18dy1__3_1_1_2" hidden="1">{"Input_Fin",#N/A,FALSE,"By Code";"Input_Opt",#N/A,FALSE,"By Code"}</definedName>
    <definedName name="_18dy1__3_1_1_3" hidden="1">{"Input_Fin",#N/A,FALSE,"By Code";"Input_Opt",#N/A,FALSE,"By Code"}</definedName>
    <definedName name="_18dy1__3_1_2" hidden="1">{"Input_Fin",#N/A,FALSE,"By Code";"Input_Opt",#N/A,FALSE,"By Code"}</definedName>
    <definedName name="_18dy1__3_1_2_1" hidden="1">{"Input_Fin",#N/A,FALSE,"By Code";"Input_Opt",#N/A,FALSE,"By Code"}</definedName>
    <definedName name="_18dy1__3_1_2_2" hidden="1">{"Input_Fin",#N/A,FALSE,"By Code";"Input_Opt",#N/A,FALSE,"By Code"}</definedName>
    <definedName name="_18dy1__3_1_3" hidden="1">{"Input_Fin",#N/A,FALSE,"By Code";"Input_Opt",#N/A,FALSE,"By Code"}</definedName>
    <definedName name="_18dy1__3_1_4" hidden="1">{"Input_Fin",#N/A,FALSE,"By Code";"Input_Opt",#N/A,FALSE,"By Code"}</definedName>
    <definedName name="_18dy1__3_2" hidden="1">{"Input_Fin",#N/A,FALSE,"By Code";"Input_Opt",#N/A,FALSE,"By Code"}</definedName>
    <definedName name="_18dy1__3_2_1" hidden="1">{"Input_Fin",#N/A,FALSE,"By Code";"Input_Opt",#N/A,FALSE,"By Code"}</definedName>
    <definedName name="_18dy1__3_2_2" hidden="1">{"Input_Fin",#N/A,FALSE,"By Code";"Input_Opt",#N/A,FALSE,"By Code"}</definedName>
    <definedName name="_18dy1__3_2_3" hidden="1">{"Input_Fin",#N/A,FALSE,"By Code";"Input_Opt",#N/A,FALSE,"By Code"}</definedName>
    <definedName name="_18dy1__3_3" hidden="1">{"Input_Fin",#N/A,FALSE,"By Code";"Input_Opt",#N/A,FALSE,"By Code"}</definedName>
    <definedName name="_18dy1__3_3_1" hidden="1">{"Input_Fin",#N/A,FALSE,"By Code";"Input_Opt",#N/A,FALSE,"By Code"}</definedName>
    <definedName name="_18dy1__3_3_2" hidden="1">{"Input_Fin",#N/A,FALSE,"By Code";"Input_Opt",#N/A,FALSE,"By Code"}</definedName>
    <definedName name="_18dy1__3_4" hidden="1">{"Input_Fin",#N/A,FALSE,"By Code";"Input_Opt",#N/A,FALSE,"By Code"}</definedName>
    <definedName name="_18dy1__3_5" hidden="1">{"Input_Fin",#N/A,FALSE,"By Code";"Input_Opt",#N/A,FALSE,"By Code"}</definedName>
    <definedName name="_18dy1__4" hidden="1">{"Input_Fin",#N/A,FALSE,"By Code";"Input_Opt",#N/A,FALSE,"By Code"}</definedName>
    <definedName name="_18dy1__4_1" hidden="1">{"Input_Fin",#N/A,FALSE,"By Code";"Input_Opt",#N/A,FALSE,"By Code"}</definedName>
    <definedName name="_18dy1__4_1_1" hidden="1">{"Input_Fin",#N/A,FALSE,"By Code";"Input_Opt",#N/A,FALSE,"By Code"}</definedName>
    <definedName name="_18dy1__4_1_1_1" hidden="1">{"Input_Fin",#N/A,FALSE,"By Code";"Input_Opt",#N/A,FALSE,"By Code"}</definedName>
    <definedName name="_18dy1__4_1_1_2" hidden="1">{"Input_Fin",#N/A,FALSE,"By Code";"Input_Opt",#N/A,FALSE,"By Code"}</definedName>
    <definedName name="_18dy1__4_1_1_3" hidden="1">{"Input_Fin",#N/A,FALSE,"By Code";"Input_Opt",#N/A,FALSE,"By Code"}</definedName>
    <definedName name="_18dy1__4_1_2" hidden="1">{"Input_Fin",#N/A,FALSE,"By Code";"Input_Opt",#N/A,FALSE,"By Code"}</definedName>
    <definedName name="_18dy1__4_1_2_1" hidden="1">{"Input_Fin",#N/A,FALSE,"By Code";"Input_Opt",#N/A,FALSE,"By Code"}</definedName>
    <definedName name="_18dy1__4_1_2_2" hidden="1">{"Input_Fin",#N/A,FALSE,"By Code";"Input_Opt",#N/A,FALSE,"By Code"}</definedName>
    <definedName name="_18dy1__4_1_3" hidden="1">{"Input_Fin",#N/A,FALSE,"By Code";"Input_Opt",#N/A,FALSE,"By Code"}</definedName>
    <definedName name="_18dy1__4_1_4" hidden="1">{"Input_Fin",#N/A,FALSE,"By Code";"Input_Opt",#N/A,FALSE,"By Code"}</definedName>
    <definedName name="_18dy1__4_2" hidden="1">{"Input_Fin",#N/A,FALSE,"By Code";"Input_Opt",#N/A,FALSE,"By Code"}</definedName>
    <definedName name="_18dy1__4_2_1" hidden="1">{"Input_Fin",#N/A,FALSE,"By Code";"Input_Opt",#N/A,FALSE,"By Code"}</definedName>
    <definedName name="_18dy1__4_2_2" hidden="1">{"Input_Fin",#N/A,FALSE,"By Code";"Input_Opt",#N/A,FALSE,"By Code"}</definedName>
    <definedName name="_18dy1__4_2_3" hidden="1">{"Input_Fin",#N/A,FALSE,"By Code";"Input_Opt",#N/A,FALSE,"By Code"}</definedName>
    <definedName name="_18dy1__4_3" hidden="1">{"Input_Fin",#N/A,FALSE,"By Code";"Input_Opt",#N/A,FALSE,"By Code"}</definedName>
    <definedName name="_18dy1__4_3_1" hidden="1">{"Input_Fin",#N/A,FALSE,"By Code";"Input_Opt",#N/A,FALSE,"By Code"}</definedName>
    <definedName name="_18dy1__4_3_2" hidden="1">{"Input_Fin",#N/A,FALSE,"By Code";"Input_Opt",#N/A,FALSE,"By Code"}</definedName>
    <definedName name="_18dy1__4_4" hidden="1">{"Input_Fin",#N/A,FALSE,"By Code";"Input_Opt",#N/A,FALSE,"By Code"}</definedName>
    <definedName name="_18dy1__4_5" hidden="1">{"Input_Fin",#N/A,FALSE,"By Code";"Input_Opt",#N/A,FALSE,"By Code"}</definedName>
    <definedName name="_18dy1__5" hidden="1">{"Input_Fin",#N/A,FALSE,"By Code";"Input_Opt",#N/A,FALSE,"By Code"}</definedName>
    <definedName name="_18dy1__5_1" hidden="1">{"Input_Fin",#N/A,FALSE,"By Code";"Input_Opt",#N/A,FALSE,"By Code"}</definedName>
    <definedName name="_18dy1__5_1_1" hidden="1">{"Input_Fin",#N/A,FALSE,"By Code";"Input_Opt",#N/A,FALSE,"By Code"}</definedName>
    <definedName name="_18dy1__5_1_2" hidden="1">{"Input_Fin",#N/A,FALSE,"By Code";"Input_Opt",#N/A,FALSE,"By Code"}</definedName>
    <definedName name="_18dy1__5_1_3" hidden="1">{"Input_Fin",#N/A,FALSE,"By Code";"Input_Opt",#N/A,FALSE,"By Code"}</definedName>
    <definedName name="_18dy1__5_2" hidden="1">{"Input_Fin",#N/A,FALSE,"By Code";"Input_Opt",#N/A,FALSE,"By Code"}</definedName>
    <definedName name="_18dy1__5_2_1" hidden="1">{"Input_Fin",#N/A,FALSE,"By Code";"Input_Opt",#N/A,FALSE,"By Code"}</definedName>
    <definedName name="_18dy1__5_2_2" hidden="1">{"Input_Fin",#N/A,FALSE,"By Code";"Input_Opt",#N/A,FALSE,"By Code"}</definedName>
    <definedName name="_18dy1__5_3" hidden="1">{"Input_Fin",#N/A,FALSE,"By Code";"Input_Opt",#N/A,FALSE,"By Code"}</definedName>
    <definedName name="_18dy1__5_4" hidden="1">{"Input_Fin",#N/A,FALSE,"By Code";"Input_Opt",#N/A,FALSE,"By Code"}</definedName>
    <definedName name="_18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8dy6_" hidden="1">{"Input_Fin",#N/A,FALSE,"By Code";"Input_Opt",#N/A,FALSE,"By Code"}</definedName>
    <definedName name="_19dy1_" hidden="1">{"Input_Fin",#N/A,FALSE,"By Code";"Input_Opt",#N/A,FALSE,"By Code"}</definedName>
    <definedName name="_19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9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5_" localSheetId="12" hidden="1">{"Input_Fin",#N/A,FALSE,"By Code";"Input_Opt",#N/A,FALSE,"By Code"}</definedName>
    <definedName name="_19dy5_" hidden="1">{"Input_Fin",#N/A,FALSE,"By Code";"Input_Opt",#N/A,FALSE,"By Code"}</definedName>
    <definedName name="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dy1_" hidden="1">{"Input_Fin",#N/A,FALSE,"By Code";"Input_Opt",#N/A,FALSE,"By Code"}</definedName>
    <definedName name="_2__123Graph_Aｸﾞﾗﾌ_1" localSheetId="12" hidden="1">#REF!</definedName>
    <definedName name="_2__123Graph_Aｸﾞﾗﾌ_1" hidden="1">#REF!</definedName>
    <definedName name="_20D123_" hidden="1">{"Input_Fin",#N/A,FALSE,"By Code";"Input_Opt",#N/A,FALSE,"By Code"}</definedName>
    <definedName name="_20dy2_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0dy5_" hidden="1">{"Input_Fin",#N/A,FALSE,"By Code";"Input_Opt",#N/A,FALSE,"By Code"}</definedName>
    <definedName name="_21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1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1dy5_" hidden="1">{"Input_Fin",#N/A,FALSE,"By Code";"Input_Opt",#N/A,FALSE,"By Code"}</definedName>
    <definedName name="_21dy5__1" hidden="1">{"Input_Fin",#N/A,FALSE,"By Code";"Input_Opt",#N/A,FALSE,"By Code"}</definedName>
    <definedName name="_21dy5__1_1" hidden="1">{"Input_Fin",#N/A,FALSE,"By Code";"Input_Opt",#N/A,FALSE,"By Code"}</definedName>
    <definedName name="_21dy5__1_1_1" hidden="1">{"Input_Fin",#N/A,FALSE,"By Code";"Input_Opt",#N/A,FALSE,"By Code"}</definedName>
    <definedName name="_21dy5__1_1_2" hidden="1">{"Input_Fin",#N/A,FALSE,"By Code";"Input_Opt",#N/A,FALSE,"By Code"}</definedName>
    <definedName name="_21dy5__1_1_3" hidden="1">{"Input_Fin",#N/A,FALSE,"By Code";"Input_Opt",#N/A,FALSE,"By Code"}</definedName>
    <definedName name="_21dy5__1_2" hidden="1">{"Input_Fin",#N/A,FALSE,"By Code";"Input_Opt",#N/A,FALSE,"By Code"}</definedName>
    <definedName name="_21dy5__1_2_1" hidden="1">{"Input_Fin",#N/A,FALSE,"By Code";"Input_Opt",#N/A,FALSE,"By Code"}</definedName>
    <definedName name="_21dy5__1_2_2" hidden="1">{"Input_Fin",#N/A,FALSE,"By Code";"Input_Opt",#N/A,FALSE,"By Code"}</definedName>
    <definedName name="_21dy5__1_3" hidden="1">{"Input_Fin",#N/A,FALSE,"By Code";"Input_Opt",#N/A,FALSE,"By Code"}</definedName>
    <definedName name="_21dy5__1_4" hidden="1">{"Input_Fin",#N/A,FALSE,"By Code";"Input_Opt",#N/A,FALSE,"By Code"}</definedName>
    <definedName name="_21dy5__2" hidden="1">{"Input_Fin",#N/A,FALSE,"By Code";"Input_Opt",#N/A,FALSE,"By Code"}</definedName>
    <definedName name="_21dy5__2_1" hidden="1">{"Input_Fin",#N/A,FALSE,"By Code";"Input_Opt",#N/A,FALSE,"By Code"}</definedName>
    <definedName name="_21dy5__2_2" hidden="1">{"Input_Fin",#N/A,FALSE,"By Code";"Input_Opt",#N/A,FALSE,"By Code"}</definedName>
    <definedName name="_21dy5__2_3" hidden="1">{"Input_Fin",#N/A,FALSE,"By Code";"Input_Opt",#N/A,FALSE,"By Code"}</definedName>
    <definedName name="_21dy5__3" hidden="1">{"Input_Fin",#N/A,FALSE,"By Code";"Input_Opt",#N/A,FALSE,"By Code"}</definedName>
    <definedName name="_21dy5__3_1" hidden="1">{"Input_Fin",#N/A,FALSE,"By Code";"Input_Opt",#N/A,FALSE,"By Code"}</definedName>
    <definedName name="_21dy5__3_2" hidden="1">{"Input_Fin",#N/A,FALSE,"By Code";"Input_Opt",#N/A,FALSE,"By Code"}</definedName>
    <definedName name="_21dy5__4" hidden="1">{"Input_Fin",#N/A,FALSE,"By Code";"Input_Opt",#N/A,FALSE,"By Code"}</definedName>
    <definedName name="_21dy5__5" hidden="1">{"Input_Fin",#N/A,FALSE,"By Code";"Input_Opt",#N/A,FALSE,"By Code"}</definedName>
    <definedName name="_21dy6_" localSheetId="12" hidden="1">{"Input_Fin",#N/A,FALSE,"By Code";"Input_Opt",#N/A,FALSE,"By Code"}</definedName>
    <definedName name="_21dy6_" hidden="1">{"Input_Fin",#N/A,FALSE,"By Code";"Input_Opt",#N/A,FALSE,"By Code"}</definedName>
    <definedName name="_22dy3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5_" hidden="1">{"Input_Fin",#N/A,FALSE,"By Code";"Input_Opt",#N/A,FALSE,"By Code"}</definedName>
    <definedName name="_23dy1_" hidden="1">{"Input_Fin",#N/A,FALSE,"By Code";"Input_Opt",#N/A,FALSE,"By Code"}</definedName>
    <definedName name="_23dy2_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3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3dy6_" hidden="1">{"Input_Fin",#N/A,FALSE,"By Code";"Input_Opt",#N/A,FALSE,"By Code"}</definedName>
    <definedName name="_23dy6__1" hidden="1">{"Input_Fin",#N/A,FALSE,"By Code";"Input_Opt",#N/A,FALSE,"By Code"}</definedName>
    <definedName name="_23dy6__1_1" hidden="1">{"Input_Fin",#N/A,FALSE,"By Code";"Input_Opt",#N/A,FALSE,"By Code"}</definedName>
    <definedName name="_23dy6__1_1_1" hidden="1">{"Input_Fin",#N/A,FALSE,"By Code";"Input_Opt",#N/A,FALSE,"By Code"}</definedName>
    <definedName name="_23dy6__1_1_2" hidden="1">{"Input_Fin",#N/A,FALSE,"By Code";"Input_Opt",#N/A,FALSE,"By Code"}</definedName>
    <definedName name="_23dy6__1_1_3" hidden="1">{"Input_Fin",#N/A,FALSE,"By Code";"Input_Opt",#N/A,FALSE,"By Code"}</definedName>
    <definedName name="_23dy6__1_2" hidden="1">{"Input_Fin",#N/A,FALSE,"By Code";"Input_Opt",#N/A,FALSE,"By Code"}</definedName>
    <definedName name="_23dy6__1_2_1" hidden="1">{"Input_Fin",#N/A,FALSE,"By Code";"Input_Opt",#N/A,FALSE,"By Code"}</definedName>
    <definedName name="_23dy6__1_2_2" hidden="1">{"Input_Fin",#N/A,FALSE,"By Code";"Input_Opt",#N/A,FALSE,"By Code"}</definedName>
    <definedName name="_23dy6__1_3" hidden="1">{"Input_Fin",#N/A,FALSE,"By Code";"Input_Opt",#N/A,FALSE,"By Code"}</definedName>
    <definedName name="_23dy6__1_4" hidden="1">{"Input_Fin",#N/A,FALSE,"By Code";"Input_Opt",#N/A,FALSE,"By Code"}</definedName>
    <definedName name="_23dy6__2" hidden="1">{"Input_Fin",#N/A,FALSE,"By Code";"Input_Opt",#N/A,FALSE,"By Code"}</definedName>
    <definedName name="_23dy6__2_1" hidden="1">{"Input_Fin",#N/A,FALSE,"By Code";"Input_Opt",#N/A,FALSE,"By Code"}</definedName>
    <definedName name="_23dy6__2_2" hidden="1">{"Input_Fin",#N/A,FALSE,"By Code";"Input_Opt",#N/A,FALSE,"By Code"}</definedName>
    <definedName name="_23dy6__2_3" hidden="1">{"Input_Fin",#N/A,FALSE,"By Code";"Input_Opt",#N/A,FALSE,"By Code"}</definedName>
    <definedName name="_23dy6__3" hidden="1">{"Input_Fin",#N/A,FALSE,"By Code";"Input_Opt",#N/A,FALSE,"By Code"}</definedName>
    <definedName name="_23dy6__3_1" hidden="1">{"Input_Fin",#N/A,FALSE,"By Code";"Input_Opt",#N/A,FALSE,"By Code"}</definedName>
    <definedName name="_23dy6__3_2" hidden="1">{"Input_Fin",#N/A,FALSE,"By Code";"Input_Opt",#N/A,FALSE,"By Code"}</definedName>
    <definedName name="_23dy6__4" hidden="1">{"Input_Fin",#N/A,FALSE,"By Code";"Input_Opt",#N/A,FALSE,"By Code"}</definedName>
    <definedName name="_23dy6__5" hidden="1">{"Input_Fin",#N/A,FALSE,"By Code";"Input_Opt",#N/A,FALSE,"By Code"}</definedName>
    <definedName name="_24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6_" hidden="1">{"Input_Fin",#N/A,FALSE,"By Code";"Input_Opt",#N/A,FALSE,"By Code"}</definedName>
    <definedName name="_25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6dy5_" localSheetId="12" hidden="1">{"Input_Fin",#N/A,FALSE,"By Code";"Input_Opt",#N/A,FALSE,"By Code"}</definedName>
    <definedName name="_26dy5_" hidden="1">{"Input_Fin",#N/A,FALSE,"By Code";"Input_Opt",#N/A,FALSE,"By Code"}</definedName>
    <definedName name="_26dy5__1" hidden="1">{"Input_Fin",#N/A,FALSE,"By Code";"Input_Opt",#N/A,FALSE,"By Code"}</definedName>
    <definedName name="_26dy5__1_1" hidden="1">{"Input_Fin",#N/A,FALSE,"By Code";"Input_Opt",#N/A,FALSE,"By Code"}</definedName>
    <definedName name="_26dy5__1_1_1" hidden="1">{"Input_Fin",#N/A,FALSE,"By Code";"Input_Opt",#N/A,FALSE,"By Code"}</definedName>
    <definedName name="_26dy5__1_1_1_1" hidden="1">{"Input_Fin",#N/A,FALSE,"By Code";"Input_Opt",#N/A,FALSE,"By Code"}</definedName>
    <definedName name="_26dy5__1_1_1_1_1" hidden="1">{"Input_Fin",#N/A,FALSE,"By Code";"Input_Opt",#N/A,FALSE,"By Code"}</definedName>
    <definedName name="_26dy5__1_1_1_1_2" hidden="1">{"Input_Fin",#N/A,FALSE,"By Code";"Input_Opt",#N/A,FALSE,"By Code"}</definedName>
    <definedName name="_26dy5__1_1_1_1_3" hidden="1">{"Input_Fin",#N/A,FALSE,"By Code";"Input_Opt",#N/A,FALSE,"By Code"}</definedName>
    <definedName name="_26dy5__1_1_1_2" hidden="1">{"Input_Fin",#N/A,FALSE,"By Code";"Input_Opt",#N/A,FALSE,"By Code"}</definedName>
    <definedName name="_26dy5__1_1_1_2_1" hidden="1">{"Input_Fin",#N/A,FALSE,"By Code";"Input_Opt",#N/A,FALSE,"By Code"}</definedName>
    <definedName name="_26dy5__1_1_1_2_2" hidden="1">{"Input_Fin",#N/A,FALSE,"By Code";"Input_Opt",#N/A,FALSE,"By Code"}</definedName>
    <definedName name="_26dy5__1_1_1_3" hidden="1">{"Input_Fin",#N/A,FALSE,"By Code";"Input_Opt",#N/A,FALSE,"By Code"}</definedName>
    <definedName name="_26dy5__1_1_1_3_1" hidden="1">{"Input_Fin",#N/A,FALSE,"By Code";"Input_Opt",#N/A,FALSE,"By Code"}</definedName>
    <definedName name="_26dy5__1_1_1_3_2" hidden="1">{"Input_Fin",#N/A,FALSE,"By Code";"Input_Opt",#N/A,FALSE,"By Code"}</definedName>
    <definedName name="_26dy5__1_1_1_4" hidden="1">{"Input_Fin",#N/A,FALSE,"By Code";"Input_Opt",#N/A,FALSE,"By Code"}</definedName>
    <definedName name="_26dy5__1_1_1_5" hidden="1">{"Input_Fin",#N/A,FALSE,"By Code";"Input_Opt",#N/A,FALSE,"By Code"}</definedName>
    <definedName name="_26dy5__1_1_2" hidden="1">{"Input_Fin",#N/A,FALSE,"By Code";"Input_Opt",#N/A,FALSE,"By Code"}</definedName>
    <definedName name="_26dy5__1_1_2_1" hidden="1">{"Input_Fin",#N/A,FALSE,"By Code";"Input_Opt",#N/A,FALSE,"By Code"}</definedName>
    <definedName name="_26dy5__1_1_2_2" hidden="1">{"Input_Fin",#N/A,FALSE,"By Code";"Input_Opt",#N/A,FALSE,"By Code"}</definedName>
    <definedName name="_26dy5__1_1_2_3" hidden="1">{"Input_Fin",#N/A,FALSE,"By Code";"Input_Opt",#N/A,FALSE,"By Code"}</definedName>
    <definedName name="_26dy5__1_1_3" hidden="1">{"Input_Fin",#N/A,FALSE,"By Code";"Input_Opt",#N/A,FALSE,"By Code"}</definedName>
    <definedName name="_26dy5__1_1_3_1" hidden="1">{"Input_Fin",#N/A,FALSE,"By Code";"Input_Opt",#N/A,FALSE,"By Code"}</definedName>
    <definedName name="_26dy5__1_1_3_2" hidden="1">{"Input_Fin",#N/A,FALSE,"By Code";"Input_Opt",#N/A,FALSE,"By Code"}</definedName>
    <definedName name="_26dy5__1_1_4" hidden="1">{"Input_Fin",#N/A,FALSE,"By Code";"Input_Opt",#N/A,FALSE,"By Code"}</definedName>
    <definedName name="_26dy5__1_1_5" hidden="1">{"Input_Fin",#N/A,FALSE,"By Code";"Input_Opt",#N/A,FALSE,"By Code"}</definedName>
    <definedName name="_26dy5__1_2" hidden="1">{"Input_Fin",#N/A,FALSE,"By Code";"Input_Opt",#N/A,FALSE,"By Code"}</definedName>
    <definedName name="_26dy5__1_2_1" hidden="1">{"Input_Fin",#N/A,FALSE,"By Code";"Input_Opt",#N/A,FALSE,"By Code"}</definedName>
    <definedName name="_26dy5__1_2_2" hidden="1">{"Input_Fin",#N/A,FALSE,"By Code";"Input_Opt",#N/A,FALSE,"By Code"}</definedName>
    <definedName name="_26dy5__1_2_3" hidden="1">{"Input_Fin",#N/A,FALSE,"By Code";"Input_Opt",#N/A,FALSE,"By Code"}</definedName>
    <definedName name="_26dy5__1_3" hidden="1">{"Input_Fin",#N/A,FALSE,"By Code";"Input_Opt",#N/A,FALSE,"By Code"}</definedName>
    <definedName name="_26dy5__1_3_1" hidden="1">{"Input_Fin",#N/A,FALSE,"By Code";"Input_Opt",#N/A,FALSE,"By Code"}</definedName>
    <definedName name="_26dy5__1_3_2" hidden="1">{"Input_Fin",#N/A,FALSE,"By Code";"Input_Opt",#N/A,FALSE,"By Code"}</definedName>
    <definedName name="_26dy5__1_4" hidden="1">{"Input_Fin",#N/A,FALSE,"By Code";"Input_Opt",#N/A,FALSE,"By Code"}</definedName>
    <definedName name="_26dy5__1_5" hidden="1">{"Input_Fin",#N/A,FALSE,"By Code";"Input_Opt",#N/A,FALSE,"By Code"}</definedName>
    <definedName name="_26dy5__2" hidden="1">{"Input_Fin",#N/A,FALSE,"By Code";"Input_Opt",#N/A,FALSE,"By Code"}</definedName>
    <definedName name="_26dy5__2_1" hidden="1">{"Input_Fin",#N/A,FALSE,"By Code";"Input_Opt",#N/A,FALSE,"By Code"}</definedName>
    <definedName name="_26dy5__2_1_1" hidden="1">{"Input_Fin",#N/A,FALSE,"By Code";"Input_Opt",#N/A,FALSE,"By Code"}</definedName>
    <definedName name="_26dy5__2_1_1_1" hidden="1">{"Input_Fin",#N/A,FALSE,"By Code";"Input_Opt",#N/A,FALSE,"By Code"}</definedName>
    <definedName name="_26dy5__2_1_1_2" hidden="1">{"Input_Fin",#N/A,FALSE,"By Code";"Input_Opt",#N/A,FALSE,"By Code"}</definedName>
    <definedName name="_26dy5__2_1_1_3" hidden="1">{"Input_Fin",#N/A,FALSE,"By Code";"Input_Opt",#N/A,FALSE,"By Code"}</definedName>
    <definedName name="_26dy5__2_1_2" hidden="1">{"Input_Fin",#N/A,FALSE,"By Code";"Input_Opt",#N/A,FALSE,"By Code"}</definedName>
    <definedName name="_26dy5__2_1_2_1" hidden="1">{"Input_Fin",#N/A,FALSE,"By Code";"Input_Opt",#N/A,FALSE,"By Code"}</definedName>
    <definedName name="_26dy5__2_1_2_2" hidden="1">{"Input_Fin",#N/A,FALSE,"By Code";"Input_Opt",#N/A,FALSE,"By Code"}</definedName>
    <definedName name="_26dy5__2_1_3" hidden="1">{"Input_Fin",#N/A,FALSE,"By Code";"Input_Opt",#N/A,FALSE,"By Code"}</definedName>
    <definedName name="_26dy5__2_1_4" hidden="1">{"Input_Fin",#N/A,FALSE,"By Code";"Input_Opt",#N/A,FALSE,"By Code"}</definedName>
    <definedName name="_26dy5__2_2" hidden="1">{"Input_Fin",#N/A,FALSE,"By Code";"Input_Opt",#N/A,FALSE,"By Code"}</definedName>
    <definedName name="_26dy5__2_2_1" hidden="1">{"Input_Fin",#N/A,FALSE,"By Code";"Input_Opt",#N/A,FALSE,"By Code"}</definedName>
    <definedName name="_26dy5__2_2_2" hidden="1">{"Input_Fin",#N/A,FALSE,"By Code";"Input_Opt",#N/A,FALSE,"By Code"}</definedName>
    <definedName name="_26dy5__2_2_3" hidden="1">{"Input_Fin",#N/A,FALSE,"By Code";"Input_Opt",#N/A,FALSE,"By Code"}</definedName>
    <definedName name="_26dy5__2_3" hidden="1">{"Input_Fin",#N/A,FALSE,"By Code";"Input_Opt",#N/A,FALSE,"By Code"}</definedName>
    <definedName name="_26dy5__2_3_1" hidden="1">{"Input_Fin",#N/A,FALSE,"By Code";"Input_Opt",#N/A,FALSE,"By Code"}</definedName>
    <definedName name="_26dy5__2_3_2" hidden="1">{"Input_Fin",#N/A,FALSE,"By Code";"Input_Opt",#N/A,FALSE,"By Code"}</definedName>
    <definedName name="_26dy5__2_4" hidden="1">{"Input_Fin",#N/A,FALSE,"By Code";"Input_Opt",#N/A,FALSE,"By Code"}</definedName>
    <definedName name="_26dy5__2_5" hidden="1">{"Input_Fin",#N/A,FALSE,"By Code";"Input_Opt",#N/A,FALSE,"By Code"}</definedName>
    <definedName name="_26dy5__3" hidden="1">{"Input_Fin",#N/A,FALSE,"By Code";"Input_Opt",#N/A,FALSE,"By Code"}</definedName>
    <definedName name="_26dy5__3_1" hidden="1">{"Input_Fin",#N/A,FALSE,"By Code";"Input_Opt",#N/A,FALSE,"By Code"}</definedName>
    <definedName name="_26dy5__3_1_1" hidden="1">{"Input_Fin",#N/A,FALSE,"By Code";"Input_Opt",#N/A,FALSE,"By Code"}</definedName>
    <definedName name="_26dy5__3_1_1_1" hidden="1">{"Input_Fin",#N/A,FALSE,"By Code";"Input_Opt",#N/A,FALSE,"By Code"}</definedName>
    <definedName name="_26dy5__3_1_1_2" hidden="1">{"Input_Fin",#N/A,FALSE,"By Code";"Input_Opt",#N/A,FALSE,"By Code"}</definedName>
    <definedName name="_26dy5__3_1_1_3" hidden="1">{"Input_Fin",#N/A,FALSE,"By Code";"Input_Opt",#N/A,FALSE,"By Code"}</definedName>
    <definedName name="_26dy5__3_1_2" hidden="1">{"Input_Fin",#N/A,FALSE,"By Code";"Input_Opt",#N/A,FALSE,"By Code"}</definedName>
    <definedName name="_26dy5__3_1_2_1" hidden="1">{"Input_Fin",#N/A,FALSE,"By Code";"Input_Opt",#N/A,FALSE,"By Code"}</definedName>
    <definedName name="_26dy5__3_1_2_2" hidden="1">{"Input_Fin",#N/A,FALSE,"By Code";"Input_Opt",#N/A,FALSE,"By Code"}</definedName>
    <definedName name="_26dy5__3_1_3" hidden="1">{"Input_Fin",#N/A,FALSE,"By Code";"Input_Opt",#N/A,FALSE,"By Code"}</definedName>
    <definedName name="_26dy5__3_1_4" hidden="1">{"Input_Fin",#N/A,FALSE,"By Code";"Input_Opt",#N/A,FALSE,"By Code"}</definedName>
    <definedName name="_26dy5__3_2" hidden="1">{"Input_Fin",#N/A,FALSE,"By Code";"Input_Opt",#N/A,FALSE,"By Code"}</definedName>
    <definedName name="_26dy5__3_2_1" hidden="1">{"Input_Fin",#N/A,FALSE,"By Code";"Input_Opt",#N/A,FALSE,"By Code"}</definedName>
    <definedName name="_26dy5__3_2_2" hidden="1">{"Input_Fin",#N/A,FALSE,"By Code";"Input_Opt",#N/A,FALSE,"By Code"}</definedName>
    <definedName name="_26dy5__3_2_3" hidden="1">{"Input_Fin",#N/A,FALSE,"By Code";"Input_Opt",#N/A,FALSE,"By Code"}</definedName>
    <definedName name="_26dy5__3_3" hidden="1">{"Input_Fin",#N/A,FALSE,"By Code";"Input_Opt",#N/A,FALSE,"By Code"}</definedName>
    <definedName name="_26dy5__3_3_1" hidden="1">{"Input_Fin",#N/A,FALSE,"By Code";"Input_Opt",#N/A,FALSE,"By Code"}</definedName>
    <definedName name="_26dy5__3_3_2" hidden="1">{"Input_Fin",#N/A,FALSE,"By Code";"Input_Opt",#N/A,FALSE,"By Code"}</definedName>
    <definedName name="_26dy5__3_4" hidden="1">{"Input_Fin",#N/A,FALSE,"By Code";"Input_Opt",#N/A,FALSE,"By Code"}</definedName>
    <definedName name="_26dy5__3_5" hidden="1">{"Input_Fin",#N/A,FALSE,"By Code";"Input_Opt",#N/A,FALSE,"By Code"}</definedName>
    <definedName name="_26dy5__4" hidden="1">{"Input_Fin",#N/A,FALSE,"By Code";"Input_Opt",#N/A,FALSE,"By Code"}</definedName>
    <definedName name="_26dy5__4_1" hidden="1">{"Input_Fin",#N/A,FALSE,"By Code";"Input_Opt",#N/A,FALSE,"By Code"}</definedName>
    <definedName name="_26dy5__4_1_1" hidden="1">{"Input_Fin",#N/A,FALSE,"By Code";"Input_Opt",#N/A,FALSE,"By Code"}</definedName>
    <definedName name="_26dy5__4_1_1_1" hidden="1">{"Input_Fin",#N/A,FALSE,"By Code";"Input_Opt",#N/A,FALSE,"By Code"}</definedName>
    <definedName name="_26dy5__4_1_1_2" hidden="1">{"Input_Fin",#N/A,FALSE,"By Code";"Input_Opt",#N/A,FALSE,"By Code"}</definedName>
    <definedName name="_26dy5__4_1_1_3" hidden="1">{"Input_Fin",#N/A,FALSE,"By Code";"Input_Opt",#N/A,FALSE,"By Code"}</definedName>
    <definedName name="_26dy5__4_1_2" hidden="1">{"Input_Fin",#N/A,FALSE,"By Code";"Input_Opt",#N/A,FALSE,"By Code"}</definedName>
    <definedName name="_26dy5__4_1_2_1" hidden="1">{"Input_Fin",#N/A,FALSE,"By Code";"Input_Opt",#N/A,FALSE,"By Code"}</definedName>
    <definedName name="_26dy5__4_1_2_2" hidden="1">{"Input_Fin",#N/A,FALSE,"By Code";"Input_Opt",#N/A,FALSE,"By Code"}</definedName>
    <definedName name="_26dy5__4_1_3" hidden="1">{"Input_Fin",#N/A,FALSE,"By Code";"Input_Opt",#N/A,FALSE,"By Code"}</definedName>
    <definedName name="_26dy5__4_1_4" hidden="1">{"Input_Fin",#N/A,FALSE,"By Code";"Input_Opt",#N/A,FALSE,"By Code"}</definedName>
    <definedName name="_26dy5__4_2" hidden="1">{"Input_Fin",#N/A,FALSE,"By Code";"Input_Opt",#N/A,FALSE,"By Code"}</definedName>
    <definedName name="_26dy5__4_2_1" hidden="1">{"Input_Fin",#N/A,FALSE,"By Code";"Input_Opt",#N/A,FALSE,"By Code"}</definedName>
    <definedName name="_26dy5__4_2_2" hidden="1">{"Input_Fin",#N/A,FALSE,"By Code";"Input_Opt",#N/A,FALSE,"By Code"}</definedName>
    <definedName name="_26dy5__4_2_3" hidden="1">{"Input_Fin",#N/A,FALSE,"By Code";"Input_Opt",#N/A,FALSE,"By Code"}</definedName>
    <definedName name="_26dy5__4_3" hidden="1">{"Input_Fin",#N/A,FALSE,"By Code";"Input_Opt",#N/A,FALSE,"By Code"}</definedName>
    <definedName name="_26dy5__4_3_1" hidden="1">{"Input_Fin",#N/A,FALSE,"By Code";"Input_Opt",#N/A,FALSE,"By Code"}</definedName>
    <definedName name="_26dy5__4_3_2" hidden="1">{"Input_Fin",#N/A,FALSE,"By Code";"Input_Opt",#N/A,FALSE,"By Code"}</definedName>
    <definedName name="_26dy5__4_4" hidden="1">{"Input_Fin",#N/A,FALSE,"By Code";"Input_Opt",#N/A,FALSE,"By Code"}</definedName>
    <definedName name="_26dy5__4_5" hidden="1">{"Input_Fin",#N/A,FALSE,"By Code";"Input_Opt",#N/A,FALSE,"By Code"}</definedName>
    <definedName name="_26dy5__5" hidden="1">{"Input_Fin",#N/A,FALSE,"By Code";"Input_Opt",#N/A,FALSE,"By Code"}</definedName>
    <definedName name="_26dy5__5_1" hidden="1">{"Input_Fin",#N/A,FALSE,"By Code";"Input_Opt",#N/A,FALSE,"By Code"}</definedName>
    <definedName name="_26dy5__5_1_1" hidden="1">{"Input_Fin",#N/A,FALSE,"By Code";"Input_Opt",#N/A,FALSE,"By Code"}</definedName>
    <definedName name="_26dy5__5_1_2" hidden="1">{"Input_Fin",#N/A,FALSE,"By Code";"Input_Opt",#N/A,FALSE,"By Code"}</definedName>
    <definedName name="_26dy5__5_1_3" hidden="1">{"Input_Fin",#N/A,FALSE,"By Code";"Input_Opt",#N/A,FALSE,"By Code"}</definedName>
    <definedName name="_26dy5__5_2" hidden="1">{"Input_Fin",#N/A,FALSE,"By Code";"Input_Opt",#N/A,FALSE,"By Code"}</definedName>
    <definedName name="_26dy5__5_2_1" hidden="1">{"Input_Fin",#N/A,FALSE,"By Code";"Input_Opt",#N/A,FALSE,"By Code"}</definedName>
    <definedName name="_26dy5__5_2_2" hidden="1">{"Input_Fin",#N/A,FALSE,"By Code";"Input_Opt",#N/A,FALSE,"By Code"}</definedName>
    <definedName name="_26dy5__5_3" hidden="1">{"Input_Fin",#N/A,FALSE,"By Code";"Input_Opt",#N/A,FALSE,"By Code"}</definedName>
    <definedName name="_26dy5__5_4" hidden="1">{"Input_Fin",#N/A,FALSE,"By Code";"Input_Opt",#N/A,FALSE,"By Code"}</definedName>
    <definedName name="_26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7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7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8dy6_" localSheetId="12" hidden="1">{"Input_Fin",#N/A,FALSE,"By Code";"Input_Opt",#N/A,FALSE,"By Code"}</definedName>
    <definedName name="_28dy6_" hidden="1">{"Input_Fin",#N/A,FALSE,"By Code";"Input_Opt",#N/A,FALSE,"By Code"}</definedName>
    <definedName name="_28dy6__1" hidden="1">{"Input_Fin",#N/A,FALSE,"By Code";"Input_Opt",#N/A,FALSE,"By Code"}</definedName>
    <definedName name="_28dy6__1_1" hidden="1">{"Input_Fin",#N/A,FALSE,"By Code";"Input_Opt",#N/A,FALSE,"By Code"}</definedName>
    <definedName name="_28dy6__1_1_1" hidden="1">{"Input_Fin",#N/A,FALSE,"By Code";"Input_Opt",#N/A,FALSE,"By Code"}</definedName>
    <definedName name="_28dy6__1_1_1_1" hidden="1">{"Input_Fin",#N/A,FALSE,"By Code";"Input_Opt",#N/A,FALSE,"By Code"}</definedName>
    <definedName name="_28dy6__1_1_1_1_1" hidden="1">{"Input_Fin",#N/A,FALSE,"By Code";"Input_Opt",#N/A,FALSE,"By Code"}</definedName>
    <definedName name="_28dy6__1_1_1_1_2" hidden="1">{"Input_Fin",#N/A,FALSE,"By Code";"Input_Opt",#N/A,FALSE,"By Code"}</definedName>
    <definedName name="_28dy6__1_1_1_1_3" hidden="1">{"Input_Fin",#N/A,FALSE,"By Code";"Input_Opt",#N/A,FALSE,"By Code"}</definedName>
    <definedName name="_28dy6__1_1_1_2" hidden="1">{"Input_Fin",#N/A,FALSE,"By Code";"Input_Opt",#N/A,FALSE,"By Code"}</definedName>
    <definedName name="_28dy6__1_1_1_2_1" hidden="1">{"Input_Fin",#N/A,FALSE,"By Code";"Input_Opt",#N/A,FALSE,"By Code"}</definedName>
    <definedName name="_28dy6__1_1_1_2_2" hidden="1">{"Input_Fin",#N/A,FALSE,"By Code";"Input_Opt",#N/A,FALSE,"By Code"}</definedName>
    <definedName name="_28dy6__1_1_1_3" hidden="1">{"Input_Fin",#N/A,FALSE,"By Code";"Input_Opt",#N/A,FALSE,"By Code"}</definedName>
    <definedName name="_28dy6__1_1_1_3_1" hidden="1">{"Input_Fin",#N/A,FALSE,"By Code";"Input_Opt",#N/A,FALSE,"By Code"}</definedName>
    <definedName name="_28dy6__1_1_1_3_2" hidden="1">{"Input_Fin",#N/A,FALSE,"By Code";"Input_Opt",#N/A,FALSE,"By Code"}</definedName>
    <definedName name="_28dy6__1_1_1_4" hidden="1">{"Input_Fin",#N/A,FALSE,"By Code";"Input_Opt",#N/A,FALSE,"By Code"}</definedName>
    <definedName name="_28dy6__1_1_1_5" hidden="1">{"Input_Fin",#N/A,FALSE,"By Code";"Input_Opt",#N/A,FALSE,"By Code"}</definedName>
    <definedName name="_28dy6__1_1_2" hidden="1">{"Input_Fin",#N/A,FALSE,"By Code";"Input_Opt",#N/A,FALSE,"By Code"}</definedName>
    <definedName name="_28dy6__1_1_2_1" hidden="1">{"Input_Fin",#N/A,FALSE,"By Code";"Input_Opt",#N/A,FALSE,"By Code"}</definedName>
    <definedName name="_28dy6__1_1_2_2" hidden="1">{"Input_Fin",#N/A,FALSE,"By Code";"Input_Opt",#N/A,FALSE,"By Code"}</definedName>
    <definedName name="_28dy6__1_1_2_3" hidden="1">{"Input_Fin",#N/A,FALSE,"By Code";"Input_Opt",#N/A,FALSE,"By Code"}</definedName>
    <definedName name="_28dy6__1_1_3" hidden="1">{"Input_Fin",#N/A,FALSE,"By Code";"Input_Opt",#N/A,FALSE,"By Code"}</definedName>
    <definedName name="_28dy6__1_1_3_1" hidden="1">{"Input_Fin",#N/A,FALSE,"By Code";"Input_Opt",#N/A,FALSE,"By Code"}</definedName>
    <definedName name="_28dy6__1_1_3_2" hidden="1">{"Input_Fin",#N/A,FALSE,"By Code";"Input_Opt",#N/A,FALSE,"By Code"}</definedName>
    <definedName name="_28dy6__1_1_4" hidden="1">{"Input_Fin",#N/A,FALSE,"By Code";"Input_Opt",#N/A,FALSE,"By Code"}</definedName>
    <definedName name="_28dy6__1_1_5" hidden="1">{"Input_Fin",#N/A,FALSE,"By Code";"Input_Opt",#N/A,FALSE,"By Code"}</definedName>
    <definedName name="_28dy6__1_2" hidden="1">{"Input_Fin",#N/A,FALSE,"By Code";"Input_Opt",#N/A,FALSE,"By Code"}</definedName>
    <definedName name="_28dy6__1_2_1" hidden="1">{"Input_Fin",#N/A,FALSE,"By Code";"Input_Opt",#N/A,FALSE,"By Code"}</definedName>
    <definedName name="_28dy6__1_2_2" hidden="1">{"Input_Fin",#N/A,FALSE,"By Code";"Input_Opt",#N/A,FALSE,"By Code"}</definedName>
    <definedName name="_28dy6__1_2_3" hidden="1">{"Input_Fin",#N/A,FALSE,"By Code";"Input_Opt",#N/A,FALSE,"By Code"}</definedName>
    <definedName name="_28dy6__1_3" hidden="1">{"Input_Fin",#N/A,FALSE,"By Code";"Input_Opt",#N/A,FALSE,"By Code"}</definedName>
    <definedName name="_28dy6__1_3_1" hidden="1">{"Input_Fin",#N/A,FALSE,"By Code";"Input_Opt",#N/A,FALSE,"By Code"}</definedName>
    <definedName name="_28dy6__1_3_2" hidden="1">{"Input_Fin",#N/A,FALSE,"By Code";"Input_Opt",#N/A,FALSE,"By Code"}</definedName>
    <definedName name="_28dy6__1_4" hidden="1">{"Input_Fin",#N/A,FALSE,"By Code";"Input_Opt",#N/A,FALSE,"By Code"}</definedName>
    <definedName name="_28dy6__1_5" hidden="1">{"Input_Fin",#N/A,FALSE,"By Code";"Input_Opt",#N/A,FALSE,"By Code"}</definedName>
    <definedName name="_28dy6__2" hidden="1">{"Input_Fin",#N/A,FALSE,"By Code";"Input_Opt",#N/A,FALSE,"By Code"}</definedName>
    <definedName name="_28dy6__2_1" hidden="1">{"Input_Fin",#N/A,FALSE,"By Code";"Input_Opt",#N/A,FALSE,"By Code"}</definedName>
    <definedName name="_28dy6__2_1_1" hidden="1">{"Input_Fin",#N/A,FALSE,"By Code";"Input_Opt",#N/A,FALSE,"By Code"}</definedName>
    <definedName name="_28dy6__2_1_1_1" hidden="1">{"Input_Fin",#N/A,FALSE,"By Code";"Input_Opt",#N/A,FALSE,"By Code"}</definedName>
    <definedName name="_28dy6__2_1_1_2" hidden="1">{"Input_Fin",#N/A,FALSE,"By Code";"Input_Opt",#N/A,FALSE,"By Code"}</definedName>
    <definedName name="_28dy6__2_1_1_3" hidden="1">{"Input_Fin",#N/A,FALSE,"By Code";"Input_Opt",#N/A,FALSE,"By Code"}</definedName>
    <definedName name="_28dy6__2_1_2" hidden="1">{"Input_Fin",#N/A,FALSE,"By Code";"Input_Opt",#N/A,FALSE,"By Code"}</definedName>
    <definedName name="_28dy6__2_1_2_1" hidden="1">{"Input_Fin",#N/A,FALSE,"By Code";"Input_Opt",#N/A,FALSE,"By Code"}</definedName>
    <definedName name="_28dy6__2_1_2_2" hidden="1">{"Input_Fin",#N/A,FALSE,"By Code";"Input_Opt",#N/A,FALSE,"By Code"}</definedName>
    <definedName name="_28dy6__2_1_3" hidden="1">{"Input_Fin",#N/A,FALSE,"By Code";"Input_Opt",#N/A,FALSE,"By Code"}</definedName>
    <definedName name="_28dy6__2_1_4" hidden="1">{"Input_Fin",#N/A,FALSE,"By Code";"Input_Opt",#N/A,FALSE,"By Code"}</definedName>
    <definedName name="_28dy6__2_2" hidden="1">{"Input_Fin",#N/A,FALSE,"By Code";"Input_Opt",#N/A,FALSE,"By Code"}</definedName>
    <definedName name="_28dy6__2_2_1" hidden="1">{"Input_Fin",#N/A,FALSE,"By Code";"Input_Opt",#N/A,FALSE,"By Code"}</definedName>
    <definedName name="_28dy6__2_2_2" hidden="1">{"Input_Fin",#N/A,FALSE,"By Code";"Input_Opt",#N/A,FALSE,"By Code"}</definedName>
    <definedName name="_28dy6__2_2_3" hidden="1">{"Input_Fin",#N/A,FALSE,"By Code";"Input_Opt",#N/A,FALSE,"By Code"}</definedName>
    <definedName name="_28dy6__2_3" hidden="1">{"Input_Fin",#N/A,FALSE,"By Code";"Input_Opt",#N/A,FALSE,"By Code"}</definedName>
    <definedName name="_28dy6__2_3_1" hidden="1">{"Input_Fin",#N/A,FALSE,"By Code";"Input_Opt",#N/A,FALSE,"By Code"}</definedName>
    <definedName name="_28dy6__2_3_2" hidden="1">{"Input_Fin",#N/A,FALSE,"By Code";"Input_Opt",#N/A,FALSE,"By Code"}</definedName>
    <definedName name="_28dy6__2_4" hidden="1">{"Input_Fin",#N/A,FALSE,"By Code";"Input_Opt",#N/A,FALSE,"By Code"}</definedName>
    <definedName name="_28dy6__2_5" hidden="1">{"Input_Fin",#N/A,FALSE,"By Code";"Input_Opt",#N/A,FALSE,"By Code"}</definedName>
    <definedName name="_28dy6__3" hidden="1">{"Input_Fin",#N/A,FALSE,"By Code";"Input_Opt",#N/A,FALSE,"By Code"}</definedName>
    <definedName name="_28dy6__3_1" hidden="1">{"Input_Fin",#N/A,FALSE,"By Code";"Input_Opt",#N/A,FALSE,"By Code"}</definedName>
    <definedName name="_28dy6__3_1_1" hidden="1">{"Input_Fin",#N/A,FALSE,"By Code";"Input_Opt",#N/A,FALSE,"By Code"}</definedName>
    <definedName name="_28dy6__3_1_1_1" hidden="1">{"Input_Fin",#N/A,FALSE,"By Code";"Input_Opt",#N/A,FALSE,"By Code"}</definedName>
    <definedName name="_28dy6__3_1_1_2" hidden="1">{"Input_Fin",#N/A,FALSE,"By Code";"Input_Opt",#N/A,FALSE,"By Code"}</definedName>
    <definedName name="_28dy6__3_1_1_3" hidden="1">{"Input_Fin",#N/A,FALSE,"By Code";"Input_Opt",#N/A,FALSE,"By Code"}</definedName>
    <definedName name="_28dy6__3_1_2" hidden="1">{"Input_Fin",#N/A,FALSE,"By Code";"Input_Opt",#N/A,FALSE,"By Code"}</definedName>
    <definedName name="_28dy6__3_1_2_1" hidden="1">{"Input_Fin",#N/A,FALSE,"By Code";"Input_Opt",#N/A,FALSE,"By Code"}</definedName>
    <definedName name="_28dy6__3_1_2_2" hidden="1">{"Input_Fin",#N/A,FALSE,"By Code";"Input_Opt",#N/A,FALSE,"By Code"}</definedName>
    <definedName name="_28dy6__3_1_3" hidden="1">{"Input_Fin",#N/A,FALSE,"By Code";"Input_Opt",#N/A,FALSE,"By Code"}</definedName>
    <definedName name="_28dy6__3_1_4" hidden="1">{"Input_Fin",#N/A,FALSE,"By Code";"Input_Opt",#N/A,FALSE,"By Code"}</definedName>
    <definedName name="_28dy6__3_2" hidden="1">{"Input_Fin",#N/A,FALSE,"By Code";"Input_Opt",#N/A,FALSE,"By Code"}</definedName>
    <definedName name="_28dy6__3_2_1" hidden="1">{"Input_Fin",#N/A,FALSE,"By Code";"Input_Opt",#N/A,FALSE,"By Code"}</definedName>
    <definedName name="_28dy6__3_2_2" hidden="1">{"Input_Fin",#N/A,FALSE,"By Code";"Input_Opt",#N/A,FALSE,"By Code"}</definedName>
    <definedName name="_28dy6__3_2_3" hidden="1">{"Input_Fin",#N/A,FALSE,"By Code";"Input_Opt",#N/A,FALSE,"By Code"}</definedName>
    <definedName name="_28dy6__3_3" hidden="1">{"Input_Fin",#N/A,FALSE,"By Code";"Input_Opt",#N/A,FALSE,"By Code"}</definedName>
    <definedName name="_28dy6__3_3_1" hidden="1">{"Input_Fin",#N/A,FALSE,"By Code";"Input_Opt",#N/A,FALSE,"By Code"}</definedName>
    <definedName name="_28dy6__3_3_2" hidden="1">{"Input_Fin",#N/A,FALSE,"By Code";"Input_Opt",#N/A,FALSE,"By Code"}</definedName>
    <definedName name="_28dy6__3_4" hidden="1">{"Input_Fin",#N/A,FALSE,"By Code";"Input_Opt",#N/A,FALSE,"By Code"}</definedName>
    <definedName name="_28dy6__3_5" hidden="1">{"Input_Fin",#N/A,FALSE,"By Code";"Input_Opt",#N/A,FALSE,"By Code"}</definedName>
    <definedName name="_28dy6__4" hidden="1">{"Input_Fin",#N/A,FALSE,"By Code";"Input_Opt",#N/A,FALSE,"By Code"}</definedName>
    <definedName name="_28dy6__4_1" hidden="1">{"Input_Fin",#N/A,FALSE,"By Code";"Input_Opt",#N/A,FALSE,"By Code"}</definedName>
    <definedName name="_28dy6__4_1_1" hidden="1">{"Input_Fin",#N/A,FALSE,"By Code";"Input_Opt",#N/A,FALSE,"By Code"}</definedName>
    <definedName name="_28dy6__4_1_1_1" hidden="1">{"Input_Fin",#N/A,FALSE,"By Code";"Input_Opt",#N/A,FALSE,"By Code"}</definedName>
    <definedName name="_28dy6__4_1_1_2" hidden="1">{"Input_Fin",#N/A,FALSE,"By Code";"Input_Opt",#N/A,FALSE,"By Code"}</definedName>
    <definedName name="_28dy6__4_1_1_3" hidden="1">{"Input_Fin",#N/A,FALSE,"By Code";"Input_Opt",#N/A,FALSE,"By Code"}</definedName>
    <definedName name="_28dy6__4_1_2" hidden="1">{"Input_Fin",#N/A,FALSE,"By Code";"Input_Opt",#N/A,FALSE,"By Code"}</definedName>
    <definedName name="_28dy6__4_1_2_1" hidden="1">{"Input_Fin",#N/A,FALSE,"By Code";"Input_Opt",#N/A,FALSE,"By Code"}</definedName>
    <definedName name="_28dy6__4_1_2_2" hidden="1">{"Input_Fin",#N/A,FALSE,"By Code";"Input_Opt",#N/A,FALSE,"By Code"}</definedName>
    <definedName name="_28dy6__4_1_3" hidden="1">{"Input_Fin",#N/A,FALSE,"By Code";"Input_Opt",#N/A,FALSE,"By Code"}</definedName>
    <definedName name="_28dy6__4_1_4" hidden="1">{"Input_Fin",#N/A,FALSE,"By Code";"Input_Opt",#N/A,FALSE,"By Code"}</definedName>
    <definedName name="_28dy6__4_2" hidden="1">{"Input_Fin",#N/A,FALSE,"By Code";"Input_Opt",#N/A,FALSE,"By Code"}</definedName>
    <definedName name="_28dy6__4_2_1" hidden="1">{"Input_Fin",#N/A,FALSE,"By Code";"Input_Opt",#N/A,FALSE,"By Code"}</definedName>
    <definedName name="_28dy6__4_2_2" hidden="1">{"Input_Fin",#N/A,FALSE,"By Code";"Input_Opt",#N/A,FALSE,"By Code"}</definedName>
    <definedName name="_28dy6__4_2_3" hidden="1">{"Input_Fin",#N/A,FALSE,"By Code";"Input_Opt",#N/A,FALSE,"By Code"}</definedName>
    <definedName name="_28dy6__4_3" hidden="1">{"Input_Fin",#N/A,FALSE,"By Code";"Input_Opt",#N/A,FALSE,"By Code"}</definedName>
    <definedName name="_28dy6__4_3_1" hidden="1">{"Input_Fin",#N/A,FALSE,"By Code";"Input_Opt",#N/A,FALSE,"By Code"}</definedName>
    <definedName name="_28dy6__4_3_2" hidden="1">{"Input_Fin",#N/A,FALSE,"By Code";"Input_Opt",#N/A,FALSE,"By Code"}</definedName>
    <definedName name="_28dy6__4_4" hidden="1">{"Input_Fin",#N/A,FALSE,"By Code";"Input_Opt",#N/A,FALSE,"By Code"}</definedName>
    <definedName name="_28dy6__4_5" hidden="1">{"Input_Fin",#N/A,FALSE,"By Code";"Input_Opt",#N/A,FALSE,"By Code"}</definedName>
    <definedName name="_28dy6__5" hidden="1">{"Input_Fin",#N/A,FALSE,"By Code";"Input_Opt",#N/A,FALSE,"By Code"}</definedName>
    <definedName name="_28dy6__5_1" hidden="1">{"Input_Fin",#N/A,FALSE,"By Code";"Input_Opt",#N/A,FALSE,"By Code"}</definedName>
    <definedName name="_28dy6__5_1_1" hidden="1">{"Input_Fin",#N/A,FALSE,"By Code";"Input_Opt",#N/A,FALSE,"By Code"}</definedName>
    <definedName name="_28dy6__5_1_2" hidden="1">{"Input_Fin",#N/A,FALSE,"By Code";"Input_Opt",#N/A,FALSE,"By Code"}</definedName>
    <definedName name="_28dy6__5_1_3" hidden="1">{"Input_Fin",#N/A,FALSE,"By Code";"Input_Opt",#N/A,FALSE,"By Code"}</definedName>
    <definedName name="_28dy6__5_2" hidden="1">{"Input_Fin",#N/A,FALSE,"By Code";"Input_Opt",#N/A,FALSE,"By Code"}</definedName>
    <definedName name="_28dy6__5_2_1" hidden="1">{"Input_Fin",#N/A,FALSE,"By Code";"Input_Opt",#N/A,FALSE,"By Code"}</definedName>
    <definedName name="_28dy6__5_2_2" hidden="1">{"Input_Fin",#N/A,FALSE,"By Code";"Input_Opt",#N/A,FALSE,"By Code"}</definedName>
    <definedName name="_28dy6__5_3" hidden="1">{"Input_Fin",#N/A,FALSE,"By Code";"Input_Opt",#N/A,FALSE,"By Code"}</definedName>
    <definedName name="_28dy6__5_4" hidden="1">{"Input_Fin",#N/A,FALSE,"By Code";"Input_Opt",#N/A,FALSE,"By Code"}</definedName>
    <definedName name="_29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9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9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9dy5_" hidden="1">{"Input_Fin",#N/A,FALSE,"By Code";"Input_Opt",#N/A,FALSE,"By Code"}</definedName>
    <definedName name="_2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D123_" hidden="1">{"Input_Fin",#N/A,FALSE,"By Code";"Input_Opt",#N/A,FALSE,"By Code"}</definedName>
    <definedName name="_2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3__123Graph_Aｸﾞﾗﾌ_2" localSheetId="12" hidden="1">#REF!</definedName>
    <definedName name="_3__123Graph_Aｸﾞﾗﾌ_2" hidden="1">#REF!</definedName>
    <definedName name="_30dy3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0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2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3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3dy6_" hidden="1">{"Input_Fin",#N/A,FALSE,"By Code";"Input_Opt",#N/A,FALSE,"By Code"}</definedName>
    <definedName name="_34dy5_" hidden="1">{"Input_Fin",#N/A,FALSE,"By Code";"Input_Opt",#N/A,FALSE,"By Code"}</definedName>
    <definedName name="_35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5dy5_" hidden="1">{"Input_Fin",#N/A,FALSE,"By Code";"Input_Opt",#N/A,FALSE,"By Code"}</definedName>
    <definedName name="_36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7dy1_" hidden="1">{"Input_Fin",#N/A,FALSE,"By Code";"Input_Opt",#N/A,FALSE,"By Code"}</definedName>
    <definedName name="_37dy4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7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8dy6_" hidden="1">{"Input_Fin",#N/A,FALSE,"By Code";"Input_Opt",#N/A,FALSE,"By Code"}</definedName>
    <definedName name="_39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9dy5_" hidden="1">{"Input_Fin",#N/A,FALSE,"By Code";"Input_Opt",#N/A,FALSE,"By Code"}</definedName>
    <definedName name="_39dy6_" hidden="1">{"Input_Fin",#N/A,FALSE,"By Code";"Input_Opt",#N/A,FALSE,"By Code"}</definedName>
    <definedName name="_39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dy1_" hidden="1">{"Input_Fin",#N/A,FALSE,"By Code";"Input_Opt",#N/A,FALSE,"By Code"}</definedName>
    <definedName name="_3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43dy5_" hidden="1">{"Input_Fin",#N/A,FALSE,"By Code";"Input_Opt",#N/A,FALSE,"By Code"}</definedName>
    <definedName name="_44dy5_" localSheetId="12" hidden="1">{"Input_Fin",#N/A,FALSE,"By Code";"Input_Opt",#N/A,FALSE,"By Code"}</definedName>
    <definedName name="_44dy5_" hidden="1">{"Input_Fin",#N/A,FALSE,"By Code";"Input_Opt",#N/A,FALSE,"By Code"}</definedName>
    <definedName name="_45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45dy6_" hidden="1">{"Input_Fin",#N/A,FALSE,"By Code";"Input_Opt",#N/A,FALSE,"By Code"}</definedName>
    <definedName name="_46dy1_" hidden="1">{"Input_Fin",#N/A,FALSE,"By Code";"Input_Opt",#N/A,FALSE,"By Code"}</definedName>
    <definedName name="_49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4dy1_" hidden="1">{"Input_Fin",#N/A,FALSE,"By Code";"Input_Opt",#N/A,FALSE,"By Code"}</definedName>
    <definedName name="_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5__123Graph_Bｸﾞﾗﾌ_1" localSheetId="12" hidden="1">#REF!</definedName>
    <definedName name="_5__123Graph_Bｸﾞﾗﾌ_1" hidden="1">#REF!</definedName>
    <definedName name="_51dy6_" localSheetId="12" hidden="1">{"Input_Fin",#N/A,FALSE,"By Code";"Input_Opt",#N/A,FALSE,"By Code"}</definedName>
    <definedName name="_51dy6_" hidden="1">{"Input_Fin",#N/A,FALSE,"By Code";"Input_Opt",#N/A,FALSE,"By Code"}</definedName>
    <definedName name="_54dy5_" hidden="1">{"Input_Fin",#N/A,FALSE,"By Code";"Input_Opt",#N/A,FALSE,"By Code"}</definedName>
    <definedName name="_55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5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59dy5_" hidden="1">{"Input_Fin",#N/A,FALSE,"By Code";"Input_Opt",#N/A,FALSE,"By Code"}</definedName>
    <definedName name="_5dy5_" hidden="1">{"Input_Fin",#N/A,FALSE,"By Code";"Input_Opt",#N/A,FALSE,"By Code"}</definedName>
    <definedName name="_6__123Graph_Bｸﾞﾗﾌ_2" localSheetId="12" hidden="1">#REF!</definedName>
    <definedName name="_6__123Graph_Bｸﾞﾗﾌ_2" hidden="1">#REF!</definedName>
    <definedName name="_63dy6_" hidden="1">{"Input_Fin",#N/A,FALSE,"By Code";"Input_Opt",#N/A,FALSE,"By Code"}</definedName>
    <definedName name="_64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69dy6_" hidden="1">{"Input_Fin",#N/A,FALSE,"By Code";"Input_Opt",#N/A,FALSE,"By Code"}</definedName>
    <definedName name="_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6dy6_" hidden="1">{"Input_Fin",#N/A,FALSE,"By Code";"Input_Opt",#N/A,FALSE,"By Code"}</definedName>
    <definedName name="_7__123Graph_Cｸﾞﾗﾌ_2" localSheetId="12" hidden="1">#REF!</definedName>
    <definedName name="_7__123Graph_Cｸﾞﾗﾌ_2" hidden="1">#REF!</definedName>
    <definedName name="_73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75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7dy1_" hidden="1">{"Input_Fin",#N/A,FALSE,"By Code";"Input_Opt",#N/A,FALSE,"By Code"}</definedName>
    <definedName name="_8__123Graph_Dｸﾞﾗﾌ_2" localSheetId="12" hidden="1">#REF!</definedName>
    <definedName name="_8__123Graph_Dｸﾞﾗﾌ_2" hidden="1">#REF!</definedName>
    <definedName name="_82dy5_" hidden="1">{"Input_Fin",#N/A,FALSE,"By Code";"Input_Opt",#N/A,FALSE,"By Code"}</definedName>
    <definedName name="_8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8AS4_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8AS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8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8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9__123Graph_Eｸﾞﾗﾌ_2" localSheetId="12" hidden="1">#REF!</definedName>
    <definedName name="_9__123Graph_Eｸﾞﾗﾌ_2" hidden="1">#REF!</definedName>
    <definedName name="_91dy6_" hidden="1">{"Input_Fin",#N/A,FALSE,"By Code";"Input_Opt",#N/A,FALSE,"By Code"}</definedName>
    <definedName name="_9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9df1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9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AAA00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AAA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Admm" localSheetId="12" hidden="1">#REF!</definedName>
    <definedName name="_Admm" hidden="1">#REF!</definedName>
    <definedName name="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BBB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cd1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cd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123" localSheetId="12" hidden="1">{"Input_Fin",#N/A,FALSE,"By Code";"Input_Opt",#N/A,FALSE,"By Code"}</definedName>
    <definedName name="_D123" hidden="1">{"Input_Fin",#N/A,FALSE,"By Code";"Input_Opt",#N/A,FALSE,"By Code"}</definedName>
    <definedName name="_dd2" hidden="1">{"Input_Fin",#N/A,FALSE,"By Code";"Input_Opt",#N/A,FALSE,"By Code"}</definedName>
    <definedName name="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ist_Bin" localSheetId="12" hidden="1">#REF!</definedName>
    <definedName name="_Dist_Bin" hidden="1">#REF!</definedName>
    <definedName name="_Dist_Values" localSheetId="12" hidden="1">#REF!</definedName>
    <definedName name="_Dist_Values" hidden="1">#REF!</definedName>
    <definedName name="_dy1" localSheetId="12" hidden="1">{"Input_Fin",#N/A,FALSE,"By Code";"Input_Opt",#N/A,FALSE,"By Code"}</definedName>
    <definedName name="_dy1" hidden="1">{"Input_Fin",#N/A,FALSE,"By Code";"Input_Opt",#N/A,FALSE,"By Code"}</definedName>
    <definedName name="_dy1_1" hidden="1">{"Input_Fin",#N/A,FALSE,"By Code";"Input_Opt",#N/A,FALSE,"By Code"}</definedName>
    <definedName name="_dy1_1_1" hidden="1">{"Input_Fin",#N/A,FALSE,"By Code";"Input_Opt",#N/A,FALSE,"By Code"}</definedName>
    <definedName name="_dy1_1_1_1" hidden="1">{"Input_Fin",#N/A,FALSE,"By Code";"Input_Opt",#N/A,FALSE,"By Code"}</definedName>
    <definedName name="_dy1_1_1_1_1" hidden="1">{"Input_Fin",#N/A,FALSE,"By Code";"Input_Opt",#N/A,FALSE,"By Code"}</definedName>
    <definedName name="_dy1_1_1_1_1_1" hidden="1">{"Input_Fin",#N/A,FALSE,"By Code";"Input_Opt",#N/A,FALSE,"By Code"}</definedName>
    <definedName name="_dy1_1_1_1_1_2" hidden="1">{"Input_Fin",#N/A,FALSE,"By Code";"Input_Opt",#N/A,FALSE,"By Code"}</definedName>
    <definedName name="_dy1_1_1_1_1_3" hidden="1">{"Input_Fin",#N/A,FALSE,"By Code";"Input_Opt",#N/A,FALSE,"By Code"}</definedName>
    <definedName name="_dy1_1_1_1_2" hidden="1">{"Input_Fin",#N/A,FALSE,"By Code";"Input_Opt",#N/A,FALSE,"By Code"}</definedName>
    <definedName name="_dy1_1_1_1_2_1" hidden="1">{"Input_Fin",#N/A,FALSE,"By Code";"Input_Opt",#N/A,FALSE,"By Code"}</definedName>
    <definedName name="_dy1_1_1_1_2_2" hidden="1">{"Input_Fin",#N/A,FALSE,"By Code";"Input_Opt",#N/A,FALSE,"By Code"}</definedName>
    <definedName name="_dy1_1_1_1_3" hidden="1">{"Input_Fin",#N/A,FALSE,"By Code";"Input_Opt",#N/A,FALSE,"By Code"}</definedName>
    <definedName name="_dy1_1_1_1_3_1" hidden="1">{"Input_Fin",#N/A,FALSE,"By Code";"Input_Opt",#N/A,FALSE,"By Code"}</definedName>
    <definedName name="_dy1_1_1_1_3_2" hidden="1">{"Input_Fin",#N/A,FALSE,"By Code";"Input_Opt",#N/A,FALSE,"By Code"}</definedName>
    <definedName name="_dy1_1_1_1_4" hidden="1">{"Input_Fin",#N/A,FALSE,"By Code";"Input_Opt",#N/A,FALSE,"By Code"}</definedName>
    <definedName name="_dy1_1_1_1_5" hidden="1">{"Input_Fin",#N/A,FALSE,"By Code";"Input_Opt",#N/A,FALSE,"By Code"}</definedName>
    <definedName name="_dy1_1_1_2" hidden="1">{"Input_Fin",#N/A,FALSE,"By Code";"Input_Opt",#N/A,FALSE,"By Code"}</definedName>
    <definedName name="_dy1_1_1_2_1" hidden="1">{"Input_Fin",#N/A,FALSE,"By Code";"Input_Opt",#N/A,FALSE,"By Code"}</definedName>
    <definedName name="_dy1_1_1_2_2" hidden="1">{"Input_Fin",#N/A,FALSE,"By Code";"Input_Opt",#N/A,FALSE,"By Code"}</definedName>
    <definedName name="_dy1_1_1_2_3" hidden="1">{"Input_Fin",#N/A,FALSE,"By Code";"Input_Opt",#N/A,FALSE,"By Code"}</definedName>
    <definedName name="_dy1_1_1_3" hidden="1">{"Input_Fin",#N/A,FALSE,"By Code";"Input_Opt",#N/A,FALSE,"By Code"}</definedName>
    <definedName name="_dy1_1_1_3_1" hidden="1">{"Input_Fin",#N/A,FALSE,"By Code";"Input_Opt",#N/A,FALSE,"By Code"}</definedName>
    <definedName name="_dy1_1_1_3_2" hidden="1">{"Input_Fin",#N/A,FALSE,"By Code";"Input_Opt",#N/A,FALSE,"By Code"}</definedName>
    <definedName name="_dy1_1_1_4" hidden="1">{"Input_Fin",#N/A,FALSE,"By Code";"Input_Opt",#N/A,FALSE,"By Code"}</definedName>
    <definedName name="_dy1_1_1_5" hidden="1">{"Input_Fin",#N/A,FALSE,"By Code";"Input_Opt",#N/A,FALSE,"By Code"}</definedName>
    <definedName name="_dy1_1_2" hidden="1">{"Input_Fin",#N/A,FALSE,"By Code";"Input_Opt",#N/A,FALSE,"By Code"}</definedName>
    <definedName name="_dy1_1_2_1" hidden="1">{"Input_Fin",#N/A,FALSE,"By Code";"Input_Opt",#N/A,FALSE,"By Code"}</definedName>
    <definedName name="_dy1_1_2_2" hidden="1">{"Input_Fin",#N/A,FALSE,"By Code";"Input_Opt",#N/A,FALSE,"By Code"}</definedName>
    <definedName name="_dy1_1_2_3" hidden="1">{"Input_Fin",#N/A,FALSE,"By Code";"Input_Opt",#N/A,FALSE,"By Code"}</definedName>
    <definedName name="_dy1_1_3" hidden="1">{"Input_Fin",#N/A,FALSE,"By Code";"Input_Opt",#N/A,FALSE,"By Code"}</definedName>
    <definedName name="_dy1_1_3_1" hidden="1">{"Input_Fin",#N/A,FALSE,"By Code";"Input_Opt",#N/A,FALSE,"By Code"}</definedName>
    <definedName name="_dy1_1_3_2" hidden="1">{"Input_Fin",#N/A,FALSE,"By Code";"Input_Opt",#N/A,FALSE,"By Code"}</definedName>
    <definedName name="_dy1_1_4" hidden="1">{"Input_Fin",#N/A,FALSE,"By Code";"Input_Opt",#N/A,FALSE,"By Code"}</definedName>
    <definedName name="_dy1_1_5" hidden="1">{"Input_Fin",#N/A,FALSE,"By Code";"Input_Opt",#N/A,FALSE,"By Code"}</definedName>
    <definedName name="_dy1_2" hidden="1">{"Input_Fin",#N/A,FALSE,"By Code";"Input_Opt",#N/A,FALSE,"By Code"}</definedName>
    <definedName name="_dy1_2_1" hidden="1">{"Input_Fin",#N/A,FALSE,"By Code";"Input_Opt",#N/A,FALSE,"By Code"}</definedName>
    <definedName name="_dy1_2_1_1" hidden="1">{"Input_Fin",#N/A,FALSE,"By Code";"Input_Opt",#N/A,FALSE,"By Code"}</definedName>
    <definedName name="_dy1_2_1_1_1" hidden="1">{"Input_Fin",#N/A,FALSE,"By Code";"Input_Opt",#N/A,FALSE,"By Code"}</definedName>
    <definedName name="_dy1_2_1_1_2" hidden="1">{"Input_Fin",#N/A,FALSE,"By Code";"Input_Opt",#N/A,FALSE,"By Code"}</definedName>
    <definedName name="_dy1_2_1_1_3" hidden="1">{"Input_Fin",#N/A,FALSE,"By Code";"Input_Opt",#N/A,FALSE,"By Code"}</definedName>
    <definedName name="_dy1_2_1_2" hidden="1">{"Input_Fin",#N/A,FALSE,"By Code";"Input_Opt",#N/A,FALSE,"By Code"}</definedName>
    <definedName name="_dy1_2_1_2_1" hidden="1">{"Input_Fin",#N/A,FALSE,"By Code";"Input_Opt",#N/A,FALSE,"By Code"}</definedName>
    <definedName name="_dy1_2_1_2_2" hidden="1">{"Input_Fin",#N/A,FALSE,"By Code";"Input_Opt",#N/A,FALSE,"By Code"}</definedName>
    <definedName name="_dy1_2_1_3" hidden="1">{"Input_Fin",#N/A,FALSE,"By Code";"Input_Opt",#N/A,FALSE,"By Code"}</definedName>
    <definedName name="_dy1_2_1_4" hidden="1">{"Input_Fin",#N/A,FALSE,"By Code";"Input_Opt",#N/A,FALSE,"By Code"}</definedName>
    <definedName name="_dy1_2_2" hidden="1">{"Input_Fin",#N/A,FALSE,"By Code";"Input_Opt",#N/A,FALSE,"By Code"}</definedName>
    <definedName name="_dy1_2_2_1" hidden="1">{"Input_Fin",#N/A,FALSE,"By Code";"Input_Opt",#N/A,FALSE,"By Code"}</definedName>
    <definedName name="_dy1_2_2_2" hidden="1">{"Input_Fin",#N/A,FALSE,"By Code";"Input_Opt",#N/A,FALSE,"By Code"}</definedName>
    <definedName name="_dy1_2_2_3" hidden="1">{"Input_Fin",#N/A,FALSE,"By Code";"Input_Opt",#N/A,FALSE,"By Code"}</definedName>
    <definedName name="_dy1_2_3" hidden="1">{"Input_Fin",#N/A,FALSE,"By Code";"Input_Opt",#N/A,FALSE,"By Code"}</definedName>
    <definedName name="_dy1_2_3_1" hidden="1">{"Input_Fin",#N/A,FALSE,"By Code";"Input_Opt",#N/A,FALSE,"By Code"}</definedName>
    <definedName name="_dy1_2_3_2" hidden="1">{"Input_Fin",#N/A,FALSE,"By Code";"Input_Opt",#N/A,FALSE,"By Code"}</definedName>
    <definedName name="_dy1_2_4" hidden="1">{"Input_Fin",#N/A,FALSE,"By Code";"Input_Opt",#N/A,FALSE,"By Code"}</definedName>
    <definedName name="_dy1_2_5" hidden="1">{"Input_Fin",#N/A,FALSE,"By Code";"Input_Opt",#N/A,FALSE,"By Code"}</definedName>
    <definedName name="_dy1_3" hidden="1">{"Input_Fin",#N/A,FALSE,"By Code";"Input_Opt",#N/A,FALSE,"By Code"}</definedName>
    <definedName name="_dy1_3_1" hidden="1">{"Input_Fin",#N/A,FALSE,"By Code";"Input_Opt",#N/A,FALSE,"By Code"}</definedName>
    <definedName name="_dy1_3_1_1" hidden="1">{"Input_Fin",#N/A,FALSE,"By Code";"Input_Opt",#N/A,FALSE,"By Code"}</definedName>
    <definedName name="_dy1_3_1_1_1" hidden="1">{"Input_Fin",#N/A,FALSE,"By Code";"Input_Opt",#N/A,FALSE,"By Code"}</definedName>
    <definedName name="_dy1_3_1_1_2" hidden="1">{"Input_Fin",#N/A,FALSE,"By Code";"Input_Opt",#N/A,FALSE,"By Code"}</definedName>
    <definedName name="_dy1_3_1_1_3" hidden="1">{"Input_Fin",#N/A,FALSE,"By Code";"Input_Opt",#N/A,FALSE,"By Code"}</definedName>
    <definedName name="_dy1_3_1_2" hidden="1">{"Input_Fin",#N/A,FALSE,"By Code";"Input_Opt",#N/A,FALSE,"By Code"}</definedName>
    <definedName name="_dy1_3_1_2_1" hidden="1">{"Input_Fin",#N/A,FALSE,"By Code";"Input_Opt",#N/A,FALSE,"By Code"}</definedName>
    <definedName name="_dy1_3_1_2_2" hidden="1">{"Input_Fin",#N/A,FALSE,"By Code";"Input_Opt",#N/A,FALSE,"By Code"}</definedName>
    <definedName name="_dy1_3_1_3" hidden="1">{"Input_Fin",#N/A,FALSE,"By Code";"Input_Opt",#N/A,FALSE,"By Code"}</definedName>
    <definedName name="_dy1_3_1_4" hidden="1">{"Input_Fin",#N/A,FALSE,"By Code";"Input_Opt",#N/A,FALSE,"By Code"}</definedName>
    <definedName name="_dy1_3_2" hidden="1">{"Input_Fin",#N/A,FALSE,"By Code";"Input_Opt",#N/A,FALSE,"By Code"}</definedName>
    <definedName name="_dy1_3_2_1" hidden="1">{"Input_Fin",#N/A,FALSE,"By Code";"Input_Opt",#N/A,FALSE,"By Code"}</definedName>
    <definedName name="_dy1_3_2_2" hidden="1">{"Input_Fin",#N/A,FALSE,"By Code";"Input_Opt",#N/A,FALSE,"By Code"}</definedName>
    <definedName name="_dy1_3_2_3" hidden="1">{"Input_Fin",#N/A,FALSE,"By Code";"Input_Opt",#N/A,FALSE,"By Code"}</definedName>
    <definedName name="_dy1_3_3" hidden="1">{"Input_Fin",#N/A,FALSE,"By Code";"Input_Opt",#N/A,FALSE,"By Code"}</definedName>
    <definedName name="_dy1_3_3_1" hidden="1">{"Input_Fin",#N/A,FALSE,"By Code";"Input_Opt",#N/A,FALSE,"By Code"}</definedName>
    <definedName name="_dy1_3_3_2" hidden="1">{"Input_Fin",#N/A,FALSE,"By Code";"Input_Opt",#N/A,FALSE,"By Code"}</definedName>
    <definedName name="_dy1_3_4" hidden="1">{"Input_Fin",#N/A,FALSE,"By Code";"Input_Opt",#N/A,FALSE,"By Code"}</definedName>
    <definedName name="_dy1_3_5" hidden="1">{"Input_Fin",#N/A,FALSE,"By Code";"Input_Opt",#N/A,FALSE,"By Code"}</definedName>
    <definedName name="_dy1_4" hidden="1">{"Input_Fin",#N/A,FALSE,"By Code";"Input_Opt",#N/A,FALSE,"By Code"}</definedName>
    <definedName name="_dy1_4_1" hidden="1">{"Input_Fin",#N/A,FALSE,"By Code";"Input_Opt",#N/A,FALSE,"By Code"}</definedName>
    <definedName name="_dy1_4_1_1" hidden="1">{"Input_Fin",#N/A,FALSE,"By Code";"Input_Opt",#N/A,FALSE,"By Code"}</definedName>
    <definedName name="_dy1_4_1_1_1" hidden="1">{"Input_Fin",#N/A,FALSE,"By Code";"Input_Opt",#N/A,FALSE,"By Code"}</definedName>
    <definedName name="_dy1_4_1_1_2" hidden="1">{"Input_Fin",#N/A,FALSE,"By Code";"Input_Opt",#N/A,FALSE,"By Code"}</definedName>
    <definedName name="_dy1_4_1_1_3" hidden="1">{"Input_Fin",#N/A,FALSE,"By Code";"Input_Opt",#N/A,FALSE,"By Code"}</definedName>
    <definedName name="_dy1_4_1_2" hidden="1">{"Input_Fin",#N/A,FALSE,"By Code";"Input_Opt",#N/A,FALSE,"By Code"}</definedName>
    <definedName name="_dy1_4_1_2_1" hidden="1">{"Input_Fin",#N/A,FALSE,"By Code";"Input_Opt",#N/A,FALSE,"By Code"}</definedName>
    <definedName name="_dy1_4_1_2_2" hidden="1">{"Input_Fin",#N/A,FALSE,"By Code";"Input_Opt",#N/A,FALSE,"By Code"}</definedName>
    <definedName name="_dy1_4_1_3" hidden="1">{"Input_Fin",#N/A,FALSE,"By Code";"Input_Opt",#N/A,FALSE,"By Code"}</definedName>
    <definedName name="_dy1_4_1_4" hidden="1">{"Input_Fin",#N/A,FALSE,"By Code";"Input_Opt",#N/A,FALSE,"By Code"}</definedName>
    <definedName name="_dy1_4_2" hidden="1">{"Input_Fin",#N/A,FALSE,"By Code";"Input_Opt",#N/A,FALSE,"By Code"}</definedName>
    <definedName name="_dy1_4_2_1" hidden="1">{"Input_Fin",#N/A,FALSE,"By Code";"Input_Opt",#N/A,FALSE,"By Code"}</definedName>
    <definedName name="_dy1_4_2_2" hidden="1">{"Input_Fin",#N/A,FALSE,"By Code";"Input_Opt",#N/A,FALSE,"By Code"}</definedName>
    <definedName name="_dy1_4_2_3" hidden="1">{"Input_Fin",#N/A,FALSE,"By Code";"Input_Opt",#N/A,FALSE,"By Code"}</definedName>
    <definedName name="_dy1_4_3" hidden="1">{"Input_Fin",#N/A,FALSE,"By Code";"Input_Opt",#N/A,FALSE,"By Code"}</definedName>
    <definedName name="_dy1_4_3_1" hidden="1">{"Input_Fin",#N/A,FALSE,"By Code";"Input_Opt",#N/A,FALSE,"By Code"}</definedName>
    <definedName name="_dy1_4_3_2" hidden="1">{"Input_Fin",#N/A,FALSE,"By Code";"Input_Opt",#N/A,FALSE,"By Code"}</definedName>
    <definedName name="_dy1_4_4" hidden="1">{"Input_Fin",#N/A,FALSE,"By Code";"Input_Opt",#N/A,FALSE,"By Code"}</definedName>
    <definedName name="_dy1_4_5" hidden="1">{"Input_Fin",#N/A,FALSE,"By Code";"Input_Opt",#N/A,FALSE,"By Code"}</definedName>
    <definedName name="_dy1_5" hidden="1">{"Input_Fin",#N/A,FALSE,"By Code";"Input_Opt",#N/A,FALSE,"By Code"}</definedName>
    <definedName name="_dy1_5_1" hidden="1">{"Input_Fin",#N/A,FALSE,"By Code";"Input_Opt",#N/A,FALSE,"By Code"}</definedName>
    <definedName name="_dy1_5_1_1" hidden="1">{"Input_Fin",#N/A,FALSE,"By Code";"Input_Opt",#N/A,FALSE,"By Code"}</definedName>
    <definedName name="_dy1_5_1_1_1" hidden="1">{"Input_Fin",#N/A,FALSE,"By Code";"Input_Opt",#N/A,FALSE,"By Code"}</definedName>
    <definedName name="_dy1_5_1_1_2" hidden="1">{"Input_Fin",#N/A,FALSE,"By Code";"Input_Opt",#N/A,FALSE,"By Code"}</definedName>
    <definedName name="_dy1_5_1_1_3" hidden="1">{"Input_Fin",#N/A,FALSE,"By Code";"Input_Opt",#N/A,FALSE,"By Code"}</definedName>
    <definedName name="_dy1_5_1_2" hidden="1">{"Input_Fin",#N/A,FALSE,"By Code";"Input_Opt",#N/A,FALSE,"By Code"}</definedName>
    <definedName name="_dy1_5_1_2_1" hidden="1">{"Input_Fin",#N/A,FALSE,"By Code";"Input_Opt",#N/A,FALSE,"By Code"}</definedName>
    <definedName name="_dy1_5_1_2_2" hidden="1">{"Input_Fin",#N/A,FALSE,"By Code";"Input_Opt",#N/A,FALSE,"By Code"}</definedName>
    <definedName name="_dy1_5_1_3" hidden="1">{"Input_Fin",#N/A,FALSE,"By Code";"Input_Opt",#N/A,FALSE,"By Code"}</definedName>
    <definedName name="_dy1_5_1_4" hidden="1">{"Input_Fin",#N/A,FALSE,"By Code";"Input_Opt",#N/A,FALSE,"By Code"}</definedName>
    <definedName name="_dy1_5_2" hidden="1">{"Input_Fin",#N/A,FALSE,"By Code";"Input_Opt",#N/A,FALSE,"By Code"}</definedName>
    <definedName name="_dy1_5_2_1" hidden="1">{"Input_Fin",#N/A,FALSE,"By Code";"Input_Opt",#N/A,FALSE,"By Code"}</definedName>
    <definedName name="_dy1_5_2_2" hidden="1">{"Input_Fin",#N/A,FALSE,"By Code";"Input_Opt",#N/A,FALSE,"By Code"}</definedName>
    <definedName name="_dy1_5_2_3" hidden="1">{"Input_Fin",#N/A,FALSE,"By Code";"Input_Opt",#N/A,FALSE,"By Code"}</definedName>
    <definedName name="_dy1_5_3" hidden="1">{"Input_Fin",#N/A,FALSE,"By Code";"Input_Opt",#N/A,FALSE,"By Code"}</definedName>
    <definedName name="_dy1_5_3_1" hidden="1">{"Input_Fin",#N/A,FALSE,"By Code";"Input_Opt",#N/A,FALSE,"By Code"}</definedName>
    <definedName name="_dy1_5_3_2" hidden="1">{"Input_Fin",#N/A,FALSE,"By Code";"Input_Opt",#N/A,FALSE,"By Code"}</definedName>
    <definedName name="_dy1_5_4" hidden="1">{"Input_Fin",#N/A,FALSE,"By Code";"Input_Opt",#N/A,FALSE,"By Code"}</definedName>
    <definedName name="_dy1_5_5" hidden="1">{"Input_Fin",#N/A,FALSE,"By Code";"Input_Opt",#N/A,FALSE,"By Code"}</definedName>
    <definedName name="_dy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3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5" localSheetId="12" hidden="1">{"Input_Fin",#N/A,FALSE,"By Code";"Input_Opt",#N/A,FALSE,"By Code"}</definedName>
    <definedName name="_dy5" hidden="1">{"Input_Fin",#N/A,FALSE,"By Code";"Input_Opt",#N/A,FALSE,"By Code"}</definedName>
    <definedName name="_dy5_1" hidden="1">{"Input_Fin",#N/A,FALSE,"By Code";"Input_Opt",#N/A,FALSE,"By Code"}</definedName>
    <definedName name="_dy5_1_1" hidden="1">{"Input_Fin",#N/A,FALSE,"By Code";"Input_Opt",#N/A,FALSE,"By Code"}</definedName>
    <definedName name="_dy5_1_1_1" hidden="1">{"Input_Fin",#N/A,FALSE,"By Code";"Input_Opt",#N/A,FALSE,"By Code"}</definedName>
    <definedName name="_dy5_1_1_1_1" hidden="1">{"Input_Fin",#N/A,FALSE,"By Code";"Input_Opt",#N/A,FALSE,"By Code"}</definedName>
    <definedName name="_dy5_1_1_1_1_1" hidden="1">{"Input_Fin",#N/A,FALSE,"By Code";"Input_Opt",#N/A,FALSE,"By Code"}</definedName>
    <definedName name="_dy5_1_1_1_1_2" hidden="1">{"Input_Fin",#N/A,FALSE,"By Code";"Input_Opt",#N/A,FALSE,"By Code"}</definedName>
    <definedName name="_dy5_1_1_1_1_3" hidden="1">{"Input_Fin",#N/A,FALSE,"By Code";"Input_Opt",#N/A,FALSE,"By Code"}</definedName>
    <definedName name="_dy5_1_1_1_2" hidden="1">{"Input_Fin",#N/A,FALSE,"By Code";"Input_Opt",#N/A,FALSE,"By Code"}</definedName>
    <definedName name="_dy5_1_1_1_2_1" hidden="1">{"Input_Fin",#N/A,FALSE,"By Code";"Input_Opt",#N/A,FALSE,"By Code"}</definedName>
    <definedName name="_dy5_1_1_1_2_2" hidden="1">{"Input_Fin",#N/A,FALSE,"By Code";"Input_Opt",#N/A,FALSE,"By Code"}</definedName>
    <definedName name="_dy5_1_1_1_3" hidden="1">{"Input_Fin",#N/A,FALSE,"By Code";"Input_Opt",#N/A,FALSE,"By Code"}</definedName>
    <definedName name="_dy5_1_1_1_3_1" hidden="1">{"Input_Fin",#N/A,FALSE,"By Code";"Input_Opt",#N/A,FALSE,"By Code"}</definedName>
    <definedName name="_dy5_1_1_1_3_2" hidden="1">{"Input_Fin",#N/A,FALSE,"By Code";"Input_Opt",#N/A,FALSE,"By Code"}</definedName>
    <definedName name="_dy5_1_1_1_4" hidden="1">{"Input_Fin",#N/A,FALSE,"By Code";"Input_Opt",#N/A,FALSE,"By Code"}</definedName>
    <definedName name="_dy5_1_1_1_5" hidden="1">{"Input_Fin",#N/A,FALSE,"By Code";"Input_Opt",#N/A,FALSE,"By Code"}</definedName>
    <definedName name="_dy5_1_1_2" hidden="1">{"Input_Fin",#N/A,FALSE,"By Code";"Input_Opt",#N/A,FALSE,"By Code"}</definedName>
    <definedName name="_dy5_1_1_2_1" hidden="1">{"Input_Fin",#N/A,FALSE,"By Code";"Input_Opt",#N/A,FALSE,"By Code"}</definedName>
    <definedName name="_dy5_1_1_2_2" hidden="1">{"Input_Fin",#N/A,FALSE,"By Code";"Input_Opt",#N/A,FALSE,"By Code"}</definedName>
    <definedName name="_dy5_1_1_2_3" hidden="1">{"Input_Fin",#N/A,FALSE,"By Code";"Input_Opt",#N/A,FALSE,"By Code"}</definedName>
    <definedName name="_dy5_1_1_3" hidden="1">{"Input_Fin",#N/A,FALSE,"By Code";"Input_Opt",#N/A,FALSE,"By Code"}</definedName>
    <definedName name="_dy5_1_1_3_1" hidden="1">{"Input_Fin",#N/A,FALSE,"By Code";"Input_Opt",#N/A,FALSE,"By Code"}</definedName>
    <definedName name="_dy5_1_1_3_2" hidden="1">{"Input_Fin",#N/A,FALSE,"By Code";"Input_Opt",#N/A,FALSE,"By Code"}</definedName>
    <definedName name="_dy5_1_1_4" hidden="1">{"Input_Fin",#N/A,FALSE,"By Code";"Input_Opt",#N/A,FALSE,"By Code"}</definedName>
    <definedName name="_dy5_1_1_5" hidden="1">{"Input_Fin",#N/A,FALSE,"By Code";"Input_Opt",#N/A,FALSE,"By Code"}</definedName>
    <definedName name="_dy5_1_2" hidden="1">{"Input_Fin",#N/A,FALSE,"By Code";"Input_Opt",#N/A,FALSE,"By Code"}</definedName>
    <definedName name="_dy5_1_2_1" hidden="1">{"Input_Fin",#N/A,FALSE,"By Code";"Input_Opt",#N/A,FALSE,"By Code"}</definedName>
    <definedName name="_dy5_1_2_2" hidden="1">{"Input_Fin",#N/A,FALSE,"By Code";"Input_Opt",#N/A,FALSE,"By Code"}</definedName>
    <definedName name="_dy5_1_2_3" hidden="1">{"Input_Fin",#N/A,FALSE,"By Code";"Input_Opt",#N/A,FALSE,"By Code"}</definedName>
    <definedName name="_dy5_1_3" hidden="1">{"Input_Fin",#N/A,FALSE,"By Code";"Input_Opt",#N/A,FALSE,"By Code"}</definedName>
    <definedName name="_dy5_1_3_1" hidden="1">{"Input_Fin",#N/A,FALSE,"By Code";"Input_Opt",#N/A,FALSE,"By Code"}</definedName>
    <definedName name="_dy5_1_3_2" hidden="1">{"Input_Fin",#N/A,FALSE,"By Code";"Input_Opt",#N/A,FALSE,"By Code"}</definedName>
    <definedName name="_dy5_1_4" hidden="1">{"Input_Fin",#N/A,FALSE,"By Code";"Input_Opt",#N/A,FALSE,"By Code"}</definedName>
    <definedName name="_dy5_1_5" hidden="1">{"Input_Fin",#N/A,FALSE,"By Code";"Input_Opt",#N/A,FALSE,"By Code"}</definedName>
    <definedName name="_dy5_2" hidden="1">{"Input_Fin",#N/A,FALSE,"By Code";"Input_Opt",#N/A,FALSE,"By Code"}</definedName>
    <definedName name="_dy5_2_1" hidden="1">{"Input_Fin",#N/A,FALSE,"By Code";"Input_Opt",#N/A,FALSE,"By Code"}</definedName>
    <definedName name="_dy5_2_1_1" hidden="1">{"Input_Fin",#N/A,FALSE,"By Code";"Input_Opt",#N/A,FALSE,"By Code"}</definedName>
    <definedName name="_dy5_2_1_1_1" hidden="1">{"Input_Fin",#N/A,FALSE,"By Code";"Input_Opt",#N/A,FALSE,"By Code"}</definedName>
    <definedName name="_dy5_2_1_1_2" hidden="1">{"Input_Fin",#N/A,FALSE,"By Code";"Input_Opt",#N/A,FALSE,"By Code"}</definedName>
    <definedName name="_dy5_2_1_1_3" hidden="1">{"Input_Fin",#N/A,FALSE,"By Code";"Input_Opt",#N/A,FALSE,"By Code"}</definedName>
    <definedName name="_dy5_2_1_2" hidden="1">{"Input_Fin",#N/A,FALSE,"By Code";"Input_Opt",#N/A,FALSE,"By Code"}</definedName>
    <definedName name="_dy5_2_1_2_1" hidden="1">{"Input_Fin",#N/A,FALSE,"By Code";"Input_Opt",#N/A,FALSE,"By Code"}</definedName>
    <definedName name="_dy5_2_1_2_2" hidden="1">{"Input_Fin",#N/A,FALSE,"By Code";"Input_Opt",#N/A,FALSE,"By Code"}</definedName>
    <definedName name="_dy5_2_1_3" hidden="1">{"Input_Fin",#N/A,FALSE,"By Code";"Input_Opt",#N/A,FALSE,"By Code"}</definedName>
    <definedName name="_dy5_2_1_4" hidden="1">{"Input_Fin",#N/A,FALSE,"By Code";"Input_Opt",#N/A,FALSE,"By Code"}</definedName>
    <definedName name="_dy5_2_2" hidden="1">{"Input_Fin",#N/A,FALSE,"By Code";"Input_Opt",#N/A,FALSE,"By Code"}</definedName>
    <definedName name="_dy5_2_2_1" hidden="1">{"Input_Fin",#N/A,FALSE,"By Code";"Input_Opt",#N/A,FALSE,"By Code"}</definedName>
    <definedName name="_dy5_2_2_2" hidden="1">{"Input_Fin",#N/A,FALSE,"By Code";"Input_Opt",#N/A,FALSE,"By Code"}</definedName>
    <definedName name="_dy5_2_2_3" hidden="1">{"Input_Fin",#N/A,FALSE,"By Code";"Input_Opt",#N/A,FALSE,"By Code"}</definedName>
    <definedName name="_dy5_2_3" hidden="1">{"Input_Fin",#N/A,FALSE,"By Code";"Input_Opt",#N/A,FALSE,"By Code"}</definedName>
    <definedName name="_dy5_2_3_1" hidden="1">{"Input_Fin",#N/A,FALSE,"By Code";"Input_Opt",#N/A,FALSE,"By Code"}</definedName>
    <definedName name="_dy5_2_3_2" hidden="1">{"Input_Fin",#N/A,FALSE,"By Code";"Input_Opt",#N/A,FALSE,"By Code"}</definedName>
    <definedName name="_dy5_2_4" hidden="1">{"Input_Fin",#N/A,FALSE,"By Code";"Input_Opt",#N/A,FALSE,"By Code"}</definedName>
    <definedName name="_dy5_2_5" hidden="1">{"Input_Fin",#N/A,FALSE,"By Code";"Input_Opt",#N/A,FALSE,"By Code"}</definedName>
    <definedName name="_dy5_3" hidden="1">{"Input_Fin",#N/A,FALSE,"By Code";"Input_Opt",#N/A,FALSE,"By Code"}</definedName>
    <definedName name="_dy5_3_1" hidden="1">{"Input_Fin",#N/A,FALSE,"By Code";"Input_Opt",#N/A,FALSE,"By Code"}</definedName>
    <definedName name="_dy5_3_1_1" hidden="1">{"Input_Fin",#N/A,FALSE,"By Code";"Input_Opt",#N/A,FALSE,"By Code"}</definedName>
    <definedName name="_dy5_3_1_1_1" hidden="1">{"Input_Fin",#N/A,FALSE,"By Code";"Input_Opt",#N/A,FALSE,"By Code"}</definedName>
    <definedName name="_dy5_3_1_1_2" hidden="1">{"Input_Fin",#N/A,FALSE,"By Code";"Input_Opt",#N/A,FALSE,"By Code"}</definedName>
    <definedName name="_dy5_3_1_1_3" hidden="1">{"Input_Fin",#N/A,FALSE,"By Code";"Input_Opt",#N/A,FALSE,"By Code"}</definedName>
    <definedName name="_dy5_3_1_2" hidden="1">{"Input_Fin",#N/A,FALSE,"By Code";"Input_Opt",#N/A,FALSE,"By Code"}</definedName>
    <definedName name="_dy5_3_1_2_1" hidden="1">{"Input_Fin",#N/A,FALSE,"By Code";"Input_Opt",#N/A,FALSE,"By Code"}</definedName>
    <definedName name="_dy5_3_1_2_2" hidden="1">{"Input_Fin",#N/A,FALSE,"By Code";"Input_Opt",#N/A,FALSE,"By Code"}</definedName>
    <definedName name="_dy5_3_1_3" hidden="1">{"Input_Fin",#N/A,FALSE,"By Code";"Input_Opt",#N/A,FALSE,"By Code"}</definedName>
    <definedName name="_dy5_3_1_4" hidden="1">{"Input_Fin",#N/A,FALSE,"By Code";"Input_Opt",#N/A,FALSE,"By Code"}</definedName>
    <definedName name="_dy5_3_2" hidden="1">{"Input_Fin",#N/A,FALSE,"By Code";"Input_Opt",#N/A,FALSE,"By Code"}</definedName>
    <definedName name="_dy5_3_2_1" hidden="1">{"Input_Fin",#N/A,FALSE,"By Code";"Input_Opt",#N/A,FALSE,"By Code"}</definedName>
    <definedName name="_dy5_3_2_2" hidden="1">{"Input_Fin",#N/A,FALSE,"By Code";"Input_Opt",#N/A,FALSE,"By Code"}</definedName>
    <definedName name="_dy5_3_2_3" hidden="1">{"Input_Fin",#N/A,FALSE,"By Code";"Input_Opt",#N/A,FALSE,"By Code"}</definedName>
    <definedName name="_dy5_3_3" hidden="1">{"Input_Fin",#N/A,FALSE,"By Code";"Input_Opt",#N/A,FALSE,"By Code"}</definedName>
    <definedName name="_dy5_3_3_1" hidden="1">{"Input_Fin",#N/A,FALSE,"By Code";"Input_Opt",#N/A,FALSE,"By Code"}</definedName>
    <definedName name="_dy5_3_3_2" hidden="1">{"Input_Fin",#N/A,FALSE,"By Code";"Input_Opt",#N/A,FALSE,"By Code"}</definedName>
    <definedName name="_dy5_3_4" hidden="1">{"Input_Fin",#N/A,FALSE,"By Code";"Input_Opt",#N/A,FALSE,"By Code"}</definedName>
    <definedName name="_dy5_3_5" hidden="1">{"Input_Fin",#N/A,FALSE,"By Code";"Input_Opt",#N/A,FALSE,"By Code"}</definedName>
    <definedName name="_dy5_4" hidden="1">{"Input_Fin",#N/A,FALSE,"By Code";"Input_Opt",#N/A,FALSE,"By Code"}</definedName>
    <definedName name="_dy5_4_1" hidden="1">{"Input_Fin",#N/A,FALSE,"By Code";"Input_Opt",#N/A,FALSE,"By Code"}</definedName>
    <definedName name="_dy5_4_1_1" hidden="1">{"Input_Fin",#N/A,FALSE,"By Code";"Input_Opt",#N/A,FALSE,"By Code"}</definedName>
    <definedName name="_dy5_4_1_1_1" hidden="1">{"Input_Fin",#N/A,FALSE,"By Code";"Input_Opt",#N/A,FALSE,"By Code"}</definedName>
    <definedName name="_dy5_4_1_1_2" hidden="1">{"Input_Fin",#N/A,FALSE,"By Code";"Input_Opt",#N/A,FALSE,"By Code"}</definedName>
    <definedName name="_dy5_4_1_1_3" hidden="1">{"Input_Fin",#N/A,FALSE,"By Code";"Input_Opt",#N/A,FALSE,"By Code"}</definedName>
    <definedName name="_dy5_4_1_2" hidden="1">{"Input_Fin",#N/A,FALSE,"By Code";"Input_Opt",#N/A,FALSE,"By Code"}</definedName>
    <definedName name="_dy5_4_1_2_1" hidden="1">{"Input_Fin",#N/A,FALSE,"By Code";"Input_Opt",#N/A,FALSE,"By Code"}</definedName>
    <definedName name="_dy5_4_1_2_2" hidden="1">{"Input_Fin",#N/A,FALSE,"By Code";"Input_Opt",#N/A,FALSE,"By Code"}</definedName>
    <definedName name="_dy5_4_1_3" hidden="1">{"Input_Fin",#N/A,FALSE,"By Code";"Input_Opt",#N/A,FALSE,"By Code"}</definedName>
    <definedName name="_dy5_4_1_4" hidden="1">{"Input_Fin",#N/A,FALSE,"By Code";"Input_Opt",#N/A,FALSE,"By Code"}</definedName>
    <definedName name="_dy5_4_2" hidden="1">{"Input_Fin",#N/A,FALSE,"By Code";"Input_Opt",#N/A,FALSE,"By Code"}</definedName>
    <definedName name="_dy5_4_2_1" hidden="1">{"Input_Fin",#N/A,FALSE,"By Code";"Input_Opt",#N/A,FALSE,"By Code"}</definedName>
    <definedName name="_dy5_4_2_2" hidden="1">{"Input_Fin",#N/A,FALSE,"By Code";"Input_Opt",#N/A,FALSE,"By Code"}</definedName>
    <definedName name="_dy5_4_2_3" hidden="1">{"Input_Fin",#N/A,FALSE,"By Code";"Input_Opt",#N/A,FALSE,"By Code"}</definedName>
    <definedName name="_dy5_4_3" hidden="1">{"Input_Fin",#N/A,FALSE,"By Code";"Input_Opt",#N/A,FALSE,"By Code"}</definedName>
    <definedName name="_dy5_4_3_1" hidden="1">{"Input_Fin",#N/A,FALSE,"By Code";"Input_Opt",#N/A,FALSE,"By Code"}</definedName>
    <definedName name="_dy5_4_3_2" hidden="1">{"Input_Fin",#N/A,FALSE,"By Code";"Input_Opt",#N/A,FALSE,"By Code"}</definedName>
    <definedName name="_dy5_4_4" hidden="1">{"Input_Fin",#N/A,FALSE,"By Code";"Input_Opt",#N/A,FALSE,"By Code"}</definedName>
    <definedName name="_dy5_4_5" hidden="1">{"Input_Fin",#N/A,FALSE,"By Code";"Input_Opt",#N/A,FALSE,"By Code"}</definedName>
    <definedName name="_dy5_5" hidden="1">{"Input_Fin",#N/A,FALSE,"By Code";"Input_Opt",#N/A,FALSE,"By Code"}</definedName>
    <definedName name="_dy5_5_1" hidden="1">{"Input_Fin",#N/A,FALSE,"By Code";"Input_Opt",#N/A,FALSE,"By Code"}</definedName>
    <definedName name="_dy5_5_1_1" hidden="1">{"Input_Fin",#N/A,FALSE,"By Code";"Input_Opt",#N/A,FALSE,"By Code"}</definedName>
    <definedName name="_dy5_5_1_1_1" hidden="1">{"Input_Fin",#N/A,FALSE,"By Code";"Input_Opt",#N/A,FALSE,"By Code"}</definedName>
    <definedName name="_dy5_5_1_1_2" hidden="1">{"Input_Fin",#N/A,FALSE,"By Code";"Input_Opt",#N/A,FALSE,"By Code"}</definedName>
    <definedName name="_dy5_5_1_1_3" hidden="1">{"Input_Fin",#N/A,FALSE,"By Code";"Input_Opt",#N/A,FALSE,"By Code"}</definedName>
    <definedName name="_dy5_5_1_2" hidden="1">{"Input_Fin",#N/A,FALSE,"By Code";"Input_Opt",#N/A,FALSE,"By Code"}</definedName>
    <definedName name="_dy5_5_1_2_1" hidden="1">{"Input_Fin",#N/A,FALSE,"By Code";"Input_Opt",#N/A,FALSE,"By Code"}</definedName>
    <definedName name="_dy5_5_1_2_2" hidden="1">{"Input_Fin",#N/A,FALSE,"By Code";"Input_Opt",#N/A,FALSE,"By Code"}</definedName>
    <definedName name="_dy5_5_1_3" hidden="1">{"Input_Fin",#N/A,FALSE,"By Code";"Input_Opt",#N/A,FALSE,"By Code"}</definedName>
    <definedName name="_dy5_5_1_4" hidden="1">{"Input_Fin",#N/A,FALSE,"By Code";"Input_Opt",#N/A,FALSE,"By Code"}</definedName>
    <definedName name="_dy5_5_2" hidden="1">{"Input_Fin",#N/A,FALSE,"By Code";"Input_Opt",#N/A,FALSE,"By Code"}</definedName>
    <definedName name="_dy5_5_2_1" hidden="1">{"Input_Fin",#N/A,FALSE,"By Code";"Input_Opt",#N/A,FALSE,"By Code"}</definedName>
    <definedName name="_dy5_5_2_2" hidden="1">{"Input_Fin",#N/A,FALSE,"By Code";"Input_Opt",#N/A,FALSE,"By Code"}</definedName>
    <definedName name="_dy5_5_2_3" hidden="1">{"Input_Fin",#N/A,FALSE,"By Code";"Input_Opt",#N/A,FALSE,"By Code"}</definedName>
    <definedName name="_dy5_5_3" hidden="1">{"Input_Fin",#N/A,FALSE,"By Code";"Input_Opt",#N/A,FALSE,"By Code"}</definedName>
    <definedName name="_dy5_5_3_1" hidden="1">{"Input_Fin",#N/A,FALSE,"By Code";"Input_Opt",#N/A,FALSE,"By Code"}</definedName>
    <definedName name="_dy5_5_3_2" hidden="1">{"Input_Fin",#N/A,FALSE,"By Code";"Input_Opt",#N/A,FALSE,"By Code"}</definedName>
    <definedName name="_dy5_5_4" hidden="1">{"Input_Fin",#N/A,FALSE,"By Code";"Input_Opt",#N/A,FALSE,"By Code"}</definedName>
    <definedName name="_dy5_5_5" hidden="1">{"Input_Fin",#N/A,FALSE,"By Code";"Input_Opt",#N/A,FALSE,"By Code"}</definedName>
    <definedName name="_dy6" localSheetId="12" hidden="1">{"Input_Fin",#N/A,FALSE,"By Code";"Input_Opt",#N/A,FALSE,"By Code"}</definedName>
    <definedName name="_dy6" hidden="1">{"Input_Fin",#N/A,FALSE,"By Code";"Input_Opt",#N/A,FALSE,"By Code"}</definedName>
    <definedName name="_dy6_1" hidden="1">{"Input_Fin",#N/A,FALSE,"By Code";"Input_Opt",#N/A,FALSE,"By Code"}</definedName>
    <definedName name="_dy6_1_1" hidden="1">{"Input_Fin",#N/A,FALSE,"By Code";"Input_Opt",#N/A,FALSE,"By Code"}</definedName>
    <definedName name="_dy6_1_1_1" hidden="1">{"Input_Fin",#N/A,FALSE,"By Code";"Input_Opt",#N/A,FALSE,"By Code"}</definedName>
    <definedName name="_dy6_1_1_1_1" hidden="1">{"Input_Fin",#N/A,FALSE,"By Code";"Input_Opt",#N/A,FALSE,"By Code"}</definedName>
    <definedName name="_dy6_1_1_1_1_1" hidden="1">{"Input_Fin",#N/A,FALSE,"By Code";"Input_Opt",#N/A,FALSE,"By Code"}</definedName>
    <definedName name="_dy6_1_1_1_1_2" hidden="1">{"Input_Fin",#N/A,FALSE,"By Code";"Input_Opt",#N/A,FALSE,"By Code"}</definedName>
    <definedName name="_dy6_1_1_1_1_3" hidden="1">{"Input_Fin",#N/A,FALSE,"By Code";"Input_Opt",#N/A,FALSE,"By Code"}</definedName>
    <definedName name="_dy6_1_1_1_2" hidden="1">{"Input_Fin",#N/A,FALSE,"By Code";"Input_Opt",#N/A,FALSE,"By Code"}</definedName>
    <definedName name="_dy6_1_1_1_2_1" hidden="1">{"Input_Fin",#N/A,FALSE,"By Code";"Input_Opt",#N/A,FALSE,"By Code"}</definedName>
    <definedName name="_dy6_1_1_1_2_2" hidden="1">{"Input_Fin",#N/A,FALSE,"By Code";"Input_Opt",#N/A,FALSE,"By Code"}</definedName>
    <definedName name="_dy6_1_1_1_3" hidden="1">{"Input_Fin",#N/A,FALSE,"By Code";"Input_Opt",#N/A,FALSE,"By Code"}</definedName>
    <definedName name="_dy6_1_1_1_3_1" hidden="1">{"Input_Fin",#N/A,FALSE,"By Code";"Input_Opt",#N/A,FALSE,"By Code"}</definedName>
    <definedName name="_dy6_1_1_1_3_2" hidden="1">{"Input_Fin",#N/A,FALSE,"By Code";"Input_Opt",#N/A,FALSE,"By Code"}</definedName>
    <definedName name="_dy6_1_1_1_4" hidden="1">{"Input_Fin",#N/A,FALSE,"By Code";"Input_Opt",#N/A,FALSE,"By Code"}</definedName>
    <definedName name="_dy6_1_1_1_5" hidden="1">{"Input_Fin",#N/A,FALSE,"By Code";"Input_Opt",#N/A,FALSE,"By Code"}</definedName>
    <definedName name="_dy6_1_1_2" hidden="1">{"Input_Fin",#N/A,FALSE,"By Code";"Input_Opt",#N/A,FALSE,"By Code"}</definedName>
    <definedName name="_dy6_1_1_2_1" hidden="1">{"Input_Fin",#N/A,FALSE,"By Code";"Input_Opt",#N/A,FALSE,"By Code"}</definedName>
    <definedName name="_dy6_1_1_2_2" hidden="1">{"Input_Fin",#N/A,FALSE,"By Code";"Input_Opt",#N/A,FALSE,"By Code"}</definedName>
    <definedName name="_dy6_1_1_2_3" hidden="1">{"Input_Fin",#N/A,FALSE,"By Code";"Input_Opt",#N/A,FALSE,"By Code"}</definedName>
    <definedName name="_dy6_1_1_3" hidden="1">{"Input_Fin",#N/A,FALSE,"By Code";"Input_Opt",#N/A,FALSE,"By Code"}</definedName>
    <definedName name="_dy6_1_1_3_1" hidden="1">{"Input_Fin",#N/A,FALSE,"By Code";"Input_Opt",#N/A,FALSE,"By Code"}</definedName>
    <definedName name="_dy6_1_1_3_2" hidden="1">{"Input_Fin",#N/A,FALSE,"By Code";"Input_Opt",#N/A,FALSE,"By Code"}</definedName>
    <definedName name="_dy6_1_1_4" hidden="1">{"Input_Fin",#N/A,FALSE,"By Code";"Input_Opt",#N/A,FALSE,"By Code"}</definedName>
    <definedName name="_dy6_1_1_5" hidden="1">{"Input_Fin",#N/A,FALSE,"By Code";"Input_Opt",#N/A,FALSE,"By Code"}</definedName>
    <definedName name="_dy6_1_2" hidden="1">{"Input_Fin",#N/A,FALSE,"By Code";"Input_Opt",#N/A,FALSE,"By Code"}</definedName>
    <definedName name="_dy6_1_2_1" hidden="1">{"Input_Fin",#N/A,FALSE,"By Code";"Input_Opt",#N/A,FALSE,"By Code"}</definedName>
    <definedName name="_dy6_1_2_2" hidden="1">{"Input_Fin",#N/A,FALSE,"By Code";"Input_Opt",#N/A,FALSE,"By Code"}</definedName>
    <definedName name="_dy6_1_2_3" hidden="1">{"Input_Fin",#N/A,FALSE,"By Code";"Input_Opt",#N/A,FALSE,"By Code"}</definedName>
    <definedName name="_dy6_1_3" hidden="1">{"Input_Fin",#N/A,FALSE,"By Code";"Input_Opt",#N/A,FALSE,"By Code"}</definedName>
    <definedName name="_dy6_1_3_1" hidden="1">{"Input_Fin",#N/A,FALSE,"By Code";"Input_Opt",#N/A,FALSE,"By Code"}</definedName>
    <definedName name="_dy6_1_3_2" hidden="1">{"Input_Fin",#N/A,FALSE,"By Code";"Input_Opt",#N/A,FALSE,"By Code"}</definedName>
    <definedName name="_dy6_1_4" hidden="1">{"Input_Fin",#N/A,FALSE,"By Code";"Input_Opt",#N/A,FALSE,"By Code"}</definedName>
    <definedName name="_dy6_1_5" hidden="1">{"Input_Fin",#N/A,FALSE,"By Code";"Input_Opt",#N/A,FALSE,"By Code"}</definedName>
    <definedName name="_dy6_2" hidden="1">{"Input_Fin",#N/A,FALSE,"By Code";"Input_Opt",#N/A,FALSE,"By Code"}</definedName>
    <definedName name="_dy6_2_1" hidden="1">{"Input_Fin",#N/A,FALSE,"By Code";"Input_Opt",#N/A,FALSE,"By Code"}</definedName>
    <definedName name="_dy6_2_1_1" hidden="1">{"Input_Fin",#N/A,FALSE,"By Code";"Input_Opt",#N/A,FALSE,"By Code"}</definedName>
    <definedName name="_dy6_2_1_1_1" hidden="1">{"Input_Fin",#N/A,FALSE,"By Code";"Input_Opt",#N/A,FALSE,"By Code"}</definedName>
    <definedName name="_dy6_2_1_1_2" hidden="1">{"Input_Fin",#N/A,FALSE,"By Code";"Input_Opt",#N/A,FALSE,"By Code"}</definedName>
    <definedName name="_dy6_2_1_1_3" hidden="1">{"Input_Fin",#N/A,FALSE,"By Code";"Input_Opt",#N/A,FALSE,"By Code"}</definedName>
    <definedName name="_dy6_2_1_2" hidden="1">{"Input_Fin",#N/A,FALSE,"By Code";"Input_Opt",#N/A,FALSE,"By Code"}</definedName>
    <definedName name="_dy6_2_1_2_1" hidden="1">{"Input_Fin",#N/A,FALSE,"By Code";"Input_Opt",#N/A,FALSE,"By Code"}</definedName>
    <definedName name="_dy6_2_1_2_2" hidden="1">{"Input_Fin",#N/A,FALSE,"By Code";"Input_Opt",#N/A,FALSE,"By Code"}</definedName>
    <definedName name="_dy6_2_1_3" hidden="1">{"Input_Fin",#N/A,FALSE,"By Code";"Input_Opt",#N/A,FALSE,"By Code"}</definedName>
    <definedName name="_dy6_2_1_4" hidden="1">{"Input_Fin",#N/A,FALSE,"By Code";"Input_Opt",#N/A,FALSE,"By Code"}</definedName>
    <definedName name="_dy6_2_2" hidden="1">{"Input_Fin",#N/A,FALSE,"By Code";"Input_Opt",#N/A,FALSE,"By Code"}</definedName>
    <definedName name="_dy6_2_2_1" hidden="1">{"Input_Fin",#N/A,FALSE,"By Code";"Input_Opt",#N/A,FALSE,"By Code"}</definedName>
    <definedName name="_dy6_2_2_2" hidden="1">{"Input_Fin",#N/A,FALSE,"By Code";"Input_Opt",#N/A,FALSE,"By Code"}</definedName>
    <definedName name="_dy6_2_2_3" hidden="1">{"Input_Fin",#N/A,FALSE,"By Code";"Input_Opt",#N/A,FALSE,"By Code"}</definedName>
    <definedName name="_dy6_2_3" hidden="1">{"Input_Fin",#N/A,FALSE,"By Code";"Input_Opt",#N/A,FALSE,"By Code"}</definedName>
    <definedName name="_dy6_2_3_1" hidden="1">{"Input_Fin",#N/A,FALSE,"By Code";"Input_Opt",#N/A,FALSE,"By Code"}</definedName>
    <definedName name="_dy6_2_3_2" hidden="1">{"Input_Fin",#N/A,FALSE,"By Code";"Input_Opt",#N/A,FALSE,"By Code"}</definedName>
    <definedName name="_dy6_2_4" hidden="1">{"Input_Fin",#N/A,FALSE,"By Code";"Input_Opt",#N/A,FALSE,"By Code"}</definedName>
    <definedName name="_dy6_2_5" hidden="1">{"Input_Fin",#N/A,FALSE,"By Code";"Input_Opt",#N/A,FALSE,"By Code"}</definedName>
    <definedName name="_dy6_3" hidden="1">{"Input_Fin",#N/A,FALSE,"By Code";"Input_Opt",#N/A,FALSE,"By Code"}</definedName>
    <definedName name="_dy6_3_1" hidden="1">{"Input_Fin",#N/A,FALSE,"By Code";"Input_Opt",#N/A,FALSE,"By Code"}</definedName>
    <definedName name="_dy6_3_1_1" hidden="1">{"Input_Fin",#N/A,FALSE,"By Code";"Input_Opt",#N/A,FALSE,"By Code"}</definedName>
    <definedName name="_dy6_3_1_1_1" hidden="1">{"Input_Fin",#N/A,FALSE,"By Code";"Input_Opt",#N/A,FALSE,"By Code"}</definedName>
    <definedName name="_dy6_3_1_1_2" hidden="1">{"Input_Fin",#N/A,FALSE,"By Code";"Input_Opt",#N/A,FALSE,"By Code"}</definedName>
    <definedName name="_dy6_3_1_1_3" hidden="1">{"Input_Fin",#N/A,FALSE,"By Code";"Input_Opt",#N/A,FALSE,"By Code"}</definedName>
    <definedName name="_dy6_3_1_2" hidden="1">{"Input_Fin",#N/A,FALSE,"By Code";"Input_Opt",#N/A,FALSE,"By Code"}</definedName>
    <definedName name="_dy6_3_1_2_1" hidden="1">{"Input_Fin",#N/A,FALSE,"By Code";"Input_Opt",#N/A,FALSE,"By Code"}</definedName>
    <definedName name="_dy6_3_1_2_2" hidden="1">{"Input_Fin",#N/A,FALSE,"By Code";"Input_Opt",#N/A,FALSE,"By Code"}</definedName>
    <definedName name="_dy6_3_1_3" hidden="1">{"Input_Fin",#N/A,FALSE,"By Code";"Input_Opt",#N/A,FALSE,"By Code"}</definedName>
    <definedName name="_dy6_3_1_4" hidden="1">{"Input_Fin",#N/A,FALSE,"By Code";"Input_Opt",#N/A,FALSE,"By Code"}</definedName>
    <definedName name="_dy6_3_2" hidden="1">{"Input_Fin",#N/A,FALSE,"By Code";"Input_Opt",#N/A,FALSE,"By Code"}</definedName>
    <definedName name="_dy6_3_2_1" hidden="1">{"Input_Fin",#N/A,FALSE,"By Code";"Input_Opt",#N/A,FALSE,"By Code"}</definedName>
    <definedName name="_dy6_3_2_2" hidden="1">{"Input_Fin",#N/A,FALSE,"By Code";"Input_Opt",#N/A,FALSE,"By Code"}</definedName>
    <definedName name="_dy6_3_2_3" hidden="1">{"Input_Fin",#N/A,FALSE,"By Code";"Input_Opt",#N/A,FALSE,"By Code"}</definedName>
    <definedName name="_dy6_3_3" hidden="1">{"Input_Fin",#N/A,FALSE,"By Code";"Input_Opt",#N/A,FALSE,"By Code"}</definedName>
    <definedName name="_dy6_3_3_1" hidden="1">{"Input_Fin",#N/A,FALSE,"By Code";"Input_Opt",#N/A,FALSE,"By Code"}</definedName>
    <definedName name="_dy6_3_3_2" hidden="1">{"Input_Fin",#N/A,FALSE,"By Code";"Input_Opt",#N/A,FALSE,"By Code"}</definedName>
    <definedName name="_dy6_3_4" hidden="1">{"Input_Fin",#N/A,FALSE,"By Code";"Input_Opt",#N/A,FALSE,"By Code"}</definedName>
    <definedName name="_dy6_3_5" hidden="1">{"Input_Fin",#N/A,FALSE,"By Code";"Input_Opt",#N/A,FALSE,"By Code"}</definedName>
    <definedName name="_dy6_4" hidden="1">{"Input_Fin",#N/A,FALSE,"By Code";"Input_Opt",#N/A,FALSE,"By Code"}</definedName>
    <definedName name="_dy6_4_1" hidden="1">{"Input_Fin",#N/A,FALSE,"By Code";"Input_Opt",#N/A,FALSE,"By Code"}</definedName>
    <definedName name="_dy6_4_1_1" hidden="1">{"Input_Fin",#N/A,FALSE,"By Code";"Input_Opt",#N/A,FALSE,"By Code"}</definedName>
    <definedName name="_dy6_4_1_1_1" hidden="1">{"Input_Fin",#N/A,FALSE,"By Code";"Input_Opt",#N/A,FALSE,"By Code"}</definedName>
    <definedName name="_dy6_4_1_1_2" hidden="1">{"Input_Fin",#N/A,FALSE,"By Code";"Input_Opt",#N/A,FALSE,"By Code"}</definedName>
    <definedName name="_dy6_4_1_1_3" hidden="1">{"Input_Fin",#N/A,FALSE,"By Code";"Input_Opt",#N/A,FALSE,"By Code"}</definedName>
    <definedName name="_dy6_4_1_2" hidden="1">{"Input_Fin",#N/A,FALSE,"By Code";"Input_Opt",#N/A,FALSE,"By Code"}</definedName>
    <definedName name="_dy6_4_1_2_1" hidden="1">{"Input_Fin",#N/A,FALSE,"By Code";"Input_Opt",#N/A,FALSE,"By Code"}</definedName>
    <definedName name="_dy6_4_1_2_2" hidden="1">{"Input_Fin",#N/A,FALSE,"By Code";"Input_Opt",#N/A,FALSE,"By Code"}</definedName>
    <definedName name="_dy6_4_1_3" hidden="1">{"Input_Fin",#N/A,FALSE,"By Code";"Input_Opt",#N/A,FALSE,"By Code"}</definedName>
    <definedName name="_dy6_4_1_4" hidden="1">{"Input_Fin",#N/A,FALSE,"By Code";"Input_Opt",#N/A,FALSE,"By Code"}</definedName>
    <definedName name="_dy6_4_2" hidden="1">{"Input_Fin",#N/A,FALSE,"By Code";"Input_Opt",#N/A,FALSE,"By Code"}</definedName>
    <definedName name="_dy6_4_2_1" hidden="1">{"Input_Fin",#N/A,FALSE,"By Code";"Input_Opt",#N/A,FALSE,"By Code"}</definedName>
    <definedName name="_dy6_4_2_2" hidden="1">{"Input_Fin",#N/A,FALSE,"By Code";"Input_Opt",#N/A,FALSE,"By Code"}</definedName>
    <definedName name="_dy6_4_2_3" hidden="1">{"Input_Fin",#N/A,FALSE,"By Code";"Input_Opt",#N/A,FALSE,"By Code"}</definedName>
    <definedName name="_dy6_4_3" hidden="1">{"Input_Fin",#N/A,FALSE,"By Code";"Input_Opt",#N/A,FALSE,"By Code"}</definedName>
    <definedName name="_dy6_4_3_1" hidden="1">{"Input_Fin",#N/A,FALSE,"By Code";"Input_Opt",#N/A,FALSE,"By Code"}</definedName>
    <definedName name="_dy6_4_3_2" hidden="1">{"Input_Fin",#N/A,FALSE,"By Code";"Input_Opt",#N/A,FALSE,"By Code"}</definedName>
    <definedName name="_dy6_4_4" hidden="1">{"Input_Fin",#N/A,FALSE,"By Code";"Input_Opt",#N/A,FALSE,"By Code"}</definedName>
    <definedName name="_dy6_4_5" hidden="1">{"Input_Fin",#N/A,FALSE,"By Code";"Input_Opt",#N/A,FALSE,"By Code"}</definedName>
    <definedName name="_dy6_5" hidden="1">{"Input_Fin",#N/A,FALSE,"By Code";"Input_Opt",#N/A,FALSE,"By Code"}</definedName>
    <definedName name="_dy6_5_1" hidden="1">{"Input_Fin",#N/A,FALSE,"By Code";"Input_Opt",#N/A,FALSE,"By Code"}</definedName>
    <definedName name="_dy6_5_1_1" hidden="1">{"Input_Fin",#N/A,FALSE,"By Code";"Input_Opt",#N/A,FALSE,"By Code"}</definedName>
    <definedName name="_dy6_5_1_1_1" hidden="1">{"Input_Fin",#N/A,FALSE,"By Code";"Input_Opt",#N/A,FALSE,"By Code"}</definedName>
    <definedName name="_dy6_5_1_1_2" hidden="1">{"Input_Fin",#N/A,FALSE,"By Code";"Input_Opt",#N/A,FALSE,"By Code"}</definedName>
    <definedName name="_dy6_5_1_1_3" hidden="1">{"Input_Fin",#N/A,FALSE,"By Code";"Input_Opt",#N/A,FALSE,"By Code"}</definedName>
    <definedName name="_dy6_5_1_2" hidden="1">{"Input_Fin",#N/A,FALSE,"By Code";"Input_Opt",#N/A,FALSE,"By Code"}</definedName>
    <definedName name="_dy6_5_1_2_1" hidden="1">{"Input_Fin",#N/A,FALSE,"By Code";"Input_Opt",#N/A,FALSE,"By Code"}</definedName>
    <definedName name="_dy6_5_1_2_2" hidden="1">{"Input_Fin",#N/A,FALSE,"By Code";"Input_Opt",#N/A,FALSE,"By Code"}</definedName>
    <definedName name="_dy6_5_1_3" hidden="1">{"Input_Fin",#N/A,FALSE,"By Code";"Input_Opt",#N/A,FALSE,"By Code"}</definedName>
    <definedName name="_dy6_5_1_4" hidden="1">{"Input_Fin",#N/A,FALSE,"By Code";"Input_Opt",#N/A,FALSE,"By Code"}</definedName>
    <definedName name="_dy6_5_2" hidden="1">{"Input_Fin",#N/A,FALSE,"By Code";"Input_Opt",#N/A,FALSE,"By Code"}</definedName>
    <definedName name="_dy6_5_2_1" hidden="1">{"Input_Fin",#N/A,FALSE,"By Code";"Input_Opt",#N/A,FALSE,"By Code"}</definedName>
    <definedName name="_dy6_5_2_2" hidden="1">{"Input_Fin",#N/A,FALSE,"By Code";"Input_Opt",#N/A,FALSE,"By Code"}</definedName>
    <definedName name="_dy6_5_2_3" hidden="1">{"Input_Fin",#N/A,FALSE,"By Code";"Input_Opt",#N/A,FALSE,"By Code"}</definedName>
    <definedName name="_dy6_5_3" hidden="1">{"Input_Fin",#N/A,FALSE,"By Code";"Input_Opt",#N/A,FALSE,"By Code"}</definedName>
    <definedName name="_dy6_5_3_1" hidden="1">{"Input_Fin",#N/A,FALSE,"By Code";"Input_Opt",#N/A,FALSE,"By Code"}</definedName>
    <definedName name="_dy6_5_3_2" hidden="1">{"Input_Fin",#N/A,FALSE,"By Code";"Input_Opt",#N/A,FALSE,"By Code"}</definedName>
    <definedName name="_dy6_5_4" hidden="1">{"Input_Fin",#N/A,FALSE,"By Code";"Input_Opt",#N/A,FALSE,"By Code"}</definedName>
    <definedName name="_dy6_5_5" hidden="1">{"Input_Fin",#N/A,FALSE,"By Code";"Input_Opt",#N/A,FALSE,"By Code"}</definedName>
    <definedName name="_dy7" hidden="1">{"Input_Fin",#N/A,FALSE,"By Code";"Input_Opt",#N/A,FALSE,"By Code"}</definedName>
    <definedName name="_Fill" localSheetId="12" hidden="1">#REF!</definedName>
    <definedName name="_Fill" hidden="1">#REF!</definedName>
    <definedName name="_xlnm._FilterDatabase" localSheetId="6" hidden="1">'7.部位订单表'!$B$2:$I$704</definedName>
    <definedName name="_xlnm._FilterDatabase" localSheetId="12" hidden="1">'标准费用表-2024年&amp;2025年优化'!$B$4:$J$39</definedName>
    <definedName name="_xlnm._FilterDatabase" localSheetId="13" hidden="1">根据产能每天需要鲜销部分!$A$3:$L$845</definedName>
    <definedName name="_xlnm._FilterDatabase" hidden="1">#REF!</definedName>
    <definedName name="_jhi44" localSheetId="12" hidden="1">{"Input_Fin",#N/A,FALSE,"By Code";"Input_Opt",#N/A,FALSE,"By Code"}</definedName>
    <definedName name="_jhi44" hidden="1">{"Input_Fin",#N/A,FALSE,"By Code";"Input_Opt",#N/A,FALSE,"By Code"}</definedName>
    <definedName name="_jhi44_1" hidden="1">{"Input_Fin",#N/A,FALSE,"By Code";"Input_Opt",#N/A,FALSE,"By Code"}</definedName>
    <definedName name="_jhi44_1_1" hidden="1">{"Input_Fin",#N/A,FALSE,"By Code";"Input_Opt",#N/A,FALSE,"By Code"}</definedName>
    <definedName name="_jhi44_1_1_1" hidden="1">{"Input_Fin",#N/A,FALSE,"By Code";"Input_Opt",#N/A,FALSE,"By Code"}</definedName>
    <definedName name="_jhi44_1_1_1_1" hidden="1">{"Input_Fin",#N/A,FALSE,"By Code";"Input_Opt",#N/A,FALSE,"By Code"}</definedName>
    <definedName name="_jhi44_1_1_1_1_1" hidden="1">{"Input_Fin",#N/A,FALSE,"By Code";"Input_Opt",#N/A,FALSE,"By Code"}</definedName>
    <definedName name="_jhi44_1_1_1_1_2" hidden="1">{"Input_Fin",#N/A,FALSE,"By Code";"Input_Opt",#N/A,FALSE,"By Code"}</definedName>
    <definedName name="_jhi44_1_1_1_1_3" hidden="1">{"Input_Fin",#N/A,FALSE,"By Code";"Input_Opt",#N/A,FALSE,"By Code"}</definedName>
    <definedName name="_jhi44_1_1_1_2" hidden="1">{"Input_Fin",#N/A,FALSE,"By Code";"Input_Opt",#N/A,FALSE,"By Code"}</definedName>
    <definedName name="_jhi44_1_1_1_2_1" hidden="1">{"Input_Fin",#N/A,FALSE,"By Code";"Input_Opt",#N/A,FALSE,"By Code"}</definedName>
    <definedName name="_jhi44_1_1_1_2_2" hidden="1">{"Input_Fin",#N/A,FALSE,"By Code";"Input_Opt",#N/A,FALSE,"By Code"}</definedName>
    <definedName name="_jhi44_1_1_1_3" hidden="1">{"Input_Fin",#N/A,FALSE,"By Code";"Input_Opt",#N/A,FALSE,"By Code"}</definedName>
    <definedName name="_jhi44_1_1_1_3_1" hidden="1">{"Input_Fin",#N/A,FALSE,"By Code";"Input_Opt",#N/A,FALSE,"By Code"}</definedName>
    <definedName name="_jhi44_1_1_1_3_2" hidden="1">{"Input_Fin",#N/A,FALSE,"By Code";"Input_Opt",#N/A,FALSE,"By Code"}</definedName>
    <definedName name="_jhi44_1_1_1_4" hidden="1">{"Input_Fin",#N/A,FALSE,"By Code";"Input_Opt",#N/A,FALSE,"By Code"}</definedName>
    <definedName name="_jhi44_1_1_1_5" hidden="1">{"Input_Fin",#N/A,FALSE,"By Code";"Input_Opt",#N/A,FALSE,"By Code"}</definedName>
    <definedName name="_jhi44_1_1_2" hidden="1">{"Input_Fin",#N/A,FALSE,"By Code";"Input_Opt",#N/A,FALSE,"By Code"}</definedName>
    <definedName name="_jhi44_1_1_2_1" hidden="1">{"Input_Fin",#N/A,FALSE,"By Code";"Input_Opt",#N/A,FALSE,"By Code"}</definedName>
    <definedName name="_jhi44_1_1_2_2" hidden="1">{"Input_Fin",#N/A,FALSE,"By Code";"Input_Opt",#N/A,FALSE,"By Code"}</definedName>
    <definedName name="_jhi44_1_1_2_3" hidden="1">{"Input_Fin",#N/A,FALSE,"By Code";"Input_Opt",#N/A,FALSE,"By Code"}</definedName>
    <definedName name="_jhi44_1_1_3" hidden="1">{"Input_Fin",#N/A,FALSE,"By Code";"Input_Opt",#N/A,FALSE,"By Code"}</definedName>
    <definedName name="_jhi44_1_1_3_1" hidden="1">{"Input_Fin",#N/A,FALSE,"By Code";"Input_Opt",#N/A,FALSE,"By Code"}</definedName>
    <definedName name="_jhi44_1_1_3_2" hidden="1">{"Input_Fin",#N/A,FALSE,"By Code";"Input_Opt",#N/A,FALSE,"By Code"}</definedName>
    <definedName name="_jhi44_1_1_4" hidden="1">{"Input_Fin",#N/A,FALSE,"By Code";"Input_Opt",#N/A,FALSE,"By Code"}</definedName>
    <definedName name="_jhi44_1_1_5" hidden="1">{"Input_Fin",#N/A,FALSE,"By Code";"Input_Opt",#N/A,FALSE,"By Code"}</definedName>
    <definedName name="_jhi44_1_2" hidden="1">{"Input_Fin",#N/A,FALSE,"By Code";"Input_Opt",#N/A,FALSE,"By Code"}</definedName>
    <definedName name="_jhi44_1_2_1" hidden="1">{"Input_Fin",#N/A,FALSE,"By Code";"Input_Opt",#N/A,FALSE,"By Code"}</definedName>
    <definedName name="_jhi44_1_2_2" hidden="1">{"Input_Fin",#N/A,FALSE,"By Code";"Input_Opt",#N/A,FALSE,"By Code"}</definedName>
    <definedName name="_jhi44_1_2_3" hidden="1">{"Input_Fin",#N/A,FALSE,"By Code";"Input_Opt",#N/A,FALSE,"By Code"}</definedName>
    <definedName name="_jhi44_1_3" hidden="1">{"Input_Fin",#N/A,FALSE,"By Code";"Input_Opt",#N/A,FALSE,"By Code"}</definedName>
    <definedName name="_jhi44_1_3_1" hidden="1">{"Input_Fin",#N/A,FALSE,"By Code";"Input_Opt",#N/A,FALSE,"By Code"}</definedName>
    <definedName name="_jhi44_1_3_2" hidden="1">{"Input_Fin",#N/A,FALSE,"By Code";"Input_Opt",#N/A,FALSE,"By Code"}</definedName>
    <definedName name="_jhi44_1_4" hidden="1">{"Input_Fin",#N/A,FALSE,"By Code";"Input_Opt",#N/A,FALSE,"By Code"}</definedName>
    <definedName name="_jhi44_1_5" hidden="1">{"Input_Fin",#N/A,FALSE,"By Code";"Input_Opt",#N/A,FALSE,"By Code"}</definedName>
    <definedName name="_jhi44_2" hidden="1">{"Input_Fin",#N/A,FALSE,"By Code";"Input_Opt",#N/A,FALSE,"By Code"}</definedName>
    <definedName name="_jhi44_2_1" hidden="1">{"Input_Fin",#N/A,FALSE,"By Code";"Input_Opt",#N/A,FALSE,"By Code"}</definedName>
    <definedName name="_jhi44_2_1_1" hidden="1">{"Input_Fin",#N/A,FALSE,"By Code";"Input_Opt",#N/A,FALSE,"By Code"}</definedName>
    <definedName name="_jhi44_2_1_1_1" hidden="1">{"Input_Fin",#N/A,FALSE,"By Code";"Input_Opt",#N/A,FALSE,"By Code"}</definedName>
    <definedName name="_jhi44_2_1_1_2" hidden="1">{"Input_Fin",#N/A,FALSE,"By Code";"Input_Opt",#N/A,FALSE,"By Code"}</definedName>
    <definedName name="_jhi44_2_1_1_3" hidden="1">{"Input_Fin",#N/A,FALSE,"By Code";"Input_Opt",#N/A,FALSE,"By Code"}</definedName>
    <definedName name="_jhi44_2_1_2" hidden="1">{"Input_Fin",#N/A,FALSE,"By Code";"Input_Opt",#N/A,FALSE,"By Code"}</definedName>
    <definedName name="_jhi44_2_1_2_1" hidden="1">{"Input_Fin",#N/A,FALSE,"By Code";"Input_Opt",#N/A,FALSE,"By Code"}</definedName>
    <definedName name="_jhi44_2_1_2_2" hidden="1">{"Input_Fin",#N/A,FALSE,"By Code";"Input_Opt",#N/A,FALSE,"By Code"}</definedName>
    <definedName name="_jhi44_2_1_3" hidden="1">{"Input_Fin",#N/A,FALSE,"By Code";"Input_Opt",#N/A,FALSE,"By Code"}</definedName>
    <definedName name="_jhi44_2_1_4" hidden="1">{"Input_Fin",#N/A,FALSE,"By Code";"Input_Opt",#N/A,FALSE,"By Code"}</definedName>
    <definedName name="_jhi44_2_2" hidden="1">{"Input_Fin",#N/A,FALSE,"By Code";"Input_Opt",#N/A,FALSE,"By Code"}</definedName>
    <definedName name="_jhi44_2_2_1" hidden="1">{"Input_Fin",#N/A,FALSE,"By Code";"Input_Opt",#N/A,FALSE,"By Code"}</definedName>
    <definedName name="_jhi44_2_2_2" hidden="1">{"Input_Fin",#N/A,FALSE,"By Code";"Input_Opt",#N/A,FALSE,"By Code"}</definedName>
    <definedName name="_jhi44_2_2_3" hidden="1">{"Input_Fin",#N/A,FALSE,"By Code";"Input_Opt",#N/A,FALSE,"By Code"}</definedName>
    <definedName name="_jhi44_2_3" hidden="1">{"Input_Fin",#N/A,FALSE,"By Code";"Input_Opt",#N/A,FALSE,"By Code"}</definedName>
    <definedName name="_jhi44_2_3_1" hidden="1">{"Input_Fin",#N/A,FALSE,"By Code";"Input_Opt",#N/A,FALSE,"By Code"}</definedName>
    <definedName name="_jhi44_2_3_2" hidden="1">{"Input_Fin",#N/A,FALSE,"By Code";"Input_Opt",#N/A,FALSE,"By Code"}</definedName>
    <definedName name="_jhi44_2_4" hidden="1">{"Input_Fin",#N/A,FALSE,"By Code";"Input_Opt",#N/A,FALSE,"By Code"}</definedName>
    <definedName name="_jhi44_2_5" hidden="1">{"Input_Fin",#N/A,FALSE,"By Code";"Input_Opt",#N/A,FALSE,"By Code"}</definedName>
    <definedName name="_jhi44_3" hidden="1">{"Input_Fin",#N/A,FALSE,"By Code";"Input_Opt",#N/A,FALSE,"By Code"}</definedName>
    <definedName name="_jhi44_3_1" hidden="1">{"Input_Fin",#N/A,FALSE,"By Code";"Input_Opt",#N/A,FALSE,"By Code"}</definedName>
    <definedName name="_jhi44_3_1_1" hidden="1">{"Input_Fin",#N/A,FALSE,"By Code";"Input_Opt",#N/A,FALSE,"By Code"}</definedName>
    <definedName name="_jhi44_3_1_1_1" hidden="1">{"Input_Fin",#N/A,FALSE,"By Code";"Input_Opt",#N/A,FALSE,"By Code"}</definedName>
    <definedName name="_jhi44_3_1_1_2" hidden="1">{"Input_Fin",#N/A,FALSE,"By Code";"Input_Opt",#N/A,FALSE,"By Code"}</definedName>
    <definedName name="_jhi44_3_1_1_3" hidden="1">{"Input_Fin",#N/A,FALSE,"By Code";"Input_Opt",#N/A,FALSE,"By Code"}</definedName>
    <definedName name="_jhi44_3_1_2" hidden="1">{"Input_Fin",#N/A,FALSE,"By Code";"Input_Opt",#N/A,FALSE,"By Code"}</definedName>
    <definedName name="_jhi44_3_1_2_1" hidden="1">{"Input_Fin",#N/A,FALSE,"By Code";"Input_Opt",#N/A,FALSE,"By Code"}</definedName>
    <definedName name="_jhi44_3_1_2_2" hidden="1">{"Input_Fin",#N/A,FALSE,"By Code";"Input_Opt",#N/A,FALSE,"By Code"}</definedName>
    <definedName name="_jhi44_3_1_3" hidden="1">{"Input_Fin",#N/A,FALSE,"By Code";"Input_Opt",#N/A,FALSE,"By Code"}</definedName>
    <definedName name="_jhi44_3_1_4" hidden="1">{"Input_Fin",#N/A,FALSE,"By Code";"Input_Opt",#N/A,FALSE,"By Code"}</definedName>
    <definedName name="_jhi44_3_2" hidden="1">{"Input_Fin",#N/A,FALSE,"By Code";"Input_Opt",#N/A,FALSE,"By Code"}</definedName>
    <definedName name="_jhi44_3_2_1" hidden="1">{"Input_Fin",#N/A,FALSE,"By Code";"Input_Opt",#N/A,FALSE,"By Code"}</definedName>
    <definedName name="_jhi44_3_2_2" hidden="1">{"Input_Fin",#N/A,FALSE,"By Code";"Input_Opt",#N/A,FALSE,"By Code"}</definedName>
    <definedName name="_jhi44_3_2_3" hidden="1">{"Input_Fin",#N/A,FALSE,"By Code";"Input_Opt",#N/A,FALSE,"By Code"}</definedName>
    <definedName name="_jhi44_3_3" hidden="1">{"Input_Fin",#N/A,FALSE,"By Code";"Input_Opt",#N/A,FALSE,"By Code"}</definedName>
    <definedName name="_jhi44_3_3_1" hidden="1">{"Input_Fin",#N/A,FALSE,"By Code";"Input_Opt",#N/A,FALSE,"By Code"}</definedName>
    <definedName name="_jhi44_3_3_2" hidden="1">{"Input_Fin",#N/A,FALSE,"By Code";"Input_Opt",#N/A,FALSE,"By Code"}</definedName>
    <definedName name="_jhi44_3_4" hidden="1">{"Input_Fin",#N/A,FALSE,"By Code";"Input_Opt",#N/A,FALSE,"By Code"}</definedName>
    <definedName name="_jhi44_3_5" hidden="1">{"Input_Fin",#N/A,FALSE,"By Code";"Input_Opt",#N/A,FALSE,"By Code"}</definedName>
    <definedName name="_jhi44_4" hidden="1">{"Input_Fin",#N/A,FALSE,"By Code";"Input_Opt",#N/A,FALSE,"By Code"}</definedName>
    <definedName name="_jhi44_4_1" hidden="1">{"Input_Fin",#N/A,FALSE,"By Code";"Input_Opt",#N/A,FALSE,"By Code"}</definedName>
    <definedName name="_jhi44_4_1_1" hidden="1">{"Input_Fin",#N/A,FALSE,"By Code";"Input_Opt",#N/A,FALSE,"By Code"}</definedName>
    <definedName name="_jhi44_4_1_1_1" hidden="1">{"Input_Fin",#N/A,FALSE,"By Code";"Input_Opt",#N/A,FALSE,"By Code"}</definedName>
    <definedName name="_jhi44_4_1_1_2" hidden="1">{"Input_Fin",#N/A,FALSE,"By Code";"Input_Opt",#N/A,FALSE,"By Code"}</definedName>
    <definedName name="_jhi44_4_1_1_3" hidden="1">{"Input_Fin",#N/A,FALSE,"By Code";"Input_Opt",#N/A,FALSE,"By Code"}</definedName>
    <definedName name="_jhi44_4_1_2" hidden="1">{"Input_Fin",#N/A,FALSE,"By Code";"Input_Opt",#N/A,FALSE,"By Code"}</definedName>
    <definedName name="_jhi44_4_1_2_1" hidden="1">{"Input_Fin",#N/A,FALSE,"By Code";"Input_Opt",#N/A,FALSE,"By Code"}</definedName>
    <definedName name="_jhi44_4_1_2_2" hidden="1">{"Input_Fin",#N/A,FALSE,"By Code";"Input_Opt",#N/A,FALSE,"By Code"}</definedName>
    <definedName name="_jhi44_4_1_3" hidden="1">{"Input_Fin",#N/A,FALSE,"By Code";"Input_Opt",#N/A,FALSE,"By Code"}</definedName>
    <definedName name="_jhi44_4_1_4" hidden="1">{"Input_Fin",#N/A,FALSE,"By Code";"Input_Opt",#N/A,FALSE,"By Code"}</definedName>
    <definedName name="_jhi44_4_2" hidden="1">{"Input_Fin",#N/A,FALSE,"By Code";"Input_Opt",#N/A,FALSE,"By Code"}</definedName>
    <definedName name="_jhi44_4_2_1" hidden="1">{"Input_Fin",#N/A,FALSE,"By Code";"Input_Opt",#N/A,FALSE,"By Code"}</definedName>
    <definedName name="_jhi44_4_2_2" hidden="1">{"Input_Fin",#N/A,FALSE,"By Code";"Input_Opt",#N/A,FALSE,"By Code"}</definedName>
    <definedName name="_jhi44_4_2_3" hidden="1">{"Input_Fin",#N/A,FALSE,"By Code";"Input_Opt",#N/A,FALSE,"By Code"}</definedName>
    <definedName name="_jhi44_4_3" hidden="1">{"Input_Fin",#N/A,FALSE,"By Code";"Input_Opt",#N/A,FALSE,"By Code"}</definedName>
    <definedName name="_jhi44_4_3_1" hidden="1">{"Input_Fin",#N/A,FALSE,"By Code";"Input_Opt",#N/A,FALSE,"By Code"}</definedName>
    <definedName name="_jhi44_4_3_2" hidden="1">{"Input_Fin",#N/A,FALSE,"By Code";"Input_Opt",#N/A,FALSE,"By Code"}</definedName>
    <definedName name="_jhi44_4_4" hidden="1">{"Input_Fin",#N/A,FALSE,"By Code";"Input_Opt",#N/A,FALSE,"By Code"}</definedName>
    <definedName name="_jhi44_4_5" hidden="1">{"Input_Fin",#N/A,FALSE,"By Code";"Input_Opt",#N/A,FALSE,"By Code"}</definedName>
    <definedName name="_jhi44_5" hidden="1">{"Input_Fin",#N/A,FALSE,"By Code";"Input_Opt",#N/A,FALSE,"By Code"}</definedName>
    <definedName name="_jhi44_5_1" hidden="1">{"Input_Fin",#N/A,FALSE,"By Code";"Input_Opt",#N/A,FALSE,"By Code"}</definedName>
    <definedName name="_jhi44_5_1_1" hidden="1">{"Input_Fin",#N/A,FALSE,"By Code";"Input_Opt",#N/A,FALSE,"By Code"}</definedName>
    <definedName name="_jhi44_5_1_1_1" hidden="1">{"Input_Fin",#N/A,FALSE,"By Code";"Input_Opt",#N/A,FALSE,"By Code"}</definedName>
    <definedName name="_jhi44_5_1_1_2" hidden="1">{"Input_Fin",#N/A,FALSE,"By Code";"Input_Opt",#N/A,FALSE,"By Code"}</definedName>
    <definedName name="_jhi44_5_1_1_3" hidden="1">{"Input_Fin",#N/A,FALSE,"By Code";"Input_Opt",#N/A,FALSE,"By Code"}</definedName>
    <definedName name="_jhi44_5_1_2" hidden="1">{"Input_Fin",#N/A,FALSE,"By Code";"Input_Opt",#N/A,FALSE,"By Code"}</definedName>
    <definedName name="_jhi44_5_1_2_1" hidden="1">{"Input_Fin",#N/A,FALSE,"By Code";"Input_Opt",#N/A,FALSE,"By Code"}</definedName>
    <definedName name="_jhi44_5_1_2_2" hidden="1">{"Input_Fin",#N/A,FALSE,"By Code";"Input_Opt",#N/A,FALSE,"By Code"}</definedName>
    <definedName name="_jhi44_5_1_3" hidden="1">{"Input_Fin",#N/A,FALSE,"By Code";"Input_Opt",#N/A,FALSE,"By Code"}</definedName>
    <definedName name="_jhi44_5_1_4" hidden="1">{"Input_Fin",#N/A,FALSE,"By Code";"Input_Opt",#N/A,FALSE,"By Code"}</definedName>
    <definedName name="_jhi44_5_2" hidden="1">{"Input_Fin",#N/A,FALSE,"By Code";"Input_Opt",#N/A,FALSE,"By Code"}</definedName>
    <definedName name="_jhi44_5_2_1" hidden="1">{"Input_Fin",#N/A,FALSE,"By Code";"Input_Opt",#N/A,FALSE,"By Code"}</definedName>
    <definedName name="_jhi44_5_2_2" hidden="1">{"Input_Fin",#N/A,FALSE,"By Code";"Input_Opt",#N/A,FALSE,"By Code"}</definedName>
    <definedName name="_jhi44_5_2_3" hidden="1">{"Input_Fin",#N/A,FALSE,"By Code";"Input_Opt",#N/A,FALSE,"By Code"}</definedName>
    <definedName name="_jhi44_5_3" hidden="1">{"Input_Fin",#N/A,FALSE,"By Code";"Input_Opt",#N/A,FALSE,"By Code"}</definedName>
    <definedName name="_jhi44_5_3_1" hidden="1">{"Input_Fin",#N/A,FALSE,"By Code";"Input_Opt",#N/A,FALSE,"By Code"}</definedName>
    <definedName name="_jhi44_5_3_2" hidden="1">{"Input_Fin",#N/A,FALSE,"By Code";"Input_Opt",#N/A,FALSE,"By Code"}</definedName>
    <definedName name="_jhi44_5_4" hidden="1">{"Input_Fin",#N/A,FALSE,"By Code";"Input_Opt",#N/A,FALSE,"By Code"}</definedName>
    <definedName name="_jhi44_5_5" hidden="1">{"Input_Fin",#N/A,FALSE,"By Code";"Input_Opt",#N/A,FALSE,"By Code"}</definedName>
    <definedName name="_Key1" localSheetId="12" hidden="1">#REF!</definedName>
    <definedName name="_Key1" hidden="1">#REF!</definedName>
    <definedName name="_Key2" localSheetId="12" hidden="1">#REF!</definedName>
    <definedName name="_Key2" hidden="1">#REF!</definedName>
    <definedName name="_Module1.Macro1">#N/A</definedName>
    <definedName name="_Module1.Macro111">#N/A</definedName>
    <definedName name="_ModuleU201__ARP_A">#N/A</definedName>
    <definedName name="_ModuleU201__ARP_B">#N/A</definedName>
    <definedName name="_ModuleU201__ARP_C">#N/A</definedName>
    <definedName name="_ModuleU201__ARP_D">#N/A</definedName>
    <definedName name="_ModuleU201__ARP_E">#N/A</definedName>
    <definedName name="_ModuleU201__ARP_F">#N/A</definedName>
    <definedName name="_ModuleU201__ARP_G">#N/A</definedName>
    <definedName name="_ModuleU201__ARP_H">#N/A</definedName>
    <definedName name="_ModuleU201__Back">#N/A</definedName>
    <definedName name="_Order1" hidden="1">255</definedName>
    <definedName name="_Order2" hidden="1">255</definedName>
    <definedName name="_Parse_In" localSheetId="12" hidden="1">#REF!</definedName>
    <definedName name="_Parse_In" hidden="1">#REF!</definedName>
    <definedName name="_Parse_Out" localSheetId="12" hidden="1">#REF!</definedName>
    <definedName name="_Parse_Out" hidden="1">#REF!</definedName>
    <definedName name="_Q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Sort" localSheetId="12" hidden="1">#REF!</definedName>
    <definedName name="_Sort" hidden="1">#REF!</definedName>
    <definedName name="_w11" localSheetId="12" hidden="1">#REF!</definedName>
    <definedName name="_w11" hidden="1">#REF!</definedName>
    <definedName name="A">#N/A</definedName>
    <definedName name="A223223232" hidden="1">{"Input_Fin",#N/A,FALSE,"By Code";"Input_Opt",#N/A,FALSE,"By Code"}</definedName>
    <definedName name="a3345676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4667787654" hidden="1">{"Input_Fin",#N/A,FALSE,"By Code";"Input_Opt",#N/A,FALSE,"By Code"}</definedName>
    <definedName name="A4678765" hidden="1">{"Input_Fin",#N/A,FALSE,"By Code";"Input_Opt",#N/A,FALSE,"By Code"}</definedName>
    <definedName name="a5544332778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ll" localSheetId="12" hidden="1">#REF!</definedName>
    <definedName name="all" hidden="1">#REF!</definedName>
    <definedName name="area1_15">#N/A</definedName>
    <definedName name="ARP_A">#N/A</definedName>
    <definedName name="as">#N/A</definedName>
    <definedName name="AS_1" hidden="1">{"Input_Fin",#N/A,FALSE,"By Code";"Input_Opt",#N/A,FALSE,"By Code"}</definedName>
    <definedName name="AS_1_1" hidden="1">{"Input_Fin",#N/A,FALSE,"By Code";"Input_Opt",#N/A,FALSE,"By Code"}</definedName>
    <definedName name="AS_1_1_1" hidden="1">{"Input_Fin",#N/A,FALSE,"By Code";"Input_Opt",#N/A,FALSE,"By Code"}</definedName>
    <definedName name="AS_1_1_2" hidden="1">{"Input_Fin",#N/A,FALSE,"By Code";"Input_Opt",#N/A,FALSE,"By Code"}</definedName>
    <definedName name="AS_1_1_3" hidden="1">{"Input_Fin",#N/A,FALSE,"By Code";"Input_Opt",#N/A,FALSE,"By Code"}</definedName>
    <definedName name="AS_1_2" hidden="1">{"Input_Fin",#N/A,FALSE,"By Code";"Input_Opt",#N/A,FALSE,"By Code"}</definedName>
    <definedName name="AS_1_2_1" hidden="1">{"Input_Fin",#N/A,FALSE,"By Code";"Input_Opt",#N/A,FALSE,"By Code"}</definedName>
    <definedName name="AS_1_2_2" hidden="1">{"Input_Fin",#N/A,FALSE,"By Code";"Input_Opt",#N/A,FALSE,"By Code"}</definedName>
    <definedName name="AS_1_3" hidden="1">{"Input_Fin",#N/A,FALSE,"By Code";"Input_Opt",#N/A,FALSE,"By Code"}</definedName>
    <definedName name="AS_1_4" hidden="1">{"Input_Fin",#N/A,FALSE,"By Code";"Input_Opt",#N/A,FALSE,"By Code"}</definedName>
    <definedName name="AS_2" hidden="1">{"Input_Fin",#N/A,FALSE,"By Code";"Input_Opt",#N/A,FALSE,"By Code"}</definedName>
    <definedName name="AS_2_1" hidden="1">{"Input_Fin",#N/A,FALSE,"By Code";"Input_Opt",#N/A,FALSE,"By Code"}</definedName>
    <definedName name="AS_2_2" hidden="1">{"Input_Fin",#N/A,FALSE,"By Code";"Input_Opt",#N/A,FALSE,"By Code"}</definedName>
    <definedName name="AS_2_3" hidden="1">{"Input_Fin",#N/A,FALSE,"By Code";"Input_Opt",#N/A,FALSE,"By Code"}</definedName>
    <definedName name="AS_3" hidden="1">{"Input_Fin",#N/A,FALSE,"By Code";"Input_Opt",#N/A,FALSE,"By Code"}</definedName>
    <definedName name="AS_3_1" hidden="1">{"Input_Fin",#N/A,FALSE,"By Code";"Input_Opt",#N/A,FALSE,"By Code"}</definedName>
    <definedName name="AS_3_2" hidden="1">{"Input_Fin",#N/A,FALSE,"By Code";"Input_Opt",#N/A,FALSE,"By Code"}</definedName>
    <definedName name="AS_4" hidden="1">{"Input_Fin",#N/A,FALSE,"By Code";"Input_Opt",#N/A,FALSE,"By Code"}</definedName>
    <definedName name="AS_5" hidden="1">{"Input_Fin",#N/A,FALSE,"By Code";"Input_Opt",#N/A,FALSE,"By Code"}</definedName>
    <definedName name="AS2DocOpenMode" hidden="1">"AS2DocumentEdit"</definedName>
    <definedName name="AS3损益表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asas" localSheetId="12" hidden="1">{"'Sheet4'!$A$1:$L$41"}</definedName>
    <definedName name="asasas" hidden="1">{"'Sheet4'!$A$1:$L$41"}</definedName>
    <definedName name="ASDDFFF" hidden="1">{"Input_Fin",#N/A,FALSE,"By Code";"Input_Opt",#N/A,FALSE,"By Code"}</definedName>
    <definedName name="ASDDFFF_1" hidden="1">{"Input_Fin",#N/A,FALSE,"By Code";"Input_Opt",#N/A,FALSE,"By Code"}</definedName>
    <definedName name="ASDDFFF_1_1" hidden="1">{"Input_Fin",#N/A,FALSE,"By Code";"Input_Opt",#N/A,FALSE,"By Code"}</definedName>
    <definedName name="ASDDFFF_1_1_1" hidden="1">{"Input_Fin",#N/A,FALSE,"By Code";"Input_Opt",#N/A,FALSE,"By Code"}</definedName>
    <definedName name="ASDDFFF_1_1_2" hidden="1">{"Input_Fin",#N/A,FALSE,"By Code";"Input_Opt",#N/A,FALSE,"By Code"}</definedName>
    <definedName name="ASDDFFF_1_1_3" hidden="1">{"Input_Fin",#N/A,FALSE,"By Code";"Input_Opt",#N/A,FALSE,"By Code"}</definedName>
    <definedName name="ASDDFFF_1_2" hidden="1">{"Input_Fin",#N/A,FALSE,"By Code";"Input_Opt",#N/A,FALSE,"By Code"}</definedName>
    <definedName name="ASDDFFF_1_2_1" hidden="1">{"Input_Fin",#N/A,FALSE,"By Code";"Input_Opt",#N/A,FALSE,"By Code"}</definedName>
    <definedName name="ASDDFFF_1_2_2" hidden="1">{"Input_Fin",#N/A,FALSE,"By Code";"Input_Opt",#N/A,FALSE,"By Code"}</definedName>
    <definedName name="ASDDFFF_1_3" hidden="1">{"Input_Fin",#N/A,FALSE,"By Code";"Input_Opt",#N/A,FALSE,"By Code"}</definedName>
    <definedName name="ASDDFFF_1_4" hidden="1">{"Input_Fin",#N/A,FALSE,"By Code";"Input_Opt",#N/A,FALSE,"By Code"}</definedName>
    <definedName name="ASDDFFF_2" hidden="1">{"Input_Fin",#N/A,FALSE,"By Code";"Input_Opt",#N/A,FALSE,"By Code"}</definedName>
    <definedName name="ASDDFFF_2_1" hidden="1">{"Input_Fin",#N/A,FALSE,"By Code";"Input_Opt",#N/A,FALSE,"By Code"}</definedName>
    <definedName name="ASDDFFF_2_2" hidden="1">{"Input_Fin",#N/A,FALSE,"By Code";"Input_Opt",#N/A,FALSE,"By Code"}</definedName>
    <definedName name="ASDDFFF_2_3" hidden="1">{"Input_Fin",#N/A,FALSE,"By Code";"Input_Opt",#N/A,FALSE,"By Code"}</definedName>
    <definedName name="ASDDFFF_3" hidden="1">{"Input_Fin",#N/A,FALSE,"By Code";"Input_Opt",#N/A,FALSE,"By Code"}</definedName>
    <definedName name="ASDDFFF_3_1" hidden="1">{"Input_Fin",#N/A,FALSE,"By Code";"Input_Opt",#N/A,FALSE,"By Code"}</definedName>
    <definedName name="ASDDFFF_3_2" hidden="1">{"Input_Fin",#N/A,FALSE,"By Code";"Input_Opt",#N/A,FALSE,"By Code"}</definedName>
    <definedName name="ASDDFFF_4" hidden="1">{"Input_Fin",#N/A,FALSE,"By Code";"Input_Opt",#N/A,FALSE,"By Code"}</definedName>
    <definedName name="ASDDFFF_5" hidden="1">{"Input_Fin",#N/A,FALSE,"By Code";"Input_Opt",#N/A,FALSE,"By Code"}</definedName>
    <definedName name="asg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s" localSheetId="12" hidden="1">{"Input_Fin",#N/A,FALSE,"By Code";"Input_Opt",#N/A,FALSE,"By Code"}</definedName>
    <definedName name="ass" hidden="1">{"Input_Fin",#N/A,FALSE,"By Code";"Input_Opt",#N/A,FALSE,"By Code"}</definedName>
    <definedName name="ass_1" hidden="1">{"Input_Fin",#N/A,FALSE,"By Code";"Input_Opt",#N/A,FALSE,"By Code"}</definedName>
    <definedName name="ass_1_1" hidden="1">{"Input_Fin",#N/A,FALSE,"By Code";"Input_Opt",#N/A,FALSE,"By Code"}</definedName>
    <definedName name="ass_1_1_1" hidden="1">{"Input_Fin",#N/A,FALSE,"By Code";"Input_Opt",#N/A,FALSE,"By Code"}</definedName>
    <definedName name="ass_1_1_1_1" hidden="1">{"Input_Fin",#N/A,FALSE,"By Code";"Input_Opt",#N/A,FALSE,"By Code"}</definedName>
    <definedName name="ass_1_1_1_1_1" hidden="1">{"Input_Fin",#N/A,FALSE,"By Code";"Input_Opt",#N/A,FALSE,"By Code"}</definedName>
    <definedName name="ass_1_1_1_1_2" hidden="1">{"Input_Fin",#N/A,FALSE,"By Code";"Input_Opt",#N/A,FALSE,"By Code"}</definedName>
    <definedName name="ass_1_1_1_1_3" hidden="1">{"Input_Fin",#N/A,FALSE,"By Code";"Input_Opt",#N/A,FALSE,"By Code"}</definedName>
    <definedName name="ass_1_1_1_2" hidden="1">{"Input_Fin",#N/A,FALSE,"By Code";"Input_Opt",#N/A,FALSE,"By Code"}</definedName>
    <definedName name="ass_1_1_1_2_1" hidden="1">{"Input_Fin",#N/A,FALSE,"By Code";"Input_Opt",#N/A,FALSE,"By Code"}</definedName>
    <definedName name="ass_1_1_1_2_2" hidden="1">{"Input_Fin",#N/A,FALSE,"By Code";"Input_Opt",#N/A,FALSE,"By Code"}</definedName>
    <definedName name="ass_1_1_1_3" hidden="1">{"Input_Fin",#N/A,FALSE,"By Code";"Input_Opt",#N/A,FALSE,"By Code"}</definedName>
    <definedName name="ass_1_1_1_3_1" hidden="1">{"Input_Fin",#N/A,FALSE,"By Code";"Input_Opt",#N/A,FALSE,"By Code"}</definedName>
    <definedName name="ass_1_1_1_3_2" hidden="1">{"Input_Fin",#N/A,FALSE,"By Code";"Input_Opt",#N/A,FALSE,"By Code"}</definedName>
    <definedName name="ass_1_1_1_4" hidden="1">{"Input_Fin",#N/A,FALSE,"By Code";"Input_Opt",#N/A,FALSE,"By Code"}</definedName>
    <definedName name="ass_1_1_1_5" hidden="1">{"Input_Fin",#N/A,FALSE,"By Code";"Input_Opt",#N/A,FALSE,"By Code"}</definedName>
    <definedName name="ass_1_1_2" hidden="1">{"Input_Fin",#N/A,FALSE,"By Code";"Input_Opt",#N/A,FALSE,"By Code"}</definedName>
    <definedName name="ass_1_1_2_1" hidden="1">{"Input_Fin",#N/A,FALSE,"By Code";"Input_Opt",#N/A,FALSE,"By Code"}</definedName>
    <definedName name="ass_1_1_2_2" hidden="1">{"Input_Fin",#N/A,FALSE,"By Code";"Input_Opt",#N/A,FALSE,"By Code"}</definedName>
    <definedName name="ass_1_1_2_3" hidden="1">{"Input_Fin",#N/A,FALSE,"By Code";"Input_Opt",#N/A,FALSE,"By Code"}</definedName>
    <definedName name="ass_1_1_3" hidden="1">{"Input_Fin",#N/A,FALSE,"By Code";"Input_Opt",#N/A,FALSE,"By Code"}</definedName>
    <definedName name="ass_1_1_3_1" hidden="1">{"Input_Fin",#N/A,FALSE,"By Code";"Input_Opt",#N/A,FALSE,"By Code"}</definedName>
    <definedName name="ass_1_1_3_2" hidden="1">{"Input_Fin",#N/A,FALSE,"By Code";"Input_Opt",#N/A,FALSE,"By Code"}</definedName>
    <definedName name="ass_1_1_4" hidden="1">{"Input_Fin",#N/A,FALSE,"By Code";"Input_Opt",#N/A,FALSE,"By Code"}</definedName>
    <definedName name="ass_1_1_5" hidden="1">{"Input_Fin",#N/A,FALSE,"By Code";"Input_Opt",#N/A,FALSE,"By Code"}</definedName>
    <definedName name="ass_1_2" hidden="1">{"Input_Fin",#N/A,FALSE,"By Code";"Input_Opt",#N/A,FALSE,"By Code"}</definedName>
    <definedName name="ass_1_2_1" hidden="1">{"Input_Fin",#N/A,FALSE,"By Code";"Input_Opt",#N/A,FALSE,"By Code"}</definedName>
    <definedName name="ass_1_2_2" hidden="1">{"Input_Fin",#N/A,FALSE,"By Code";"Input_Opt",#N/A,FALSE,"By Code"}</definedName>
    <definedName name="ass_1_2_3" hidden="1">{"Input_Fin",#N/A,FALSE,"By Code";"Input_Opt",#N/A,FALSE,"By Code"}</definedName>
    <definedName name="ass_1_3" hidden="1">{"Input_Fin",#N/A,FALSE,"By Code";"Input_Opt",#N/A,FALSE,"By Code"}</definedName>
    <definedName name="ass_1_3_1" hidden="1">{"Input_Fin",#N/A,FALSE,"By Code";"Input_Opt",#N/A,FALSE,"By Code"}</definedName>
    <definedName name="ass_1_3_2" hidden="1">{"Input_Fin",#N/A,FALSE,"By Code";"Input_Opt",#N/A,FALSE,"By Code"}</definedName>
    <definedName name="ass_1_4" hidden="1">{"Input_Fin",#N/A,FALSE,"By Code";"Input_Opt",#N/A,FALSE,"By Code"}</definedName>
    <definedName name="ass_1_5" hidden="1">{"Input_Fin",#N/A,FALSE,"By Code";"Input_Opt",#N/A,FALSE,"By Code"}</definedName>
    <definedName name="ass_2" hidden="1">{"Input_Fin",#N/A,FALSE,"By Code";"Input_Opt",#N/A,FALSE,"By Code"}</definedName>
    <definedName name="ass_2_1" hidden="1">{"Input_Fin",#N/A,FALSE,"By Code";"Input_Opt",#N/A,FALSE,"By Code"}</definedName>
    <definedName name="ass_2_1_1" hidden="1">{"Input_Fin",#N/A,FALSE,"By Code";"Input_Opt",#N/A,FALSE,"By Code"}</definedName>
    <definedName name="ass_2_1_1_1" hidden="1">{"Input_Fin",#N/A,FALSE,"By Code";"Input_Opt",#N/A,FALSE,"By Code"}</definedName>
    <definedName name="ass_2_1_1_2" hidden="1">{"Input_Fin",#N/A,FALSE,"By Code";"Input_Opt",#N/A,FALSE,"By Code"}</definedName>
    <definedName name="ass_2_1_1_3" hidden="1">{"Input_Fin",#N/A,FALSE,"By Code";"Input_Opt",#N/A,FALSE,"By Code"}</definedName>
    <definedName name="ass_2_1_2" hidden="1">{"Input_Fin",#N/A,FALSE,"By Code";"Input_Opt",#N/A,FALSE,"By Code"}</definedName>
    <definedName name="ass_2_1_2_1" hidden="1">{"Input_Fin",#N/A,FALSE,"By Code";"Input_Opt",#N/A,FALSE,"By Code"}</definedName>
    <definedName name="ass_2_1_2_2" hidden="1">{"Input_Fin",#N/A,FALSE,"By Code";"Input_Opt",#N/A,FALSE,"By Code"}</definedName>
    <definedName name="ass_2_1_3" hidden="1">{"Input_Fin",#N/A,FALSE,"By Code";"Input_Opt",#N/A,FALSE,"By Code"}</definedName>
    <definedName name="ass_2_1_4" hidden="1">{"Input_Fin",#N/A,FALSE,"By Code";"Input_Opt",#N/A,FALSE,"By Code"}</definedName>
    <definedName name="ass_2_2" hidden="1">{"Input_Fin",#N/A,FALSE,"By Code";"Input_Opt",#N/A,FALSE,"By Code"}</definedName>
    <definedName name="ass_2_2_1" hidden="1">{"Input_Fin",#N/A,FALSE,"By Code";"Input_Opt",#N/A,FALSE,"By Code"}</definedName>
    <definedName name="ass_2_2_2" hidden="1">{"Input_Fin",#N/A,FALSE,"By Code";"Input_Opt",#N/A,FALSE,"By Code"}</definedName>
    <definedName name="ass_2_2_3" hidden="1">{"Input_Fin",#N/A,FALSE,"By Code";"Input_Opt",#N/A,FALSE,"By Code"}</definedName>
    <definedName name="ass_2_3" hidden="1">{"Input_Fin",#N/A,FALSE,"By Code";"Input_Opt",#N/A,FALSE,"By Code"}</definedName>
    <definedName name="ass_2_3_1" hidden="1">{"Input_Fin",#N/A,FALSE,"By Code";"Input_Opt",#N/A,FALSE,"By Code"}</definedName>
    <definedName name="ass_2_3_2" hidden="1">{"Input_Fin",#N/A,FALSE,"By Code";"Input_Opt",#N/A,FALSE,"By Code"}</definedName>
    <definedName name="ass_2_4" hidden="1">{"Input_Fin",#N/A,FALSE,"By Code";"Input_Opt",#N/A,FALSE,"By Code"}</definedName>
    <definedName name="ass_2_5" hidden="1">{"Input_Fin",#N/A,FALSE,"By Code";"Input_Opt",#N/A,FALSE,"By Code"}</definedName>
    <definedName name="ass_3" hidden="1">{"Input_Fin",#N/A,FALSE,"By Code";"Input_Opt",#N/A,FALSE,"By Code"}</definedName>
    <definedName name="ass_3_1" hidden="1">{"Input_Fin",#N/A,FALSE,"By Code";"Input_Opt",#N/A,FALSE,"By Code"}</definedName>
    <definedName name="ass_3_1_1" hidden="1">{"Input_Fin",#N/A,FALSE,"By Code";"Input_Opt",#N/A,FALSE,"By Code"}</definedName>
    <definedName name="ass_3_1_1_1" hidden="1">{"Input_Fin",#N/A,FALSE,"By Code";"Input_Opt",#N/A,FALSE,"By Code"}</definedName>
    <definedName name="ass_3_1_1_2" hidden="1">{"Input_Fin",#N/A,FALSE,"By Code";"Input_Opt",#N/A,FALSE,"By Code"}</definedName>
    <definedName name="ass_3_1_1_3" hidden="1">{"Input_Fin",#N/A,FALSE,"By Code";"Input_Opt",#N/A,FALSE,"By Code"}</definedName>
    <definedName name="ass_3_1_2" hidden="1">{"Input_Fin",#N/A,FALSE,"By Code";"Input_Opt",#N/A,FALSE,"By Code"}</definedName>
    <definedName name="ass_3_1_2_1" hidden="1">{"Input_Fin",#N/A,FALSE,"By Code";"Input_Opt",#N/A,FALSE,"By Code"}</definedName>
    <definedName name="ass_3_1_2_2" hidden="1">{"Input_Fin",#N/A,FALSE,"By Code";"Input_Opt",#N/A,FALSE,"By Code"}</definedName>
    <definedName name="ass_3_1_3" hidden="1">{"Input_Fin",#N/A,FALSE,"By Code";"Input_Opt",#N/A,FALSE,"By Code"}</definedName>
    <definedName name="ass_3_1_4" hidden="1">{"Input_Fin",#N/A,FALSE,"By Code";"Input_Opt",#N/A,FALSE,"By Code"}</definedName>
    <definedName name="ass_3_2" hidden="1">{"Input_Fin",#N/A,FALSE,"By Code";"Input_Opt",#N/A,FALSE,"By Code"}</definedName>
    <definedName name="ass_3_2_1" hidden="1">{"Input_Fin",#N/A,FALSE,"By Code";"Input_Opt",#N/A,FALSE,"By Code"}</definedName>
    <definedName name="ass_3_2_2" hidden="1">{"Input_Fin",#N/A,FALSE,"By Code";"Input_Opt",#N/A,FALSE,"By Code"}</definedName>
    <definedName name="ass_3_2_3" hidden="1">{"Input_Fin",#N/A,FALSE,"By Code";"Input_Opt",#N/A,FALSE,"By Code"}</definedName>
    <definedName name="ass_3_3" hidden="1">{"Input_Fin",#N/A,FALSE,"By Code";"Input_Opt",#N/A,FALSE,"By Code"}</definedName>
    <definedName name="ass_3_3_1" hidden="1">{"Input_Fin",#N/A,FALSE,"By Code";"Input_Opt",#N/A,FALSE,"By Code"}</definedName>
    <definedName name="ass_3_3_2" hidden="1">{"Input_Fin",#N/A,FALSE,"By Code";"Input_Opt",#N/A,FALSE,"By Code"}</definedName>
    <definedName name="ass_3_4" hidden="1">{"Input_Fin",#N/A,FALSE,"By Code";"Input_Opt",#N/A,FALSE,"By Code"}</definedName>
    <definedName name="ass_3_5" hidden="1">{"Input_Fin",#N/A,FALSE,"By Code";"Input_Opt",#N/A,FALSE,"By Code"}</definedName>
    <definedName name="ass_4" hidden="1">{"Input_Fin",#N/A,FALSE,"By Code";"Input_Opt",#N/A,FALSE,"By Code"}</definedName>
    <definedName name="ass_4_1" hidden="1">{"Input_Fin",#N/A,FALSE,"By Code";"Input_Opt",#N/A,FALSE,"By Code"}</definedName>
    <definedName name="ass_4_1_1" hidden="1">{"Input_Fin",#N/A,FALSE,"By Code";"Input_Opt",#N/A,FALSE,"By Code"}</definedName>
    <definedName name="ass_4_1_1_1" hidden="1">{"Input_Fin",#N/A,FALSE,"By Code";"Input_Opt",#N/A,FALSE,"By Code"}</definedName>
    <definedName name="ass_4_1_1_2" hidden="1">{"Input_Fin",#N/A,FALSE,"By Code";"Input_Opt",#N/A,FALSE,"By Code"}</definedName>
    <definedName name="ass_4_1_1_3" hidden="1">{"Input_Fin",#N/A,FALSE,"By Code";"Input_Opt",#N/A,FALSE,"By Code"}</definedName>
    <definedName name="ass_4_1_2" hidden="1">{"Input_Fin",#N/A,FALSE,"By Code";"Input_Opt",#N/A,FALSE,"By Code"}</definedName>
    <definedName name="ass_4_1_2_1" hidden="1">{"Input_Fin",#N/A,FALSE,"By Code";"Input_Opt",#N/A,FALSE,"By Code"}</definedName>
    <definedName name="ass_4_1_2_2" hidden="1">{"Input_Fin",#N/A,FALSE,"By Code";"Input_Opt",#N/A,FALSE,"By Code"}</definedName>
    <definedName name="ass_4_1_3" hidden="1">{"Input_Fin",#N/A,FALSE,"By Code";"Input_Opt",#N/A,FALSE,"By Code"}</definedName>
    <definedName name="ass_4_1_4" hidden="1">{"Input_Fin",#N/A,FALSE,"By Code";"Input_Opt",#N/A,FALSE,"By Code"}</definedName>
    <definedName name="ass_4_2" hidden="1">{"Input_Fin",#N/A,FALSE,"By Code";"Input_Opt",#N/A,FALSE,"By Code"}</definedName>
    <definedName name="ass_4_2_1" hidden="1">{"Input_Fin",#N/A,FALSE,"By Code";"Input_Opt",#N/A,FALSE,"By Code"}</definedName>
    <definedName name="ass_4_2_2" hidden="1">{"Input_Fin",#N/A,FALSE,"By Code";"Input_Opt",#N/A,FALSE,"By Code"}</definedName>
    <definedName name="ass_4_2_3" hidden="1">{"Input_Fin",#N/A,FALSE,"By Code";"Input_Opt",#N/A,FALSE,"By Code"}</definedName>
    <definedName name="ass_4_3" hidden="1">{"Input_Fin",#N/A,FALSE,"By Code";"Input_Opt",#N/A,FALSE,"By Code"}</definedName>
    <definedName name="ass_4_3_1" hidden="1">{"Input_Fin",#N/A,FALSE,"By Code";"Input_Opt",#N/A,FALSE,"By Code"}</definedName>
    <definedName name="ass_4_3_2" hidden="1">{"Input_Fin",#N/A,FALSE,"By Code";"Input_Opt",#N/A,FALSE,"By Code"}</definedName>
    <definedName name="ass_4_4" hidden="1">{"Input_Fin",#N/A,FALSE,"By Code";"Input_Opt",#N/A,FALSE,"By Code"}</definedName>
    <definedName name="ass_4_5" hidden="1">{"Input_Fin",#N/A,FALSE,"By Code";"Input_Opt",#N/A,FALSE,"By Code"}</definedName>
    <definedName name="ass_5" hidden="1">{"Input_Fin",#N/A,FALSE,"By Code";"Input_Opt",#N/A,FALSE,"By Code"}</definedName>
    <definedName name="ass_5_1" hidden="1">{"Input_Fin",#N/A,FALSE,"By Code";"Input_Opt",#N/A,FALSE,"By Code"}</definedName>
    <definedName name="ass_5_1_1" hidden="1">{"Input_Fin",#N/A,FALSE,"By Code";"Input_Opt",#N/A,FALSE,"By Code"}</definedName>
    <definedName name="ass_5_1_1_1" hidden="1">{"Input_Fin",#N/A,FALSE,"By Code";"Input_Opt",#N/A,FALSE,"By Code"}</definedName>
    <definedName name="ass_5_1_1_2" hidden="1">{"Input_Fin",#N/A,FALSE,"By Code";"Input_Opt",#N/A,FALSE,"By Code"}</definedName>
    <definedName name="ass_5_1_1_3" hidden="1">{"Input_Fin",#N/A,FALSE,"By Code";"Input_Opt",#N/A,FALSE,"By Code"}</definedName>
    <definedName name="ass_5_1_2" hidden="1">{"Input_Fin",#N/A,FALSE,"By Code";"Input_Opt",#N/A,FALSE,"By Code"}</definedName>
    <definedName name="ass_5_1_2_1" hidden="1">{"Input_Fin",#N/A,FALSE,"By Code";"Input_Opt",#N/A,FALSE,"By Code"}</definedName>
    <definedName name="ass_5_1_2_2" hidden="1">{"Input_Fin",#N/A,FALSE,"By Code";"Input_Opt",#N/A,FALSE,"By Code"}</definedName>
    <definedName name="ass_5_1_3" hidden="1">{"Input_Fin",#N/A,FALSE,"By Code";"Input_Opt",#N/A,FALSE,"By Code"}</definedName>
    <definedName name="ass_5_1_4" hidden="1">{"Input_Fin",#N/A,FALSE,"By Code";"Input_Opt",#N/A,FALSE,"By Code"}</definedName>
    <definedName name="ass_5_2" hidden="1">{"Input_Fin",#N/A,FALSE,"By Code";"Input_Opt",#N/A,FALSE,"By Code"}</definedName>
    <definedName name="ass_5_2_1" hidden="1">{"Input_Fin",#N/A,FALSE,"By Code";"Input_Opt",#N/A,FALSE,"By Code"}</definedName>
    <definedName name="ass_5_2_2" hidden="1">{"Input_Fin",#N/A,FALSE,"By Code";"Input_Opt",#N/A,FALSE,"By Code"}</definedName>
    <definedName name="ass_5_2_3" hidden="1">{"Input_Fin",#N/A,FALSE,"By Code";"Input_Opt",#N/A,FALSE,"By Code"}</definedName>
    <definedName name="ass_5_3" hidden="1">{"Input_Fin",#N/A,FALSE,"By Code";"Input_Opt",#N/A,FALSE,"By Code"}</definedName>
    <definedName name="ass_5_3_1" hidden="1">{"Input_Fin",#N/A,FALSE,"By Code";"Input_Opt",#N/A,FALSE,"By Code"}</definedName>
    <definedName name="ass_5_3_2" hidden="1">{"Input_Fin",#N/A,FALSE,"By Code";"Input_Opt",#N/A,FALSE,"By Code"}</definedName>
    <definedName name="ass_5_4" hidden="1">{"Input_Fin",#N/A,FALSE,"By Code";"Input_Opt",#N/A,FALSE,"By Code"}</definedName>
    <definedName name="ass_5_5" hidden="1">{"Input_Fin",#N/A,FALSE,"By Code";"Input_Opt",#N/A,FALSE,"By Code"}</definedName>
    <definedName name="assd" localSheetId="12" hidden="1">{"Input_Fin",#N/A,FALSE,"By Code";"Input_Opt",#N/A,FALSE,"By Code"}</definedName>
    <definedName name="assd" hidden="1">{"Input_Fin",#N/A,FALSE,"By Code";"Input_Opt",#N/A,FALSE,"By Code"}</definedName>
    <definedName name="assd_1" hidden="1">{"Input_Fin",#N/A,FALSE,"By Code";"Input_Opt",#N/A,FALSE,"By Code"}</definedName>
    <definedName name="assd_1_1" hidden="1">{"Input_Fin",#N/A,FALSE,"By Code";"Input_Opt",#N/A,FALSE,"By Code"}</definedName>
    <definedName name="assd_1_1_1" hidden="1">{"Input_Fin",#N/A,FALSE,"By Code";"Input_Opt",#N/A,FALSE,"By Code"}</definedName>
    <definedName name="assd_1_1_1_1" hidden="1">{"Input_Fin",#N/A,FALSE,"By Code";"Input_Opt",#N/A,FALSE,"By Code"}</definedName>
    <definedName name="assd_1_1_1_1_1" hidden="1">{"Input_Fin",#N/A,FALSE,"By Code";"Input_Opt",#N/A,FALSE,"By Code"}</definedName>
    <definedName name="assd_1_1_1_1_2" hidden="1">{"Input_Fin",#N/A,FALSE,"By Code";"Input_Opt",#N/A,FALSE,"By Code"}</definedName>
    <definedName name="assd_1_1_1_1_3" hidden="1">{"Input_Fin",#N/A,FALSE,"By Code";"Input_Opt",#N/A,FALSE,"By Code"}</definedName>
    <definedName name="assd_1_1_1_2" hidden="1">{"Input_Fin",#N/A,FALSE,"By Code";"Input_Opt",#N/A,FALSE,"By Code"}</definedName>
    <definedName name="assd_1_1_1_2_1" hidden="1">{"Input_Fin",#N/A,FALSE,"By Code";"Input_Opt",#N/A,FALSE,"By Code"}</definedName>
    <definedName name="assd_1_1_1_2_2" hidden="1">{"Input_Fin",#N/A,FALSE,"By Code";"Input_Opt",#N/A,FALSE,"By Code"}</definedName>
    <definedName name="assd_1_1_1_3" hidden="1">{"Input_Fin",#N/A,FALSE,"By Code";"Input_Opt",#N/A,FALSE,"By Code"}</definedName>
    <definedName name="assd_1_1_1_3_1" hidden="1">{"Input_Fin",#N/A,FALSE,"By Code";"Input_Opt",#N/A,FALSE,"By Code"}</definedName>
    <definedName name="assd_1_1_1_3_2" hidden="1">{"Input_Fin",#N/A,FALSE,"By Code";"Input_Opt",#N/A,FALSE,"By Code"}</definedName>
    <definedName name="assd_1_1_1_4" hidden="1">{"Input_Fin",#N/A,FALSE,"By Code";"Input_Opt",#N/A,FALSE,"By Code"}</definedName>
    <definedName name="assd_1_1_1_5" hidden="1">{"Input_Fin",#N/A,FALSE,"By Code";"Input_Opt",#N/A,FALSE,"By Code"}</definedName>
    <definedName name="assd_1_1_2" hidden="1">{"Input_Fin",#N/A,FALSE,"By Code";"Input_Opt",#N/A,FALSE,"By Code"}</definedName>
    <definedName name="assd_1_1_2_1" hidden="1">{"Input_Fin",#N/A,FALSE,"By Code";"Input_Opt",#N/A,FALSE,"By Code"}</definedName>
    <definedName name="assd_1_1_2_2" hidden="1">{"Input_Fin",#N/A,FALSE,"By Code";"Input_Opt",#N/A,FALSE,"By Code"}</definedName>
    <definedName name="assd_1_1_2_3" hidden="1">{"Input_Fin",#N/A,FALSE,"By Code";"Input_Opt",#N/A,FALSE,"By Code"}</definedName>
    <definedName name="assd_1_1_3" hidden="1">{"Input_Fin",#N/A,FALSE,"By Code";"Input_Opt",#N/A,FALSE,"By Code"}</definedName>
    <definedName name="assd_1_1_3_1" hidden="1">{"Input_Fin",#N/A,FALSE,"By Code";"Input_Opt",#N/A,FALSE,"By Code"}</definedName>
    <definedName name="assd_1_1_3_2" hidden="1">{"Input_Fin",#N/A,FALSE,"By Code";"Input_Opt",#N/A,FALSE,"By Code"}</definedName>
    <definedName name="assd_1_1_4" hidden="1">{"Input_Fin",#N/A,FALSE,"By Code";"Input_Opt",#N/A,FALSE,"By Code"}</definedName>
    <definedName name="assd_1_1_5" hidden="1">{"Input_Fin",#N/A,FALSE,"By Code";"Input_Opt",#N/A,FALSE,"By Code"}</definedName>
    <definedName name="assd_1_2" hidden="1">{"Input_Fin",#N/A,FALSE,"By Code";"Input_Opt",#N/A,FALSE,"By Code"}</definedName>
    <definedName name="assd_1_2_1" hidden="1">{"Input_Fin",#N/A,FALSE,"By Code";"Input_Opt",#N/A,FALSE,"By Code"}</definedName>
    <definedName name="assd_1_2_2" hidden="1">{"Input_Fin",#N/A,FALSE,"By Code";"Input_Opt",#N/A,FALSE,"By Code"}</definedName>
    <definedName name="assd_1_2_3" hidden="1">{"Input_Fin",#N/A,FALSE,"By Code";"Input_Opt",#N/A,FALSE,"By Code"}</definedName>
    <definedName name="assd_1_3" hidden="1">{"Input_Fin",#N/A,FALSE,"By Code";"Input_Opt",#N/A,FALSE,"By Code"}</definedName>
    <definedName name="assd_1_3_1" hidden="1">{"Input_Fin",#N/A,FALSE,"By Code";"Input_Opt",#N/A,FALSE,"By Code"}</definedName>
    <definedName name="assd_1_3_2" hidden="1">{"Input_Fin",#N/A,FALSE,"By Code";"Input_Opt",#N/A,FALSE,"By Code"}</definedName>
    <definedName name="assd_1_4" hidden="1">{"Input_Fin",#N/A,FALSE,"By Code";"Input_Opt",#N/A,FALSE,"By Code"}</definedName>
    <definedName name="assd_1_5" hidden="1">{"Input_Fin",#N/A,FALSE,"By Code";"Input_Opt",#N/A,FALSE,"By Code"}</definedName>
    <definedName name="assd_2" hidden="1">{"Input_Fin",#N/A,FALSE,"By Code";"Input_Opt",#N/A,FALSE,"By Code"}</definedName>
    <definedName name="assd_2_1" hidden="1">{"Input_Fin",#N/A,FALSE,"By Code";"Input_Opt",#N/A,FALSE,"By Code"}</definedName>
    <definedName name="assd_2_1_1" hidden="1">{"Input_Fin",#N/A,FALSE,"By Code";"Input_Opt",#N/A,FALSE,"By Code"}</definedName>
    <definedName name="assd_2_1_1_1" hidden="1">{"Input_Fin",#N/A,FALSE,"By Code";"Input_Opt",#N/A,FALSE,"By Code"}</definedName>
    <definedName name="assd_2_1_1_2" hidden="1">{"Input_Fin",#N/A,FALSE,"By Code";"Input_Opt",#N/A,FALSE,"By Code"}</definedName>
    <definedName name="assd_2_1_1_3" hidden="1">{"Input_Fin",#N/A,FALSE,"By Code";"Input_Opt",#N/A,FALSE,"By Code"}</definedName>
    <definedName name="assd_2_1_2" hidden="1">{"Input_Fin",#N/A,FALSE,"By Code";"Input_Opt",#N/A,FALSE,"By Code"}</definedName>
    <definedName name="assd_2_1_2_1" hidden="1">{"Input_Fin",#N/A,FALSE,"By Code";"Input_Opt",#N/A,FALSE,"By Code"}</definedName>
    <definedName name="assd_2_1_2_2" hidden="1">{"Input_Fin",#N/A,FALSE,"By Code";"Input_Opt",#N/A,FALSE,"By Code"}</definedName>
    <definedName name="assd_2_1_3" hidden="1">{"Input_Fin",#N/A,FALSE,"By Code";"Input_Opt",#N/A,FALSE,"By Code"}</definedName>
    <definedName name="assd_2_1_4" hidden="1">{"Input_Fin",#N/A,FALSE,"By Code";"Input_Opt",#N/A,FALSE,"By Code"}</definedName>
    <definedName name="assd_2_2" hidden="1">{"Input_Fin",#N/A,FALSE,"By Code";"Input_Opt",#N/A,FALSE,"By Code"}</definedName>
    <definedName name="assd_2_2_1" hidden="1">{"Input_Fin",#N/A,FALSE,"By Code";"Input_Opt",#N/A,FALSE,"By Code"}</definedName>
    <definedName name="assd_2_2_2" hidden="1">{"Input_Fin",#N/A,FALSE,"By Code";"Input_Opt",#N/A,FALSE,"By Code"}</definedName>
    <definedName name="assd_2_2_3" hidden="1">{"Input_Fin",#N/A,FALSE,"By Code";"Input_Opt",#N/A,FALSE,"By Code"}</definedName>
    <definedName name="assd_2_3" hidden="1">{"Input_Fin",#N/A,FALSE,"By Code";"Input_Opt",#N/A,FALSE,"By Code"}</definedName>
    <definedName name="assd_2_3_1" hidden="1">{"Input_Fin",#N/A,FALSE,"By Code";"Input_Opt",#N/A,FALSE,"By Code"}</definedName>
    <definedName name="assd_2_3_2" hidden="1">{"Input_Fin",#N/A,FALSE,"By Code";"Input_Opt",#N/A,FALSE,"By Code"}</definedName>
    <definedName name="assd_2_4" hidden="1">{"Input_Fin",#N/A,FALSE,"By Code";"Input_Opt",#N/A,FALSE,"By Code"}</definedName>
    <definedName name="assd_2_5" hidden="1">{"Input_Fin",#N/A,FALSE,"By Code";"Input_Opt",#N/A,FALSE,"By Code"}</definedName>
    <definedName name="assd_3" hidden="1">{"Input_Fin",#N/A,FALSE,"By Code";"Input_Opt",#N/A,FALSE,"By Code"}</definedName>
    <definedName name="assd_3_1" hidden="1">{"Input_Fin",#N/A,FALSE,"By Code";"Input_Opt",#N/A,FALSE,"By Code"}</definedName>
    <definedName name="assd_3_1_1" hidden="1">{"Input_Fin",#N/A,FALSE,"By Code";"Input_Opt",#N/A,FALSE,"By Code"}</definedName>
    <definedName name="assd_3_1_1_1" hidden="1">{"Input_Fin",#N/A,FALSE,"By Code";"Input_Opt",#N/A,FALSE,"By Code"}</definedName>
    <definedName name="assd_3_1_1_2" hidden="1">{"Input_Fin",#N/A,FALSE,"By Code";"Input_Opt",#N/A,FALSE,"By Code"}</definedName>
    <definedName name="assd_3_1_1_3" hidden="1">{"Input_Fin",#N/A,FALSE,"By Code";"Input_Opt",#N/A,FALSE,"By Code"}</definedName>
    <definedName name="assd_3_1_2" hidden="1">{"Input_Fin",#N/A,FALSE,"By Code";"Input_Opt",#N/A,FALSE,"By Code"}</definedName>
    <definedName name="assd_3_1_2_1" hidden="1">{"Input_Fin",#N/A,FALSE,"By Code";"Input_Opt",#N/A,FALSE,"By Code"}</definedName>
    <definedName name="assd_3_1_2_2" hidden="1">{"Input_Fin",#N/A,FALSE,"By Code";"Input_Opt",#N/A,FALSE,"By Code"}</definedName>
    <definedName name="assd_3_1_3" hidden="1">{"Input_Fin",#N/A,FALSE,"By Code";"Input_Opt",#N/A,FALSE,"By Code"}</definedName>
    <definedName name="assd_3_1_4" hidden="1">{"Input_Fin",#N/A,FALSE,"By Code";"Input_Opt",#N/A,FALSE,"By Code"}</definedName>
    <definedName name="assd_3_2" hidden="1">{"Input_Fin",#N/A,FALSE,"By Code";"Input_Opt",#N/A,FALSE,"By Code"}</definedName>
    <definedName name="assd_3_2_1" hidden="1">{"Input_Fin",#N/A,FALSE,"By Code";"Input_Opt",#N/A,FALSE,"By Code"}</definedName>
    <definedName name="assd_3_2_2" hidden="1">{"Input_Fin",#N/A,FALSE,"By Code";"Input_Opt",#N/A,FALSE,"By Code"}</definedName>
    <definedName name="assd_3_2_3" hidden="1">{"Input_Fin",#N/A,FALSE,"By Code";"Input_Opt",#N/A,FALSE,"By Code"}</definedName>
    <definedName name="assd_3_3" hidden="1">{"Input_Fin",#N/A,FALSE,"By Code";"Input_Opt",#N/A,FALSE,"By Code"}</definedName>
    <definedName name="assd_3_3_1" hidden="1">{"Input_Fin",#N/A,FALSE,"By Code";"Input_Opt",#N/A,FALSE,"By Code"}</definedName>
    <definedName name="assd_3_3_2" hidden="1">{"Input_Fin",#N/A,FALSE,"By Code";"Input_Opt",#N/A,FALSE,"By Code"}</definedName>
    <definedName name="assd_3_4" hidden="1">{"Input_Fin",#N/A,FALSE,"By Code";"Input_Opt",#N/A,FALSE,"By Code"}</definedName>
    <definedName name="assd_3_5" hidden="1">{"Input_Fin",#N/A,FALSE,"By Code";"Input_Opt",#N/A,FALSE,"By Code"}</definedName>
    <definedName name="assd_4" hidden="1">{"Input_Fin",#N/A,FALSE,"By Code";"Input_Opt",#N/A,FALSE,"By Code"}</definedName>
    <definedName name="assd_4_1" hidden="1">{"Input_Fin",#N/A,FALSE,"By Code";"Input_Opt",#N/A,FALSE,"By Code"}</definedName>
    <definedName name="assd_4_1_1" hidden="1">{"Input_Fin",#N/A,FALSE,"By Code";"Input_Opt",#N/A,FALSE,"By Code"}</definedName>
    <definedName name="assd_4_1_1_1" hidden="1">{"Input_Fin",#N/A,FALSE,"By Code";"Input_Opt",#N/A,FALSE,"By Code"}</definedName>
    <definedName name="assd_4_1_1_2" hidden="1">{"Input_Fin",#N/A,FALSE,"By Code";"Input_Opt",#N/A,FALSE,"By Code"}</definedName>
    <definedName name="assd_4_1_1_3" hidden="1">{"Input_Fin",#N/A,FALSE,"By Code";"Input_Opt",#N/A,FALSE,"By Code"}</definedName>
    <definedName name="assd_4_1_2" hidden="1">{"Input_Fin",#N/A,FALSE,"By Code";"Input_Opt",#N/A,FALSE,"By Code"}</definedName>
    <definedName name="assd_4_1_2_1" hidden="1">{"Input_Fin",#N/A,FALSE,"By Code";"Input_Opt",#N/A,FALSE,"By Code"}</definedName>
    <definedName name="assd_4_1_2_2" hidden="1">{"Input_Fin",#N/A,FALSE,"By Code";"Input_Opt",#N/A,FALSE,"By Code"}</definedName>
    <definedName name="assd_4_1_3" hidden="1">{"Input_Fin",#N/A,FALSE,"By Code";"Input_Opt",#N/A,FALSE,"By Code"}</definedName>
    <definedName name="assd_4_1_4" hidden="1">{"Input_Fin",#N/A,FALSE,"By Code";"Input_Opt",#N/A,FALSE,"By Code"}</definedName>
    <definedName name="assd_4_2" hidden="1">{"Input_Fin",#N/A,FALSE,"By Code";"Input_Opt",#N/A,FALSE,"By Code"}</definedName>
    <definedName name="assd_4_2_1" hidden="1">{"Input_Fin",#N/A,FALSE,"By Code";"Input_Opt",#N/A,FALSE,"By Code"}</definedName>
    <definedName name="assd_4_2_2" hidden="1">{"Input_Fin",#N/A,FALSE,"By Code";"Input_Opt",#N/A,FALSE,"By Code"}</definedName>
    <definedName name="assd_4_2_3" hidden="1">{"Input_Fin",#N/A,FALSE,"By Code";"Input_Opt",#N/A,FALSE,"By Code"}</definedName>
    <definedName name="assd_4_3" hidden="1">{"Input_Fin",#N/A,FALSE,"By Code";"Input_Opt",#N/A,FALSE,"By Code"}</definedName>
    <definedName name="assd_4_3_1" hidden="1">{"Input_Fin",#N/A,FALSE,"By Code";"Input_Opt",#N/A,FALSE,"By Code"}</definedName>
    <definedName name="assd_4_3_2" hidden="1">{"Input_Fin",#N/A,FALSE,"By Code";"Input_Opt",#N/A,FALSE,"By Code"}</definedName>
    <definedName name="assd_4_4" hidden="1">{"Input_Fin",#N/A,FALSE,"By Code";"Input_Opt",#N/A,FALSE,"By Code"}</definedName>
    <definedName name="assd_4_5" hidden="1">{"Input_Fin",#N/A,FALSE,"By Code";"Input_Opt",#N/A,FALSE,"By Code"}</definedName>
    <definedName name="assd_5" hidden="1">{"Input_Fin",#N/A,FALSE,"By Code";"Input_Opt",#N/A,FALSE,"By Code"}</definedName>
    <definedName name="assd_5_1" hidden="1">{"Input_Fin",#N/A,FALSE,"By Code";"Input_Opt",#N/A,FALSE,"By Code"}</definedName>
    <definedName name="assd_5_1_1" hidden="1">{"Input_Fin",#N/A,FALSE,"By Code";"Input_Opt",#N/A,FALSE,"By Code"}</definedName>
    <definedName name="assd_5_1_1_1" hidden="1">{"Input_Fin",#N/A,FALSE,"By Code";"Input_Opt",#N/A,FALSE,"By Code"}</definedName>
    <definedName name="assd_5_1_1_2" hidden="1">{"Input_Fin",#N/A,FALSE,"By Code";"Input_Opt",#N/A,FALSE,"By Code"}</definedName>
    <definedName name="assd_5_1_1_3" hidden="1">{"Input_Fin",#N/A,FALSE,"By Code";"Input_Opt",#N/A,FALSE,"By Code"}</definedName>
    <definedName name="assd_5_1_2" hidden="1">{"Input_Fin",#N/A,FALSE,"By Code";"Input_Opt",#N/A,FALSE,"By Code"}</definedName>
    <definedName name="assd_5_1_2_1" hidden="1">{"Input_Fin",#N/A,FALSE,"By Code";"Input_Opt",#N/A,FALSE,"By Code"}</definedName>
    <definedName name="assd_5_1_2_2" hidden="1">{"Input_Fin",#N/A,FALSE,"By Code";"Input_Opt",#N/A,FALSE,"By Code"}</definedName>
    <definedName name="assd_5_1_3" hidden="1">{"Input_Fin",#N/A,FALSE,"By Code";"Input_Opt",#N/A,FALSE,"By Code"}</definedName>
    <definedName name="assd_5_1_4" hidden="1">{"Input_Fin",#N/A,FALSE,"By Code";"Input_Opt",#N/A,FALSE,"By Code"}</definedName>
    <definedName name="assd_5_2" hidden="1">{"Input_Fin",#N/A,FALSE,"By Code";"Input_Opt",#N/A,FALSE,"By Code"}</definedName>
    <definedName name="assd_5_2_1" hidden="1">{"Input_Fin",#N/A,FALSE,"By Code";"Input_Opt",#N/A,FALSE,"By Code"}</definedName>
    <definedName name="assd_5_2_2" hidden="1">{"Input_Fin",#N/A,FALSE,"By Code";"Input_Opt",#N/A,FALSE,"By Code"}</definedName>
    <definedName name="assd_5_2_3" hidden="1">{"Input_Fin",#N/A,FALSE,"By Code";"Input_Opt",#N/A,FALSE,"By Code"}</definedName>
    <definedName name="assd_5_3" hidden="1">{"Input_Fin",#N/A,FALSE,"By Code";"Input_Opt",#N/A,FALSE,"By Code"}</definedName>
    <definedName name="assd_5_3_1" hidden="1">{"Input_Fin",#N/A,FALSE,"By Code";"Input_Opt",#N/A,FALSE,"By Code"}</definedName>
    <definedName name="assd_5_3_2" hidden="1">{"Input_Fin",#N/A,FALSE,"By Code";"Input_Opt",#N/A,FALSE,"By Code"}</definedName>
    <definedName name="assd_5_4" hidden="1">{"Input_Fin",#N/A,FALSE,"By Code";"Input_Opt",#N/A,FALSE,"By Code"}</definedName>
    <definedName name="assd_5_5" hidden="1">{"Input_Fin",#N/A,FALSE,"By Code";"Input_Opt",#N/A,FALSE,"By Code"}</definedName>
    <definedName name="assss" hidden="1">{"'Sheet4'!$A$1:$L$41"}</definedName>
    <definedName name="assssd" hidden="1">{"Input_Fin",#N/A,FALSE,"By Code";"Input_Opt",#N/A,FALSE,"By Code"}</definedName>
    <definedName name="asssseee" hidden="1">{"'Sheet4'!$A$1:$L$41"}</definedName>
    <definedName name="B">#N/A</definedName>
    <definedName name="balance_type">1</definedName>
    <definedName name="BGKZ">NA()</definedName>
    <definedName name="BGKZ1">NA()</definedName>
    <definedName name="BGKZ2">NA()</definedName>
    <definedName name="BGKZ3">NA()</definedName>
    <definedName name="BGKZ4">NA()</definedName>
    <definedName name="BGKZ5">NA()</definedName>
    <definedName name="BGKZ6">NA()</definedName>
    <definedName name="bhsd" localSheetId="12" hidden="1">{"Input_Fin",#N/A,FALSE,"By Code";"Input_Opt",#N/A,FALSE,"By Code"}</definedName>
    <definedName name="bhsd" hidden="1">{"Input_Fin",#N/A,FALSE,"By Code";"Input_Opt",#N/A,FALSE,"By Code"}</definedName>
    <definedName name="bhsd_1" hidden="1">{"Input_Fin",#N/A,FALSE,"By Code";"Input_Opt",#N/A,FALSE,"By Code"}</definedName>
    <definedName name="bhsd_1_1" hidden="1">{"Input_Fin",#N/A,FALSE,"By Code";"Input_Opt",#N/A,FALSE,"By Code"}</definedName>
    <definedName name="bhsd_1_1_1" hidden="1">{"Input_Fin",#N/A,FALSE,"By Code";"Input_Opt",#N/A,FALSE,"By Code"}</definedName>
    <definedName name="bhsd_1_1_1_1" hidden="1">{"Input_Fin",#N/A,FALSE,"By Code";"Input_Opt",#N/A,FALSE,"By Code"}</definedName>
    <definedName name="bhsd_1_1_1_1_1" hidden="1">{"Input_Fin",#N/A,FALSE,"By Code";"Input_Opt",#N/A,FALSE,"By Code"}</definedName>
    <definedName name="bhsd_1_1_1_1_2" hidden="1">{"Input_Fin",#N/A,FALSE,"By Code";"Input_Opt",#N/A,FALSE,"By Code"}</definedName>
    <definedName name="bhsd_1_1_1_1_3" hidden="1">{"Input_Fin",#N/A,FALSE,"By Code";"Input_Opt",#N/A,FALSE,"By Code"}</definedName>
    <definedName name="bhsd_1_1_1_2" hidden="1">{"Input_Fin",#N/A,FALSE,"By Code";"Input_Opt",#N/A,FALSE,"By Code"}</definedName>
    <definedName name="bhsd_1_1_1_2_1" hidden="1">{"Input_Fin",#N/A,FALSE,"By Code";"Input_Opt",#N/A,FALSE,"By Code"}</definedName>
    <definedName name="bhsd_1_1_1_2_2" hidden="1">{"Input_Fin",#N/A,FALSE,"By Code";"Input_Opt",#N/A,FALSE,"By Code"}</definedName>
    <definedName name="bhsd_1_1_1_3" hidden="1">{"Input_Fin",#N/A,FALSE,"By Code";"Input_Opt",#N/A,FALSE,"By Code"}</definedName>
    <definedName name="bhsd_1_1_1_3_1" hidden="1">{"Input_Fin",#N/A,FALSE,"By Code";"Input_Opt",#N/A,FALSE,"By Code"}</definedName>
    <definedName name="bhsd_1_1_1_3_2" hidden="1">{"Input_Fin",#N/A,FALSE,"By Code";"Input_Opt",#N/A,FALSE,"By Code"}</definedName>
    <definedName name="bhsd_1_1_1_4" hidden="1">{"Input_Fin",#N/A,FALSE,"By Code";"Input_Opt",#N/A,FALSE,"By Code"}</definedName>
    <definedName name="bhsd_1_1_1_5" hidden="1">{"Input_Fin",#N/A,FALSE,"By Code";"Input_Opt",#N/A,FALSE,"By Code"}</definedName>
    <definedName name="bhsd_1_1_2" hidden="1">{"Input_Fin",#N/A,FALSE,"By Code";"Input_Opt",#N/A,FALSE,"By Code"}</definedName>
    <definedName name="bhsd_1_1_2_1" hidden="1">{"Input_Fin",#N/A,FALSE,"By Code";"Input_Opt",#N/A,FALSE,"By Code"}</definedName>
    <definedName name="bhsd_1_1_2_2" hidden="1">{"Input_Fin",#N/A,FALSE,"By Code";"Input_Opt",#N/A,FALSE,"By Code"}</definedName>
    <definedName name="bhsd_1_1_2_3" hidden="1">{"Input_Fin",#N/A,FALSE,"By Code";"Input_Opt",#N/A,FALSE,"By Code"}</definedName>
    <definedName name="bhsd_1_1_3" hidden="1">{"Input_Fin",#N/A,FALSE,"By Code";"Input_Opt",#N/A,FALSE,"By Code"}</definedName>
    <definedName name="bhsd_1_1_3_1" hidden="1">{"Input_Fin",#N/A,FALSE,"By Code";"Input_Opt",#N/A,FALSE,"By Code"}</definedName>
    <definedName name="bhsd_1_1_3_2" hidden="1">{"Input_Fin",#N/A,FALSE,"By Code";"Input_Opt",#N/A,FALSE,"By Code"}</definedName>
    <definedName name="bhsd_1_1_4" hidden="1">{"Input_Fin",#N/A,FALSE,"By Code";"Input_Opt",#N/A,FALSE,"By Code"}</definedName>
    <definedName name="bhsd_1_1_5" hidden="1">{"Input_Fin",#N/A,FALSE,"By Code";"Input_Opt",#N/A,FALSE,"By Code"}</definedName>
    <definedName name="bhsd_1_2" hidden="1">{"Input_Fin",#N/A,FALSE,"By Code";"Input_Opt",#N/A,FALSE,"By Code"}</definedName>
    <definedName name="bhsd_1_2_1" hidden="1">{"Input_Fin",#N/A,FALSE,"By Code";"Input_Opt",#N/A,FALSE,"By Code"}</definedName>
    <definedName name="bhsd_1_2_2" hidden="1">{"Input_Fin",#N/A,FALSE,"By Code";"Input_Opt",#N/A,FALSE,"By Code"}</definedName>
    <definedName name="bhsd_1_2_3" hidden="1">{"Input_Fin",#N/A,FALSE,"By Code";"Input_Opt",#N/A,FALSE,"By Code"}</definedName>
    <definedName name="bhsd_1_3" hidden="1">{"Input_Fin",#N/A,FALSE,"By Code";"Input_Opt",#N/A,FALSE,"By Code"}</definedName>
    <definedName name="bhsd_1_3_1" hidden="1">{"Input_Fin",#N/A,FALSE,"By Code";"Input_Opt",#N/A,FALSE,"By Code"}</definedName>
    <definedName name="bhsd_1_3_2" hidden="1">{"Input_Fin",#N/A,FALSE,"By Code";"Input_Opt",#N/A,FALSE,"By Code"}</definedName>
    <definedName name="bhsd_1_4" hidden="1">{"Input_Fin",#N/A,FALSE,"By Code";"Input_Opt",#N/A,FALSE,"By Code"}</definedName>
    <definedName name="bhsd_1_5" hidden="1">{"Input_Fin",#N/A,FALSE,"By Code";"Input_Opt",#N/A,FALSE,"By Code"}</definedName>
    <definedName name="bhsd_2" hidden="1">{"Input_Fin",#N/A,FALSE,"By Code";"Input_Opt",#N/A,FALSE,"By Code"}</definedName>
    <definedName name="bhsd_2_1" hidden="1">{"Input_Fin",#N/A,FALSE,"By Code";"Input_Opt",#N/A,FALSE,"By Code"}</definedName>
    <definedName name="bhsd_2_1_1" hidden="1">{"Input_Fin",#N/A,FALSE,"By Code";"Input_Opt",#N/A,FALSE,"By Code"}</definedName>
    <definedName name="bhsd_2_1_1_1" hidden="1">{"Input_Fin",#N/A,FALSE,"By Code";"Input_Opt",#N/A,FALSE,"By Code"}</definedName>
    <definedName name="bhsd_2_1_1_2" hidden="1">{"Input_Fin",#N/A,FALSE,"By Code";"Input_Opt",#N/A,FALSE,"By Code"}</definedName>
    <definedName name="bhsd_2_1_1_3" hidden="1">{"Input_Fin",#N/A,FALSE,"By Code";"Input_Opt",#N/A,FALSE,"By Code"}</definedName>
    <definedName name="bhsd_2_1_2" hidden="1">{"Input_Fin",#N/A,FALSE,"By Code";"Input_Opt",#N/A,FALSE,"By Code"}</definedName>
    <definedName name="bhsd_2_1_2_1" hidden="1">{"Input_Fin",#N/A,FALSE,"By Code";"Input_Opt",#N/A,FALSE,"By Code"}</definedName>
    <definedName name="bhsd_2_1_2_2" hidden="1">{"Input_Fin",#N/A,FALSE,"By Code";"Input_Opt",#N/A,FALSE,"By Code"}</definedName>
    <definedName name="bhsd_2_1_3" hidden="1">{"Input_Fin",#N/A,FALSE,"By Code";"Input_Opt",#N/A,FALSE,"By Code"}</definedName>
    <definedName name="bhsd_2_1_4" hidden="1">{"Input_Fin",#N/A,FALSE,"By Code";"Input_Opt",#N/A,FALSE,"By Code"}</definedName>
    <definedName name="bhsd_2_2" hidden="1">{"Input_Fin",#N/A,FALSE,"By Code";"Input_Opt",#N/A,FALSE,"By Code"}</definedName>
    <definedName name="bhsd_2_2_1" hidden="1">{"Input_Fin",#N/A,FALSE,"By Code";"Input_Opt",#N/A,FALSE,"By Code"}</definedName>
    <definedName name="bhsd_2_2_2" hidden="1">{"Input_Fin",#N/A,FALSE,"By Code";"Input_Opt",#N/A,FALSE,"By Code"}</definedName>
    <definedName name="bhsd_2_2_3" hidden="1">{"Input_Fin",#N/A,FALSE,"By Code";"Input_Opt",#N/A,FALSE,"By Code"}</definedName>
    <definedName name="bhsd_2_3" hidden="1">{"Input_Fin",#N/A,FALSE,"By Code";"Input_Opt",#N/A,FALSE,"By Code"}</definedName>
    <definedName name="bhsd_2_3_1" hidden="1">{"Input_Fin",#N/A,FALSE,"By Code";"Input_Opt",#N/A,FALSE,"By Code"}</definedName>
    <definedName name="bhsd_2_3_2" hidden="1">{"Input_Fin",#N/A,FALSE,"By Code";"Input_Opt",#N/A,FALSE,"By Code"}</definedName>
    <definedName name="bhsd_2_4" hidden="1">{"Input_Fin",#N/A,FALSE,"By Code";"Input_Opt",#N/A,FALSE,"By Code"}</definedName>
    <definedName name="bhsd_2_5" hidden="1">{"Input_Fin",#N/A,FALSE,"By Code";"Input_Opt",#N/A,FALSE,"By Code"}</definedName>
    <definedName name="bhsd_3" hidden="1">{"Input_Fin",#N/A,FALSE,"By Code";"Input_Opt",#N/A,FALSE,"By Code"}</definedName>
    <definedName name="bhsd_3_1" hidden="1">{"Input_Fin",#N/A,FALSE,"By Code";"Input_Opt",#N/A,FALSE,"By Code"}</definedName>
    <definedName name="bhsd_3_1_1" hidden="1">{"Input_Fin",#N/A,FALSE,"By Code";"Input_Opt",#N/A,FALSE,"By Code"}</definedName>
    <definedName name="bhsd_3_1_1_1" hidden="1">{"Input_Fin",#N/A,FALSE,"By Code";"Input_Opt",#N/A,FALSE,"By Code"}</definedName>
    <definedName name="bhsd_3_1_1_2" hidden="1">{"Input_Fin",#N/A,FALSE,"By Code";"Input_Opt",#N/A,FALSE,"By Code"}</definedName>
    <definedName name="bhsd_3_1_1_3" hidden="1">{"Input_Fin",#N/A,FALSE,"By Code";"Input_Opt",#N/A,FALSE,"By Code"}</definedName>
    <definedName name="bhsd_3_1_2" hidden="1">{"Input_Fin",#N/A,FALSE,"By Code";"Input_Opt",#N/A,FALSE,"By Code"}</definedName>
    <definedName name="bhsd_3_1_2_1" hidden="1">{"Input_Fin",#N/A,FALSE,"By Code";"Input_Opt",#N/A,FALSE,"By Code"}</definedName>
    <definedName name="bhsd_3_1_2_2" hidden="1">{"Input_Fin",#N/A,FALSE,"By Code";"Input_Opt",#N/A,FALSE,"By Code"}</definedName>
    <definedName name="bhsd_3_1_3" hidden="1">{"Input_Fin",#N/A,FALSE,"By Code";"Input_Opt",#N/A,FALSE,"By Code"}</definedName>
    <definedName name="bhsd_3_1_4" hidden="1">{"Input_Fin",#N/A,FALSE,"By Code";"Input_Opt",#N/A,FALSE,"By Code"}</definedName>
    <definedName name="bhsd_3_2" hidden="1">{"Input_Fin",#N/A,FALSE,"By Code";"Input_Opt",#N/A,FALSE,"By Code"}</definedName>
    <definedName name="bhsd_3_2_1" hidden="1">{"Input_Fin",#N/A,FALSE,"By Code";"Input_Opt",#N/A,FALSE,"By Code"}</definedName>
    <definedName name="bhsd_3_2_2" hidden="1">{"Input_Fin",#N/A,FALSE,"By Code";"Input_Opt",#N/A,FALSE,"By Code"}</definedName>
    <definedName name="bhsd_3_2_3" hidden="1">{"Input_Fin",#N/A,FALSE,"By Code";"Input_Opt",#N/A,FALSE,"By Code"}</definedName>
    <definedName name="bhsd_3_3" hidden="1">{"Input_Fin",#N/A,FALSE,"By Code";"Input_Opt",#N/A,FALSE,"By Code"}</definedName>
    <definedName name="bhsd_3_3_1" hidden="1">{"Input_Fin",#N/A,FALSE,"By Code";"Input_Opt",#N/A,FALSE,"By Code"}</definedName>
    <definedName name="bhsd_3_3_2" hidden="1">{"Input_Fin",#N/A,FALSE,"By Code";"Input_Opt",#N/A,FALSE,"By Code"}</definedName>
    <definedName name="bhsd_3_4" hidden="1">{"Input_Fin",#N/A,FALSE,"By Code";"Input_Opt",#N/A,FALSE,"By Code"}</definedName>
    <definedName name="bhsd_3_5" hidden="1">{"Input_Fin",#N/A,FALSE,"By Code";"Input_Opt",#N/A,FALSE,"By Code"}</definedName>
    <definedName name="bhsd_4" hidden="1">{"Input_Fin",#N/A,FALSE,"By Code";"Input_Opt",#N/A,FALSE,"By Code"}</definedName>
    <definedName name="bhsd_4_1" hidden="1">{"Input_Fin",#N/A,FALSE,"By Code";"Input_Opt",#N/A,FALSE,"By Code"}</definedName>
    <definedName name="bhsd_4_1_1" hidden="1">{"Input_Fin",#N/A,FALSE,"By Code";"Input_Opt",#N/A,FALSE,"By Code"}</definedName>
    <definedName name="bhsd_4_1_1_1" hidden="1">{"Input_Fin",#N/A,FALSE,"By Code";"Input_Opt",#N/A,FALSE,"By Code"}</definedName>
    <definedName name="bhsd_4_1_1_2" hidden="1">{"Input_Fin",#N/A,FALSE,"By Code";"Input_Opt",#N/A,FALSE,"By Code"}</definedName>
    <definedName name="bhsd_4_1_1_3" hidden="1">{"Input_Fin",#N/A,FALSE,"By Code";"Input_Opt",#N/A,FALSE,"By Code"}</definedName>
    <definedName name="bhsd_4_1_2" hidden="1">{"Input_Fin",#N/A,FALSE,"By Code";"Input_Opt",#N/A,FALSE,"By Code"}</definedName>
    <definedName name="bhsd_4_1_2_1" hidden="1">{"Input_Fin",#N/A,FALSE,"By Code";"Input_Opt",#N/A,FALSE,"By Code"}</definedName>
    <definedName name="bhsd_4_1_2_2" hidden="1">{"Input_Fin",#N/A,FALSE,"By Code";"Input_Opt",#N/A,FALSE,"By Code"}</definedName>
    <definedName name="bhsd_4_1_3" hidden="1">{"Input_Fin",#N/A,FALSE,"By Code";"Input_Opt",#N/A,FALSE,"By Code"}</definedName>
    <definedName name="bhsd_4_1_4" hidden="1">{"Input_Fin",#N/A,FALSE,"By Code";"Input_Opt",#N/A,FALSE,"By Code"}</definedName>
    <definedName name="bhsd_4_2" hidden="1">{"Input_Fin",#N/A,FALSE,"By Code";"Input_Opt",#N/A,FALSE,"By Code"}</definedName>
    <definedName name="bhsd_4_2_1" hidden="1">{"Input_Fin",#N/A,FALSE,"By Code";"Input_Opt",#N/A,FALSE,"By Code"}</definedName>
    <definedName name="bhsd_4_2_2" hidden="1">{"Input_Fin",#N/A,FALSE,"By Code";"Input_Opt",#N/A,FALSE,"By Code"}</definedName>
    <definedName name="bhsd_4_2_3" hidden="1">{"Input_Fin",#N/A,FALSE,"By Code";"Input_Opt",#N/A,FALSE,"By Code"}</definedName>
    <definedName name="bhsd_4_3" hidden="1">{"Input_Fin",#N/A,FALSE,"By Code";"Input_Opt",#N/A,FALSE,"By Code"}</definedName>
    <definedName name="bhsd_4_3_1" hidden="1">{"Input_Fin",#N/A,FALSE,"By Code";"Input_Opt",#N/A,FALSE,"By Code"}</definedName>
    <definedName name="bhsd_4_3_2" hidden="1">{"Input_Fin",#N/A,FALSE,"By Code";"Input_Opt",#N/A,FALSE,"By Code"}</definedName>
    <definedName name="bhsd_4_4" hidden="1">{"Input_Fin",#N/A,FALSE,"By Code";"Input_Opt",#N/A,FALSE,"By Code"}</definedName>
    <definedName name="bhsd_4_5" hidden="1">{"Input_Fin",#N/A,FALSE,"By Code";"Input_Opt",#N/A,FALSE,"By Code"}</definedName>
    <definedName name="bhsd_5" hidden="1">{"Input_Fin",#N/A,FALSE,"By Code";"Input_Opt",#N/A,FALSE,"By Code"}</definedName>
    <definedName name="bhsd_5_1" hidden="1">{"Input_Fin",#N/A,FALSE,"By Code";"Input_Opt",#N/A,FALSE,"By Code"}</definedName>
    <definedName name="bhsd_5_1_1" hidden="1">{"Input_Fin",#N/A,FALSE,"By Code";"Input_Opt",#N/A,FALSE,"By Code"}</definedName>
    <definedName name="bhsd_5_1_1_1" hidden="1">{"Input_Fin",#N/A,FALSE,"By Code";"Input_Opt",#N/A,FALSE,"By Code"}</definedName>
    <definedName name="bhsd_5_1_1_2" hidden="1">{"Input_Fin",#N/A,FALSE,"By Code";"Input_Opt",#N/A,FALSE,"By Code"}</definedName>
    <definedName name="bhsd_5_1_1_3" hidden="1">{"Input_Fin",#N/A,FALSE,"By Code";"Input_Opt",#N/A,FALSE,"By Code"}</definedName>
    <definedName name="bhsd_5_1_2" hidden="1">{"Input_Fin",#N/A,FALSE,"By Code";"Input_Opt",#N/A,FALSE,"By Code"}</definedName>
    <definedName name="bhsd_5_1_2_1" hidden="1">{"Input_Fin",#N/A,FALSE,"By Code";"Input_Opt",#N/A,FALSE,"By Code"}</definedName>
    <definedName name="bhsd_5_1_2_2" hidden="1">{"Input_Fin",#N/A,FALSE,"By Code";"Input_Opt",#N/A,FALSE,"By Code"}</definedName>
    <definedName name="bhsd_5_1_3" hidden="1">{"Input_Fin",#N/A,FALSE,"By Code";"Input_Opt",#N/A,FALSE,"By Code"}</definedName>
    <definedName name="bhsd_5_1_4" hidden="1">{"Input_Fin",#N/A,FALSE,"By Code";"Input_Opt",#N/A,FALSE,"By Code"}</definedName>
    <definedName name="bhsd_5_2" hidden="1">{"Input_Fin",#N/A,FALSE,"By Code";"Input_Opt",#N/A,FALSE,"By Code"}</definedName>
    <definedName name="bhsd_5_2_1" hidden="1">{"Input_Fin",#N/A,FALSE,"By Code";"Input_Opt",#N/A,FALSE,"By Code"}</definedName>
    <definedName name="bhsd_5_2_2" hidden="1">{"Input_Fin",#N/A,FALSE,"By Code";"Input_Opt",#N/A,FALSE,"By Code"}</definedName>
    <definedName name="bhsd_5_2_3" hidden="1">{"Input_Fin",#N/A,FALSE,"By Code";"Input_Opt",#N/A,FALSE,"By Code"}</definedName>
    <definedName name="bhsd_5_3" hidden="1">{"Input_Fin",#N/A,FALSE,"By Code";"Input_Opt",#N/A,FALSE,"By Code"}</definedName>
    <definedName name="bhsd_5_3_1" hidden="1">{"Input_Fin",#N/A,FALSE,"By Code";"Input_Opt",#N/A,FALSE,"By Code"}</definedName>
    <definedName name="bhsd_5_3_2" hidden="1">{"Input_Fin",#N/A,FALSE,"By Code";"Input_Opt",#N/A,FALSE,"By Code"}</definedName>
    <definedName name="bhsd_5_4" hidden="1">{"Input_Fin",#N/A,FALSE,"By Code";"Input_Opt",#N/A,FALSE,"By Code"}</definedName>
    <definedName name="bhsd_5_5" hidden="1">{"Input_Fin",#N/A,FALSE,"By Code";"Input_Opt",#N/A,FALSE,"By Code"}</definedName>
    <definedName name="bing" localSheetId="12" hidden="1">{"Input_Fin",#N/A,FALSE,"By Code";"Input_Opt",#N/A,FALSE,"By Code"}</definedName>
    <definedName name="bing" hidden="1">{"Input_Fin",#N/A,FALSE,"By Code";"Input_Opt",#N/A,FALSE,"By Code"}</definedName>
    <definedName name="bing_1" hidden="1">{"Input_Fin",#N/A,FALSE,"By Code";"Input_Opt",#N/A,FALSE,"By Code"}</definedName>
    <definedName name="bing_1_1" hidden="1">{"Input_Fin",#N/A,FALSE,"By Code";"Input_Opt",#N/A,FALSE,"By Code"}</definedName>
    <definedName name="bing_1_1_1" hidden="1">{"Input_Fin",#N/A,FALSE,"By Code";"Input_Opt",#N/A,FALSE,"By Code"}</definedName>
    <definedName name="bing_1_1_1_1" hidden="1">{"Input_Fin",#N/A,FALSE,"By Code";"Input_Opt",#N/A,FALSE,"By Code"}</definedName>
    <definedName name="bing_1_1_1_1_1" hidden="1">{"Input_Fin",#N/A,FALSE,"By Code";"Input_Opt",#N/A,FALSE,"By Code"}</definedName>
    <definedName name="bing_1_1_1_1_2" hidden="1">{"Input_Fin",#N/A,FALSE,"By Code";"Input_Opt",#N/A,FALSE,"By Code"}</definedName>
    <definedName name="bing_1_1_1_1_3" hidden="1">{"Input_Fin",#N/A,FALSE,"By Code";"Input_Opt",#N/A,FALSE,"By Code"}</definedName>
    <definedName name="bing_1_1_1_2" hidden="1">{"Input_Fin",#N/A,FALSE,"By Code";"Input_Opt",#N/A,FALSE,"By Code"}</definedName>
    <definedName name="bing_1_1_1_2_1" hidden="1">{"Input_Fin",#N/A,FALSE,"By Code";"Input_Opt",#N/A,FALSE,"By Code"}</definedName>
    <definedName name="bing_1_1_1_2_2" hidden="1">{"Input_Fin",#N/A,FALSE,"By Code";"Input_Opt",#N/A,FALSE,"By Code"}</definedName>
    <definedName name="bing_1_1_1_3" hidden="1">{"Input_Fin",#N/A,FALSE,"By Code";"Input_Opt",#N/A,FALSE,"By Code"}</definedName>
    <definedName name="bing_1_1_1_3_1" hidden="1">{"Input_Fin",#N/A,FALSE,"By Code";"Input_Opt",#N/A,FALSE,"By Code"}</definedName>
    <definedName name="bing_1_1_1_3_2" hidden="1">{"Input_Fin",#N/A,FALSE,"By Code";"Input_Opt",#N/A,FALSE,"By Code"}</definedName>
    <definedName name="bing_1_1_1_4" hidden="1">{"Input_Fin",#N/A,FALSE,"By Code";"Input_Opt",#N/A,FALSE,"By Code"}</definedName>
    <definedName name="bing_1_1_1_5" hidden="1">{"Input_Fin",#N/A,FALSE,"By Code";"Input_Opt",#N/A,FALSE,"By Code"}</definedName>
    <definedName name="bing_1_1_2" hidden="1">{"Input_Fin",#N/A,FALSE,"By Code";"Input_Opt",#N/A,FALSE,"By Code"}</definedName>
    <definedName name="bing_1_1_2_1" hidden="1">{"Input_Fin",#N/A,FALSE,"By Code";"Input_Opt",#N/A,FALSE,"By Code"}</definedName>
    <definedName name="bing_1_1_2_2" hidden="1">{"Input_Fin",#N/A,FALSE,"By Code";"Input_Opt",#N/A,FALSE,"By Code"}</definedName>
    <definedName name="bing_1_1_2_3" hidden="1">{"Input_Fin",#N/A,FALSE,"By Code";"Input_Opt",#N/A,FALSE,"By Code"}</definedName>
    <definedName name="bing_1_1_3" hidden="1">{"Input_Fin",#N/A,FALSE,"By Code";"Input_Opt",#N/A,FALSE,"By Code"}</definedName>
    <definedName name="bing_1_1_3_1" hidden="1">{"Input_Fin",#N/A,FALSE,"By Code";"Input_Opt",#N/A,FALSE,"By Code"}</definedName>
    <definedName name="bing_1_1_3_2" hidden="1">{"Input_Fin",#N/A,FALSE,"By Code";"Input_Opt",#N/A,FALSE,"By Code"}</definedName>
    <definedName name="bing_1_1_4" hidden="1">{"Input_Fin",#N/A,FALSE,"By Code";"Input_Opt",#N/A,FALSE,"By Code"}</definedName>
    <definedName name="bing_1_1_5" hidden="1">{"Input_Fin",#N/A,FALSE,"By Code";"Input_Opt",#N/A,FALSE,"By Code"}</definedName>
    <definedName name="bing_1_2" hidden="1">{"Input_Fin",#N/A,FALSE,"By Code";"Input_Opt",#N/A,FALSE,"By Code"}</definedName>
    <definedName name="bing_1_2_1" hidden="1">{"Input_Fin",#N/A,FALSE,"By Code";"Input_Opt",#N/A,FALSE,"By Code"}</definedName>
    <definedName name="bing_1_2_2" hidden="1">{"Input_Fin",#N/A,FALSE,"By Code";"Input_Opt",#N/A,FALSE,"By Code"}</definedName>
    <definedName name="bing_1_2_3" hidden="1">{"Input_Fin",#N/A,FALSE,"By Code";"Input_Opt",#N/A,FALSE,"By Code"}</definedName>
    <definedName name="bing_1_3" hidden="1">{"Input_Fin",#N/A,FALSE,"By Code";"Input_Opt",#N/A,FALSE,"By Code"}</definedName>
    <definedName name="bing_1_3_1" hidden="1">{"Input_Fin",#N/A,FALSE,"By Code";"Input_Opt",#N/A,FALSE,"By Code"}</definedName>
    <definedName name="bing_1_3_2" hidden="1">{"Input_Fin",#N/A,FALSE,"By Code";"Input_Opt",#N/A,FALSE,"By Code"}</definedName>
    <definedName name="bing_1_4" hidden="1">{"Input_Fin",#N/A,FALSE,"By Code";"Input_Opt",#N/A,FALSE,"By Code"}</definedName>
    <definedName name="bing_1_5" hidden="1">{"Input_Fin",#N/A,FALSE,"By Code";"Input_Opt",#N/A,FALSE,"By Code"}</definedName>
    <definedName name="bing_2" hidden="1">{"Input_Fin",#N/A,FALSE,"By Code";"Input_Opt",#N/A,FALSE,"By Code"}</definedName>
    <definedName name="bing_2_1" hidden="1">{"Input_Fin",#N/A,FALSE,"By Code";"Input_Opt",#N/A,FALSE,"By Code"}</definedName>
    <definedName name="bing_2_1_1" hidden="1">{"Input_Fin",#N/A,FALSE,"By Code";"Input_Opt",#N/A,FALSE,"By Code"}</definedName>
    <definedName name="bing_2_1_1_1" hidden="1">{"Input_Fin",#N/A,FALSE,"By Code";"Input_Opt",#N/A,FALSE,"By Code"}</definedName>
    <definedName name="bing_2_1_1_2" hidden="1">{"Input_Fin",#N/A,FALSE,"By Code";"Input_Opt",#N/A,FALSE,"By Code"}</definedName>
    <definedName name="bing_2_1_1_3" hidden="1">{"Input_Fin",#N/A,FALSE,"By Code";"Input_Opt",#N/A,FALSE,"By Code"}</definedName>
    <definedName name="bing_2_1_2" hidden="1">{"Input_Fin",#N/A,FALSE,"By Code";"Input_Opt",#N/A,FALSE,"By Code"}</definedName>
    <definedName name="bing_2_1_2_1" hidden="1">{"Input_Fin",#N/A,FALSE,"By Code";"Input_Opt",#N/A,FALSE,"By Code"}</definedName>
    <definedName name="bing_2_1_2_2" hidden="1">{"Input_Fin",#N/A,FALSE,"By Code";"Input_Opt",#N/A,FALSE,"By Code"}</definedName>
    <definedName name="bing_2_1_3" hidden="1">{"Input_Fin",#N/A,FALSE,"By Code";"Input_Opt",#N/A,FALSE,"By Code"}</definedName>
    <definedName name="bing_2_1_4" hidden="1">{"Input_Fin",#N/A,FALSE,"By Code";"Input_Opt",#N/A,FALSE,"By Code"}</definedName>
    <definedName name="bing_2_2" hidden="1">{"Input_Fin",#N/A,FALSE,"By Code";"Input_Opt",#N/A,FALSE,"By Code"}</definedName>
    <definedName name="bing_2_2_1" hidden="1">{"Input_Fin",#N/A,FALSE,"By Code";"Input_Opt",#N/A,FALSE,"By Code"}</definedName>
    <definedName name="bing_2_2_2" hidden="1">{"Input_Fin",#N/A,FALSE,"By Code";"Input_Opt",#N/A,FALSE,"By Code"}</definedName>
    <definedName name="bing_2_2_3" hidden="1">{"Input_Fin",#N/A,FALSE,"By Code";"Input_Opt",#N/A,FALSE,"By Code"}</definedName>
    <definedName name="bing_2_3" hidden="1">{"Input_Fin",#N/A,FALSE,"By Code";"Input_Opt",#N/A,FALSE,"By Code"}</definedName>
    <definedName name="bing_2_3_1" hidden="1">{"Input_Fin",#N/A,FALSE,"By Code";"Input_Opt",#N/A,FALSE,"By Code"}</definedName>
    <definedName name="bing_2_3_2" hidden="1">{"Input_Fin",#N/A,FALSE,"By Code";"Input_Opt",#N/A,FALSE,"By Code"}</definedName>
    <definedName name="bing_2_4" hidden="1">{"Input_Fin",#N/A,FALSE,"By Code";"Input_Opt",#N/A,FALSE,"By Code"}</definedName>
    <definedName name="bing_2_5" hidden="1">{"Input_Fin",#N/A,FALSE,"By Code";"Input_Opt",#N/A,FALSE,"By Code"}</definedName>
    <definedName name="bing_3" hidden="1">{"Input_Fin",#N/A,FALSE,"By Code";"Input_Opt",#N/A,FALSE,"By Code"}</definedName>
    <definedName name="bing_3_1" hidden="1">{"Input_Fin",#N/A,FALSE,"By Code";"Input_Opt",#N/A,FALSE,"By Code"}</definedName>
    <definedName name="bing_3_1_1" hidden="1">{"Input_Fin",#N/A,FALSE,"By Code";"Input_Opt",#N/A,FALSE,"By Code"}</definedName>
    <definedName name="bing_3_1_1_1" hidden="1">{"Input_Fin",#N/A,FALSE,"By Code";"Input_Opt",#N/A,FALSE,"By Code"}</definedName>
    <definedName name="bing_3_1_1_2" hidden="1">{"Input_Fin",#N/A,FALSE,"By Code";"Input_Opt",#N/A,FALSE,"By Code"}</definedName>
    <definedName name="bing_3_1_1_3" hidden="1">{"Input_Fin",#N/A,FALSE,"By Code";"Input_Opt",#N/A,FALSE,"By Code"}</definedName>
    <definedName name="bing_3_1_2" hidden="1">{"Input_Fin",#N/A,FALSE,"By Code";"Input_Opt",#N/A,FALSE,"By Code"}</definedName>
    <definedName name="bing_3_1_2_1" hidden="1">{"Input_Fin",#N/A,FALSE,"By Code";"Input_Opt",#N/A,FALSE,"By Code"}</definedName>
    <definedName name="bing_3_1_2_2" hidden="1">{"Input_Fin",#N/A,FALSE,"By Code";"Input_Opt",#N/A,FALSE,"By Code"}</definedName>
    <definedName name="bing_3_1_3" hidden="1">{"Input_Fin",#N/A,FALSE,"By Code";"Input_Opt",#N/A,FALSE,"By Code"}</definedName>
    <definedName name="bing_3_1_4" hidden="1">{"Input_Fin",#N/A,FALSE,"By Code";"Input_Opt",#N/A,FALSE,"By Code"}</definedName>
    <definedName name="bing_3_2" hidden="1">{"Input_Fin",#N/A,FALSE,"By Code";"Input_Opt",#N/A,FALSE,"By Code"}</definedName>
    <definedName name="bing_3_2_1" hidden="1">{"Input_Fin",#N/A,FALSE,"By Code";"Input_Opt",#N/A,FALSE,"By Code"}</definedName>
    <definedName name="bing_3_2_2" hidden="1">{"Input_Fin",#N/A,FALSE,"By Code";"Input_Opt",#N/A,FALSE,"By Code"}</definedName>
    <definedName name="bing_3_2_3" hidden="1">{"Input_Fin",#N/A,FALSE,"By Code";"Input_Opt",#N/A,FALSE,"By Code"}</definedName>
    <definedName name="bing_3_3" hidden="1">{"Input_Fin",#N/A,FALSE,"By Code";"Input_Opt",#N/A,FALSE,"By Code"}</definedName>
    <definedName name="bing_3_3_1" hidden="1">{"Input_Fin",#N/A,FALSE,"By Code";"Input_Opt",#N/A,FALSE,"By Code"}</definedName>
    <definedName name="bing_3_3_2" hidden="1">{"Input_Fin",#N/A,FALSE,"By Code";"Input_Opt",#N/A,FALSE,"By Code"}</definedName>
    <definedName name="bing_3_4" hidden="1">{"Input_Fin",#N/A,FALSE,"By Code";"Input_Opt",#N/A,FALSE,"By Code"}</definedName>
    <definedName name="bing_3_5" hidden="1">{"Input_Fin",#N/A,FALSE,"By Code";"Input_Opt",#N/A,FALSE,"By Code"}</definedName>
    <definedName name="bing_4" hidden="1">{"Input_Fin",#N/A,FALSE,"By Code";"Input_Opt",#N/A,FALSE,"By Code"}</definedName>
    <definedName name="bing_4_1" hidden="1">{"Input_Fin",#N/A,FALSE,"By Code";"Input_Opt",#N/A,FALSE,"By Code"}</definedName>
    <definedName name="bing_4_1_1" hidden="1">{"Input_Fin",#N/A,FALSE,"By Code";"Input_Opt",#N/A,FALSE,"By Code"}</definedName>
    <definedName name="bing_4_1_1_1" hidden="1">{"Input_Fin",#N/A,FALSE,"By Code";"Input_Opt",#N/A,FALSE,"By Code"}</definedName>
    <definedName name="bing_4_1_1_2" hidden="1">{"Input_Fin",#N/A,FALSE,"By Code";"Input_Opt",#N/A,FALSE,"By Code"}</definedName>
    <definedName name="bing_4_1_1_3" hidden="1">{"Input_Fin",#N/A,FALSE,"By Code";"Input_Opt",#N/A,FALSE,"By Code"}</definedName>
    <definedName name="bing_4_1_2" hidden="1">{"Input_Fin",#N/A,FALSE,"By Code";"Input_Opt",#N/A,FALSE,"By Code"}</definedName>
    <definedName name="bing_4_1_2_1" hidden="1">{"Input_Fin",#N/A,FALSE,"By Code";"Input_Opt",#N/A,FALSE,"By Code"}</definedName>
    <definedName name="bing_4_1_2_2" hidden="1">{"Input_Fin",#N/A,FALSE,"By Code";"Input_Opt",#N/A,FALSE,"By Code"}</definedName>
    <definedName name="bing_4_1_3" hidden="1">{"Input_Fin",#N/A,FALSE,"By Code";"Input_Opt",#N/A,FALSE,"By Code"}</definedName>
    <definedName name="bing_4_1_4" hidden="1">{"Input_Fin",#N/A,FALSE,"By Code";"Input_Opt",#N/A,FALSE,"By Code"}</definedName>
    <definedName name="bing_4_2" hidden="1">{"Input_Fin",#N/A,FALSE,"By Code";"Input_Opt",#N/A,FALSE,"By Code"}</definedName>
    <definedName name="bing_4_2_1" hidden="1">{"Input_Fin",#N/A,FALSE,"By Code";"Input_Opt",#N/A,FALSE,"By Code"}</definedName>
    <definedName name="bing_4_2_2" hidden="1">{"Input_Fin",#N/A,FALSE,"By Code";"Input_Opt",#N/A,FALSE,"By Code"}</definedName>
    <definedName name="bing_4_2_3" hidden="1">{"Input_Fin",#N/A,FALSE,"By Code";"Input_Opt",#N/A,FALSE,"By Code"}</definedName>
    <definedName name="bing_4_3" hidden="1">{"Input_Fin",#N/A,FALSE,"By Code";"Input_Opt",#N/A,FALSE,"By Code"}</definedName>
    <definedName name="bing_4_3_1" hidden="1">{"Input_Fin",#N/A,FALSE,"By Code";"Input_Opt",#N/A,FALSE,"By Code"}</definedName>
    <definedName name="bing_4_3_2" hidden="1">{"Input_Fin",#N/A,FALSE,"By Code";"Input_Opt",#N/A,FALSE,"By Code"}</definedName>
    <definedName name="bing_4_4" hidden="1">{"Input_Fin",#N/A,FALSE,"By Code";"Input_Opt",#N/A,FALSE,"By Code"}</definedName>
    <definedName name="bing_4_5" hidden="1">{"Input_Fin",#N/A,FALSE,"By Code";"Input_Opt",#N/A,FALSE,"By Code"}</definedName>
    <definedName name="bing_5" hidden="1">{"Input_Fin",#N/A,FALSE,"By Code";"Input_Opt",#N/A,FALSE,"By Code"}</definedName>
    <definedName name="bing_5_1" hidden="1">{"Input_Fin",#N/A,FALSE,"By Code";"Input_Opt",#N/A,FALSE,"By Code"}</definedName>
    <definedName name="bing_5_1_1" hidden="1">{"Input_Fin",#N/A,FALSE,"By Code";"Input_Opt",#N/A,FALSE,"By Code"}</definedName>
    <definedName name="bing_5_1_1_1" hidden="1">{"Input_Fin",#N/A,FALSE,"By Code";"Input_Opt",#N/A,FALSE,"By Code"}</definedName>
    <definedName name="bing_5_1_1_2" hidden="1">{"Input_Fin",#N/A,FALSE,"By Code";"Input_Opt",#N/A,FALSE,"By Code"}</definedName>
    <definedName name="bing_5_1_1_3" hidden="1">{"Input_Fin",#N/A,FALSE,"By Code";"Input_Opt",#N/A,FALSE,"By Code"}</definedName>
    <definedName name="bing_5_1_2" hidden="1">{"Input_Fin",#N/A,FALSE,"By Code";"Input_Opt",#N/A,FALSE,"By Code"}</definedName>
    <definedName name="bing_5_1_2_1" hidden="1">{"Input_Fin",#N/A,FALSE,"By Code";"Input_Opt",#N/A,FALSE,"By Code"}</definedName>
    <definedName name="bing_5_1_2_2" hidden="1">{"Input_Fin",#N/A,FALSE,"By Code";"Input_Opt",#N/A,FALSE,"By Code"}</definedName>
    <definedName name="bing_5_1_3" hidden="1">{"Input_Fin",#N/A,FALSE,"By Code";"Input_Opt",#N/A,FALSE,"By Code"}</definedName>
    <definedName name="bing_5_1_4" hidden="1">{"Input_Fin",#N/A,FALSE,"By Code";"Input_Opt",#N/A,FALSE,"By Code"}</definedName>
    <definedName name="bing_5_2" hidden="1">{"Input_Fin",#N/A,FALSE,"By Code";"Input_Opt",#N/A,FALSE,"By Code"}</definedName>
    <definedName name="bing_5_2_1" hidden="1">{"Input_Fin",#N/A,FALSE,"By Code";"Input_Opt",#N/A,FALSE,"By Code"}</definedName>
    <definedName name="bing_5_2_2" hidden="1">{"Input_Fin",#N/A,FALSE,"By Code";"Input_Opt",#N/A,FALSE,"By Code"}</definedName>
    <definedName name="bing_5_2_3" hidden="1">{"Input_Fin",#N/A,FALSE,"By Code";"Input_Opt",#N/A,FALSE,"By Code"}</definedName>
    <definedName name="bing_5_3" hidden="1">{"Input_Fin",#N/A,FALSE,"By Code";"Input_Opt",#N/A,FALSE,"By Code"}</definedName>
    <definedName name="bing_5_3_1" hidden="1">{"Input_Fin",#N/A,FALSE,"By Code";"Input_Opt",#N/A,FALSE,"By Code"}</definedName>
    <definedName name="bing_5_3_2" hidden="1">{"Input_Fin",#N/A,FALSE,"By Code";"Input_Opt",#N/A,FALSE,"By Code"}</definedName>
    <definedName name="bing_5_4" hidden="1">{"Input_Fin",#N/A,FALSE,"By Code";"Input_Opt",#N/A,FALSE,"By Code"}</definedName>
    <definedName name="bing_5_5" hidden="1">{"Input_Fin",#N/A,FALSE,"By Code";"Input_Opt",#N/A,FALSE,"By Code"}</definedName>
    <definedName name="BM_1">NA()</definedName>
    <definedName name="BMONAT">NA()</definedName>
    <definedName name="bsdw">"菲特科技"</definedName>
    <definedName name="buijrbn" localSheetId="12" hidden="1">{"Input_Fin",#N/A,FALSE,"By Code";"Input_Opt",#N/A,FALSE,"By Code"}</definedName>
    <definedName name="buijrbn" hidden="1">{"Input_Fin",#N/A,FALSE,"By Code";"Input_Opt",#N/A,FALSE,"By Code"}</definedName>
    <definedName name="buijrbn_1" hidden="1">{"Input_Fin",#N/A,FALSE,"By Code";"Input_Opt",#N/A,FALSE,"By Code"}</definedName>
    <definedName name="buijrbn_1_1" hidden="1">{"Input_Fin",#N/A,FALSE,"By Code";"Input_Opt",#N/A,FALSE,"By Code"}</definedName>
    <definedName name="buijrbn_1_1_1" hidden="1">{"Input_Fin",#N/A,FALSE,"By Code";"Input_Opt",#N/A,FALSE,"By Code"}</definedName>
    <definedName name="buijrbn_1_1_1_1" hidden="1">{"Input_Fin",#N/A,FALSE,"By Code";"Input_Opt",#N/A,FALSE,"By Code"}</definedName>
    <definedName name="buijrbn_1_1_1_1_1" hidden="1">{"Input_Fin",#N/A,FALSE,"By Code";"Input_Opt",#N/A,FALSE,"By Code"}</definedName>
    <definedName name="buijrbn_1_1_1_1_2" hidden="1">{"Input_Fin",#N/A,FALSE,"By Code";"Input_Opt",#N/A,FALSE,"By Code"}</definedName>
    <definedName name="buijrbn_1_1_1_1_3" hidden="1">{"Input_Fin",#N/A,FALSE,"By Code";"Input_Opt",#N/A,FALSE,"By Code"}</definedName>
    <definedName name="buijrbn_1_1_1_2" hidden="1">{"Input_Fin",#N/A,FALSE,"By Code";"Input_Opt",#N/A,FALSE,"By Code"}</definedName>
    <definedName name="buijrbn_1_1_1_2_1" hidden="1">{"Input_Fin",#N/A,FALSE,"By Code";"Input_Opt",#N/A,FALSE,"By Code"}</definedName>
    <definedName name="buijrbn_1_1_1_2_2" hidden="1">{"Input_Fin",#N/A,FALSE,"By Code";"Input_Opt",#N/A,FALSE,"By Code"}</definedName>
    <definedName name="buijrbn_1_1_1_3" hidden="1">{"Input_Fin",#N/A,FALSE,"By Code";"Input_Opt",#N/A,FALSE,"By Code"}</definedName>
    <definedName name="buijrbn_1_1_1_3_1" hidden="1">{"Input_Fin",#N/A,FALSE,"By Code";"Input_Opt",#N/A,FALSE,"By Code"}</definedName>
    <definedName name="buijrbn_1_1_1_3_2" hidden="1">{"Input_Fin",#N/A,FALSE,"By Code";"Input_Opt",#N/A,FALSE,"By Code"}</definedName>
    <definedName name="buijrbn_1_1_1_4" hidden="1">{"Input_Fin",#N/A,FALSE,"By Code";"Input_Opt",#N/A,FALSE,"By Code"}</definedName>
    <definedName name="buijrbn_1_1_1_5" hidden="1">{"Input_Fin",#N/A,FALSE,"By Code";"Input_Opt",#N/A,FALSE,"By Code"}</definedName>
    <definedName name="buijrbn_1_1_2" hidden="1">{"Input_Fin",#N/A,FALSE,"By Code";"Input_Opt",#N/A,FALSE,"By Code"}</definedName>
    <definedName name="buijrbn_1_1_2_1" hidden="1">{"Input_Fin",#N/A,FALSE,"By Code";"Input_Opt",#N/A,FALSE,"By Code"}</definedName>
    <definedName name="buijrbn_1_1_2_2" hidden="1">{"Input_Fin",#N/A,FALSE,"By Code";"Input_Opt",#N/A,FALSE,"By Code"}</definedName>
    <definedName name="buijrbn_1_1_2_3" hidden="1">{"Input_Fin",#N/A,FALSE,"By Code";"Input_Opt",#N/A,FALSE,"By Code"}</definedName>
    <definedName name="buijrbn_1_1_3" hidden="1">{"Input_Fin",#N/A,FALSE,"By Code";"Input_Opt",#N/A,FALSE,"By Code"}</definedName>
    <definedName name="buijrbn_1_1_3_1" hidden="1">{"Input_Fin",#N/A,FALSE,"By Code";"Input_Opt",#N/A,FALSE,"By Code"}</definedName>
    <definedName name="buijrbn_1_1_3_2" hidden="1">{"Input_Fin",#N/A,FALSE,"By Code";"Input_Opt",#N/A,FALSE,"By Code"}</definedName>
    <definedName name="buijrbn_1_1_4" hidden="1">{"Input_Fin",#N/A,FALSE,"By Code";"Input_Opt",#N/A,FALSE,"By Code"}</definedName>
    <definedName name="buijrbn_1_1_5" hidden="1">{"Input_Fin",#N/A,FALSE,"By Code";"Input_Opt",#N/A,FALSE,"By Code"}</definedName>
    <definedName name="buijrbn_1_2" hidden="1">{"Input_Fin",#N/A,FALSE,"By Code";"Input_Opt",#N/A,FALSE,"By Code"}</definedName>
    <definedName name="buijrbn_1_2_1" hidden="1">{"Input_Fin",#N/A,FALSE,"By Code";"Input_Opt",#N/A,FALSE,"By Code"}</definedName>
    <definedName name="buijrbn_1_2_2" hidden="1">{"Input_Fin",#N/A,FALSE,"By Code";"Input_Opt",#N/A,FALSE,"By Code"}</definedName>
    <definedName name="buijrbn_1_2_3" hidden="1">{"Input_Fin",#N/A,FALSE,"By Code";"Input_Opt",#N/A,FALSE,"By Code"}</definedName>
    <definedName name="buijrbn_1_3" hidden="1">{"Input_Fin",#N/A,FALSE,"By Code";"Input_Opt",#N/A,FALSE,"By Code"}</definedName>
    <definedName name="buijrbn_1_3_1" hidden="1">{"Input_Fin",#N/A,FALSE,"By Code";"Input_Opt",#N/A,FALSE,"By Code"}</definedName>
    <definedName name="buijrbn_1_3_2" hidden="1">{"Input_Fin",#N/A,FALSE,"By Code";"Input_Opt",#N/A,FALSE,"By Code"}</definedName>
    <definedName name="buijrbn_1_4" hidden="1">{"Input_Fin",#N/A,FALSE,"By Code";"Input_Opt",#N/A,FALSE,"By Code"}</definedName>
    <definedName name="buijrbn_1_5" hidden="1">{"Input_Fin",#N/A,FALSE,"By Code";"Input_Opt",#N/A,FALSE,"By Code"}</definedName>
    <definedName name="buijrbn_2" hidden="1">{"Input_Fin",#N/A,FALSE,"By Code";"Input_Opt",#N/A,FALSE,"By Code"}</definedName>
    <definedName name="buijrbn_2_1" hidden="1">{"Input_Fin",#N/A,FALSE,"By Code";"Input_Opt",#N/A,FALSE,"By Code"}</definedName>
    <definedName name="buijrbn_2_1_1" hidden="1">{"Input_Fin",#N/A,FALSE,"By Code";"Input_Opt",#N/A,FALSE,"By Code"}</definedName>
    <definedName name="buijrbn_2_1_1_1" hidden="1">{"Input_Fin",#N/A,FALSE,"By Code";"Input_Opt",#N/A,FALSE,"By Code"}</definedName>
    <definedName name="buijrbn_2_1_1_2" hidden="1">{"Input_Fin",#N/A,FALSE,"By Code";"Input_Opt",#N/A,FALSE,"By Code"}</definedName>
    <definedName name="buijrbn_2_1_1_3" hidden="1">{"Input_Fin",#N/A,FALSE,"By Code";"Input_Opt",#N/A,FALSE,"By Code"}</definedName>
    <definedName name="buijrbn_2_1_2" hidden="1">{"Input_Fin",#N/A,FALSE,"By Code";"Input_Opt",#N/A,FALSE,"By Code"}</definedName>
    <definedName name="buijrbn_2_1_2_1" hidden="1">{"Input_Fin",#N/A,FALSE,"By Code";"Input_Opt",#N/A,FALSE,"By Code"}</definedName>
    <definedName name="buijrbn_2_1_2_2" hidden="1">{"Input_Fin",#N/A,FALSE,"By Code";"Input_Opt",#N/A,FALSE,"By Code"}</definedName>
    <definedName name="buijrbn_2_1_3" hidden="1">{"Input_Fin",#N/A,FALSE,"By Code";"Input_Opt",#N/A,FALSE,"By Code"}</definedName>
    <definedName name="buijrbn_2_1_4" hidden="1">{"Input_Fin",#N/A,FALSE,"By Code";"Input_Opt",#N/A,FALSE,"By Code"}</definedName>
    <definedName name="buijrbn_2_2" hidden="1">{"Input_Fin",#N/A,FALSE,"By Code";"Input_Opt",#N/A,FALSE,"By Code"}</definedName>
    <definedName name="buijrbn_2_2_1" hidden="1">{"Input_Fin",#N/A,FALSE,"By Code";"Input_Opt",#N/A,FALSE,"By Code"}</definedName>
    <definedName name="buijrbn_2_2_2" hidden="1">{"Input_Fin",#N/A,FALSE,"By Code";"Input_Opt",#N/A,FALSE,"By Code"}</definedName>
    <definedName name="buijrbn_2_2_3" hidden="1">{"Input_Fin",#N/A,FALSE,"By Code";"Input_Opt",#N/A,FALSE,"By Code"}</definedName>
    <definedName name="buijrbn_2_3" hidden="1">{"Input_Fin",#N/A,FALSE,"By Code";"Input_Opt",#N/A,FALSE,"By Code"}</definedName>
    <definedName name="buijrbn_2_3_1" hidden="1">{"Input_Fin",#N/A,FALSE,"By Code";"Input_Opt",#N/A,FALSE,"By Code"}</definedName>
    <definedName name="buijrbn_2_3_2" hidden="1">{"Input_Fin",#N/A,FALSE,"By Code";"Input_Opt",#N/A,FALSE,"By Code"}</definedName>
    <definedName name="buijrbn_2_4" hidden="1">{"Input_Fin",#N/A,FALSE,"By Code";"Input_Opt",#N/A,FALSE,"By Code"}</definedName>
    <definedName name="buijrbn_2_5" hidden="1">{"Input_Fin",#N/A,FALSE,"By Code";"Input_Opt",#N/A,FALSE,"By Code"}</definedName>
    <definedName name="buijrbn_3" hidden="1">{"Input_Fin",#N/A,FALSE,"By Code";"Input_Opt",#N/A,FALSE,"By Code"}</definedName>
    <definedName name="buijrbn_3_1" hidden="1">{"Input_Fin",#N/A,FALSE,"By Code";"Input_Opt",#N/A,FALSE,"By Code"}</definedName>
    <definedName name="buijrbn_3_1_1" hidden="1">{"Input_Fin",#N/A,FALSE,"By Code";"Input_Opt",#N/A,FALSE,"By Code"}</definedName>
    <definedName name="buijrbn_3_1_1_1" hidden="1">{"Input_Fin",#N/A,FALSE,"By Code";"Input_Opt",#N/A,FALSE,"By Code"}</definedName>
    <definedName name="buijrbn_3_1_1_2" hidden="1">{"Input_Fin",#N/A,FALSE,"By Code";"Input_Opt",#N/A,FALSE,"By Code"}</definedName>
    <definedName name="buijrbn_3_1_1_3" hidden="1">{"Input_Fin",#N/A,FALSE,"By Code";"Input_Opt",#N/A,FALSE,"By Code"}</definedName>
    <definedName name="buijrbn_3_1_2" hidden="1">{"Input_Fin",#N/A,FALSE,"By Code";"Input_Opt",#N/A,FALSE,"By Code"}</definedName>
    <definedName name="buijrbn_3_1_2_1" hidden="1">{"Input_Fin",#N/A,FALSE,"By Code";"Input_Opt",#N/A,FALSE,"By Code"}</definedName>
    <definedName name="buijrbn_3_1_2_2" hidden="1">{"Input_Fin",#N/A,FALSE,"By Code";"Input_Opt",#N/A,FALSE,"By Code"}</definedName>
    <definedName name="buijrbn_3_1_3" hidden="1">{"Input_Fin",#N/A,FALSE,"By Code";"Input_Opt",#N/A,FALSE,"By Code"}</definedName>
    <definedName name="buijrbn_3_1_4" hidden="1">{"Input_Fin",#N/A,FALSE,"By Code";"Input_Opt",#N/A,FALSE,"By Code"}</definedName>
    <definedName name="buijrbn_3_2" hidden="1">{"Input_Fin",#N/A,FALSE,"By Code";"Input_Opt",#N/A,FALSE,"By Code"}</definedName>
    <definedName name="buijrbn_3_2_1" hidden="1">{"Input_Fin",#N/A,FALSE,"By Code";"Input_Opt",#N/A,FALSE,"By Code"}</definedName>
    <definedName name="buijrbn_3_2_2" hidden="1">{"Input_Fin",#N/A,FALSE,"By Code";"Input_Opt",#N/A,FALSE,"By Code"}</definedName>
    <definedName name="buijrbn_3_2_3" hidden="1">{"Input_Fin",#N/A,FALSE,"By Code";"Input_Opt",#N/A,FALSE,"By Code"}</definedName>
    <definedName name="buijrbn_3_3" hidden="1">{"Input_Fin",#N/A,FALSE,"By Code";"Input_Opt",#N/A,FALSE,"By Code"}</definedName>
    <definedName name="buijrbn_3_3_1" hidden="1">{"Input_Fin",#N/A,FALSE,"By Code";"Input_Opt",#N/A,FALSE,"By Code"}</definedName>
    <definedName name="buijrbn_3_3_2" hidden="1">{"Input_Fin",#N/A,FALSE,"By Code";"Input_Opt",#N/A,FALSE,"By Code"}</definedName>
    <definedName name="buijrbn_3_4" hidden="1">{"Input_Fin",#N/A,FALSE,"By Code";"Input_Opt",#N/A,FALSE,"By Code"}</definedName>
    <definedName name="buijrbn_3_5" hidden="1">{"Input_Fin",#N/A,FALSE,"By Code";"Input_Opt",#N/A,FALSE,"By Code"}</definedName>
    <definedName name="buijrbn_4" hidden="1">{"Input_Fin",#N/A,FALSE,"By Code";"Input_Opt",#N/A,FALSE,"By Code"}</definedName>
    <definedName name="buijrbn_4_1" hidden="1">{"Input_Fin",#N/A,FALSE,"By Code";"Input_Opt",#N/A,FALSE,"By Code"}</definedName>
    <definedName name="buijrbn_4_1_1" hidden="1">{"Input_Fin",#N/A,FALSE,"By Code";"Input_Opt",#N/A,FALSE,"By Code"}</definedName>
    <definedName name="buijrbn_4_1_1_1" hidden="1">{"Input_Fin",#N/A,FALSE,"By Code";"Input_Opt",#N/A,FALSE,"By Code"}</definedName>
    <definedName name="buijrbn_4_1_1_2" hidden="1">{"Input_Fin",#N/A,FALSE,"By Code";"Input_Opt",#N/A,FALSE,"By Code"}</definedName>
    <definedName name="buijrbn_4_1_1_3" hidden="1">{"Input_Fin",#N/A,FALSE,"By Code";"Input_Opt",#N/A,FALSE,"By Code"}</definedName>
    <definedName name="buijrbn_4_1_2" hidden="1">{"Input_Fin",#N/A,FALSE,"By Code";"Input_Opt",#N/A,FALSE,"By Code"}</definedName>
    <definedName name="buijrbn_4_1_2_1" hidden="1">{"Input_Fin",#N/A,FALSE,"By Code";"Input_Opt",#N/A,FALSE,"By Code"}</definedName>
    <definedName name="buijrbn_4_1_2_2" hidden="1">{"Input_Fin",#N/A,FALSE,"By Code";"Input_Opt",#N/A,FALSE,"By Code"}</definedName>
    <definedName name="buijrbn_4_1_3" hidden="1">{"Input_Fin",#N/A,FALSE,"By Code";"Input_Opt",#N/A,FALSE,"By Code"}</definedName>
    <definedName name="buijrbn_4_1_4" hidden="1">{"Input_Fin",#N/A,FALSE,"By Code";"Input_Opt",#N/A,FALSE,"By Code"}</definedName>
    <definedName name="buijrbn_4_2" hidden="1">{"Input_Fin",#N/A,FALSE,"By Code";"Input_Opt",#N/A,FALSE,"By Code"}</definedName>
    <definedName name="buijrbn_4_2_1" hidden="1">{"Input_Fin",#N/A,FALSE,"By Code";"Input_Opt",#N/A,FALSE,"By Code"}</definedName>
    <definedName name="buijrbn_4_2_2" hidden="1">{"Input_Fin",#N/A,FALSE,"By Code";"Input_Opt",#N/A,FALSE,"By Code"}</definedName>
    <definedName name="buijrbn_4_2_3" hidden="1">{"Input_Fin",#N/A,FALSE,"By Code";"Input_Opt",#N/A,FALSE,"By Code"}</definedName>
    <definedName name="buijrbn_4_3" hidden="1">{"Input_Fin",#N/A,FALSE,"By Code";"Input_Opt",#N/A,FALSE,"By Code"}</definedName>
    <definedName name="buijrbn_4_3_1" hidden="1">{"Input_Fin",#N/A,FALSE,"By Code";"Input_Opt",#N/A,FALSE,"By Code"}</definedName>
    <definedName name="buijrbn_4_3_2" hidden="1">{"Input_Fin",#N/A,FALSE,"By Code";"Input_Opt",#N/A,FALSE,"By Code"}</definedName>
    <definedName name="buijrbn_4_4" hidden="1">{"Input_Fin",#N/A,FALSE,"By Code";"Input_Opt",#N/A,FALSE,"By Code"}</definedName>
    <definedName name="buijrbn_4_5" hidden="1">{"Input_Fin",#N/A,FALSE,"By Code";"Input_Opt",#N/A,FALSE,"By Code"}</definedName>
    <definedName name="buijrbn_5" hidden="1">{"Input_Fin",#N/A,FALSE,"By Code";"Input_Opt",#N/A,FALSE,"By Code"}</definedName>
    <definedName name="buijrbn_5_1" hidden="1">{"Input_Fin",#N/A,FALSE,"By Code";"Input_Opt",#N/A,FALSE,"By Code"}</definedName>
    <definedName name="buijrbn_5_1_1" hidden="1">{"Input_Fin",#N/A,FALSE,"By Code";"Input_Opt",#N/A,FALSE,"By Code"}</definedName>
    <definedName name="buijrbn_5_1_1_1" hidden="1">{"Input_Fin",#N/A,FALSE,"By Code";"Input_Opt",#N/A,FALSE,"By Code"}</definedName>
    <definedName name="buijrbn_5_1_1_2" hidden="1">{"Input_Fin",#N/A,FALSE,"By Code";"Input_Opt",#N/A,FALSE,"By Code"}</definedName>
    <definedName name="buijrbn_5_1_1_3" hidden="1">{"Input_Fin",#N/A,FALSE,"By Code";"Input_Opt",#N/A,FALSE,"By Code"}</definedName>
    <definedName name="buijrbn_5_1_2" hidden="1">{"Input_Fin",#N/A,FALSE,"By Code";"Input_Opt",#N/A,FALSE,"By Code"}</definedName>
    <definedName name="buijrbn_5_1_2_1" hidden="1">{"Input_Fin",#N/A,FALSE,"By Code";"Input_Opt",#N/A,FALSE,"By Code"}</definedName>
    <definedName name="buijrbn_5_1_2_2" hidden="1">{"Input_Fin",#N/A,FALSE,"By Code";"Input_Opt",#N/A,FALSE,"By Code"}</definedName>
    <definedName name="buijrbn_5_1_3" hidden="1">{"Input_Fin",#N/A,FALSE,"By Code";"Input_Opt",#N/A,FALSE,"By Code"}</definedName>
    <definedName name="buijrbn_5_1_4" hidden="1">{"Input_Fin",#N/A,FALSE,"By Code";"Input_Opt",#N/A,FALSE,"By Code"}</definedName>
    <definedName name="buijrbn_5_2" hidden="1">{"Input_Fin",#N/A,FALSE,"By Code";"Input_Opt",#N/A,FALSE,"By Code"}</definedName>
    <definedName name="buijrbn_5_2_1" hidden="1">{"Input_Fin",#N/A,FALSE,"By Code";"Input_Opt",#N/A,FALSE,"By Code"}</definedName>
    <definedName name="buijrbn_5_2_2" hidden="1">{"Input_Fin",#N/A,FALSE,"By Code";"Input_Opt",#N/A,FALSE,"By Code"}</definedName>
    <definedName name="buijrbn_5_2_3" hidden="1">{"Input_Fin",#N/A,FALSE,"By Code";"Input_Opt",#N/A,FALSE,"By Code"}</definedName>
    <definedName name="buijrbn_5_3" hidden="1">{"Input_Fin",#N/A,FALSE,"By Code";"Input_Opt",#N/A,FALSE,"By Code"}</definedName>
    <definedName name="buijrbn_5_3_1" hidden="1">{"Input_Fin",#N/A,FALSE,"By Code";"Input_Opt",#N/A,FALSE,"By Code"}</definedName>
    <definedName name="buijrbn_5_3_2" hidden="1">{"Input_Fin",#N/A,FALSE,"By Code";"Input_Opt",#N/A,FALSE,"By Code"}</definedName>
    <definedName name="buijrbn_5_4" hidden="1">{"Input_Fin",#N/A,FALSE,"By Code";"Input_Opt",#N/A,FALSE,"By Code"}</definedName>
    <definedName name="buijrbn_5_5" hidden="1">{"Input_Fin",#N/A,FALSE,"By Code";"Input_Opt",#N/A,FALSE,"By Code"}</definedName>
    <definedName name="C_">#N/A</definedName>
    <definedName name="calc">1</definedName>
    <definedName name="CC101_ARP_A">#N/A</definedName>
    <definedName name="CC101_ARP_B">#N/A</definedName>
    <definedName name="CC101_ARP_C">#N/A</definedName>
    <definedName name="cccc" localSheetId="12" hidden="1">{"Input_Fin",#N/A,FALSE,"By Code";"Input_Opt",#N/A,FALSE,"By Code"}</definedName>
    <definedName name="cccc" hidden="1">{"Input_Fin",#N/A,FALSE,"By Code";"Input_Opt",#N/A,FALSE,"By Code"}</definedName>
    <definedName name="cccc_1" hidden="1">{"Input_Fin",#N/A,FALSE,"By Code";"Input_Opt",#N/A,FALSE,"By Code"}</definedName>
    <definedName name="cccc_1_1" hidden="1">{"Input_Fin",#N/A,FALSE,"By Code";"Input_Opt",#N/A,FALSE,"By Code"}</definedName>
    <definedName name="cccc_1_1_1" hidden="1">{"Input_Fin",#N/A,FALSE,"By Code";"Input_Opt",#N/A,FALSE,"By Code"}</definedName>
    <definedName name="cccc_1_1_1_1" hidden="1">{"Input_Fin",#N/A,FALSE,"By Code";"Input_Opt",#N/A,FALSE,"By Code"}</definedName>
    <definedName name="cccc_1_1_1_1_1" hidden="1">{"Input_Fin",#N/A,FALSE,"By Code";"Input_Opt",#N/A,FALSE,"By Code"}</definedName>
    <definedName name="cccc_1_1_1_1_2" hidden="1">{"Input_Fin",#N/A,FALSE,"By Code";"Input_Opt",#N/A,FALSE,"By Code"}</definedName>
    <definedName name="cccc_1_1_1_1_3" hidden="1">{"Input_Fin",#N/A,FALSE,"By Code";"Input_Opt",#N/A,FALSE,"By Code"}</definedName>
    <definedName name="cccc_1_1_1_2" hidden="1">{"Input_Fin",#N/A,FALSE,"By Code";"Input_Opt",#N/A,FALSE,"By Code"}</definedName>
    <definedName name="cccc_1_1_1_2_1" hidden="1">{"Input_Fin",#N/A,FALSE,"By Code";"Input_Opt",#N/A,FALSE,"By Code"}</definedName>
    <definedName name="cccc_1_1_1_2_2" hidden="1">{"Input_Fin",#N/A,FALSE,"By Code";"Input_Opt",#N/A,FALSE,"By Code"}</definedName>
    <definedName name="cccc_1_1_1_3" hidden="1">{"Input_Fin",#N/A,FALSE,"By Code";"Input_Opt",#N/A,FALSE,"By Code"}</definedName>
    <definedName name="cccc_1_1_1_3_1" hidden="1">{"Input_Fin",#N/A,FALSE,"By Code";"Input_Opt",#N/A,FALSE,"By Code"}</definedName>
    <definedName name="cccc_1_1_1_3_2" hidden="1">{"Input_Fin",#N/A,FALSE,"By Code";"Input_Opt",#N/A,FALSE,"By Code"}</definedName>
    <definedName name="cccc_1_1_1_4" hidden="1">{"Input_Fin",#N/A,FALSE,"By Code";"Input_Opt",#N/A,FALSE,"By Code"}</definedName>
    <definedName name="cccc_1_1_1_5" hidden="1">{"Input_Fin",#N/A,FALSE,"By Code";"Input_Opt",#N/A,FALSE,"By Code"}</definedName>
    <definedName name="cccc_1_1_2" hidden="1">{"Input_Fin",#N/A,FALSE,"By Code";"Input_Opt",#N/A,FALSE,"By Code"}</definedName>
    <definedName name="cccc_1_1_2_1" hidden="1">{"Input_Fin",#N/A,FALSE,"By Code";"Input_Opt",#N/A,FALSE,"By Code"}</definedName>
    <definedName name="cccc_1_1_2_2" hidden="1">{"Input_Fin",#N/A,FALSE,"By Code";"Input_Opt",#N/A,FALSE,"By Code"}</definedName>
    <definedName name="cccc_1_1_2_3" hidden="1">{"Input_Fin",#N/A,FALSE,"By Code";"Input_Opt",#N/A,FALSE,"By Code"}</definedName>
    <definedName name="cccc_1_1_3" hidden="1">{"Input_Fin",#N/A,FALSE,"By Code";"Input_Opt",#N/A,FALSE,"By Code"}</definedName>
    <definedName name="cccc_1_1_3_1" hidden="1">{"Input_Fin",#N/A,FALSE,"By Code";"Input_Opt",#N/A,FALSE,"By Code"}</definedName>
    <definedName name="cccc_1_1_3_2" hidden="1">{"Input_Fin",#N/A,FALSE,"By Code";"Input_Opt",#N/A,FALSE,"By Code"}</definedName>
    <definedName name="cccc_1_1_4" hidden="1">{"Input_Fin",#N/A,FALSE,"By Code";"Input_Opt",#N/A,FALSE,"By Code"}</definedName>
    <definedName name="cccc_1_1_5" hidden="1">{"Input_Fin",#N/A,FALSE,"By Code";"Input_Opt",#N/A,FALSE,"By Code"}</definedName>
    <definedName name="cccc_1_2" hidden="1">{"Input_Fin",#N/A,FALSE,"By Code";"Input_Opt",#N/A,FALSE,"By Code"}</definedName>
    <definedName name="cccc_1_2_1" hidden="1">{"Input_Fin",#N/A,FALSE,"By Code";"Input_Opt",#N/A,FALSE,"By Code"}</definedName>
    <definedName name="cccc_1_2_2" hidden="1">{"Input_Fin",#N/A,FALSE,"By Code";"Input_Opt",#N/A,FALSE,"By Code"}</definedName>
    <definedName name="cccc_1_2_3" hidden="1">{"Input_Fin",#N/A,FALSE,"By Code";"Input_Opt",#N/A,FALSE,"By Code"}</definedName>
    <definedName name="cccc_1_3" hidden="1">{"Input_Fin",#N/A,FALSE,"By Code";"Input_Opt",#N/A,FALSE,"By Code"}</definedName>
    <definedName name="cccc_1_3_1" hidden="1">{"Input_Fin",#N/A,FALSE,"By Code";"Input_Opt",#N/A,FALSE,"By Code"}</definedName>
    <definedName name="cccc_1_3_2" hidden="1">{"Input_Fin",#N/A,FALSE,"By Code";"Input_Opt",#N/A,FALSE,"By Code"}</definedName>
    <definedName name="cccc_1_4" hidden="1">{"Input_Fin",#N/A,FALSE,"By Code";"Input_Opt",#N/A,FALSE,"By Code"}</definedName>
    <definedName name="cccc_1_5" hidden="1">{"Input_Fin",#N/A,FALSE,"By Code";"Input_Opt",#N/A,FALSE,"By Code"}</definedName>
    <definedName name="cccc_2" hidden="1">{"Input_Fin",#N/A,FALSE,"By Code";"Input_Opt",#N/A,FALSE,"By Code"}</definedName>
    <definedName name="cccc_2_1" hidden="1">{"Input_Fin",#N/A,FALSE,"By Code";"Input_Opt",#N/A,FALSE,"By Code"}</definedName>
    <definedName name="cccc_2_1_1" hidden="1">{"Input_Fin",#N/A,FALSE,"By Code";"Input_Opt",#N/A,FALSE,"By Code"}</definedName>
    <definedName name="cccc_2_1_1_1" hidden="1">{"Input_Fin",#N/A,FALSE,"By Code";"Input_Opt",#N/A,FALSE,"By Code"}</definedName>
    <definedName name="cccc_2_1_1_2" hidden="1">{"Input_Fin",#N/A,FALSE,"By Code";"Input_Opt",#N/A,FALSE,"By Code"}</definedName>
    <definedName name="cccc_2_1_1_3" hidden="1">{"Input_Fin",#N/A,FALSE,"By Code";"Input_Opt",#N/A,FALSE,"By Code"}</definedName>
    <definedName name="cccc_2_1_2" hidden="1">{"Input_Fin",#N/A,FALSE,"By Code";"Input_Opt",#N/A,FALSE,"By Code"}</definedName>
    <definedName name="cccc_2_1_2_1" hidden="1">{"Input_Fin",#N/A,FALSE,"By Code";"Input_Opt",#N/A,FALSE,"By Code"}</definedName>
    <definedName name="cccc_2_1_2_2" hidden="1">{"Input_Fin",#N/A,FALSE,"By Code";"Input_Opt",#N/A,FALSE,"By Code"}</definedName>
    <definedName name="cccc_2_1_3" hidden="1">{"Input_Fin",#N/A,FALSE,"By Code";"Input_Opt",#N/A,FALSE,"By Code"}</definedName>
    <definedName name="cccc_2_1_4" hidden="1">{"Input_Fin",#N/A,FALSE,"By Code";"Input_Opt",#N/A,FALSE,"By Code"}</definedName>
    <definedName name="cccc_2_2" hidden="1">{"Input_Fin",#N/A,FALSE,"By Code";"Input_Opt",#N/A,FALSE,"By Code"}</definedName>
    <definedName name="cccc_2_2_1" hidden="1">{"Input_Fin",#N/A,FALSE,"By Code";"Input_Opt",#N/A,FALSE,"By Code"}</definedName>
    <definedName name="cccc_2_2_2" hidden="1">{"Input_Fin",#N/A,FALSE,"By Code";"Input_Opt",#N/A,FALSE,"By Code"}</definedName>
    <definedName name="cccc_2_2_3" hidden="1">{"Input_Fin",#N/A,FALSE,"By Code";"Input_Opt",#N/A,FALSE,"By Code"}</definedName>
    <definedName name="cccc_2_3" hidden="1">{"Input_Fin",#N/A,FALSE,"By Code";"Input_Opt",#N/A,FALSE,"By Code"}</definedName>
    <definedName name="cccc_2_3_1" hidden="1">{"Input_Fin",#N/A,FALSE,"By Code";"Input_Opt",#N/A,FALSE,"By Code"}</definedName>
    <definedName name="cccc_2_3_2" hidden="1">{"Input_Fin",#N/A,FALSE,"By Code";"Input_Opt",#N/A,FALSE,"By Code"}</definedName>
    <definedName name="cccc_2_4" hidden="1">{"Input_Fin",#N/A,FALSE,"By Code";"Input_Opt",#N/A,FALSE,"By Code"}</definedName>
    <definedName name="cccc_2_5" hidden="1">{"Input_Fin",#N/A,FALSE,"By Code";"Input_Opt",#N/A,FALSE,"By Code"}</definedName>
    <definedName name="cccc_3" hidden="1">{"Input_Fin",#N/A,FALSE,"By Code";"Input_Opt",#N/A,FALSE,"By Code"}</definedName>
    <definedName name="cccc_3_1" hidden="1">{"Input_Fin",#N/A,FALSE,"By Code";"Input_Opt",#N/A,FALSE,"By Code"}</definedName>
    <definedName name="cccc_3_1_1" hidden="1">{"Input_Fin",#N/A,FALSE,"By Code";"Input_Opt",#N/A,FALSE,"By Code"}</definedName>
    <definedName name="cccc_3_1_1_1" hidden="1">{"Input_Fin",#N/A,FALSE,"By Code";"Input_Opt",#N/A,FALSE,"By Code"}</definedName>
    <definedName name="cccc_3_1_1_2" hidden="1">{"Input_Fin",#N/A,FALSE,"By Code";"Input_Opt",#N/A,FALSE,"By Code"}</definedName>
    <definedName name="cccc_3_1_1_3" hidden="1">{"Input_Fin",#N/A,FALSE,"By Code";"Input_Opt",#N/A,FALSE,"By Code"}</definedName>
    <definedName name="cccc_3_1_2" hidden="1">{"Input_Fin",#N/A,FALSE,"By Code";"Input_Opt",#N/A,FALSE,"By Code"}</definedName>
    <definedName name="cccc_3_1_2_1" hidden="1">{"Input_Fin",#N/A,FALSE,"By Code";"Input_Opt",#N/A,FALSE,"By Code"}</definedName>
    <definedName name="cccc_3_1_2_2" hidden="1">{"Input_Fin",#N/A,FALSE,"By Code";"Input_Opt",#N/A,FALSE,"By Code"}</definedName>
    <definedName name="cccc_3_1_3" hidden="1">{"Input_Fin",#N/A,FALSE,"By Code";"Input_Opt",#N/A,FALSE,"By Code"}</definedName>
    <definedName name="cccc_3_1_4" hidden="1">{"Input_Fin",#N/A,FALSE,"By Code";"Input_Opt",#N/A,FALSE,"By Code"}</definedName>
    <definedName name="cccc_3_2" hidden="1">{"Input_Fin",#N/A,FALSE,"By Code";"Input_Opt",#N/A,FALSE,"By Code"}</definedName>
    <definedName name="cccc_3_2_1" hidden="1">{"Input_Fin",#N/A,FALSE,"By Code";"Input_Opt",#N/A,FALSE,"By Code"}</definedName>
    <definedName name="cccc_3_2_2" hidden="1">{"Input_Fin",#N/A,FALSE,"By Code";"Input_Opt",#N/A,FALSE,"By Code"}</definedName>
    <definedName name="cccc_3_2_3" hidden="1">{"Input_Fin",#N/A,FALSE,"By Code";"Input_Opt",#N/A,FALSE,"By Code"}</definedName>
    <definedName name="cccc_3_3" hidden="1">{"Input_Fin",#N/A,FALSE,"By Code";"Input_Opt",#N/A,FALSE,"By Code"}</definedName>
    <definedName name="cccc_3_3_1" hidden="1">{"Input_Fin",#N/A,FALSE,"By Code";"Input_Opt",#N/A,FALSE,"By Code"}</definedName>
    <definedName name="cccc_3_3_2" hidden="1">{"Input_Fin",#N/A,FALSE,"By Code";"Input_Opt",#N/A,FALSE,"By Code"}</definedName>
    <definedName name="cccc_3_4" hidden="1">{"Input_Fin",#N/A,FALSE,"By Code";"Input_Opt",#N/A,FALSE,"By Code"}</definedName>
    <definedName name="cccc_3_5" hidden="1">{"Input_Fin",#N/A,FALSE,"By Code";"Input_Opt",#N/A,FALSE,"By Code"}</definedName>
    <definedName name="cccc_4" hidden="1">{"Input_Fin",#N/A,FALSE,"By Code";"Input_Opt",#N/A,FALSE,"By Code"}</definedName>
    <definedName name="cccc_4_1" hidden="1">{"Input_Fin",#N/A,FALSE,"By Code";"Input_Opt",#N/A,FALSE,"By Code"}</definedName>
    <definedName name="cccc_4_1_1" hidden="1">{"Input_Fin",#N/A,FALSE,"By Code";"Input_Opt",#N/A,FALSE,"By Code"}</definedName>
    <definedName name="cccc_4_1_1_1" hidden="1">{"Input_Fin",#N/A,FALSE,"By Code";"Input_Opt",#N/A,FALSE,"By Code"}</definedName>
    <definedName name="cccc_4_1_1_2" hidden="1">{"Input_Fin",#N/A,FALSE,"By Code";"Input_Opt",#N/A,FALSE,"By Code"}</definedName>
    <definedName name="cccc_4_1_1_3" hidden="1">{"Input_Fin",#N/A,FALSE,"By Code";"Input_Opt",#N/A,FALSE,"By Code"}</definedName>
    <definedName name="cccc_4_1_2" hidden="1">{"Input_Fin",#N/A,FALSE,"By Code";"Input_Opt",#N/A,FALSE,"By Code"}</definedName>
    <definedName name="cccc_4_1_2_1" hidden="1">{"Input_Fin",#N/A,FALSE,"By Code";"Input_Opt",#N/A,FALSE,"By Code"}</definedName>
    <definedName name="cccc_4_1_2_2" hidden="1">{"Input_Fin",#N/A,FALSE,"By Code";"Input_Opt",#N/A,FALSE,"By Code"}</definedName>
    <definedName name="cccc_4_1_3" hidden="1">{"Input_Fin",#N/A,FALSE,"By Code";"Input_Opt",#N/A,FALSE,"By Code"}</definedName>
    <definedName name="cccc_4_1_4" hidden="1">{"Input_Fin",#N/A,FALSE,"By Code";"Input_Opt",#N/A,FALSE,"By Code"}</definedName>
    <definedName name="cccc_4_2" hidden="1">{"Input_Fin",#N/A,FALSE,"By Code";"Input_Opt",#N/A,FALSE,"By Code"}</definedName>
    <definedName name="cccc_4_2_1" hidden="1">{"Input_Fin",#N/A,FALSE,"By Code";"Input_Opt",#N/A,FALSE,"By Code"}</definedName>
    <definedName name="cccc_4_2_2" hidden="1">{"Input_Fin",#N/A,FALSE,"By Code";"Input_Opt",#N/A,FALSE,"By Code"}</definedName>
    <definedName name="cccc_4_2_3" hidden="1">{"Input_Fin",#N/A,FALSE,"By Code";"Input_Opt",#N/A,FALSE,"By Code"}</definedName>
    <definedName name="cccc_4_3" hidden="1">{"Input_Fin",#N/A,FALSE,"By Code";"Input_Opt",#N/A,FALSE,"By Code"}</definedName>
    <definedName name="cccc_4_3_1" hidden="1">{"Input_Fin",#N/A,FALSE,"By Code";"Input_Opt",#N/A,FALSE,"By Code"}</definedName>
    <definedName name="cccc_4_3_2" hidden="1">{"Input_Fin",#N/A,FALSE,"By Code";"Input_Opt",#N/A,FALSE,"By Code"}</definedName>
    <definedName name="cccc_4_4" hidden="1">{"Input_Fin",#N/A,FALSE,"By Code";"Input_Opt",#N/A,FALSE,"By Code"}</definedName>
    <definedName name="cccc_4_5" hidden="1">{"Input_Fin",#N/A,FALSE,"By Code";"Input_Opt",#N/A,FALSE,"By Code"}</definedName>
    <definedName name="cccc_5" hidden="1">{"Input_Fin",#N/A,FALSE,"By Code";"Input_Opt",#N/A,FALSE,"By Code"}</definedName>
    <definedName name="cccc_5_1" hidden="1">{"Input_Fin",#N/A,FALSE,"By Code";"Input_Opt",#N/A,FALSE,"By Code"}</definedName>
    <definedName name="cccc_5_1_1" hidden="1">{"Input_Fin",#N/A,FALSE,"By Code";"Input_Opt",#N/A,FALSE,"By Code"}</definedName>
    <definedName name="cccc_5_1_1_1" hidden="1">{"Input_Fin",#N/A,FALSE,"By Code";"Input_Opt",#N/A,FALSE,"By Code"}</definedName>
    <definedName name="cccc_5_1_1_2" hidden="1">{"Input_Fin",#N/A,FALSE,"By Code";"Input_Opt",#N/A,FALSE,"By Code"}</definedName>
    <definedName name="cccc_5_1_1_3" hidden="1">{"Input_Fin",#N/A,FALSE,"By Code";"Input_Opt",#N/A,FALSE,"By Code"}</definedName>
    <definedName name="cccc_5_1_2" hidden="1">{"Input_Fin",#N/A,FALSE,"By Code";"Input_Opt",#N/A,FALSE,"By Code"}</definedName>
    <definedName name="cccc_5_1_2_1" hidden="1">{"Input_Fin",#N/A,FALSE,"By Code";"Input_Opt",#N/A,FALSE,"By Code"}</definedName>
    <definedName name="cccc_5_1_2_2" hidden="1">{"Input_Fin",#N/A,FALSE,"By Code";"Input_Opt",#N/A,FALSE,"By Code"}</definedName>
    <definedName name="cccc_5_1_3" hidden="1">{"Input_Fin",#N/A,FALSE,"By Code";"Input_Opt",#N/A,FALSE,"By Code"}</definedName>
    <definedName name="cccc_5_1_4" hidden="1">{"Input_Fin",#N/A,FALSE,"By Code";"Input_Opt",#N/A,FALSE,"By Code"}</definedName>
    <definedName name="cccc_5_2" hidden="1">{"Input_Fin",#N/A,FALSE,"By Code";"Input_Opt",#N/A,FALSE,"By Code"}</definedName>
    <definedName name="cccc_5_2_1" hidden="1">{"Input_Fin",#N/A,FALSE,"By Code";"Input_Opt",#N/A,FALSE,"By Code"}</definedName>
    <definedName name="cccc_5_2_2" hidden="1">{"Input_Fin",#N/A,FALSE,"By Code";"Input_Opt",#N/A,FALSE,"By Code"}</definedName>
    <definedName name="cccc_5_2_3" hidden="1">{"Input_Fin",#N/A,FALSE,"By Code";"Input_Opt",#N/A,FALSE,"By Code"}</definedName>
    <definedName name="cccc_5_3" hidden="1">{"Input_Fin",#N/A,FALSE,"By Code";"Input_Opt",#N/A,FALSE,"By Code"}</definedName>
    <definedName name="cccc_5_3_1" hidden="1">{"Input_Fin",#N/A,FALSE,"By Code";"Input_Opt",#N/A,FALSE,"By Code"}</definedName>
    <definedName name="cccc_5_3_2" hidden="1">{"Input_Fin",#N/A,FALSE,"By Code";"Input_Opt",#N/A,FALSE,"By Code"}</definedName>
    <definedName name="cccc_5_4" hidden="1">{"Input_Fin",#N/A,FALSE,"By Code";"Input_Opt",#N/A,FALSE,"By Code"}</definedName>
    <definedName name="cccc_5_5" hidden="1">{"Input_Fin",#N/A,FALSE,"By Code";"Input_Opt",#N/A,FALSE,"By Code"}</definedName>
    <definedName name="cd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cd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CF21n" localSheetId="12" hidden="1">{"Input_Fin",#N/A,FALSE,"By Code";"Input_Opt",#N/A,FALSE,"By Code"}</definedName>
    <definedName name="CF21n" hidden="1">{"Input_Fin",#N/A,FALSE,"By Code";"Input_Opt",#N/A,FALSE,"By Code"}</definedName>
    <definedName name="chen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cheng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co">100</definedName>
    <definedName name="cvsdvsdvsdvsdvsd15616161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989876755567" hidden="1">{"'Sheet4'!$A$1:$L$41"}</definedName>
    <definedName name="danji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anji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dgdgdf" hidden="1">{"'Sheet4'!$A$1:$L$41"}</definedName>
    <definedName name="ddkjh" localSheetId="12" hidden="1">{"Input_Fin",#N/A,FALSE,"By Code";"Input_Opt",#N/A,FALSE,"By Code"}</definedName>
    <definedName name="ddkjh" hidden="1">{"Input_Fin",#N/A,FALSE,"By Code";"Input_Opt",#N/A,FALSE,"By Code"}</definedName>
    <definedName name="ddkjh_1" hidden="1">{"Input_Fin",#N/A,FALSE,"By Code";"Input_Opt",#N/A,FALSE,"By Code"}</definedName>
    <definedName name="ddkjh_1_1" hidden="1">{"Input_Fin",#N/A,FALSE,"By Code";"Input_Opt",#N/A,FALSE,"By Code"}</definedName>
    <definedName name="ddkjh_1_1_1" hidden="1">{"Input_Fin",#N/A,FALSE,"By Code";"Input_Opt",#N/A,FALSE,"By Code"}</definedName>
    <definedName name="ddkjh_1_1_1_1" hidden="1">{"Input_Fin",#N/A,FALSE,"By Code";"Input_Opt",#N/A,FALSE,"By Code"}</definedName>
    <definedName name="ddkjh_1_1_1_1_1" hidden="1">{"Input_Fin",#N/A,FALSE,"By Code";"Input_Opt",#N/A,FALSE,"By Code"}</definedName>
    <definedName name="ddkjh_1_1_1_1_2" hidden="1">{"Input_Fin",#N/A,FALSE,"By Code";"Input_Opt",#N/A,FALSE,"By Code"}</definedName>
    <definedName name="ddkjh_1_1_1_1_3" hidden="1">{"Input_Fin",#N/A,FALSE,"By Code";"Input_Opt",#N/A,FALSE,"By Code"}</definedName>
    <definedName name="ddkjh_1_1_1_2" hidden="1">{"Input_Fin",#N/A,FALSE,"By Code";"Input_Opt",#N/A,FALSE,"By Code"}</definedName>
    <definedName name="ddkjh_1_1_1_2_1" hidden="1">{"Input_Fin",#N/A,FALSE,"By Code";"Input_Opt",#N/A,FALSE,"By Code"}</definedName>
    <definedName name="ddkjh_1_1_1_2_2" hidden="1">{"Input_Fin",#N/A,FALSE,"By Code";"Input_Opt",#N/A,FALSE,"By Code"}</definedName>
    <definedName name="ddkjh_1_1_1_3" hidden="1">{"Input_Fin",#N/A,FALSE,"By Code";"Input_Opt",#N/A,FALSE,"By Code"}</definedName>
    <definedName name="ddkjh_1_1_1_3_1" hidden="1">{"Input_Fin",#N/A,FALSE,"By Code";"Input_Opt",#N/A,FALSE,"By Code"}</definedName>
    <definedName name="ddkjh_1_1_1_3_2" hidden="1">{"Input_Fin",#N/A,FALSE,"By Code";"Input_Opt",#N/A,FALSE,"By Code"}</definedName>
    <definedName name="ddkjh_1_1_1_4" hidden="1">{"Input_Fin",#N/A,FALSE,"By Code";"Input_Opt",#N/A,FALSE,"By Code"}</definedName>
    <definedName name="ddkjh_1_1_1_5" hidden="1">{"Input_Fin",#N/A,FALSE,"By Code";"Input_Opt",#N/A,FALSE,"By Code"}</definedName>
    <definedName name="ddkjh_1_1_2" hidden="1">{"Input_Fin",#N/A,FALSE,"By Code";"Input_Opt",#N/A,FALSE,"By Code"}</definedName>
    <definedName name="ddkjh_1_1_2_1" hidden="1">{"Input_Fin",#N/A,FALSE,"By Code";"Input_Opt",#N/A,FALSE,"By Code"}</definedName>
    <definedName name="ddkjh_1_1_2_2" hidden="1">{"Input_Fin",#N/A,FALSE,"By Code";"Input_Opt",#N/A,FALSE,"By Code"}</definedName>
    <definedName name="ddkjh_1_1_2_3" hidden="1">{"Input_Fin",#N/A,FALSE,"By Code";"Input_Opt",#N/A,FALSE,"By Code"}</definedName>
    <definedName name="ddkjh_1_1_3" hidden="1">{"Input_Fin",#N/A,FALSE,"By Code";"Input_Opt",#N/A,FALSE,"By Code"}</definedName>
    <definedName name="ddkjh_1_1_3_1" hidden="1">{"Input_Fin",#N/A,FALSE,"By Code";"Input_Opt",#N/A,FALSE,"By Code"}</definedName>
    <definedName name="ddkjh_1_1_3_2" hidden="1">{"Input_Fin",#N/A,FALSE,"By Code";"Input_Opt",#N/A,FALSE,"By Code"}</definedName>
    <definedName name="ddkjh_1_1_4" hidden="1">{"Input_Fin",#N/A,FALSE,"By Code";"Input_Opt",#N/A,FALSE,"By Code"}</definedName>
    <definedName name="ddkjh_1_1_5" hidden="1">{"Input_Fin",#N/A,FALSE,"By Code";"Input_Opt",#N/A,FALSE,"By Code"}</definedName>
    <definedName name="ddkjh_1_2" hidden="1">{"Input_Fin",#N/A,FALSE,"By Code";"Input_Opt",#N/A,FALSE,"By Code"}</definedName>
    <definedName name="ddkjh_1_2_1" hidden="1">{"Input_Fin",#N/A,FALSE,"By Code";"Input_Opt",#N/A,FALSE,"By Code"}</definedName>
    <definedName name="ddkjh_1_2_2" hidden="1">{"Input_Fin",#N/A,FALSE,"By Code";"Input_Opt",#N/A,FALSE,"By Code"}</definedName>
    <definedName name="ddkjh_1_2_3" hidden="1">{"Input_Fin",#N/A,FALSE,"By Code";"Input_Opt",#N/A,FALSE,"By Code"}</definedName>
    <definedName name="ddkjh_1_3" hidden="1">{"Input_Fin",#N/A,FALSE,"By Code";"Input_Opt",#N/A,FALSE,"By Code"}</definedName>
    <definedName name="ddkjh_1_3_1" hidden="1">{"Input_Fin",#N/A,FALSE,"By Code";"Input_Opt",#N/A,FALSE,"By Code"}</definedName>
    <definedName name="ddkjh_1_3_2" hidden="1">{"Input_Fin",#N/A,FALSE,"By Code";"Input_Opt",#N/A,FALSE,"By Code"}</definedName>
    <definedName name="ddkjh_1_4" hidden="1">{"Input_Fin",#N/A,FALSE,"By Code";"Input_Opt",#N/A,FALSE,"By Code"}</definedName>
    <definedName name="ddkjh_1_5" hidden="1">{"Input_Fin",#N/A,FALSE,"By Code";"Input_Opt",#N/A,FALSE,"By Code"}</definedName>
    <definedName name="ddkjh_2" hidden="1">{"Input_Fin",#N/A,FALSE,"By Code";"Input_Opt",#N/A,FALSE,"By Code"}</definedName>
    <definedName name="ddkjh_2_1" hidden="1">{"Input_Fin",#N/A,FALSE,"By Code";"Input_Opt",#N/A,FALSE,"By Code"}</definedName>
    <definedName name="ddkjh_2_1_1" hidden="1">{"Input_Fin",#N/A,FALSE,"By Code";"Input_Opt",#N/A,FALSE,"By Code"}</definedName>
    <definedName name="ddkjh_2_1_1_1" hidden="1">{"Input_Fin",#N/A,FALSE,"By Code";"Input_Opt",#N/A,FALSE,"By Code"}</definedName>
    <definedName name="ddkjh_2_1_1_2" hidden="1">{"Input_Fin",#N/A,FALSE,"By Code";"Input_Opt",#N/A,FALSE,"By Code"}</definedName>
    <definedName name="ddkjh_2_1_1_3" hidden="1">{"Input_Fin",#N/A,FALSE,"By Code";"Input_Opt",#N/A,FALSE,"By Code"}</definedName>
    <definedName name="ddkjh_2_1_2" hidden="1">{"Input_Fin",#N/A,FALSE,"By Code";"Input_Opt",#N/A,FALSE,"By Code"}</definedName>
    <definedName name="ddkjh_2_1_2_1" hidden="1">{"Input_Fin",#N/A,FALSE,"By Code";"Input_Opt",#N/A,FALSE,"By Code"}</definedName>
    <definedName name="ddkjh_2_1_2_2" hidden="1">{"Input_Fin",#N/A,FALSE,"By Code";"Input_Opt",#N/A,FALSE,"By Code"}</definedName>
    <definedName name="ddkjh_2_1_3" hidden="1">{"Input_Fin",#N/A,FALSE,"By Code";"Input_Opt",#N/A,FALSE,"By Code"}</definedName>
    <definedName name="ddkjh_2_1_4" hidden="1">{"Input_Fin",#N/A,FALSE,"By Code";"Input_Opt",#N/A,FALSE,"By Code"}</definedName>
    <definedName name="ddkjh_2_2" hidden="1">{"Input_Fin",#N/A,FALSE,"By Code";"Input_Opt",#N/A,FALSE,"By Code"}</definedName>
    <definedName name="ddkjh_2_2_1" hidden="1">{"Input_Fin",#N/A,FALSE,"By Code";"Input_Opt",#N/A,FALSE,"By Code"}</definedName>
    <definedName name="ddkjh_2_2_2" hidden="1">{"Input_Fin",#N/A,FALSE,"By Code";"Input_Opt",#N/A,FALSE,"By Code"}</definedName>
    <definedName name="ddkjh_2_2_3" hidden="1">{"Input_Fin",#N/A,FALSE,"By Code";"Input_Opt",#N/A,FALSE,"By Code"}</definedName>
    <definedName name="ddkjh_2_3" hidden="1">{"Input_Fin",#N/A,FALSE,"By Code";"Input_Opt",#N/A,FALSE,"By Code"}</definedName>
    <definedName name="ddkjh_2_3_1" hidden="1">{"Input_Fin",#N/A,FALSE,"By Code";"Input_Opt",#N/A,FALSE,"By Code"}</definedName>
    <definedName name="ddkjh_2_3_2" hidden="1">{"Input_Fin",#N/A,FALSE,"By Code";"Input_Opt",#N/A,FALSE,"By Code"}</definedName>
    <definedName name="ddkjh_2_4" hidden="1">{"Input_Fin",#N/A,FALSE,"By Code";"Input_Opt",#N/A,FALSE,"By Code"}</definedName>
    <definedName name="ddkjh_2_5" hidden="1">{"Input_Fin",#N/A,FALSE,"By Code";"Input_Opt",#N/A,FALSE,"By Code"}</definedName>
    <definedName name="ddkjh_3" hidden="1">{"Input_Fin",#N/A,FALSE,"By Code";"Input_Opt",#N/A,FALSE,"By Code"}</definedName>
    <definedName name="ddkjh_3_1" hidden="1">{"Input_Fin",#N/A,FALSE,"By Code";"Input_Opt",#N/A,FALSE,"By Code"}</definedName>
    <definedName name="ddkjh_3_1_1" hidden="1">{"Input_Fin",#N/A,FALSE,"By Code";"Input_Opt",#N/A,FALSE,"By Code"}</definedName>
    <definedName name="ddkjh_3_1_1_1" hidden="1">{"Input_Fin",#N/A,FALSE,"By Code";"Input_Opt",#N/A,FALSE,"By Code"}</definedName>
    <definedName name="ddkjh_3_1_1_2" hidden="1">{"Input_Fin",#N/A,FALSE,"By Code";"Input_Opt",#N/A,FALSE,"By Code"}</definedName>
    <definedName name="ddkjh_3_1_1_3" hidden="1">{"Input_Fin",#N/A,FALSE,"By Code";"Input_Opt",#N/A,FALSE,"By Code"}</definedName>
    <definedName name="ddkjh_3_1_2" hidden="1">{"Input_Fin",#N/A,FALSE,"By Code";"Input_Opt",#N/A,FALSE,"By Code"}</definedName>
    <definedName name="ddkjh_3_1_2_1" hidden="1">{"Input_Fin",#N/A,FALSE,"By Code";"Input_Opt",#N/A,FALSE,"By Code"}</definedName>
    <definedName name="ddkjh_3_1_2_2" hidden="1">{"Input_Fin",#N/A,FALSE,"By Code";"Input_Opt",#N/A,FALSE,"By Code"}</definedName>
    <definedName name="ddkjh_3_1_3" hidden="1">{"Input_Fin",#N/A,FALSE,"By Code";"Input_Opt",#N/A,FALSE,"By Code"}</definedName>
    <definedName name="ddkjh_3_1_4" hidden="1">{"Input_Fin",#N/A,FALSE,"By Code";"Input_Opt",#N/A,FALSE,"By Code"}</definedName>
    <definedName name="ddkjh_3_2" hidden="1">{"Input_Fin",#N/A,FALSE,"By Code";"Input_Opt",#N/A,FALSE,"By Code"}</definedName>
    <definedName name="ddkjh_3_2_1" hidden="1">{"Input_Fin",#N/A,FALSE,"By Code";"Input_Opt",#N/A,FALSE,"By Code"}</definedName>
    <definedName name="ddkjh_3_2_2" hidden="1">{"Input_Fin",#N/A,FALSE,"By Code";"Input_Opt",#N/A,FALSE,"By Code"}</definedName>
    <definedName name="ddkjh_3_2_3" hidden="1">{"Input_Fin",#N/A,FALSE,"By Code";"Input_Opt",#N/A,FALSE,"By Code"}</definedName>
    <definedName name="ddkjh_3_3" hidden="1">{"Input_Fin",#N/A,FALSE,"By Code";"Input_Opt",#N/A,FALSE,"By Code"}</definedName>
    <definedName name="ddkjh_3_3_1" hidden="1">{"Input_Fin",#N/A,FALSE,"By Code";"Input_Opt",#N/A,FALSE,"By Code"}</definedName>
    <definedName name="ddkjh_3_3_2" hidden="1">{"Input_Fin",#N/A,FALSE,"By Code";"Input_Opt",#N/A,FALSE,"By Code"}</definedName>
    <definedName name="ddkjh_3_4" hidden="1">{"Input_Fin",#N/A,FALSE,"By Code";"Input_Opt",#N/A,FALSE,"By Code"}</definedName>
    <definedName name="ddkjh_3_5" hidden="1">{"Input_Fin",#N/A,FALSE,"By Code";"Input_Opt",#N/A,FALSE,"By Code"}</definedName>
    <definedName name="ddkjh_4" hidden="1">{"Input_Fin",#N/A,FALSE,"By Code";"Input_Opt",#N/A,FALSE,"By Code"}</definedName>
    <definedName name="ddkjh_4_1" hidden="1">{"Input_Fin",#N/A,FALSE,"By Code";"Input_Opt",#N/A,FALSE,"By Code"}</definedName>
    <definedName name="ddkjh_4_1_1" hidden="1">{"Input_Fin",#N/A,FALSE,"By Code";"Input_Opt",#N/A,FALSE,"By Code"}</definedName>
    <definedName name="ddkjh_4_1_1_1" hidden="1">{"Input_Fin",#N/A,FALSE,"By Code";"Input_Opt",#N/A,FALSE,"By Code"}</definedName>
    <definedName name="ddkjh_4_1_1_2" hidden="1">{"Input_Fin",#N/A,FALSE,"By Code";"Input_Opt",#N/A,FALSE,"By Code"}</definedName>
    <definedName name="ddkjh_4_1_1_3" hidden="1">{"Input_Fin",#N/A,FALSE,"By Code";"Input_Opt",#N/A,FALSE,"By Code"}</definedName>
    <definedName name="ddkjh_4_1_2" hidden="1">{"Input_Fin",#N/A,FALSE,"By Code";"Input_Opt",#N/A,FALSE,"By Code"}</definedName>
    <definedName name="ddkjh_4_1_2_1" hidden="1">{"Input_Fin",#N/A,FALSE,"By Code";"Input_Opt",#N/A,FALSE,"By Code"}</definedName>
    <definedName name="ddkjh_4_1_2_2" hidden="1">{"Input_Fin",#N/A,FALSE,"By Code";"Input_Opt",#N/A,FALSE,"By Code"}</definedName>
    <definedName name="ddkjh_4_1_3" hidden="1">{"Input_Fin",#N/A,FALSE,"By Code";"Input_Opt",#N/A,FALSE,"By Code"}</definedName>
    <definedName name="ddkjh_4_1_4" hidden="1">{"Input_Fin",#N/A,FALSE,"By Code";"Input_Opt",#N/A,FALSE,"By Code"}</definedName>
    <definedName name="ddkjh_4_2" hidden="1">{"Input_Fin",#N/A,FALSE,"By Code";"Input_Opt",#N/A,FALSE,"By Code"}</definedName>
    <definedName name="ddkjh_4_2_1" hidden="1">{"Input_Fin",#N/A,FALSE,"By Code";"Input_Opt",#N/A,FALSE,"By Code"}</definedName>
    <definedName name="ddkjh_4_2_2" hidden="1">{"Input_Fin",#N/A,FALSE,"By Code";"Input_Opt",#N/A,FALSE,"By Code"}</definedName>
    <definedName name="ddkjh_4_2_3" hidden="1">{"Input_Fin",#N/A,FALSE,"By Code";"Input_Opt",#N/A,FALSE,"By Code"}</definedName>
    <definedName name="ddkjh_4_3" hidden="1">{"Input_Fin",#N/A,FALSE,"By Code";"Input_Opt",#N/A,FALSE,"By Code"}</definedName>
    <definedName name="ddkjh_4_3_1" hidden="1">{"Input_Fin",#N/A,FALSE,"By Code";"Input_Opt",#N/A,FALSE,"By Code"}</definedName>
    <definedName name="ddkjh_4_3_2" hidden="1">{"Input_Fin",#N/A,FALSE,"By Code";"Input_Opt",#N/A,FALSE,"By Code"}</definedName>
    <definedName name="ddkjh_4_4" hidden="1">{"Input_Fin",#N/A,FALSE,"By Code";"Input_Opt",#N/A,FALSE,"By Code"}</definedName>
    <definedName name="ddkjh_4_5" hidden="1">{"Input_Fin",#N/A,FALSE,"By Code";"Input_Opt",#N/A,FALSE,"By Code"}</definedName>
    <definedName name="ddkjh_5" hidden="1">{"Input_Fin",#N/A,FALSE,"By Code";"Input_Opt",#N/A,FALSE,"By Code"}</definedName>
    <definedName name="ddkjh_5_1" hidden="1">{"Input_Fin",#N/A,FALSE,"By Code";"Input_Opt",#N/A,FALSE,"By Code"}</definedName>
    <definedName name="ddkjh_5_1_1" hidden="1">{"Input_Fin",#N/A,FALSE,"By Code";"Input_Opt",#N/A,FALSE,"By Code"}</definedName>
    <definedName name="ddkjh_5_1_1_1" hidden="1">{"Input_Fin",#N/A,FALSE,"By Code";"Input_Opt",#N/A,FALSE,"By Code"}</definedName>
    <definedName name="ddkjh_5_1_1_2" hidden="1">{"Input_Fin",#N/A,FALSE,"By Code";"Input_Opt",#N/A,FALSE,"By Code"}</definedName>
    <definedName name="ddkjh_5_1_1_3" hidden="1">{"Input_Fin",#N/A,FALSE,"By Code";"Input_Opt",#N/A,FALSE,"By Code"}</definedName>
    <definedName name="ddkjh_5_1_2" hidden="1">{"Input_Fin",#N/A,FALSE,"By Code";"Input_Opt",#N/A,FALSE,"By Code"}</definedName>
    <definedName name="ddkjh_5_1_2_1" hidden="1">{"Input_Fin",#N/A,FALSE,"By Code";"Input_Opt",#N/A,FALSE,"By Code"}</definedName>
    <definedName name="ddkjh_5_1_2_2" hidden="1">{"Input_Fin",#N/A,FALSE,"By Code";"Input_Opt",#N/A,FALSE,"By Code"}</definedName>
    <definedName name="ddkjh_5_1_3" hidden="1">{"Input_Fin",#N/A,FALSE,"By Code";"Input_Opt",#N/A,FALSE,"By Code"}</definedName>
    <definedName name="ddkjh_5_1_4" hidden="1">{"Input_Fin",#N/A,FALSE,"By Code";"Input_Opt",#N/A,FALSE,"By Code"}</definedName>
    <definedName name="ddkjh_5_2" hidden="1">{"Input_Fin",#N/A,FALSE,"By Code";"Input_Opt",#N/A,FALSE,"By Code"}</definedName>
    <definedName name="ddkjh_5_2_1" hidden="1">{"Input_Fin",#N/A,FALSE,"By Code";"Input_Opt",#N/A,FALSE,"By Code"}</definedName>
    <definedName name="ddkjh_5_2_2" hidden="1">{"Input_Fin",#N/A,FALSE,"By Code";"Input_Opt",#N/A,FALSE,"By Code"}</definedName>
    <definedName name="ddkjh_5_2_3" hidden="1">{"Input_Fin",#N/A,FALSE,"By Code";"Input_Opt",#N/A,FALSE,"By Code"}</definedName>
    <definedName name="ddkjh_5_3" hidden="1">{"Input_Fin",#N/A,FALSE,"By Code";"Input_Opt",#N/A,FALSE,"By Code"}</definedName>
    <definedName name="ddkjh_5_3_1" hidden="1">{"Input_Fin",#N/A,FALSE,"By Code";"Input_Opt",#N/A,FALSE,"By Code"}</definedName>
    <definedName name="ddkjh_5_3_2" hidden="1">{"Input_Fin",#N/A,FALSE,"By Code";"Input_Opt",#N/A,FALSE,"By Code"}</definedName>
    <definedName name="ddkjh_5_4" hidden="1">{"Input_Fin",#N/A,FALSE,"By Code";"Input_Opt",#N/A,FALSE,"By Code"}</definedName>
    <definedName name="ddkjh_5_5" hidden="1">{"Input_Fin",#N/A,FALSE,"By Code";"Input_Opt",#N/A,FALSE,"By Code"}</definedName>
    <definedName name="df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FF" hidden="1">{"Input_Fin",#N/A,FALSE,"By Code";"Input_Opt",#N/A,FALSE,"By Code"}</definedName>
    <definedName name="DFFF_1" hidden="1">{"Input_Fin",#N/A,FALSE,"By Code";"Input_Opt",#N/A,FALSE,"By Code"}</definedName>
    <definedName name="DFFF_1_1" hidden="1">{"Input_Fin",#N/A,FALSE,"By Code";"Input_Opt",#N/A,FALSE,"By Code"}</definedName>
    <definedName name="DFFF_1_1_1" hidden="1">{"Input_Fin",#N/A,FALSE,"By Code";"Input_Opt",#N/A,FALSE,"By Code"}</definedName>
    <definedName name="DFFF_1_1_2" hidden="1">{"Input_Fin",#N/A,FALSE,"By Code";"Input_Opt",#N/A,FALSE,"By Code"}</definedName>
    <definedName name="DFFF_1_1_3" hidden="1">{"Input_Fin",#N/A,FALSE,"By Code";"Input_Opt",#N/A,FALSE,"By Code"}</definedName>
    <definedName name="DFFF_1_2" hidden="1">{"Input_Fin",#N/A,FALSE,"By Code";"Input_Opt",#N/A,FALSE,"By Code"}</definedName>
    <definedName name="DFFF_1_2_1" hidden="1">{"Input_Fin",#N/A,FALSE,"By Code";"Input_Opt",#N/A,FALSE,"By Code"}</definedName>
    <definedName name="DFFF_1_2_2" hidden="1">{"Input_Fin",#N/A,FALSE,"By Code";"Input_Opt",#N/A,FALSE,"By Code"}</definedName>
    <definedName name="DFFF_1_3" hidden="1">{"Input_Fin",#N/A,FALSE,"By Code";"Input_Opt",#N/A,FALSE,"By Code"}</definedName>
    <definedName name="DFFF_1_4" hidden="1">{"Input_Fin",#N/A,FALSE,"By Code";"Input_Opt",#N/A,FALSE,"By Code"}</definedName>
    <definedName name="DFFF_2" hidden="1">{"Input_Fin",#N/A,FALSE,"By Code";"Input_Opt",#N/A,FALSE,"By Code"}</definedName>
    <definedName name="DFFF_2_1" hidden="1">{"Input_Fin",#N/A,FALSE,"By Code";"Input_Opt",#N/A,FALSE,"By Code"}</definedName>
    <definedName name="DFFF_2_2" hidden="1">{"Input_Fin",#N/A,FALSE,"By Code";"Input_Opt",#N/A,FALSE,"By Code"}</definedName>
    <definedName name="DFFF_2_3" hidden="1">{"Input_Fin",#N/A,FALSE,"By Code";"Input_Opt",#N/A,FALSE,"By Code"}</definedName>
    <definedName name="DFFF_3" hidden="1">{"Input_Fin",#N/A,FALSE,"By Code";"Input_Opt",#N/A,FALSE,"By Code"}</definedName>
    <definedName name="DFFF_3_1" hidden="1">{"Input_Fin",#N/A,FALSE,"By Code";"Input_Opt",#N/A,FALSE,"By Code"}</definedName>
    <definedName name="DFFF_3_2" hidden="1">{"Input_Fin",#N/A,FALSE,"By Code";"Input_Opt",#N/A,FALSE,"By Code"}</definedName>
    <definedName name="DFFF_4" hidden="1">{"Input_Fin",#N/A,FALSE,"By Code";"Input_Opt",#N/A,FALSE,"By Code"}</definedName>
    <definedName name="DFFF_5" hidden="1">{"Input_Fin",#N/A,FALSE,"By Code";"Input_Opt",#N/A,FALSE,"By Code"}</definedName>
    <definedName name="dfscgl" localSheetId="12" hidden="1">{"Input_Fin",#N/A,FALSE,"By Code";"Input_Opt",#N/A,FALSE,"By Code"}</definedName>
    <definedName name="dfscgl" hidden="1">{"Input_Fin",#N/A,FALSE,"By Code";"Input_Opt",#N/A,FALSE,"By Code"}</definedName>
    <definedName name="dfscgl_1" hidden="1">{"Input_Fin",#N/A,FALSE,"By Code";"Input_Opt",#N/A,FALSE,"By Code"}</definedName>
    <definedName name="dfscgl_1_1" hidden="1">{"Input_Fin",#N/A,FALSE,"By Code";"Input_Opt",#N/A,FALSE,"By Code"}</definedName>
    <definedName name="dfscgl_1_1_1" hidden="1">{"Input_Fin",#N/A,FALSE,"By Code";"Input_Opt",#N/A,FALSE,"By Code"}</definedName>
    <definedName name="dfscgl_1_1_1_1" hidden="1">{"Input_Fin",#N/A,FALSE,"By Code";"Input_Opt",#N/A,FALSE,"By Code"}</definedName>
    <definedName name="dfscgl_1_1_1_1_1" hidden="1">{"Input_Fin",#N/A,FALSE,"By Code";"Input_Opt",#N/A,FALSE,"By Code"}</definedName>
    <definedName name="dfscgl_1_1_1_1_2" hidden="1">{"Input_Fin",#N/A,FALSE,"By Code";"Input_Opt",#N/A,FALSE,"By Code"}</definedName>
    <definedName name="dfscgl_1_1_1_1_3" hidden="1">{"Input_Fin",#N/A,FALSE,"By Code";"Input_Opt",#N/A,FALSE,"By Code"}</definedName>
    <definedName name="dfscgl_1_1_1_2" hidden="1">{"Input_Fin",#N/A,FALSE,"By Code";"Input_Opt",#N/A,FALSE,"By Code"}</definedName>
    <definedName name="dfscgl_1_1_1_2_1" hidden="1">{"Input_Fin",#N/A,FALSE,"By Code";"Input_Opt",#N/A,FALSE,"By Code"}</definedName>
    <definedName name="dfscgl_1_1_1_2_2" hidden="1">{"Input_Fin",#N/A,FALSE,"By Code";"Input_Opt",#N/A,FALSE,"By Code"}</definedName>
    <definedName name="dfscgl_1_1_1_3" hidden="1">{"Input_Fin",#N/A,FALSE,"By Code";"Input_Opt",#N/A,FALSE,"By Code"}</definedName>
    <definedName name="dfscgl_1_1_1_3_1" hidden="1">{"Input_Fin",#N/A,FALSE,"By Code";"Input_Opt",#N/A,FALSE,"By Code"}</definedName>
    <definedName name="dfscgl_1_1_1_3_2" hidden="1">{"Input_Fin",#N/A,FALSE,"By Code";"Input_Opt",#N/A,FALSE,"By Code"}</definedName>
    <definedName name="dfscgl_1_1_1_4" hidden="1">{"Input_Fin",#N/A,FALSE,"By Code";"Input_Opt",#N/A,FALSE,"By Code"}</definedName>
    <definedName name="dfscgl_1_1_1_5" hidden="1">{"Input_Fin",#N/A,FALSE,"By Code";"Input_Opt",#N/A,FALSE,"By Code"}</definedName>
    <definedName name="dfscgl_1_1_2" hidden="1">{"Input_Fin",#N/A,FALSE,"By Code";"Input_Opt",#N/A,FALSE,"By Code"}</definedName>
    <definedName name="dfscgl_1_1_2_1" hidden="1">{"Input_Fin",#N/A,FALSE,"By Code";"Input_Opt",#N/A,FALSE,"By Code"}</definedName>
    <definedName name="dfscgl_1_1_2_2" hidden="1">{"Input_Fin",#N/A,FALSE,"By Code";"Input_Opt",#N/A,FALSE,"By Code"}</definedName>
    <definedName name="dfscgl_1_1_2_3" hidden="1">{"Input_Fin",#N/A,FALSE,"By Code";"Input_Opt",#N/A,FALSE,"By Code"}</definedName>
    <definedName name="dfscgl_1_1_3" hidden="1">{"Input_Fin",#N/A,FALSE,"By Code";"Input_Opt",#N/A,FALSE,"By Code"}</definedName>
    <definedName name="dfscgl_1_1_3_1" hidden="1">{"Input_Fin",#N/A,FALSE,"By Code";"Input_Opt",#N/A,FALSE,"By Code"}</definedName>
    <definedName name="dfscgl_1_1_3_2" hidden="1">{"Input_Fin",#N/A,FALSE,"By Code";"Input_Opt",#N/A,FALSE,"By Code"}</definedName>
    <definedName name="dfscgl_1_1_4" hidden="1">{"Input_Fin",#N/A,FALSE,"By Code";"Input_Opt",#N/A,FALSE,"By Code"}</definedName>
    <definedName name="dfscgl_1_1_5" hidden="1">{"Input_Fin",#N/A,FALSE,"By Code";"Input_Opt",#N/A,FALSE,"By Code"}</definedName>
    <definedName name="dfscgl_1_2" hidden="1">{"Input_Fin",#N/A,FALSE,"By Code";"Input_Opt",#N/A,FALSE,"By Code"}</definedName>
    <definedName name="dfscgl_1_2_1" hidden="1">{"Input_Fin",#N/A,FALSE,"By Code";"Input_Opt",#N/A,FALSE,"By Code"}</definedName>
    <definedName name="dfscgl_1_2_2" hidden="1">{"Input_Fin",#N/A,FALSE,"By Code";"Input_Opt",#N/A,FALSE,"By Code"}</definedName>
    <definedName name="dfscgl_1_2_3" hidden="1">{"Input_Fin",#N/A,FALSE,"By Code";"Input_Opt",#N/A,FALSE,"By Code"}</definedName>
    <definedName name="dfscgl_1_3" hidden="1">{"Input_Fin",#N/A,FALSE,"By Code";"Input_Opt",#N/A,FALSE,"By Code"}</definedName>
    <definedName name="dfscgl_1_3_1" hidden="1">{"Input_Fin",#N/A,FALSE,"By Code";"Input_Opt",#N/A,FALSE,"By Code"}</definedName>
    <definedName name="dfscgl_1_3_2" hidden="1">{"Input_Fin",#N/A,FALSE,"By Code";"Input_Opt",#N/A,FALSE,"By Code"}</definedName>
    <definedName name="dfscgl_1_4" hidden="1">{"Input_Fin",#N/A,FALSE,"By Code";"Input_Opt",#N/A,FALSE,"By Code"}</definedName>
    <definedName name="dfscgl_1_5" hidden="1">{"Input_Fin",#N/A,FALSE,"By Code";"Input_Opt",#N/A,FALSE,"By Code"}</definedName>
    <definedName name="dfscgl_2" hidden="1">{"Input_Fin",#N/A,FALSE,"By Code";"Input_Opt",#N/A,FALSE,"By Code"}</definedName>
    <definedName name="dfscgl_2_1" hidden="1">{"Input_Fin",#N/A,FALSE,"By Code";"Input_Opt",#N/A,FALSE,"By Code"}</definedName>
    <definedName name="dfscgl_2_1_1" hidden="1">{"Input_Fin",#N/A,FALSE,"By Code";"Input_Opt",#N/A,FALSE,"By Code"}</definedName>
    <definedName name="dfscgl_2_1_1_1" hidden="1">{"Input_Fin",#N/A,FALSE,"By Code";"Input_Opt",#N/A,FALSE,"By Code"}</definedName>
    <definedName name="dfscgl_2_1_1_2" hidden="1">{"Input_Fin",#N/A,FALSE,"By Code";"Input_Opt",#N/A,FALSE,"By Code"}</definedName>
    <definedName name="dfscgl_2_1_1_3" hidden="1">{"Input_Fin",#N/A,FALSE,"By Code";"Input_Opt",#N/A,FALSE,"By Code"}</definedName>
    <definedName name="dfscgl_2_1_2" hidden="1">{"Input_Fin",#N/A,FALSE,"By Code";"Input_Opt",#N/A,FALSE,"By Code"}</definedName>
    <definedName name="dfscgl_2_1_2_1" hidden="1">{"Input_Fin",#N/A,FALSE,"By Code";"Input_Opt",#N/A,FALSE,"By Code"}</definedName>
    <definedName name="dfscgl_2_1_2_2" hidden="1">{"Input_Fin",#N/A,FALSE,"By Code";"Input_Opt",#N/A,FALSE,"By Code"}</definedName>
    <definedName name="dfscgl_2_1_3" hidden="1">{"Input_Fin",#N/A,FALSE,"By Code";"Input_Opt",#N/A,FALSE,"By Code"}</definedName>
    <definedName name="dfscgl_2_1_4" hidden="1">{"Input_Fin",#N/A,FALSE,"By Code";"Input_Opt",#N/A,FALSE,"By Code"}</definedName>
    <definedName name="dfscgl_2_2" hidden="1">{"Input_Fin",#N/A,FALSE,"By Code";"Input_Opt",#N/A,FALSE,"By Code"}</definedName>
    <definedName name="dfscgl_2_2_1" hidden="1">{"Input_Fin",#N/A,FALSE,"By Code";"Input_Opt",#N/A,FALSE,"By Code"}</definedName>
    <definedName name="dfscgl_2_2_2" hidden="1">{"Input_Fin",#N/A,FALSE,"By Code";"Input_Opt",#N/A,FALSE,"By Code"}</definedName>
    <definedName name="dfscgl_2_2_3" hidden="1">{"Input_Fin",#N/A,FALSE,"By Code";"Input_Opt",#N/A,FALSE,"By Code"}</definedName>
    <definedName name="dfscgl_2_3" hidden="1">{"Input_Fin",#N/A,FALSE,"By Code";"Input_Opt",#N/A,FALSE,"By Code"}</definedName>
    <definedName name="dfscgl_2_3_1" hidden="1">{"Input_Fin",#N/A,FALSE,"By Code";"Input_Opt",#N/A,FALSE,"By Code"}</definedName>
    <definedName name="dfscgl_2_3_2" hidden="1">{"Input_Fin",#N/A,FALSE,"By Code";"Input_Opt",#N/A,FALSE,"By Code"}</definedName>
    <definedName name="dfscgl_2_4" hidden="1">{"Input_Fin",#N/A,FALSE,"By Code";"Input_Opt",#N/A,FALSE,"By Code"}</definedName>
    <definedName name="dfscgl_2_5" hidden="1">{"Input_Fin",#N/A,FALSE,"By Code";"Input_Opt",#N/A,FALSE,"By Code"}</definedName>
    <definedName name="dfscgl_3" hidden="1">{"Input_Fin",#N/A,FALSE,"By Code";"Input_Opt",#N/A,FALSE,"By Code"}</definedName>
    <definedName name="dfscgl_3_1" hidden="1">{"Input_Fin",#N/A,FALSE,"By Code";"Input_Opt",#N/A,FALSE,"By Code"}</definedName>
    <definedName name="dfscgl_3_1_1" hidden="1">{"Input_Fin",#N/A,FALSE,"By Code";"Input_Opt",#N/A,FALSE,"By Code"}</definedName>
    <definedName name="dfscgl_3_1_1_1" hidden="1">{"Input_Fin",#N/A,FALSE,"By Code";"Input_Opt",#N/A,FALSE,"By Code"}</definedName>
    <definedName name="dfscgl_3_1_1_2" hidden="1">{"Input_Fin",#N/A,FALSE,"By Code";"Input_Opt",#N/A,FALSE,"By Code"}</definedName>
    <definedName name="dfscgl_3_1_1_3" hidden="1">{"Input_Fin",#N/A,FALSE,"By Code";"Input_Opt",#N/A,FALSE,"By Code"}</definedName>
    <definedName name="dfscgl_3_1_2" hidden="1">{"Input_Fin",#N/A,FALSE,"By Code";"Input_Opt",#N/A,FALSE,"By Code"}</definedName>
    <definedName name="dfscgl_3_1_2_1" hidden="1">{"Input_Fin",#N/A,FALSE,"By Code";"Input_Opt",#N/A,FALSE,"By Code"}</definedName>
    <definedName name="dfscgl_3_1_2_2" hidden="1">{"Input_Fin",#N/A,FALSE,"By Code";"Input_Opt",#N/A,FALSE,"By Code"}</definedName>
    <definedName name="dfscgl_3_1_3" hidden="1">{"Input_Fin",#N/A,FALSE,"By Code";"Input_Opt",#N/A,FALSE,"By Code"}</definedName>
    <definedName name="dfscgl_3_1_4" hidden="1">{"Input_Fin",#N/A,FALSE,"By Code";"Input_Opt",#N/A,FALSE,"By Code"}</definedName>
    <definedName name="dfscgl_3_2" hidden="1">{"Input_Fin",#N/A,FALSE,"By Code";"Input_Opt",#N/A,FALSE,"By Code"}</definedName>
    <definedName name="dfscgl_3_2_1" hidden="1">{"Input_Fin",#N/A,FALSE,"By Code";"Input_Opt",#N/A,FALSE,"By Code"}</definedName>
    <definedName name="dfscgl_3_2_2" hidden="1">{"Input_Fin",#N/A,FALSE,"By Code";"Input_Opt",#N/A,FALSE,"By Code"}</definedName>
    <definedName name="dfscgl_3_2_3" hidden="1">{"Input_Fin",#N/A,FALSE,"By Code";"Input_Opt",#N/A,FALSE,"By Code"}</definedName>
    <definedName name="dfscgl_3_3" hidden="1">{"Input_Fin",#N/A,FALSE,"By Code";"Input_Opt",#N/A,FALSE,"By Code"}</definedName>
    <definedName name="dfscgl_3_3_1" hidden="1">{"Input_Fin",#N/A,FALSE,"By Code";"Input_Opt",#N/A,FALSE,"By Code"}</definedName>
    <definedName name="dfscgl_3_3_2" hidden="1">{"Input_Fin",#N/A,FALSE,"By Code";"Input_Opt",#N/A,FALSE,"By Code"}</definedName>
    <definedName name="dfscgl_3_4" hidden="1">{"Input_Fin",#N/A,FALSE,"By Code";"Input_Opt",#N/A,FALSE,"By Code"}</definedName>
    <definedName name="dfscgl_3_5" hidden="1">{"Input_Fin",#N/A,FALSE,"By Code";"Input_Opt",#N/A,FALSE,"By Code"}</definedName>
    <definedName name="dfscgl_4" hidden="1">{"Input_Fin",#N/A,FALSE,"By Code";"Input_Opt",#N/A,FALSE,"By Code"}</definedName>
    <definedName name="dfscgl_4_1" hidden="1">{"Input_Fin",#N/A,FALSE,"By Code";"Input_Opt",#N/A,FALSE,"By Code"}</definedName>
    <definedName name="dfscgl_4_1_1" hidden="1">{"Input_Fin",#N/A,FALSE,"By Code";"Input_Opt",#N/A,FALSE,"By Code"}</definedName>
    <definedName name="dfscgl_4_1_1_1" hidden="1">{"Input_Fin",#N/A,FALSE,"By Code";"Input_Opt",#N/A,FALSE,"By Code"}</definedName>
    <definedName name="dfscgl_4_1_1_2" hidden="1">{"Input_Fin",#N/A,FALSE,"By Code";"Input_Opt",#N/A,FALSE,"By Code"}</definedName>
    <definedName name="dfscgl_4_1_1_3" hidden="1">{"Input_Fin",#N/A,FALSE,"By Code";"Input_Opt",#N/A,FALSE,"By Code"}</definedName>
    <definedName name="dfscgl_4_1_2" hidden="1">{"Input_Fin",#N/A,FALSE,"By Code";"Input_Opt",#N/A,FALSE,"By Code"}</definedName>
    <definedName name="dfscgl_4_1_2_1" hidden="1">{"Input_Fin",#N/A,FALSE,"By Code";"Input_Opt",#N/A,FALSE,"By Code"}</definedName>
    <definedName name="dfscgl_4_1_2_2" hidden="1">{"Input_Fin",#N/A,FALSE,"By Code";"Input_Opt",#N/A,FALSE,"By Code"}</definedName>
    <definedName name="dfscgl_4_1_3" hidden="1">{"Input_Fin",#N/A,FALSE,"By Code";"Input_Opt",#N/A,FALSE,"By Code"}</definedName>
    <definedName name="dfscgl_4_1_4" hidden="1">{"Input_Fin",#N/A,FALSE,"By Code";"Input_Opt",#N/A,FALSE,"By Code"}</definedName>
    <definedName name="dfscgl_4_2" hidden="1">{"Input_Fin",#N/A,FALSE,"By Code";"Input_Opt",#N/A,FALSE,"By Code"}</definedName>
    <definedName name="dfscgl_4_2_1" hidden="1">{"Input_Fin",#N/A,FALSE,"By Code";"Input_Opt",#N/A,FALSE,"By Code"}</definedName>
    <definedName name="dfscgl_4_2_2" hidden="1">{"Input_Fin",#N/A,FALSE,"By Code";"Input_Opt",#N/A,FALSE,"By Code"}</definedName>
    <definedName name="dfscgl_4_2_3" hidden="1">{"Input_Fin",#N/A,FALSE,"By Code";"Input_Opt",#N/A,FALSE,"By Code"}</definedName>
    <definedName name="dfscgl_4_3" hidden="1">{"Input_Fin",#N/A,FALSE,"By Code";"Input_Opt",#N/A,FALSE,"By Code"}</definedName>
    <definedName name="dfscgl_4_3_1" hidden="1">{"Input_Fin",#N/A,FALSE,"By Code";"Input_Opt",#N/A,FALSE,"By Code"}</definedName>
    <definedName name="dfscgl_4_3_2" hidden="1">{"Input_Fin",#N/A,FALSE,"By Code";"Input_Opt",#N/A,FALSE,"By Code"}</definedName>
    <definedName name="dfscgl_4_4" hidden="1">{"Input_Fin",#N/A,FALSE,"By Code";"Input_Opt",#N/A,FALSE,"By Code"}</definedName>
    <definedName name="dfscgl_4_5" hidden="1">{"Input_Fin",#N/A,FALSE,"By Code";"Input_Opt",#N/A,FALSE,"By Code"}</definedName>
    <definedName name="dfscgl_5" hidden="1">{"Input_Fin",#N/A,FALSE,"By Code";"Input_Opt",#N/A,FALSE,"By Code"}</definedName>
    <definedName name="dfscgl_5_1" hidden="1">{"Input_Fin",#N/A,FALSE,"By Code";"Input_Opt",#N/A,FALSE,"By Code"}</definedName>
    <definedName name="dfscgl_5_1_1" hidden="1">{"Input_Fin",#N/A,FALSE,"By Code";"Input_Opt",#N/A,FALSE,"By Code"}</definedName>
    <definedName name="dfscgl_5_1_1_1" hidden="1">{"Input_Fin",#N/A,FALSE,"By Code";"Input_Opt",#N/A,FALSE,"By Code"}</definedName>
    <definedName name="dfscgl_5_1_1_2" hidden="1">{"Input_Fin",#N/A,FALSE,"By Code";"Input_Opt",#N/A,FALSE,"By Code"}</definedName>
    <definedName name="dfscgl_5_1_1_3" hidden="1">{"Input_Fin",#N/A,FALSE,"By Code";"Input_Opt",#N/A,FALSE,"By Code"}</definedName>
    <definedName name="dfscgl_5_1_2" hidden="1">{"Input_Fin",#N/A,FALSE,"By Code";"Input_Opt",#N/A,FALSE,"By Code"}</definedName>
    <definedName name="dfscgl_5_1_2_1" hidden="1">{"Input_Fin",#N/A,FALSE,"By Code";"Input_Opt",#N/A,FALSE,"By Code"}</definedName>
    <definedName name="dfscgl_5_1_2_2" hidden="1">{"Input_Fin",#N/A,FALSE,"By Code";"Input_Opt",#N/A,FALSE,"By Code"}</definedName>
    <definedName name="dfscgl_5_1_3" hidden="1">{"Input_Fin",#N/A,FALSE,"By Code";"Input_Opt",#N/A,FALSE,"By Code"}</definedName>
    <definedName name="dfscgl_5_1_4" hidden="1">{"Input_Fin",#N/A,FALSE,"By Code";"Input_Opt",#N/A,FALSE,"By Code"}</definedName>
    <definedName name="dfscgl_5_2" hidden="1">{"Input_Fin",#N/A,FALSE,"By Code";"Input_Opt",#N/A,FALSE,"By Code"}</definedName>
    <definedName name="dfscgl_5_2_1" hidden="1">{"Input_Fin",#N/A,FALSE,"By Code";"Input_Opt",#N/A,FALSE,"By Code"}</definedName>
    <definedName name="dfscgl_5_2_2" hidden="1">{"Input_Fin",#N/A,FALSE,"By Code";"Input_Opt",#N/A,FALSE,"By Code"}</definedName>
    <definedName name="dfscgl_5_2_3" hidden="1">{"Input_Fin",#N/A,FALSE,"By Code";"Input_Opt",#N/A,FALSE,"By Code"}</definedName>
    <definedName name="dfscgl_5_3" hidden="1">{"Input_Fin",#N/A,FALSE,"By Code";"Input_Opt",#N/A,FALSE,"By Code"}</definedName>
    <definedName name="dfscgl_5_3_1" hidden="1">{"Input_Fin",#N/A,FALSE,"By Code";"Input_Opt",#N/A,FALSE,"By Code"}</definedName>
    <definedName name="dfscgl_5_3_2" hidden="1">{"Input_Fin",#N/A,FALSE,"By Code";"Input_Opt",#N/A,FALSE,"By Code"}</definedName>
    <definedName name="dfscgl_5_4" hidden="1">{"Input_Fin",#N/A,FALSE,"By Code";"Input_Opt",#N/A,FALSE,"By Code"}</definedName>
    <definedName name="dfscgl_5_5" hidden="1">{"Input_Fin",#N/A,FALSE,"By Code";"Input_Opt",#N/A,FALSE,"By Code"}</definedName>
    <definedName name="dgsgds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OC身价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rf">#N/A</definedName>
    <definedName name="ds" localSheetId="12" hidden="1">{"Input_Fin",#N/A,FALSE,"By Code";"Input_Opt",#N/A,FALSE,"By Code"}</definedName>
    <definedName name="ds" hidden="1">{"Input_Fin",#N/A,FALSE,"By Code";"Input_Opt",#N/A,FALSE,"By Code"}</definedName>
    <definedName name="ds_1" hidden="1">{"Input_Fin",#N/A,FALSE,"By Code";"Input_Opt",#N/A,FALSE,"By Code"}</definedName>
    <definedName name="ds_1_1" hidden="1">{"Input_Fin",#N/A,FALSE,"By Code";"Input_Opt",#N/A,FALSE,"By Code"}</definedName>
    <definedName name="ds_1_1_1" hidden="1">{"Input_Fin",#N/A,FALSE,"By Code";"Input_Opt",#N/A,FALSE,"By Code"}</definedName>
    <definedName name="ds_1_1_1_1" hidden="1">{"Input_Fin",#N/A,FALSE,"By Code";"Input_Opt",#N/A,FALSE,"By Code"}</definedName>
    <definedName name="ds_1_1_1_1_1" hidden="1">{"Input_Fin",#N/A,FALSE,"By Code";"Input_Opt",#N/A,FALSE,"By Code"}</definedName>
    <definedName name="ds_1_1_1_1_2" hidden="1">{"Input_Fin",#N/A,FALSE,"By Code";"Input_Opt",#N/A,FALSE,"By Code"}</definedName>
    <definedName name="ds_1_1_1_1_3" hidden="1">{"Input_Fin",#N/A,FALSE,"By Code";"Input_Opt",#N/A,FALSE,"By Code"}</definedName>
    <definedName name="ds_1_1_1_2" hidden="1">{"Input_Fin",#N/A,FALSE,"By Code";"Input_Opt",#N/A,FALSE,"By Code"}</definedName>
    <definedName name="ds_1_1_1_2_1" hidden="1">{"Input_Fin",#N/A,FALSE,"By Code";"Input_Opt",#N/A,FALSE,"By Code"}</definedName>
    <definedName name="ds_1_1_1_2_2" hidden="1">{"Input_Fin",#N/A,FALSE,"By Code";"Input_Opt",#N/A,FALSE,"By Code"}</definedName>
    <definedName name="ds_1_1_1_3" hidden="1">{"Input_Fin",#N/A,FALSE,"By Code";"Input_Opt",#N/A,FALSE,"By Code"}</definedName>
    <definedName name="ds_1_1_1_3_1" hidden="1">{"Input_Fin",#N/A,FALSE,"By Code";"Input_Opt",#N/A,FALSE,"By Code"}</definedName>
    <definedName name="ds_1_1_1_3_2" hidden="1">{"Input_Fin",#N/A,FALSE,"By Code";"Input_Opt",#N/A,FALSE,"By Code"}</definedName>
    <definedName name="ds_1_1_1_4" hidden="1">{"Input_Fin",#N/A,FALSE,"By Code";"Input_Opt",#N/A,FALSE,"By Code"}</definedName>
    <definedName name="ds_1_1_1_5" hidden="1">{"Input_Fin",#N/A,FALSE,"By Code";"Input_Opt",#N/A,FALSE,"By Code"}</definedName>
    <definedName name="ds_1_1_2" hidden="1">{"Input_Fin",#N/A,FALSE,"By Code";"Input_Opt",#N/A,FALSE,"By Code"}</definedName>
    <definedName name="ds_1_1_2_1" hidden="1">{"Input_Fin",#N/A,FALSE,"By Code";"Input_Opt",#N/A,FALSE,"By Code"}</definedName>
    <definedName name="ds_1_1_2_2" hidden="1">{"Input_Fin",#N/A,FALSE,"By Code";"Input_Opt",#N/A,FALSE,"By Code"}</definedName>
    <definedName name="ds_1_1_2_3" hidden="1">{"Input_Fin",#N/A,FALSE,"By Code";"Input_Opt",#N/A,FALSE,"By Code"}</definedName>
    <definedName name="ds_1_1_3" hidden="1">{"Input_Fin",#N/A,FALSE,"By Code";"Input_Opt",#N/A,FALSE,"By Code"}</definedName>
    <definedName name="ds_1_1_3_1" hidden="1">{"Input_Fin",#N/A,FALSE,"By Code";"Input_Opt",#N/A,FALSE,"By Code"}</definedName>
    <definedName name="ds_1_1_3_2" hidden="1">{"Input_Fin",#N/A,FALSE,"By Code";"Input_Opt",#N/A,FALSE,"By Code"}</definedName>
    <definedName name="ds_1_1_4" hidden="1">{"Input_Fin",#N/A,FALSE,"By Code";"Input_Opt",#N/A,FALSE,"By Code"}</definedName>
    <definedName name="ds_1_1_5" hidden="1">{"Input_Fin",#N/A,FALSE,"By Code";"Input_Opt",#N/A,FALSE,"By Code"}</definedName>
    <definedName name="ds_1_2" hidden="1">{"Input_Fin",#N/A,FALSE,"By Code";"Input_Opt",#N/A,FALSE,"By Code"}</definedName>
    <definedName name="ds_1_2_1" hidden="1">{"Input_Fin",#N/A,FALSE,"By Code";"Input_Opt",#N/A,FALSE,"By Code"}</definedName>
    <definedName name="ds_1_2_2" hidden="1">{"Input_Fin",#N/A,FALSE,"By Code";"Input_Opt",#N/A,FALSE,"By Code"}</definedName>
    <definedName name="ds_1_2_3" hidden="1">{"Input_Fin",#N/A,FALSE,"By Code";"Input_Opt",#N/A,FALSE,"By Code"}</definedName>
    <definedName name="ds_1_3" hidden="1">{"Input_Fin",#N/A,FALSE,"By Code";"Input_Opt",#N/A,FALSE,"By Code"}</definedName>
    <definedName name="ds_1_3_1" hidden="1">{"Input_Fin",#N/A,FALSE,"By Code";"Input_Opt",#N/A,FALSE,"By Code"}</definedName>
    <definedName name="ds_1_3_2" hidden="1">{"Input_Fin",#N/A,FALSE,"By Code";"Input_Opt",#N/A,FALSE,"By Code"}</definedName>
    <definedName name="ds_1_4" hidden="1">{"Input_Fin",#N/A,FALSE,"By Code";"Input_Opt",#N/A,FALSE,"By Code"}</definedName>
    <definedName name="ds_1_5" hidden="1">{"Input_Fin",#N/A,FALSE,"By Code";"Input_Opt",#N/A,FALSE,"By Code"}</definedName>
    <definedName name="ds_2" hidden="1">{"Input_Fin",#N/A,FALSE,"By Code";"Input_Opt",#N/A,FALSE,"By Code"}</definedName>
    <definedName name="ds_2_1" hidden="1">{"Input_Fin",#N/A,FALSE,"By Code";"Input_Opt",#N/A,FALSE,"By Code"}</definedName>
    <definedName name="ds_2_1_1" hidden="1">{"Input_Fin",#N/A,FALSE,"By Code";"Input_Opt",#N/A,FALSE,"By Code"}</definedName>
    <definedName name="ds_2_1_1_1" hidden="1">{"Input_Fin",#N/A,FALSE,"By Code";"Input_Opt",#N/A,FALSE,"By Code"}</definedName>
    <definedName name="ds_2_1_1_2" hidden="1">{"Input_Fin",#N/A,FALSE,"By Code";"Input_Opt",#N/A,FALSE,"By Code"}</definedName>
    <definedName name="ds_2_1_1_3" hidden="1">{"Input_Fin",#N/A,FALSE,"By Code";"Input_Opt",#N/A,FALSE,"By Code"}</definedName>
    <definedName name="ds_2_1_2" hidden="1">{"Input_Fin",#N/A,FALSE,"By Code";"Input_Opt",#N/A,FALSE,"By Code"}</definedName>
    <definedName name="ds_2_1_2_1" hidden="1">{"Input_Fin",#N/A,FALSE,"By Code";"Input_Opt",#N/A,FALSE,"By Code"}</definedName>
    <definedName name="ds_2_1_2_2" hidden="1">{"Input_Fin",#N/A,FALSE,"By Code";"Input_Opt",#N/A,FALSE,"By Code"}</definedName>
    <definedName name="ds_2_1_3" hidden="1">{"Input_Fin",#N/A,FALSE,"By Code";"Input_Opt",#N/A,FALSE,"By Code"}</definedName>
    <definedName name="ds_2_1_4" hidden="1">{"Input_Fin",#N/A,FALSE,"By Code";"Input_Opt",#N/A,FALSE,"By Code"}</definedName>
    <definedName name="ds_2_2" hidden="1">{"Input_Fin",#N/A,FALSE,"By Code";"Input_Opt",#N/A,FALSE,"By Code"}</definedName>
    <definedName name="ds_2_2_1" hidden="1">{"Input_Fin",#N/A,FALSE,"By Code";"Input_Opt",#N/A,FALSE,"By Code"}</definedName>
    <definedName name="ds_2_2_2" hidden="1">{"Input_Fin",#N/A,FALSE,"By Code";"Input_Opt",#N/A,FALSE,"By Code"}</definedName>
    <definedName name="ds_2_2_3" hidden="1">{"Input_Fin",#N/A,FALSE,"By Code";"Input_Opt",#N/A,FALSE,"By Code"}</definedName>
    <definedName name="ds_2_3" hidden="1">{"Input_Fin",#N/A,FALSE,"By Code";"Input_Opt",#N/A,FALSE,"By Code"}</definedName>
    <definedName name="ds_2_3_1" hidden="1">{"Input_Fin",#N/A,FALSE,"By Code";"Input_Opt",#N/A,FALSE,"By Code"}</definedName>
    <definedName name="ds_2_3_2" hidden="1">{"Input_Fin",#N/A,FALSE,"By Code";"Input_Opt",#N/A,FALSE,"By Code"}</definedName>
    <definedName name="ds_2_4" hidden="1">{"Input_Fin",#N/A,FALSE,"By Code";"Input_Opt",#N/A,FALSE,"By Code"}</definedName>
    <definedName name="ds_2_5" hidden="1">{"Input_Fin",#N/A,FALSE,"By Code";"Input_Opt",#N/A,FALSE,"By Code"}</definedName>
    <definedName name="ds_3" hidden="1">{"Input_Fin",#N/A,FALSE,"By Code";"Input_Opt",#N/A,FALSE,"By Code"}</definedName>
    <definedName name="ds_3_1" hidden="1">{"Input_Fin",#N/A,FALSE,"By Code";"Input_Opt",#N/A,FALSE,"By Code"}</definedName>
    <definedName name="ds_3_1_1" hidden="1">{"Input_Fin",#N/A,FALSE,"By Code";"Input_Opt",#N/A,FALSE,"By Code"}</definedName>
    <definedName name="ds_3_1_1_1" hidden="1">{"Input_Fin",#N/A,FALSE,"By Code";"Input_Opt",#N/A,FALSE,"By Code"}</definedName>
    <definedName name="ds_3_1_1_2" hidden="1">{"Input_Fin",#N/A,FALSE,"By Code";"Input_Opt",#N/A,FALSE,"By Code"}</definedName>
    <definedName name="ds_3_1_1_3" hidden="1">{"Input_Fin",#N/A,FALSE,"By Code";"Input_Opt",#N/A,FALSE,"By Code"}</definedName>
    <definedName name="ds_3_1_2" hidden="1">{"Input_Fin",#N/A,FALSE,"By Code";"Input_Opt",#N/A,FALSE,"By Code"}</definedName>
    <definedName name="ds_3_1_2_1" hidden="1">{"Input_Fin",#N/A,FALSE,"By Code";"Input_Opt",#N/A,FALSE,"By Code"}</definedName>
    <definedName name="ds_3_1_2_2" hidden="1">{"Input_Fin",#N/A,FALSE,"By Code";"Input_Opt",#N/A,FALSE,"By Code"}</definedName>
    <definedName name="ds_3_1_3" hidden="1">{"Input_Fin",#N/A,FALSE,"By Code";"Input_Opt",#N/A,FALSE,"By Code"}</definedName>
    <definedName name="ds_3_1_4" hidden="1">{"Input_Fin",#N/A,FALSE,"By Code";"Input_Opt",#N/A,FALSE,"By Code"}</definedName>
    <definedName name="ds_3_2" hidden="1">{"Input_Fin",#N/A,FALSE,"By Code";"Input_Opt",#N/A,FALSE,"By Code"}</definedName>
    <definedName name="ds_3_2_1" hidden="1">{"Input_Fin",#N/A,FALSE,"By Code";"Input_Opt",#N/A,FALSE,"By Code"}</definedName>
    <definedName name="ds_3_2_2" hidden="1">{"Input_Fin",#N/A,FALSE,"By Code";"Input_Opt",#N/A,FALSE,"By Code"}</definedName>
    <definedName name="ds_3_2_3" hidden="1">{"Input_Fin",#N/A,FALSE,"By Code";"Input_Opt",#N/A,FALSE,"By Code"}</definedName>
    <definedName name="ds_3_3" hidden="1">{"Input_Fin",#N/A,FALSE,"By Code";"Input_Opt",#N/A,FALSE,"By Code"}</definedName>
    <definedName name="ds_3_3_1" hidden="1">{"Input_Fin",#N/A,FALSE,"By Code";"Input_Opt",#N/A,FALSE,"By Code"}</definedName>
    <definedName name="ds_3_3_2" hidden="1">{"Input_Fin",#N/A,FALSE,"By Code";"Input_Opt",#N/A,FALSE,"By Code"}</definedName>
    <definedName name="ds_3_4" hidden="1">{"Input_Fin",#N/A,FALSE,"By Code";"Input_Opt",#N/A,FALSE,"By Code"}</definedName>
    <definedName name="ds_3_5" hidden="1">{"Input_Fin",#N/A,FALSE,"By Code";"Input_Opt",#N/A,FALSE,"By Code"}</definedName>
    <definedName name="ds_4" hidden="1">{"Input_Fin",#N/A,FALSE,"By Code";"Input_Opt",#N/A,FALSE,"By Code"}</definedName>
    <definedName name="ds_4_1" hidden="1">{"Input_Fin",#N/A,FALSE,"By Code";"Input_Opt",#N/A,FALSE,"By Code"}</definedName>
    <definedName name="ds_4_1_1" hidden="1">{"Input_Fin",#N/A,FALSE,"By Code";"Input_Opt",#N/A,FALSE,"By Code"}</definedName>
    <definedName name="ds_4_1_1_1" hidden="1">{"Input_Fin",#N/A,FALSE,"By Code";"Input_Opt",#N/A,FALSE,"By Code"}</definedName>
    <definedName name="ds_4_1_1_2" hidden="1">{"Input_Fin",#N/A,FALSE,"By Code";"Input_Opt",#N/A,FALSE,"By Code"}</definedName>
    <definedName name="ds_4_1_1_3" hidden="1">{"Input_Fin",#N/A,FALSE,"By Code";"Input_Opt",#N/A,FALSE,"By Code"}</definedName>
    <definedName name="ds_4_1_2" hidden="1">{"Input_Fin",#N/A,FALSE,"By Code";"Input_Opt",#N/A,FALSE,"By Code"}</definedName>
    <definedName name="ds_4_1_2_1" hidden="1">{"Input_Fin",#N/A,FALSE,"By Code";"Input_Opt",#N/A,FALSE,"By Code"}</definedName>
    <definedName name="ds_4_1_2_2" hidden="1">{"Input_Fin",#N/A,FALSE,"By Code";"Input_Opt",#N/A,FALSE,"By Code"}</definedName>
    <definedName name="ds_4_1_3" hidden="1">{"Input_Fin",#N/A,FALSE,"By Code";"Input_Opt",#N/A,FALSE,"By Code"}</definedName>
    <definedName name="ds_4_1_4" hidden="1">{"Input_Fin",#N/A,FALSE,"By Code";"Input_Opt",#N/A,FALSE,"By Code"}</definedName>
    <definedName name="ds_4_2" hidden="1">{"Input_Fin",#N/A,FALSE,"By Code";"Input_Opt",#N/A,FALSE,"By Code"}</definedName>
    <definedName name="ds_4_2_1" hidden="1">{"Input_Fin",#N/A,FALSE,"By Code";"Input_Opt",#N/A,FALSE,"By Code"}</definedName>
    <definedName name="ds_4_2_2" hidden="1">{"Input_Fin",#N/A,FALSE,"By Code";"Input_Opt",#N/A,FALSE,"By Code"}</definedName>
    <definedName name="ds_4_2_3" hidden="1">{"Input_Fin",#N/A,FALSE,"By Code";"Input_Opt",#N/A,FALSE,"By Code"}</definedName>
    <definedName name="ds_4_3" hidden="1">{"Input_Fin",#N/A,FALSE,"By Code";"Input_Opt",#N/A,FALSE,"By Code"}</definedName>
    <definedName name="ds_4_3_1" hidden="1">{"Input_Fin",#N/A,FALSE,"By Code";"Input_Opt",#N/A,FALSE,"By Code"}</definedName>
    <definedName name="ds_4_3_2" hidden="1">{"Input_Fin",#N/A,FALSE,"By Code";"Input_Opt",#N/A,FALSE,"By Code"}</definedName>
    <definedName name="ds_4_4" hidden="1">{"Input_Fin",#N/A,FALSE,"By Code";"Input_Opt",#N/A,FALSE,"By Code"}</definedName>
    <definedName name="ds_4_5" hidden="1">{"Input_Fin",#N/A,FALSE,"By Code";"Input_Opt",#N/A,FALSE,"By Code"}</definedName>
    <definedName name="ds_5" hidden="1">{"Input_Fin",#N/A,FALSE,"By Code";"Input_Opt",#N/A,FALSE,"By Code"}</definedName>
    <definedName name="ds_5_1" hidden="1">{"Input_Fin",#N/A,FALSE,"By Code";"Input_Opt",#N/A,FALSE,"By Code"}</definedName>
    <definedName name="ds_5_1_1" hidden="1">{"Input_Fin",#N/A,FALSE,"By Code";"Input_Opt",#N/A,FALSE,"By Code"}</definedName>
    <definedName name="ds_5_1_1_1" hidden="1">{"Input_Fin",#N/A,FALSE,"By Code";"Input_Opt",#N/A,FALSE,"By Code"}</definedName>
    <definedName name="ds_5_1_1_2" hidden="1">{"Input_Fin",#N/A,FALSE,"By Code";"Input_Opt",#N/A,FALSE,"By Code"}</definedName>
    <definedName name="ds_5_1_1_3" hidden="1">{"Input_Fin",#N/A,FALSE,"By Code";"Input_Opt",#N/A,FALSE,"By Code"}</definedName>
    <definedName name="ds_5_1_2" hidden="1">{"Input_Fin",#N/A,FALSE,"By Code";"Input_Opt",#N/A,FALSE,"By Code"}</definedName>
    <definedName name="ds_5_1_2_1" hidden="1">{"Input_Fin",#N/A,FALSE,"By Code";"Input_Opt",#N/A,FALSE,"By Code"}</definedName>
    <definedName name="ds_5_1_2_2" hidden="1">{"Input_Fin",#N/A,FALSE,"By Code";"Input_Opt",#N/A,FALSE,"By Code"}</definedName>
    <definedName name="ds_5_1_3" hidden="1">{"Input_Fin",#N/A,FALSE,"By Code";"Input_Opt",#N/A,FALSE,"By Code"}</definedName>
    <definedName name="ds_5_1_4" hidden="1">{"Input_Fin",#N/A,FALSE,"By Code";"Input_Opt",#N/A,FALSE,"By Code"}</definedName>
    <definedName name="ds_5_2" hidden="1">{"Input_Fin",#N/A,FALSE,"By Code";"Input_Opt",#N/A,FALSE,"By Code"}</definedName>
    <definedName name="ds_5_2_1" hidden="1">{"Input_Fin",#N/A,FALSE,"By Code";"Input_Opt",#N/A,FALSE,"By Code"}</definedName>
    <definedName name="ds_5_2_2" hidden="1">{"Input_Fin",#N/A,FALSE,"By Code";"Input_Opt",#N/A,FALSE,"By Code"}</definedName>
    <definedName name="ds_5_2_3" hidden="1">{"Input_Fin",#N/A,FALSE,"By Code";"Input_Opt",#N/A,FALSE,"By Code"}</definedName>
    <definedName name="ds_5_3" hidden="1">{"Input_Fin",#N/A,FALSE,"By Code";"Input_Opt",#N/A,FALSE,"By Code"}</definedName>
    <definedName name="ds_5_3_1" hidden="1">{"Input_Fin",#N/A,FALSE,"By Code";"Input_Opt",#N/A,FALSE,"By Code"}</definedName>
    <definedName name="ds_5_3_2" hidden="1">{"Input_Fin",#N/A,FALSE,"By Code";"Input_Opt",#N/A,FALSE,"By Code"}</definedName>
    <definedName name="ds_5_4" hidden="1">{"Input_Fin",#N/A,FALSE,"By Code";"Input_Opt",#N/A,FALSE,"By Code"}</definedName>
    <definedName name="ds_5_5" hidden="1">{"Input_Fin",#N/A,FALSE,"By Code";"Input_Opt",#N/A,FALSE,"By Code"}</definedName>
    <definedName name="dsfhh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sfhh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ss" localSheetId="12" hidden="1">#REF!</definedName>
    <definedName name="dss" hidden="1">#REF!</definedName>
    <definedName name="dstgtj" localSheetId="12" hidden="1">{"Input_Fin",#N/A,FALSE,"By Code";"Input_Opt",#N/A,FALSE,"By Code"}</definedName>
    <definedName name="dstgtj" hidden="1">{"Input_Fin",#N/A,FALSE,"By Code";"Input_Opt",#N/A,FALSE,"By Code"}</definedName>
    <definedName name="dstgtj_1" hidden="1">{"Input_Fin",#N/A,FALSE,"By Code";"Input_Opt",#N/A,FALSE,"By Code"}</definedName>
    <definedName name="dstgtj_1_1" hidden="1">{"Input_Fin",#N/A,FALSE,"By Code";"Input_Opt",#N/A,FALSE,"By Code"}</definedName>
    <definedName name="dstgtj_1_1_1" hidden="1">{"Input_Fin",#N/A,FALSE,"By Code";"Input_Opt",#N/A,FALSE,"By Code"}</definedName>
    <definedName name="dstgtj_1_1_2" hidden="1">{"Input_Fin",#N/A,FALSE,"By Code";"Input_Opt",#N/A,FALSE,"By Code"}</definedName>
    <definedName name="dstgtj_1_1_3" hidden="1">{"Input_Fin",#N/A,FALSE,"By Code";"Input_Opt",#N/A,FALSE,"By Code"}</definedName>
    <definedName name="dstgtj_1_2" hidden="1">{"Input_Fin",#N/A,FALSE,"By Code";"Input_Opt",#N/A,FALSE,"By Code"}</definedName>
    <definedName name="dstgtj_1_2_1" hidden="1">{"Input_Fin",#N/A,FALSE,"By Code";"Input_Opt",#N/A,FALSE,"By Code"}</definedName>
    <definedName name="dstgtj_1_2_2" hidden="1">{"Input_Fin",#N/A,FALSE,"By Code";"Input_Opt",#N/A,FALSE,"By Code"}</definedName>
    <definedName name="dstgtj_1_3" hidden="1">{"Input_Fin",#N/A,FALSE,"By Code";"Input_Opt",#N/A,FALSE,"By Code"}</definedName>
    <definedName name="dstgtj_1_4" hidden="1">{"Input_Fin",#N/A,FALSE,"By Code";"Input_Opt",#N/A,FALSE,"By Code"}</definedName>
    <definedName name="dstgtj_2" hidden="1">{"Input_Fin",#N/A,FALSE,"By Code";"Input_Opt",#N/A,FALSE,"By Code"}</definedName>
    <definedName name="dstgtj_2_1" hidden="1">{"Input_Fin",#N/A,FALSE,"By Code";"Input_Opt",#N/A,FALSE,"By Code"}</definedName>
    <definedName name="dstgtj_2_2" hidden="1">{"Input_Fin",#N/A,FALSE,"By Code";"Input_Opt",#N/A,FALSE,"By Code"}</definedName>
    <definedName name="dstgtj_2_3" hidden="1">{"Input_Fin",#N/A,FALSE,"By Code";"Input_Opt",#N/A,FALSE,"By Code"}</definedName>
    <definedName name="dstgtj_3" hidden="1">{"Input_Fin",#N/A,FALSE,"By Code";"Input_Opt",#N/A,FALSE,"By Code"}</definedName>
    <definedName name="dstgtj_3_1" hidden="1">{"Input_Fin",#N/A,FALSE,"By Code";"Input_Opt",#N/A,FALSE,"By Code"}</definedName>
    <definedName name="dstgtj_3_2" hidden="1">{"Input_Fin",#N/A,FALSE,"By Code";"Input_Opt",#N/A,FALSE,"By Code"}</definedName>
    <definedName name="dstgtj_4" hidden="1">{"Input_Fin",#N/A,FALSE,"By Code";"Input_Opt",#N/A,FALSE,"By Code"}</definedName>
    <definedName name="dstgtj_5" hidden="1">{"Input_Fin",#N/A,FALSE,"By Code";"Input_Opt",#N/A,FALSE,"By Code"}</definedName>
    <definedName name="dy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">#N/A</definedName>
    <definedName name="eawfewrf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eee" hidden="1">{"'Sheet4'!$A$1:$L$41"}</definedName>
    <definedName name="ero" localSheetId="12" hidden="1">#REF!</definedName>
    <definedName name="ero" hidden="1">#REF!</definedName>
    <definedName name="F">#N/A</definedName>
    <definedName name="FAFEKZ">NA()</definedName>
    <definedName name="FAFEKZ1">NA()</definedName>
    <definedName name="FAFEKZ10">NA()</definedName>
    <definedName name="FAFEKZ11">NA()</definedName>
    <definedName name="FAFEKZ12">NA()</definedName>
    <definedName name="FAFEKZ13">NA()</definedName>
    <definedName name="FAFEKZ14">NA()</definedName>
    <definedName name="FAFEKZ15">NA()</definedName>
    <definedName name="FAFEKZ16">NA()</definedName>
    <definedName name="FAFEKZ2">NA()</definedName>
    <definedName name="FAFEKZ3">NA()</definedName>
    <definedName name="FAFEKZ4">NA()</definedName>
    <definedName name="FAFEKZ5">NA()</definedName>
    <definedName name="FAFEKZ6">NA()</definedName>
    <definedName name="FAFEKZ7">NA()</definedName>
    <definedName name="FAFEKZ8">NA()</definedName>
    <definedName name="FAFEKZ9">NA()</definedName>
    <definedName name="Fat_G1">#N/A</definedName>
    <definedName name="fdjhjh" localSheetId="12" hidden="1">{"Input_Fin",#N/A,FALSE,"By Code";"Input_Opt",#N/A,FALSE,"By Code"}</definedName>
    <definedName name="fdjhjh" hidden="1">{"Input_Fin",#N/A,FALSE,"By Code";"Input_Opt",#N/A,FALSE,"By Code"}</definedName>
    <definedName name="fdjhjh_1" hidden="1">{"Input_Fin",#N/A,FALSE,"By Code";"Input_Opt",#N/A,FALSE,"By Code"}</definedName>
    <definedName name="fdjhjh_1_1" hidden="1">{"Input_Fin",#N/A,FALSE,"By Code";"Input_Opt",#N/A,FALSE,"By Code"}</definedName>
    <definedName name="fdjhjh_1_1_1" hidden="1">{"Input_Fin",#N/A,FALSE,"By Code";"Input_Opt",#N/A,FALSE,"By Code"}</definedName>
    <definedName name="fdjhjh_1_1_1_1" hidden="1">{"Input_Fin",#N/A,FALSE,"By Code";"Input_Opt",#N/A,FALSE,"By Code"}</definedName>
    <definedName name="fdjhjh_1_1_1_1_1" hidden="1">{"Input_Fin",#N/A,FALSE,"By Code";"Input_Opt",#N/A,FALSE,"By Code"}</definedName>
    <definedName name="fdjhjh_1_1_1_1_2" hidden="1">{"Input_Fin",#N/A,FALSE,"By Code";"Input_Opt",#N/A,FALSE,"By Code"}</definedName>
    <definedName name="fdjhjh_1_1_1_1_3" hidden="1">{"Input_Fin",#N/A,FALSE,"By Code";"Input_Opt",#N/A,FALSE,"By Code"}</definedName>
    <definedName name="fdjhjh_1_1_1_2" hidden="1">{"Input_Fin",#N/A,FALSE,"By Code";"Input_Opt",#N/A,FALSE,"By Code"}</definedName>
    <definedName name="fdjhjh_1_1_1_2_1" hidden="1">{"Input_Fin",#N/A,FALSE,"By Code";"Input_Opt",#N/A,FALSE,"By Code"}</definedName>
    <definedName name="fdjhjh_1_1_1_2_2" hidden="1">{"Input_Fin",#N/A,FALSE,"By Code";"Input_Opt",#N/A,FALSE,"By Code"}</definedName>
    <definedName name="fdjhjh_1_1_1_3" hidden="1">{"Input_Fin",#N/A,FALSE,"By Code";"Input_Opt",#N/A,FALSE,"By Code"}</definedName>
    <definedName name="fdjhjh_1_1_1_3_1" hidden="1">{"Input_Fin",#N/A,FALSE,"By Code";"Input_Opt",#N/A,FALSE,"By Code"}</definedName>
    <definedName name="fdjhjh_1_1_1_3_2" hidden="1">{"Input_Fin",#N/A,FALSE,"By Code";"Input_Opt",#N/A,FALSE,"By Code"}</definedName>
    <definedName name="fdjhjh_1_1_1_4" hidden="1">{"Input_Fin",#N/A,FALSE,"By Code";"Input_Opt",#N/A,FALSE,"By Code"}</definedName>
    <definedName name="fdjhjh_1_1_1_5" hidden="1">{"Input_Fin",#N/A,FALSE,"By Code";"Input_Opt",#N/A,FALSE,"By Code"}</definedName>
    <definedName name="fdjhjh_1_1_2" hidden="1">{"Input_Fin",#N/A,FALSE,"By Code";"Input_Opt",#N/A,FALSE,"By Code"}</definedName>
    <definedName name="fdjhjh_1_1_2_1" hidden="1">{"Input_Fin",#N/A,FALSE,"By Code";"Input_Opt",#N/A,FALSE,"By Code"}</definedName>
    <definedName name="fdjhjh_1_1_2_2" hidden="1">{"Input_Fin",#N/A,FALSE,"By Code";"Input_Opt",#N/A,FALSE,"By Code"}</definedName>
    <definedName name="fdjhjh_1_1_2_3" hidden="1">{"Input_Fin",#N/A,FALSE,"By Code";"Input_Opt",#N/A,FALSE,"By Code"}</definedName>
    <definedName name="fdjhjh_1_1_3" hidden="1">{"Input_Fin",#N/A,FALSE,"By Code";"Input_Opt",#N/A,FALSE,"By Code"}</definedName>
    <definedName name="fdjhjh_1_1_3_1" hidden="1">{"Input_Fin",#N/A,FALSE,"By Code";"Input_Opt",#N/A,FALSE,"By Code"}</definedName>
    <definedName name="fdjhjh_1_1_3_2" hidden="1">{"Input_Fin",#N/A,FALSE,"By Code";"Input_Opt",#N/A,FALSE,"By Code"}</definedName>
    <definedName name="fdjhjh_1_1_4" hidden="1">{"Input_Fin",#N/A,FALSE,"By Code";"Input_Opt",#N/A,FALSE,"By Code"}</definedName>
    <definedName name="fdjhjh_1_1_5" hidden="1">{"Input_Fin",#N/A,FALSE,"By Code";"Input_Opt",#N/A,FALSE,"By Code"}</definedName>
    <definedName name="fdjhjh_1_2" hidden="1">{"Input_Fin",#N/A,FALSE,"By Code";"Input_Opt",#N/A,FALSE,"By Code"}</definedName>
    <definedName name="fdjhjh_1_2_1" hidden="1">{"Input_Fin",#N/A,FALSE,"By Code";"Input_Opt",#N/A,FALSE,"By Code"}</definedName>
    <definedName name="fdjhjh_1_2_2" hidden="1">{"Input_Fin",#N/A,FALSE,"By Code";"Input_Opt",#N/A,FALSE,"By Code"}</definedName>
    <definedName name="fdjhjh_1_2_3" hidden="1">{"Input_Fin",#N/A,FALSE,"By Code";"Input_Opt",#N/A,FALSE,"By Code"}</definedName>
    <definedName name="fdjhjh_1_3" hidden="1">{"Input_Fin",#N/A,FALSE,"By Code";"Input_Opt",#N/A,FALSE,"By Code"}</definedName>
    <definedName name="fdjhjh_1_3_1" hidden="1">{"Input_Fin",#N/A,FALSE,"By Code";"Input_Opt",#N/A,FALSE,"By Code"}</definedName>
    <definedName name="fdjhjh_1_3_2" hidden="1">{"Input_Fin",#N/A,FALSE,"By Code";"Input_Opt",#N/A,FALSE,"By Code"}</definedName>
    <definedName name="fdjhjh_1_4" hidden="1">{"Input_Fin",#N/A,FALSE,"By Code";"Input_Opt",#N/A,FALSE,"By Code"}</definedName>
    <definedName name="fdjhjh_1_5" hidden="1">{"Input_Fin",#N/A,FALSE,"By Code";"Input_Opt",#N/A,FALSE,"By Code"}</definedName>
    <definedName name="fdjhjh_2" hidden="1">{"Input_Fin",#N/A,FALSE,"By Code";"Input_Opt",#N/A,FALSE,"By Code"}</definedName>
    <definedName name="fdjhjh_2_1" hidden="1">{"Input_Fin",#N/A,FALSE,"By Code";"Input_Opt",#N/A,FALSE,"By Code"}</definedName>
    <definedName name="fdjhjh_2_1_1" hidden="1">{"Input_Fin",#N/A,FALSE,"By Code";"Input_Opt",#N/A,FALSE,"By Code"}</definedName>
    <definedName name="fdjhjh_2_1_1_1" hidden="1">{"Input_Fin",#N/A,FALSE,"By Code";"Input_Opt",#N/A,FALSE,"By Code"}</definedName>
    <definedName name="fdjhjh_2_1_1_2" hidden="1">{"Input_Fin",#N/A,FALSE,"By Code";"Input_Opt",#N/A,FALSE,"By Code"}</definedName>
    <definedName name="fdjhjh_2_1_1_3" hidden="1">{"Input_Fin",#N/A,FALSE,"By Code";"Input_Opt",#N/A,FALSE,"By Code"}</definedName>
    <definedName name="fdjhjh_2_1_2" hidden="1">{"Input_Fin",#N/A,FALSE,"By Code";"Input_Opt",#N/A,FALSE,"By Code"}</definedName>
    <definedName name="fdjhjh_2_1_2_1" hidden="1">{"Input_Fin",#N/A,FALSE,"By Code";"Input_Opt",#N/A,FALSE,"By Code"}</definedName>
    <definedName name="fdjhjh_2_1_2_2" hidden="1">{"Input_Fin",#N/A,FALSE,"By Code";"Input_Opt",#N/A,FALSE,"By Code"}</definedName>
    <definedName name="fdjhjh_2_1_3" hidden="1">{"Input_Fin",#N/A,FALSE,"By Code";"Input_Opt",#N/A,FALSE,"By Code"}</definedName>
    <definedName name="fdjhjh_2_1_4" hidden="1">{"Input_Fin",#N/A,FALSE,"By Code";"Input_Opt",#N/A,FALSE,"By Code"}</definedName>
    <definedName name="fdjhjh_2_2" hidden="1">{"Input_Fin",#N/A,FALSE,"By Code";"Input_Opt",#N/A,FALSE,"By Code"}</definedName>
    <definedName name="fdjhjh_2_2_1" hidden="1">{"Input_Fin",#N/A,FALSE,"By Code";"Input_Opt",#N/A,FALSE,"By Code"}</definedName>
    <definedName name="fdjhjh_2_2_2" hidden="1">{"Input_Fin",#N/A,FALSE,"By Code";"Input_Opt",#N/A,FALSE,"By Code"}</definedName>
    <definedName name="fdjhjh_2_2_3" hidden="1">{"Input_Fin",#N/A,FALSE,"By Code";"Input_Opt",#N/A,FALSE,"By Code"}</definedName>
    <definedName name="fdjhjh_2_3" hidden="1">{"Input_Fin",#N/A,FALSE,"By Code";"Input_Opt",#N/A,FALSE,"By Code"}</definedName>
    <definedName name="fdjhjh_2_3_1" hidden="1">{"Input_Fin",#N/A,FALSE,"By Code";"Input_Opt",#N/A,FALSE,"By Code"}</definedName>
    <definedName name="fdjhjh_2_3_2" hidden="1">{"Input_Fin",#N/A,FALSE,"By Code";"Input_Opt",#N/A,FALSE,"By Code"}</definedName>
    <definedName name="fdjhjh_2_4" hidden="1">{"Input_Fin",#N/A,FALSE,"By Code";"Input_Opt",#N/A,FALSE,"By Code"}</definedName>
    <definedName name="fdjhjh_2_5" hidden="1">{"Input_Fin",#N/A,FALSE,"By Code";"Input_Opt",#N/A,FALSE,"By Code"}</definedName>
    <definedName name="fdjhjh_3" hidden="1">{"Input_Fin",#N/A,FALSE,"By Code";"Input_Opt",#N/A,FALSE,"By Code"}</definedName>
    <definedName name="fdjhjh_3_1" hidden="1">{"Input_Fin",#N/A,FALSE,"By Code";"Input_Opt",#N/A,FALSE,"By Code"}</definedName>
    <definedName name="fdjhjh_3_1_1" hidden="1">{"Input_Fin",#N/A,FALSE,"By Code";"Input_Opt",#N/A,FALSE,"By Code"}</definedName>
    <definedName name="fdjhjh_3_1_1_1" hidden="1">{"Input_Fin",#N/A,FALSE,"By Code";"Input_Opt",#N/A,FALSE,"By Code"}</definedName>
    <definedName name="fdjhjh_3_1_1_2" hidden="1">{"Input_Fin",#N/A,FALSE,"By Code";"Input_Opt",#N/A,FALSE,"By Code"}</definedName>
    <definedName name="fdjhjh_3_1_1_3" hidden="1">{"Input_Fin",#N/A,FALSE,"By Code";"Input_Opt",#N/A,FALSE,"By Code"}</definedName>
    <definedName name="fdjhjh_3_1_2" hidden="1">{"Input_Fin",#N/A,FALSE,"By Code";"Input_Opt",#N/A,FALSE,"By Code"}</definedName>
    <definedName name="fdjhjh_3_1_2_1" hidden="1">{"Input_Fin",#N/A,FALSE,"By Code";"Input_Opt",#N/A,FALSE,"By Code"}</definedName>
    <definedName name="fdjhjh_3_1_2_2" hidden="1">{"Input_Fin",#N/A,FALSE,"By Code";"Input_Opt",#N/A,FALSE,"By Code"}</definedName>
    <definedName name="fdjhjh_3_1_3" hidden="1">{"Input_Fin",#N/A,FALSE,"By Code";"Input_Opt",#N/A,FALSE,"By Code"}</definedName>
    <definedName name="fdjhjh_3_1_4" hidden="1">{"Input_Fin",#N/A,FALSE,"By Code";"Input_Opt",#N/A,FALSE,"By Code"}</definedName>
    <definedName name="fdjhjh_3_2" hidden="1">{"Input_Fin",#N/A,FALSE,"By Code";"Input_Opt",#N/A,FALSE,"By Code"}</definedName>
    <definedName name="fdjhjh_3_2_1" hidden="1">{"Input_Fin",#N/A,FALSE,"By Code";"Input_Opt",#N/A,FALSE,"By Code"}</definedName>
    <definedName name="fdjhjh_3_2_2" hidden="1">{"Input_Fin",#N/A,FALSE,"By Code";"Input_Opt",#N/A,FALSE,"By Code"}</definedName>
    <definedName name="fdjhjh_3_2_3" hidden="1">{"Input_Fin",#N/A,FALSE,"By Code";"Input_Opt",#N/A,FALSE,"By Code"}</definedName>
    <definedName name="fdjhjh_3_3" hidden="1">{"Input_Fin",#N/A,FALSE,"By Code";"Input_Opt",#N/A,FALSE,"By Code"}</definedName>
    <definedName name="fdjhjh_3_3_1" hidden="1">{"Input_Fin",#N/A,FALSE,"By Code";"Input_Opt",#N/A,FALSE,"By Code"}</definedName>
    <definedName name="fdjhjh_3_3_2" hidden="1">{"Input_Fin",#N/A,FALSE,"By Code";"Input_Opt",#N/A,FALSE,"By Code"}</definedName>
    <definedName name="fdjhjh_3_4" hidden="1">{"Input_Fin",#N/A,FALSE,"By Code";"Input_Opt",#N/A,FALSE,"By Code"}</definedName>
    <definedName name="fdjhjh_3_5" hidden="1">{"Input_Fin",#N/A,FALSE,"By Code";"Input_Opt",#N/A,FALSE,"By Code"}</definedName>
    <definedName name="fdjhjh_4" hidden="1">{"Input_Fin",#N/A,FALSE,"By Code";"Input_Opt",#N/A,FALSE,"By Code"}</definedName>
    <definedName name="fdjhjh_4_1" hidden="1">{"Input_Fin",#N/A,FALSE,"By Code";"Input_Opt",#N/A,FALSE,"By Code"}</definedName>
    <definedName name="fdjhjh_4_1_1" hidden="1">{"Input_Fin",#N/A,FALSE,"By Code";"Input_Opt",#N/A,FALSE,"By Code"}</definedName>
    <definedName name="fdjhjh_4_1_1_1" hidden="1">{"Input_Fin",#N/A,FALSE,"By Code";"Input_Opt",#N/A,FALSE,"By Code"}</definedName>
    <definedName name="fdjhjh_4_1_1_2" hidden="1">{"Input_Fin",#N/A,FALSE,"By Code";"Input_Opt",#N/A,FALSE,"By Code"}</definedName>
    <definedName name="fdjhjh_4_1_1_3" hidden="1">{"Input_Fin",#N/A,FALSE,"By Code";"Input_Opt",#N/A,FALSE,"By Code"}</definedName>
    <definedName name="fdjhjh_4_1_2" hidden="1">{"Input_Fin",#N/A,FALSE,"By Code";"Input_Opt",#N/A,FALSE,"By Code"}</definedName>
    <definedName name="fdjhjh_4_1_2_1" hidden="1">{"Input_Fin",#N/A,FALSE,"By Code";"Input_Opt",#N/A,FALSE,"By Code"}</definedName>
    <definedName name="fdjhjh_4_1_2_2" hidden="1">{"Input_Fin",#N/A,FALSE,"By Code";"Input_Opt",#N/A,FALSE,"By Code"}</definedName>
    <definedName name="fdjhjh_4_1_3" hidden="1">{"Input_Fin",#N/A,FALSE,"By Code";"Input_Opt",#N/A,FALSE,"By Code"}</definedName>
    <definedName name="fdjhjh_4_1_4" hidden="1">{"Input_Fin",#N/A,FALSE,"By Code";"Input_Opt",#N/A,FALSE,"By Code"}</definedName>
    <definedName name="fdjhjh_4_2" hidden="1">{"Input_Fin",#N/A,FALSE,"By Code";"Input_Opt",#N/A,FALSE,"By Code"}</definedName>
    <definedName name="fdjhjh_4_2_1" hidden="1">{"Input_Fin",#N/A,FALSE,"By Code";"Input_Opt",#N/A,FALSE,"By Code"}</definedName>
    <definedName name="fdjhjh_4_2_2" hidden="1">{"Input_Fin",#N/A,FALSE,"By Code";"Input_Opt",#N/A,FALSE,"By Code"}</definedName>
    <definedName name="fdjhjh_4_2_3" hidden="1">{"Input_Fin",#N/A,FALSE,"By Code";"Input_Opt",#N/A,FALSE,"By Code"}</definedName>
    <definedName name="fdjhjh_4_3" hidden="1">{"Input_Fin",#N/A,FALSE,"By Code";"Input_Opt",#N/A,FALSE,"By Code"}</definedName>
    <definedName name="fdjhjh_4_3_1" hidden="1">{"Input_Fin",#N/A,FALSE,"By Code";"Input_Opt",#N/A,FALSE,"By Code"}</definedName>
    <definedName name="fdjhjh_4_3_2" hidden="1">{"Input_Fin",#N/A,FALSE,"By Code";"Input_Opt",#N/A,FALSE,"By Code"}</definedName>
    <definedName name="fdjhjh_4_4" hidden="1">{"Input_Fin",#N/A,FALSE,"By Code";"Input_Opt",#N/A,FALSE,"By Code"}</definedName>
    <definedName name="fdjhjh_4_5" hidden="1">{"Input_Fin",#N/A,FALSE,"By Code";"Input_Opt",#N/A,FALSE,"By Code"}</definedName>
    <definedName name="fdjhjh_5" hidden="1">{"Input_Fin",#N/A,FALSE,"By Code";"Input_Opt",#N/A,FALSE,"By Code"}</definedName>
    <definedName name="fdjhjh_5_1" hidden="1">{"Input_Fin",#N/A,FALSE,"By Code";"Input_Opt",#N/A,FALSE,"By Code"}</definedName>
    <definedName name="fdjhjh_5_1_1" hidden="1">{"Input_Fin",#N/A,FALSE,"By Code";"Input_Opt",#N/A,FALSE,"By Code"}</definedName>
    <definedName name="fdjhjh_5_1_1_1" hidden="1">{"Input_Fin",#N/A,FALSE,"By Code";"Input_Opt",#N/A,FALSE,"By Code"}</definedName>
    <definedName name="fdjhjh_5_1_1_2" hidden="1">{"Input_Fin",#N/A,FALSE,"By Code";"Input_Opt",#N/A,FALSE,"By Code"}</definedName>
    <definedName name="fdjhjh_5_1_1_3" hidden="1">{"Input_Fin",#N/A,FALSE,"By Code";"Input_Opt",#N/A,FALSE,"By Code"}</definedName>
    <definedName name="fdjhjh_5_1_2" hidden="1">{"Input_Fin",#N/A,FALSE,"By Code";"Input_Opt",#N/A,FALSE,"By Code"}</definedName>
    <definedName name="fdjhjh_5_1_2_1" hidden="1">{"Input_Fin",#N/A,FALSE,"By Code";"Input_Opt",#N/A,FALSE,"By Code"}</definedName>
    <definedName name="fdjhjh_5_1_2_2" hidden="1">{"Input_Fin",#N/A,FALSE,"By Code";"Input_Opt",#N/A,FALSE,"By Code"}</definedName>
    <definedName name="fdjhjh_5_1_3" hidden="1">{"Input_Fin",#N/A,FALSE,"By Code";"Input_Opt",#N/A,FALSE,"By Code"}</definedName>
    <definedName name="fdjhjh_5_1_4" hidden="1">{"Input_Fin",#N/A,FALSE,"By Code";"Input_Opt",#N/A,FALSE,"By Code"}</definedName>
    <definedName name="fdjhjh_5_2" hidden="1">{"Input_Fin",#N/A,FALSE,"By Code";"Input_Opt",#N/A,FALSE,"By Code"}</definedName>
    <definedName name="fdjhjh_5_2_1" hidden="1">{"Input_Fin",#N/A,FALSE,"By Code";"Input_Opt",#N/A,FALSE,"By Code"}</definedName>
    <definedName name="fdjhjh_5_2_2" hidden="1">{"Input_Fin",#N/A,FALSE,"By Code";"Input_Opt",#N/A,FALSE,"By Code"}</definedName>
    <definedName name="fdjhjh_5_2_3" hidden="1">{"Input_Fin",#N/A,FALSE,"By Code";"Input_Opt",#N/A,FALSE,"By Code"}</definedName>
    <definedName name="fdjhjh_5_3" hidden="1">{"Input_Fin",#N/A,FALSE,"By Code";"Input_Opt",#N/A,FALSE,"By Code"}</definedName>
    <definedName name="fdjhjh_5_3_1" hidden="1">{"Input_Fin",#N/A,FALSE,"By Code";"Input_Opt",#N/A,FALSE,"By Code"}</definedName>
    <definedName name="fdjhjh_5_3_2" hidden="1">{"Input_Fin",#N/A,FALSE,"By Code";"Input_Opt",#N/A,FALSE,"By Code"}</definedName>
    <definedName name="fdjhjh_5_4" hidden="1">{"Input_Fin",#N/A,FALSE,"By Code";"Input_Opt",#N/A,FALSE,"By Code"}</definedName>
    <definedName name="fdjhjh_5_5" hidden="1">{"Input_Fin",#N/A,FALSE,"By Code";"Input_Opt",#N/A,FALSE,"By Code"}</definedName>
    <definedName name="fdsfsafasd" hidden="1">{"Input_Fin",#N/A,FALSE,"By Code";"Input_Opt",#N/A,FALSE,"By Code"}</definedName>
    <definedName name="fdsg" localSheetId="12" hidden="1">{"Input_Fin",#N/A,FALSE,"By Code";"Input_Opt",#N/A,FALSE,"By Code"}</definedName>
    <definedName name="fdsg" hidden="1">{"Input_Fin",#N/A,FALSE,"By Code";"Input_Opt",#N/A,FALSE,"By Code"}</definedName>
    <definedName name="fdsg_1" hidden="1">{"Input_Fin",#N/A,FALSE,"By Code";"Input_Opt",#N/A,FALSE,"By Code"}</definedName>
    <definedName name="fdsg_1_1" hidden="1">{"Input_Fin",#N/A,FALSE,"By Code";"Input_Opt",#N/A,FALSE,"By Code"}</definedName>
    <definedName name="fdsg_1_1_1" hidden="1">{"Input_Fin",#N/A,FALSE,"By Code";"Input_Opt",#N/A,FALSE,"By Code"}</definedName>
    <definedName name="fdsg_1_1_1_1" hidden="1">{"Input_Fin",#N/A,FALSE,"By Code";"Input_Opt",#N/A,FALSE,"By Code"}</definedName>
    <definedName name="fdsg_1_1_1_1_1" hidden="1">{"Input_Fin",#N/A,FALSE,"By Code";"Input_Opt",#N/A,FALSE,"By Code"}</definedName>
    <definedName name="fdsg_1_1_1_1_2" hidden="1">{"Input_Fin",#N/A,FALSE,"By Code";"Input_Opt",#N/A,FALSE,"By Code"}</definedName>
    <definedName name="fdsg_1_1_1_1_3" hidden="1">{"Input_Fin",#N/A,FALSE,"By Code";"Input_Opt",#N/A,FALSE,"By Code"}</definedName>
    <definedName name="fdsg_1_1_1_2" hidden="1">{"Input_Fin",#N/A,FALSE,"By Code";"Input_Opt",#N/A,FALSE,"By Code"}</definedName>
    <definedName name="fdsg_1_1_1_2_1" hidden="1">{"Input_Fin",#N/A,FALSE,"By Code";"Input_Opt",#N/A,FALSE,"By Code"}</definedName>
    <definedName name="fdsg_1_1_1_2_2" hidden="1">{"Input_Fin",#N/A,FALSE,"By Code";"Input_Opt",#N/A,FALSE,"By Code"}</definedName>
    <definedName name="fdsg_1_1_1_3" hidden="1">{"Input_Fin",#N/A,FALSE,"By Code";"Input_Opt",#N/A,FALSE,"By Code"}</definedName>
    <definedName name="fdsg_1_1_1_3_1" hidden="1">{"Input_Fin",#N/A,FALSE,"By Code";"Input_Opt",#N/A,FALSE,"By Code"}</definedName>
    <definedName name="fdsg_1_1_1_3_2" hidden="1">{"Input_Fin",#N/A,FALSE,"By Code";"Input_Opt",#N/A,FALSE,"By Code"}</definedName>
    <definedName name="fdsg_1_1_1_4" hidden="1">{"Input_Fin",#N/A,FALSE,"By Code";"Input_Opt",#N/A,FALSE,"By Code"}</definedName>
    <definedName name="fdsg_1_1_1_5" hidden="1">{"Input_Fin",#N/A,FALSE,"By Code";"Input_Opt",#N/A,FALSE,"By Code"}</definedName>
    <definedName name="fdsg_1_1_2" hidden="1">{"Input_Fin",#N/A,FALSE,"By Code";"Input_Opt",#N/A,FALSE,"By Code"}</definedName>
    <definedName name="fdsg_1_1_2_1" hidden="1">{"Input_Fin",#N/A,FALSE,"By Code";"Input_Opt",#N/A,FALSE,"By Code"}</definedName>
    <definedName name="fdsg_1_1_2_2" hidden="1">{"Input_Fin",#N/A,FALSE,"By Code";"Input_Opt",#N/A,FALSE,"By Code"}</definedName>
    <definedName name="fdsg_1_1_2_3" hidden="1">{"Input_Fin",#N/A,FALSE,"By Code";"Input_Opt",#N/A,FALSE,"By Code"}</definedName>
    <definedName name="fdsg_1_1_3" hidden="1">{"Input_Fin",#N/A,FALSE,"By Code";"Input_Opt",#N/A,FALSE,"By Code"}</definedName>
    <definedName name="fdsg_1_1_3_1" hidden="1">{"Input_Fin",#N/A,FALSE,"By Code";"Input_Opt",#N/A,FALSE,"By Code"}</definedName>
    <definedName name="fdsg_1_1_3_2" hidden="1">{"Input_Fin",#N/A,FALSE,"By Code";"Input_Opt",#N/A,FALSE,"By Code"}</definedName>
    <definedName name="fdsg_1_1_4" hidden="1">{"Input_Fin",#N/A,FALSE,"By Code";"Input_Opt",#N/A,FALSE,"By Code"}</definedName>
    <definedName name="fdsg_1_1_5" hidden="1">{"Input_Fin",#N/A,FALSE,"By Code";"Input_Opt",#N/A,FALSE,"By Code"}</definedName>
    <definedName name="fdsg_1_2" hidden="1">{"Input_Fin",#N/A,FALSE,"By Code";"Input_Opt",#N/A,FALSE,"By Code"}</definedName>
    <definedName name="fdsg_1_2_1" hidden="1">{"Input_Fin",#N/A,FALSE,"By Code";"Input_Opt",#N/A,FALSE,"By Code"}</definedName>
    <definedName name="fdsg_1_2_2" hidden="1">{"Input_Fin",#N/A,FALSE,"By Code";"Input_Opt",#N/A,FALSE,"By Code"}</definedName>
    <definedName name="fdsg_1_2_3" hidden="1">{"Input_Fin",#N/A,FALSE,"By Code";"Input_Opt",#N/A,FALSE,"By Code"}</definedName>
    <definedName name="fdsg_1_3" hidden="1">{"Input_Fin",#N/A,FALSE,"By Code";"Input_Opt",#N/A,FALSE,"By Code"}</definedName>
    <definedName name="fdsg_1_3_1" hidden="1">{"Input_Fin",#N/A,FALSE,"By Code";"Input_Opt",#N/A,FALSE,"By Code"}</definedName>
    <definedName name="fdsg_1_3_2" hidden="1">{"Input_Fin",#N/A,FALSE,"By Code";"Input_Opt",#N/A,FALSE,"By Code"}</definedName>
    <definedName name="fdsg_1_4" hidden="1">{"Input_Fin",#N/A,FALSE,"By Code";"Input_Opt",#N/A,FALSE,"By Code"}</definedName>
    <definedName name="fdsg_1_5" hidden="1">{"Input_Fin",#N/A,FALSE,"By Code";"Input_Opt",#N/A,FALSE,"By Code"}</definedName>
    <definedName name="fdsg_2" hidden="1">{"Input_Fin",#N/A,FALSE,"By Code";"Input_Opt",#N/A,FALSE,"By Code"}</definedName>
    <definedName name="fdsg_2_1" hidden="1">{"Input_Fin",#N/A,FALSE,"By Code";"Input_Opt",#N/A,FALSE,"By Code"}</definedName>
    <definedName name="fdsg_2_1_1" hidden="1">{"Input_Fin",#N/A,FALSE,"By Code";"Input_Opt",#N/A,FALSE,"By Code"}</definedName>
    <definedName name="fdsg_2_1_1_1" hidden="1">{"Input_Fin",#N/A,FALSE,"By Code";"Input_Opt",#N/A,FALSE,"By Code"}</definedName>
    <definedName name="fdsg_2_1_1_2" hidden="1">{"Input_Fin",#N/A,FALSE,"By Code";"Input_Opt",#N/A,FALSE,"By Code"}</definedName>
    <definedName name="fdsg_2_1_1_3" hidden="1">{"Input_Fin",#N/A,FALSE,"By Code";"Input_Opt",#N/A,FALSE,"By Code"}</definedName>
    <definedName name="fdsg_2_1_2" hidden="1">{"Input_Fin",#N/A,FALSE,"By Code";"Input_Opt",#N/A,FALSE,"By Code"}</definedName>
    <definedName name="fdsg_2_1_2_1" hidden="1">{"Input_Fin",#N/A,FALSE,"By Code";"Input_Opt",#N/A,FALSE,"By Code"}</definedName>
    <definedName name="fdsg_2_1_2_2" hidden="1">{"Input_Fin",#N/A,FALSE,"By Code";"Input_Opt",#N/A,FALSE,"By Code"}</definedName>
    <definedName name="fdsg_2_1_3" hidden="1">{"Input_Fin",#N/A,FALSE,"By Code";"Input_Opt",#N/A,FALSE,"By Code"}</definedName>
    <definedName name="fdsg_2_1_4" hidden="1">{"Input_Fin",#N/A,FALSE,"By Code";"Input_Opt",#N/A,FALSE,"By Code"}</definedName>
    <definedName name="fdsg_2_2" hidden="1">{"Input_Fin",#N/A,FALSE,"By Code";"Input_Opt",#N/A,FALSE,"By Code"}</definedName>
    <definedName name="fdsg_2_2_1" hidden="1">{"Input_Fin",#N/A,FALSE,"By Code";"Input_Opt",#N/A,FALSE,"By Code"}</definedName>
    <definedName name="fdsg_2_2_2" hidden="1">{"Input_Fin",#N/A,FALSE,"By Code";"Input_Opt",#N/A,FALSE,"By Code"}</definedName>
    <definedName name="fdsg_2_2_3" hidden="1">{"Input_Fin",#N/A,FALSE,"By Code";"Input_Opt",#N/A,FALSE,"By Code"}</definedName>
    <definedName name="fdsg_2_3" hidden="1">{"Input_Fin",#N/A,FALSE,"By Code";"Input_Opt",#N/A,FALSE,"By Code"}</definedName>
    <definedName name="fdsg_2_3_1" hidden="1">{"Input_Fin",#N/A,FALSE,"By Code";"Input_Opt",#N/A,FALSE,"By Code"}</definedName>
    <definedName name="fdsg_2_3_2" hidden="1">{"Input_Fin",#N/A,FALSE,"By Code";"Input_Opt",#N/A,FALSE,"By Code"}</definedName>
    <definedName name="fdsg_2_4" hidden="1">{"Input_Fin",#N/A,FALSE,"By Code";"Input_Opt",#N/A,FALSE,"By Code"}</definedName>
    <definedName name="fdsg_2_5" hidden="1">{"Input_Fin",#N/A,FALSE,"By Code";"Input_Opt",#N/A,FALSE,"By Code"}</definedName>
    <definedName name="fdsg_3" hidden="1">{"Input_Fin",#N/A,FALSE,"By Code";"Input_Opt",#N/A,FALSE,"By Code"}</definedName>
    <definedName name="fdsg_3_1" hidden="1">{"Input_Fin",#N/A,FALSE,"By Code";"Input_Opt",#N/A,FALSE,"By Code"}</definedName>
    <definedName name="fdsg_3_1_1" hidden="1">{"Input_Fin",#N/A,FALSE,"By Code";"Input_Opt",#N/A,FALSE,"By Code"}</definedName>
    <definedName name="fdsg_3_1_1_1" hidden="1">{"Input_Fin",#N/A,FALSE,"By Code";"Input_Opt",#N/A,FALSE,"By Code"}</definedName>
    <definedName name="fdsg_3_1_1_2" hidden="1">{"Input_Fin",#N/A,FALSE,"By Code";"Input_Opt",#N/A,FALSE,"By Code"}</definedName>
    <definedName name="fdsg_3_1_1_3" hidden="1">{"Input_Fin",#N/A,FALSE,"By Code";"Input_Opt",#N/A,FALSE,"By Code"}</definedName>
    <definedName name="fdsg_3_1_2" hidden="1">{"Input_Fin",#N/A,FALSE,"By Code";"Input_Opt",#N/A,FALSE,"By Code"}</definedName>
    <definedName name="fdsg_3_1_2_1" hidden="1">{"Input_Fin",#N/A,FALSE,"By Code";"Input_Opt",#N/A,FALSE,"By Code"}</definedName>
    <definedName name="fdsg_3_1_2_2" hidden="1">{"Input_Fin",#N/A,FALSE,"By Code";"Input_Opt",#N/A,FALSE,"By Code"}</definedName>
    <definedName name="fdsg_3_1_3" hidden="1">{"Input_Fin",#N/A,FALSE,"By Code";"Input_Opt",#N/A,FALSE,"By Code"}</definedName>
    <definedName name="fdsg_3_1_4" hidden="1">{"Input_Fin",#N/A,FALSE,"By Code";"Input_Opt",#N/A,FALSE,"By Code"}</definedName>
    <definedName name="fdsg_3_2" hidden="1">{"Input_Fin",#N/A,FALSE,"By Code";"Input_Opt",#N/A,FALSE,"By Code"}</definedName>
    <definedName name="fdsg_3_2_1" hidden="1">{"Input_Fin",#N/A,FALSE,"By Code";"Input_Opt",#N/A,FALSE,"By Code"}</definedName>
    <definedName name="fdsg_3_2_2" hidden="1">{"Input_Fin",#N/A,FALSE,"By Code";"Input_Opt",#N/A,FALSE,"By Code"}</definedName>
    <definedName name="fdsg_3_2_3" hidden="1">{"Input_Fin",#N/A,FALSE,"By Code";"Input_Opt",#N/A,FALSE,"By Code"}</definedName>
    <definedName name="fdsg_3_3" hidden="1">{"Input_Fin",#N/A,FALSE,"By Code";"Input_Opt",#N/A,FALSE,"By Code"}</definedName>
    <definedName name="fdsg_3_3_1" hidden="1">{"Input_Fin",#N/A,FALSE,"By Code";"Input_Opt",#N/A,FALSE,"By Code"}</definedName>
    <definedName name="fdsg_3_3_2" hidden="1">{"Input_Fin",#N/A,FALSE,"By Code";"Input_Opt",#N/A,FALSE,"By Code"}</definedName>
    <definedName name="fdsg_3_4" hidden="1">{"Input_Fin",#N/A,FALSE,"By Code";"Input_Opt",#N/A,FALSE,"By Code"}</definedName>
    <definedName name="fdsg_3_5" hidden="1">{"Input_Fin",#N/A,FALSE,"By Code";"Input_Opt",#N/A,FALSE,"By Code"}</definedName>
    <definedName name="fdsg_4" hidden="1">{"Input_Fin",#N/A,FALSE,"By Code";"Input_Opt",#N/A,FALSE,"By Code"}</definedName>
    <definedName name="fdsg_4_1" hidden="1">{"Input_Fin",#N/A,FALSE,"By Code";"Input_Opt",#N/A,FALSE,"By Code"}</definedName>
    <definedName name="fdsg_4_1_1" hidden="1">{"Input_Fin",#N/A,FALSE,"By Code";"Input_Opt",#N/A,FALSE,"By Code"}</definedName>
    <definedName name="fdsg_4_1_1_1" hidden="1">{"Input_Fin",#N/A,FALSE,"By Code";"Input_Opt",#N/A,FALSE,"By Code"}</definedName>
    <definedName name="fdsg_4_1_1_2" hidden="1">{"Input_Fin",#N/A,FALSE,"By Code";"Input_Opt",#N/A,FALSE,"By Code"}</definedName>
    <definedName name="fdsg_4_1_1_3" hidden="1">{"Input_Fin",#N/A,FALSE,"By Code";"Input_Opt",#N/A,FALSE,"By Code"}</definedName>
    <definedName name="fdsg_4_1_2" hidden="1">{"Input_Fin",#N/A,FALSE,"By Code";"Input_Opt",#N/A,FALSE,"By Code"}</definedName>
    <definedName name="fdsg_4_1_2_1" hidden="1">{"Input_Fin",#N/A,FALSE,"By Code";"Input_Opt",#N/A,FALSE,"By Code"}</definedName>
    <definedName name="fdsg_4_1_2_2" hidden="1">{"Input_Fin",#N/A,FALSE,"By Code";"Input_Opt",#N/A,FALSE,"By Code"}</definedName>
    <definedName name="fdsg_4_1_3" hidden="1">{"Input_Fin",#N/A,FALSE,"By Code";"Input_Opt",#N/A,FALSE,"By Code"}</definedName>
    <definedName name="fdsg_4_1_4" hidden="1">{"Input_Fin",#N/A,FALSE,"By Code";"Input_Opt",#N/A,FALSE,"By Code"}</definedName>
    <definedName name="fdsg_4_2" hidden="1">{"Input_Fin",#N/A,FALSE,"By Code";"Input_Opt",#N/A,FALSE,"By Code"}</definedName>
    <definedName name="fdsg_4_2_1" hidden="1">{"Input_Fin",#N/A,FALSE,"By Code";"Input_Opt",#N/A,FALSE,"By Code"}</definedName>
    <definedName name="fdsg_4_2_2" hidden="1">{"Input_Fin",#N/A,FALSE,"By Code";"Input_Opt",#N/A,FALSE,"By Code"}</definedName>
    <definedName name="fdsg_4_2_3" hidden="1">{"Input_Fin",#N/A,FALSE,"By Code";"Input_Opt",#N/A,FALSE,"By Code"}</definedName>
    <definedName name="fdsg_4_3" hidden="1">{"Input_Fin",#N/A,FALSE,"By Code";"Input_Opt",#N/A,FALSE,"By Code"}</definedName>
    <definedName name="fdsg_4_3_1" hidden="1">{"Input_Fin",#N/A,FALSE,"By Code";"Input_Opt",#N/A,FALSE,"By Code"}</definedName>
    <definedName name="fdsg_4_3_2" hidden="1">{"Input_Fin",#N/A,FALSE,"By Code";"Input_Opt",#N/A,FALSE,"By Code"}</definedName>
    <definedName name="fdsg_4_4" hidden="1">{"Input_Fin",#N/A,FALSE,"By Code";"Input_Opt",#N/A,FALSE,"By Code"}</definedName>
    <definedName name="fdsg_4_5" hidden="1">{"Input_Fin",#N/A,FALSE,"By Code";"Input_Opt",#N/A,FALSE,"By Code"}</definedName>
    <definedName name="fdsg_5" hidden="1">{"Input_Fin",#N/A,FALSE,"By Code";"Input_Opt",#N/A,FALSE,"By Code"}</definedName>
    <definedName name="fdsg_5_1" hidden="1">{"Input_Fin",#N/A,FALSE,"By Code";"Input_Opt",#N/A,FALSE,"By Code"}</definedName>
    <definedName name="fdsg_5_1_1" hidden="1">{"Input_Fin",#N/A,FALSE,"By Code";"Input_Opt",#N/A,FALSE,"By Code"}</definedName>
    <definedName name="fdsg_5_1_1_1" hidden="1">{"Input_Fin",#N/A,FALSE,"By Code";"Input_Opt",#N/A,FALSE,"By Code"}</definedName>
    <definedName name="fdsg_5_1_1_2" hidden="1">{"Input_Fin",#N/A,FALSE,"By Code";"Input_Opt",#N/A,FALSE,"By Code"}</definedName>
    <definedName name="fdsg_5_1_1_3" hidden="1">{"Input_Fin",#N/A,FALSE,"By Code";"Input_Opt",#N/A,FALSE,"By Code"}</definedName>
    <definedName name="fdsg_5_1_2" hidden="1">{"Input_Fin",#N/A,FALSE,"By Code";"Input_Opt",#N/A,FALSE,"By Code"}</definedName>
    <definedName name="fdsg_5_1_2_1" hidden="1">{"Input_Fin",#N/A,FALSE,"By Code";"Input_Opt",#N/A,FALSE,"By Code"}</definedName>
    <definedName name="fdsg_5_1_2_2" hidden="1">{"Input_Fin",#N/A,FALSE,"By Code";"Input_Opt",#N/A,FALSE,"By Code"}</definedName>
    <definedName name="fdsg_5_1_3" hidden="1">{"Input_Fin",#N/A,FALSE,"By Code";"Input_Opt",#N/A,FALSE,"By Code"}</definedName>
    <definedName name="fdsg_5_1_4" hidden="1">{"Input_Fin",#N/A,FALSE,"By Code";"Input_Opt",#N/A,FALSE,"By Code"}</definedName>
    <definedName name="fdsg_5_2" hidden="1">{"Input_Fin",#N/A,FALSE,"By Code";"Input_Opt",#N/A,FALSE,"By Code"}</definedName>
    <definedName name="fdsg_5_2_1" hidden="1">{"Input_Fin",#N/A,FALSE,"By Code";"Input_Opt",#N/A,FALSE,"By Code"}</definedName>
    <definedName name="fdsg_5_2_2" hidden="1">{"Input_Fin",#N/A,FALSE,"By Code";"Input_Opt",#N/A,FALSE,"By Code"}</definedName>
    <definedName name="fdsg_5_2_3" hidden="1">{"Input_Fin",#N/A,FALSE,"By Code";"Input_Opt",#N/A,FALSE,"By Code"}</definedName>
    <definedName name="fdsg_5_3" hidden="1">{"Input_Fin",#N/A,FALSE,"By Code";"Input_Opt",#N/A,FALSE,"By Code"}</definedName>
    <definedName name="fdsg_5_3_1" hidden="1">{"Input_Fin",#N/A,FALSE,"By Code";"Input_Opt",#N/A,FALSE,"By Code"}</definedName>
    <definedName name="fdsg_5_3_2" hidden="1">{"Input_Fin",#N/A,FALSE,"By Code";"Input_Opt",#N/A,FALSE,"By Code"}</definedName>
    <definedName name="fdsg_5_4" hidden="1">{"Input_Fin",#N/A,FALSE,"By Code";"Input_Opt",#N/A,FALSE,"By Code"}</definedName>
    <definedName name="fdsg_5_5" hidden="1">{"Input_Fin",#N/A,FALSE,"By Code";"Input_Opt",#N/A,FALSE,"By Code"}</definedName>
    <definedName name="ffff">#N/A</definedName>
    <definedName name="fffff" hidden="1">{"Input_Fin",#N/A,FALSE,"By Code";"Input_Opt",#N/A,FALSE,"By Code"}</definedName>
    <definedName name="FGDFFHF" hidden="1">{"Input_Fin",#N/A,FALSE,"By Code";"Input_Opt",#N/A,FALSE,"By Code"}</definedName>
    <definedName name="FGDFFHF_1" hidden="1">{"Input_Fin",#N/A,FALSE,"By Code";"Input_Opt",#N/A,FALSE,"By Code"}</definedName>
    <definedName name="FGDFFHF_1_1" hidden="1">{"Input_Fin",#N/A,FALSE,"By Code";"Input_Opt",#N/A,FALSE,"By Code"}</definedName>
    <definedName name="FGDFFHF_1_1_1" hidden="1">{"Input_Fin",#N/A,FALSE,"By Code";"Input_Opt",#N/A,FALSE,"By Code"}</definedName>
    <definedName name="FGDFFHF_1_1_2" hidden="1">{"Input_Fin",#N/A,FALSE,"By Code";"Input_Opt",#N/A,FALSE,"By Code"}</definedName>
    <definedName name="FGDFFHF_1_1_3" hidden="1">{"Input_Fin",#N/A,FALSE,"By Code";"Input_Opt",#N/A,FALSE,"By Code"}</definedName>
    <definedName name="FGDFFHF_1_2" hidden="1">{"Input_Fin",#N/A,FALSE,"By Code";"Input_Opt",#N/A,FALSE,"By Code"}</definedName>
    <definedName name="FGDFFHF_1_2_1" hidden="1">{"Input_Fin",#N/A,FALSE,"By Code";"Input_Opt",#N/A,FALSE,"By Code"}</definedName>
    <definedName name="FGDFFHF_1_2_2" hidden="1">{"Input_Fin",#N/A,FALSE,"By Code";"Input_Opt",#N/A,FALSE,"By Code"}</definedName>
    <definedName name="FGDFFHF_1_3" hidden="1">{"Input_Fin",#N/A,FALSE,"By Code";"Input_Opt",#N/A,FALSE,"By Code"}</definedName>
    <definedName name="FGDFFHF_1_4" hidden="1">{"Input_Fin",#N/A,FALSE,"By Code";"Input_Opt",#N/A,FALSE,"By Code"}</definedName>
    <definedName name="FGDFFHF_2" hidden="1">{"Input_Fin",#N/A,FALSE,"By Code";"Input_Opt",#N/A,FALSE,"By Code"}</definedName>
    <definedName name="FGDFFHF_2_1" hidden="1">{"Input_Fin",#N/A,FALSE,"By Code";"Input_Opt",#N/A,FALSE,"By Code"}</definedName>
    <definedName name="FGDFFHF_2_2" hidden="1">{"Input_Fin",#N/A,FALSE,"By Code";"Input_Opt",#N/A,FALSE,"By Code"}</definedName>
    <definedName name="FGDFFHF_2_3" hidden="1">{"Input_Fin",#N/A,FALSE,"By Code";"Input_Opt",#N/A,FALSE,"By Code"}</definedName>
    <definedName name="FGDFFHF_3" hidden="1">{"Input_Fin",#N/A,FALSE,"By Code";"Input_Opt",#N/A,FALSE,"By Code"}</definedName>
    <definedName name="FGDFFHF_3_1" hidden="1">{"Input_Fin",#N/A,FALSE,"By Code";"Input_Opt",#N/A,FALSE,"By Code"}</definedName>
    <definedName name="FGDFFHF_3_2" hidden="1">{"Input_Fin",#N/A,FALSE,"By Code";"Input_Opt",#N/A,FALSE,"By Code"}</definedName>
    <definedName name="FGDFFHF_4" hidden="1">{"Input_Fin",#N/A,FALSE,"By Code";"Input_Opt",#N/A,FALSE,"By Code"}</definedName>
    <definedName name="FGDFFHF_5" hidden="1">{"Input_Fin",#N/A,FALSE,"By Code";"Input_Opt",#N/A,FALSE,"By Code"}</definedName>
    <definedName name="fgdfg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fhd" localSheetId="12" hidden="1">{"Input_Fin",#N/A,FALSE,"By Code";"Input_Opt",#N/A,FALSE,"By Code"}</definedName>
    <definedName name="fhd" hidden="1">{"Input_Fin",#N/A,FALSE,"By Code";"Input_Opt",#N/A,FALSE,"By Code"}</definedName>
    <definedName name="fhd_1" hidden="1">{"Input_Fin",#N/A,FALSE,"By Code";"Input_Opt",#N/A,FALSE,"By Code"}</definedName>
    <definedName name="fhd_1_1" hidden="1">{"Input_Fin",#N/A,FALSE,"By Code";"Input_Opt",#N/A,FALSE,"By Code"}</definedName>
    <definedName name="fhd_1_1_1" hidden="1">{"Input_Fin",#N/A,FALSE,"By Code";"Input_Opt",#N/A,FALSE,"By Code"}</definedName>
    <definedName name="fhd_1_1_1_1" hidden="1">{"Input_Fin",#N/A,FALSE,"By Code";"Input_Opt",#N/A,FALSE,"By Code"}</definedName>
    <definedName name="fhd_1_1_1_1_1" hidden="1">{"Input_Fin",#N/A,FALSE,"By Code";"Input_Opt",#N/A,FALSE,"By Code"}</definedName>
    <definedName name="fhd_1_1_1_1_2" hidden="1">{"Input_Fin",#N/A,FALSE,"By Code";"Input_Opt",#N/A,FALSE,"By Code"}</definedName>
    <definedName name="fhd_1_1_1_1_3" hidden="1">{"Input_Fin",#N/A,FALSE,"By Code";"Input_Opt",#N/A,FALSE,"By Code"}</definedName>
    <definedName name="fhd_1_1_1_2" hidden="1">{"Input_Fin",#N/A,FALSE,"By Code";"Input_Opt",#N/A,FALSE,"By Code"}</definedName>
    <definedName name="fhd_1_1_1_2_1" hidden="1">{"Input_Fin",#N/A,FALSE,"By Code";"Input_Opt",#N/A,FALSE,"By Code"}</definedName>
    <definedName name="fhd_1_1_1_2_2" hidden="1">{"Input_Fin",#N/A,FALSE,"By Code";"Input_Opt",#N/A,FALSE,"By Code"}</definedName>
    <definedName name="fhd_1_1_1_3" hidden="1">{"Input_Fin",#N/A,FALSE,"By Code";"Input_Opt",#N/A,FALSE,"By Code"}</definedName>
    <definedName name="fhd_1_1_1_3_1" hidden="1">{"Input_Fin",#N/A,FALSE,"By Code";"Input_Opt",#N/A,FALSE,"By Code"}</definedName>
    <definedName name="fhd_1_1_1_3_2" hidden="1">{"Input_Fin",#N/A,FALSE,"By Code";"Input_Opt",#N/A,FALSE,"By Code"}</definedName>
    <definedName name="fhd_1_1_1_4" hidden="1">{"Input_Fin",#N/A,FALSE,"By Code";"Input_Opt",#N/A,FALSE,"By Code"}</definedName>
    <definedName name="fhd_1_1_1_5" hidden="1">{"Input_Fin",#N/A,FALSE,"By Code";"Input_Opt",#N/A,FALSE,"By Code"}</definedName>
    <definedName name="fhd_1_1_2" hidden="1">{"Input_Fin",#N/A,FALSE,"By Code";"Input_Opt",#N/A,FALSE,"By Code"}</definedName>
    <definedName name="fhd_1_1_2_1" hidden="1">{"Input_Fin",#N/A,FALSE,"By Code";"Input_Opt",#N/A,FALSE,"By Code"}</definedName>
    <definedName name="fhd_1_1_2_2" hidden="1">{"Input_Fin",#N/A,FALSE,"By Code";"Input_Opt",#N/A,FALSE,"By Code"}</definedName>
    <definedName name="fhd_1_1_2_3" hidden="1">{"Input_Fin",#N/A,FALSE,"By Code";"Input_Opt",#N/A,FALSE,"By Code"}</definedName>
    <definedName name="fhd_1_1_3" hidden="1">{"Input_Fin",#N/A,FALSE,"By Code";"Input_Opt",#N/A,FALSE,"By Code"}</definedName>
    <definedName name="fhd_1_1_3_1" hidden="1">{"Input_Fin",#N/A,FALSE,"By Code";"Input_Opt",#N/A,FALSE,"By Code"}</definedName>
    <definedName name="fhd_1_1_3_2" hidden="1">{"Input_Fin",#N/A,FALSE,"By Code";"Input_Opt",#N/A,FALSE,"By Code"}</definedName>
    <definedName name="fhd_1_1_4" hidden="1">{"Input_Fin",#N/A,FALSE,"By Code";"Input_Opt",#N/A,FALSE,"By Code"}</definedName>
    <definedName name="fhd_1_1_5" hidden="1">{"Input_Fin",#N/A,FALSE,"By Code";"Input_Opt",#N/A,FALSE,"By Code"}</definedName>
    <definedName name="fhd_1_2" hidden="1">{"Input_Fin",#N/A,FALSE,"By Code";"Input_Opt",#N/A,FALSE,"By Code"}</definedName>
    <definedName name="fhd_1_2_1" hidden="1">{"Input_Fin",#N/A,FALSE,"By Code";"Input_Opt",#N/A,FALSE,"By Code"}</definedName>
    <definedName name="fhd_1_2_2" hidden="1">{"Input_Fin",#N/A,FALSE,"By Code";"Input_Opt",#N/A,FALSE,"By Code"}</definedName>
    <definedName name="fhd_1_2_3" hidden="1">{"Input_Fin",#N/A,FALSE,"By Code";"Input_Opt",#N/A,FALSE,"By Code"}</definedName>
    <definedName name="fhd_1_3" hidden="1">{"Input_Fin",#N/A,FALSE,"By Code";"Input_Opt",#N/A,FALSE,"By Code"}</definedName>
    <definedName name="fhd_1_3_1" hidden="1">{"Input_Fin",#N/A,FALSE,"By Code";"Input_Opt",#N/A,FALSE,"By Code"}</definedName>
    <definedName name="fhd_1_3_2" hidden="1">{"Input_Fin",#N/A,FALSE,"By Code";"Input_Opt",#N/A,FALSE,"By Code"}</definedName>
    <definedName name="fhd_1_4" hidden="1">{"Input_Fin",#N/A,FALSE,"By Code";"Input_Opt",#N/A,FALSE,"By Code"}</definedName>
    <definedName name="fhd_1_5" hidden="1">{"Input_Fin",#N/A,FALSE,"By Code";"Input_Opt",#N/A,FALSE,"By Code"}</definedName>
    <definedName name="fhd_2" hidden="1">{"Input_Fin",#N/A,FALSE,"By Code";"Input_Opt",#N/A,FALSE,"By Code"}</definedName>
    <definedName name="fhd_2_1" hidden="1">{"Input_Fin",#N/A,FALSE,"By Code";"Input_Opt",#N/A,FALSE,"By Code"}</definedName>
    <definedName name="fhd_2_1_1" hidden="1">{"Input_Fin",#N/A,FALSE,"By Code";"Input_Opt",#N/A,FALSE,"By Code"}</definedName>
    <definedName name="fhd_2_1_1_1" hidden="1">{"Input_Fin",#N/A,FALSE,"By Code";"Input_Opt",#N/A,FALSE,"By Code"}</definedName>
    <definedName name="fhd_2_1_1_2" hidden="1">{"Input_Fin",#N/A,FALSE,"By Code";"Input_Opt",#N/A,FALSE,"By Code"}</definedName>
    <definedName name="fhd_2_1_1_3" hidden="1">{"Input_Fin",#N/A,FALSE,"By Code";"Input_Opt",#N/A,FALSE,"By Code"}</definedName>
    <definedName name="fhd_2_1_2" hidden="1">{"Input_Fin",#N/A,FALSE,"By Code";"Input_Opt",#N/A,FALSE,"By Code"}</definedName>
    <definedName name="fhd_2_1_2_1" hidden="1">{"Input_Fin",#N/A,FALSE,"By Code";"Input_Opt",#N/A,FALSE,"By Code"}</definedName>
    <definedName name="fhd_2_1_2_2" hidden="1">{"Input_Fin",#N/A,FALSE,"By Code";"Input_Opt",#N/A,FALSE,"By Code"}</definedName>
    <definedName name="fhd_2_1_3" hidden="1">{"Input_Fin",#N/A,FALSE,"By Code";"Input_Opt",#N/A,FALSE,"By Code"}</definedName>
    <definedName name="fhd_2_1_4" hidden="1">{"Input_Fin",#N/A,FALSE,"By Code";"Input_Opt",#N/A,FALSE,"By Code"}</definedName>
    <definedName name="fhd_2_2" hidden="1">{"Input_Fin",#N/A,FALSE,"By Code";"Input_Opt",#N/A,FALSE,"By Code"}</definedName>
    <definedName name="fhd_2_2_1" hidden="1">{"Input_Fin",#N/A,FALSE,"By Code";"Input_Opt",#N/A,FALSE,"By Code"}</definedName>
    <definedName name="fhd_2_2_2" hidden="1">{"Input_Fin",#N/A,FALSE,"By Code";"Input_Opt",#N/A,FALSE,"By Code"}</definedName>
    <definedName name="fhd_2_2_3" hidden="1">{"Input_Fin",#N/A,FALSE,"By Code";"Input_Opt",#N/A,FALSE,"By Code"}</definedName>
    <definedName name="fhd_2_3" hidden="1">{"Input_Fin",#N/A,FALSE,"By Code";"Input_Opt",#N/A,FALSE,"By Code"}</definedName>
    <definedName name="fhd_2_3_1" hidden="1">{"Input_Fin",#N/A,FALSE,"By Code";"Input_Opt",#N/A,FALSE,"By Code"}</definedName>
    <definedName name="fhd_2_3_2" hidden="1">{"Input_Fin",#N/A,FALSE,"By Code";"Input_Opt",#N/A,FALSE,"By Code"}</definedName>
    <definedName name="fhd_2_4" hidden="1">{"Input_Fin",#N/A,FALSE,"By Code";"Input_Opt",#N/A,FALSE,"By Code"}</definedName>
    <definedName name="fhd_2_5" hidden="1">{"Input_Fin",#N/A,FALSE,"By Code";"Input_Opt",#N/A,FALSE,"By Code"}</definedName>
    <definedName name="fhd_3" hidden="1">{"Input_Fin",#N/A,FALSE,"By Code";"Input_Opt",#N/A,FALSE,"By Code"}</definedName>
    <definedName name="fhd_3_1" hidden="1">{"Input_Fin",#N/A,FALSE,"By Code";"Input_Opt",#N/A,FALSE,"By Code"}</definedName>
    <definedName name="fhd_3_1_1" hidden="1">{"Input_Fin",#N/A,FALSE,"By Code";"Input_Opt",#N/A,FALSE,"By Code"}</definedName>
    <definedName name="fhd_3_1_1_1" hidden="1">{"Input_Fin",#N/A,FALSE,"By Code";"Input_Opt",#N/A,FALSE,"By Code"}</definedName>
    <definedName name="fhd_3_1_1_2" hidden="1">{"Input_Fin",#N/A,FALSE,"By Code";"Input_Opt",#N/A,FALSE,"By Code"}</definedName>
    <definedName name="fhd_3_1_1_3" hidden="1">{"Input_Fin",#N/A,FALSE,"By Code";"Input_Opt",#N/A,FALSE,"By Code"}</definedName>
    <definedName name="fhd_3_1_2" hidden="1">{"Input_Fin",#N/A,FALSE,"By Code";"Input_Opt",#N/A,FALSE,"By Code"}</definedName>
    <definedName name="fhd_3_1_2_1" hidden="1">{"Input_Fin",#N/A,FALSE,"By Code";"Input_Opt",#N/A,FALSE,"By Code"}</definedName>
    <definedName name="fhd_3_1_2_2" hidden="1">{"Input_Fin",#N/A,FALSE,"By Code";"Input_Opt",#N/A,FALSE,"By Code"}</definedName>
    <definedName name="fhd_3_1_3" hidden="1">{"Input_Fin",#N/A,FALSE,"By Code";"Input_Opt",#N/A,FALSE,"By Code"}</definedName>
    <definedName name="fhd_3_1_4" hidden="1">{"Input_Fin",#N/A,FALSE,"By Code";"Input_Opt",#N/A,FALSE,"By Code"}</definedName>
    <definedName name="fhd_3_2" hidden="1">{"Input_Fin",#N/A,FALSE,"By Code";"Input_Opt",#N/A,FALSE,"By Code"}</definedName>
    <definedName name="fhd_3_2_1" hidden="1">{"Input_Fin",#N/A,FALSE,"By Code";"Input_Opt",#N/A,FALSE,"By Code"}</definedName>
    <definedName name="fhd_3_2_2" hidden="1">{"Input_Fin",#N/A,FALSE,"By Code";"Input_Opt",#N/A,FALSE,"By Code"}</definedName>
    <definedName name="fhd_3_2_3" hidden="1">{"Input_Fin",#N/A,FALSE,"By Code";"Input_Opt",#N/A,FALSE,"By Code"}</definedName>
    <definedName name="fhd_3_3" hidden="1">{"Input_Fin",#N/A,FALSE,"By Code";"Input_Opt",#N/A,FALSE,"By Code"}</definedName>
    <definedName name="fhd_3_3_1" hidden="1">{"Input_Fin",#N/A,FALSE,"By Code";"Input_Opt",#N/A,FALSE,"By Code"}</definedName>
    <definedName name="fhd_3_3_2" hidden="1">{"Input_Fin",#N/A,FALSE,"By Code";"Input_Opt",#N/A,FALSE,"By Code"}</definedName>
    <definedName name="fhd_3_4" hidden="1">{"Input_Fin",#N/A,FALSE,"By Code";"Input_Opt",#N/A,FALSE,"By Code"}</definedName>
    <definedName name="fhd_3_5" hidden="1">{"Input_Fin",#N/A,FALSE,"By Code";"Input_Opt",#N/A,FALSE,"By Code"}</definedName>
    <definedName name="fhd_4" hidden="1">{"Input_Fin",#N/A,FALSE,"By Code";"Input_Opt",#N/A,FALSE,"By Code"}</definedName>
    <definedName name="fhd_4_1" hidden="1">{"Input_Fin",#N/A,FALSE,"By Code";"Input_Opt",#N/A,FALSE,"By Code"}</definedName>
    <definedName name="fhd_4_1_1" hidden="1">{"Input_Fin",#N/A,FALSE,"By Code";"Input_Opt",#N/A,FALSE,"By Code"}</definedName>
    <definedName name="fhd_4_1_1_1" hidden="1">{"Input_Fin",#N/A,FALSE,"By Code";"Input_Opt",#N/A,FALSE,"By Code"}</definedName>
    <definedName name="fhd_4_1_1_2" hidden="1">{"Input_Fin",#N/A,FALSE,"By Code";"Input_Opt",#N/A,FALSE,"By Code"}</definedName>
    <definedName name="fhd_4_1_1_3" hidden="1">{"Input_Fin",#N/A,FALSE,"By Code";"Input_Opt",#N/A,FALSE,"By Code"}</definedName>
    <definedName name="fhd_4_1_2" hidden="1">{"Input_Fin",#N/A,FALSE,"By Code";"Input_Opt",#N/A,FALSE,"By Code"}</definedName>
    <definedName name="fhd_4_1_2_1" hidden="1">{"Input_Fin",#N/A,FALSE,"By Code";"Input_Opt",#N/A,FALSE,"By Code"}</definedName>
    <definedName name="fhd_4_1_2_2" hidden="1">{"Input_Fin",#N/A,FALSE,"By Code";"Input_Opt",#N/A,FALSE,"By Code"}</definedName>
    <definedName name="fhd_4_1_3" hidden="1">{"Input_Fin",#N/A,FALSE,"By Code";"Input_Opt",#N/A,FALSE,"By Code"}</definedName>
    <definedName name="fhd_4_1_4" hidden="1">{"Input_Fin",#N/A,FALSE,"By Code";"Input_Opt",#N/A,FALSE,"By Code"}</definedName>
    <definedName name="fhd_4_2" hidden="1">{"Input_Fin",#N/A,FALSE,"By Code";"Input_Opt",#N/A,FALSE,"By Code"}</definedName>
    <definedName name="fhd_4_2_1" hidden="1">{"Input_Fin",#N/A,FALSE,"By Code";"Input_Opt",#N/A,FALSE,"By Code"}</definedName>
    <definedName name="fhd_4_2_2" hidden="1">{"Input_Fin",#N/A,FALSE,"By Code";"Input_Opt",#N/A,FALSE,"By Code"}</definedName>
    <definedName name="fhd_4_2_3" hidden="1">{"Input_Fin",#N/A,FALSE,"By Code";"Input_Opt",#N/A,FALSE,"By Code"}</definedName>
    <definedName name="fhd_4_3" hidden="1">{"Input_Fin",#N/A,FALSE,"By Code";"Input_Opt",#N/A,FALSE,"By Code"}</definedName>
    <definedName name="fhd_4_3_1" hidden="1">{"Input_Fin",#N/A,FALSE,"By Code";"Input_Opt",#N/A,FALSE,"By Code"}</definedName>
    <definedName name="fhd_4_3_2" hidden="1">{"Input_Fin",#N/A,FALSE,"By Code";"Input_Opt",#N/A,FALSE,"By Code"}</definedName>
    <definedName name="fhd_4_4" hidden="1">{"Input_Fin",#N/A,FALSE,"By Code";"Input_Opt",#N/A,FALSE,"By Code"}</definedName>
    <definedName name="fhd_4_5" hidden="1">{"Input_Fin",#N/A,FALSE,"By Code";"Input_Opt",#N/A,FALSE,"By Code"}</definedName>
    <definedName name="fhd_5" hidden="1">{"Input_Fin",#N/A,FALSE,"By Code";"Input_Opt",#N/A,FALSE,"By Code"}</definedName>
    <definedName name="fhd_5_1" hidden="1">{"Input_Fin",#N/A,FALSE,"By Code";"Input_Opt",#N/A,FALSE,"By Code"}</definedName>
    <definedName name="fhd_5_1_1" hidden="1">{"Input_Fin",#N/A,FALSE,"By Code";"Input_Opt",#N/A,FALSE,"By Code"}</definedName>
    <definedName name="fhd_5_1_1_1" hidden="1">{"Input_Fin",#N/A,FALSE,"By Code";"Input_Opt",#N/A,FALSE,"By Code"}</definedName>
    <definedName name="fhd_5_1_1_2" hidden="1">{"Input_Fin",#N/A,FALSE,"By Code";"Input_Opt",#N/A,FALSE,"By Code"}</definedName>
    <definedName name="fhd_5_1_1_3" hidden="1">{"Input_Fin",#N/A,FALSE,"By Code";"Input_Opt",#N/A,FALSE,"By Code"}</definedName>
    <definedName name="fhd_5_1_2" hidden="1">{"Input_Fin",#N/A,FALSE,"By Code";"Input_Opt",#N/A,FALSE,"By Code"}</definedName>
    <definedName name="fhd_5_1_2_1" hidden="1">{"Input_Fin",#N/A,FALSE,"By Code";"Input_Opt",#N/A,FALSE,"By Code"}</definedName>
    <definedName name="fhd_5_1_2_2" hidden="1">{"Input_Fin",#N/A,FALSE,"By Code";"Input_Opt",#N/A,FALSE,"By Code"}</definedName>
    <definedName name="fhd_5_1_3" hidden="1">{"Input_Fin",#N/A,FALSE,"By Code";"Input_Opt",#N/A,FALSE,"By Code"}</definedName>
    <definedName name="fhd_5_1_4" hidden="1">{"Input_Fin",#N/A,FALSE,"By Code";"Input_Opt",#N/A,FALSE,"By Code"}</definedName>
    <definedName name="fhd_5_2" hidden="1">{"Input_Fin",#N/A,FALSE,"By Code";"Input_Opt",#N/A,FALSE,"By Code"}</definedName>
    <definedName name="fhd_5_2_1" hidden="1">{"Input_Fin",#N/A,FALSE,"By Code";"Input_Opt",#N/A,FALSE,"By Code"}</definedName>
    <definedName name="fhd_5_2_2" hidden="1">{"Input_Fin",#N/A,FALSE,"By Code";"Input_Opt",#N/A,FALSE,"By Code"}</definedName>
    <definedName name="fhd_5_2_3" hidden="1">{"Input_Fin",#N/A,FALSE,"By Code";"Input_Opt",#N/A,FALSE,"By Code"}</definedName>
    <definedName name="fhd_5_3" hidden="1">{"Input_Fin",#N/A,FALSE,"By Code";"Input_Opt",#N/A,FALSE,"By Code"}</definedName>
    <definedName name="fhd_5_3_1" hidden="1">{"Input_Fin",#N/A,FALSE,"By Code";"Input_Opt",#N/A,FALSE,"By Code"}</definedName>
    <definedName name="fhd_5_3_2" hidden="1">{"Input_Fin",#N/A,FALSE,"By Code";"Input_Opt",#N/A,FALSE,"By Code"}</definedName>
    <definedName name="fhd_5_4" hidden="1">{"Input_Fin",#N/A,FALSE,"By Code";"Input_Opt",#N/A,FALSE,"By Code"}</definedName>
    <definedName name="fhd_5_5" hidden="1">{"Input_Fin",#N/A,FALSE,"By Code";"Input_Opt",#N/A,FALSE,"By Code"}</definedName>
    <definedName name="fjkk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PINVENT">#N/A</definedName>
    <definedName name="FY">1999</definedName>
    <definedName name="G">#N/A</definedName>
    <definedName name="g9776688555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aaga" localSheetId="12" hidden="1">{"Input_Fin",#N/A,FALSE,"By Code";"Input_Opt",#N/A,FALSE,"By Code"}</definedName>
    <definedName name="gaaga" hidden="1">{"Input_Fin",#N/A,FALSE,"By Code";"Input_Opt",#N/A,FALSE,"By Code"}</definedName>
    <definedName name="GFH" localSheetId="12" hidden="1">{"Input_Fin",#N/A,FALSE,"By Code";"Input_Opt",#N/A,FALSE,"By Code"}</definedName>
    <definedName name="GFH" hidden="1">{"Input_Fin",#N/A,FALSE,"By Code";"Input_Opt",#N/A,FALSE,"By Code"}</definedName>
    <definedName name="GFH_1" hidden="1">{"Input_Fin",#N/A,FALSE,"By Code";"Input_Opt",#N/A,FALSE,"By Code"}</definedName>
    <definedName name="GFH_1_1" hidden="1">{"Input_Fin",#N/A,FALSE,"By Code";"Input_Opt",#N/A,FALSE,"By Code"}</definedName>
    <definedName name="GFH_1_1_1" hidden="1">{"Input_Fin",#N/A,FALSE,"By Code";"Input_Opt",#N/A,FALSE,"By Code"}</definedName>
    <definedName name="GFH_1_1_1_1" hidden="1">{"Input_Fin",#N/A,FALSE,"By Code";"Input_Opt",#N/A,FALSE,"By Code"}</definedName>
    <definedName name="GFH_1_1_1_1_1" hidden="1">{"Input_Fin",#N/A,FALSE,"By Code";"Input_Opt",#N/A,FALSE,"By Code"}</definedName>
    <definedName name="GFH_1_1_1_1_2" hidden="1">{"Input_Fin",#N/A,FALSE,"By Code";"Input_Opt",#N/A,FALSE,"By Code"}</definedName>
    <definedName name="GFH_1_1_1_1_3" hidden="1">{"Input_Fin",#N/A,FALSE,"By Code";"Input_Opt",#N/A,FALSE,"By Code"}</definedName>
    <definedName name="GFH_1_1_1_2" hidden="1">{"Input_Fin",#N/A,FALSE,"By Code";"Input_Opt",#N/A,FALSE,"By Code"}</definedName>
    <definedName name="GFH_1_1_1_2_1" hidden="1">{"Input_Fin",#N/A,FALSE,"By Code";"Input_Opt",#N/A,FALSE,"By Code"}</definedName>
    <definedName name="GFH_1_1_1_2_2" hidden="1">{"Input_Fin",#N/A,FALSE,"By Code";"Input_Opt",#N/A,FALSE,"By Code"}</definedName>
    <definedName name="GFH_1_1_1_3" hidden="1">{"Input_Fin",#N/A,FALSE,"By Code";"Input_Opt",#N/A,FALSE,"By Code"}</definedName>
    <definedName name="GFH_1_1_1_3_1" hidden="1">{"Input_Fin",#N/A,FALSE,"By Code";"Input_Opt",#N/A,FALSE,"By Code"}</definedName>
    <definedName name="GFH_1_1_1_3_2" hidden="1">{"Input_Fin",#N/A,FALSE,"By Code";"Input_Opt",#N/A,FALSE,"By Code"}</definedName>
    <definedName name="GFH_1_1_1_4" hidden="1">{"Input_Fin",#N/A,FALSE,"By Code";"Input_Opt",#N/A,FALSE,"By Code"}</definedName>
    <definedName name="GFH_1_1_1_5" hidden="1">{"Input_Fin",#N/A,FALSE,"By Code";"Input_Opt",#N/A,FALSE,"By Code"}</definedName>
    <definedName name="GFH_1_1_2" hidden="1">{"Input_Fin",#N/A,FALSE,"By Code";"Input_Opt",#N/A,FALSE,"By Code"}</definedName>
    <definedName name="GFH_1_1_2_1" hidden="1">{"Input_Fin",#N/A,FALSE,"By Code";"Input_Opt",#N/A,FALSE,"By Code"}</definedName>
    <definedName name="GFH_1_1_2_2" hidden="1">{"Input_Fin",#N/A,FALSE,"By Code";"Input_Opt",#N/A,FALSE,"By Code"}</definedName>
    <definedName name="GFH_1_1_2_3" hidden="1">{"Input_Fin",#N/A,FALSE,"By Code";"Input_Opt",#N/A,FALSE,"By Code"}</definedName>
    <definedName name="GFH_1_1_3" hidden="1">{"Input_Fin",#N/A,FALSE,"By Code";"Input_Opt",#N/A,FALSE,"By Code"}</definedName>
    <definedName name="GFH_1_1_3_1" hidden="1">{"Input_Fin",#N/A,FALSE,"By Code";"Input_Opt",#N/A,FALSE,"By Code"}</definedName>
    <definedName name="GFH_1_1_3_2" hidden="1">{"Input_Fin",#N/A,FALSE,"By Code";"Input_Opt",#N/A,FALSE,"By Code"}</definedName>
    <definedName name="GFH_1_1_4" hidden="1">{"Input_Fin",#N/A,FALSE,"By Code";"Input_Opt",#N/A,FALSE,"By Code"}</definedName>
    <definedName name="GFH_1_1_5" hidden="1">{"Input_Fin",#N/A,FALSE,"By Code";"Input_Opt",#N/A,FALSE,"By Code"}</definedName>
    <definedName name="GFH_1_2" hidden="1">{"Input_Fin",#N/A,FALSE,"By Code";"Input_Opt",#N/A,FALSE,"By Code"}</definedName>
    <definedName name="GFH_1_2_1" hidden="1">{"Input_Fin",#N/A,FALSE,"By Code";"Input_Opt",#N/A,FALSE,"By Code"}</definedName>
    <definedName name="GFH_1_2_2" hidden="1">{"Input_Fin",#N/A,FALSE,"By Code";"Input_Opt",#N/A,FALSE,"By Code"}</definedName>
    <definedName name="GFH_1_2_3" hidden="1">{"Input_Fin",#N/A,FALSE,"By Code";"Input_Opt",#N/A,FALSE,"By Code"}</definedName>
    <definedName name="GFH_1_3" hidden="1">{"Input_Fin",#N/A,FALSE,"By Code";"Input_Opt",#N/A,FALSE,"By Code"}</definedName>
    <definedName name="GFH_1_3_1" hidden="1">{"Input_Fin",#N/A,FALSE,"By Code";"Input_Opt",#N/A,FALSE,"By Code"}</definedName>
    <definedName name="GFH_1_3_2" hidden="1">{"Input_Fin",#N/A,FALSE,"By Code";"Input_Opt",#N/A,FALSE,"By Code"}</definedName>
    <definedName name="GFH_1_4" hidden="1">{"Input_Fin",#N/A,FALSE,"By Code";"Input_Opt",#N/A,FALSE,"By Code"}</definedName>
    <definedName name="GFH_1_5" hidden="1">{"Input_Fin",#N/A,FALSE,"By Code";"Input_Opt",#N/A,FALSE,"By Code"}</definedName>
    <definedName name="GFH_2" hidden="1">{"Input_Fin",#N/A,FALSE,"By Code";"Input_Opt",#N/A,FALSE,"By Code"}</definedName>
    <definedName name="GFH_2_1" hidden="1">{"Input_Fin",#N/A,FALSE,"By Code";"Input_Opt",#N/A,FALSE,"By Code"}</definedName>
    <definedName name="GFH_2_1_1" hidden="1">{"Input_Fin",#N/A,FALSE,"By Code";"Input_Opt",#N/A,FALSE,"By Code"}</definedName>
    <definedName name="GFH_2_1_1_1" hidden="1">{"Input_Fin",#N/A,FALSE,"By Code";"Input_Opt",#N/A,FALSE,"By Code"}</definedName>
    <definedName name="GFH_2_1_1_2" hidden="1">{"Input_Fin",#N/A,FALSE,"By Code";"Input_Opt",#N/A,FALSE,"By Code"}</definedName>
    <definedName name="GFH_2_1_1_3" hidden="1">{"Input_Fin",#N/A,FALSE,"By Code";"Input_Opt",#N/A,FALSE,"By Code"}</definedName>
    <definedName name="GFH_2_1_2" hidden="1">{"Input_Fin",#N/A,FALSE,"By Code";"Input_Opt",#N/A,FALSE,"By Code"}</definedName>
    <definedName name="GFH_2_1_2_1" hidden="1">{"Input_Fin",#N/A,FALSE,"By Code";"Input_Opt",#N/A,FALSE,"By Code"}</definedName>
    <definedName name="GFH_2_1_2_2" hidden="1">{"Input_Fin",#N/A,FALSE,"By Code";"Input_Opt",#N/A,FALSE,"By Code"}</definedName>
    <definedName name="GFH_2_1_3" hidden="1">{"Input_Fin",#N/A,FALSE,"By Code";"Input_Opt",#N/A,FALSE,"By Code"}</definedName>
    <definedName name="GFH_2_1_4" hidden="1">{"Input_Fin",#N/A,FALSE,"By Code";"Input_Opt",#N/A,FALSE,"By Code"}</definedName>
    <definedName name="GFH_2_2" hidden="1">{"Input_Fin",#N/A,FALSE,"By Code";"Input_Opt",#N/A,FALSE,"By Code"}</definedName>
    <definedName name="GFH_2_2_1" hidden="1">{"Input_Fin",#N/A,FALSE,"By Code";"Input_Opt",#N/A,FALSE,"By Code"}</definedName>
    <definedName name="GFH_2_2_2" hidden="1">{"Input_Fin",#N/A,FALSE,"By Code";"Input_Opt",#N/A,FALSE,"By Code"}</definedName>
    <definedName name="GFH_2_2_3" hidden="1">{"Input_Fin",#N/A,FALSE,"By Code";"Input_Opt",#N/A,FALSE,"By Code"}</definedName>
    <definedName name="GFH_2_3" hidden="1">{"Input_Fin",#N/A,FALSE,"By Code";"Input_Opt",#N/A,FALSE,"By Code"}</definedName>
    <definedName name="GFH_2_3_1" hidden="1">{"Input_Fin",#N/A,FALSE,"By Code";"Input_Opt",#N/A,FALSE,"By Code"}</definedName>
    <definedName name="GFH_2_3_2" hidden="1">{"Input_Fin",#N/A,FALSE,"By Code";"Input_Opt",#N/A,FALSE,"By Code"}</definedName>
    <definedName name="GFH_2_4" hidden="1">{"Input_Fin",#N/A,FALSE,"By Code";"Input_Opt",#N/A,FALSE,"By Code"}</definedName>
    <definedName name="GFH_2_5" hidden="1">{"Input_Fin",#N/A,FALSE,"By Code";"Input_Opt",#N/A,FALSE,"By Code"}</definedName>
    <definedName name="GFH_3" hidden="1">{"Input_Fin",#N/A,FALSE,"By Code";"Input_Opt",#N/A,FALSE,"By Code"}</definedName>
    <definedName name="GFH_3_1" hidden="1">{"Input_Fin",#N/A,FALSE,"By Code";"Input_Opt",#N/A,FALSE,"By Code"}</definedName>
    <definedName name="GFH_3_1_1" hidden="1">{"Input_Fin",#N/A,FALSE,"By Code";"Input_Opt",#N/A,FALSE,"By Code"}</definedName>
    <definedName name="GFH_3_1_1_1" hidden="1">{"Input_Fin",#N/A,FALSE,"By Code";"Input_Opt",#N/A,FALSE,"By Code"}</definedName>
    <definedName name="GFH_3_1_1_2" hidden="1">{"Input_Fin",#N/A,FALSE,"By Code";"Input_Opt",#N/A,FALSE,"By Code"}</definedName>
    <definedName name="GFH_3_1_1_3" hidden="1">{"Input_Fin",#N/A,FALSE,"By Code";"Input_Opt",#N/A,FALSE,"By Code"}</definedName>
    <definedName name="GFH_3_1_2" hidden="1">{"Input_Fin",#N/A,FALSE,"By Code";"Input_Opt",#N/A,FALSE,"By Code"}</definedName>
    <definedName name="GFH_3_1_2_1" hidden="1">{"Input_Fin",#N/A,FALSE,"By Code";"Input_Opt",#N/A,FALSE,"By Code"}</definedName>
    <definedName name="GFH_3_1_2_2" hidden="1">{"Input_Fin",#N/A,FALSE,"By Code";"Input_Opt",#N/A,FALSE,"By Code"}</definedName>
    <definedName name="GFH_3_1_3" hidden="1">{"Input_Fin",#N/A,FALSE,"By Code";"Input_Opt",#N/A,FALSE,"By Code"}</definedName>
    <definedName name="GFH_3_1_4" hidden="1">{"Input_Fin",#N/A,FALSE,"By Code";"Input_Opt",#N/A,FALSE,"By Code"}</definedName>
    <definedName name="GFH_3_2" hidden="1">{"Input_Fin",#N/A,FALSE,"By Code";"Input_Opt",#N/A,FALSE,"By Code"}</definedName>
    <definedName name="GFH_3_2_1" hidden="1">{"Input_Fin",#N/A,FALSE,"By Code";"Input_Opt",#N/A,FALSE,"By Code"}</definedName>
    <definedName name="GFH_3_2_2" hidden="1">{"Input_Fin",#N/A,FALSE,"By Code";"Input_Opt",#N/A,FALSE,"By Code"}</definedName>
    <definedName name="GFH_3_2_3" hidden="1">{"Input_Fin",#N/A,FALSE,"By Code";"Input_Opt",#N/A,FALSE,"By Code"}</definedName>
    <definedName name="GFH_3_3" hidden="1">{"Input_Fin",#N/A,FALSE,"By Code";"Input_Opt",#N/A,FALSE,"By Code"}</definedName>
    <definedName name="GFH_3_3_1" hidden="1">{"Input_Fin",#N/A,FALSE,"By Code";"Input_Opt",#N/A,FALSE,"By Code"}</definedName>
    <definedName name="GFH_3_3_2" hidden="1">{"Input_Fin",#N/A,FALSE,"By Code";"Input_Opt",#N/A,FALSE,"By Code"}</definedName>
    <definedName name="GFH_3_4" hidden="1">{"Input_Fin",#N/A,FALSE,"By Code";"Input_Opt",#N/A,FALSE,"By Code"}</definedName>
    <definedName name="GFH_3_5" hidden="1">{"Input_Fin",#N/A,FALSE,"By Code";"Input_Opt",#N/A,FALSE,"By Code"}</definedName>
    <definedName name="GFH_4" hidden="1">{"Input_Fin",#N/A,FALSE,"By Code";"Input_Opt",#N/A,FALSE,"By Code"}</definedName>
    <definedName name="GFH_4_1" hidden="1">{"Input_Fin",#N/A,FALSE,"By Code";"Input_Opt",#N/A,FALSE,"By Code"}</definedName>
    <definedName name="GFH_4_1_1" hidden="1">{"Input_Fin",#N/A,FALSE,"By Code";"Input_Opt",#N/A,FALSE,"By Code"}</definedName>
    <definedName name="GFH_4_1_1_1" hidden="1">{"Input_Fin",#N/A,FALSE,"By Code";"Input_Opt",#N/A,FALSE,"By Code"}</definedName>
    <definedName name="GFH_4_1_1_2" hidden="1">{"Input_Fin",#N/A,FALSE,"By Code";"Input_Opt",#N/A,FALSE,"By Code"}</definedName>
    <definedName name="GFH_4_1_1_3" hidden="1">{"Input_Fin",#N/A,FALSE,"By Code";"Input_Opt",#N/A,FALSE,"By Code"}</definedName>
    <definedName name="GFH_4_1_2" hidden="1">{"Input_Fin",#N/A,FALSE,"By Code";"Input_Opt",#N/A,FALSE,"By Code"}</definedName>
    <definedName name="GFH_4_1_2_1" hidden="1">{"Input_Fin",#N/A,FALSE,"By Code";"Input_Opt",#N/A,FALSE,"By Code"}</definedName>
    <definedName name="GFH_4_1_2_2" hidden="1">{"Input_Fin",#N/A,FALSE,"By Code";"Input_Opt",#N/A,FALSE,"By Code"}</definedName>
    <definedName name="GFH_4_1_3" hidden="1">{"Input_Fin",#N/A,FALSE,"By Code";"Input_Opt",#N/A,FALSE,"By Code"}</definedName>
    <definedName name="GFH_4_1_4" hidden="1">{"Input_Fin",#N/A,FALSE,"By Code";"Input_Opt",#N/A,FALSE,"By Code"}</definedName>
    <definedName name="GFH_4_2" hidden="1">{"Input_Fin",#N/A,FALSE,"By Code";"Input_Opt",#N/A,FALSE,"By Code"}</definedName>
    <definedName name="GFH_4_2_1" hidden="1">{"Input_Fin",#N/A,FALSE,"By Code";"Input_Opt",#N/A,FALSE,"By Code"}</definedName>
    <definedName name="GFH_4_2_2" hidden="1">{"Input_Fin",#N/A,FALSE,"By Code";"Input_Opt",#N/A,FALSE,"By Code"}</definedName>
    <definedName name="GFH_4_2_3" hidden="1">{"Input_Fin",#N/A,FALSE,"By Code";"Input_Opt",#N/A,FALSE,"By Code"}</definedName>
    <definedName name="GFH_4_3" hidden="1">{"Input_Fin",#N/A,FALSE,"By Code";"Input_Opt",#N/A,FALSE,"By Code"}</definedName>
    <definedName name="GFH_4_3_1" hidden="1">{"Input_Fin",#N/A,FALSE,"By Code";"Input_Opt",#N/A,FALSE,"By Code"}</definedName>
    <definedName name="GFH_4_3_2" hidden="1">{"Input_Fin",#N/A,FALSE,"By Code";"Input_Opt",#N/A,FALSE,"By Code"}</definedName>
    <definedName name="GFH_4_4" hidden="1">{"Input_Fin",#N/A,FALSE,"By Code";"Input_Opt",#N/A,FALSE,"By Code"}</definedName>
    <definedName name="GFH_4_5" hidden="1">{"Input_Fin",#N/A,FALSE,"By Code";"Input_Opt",#N/A,FALSE,"By Code"}</definedName>
    <definedName name="GFH_5" hidden="1">{"Input_Fin",#N/A,FALSE,"By Code";"Input_Opt",#N/A,FALSE,"By Code"}</definedName>
    <definedName name="GFH_5_1" hidden="1">{"Input_Fin",#N/A,FALSE,"By Code";"Input_Opt",#N/A,FALSE,"By Code"}</definedName>
    <definedName name="GFH_5_1_1" hidden="1">{"Input_Fin",#N/A,FALSE,"By Code";"Input_Opt",#N/A,FALSE,"By Code"}</definedName>
    <definedName name="GFH_5_1_1_1" hidden="1">{"Input_Fin",#N/A,FALSE,"By Code";"Input_Opt",#N/A,FALSE,"By Code"}</definedName>
    <definedName name="GFH_5_1_1_2" hidden="1">{"Input_Fin",#N/A,FALSE,"By Code";"Input_Opt",#N/A,FALSE,"By Code"}</definedName>
    <definedName name="GFH_5_1_1_3" hidden="1">{"Input_Fin",#N/A,FALSE,"By Code";"Input_Opt",#N/A,FALSE,"By Code"}</definedName>
    <definedName name="GFH_5_1_2" hidden="1">{"Input_Fin",#N/A,FALSE,"By Code";"Input_Opt",#N/A,FALSE,"By Code"}</definedName>
    <definedName name="GFH_5_1_2_1" hidden="1">{"Input_Fin",#N/A,FALSE,"By Code";"Input_Opt",#N/A,FALSE,"By Code"}</definedName>
    <definedName name="GFH_5_1_2_2" hidden="1">{"Input_Fin",#N/A,FALSE,"By Code";"Input_Opt",#N/A,FALSE,"By Code"}</definedName>
    <definedName name="GFH_5_1_3" hidden="1">{"Input_Fin",#N/A,FALSE,"By Code";"Input_Opt",#N/A,FALSE,"By Code"}</definedName>
    <definedName name="GFH_5_1_4" hidden="1">{"Input_Fin",#N/A,FALSE,"By Code";"Input_Opt",#N/A,FALSE,"By Code"}</definedName>
    <definedName name="GFH_5_2" hidden="1">{"Input_Fin",#N/A,FALSE,"By Code";"Input_Opt",#N/A,FALSE,"By Code"}</definedName>
    <definedName name="GFH_5_2_1" hidden="1">{"Input_Fin",#N/A,FALSE,"By Code";"Input_Opt",#N/A,FALSE,"By Code"}</definedName>
    <definedName name="GFH_5_2_2" hidden="1">{"Input_Fin",#N/A,FALSE,"By Code";"Input_Opt",#N/A,FALSE,"By Code"}</definedName>
    <definedName name="GFH_5_2_3" hidden="1">{"Input_Fin",#N/A,FALSE,"By Code";"Input_Opt",#N/A,FALSE,"By Code"}</definedName>
    <definedName name="GFH_5_3" hidden="1">{"Input_Fin",#N/A,FALSE,"By Code";"Input_Opt",#N/A,FALSE,"By Code"}</definedName>
    <definedName name="GFH_5_3_1" hidden="1">{"Input_Fin",#N/A,FALSE,"By Code";"Input_Opt",#N/A,FALSE,"By Code"}</definedName>
    <definedName name="GFH_5_3_2" hidden="1">{"Input_Fin",#N/A,FALSE,"By Code";"Input_Opt",#N/A,FALSE,"By Code"}</definedName>
    <definedName name="GFH_5_4" hidden="1">{"Input_Fin",#N/A,FALSE,"By Code";"Input_Opt",#N/A,FALSE,"By Code"}</definedName>
    <definedName name="GFH_5_5" hidden="1">{"Input_Fin",#N/A,FALSE,"By Code";"Input_Opt",#N/A,FALSE,"By Code"}</definedName>
    <definedName name="gfvhsdj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gggf" localSheetId="12" hidden="1">{"Input_Fin",#N/A,FALSE,"By Code";"Input_Opt",#N/A,FALSE,"By Code"}</definedName>
    <definedName name="ggggf" hidden="1">{"Input_Fin",#N/A,FALSE,"By Code";"Input_Opt",#N/A,FALSE,"By Code"}</definedName>
    <definedName name="ggggf_1" hidden="1">{"Input_Fin",#N/A,FALSE,"By Code";"Input_Opt",#N/A,FALSE,"By Code"}</definedName>
    <definedName name="ggggf_1_1" hidden="1">{"Input_Fin",#N/A,FALSE,"By Code";"Input_Opt",#N/A,FALSE,"By Code"}</definedName>
    <definedName name="ggggf_1_1_1" hidden="1">{"Input_Fin",#N/A,FALSE,"By Code";"Input_Opt",#N/A,FALSE,"By Code"}</definedName>
    <definedName name="ggggf_1_1_1_1" hidden="1">{"Input_Fin",#N/A,FALSE,"By Code";"Input_Opt",#N/A,FALSE,"By Code"}</definedName>
    <definedName name="ggggf_1_1_1_1_1" hidden="1">{"Input_Fin",#N/A,FALSE,"By Code";"Input_Opt",#N/A,FALSE,"By Code"}</definedName>
    <definedName name="ggggf_1_1_1_1_2" hidden="1">{"Input_Fin",#N/A,FALSE,"By Code";"Input_Opt",#N/A,FALSE,"By Code"}</definedName>
    <definedName name="ggggf_1_1_1_1_3" hidden="1">{"Input_Fin",#N/A,FALSE,"By Code";"Input_Opt",#N/A,FALSE,"By Code"}</definedName>
    <definedName name="ggggf_1_1_1_2" hidden="1">{"Input_Fin",#N/A,FALSE,"By Code";"Input_Opt",#N/A,FALSE,"By Code"}</definedName>
    <definedName name="ggggf_1_1_1_2_1" hidden="1">{"Input_Fin",#N/A,FALSE,"By Code";"Input_Opt",#N/A,FALSE,"By Code"}</definedName>
    <definedName name="ggggf_1_1_1_2_2" hidden="1">{"Input_Fin",#N/A,FALSE,"By Code";"Input_Opt",#N/A,FALSE,"By Code"}</definedName>
    <definedName name="ggggf_1_1_1_3" hidden="1">{"Input_Fin",#N/A,FALSE,"By Code";"Input_Opt",#N/A,FALSE,"By Code"}</definedName>
    <definedName name="ggggf_1_1_1_3_1" hidden="1">{"Input_Fin",#N/A,FALSE,"By Code";"Input_Opt",#N/A,FALSE,"By Code"}</definedName>
    <definedName name="ggggf_1_1_1_3_2" hidden="1">{"Input_Fin",#N/A,FALSE,"By Code";"Input_Opt",#N/A,FALSE,"By Code"}</definedName>
    <definedName name="ggggf_1_1_1_4" hidden="1">{"Input_Fin",#N/A,FALSE,"By Code";"Input_Opt",#N/A,FALSE,"By Code"}</definedName>
    <definedName name="ggggf_1_1_1_5" hidden="1">{"Input_Fin",#N/A,FALSE,"By Code";"Input_Opt",#N/A,FALSE,"By Code"}</definedName>
    <definedName name="ggggf_1_1_2" hidden="1">{"Input_Fin",#N/A,FALSE,"By Code";"Input_Opt",#N/A,FALSE,"By Code"}</definedName>
    <definedName name="ggggf_1_1_2_1" hidden="1">{"Input_Fin",#N/A,FALSE,"By Code";"Input_Opt",#N/A,FALSE,"By Code"}</definedName>
    <definedName name="ggggf_1_1_2_2" hidden="1">{"Input_Fin",#N/A,FALSE,"By Code";"Input_Opt",#N/A,FALSE,"By Code"}</definedName>
    <definedName name="ggggf_1_1_2_3" hidden="1">{"Input_Fin",#N/A,FALSE,"By Code";"Input_Opt",#N/A,FALSE,"By Code"}</definedName>
    <definedName name="ggggf_1_1_3" hidden="1">{"Input_Fin",#N/A,FALSE,"By Code";"Input_Opt",#N/A,FALSE,"By Code"}</definedName>
    <definedName name="ggggf_1_1_3_1" hidden="1">{"Input_Fin",#N/A,FALSE,"By Code";"Input_Opt",#N/A,FALSE,"By Code"}</definedName>
    <definedName name="ggggf_1_1_3_2" hidden="1">{"Input_Fin",#N/A,FALSE,"By Code";"Input_Opt",#N/A,FALSE,"By Code"}</definedName>
    <definedName name="ggggf_1_1_4" hidden="1">{"Input_Fin",#N/A,FALSE,"By Code";"Input_Opt",#N/A,FALSE,"By Code"}</definedName>
    <definedName name="ggggf_1_1_5" hidden="1">{"Input_Fin",#N/A,FALSE,"By Code";"Input_Opt",#N/A,FALSE,"By Code"}</definedName>
    <definedName name="ggggf_1_2" hidden="1">{"Input_Fin",#N/A,FALSE,"By Code";"Input_Opt",#N/A,FALSE,"By Code"}</definedName>
    <definedName name="ggggf_1_2_1" hidden="1">{"Input_Fin",#N/A,FALSE,"By Code";"Input_Opt",#N/A,FALSE,"By Code"}</definedName>
    <definedName name="ggggf_1_2_2" hidden="1">{"Input_Fin",#N/A,FALSE,"By Code";"Input_Opt",#N/A,FALSE,"By Code"}</definedName>
    <definedName name="ggggf_1_2_3" hidden="1">{"Input_Fin",#N/A,FALSE,"By Code";"Input_Opt",#N/A,FALSE,"By Code"}</definedName>
    <definedName name="ggggf_1_3" hidden="1">{"Input_Fin",#N/A,FALSE,"By Code";"Input_Opt",#N/A,FALSE,"By Code"}</definedName>
    <definedName name="ggggf_1_3_1" hidden="1">{"Input_Fin",#N/A,FALSE,"By Code";"Input_Opt",#N/A,FALSE,"By Code"}</definedName>
    <definedName name="ggggf_1_3_2" hidden="1">{"Input_Fin",#N/A,FALSE,"By Code";"Input_Opt",#N/A,FALSE,"By Code"}</definedName>
    <definedName name="ggggf_1_4" hidden="1">{"Input_Fin",#N/A,FALSE,"By Code";"Input_Opt",#N/A,FALSE,"By Code"}</definedName>
    <definedName name="ggggf_1_5" hidden="1">{"Input_Fin",#N/A,FALSE,"By Code";"Input_Opt",#N/A,FALSE,"By Code"}</definedName>
    <definedName name="ggggf_2" hidden="1">{"Input_Fin",#N/A,FALSE,"By Code";"Input_Opt",#N/A,FALSE,"By Code"}</definedName>
    <definedName name="ggggf_2_1" hidden="1">{"Input_Fin",#N/A,FALSE,"By Code";"Input_Opt",#N/A,FALSE,"By Code"}</definedName>
    <definedName name="ggggf_2_1_1" hidden="1">{"Input_Fin",#N/A,FALSE,"By Code";"Input_Opt",#N/A,FALSE,"By Code"}</definedName>
    <definedName name="ggggf_2_1_1_1" hidden="1">{"Input_Fin",#N/A,FALSE,"By Code";"Input_Opt",#N/A,FALSE,"By Code"}</definedName>
    <definedName name="ggggf_2_1_1_2" hidden="1">{"Input_Fin",#N/A,FALSE,"By Code";"Input_Opt",#N/A,FALSE,"By Code"}</definedName>
    <definedName name="ggggf_2_1_1_3" hidden="1">{"Input_Fin",#N/A,FALSE,"By Code";"Input_Opt",#N/A,FALSE,"By Code"}</definedName>
    <definedName name="ggggf_2_1_2" hidden="1">{"Input_Fin",#N/A,FALSE,"By Code";"Input_Opt",#N/A,FALSE,"By Code"}</definedName>
    <definedName name="ggggf_2_1_2_1" hidden="1">{"Input_Fin",#N/A,FALSE,"By Code";"Input_Opt",#N/A,FALSE,"By Code"}</definedName>
    <definedName name="ggggf_2_1_2_2" hidden="1">{"Input_Fin",#N/A,FALSE,"By Code";"Input_Opt",#N/A,FALSE,"By Code"}</definedName>
    <definedName name="ggggf_2_1_3" hidden="1">{"Input_Fin",#N/A,FALSE,"By Code";"Input_Opt",#N/A,FALSE,"By Code"}</definedName>
    <definedName name="ggggf_2_1_4" hidden="1">{"Input_Fin",#N/A,FALSE,"By Code";"Input_Opt",#N/A,FALSE,"By Code"}</definedName>
    <definedName name="ggggf_2_2" hidden="1">{"Input_Fin",#N/A,FALSE,"By Code";"Input_Opt",#N/A,FALSE,"By Code"}</definedName>
    <definedName name="ggggf_2_2_1" hidden="1">{"Input_Fin",#N/A,FALSE,"By Code";"Input_Opt",#N/A,FALSE,"By Code"}</definedName>
    <definedName name="ggggf_2_2_2" hidden="1">{"Input_Fin",#N/A,FALSE,"By Code";"Input_Opt",#N/A,FALSE,"By Code"}</definedName>
    <definedName name="ggggf_2_2_3" hidden="1">{"Input_Fin",#N/A,FALSE,"By Code";"Input_Opt",#N/A,FALSE,"By Code"}</definedName>
    <definedName name="ggggf_2_3" hidden="1">{"Input_Fin",#N/A,FALSE,"By Code";"Input_Opt",#N/A,FALSE,"By Code"}</definedName>
    <definedName name="ggggf_2_3_1" hidden="1">{"Input_Fin",#N/A,FALSE,"By Code";"Input_Opt",#N/A,FALSE,"By Code"}</definedName>
    <definedName name="ggggf_2_3_2" hidden="1">{"Input_Fin",#N/A,FALSE,"By Code";"Input_Opt",#N/A,FALSE,"By Code"}</definedName>
    <definedName name="ggggf_2_4" hidden="1">{"Input_Fin",#N/A,FALSE,"By Code";"Input_Opt",#N/A,FALSE,"By Code"}</definedName>
    <definedName name="ggggf_2_5" hidden="1">{"Input_Fin",#N/A,FALSE,"By Code";"Input_Opt",#N/A,FALSE,"By Code"}</definedName>
    <definedName name="ggggf_3" hidden="1">{"Input_Fin",#N/A,FALSE,"By Code";"Input_Opt",#N/A,FALSE,"By Code"}</definedName>
    <definedName name="ggggf_3_1" hidden="1">{"Input_Fin",#N/A,FALSE,"By Code";"Input_Opt",#N/A,FALSE,"By Code"}</definedName>
    <definedName name="ggggf_3_1_1" hidden="1">{"Input_Fin",#N/A,FALSE,"By Code";"Input_Opt",#N/A,FALSE,"By Code"}</definedName>
    <definedName name="ggggf_3_1_1_1" hidden="1">{"Input_Fin",#N/A,FALSE,"By Code";"Input_Opt",#N/A,FALSE,"By Code"}</definedName>
    <definedName name="ggggf_3_1_1_2" hidden="1">{"Input_Fin",#N/A,FALSE,"By Code";"Input_Opt",#N/A,FALSE,"By Code"}</definedName>
    <definedName name="ggggf_3_1_1_3" hidden="1">{"Input_Fin",#N/A,FALSE,"By Code";"Input_Opt",#N/A,FALSE,"By Code"}</definedName>
    <definedName name="ggggf_3_1_2" hidden="1">{"Input_Fin",#N/A,FALSE,"By Code";"Input_Opt",#N/A,FALSE,"By Code"}</definedName>
    <definedName name="ggggf_3_1_2_1" hidden="1">{"Input_Fin",#N/A,FALSE,"By Code";"Input_Opt",#N/A,FALSE,"By Code"}</definedName>
    <definedName name="ggggf_3_1_2_2" hidden="1">{"Input_Fin",#N/A,FALSE,"By Code";"Input_Opt",#N/A,FALSE,"By Code"}</definedName>
    <definedName name="ggggf_3_1_3" hidden="1">{"Input_Fin",#N/A,FALSE,"By Code";"Input_Opt",#N/A,FALSE,"By Code"}</definedName>
    <definedName name="ggggf_3_1_4" hidden="1">{"Input_Fin",#N/A,FALSE,"By Code";"Input_Opt",#N/A,FALSE,"By Code"}</definedName>
    <definedName name="ggggf_3_2" hidden="1">{"Input_Fin",#N/A,FALSE,"By Code";"Input_Opt",#N/A,FALSE,"By Code"}</definedName>
    <definedName name="ggggf_3_2_1" hidden="1">{"Input_Fin",#N/A,FALSE,"By Code";"Input_Opt",#N/A,FALSE,"By Code"}</definedName>
    <definedName name="ggggf_3_2_2" hidden="1">{"Input_Fin",#N/A,FALSE,"By Code";"Input_Opt",#N/A,FALSE,"By Code"}</definedName>
    <definedName name="ggggf_3_2_3" hidden="1">{"Input_Fin",#N/A,FALSE,"By Code";"Input_Opt",#N/A,FALSE,"By Code"}</definedName>
    <definedName name="ggggf_3_3" hidden="1">{"Input_Fin",#N/A,FALSE,"By Code";"Input_Opt",#N/A,FALSE,"By Code"}</definedName>
    <definedName name="ggggf_3_3_1" hidden="1">{"Input_Fin",#N/A,FALSE,"By Code";"Input_Opt",#N/A,FALSE,"By Code"}</definedName>
    <definedName name="ggggf_3_3_2" hidden="1">{"Input_Fin",#N/A,FALSE,"By Code";"Input_Opt",#N/A,FALSE,"By Code"}</definedName>
    <definedName name="ggggf_3_4" hidden="1">{"Input_Fin",#N/A,FALSE,"By Code";"Input_Opt",#N/A,FALSE,"By Code"}</definedName>
    <definedName name="ggggf_3_5" hidden="1">{"Input_Fin",#N/A,FALSE,"By Code";"Input_Opt",#N/A,FALSE,"By Code"}</definedName>
    <definedName name="ggggf_4" hidden="1">{"Input_Fin",#N/A,FALSE,"By Code";"Input_Opt",#N/A,FALSE,"By Code"}</definedName>
    <definedName name="ggggf_4_1" hidden="1">{"Input_Fin",#N/A,FALSE,"By Code";"Input_Opt",#N/A,FALSE,"By Code"}</definedName>
    <definedName name="ggggf_4_1_1" hidden="1">{"Input_Fin",#N/A,FALSE,"By Code";"Input_Opt",#N/A,FALSE,"By Code"}</definedName>
    <definedName name="ggggf_4_1_1_1" hidden="1">{"Input_Fin",#N/A,FALSE,"By Code";"Input_Opt",#N/A,FALSE,"By Code"}</definedName>
    <definedName name="ggggf_4_1_1_2" hidden="1">{"Input_Fin",#N/A,FALSE,"By Code";"Input_Opt",#N/A,FALSE,"By Code"}</definedName>
    <definedName name="ggggf_4_1_1_3" hidden="1">{"Input_Fin",#N/A,FALSE,"By Code";"Input_Opt",#N/A,FALSE,"By Code"}</definedName>
    <definedName name="ggggf_4_1_2" hidden="1">{"Input_Fin",#N/A,FALSE,"By Code";"Input_Opt",#N/A,FALSE,"By Code"}</definedName>
    <definedName name="ggggf_4_1_2_1" hidden="1">{"Input_Fin",#N/A,FALSE,"By Code";"Input_Opt",#N/A,FALSE,"By Code"}</definedName>
    <definedName name="ggggf_4_1_2_2" hidden="1">{"Input_Fin",#N/A,FALSE,"By Code";"Input_Opt",#N/A,FALSE,"By Code"}</definedName>
    <definedName name="ggggf_4_1_3" hidden="1">{"Input_Fin",#N/A,FALSE,"By Code";"Input_Opt",#N/A,FALSE,"By Code"}</definedName>
    <definedName name="ggggf_4_1_4" hidden="1">{"Input_Fin",#N/A,FALSE,"By Code";"Input_Opt",#N/A,FALSE,"By Code"}</definedName>
    <definedName name="ggggf_4_2" hidden="1">{"Input_Fin",#N/A,FALSE,"By Code";"Input_Opt",#N/A,FALSE,"By Code"}</definedName>
    <definedName name="ggggf_4_2_1" hidden="1">{"Input_Fin",#N/A,FALSE,"By Code";"Input_Opt",#N/A,FALSE,"By Code"}</definedName>
    <definedName name="ggggf_4_2_2" hidden="1">{"Input_Fin",#N/A,FALSE,"By Code";"Input_Opt",#N/A,FALSE,"By Code"}</definedName>
    <definedName name="ggggf_4_2_3" hidden="1">{"Input_Fin",#N/A,FALSE,"By Code";"Input_Opt",#N/A,FALSE,"By Code"}</definedName>
    <definedName name="ggggf_4_3" hidden="1">{"Input_Fin",#N/A,FALSE,"By Code";"Input_Opt",#N/A,FALSE,"By Code"}</definedName>
    <definedName name="ggggf_4_3_1" hidden="1">{"Input_Fin",#N/A,FALSE,"By Code";"Input_Opt",#N/A,FALSE,"By Code"}</definedName>
    <definedName name="ggggf_4_3_2" hidden="1">{"Input_Fin",#N/A,FALSE,"By Code";"Input_Opt",#N/A,FALSE,"By Code"}</definedName>
    <definedName name="ggggf_4_4" hidden="1">{"Input_Fin",#N/A,FALSE,"By Code";"Input_Opt",#N/A,FALSE,"By Code"}</definedName>
    <definedName name="ggggf_4_5" hidden="1">{"Input_Fin",#N/A,FALSE,"By Code";"Input_Opt",#N/A,FALSE,"By Code"}</definedName>
    <definedName name="ggggf_5" hidden="1">{"Input_Fin",#N/A,FALSE,"By Code";"Input_Opt",#N/A,FALSE,"By Code"}</definedName>
    <definedName name="ggggf_5_1" hidden="1">{"Input_Fin",#N/A,FALSE,"By Code";"Input_Opt",#N/A,FALSE,"By Code"}</definedName>
    <definedName name="ggggf_5_1_1" hidden="1">{"Input_Fin",#N/A,FALSE,"By Code";"Input_Opt",#N/A,FALSE,"By Code"}</definedName>
    <definedName name="ggggf_5_1_1_1" hidden="1">{"Input_Fin",#N/A,FALSE,"By Code";"Input_Opt",#N/A,FALSE,"By Code"}</definedName>
    <definedName name="ggggf_5_1_1_2" hidden="1">{"Input_Fin",#N/A,FALSE,"By Code";"Input_Opt",#N/A,FALSE,"By Code"}</definedName>
    <definedName name="ggggf_5_1_1_3" hidden="1">{"Input_Fin",#N/A,FALSE,"By Code";"Input_Opt",#N/A,FALSE,"By Code"}</definedName>
    <definedName name="ggggf_5_1_2" hidden="1">{"Input_Fin",#N/A,FALSE,"By Code";"Input_Opt",#N/A,FALSE,"By Code"}</definedName>
    <definedName name="ggggf_5_1_2_1" hidden="1">{"Input_Fin",#N/A,FALSE,"By Code";"Input_Opt",#N/A,FALSE,"By Code"}</definedName>
    <definedName name="ggggf_5_1_2_2" hidden="1">{"Input_Fin",#N/A,FALSE,"By Code";"Input_Opt",#N/A,FALSE,"By Code"}</definedName>
    <definedName name="ggggf_5_1_3" hidden="1">{"Input_Fin",#N/A,FALSE,"By Code";"Input_Opt",#N/A,FALSE,"By Code"}</definedName>
    <definedName name="ggggf_5_1_4" hidden="1">{"Input_Fin",#N/A,FALSE,"By Code";"Input_Opt",#N/A,FALSE,"By Code"}</definedName>
    <definedName name="ggggf_5_2" hidden="1">{"Input_Fin",#N/A,FALSE,"By Code";"Input_Opt",#N/A,FALSE,"By Code"}</definedName>
    <definedName name="ggggf_5_2_1" hidden="1">{"Input_Fin",#N/A,FALSE,"By Code";"Input_Opt",#N/A,FALSE,"By Code"}</definedName>
    <definedName name="ggggf_5_2_2" hidden="1">{"Input_Fin",#N/A,FALSE,"By Code";"Input_Opt",#N/A,FALSE,"By Code"}</definedName>
    <definedName name="ggggf_5_2_3" hidden="1">{"Input_Fin",#N/A,FALSE,"By Code";"Input_Opt",#N/A,FALSE,"By Code"}</definedName>
    <definedName name="ggggf_5_3" hidden="1">{"Input_Fin",#N/A,FALSE,"By Code";"Input_Opt",#N/A,FALSE,"By Code"}</definedName>
    <definedName name="ggggf_5_3_1" hidden="1">{"Input_Fin",#N/A,FALSE,"By Code";"Input_Opt",#N/A,FALSE,"By Code"}</definedName>
    <definedName name="ggggf_5_3_2" hidden="1">{"Input_Fin",#N/A,FALSE,"By Code";"Input_Opt",#N/A,FALSE,"By Code"}</definedName>
    <definedName name="ggggf_5_4" hidden="1">{"Input_Fin",#N/A,FALSE,"By Code";"Input_Opt",#N/A,FALSE,"By Code"}</definedName>
    <definedName name="ggggf_5_5" hidden="1">{"Input_Fin",#N/A,FALSE,"By Code";"Input_Opt",#N/A,FALSE,"By Code"}</definedName>
    <definedName name="ggggg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ggg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ghhhh" hidden="1">{"Input_Fin",#N/A,FALSE,"By Code";"Input_Opt",#N/A,FALSE,"By Code"}</definedName>
    <definedName name="ghj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j" localSheetId="12" hidden="1">{"Input_Fin",#N/A,FALSE,"By Code";"Input_Opt",#N/A,FALSE,"By Code"}</definedName>
    <definedName name="ghjj" hidden="1">{"Input_Fin",#N/A,FALSE,"By Code";"Input_Opt",#N/A,FALSE,"By Code"}</definedName>
    <definedName name="ghjj_1" hidden="1">{"Input_Fin",#N/A,FALSE,"By Code";"Input_Opt",#N/A,FALSE,"By Code"}</definedName>
    <definedName name="ghjj_1_1" hidden="1">{"Input_Fin",#N/A,FALSE,"By Code";"Input_Opt",#N/A,FALSE,"By Code"}</definedName>
    <definedName name="ghjj_1_1_1" hidden="1">{"Input_Fin",#N/A,FALSE,"By Code";"Input_Opt",#N/A,FALSE,"By Code"}</definedName>
    <definedName name="ghjj_1_1_1_1" hidden="1">{"Input_Fin",#N/A,FALSE,"By Code";"Input_Opt",#N/A,FALSE,"By Code"}</definedName>
    <definedName name="ghjj_1_1_1_1_1" hidden="1">{"Input_Fin",#N/A,FALSE,"By Code";"Input_Opt",#N/A,FALSE,"By Code"}</definedName>
    <definedName name="ghjj_1_1_1_1_2" hidden="1">{"Input_Fin",#N/A,FALSE,"By Code";"Input_Opt",#N/A,FALSE,"By Code"}</definedName>
    <definedName name="ghjj_1_1_1_1_3" hidden="1">{"Input_Fin",#N/A,FALSE,"By Code";"Input_Opt",#N/A,FALSE,"By Code"}</definedName>
    <definedName name="ghjj_1_1_1_2" hidden="1">{"Input_Fin",#N/A,FALSE,"By Code";"Input_Opt",#N/A,FALSE,"By Code"}</definedName>
    <definedName name="ghjj_1_1_1_2_1" hidden="1">{"Input_Fin",#N/A,FALSE,"By Code";"Input_Opt",#N/A,FALSE,"By Code"}</definedName>
    <definedName name="ghjj_1_1_1_2_2" hidden="1">{"Input_Fin",#N/A,FALSE,"By Code";"Input_Opt",#N/A,FALSE,"By Code"}</definedName>
    <definedName name="ghjj_1_1_1_3" hidden="1">{"Input_Fin",#N/A,FALSE,"By Code";"Input_Opt",#N/A,FALSE,"By Code"}</definedName>
    <definedName name="ghjj_1_1_1_3_1" hidden="1">{"Input_Fin",#N/A,FALSE,"By Code";"Input_Opt",#N/A,FALSE,"By Code"}</definedName>
    <definedName name="ghjj_1_1_1_3_2" hidden="1">{"Input_Fin",#N/A,FALSE,"By Code";"Input_Opt",#N/A,FALSE,"By Code"}</definedName>
    <definedName name="ghjj_1_1_1_4" hidden="1">{"Input_Fin",#N/A,FALSE,"By Code";"Input_Opt",#N/A,FALSE,"By Code"}</definedName>
    <definedName name="ghjj_1_1_1_5" hidden="1">{"Input_Fin",#N/A,FALSE,"By Code";"Input_Opt",#N/A,FALSE,"By Code"}</definedName>
    <definedName name="ghjj_1_1_2" hidden="1">{"Input_Fin",#N/A,FALSE,"By Code";"Input_Opt",#N/A,FALSE,"By Code"}</definedName>
    <definedName name="ghjj_1_1_2_1" hidden="1">{"Input_Fin",#N/A,FALSE,"By Code";"Input_Opt",#N/A,FALSE,"By Code"}</definedName>
    <definedName name="ghjj_1_1_2_2" hidden="1">{"Input_Fin",#N/A,FALSE,"By Code";"Input_Opt",#N/A,FALSE,"By Code"}</definedName>
    <definedName name="ghjj_1_1_2_3" hidden="1">{"Input_Fin",#N/A,FALSE,"By Code";"Input_Opt",#N/A,FALSE,"By Code"}</definedName>
    <definedName name="ghjj_1_1_3" hidden="1">{"Input_Fin",#N/A,FALSE,"By Code";"Input_Opt",#N/A,FALSE,"By Code"}</definedName>
    <definedName name="ghjj_1_1_3_1" hidden="1">{"Input_Fin",#N/A,FALSE,"By Code";"Input_Opt",#N/A,FALSE,"By Code"}</definedName>
    <definedName name="ghjj_1_1_3_2" hidden="1">{"Input_Fin",#N/A,FALSE,"By Code";"Input_Opt",#N/A,FALSE,"By Code"}</definedName>
    <definedName name="ghjj_1_1_4" hidden="1">{"Input_Fin",#N/A,FALSE,"By Code";"Input_Opt",#N/A,FALSE,"By Code"}</definedName>
    <definedName name="ghjj_1_1_5" hidden="1">{"Input_Fin",#N/A,FALSE,"By Code";"Input_Opt",#N/A,FALSE,"By Code"}</definedName>
    <definedName name="ghjj_1_2" hidden="1">{"Input_Fin",#N/A,FALSE,"By Code";"Input_Opt",#N/A,FALSE,"By Code"}</definedName>
    <definedName name="ghjj_1_2_1" hidden="1">{"Input_Fin",#N/A,FALSE,"By Code";"Input_Opt",#N/A,FALSE,"By Code"}</definedName>
    <definedName name="ghjj_1_2_2" hidden="1">{"Input_Fin",#N/A,FALSE,"By Code";"Input_Opt",#N/A,FALSE,"By Code"}</definedName>
    <definedName name="ghjj_1_2_3" hidden="1">{"Input_Fin",#N/A,FALSE,"By Code";"Input_Opt",#N/A,FALSE,"By Code"}</definedName>
    <definedName name="ghjj_1_3" hidden="1">{"Input_Fin",#N/A,FALSE,"By Code";"Input_Opt",#N/A,FALSE,"By Code"}</definedName>
    <definedName name="ghjj_1_3_1" hidden="1">{"Input_Fin",#N/A,FALSE,"By Code";"Input_Opt",#N/A,FALSE,"By Code"}</definedName>
    <definedName name="ghjj_1_3_2" hidden="1">{"Input_Fin",#N/A,FALSE,"By Code";"Input_Opt",#N/A,FALSE,"By Code"}</definedName>
    <definedName name="ghjj_1_4" hidden="1">{"Input_Fin",#N/A,FALSE,"By Code";"Input_Opt",#N/A,FALSE,"By Code"}</definedName>
    <definedName name="ghjj_1_5" hidden="1">{"Input_Fin",#N/A,FALSE,"By Code";"Input_Opt",#N/A,FALSE,"By Code"}</definedName>
    <definedName name="ghjj_2" hidden="1">{"Input_Fin",#N/A,FALSE,"By Code";"Input_Opt",#N/A,FALSE,"By Code"}</definedName>
    <definedName name="ghjj_2_1" hidden="1">{"Input_Fin",#N/A,FALSE,"By Code";"Input_Opt",#N/A,FALSE,"By Code"}</definedName>
    <definedName name="ghjj_2_1_1" hidden="1">{"Input_Fin",#N/A,FALSE,"By Code";"Input_Opt",#N/A,FALSE,"By Code"}</definedName>
    <definedName name="ghjj_2_1_1_1" hidden="1">{"Input_Fin",#N/A,FALSE,"By Code";"Input_Opt",#N/A,FALSE,"By Code"}</definedName>
    <definedName name="ghjj_2_1_1_2" hidden="1">{"Input_Fin",#N/A,FALSE,"By Code";"Input_Opt",#N/A,FALSE,"By Code"}</definedName>
    <definedName name="ghjj_2_1_1_3" hidden="1">{"Input_Fin",#N/A,FALSE,"By Code";"Input_Opt",#N/A,FALSE,"By Code"}</definedName>
    <definedName name="ghjj_2_1_2" hidden="1">{"Input_Fin",#N/A,FALSE,"By Code";"Input_Opt",#N/A,FALSE,"By Code"}</definedName>
    <definedName name="ghjj_2_1_2_1" hidden="1">{"Input_Fin",#N/A,FALSE,"By Code";"Input_Opt",#N/A,FALSE,"By Code"}</definedName>
    <definedName name="ghjj_2_1_2_2" hidden="1">{"Input_Fin",#N/A,FALSE,"By Code";"Input_Opt",#N/A,FALSE,"By Code"}</definedName>
    <definedName name="ghjj_2_1_3" hidden="1">{"Input_Fin",#N/A,FALSE,"By Code";"Input_Opt",#N/A,FALSE,"By Code"}</definedName>
    <definedName name="ghjj_2_1_4" hidden="1">{"Input_Fin",#N/A,FALSE,"By Code";"Input_Opt",#N/A,FALSE,"By Code"}</definedName>
    <definedName name="ghjj_2_2" hidden="1">{"Input_Fin",#N/A,FALSE,"By Code";"Input_Opt",#N/A,FALSE,"By Code"}</definedName>
    <definedName name="ghjj_2_2_1" hidden="1">{"Input_Fin",#N/A,FALSE,"By Code";"Input_Opt",#N/A,FALSE,"By Code"}</definedName>
    <definedName name="ghjj_2_2_2" hidden="1">{"Input_Fin",#N/A,FALSE,"By Code";"Input_Opt",#N/A,FALSE,"By Code"}</definedName>
    <definedName name="ghjj_2_2_3" hidden="1">{"Input_Fin",#N/A,FALSE,"By Code";"Input_Opt",#N/A,FALSE,"By Code"}</definedName>
    <definedName name="ghjj_2_3" hidden="1">{"Input_Fin",#N/A,FALSE,"By Code";"Input_Opt",#N/A,FALSE,"By Code"}</definedName>
    <definedName name="ghjj_2_3_1" hidden="1">{"Input_Fin",#N/A,FALSE,"By Code";"Input_Opt",#N/A,FALSE,"By Code"}</definedName>
    <definedName name="ghjj_2_3_2" hidden="1">{"Input_Fin",#N/A,FALSE,"By Code";"Input_Opt",#N/A,FALSE,"By Code"}</definedName>
    <definedName name="ghjj_2_4" hidden="1">{"Input_Fin",#N/A,FALSE,"By Code";"Input_Opt",#N/A,FALSE,"By Code"}</definedName>
    <definedName name="ghjj_2_5" hidden="1">{"Input_Fin",#N/A,FALSE,"By Code";"Input_Opt",#N/A,FALSE,"By Code"}</definedName>
    <definedName name="ghjj_3" hidden="1">{"Input_Fin",#N/A,FALSE,"By Code";"Input_Opt",#N/A,FALSE,"By Code"}</definedName>
    <definedName name="ghjj_3_1" hidden="1">{"Input_Fin",#N/A,FALSE,"By Code";"Input_Opt",#N/A,FALSE,"By Code"}</definedName>
    <definedName name="ghjj_3_1_1" hidden="1">{"Input_Fin",#N/A,FALSE,"By Code";"Input_Opt",#N/A,FALSE,"By Code"}</definedName>
    <definedName name="ghjj_3_1_1_1" hidden="1">{"Input_Fin",#N/A,FALSE,"By Code";"Input_Opt",#N/A,FALSE,"By Code"}</definedName>
    <definedName name="ghjj_3_1_1_2" hidden="1">{"Input_Fin",#N/A,FALSE,"By Code";"Input_Opt",#N/A,FALSE,"By Code"}</definedName>
    <definedName name="ghjj_3_1_1_3" hidden="1">{"Input_Fin",#N/A,FALSE,"By Code";"Input_Opt",#N/A,FALSE,"By Code"}</definedName>
    <definedName name="ghjj_3_1_2" hidden="1">{"Input_Fin",#N/A,FALSE,"By Code";"Input_Opt",#N/A,FALSE,"By Code"}</definedName>
    <definedName name="ghjj_3_1_2_1" hidden="1">{"Input_Fin",#N/A,FALSE,"By Code";"Input_Opt",#N/A,FALSE,"By Code"}</definedName>
    <definedName name="ghjj_3_1_2_2" hidden="1">{"Input_Fin",#N/A,FALSE,"By Code";"Input_Opt",#N/A,FALSE,"By Code"}</definedName>
    <definedName name="ghjj_3_1_3" hidden="1">{"Input_Fin",#N/A,FALSE,"By Code";"Input_Opt",#N/A,FALSE,"By Code"}</definedName>
    <definedName name="ghjj_3_1_4" hidden="1">{"Input_Fin",#N/A,FALSE,"By Code";"Input_Opt",#N/A,FALSE,"By Code"}</definedName>
    <definedName name="ghjj_3_2" hidden="1">{"Input_Fin",#N/A,FALSE,"By Code";"Input_Opt",#N/A,FALSE,"By Code"}</definedName>
    <definedName name="ghjj_3_2_1" hidden="1">{"Input_Fin",#N/A,FALSE,"By Code";"Input_Opt",#N/A,FALSE,"By Code"}</definedName>
    <definedName name="ghjj_3_2_2" hidden="1">{"Input_Fin",#N/A,FALSE,"By Code";"Input_Opt",#N/A,FALSE,"By Code"}</definedName>
    <definedName name="ghjj_3_2_3" hidden="1">{"Input_Fin",#N/A,FALSE,"By Code";"Input_Opt",#N/A,FALSE,"By Code"}</definedName>
    <definedName name="ghjj_3_3" hidden="1">{"Input_Fin",#N/A,FALSE,"By Code";"Input_Opt",#N/A,FALSE,"By Code"}</definedName>
    <definedName name="ghjj_3_3_1" hidden="1">{"Input_Fin",#N/A,FALSE,"By Code";"Input_Opt",#N/A,FALSE,"By Code"}</definedName>
    <definedName name="ghjj_3_3_2" hidden="1">{"Input_Fin",#N/A,FALSE,"By Code";"Input_Opt",#N/A,FALSE,"By Code"}</definedName>
    <definedName name="ghjj_3_4" hidden="1">{"Input_Fin",#N/A,FALSE,"By Code";"Input_Opt",#N/A,FALSE,"By Code"}</definedName>
    <definedName name="ghjj_3_5" hidden="1">{"Input_Fin",#N/A,FALSE,"By Code";"Input_Opt",#N/A,FALSE,"By Code"}</definedName>
    <definedName name="ghjj_4" hidden="1">{"Input_Fin",#N/A,FALSE,"By Code";"Input_Opt",#N/A,FALSE,"By Code"}</definedName>
    <definedName name="ghjj_4_1" hidden="1">{"Input_Fin",#N/A,FALSE,"By Code";"Input_Opt",#N/A,FALSE,"By Code"}</definedName>
    <definedName name="ghjj_4_1_1" hidden="1">{"Input_Fin",#N/A,FALSE,"By Code";"Input_Opt",#N/A,FALSE,"By Code"}</definedName>
    <definedName name="ghjj_4_1_1_1" hidden="1">{"Input_Fin",#N/A,FALSE,"By Code";"Input_Opt",#N/A,FALSE,"By Code"}</definedName>
    <definedName name="ghjj_4_1_1_2" hidden="1">{"Input_Fin",#N/A,FALSE,"By Code";"Input_Opt",#N/A,FALSE,"By Code"}</definedName>
    <definedName name="ghjj_4_1_1_3" hidden="1">{"Input_Fin",#N/A,FALSE,"By Code";"Input_Opt",#N/A,FALSE,"By Code"}</definedName>
    <definedName name="ghjj_4_1_2" hidden="1">{"Input_Fin",#N/A,FALSE,"By Code";"Input_Opt",#N/A,FALSE,"By Code"}</definedName>
    <definedName name="ghjj_4_1_2_1" hidden="1">{"Input_Fin",#N/A,FALSE,"By Code";"Input_Opt",#N/A,FALSE,"By Code"}</definedName>
    <definedName name="ghjj_4_1_2_2" hidden="1">{"Input_Fin",#N/A,FALSE,"By Code";"Input_Opt",#N/A,FALSE,"By Code"}</definedName>
    <definedName name="ghjj_4_1_3" hidden="1">{"Input_Fin",#N/A,FALSE,"By Code";"Input_Opt",#N/A,FALSE,"By Code"}</definedName>
    <definedName name="ghjj_4_1_4" hidden="1">{"Input_Fin",#N/A,FALSE,"By Code";"Input_Opt",#N/A,FALSE,"By Code"}</definedName>
    <definedName name="ghjj_4_2" hidden="1">{"Input_Fin",#N/A,FALSE,"By Code";"Input_Opt",#N/A,FALSE,"By Code"}</definedName>
    <definedName name="ghjj_4_2_1" hidden="1">{"Input_Fin",#N/A,FALSE,"By Code";"Input_Opt",#N/A,FALSE,"By Code"}</definedName>
    <definedName name="ghjj_4_2_2" hidden="1">{"Input_Fin",#N/A,FALSE,"By Code";"Input_Opt",#N/A,FALSE,"By Code"}</definedName>
    <definedName name="ghjj_4_2_3" hidden="1">{"Input_Fin",#N/A,FALSE,"By Code";"Input_Opt",#N/A,FALSE,"By Code"}</definedName>
    <definedName name="ghjj_4_3" hidden="1">{"Input_Fin",#N/A,FALSE,"By Code";"Input_Opt",#N/A,FALSE,"By Code"}</definedName>
    <definedName name="ghjj_4_3_1" hidden="1">{"Input_Fin",#N/A,FALSE,"By Code";"Input_Opt",#N/A,FALSE,"By Code"}</definedName>
    <definedName name="ghjj_4_3_2" hidden="1">{"Input_Fin",#N/A,FALSE,"By Code";"Input_Opt",#N/A,FALSE,"By Code"}</definedName>
    <definedName name="ghjj_4_4" hidden="1">{"Input_Fin",#N/A,FALSE,"By Code";"Input_Opt",#N/A,FALSE,"By Code"}</definedName>
    <definedName name="ghjj_4_5" hidden="1">{"Input_Fin",#N/A,FALSE,"By Code";"Input_Opt",#N/A,FALSE,"By Code"}</definedName>
    <definedName name="ghjj_5" hidden="1">{"Input_Fin",#N/A,FALSE,"By Code";"Input_Opt",#N/A,FALSE,"By Code"}</definedName>
    <definedName name="ghjj_5_1" hidden="1">{"Input_Fin",#N/A,FALSE,"By Code";"Input_Opt",#N/A,FALSE,"By Code"}</definedName>
    <definedName name="ghjj_5_1_1" hidden="1">{"Input_Fin",#N/A,FALSE,"By Code";"Input_Opt",#N/A,FALSE,"By Code"}</definedName>
    <definedName name="ghjj_5_1_1_1" hidden="1">{"Input_Fin",#N/A,FALSE,"By Code";"Input_Opt",#N/A,FALSE,"By Code"}</definedName>
    <definedName name="ghjj_5_1_1_2" hidden="1">{"Input_Fin",#N/A,FALSE,"By Code";"Input_Opt",#N/A,FALSE,"By Code"}</definedName>
    <definedName name="ghjj_5_1_1_3" hidden="1">{"Input_Fin",#N/A,FALSE,"By Code";"Input_Opt",#N/A,FALSE,"By Code"}</definedName>
    <definedName name="ghjj_5_1_2" hidden="1">{"Input_Fin",#N/A,FALSE,"By Code";"Input_Opt",#N/A,FALSE,"By Code"}</definedName>
    <definedName name="ghjj_5_1_2_1" hidden="1">{"Input_Fin",#N/A,FALSE,"By Code";"Input_Opt",#N/A,FALSE,"By Code"}</definedName>
    <definedName name="ghjj_5_1_2_2" hidden="1">{"Input_Fin",#N/A,FALSE,"By Code";"Input_Opt",#N/A,FALSE,"By Code"}</definedName>
    <definedName name="ghjj_5_1_3" hidden="1">{"Input_Fin",#N/A,FALSE,"By Code";"Input_Opt",#N/A,FALSE,"By Code"}</definedName>
    <definedName name="ghjj_5_1_4" hidden="1">{"Input_Fin",#N/A,FALSE,"By Code";"Input_Opt",#N/A,FALSE,"By Code"}</definedName>
    <definedName name="ghjj_5_2" hidden="1">{"Input_Fin",#N/A,FALSE,"By Code";"Input_Opt",#N/A,FALSE,"By Code"}</definedName>
    <definedName name="ghjj_5_2_1" hidden="1">{"Input_Fin",#N/A,FALSE,"By Code";"Input_Opt",#N/A,FALSE,"By Code"}</definedName>
    <definedName name="ghjj_5_2_2" hidden="1">{"Input_Fin",#N/A,FALSE,"By Code";"Input_Opt",#N/A,FALSE,"By Code"}</definedName>
    <definedName name="ghjj_5_2_3" hidden="1">{"Input_Fin",#N/A,FALSE,"By Code";"Input_Opt",#N/A,FALSE,"By Code"}</definedName>
    <definedName name="ghjj_5_3" hidden="1">{"Input_Fin",#N/A,FALSE,"By Code";"Input_Opt",#N/A,FALSE,"By Code"}</definedName>
    <definedName name="ghjj_5_3_1" hidden="1">{"Input_Fin",#N/A,FALSE,"By Code";"Input_Opt",#N/A,FALSE,"By Code"}</definedName>
    <definedName name="ghjj_5_3_2" hidden="1">{"Input_Fin",#N/A,FALSE,"By Code";"Input_Opt",#N/A,FALSE,"By Code"}</definedName>
    <definedName name="ghjj_5_4" hidden="1">{"Input_Fin",#N/A,FALSE,"By Code";"Input_Opt",#N/A,FALSE,"By Code"}</definedName>
    <definedName name="ghjj_5_5" hidden="1">{"Input_Fin",#N/A,FALSE,"By Code";"Input_Opt",#N/A,FALSE,"By Code"}</definedName>
    <definedName name="GMMBA">#N/A</definedName>
    <definedName name="GMO">#N/A</definedName>
    <definedName name="Goto_U201">#N/A</definedName>
    <definedName name="Goto_U301">#N/A</definedName>
    <definedName name="grehgreh" localSheetId="12" hidden="1">{"Input_Fin",#N/A,FALSE,"By Code";"Input_Opt",#N/A,FALSE,"By Code"}</definedName>
    <definedName name="grehgreh" hidden="1">{"Input_Fin",#N/A,FALSE,"By Code";"Input_Opt",#N/A,FALSE,"By Code"}</definedName>
    <definedName name="grehgreh_1" hidden="1">{"Input_Fin",#N/A,FALSE,"By Code";"Input_Opt",#N/A,FALSE,"By Code"}</definedName>
    <definedName name="grehgreh_1_1" hidden="1">{"Input_Fin",#N/A,FALSE,"By Code";"Input_Opt",#N/A,FALSE,"By Code"}</definedName>
    <definedName name="grehgreh_1_1_1" hidden="1">{"Input_Fin",#N/A,FALSE,"By Code";"Input_Opt",#N/A,FALSE,"By Code"}</definedName>
    <definedName name="grehgreh_1_1_2" hidden="1">{"Input_Fin",#N/A,FALSE,"By Code";"Input_Opt",#N/A,FALSE,"By Code"}</definedName>
    <definedName name="grehgreh_1_1_3" hidden="1">{"Input_Fin",#N/A,FALSE,"By Code";"Input_Opt",#N/A,FALSE,"By Code"}</definedName>
    <definedName name="grehgreh_1_2" hidden="1">{"Input_Fin",#N/A,FALSE,"By Code";"Input_Opt",#N/A,FALSE,"By Code"}</definedName>
    <definedName name="grehgreh_1_2_1" hidden="1">{"Input_Fin",#N/A,FALSE,"By Code";"Input_Opt",#N/A,FALSE,"By Code"}</definedName>
    <definedName name="grehgreh_1_2_2" hidden="1">{"Input_Fin",#N/A,FALSE,"By Code";"Input_Opt",#N/A,FALSE,"By Code"}</definedName>
    <definedName name="grehgreh_1_3" hidden="1">{"Input_Fin",#N/A,FALSE,"By Code";"Input_Opt",#N/A,FALSE,"By Code"}</definedName>
    <definedName name="grehgreh_1_4" hidden="1">{"Input_Fin",#N/A,FALSE,"By Code";"Input_Opt",#N/A,FALSE,"By Code"}</definedName>
    <definedName name="grehgreh_2" hidden="1">{"Input_Fin",#N/A,FALSE,"By Code";"Input_Opt",#N/A,FALSE,"By Code"}</definedName>
    <definedName name="grehgreh_2_1" hidden="1">{"Input_Fin",#N/A,FALSE,"By Code";"Input_Opt",#N/A,FALSE,"By Code"}</definedName>
    <definedName name="grehgreh_2_2" hidden="1">{"Input_Fin",#N/A,FALSE,"By Code";"Input_Opt",#N/A,FALSE,"By Code"}</definedName>
    <definedName name="grehgreh_2_3" hidden="1">{"Input_Fin",#N/A,FALSE,"By Code";"Input_Opt",#N/A,FALSE,"By Code"}</definedName>
    <definedName name="grehgreh_3" hidden="1">{"Input_Fin",#N/A,FALSE,"By Code";"Input_Opt",#N/A,FALSE,"By Code"}</definedName>
    <definedName name="grehgreh_3_1" hidden="1">{"Input_Fin",#N/A,FALSE,"By Code";"Input_Opt",#N/A,FALSE,"By Code"}</definedName>
    <definedName name="grehgreh_3_2" hidden="1">{"Input_Fin",#N/A,FALSE,"By Code";"Input_Opt",#N/A,FALSE,"By Code"}</definedName>
    <definedName name="grehgreh_4" hidden="1">{"Input_Fin",#N/A,FALSE,"By Code";"Input_Opt",#N/A,FALSE,"By Code"}</definedName>
    <definedName name="grehgreh_5" hidden="1">{"Input_Fin",#N/A,FALSE,"By Code";"Input_Opt",#N/A,FALSE,"By Code"}</definedName>
    <definedName name="gu" hidden="1">{"Input_Fin",#N/A,FALSE,"By Code";"Input_Opt",#N/A,FALSE,"By Code"}</definedName>
    <definedName name="gyk" localSheetId="12" hidden="1">{"Input_Fin",#N/A,FALSE,"By Code";"Input_Opt",#N/A,FALSE,"By Code"}</definedName>
    <definedName name="gyk" hidden="1">{"Input_Fin",#N/A,FALSE,"By Code";"Input_Opt",#N/A,FALSE,"By Code"}</definedName>
    <definedName name="gyk_1" hidden="1">{"Input_Fin",#N/A,FALSE,"By Code";"Input_Opt",#N/A,FALSE,"By Code"}</definedName>
    <definedName name="gyk_1_1" hidden="1">{"Input_Fin",#N/A,FALSE,"By Code";"Input_Opt",#N/A,FALSE,"By Code"}</definedName>
    <definedName name="gyk_1_1_1" hidden="1">{"Input_Fin",#N/A,FALSE,"By Code";"Input_Opt",#N/A,FALSE,"By Code"}</definedName>
    <definedName name="gyk_1_1_2" hidden="1">{"Input_Fin",#N/A,FALSE,"By Code";"Input_Opt",#N/A,FALSE,"By Code"}</definedName>
    <definedName name="gyk_1_1_3" hidden="1">{"Input_Fin",#N/A,FALSE,"By Code";"Input_Opt",#N/A,FALSE,"By Code"}</definedName>
    <definedName name="gyk_1_2" hidden="1">{"Input_Fin",#N/A,FALSE,"By Code";"Input_Opt",#N/A,FALSE,"By Code"}</definedName>
    <definedName name="gyk_1_2_1" hidden="1">{"Input_Fin",#N/A,FALSE,"By Code";"Input_Opt",#N/A,FALSE,"By Code"}</definedName>
    <definedName name="gyk_1_2_2" hidden="1">{"Input_Fin",#N/A,FALSE,"By Code";"Input_Opt",#N/A,FALSE,"By Code"}</definedName>
    <definedName name="gyk_1_3" hidden="1">{"Input_Fin",#N/A,FALSE,"By Code";"Input_Opt",#N/A,FALSE,"By Code"}</definedName>
    <definedName name="gyk_1_4" hidden="1">{"Input_Fin",#N/A,FALSE,"By Code";"Input_Opt",#N/A,FALSE,"By Code"}</definedName>
    <definedName name="gyk_2" hidden="1">{"Input_Fin",#N/A,FALSE,"By Code";"Input_Opt",#N/A,FALSE,"By Code"}</definedName>
    <definedName name="gyk_2_1" hidden="1">{"Input_Fin",#N/A,FALSE,"By Code";"Input_Opt",#N/A,FALSE,"By Code"}</definedName>
    <definedName name="gyk_2_2" hidden="1">{"Input_Fin",#N/A,FALSE,"By Code";"Input_Opt",#N/A,FALSE,"By Code"}</definedName>
    <definedName name="gyk_2_3" hidden="1">{"Input_Fin",#N/A,FALSE,"By Code";"Input_Opt",#N/A,FALSE,"By Code"}</definedName>
    <definedName name="gyk_3" hidden="1">{"Input_Fin",#N/A,FALSE,"By Code";"Input_Opt",#N/A,FALSE,"By Code"}</definedName>
    <definedName name="gyk_3_1" hidden="1">{"Input_Fin",#N/A,FALSE,"By Code";"Input_Opt",#N/A,FALSE,"By Code"}</definedName>
    <definedName name="gyk_3_2" hidden="1">{"Input_Fin",#N/A,FALSE,"By Code";"Input_Opt",#N/A,FALSE,"By Code"}</definedName>
    <definedName name="gyk_4" hidden="1">{"Input_Fin",#N/A,FALSE,"By Code";"Input_Opt",#N/A,FALSE,"By Code"}</definedName>
    <definedName name="gyk_5" hidden="1">{"Input_Fin",#N/A,FALSE,"By Code";"Input_Opt",#N/A,FALSE,"By Code"}</definedName>
    <definedName name="h" localSheetId="12" hidden="1">{"Input_Fin",#N/A,FALSE,"By Code";"Input_Opt",#N/A,FALSE,"By Code"}</definedName>
    <definedName name="h" hidden="1">{"Input_Fin",#N/A,FALSE,"By Code";"Input_Opt",#N/A,FALSE,"By Code"}</definedName>
    <definedName name="h_1" hidden="1">{"Input_Fin",#N/A,FALSE,"By Code";"Input_Opt",#N/A,FALSE,"By Code"}</definedName>
    <definedName name="h_1_1" hidden="1">{"Input_Fin",#N/A,FALSE,"By Code";"Input_Opt",#N/A,FALSE,"By Code"}</definedName>
    <definedName name="h_1_1_1" hidden="1">{"Input_Fin",#N/A,FALSE,"By Code";"Input_Opt",#N/A,FALSE,"By Code"}</definedName>
    <definedName name="h_1_1_1_1" hidden="1">{"Input_Fin",#N/A,FALSE,"By Code";"Input_Opt",#N/A,FALSE,"By Code"}</definedName>
    <definedName name="h_1_1_1_1_1" hidden="1">{"Input_Fin",#N/A,FALSE,"By Code";"Input_Opt",#N/A,FALSE,"By Code"}</definedName>
    <definedName name="h_1_1_1_1_2" hidden="1">{"Input_Fin",#N/A,FALSE,"By Code";"Input_Opt",#N/A,FALSE,"By Code"}</definedName>
    <definedName name="h_1_1_1_1_3" hidden="1">{"Input_Fin",#N/A,FALSE,"By Code";"Input_Opt",#N/A,FALSE,"By Code"}</definedName>
    <definedName name="h_1_1_1_2" hidden="1">{"Input_Fin",#N/A,FALSE,"By Code";"Input_Opt",#N/A,FALSE,"By Code"}</definedName>
    <definedName name="h_1_1_1_2_1" hidden="1">{"Input_Fin",#N/A,FALSE,"By Code";"Input_Opt",#N/A,FALSE,"By Code"}</definedName>
    <definedName name="h_1_1_1_2_2" hidden="1">{"Input_Fin",#N/A,FALSE,"By Code";"Input_Opt",#N/A,FALSE,"By Code"}</definedName>
    <definedName name="h_1_1_1_3" hidden="1">{"Input_Fin",#N/A,FALSE,"By Code";"Input_Opt",#N/A,FALSE,"By Code"}</definedName>
    <definedName name="h_1_1_1_3_1" hidden="1">{"Input_Fin",#N/A,FALSE,"By Code";"Input_Opt",#N/A,FALSE,"By Code"}</definedName>
    <definedName name="h_1_1_1_3_2" hidden="1">{"Input_Fin",#N/A,FALSE,"By Code";"Input_Opt",#N/A,FALSE,"By Code"}</definedName>
    <definedName name="h_1_1_1_4" hidden="1">{"Input_Fin",#N/A,FALSE,"By Code";"Input_Opt",#N/A,FALSE,"By Code"}</definedName>
    <definedName name="h_1_1_1_5" hidden="1">{"Input_Fin",#N/A,FALSE,"By Code";"Input_Opt",#N/A,FALSE,"By Code"}</definedName>
    <definedName name="h_1_1_2" hidden="1">{"Input_Fin",#N/A,FALSE,"By Code";"Input_Opt",#N/A,FALSE,"By Code"}</definedName>
    <definedName name="h_1_1_2_1" hidden="1">{"Input_Fin",#N/A,FALSE,"By Code";"Input_Opt",#N/A,FALSE,"By Code"}</definedName>
    <definedName name="h_1_1_2_2" hidden="1">{"Input_Fin",#N/A,FALSE,"By Code";"Input_Opt",#N/A,FALSE,"By Code"}</definedName>
    <definedName name="h_1_1_2_3" hidden="1">{"Input_Fin",#N/A,FALSE,"By Code";"Input_Opt",#N/A,FALSE,"By Code"}</definedName>
    <definedName name="h_1_1_3" hidden="1">{"Input_Fin",#N/A,FALSE,"By Code";"Input_Opt",#N/A,FALSE,"By Code"}</definedName>
    <definedName name="h_1_1_3_1" hidden="1">{"Input_Fin",#N/A,FALSE,"By Code";"Input_Opt",#N/A,FALSE,"By Code"}</definedName>
    <definedName name="h_1_1_3_2" hidden="1">{"Input_Fin",#N/A,FALSE,"By Code";"Input_Opt",#N/A,FALSE,"By Code"}</definedName>
    <definedName name="h_1_1_4" hidden="1">{"Input_Fin",#N/A,FALSE,"By Code";"Input_Opt",#N/A,FALSE,"By Code"}</definedName>
    <definedName name="h_1_1_5" hidden="1">{"Input_Fin",#N/A,FALSE,"By Code";"Input_Opt",#N/A,FALSE,"By Code"}</definedName>
    <definedName name="h_1_2" hidden="1">{"Input_Fin",#N/A,FALSE,"By Code";"Input_Opt",#N/A,FALSE,"By Code"}</definedName>
    <definedName name="h_1_2_1" hidden="1">{"Input_Fin",#N/A,FALSE,"By Code";"Input_Opt",#N/A,FALSE,"By Code"}</definedName>
    <definedName name="h_1_2_2" hidden="1">{"Input_Fin",#N/A,FALSE,"By Code";"Input_Opt",#N/A,FALSE,"By Code"}</definedName>
    <definedName name="h_1_2_3" hidden="1">{"Input_Fin",#N/A,FALSE,"By Code";"Input_Opt",#N/A,FALSE,"By Code"}</definedName>
    <definedName name="h_1_3" hidden="1">{"Input_Fin",#N/A,FALSE,"By Code";"Input_Opt",#N/A,FALSE,"By Code"}</definedName>
    <definedName name="h_1_3_1" hidden="1">{"Input_Fin",#N/A,FALSE,"By Code";"Input_Opt",#N/A,FALSE,"By Code"}</definedName>
    <definedName name="h_1_3_2" hidden="1">{"Input_Fin",#N/A,FALSE,"By Code";"Input_Opt",#N/A,FALSE,"By Code"}</definedName>
    <definedName name="h_1_4" hidden="1">{"Input_Fin",#N/A,FALSE,"By Code";"Input_Opt",#N/A,FALSE,"By Code"}</definedName>
    <definedName name="h_1_5" hidden="1">{"Input_Fin",#N/A,FALSE,"By Code";"Input_Opt",#N/A,FALSE,"By Code"}</definedName>
    <definedName name="h_2" hidden="1">{"Input_Fin",#N/A,FALSE,"By Code";"Input_Opt",#N/A,FALSE,"By Code"}</definedName>
    <definedName name="h_2_1" hidden="1">{"Input_Fin",#N/A,FALSE,"By Code";"Input_Opt",#N/A,FALSE,"By Code"}</definedName>
    <definedName name="h_2_1_1" hidden="1">{"Input_Fin",#N/A,FALSE,"By Code";"Input_Opt",#N/A,FALSE,"By Code"}</definedName>
    <definedName name="h_2_1_1_1" hidden="1">{"Input_Fin",#N/A,FALSE,"By Code";"Input_Opt",#N/A,FALSE,"By Code"}</definedName>
    <definedName name="h_2_1_1_2" hidden="1">{"Input_Fin",#N/A,FALSE,"By Code";"Input_Opt",#N/A,FALSE,"By Code"}</definedName>
    <definedName name="h_2_1_1_3" hidden="1">{"Input_Fin",#N/A,FALSE,"By Code";"Input_Opt",#N/A,FALSE,"By Code"}</definedName>
    <definedName name="h_2_1_2" hidden="1">{"Input_Fin",#N/A,FALSE,"By Code";"Input_Opt",#N/A,FALSE,"By Code"}</definedName>
    <definedName name="h_2_1_2_1" hidden="1">{"Input_Fin",#N/A,FALSE,"By Code";"Input_Opt",#N/A,FALSE,"By Code"}</definedName>
    <definedName name="h_2_1_2_2" hidden="1">{"Input_Fin",#N/A,FALSE,"By Code";"Input_Opt",#N/A,FALSE,"By Code"}</definedName>
    <definedName name="h_2_1_3" hidden="1">{"Input_Fin",#N/A,FALSE,"By Code";"Input_Opt",#N/A,FALSE,"By Code"}</definedName>
    <definedName name="h_2_1_4" hidden="1">{"Input_Fin",#N/A,FALSE,"By Code";"Input_Opt",#N/A,FALSE,"By Code"}</definedName>
    <definedName name="h_2_2" hidden="1">{"Input_Fin",#N/A,FALSE,"By Code";"Input_Opt",#N/A,FALSE,"By Code"}</definedName>
    <definedName name="h_2_2_1" hidden="1">{"Input_Fin",#N/A,FALSE,"By Code";"Input_Opt",#N/A,FALSE,"By Code"}</definedName>
    <definedName name="h_2_2_2" hidden="1">{"Input_Fin",#N/A,FALSE,"By Code";"Input_Opt",#N/A,FALSE,"By Code"}</definedName>
    <definedName name="h_2_2_3" hidden="1">{"Input_Fin",#N/A,FALSE,"By Code";"Input_Opt",#N/A,FALSE,"By Code"}</definedName>
    <definedName name="h_2_3" hidden="1">{"Input_Fin",#N/A,FALSE,"By Code";"Input_Opt",#N/A,FALSE,"By Code"}</definedName>
    <definedName name="h_2_3_1" hidden="1">{"Input_Fin",#N/A,FALSE,"By Code";"Input_Opt",#N/A,FALSE,"By Code"}</definedName>
    <definedName name="h_2_3_2" hidden="1">{"Input_Fin",#N/A,FALSE,"By Code";"Input_Opt",#N/A,FALSE,"By Code"}</definedName>
    <definedName name="h_2_4" hidden="1">{"Input_Fin",#N/A,FALSE,"By Code";"Input_Opt",#N/A,FALSE,"By Code"}</definedName>
    <definedName name="h_2_5" hidden="1">{"Input_Fin",#N/A,FALSE,"By Code";"Input_Opt",#N/A,FALSE,"By Code"}</definedName>
    <definedName name="h_3" hidden="1">{"Input_Fin",#N/A,FALSE,"By Code";"Input_Opt",#N/A,FALSE,"By Code"}</definedName>
    <definedName name="h_3_1" hidden="1">{"Input_Fin",#N/A,FALSE,"By Code";"Input_Opt",#N/A,FALSE,"By Code"}</definedName>
    <definedName name="h_3_1_1" hidden="1">{"Input_Fin",#N/A,FALSE,"By Code";"Input_Opt",#N/A,FALSE,"By Code"}</definedName>
    <definedName name="h_3_1_1_1" hidden="1">{"Input_Fin",#N/A,FALSE,"By Code";"Input_Opt",#N/A,FALSE,"By Code"}</definedName>
    <definedName name="h_3_1_1_2" hidden="1">{"Input_Fin",#N/A,FALSE,"By Code";"Input_Opt",#N/A,FALSE,"By Code"}</definedName>
    <definedName name="h_3_1_1_3" hidden="1">{"Input_Fin",#N/A,FALSE,"By Code";"Input_Opt",#N/A,FALSE,"By Code"}</definedName>
    <definedName name="h_3_1_2" hidden="1">{"Input_Fin",#N/A,FALSE,"By Code";"Input_Opt",#N/A,FALSE,"By Code"}</definedName>
    <definedName name="h_3_1_2_1" hidden="1">{"Input_Fin",#N/A,FALSE,"By Code";"Input_Opt",#N/A,FALSE,"By Code"}</definedName>
    <definedName name="h_3_1_2_2" hidden="1">{"Input_Fin",#N/A,FALSE,"By Code";"Input_Opt",#N/A,FALSE,"By Code"}</definedName>
    <definedName name="h_3_1_3" hidden="1">{"Input_Fin",#N/A,FALSE,"By Code";"Input_Opt",#N/A,FALSE,"By Code"}</definedName>
    <definedName name="h_3_1_4" hidden="1">{"Input_Fin",#N/A,FALSE,"By Code";"Input_Opt",#N/A,FALSE,"By Code"}</definedName>
    <definedName name="h_3_2" hidden="1">{"Input_Fin",#N/A,FALSE,"By Code";"Input_Opt",#N/A,FALSE,"By Code"}</definedName>
    <definedName name="h_3_2_1" hidden="1">{"Input_Fin",#N/A,FALSE,"By Code";"Input_Opt",#N/A,FALSE,"By Code"}</definedName>
    <definedName name="h_3_2_2" hidden="1">{"Input_Fin",#N/A,FALSE,"By Code";"Input_Opt",#N/A,FALSE,"By Code"}</definedName>
    <definedName name="h_3_2_3" hidden="1">{"Input_Fin",#N/A,FALSE,"By Code";"Input_Opt",#N/A,FALSE,"By Code"}</definedName>
    <definedName name="h_3_3" hidden="1">{"Input_Fin",#N/A,FALSE,"By Code";"Input_Opt",#N/A,FALSE,"By Code"}</definedName>
    <definedName name="h_3_3_1" hidden="1">{"Input_Fin",#N/A,FALSE,"By Code";"Input_Opt",#N/A,FALSE,"By Code"}</definedName>
    <definedName name="h_3_3_2" hidden="1">{"Input_Fin",#N/A,FALSE,"By Code";"Input_Opt",#N/A,FALSE,"By Code"}</definedName>
    <definedName name="h_3_4" hidden="1">{"Input_Fin",#N/A,FALSE,"By Code";"Input_Opt",#N/A,FALSE,"By Code"}</definedName>
    <definedName name="h_3_5" hidden="1">{"Input_Fin",#N/A,FALSE,"By Code";"Input_Opt",#N/A,FALSE,"By Code"}</definedName>
    <definedName name="h_4" hidden="1">{"Input_Fin",#N/A,FALSE,"By Code";"Input_Opt",#N/A,FALSE,"By Code"}</definedName>
    <definedName name="h_4_1" hidden="1">{"Input_Fin",#N/A,FALSE,"By Code";"Input_Opt",#N/A,FALSE,"By Code"}</definedName>
    <definedName name="h_4_1_1" hidden="1">{"Input_Fin",#N/A,FALSE,"By Code";"Input_Opt",#N/A,FALSE,"By Code"}</definedName>
    <definedName name="h_4_1_1_1" hidden="1">{"Input_Fin",#N/A,FALSE,"By Code";"Input_Opt",#N/A,FALSE,"By Code"}</definedName>
    <definedName name="h_4_1_1_2" hidden="1">{"Input_Fin",#N/A,FALSE,"By Code";"Input_Opt",#N/A,FALSE,"By Code"}</definedName>
    <definedName name="h_4_1_1_3" hidden="1">{"Input_Fin",#N/A,FALSE,"By Code";"Input_Opt",#N/A,FALSE,"By Code"}</definedName>
    <definedName name="h_4_1_2" hidden="1">{"Input_Fin",#N/A,FALSE,"By Code";"Input_Opt",#N/A,FALSE,"By Code"}</definedName>
    <definedName name="h_4_1_2_1" hidden="1">{"Input_Fin",#N/A,FALSE,"By Code";"Input_Opt",#N/A,FALSE,"By Code"}</definedName>
    <definedName name="h_4_1_2_2" hidden="1">{"Input_Fin",#N/A,FALSE,"By Code";"Input_Opt",#N/A,FALSE,"By Code"}</definedName>
    <definedName name="h_4_1_3" hidden="1">{"Input_Fin",#N/A,FALSE,"By Code";"Input_Opt",#N/A,FALSE,"By Code"}</definedName>
    <definedName name="h_4_1_4" hidden="1">{"Input_Fin",#N/A,FALSE,"By Code";"Input_Opt",#N/A,FALSE,"By Code"}</definedName>
    <definedName name="h_4_2" hidden="1">{"Input_Fin",#N/A,FALSE,"By Code";"Input_Opt",#N/A,FALSE,"By Code"}</definedName>
    <definedName name="h_4_2_1" hidden="1">{"Input_Fin",#N/A,FALSE,"By Code";"Input_Opt",#N/A,FALSE,"By Code"}</definedName>
    <definedName name="h_4_2_2" hidden="1">{"Input_Fin",#N/A,FALSE,"By Code";"Input_Opt",#N/A,FALSE,"By Code"}</definedName>
    <definedName name="h_4_2_3" hidden="1">{"Input_Fin",#N/A,FALSE,"By Code";"Input_Opt",#N/A,FALSE,"By Code"}</definedName>
    <definedName name="h_4_3" hidden="1">{"Input_Fin",#N/A,FALSE,"By Code";"Input_Opt",#N/A,FALSE,"By Code"}</definedName>
    <definedName name="h_4_3_1" hidden="1">{"Input_Fin",#N/A,FALSE,"By Code";"Input_Opt",#N/A,FALSE,"By Code"}</definedName>
    <definedName name="h_4_3_2" hidden="1">{"Input_Fin",#N/A,FALSE,"By Code";"Input_Opt",#N/A,FALSE,"By Code"}</definedName>
    <definedName name="h_4_4" hidden="1">{"Input_Fin",#N/A,FALSE,"By Code";"Input_Opt",#N/A,FALSE,"By Code"}</definedName>
    <definedName name="h_4_5" hidden="1">{"Input_Fin",#N/A,FALSE,"By Code";"Input_Opt",#N/A,FALSE,"By Code"}</definedName>
    <definedName name="h_5" hidden="1">{"Input_Fin",#N/A,FALSE,"By Code";"Input_Opt",#N/A,FALSE,"By Code"}</definedName>
    <definedName name="h_5_1" hidden="1">{"Input_Fin",#N/A,FALSE,"By Code";"Input_Opt",#N/A,FALSE,"By Code"}</definedName>
    <definedName name="h_5_1_1" hidden="1">{"Input_Fin",#N/A,FALSE,"By Code";"Input_Opt",#N/A,FALSE,"By Code"}</definedName>
    <definedName name="h_5_1_1_1" hidden="1">{"Input_Fin",#N/A,FALSE,"By Code";"Input_Opt",#N/A,FALSE,"By Code"}</definedName>
    <definedName name="h_5_1_1_2" hidden="1">{"Input_Fin",#N/A,FALSE,"By Code";"Input_Opt",#N/A,FALSE,"By Code"}</definedName>
    <definedName name="h_5_1_1_3" hidden="1">{"Input_Fin",#N/A,FALSE,"By Code";"Input_Opt",#N/A,FALSE,"By Code"}</definedName>
    <definedName name="h_5_1_2" hidden="1">{"Input_Fin",#N/A,FALSE,"By Code";"Input_Opt",#N/A,FALSE,"By Code"}</definedName>
    <definedName name="h_5_1_2_1" hidden="1">{"Input_Fin",#N/A,FALSE,"By Code";"Input_Opt",#N/A,FALSE,"By Code"}</definedName>
    <definedName name="h_5_1_2_2" hidden="1">{"Input_Fin",#N/A,FALSE,"By Code";"Input_Opt",#N/A,FALSE,"By Code"}</definedName>
    <definedName name="h_5_1_3" hidden="1">{"Input_Fin",#N/A,FALSE,"By Code";"Input_Opt",#N/A,FALSE,"By Code"}</definedName>
    <definedName name="h_5_1_4" hidden="1">{"Input_Fin",#N/A,FALSE,"By Code";"Input_Opt",#N/A,FALSE,"By Code"}</definedName>
    <definedName name="h_5_2" hidden="1">{"Input_Fin",#N/A,FALSE,"By Code";"Input_Opt",#N/A,FALSE,"By Code"}</definedName>
    <definedName name="h_5_2_1" hidden="1">{"Input_Fin",#N/A,FALSE,"By Code";"Input_Opt",#N/A,FALSE,"By Code"}</definedName>
    <definedName name="h_5_2_2" hidden="1">{"Input_Fin",#N/A,FALSE,"By Code";"Input_Opt",#N/A,FALSE,"By Code"}</definedName>
    <definedName name="h_5_2_3" hidden="1">{"Input_Fin",#N/A,FALSE,"By Code";"Input_Opt",#N/A,FALSE,"By Code"}</definedName>
    <definedName name="h_5_3" hidden="1">{"Input_Fin",#N/A,FALSE,"By Code";"Input_Opt",#N/A,FALSE,"By Code"}</definedName>
    <definedName name="h_5_3_1" hidden="1">{"Input_Fin",#N/A,FALSE,"By Code";"Input_Opt",#N/A,FALSE,"By Code"}</definedName>
    <definedName name="h_5_3_2" hidden="1">{"Input_Fin",#N/A,FALSE,"By Code";"Input_Opt",#N/A,FALSE,"By Code"}</definedName>
    <definedName name="h_5_4" hidden="1">{"Input_Fin",#N/A,FALSE,"By Code";"Input_Opt",#N/A,FALSE,"By Code"}</definedName>
    <definedName name="h_5_5" hidden="1">{"Input_Fin",#N/A,FALSE,"By Code";"Input_Opt",#N/A,FALSE,"By Code"}</definedName>
    <definedName name="h768866789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E">#N/A</definedName>
    <definedName name="hgj" localSheetId="12" hidden="1">{"Input_Fin",#N/A,FALSE,"By Code";"Input_Opt",#N/A,FALSE,"By Code"}</definedName>
    <definedName name="hgj" hidden="1">{"Input_Fin",#N/A,FALSE,"By Code";"Input_Opt",#N/A,FALSE,"By Code"}</definedName>
    <definedName name="hgj_1" hidden="1">{"Input_Fin",#N/A,FALSE,"By Code";"Input_Opt",#N/A,FALSE,"By Code"}</definedName>
    <definedName name="hgj_1_1" hidden="1">{"Input_Fin",#N/A,FALSE,"By Code";"Input_Opt",#N/A,FALSE,"By Code"}</definedName>
    <definedName name="hgj_1_1_1" hidden="1">{"Input_Fin",#N/A,FALSE,"By Code";"Input_Opt",#N/A,FALSE,"By Code"}</definedName>
    <definedName name="hgj_1_1_1_1" hidden="1">{"Input_Fin",#N/A,FALSE,"By Code";"Input_Opt",#N/A,FALSE,"By Code"}</definedName>
    <definedName name="hgj_1_1_1_1_1" hidden="1">{"Input_Fin",#N/A,FALSE,"By Code";"Input_Opt",#N/A,FALSE,"By Code"}</definedName>
    <definedName name="hgj_1_1_1_1_2" hidden="1">{"Input_Fin",#N/A,FALSE,"By Code";"Input_Opt",#N/A,FALSE,"By Code"}</definedName>
    <definedName name="hgj_1_1_1_1_3" hidden="1">{"Input_Fin",#N/A,FALSE,"By Code";"Input_Opt",#N/A,FALSE,"By Code"}</definedName>
    <definedName name="hgj_1_1_1_2" hidden="1">{"Input_Fin",#N/A,FALSE,"By Code";"Input_Opt",#N/A,FALSE,"By Code"}</definedName>
    <definedName name="hgj_1_1_1_2_1" hidden="1">{"Input_Fin",#N/A,FALSE,"By Code";"Input_Opt",#N/A,FALSE,"By Code"}</definedName>
    <definedName name="hgj_1_1_1_2_2" hidden="1">{"Input_Fin",#N/A,FALSE,"By Code";"Input_Opt",#N/A,FALSE,"By Code"}</definedName>
    <definedName name="hgj_1_1_1_3" hidden="1">{"Input_Fin",#N/A,FALSE,"By Code";"Input_Opt",#N/A,FALSE,"By Code"}</definedName>
    <definedName name="hgj_1_1_1_3_1" hidden="1">{"Input_Fin",#N/A,FALSE,"By Code";"Input_Opt",#N/A,FALSE,"By Code"}</definedName>
    <definedName name="hgj_1_1_1_3_2" hidden="1">{"Input_Fin",#N/A,FALSE,"By Code";"Input_Opt",#N/A,FALSE,"By Code"}</definedName>
    <definedName name="hgj_1_1_1_4" hidden="1">{"Input_Fin",#N/A,FALSE,"By Code";"Input_Opt",#N/A,FALSE,"By Code"}</definedName>
    <definedName name="hgj_1_1_1_5" hidden="1">{"Input_Fin",#N/A,FALSE,"By Code";"Input_Opt",#N/A,FALSE,"By Code"}</definedName>
    <definedName name="hgj_1_1_2" hidden="1">{"Input_Fin",#N/A,FALSE,"By Code";"Input_Opt",#N/A,FALSE,"By Code"}</definedName>
    <definedName name="hgj_1_1_2_1" hidden="1">{"Input_Fin",#N/A,FALSE,"By Code";"Input_Opt",#N/A,FALSE,"By Code"}</definedName>
    <definedName name="hgj_1_1_2_2" hidden="1">{"Input_Fin",#N/A,FALSE,"By Code";"Input_Opt",#N/A,FALSE,"By Code"}</definedName>
    <definedName name="hgj_1_1_2_3" hidden="1">{"Input_Fin",#N/A,FALSE,"By Code";"Input_Opt",#N/A,FALSE,"By Code"}</definedName>
    <definedName name="hgj_1_1_3" hidden="1">{"Input_Fin",#N/A,FALSE,"By Code";"Input_Opt",#N/A,FALSE,"By Code"}</definedName>
    <definedName name="hgj_1_1_3_1" hidden="1">{"Input_Fin",#N/A,FALSE,"By Code";"Input_Opt",#N/A,FALSE,"By Code"}</definedName>
    <definedName name="hgj_1_1_3_2" hidden="1">{"Input_Fin",#N/A,FALSE,"By Code";"Input_Opt",#N/A,FALSE,"By Code"}</definedName>
    <definedName name="hgj_1_1_4" hidden="1">{"Input_Fin",#N/A,FALSE,"By Code";"Input_Opt",#N/A,FALSE,"By Code"}</definedName>
    <definedName name="hgj_1_1_5" hidden="1">{"Input_Fin",#N/A,FALSE,"By Code";"Input_Opt",#N/A,FALSE,"By Code"}</definedName>
    <definedName name="hgj_1_2" hidden="1">{"Input_Fin",#N/A,FALSE,"By Code";"Input_Opt",#N/A,FALSE,"By Code"}</definedName>
    <definedName name="hgj_1_2_1" hidden="1">{"Input_Fin",#N/A,FALSE,"By Code";"Input_Opt",#N/A,FALSE,"By Code"}</definedName>
    <definedName name="hgj_1_2_2" hidden="1">{"Input_Fin",#N/A,FALSE,"By Code";"Input_Opt",#N/A,FALSE,"By Code"}</definedName>
    <definedName name="hgj_1_2_3" hidden="1">{"Input_Fin",#N/A,FALSE,"By Code";"Input_Opt",#N/A,FALSE,"By Code"}</definedName>
    <definedName name="hgj_1_3" hidden="1">{"Input_Fin",#N/A,FALSE,"By Code";"Input_Opt",#N/A,FALSE,"By Code"}</definedName>
    <definedName name="hgj_1_3_1" hidden="1">{"Input_Fin",#N/A,FALSE,"By Code";"Input_Opt",#N/A,FALSE,"By Code"}</definedName>
    <definedName name="hgj_1_3_2" hidden="1">{"Input_Fin",#N/A,FALSE,"By Code";"Input_Opt",#N/A,FALSE,"By Code"}</definedName>
    <definedName name="hgj_1_4" hidden="1">{"Input_Fin",#N/A,FALSE,"By Code";"Input_Opt",#N/A,FALSE,"By Code"}</definedName>
    <definedName name="hgj_1_5" hidden="1">{"Input_Fin",#N/A,FALSE,"By Code";"Input_Opt",#N/A,FALSE,"By Code"}</definedName>
    <definedName name="hgj_2" hidden="1">{"Input_Fin",#N/A,FALSE,"By Code";"Input_Opt",#N/A,FALSE,"By Code"}</definedName>
    <definedName name="hgj_2_1" hidden="1">{"Input_Fin",#N/A,FALSE,"By Code";"Input_Opt",#N/A,FALSE,"By Code"}</definedName>
    <definedName name="hgj_2_1_1" hidden="1">{"Input_Fin",#N/A,FALSE,"By Code";"Input_Opt",#N/A,FALSE,"By Code"}</definedName>
    <definedName name="hgj_2_1_1_1" hidden="1">{"Input_Fin",#N/A,FALSE,"By Code";"Input_Opt",#N/A,FALSE,"By Code"}</definedName>
    <definedName name="hgj_2_1_1_2" hidden="1">{"Input_Fin",#N/A,FALSE,"By Code";"Input_Opt",#N/A,FALSE,"By Code"}</definedName>
    <definedName name="hgj_2_1_1_3" hidden="1">{"Input_Fin",#N/A,FALSE,"By Code";"Input_Opt",#N/A,FALSE,"By Code"}</definedName>
    <definedName name="hgj_2_1_2" hidden="1">{"Input_Fin",#N/A,FALSE,"By Code";"Input_Opt",#N/A,FALSE,"By Code"}</definedName>
    <definedName name="hgj_2_1_2_1" hidden="1">{"Input_Fin",#N/A,FALSE,"By Code";"Input_Opt",#N/A,FALSE,"By Code"}</definedName>
    <definedName name="hgj_2_1_2_2" hidden="1">{"Input_Fin",#N/A,FALSE,"By Code";"Input_Opt",#N/A,FALSE,"By Code"}</definedName>
    <definedName name="hgj_2_1_3" hidden="1">{"Input_Fin",#N/A,FALSE,"By Code";"Input_Opt",#N/A,FALSE,"By Code"}</definedName>
    <definedName name="hgj_2_1_4" hidden="1">{"Input_Fin",#N/A,FALSE,"By Code";"Input_Opt",#N/A,FALSE,"By Code"}</definedName>
    <definedName name="hgj_2_2" hidden="1">{"Input_Fin",#N/A,FALSE,"By Code";"Input_Opt",#N/A,FALSE,"By Code"}</definedName>
    <definedName name="hgj_2_2_1" hidden="1">{"Input_Fin",#N/A,FALSE,"By Code";"Input_Opt",#N/A,FALSE,"By Code"}</definedName>
    <definedName name="hgj_2_2_2" hidden="1">{"Input_Fin",#N/A,FALSE,"By Code";"Input_Opt",#N/A,FALSE,"By Code"}</definedName>
    <definedName name="hgj_2_2_3" hidden="1">{"Input_Fin",#N/A,FALSE,"By Code";"Input_Opt",#N/A,FALSE,"By Code"}</definedName>
    <definedName name="hgj_2_3" hidden="1">{"Input_Fin",#N/A,FALSE,"By Code";"Input_Opt",#N/A,FALSE,"By Code"}</definedName>
    <definedName name="hgj_2_3_1" hidden="1">{"Input_Fin",#N/A,FALSE,"By Code";"Input_Opt",#N/A,FALSE,"By Code"}</definedName>
    <definedName name="hgj_2_3_2" hidden="1">{"Input_Fin",#N/A,FALSE,"By Code";"Input_Opt",#N/A,FALSE,"By Code"}</definedName>
    <definedName name="hgj_2_4" hidden="1">{"Input_Fin",#N/A,FALSE,"By Code";"Input_Opt",#N/A,FALSE,"By Code"}</definedName>
    <definedName name="hgj_2_5" hidden="1">{"Input_Fin",#N/A,FALSE,"By Code";"Input_Opt",#N/A,FALSE,"By Code"}</definedName>
    <definedName name="hgj_3" hidden="1">{"Input_Fin",#N/A,FALSE,"By Code";"Input_Opt",#N/A,FALSE,"By Code"}</definedName>
    <definedName name="hgj_3_1" hidden="1">{"Input_Fin",#N/A,FALSE,"By Code";"Input_Opt",#N/A,FALSE,"By Code"}</definedName>
    <definedName name="hgj_3_1_1" hidden="1">{"Input_Fin",#N/A,FALSE,"By Code";"Input_Opt",#N/A,FALSE,"By Code"}</definedName>
    <definedName name="hgj_3_1_1_1" hidden="1">{"Input_Fin",#N/A,FALSE,"By Code";"Input_Opt",#N/A,FALSE,"By Code"}</definedName>
    <definedName name="hgj_3_1_1_2" hidden="1">{"Input_Fin",#N/A,FALSE,"By Code";"Input_Opt",#N/A,FALSE,"By Code"}</definedName>
    <definedName name="hgj_3_1_1_3" hidden="1">{"Input_Fin",#N/A,FALSE,"By Code";"Input_Opt",#N/A,FALSE,"By Code"}</definedName>
    <definedName name="hgj_3_1_2" hidden="1">{"Input_Fin",#N/A,FALSE,"By Code";"Input_Opt",#N/A,FALSE,"By Code"}</definedName>
    <definedName name="hgj_3_1_2_1" hidden="1">{"Input_Fin",#N/A,FALSE,"By Code";"Input_Opt",#N/A,FALSE,"By Code"}</definedName>
    <definedName name="hgj_3_1_2_2" hidden="1">{"Input_Fin",#N/A,FALSE,"By Code";"Input_Opt",#N/A,FALSE,"By Code"}</definedName>
    <definedName name="hgj_3_1_3" hidden="1">{"Input_Fin",#N/A,FALSE,"By Code";"Input_Opt",#N/A,FALSE,"By Code"}</definedName>
    <definedName name="hgj_3_1_4" hidden="1">{"Input_Fin",#N/A,FALSE,"By Code";"Input_Opt",#N/A,FALSE,"By Code"}</definedName>
    <definedName name="hgj_3_2" hidden="1">{"Input_Fin",#N/A,FALSE,"By Code";"Input_Opt",#N/A,FALSE,"By Code"}</definedName>
    <definedName name="hgj_3_2_1" hidden="1">{"Input_Fin",#N/A,FALSE,"By Code";"Input_Opt",#N/A,FALSE,"By Code"}</definedName>
    <definedName name="hgj_3_2_2" hidden="1">{"Input_Fin",#N/A,FALSE,"By Code";"Input_Opt",#N/A,FALSE,"By Code"}</definedName>
    <definedName name="hgj_3_2_3" hidden="1">{"Input_Fin",#N/A,FALSE,"By Code";"Input_Opt",#N/A,FALSE,"By Code"}</definedName>
    <definedName name="hgj_3_3" hidden="1">{"Input_Fin",#N/A,FALSE,"By Code";"Input_Opt",#N/A,FALSE,"By Code"}</definedName>
    <definedName name="hgj_3_3_1" hidden="1">{"Input_Fin",#N/A,FALSE,"By Code";"Input_Opt",#N/A,FALSE,"By Code"}</definedName>
    <definedName name="hgj_3_3_2" hidden="1">{"Input_Fin",#N/A,FALSE,"By Code";"Input_Opt",#N/A,FALSE,"By Code"}</definedName>
    <definedName name="hgj_3_4" hidden="1">{"Input_Fin",#N/A,FALSE,"By Code";"Input_Opt",#N/A,FALSE,"By Code"}</definedName>
    <definedName name="hgj_3_5" hidden="1">{"Input_Fin",#N/A,FALSE,"By Code";"Input_Opt",#N/A,FALSE,"By Code"}</definedName>
    <definedName name="hgj_4" hidden="1">{"Input_Fin",#N/A,FALSE,"By Code";"Input_Opt",#N/A,FALSE,"By Code"}</definedName>
    <definedName name="hgj_4_1" hidden="1">{"Input_Fin",#N/A,FALSE,"By Code";"Input_Opt",#N/A,FALSE,"By Code"}</definedName>
    <definedName name="hgj_4_1_1" hidden="1">{"Input_Fin",#N/A,FALSE,"By Code";"Input_Opt",#N/A,FALSE,"By Code"}</definedName>
    <definedName name="hgj_4_1_1_1" hidden="1">{"Input_Fin",#N/A,FALSE,"By Code";"Input_Opt",#N/A,FALSE,"By Code"}</definedName>
    <definedName name="hgj_4_1_1_2" hidden="1">{"Input_Fin",#N/A,FALSE,"By Code";"Input_Opt",#N/A,FALSE,"By Code"}</definedName>
    <definedName name="hgj_4_1_1_3" hidden="1">{"Input_Fin",#N/A,FALSE,"By Code";"Input_Opt",#N/A,FALSE,"By Code"}</definedName>
    <definedName name="hgj_4_1_2" hidden="1">{"Input_Fin",#N/A,FALSE,"By Code";"Input_Opt",#N/A,FALSE,"By Code"}</definedName>
    <definedName name="hgj_4_1_2_1" hidden="1">{"Input_Fin",#N/A,FALSE,"By Code";"Input_Opt",#N/A,FALSE,"By Code"}</definedName>
    <definedName name="hgj_4_1_2_2" hidden="1">{"Input_Fin",#N/A,FALSE,"By Code";"Input_Opt",#N/A,FALSE,"By Code"}</definedName>
    <definedName name="hgj_4_1_3" hidden="1">{"Input_Fin",#N/A,FALSE,"By Code";"Input_Opt",#N/A,FALSE,"By Code"}</definedName>
    <definedName name="hgj_4_1_4" hidden="1">{"Input_Fin",#N/A,FALSE,"By Code";"Input_Opt",#N/A,FALSE,"By Code"}</definedName>
    <definedName name="hgj_4_2" hidden="1">{"Input_Fin",#N/A,FALSE,"By Code";"Input_Opt",#N/A,FALSE,"By Code"}</definedName>
    <definedName name="hgj_4_2_1" hidden="1">{"Input_Fin",#N/A,FALSE,"By Code";"Input_Opt",#N/A,FALSE,"By Code"}</definedName>
    <definedName name="hgj_4_2_2" hidden="1">{"Input_Fin",#N/A,FALSE,"By Code";"Input_Opt",#N/A,FALSE,"By Code"}</definedName>
    <definedName name="hgj_4_2_3" hidden="1">{"Input_Fin",#N/A,FALSE,"By Code";"Input_Opt",#N/A,FALSE,"By Code"}</definedName>
    <definedName name="hgj_4_3" hidden="1">{"Input_Fin",#N/A,FALSE,"By Code";"Input_Opt",#N/A,FALSE,"By Code"}</definedName>
    <definedName name="hgj_4_3_1" hidden="1">{"Input_Fin",#N/A,FALSE,"By Code";"Input_Opt",#N/A,FALSE,"By Code"}</definedName>
    <definedName name="hgj_4_3_2" hidden="1">{"Input_Fin",#N/A,FALSE,"By Code";"Input_Opt",#N/A,FALSE,"By Code"}</definedName>
    <definedName name="hgj_4_4" hidden="1">{"Input_Fin",#N/A,FALSE,"By Code";"Input_Opt",#N/A,FALSE,"By Code"}</definedName>
    <definedName name="hgj_4_5" hidden="1">{"Input_Fin",#N/A,FALSE,"By Code";"Input_Opt",#N/A,FALSE,"By Code"}</definedName>
    <definedName name="hgj_5" hidden="1">{"Input_Fin",#N/A,FALSE,"By Code";"Input_Opt",#N/A,FALSE,"By Code"}</definedName>
    <definedName name="hgj_5_1" hidden="1">{"Input_Fin",#N/A,FALSE,"By Code";"Input_Opt",#N/A,FALSE,"By Code"}</definedName>
    <definedName name="hgj_5_1_1" hidden="1">{"Input_Fin",#N/A,FALSE,"By Code";"Input_Opt",#N/A,FALSE,"By Code"}</definedName>
    <definedName name="hgj_5_1_1_1" hidden="1">{"Input_Fin",#N/A,FALSE,"By Code";"Input_Opt",#N/A,FALSE,"By Code"}</definedName>
    <definedName name="hgj_5_1_1_2" hidden="1">{"Input_Fin",#N/A,FALSE,"By Code";"Input_Opt",#N/A,FALSE,"By Code"}</definedName>
    <definedName name="hgj_5_1_1_3" hidden="1">{"Input_Fin",#N/A,FALSE,"By Code";"Input_Opt",#N/A,FALSE,"By Code"}</definedName>
    <definedName name="hgj_5_1_2" hidden="1">{"Input_Fin",#N/A,FALSE,"By Code";"Input_Opt",#N/A,FALSE,"By Code"}</definedName>
    <definedName name="hgj_5_1_2_1" hidden="1">{"Input_Fin",#N/A,FALSE,"By Code";"Input_Opt",#N/A,FALSE,"By Code"}</definedName>
    <definedName name="hgj_5_1_2_2" hidden="1">{"Input_Fin",#N/A,FALSE,"By Code";"Input_Opt",#N/A,FALSE,"By Code"}</definedName>
    <definedName name="hgj_5_1_3" hidden="1">{"Input_Fin",#N/A,FALSE,"By Code";"Input_Opt",#N/A,FALSE,"By Code"}</definedName>
    <definedName name="hgj_5_1_4" hidden="1">{"Input_Fin",#N/A,FALSE,"By Code";"Input_Opt",#N/A,FALSE,"By Code"}</definedName>
    <definedName name="hgj_5_2" hidden="1">{"Input_Fin",#N/A,FALSE,"By Code";"Input_Opt",#N/A,FALSE,"By Code"}</definedName>
    <definedName name="hgj_5_2_1" hidden="1">{"Input_Fin",#N/A,FALSE,"By Code";"Input_Opt",#N/A,FALSE,"By Code"}</definedName>
    <definedName name="hgj_5_2_2" hidden="1">{"Input_Fin",#N/A,FALSE,"By Code";"Input_Opt",#N/A,FALSE,"By Code"}</definedName>
    <definedName name="hgj_5_2_3" hidden="1">{"Input_Fin",#N/A,FALSE,"By Code";"Input_Opt",#N/A,FALSE,"By Code"}</definedName>
    <definedName name="hgj_5_3" hidden="1">{"Input_Fin",#N/A,FALSE,"By Code";"Input_Opt",#N/A,FALSE,"By Code"}</definedName>
    <definedName name="hgj_5_3_1" hidden="1">{"Input_Fin",#N/A,FALSE,"By Code";"Input_Opt",#N/A,FALSE,"By Code"}</definedName>
    <definedName name="hgj_5_3_2" hidden="1">{"Input_Fin",#N/A,FALSE,"By Code";"Input_Opt",#N/A,FALSE,"By Code"}</definedName>
    <definedName name="hgj_5_4" hidden="1">{"Input_Fin",#N/A,FALSE,"By Code";"Input_Opt",#N/A,FALSE,"By Code"}</definedName>
    <definedName name="hgj_5_5" hidden="1">{"Input_Fin",#N/A,FALSE,"By Code";"Input_Opt",#N/A,FALSE,"By Code"}</definedName>
    <definedName name="HHH" localSheetId="12" hidden="1">{"'Sheet4'!$A$1:$L$41"}</definedName>
    <definedName name="HHH" hidden="1">{"'Sheet4'!$A$1:$L$41"}</definedName>
    <definedName name="HHH_1" hidden="1">{"'Sheet4'!$A$1:$L$41"}</definedName>
    <definedName name="HHH_1_1" hidden="1">{"'Sheet4'!$A$1:$L$41"}</definedName>
    <definedName name="HHH_1_1_1" hidden="1">{"'Sheet4'!$A$1:$L$41"}</definedName>
    <definedName name="HHH_1_1_2" hidden="1">{"'Sheet4'!$A$1:$L$41"}</definedName>
    <definedName name="HHH_1_1_3" hidden="1">{"'Sheet4'!$A$1:$L$41"}</definedName>
    <definedName name="HHH_1_2" hidden="1">{"'Sheet4'!$A$1:$L$41"}</definedName>
    <definedName name="HHH_1_2_1" hidden="1">{"'Sheet4'!$A$1:$L$41"}</definedName>
    <definedName name="HHH_1_2_2" hidden="1">{"'Sheet4'!$A$1:$L$41"}</definedName>
    <definedName name="HHH_1_3" hidden="1">{"'Sheet4'!$A$1:$L$41"}</definedName>
    <definedName name="HHH_1_4" hidden="1">{"'Sheet4'!$A$1:$L$41"}</definedName>
    <definedName name="HHH_2" hidden="1">{"'Sheet4'!$A$1:$L$41"}</definedName>
    <definedName name="HHH_2_1" hidden="1">{"'Sheet4'!$A$1:$L$41"}</definedName>
    <definedName name="HHH_2_2" hidden="1">{"'Sheet4'!$A$1:$L$41"}</definedName>
    <definedName name="HHH_2_3" hidden="1">{"'Sheet4'!$A$1:$L$41"}</definedName>
    <definedName name="HHH_3" hidden="1">{"'Sheet4'!$A$1:$L$41"}</definedName>
    <definedName name="HHH_3_1" hidden="1">{"'Sheet4'!$A$1:$L$41"}</definedName>
    <definedName name="HHH_3_2" hidden="1">{"'Sheet4'!$A$1:$L$41"}</definedName>
    <definedName name="HHH_4" hidden="1">{"'Sheet4'!$A$1:$L$41"}</definedName>
    <definedName name="HHH_5" hidden="1">{"'Sheet4'!$A$1:$L$41"}</definedName>
    <definedName name="hkd">1.0611</definedName>
    <definedName name="hongz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ongz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sdhgf" localSheetId="12" hidden="1">{"Input_Fin",#N/A,FALSE,"By Code";"Input_Opt",#N/A,FALSE,"By Code"}</definedName>
    <definedName name="hsdhgf" hidden="1">{"Input_Fin",#N/A,FALSE,"By Code";"Input_Opt",#N/A,FALSE,"By Code"}</definedName>
    <definedName name="hsdhgf_1" hidden="1">{"Input_Fin",#N/A,FALSE,"By Code";"Input_Opt",#N/A,FALSE,"By Code"}</definedName>
    <definedName name="hsdhgf_1_1" hidden="1">{"Input_Fin",#N/A,FALSE,"By Code";"Input_Opt",#N/A,FALSE,"By Code"}</definedName>
    <definedName name="hsdhgf_1_1_1" hidden="1">{"Input_Fin",#N/A,FALSE,"By Code";"Input_Opt",#N/A,FALSE,"By Code"}</definedName>
    <definedName name="hsdhgf_1_1_2" hidden="1">{"Input_Fin",#N/A,FALSE,"By Code";"Input_Opt",#N/A,FALSE,"By Code"}</definedName>
    <definedName name="hsdhgf_1_1_3" hidden="1">{"Input_Fin",#N/A,FALSE,"By Code";"Input_Opt",#N/A,FALSE,"By Code"}</definedName>
    <definedName name="hsdhgf_1_2" hidden="1">{"Input_Fin",#N/A,FALSE,"By Code";"Input_Opt",#N/A,FALSE,"By Code"}</definedName>
    <definedName name="hsdhgf_1_2_1" hidden="1">{"Input_Fin",#N/A,FALSE,"By Code";"Input_Opt",#N/A,FALSE,"By Code"}</definedName>
    <definedName name="hsdhgf_1_2_2" hidden="1">{"Input_Fin",#N/A,FALSE,"By Code";"Input_Opt",#N/A,FALSE,"By Code"}</definedName>
    <definedName name="hsdhgf_1_3" hidden="1">{"Input_Fin",#N/A,FALSE,"By Code";"Input_Opt",#N/A,FALSE,"By Code"}</definedName>
    <definedName name="hsdhgf_1_4" hidden="1">{"Input_Fin",#N/A,FALSE,"By Code";"Input_Opt",#N/A,FALSE,"By Code"}</definedName>
    <definedName name="hsdhgf_2" hidden="1">{"Input_Fin",#N/A,FALSE,"By Code";"Input_Opt",#N/A,FALSE,"By Code"}</definedName>
    <definedName name="hsdhgf_2_1" hidden="1">{"Input_Fin",#N/A,FALSE,"By Code";"Input_Opt",#N/A,FALSE,"By Code"}</definedName>
    <definedName name="hsdhgf_2_2" hidden="1">{"Input_Fin",#N/A,FALSE,"By Code";"Input_Opt",#N/A,FALSE,"By Code"}</definedName>
    <definedName name="hsdhgf_2_3" hidden="1">{"Input_Fin",#N/A,FALSE,"By Code";"Input_Opt",#N/A,FALSE,"By Code"}</definedName>
    <definedName name="hsdhgf_3" hidden="1">{"Input_Fin",#N/A,FALSE,"By Code";"Input_Opt",#N/A,FALSE,"By Code"}</definedName>
    <definedName name="hsdhgf_3_1" hidden="1">{"Input_Fin",#N/A,FALSE,"By Code";"Input_Opt",#N/A,FALSE,"By Code"}</definedName>
    <definedName name="hsdhgf_3_2" hidden="1">{"Input_Fin",#N/A,FALSE,"By Code";"Input_Opt",#N/A,FALSE,"By Code"}</definedName>
    <definedName name="hsdhgf_4" hidden="1">{"Input_Fin",#N/A,FALSE,"By Code";"Input_Opt",#N/A,FALSE,"By Code"}</definedName>
    <definedName name="hsdhgf_5" hidden="1">{"Input_Fin",#N/A,FALSE,"By Code";"Input_Opt",#N/A,FALSE,"By Code"}</definedName>
    <definedName name="htb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ML_CodePage" localSheetId="12" hidden="1">936</definedName>
    <definedName name="HTML_CodePage" hidden="1">874</definedName>
    <definedName name="HTML_Control" localSheetId="12" hidden="1">{"'Sheet4'!$A$1:$L$41"}</definedName>
    <definedName name="HTML_Control" hidden="1">{"'Test'!$B$2:$H$6","'Test'!$B$2:$H$23"}</definedName>
    <definedName name="HTML_Control_1" hidden="1">{"'Sheet4'!$A$1:$L$41"}</definedName>
    <definedName name="HTML_Control_1_1" hidden="1">{"'Sheet4'!$A$1:$L$41"}</definedName>
    <definedName name="HTML_Control_1_1_1" hidden="1">{"'Sheet4'!$A$1:$L$41"}</definedName>
    <definedName name="HTML_Control_1_1_1_1" hidden="1">{"'Sheet4'!$A$1:$L$41"}</definedName>
    <definedName name="HTML_Control_1_1_1_1_1" hidden="1">{"'Sheet4'!$A$1:$L$41"}</definedName>
    <definedName name="HTML_Control_1_1_1_1_2" hidden="1">{"'Sheet4'!$A$1:$L$41"}</definedName>
    <definedName name="HTML_Control_1_1_1_1_3" hidden="1">{"'Sheet4'!$A$1:$L$41"}</definedName>
    <definedName name="HTML_Control_1_1_1_2" hidden="1">{"'Sheet4'!$A$1:$L$41"}</definedName>
    <definedName name="HTML_Control_1_1_1_2_1" hidden="1">{"'Sheet4'!$A$1:$L$41"}</definedName>
    <definedName name="HTML_Control_1_1_1_2_2" hidden="1">{"'Sheet4'!$A$1:$L$41"}</definedName>
    <definedName name="HTML_Control_1_1_1_3" hidden="1">{"'Sheet4'!$A$1:$L$41"}</definedName>
    <definedName name="HTML_Control_1_1_1_3_1" hidden="1">{"'Sheet4'!$A$1:$L$41"}</definedName>
    <definedName name="HTML_Control_1_1_1_3_2" hidden="1">{"'Sheet4'!$A$1:$L$41"}</definedName>
    <definedName name="HTML_Control_1_1_1_4" hidden="1">{"'Sheet4'!$A$1:$L$41"}</definedName>
    <definedName name="HTML_Control_1_1_1_5" hidden="1">{"'Sheet4'!$A$1:$L$41"}</definedName>
    <definedName name="HTML_Control_1_1_2" hidden="1">{"'Sheet4'!$A$1:$L$41"}</definedName>
    <definedName name="HTML_Control_1_1_2_1" hidden="1">{"'Sheet4'!$A$1:$L$41"}</definedName>
    <definedName name="HTML_Control_1_1_2_2" hidden="1">{"'Sheet4'!$A$1:$L$41"}</definedName>
    <definedName name="HTML_Control_1_1_2_3" hidden="1">{"'Sheet4'!$A$1:$L$41"}</definedName>
    <definedName name="HTML_Control_1_1_3" hidden="1">{"'Sheet4'!$A$1:$L$41"}</definedName>
    <definedName name="HTML_Control_1_1_3_1" hidden="1">{"'Sheet4'!$A$1:$L$41"}</definedName>
    <definedName name="HTML_Control_1_1_3_2" hidden="1">{"'Sheet4'!$A$1:$L$41"}</definedName>
    <definedName name="HTML_Control_1_1_4" hidden="1">{"'Sheet4'!$A$1:$L$41"}</definedName>
    <definedName name="HTML_Control_1_1_5" hidden="1">{"'Sheet4'!$A$1:$L$41"}</definedName>
    <definedName name="HTML_Control_1_2" hidden="1">{"'Sheet4'!$A$1:$L$41"}</definedName>
    <definedName name="HTML_Control_1_2_1" hidden="1">{"'Sheet4'!$A$1:$L$41"}</definedName>
    <definedName name="HTML_Control_1_2_2" hidden="1">{"'Sheet4'!$A$1:$L$41"}</definedName>
    <definedName name="HTML_Control_1_2_3" hidden="1">{"'Sheet4'!$A$1:$L$41"}</definedName>
    <definedName name="HTML_Control_1_3" hidden="1">{"'Sheet4'!$A$1:$L$41"}</definedName>
    <definedName name="HTML_Control_1_3_1" hidden="1">{"'Sheet4'!$A$1:$L$41"}</definedName>
    <definedName name="HTML_Control_1_3_2" hidden="1">{"'Sheet4'!$A$1:$L$41"}</definedName>
    <definedName name="HTML_Control_1_4" hidden="1">{"'Sheet4'!$A$1:$L$41"}</definedName>
    <definedName name="HTML_Control_1_5" hidden="1">{"'Sheet4'!$A$1:$L$41"}</definedName>
    <definedName name="HTML_Control_2" hidden="1">{"'Sheet4'!$A$1:$L$41"}</definedName>
    <definedName name="HTML_Control_2_1" hidden="1">{"'Sheet4'!$A$1:$L$41"}</definedName>
    <definedName name="HTML_Control_2_1_1" hidden="1">{"'Sheet4'!$A$1:$L$41"}</definedName>
    <definedName name="HTML_Control_2_1_1_1" hidden="1">{"'Sheet4'!$A$1:$L$41"}</definedName>
    <definedName name="HTML_Control_2_1_1_2" hidden="1">{"'Sheet4'!$A$1:$L$41"}</definedName>
    <definedName name="HTML_Control_2_1_1_3" hidden="1">{"'Sheet4'!$A$1:$L$41"}</definedName>
    <definedName name="HTML_Control_2_1_2" hidden="1">{"'Sheet4'!$A$1:$L$41"}</definedName>
    <definedName name="HTML_Control_2_1_2_1" hidden="1">{"'Sheet4'!$A$1:$L$41"}</definedName>
    <definedName name="HTML_Control_2_1_2_2" hidden="1">{"'Sheet4'!$A$1:$L$41"}</definedName>
    <definedName name="HTML_Control_2_1_3" hidden="1">{"'Sheet4'!$A$1:$L$41"}</definedName>
    <definedName name="HTML_Control_2_1_4" hidden="1">{"'Sheet4'!$A$1:$L$41"}</definedName>
    <definedName name="HTML_Control_2_2" hidden="1">{"'Sheet4'!$A$1:$L$41"}</definedName>
    <definedName name="HTML_Control_2_2_1" hidden="1">{"'Sheet4'!$A$1:$L$41"}</definedName>
    <definedName name="HTML_Control_2_2_2" hidden="1">{"'Sheet4'!$A$1:$L$41"}</definedName>
    <definedName name="HTML_Control_2_2_3" hidden="1">{"'Sheet4'!$A$1:$L$41"}</definedName>
    <definedName name="HTML_Control_2_3" hidden="1">{"'Sheet4'!$A$1:$L$41"}</definedName>
    <definedName name="HTML_Control_2_3_1" hidden="1">{"'Sheet4'!$A$1:$L$41"}</definedName>
    <definedName name="HTML_Control_2_3_2" hidden="1">{"'Sheet4'!$A$1:$L$41"}</definedName>
    <definedName name="HTML_Control_2_4" hidden="1">{"'Sheet4'!$A$1:$L$41"}</definedName>
    <definedName name="HTML_Control_2_5" hidden="1">{"'Sheet4'!$A$1:$L$41"}</definedName>
    <definedName name="HTML_Control_3" hidden="1">{"'Sheet4'!$A$1:$L$41"}</definedName>
    <definedName name="HTML_Control_3_1" hidden="1">{"'Sheet4'!$A$1:$L$41"}</definedName>
    <definedName name="HTML_Control_3_1_1" hidden="1">{"'Sheet4'!$A$1:$L$41"}</definedName>
    <definedName name="HTML_Control_3_1_1_1" hidden="1">{"'Sheet4'!$A$1:$L$41"}</definedName>
    <definedName name="HTML_Control_3_1_1_2" hidden="1">{"'Sheet4'!$A$1:$L$41"}</definedName>
    <definedName name="HTML_Control_3_1_1_3" hidden="1">{"'Sheet4'!$A$1:$L$41"}</definedName>
    <definedName name="HTML_Control_3_1_2" hidden="1">{"'Sheet4'!$A$1:$L$41"}</definedName>
    <definedName name="HTML_Control_3_1_2_1" hidden="1">{"'Sheet4'!$A$1:$L$41"}</definedName>
    <definedName name="HTML_Control_3_1_2_2" hidden="1">{"'Sheet4'!$A$1:$L$41"}</definedName>
    <definedName name="HTML_Control_3_1_3" hidden="1">{"'Sheet4'!$A$1:$L$41"}</definedName>
    <definedName name="HTML_Control_3_1_4" hidden="1">{"'Sheet4'!$A$1:$L$41"}</definedName>
    <definedName name="HTML_Control_3_2" hidden="1">{"'Sheet4'!$A$1:$L$41"}</definedName>
    <definedName name="HTML_Control_3_2_1" hidden="1">{"'Sheet4'!$A$1:$L$41"}</definedName>
    <definedName name="HTML_Control_3_2_2" hidden="1">{"'Sheet4'!$A$1:$L$41"}</definedName>
    <definedName name="HTML_Control_3_2_3" hidden="1">{"'Sheet4'!$A$1:$L$41"}</definedName>
    <definedName name="HTML_Control_3_3" hidden="1">{"'Sheet4'!$A$1:$L$41"}</definedName>
    <definedName name="HTML_Control_3_3_1" hidden="1">{"'Sheet4'!$A$1:$L$41"}</definedName>
    <definedName name="HTML_Control_3_3_2" hidden="1">{"'Sheet4'!$A$1:$L$41"}</definedName>
    <definedName name="HTML_Control_3_4" hidden="1">{"'Sheet4'!$A$1:$L$41"}</definedName>
    <definedName name="HTML_Control_3_5" hidden="1">{"'Sheet4'!$A$1:$L$41"}</definedName>
    <definedName name="HTML_Control_4" hidden="1">{"'Sheet4'!$A$1:$L$41"}</definedName>
    <definedName name="HTML_Control_4_1" hidden="1">{"'Sheet4'!$A$1:$L$41"}</definedName>
    <definedName name="HTML_Control_4_1_1" hidden="1">{"'Sheet4'!$A$1:$L$41"}</definedName>
    <definedName name="HTML_Control_4_1_1_1" hidden="1">{"'Sheet4'!$A$1:$L$41"}</definedName>
    <definedName name="HTML_Control_4_1_1_2" hidden="1">{"'Sheet4'!$A$1:$L$41"}</definedName>
    <definedName name="HTML_Control_4_1_1_3" hidden="1">{"'Sheet4'!$A$1:$L$41"}</definedName>
    <definedName name="HTML_Control_4_1_2" hidden="1">{"'Sheet4'!$A$1:$L$41"}</definedName>
    <definedName name="HTML_Control_4_1_2_1" hidden="1">{"'Sheet4'!$A$1:$L$41"}</definedName>
    <definedName name="HTML_Control_4_1_2_2" hidden="1">{"'Sheet4'!$A$1:$L$41"}</definedName>
    <definedName name="HTML_Control_4_1_3" hidden="1">{"'Sheet4'!$A$1:$L$41"}</definedName>
    <definedName name="HTML_Control_4_1_4" hidden="1">{"'Sheet4'!$A$1:$L$41"}</definedName>
    <definedName name="HTML_Control_4_2" hidden="1">{"'Sheet4'!$A$1:$L$41"}</definedName>
    <definedName name="HTML_Control_4_2_1" hidden="1">{"'Sheet4'!$A$1:$L$41"}</definedName>
    <definedName name="HTML_Control_4_2_2" hidden="1">{"'Sheet4'!$A$1:$L$41"}</definedName>
    <definedName name="HTML_Control_4_2_3" hidden="1">{"'Sheet4'!$A$1:$L$41"}</definedName>
    <definedName name="HTML_Control_4_3" hidden="1">{"'Sheet4'!$A$1:$L$41"}</definedName>
    <definedName name="HTML_Control_4_3_1" hidden="1">{"'Sheet4'!$A$1:$L$41"}</definedName>
    <definedName name="HTML_Control_4_3_2" hidden="1">{"'Sheet4'!$A$1:$L$41"}</definedName>
    <definedName name="HTML_Control_4_4" hidden="1">{"'Sheet4'!$A$1:$L$41"}</definedName>
    <definedName name="HTML_Control_4_5" hidden="1">{"'Sheet4'!$A$1:$L$41"}</definedName>
    <definedName name="HTML_Control_5" hidden="1">{"'Sheet4'!$A$1:$L$41"}</definedName>
    <definedName name="HTML_Control_5_1" hidden="1">{"'Sheet4'!$A$1:$L$41"}</definedName>
    <definedName name="HTML_Control_5_1_1" hidden="1">{"'Sheet4'!$A$1:$L$41"}</definedName>
    <definedName name="HTML_Control_5_1_1_1" hidden="1">{"'Sheet4'!$A$1:$L$41"}</definedName>
    <definedName name="HTML_Control_5_1_1_2" hidden="1">{"'Sheet4'!$A$1:$L$41"}</definedName>
    <definedName name="HTML_Control_5_1_1_3" hidden="1">{"'Sheet4'!$A$1:$L$41"}</definedName>
    <definedName name="HTML_Control_5_1_2" hidden="1">{"'Sheet4'!$A$1:$L$41"}</definedName>
    <definedName name="HTML_Control_5_1_2_1" hidden="1">{"'Sheet4'!$A$1:$L$41"}</definedName>
    <definedName name="HTML_Control_5_1_2_2" hidden="1">{"'Sheet4'!$A$1:$L$41"}</definedName>
    <definedName name="HTML_Control_5_1_3" hidden="1">{"'Sheet4'!$A$1:$L$41"}</definedName>
    <definedName name="HTML_Control_5_1_4" hidden="1">{"'Sheet4'!$A$1:$L$41"}</definedName>
    <definedName name="HTML_Control_5_2" hidden="1">{"'Sheet4'!$A$1:$L$41"}</definedName>
    <definedName name="HTML_Control_5_2_1" hidden="1">{"'Sheet4'!$A$1:$L$41"}</definedName>
    <definedName name="HTML_Control_5_2_2" hidden="1">{"'Sheet4'!$A$1:$L$41"}</definedName>
    <definedName name="HTML_Control_5_2_3" hidden="1">{"'Sheet4'!$A$1:$L$41"}</definedName>
    <definedName name="HTML_Control_5_3" hidden="1">{"'Sheet4'!$A$1:$L$41"}</definedName>
    <definedName name="HTML_Control_5_3_1" hidden="1">{"'Sheet4'!$A$1:$L$41"}</definedName>
    <definedName name="HTML_Control_5_3_2" hidden="1">{"'Sheet4'!$A$1:$L$41"}</definedName>
    <definedName name="HTML_Control_5_4" hidden="1">{"'Sheet4'!$A$1:$L$41"}</definedName>
    <definedName name="HTML_Control_5_5" hidden="1">{"'Sheet4'!$A$1:$L$41"}</definedName>
    <definedName name="HTML_Description" hidden="1">""</definedName>
    <definedName name="HTML_Email" hidden="1">""</definedName>
    <definedName name="HTML_Header" localSheetId="12" hidden="1">"Sheet4"</definedName>
    <definedName name="HTML_Header" hidden="1">"Test"</definedName>
    <definedName name="HTML_LastUpdate" localSheetId="12" hidden="1">"98-12-2"</definedName>
    <definedName name="HTML_LastUpdate" hidden="1">"6/7/00"</definedName>
    <definedName name="HTML_LineAfter" hidden="1">FALSE</definedName>
    <definedName name="HTML_LineBefore" hidden="1">FALSE</definedName>
    <definedName name="HTML_Name" localSheetId="12" hidden="1">"Zhao Yimin"</definedName>
    <definedName name="HTML_Name" hidden="1">"CP-GROUP"</definedName>
    <definedName name="HTML_OBDlg2" hidden="1">TRUE</definedName>
    <definedName name="HTML_OBDlg4" hidden="1">TRUE</definedName>
    <definedName name="HTML_OS" hidden="1">0</definedName>
    <definedName name="HTML_PathFile" localSheetId="12" hidden="1">"C:\My Documents\MyHTML.htm"</definedName>
    <definedName name="HTML_PathFile" hidden="1">"C:\SummO\MyHTML.htm"</definedName>
    <definedName name="HTML_Title" localSheetId="12" hidden="1">"98011"</definedName>
    <definedName name="HTML_Title" hidden="1">"Agrot"</definedName>
    <definedName name="huizong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WSheet">1</definedName>
    <definedName name="ilijyy" localSheetId="12" hidden="1">{"Input_Fin",#N/A,FALSE,"By Code";"Input_Opt",#N/A,FALSE,"By Code"}</definedName>
    <definedName name="ilijyy" hidden="1">{"Input_Fin",#N/A,FALSE,"By Code";"Input_Opt",#N/A,FALSE,"By Code"}</definedName>
    <definedName name="ilijyy_1" hidden="1">{"Input_Fin",#N/A,FALSE,"By Code";"Input_Opt",#N/A,FALSE,"By Code"}</definedName>
    <definedName name="ilijyy_1_1" hidden="1">{"Input_Fin",#N/A,FALSE,"By Code";"Input_Opt",#N/A,FALSE,"By Code"}</definedName>
    <definedName name="ilijyy_1_1_1" hidden="1">{"Input_Fin",#N/A,FALSE,"By Code";"Input_Opt",#N/A,FALSE,"By Code"}</definedName>
    <definedName name="ilijyy_1_1_1_1" hidden="1">{"Input_Fin",#N/A,FALSE,"By Code";"Input_Opt",#N/A,FALSE,"By Code"}</definedName>
    <definedName name="ilijyy_1_1_1_1_1" hidden="1">{"Input_Fin",#N/A,FALSE,"By Code";"Input_Opt",#N/A,FALSE,"By Code"}</definedName>
    <definedName name="ilijyy_1_1_1_1_2" hidden="1">{"Input_Fin",#N/A,FALSE,"By Code";"Input_Opt",#N/A,FALSE,"By Code"}</definedName>
    <definedName name="ilijyy_1_1_1_1_3" hidden="1">{"Input_Fin",#N/A,FALSE,"By Code";"Input_Opt",#N/A,FALSE,"By Code"}</definedName>
    <definedName name="ilijyy_1_1_1_2" hidden="1">{"Input_Fin",#N/A,FALSE,"By Code";"Input_Opt",#N/A,FALSE,"By Code"}</definedName>
    <definedName name="ilijyy_1_1_1_2_1" hidden="1">{"Input_Fin",#N/A,FALSE,"By Code";"Input_Opt",#N/A,FALSE,"By Code"}</definedName>
    <definedName name="ilijyy_1_1_1_2_2" hidden="1">{"Input_Fin",#N/A,FALSE,"By Code";"Input_Opt",#N/A,FALSE,"By Code"}</definedName>
    <definedName name="ilijyy_1_1_1_3" hidden="1">{"Input_Fin",#N/A,FALSE,"By Code";"Input_Opt",#N/A,FALSE,"By Code"}</definedName>
    <definedName name="ilijyy_1_1_1_3_1" hidden="1">{"Input_Fin",#N/A,FALSE,"By Code";"Input_Opt",#N/A,FALSE,"By Code"}</definedName>
    <definedName name="ilijyy_1_1_1_3_2" hidden="1">{"Input_Fin",#N/A,FALSE,"By Code";"Input_Opt",#N/A,FALSE,"By Code"}</definedName>
    <definedName name="ilijyy_1_1_1_4" hidden="1">{"Input_Fin",#N/A,FALSE,"By Code";"Input_Opt",#N/A,FALSE,"By Code"}</definedName>
    <definedName name="ilijyy_1_1_1_5" hidden="1">{"Input_Fin",#N/A,FALSE,"By Code";"Input_Opt",#N/A,FALSE,"By Code"}</definedName>
    <definedName name="ilijyy_1_1_2" hidden="1">{"Input_Fin",#N/A,FALSE,"By Code";"Input_Opt",#N/A,FALSE,"By Code"}</definedName>
    <definedName name="ilijyy_1_1_2_1" hidden="1">{"Input_Fin",#N/A,FALSE,"By Code";"Input_Opt",#N/A,FALSE,"By Code"}</definedName>
    <definedName name="ilijyy_1_1_2_2" hidden="1">{"Input_Fin",#N/A,FALSE,"By Code";"Input_Opt",#N/A,FALSE,"By Code"}</definedName>
    <definedName name="ilijyy_1_1_2_3" hidden="1">{"Input_Fin",#N/A,FALSE,"By Code";"Input_Opt",#N/A,FALSE,"By Code"}</definedName>
    <definedName name="ilijyy_1_1_3" hidden="1">{"Input_Fin",#N/A,FALSE,"By Code";"Input_Opt",#N/A,FALSE,"By Code"}</definedName>
    <definedName name="ilijyy_1_1_3_1" hidden="1">{"Input_Fin",#N/A,FALSE,"By Code";"Input_Opt",#N/A,FALSE,"By Code"}</definedName>
    <definedName name="ilijyy_1_1_3_2" hidden="1">{"Input_Fin",#N/A,FALSE,"By Code";"Input_Opt",#N/A,FALSE,"By Code"}</definedName>
    <definedName name="ilijyy_1_1_4" hidden="1">{"Input_Fin",#N/A,FALSE,"By Code";"Input_Opt",#N/A,FALSE,"By Code"}</definedName>
    <definedName name="ilijyy_1_1_5" hidden="1">{"Input_Fin",#N/A,FALSE,"By Code";"Input_Opt",#N/A,FALSE,"By Code"}</definedName>
    <definedName name="ilijyy_1_2" hidden="1">{"Input_Fin",#N/A,FALSE,"By Code";"Input_Opt",#N/A,FALSE,"By Code"}</definedName>
    <definedName name="ilijyy_1_2_1" hidden="1">{"Input_Fin",#N/A,FALSE,"By Code";"Input_Opt",#N/A,FALSE,"By Code"}</definedName>
    <definedName name="ilijyy_1_2_2" hidden="1">{"Input_Fin",#N/A,FALSE,"By Code";"Input_Opt",#N/A,FALSE,"By Code"}</definedName>
    <definedName name="ilijyy_1_2_3" hidden="1">{"Input_Fin",#N/A,FALSE,"By Code";"Input_Opt",#N/A,FALSE,"By Code"}</definedName>
    <definedName name="ilijyy_1_3" hidden="1">{"Input_Fin",#N/A,FALSE,"By Code";"Input_Opt",#N/A,FALSE,"By Code"}</definedName>
    <definedName name="ilijyy_1_3_1" hidden="1">{"Input_Fin",#N/A,FALSE,"By Code";"Input_Opt",#N/A,FALSE,"By Code"}</definedName>
    <definedName name="ilijyy_1_3_2" hidden="1">{"Input_Fin",#N/A,FALSE,"By Code";"Input_Opt",#N/A,FALSE,"By Code"}</definedName>
    <definedName name="ilijyy_1_4" hidden="1">{"Input_Fin",#N/A,FALSE,"By Code";"Input_Opt",#N/A,FALSE,"By Code"}</definedName>
    <definedName name="ilijyy_1_5" hidden="1">{"Input_Fin",#N/A,FALSE,"By Code";"Input_Opt",#N/A,FALSE,"By Code"}</definedName>
    <definedName name="ilijyy_2" hidden="1">{"Input_Fin",#N/A,FALSE,"By Code";"Input_Opt",#N/A,FALSE,"By Code"}</definedName>
    <definedName name="ilijyy_2_1" hidden="1">{"Input_Fin",#N/A,FALSE,"By Code";"Input_Opt",#N/A,FALSE,"By Code"}</definedName>
    <definedName name="ilijyy_2_1_1" hidden="1">{"Input_Fin",#N/A,FALSE,"By Code";"Input_Opt",#N/A,FALSE,"By Code"}</definedName>
    <definedName name="ilijyy_2_1_1_1" hidden="1">{"Input_Fin",#N/A,FALSE,"By Code";"Input_Opt",#N/A,FALSE,"By Code"}</definedName>
    <definedName name="ilijyy_2_1_1_2" hidden="1">{"Input_Fin",#N/A,FALSE,"By Code";"Input_Opt",#N/A,FALSE,"By Code"}</definedName>
    <definedName name="ilijyy_2_1_1_3" hidden="1">{"Input_Fin",#N/A,FALSE,"By Code";"Input_Opt",#N/A,FALSE,"By Code"}</definedName>
    <definedName name="ilijyy_2_1_2" hidden="1">{"Input_Fin",#N/A,FALSE,"By Code";"Input_Opt",#N/A,FALSE,"By Code"}</definedName>
    <definedName name="ilijyy_2_1_2_1" hidden="1">{"Input_Fin",#N/A,FALSE,"By Code";"Input_Opt",#N/A,FALSE,"By Code"}</definedName>
    <definedName name="ilijyy_2_1_2_2" hidden="1">{"Input_Fin",#N/A,FALSE,"By Code";"Input_Opt",#N/A,FALSE,"By Code"}</definedName>
    <definedName name="ilijyy_2_1_3" hidden="1">{"Input_Fin",#N/A,FALSE,"By Code";"Input_Opt",#N/A,FALSE,"By Code"}</definedName>
    <definedName name="ilijyy_2_1_4" hidden="1">{"Input_Fin",#N/A,FALSE,"By Code";"Input_Opt",#N/A,FALSE,"By Code"}</definedName>
    <definedName name="ilijyy_2_2" hidden="1">{"Input_Fin",#N/A,FALSE,"By Code";"Input_Opt",#N/A,FALSE,"By Code"}</definedName>
    <definedName name="ilijyy_2_2_1" hidden="1">{"Input_Fin",#N/A,FALSE,"By Code";"Input_Opt",#N/A,FALSE,"By Code"}</definedName>
    <definedName name="ilijyy_2_2_2" hidden="1">{"Input_Fin",#N/A,FALSE,"By Code";"Input_Opt",#N/A,FALSE,"By Code"}</definedName>
    <definedName name="ilijyy_2_2_3" hidden="1">{"Input_Fin",#N/A,FALSE,"By Code";"Input_Opt",#N/A,FALSE,"By Code"}</definedName>
    <definedName name="ilijyy_2_3" hidden="1">{"Input_Fin",#N/A,FALSE,"By Code";"Input_Opt",#N/A,FALSE,"By Code"}</definedName>
    <definedName name="ilijyy_2_3_1" hidden="1">{"Input_Fin",#N/A,FALSE,"By Code";"Input_Opt",#N/A,FALSE,"By Code"}</definedName>
    <definedName name="ilijyy_2_3_2" hidden="1">{"Input_Fin",#N/A,FALSE,"By Code";"Input_Opt",#N/A,FALSE,"By Code"}</definedName>
    <definedName name="ilijyy_2_4" hidden="1">{"Input_Fin",#N/A,FALSE,"By Code";"Input_Opt",#N/A,FALSE,"By Code"}</definedName>
    <definedName name="ilijyy_2_5" hidden="1">{"Input_Fin",#N/A,FALSE,"By Code";"Input_Opt",#N/A,FALSE,"By Code"}</definedName>
    <definedName name="ilijyy_3" hidden="1">{"Input_Fin",#N/A,FALSE,"By Code";"Input_Opt",#N/A,FALSE,"By Code"}</definedName>
    <definedName name="ilijyy_3_1" hidden="1">{"Input_Fin",#N/A,FALSE,"By Code";"Input_Opt",#N/A,FALSE,"By Code"}</definedName>
    <definedName name="ilijyy_3_1_1" hidden="1">{"Input_Fin",#N/A,FALSE,"By Code";"Input_Opt",#N/A,FALSE,"By Code"}</definedName>
    <definedName name="ilijyy_3_1_1_1" hidden="1">{"Input_Fin",#N/A,FALSE,"By Code";"Input_Opt",#N/A,FALSE,"By Code"}</definedName>
    <definedName name="ilijyy_3_1_1_2" hidden="1">{"Input_Fin",#N/A,FALSE,"By Code";"Input_Opt",#N/A,FALSE,"By Code"}</definedName>
    <definedName name="ilijyy_3_1_1_3" hidden="1">{"Input_Fin",#N/A,FALSE,"By Code";"Input_Opt",#N/A,FALSE,"By Code"}</definedName>
    <definedName name="ilijyy_3_1_2" hidden="1">{"Input_Fin",#N/A,FALSE,"By Code";"Input_Opt",#N/A,FALSE,"By Code"}</definedName>
    <definedName name="ilijyy_3_1_2_1" hidden="1">{"Input_Fin",#N/A,FALSE,"By Code";"Input_Opt",#N/A,FALSE,"By Code"}</definedName>
    <definedName name="ilijyy_3_1_2_2" hidden="1">{"Input_Fin",#N/A,FALSE,"By Code";"Input_Opt",#N/A,FALSE,"By Code"}</definedName>
    <definedName name="ilijyy_3_1_3" hidden="1">{"Input_Fin",#N/A,FALSE,"By Code";"Input_Opt",#N/A,FALSE,"By Code"}</definedName>
    <definedName name="ilijyy_3_1_4" hidden="1">{"Input_Fin",#N/A,FALSE,"By Code";"Input_Opt",#N/A,FALSE,"By Code"}</definedName>
    <definedName name="ilijyy_3_2" hidden="1">{"Input_Fin",#N/A,FALSE,"By Code";"Input_Opt",#N/A,FALSE,"By Code"}</definedName>
    <definedName name="ilijyy_3_2_1" hidden="1">{"Input_Fin",#N/A,FALSE,"By Code";"Input_Opt",#N/A,FALSE,"By Code"}</definedName>
    <definedName name="ilijyy_3_2_2" hidden="1">{"Input_Fin",#N/A,FALSE,"By Code";"Input_Opt",#N/A,FALSE,"By Code"}</definedName>
    <definedName name="ilijyy_3_2_3" hidden="1">{"Input_Fin",#N/A,FALSE,"By Code";"Input_Opt",#N/A,FALSE,"By Code"}</definedName>
    <definedName name="ilijyy_3_3" hidden="1">{"Input_Fin",#N/A,FALSE,"By Code";"Input_Opt",#N/A,FALSE,"By Code"}</definedName>
    <definedName name="ilijyy_3_3_1" hidden="1">{"Input_Fin",#N/A,FALSE,"By Code";"Input_Opt",#N/A,FALSE,"By Code"}</definedName>
    <definedName name="ilijyy_3_3_2" hidden="1">{"Input_Fin",#N/A,FALSE,"By Code";"Input_Opt",#N/A,FALSE,"By Code"}</definedName>
    <definedName name="ilijyy_3_4" hidden="1">{"Input_Fin",#N/A,FALSE,"By Code";"Input_Opt",#N/A,FALSE,"By Code"}</definedName>
    <definedName name="ilijyy_3_5" hidden="1">{"Input_Fin",#N/A,FALSE,"By Code";"Input_Opt",#N/A,FALSE,"By Code"}</definedName>
    <definedName name="ilijyy_4" hidden="1">{"Input_Fin",#N/A,FALSE,"By Code";"Input_Opt",#N/A,FALSE,"By Code"}</definedName>
    <definedName name="ilijyy_4_1" hidden="1">{"Input_Fin",#N/A,FALSE,"By Code";"Input_Opt",#N/A,FALSE,"By Code"}</definedName>
    <definedName name="ilijyy_4_1_1" hidden="1">{"Input_Fin",#N/A,FALSE,"By Code";"Input_Opt",#N/A,FALSE,"By Code"}</definedName>
    <definedName name="ilijyy_4_1_1_1" hidden="1">{"Input_Fin",#N/A,FALSE,"By Code";"Input_Opt",#N/A,FALSE,"By Code"}</definedName>
    <definedName name="ilijyy_4_1_1_2" hidden="1">{"Input_Fin",#N/A,FALSE,"By Code";"Input_Opt",#N/A,FALSE,"By Code"}</definedName>
    <definedName name="ilijyy_4_1_1_3" hidden="1">{"Input_Fin",#N/A,FALSE,"By Code";"Input_Opt",#N/A,FALSE,"By Code"}</definedName>
    <definedName name="ilijyy_4_1_2" hidden="1">{"Input_Fin",#N/A,FALSE,"By Code";"Input_Opt",#N/A,FALSE,"By Code"}</definedName>
    <definedName name="ilijyy_4_1_2_1" hidden="1">{"Input_Fin",#N/A,FALSE,"By Code";"Input_Opt",#N/A,FALSE,"By Code"}</definedName>
    <definedName name="ilijyy_4_1_2_2" hidden="1">{"Input_Fin",#N/A,FALSE,"By Code";"Input_Opt",#N/A,FALSE,"By Code"}</definedName>
    <definedName name="ilijyy_4_1_3" hidden="1">{"Input_Fin",#N/A,FALSE,"By Code";"Input_Opt",#N/A,FALSE,"By Code"}</definedName>
    <definedName name="ilijyy_4_1_4" hidden="1">{"Input_Fin",#N/A,FALSE,"By Code";"Input_Opt",#N/A,FALSE,"By Code"}</definedName>
    <definedName name="ilijyy_4_2" hidden="1">{"Input_Fin",#N/A,FALSE,"By Code";"Input_Opt",#N/A,FALSE,"By Code"}</definedName>
    <definedName name="ilijyy_4_2_1" hidden="1">{"Input_Fin",#N/A,FALSE,"By Code";"Input_Opt",#N/A,FALSE,"By Code"}</definedName>
    <definedName name="ilijyy_4_2_2" hidden="1">{"Input_Fin",#N/A,FALSE,"By Code";"Input_Opt",#N/A,FALSE,"By Code"}</definedName>
    <definedName name="ilijyy_4_2_3" hidden="1">{"Input_Fin",#N/A,FALSE,"By Code";"Input_Opt",#N/A,FALSE,"By Code"}</definedName>
    <definedName name="ilijyy_4_3" hidden="1">{"Input_Fin",#N/A,FALSE,"By Code";"Input_Opt",#N/A,FALSE,"By Code"}</definedName>
    <definedName name="ilijyy_4_3_1" hidden="1">{"Input_Fin",#N/A,FALSE,"By Code";"Input_Opt",#N/A,FALSE,"By Code"}</definedName>
    <definedName name="ilijyy_4_3_2" hidden="1">{"Input_Fin",#N/A,FALSE,"By Code";"Input_Opt",#N/A,FALSE,"By Code"}</definedName>
    <definedName name="ilijyy_4_4" hidden="1">{"Input_Fin",#N/A,FALSE,"By Code";"Input_Opt",#N/A,FALSE,"By Code"}</definedName>
    <definedName name="ilijyy_4_5" hidden="1">{"Input_Fin",#N/A,FALSE,"By Code";"Input_Opt",#N/A,FALSE,"By Code"}</definedName>
    <definedName name="ilijyy_5" hidden="1">{"Input_Fin",#N/A,FALSE,"By Code";"Input_Opt",#N/A,FALSE,"By Code"}</definedName>
    <definedName name="ilijyy_5_1" hidden="1">{"Input_Fin",#N/A,FALSE,"By Code";"Input_Opt",#N/A,FALSE,"By Code"}</definedName>
    <definedName name="ilijyy_5_1_1" hidden="1">{"Input_Fin",#N/A,FALSE,"By Code";"Input_Opt",#N/A,FALSE,"By Code"}</definedName>
    <definedName name="ilijyy_5_1_1_1" hidden="1">{"Input_Fin",#N/A,FALSE,"By Code";"Input_Opt",#N/A,FALSE,"By Code"}</definedName>
    <definedName name="ilijyy_5_1_1_2" hidden="1">{"Input_Fin",#N/A,FALSE,"By Code";"Input_Opt",#N/A,FALSE,"By Code"}</definedName>
    <definedName name="ilijyy_5_1_1_3" hidden="1">{"Input_Fin",#N/A,FALSE,"By Code";"Input_Opt",#N/A,FALSE,"By Code"}</definedName>
    <definedName name="ilijyy_5_1_2" hidden="1">{"Input_Fin",#N/A,FALSE,"By Code";"Input_Opt",#N/A,FALSE,"By Code"}</definedName>
    <definedName name="ilijyy_5_1_2_1" hidden="1">{"Input_Fin",#N/A,FALSE,"By Code";"Input_Opt",#N/A,FALSE,"By Code"}</definedName>
    <definedName name="ilijyy_5_1_2_2" hidden="1">{"Input_Fin",#N/A,FALSE,"By Code";"Input_Opt",#N/A,FALSE,"By Code"}</definedName>
    <definedName name="ilijyy_5_1_3" hidden="1">{"Input_Fin",#N/A,FALSE,"By Code";"Input_Opt",#N/A,FALSE,"By Code"}</definedName>
    <definedName name="ilijyy_5_1_4" hidden="1">{"Input_Fin",#N/A,FALSE,"By Code";"Input_Opt",#N/A,FALSE,"By Code"}</definedName>
    <definedName name="ilijyy_5_2" hidden="1">{"Input_Fin",#N/A,FALSE,"By Code";"Input_Opt",#N/A,FALSE,"By Code"}</definedName>
    <definedName name="ilijyy_5_2_1" hidden="1">{"Input_Fin",#N/A,FALSE,"By Code";"Input_Opt",#N/A,FALSE,"By Code"}</definedName>
    <definedName name="ilijyy_5_2_2" hidden="1">{"Input_Fin",#N/A,FALSE,"By Code";"Input_Opt",#N/A,FALSE,"By Code"}</definedName>
    <definedName name="ilijyy_5_2_3" hidden="1">{"Input_Fin",#N/A,FALSE,"By Code";"Input_Opt",#N/A,FALSE,"By Code"}</definedName>
    <definedName name="ilijyy_5_3" hidden="1">{"Input_Fin",#N/A,FALSE,"By Code";"Input_Opt",#N/A,FALSE,"By Code"}</definedName>
    <definedName name="ilijyy_5_3_1" hidden="1">{"Input_Fin",#N/A,FALSE,"By Code";"Input_Opt",#N/A,FALSE,"By Code"}</definedName>
    <definedName name="ilijyy_5_3_2" hidden="1">{"Input_Fin",#N/A,FALSE,"By Code";"Input_Opt",#N/A,FALSE,"By Code"}</definedName>
    <definedName name="ilijyy_5_4" hidden="1">{"Input_Fin",#N/A,FALSE,"By Code";"Input_Opt",#N/A,FALSE,"By Code"}</definedName>
    <definedName name="ilijyy_5_5" hidden="1">{"Input_Fin",#N/A,FALSE,"By Code";"Input_Opt",#N/A,FALSE,"By Code"}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40500.7379398148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j8876778654444" hidden="1">{"Input_Fin",#N/A,FALSE,"By Code";"Input_Opt",#N/A,FALSE,"By Code"}</definedName>
    <definedName name="jghjghj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hg" localSheetId="12" hidden="1">{"Input_Fin",#N/A,FALSE,"By Code";"Input_Opt",#N/A,FALSE,"By Code"}</definedName>
    <definedName name="jghjhg" hidden="1">{"Input_Fin",#N/A,FALSE,"By Code";"Input_Opt",#N/A,FALSE,"By Code"}</definedName>
    <definedName name="jghjhg_1" hidden="1">{"Input_Fin",#N/A,FALSE,"By Code";"Input_Opt",#N/A,FALSE,"By Code"}</definedName>
    <definedName name="jghjhg_1_1" hidden="1">{"Input_Fin",#N/A,FALSE,"By Code";"Input_Opt",#N/A,FALSE,"By Code"}</definedName>
    <definedName name="jghjhg_1_1_1" hidden="1">{"Input_Fin",#N/A,FALSE,"By Code";"Input_Opt",#N/A,FALSE,"By Code"}</definedName>
    <definedName name="jghjhg_1_1_1_1" hidden="1">{"Input_Fin",#N/A,FALSE,"By Code";"Input_Opt",#N/A,FALSE,"By Code"}</definedName>
    <definedName name="jghjhg_1_1_1_1_1" hidden="1">{"Input_Fin",#N/A,FALSE,"By Code";"Input_Opt",#N/A,FALSE,"By Code"}</definedName>
    <definedName name="jghjhg_1_1_1_1_2" hidden="1">{"Input_Fin",#N/A,FALSE,"By Code";"Input_Opt",#N/A,FALSE,"By Code"}</definedName>
    <definedName name="jghjhg_1_1_1_1_3" hidden="1">{"Input_Fin",#N/A,FALSE,"By Code";"Input_Opt",#N/A,FALSE,"By Code"}</definedName>
    <definedName name="jghjhg_1_1_1_2" hidden="1">{"Input_Fin",#N/A,FALSE,"By Code";"Input_Opt",#N/A,FALSE,"By Code"}</definedName>
    <definedName name="jghjhg_1_1_1_2_1" hidden="1">{"Input_Fin",#N/A,FALSE,"By Code";"Input_Opt",#N/A,FALSE,"By Code"}</definedName>
    <definedName name="jghjhg_1_1_1_2_2" hidden="1">{"Input_Fin",#N/A,FALSE,"By Code";"Input_Opt",#N/A,FALSE,"By Code"}</definedName>
    <definedName name="jghjhg_1_1_1_3" hidden="1">{"Input_Fin",#N/A,FALSE,"By Code";"Input_Opt",#N/A,FALSE,"By Code"}</definedName>
    <definedName name="jghjhg_1_1_1_3_1" hidden="1">{"Input_Fin",#N/A,FALSE,"By Code";"Input_Opt",#N/A,FALSE,"By Code"}</definedName>
    <definedName name="jghjhg_1_1_1_3_2" hidden="1">{"Input_Fin",#N/A,FALSE,"By Code";"Input_Opt",#N/A,FALSE,"By Code"}</definedName>
    <definedName name="jghjhg_1_1_1_4" hidden="1">{"Input_Fin",#N/A,FALSE,"By Code";"Input_Opt",#N/A,FALSE,"By Code"}</definedName>
    <definedName name="jghjhg_1_1_1_5" hidden="1">{"Input_Fin",#N/A,FALSE,"By Code";"Input_Opt",#N/A,FALSE,"By Code"}</definedName>
    <definedName name="jghjhg_1_1_2" hidden="1">{"Input_Fin",#N/A,FALSE,"By Code";"Input_Opt",#N/A,FALSE,"By Code"}</definedName>
    <definedName name="jghjhg_1_1_2_1" hidden="1">{"Input_Fin",#N/A,FALSE,"By Code";"Input_Opt",#N/A,FALSE,"By Code"}</definedName>
    <definedName name="jghjhg_1_1_2_2" hidden="1">{"Input_Fin",#N/A,FALSE,"By Code";"Input_Opt",#N/A,FALSE,"By Code"}</definedName>
    <definedName name="jghjhg_1_1_2_3" hidden="1">{"Input_Fin",#N/A,FALSE,"By Code";"Input_Opt",#N/A,FALSE,"By Code"}</definedName>
    <definedName name="jghjhg_1_1_3" hidden="1">{"Input_Fin",#N/A,FALSE,"By Code";"Input_Opt",#N/A,FALSE,"By Code"}</definedName>
    <definedName name="jghjhg_1_1_3_1" hidden="1">{"Input_Fin",#N/A,FALSE,"By Code";"Input_Opt",#N/A,FALSE,"By Code"}</definedName>
    <definedName name="jghjhg_1_1_3_2" hidden="1">{"Input_Fin",#N/A,FALSE,"By Code";"Input_Opt",#N/A,FALSE,"By Code"}</definedName>
    <definedName name="jghjhg_1_1_4" hidden="1">{"Input_Fin",#N/A,FALSE,"By Code";"Input_Opt",#N/A,FALSE,"By Code"}</definedName>
    <definedName name="jghjhg_1_1_5" hidden="1">{"Input_Fin",#N/A,FALSE,"By Code";"Input_Opt",#N/A,FALSE,"By Code"}</definedName>
    <definedName name="jghjhg_1_2" hidden="1">{"Input_Fin",#N/A,FALSE,"By Code";"Input_Opt",#N/A,FALSE,"By Code"}</definedName>
    <definedName name="jghjhg_1_2_1" hidden="1">{"Input_Fin",#N/A,FALSE,"By Code";"Input_Opt",#N/A,FALSE,"By Code"}</definedName>
    <definedName name="jghjhg_1_2_2" hidden="1">{"Input_Fin",#N/A,FALSE,"By Code";"Input_Opt",#N/A,FALSE,"By Code"}</definedName>
    <definedName name="jghjhg_1_2_3" hidden="1">{"Input_Fin",#N/A,FALSE,"By Code";"Input_Opt",#N/A,FALSE,"By Code"}</definedName>
    <definedName name="jghjhg_1_3" hidden="1">{"Input_Fin",#N/A,FALSE,"By Code";"Input_Opt",#N/A,FALSE,"By Code"}</definedName>
    <definedName name="jghjhg_1_3_1" hidden="1">{"Input_Fin",#N/A,FALSE,"By Code";"Input_Opt",#N/A,FALSE,"By Code"}</definedName>
    <definedName name="jghjhg_1_3_2" hidden="1">{"Input_Fin",#N/A,FALSE,"By Code";"Input_Opt",#N/A,FALSE,"By Code"}</definedName>
    <definedName name="jghjhg_1_4" hidden="1">{"Input_Fin",#N/A,FALSE,"By Code";"Input_Opt",#N/A,FALSE,"By Code"}</definedName>
    <definedName name="jghjhg_1_5" hidden="1">{"Input_Fin",#N/A,FALSE,"By Code";"Input_Opt",#N/A,FALSE,"By Code"}</definedName>
    <definedName name="jghjhg_2" hidden="1">{"Input_Fin",#N/A,FALSE,"By Code";"Input_Opt",#N/A,FALSE,"By Code"}</definedName>
    <definedName name="jghjhg_2_1" hidden="1">{"Input_Fin",#N/A,FALSE,"By Code";"Input_Opt",#N/A,FALSE,"By Code"}</definedName>
    <definedName name="jghjhg_2_1_1" hidden="1">{"Input_Fin",#N/A,FALSE,"By Code";"Input_Opt",#N/A,FALSE,"By Code"}</definedName>
    <definedName name="jghjhg_2_1_1_1" hidden="1">{"Input_Fin",#N/A,FALSE,"By Code";"Input_Opt",#N/A,FALSE,"By Code"}</definedName>
    <definedName name="jghjhg_2_1_1_2" hidden="1">{"Input_Fin",#N/A,FALSE,"By Code";"Input_Opt",#N/A,FALSE,"By Code"}</definedName>
    <definedName name="jghjhg_2_1_1_3" hidden="1">{"Input_Fin",#N/A,FALSE,"By Code";"Input_Opt",#N/A,FALSE,"By Code"}</definedName>
    <definedName name="jghjhg_2_1_2" hidden="1">{"Input_Fin",#N/A,FALSE,"By Code";"Input_Opt",#N/A,FALSE,"By Code"}</definedName>
    <definedName name="jghjhg_2_1_2_1" hidden="1">{"Input_Fin",#N/A,FALSE,"By Code";"Input_Opt",#N/A,FALSE,"By Code"}</definedName>
    <definedName name="jghjhg_2_1_2_2" hidden="1">{"Input_Fin",#N/A,FALSE,"By Code";"Input_Opt",#N/A,FALSE,"By Code"}</definedName>
    <definedName name="jghjhg_2_1_3" hidden="1">{"Input_Fin",#N/A,FALSE,"By Code";"Input_Opt",#N/A,FALSE,"By Code"}</definedName>
    <definedName name="jghjhg_2_1_4" hidden="1">{"Input_Fin",#N/A,FALSE,"By Code";"Input_Opt",#N/A,FALSE,"By Code"}</definedName>
    <definedName name="jghjhg_2_2" hidden="1">{"Input_Fin",#N/A,FALSE,"By Code";"Input_Opt",#N/A,FALSE,"By Code"}</definedName>
    <definedName name="jghjhg_2_2_1" hidden="1">{"Input_Fin",#N/A,FALSE,"By Code";"Input_Opt",#N/A,FALSE,"By Code"}</definedName>
    <definedName name="jghjhg_2_2_2" hidden="1">{"Input_Fin",#N/A,FALSE,"By Code";"Input_Opt",#N/A,FALSE,"By Code"}</definedName>
    <definedName name="jghjhg_2_2_3" hidden="1">{"Input_Fin",#N/A,FALSE,"By Code";"Input_Opt",#N/A,FALSE,"By Code"}</definedName>
    <definedName name="jghjhg_2_3" hidden="1">{"Input_Fin",#N/A,FALSE,"By Code";"Input_Opt",#N/A,FALSE,"By Code"}</definedName>
    <definedName name="jghjhg_2_3_1" hidden="1">{"Input_Fin",#N/A,FALSE,"By Code";"Input_Opt",#N/A,FALSE,"By Code"}</definedName>
    <definedName name="jghjhg_2_3_2" hidden="1">{"Input_Fin",#N/A,FALSE,"By Code";"Input_Opt",#N/A,FALSE,"By Code"}</definedName>
    <definedName name="jghjhg_2_4" hidden="1">{"Input_Fin",#N/A,FALSE,"By Code";"Input_Opt",#N/A,FALSE,"By Code"}</definedName>
    <definedName name="jghjhg_2_5" hidden="1">{"Input_Fin",#N/A,FALSE,"By Code";"Input_Opt",#N/A,FALSE,"By Code"}</definedName>
    <definedName name="jghjhg_3" hidden="1">{"Input_Fin",#N/A,FALSE,"By Code";"Input_Opt",#N/A,FALSE,"By Code"}</definedName>
    <definedName name="jghjhg_3_1" hidden="1">{"Input_Fin",#N/A,FALSE,"By Code";"Input_Opt",#N/A,FALSE,"By Code"}</definedName>
    <definedName name="jghjhg_3_1_1" hidden="1">{"Input_Fin",#N/A,FALSE,"By Code";"Input_Opt",#N/A,FALSE,"By Code"}</definedName>
    <definedName name="jghjhg_3_1_1_1" hidden="1">{"Input_Fin",#N/A,FALSE,"By Code";"Input_Opt",#N/A,FALSE,"By Code"}</definedName>
    <definedName name="jghjhg_3_1_1_2" hidden="1">{"Input_Fin",#N/A,FALSE,"By Code";"Input_Opt",#N/A,FALSE,"By Code"}</definedName>
    <definedName name="jghjhg_3_1_1_3" hidden="1">{"Input_Fin",#N/A,FALSE,"By Code";"Input_Opt",#N/A,FALSE,"By Code"}</definedName>
    <definedName name="jghjhg_3_1_2" hidden="1">{"Input_Fin",#N/A,FALSE,"By Code";"Input_Opt",#N/A,FALSE,"By Code"}</definedName>
    <definedName name="jghjhg_3_1_2_1" hidden="1">{"Input_Fin",#N/A,FALSE,"By Code";"Input_Opt",#N/A,FALSE,"By Code"}</definedName>
    <definedName name="jghjhg_3_1_2_2" hidden="1">{"Input_Fin",#N/A,FALSE,"By Code";"Input_Opt",#N/A,FALSE,"By Code"}</definedName>
    <definedName name="jghjhg_3_1_3" hidden="1">{"Input_Fin",#N/A,FALSE,"By Code";"Input_Opt",#N/A,FALSE,"By Code"}</definedName>
    <definedName name="jghjhg_3_1_4" hidden="1">{"Input_Fin",#N/A,FALSE,"By Code";"Input_Opt",#N/A,FALSE,"By Code"}</definedName>
    <definedName name="jghjhg_3_2" hidden="1">{"Input_Fin",#N/A,FALSE,"By Code";"Input_Opt",#N/A,FALSE,"By Code"}</definedName>
    <definedName name="jghjhg_3_2_1" hidden="1">{"Input_Fin",#N/A,FALSE,"By Code";"Input_Opt",#N/A,FALSE,"By Code"}</definedName>
    <definedName name="jghjhg_3_2_2" hidden="1">{"Input_Fin",#N/A,FALSE,"By Code";"Input_Opt",#N/A,FALSE,"By Code"}</definedName>
    <definedName name="jghjhg_3_2_3" hidden="1">{"Input_Fin",#N/A,FALSE,"By Code";"Input_Opt",#N/A,FALSE,"By Code"}</definedName>
    <definedName name="jghjhg_3_3" hidden="1">{"Input_Fin",#N/A,FALSE,"By Code";"Input_Opt",#N/A,FALSE,"By Code"}</definedName>
    <definedName name="jghjhg_3_3_1" hidden="1">{"Input_Fin",#N/A,FALSE,"By Code";"Input_Opt",#N/A,FALSE,"By Code"}</definedName>
    <definedName name="jghjhg_3_3_2" hidden="1">{"Input_Fin",#N/A,FALSE,"By Code";"Input_Opt",#N/A,FALSE,"By Code"}</definedName>
    <definedName name="jghjhg_3_4" hidden="1">{"Input_Fin",#N/A,FALSE,"By Code";"Input_Opt",#N/A,FALSE,"By Code"}</definedName>
    <definedName name="jghjhg_3_5" hidden="1">{"Input_Fin",#N/A,FALSE,"By Code";"Input_Opt",#N/A,FALSE,"By Code"}</definedName>
    <definedName name="jghjhg_4" hidden="1">{"Input_Fin",#N/A,FALSE,"By Code";"Input_Opt",#N/A,FALSE,"By Code"}</definedName>
    <definedName name="jghjhg_4_1" hidden="1">{"Input_Fin",#N/A,FALSE,"By Code";"Input_Opt",#N/A,FALSE,"By Code"}</definedName>
    <definedName name="jghjhg_4_1_1" hidden="1">{"Input_Fin",#N/A,FALSE,"By Code";"Input_Opt",#N/A,FALSE,"By Code"}</definedName>
    <definedName name="jghjhg_4_1_1_1" hidden="1">{"Input_Fin",#N/A,FALSE,"By Code";"Input_Opt",#N/A,FALSE,"By Code"}</definedName>
    <definedName name="jghjhg_4_1_1_2" hidden="1">{"Input_Fin",#N/A,FALSE,"By Code";"Input_Opt",#N/A,FALSE,"By Code"}</definedName>
    <definedName name="jghjhg_4_1_1_3" hidden="1">{"Input_Fin",#N/A,FALSE,"By Code";"Input_Opt",#N/A,FALSE,"By Code"}</definedName>
    <definedName name="jghjhg_4_1_2" hidden="1">{"Input_Fin",#N/A,FALSE,"By Code";"Input_Opt",#N/A,FALSE,"By Code"}</definedName>
    <definedName name="jghjhg_4_1_2_1" hidden="1">{"Input_Fin",#N/A,FALSE,"By Code";"Input_Opt",#N/A,FALSE,"By Code"}</definedName>
    <definedName name="jghjhg_4_1_2_2" hidden="1">{"Input_Fin",#N/A,FALSE,"By Code";"Input_Opt",#N/A,FALSE,"By Code"}</definedName>
    <definedName name="jghjhg_4_1_3" hidden="1">{"Input_Fin",#N/A,FALSE,"By Code";"Input_Opt",#N/A,FALSE,"By Code"}</definedName>
    <definedName name="jghjhg_4_1_4" hidden="1">{"Input_Fin",#N/A,FALSE,"By Code";"Input_Opt",#N/A,FALSE,"By Code"}</definedName>
    <definedName name="jghjhg_4_2" hidden="1">{"Input_Fin",#N/A,FALSE,"By Code";"Input_Opt",#N/A,FALSE,"By Code"}</definedName>
    <definedName name="jghjhg_4_2_1" hidden="1">{"Input_Fin",#N/A,FALSE,"By Code";"Input_Opt",#N/A,FALSE,"By Code"}</definedName>
    <definedName name="jghjhg_4_2_2" hidden="1">{"Input_Fin",#N/A,FALSE,"By Code";"Input_Opt",#N/A,FALSE,"By Code"}</definedName>
    <definedName name="jghjhg_4_2_3" hidden="1">{"Input_Fin",#N/A,FALSE,"By Code";"Input_Opt",#N/A,FALSE,"By Code"}</definedName>
    <definedName name="jghjhg_4_3" hidden="1">{"Input_Fin",#N/A,FALSE,"By Code";"Input_Opt",#N/A,FALSE,"By Code"}</definedName>
    <definedName name="jghjhg_4_3_1" hidden="1">{"Input_Fin",#N/A,FALSE,"By Code";"Input_Opt",#N/A,FALSE,"By Code"}</definedName>
    <definedName name="jghjhg_4_3_2" hidden="1">{"Input_Fin",#N/A,FALSE,"By Code";"Input_Opt",#N/A,FALSE,"By Code"}</definedName>
    <definedName name="jghjhg_4_4" hidden="1">{"Input_Fin",#N/A,FALSE,"By Code";"Input_Opt",#N/A,FALSE,"By Code"}</definedName>
    <definedName name="jghjhg_4_5" hidden="1">{"Input_Fin",#N/A,FALSE,"By Code";"Input_Opt",#N/A,FALSE,"By Code"}</definedName>
    <definedName name="jghjhg_5" hidden="1">{"Input_Fin",#N/A,FALSE,"By Code";"Input_Opt",#N/A,FALSE,"By Code"}</definedName>
    <definedName name="jghjhg_5_1" hidden="1">{"Input_Fin",#N/A,FALSE,"By Code";"Input_Opt",#N/A,FALSE,"By Code"}</definedName>
    <definedName name="jghjhg_5_1_1" hidden="1">{"Input_Fin",#N/A,FALSE,"By Code";"Input_Opt",#N/A,FALSE,"By Code"}</definedName>
    <definedName name="jghjhg_5_1_1_1" hidden="1">{"Input_Fin",#N/A,FALSE,"By Code";"Input_Opt",#N/A,FALSE,"By Code"}</definedName>
    <definedName name="jghjhg_5_1_1_2" hidden="1">{"Input_Fin",#N/A,FALSE,"By Code";"Input_Opt",#N/A,FALSE,"By Code"}</definedName>
    <definedName name="jghjhg_5_1_1_3" hidden="1">{"Input_Fin",#N/A,FALSE,"By Code";"Input_Opt",#N/A,FALSE,"By Code"}</definedName>
    <definedName name="jghjhg_5_1_2" hidden="1">{"Input_Fin",#N/A,FALSE,"By Code";"Input_Opt",#N/A,FALSE,"By Code"}</definedName>
    <definedName name="jghjhg_5_1_2_1" hidden="1">{"Input_Fin",#N/A,FALSE,"By Code";"Input_Opt",#N/A,FALSE,"By Code"}</definedName>
    <definedName name="jghjhg_5_1_2_2" hidden="1">{"Input_Fin",#N/A,FALSE,"By Code";"Input_Opt",#N/A,FALSE,"By Code"}</definedName>
    <definedName name="jghjhg_5_1_3" hidden="1">{"Input_Fin",#N/A,FALSE,"By Code";"Input_Opt",#N/A,FALSE,"By Code"}</definedName>
    <definedName name="jghjhg_5_1_4" hidden="1">{"Input_Fin",#N/A,FALSE,"By Code";"Input_Opt",#N/A,FALSE,"By Code"}</definedName>
    <definedName name="jghjhg_5_2" hidden="1">{"Input_Fin",#N/A,FALSE,"By Code";"Input_Opt",#N/A,FALSE,"By Code"}</definedName>
    <definedName name="jghjhg_5_2_1" hidden="1">{"Input_Fin",#N/A,FALSE,"By Code";"Input_Opt",#N/A,FALSE,"By Code"}</definedName>
    <definedName name="jghjhg_5_2_2" hidden="1">{"Input_Fin",#N/A,FALSE,"By Code";"Input_Opt",#N/A,FALSE,"By Code"}</definedName>
    <definedName name="jghjhg_5_2_3" hidden="1">{"Input_Fin",#N/A,FALSE,"By Code";"Input_Opt",#N/A,FALSE,"By Code"}</definedName>
    <definedName name="jghjhg_5_3" hidden="1">{"Input_Fin",#N/A,FALSE,"By Code";"Input_Opt",#N/A,FALSE,"By Code"}</definedName>
    <definedName name="jghjhg_5_3_1" hidden="1">{"Input_Fin",#N/A,FALSE,"By Code";"Input_Opt",#N/A,FALSE,"By Code"}</definedName>
    <definedName name="jghjhg_5_3_2" hidden="1">{"Input_Fin",#N/A,FALSE,"By Code";"Input_Opt",#N/A,FALSE,"By Code"}</definedName>
    <definedName name="jghjhg_5_4" hidden="1">{"Input_Fin",#N/A,FALSE,"By Code";"Input_Opt",#N/A,FALSE,"By Code"}</definedName>
    <definedName name="jghjhg_5_5" hidden="1">{"Input_Fin",#N/A,FALSE,"By Code";"Input_Opt",#N/A,FALSE,"By Code"}</definedName>
    <definedName name="jgj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hfghtj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isjfj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isjf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jjjj" localSheetId="12" hidden="1">{"'Sheet4'!$A$1:$L$41"}</definedName>
    <definedName name="jjjjj" hidden="1">{"'Sheet4'!$A$1:$L$41"}</definedName>
    <definedName name="jjjjj_1" hidden="1">{"'Sheet4'!$A$1:$L$41"}</definedName>
    <definedName name="jjjjj_1_1" hidden="1">{"'Sheet4'!$A$1:$L$41"}</definedName>
    <definedName name="jjjjj_1_1_1" hidden="1">{"'Sheet4'!$A$1:$L$41"}</definedName>
    <definedName name="jjjjj_1_1_2" hidden="1">{"'Sheet4'!$A$1:$L$41"}</definedName>
    <definedName name="jjjjj_1_1_3" hidden="1">{"'Sheet4'!$A$1:$L$41"}</definedName>
    <definedName name="jjjjj_1_2" hidden="1">{"'Sheet4'!$A$1:$L$41"}</definedName>
    <definedName name="jjjjj_1_2_1" hidden="1">{"'Sheet4'!$A$1:$L$41"}</definedName>
    <definedName name="jjjjj_1_2_2" hidden="1">{"'Sheet4'!$A$1:$L$41"}</definedName>
    <definedName name="jjjjj_1_3" hidden="1">{"'Sheet4'!$A$1:$L$41"}</definedName>
    <definedName name="jjjjj_1_4" hidden="1">{"'Sheet4'!$A$1:$L$41"}</definedName>
    <definedName name="jjjjj_2" hidden="1">{"'Sheet4'!$A$1:$L$41"}</definedName>
    <definedName name="jjjjj_2_1" hidden="1">{"'Sheet4'!$A$1:$L$41"}</definedName>
    <definedName name="jjjjj_2_2" hidden="1">{"'Sheet4'!$A$1:$L$41"}</definedName>
    <definedName name="jjjjj_2_3" hidden="1">{"'Sheet4'!$A$1:$L$41"}</definedName>
    <definedName name="jjjjj_3" hidden="1">{"'Sheet4'!$A$1:$L$41"}</definedName>
    <definedName name="jjjjj_3_1" hidden="1">{"'Sheet4'!$A$1:$L$41"}</definedName>
    <definedName name="jjjjj_3_2" hidden="1">{"'Sheet4'!$A$1:$L$41"}</definedName>
    <definedName name="jjjjj_4" hidden="1">{"'Sheet4'!$A$1:$L$41"}</definedName>
    <definedName name="jjjjj_5" hidden="1">{"'Sheet4'!$A$1:$L$41"}</definedName>
    <definedName name="jjjjjjj" hidden="1">{"Input_Fin",#N/A,FALSE,"By Code";"Input_Opt",#N/A,FALSE,"By Code"}</definedName>
    <definedName name="k122334566777" hidden="1">{"'Sheet4'!$A$1:$L$41"}</definedName>
    <definedName name="kjjz">"2002-12-31"</definedName>
    <definedName name="kjqj">"2002.1-12"</definedName>
    <definedName name="lighjjh" localSheetId="12" hidden="1">{"Input_Fin",#N/A,FALSE,"By Code";"Input_Opt",#N/A,FALSE,"By Code"}</definedName>
    <definedName name="lighjjh" hidden="1">{"Input_Fin",#N/A,FALSE,"By Code";"Input_Opt",#N/A,FALSE,"By Code"}</definedName>
    <definedName name="lighjjh_1" hidden="1">{"Input_Fin",#N/A,FALSE,"By Code";"Input_Opt",#N/A,FALSE,"By Code"}</definedName>
    <definedName name="lighjjh_1_1" hidden="1">{"Input_Fin",#N/A,FALSE,"By Code";"Input_Opt",#N/A,FALSE,"By Code"}</definedName>
    <definedName name="lighjjh_1_1_1" hidden="1">{"Input_Fin",#N/A,FALSE,"By Code";"Input_Opt",#N/A,FALSE,"By Code"}</definedName>
    <definedName name="lighjjh_1_1_1_1" hidden="1">{"Input_Fin",#N/A,FALSE,"By Code";"Input_Opt",#N/A,FALSE,"By Code"}</definedName>
    <definedName name="lighjjh_1_1_1_1_1" hidden="1">{"Input_Fin",#N/A,FALSE,"By Code";"Input_Opt",#N/A,FALSE,"By Code"}</definedName>
    <definedName name="lighjjh_1_1_1_1_2" hidden="1">{"Input_Fin",#N/A,FALSE,"By Code";"Input_Opt",#N/A,FALSE,"By Code"}</definedName>
    <definedName name="lighjjh_1_1_1_1_3" hidden="1">{"Input_Fin",#N/A,FALSE,"By Code";"Input_Opt",#N/A,FALSE,"By Code"}</definedName>
    <definedName name="lighjjh_1_1_1_2" hidden="1">{"Input_Fin",#N/A,FALSE,"By Code";"Input_Opt",#N/A,FALSE,"By Code"}</definedName>
    <definedName name="lighjjh_1_1_1_2_1" hidden="1">{"Input_Fin",#N/A,FALSE,"By Code";"Input_Opt",#N/A,FALSE,"By Code"}</definedName>
    <definedName name="lighjjh_1_1_1_2_2" hidden="1">{"Input_Fin",#N/A,FALSE,"By Code";"Input_Opt",#N/A,FALSE,"By Code"}</definedName>
    <definedName name="lighjjh_1_1_1_3" hidden="1">{"Input_Fin",#N/A,FALSE,"By Code";"Input_Opt",#N/A,FALSE,"By Code"}</definedName>
    <definedName name="lighjjh_1_1_1_3_1" hidden="1">{"Input_Fin",#N/A,FALSE,"By Code";"Input_Opt",#N/A,FALSE,"By Code"}</definedName>
    <definedName name="lighjjh_1_1_1_3_2" hidden="1">{"Input_Fin",#N/A,FALSE,"By Code";"Input_Opt",#N/A,FALSE,"By Code"}</definedName>
    <definedName name="lighjjh_1_1_1_4" hidden="1">{"Input_Fin",#N/A,FALSE,"By Code";"Input_Opt",#N/A,FALSE,"By Code"}</definedName>
    <definedName name="lighjjh_1_1_1_5" hidden="1">{"Input_Fin",#N/A,FALSE,"By Code";"Input_Opt",#N/A,FALSE,"By Code"}</definedName>
    <definedName name="lighjjh_1_1_2" hidden="1">{"Input_Fin",#N/A,FALSE,"By Code";"Input_Opt",#N/A,FALSE,"By Code"}</definedName>
    <definedName name="lighjjh_1_1_2_1" hidden="1">{"Input_Fin",#N/A,FALSE,"By Code";"Input_Opt",#N/A,FALSE,"By Code"}</definedName>
    <definedName name="lighjjh_1_1_2_2" hidden="1">{"Input_Fin",#N/A,FALSE,"By Code";"Input_Opt",#N/A,FALSE,"By Code"}</definedName>
    <definedName name="lighjjh_1_1_2_3" hidden="1">{"Input_Fin",#N/A,FALSE,"By Code";"Input_Opt",#N/A,FALSE,"By Code"}</definedName>
    <definedName name="lighjjh_1_1_3" hidden="1">{"Input_Fin",#N/A,FALSE,"By Code";"Input_Opt",#N/A,FALSE,"By Code"}</definedName>
    <definedName name="lighjjh_1_1_3_1" hidden="1">{"Input_Fin",#N/A,FALSE,"By Code";"Input_Opt",#N/A,FALSE,"By Code"}</definedName>
    <definedName name="lighjjh_1_1_3_2" hidden="1">{"Input_Fin",#N/A,FALSE,"By Code";"Input_Opt",#N/A,FALSE,"By Code"}</definedName>
    <definedName name="lighjjh_1_1_4" hidden="1">{"Input_Fin",#N/A,FALSE,"By Code";"Input_Opt",#N/A,FALSE,"By Code"}</definedName>
    <definedName name="lighjjh_1_1_5" hidden="1">{"Input_Fin",#N/A,FALSE,"By Code";"Input_Opt",#N/A,FALSE,"By Code"}</definedName>
    <definedName name="lighjjh_1_2" hidden="1">{"Input_Fin",#N/A,FALSE,"By Code";"Input_Opt",#N/A,FALSE,"By Code"}</definedName>
    <definedName name="lighjjh_1_2_1" hidden="1">{"Input_Fin",#N/A,FALSE,"By Code";"Input_Opt",#N/A,FALSE,"By Code"}</definedName>
    <definedName name="lighjjh_1_2_2" hidden="1">{"Input_Fin",#N/A,FALSE,"By Code";"Input_Opt",#N/A,FALSE,"By Code"}</definedName>
    <definedName name="lighjjh_1_2_3" hidden="1">{"Input_Fin",#N/A,FALSE,"By Code";"Input_Opt",#N/A,FALSE,"By Code"}</definedName>
    <definedName name="lighjjh_1_3" hidden="1">{"Input_Fin",#N/A,FALSE,"By Code";"Input_Opt",#N/A,FALSE,"By Code"}</definedName>
    <definedName name="lighjjh_1_3_1" hidden="1">{"Input_Fin",#N/A,FALSE,"By Code";"Input_Opt",#N/A,FALSE,"By Code"}</definedName>
    <definedName name="lighjjh_1_3_2" hidden="1">{"Input_Fin",#N/A,FALSE,"By Code";"Input_Opt",#N/A,FALSE,"By Code"}</definedName>
    <definedName name="lighjjh_1_4" hidden="1">{"Input_Fin",#N/A,FALSE,"By Code";"Input_Opt",#N/A,FALSE,"By Code"}</definedName>
    <definedName name="lighjjh_1_5" hidden="1">{"Input_Fin",#N/A,FALSE,"By Code";"Input_Opt",#N/A,FALSE,"By Code"}</definedName>
    <definedName name="lighjjh_2" hidden="1">{"Input_Fin",#N/A,FALSE,"By Code";"Input_Opt",#N/A,FALSE,"By Code"}</definedName>
    <definedName name="lighjjh_2_1" hidden="1">{"Input_Fin",#N/A,FALSE,"By Code";"Input_Opt",#N/A,FALSE,"By Code"}</definedName>
    <definedName name="lighjjh_2_1_1" hidden="1">{"Input_Fin",#N/A,FALSE,"By Code";"Input_Opt",#N/A,FALSE,"By Code"}</definedName>
    <definedName name="lighjjh_2_1_1_1" hidden="1">{"Input_Fin",#N/A,FALSE,"By Code";"Input_Opt",#N/A,FALSE,"By Code"}</definedName>
    <definedName name="lighjjh_2_1_1_2" hidden="1">{"Input_Fin",#N/A,FALSE,"By Code";"Input_Opt",#N/A,FALSE,"By Code"}</definedName>
    <definedName name="lighjjh_2_1_1_3" hidden="1">{"Input_Fin",#N/A,FALSE,"By Code";"Input_Opt",#N/A,FALSE,"By Code"}</definedName>
    <definedName name="lighjjh_2_1_2" hidden="1">{"Input_Fin",#N/A,FALSE,"By Code";"Input_Opt",#N/A,FALSE,"By Code"}</definedName>
    <definedName name="lighjjh_2_1_2_1" hidden="1">{"Input_Fin",#N/A,FALSE,"By Code";"Input_Opt",#N/A,FALSE,"By Code"}</definedName>
    <definedName name="lighjjh_2_1_2_2" hidden="1">{"Input_Fin",#N/A,FALSE,"By Code";"Input_Opt",#N/A,FALSE,"By Code"}</definedName>
    <definedName name="lighjjh_2_1_3" hidden="1">{"Input_Fin",#N/A,FALSE,"By Code";"Input_Opt",#N/A,FALSE,"By Code"}</definedName>
    <definedName name="lighjjh_2_1_4" hidden="1">{"Input_Fin",#N/A,FALSE,"By Code";"Input_Opt",#N/A,FALSE,"By Code"}</definedName>
    <definedName name="lighjjh_2_2" hidden="1">{"Input_Fin",#N/A,FALSE,"By Code";"Input_Opt",#N/A,FALSE,"By Code"}</definedName>
    <definedName name="lighjjh_2_2_1" hidden="1">{"Input_Fin",#N/A,FALSE,"By Code";"Input_Opt",#N/A,FALSE,"By Code"}</definedName>
    <definedName name="lighjjh_2_2_2" hidden="1">{"Input_Fin",#N/A,FALSE,"By Code";"Input_Opt",#N/A,FALSE,"By Code"}</definedName>
    <definedName name="lighjjh_2_2_3" hidden="1">{"Input_Fin",#N/A,FALSE,"By Code";"Input_Opt",#N/A,FALSE,"By Code"}</definedName>
    <definedName name="lighjjh_2_3" hidden="1">{"Input_Fin",#N/A,FALSE,"By Code";"Input_Opt",#N/A,FALSE,"By Code"}</definedName>
    <definedName name="lighjjh_2_3_1" hidden="1">{"Input_Fin",#N/A,FALSE,"By Code";"Input_Opt",#N/A,FALSE,"By Code"}</definedName>
    <definedName name="lighjjh_2_3_2" hidden="1">{"Input_Fin",#N/A,FALSE,"By Code";"Input_Opt",#N/A,FALSE,"By Code"}</definedName>
    <definedName name="lighjjh_2_4" hidden="1">{"Input_Fin",#N/A,FALSE,"By Code";"Input_Opt",#N/A,FALSE,"By Code"}</definedName>
    <definedName name="lighjjh_2_5" hidden="1">{"Input_Fin",#N/A,FALSE,"By Code";"Input_Opt",#N/A,FALSE,"By Code"}</definedName>
    <definedName name="lighjjh_3" hidden="1">{"Input_Fin",#N/A,FALSE,"By Code";"Input_Opt",#N/A,FALSE,"By Code"}</definedName>
    <definedName name="lighjjh_3_1" hidden="1">{"Input_Fin",#N/A,FALSE,"By Code";"Input_Opt",#N/A,FALSE,"By Code"}</definedName>
    <definedName name="lighjjh_3_1_1" hidden="1">{"Input_Fin",#N/A,FALSE,"By Code";"Input_Opt",#N/A,FALSE,"By Code"}</definedName>
    <definedName name="lighjjh_3_1_1_1" hidden="1">{"Input_Fin",#N/A,FALSE,"By Code";"Input_Opt",#N/A,FALSE,"By Code"}</definedName>
    <definedName name="lighjjh_3_1_1_2" hidden="1">{"Input_Fin",#N/A,FALSE,"By Code";"Input_Opt",#N/A,FALSE,"By Code"}</definedName>
    <definedName name="lighjjh_3_1_1_3" hidden="1">{"Input_Fin",#N/A,FALSE,"By Code";"Input_Opt",#N/A,FALSE,"By Code"}</definedName>
    <definedName name="lighjjh_3_1_2" hidden="1">{"Input_Fin",#N/A,FALSE,"By Code";"Input_Opt",#N/A,FALSE,"By Code"}</definedName>
    <definedName name="lighjjh_3_1_2_1" hidden="1">{"Input_Fin",#N/A,FALSE,"By Code";"Input_Opt",#N/A,FALSE,"By Code"}</definedName>
    <definedName name="lighjjh_3_1_2_2" hidden="1">{"Input_Fin",#N/A,FALSE,"By Code";"Input_Opt",#N/A,FALSE,"By Code"}</definedName>
    <definedName name="lighjjh_3_1_3" hidden="1">{"Input_Fin",#N/A,FALSE,"By Code";"Input_Opt",#N/A,FALSE,"By Code"}</definedName>
    <definedName name="lighjjh_3_1_4" hidden="1">{"Input_Fin",#N/A,FALSE,"By Code";"Input_Opt",#N/A,FALSE,"By Code"}</definedName>
    <definedName name="lighjjh_3_2" hidden="1">{"Input_Fin",#N/A,FALSE,"By Code";"Input_Opt",#N/A,FALSE,"By Code"}</definedName>
    <definedName name="lighjjh_3_2_1" hidden="1">{"Input_Fin",#N/A,FALSE,"By Code";"Input_Opt",#N/A,FALSE,"By Code"}</definedName>
    <definedName name="lighjjh_3_2_2" hidden="1">{"Input_Fin",#N/A,FALSE,"By Code";"Input_Opt",#N/A,FALSE,"By Code"}</definedName>
    <definedName name="lighjjh_3_2_3" hidden="1">{"Input_Fin",#N/A,FALSE,"By Code";"Input_Opt",#N/A,FALSE,"By Code"}</definedName>
    <definedName name="lighjjh_3_3" hidden="1">{"Input_Fin",#N/A,FALSE,"By Code";"Input_Opt",#N/A,FALSE,"By Code"}</definedName>
    <definedName name="lighjjh_3_3_1" hidden="1">{"Input_Fin",#N/A,FALSE,"By Code";"Input_Opt",#N/A,FALSE,"By Code"}</definedName>
    <definedName name="lighjjh_3_3_2" hidden="1">{"Input_Fin",#N/A,FALSE,"By Code";"Input_Opt",#N/A,FALSE,"By Code"}</definedName>
    <definedName name="lighjjh_3_4" hidden="1">{"Input_Fin",#N/A,FALSE,"By Code";"Input_Opt",#N/A,FALSE,"By Code"}</definedName>
    <definedName name="lighjjh_3_5" hidden="1">{"Input_Fin",#N/A,FALSE,"By Code";"Input_Opt",#N/A,FALSE,"By Code"}</definedName>
    <definedName name="lighjjh_4" hidden="1">{"Input_Fin",#N/A,FALSE,"By Code";"Input_Opt",#N/A,FALSE,"By Code"}</definedName>
    <definedName name="lighjjh_4_1" hidden="1">{"Input_Fin",#N/A,FALSE,"By Code";"Input_Opt",#N/A,FALSE,"By Code"}</definedName>
    <definedName name="lighjjh_4_1_1" hidden="1">{"Input_Fin",#N/A,FALSE,"By Code";"Input_Opt",#N/A,FALSE,"By Code"}</definedName>
    <definedName name="lighjjh_4_1_1_1" hidden="1">{"Input_Fin",#N/A,FALSE,"By Code";"Input_Opt",#N/A,FALSE,"By Code"}</definedName>
    <definedName name="lighjjh_4_1_1_2" hidden="1">{"Input_Fin",#N/A,FALSE,"By Code";"Input_Opt",#N/A,FALSE,"By Code"}</definedName>
    <definedName name="lighjjh_4_1_1_3" hidden="1">{"Input_Fin",#N/A,FALSE,"By Code";"Input_Opt",#N/A,FALSE,"By Code"}</definedName>
    <definedName name="lighjjh_4_1_2" hidden="1">{"Input_Fin",#N/A,FALSE,"By Code";"Input_Opt",#N/A,FALSE,"By Code"}</definedName>
    <definedName name="lighjjh_4_1_2_1" hidden="1">{"Input_Fin",#N/A,FALSE,"By Code";"Input_Opt",#N/A,FALSE,"By Code"}</definedName>
    <definedName name="lighjjh_4_1_2_2" hidden="1">{"Input_Fin",#N/A,FALSE,"By Code";"Input_Opt",#N/A,FALSE,"By Code"}</definedName>
    <definedName name="lighjjh_4_1_3" hidden="1">{"Input_Fin",#N/A,FALSE,"By Code";"Input_Opt",#N/A,FALSE,"By Code"}</definedName>
    <definedName name="lighjjh_4_1_4" hidden="1">{"Input_Fin",#N/A,FALSE,"By Code";"Input_Opt",#N/A,FALSE,"By Code"}</definedName>
    <definedName name="lighjjh_4_2" hidden="1">{"Input_Fin",#N/A,FALSE,"By Code";"Input_Opt",#N/A,FALSE,"By Code"}</definedName>
    <definedName name="lighjjh_4_2_1" hidden="1">{"Input_Fin",#N/A,FALSE,"By Code";"Input_Opt",#N/A,FALSE,"By Code"}</definedName>
    <definedName name="lighjjh_4_2_2" hidden="1">{"Input_Fin",#N/A,FALSE,"By Code";"Input_Opt",#N/A,FALSE,"By Code"}</definedName>
    <definedName name="lighjjh_4_2_3" hidden="1">{"Input_Fin",#N/A,FALSE,"By Code";"Input_Opt",#N/A,FALSE,"By Code"}</definedName>
    <definedName name="lighjjh_4_3" hidden="1">{"Input_Fin",#N/A,FALSE,"By Code";"Input_Opt",#N/A,FALSE,"By Code"}</definedName>
    <definedName name="lighjjh_4_3_1" hidden="1">{"Input_Fin",#N/A,FALSE,"By Code";"Input_Opt",#N/A,FALSE,"By Code"}</definedName>
    <definedName name="lighjjh_4_3_2" hidden="1">{"Input_Fin",#N/A,FALSE,"By Code";"Input_Opt",#N/A,FALSE,"By Code"}</definedName>
    <definedName name="lighjjh_4_4" hidden="1">{"Input_Fin",#N/A,FALSE,"By Code";"Input_Opt",#N/A,FALSE,"By Code"}</definedName>
    <definedName name="lighjjh_4_5" hidden="1">{"Input_Fin",#N/A,FALSE,"By Code";"Input_Opt",#N/A,FALSE,"By Code"}</definedName>
    <definedName name="lighjjh_5" hidden="1">{"Input_Fin",#N/A,FALSE,"By Code";"Input_Opt",#N/A,FALSE,"By Code"}</definedName>
    <definedName name="lighjjh_5_1" hidden="1">{"Input_Fin",#N/A,FALSE,"By Code";"Input_Opt",#N/A,FALSE,"By Code"}</definedName>
    <definedName name="lighjjh_5_1_1" hidden="1">{"Input_Fin",#N/A,FALSE,"By Code";"Input_Opt",#N/A,FALSE,"By Code"}</definedName>
    <definedName name="lighjjh_5_1_1_1" hidden="1">{"Input_Fin",#N/A,FALSE,"By Code";"Input_Opt",#N/A,FALSE,"By Code"}</definedName>
    <definedName name="lighjjh_5_1_1_2" hidden="1">{"Input_Fin",#N/A,FALSE,"By Code";"Input_Opt",#N/A,FALSE,"By Code"}</definedName>
    <definedName name="lighjjh_5_1_1_3" hidden="1">{"Input_Fin",#N/A,FALSE,"By Code";"Input_Opt",#N/A,FALSE,"By Code"}</definedName>
    <definedName name="lighjjh_5_1_2" hidden="1">{"Input_Fin",#N/A,FALSE,"By Code";"Input_Opt",#N/A,FALSE,"By Code"}</definedName>
    <definedName name="lighjjh_5_1_2_1" hidden="1">{"Input_Fin",#N/A,FALSE,"By Code";"Input_Opt",#N/A,FALSE,"By Code"}</definedName>
    <definedName name="lighjjh_5_1_2_2" hidden="1">{"Input_Fin",#N/A,FALSE,"By Code";"Input_Opt",#N/A,FALSE,"By Code"}</definedName>
    <definedName name="lighjjh_5_1_3" hidden="1">{"Input_Fin",#N/A,FALSE,"By Code";"Input_Opt",#N/A,FALSE,"By Code"}</definedName>
    <definedName name="lighjjh_5_1_4" hidden="1">{"Input_Fin",#N/A,FALSE,"By Code";"Input_Opt",#N/A,FALSE,"By Code"}</definedName>
    <definedName name="lighjjh_5_2" hidden="1">{"Input_Fin",#N/A,FALSE,"By Code";"Input_Opt",#N/A,FALSE,"By Code"}</definedName>
    <definedName name="lighjjh_5_2_1" hidden="1">{"Input_Fin",#N/A,FALSE,"By Code";"Input_Opt",#N/A,FALSE,"By Code"}</definedName>
    <definedName name="lighjjh_5_2_2" hidden="1">{"Input_Fin",#N/A,FALSE,"By Code";"Input_Opt",#N/A,FALSE,"By Code"}</definedName>
    <definedName name="lighjjh_5_2_3" hidden="1">{"Input_Fin",#N/A,FALSE,"By Code";"Input_Opt",#N/A,FALSE,"By Code"}</definedName>
    <definedName name="lighjjh_5_3" hidden="1">{"Input_Fin",#N/A,FALSE,"By Code";"Input_Opt",#N/A,FALSE,"By Code"}</definedName>
    <definedName name="lighjjh_5_3_1" hidden="1">{"Input_Fin",#N/A,FALSE,"By Code";"Input_Opt",#N/A,FALSE,"By Code"}</definedName>
    <definedName name="lighjjh_5_3_2" hidden="1">{"Input_Fin",#N/A,FALSE,"By Code";"Input_Opt",#N/A,FALSE,"By Code"}</definedName>
    <definedName name="lighjjh_5_4" hidden="1">{"Input_Fin",#N/A,FALSE,"By Code";"Input_Opt",#N/A,FALSE,"By Code"}</definedName>
    <definedName name="lighjjh_5_5" hidden="1">{"Input_Fin",#N/A,FALSE,"By Code";"Input_Opt",#N/A,FALSE,"By Code"}</definedName>
    <definedName name="liuijhdk" localSheetId="12" hidden="1">{"Input_Fin",#N/A,FALSE,"By Code";"Input_Opt",#N/A,FALSE,"By Code"}</definedName>
    <definedName name="liuijhdk" hidden="1">{"Input_Fin",#N/A,FALSE,"By Code";"Input_Opt",#N/A,FALSE,"By Code"}</definedName>
    <definedName name="liuijhdk_1" hidden="1">{"Input_Fin",#N/A,FALSE,"By Code";"Input_Opt",#N/A,FALSE,"By Code"}</definedName>
    <definedName name="liuijhdk_1_1" hidden="1">{"Input_Fin",#N/A,FALSE,"By Code";"Input_Opt",#N/A,FALSE,"By Code"}</definedName>
    <definedName name="liuijhdk_1_1_1" hidden="1">{"Input_Fin",#N/A,FALSE,"By Code";"Input_Opt",#N/A,FALSE,"By Code"}</definedName>
    <definedName name="liuijhdk_1_1_1_1" hidden="1">{"Input_Fin",#N/A,FALSE,"By Code";"Input_Opt",#N/A,FALSE,"By Code"}</definedName>
    <definedName name="liuijhdk_1_1_1_1_1" hidden="1">{"Input_Fin",#N/A,FALSE,"By Code";"Input_Opt",#N/A,FALSE,"By Code"}</definedName>
    <definedName name="liuijhdk_1_1_1_1_2" hidden="1">{"Input_Fin",#N/A,FALSE,"By Code";"Input_Opt",#N/A,FALSE,"By Code"}</definedName>
    <definedName name="liuijhdk_1_1_1_1_3" hidden="1">{"Input_Fin",#N/A,FALSE,"By Code";"Input_Opt",#N/A,FALSE,"By Code"}</definedName>
    <definedName name="liuijhdk_1_1_1_2" hidden="1">{"Input_Fin",#N/A,FALSE,"By Code";"Input_Opt",#N/A,FALSE,"By Code"}</definedName>
    <definedName name="liuijhdk_1_1_1_2_1" hidden="1">{"Input_Fin",#N/A,FALSE,"By Code";"Input_Opt",#N/A,FALSE,"By Code"}</definedName>
    <definedName name="liuijhdk_1_1_1_2_2" hidden="1">{"Input_Fin",#N/A,FALSE,"By Code";"Input_Opt",#N/A,FALSE,"By Code"}</definedName>
    <definedName name="liuijhdk_1_1_1_3" hidden="1">{"Input_Fin",#N/A,FALSE,"By Code";"Input_Opt",#N/A,FALSE,"By Code"}</definedName>
    <definedName name="liuijhdk_1_1_1_3_1" hidden="1">{"Input_Fin",#N/A,FALSE,"By Code";"Input_Opt",#N/A,FALSE,"By Code"}</definedName>
    <definedName name="liuijhdk_1_1_1_3_2" hidden="1">{"Input_Fin",#N/A,FALSE,"By Code";"Input_Opt",#N/A,FALSE,"By Code"}</definedName>
    <definedName name="liuijhdk_1_1_1_4" hidden="1">{"Input_Fin",#N/A,FALSE,"By Code";"Input_Opt",#N/A,FALSE,"By Code"}</definedName>
    <definedName name="liuijhdk_1_1_1_5" hidden="1">{"Input_Fin",#N/A,FALSE,"By Code";"Input_Opt",#N/A,FALSE,"By Code"}</definedName>
    <definedName name="liuijhdk_1_1_2" hidden="1">{"Input_Fin",#N/A,FALSE,"By Code";"Input_Opt",#N/A,FALSE,"By Code"}</definedName>
    <definedName name="liuijhdk_1_1_2_1" hidden="1">{"Input_Fin",#N/A,FALSE,"By Code";"Input_Opt",#N/A,FALSE,"By Code"}</definedName>
    <definedName name="liuijhdk_1_1_2_2" hidden="1">{"Input_Fin",#N/A,FALSE,"By Code";"Input_Opt",#N/A,FALSE,"By Code"}</definedName>
    <definedName name="liuijhdk_1_1_2_3" hidden="1">{"Input_Fin",#N/A,FALSE,"By Code";"Input_Opt",#N/A,FALSE,"By Code"}</definedName>
    <definedName name="liuijhdk_1_1_3" hidden="1">{"Input_Fin",#N/A,FALSE,"By Code";"Input_Opt",#N/A,FALSE,"By Code"}</definedName>
    <definedName name="liuijhdk_1_1_3_1" hidden="1">{"Input_Fin",#N/A,FALSE,"By Code";"Input_Opt",#N/A,FALSE,"By Code"}</definedName>
    <definedName name="liuijhdk_1_1_3_2" hidden="1">{"Input_Fin",#N/A,FALSE,"By Code";"Input_Opt",#N/A,FALSE,"By Code"}</definedName>
    <definedName name="liuijhdk_1_1_4" hidden="1">{"Input_Fin",#N/A,FALSE,"By Code";"Input_Opt",#N/A,FALSE,"By Code"}</definedName>
    <definedName name="liuijhdk_1_1_5" hidden="1">{"Input_Fin",#N/A,FALSE,"By Code";"Input_Opt",#N/A,FALSE,"By Code"}</definedName>
    <definedName name="liuijhdk_1_2" hidden="1">{"Input_Fin",#N/A,FALSE,"By Code";"Input_Opt",#N/A,FALSE,"By Code"}</definedName>
    <definedName name="liuijhdk_1_2_1" hidden="1">{"Input_Fin",#N/A,FALSE,"By Code";"Input_Opt",#N/A,FALSE,"By Code"}</definedName>
    <definedName name="liuijhdk_1_2_2" hidden="1">{"Input_Fin",#N/A,FALSE,"By Code";"Input_Opt",#N/A,FALSE,"By Code"}</definedName>
    <definedName name="liuijhdk_1_2_3" hidden="1">{"Input_Fin",#N/A,FALSE,"By Code";"Input_Opt",#N/A,FALSE,"By Code"}</definedName>
    <definedName name="liuijhdk_1_3" hidden="1">{"Input_Fin",#N/A,FALSE,"By Code";"Input_Opt",#N/A,FALSE,"By Code"}</definedName>
    <definedName name="liuijhdk_1_3_1" hidden="1">{"Input_Fin",#N/A,FALSE,"By Code";"Input_Opt",#N/A,FALSE,"By Code"}</definedName>
    <definedName name="liuijhdk_1_3_2" hidden="1">{"Input_Fin",#N/A,FALSE,"By Code";"Input_Opt",#N/A,FALSE,"By Code"}</definedName>
    <definedName name="liuijhdk_1_4" hidden="1">{"Input_Fin",#N/A,FALSE,"By Code";"Input_Opt",#N/A,FALSE,"By Code"}</definedName>
    <definedName name="liuijhdk_1_5" hidden="1">{"Input_Fin",#N/A,FALSE,"By Code";"Input_Opt",#N/A,FALSE,"By Code"}</definedName>
    <definedName name="liuijhdk_2" hidden="1">{"Input_Fin",#N/A,FALSE,"By Code";"Input_Opt",#N/A,FALSE,"By Code"}</definedName>
    <definedName name="liuijhdk_2_1" hidden="1">{"Input_Fin",#N/A,FALSE,"By Code";"Input_Opt",#N/A,FALSE,"By Code"}</definedName>
    <definedName name="liuijhdk_2_1_1" hidden="1">{"Input_Fin",#N/A,FALSE,"By Code";"Input_Opt",#N/A,FALSE,"By Code"}</definedName>
    <definedName name="liuijhdk_2_1_1_1" hidden="1">{"Input_Fin",#N/A,FALSE,"By Code";"Input_Opt",#N/A,FALSE,"By Code"}</definedName>
    <definedName name="liuijhdk_2_1_1_2" hidden="1">{"Input_Fin",#N/A,FALSE,"By Code";"Input_Opt",#N/A,FALSE,"By Code"}</definedName>
    <definedName name="liuijhdk_2_1_1_3" hidden="1">{"Input_Fin",#N/A,FALSE,"By Code";"Input_Opt",#N/A,FALSE,"By Code"}</definedName>
    <definedName name="liuijhdk_2_1_2" hidden="1">{"Input_Fin",#N/A,FALSE,"By Code";"Input_Opt",#N/A,FALSE,"By Code"}</definedName>
    <definedName name="liuijhdk_2_1_2_1" hidden="1">{"Input_Fin",#N/A,FALSE,"By Code";"Input_Opt",#N/A,FALSE,"By Code"}</definedName>
    <definedName name="liuijhdk_2_1_2_2" hidden="1">{"Input_Fin",#N/A,FALSE,"By Code";"Input_Opt",#N/A,FALSE,"By Code"}</definedName>
    <definedName name="liuijhdk_2_1_3" hidden="1">{"Input_Fin",#N/A,FALSE,"By Code";"Input_Opt",#N/A,FALSE,"By Code"}</definedName>
    <definedName name="liuijhdk_2_1_4" hidden="1">{"Input_Fin",#N/A,FALSE,"By Code";"Input_Opt",#N/A,FALSE,"By Code"}</definedName>
    <definedName name="liuijhdk_2_2" hidden="1">{"Input_Fin",#N/A,FALSE,"By Code";"Input_Opt",#N/A,FALSE,"By Code"}</definedName>
    <definedName name="liuijhdk_2_2_1" hidden="1">{"Input_Fin",#N/A,FALSE,"By Code";"Input_Opt",#N/A,FALSE,"By Code"}</definedName>
    <definedName name="liuijhdk_2_2_2" hidden="1">{"Input_Fin",#N/A,FALSE,"By Code";"Input_Opt",#N/A,FALSE,"By Code"}</definedName>
    <definedName name="liuijhdk_2_2_3" hidden="1">{"Input_Fin",#N/A,FALSE,"By Code";"Input_Opt",#N/A,FALSE,"By Code"}</definedName>
    <definedName name="liuijhdk_2_3" hidden="1">{"Input_Fin",#N/A,FALSE,"By Code";"Input_Opt",#N/A,FALSE,"By Code"}</definedName>
    <definedName name="liuijhdk_2_3_1" hidden="1">{"Input_Fin",#N/A,FALSE,"By Code";"Input_Opt",#N/A,FALSE,"By Code"}</definedName>
    <definedName name="liuijhdk_2_3_2" hidden="1">{"Input_Fin",#N/A,FALSE,"By Code";"Input_Opt",#N/A,FALSE,"By Code"}</definedName>
    <definedName name="liuijhdk_2_4" hidden="1">{"Input_Fin",#N/A,FALSE,"By Code";"Input_Opt",#N/A,FALSE,"By Code"}</definedName>
    <definedName name="liuijhdk_2_5" hidden="1">{"Input_Fin",#N/A,FALSE,"By Code";"Input_Opt",#N/A,FALSE,"By Code"}</definedName>
    <definedName name="liuijhdk_3" hidden="1">{"Input_Fin",#N/A,FALSE,"By Code";"Input_Opt",#N/A,FALSE,"By Code"}</definedName>
    <definedName name="liuijhdk_3_1" hidden="1">{"Input_Fin",#N/A,FALSE,"By Code";"Input_Opt",#N/A,FALSE,"By Code"}</definedName>
    <definedName name="liuijhdk_3_1_1" hidden="1">{"Input_Fin",#N/A,FALSE,"By Code";"Input_Opt",#N/A,FALSE,"By Code"}</definedName>
    <definedName name="liuijhdk_3_1_1_1" hidden="1">{"Input_Fin",#N/A,FALSE,"By Code";"Input_Opt",#N/A,FALSE,"By Code"}</definedName>
    <definedName name="liuijhdk_3_1_1_2" hidden="1">{"Input_Fin",#N/A,FALSE,"By Code";"Input_Opt",#N/A,FALSE,"By Code"}</definedName>
    <definedName name="liuijhdk_3_1_1_3" hidden="1">{"Input_Fin",#N/A,FALSE,"By Code";"Input_Opt",#N/A,FALSE,"By Code"}</definedName>
    <definedName name="liuijhdk_3_1_2" hidden="1">{"Input_Fin",#N/A,FALSE,"By Code";"Input_Opt",#N/A,FALSE,"By Code"}</definedName>
    <definedName name="liuijhdk_3_1_2_1" hidden="1">{"Input_Fin",#N/A,FALSE,"By Code";"Input_Opt",#N/A,FALSE,"By Code"}</definedName>
    <definedName name="liuijhdk_3_1_2_2" hidden="1">{"Input_Fin",#N/A,FALSE,"By Code";"Input_Opt",#N/A,FALSE,"By Code"}</definedName>
    <definedName name="liuijhdk_3_1_3" hidden="1">{"Input_Fin",#N/A,FALSE,"By Code";"Input_Opt",#N/A,FALSE,"By Code"}</definedName>
    <definedName name="liuijhdk_3_1_4" hidden="1">{"Input_Fin",#N/A,FALSE,"By Code";"Input_Opt",#N/A,FALSE,"By Code"}</definedName>
    <definedName name="liuijhdk_3_2" hidden="1">{"Input_Fin",#N/A,FALSE,"By Code";"Input_Opt",#N/A,FALSE,"By Code"}</definedName>
    <definedName name="liuijhdk_3_2_1" hidden="1">{"Input_Fin",#N/A,FALSE,"By Code";"Input_Opt",#N/A,FALSE,"By Code"}</definedName>
    <definedName name="liuijhdk_3_2_2" hidden="1">{"Input_Fin",#N/A,FALSE,"By Code";"Input_Opt",#N/A,FALSE,"By Code"}</definedName>
    <definedName name="liuijhdk_3_2_3" hidden="1">{"Input_Fin",#N/A,FALSE,"By Code";"Input_Opt",#N/A,FALSE,"By Code"}</definedName>
    <definedName name="liuijhdk_3_3" hidden="1">{"Input_Fin",#N/A,FALSE,"By Code";"Input_Opt",#N/A,FALSE,"By Code"}</definedName>
    <definedName name="liuijhdk_3_3_1" hidden="1">{"Input_Fin",#N/A,FALSE,"By Code";"Input_Opt",#N/A,FALSE,"By Code"}</definedName>
    <definedName name="liuijhdk_3_3_2" hidden="1">{"Input_Fin",#N/A,FALSE,"By Code";"Input_Opt",#N/A,FALSE,"By Code"}</definedName>
    <definedName name="liuijhdk_3_4" hidden="1">{"Input_Fin",#N/A,FALSE,"By Code";"Input_Opt",#N/A,FALSE,"By Code"}</definedName>
    <definedName name="liuijhdk_3_5" hidden="1">{"Input_Fin",#N/A,FALSE,"By Code";"Input_Opt",#N/A,FALSE,"By Code"}</definedName>
    <definedName name="liuijhdk_4" hidden="1">{"Input_Fin",#N/A,FALSE,"By Code";"Input_Opt",#N/A,FALSE,"By Code"}</definedName>
    <definedName name="liuijhdk_4_1" hidden="1">{"Input_Fin",#N/A,FALSE,"By Code";"Input_Opt",#N/A,FALSE,"By Code"}</definedName>
    <definedName name="liuijhdk_4_1_1" hidden="1">{"Input_Fin",#N/A,FALSE,"By Code";"Input_Opt",#N/A,FALSE,"By Code"}</definedName>
    <definedName name="liuijhdk_4_1_1_1" hidden="1">{"Input_Fin",#N/A,FALSE,"By Code";"Input_Opt",#N/A,FALSE,"By Code"}</definedName>
    <definedName name="liuijhdk_4_1_1_2" hidden="1">{"Input_Fin",#N/A,FALSE,"By Code";"Input_Opt",#N/A,FALSE,"By Code"}</definedName>
    <definedName name="liuijhdk_4_1_1_3" hidden="1">{"Input_Fin",#N/A,FALSE,"By Code";"Input_Opt",#N/A,FALSE,"By Code"}</definedName>
    <definedName name="liuijhdk_4_1_2" hidden="1">{"Input_Fin",#N/A,FALSE,"By Code";"Input_Opt",#N/A,FALSE,"By Code"}</definedName>
    <definedName name="liuijhdk_4_1_2_1" hidden="1">{"Input_Fin",#N/A,FALSE,"By Code";"Input_Opt",#N/A,FALSE,"By Code"}</definedName>
    <definedName name="liuijhdk_4_1_2_2" hidden="1">{"Input_Fin",#N/A,FALSE,"By Code";"Input_Opt",#N/A,FALSE,"By Code"}</definedName>
    <definedName name="liuijhdk_4_1_3" hidden="1">{"Input_Fin",#N/A,FALSE,"By Code";"Input_Opt",#N/A,FALSE,"By Code"}</definedName>
    <definedName name="liuijhdk_4_1_4" hidden="1">{"Input_Fin",#N/A,FALSE,"By Code";"Input_Opt",#N/A,FALSE,"By Code"}</definedName>
    <definedName name="liuijhdk_4_2" hidden="1">{"Input_Fin",#N/A,FALSE,"By Code";"Input_Opt",#N/A,FALSE,"By Code"}</definedName>
    <definedName name="liuijhdk_4_2_1" hidden="1">{"Input_Fin",#N/A,FALSE,"By Code";"Input_Opt",#N/A,FALSE,"By Code"}</definedName>
    <definedName name="liuijhdk_4_2_2" hidden="1">{"Input_Fin",#N/A,FALSE,"By Code";"Input_Opt",#N/A,FALSE,"By Code"}</definedName>
    <definedName name="liuijhdk_4_2_3" hidden="1">{"Input_Fin",#N/A,FALSE,"By Code";"Input_Opt",#N/A,FALSE,"By Code"}</definedName>
    <definedName name="liuijhdk_4_3" hidden="1">{"Input_Fin",#N/A,FALSE,"By Code";"Input_Opt",#N/A,FALSE,"By Code"}</definedName>
    <definedName name="liuijhdk_4_3_1" hidden="1">{"Input_Fin",#N/A,FALSE,"By Code";"Input_Opt",#N/A,FALSE,"By Code"}</definedName>
    <definedName name="liuijhdk_4_3_2" hidden="1">{"Input_Fin",#N/A,FALSE,"By Code";"Input_Opt",#N/A,FALSE,"By Code"}</definedName>
    <definedName name="liuijhdk_4_4" hidden="1">{"Input_Fin",#N/A,FALSE,"By Code";"Input_Opt",#N/A,FALSE,"By Code"}</definedName>
    <definedName name="liuijhdk_4_5" hidden="1">{"Input_Fin",#N/A,FALSE,"By Code";"Input_Opt",#N/A,FALSE,"By Code"}</definedName>
    <definedName name="liuijhdk_5" hidden="1">{"Input_Fin",#N/A,FALSE,"By Code";"Input_Opt",#N/A,FALSE,"By Code"}</definedName>
    <definedName name="liuijhdk_5_1" hidden="1">{"Input_Fin",#N/A,FALSE,"By Code";"Input_Opt",#N/A,FALSE,"By Code"}</definedName>
    <definedName name="liuijhdk_5_1_1" hidden="1">{"Input_Fin",#N/A,FALSE,"By Code";"Input_Opt",#N/A,FALSE,"By Code"}</definedName>
    <definedName name="liuijhdk_5_1_1_1" hidden="1">{"Input_Fin",#N/A,FALSE,"By Code";"Input_Opt",#N/A,FALSE,"By Code"}</definedName>
    <definedName name="liuijhdk_5_1_1_2" hidden="1">{"Input_Fin",#N/A,FALSE,"By Code";"Input_Opt",#N/A,FALSE,"By Code"}</definedName>
    <definedName name="liuijhdk_5_1_1_3" hidden="1">{"Input_Fin",#N/A,FALSE,"By Code";"Input_Opt",#N/A,FALSE,"By Code"}</definedName>
    <definedName name="liuijhdk_5_1_2" hidden="1">{"Input_Fin",#N/A,FALSE,"By Code";"Input_Opt",#N/A,FALSE,"By Code"}</definedName>
    <definedName name="liuijhdk_5_1_2_1" hidden="1">{"Input_Fin",#N/A,FALSE,"By Code";"Input_Opt",#N/A,FALSE,"By Code"}</definedName>
    <definedName name="liuijhdk_5_1_2_2" hidden="1">{"Input_Fin",#N/A,FALSE,"By Code";"Input_Opt",#N/A,FALSE,"By Code"}</definedName>
    <definedName name="liuijhdk_5_1_3" hidden="1">{"Input_Fin",#N/A,FALSE,"By Code";"Input_Opt",#N/A,FALSE,"By Code"}</definedName>
    <definedName name="liuijhdk_5_1_4" hidden="1">{"Input_Fin",#N/A,FALSE,"By Code";"Input_Opt",#N/A,FALSE,"By Code"}</definedName>
    <definedName name="liuijhdk_5_2" hidden="1">{"Input_Fin",#N/A,FALSE,"By Code";"Input_Opt",#N/A,FALSE,"By Code"}</definedName>
    <definedName name="liuijhdk_5_2_1" hidden="1">{"Input_Fin",#N/A,FALSE,"By Code";"Input_Opt",#N/A,FALSE,"By Code"}</definedName>
    <definedName name="liuijhdk_5_2_2" hidden="1">{"Input_Fin",#N/A,FALSE,"By Code";"Input_Opt",#N/A,FALSE,"By Code"}</definedName>
    <definedName name="liuijhdk_5_2_3" hidden="1">{"Input_Fin",#N/A,FALSE,"By Code";"Input_Opt",#N/A,FALSE,"By Code"}</definedName>
    <definedName name="liuijhdk_5_3" hidden="1">{"Input_Fin",#N/A,FALSE,"By Code";"Input_Opt",#N/A,FALSE,"By Code"}</definedName>
    <definedName name="liuijhdk_5_3_1" hidden="1">{"Input_Fin",#N/A,FALSE,"By Code";"Input_Opt",#N/A,FALSE,"By Code"}</definedName>
    <definedName name="liuijhdk_5_3_2" hidden="1">{"Input_Fin",#N/A,FALSE,"By Code";"Input_Opt",#N/A,FALSE,"By Code"}</definedName>
    <definedName name="liuijhdk_5_4" hidden="1">{"Input_Fin",#N/A,FALSE,"By Code";"Input_Opt",#N/A,FALSE,"By Code"}</definedName>
    <definedName name="liuijhdk_5_5" hidden="1">{"Input_Fin",#N/A,FALSE,"By Code";"Input_Opt",#N/A,FALSE,"By Code"}</definedName>
    <definedName name="lizhuo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lizhuo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lkjjh" localSheetId="12" hidden="1">{"Input_Fin",#N/A,FALSE,"By Code";"Input_Opt",#N/A,FALSE,"By Code"}</definedName>
    <definedName name="lkjjh" hidden="1">{"Input_Fin",#N/A,FALSE,"By Code";"Input_Opt",#N/A,FALSE,"By Code"}</definedName>
    <definedName name="lkjjh_1" hidden="1">{"Input_Fin",#N/A,FALSE,"By Code";"Input_Opt",#N/A,FALSE,"By Code"}</definedName>
    <definedName name="lkjjh_1_1" hidden="1">{"Input_Fin",#N/A,FALSE,"By Code";"Input_Opt",#N/A,FALSE,"By Code"}</definedName>
    <definedName name="lkjjh_1_1_1" hidden="1">{"Input_Fin",#N/A,FALSE,"By Code";"Input_Opt",#N/A,FALSE,"By Code"}</definedName>
    <definedName name="lkjjh_1_1_1_1" hidden="1">{"Input_Fin",#N/A,FALSE,"By Code";"Input_Opt",#N/A,FALSE,"By Code"}</definedName>
    <definedName name="lkjjh_1_1_1_1_1" hidden="1">{"Input_Fin",#N/A,FALSE,"By Code";"Input_Opt",#N/A,FALSE,"By Code"}</definedName>
    <definedName name="lkjjh_1_1_1_1_2" hidden="1">{"Input_Fin",#N/A,FALSE,"By Code";"Input_Opt",#N/A,FALSE,"By Code"}</definedName>
    <definedName name="lkjjh_1_1_1_1_3" hidden="1">{"Input_Fin",#N/A,FALSE,"By Code";"Input_Opt",#N/A,FALSE,"By Code"}</definedName>
    <definedName name="lkjjh_1_1_1_2" hidden="1">{"Input_Fin",#N/A,FALSE,"By Code";"Input_Opt",#N/A,FALSE,"By Code"}</definedName>
    <definedName name="lkjjh_1_1_1_2_1" hidden="1">{"Input_Fin",#N/A,FALSE,"By Code";"Input_Opt",#N/A,FALSE,"By Code"}</definedName>
    <definedName name="lkjjh_1_1_1_2_2" hidden="1">{"Input_Fin",#N/A,FALSE,"By Code";"Input_Opt",#N/A,FALSE,"By Code"}</definedName>
    <definedName name="lkjjh_1_1_1_3" hidden="1">{"Input_Fin",#N/A,FALSE,"By Code";"Input_Opt",#N/A,FALSE,"By Code"}</definedName>
    <definedName name="lkjjh_1_1_1_3_1" hidden="1">{"Input_Fin",#N/A,FALSE,"By Code";"Input_Opt",#N/A,FALSE,"By Code"}</definedName>
    <definedName name="lkjjh_1_1_1_3_2" hidden="1">{"Input_Fin",#N/A,FALSE,"By Code";"Input_Opt",#N/A,FALSE,"By Code"}</definedName>
    <definedName name="lkjjh_1_1_1_4" hidden="1">{"Input_Fin",#N/A,FALSE,"By Code";"Input_Opt",#N/A,FALSE,"By Code"}</definedName>
    <definedName name="lkjjh_1_1_1_5" hidden="1">{"Input_Fin",#N/A,FALSE,"By Code";"Input_Opt",#N/A,FALSE,"By Code"}</definedName>
    <definedName name="lkjjh_1_1_2" hidden="1">{"Input_Fin",#N/A,FALSE,"By Code";"Input_Opt",#N/A,FALSE,"By Code"}</definedName>
    <definedName name="lkjjh_1_1_2_1" hidden="1">{"Input_Fin",#N/A,FALSE,"By Code";"Input_Opt",#N/A,FALSE,"By Code"}</definedName>
    <definedName name="lkjjh_1_1_2_2" hidden="1">{"Input_Fin",#N/A,FALSE,"By Code";"Input_Opt",#N/A,FALSE,"By Code"}</definedName>
    <definedName name="lkjjh_1_1_2_3" hidden="1">{"Input_Fin",#N/A,FALSE,"By Code";"Input_Opt",#N/A,FALSE,"By Code"}</definedName>
    <definedName name="lkjjh_1_1_3" hidden="1">{"Input_Fin",#N/A,FALSE,"By Code";"Input_Opt",#N/A,FALSE,"By Code"}</definedName>
    <definedName name="lkjjh_1_1_3_1" hidden="1">{"Input_Fin",#N/A,FALSE,"By Code";"Input_Opt",#N/A,FALSE,"By Code"}</definedName>
    <definedName name="lkjjh_1_1_3_2" hidden="1">{"Input_Fin",#N/A,FALSE,"By Code";"Input_Opt",#N/A,FALSE,"By Code"}</definedName>
    <definedName name="lkjjh_1_1_4" hidden="1">{"Input_Fin",#N/A,FALSE,"By Code";"Input_Opt",#N/A,FALSE,"By Code"}</definedName>
    <definedName name="lkjjh_1_1_5" hidden="1">{"Input_Fin",#N/A,FALSE,"By Code";"Input_Opt",#N/A,FALSE,"By Code"}</definedName>
    <definedName name="lkjjh_1_2" hidden="1">{"Input_Fin",#N/A,FALSE,"By Code";"Input_Opt",#N/A,FALSE,"By Code"}</definedName>
    <definedName name="lkjjh_1_2_1" hidden="1">{"Input_Fin",#N/A,FALSE,"By Code";"Input_Opt",#N/A,FALSE,"By Code"}</definedName>
    <definedName name="lkjjh_1_2_2" hidden="1">{"Input_Fin",#N/A,FALSE,"By Code";"Input_Opt",#N/A,FALSE,"By Code"}</definedName>
    <definedName name="lkjjh_1_2_3" hidden="1">{"Input_Fin",#N/A,FALSE,"By Code";"Input_Opt",#N/A,FALSE,"By Code"}</definedName>
    <definedName name="lkjjh_1_3" hidden="1">{"Input_Fin",#N/A,FALSE,"By Code";"Input_Opt",#N/A,FALSE,"By Code"}</definedName>
    <definedName name="lkjjh_1_3_1" hidden="1">{"Input_Fin",#N/A,FALSE,"By Code";"Input_Opt",#N/A,FALSE,"By Code"}</definedName>
    <definedName name="lkjjh_1_3_2" hidden="1">{"Input_Fin",#N/A,FALSE,"By Code";"Input_Opt",#N/A,FALSE,"By Code"}</definedName>
    <definedName name="lkjjh_1_4" hidden="1">{"Input_Fin",#N/A,FALSE,"By Code";"Input_Opt",#N/A,FALSE,"By Code"}</definedName>
    <definedName name="lkjjh_1_5" hidden="1">{"Input_Fin",#N/A,FALSE,"By Code";"Input_Opt",#N/A,FALSE,"By Code"}</definedName>
    <definedName name="lkjjh_2" hidden="1">{"Input_Fin",#N/A,FALSE,"By Code";"Input_Opt",#N/A,FALSE,"By Code"}</definedName>
    <definedName name="lkjjh_2_1" hidden="1">{"Input_Fin",#N/A,FALSE,"By Code";"Input_Opt",#N/A,FALSE,"By Code"}</definedName>
    <definedName name="lkjjh_2_1_1" hidden="1">{"Input_Fin",#N/A,FALSE,"By Code";"Input_Opt",#N/A,FALSE,"By Code"}</definedName>
    <definedName name="lkjjh_2_1_1_1" hidden="1">{"Input_Fin",#N/A,FALSE,"By Code";"Input_Opt",#N/A,FALSE,"By Code"}</definedName>
    <definedName name="lkjjh_2_1_1_2" hidden="1">{"Input_Fin",#N/A,FALSE,"By Code";"Input_Opt",#N/A,FALSE,"By Code"}</definedName>
    <definedName name="lkjjh_2_1_1_3" hidden="1">{"Input_Fin",#N/A,FALSE,"By Code";"Input_Opt",#N/A,FALSE,"By Code"}</definedName>
    <definedName name="lkjjh_2_1_2" hidden="1">{"Input_Fin",#N/A,FALSE,"By Code";"Input_Opt",#N/A,FALSE,"By Code"}</definedName>
    <definedName name="lkjjh_2_1_2_1" hidden="1">{"Input_Fin",#N/A,FALSE,"By Code";"Input_Opt",#N/A,FALSE,"By Code"}</definedName>
    <definedName name="lkjjh_2_1_2_2" hidden="1">{"Input_Fin",#N/A,FALSE,"By Code";"Input_Opt",#N/A,FALSE,"By Code"}</definedName>
    <definedName name="lkjjh_2_1_3" hidden="1">{"Input_Fin",#N/A,FALSE,"By Code";"Input_Opt",#N/A,FALSE,"By Code"}</definedName>
    <definedName name="lkjjh_2_1_4" hidden="1">{"Input_Fin",#N/A,FALSE,"By Code";"Input_Opt",#N/A,FALSE,"By Code"}</definedName>
    <definedName name="lkjjh_2_2" hidden="1">{"Input_Fin",#N/A,FALSE,"By Code";"Input_Opt",#N/A,FALSE,"By Code"}</definedName>
    <definedName name="lkjjh_2_2_1" hidden="1">{"Input_Fin",#N/A,FALSE,"By Code";"Input_Opt",#N/A,FALSE,"By Code"}</definedName>
    <definedName name="lkjjh_2_2_2" hidden="1">{"Input_Fin",#N/A,FALSE,"By Code";"Input_Opt",#N/A,FALSE,"By Code"}</definedName>
    <definedName name="lkjjh_2_2_3" hidden="1">{"Input_Fin",#N/A,FALSE,"By Code";"Input_Opt",#N/A,FALSE,"By Code"}</definedName>
    <definedName name="lkjjh_2_3" hidden="1">{"Input_Fin",#N/A,FALSE,"By Code";"Input_Opt",#N/A,FALSE,"By Code"}</definedName>
    <definedName name="lkjjh_2_3_1" hidden="1">{"Input_Fin",#N/A,FALSE,"By Code";"Input_Opt",#N/A,FALSE,"By Code"}</definedName>
    <definedName name="lkjjh_2_3_2" hidden="1">{"Input_Fin",#N/A,FALSE,"By Code";"Input_Opt",#N/A,FALSE,"By Code"}</definedName>
    <definedName name="lkjjh_2_4" hidden="1">{"Input_Fin",#N/A,FALSE,"By Code";"Input_Opt",#N/A,FALSE,"By Code"}</definedName>
    <definedName name="lkjjh_2_5" hidden="1">{"Input_Fin",#N/A,FALSE,"By Code";"Input_Opt",#N/A,FALSE,"By Code"}</definedName>
    <definedName name="lkjjh_3" hidden="1">{"Input_Fin",#N/A,FALSE,"By Code";"Input_Opt",#N/A,FALSE,"By Code"}</definedName>
    <definedName name="lkjjh_3_1" hidden="1">{"Input_Fin",#N/A,FALSE,"By Code";"Input_Opt",#N/A,FALSE,"By Code"}</definedName>
    <definedName name="lkjjh_3_1_1" hidden="1">{"Input_Fin",#N/A,FALSE,"By Code";"Input_Opt",#N/A,FALSE,"By Code"}</definedName>
    <definedName name="lkjjh_3_1_1_1" hidden="1">{"Input_Fin",#N/A,FALSE,"By Code";"Input_Opt",#N/A,FALSE,"By Code"}</definedName>
    <definedName name="lkjjh_3_1_1_2" hidden="1">{"Input_Fin",#N/A,FALSE,"By Code";"Input_Opt",#N/A,FALSE,"By Code"}</definedName>
    <definedName name="lkjjh_3_1_1_3" hidden="1">{"Input_Fin",#N/A,FALSE,"By Code";"Input_Opt",#N/A,FALSE,"By Code"}</definedName>
    <definedName name="lkjjh_3_1_2" hidden="1">{"Input_Fin",#N/A,FALSE,"By Code";"Input_Opt",#N/A,FALSE,"By Code"}</definedName>
    <definedName name="lkjjh_3_1_2_1" hidden="1">{"Input_Fin",#N/A,FALSE,"By Code";"Input_Opt",#N/A,FALSE,"By Code"}</definedName>
    <definedName name="lkjjh_3_1_2_2" hidden="1">{"Input_Fin",#N/A,FALSE,"By Code";"Input_Opt",#N/A,FALSE,"By Code"}</definedName>
    <definedName name="lkjjh_3_1_3" hidden="1">{"Input_Fin",#N/A,FALSE,"By Code";"Input_Opt",#N/A,FALSE,"By Code"}</definedName>
    <definedName name="lkjjh_3_1_4" hidden="1">{"Input_Fin",#N/A,FALSE,"By Code";"Input_Opt",#N/A,FALSE,"By Code"}</definedName>
    <definedName name="lkjjh_3_2" hidden="1">{"Input_Fin",#N/A,FALSE,"By Code";"Input_Opt",#N/A,FALSE,"By Code"}</definedName>
    <definedName name="lkjjh_3_2_1" hidden="1">{"Input_Fin",#N/A,FALSE,"By Code";"Input_Opt",#N/A,FALSE,"By Code"}</definedName>
    <definedName name="lkjjh_3_2_2" hidden="1">{"Input_Fin",#N/A,FALSE,"By Code";"Input_Opt",#N/A,FALSE,"By Code"}</definedName>
    <definedName name="lkjjh_3_2_3" hidden="1">{"Input_Fin",#N/A,FALSE,"By Code";"Input_Opt",#N/A,FALSE,"By Code"}</definedName>
    <definedName name="lkjjh_3_3" hidden="1">{"Input_Fin",#N/A,FALSE,"By Code";"Input_Opt",#N/A,FALSE,"By Code"}</definedName>
    <definedName name="lkjjh_3_3_1" hidden="1">{"Input_Fin",#N/A,FALSE,"By Code";"Input_Opt",#N/A,FALSE,"By Code"}</definedName>
    <definedName name="lkjjh_3_3_2" hidden="1">{"Input_Fin",#N/A,FALSE,"By Code";"Input_Opt",#N/A,FALSE,"By Code"}</definedName>
    <definedName name="lkjjh_3_4" hidden="1">{"Input_Fin",#N/A,FALSE,"By Code";"Input_Opt",#N/A,FALSE,"By Code"}</definedName>
    <definedName name="lkjjh_3_5" hidden="1">{"Input_Fin",#N/A,FALSE,"By Code";"Input_Opt",#N/A,FALSE,"By Code"}</definedName>
    <definedName name="lkjjh_4" hidden="1">{"Input_Fin",#N/A,FALSE,"By Code";"Input_Opt",#N/A,FALSE,"By Code"}</definedName>
    <definedName name="lkjjh_4_1" hidden="1">{"Input_Fin",#N/A,FALSE,"By Code";"Input_Opt",#N/A,FALSE,"By Code"}</definedName>
    <definedName name="lkjjh_4_1_1" hidden="1">{"Input_Fin",#N/A,FALSE,"By Code";"Input_Opt",#N/A,FALSE,"By Code"}</definedName>
    <definedName name="lkjjh_4_1_1_1" hidden="1">{"Input_Fin",#N/A,FALSE,"By Code";"Input_Opt",#N/A,FALSE,"By Code"}</definedName>
    <definedName name="lkjjh_4_1_1_2" hidden="1">{"Input_Fin",#N/A,FALSE,"By Code";"Input_Opt",#N/A,FALSE,"By Code"}</definedName>
    <definedName name="lkjjh_4_1_1_3" hidden="1">{"Input_Fin",#N/A,FALSE,"By Code";"Input_Opt",#N/A,FALSE,"By Code"}</definedName>
    <definedName name="lkjjh_4_1_2" hidden="1">{"Input_Fin",#N/A,FALSE,"By Code";"Input_Opt",#N/A,FALSE,"By Code"}</definedName>
    <definedName name="lkjjh_4_1_2_1" hidden="1">{"Input_Fin",#N/A,FALSE,"By Code";"Input_Opt",#N/A,FALSE,"By Code"}</definedName>
    <definedName name="lkjjh_4_1_2_2" hidden="1">{"Input_Fin",#N/A,FALSE,"By Code";"Input_Opt",#N/A,FALSE,"By Code"}</definedName>
    <definedName name="lkjjh_4_1_3" hidden="1">{"Input_Fin",#N/A,FALSE,"By Code";"Input_Opt",#N/A,FALSE,"By Code"}</definedName>
    <definedName name="lkjjh_4_1_4" hidden="1">{"Input_Fin",#N/A,FALSE,"By Code";"Input_Opt",#N/A,FALSE,"By Code"}</definedName>
    <definedName name="lkjjh_4_2" hidden="1">{"Input_Fin",#N/A,FALSE,"By Code";"Input_Opt",#N/A,FALSE,"By Code"}</definedName>
    <definedName name="lkjjh_4_2_1" hidden="1">{"Input_Fin",#N/A,FALSE,"By Code";"Input_Opt",#N/A,FALSE,"By Code"}</definedName>
    <definedName name="lkjjh_4_2_2" hidden="1">{"Input_Fin",#N/A,FALSE,"By Code";"Input_Opt",#N/A,FALSE,"By Code"}</definedName>
    <definedName name="lkjjh_4_2_3" hidden="1">{"Input_Fin",#N/A,FALSE,"By Code";"Input_Opt",#N/A,FALSE,"By Code"}</definedName>
    <definedName name="lkjjh_4_3" hidden="1">{"Input_Fin",#N/A,FALSE,"By Code";"Input_Opt",#N/A,FALSE,"By Code"}</definedName>
    <definedName name="lkjjh_4_3_1" hidden="1">{"Input_Fin",#N/A,FALSE,"By Code";"Input_Opt",#N/A,FALSE,"By Code"}</definedName>
    <definedName name="lkjjh_4_3_2" hidden="1">{"Input_Fin",#N/A,FALSE,"By Code";"Input_Opt",#N/A,FALSE,"By Code"}</definedName>
    <definedName name="lkjjh_4_4" hidden="1">{"Input_Fin",#N/A,FALSE,"By Code";"Input_Opt",#N/A,FALSE,"By Code"}</definedName>
    <definedName name="lkjjh_4_5" hidden="1">{"Input_Fin",#N/A,FALSE,"By Code";"Input_Opt",#N/A,FALSE,"By Code"}</definedName>
    <definedName name="lkjjh_5" hidden="1">{"Input_Fin",#N/A,FALSE,"By Code";"Input_Opt",#N/A,FALSE,"By Code"}</definedName>
    <definedName name="lkjjh_5_1" hidden="1">{"Input_Fin",#N/A,FALSE,"By Code";"Input_Opt",#N/A,FALSE,"By Code"}</definedName>
    <definedName name="lkjjh_5_1_1" hidden="1">{"Input_Fin",#N/A,FALSE,"By Code";"Input_Opt",#N/A,FALSE,"By Code"}</definedName>
    <definedName name="lkjjh_5_1_1_1" hidden="1">{"Input_Fin",#N/A,FALSE,"By Code";"Input_Opt",#N/A,FALSE,"By Code"}</definedName>
    <definedName name="lkjjh_5_1_1_2" hidden="1">{"Input_Fin",#N/A,FALSE,"By Code";"Input_Opt",#N/A,FALSE,"By Code"}</definedName>
    <definedName name="lkjjh_5_1_1_3" hidden="1">{"Input_Fin",#N/A,FALSE,"By Code";"Input_Opt",#N/A,FALSE,"By Code"}</definedName>
    <definedName name="lkjjh_5_1_2" hidden="1">{"Input_Fin",#N/A,FALSE,"By Code";"Input_Opt",#N/A,FALSE,"By Code"}</definedName>
    <definedName name="lkjjh_5_1_2_1" hidden="1">{"Input_Fin",#N/A,FALSE,"By Code";"Input_Opt",#N/A,FALSE,"By Code"}</definedName>
    <definedName name="lkjjh_5_1_2_2" hidden="1">{"Input_Fin",#N/A,FALSE,"By Code";"Input_Opt",#N/A,FALSE,"By Code"}</definedName>
    <definedName name="lkjjh_5_1_3" hidden="1">{"Input_Fin",#N/A,FALSE,"By Code";"Input_Opt",#N/A,FALSE,"By Code"}</definedName>
    <definedName name="lkjjh_5_1_4" hidden="1">{"Input_Fin",#N/A,FALSE,"By Code";"Input_Opt",#N/A,FALSE,"By Code"}</definedName>
    <definedName name="lkjjh_5_2" hidden="1">{"Input_Fin",#N/A,FALSE,"By Code";"Input_Opt",#N/A,FALSE,"By Code"}</definedName>
    <definedName name="lkjjh_5_2_1" hidden="1">{"Input_Fin",#N/A,FALSE,"By Code";"Input_Opt",#N/A,FALSE,"By Code"}</definedName>
    <definedName name="lkjjh_5_2_2" hidden="1">{"Input_Fin",#N/A,FALSE,"By Code";"Input_Opt",#N/A,FALSE,"By Code"}</definedName>
    <definedName name="lkjjh_5_2_3" hidden="1">{"Input_Fin",#N/A,FALSE,"By Code";"Input_Opt",#N/A,FALSE,"By Code"}</definedName>
    <definedName name="lkjjh_5_3" hidden="1">{"Input_Fin",#N/A,FALSE,"By Code";"Input_Opt",#N/A,FALSE,"By Code"}</definedName>
    <definedName name="lkjjh_5_3_1" hidden="1">{"Input_Fin",#N/A,FALSE,"By Code";"Input_Opt",#N/A,FALSE,"By Code"}</definedName>
    <definedName name="lkjjh_5_3_2" hidden="1">{"Input_Fin",#N/A,FALSE,"By Code";"Input_Opt",#N/A,FALSE,"By Code"}</definedName>
    <definedName name="lkjjh_5_4" hidden="1">{"Input_Fin",#N/A,FALSE,"By Code";"Input_Opt",#N/A,FALSE,"By Code"}</definedName>
    <definedName name="lkjjh_5_5" hidden="1">{"Input_Fin",#N/A,FALSE,"By Code";"Input_Opt",#N/A,FALSE,"By Code"}</definedName>
    <definedName name="LL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LL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LPC">#N/A</definedName>
    <definedName name="luo">#N/A</definedName>
    <definedName name="m79665544667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Main">#N/A</definedName>
    <definedName name="main1">#N/A</definedName>
    <definedName name="MARKE">NA()</definedName>
    <definedName name="MGWINVENT">#N/A</definedName>
    <definedName name="mmmmm" localSheetId="12" hidden="1">{"Input_Fin",#N/A,FALSE,"By Code";"Input_Opt",#N/A,FALSE,"By Code"}</definedName>
    <definedName name="mmmmm" hidden="1">{"Input_Fin",#N/A,FALSE,"By Code";"Input_Opt",#N/A,FALSE,"By Code"}</definedName>
    <definedName name="Module.Prix_SMC">#N/A</definedName>
    <definedName name="MODULEI.2">#N/A</definedName>
    <definedName name="ModuleN101_ARP_A">#N/A</definedName>
    <definedName name="ModuleN101_ARP_B">#N/A</definedName>
    <definedName name="ModuleN101_ARP_C">#N/A</definedName>
    <definedName name="ModuleN101_ARP_D">#N/A</definedName>
    <definedName name="ModuleU101_Back">#N/A</definedName>
    <definedName name="Monthprint">#N/A</definedName>
    <definedName name="note3">NA()</definedName>
    <definedName name="N机吞" localSheetId="12" hidden="1">{"Input_Fin",#N/A,FALSE,"By Code";"Input_Opt",#N/A,FALSE,"By Code"}</definedName>
    <definedName name="N机吞" hidden="1">{"Input_Fin",#N/A,FALSE,"By Code";"Input_Opt",#N/A,FALSE,"By Code"}</definedName>
    <definedName name="N机吞_1" hidden="1">{"Input_Fin",#N/A,FALSE,"By Code";"Input_Opt",#N/A,FALSE,"By Code"}</definedName>
    <definedName name="N机吞_1_1" hidden="1">{"Input_Fin",#N/A,FALSE,"By Code";"Input_Opt",#N/A,FALSE,"By Code"}</definedName>
    <definedName name="N机吞_1_1_1" hidden="1">{"Input_Fin",#N/A,FALSE,"By Code";"Input_Opt",#N/A,FALSE,"By Code"}</definedName>
    <definedName name="N机吞_1_1_1_1" hidden="1">{"Input_Fin",#N/A,FALSE,"By Code";"Input_Opt",#N/A,FALSE,"By Code"}</definedName>
    <definedName name="N机吞_1_1_1_1_1" hidden="1">{"Input_Fin",#N/A,FALSE,"By Code";"Input_Opt",#N/A,FALSE,"By Code"}</definedName>
    <definedName name="N机吞_1_1_1_1_2" hidden="1">{"Input_Fin",#N/A,FALSE,"By Code";"Input_Opt",#N/A,FALSE,"By Code"}</definedName>
    <definedName name="N机吞_1_1_1_1_3" hidden="1">{"Input_Fin",#N/A,FALSE,"By Code";"Input_Opt",#N/A,FALSE,"By Code"}</definedName>
    <definedName name="N机吞_1_1_1_2" hidden="1">{"Input_Fin",#N/A,FALSE,"By Code";"Input_Opt",#N/A,FALSE,"By Code"}</definedName>
    <definedName name="N机吞_1_1_1_2_1" hidden="1">{"Input_Fin",#N/A,FALSE,"By Code";"Input_Opt",#N/A,FALSE,"By Code"}</definedName>
    <definedName name="N机吞_1_1_1_2_2" hidden="1">{"Input_Fin",#N/A,FALSE,"By Code";"Input_Opt",#N/A,FALSE,"By Code"}</definedName>
    <definedName name="N机吞_1_1_1_3" hidden="1">{"Input_Fin",#N/A,FALSE,"By Code";"Input_Opt",#N/A,FALSE,"By Code"}</definedName>
    <definedName name="N机吞_1_1_1_3_1" hidden="1">{"Input_Fin",#N/A,FALSE,"By Code";"Input_Opt",#N/A,FALSE,"By Code"}</definedName>
    <definedName name="N机吞_1_1_1_3_2" hidden="1">{"Input_Fin",#N/A,FALSE,"By Code";"Input_Opt",#N/A,FALSE,"By Code"}</definedName>
    <definedName name="N机吞_1_1_1_4" hidden="1">{"Input_Fin",#N/A,FALSE,"By Code";"Input_Opt",#N/A,FALSE,"By Code"}</definedName>
    <definedName name="N机吞_1_1_1_5" hidden="1">{"Input_Fin",#N/A,FALSE,"By Code";"Input_Opt",#N/A,FALSE,"By Code"}</definedName>
    <definedName name="N机吞_1_1_2" hidden="1">{"Input_Fin",#N/A,FALSE,"By Code";"Input_Opt",#N/A,FALSE,"By Code"}</definedName>
    <definedName name="N机吞_1_1_2_1" hidden="1">{"Input_Fin",#N/A,FALSE,"By Code";"Input_Opt",#N/A,FALSE,"By Code"}</definedName>
    <definedName name="N机吞_1_1_2_2" hidden="1">{"Input_Fin",#N/A,FALSE,"By Code";"Input_Opt",#N/A,FALSE,"By Code"}</definedName>
    <definedName name="N机吞_1_1_2_3" hidden="1">{"Input_Fin",#N/A,FALSE,"By Code";"Input_Opt",#N/A,FALSE,"By Code"}</definedName>
    <definedName name="N机吞_1_1_3" hidden="1">{"Input_Fin",#N/A,FALSE,"By Code";"Input_Opt",#N/A,FALSE,"By Code"}</definedName>
    <definedName name="N机吞_1_1_3_1" hidden="1">{"Input_Fin",#N/A,FALSE,"By Code";"Input_Opt",#N/A,FALSE,"By Code"}</definedName>
    <definedName name="N机吞_1_1_3_2" hidden="1">{"Input_Fin",#N/A,FALSE,"By Code";"Input_Opt",#N/A,FALSE,"By Code"}</definedName>
    <definedName name="N机吞_1_1_4" hidden="1">{"Input_Fin",#N/A,FALSE,"By Code";"Input_Opt",#N/A,FALSE,"By Code"}</definedName>
    <definedName name="N机吞_1_1_5" hidden="1">{"Input_Fin",#N/A,FALSE,"By Code";"Input_Opt",#N/A,FALSE,"By Code"}</definedName>
    <definedName name="N机吞_1_2" hidden="1">{"Input_Fin",#N/A,FALSE,"By Code";"Input_Opt",#N/A,FALSE,"By Code"}</definedName>
    <definedName name="N机吞_1_2_1" hidden="1">{"Input_Fin",#N/A,FALSE,"By Code";"Input_Opt",#N/A,FALSE,"By Code"}</definedName>
    <definedName name="N机吞_1_2_2" hidden="1">{"Input_Fin",#N/A,FALSE,"By Code";"Input_Opt",#N/A,FALSE,"By Code"}</definedName>
    <definedName name="N机吞_1_2_3" hidden="1">{"Input_Fin",#N/A,FALSE,"By Code";"Input_Opt",#N/A,FALSE,"By Code"}</definedName>
    <definedName name="N机吞_1_3" hidden="1">{"Input_Fin",#N/A,FALSE,"By Code";"Input_Opt",#N/A,FALSE,"By Code"}</definedName>
    <definedName name="N机吞_1_3_1" hidden="1">{"Input_Fin",#N/A,FALSE,"By Code";"Input_Opt",#N/A,FALSE,"By Code"}</definedName>
    <definedName name="N机吞_1_3_2" hidden="1">{"Input_Fin",#N/A,FALSE,"By Code";"Input_Opt",#N/A,FALSE,"By Code"}</definedName>
    <definedName name="N机吞_1_4" hidden="1">{"Input_Fin",#N/A,FALSE,"By Code";"Input_Opt",#N/A,FALSE,"By Code"}</definedName>
    <definedName name="N机吞_1_5" hidden="1">{"Input_Fin",#N/A,FALSE,"By Code";"Input_Opt",#N/A,FALSE,"By Code"}</definedName>
    <definedName name="N机吞_2" hidden="1">{"Input_Fin",#N/A,FALSE,"By Code";"Input_Opt",#N/A,FALSE,"By Code"}</definedName>
    <definedName name="N机吞_2_1" hidden="1">{"Input_Fin",#N/A,FALSE,"By Code";"Input_Opt",#N/A,FALSE,"By Code"}</definedName>
    <definedName name="N机吞_2_1_1" hidden="1">{"Input_Fin",#N/A,FALSE,"By Code";"Input_Opt",#N/A,FALSE,"By Code"}</definedName>
    <definedName name="N机吞_2_1_1_1" hidden="1">{"Input_Fin",#N/A,FALSE,"By Code";"Input_Opt",#N/A,FALSE,"By Code"}</definedName>
    <definedName name="N机吞_2_1_1_2" hidden="1">{"Input_Fin",#N/A,FALSE,"By Code";"Input_Opt",#N/A,FALSE,"By Code"}</definedName>
    <definedName name="N机吞_2_1_1_3" hidden="1">{"Input_Fin",#N/A,FALSE,"By Code";"Input_Opt",#N/A,FALSE,"By Code"}</definedName>
    <definedName name="N机吞_2_1_2" hidden="1">{"Input_Fin",#N/A,FALSE,"By Code";"Input_Opt",#N/A,FALSE,"By Code"}</definedName>
    <definedName name="N机吞_2_1_2_1" hidden="1">{"Input_Fin",#N/A,FALSE,"By Code";"Input_Opt",#N/A,FALSE,"By Code"}</definedName>
    <definedName name="N机吞_2_1_2_2" hidden="1">{"Input_Fin",#N/A,FALSE,"By Code";"Input_Opt",#N/A,FALSE,"By Code"}</definedName>
    <definedName name="N机吞_2_1_3" hidden="1">{"Input_Fin",#N/A,FALSE,"By Code";"Input_Opt",#N/A,FALSE,"By Code"}</definedName>
    <definedName name="N机吞_2_1_4" hidden="1">{"Input_Fin",#N/A,FALSE,"By Code";"Input_Opt",#N/A,FALSE,"By Code"}</definedName>
    <definedName name="N机吞_2_2" hidden="1">{"Input_Fin",#N/A,FALSE,"By Code";"Input_Opt",#N/A,FALSE,"By Code"}</definedName>
    <definedName name="N机吞_2_2_1" hidden="1">{"Input_Fin",#N/A,FALSE,"By Code";"Input_Opt",#N/A,FALSE,"By Code"}</definedName>
    <definedName name="N机吞_2_2_2" hidden="1">{"Input_Fin",#N/A,FALSE,"By Code";"Input_Opt",#N/A,FALSE,"By Code"}</definedName>
    <definedName name="N机吞_2_2_3" hidden="1">{"Input_Fin",#N/A,FALSE,"By Code";"Input_Opt",#N/A,FALSE,"By Code"}</definedName>
    <definedName name="N机吞_2_3" hidden="1">{"Input_Fin",#N/A,FALSE,"By Code";"Input_Opt",#N/A,FALSE,"By Code"}</definedName>
    <definedName name="N机吞_2_3_1" hidden="1">{"Input_Fin",#N/A,FALSE,"By Code";"Input_Opt",#N/A,FALSE,"By Code"}</definedName>
    <definedName name="N机吞_2_3_2" hidden="1">{"Input_Fin",#N/A,FALSE,"By Code";"Input_Opt",#N/A,FALSE,"By Code"}</definedName>
    <definedName name="N机吞_2_4" hidden="1">{"Input_Fin",#N/A,FALSE,"By Code";"Input_Opt",#N/A,FALSE,"By Code"}</definedName>
    <definedName name="N机吞_2_5" hidden="1">{"Input_Fin",#N/A,FALSE,"By Code";"Input_Opt",#N/A,FALSE,"By Code"}</definedName>
    <definedName name="N机吞_3" hidden="1">{"Input_Fin",#N/A,FALSE,"By Code";"Input_Opt",#N/A,FALSE,"By Code"}</definedName>
    <definedName name="N机吞_3_1" hidden="1">{"Input_Fin",#N/A,FALSE,"By Code";"Input_Opt",#N/A,FALSE,"By Code"}</definedName>
    <definedName name="N机吞_3_1_1" hidden="1">{"Input_Fin",#N/A,FALSE,"By Code";"Input_Opt",#N/A,FALSE,"By Code"}</definedName>
    <definedName name="N机吞_3_1_1_1" hidden="1">{"Input_Fin",#N/A,FALSE,"By Code";"Input_Opt",#N/A,FALSE,"By Code"}</definedName>
    <definedName name="N机吞_3_1_1_2" hidden="1">{"Input_Fin",#N/A,FALSE,"By Code";"Input_Opt",#N/A,FALSE,"By Code"}</definedName>
    <definedName name="N机吞_3_1_1_3" hidden="1">{"Input_Fin",#N/A,FALSE,"By Code";"Input_Opt",#N/A,FALSE,"By Code"}</definedName>
    <definedName name="N机吞_3_1_2" hidden="1">{"Input_Fin",#N/A,FALSE,"By Code";"Input_Opt",#N/A,FALSE,"By Code"}</definedName>
    <definedName name="N机吞_3_1_2_1" hidden="1">{"Input_Fin",#N/A,FALSE,"By Code";"Input_Opt",#N/A,FALSE,"By Code"}</definedName>
    <definedName name="N机吞_3_1_2_2" hidden="1">{"Input_Fin",#N/A,FALSE,"By Code";"Input_Opt",#N/A,FALSE,"By Code"}</definedName>
    <definedName name="N机吞_3_1_3" hidden="1">{"Input_Fin",#N/A,FALSE,"By Code";"Input_Opt",#N/A,FALSE,"By Code"}</definedName>
    <definedName name="N机吞_3_1_4" hidden="1">{"Input_Fin",#N/A,FALSE,"By Code";"Input_Opt",#N/A,FALSE,"By Code"}</definedName>
    <definedName name="N机吞_3_2" hidden="1">{"Input_Fin",#N/A,FALSE,"By Code";"Input_Opt",#N/A,FALSE,"By Code"}</definedName>
    <definedName name="N机吞_3_2_1" hidden="1">{"Input_Fin",#N/A,FALSE,"By Code";"Input_Opt",#N/A,FALSE,"By Code"}</definedName>
    <definedName name="N机吞_3_2_2" hidden="1">{"Input_Fin",#N/A,FALSE,"By Code";"Input_Opt",#N/A,FALSE,"By Code"}</definedName>
    <definedName name="N机吞_3_2_3" hidden="1">{"Input_Fin",#N/A,FALSE,"By Code";"Input_Opt",#N/A,FALSE,"By Code"}</definedName>
    <definedName name="N机吞_3_3" hidden="1">{"Input_Fin",#N/A,FALSE,"By Code";"Input_Opt",#N/A,FALSE,"By Code"}</definedName>
    <definedName name="N机吞_3_3_1" hidden="1">{"Input_Fin",#N/A,FALSE,"By Code";"Input_Opt",#N/A,FALSE,"By Code"}</definedName>
    <definedName name="N机吞_3_3_2" hidden="1">{"Input_Fin",#N/A,FALSE,"By Code";"Input_Opt",#N/A,FALSE,"By Code"}</definedName>
    <definedName name="N机吞_3_4" hidden="1">{"Input_Fin",#N/A,FALSE,"By Code";"Input_Opt",#N/A,FALSE,"By Code"}</definedName>
    <definedName name="N机吞_3_5" hidden="1">{"Input_Fin",#N/A,FALSE,"By Code";"Input_Opt",#N/A,FALSE,"By Code"}</definedName>
    <definedName name="N机吞_4" hidden="1">{"Input_Fin",#N/A,FALSE,"By Code";"Input_Opt",#N/A,FALSE,"By Code"}</definedName>
    <definedName name="N机吞_4_1" hidden="1">{"Input_Fin",#N/A,FALSE,"By Code";"Input_Opt",#N/A,FALSE,"By Code"}</definedName>
    <definedName name="N机吞_4_1_1" hidden="1">{"Input_Fin",#N/A,FALSE,"By Code";"Input_Opt",#N/A,FALSE,"By Code"}</definedName>
    <definedName name="N机吞_4_1_1_1" hidden="1">{"Input_Fin",#N/A,FALSE,"By Code";"Input_Opt",#N/A,FALSE,"By Code"}</definedName>
    <definedName name="N机吞_4_1_1_2" hidden="1">{"Input_Fin",#N/A,FALSE,"By Code";"Input_Opt",#N/A,FALSE,"By Code"}</definedName>
    <definedName name="N机吞_4_1_1_3" hidden="1">{"Input_Fin",#N/A,FALSE,"By Code";"Input_Opt",#N/A,FALSE,"By Code"}</definedName>
    <definedName name="N机吞_4_1_2" hidden="1">{"Input_Fin",#N/A,FALSE,"By Code";"Input_Opt",#N/A,FALSE,"By Code"}</definedName>
    <definedName name="N机吞_4_1_2_1" hidden="1">{"Input_Fin",#N/A,FALSE,"By Code";"Input_Opt",#N/A,FALSE,"By Code"}</definedName>
    <definedName name="N机吞_4_1_2_2" hidden="1">{"Input_Fin",#N/A,FALSE,"By Code";"Input_Opt",#N/A,FALSE,"By Code"}</definedName>
    <definedName name="N机吞_4_1_3" hidden="1">{"Input_Fin",#N/A,FALSE,"By Code";"Input_Opt",#N/A,FALSE,"By Code"}</definedName>
    <definedName name="N机吞_4_1_4" hidden="1">{"Input_Fin",#N/A,FALSE,"By Code";"Input_Opt",#N/A,FALSE,"By Code"}</definedName>
    <definedName name="N机吞_4_2" hidden="1">{"Input_Fin",#N/A,FALSE,"By Code";"Input_Opt",#N/A,FALSE,"By Code"}</definedName>
    <definedName name="N机吞_4_2_1" hidden="1">{"Input_Fin",#N/A,FALSE,"By Code";"Input_Opt",#N/A,FALSE,"By Code"}</definedName>
    <definedName name="N机吞_4_2_2" hidden="1">{"Input_Fin",#N/A,FALSE,"By Code";"Input_Opt",#N/A,FALSE,"By Code"}</definedName>
    <definedName name="N机吞_4_2_3" hidden="1">{"Input_Fin",#N/A,FALSE,"By Code";"Input_Opt",#N/A,FALSE,"By Code"}</definedName>
    <definedName name="N机吞_4_3" hidden="1">{"Input_Fin",#N/A,FALSE,"By Code";"Input_Opt",#N/A,FALSE,"By Code"}</definedName>
    <definedName name="N机吞_4_3_1" hidden="1">{"Input_Fin",#N/A,FALSE,"By Code";"Input_Opt",#N/A,FALSE,"By Code"}</definedName>
    <definedName name="N机吞_4_3_2" hidden="1">{"Input_Fin",#N/A,FALSE,"By Code";"Input_Opt",#N/A,FALSE,"By Code"}</definedName>
    <definedName name="N机吞_4_4" hidden="1">{"Input_Fin",#N/A,FALSE,"By Code";"Input_Opt",#N/A,FALSE,"By Code"}</definedName>
    <definedName name="N机吞_4_5" hidden="1">{"Input_Fin",#N/A,FALSE,"By Code";"Input_Opt",#N/A,FALSE,"By Code"}</definedName>
    <definedName name="N机吞_5" hidden="1">{"Input_Fin",#N/A,FALSE,"By Code";"Input_Opt",#N/A,FALSE,"By Code"}</definedName>
    <definedName name="N机吞_5_1" hidden="1">{"Input_Fin",#N/A,FALSE,"By Code";"Input_Opt",#N/A,FALSE,"By Code"}</definedName>
    <definedName name="N机吞_5_1_1" hidden="1">{"Input_Fin",#N/A,FALSE,"By Code";"Input_Opt",#N/A,FALSE,"By Code"}</definedName>
    <definedName name="N机吞_5_1_1_1" hidden="1">{"Input_Fin",#N/A,FALSE,"By Code";"Input_Opt",#N/A,FALSE,"By Code"}</definedName>
    <definedName name="N机吞_5_1_1_2" hidden="1">{"Input_Fin",#N/A,FALSE,"By Code";"Input_Opt",#N/A,FALSE,"By Code"}</definedName>
    <definedName name="N机吞_5_1_1_3" hidden="1">{"Input_Fin",#N/A,FALSE,"By Code";"Input_Opt",#N/A,FALSE,"By Code"}</definedName>
    <definedName name="N机吞_5_1_2" hidden="1">{"Input_Fin",#N/A,FALSE,"By Code";"Input_Opt",#N/A,FALSE,"By Code"}</definedName>
    <definedName name="N机吞_5_1_2_1" hidden="1">{"Input_Fin",#N/A,FALSE,"By Code";"Input_Opt",#N/A,FALSE,"By Code"}</definedName>
    <definedName name="N机吞_5_1_2_2" hidden="1">{"Input_Fin",#N/A,FALSE,"By Code";"Input_Opt",#N/A,FALSE,"By Code"}</definedName>
    <definedName name="N机吞_5_1_3" hidden="1">{"Input_Fin",#N/A,FALSE,"By Code";"Input_Opt",#N/A,FALSE,"By Code"}</definedName>
    <definedName name="N机吞_5_1_4" hidden="1">{"Input_Fin",#N/A,FALSE,"By Code";"Input_Opt",#N/A,FALSE,"By Code"}</definedName>
    <definedName name="N机吞_5_2" hidden="1">{"Input_Fin",#N/A,FALSE,"By Code";"Input_Opt",#N/A,FALSE,"By Code"}</definedName>
    <definedName name="N机吞_5_2_1" hidden="1">{"Input_Fin",#N/A,FALSE,"By Code";"Input_Opt",#N/A,FALSE,"By Code"}</definedName>
    <definedName name="N机吞_5_2_2" hidden="1">{"Input_Fin",#N/A,FALSE,"By Code";"Input_Opt",#N/A,FALSE,"By Code"}</definedName>
    <definedName name="N机吞_5_2_3" hidden="1">{"Input_Fin",#N/A,FALSE,"By Code";"Input_Opt",#N/A,FALSE,"By Code"}</definedName>
    <definedName name="N机吞_5_3" hidden="1">{"Input_Fin",#N/A,FALSE,"By Code";"Input_Opt",#N/A,FALSE,"By Code"}</definedName>
    <definedName name="N机吞_5_3_1" hidden="1">{"Input_Fin",#N/A,FALSE,"By Code";"Input_Opt",#N/A,FALSE,"By Code"}</definedName>
    <definedName name="N机吞_5_3_2" hidden="1">{"Input_Fin",#N/A,FALSE,"By Code";"Input_Opt",#N/A,FALSE,"By Code"}</definedName>
    <definedName name="N机吞_5_4" hidden="1">{"Input_Fin",#N/A,FALSE,"By Code";"Input_Opt",#N/A,FALSE,"By Code"}</definedName>
    <definedName name="N机吞_5_5" hidden="1">{"Input_Fin",#N/A,FALSE,"By Code";"Input_Opt",#N/A,FALSE,"By Code"}</definedName>
    <definedName name="o97jju" hidden="1">{"Input_Fin",#N/A,FALSE,"By Code";"Input_Opt",#N/A,FALSE,"By Code"}</definedName>
    <definedName name="PE">#N/A</definedName>
    <definedName name="PFJ">NA()</definedName>
    <definedName name="PFJG">NA()</definedName>
    <definedName name="PJ">NA()</definedName>
    <definedName name="PL">#N/A</definedName>
    <definedName name="PL_Working">#N/A</definedName>
    <definedName name="plan">NA()</definedName>
    <definedName name="PM">NA()</definedName>
    <definedName name="po" localSheetId="12" hidden="1">{"Input_Fin",#N/A,FALSE,"By Code";"Input_Opt",#N/A,FALSE,"By Code"}</definedName>
    <definedName name="po" hidden="1">{"Input_Fin",#N/A,FALSE,"By Code";"Input_Opt",#N/A,FALSE,"By Code"}</definedName>
    <definedName name="po_1" hidden="1">{"Input_Fin",#N/A,FALSE,"By Code";"Input_Opt",#N/A,FALSE,"By Code"}</definedName>
    <definedName name="po_1_1" hidden="1">{"Input_Fin",#N/A,FALSE,"By Code";"Input_Opt",#N/A,FALSE,"By Code"}</definedName>
    <definedName name="po_1_1_1" hidden="1">{"Input_Fin",#N/A,FALSE,"By Code";"Input_Opt",#N/A,FALSE,"By Code"}</definedName>
    <definedName name="po_1_1_1_1" hidden="1">{"Input_Fin",#N/A,FALSE,"By Code";"Input_Opt",#N/A,FALSE,"By Code"}</definedName>
    <definedName name="po_1_1_1_1_1" hidden="1">{"Input_Fin",#N/A,FALSE,"By Code";"Input_Opt",#N/A,FALSE,"By Code"}</definedName>
    <definedName name="po_1_1_1_1_2" hidden="1">{"Input_Fin",#N/A,FALSE,"By Code";"Input_Opt",#N/A,FALSE,"By Code"}</definedName>
    <definedName name="po_1_1_1_1_3" hidden="1">{"Input_Fin",#N/A,FALSE,"By Code";"Input_Opt",#N/A,FALSE,"By Code"}</definedName>
    <definedName name="po_1_1_1_2" hidden="1">{"Input_Fin",#N/A,FALSE,"By Code";"Input_Opt",#N/A,FALSE,"By Code"}</definedName>
    <definedName name="po_1_1_1_2_1" hidden="1">{"Input_Fin",#N/A,FALSE,"By Code";"Input_Opt",#N/A,FALSE,"By Code"}</definedName>
    <definedName name="po_1_1_1_2_2" hidden="1">{"Input_Fin",#N/A,FALSE,"By Code";"Input_Opt",#N/A,FALSE,"By Code"}</definedName>
    <definedName name="po_1_1_1_3" hidden="1">{"Input_Fin",#N/A,FALSE,"By Code";"Input_Opt",#N/A,FALSE,"By Code"}</definedName>
    <definedName name="po_1_1_1_3_1" hidden="1">{"Input_Fin",#N/A,FALSE,"By Code";"Input_Opt",#N/A,FALSE,"By Code"}</definedName>
    <definedName name="po_1_1_1_3_2" hidden="1">{"Input_Fin",#N/A,FALSE,"By Code";"Input_Opt",#N/A,FALSE,"By Code"}</definedName>
    <definedName name="po_1_1_1_4" hidden="1">{"Input_Fin",#N/A,FALSE,"By Code";"Input_Opt",#N/A,FALSE,"By Code"}</definedName>
    <definedName name="po_1_1_1_5" hidden="1">{"Input_Fin",#N/A,FALSE,"By Code";"Input_Opt",#N/A,FALSE,"By Code"}</definedName>
    <definedName name="po_1_1_2" hidden="1">{"Input_Fin",#N/A,FALSE,"By Code";"Input_Opt",#N/A,FALSE,"By Code"}</definedName>
    <definedName name="po_1_1_2_1" hidden="1">{"Input_Fin",#N/A,FALSE,"By Code";"Input_Opt",#N/A,FALSE,"By Code"}</definedName>
    <definedName name="po_1_1_2_2" hidden="1">{"Input_Fin",#N/A,FALSE,"By Code";"Input_Opt",#N/A,FALSE,"By Code"}</definedName>
    <definedName name="po_1_1_2_3" hidden="1">{"Input_Fin",#N/A,FALSE,"By Code";"Input_Opt",#N/A,FALSE,"By Code"}</definedName>
    <definedName name="po_1_1_3" hidden="1">{"Input_Fin",#N/A,FALSE,"By Code";"Input_Opt",#N/A,FALSE,"By Code"}</definedName>
    <definedName name="po_1_1_3_1" hidden="1">{"Input_Fin",#N/A,FALSE,"By Code";"Input_Opt",#N/A,FALSE,"By Code"}</definedName>
    <definedName name="po_1_1_3_2" hidden="1">{"Input_Fin",#N/A,FALSE,"By Code";"Input_Opt",#N/A,FALSE,"By Code"}</definedName>
    <definedName name="po_1_1_4" hidden="1">{"Input_Fin",#N/A,FALSE,"By Code";"Input_Opt",#N/A,FALSE,"By Code"}</definedName>
    <definedName name="po_1_1_5" hidden="1">{"Input_Fin",#N/A,FALSE,"By Code";"Input_Opt",#N/A,FALSE,"By Code"}</definedName>
    <definedName name="po_1_2" hidden="1">{"Input_Fin",#N/A,FALSE,"By Code";"Input_Opt",#N/A,FALSE,"By Code"}</definedName>
    <definedName name="po_1_2_1" hidden="1">{"Input_Fin",#N/A,FALSE,"By Code";"Input_Opt",#N/A,FALSE,"By Code"}</definedName>
    <definedName name="po_1_2_2" hidden="1">{"Input_Fin",#N/A,FALSE,"By Code";"Input_Opt",#N/A,FALSE,"By Code"}</definedName>
    <definedName name="po_1_2_3" hidden="1">{"Input_Fin",#N/A,FALSE,"By Code";"Input_Opt",#N/A,FALSE,"By Code"}</definedName>
    <definedName name="po_1_3" hidden="1">{"Input_Fin",#N/A,FALSE,"By Code";"Input_Opt",#N/A,FALSE,"By Code"}</definedName>
    <definedName name="po_1_3_1" hidden="1">{"Input_Fin",#N/A,FALSE,"By Code";"Input_Opt",#N/A,FALSE,"By Code"}</definedName>
    <definedName name="po_1_3_2" hidden="1">{"Input_Fin",#N/A,FALSE,"By Code";"Input_Opt",#N/A,FALSE,"By Code"}</definedName>
    <definedName name="po_1_4" hidden="1">{"Input_Fin",#N/A,FALSE,"By Code";"Input_Opt",#N/A,FALSE,"By Code"}</definedName>
    <definedName name="po_1_5" hidden="1">{"Input_Fin",#N/A,FALSE,"By Code";"Input_Opt",#N/A,FALSE,"By Code"}</definedName>
    <definedName name="po_2" hidden="1">{"Input_Fin",#N/A,FALSE,"By Code";"Input_Opt",#N/A,FALSE,"By Code"}</definedName>
    <definedName name="po_2_1" hidden="1">{"Input_Fin",#N/A,FALSE,"By Code";"Input_Opt",#N/A,FALSE,"By Code"}</definedName>
    <definedName name="po_2_1_1" hidden="1">{"Input_Fin",#N/A,FALSE,"By Code";"Input_Opt",#N/A,FALSE,"By Code"}</definedName>
    <definedName name="po_2_1_1_1" hidden="1">{"Input_Fin",#N/A,FALSE,"By Code";"Input_Opt",#N/A,FALSE,"By Code"}</definedName>
    <definedName name="po_2_1_1_2" hidden="1">{"Input_Fin",#N/A,FALSE,"By Code";"Input_Opt",#N/A,FALSE,"By Code"}</definedName>
    <definedName name="po_2_1_1_3" hidden="1">{"Input_Fin",#N/A,FALSE,"By Code";"Input_Opt",#N/A,FALSE,"By Code"}</definedName>
    <definedName name="po_2_1_2" hidden="1">{"Input_Fin",#N/A,FALSE,"By Code";"Input_Opt",#N/A,FALSE,"By Code"}</definedName>
    <definedName name="po_2_1_2_1" hidden="1">{"Input_Fin",#N/A,FALSE,"By Code";"Input_Opt",#N/A,FALSE,"By Code"}</definedName>
    <definedName name="po_2_1_2_2" hidden="1">{"Input_Fin",#N/A,FALSE,"By Code";"Input_Opt",#N/A,FALSE,"By Code"}</definedName>
    <definedName name="po_2_1_3" hidden="1">{"Input_Fin",#N/A,FALSE,"By Code";"Input_Opt",#N/A,FALSE,"By Code"}</definedName>
    <definedName name="po_2_1_4" hidden="1">{"Input_Fin",#N/A,FALSE,"By Code";"Input_Opt",#N/A,FALSE,"By Code"}</definedName>
    <definedName name="po_2_2" hidden="1">{"Input_Fin",#N/A,FALSE,"By Code";"Input_Opt",#N/A,FALSE,"By Code"}</definedName>
    <definedName name="po_2_2_1" hidden="1">{"Input_Fin",#N/A,FALSE,"By Code";"Input_Opt",#N/A,FALSE,"By Code"}</definedName>
    <definedName name="po_2_2_2" hidden="1">{"Input_Fin",#N/A,FALSE,"By Code";"Input_Opt",#N/A,FALSE,"By Code"}</definedName>
    <definedName name="po_2_2_3" hidden="1">{"Input_Fin",#N/A,FALSE,"By Code";"Input_Opt",#N/A,FALSE,"By Code"}</definedName>
    <definedName name="po_2_3" hidden="1">{"Input_Fin",#N/A,FALSE,"By Code";"Input_Opt",#N/A,FALSE,"By Code"}</definedName>
    <definedName name="po_2_3_1" hidden="1">{"Input_Fin",#N/A,FALSE,"By Code";"Input_Opt",#N/A,FALSE,"By Code"}</definedName>
    <definedName name="po_2_3_2" hidden="1">{"Input_Fin",#N/A,FALSE,"By Code";"Input_Opt",#N/A,FALSE,"By Code"}</definedName>
    <definedName name="po_2_4" hidden="1">{"Input_Fin",#N/A,FALSE,"By Code";"Input_Opt",#N/A,FALSE,"By Code"}</definedName>
    <definedName name="po_2_5" hidden="1">{"Input_Fin",#N/A,FALSE,"By Code";"Input_Opt",#N/A,FALSE,"By Code"}</definedName>
    <definedName name="po_3" hidden="1">{"Input_Fin",#N/A,FALSE,"By Code";"Input_Opt",#N/A,FALSE,"By Code"}</definedName>
    <definedName name="po_3_1" hidden="1">{"Input_Fin",#N/A,FALSE,"By Code";"Input_Opt",#N/A,FALSE,"By Code"}</definedName>
    <definedName name="po_3_1_1" hidden="1">{"Input_Fin",#N/A,FALSE,"By Code";"Input_Opt",#N/A,FALSE,"By Code"}</definedName>
    <definedName name="po_3_1_1_1" hidden="1">{"Input_Fin",#N/A,FALSE,"By Code";"Input_Opt",#N/A,FALSE,"By Code"}</definedName>
    <definedName name="po_3_1_1_2" hidden="1">{"Input_Fin",#N/A,FALSE,"By Code";"Input_Opt",#N/A,FALSE,"By Code"}</definedName>
    <definedName name="po_3_1_1_3" hidden="1">{"Input_Fin",#N/A,FALSE,"By Code";"Input_Opt",#N/A,FALSE,"By Code"}</definedName>
    <definedName name="po_3_1_2" hidden="1">{"Input_Fin",#N/A,FALSE,"By Code";"Input_Opt",#N/A,FALSE,"By Code"}</definedName>
    <definedName name="po_3_1_2_1" hidden="1">{"Input_Fin",#N/A,FALSE,"By Code";"Input_Opt",#N/A,FALSE,"By Code"}</definedName>
    <definedName name="po_3_1_2_2" hidden="1">{"Input_Fin",#N/A,FALSE,"By Code";"Input_Opt",#N/A,FALSE,"By Code"}</definedName>
    <definedName name="po_3_1_3" hidden="1">{"Input_Fin",#N/A,FALSE,"By Code";"Input_Opt",#N/A,FALSE,"By Code"}</definedName>
    <definedName name="po_3_1_4" hidden="1">{"Input_Fin",#N/A,FALSE,"By Code";"Input_Opt",#N/A,FALSE,"By Code"}</definedName>
    <definedName name="po_3_2" hidden="1">{"Input_Fin",#N/A,FALSE,"By Code";"Input_Opt",#N/A,FALSE,"By Code"}</definedName>
    <definedName name="po_3_2_1" hidden="1">{"Input_Fin",#N/A,FALSE,"By Code";"Input_Opt",#N/A,FALSE,"By Code"}</definedName>
    <definedName name="po_3_2_2" hidden="1">{"Input_Fin",#N/A,FALSE,"By Code";"Input_Opt",#N/A,FALSE,"By Code"}</definedName>
    <definedName name="po_3_2_3" hidden="1">{"Input_Fin",#N/A,FALSE,"By Code";"Input_Opt",#N/A,FALSE,"By Code"}</definedName>
    <definedName name="po_3_3" hidden="1">{"Input_Fin",#N/A,FALSE,"By Code";"Input_Opt",#N/A,FALSE,"By Code"}</definedName>
    <definedName name="po_3_3_1" hidden="1">{"Input_Fin",#N/A,FALSE,"By Code";"Input_Opt",#N/A,FALSE,"By Code"}</definedName>
    <definedName name="po_3_3_2" hidden="1">{"Input_Fin",#N/A,FALSE,"By Code";"Input_Opt",#N/A,FALSE,"By Code"}</definedName>
    <definedName name="po_3_4" hidden="1">{"Input_Fin",#N/A,FALSE,"By Code";"Input_Opt",#N/A,FALSE,"By Code"}</definedName>
    <definedName name="po_3_5" hidden="1">{"Input_Fin",#N/A,FALSE,"By Code";"Input_Opt",#N/A,FALSE,"By Code"}</definedName>
    <definedName name="po_4" hidden="1">{"Input_Fin",#N/A,FALSE,"By Code";"Input_Opt",#N/A,FALSE,"By Code"}</definedName>
    <definedName name="po_4_1" hidden="1">{"Input_Fin",#N/A,FALSE,"By Code";"Input_Opt",#N/A,FALSE,"By Code"}</definedName>
    <definedName name="po_4_1_1" hidden="1">{"Input_Fin",#N/A,FALSE,"By Code";"Input_Opt",#N/A,FALSE,"By Code"}</definedName>
    <definedName name="po_4_1_1_1" hidden="1">{"Input_Fin",#N/A,FALSE,"By Code";"Input_Opt",#N/A,FALSE,"By Code"}</definedName>
    <definedName name="po_4_1_1_2" hidden="1">{"Input_Fin",#N/A,FALSE,"By Code";"Input_Opt",#N/A,FALSE,"By Code"}</definedName>
    <definedName name="po_4_1_1_3" hidden="1">{"Input_Fin",#N/A,FALSE,"By Code";"Input_Opt",#N/A,FALSE,"By Code"}</definedName>
    <definedName name="po_4_1_2" hidden="1">{"Input_Fin",#N/A,FALSE,"By Code";"Input_Opt",#N/A,FALSE,"By Code"}</definedName>
    <definedName name="po_4_1_2_1" hidden="1">{"Input_Fin",#N/A,FALSE,"By Code";"Input_Opt",#N/A,FALSE,"By Code"}</definedName>
    <definedName name="po_4_1_2_2" hidden="1">{"Input_Fin",#N/A,FALSE,"By Code";"Input_Opt",#N/A,FALSE,"By Code"}</definedName>
    <definedName name="po_4_1_3" hidden="1">{"Input_Fin",#N/A,FALSE,"By Code";"Input_Opt",#N/A,FALSE,"By Code"}</definedName>
    <definedName name="po_4_1_4" hidden="1">{"Input_Fin",#N/A,FALSE,"By Code";"Input_Opt",#N/A,FALSE,"By Code"}</definedName>
    <definedName name="po_4_2" hidden="1">{"Input_Fin",#N/A,FALSE,"By Code";"Input_Opt",#N/A,FALSE,"By Code"}</definedName>
    <definedName name="po_4_2_1" hidden="1">{"Input_Fin",#N/A,FALSE,"By Code";"Input_Opt",#N/A,FALSE,"By Code"}</definedName>
    <definedName name="po_4_2_2" hidden="1">{"Input_Fin",#N/A,FALSE,"By Code";"Input_Opt",#N/A,FALSE,"By Code"}</definedName>
    <definedName name="po_4_2_3" hidden="1">{"Input_Fin",#N/A,FALSE,"By Code";"Input_Opt",#N/A,FALSE,"By Code"}</definedName>
    <definedName name="po_4_3" hidden="1">{"Input_Fin",#N/A,FALSE,"By Code";"Input_Opt",#N/A,FALSE,"By Code"}</definedName>
    <definedName name="po_4_3_1" hidden="1">{"Input_Fin",#N/A,FALSE,"By Code";"Input_Opt",#N/A,FALSE,"By Code"}</definedName>
    <definedName name="po_4_3_2" hidden="1">{"Input_Fin",#N/A,FALSE,"By Code";"Input_Opt",#N/A,FALSE,"By Code"}</definedName>
    <definedName name="po_4_4" hidden="1">{"Input_Fin",#N/A,FALSE,"By Code";"Input_Opt",#N/A,FALSE,"By Code"}</definedName>
    <definedName name="po_4_5" hidden="1">{"Input_Fin",#N/A,FALSE,"By Code";"Input_Opt",#N/A,FALSE,"By Code"}</definedName>
    <definedName name="po_5" hidden="1">{"Input_Fin",#N/A,FALSE,"By Code";"Input_Opt",#N/A,FALSE,"By Code"}</definedName>
    <definedName name="po_5_1" hidden="1">{"Input_Fin",#N/A,FALSE,"By Code";"Input_Opt",#N/A,FALSE,"By Code"}</definedName>
    <definedName name="po_5_1_1" hidden="1">{"Input_Fin",#N/A,FALSE,"By Code";"Input_Opt",#N/A,FALSE,"By Code"}</definedName>
    <definedName name="po_5_1_1_1" hidden="1">{"Input_Fin",#N/A,FALSE,"By Code";"Input_Opt",#N/A,FALSE,"By Code"}</definedName>
    <definedName name="po_5_1_1_2" hidden="1">{"Input_Fin",#N/A,FALSE,"By Code";"Input_Opt",#N/A,FALSE,"By Code"}</definedName>
    <definedName name="po_5_1_1_3" hidden="1">{"Input_Fin",#N/A,FALSE,"By Code";"Input_Opt",#N/A,FALSE,"By Code"}</definedName>
    <definedName name="po_5_1_2" hidden="1">{"Input_Fin",#N/A,FALSE,"By Code";"Input_Opt",#N/A,FALSE,"By Code"}</definedName>
    <definedName name="po_5_1_2_1" hidden="1">{"Input_Fin",#N/A,FALSE,"By Code";"Input_Opt",#N/A,FALSE,"By Code"}</definedName>
    <definedName name="po_5_1_2_2" hidden="1">{"Input_Fin",#N/A,FALSE,"By Code";"Input_Opt",#N/A,FALSE,"By Code"}</definedName>
    <definedName name="po_5_1_3" hidden="1">{"Input_Fin",#N/A,FALSE,"By Code";"Input_Opt",#N/A,FALSE,"By Code"}</definedName>
    <definedName name="po_5_1_4" hidden="1">{"Input_Fin",#N/A,FALSE,"By Code";"Input_Opt",#N/A,FALSE,"By Code"}</definedName>
    <definedName name="po_5_2" hidden="1">{"Input_Fin",#N/A,FALSE,"By Code";"Input_Opt",#N/A,FALSE,"By Code"}</definedName>
    <definedName name="po_5_2_1" hidden="1">{"Input_Fin",#N/A,FALSE,"By Code";"Input_Opt",#N/A,FALSE,"By Code"}</definedName>
    <definedName name="po_5_2_2" hidden="1">{"Input_Fin",#N/A,FALSE,"By Code";"Input_Opt",#N/A,FALSE,"By Code"}</definedName>
    <definedName name="po_5_2_3" hidden="1">{"Input_Fin",#N/A,FALSE,"By Code";"Input_Opt",#N/A,FALSE,"By Code"}</definedName>
    <definedName name="po_5_3" hidden="1">{"Input_Fin",#N/A,FALSE,"By Code";"Input_Opt",#N/A,FALSE,"By Code"}</definedName>
    <definedName name="po_5_3_1" hidden="1">{"Input_Fin",#N/A,FALSE,"By Code";"Input_Opt",#N/A,FALSE,"By Code"}</definedName>
    <definedName name="po_5_3_2" hidden="1">{"Input_Fin",#N/A,FALSE,"By Code";"Input_Opt",#N/A,FALSE,"By Code"}</definedName>
    <definedName name="po_5_4" hidden="1">{"Input_Fin",#N/A,FALSE,"By Code";"Input_Opt",#N/A,FALSE,"By Code"}</definedName>
    <definedName name="po_5_5" hidden="1">{"Input_Fin",#N/A,FALSE,"By Code";"Input_Opt",#N/A,FALSE,"By Code"}</definedName>
    <definedName name="pobgx" localSheetId="12" hidden="1">{"Input_Fin",#N/A,FALSE,"By Code";"Input_Opt",#N/A,FALSE,"By Code"}</definedName>
    <definedName name="pobgx" hidden="1">{"Input_Fin",#N/A,FALSE,"By Code";"Input_Opt",#N/A,FALSE,"By Code"}</definedName>
    <definedName name="pobgx_1" hidden="1">{"Input_Fin",#N/A,FALSE,"By Code";"Input_Opt",#N/A,FALSE,"By Code"}</definedName>
    <definedName name="pobgx_1_1" hidden="1">{"Input_Fin",#N/A,FALSE,"By Code";"Input_Opt",#N/A,FALSE,"By Code"}</definedName>
    <definedName name="pobgx_1_1_1" hidden="1">{"Input_Fin",#N/A,FALSE,"By Code";"Input_Opt",#N/A,FALSE,"By Code"}</definedName>
    <definedName name="pobgx_1_1_1_1" hidden="1">{"Input_Fin",#N/A,FALSE,"By Code";"Input_Opt",#N/A,FALSE,"By Code"}</definedName>
    <definedName name="pobgx_1_1_1_1_1" hidden="1">{"Input_Fin",#N/A,FALSE,"By Code";"Input_Opt",#N/A,FALSE,"By Code"}</definedName>
    <definedName name="pobgx_1_1_1_1_2" hidden="1">{"Input_Fin",#N/A,FALSE,"By Code";"Input_Opt",#N/A,FALSE,"By Code"}</definedName>
    <definedName name="pobgx_1_1_1_1_3" hidden="1">{"Input_Fin",#N/A,FALSE,"By Code";"Input_Opt",#N/A,FALSE,"By Code"}</definedName>
    <definedName name="pobgx_1_1_1_2" hidden="1">{"Input_Fin",#N/A,FALSE,"By Code";"Input_Opt",#N/A,FALSE,"By Code"}</definedName>
    <definedName name="pobgx_1_1_1_2_1" hidden="1">{"Input_Fin",#N/A,FALSE,"By Code";"Input_Opt",#N/A,FALSE,"By Code"}</definedName>
    <definedName name="pobgx_1_1_1_2_2" hidden="1">{"Input_Fin",#N/A,FALSE,"By Code";"Input_Opt",#N/A,FALSE,"By Code"}</definedName>
    <definedName name="pobgx_1_1_1_3" hidden="1">{"Input_Fin",#N/A,FALSE,"By Code";"Input_Opt",#N/A,FALSE,"By Code"}</definedName>
    <definedName name="pobgx_1_1_1_3_1" hidden="1">{"Input_Fin",#N/A,FALSE,"By Code";"Input_Opt",#N/A,FALSE,"By Code"}</definedName>
    <definedName name="pobgx_1_1_1_3_2" hidden="1">{"Input_Fin",#N/A,FALSE,"By Code";"Input_Opt",#N/A,FALSE,"By Code"}</definedName>
    <definedName name="pobgx_1_1_1_4" hidden="1">{"Input_Fin",#N/A,FALSE,"By Code";"Input_Opt",#N/A,FALSE,"By Code"}</definedName>
    <definedName name="pobgx_1_1_1_5" hidden="1">{"Input_Fin",#N/A,FALSE,"By Code";"Input_Opt",#N/A,FALSE,"By Code"}</definedName>
    <definedName name="pobgx_1_1_2" hidden="1">{"Input_Fin",#N/A,FALSE,"By Code";"Input_Opt",#N/A,FALSE,"By Code"}</definedName>
    <definedName name="pobgx_1_1_2_1" hidden="1">{"Input_Fin",#N/A,FALSE,"By Code";"Input_Opt",#N/A,FALSE,"By Code"}</definedName>
    <definedName name="pobgx_1_1_2_2" hidden="1">{"Input_Fin",#N/A,FALSE,"By Code";"Input_Opt",#N/A,FALSE,"By Code"}</definedName>
    <definedName name="pobgx_1_1_2_3" hidden="1">{"Input_Fin",#N/A,FALSE,"By Code";"Input_Opt",#N/A,FALSE,"By Code"}</definedName>
    <definedName name="pobgx_1_1_3" hidden="1">{"Input_Fin",#N/A,FALSE,"By Code";"Input_Opt",#N/A,FALSE,"By Code"}</definedName>
    <definedName name="pobgx_1_1_3_1" hidden="1">{"Input_Fin",#N/A,FALSE,"By Code";"Input_Opt",#N/A,FALSE,"By Code"}</definedName>
    <definedName name="pobgx_1_1_3_2" hidden="1">{"Input_Fin",#N/A,FALSE,"By Code";"Input_Opt",#N/A,FALSE,"By Code"}</definedName>
    <definedName name="pobgx_1_1_4" hidden="1">{"Input_Fin",#N/A,FALSE,"By Code";"Input_Opt",#N/A,FALSE,"By Code"}</definedName>
    <definedName name="pobgx_1_1_5" hidden="1">{"Input_Fin",#N/A,FALSE,"By Code";"Input_Opt",#N/A,FALSE,"By Code"}</definedName>
    <definedName name="pobgx_1_2" hidden="1">{"Input_Fin",#N/A,FALSE,"By Code";"Input_Opt",#N/A,FALSE,"By Code"}</definedName>
    <definedName name="pobgx_1_2_1" hidden="1">{"Input_Fin",#N/A,FALSE,"By Code";"Input_Opt",#N/A,FALSE,"By Code"}</definedName>
    <definedName name="pobgx_1_2_2" hidden="1">{"Input_Fin",#N/A,FALSE,"By Code";"Input_Opt",#N/A,FALSE,"By Code"}</definedName>
    <definedName name="pobgx_1_2_3" hidden="1">{"Input_Fin",#N/A,FALSE,"By Code";"Input_Opt",#N/A,FALSE,"By Code"}</definedName>
    <definedName name="pobgx_1_3" hidden="1">{"Input_Fin",#N/A,FALSE,"By Code";"Input_Opt",#N/A,FALSE,"By Code"}</definedName>
    <definedName name="pobgx_1_3_1" hidden="1">{"Input_Fin",#N/A,FALSE,"By Code";"Input_Opt",#N/A,FALSE,"By Code"}</definedName>
    <definedName name="pobgx_1_3_2" hidden="1">{"Input_Fin",#N/A,FALSE,"By Code";"Input_Opt",#N/A,FALSE,"By Code"}</definedName>
    <definedName name="pobgx_1_4" hidden="1">{"Input_Fin",#N/A,FALSE,"By Code";"Input_Opt",#N/A,FALSE,"By Code"}</definedName>
    <definedName name="pobgx_1_5" hidden="1">{"Input_Fin",#N/A,FALSE,"By Code";"Input_Opt",#N/A,FALSE,"By Code"}</definedName>
    <definedName name="pobgx_2" hidden="1">{"Input_Fin",#N/A,FALSE,"By Code";"Input_Opt",#N/A,FALSE,"By Code"}</definedName>
    <definedName name="pobgx_2_1" hidden="1">{"Input_Fin",#N/A,FALSE,"By Code";"Input_Opt",#N/A,FALSE,"By Code"}</definedName>
    <definedName name="pobgx_2_1_1" hidden="1">{"Input_Fin",#N/A,FALSE,"By Code";"Input_Opt",#N/A,FALSE,"By Code"}</definedName>
    <definedName name="pobgx_2_1_1_1" hidden="1">{"Input_Fin",#N/A,FALSE,"By Code";"Input_Opt",#N/A,FALSE,"By Code"}</definedName>
    <definedName name="pobgx_2_1_1_2" hidden="1">{"Input_Fin",#N/A,FALSE,"By Code";"Input_Opt",#N/A,FALSE,"By Code"}</definedName>
    <definedName name="pobgx_2_1_1_3" hidden="1">{"Input_Fin",#N/A,FALSE,"By Code";"Input_Opt",#N/A,FALSE,"By Code"}</definedName>
    <definedName name="pobgx_2_1_2" hidden="1">{"Input_Fin",#N/A,FALSE,"By Code";"Input_Opt",#N/A,FALSE,"By Code"}</definedName>
    <definedName name="pobgx_2_1_2_1" hidden="1">{"Input_Fin",#N/A,FALSE,"By Code";"Input_Opt",#N/A,FALSE,"By Code"}</definedName>
    <definedName name="pobgx_2_1_2_2" hidden="1">{"Input_Fin",#N/A,FALSE,"By Code";"Input_Opt",#N/A,FALSE,"By Code"}</definedName>
    <definedName name="pobgx_2_1_3" hidden="1">{"Input_Fin",#N/A,FALSE,"By Code";"Input_Opt",#N/A,FALSE,"By Code"}</definedName>
    <definedName name="pobgx_2_1_4" hidden="1">{"Input_Fin",#N/A,FALSE,"By Code";"Input_Opt",#N/A,FALSE,"By Code"}</definedName>
    <definedName name="pobgx_2_2" hidden="1">{"Input_Fin",#N/A,FALSE,"By Code";"Input_Opt",#N/A,FALSE,"By Code"}</definedName>
    <definedName name="pobgx_2_2_1" hidden="1">{"Input_Fin",#N/A,FALSE,"By Code";"Input_Opt",#N/A,FALSE,"By Code"}</definedName>
    <definedName name="pobgx_2_2_2" hidden="1">{"Input_Fin",#N/A,FALSE,"By Code";"Input_Opt",#N/A,FALSE,"By Code"}</definedName>
    <definedName name="pobgx_2_2_3" hidden="1">{"Input_Fin",#N/A,FALSE,"By Code";"Input_Opt",#N/A,FALSE,"By Code"}</definedName>
    <definedName name="pobgx_2_3" hidden="1">{"Input_Fin",#N/A,FALSE,"By Code";"Input_Opt",#N/A,FALSE,"By Code"}</definedName>
    <definedName name="pobgx_2_3_1" hidden="1">{"Input_Fin",#N/A,FALSE,"By Code";"Input_Opt",#N/A,FALSE,"By Code"}</definedName>
    <definedName name="pobgx_2_3_2" hidden="1">{"Input_Fin",#N/A,FALSE,"By Code";"Input_Opt",#N/A,FALSE,"By Code"}</definedName>
    <definedName name="pobgx_2_4" hidden="1">{"Input_Fin",#N/A,FALSE,"By Code";"Input_Opt",#N/A,FALSE,"By Code"}</definedName>
    <definedName name="pobgx_2_5" hidden="1">{"Input_Fin",#N/A,FALSE,"By Code";"Input_Opt",#N/A,FALSE,"By Code"}</definedName>
    <definedName name="pobgx_3" hidden="1">{"Input_Fin",#N/A,FALSE,"By Code";"Input_Opt",#N/A,FALSE,"By Code"}</definedName>
    <definedName name="pobgx_3_1" hidden="1">{"Input_Fin",#N/A,FALSE,"By Code";"Input_Opt",#N/A,FALSE,"By Code"}</definedName>
    <definedName name="pobgx_3_1_1" hidden="1">{"Input_Fin",#N/A,FALSE,"By Code";"Input_Opt",#N/A,FALSE,"By Code"}</definedName>
    <definedName name="pobgx_3_1_1_1" hidden="1">{"Input_Fin",#N/A,FALSE,"By Code";"Input_Opt",#N/A,FALSE,"By Code"}</definedName>
    <definedName name="pobgx_3_1_1_2" hidden="1">{"Input_Fin",#N/A,FALSE,"By Code";"Input_Opt",#N/A,FALSE,"By Code"}</definedName>
    <definedName name="pobgx_3_1_1_3" hidden="1">{"Input_Fin",#N/A,FALSE,"By Code";"Input_Opt",#N/A,FALSE,"By Code"}</definedName>
    <definedName name="pobgx_3_1_2" hidden="1">{"Input_Fin",#N/A,FALSE,"By Code";"Input_Opt",#N/A,FALSE,"By Code"}</definedName>
    <definedName name="pobgx_3_1_2_1" hidden="1">{"Input_Fin",#N/A,FALSE,"By Code";"Input_Opt",#N/A,FALSE,"By Code"}</definedName>
    <definedName name="pobgx_3_1_2_2" hidden="1">{"Input_Fin",#N/A,FALSE,"By Code";"Input_Opt",#N/A,FALSE,"By Code"}</definedName>
    <definedName name="pobgx_3_1_3" hidden="1">{"Input_Fin",#N/A,FALSE,"By Code";"Input_Opt",#N/A,FALSE,"By Code"}</definedName>
    <definedName name="pobgx_3_1_4" hidden="1">{"Input_Fin",#N/A,FALSE,"By Code";"Input_Opt",#N/A,FALSE,"By Code"}</definedName>
    <definedName name="pobgx_3_2" hidden="1">{"Input_Fin",#N/A,FALSE,"By Code";"Input_Opt",#N/A,FALSE,"By Code"}</definedName>
    <definedName name="pobgx_3_2_1" hidden="1">{"Input_Fin",#N/A,FALSE,"By Code";"Input_Opt",#N/A,FALSE,"By Code"}</definedName>
    <definedName name="pobgx_3_2_2" hidden="1">{"Input_Fin",#N/A,FALSE,"By Code";"Input_Opt",#N/A,FALSE,"By Code"}</definedName>
    <definedName name="pobgx_3_2_3" hidden="1">{"Input_Fin",#N/A,FALSE,"By Code";"Input_Opt",#N/A,FALSE,"By Code"}</definedName>
    <definedName name="pobgx_3_3" hidden="1">{"Input_Fin",#N/A,FALSE,"By Code";"Input_Opt",#N/A,FALSE,"By Code"}</definedName>
    <definedName name="pobgx_3_3_1" hidden="1">{"Input_Fin",#N/A,FALSE,"By Code";"Input_Opt",#N/A,FALSE,"By Code"}</definedName>
    <definedName name="pobgx_3_3_2" hidden="1">{"Input_Fin",#N/A,FALSE,"By Code";"Input_Opt",#N/A,FALSE,"By Code"}</definedName>
    <definedName name="pobgx_3_4" hidden="1">{"Input_Fin",#N/A,FALSE,"By Code";"Input_Opt",#N/A,FALSE,"By Code"}</definedName>
    <definedName name="pobgx_3_5" hidden="1">{"Input_Fin",#N/A,FALSE,"By Code";"Input_Opt",#N/A,FALSE,"By Code"}</definedName>
    <definedName name="pobgx_4" hidden="1">{"Input_Fin",#N/A,FALSE,"By Code";"Input_Opt",#N/A,FALSE,"By Code"}</definedName>
    <definedName name="pobgx_4_1" hidden="1">{"Input_Fin",#N/A,FALSE,"By Code";"Input_Opt",#N/A,FALSE,"By Code"}</definedName>
    <definedName name="pobgx_4_1_1" hidden="1">{"Input_Fin",#N/A,FALSE,"By Code";"Input_Opt",#N/A,FALSE,"By Code"}</definedName>
    <definedName name="pobgx_4_1_1_1" hidden="1">{"Input_Fin",#N/A,FALSE,"By Code";"Input_Opt",#N/A,FALSE,"By Code"}</definedName>
    <definedName name="pobgx_4_1_1_2" hidden="1">{"Input_Fin",#N/A,FALSE,"By Code";"Input_Opt",#N/A,FALSE,"By Code"}</definedName>
    <definedName name="pobgx_4_1_1_3" hidden="1">{"Input_Fin",#N/A,FALSE,"By Code";"Input_Opt",#N/A,FALSE,"By Code"}</definedName>
    <definedName name="pobgx_4_1_2" hidden="1">{"Input_Fin",#N/A,FALSE,"By Code";"Input_Opt",#N/A,FALSE,"By Code"}</definedName>
    <definedName name="pobgx_4_1_2_1" hidden="1">{"Input_Fin",#N/A,FALSE,"By Code";"Input_Opt",#N/A,FALSE,"By Code"}</definedName>
    <definedName name="pobgx_4_1_2_2" hidden="1">{"Input_Fin",#N/A,FALSE,"By Code";"Input_Opt",#N/A,FALSE,"By Code"}</definedName>
    <definedName name="pobgx_4_1_3" hidden="1">{"Input_Fin",#N/A,FALSE,"By Code";"Input_Opt",#N/A,FALSE,"By Code"}</definedName>
    <definedName name="pobgx_4_1_4" hidden="1">{"Input_Fin",#N/A,FALSE,"By Code";"Input_Opt",#N/A,FALSE,"By Code"}</definedName>
    <definedName name="pobgx_4_2" hidden="1">{"Input_Fin",#N/A,FALSE,"By Code";"Input_Opt",#N/A,FALSE,"By Code"}</definedName>
    <definedName name="pobgx_4_2_1" hidden="1">{"Input_Fin",#N/A,FALSE,"By Code";"Input_Opt",#N/A,FALSE,"By Code"}</definedName>
    <definedName name="pobgx_4_2_2" hidden="1">{"Input_Fin",#N/A,FALSE,"By Code";"Input_Opt",#N/A,FALSE,"By Code"}</definedName>
    <definedName name="pobgx_4_2_3" hidden="1">{"Input_Fin",#N/A,FALSE,"By Code";"Input_Opt",#N/A,FALSE,"By Code"}</definedName>
    <definedName name="pobgx_4_3" hidden="1">{"Input_Fin",#N/A,FALSE,"By Code";"Input_Opt",#N/A,FALSE,"By Code"}</definedName>
    <definedName name="pobgx_4_3_1" hidden="1">{"Input_Fin",#N/A,FALSE,"By Code";"Input_Opt",#N/A,FALSE,"By Code"}</definedName>
    <definedName name="pobgx_4_3_2" hidden="1">{"Input_Fin",#N/A,FALSE,"By Code";"Input_Opt",#N/A,FALSE,"By Code"}</definedName>
    <definedName name="pobgx_4_4" hidden="1">{"Input_Fin",#N/A,FALSE,"By Code";"Input_Opt",#N/A,FALSE,"By Code"}</definedName>
    <definedName name="pobgx_4_5" hidden="1">{"Input_Fin",#N/A,FALSE,"By Code";"Input_Opt",#N/A,FALSE,"By Code"}</definedName>
    <definedName name="pobgx_5" hidden="1">{"Input_Fin",#N/A,FALSE,"By Code";"Input_Opt",#N/A,FALSE,"By Code"}</definedName>
    <definedName name="pobgx_5_1" hidden="1">{"Input_Fin",#N/A,FALSE,"By Code";"Input_Opt",#N/A,FALSE,"By Code"}</definedName>
    <definedName name="pobgx_5_1_1" hidden="1">{"Input_Fin",#N/A,FALSE,"By Code";"Input_Opt",#N/A,FALSE,"By Code"}</definedName>
    <definedName name="pobgx_5_1_1_1" hidden="1">{"Input_Fin",#N/A,FALSE,"By Code";"Input_Opt",#N/A,FALSE,"By Code"}</definedName>
    <definedName name="pobgx_5_1_1_2" hidden="1">{"Input_Fin",#N/A,FALSE,"By Code";"Input_Opt",#N/A,FALSE,"By Code"}</definedName>
    <definedName name="pobgx_5_1_1_3" hidden="1">{"Input_Fin",#N/A,FALSE,"By Code";"Input_Opt",#N/A,FALSE,"By Code"}</definedName>
    <definedName name="pobgx_5_1_2" hidden="1">{"Input_Fin",#N/A,FALSE,"By Code";"Input_Opt",#N/A,FALSE,"By Code"}</definedName>
    <definedName name="pobgx_5_1_2_1" hidden="1">{"Input_Fin",#N/A,FALSE,"By Code";"Input_Opt",#N/A,FALSE,"By Code"}</definedName>
    <definedName name="pobgx_5_1_2_2" hidden="1">{"Input_Fin",#N/A,FALSE,"By Code";"Input_Opt",#N/A,FALSE,"By Code"}</definedName>
    <definedName name="pobgx_5_1_3" hidden="1">{"Input_Fin",#N/A,FALSE,"By Code";"Input_Opt",#N/A,FALSE,"By Code"}</definedName>
    <definedName name="pobgx_5_1_4" hidden="1">{"Input_Fin",#N/A,FALSE,"By Code";"Input_Opt",#N/A,FALSE,"By Code"}</definedName>
    <definedName name="pobgx_5_2" hidden="1">{"Input_Fin",#N/A,FALSE,"By Code";"Input_Opt",#N/A,FALSE,"By Code"}</definedName>
    <definedName name="pobgx_5_2_1" hidden="1">{"Input_Fin",#N/A,FALSE,"By Code";"Input_Opt",#N/A,FALSE,"By Code"}</definedName>
    <definedName name="pobgx_5_2_2" hidden="1">{"Input_Fin",#N/A,FALSE,"By Code";"Input_Opt",#N/A,FALSE,"By Code"}</definedName>
    <definedName name="pobgx_5_2_3" hidden="1">{"Input_Fin",#N/A,FALSE,"By Code";"Input_Opt",#N/A,FALSE,"By Code"}</definedName>
    <definedName name="pobgx_5_3" hidden="1">{"Input_Fin",#N/A,FALSE,"By Code";"Input_Opt",#N/A,FALSE,"By Code"}</definedName>
    <definedName name="pobgx_5_3_1" hidden="1">{"Input_Fin",#N/A,FALSE,"By Code";"Input_Opt",#N/A,FALSE,"By Code"}</definedName>
    <definedName name="pobgx_5_3_2" hidden="1">{"Input_Fin",#N/A,FALSE,"By Code";"Input_Opt",#N/A,FALSE,"By Code"}</definedName>
    <definedName name="pobgx_5_4" hidden="1">{"Input_Fin",#N/A,FALSE,"By Code";"Input_Opt",#N/A,FALSE,"By Code"}</definedName>
    <definedName name="pobgx_5_5" hidden="1">{"Input_Fin",#N/A,FALSE,"By Code";"Input_Opt",#N/A,FALSE,"By Code"}</definedName>
    <definedName name="_xlnm.Print_Area" localSheetId="12" hidden="1">#REF!</definedName>
    <definedName name="_xlnm.Print_Area">#N/A</definedName>
    <definedName name="Prix_SMC">#N/A</definedName>
    <definedName name="province1_15">#N/A</definedName>
    <definedName name="qwe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w" localSheetId="12" hidden="1">{"Input_Fin",#N/A,FALSE,"By Code";"Input_Opt",#N/A,FALSE,"By Code"}</definedName>
    <definedName name="qww" hidden="1">{"Input_Fin",#N/A,FALSE,"By Code";"Input_Opt",#N/A,FALSE,"By Code"}</definedName>
    <definedName name="R999665546846" hidden="1">{"Input_Fin",#N/A,FALSE,"By Code";"Input_Opt",#N/A,FALSE,"By Code"}</definedName>
    <definedName name="revised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ound">1</definedName>
    <definedName name="S_MENU1">#N/A</definedName>
    <definedName name="sa" localSheetId="12" hidden="1">{"Input_Fin",#N/A,FALSE,"By Code";"Input_Opt",#N/A,FALSE,"By Code"}</definedName>
    <definedName name="sa" hidden="1">{"Input_Fin",#N/A,FALSE,"By Code";"Input_Opt",#N/A,FALSE,"By Code"}</definedName>
    <definedName name="sa_1" hidden="1">{"Input_Fin",#N/A,FALSE,"By Code";"Input_Opt",#N/A,FALSE,"By Code"}</definedName>
    <definedName name="sa_1_1" hidden="1">{"Input_Fin",#N/A,FALSE,"By Code";"Input_Opt",#N/A,FALSE,"By Code"}</definedName>
    <definedName name="sa_1_1_1" hidden="1">{"Input_Fin",#N/A,FALSE,"By Code";"Input_Opt",#N/A,FALSE,"By Code"}</definedName>
    <definedName name="sa_1_1_1_1" hidden="1">{"Input_Fin",#N/A,FALSE,"By Code";"Input_Opt",#N/A,FALSE,"By Code"}</definedName>
    <definedName name="sa_1_1_1_1_1" hidden="1">{"Input_Fin",#N/A,FALSE,"By Code";"Input_Opt",#N/A,FALSE,"By Code"}</definedName>
    <definedName name="sa_1_1_1_1_2" hidden="1">{"Input_Fin",#N/A,FALSE,"By Code";"Input_Opt",#N/A,FALSE,"By Code"}</definedName>
    <definedName name="sa_1_1_1_1_3" hidden="1">{"Input_Fin",#N/A,FALSE,"By Code";"Input_Opt",#N/A,FALSE,"By Code"}</definedName>
    <definedName name="sa_1_1_1_2" hidden="1">{"Input_Fin",#N/A,FALSE,"By Code";"Input_Opt",#N/A,FALSE,"By Code"}</definedName>
    <definedName name="sa_1_1_1_2_1" hidden="1">{"Input_Fin",#N/A,FALSE,"By Code";"Input_Opt",#N/A,FALSE,"By Code"}</definedName>
    <definedName name="sa_1_1_1_2_2" hidden="1">{"Input_Fin",#N/A,FALSE,"By Code";"Input_Opt",#N/A,FALSE,"By Code"}</definedName>
    <definedName name="sa_1_1_1_3" hidden="1">{"Input_Fin",#N/A,FALSE,"By Code";"Input_Opt",#N/A,FALSE,"By Code"}</definedName>
    <definedName name="sa_1_1_1_3_1" hidden="1">{"Input_Fin",#N/A,FALSE,"By Code";"Input_Opt",#N/A,FALSE,"By Code"}</definedName>
    <definedName name="sa_1_1_1_3_2" hidden="1">{"Input_Fin",#N/A,FALSE,"By Code";"Input_Opt",#N/A,FALSE,"By Code"}</definedName>
    <definedName name="sa_1_1_1_4" hidden="1">{"Input_Fin",#N/A,FALSE,"By Code";"Input_Opt",#N/A,FALSE,"By Code"}</definedName>
    <definedName name="sa_1_1_1_5" hidden="1">{"Input_Fin",#N/A,FALSE,"By Code";"Input_Opt",#N/A,FALSE,"By Code"}</definedName>
    <definedName name="sa_1_1_2" hidden="1">{"Input_Fin",#N/A,FALSE,"By Code";"Input_Opt",#N/A,FALSE,"By Code"}</definedName>
    <definedName name="sa_1_1_2_1" hidden="1">{"Input_Fin",#N/A,FALSE,"By Code";"Input_Opt",#N/A,FALSE,"By Code"}</definedName>
    <definedName name="sa_1_1_2_2" hidden="1">{"Input_Fin",#N/A,FALSE,"By Code";"Input_Opt",#N/A,FALSE,"By Code"}</definedName>
    <definedName name="sa_1_1_2_3" hidden="1">{"Input_Fin",#N/A,FALSE,"By Code";"Input_Opt",#N/A,FALSE,"By Code"}</definedName>
    <definedName name="sa_1_1_3" hidden="1">{"Input_Fin",#N/A,FALSE,"By Code";"Input_Opt",#N/A,FALSE,"By Code"}</definedName>
    <definedName name="sa_1_1_3_1" hidden="1">{"Input_Fin",#N/A,FALSE,"By Code";"Input_Opt",#N/A,FALSE,"By Code"}</definedName>
    <definedName name="sa_1_1_3_2" hidden="1">{"Input_Fin",#N/A,FALSE,"By Code";"Input_Opt",#N/A,FALSE,"By Code"}</definedName>
    <definedName name="sa_1_1_4" hidden="1">{"Input_Fin",#N/A,FALSE,"By Code";"Input_Opt",#N/A,FALSE,"By Code"}</definedName>
    <definedName name="sa_1_1_5" hidden="1">{"Input_Fin",#N/A,FALSE,"By Code";"Input_Opt",#N/A,FALSE,"By Code"}</definedName>
    <definedName name="sa_1_2" hidden="1">{"Input_Fin",#N/A,FALSE,"By Code";"Input_Opt",#N/A,FALSE,"By Code"}</definedName>
    <definedName name="sa_1_2_1" hidden="1">{"Input_Fin",#N/A,FALSE,"By Code";"Input_Opt",#N/A,FALSE,"By Code"}</definedName>
    <definedName name="sa_1_2_2" hidden="1">{"Input_Fin",#N/A,FALSE,"By Code";"Input_Opt",#N/A,FALSE,"By Code"}</definedName>
    <definedName name="sa_1_2_3" hidden="1">{"Input_Fin",#N/A,FALSE,"By Code";"Input_Opt",#N/A,FALSE,"By Code"}</definedName>
    <definedName name="sa_1_3" hidden="1">{"Input_Fin",#N/A,FALSE,"By Code";"Input_Opt",#N/A,FALSE,"By Code"}</definedName>
    <definedName name="sa_1_3_1" hidden="1">{"Input_Fin",#N/A,FALSE,"By Code";"Input_Opt",#N/A,FALSE,"By Code"}</definedName>
    <definedName name="sa_1_3_2" hidden="1">{"Input_Fin",#N/A,FALSE,"By Code";"Input_Opt",#N/A,FALSE,"By Code"}</definedName>
    <definedName name="sa_1_4" hidden="1">{"Input_Fin",#N/A,FALSE,"By Code";"Input_Opt",#N/A,FALSE,"By Code"}</definedName>
    <definedName name="sa_1_5" hidden="1">{"Input_Fin",#N/A,FALSE,"By Code";"Input_Opt",#N/A,FALSE,"By Code"}</definedName>
    <definedName name="sa_2" hidden="1">{"Input_Fin",#N/A,FALSE,"By Code";"Input_Opt",#N/A,FALSE,"By Code"}</definedName>
    <definedName name="sa_2_1" hidden="1">{"Input_Fin",#N/A,FALSE,"By Code";"Input_Opt",#N/A,FALSE,"By Code"}</definedName>
    <definedName name="sa_2_1_1" hidden="1">{"Input_Fin",#N/A,FALSE,"By Code";"Input_Opt",#N/A,FALSE,"By Code"}</definedName>
    <definedName name="sa_2_1_1_1" hidden="1">{"Input_Fin",#N/A,FALSE,"By Code";"Input_Opt",#N/A,FALSE,"By Code"}</definedName>
    <definedName name="sa_2_1_1_2" hidden="1">{"Input_Fin",#N/A,FALSE,"By Code";"Input_Opt",#N/A,FALSE,"By Code"}</definedName>
    <definedName name="sa_2_1_1_3" hidden="1">{"Input_Fin",#N/A,FALSE,"By Code";"Input_Opt",#N/A,FALSE,"By Code"}</definedName>
    <definedName name="sa_2_1_2" hidden="1">{"Input_Fin",#N/A,FALSE,"By Code";"Input_Opt",#N/A,FALSE,"By Code"}</definedName>
    <definedName name="sa_2_1_2_1" hidden="1">{"Input_Fin",#N/A,FALSE,"By Code";"Input_Opt",#N/A,FALSE,"By Code"}</definedName>
    <definedName name="sa_2_1_2_2" hidden="1">{"Input_Fin",#N/A,FALSE,"By Code";"Input_Opt",#N/A,FALSE,"By Code"}</definedName>
    <definedName name="sa_2_1_3" hidden="1">{"Input_Fin",#N/A,FALSE,"By Code";"Input_Opt",#N/A,FALSE,"By Code"}</definedName>
    <definedName name="sa_2_1_4" hidden="1">{"Input_Fin",#N/A,FALSE,"By Code";"Input_Opt",#N/A,FALSE,"By Code"}</definedName>
    <definedName name="sa_2_2" hidden="1">{"Input_Fin",#N/A,FALSE,"By Code";"Input_Opt",#N/A,FALSE,"By Code"}</definedName>
    <definedName name="sa_2_2_1" hidden="1">{"Input_Fin",#N/A,FALSE,"By Code";"Input_Opt",#N/A,FALSE,"By Code"}</definedName>
    <definedName name="sa_2_2_2" hidden="1">{"Input_Fin",#N/A,FALSE,"By Code";"Input_Opt",#N/A,FALSE,"By Code"}</definedName>
    <definedName name="sa_2_2_3" hidden="1">{"Input_Fin",#N/A,FALSE,"By Code";"Input_Opt",#N/A,FALSE,"By Code"}</definedName>
    <definedName name="sa_2_3" hidden="1">{"Input_Fin",#N/A,FALSE,"By Code";"Input_Opt",#N/A,FALSE,"By Code"}</definedName>
    <definedName name="sa_2_3_1" hidden="1">{"Input_Fin",#N/A,FALSE,"By Code";"Input_Opt",#N/A,FALSE,"By Code"}</definedName>
    <definedName name="sa_2_3_2" hidden="1">{"Input_Fin",#N/A,FALSE,"By Code";"Input_Opt",#N/A,FALSE,"By Code"}</definedName>
    <definedName name="sa_2_4" hidden="1">{"Input_Fin",#N/A,FALSE,"By Code";"Input_Opt",#N/A,FALSE,"By Code"}</definedName>
    <definedName name="sa_2_5" hidden="1">{"Input_Fin",#N/A,FALSE,"By Code";"Input_Opt",#N/A,FALSE,"By Code"}</definedName>
    <definedName name="sa_3" hidden="1">{"Input_Fin",#N/A,FALSE,"By Code";"Input_Opt",#N/A,FALSE,"By Code"}</definedName>
    <definedName name="sa_3_1" hidden="1">{"Input_Fin",#N/A,FALSE,"By Code";"Input_Opt",#N/A,FALSE,"By Code"}</definedName>
    <definedName name="sa_3_1_1" hidden="1">{"Input_Fin",#N/A,FALSE,"By Code";"Input_Opt",#N/A,FALSE,"By Code"}</definedName>
    <definedName name="sa_3_1_1_1" hidden="1">{"Input_Fin",#N/A,FALSE,"By Code";"Input_Opt",#N/A,FALSE,"By Code"}</definedName>
    <definedName name="sa_3_1_1_2" hidden="1">{"Input_Fin",#N/A,FALSE,"By Code";"Input_Opt",#N/A,FALSE,"By Code"}</definedName>
    <definedName name="sa_3_1_1_3" hidden="1">{"Input_Fin",#N/A,FALSE,"By Code";"Input_Opt",#N/A,FALSE,"By Code"}</definedName>
    <definedName name="sa_3_1_2" hidden="1">{"Input_Fin",#N/A,FALSE,"By Code";"Input_Opt",#N/A,FALSE,"By Code"}</definedName>
    <definedName name="sa_3_1_2_1" hidden="1">{"Input_Fin",#N/A,FALSE,"By Code";"Input_Opt",#N/A,FALSE,"By Code"}</definedName>
    <definedName name="sa_3_1_2_2" hidden="1">{"Input_Fin",#N/A,FALSE,"By Code";"Input_Opt",#N/A,FALSE,"By Code"}</definedName>
    <definedName name="sa_3_1_3" hidden="1">{"Input_Fin",#N/A,FALSE,"By Code";"Input_Opt",#N/A,FALSE,"By Code"}</definedName>
    <definedName name="sa_3_1_4" hidden="1">{"Input_Fin",#N/A,FALSE,"By Code";"Input_Opt",#N/A,FALSE,"By Code"}</definedName>
    <definedName name="sa_3_2" hidden="1">{"Input_Fin",#N/A,FALSE,"By Code";"Input_Opt",#N/A,FALSE,"By Code"}</definedName>
    <definedName name="sa_3_2_1" hidden="1">{"Input_Fin",#N/A,FALSE,"By Code";"Input_Opt",#N/A,FALSE,"By Code"}</definedName>
    <definedName name="sa_3_2_2" hidden="1">{"Input_Fin",#N/A,FALSE,"By Code";"Input_Opt",#N/A,FALSE,"By Code"}</definedName>
    <definedName name="sa_3_2_3" hidden="1">{"Input_Fin",#N/A,FALSE,"By Code";"Input_Opt",#N/A,FALSE,"By Code"}</definedName>
    <definedName name="sa_3_3" hidden="1">{"Input_Fin",#N/A,FALSE,"By Code";"Input_Opt",#N/A,FALSE,"By Code"}</definedName>
    <definedName name="sa_3_3_1" hidden="1">{"Input_Fin",#N/A,FALSE,"By Code";"Input_Opt",#N/A,FALSE,"By Code"}</definedName>
    <definedName name="sa_3_3_2" hidden="1">{"Input_Fin",#N/A,FALSE,"By Code";"Input_Opt",#N/A,FALSE,"By Code"}</definedName>
    <definedName name="sa_3_4" hidden="1">{"Input_Fin",#N/A,FALSE,"By Code";"Input_Opt",#N/A,FALSE,"By Code"}</definedName>
    <definedName name="sa_3_5" hidden="1">{"Input_Fin",#N/A,FALSE,"By Code";"Input_Opt",#N/A,FALSE,"By Code"}</definedName>
    <definedName name="sa_4" hidden="1">{"Input_Fin",#N/A,FALSE,"By Code";"Input_Opt",#N/A,FALSE,"By Code"}</definedName>
    <definedName name="sa_4_1" hidden="1">{"Input_Fin",#N/A,FALSE,"By Code";"Input_Opt",#N/A,FALSE,"By Code"}</definedName>
    <definedName name="sa_4_1_1" hidden="1">{"Input_Fin",#N/A,FALSE,"By Code";"Input_Opt",#N/A,FALSE,"By Code"}</definedName>
    <definedName name="sa_4_1_1_1" hidden="1">{"Input_Fin",#N/A,FALSE,"By Code";"Input_Opt",#N/A,FALSE,"By Code"}</definedName>
    <definedName name="sa_4_1_1_2" hidden="1">{"Input_Fin",#N/A,FALSE,"By Code";"Input_Opt",#N/A,FALSE,"By Code"}</definedName>
    <definedName name="sa_4_1_1_3" hidden="1">{"Input_Fin",#N/A,FALSE,"By Code";"Input_Opt",#N/A,FALSE,"By Code"}</definedName>
    <definedName name="sa_4_1_2" hidden="1">{"Input_Fin",#N/A,FALSE,"By Code";"Input_Opt",#N/A,FALSE,"By Code"}</definedName>
    <definedName name="sa_4_1_2_1" hidden="1">{"Input_Fin",#N/A,FALSE,"By Code";"Input_Opt",#N/A,FALSE,"By Code"}</definedName>
    <definedName name="sa_4_1_2_2" hidden="1">{"Input_Fin",#N/A,FALSE,"By Code";"Input_Opt",#N/A,FALSE,"By Code"}</definedName>
    <definedName name="sa_4_1_3" hidden="1">{"Input_Fin",#N/A,FALSE,"By Code";"Input_Opt",#N/A,FALSE,"By Code"}</definedName>
    <definedName name="sa_4_1_4" hidden="1">{"Input_Fin",#N/A,FALSE,"By Code";"Input_Opt",#N/A,FALSE,"By Code"}</definedName>
    <definedName name="sa_4_2" hidden="1">{"Input_Fin",#N/A,FALSE,"By Code";"Input_Opt",#N/A,FALSE,"By Code"}</definedName>
    <definedName name="sa_4_2_1" hidden="1">{"Input_Fin",#N/A,FALSE,"By Code";"Input_Opt",#N/A,FALSE,"By Code"}</definedName>
    <definedName name="sa_4_2_2" hidden="1">{"Input_Fin",#N/A,FALSE,"By Code";"Input_Opt",#N/A,FALSE,"By Code"}</definedName>
    <definedName name="sa_4_2_3" hidden="1">{"Input_Fin",#N/A,FALSE,"By Code";"Input_Opt",#N/A,FALSE,"By Code"}</definedName>
    <definedName name="sa_4_3" hidden="1">{"Input_Fin",#N/A,FALSE,"By Code";"Input_Opt",#N/A,FALSE,"By Code"}</definedName>
    <definedName name="sa_4_3_1" hidden="1">{"Input_Fin",#N/A,FALSE,"By Code";"Input_Opt",#N/A,FALSE,"By Code"}</definedName>
    <definedName name="sa_4_3_2" hidden="1">{"Input_Fin",#N/A,FALSE,"By Code";"Input_Opt",#N/A,FALSE,"By Code"}</definedName>
    <definedName name="sa_4_4" hidden="1">{"Input_Fin",#N/A,FALSE,"By Code";"Input_Opt",#N/A,FALSE,"By Code"}</definedName>
    <definedName name="sa_4_5" hidden="1">{"Input_Fin",#N/A,FALSE,"By Code";"Input_Opt",#N/A,FALSE,"By Code"}</definedName>
    <definedName name="sa_5" hidden="1">{"Input_Fin",#N/A,FALSE,"By Code";"Input_Opt",#N/A,FALSE,"By Code"}</definedName>
    <definedName name="sa_5_1" hidden="1">{"Input_Fin",#N/A,FALSE,"By Code";"Input_Opt",#N/A,FALSE,"By Code"}</definedName>
    <definedName name="sa_5_1_1" hidden="1">{"Input_Fin",#N/A,FALSE,"By Code";"Input_Opt",#N/A,FALSE,"By Code"}</definedName>
    <definedName name="sa_5_1_1_1" hidden="1">{"Input_Fin",#N/A,FALSE,"By Code";"Input_Opt",#N/A,FALSE,"By Code"}</definedName>
    <definedName name="sa_5_1_1_2" hidden="1">{"Input_Fin",#N/A,FALSE,"By Code";"Input_Opt",#N/A,FALSE,"By Code"}</definedName>
    <definedName name="sa_5_1_1_3" hidden="1">{"Input_Fin",#N/A,FALSE,"By Code";"Input_Opt",#N/A,FALSE,"By Code"}</definedName>
    <definedName name="sa_5_1_2" hidden="1">{"Input_Fin",#N/A,FALSE,"By Code";"Input_Opt",#N/A,FALSE,"By Code"}</definedName>
    <definedName name="sa_5_1_2_1" hidden="1">{"Input_Fin",#N/A,FALSE,"By Code";"Input_Opt",#N/A,FALSE,"By Code"}</definedName>
    <definedName name="sa_5_1_2_2" hidden="1">{"Input_Fin",#N/A,FALSE,"By Code";"Input_Opt",#N/A,FALSE,"By Code"}</definedName>
    <definedName name="sa_5_1_3" hidden="1">{"Input_Fin",#N/A,FALSE,"By Code";"Input_Opt",#N/A,FALSE,"By Code"}</definedName>
    <definedName name="sa_5_1_4" hidden="1">{"Input_Fin",#N/A,FALSE,"By Code";"Input_Opt",#N/A,FALSE,"By Code"}</definedName>
    <definedName name="sa_5_2" hidden="1">{"Input_Fin",#N/A,FALSE,"By Code";"Input_Opt",#N/A,FALSE,"By Code"}</definedName>
    <definedName name="sa_5_2_1" hidden="1">{"Input_Fin",#N/A,FALSE,"By Code";"Input_Opt",#N/A,FALSE,"By Code"}</definedName>
    <definedName name="sa_5_2_2" hidden="1">{"Input_Fin",#N/A,FALSE,"By Code";"Input_Opt",#N/A,FALSE,"By Code"}</definedName>
    <definedName name="sa_5_2_3" hidden="1">{"Input_Fin",#N/A,FALSE,"By Code";"Input_Opt",#N/A,FALSE,"By Code"}</definedName>
    <definedName name="sa_5_3" hidden="1">{"Input_Fin",#N/A,FALSE,"By Code";"Input_Opt",#N/A,FALSE,"By Code"}</definedName>
    <definedName name="sa_5_3_1" hidden="1">{"Input_Fin",#N/A,FALSE,"By Code";"Input_Opt",#N/A,FALSE,"By Code"}</definedName>
    <definedName name="sa_5_3_2" hidden="1">{"Input_Fin",#N/A,FALSE,"By Code";"Input_Opt",#N/A,FALSE,"By Code"}</definedName>
    <definedName name="sa_5_4" hidden="1">{"Input_Fin",#N/A,FALSE,"By Code";"Input_Opt",#N/A,FALSE,"By Code"}</definedName>
    <definedName name="sa_5_5" hidden="1">{"Input_Fin",#N/A,FALSE,"By Code";"Input_Opt",#N/A,FALSE,"By Code"}</definedName>
    <definedName name="SAPBEXdnldView" localSheetId="12" hidden="1">"4IFDARVNGEXW7A1SPE704AZMI"</definedName>
    <definedName name="SAPBEXdnldView" hidden="1">"44DZMVUOR2LQP7MI1ZNK154DY"</definedName>
    <definedName name="SAPBEXhrIndnt" hidden="1">"Wide"</definedName>
    <definedName name="SAPBEXrevision" hidden="1">1</definedName>
    <definedName name="SAPBEXsysID" localSheetId="12" hidden="1">"PE4"</definedName>
    <definedName name="SAPBEXsysID" hidden="1">"PW1"</definedName>
    <definedName name="SAPBEXwbID" localSheetId="12" hidden="1">"3Q4R7W3VD66V3CXTGQHGIRCBE"</definedName>
    <definedName name="SAPBEXwbID" hidden="1">"CR2BBWUFJKGFTY9OUFUWMXV6P"</definedName>
    <definedName name="SAPsysID" hidden="1">"708C5W7SBKP804JT78WJ0JNKI"</definedName>
    <definedName name="SAPwbID" hidden="1">"ARS"</definedName>
    <definedName name="sdfsd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SDS" localSheetId="12" hidden="1">#REF!</definedName>
    <definedName name="SDSDS" hidden="1">#REF!</definedName>
    <definedName name="sdwesdfe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heet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jdw">"安徽华普会计师事务所"</definedName>
    <definedName name="ssss" localSheetId="12" hidden="1">{"Input_Fin",#N/A,FALSE,"By Code";"Input_Opt",#N/A,FALSE,"By Code"}</definedName>
    <definedName name="ssss" hidden="1">{"Input_Fin",#N/A,FALSE,"By Code";"Input_Opt",#N/A,FALSE,"By Code"}</definedName>
    <definedName name="ssss_1" hidden="1">{"Input_Fin",#N/A,FALSE,"By Code";"Input_Opt",#N/A,FALSE,"By Code"}</definedName>
    <definedName name="ssss_1_1" hidden="1">{"Input_Fin",#N/A,FALSE,"By Code";"Input_Opt",#N/A,FALSE,"By Code"}</definedName>
    <definedName name="ssss_1_1_1" hidden="1">{"Input_Fin",#N/A,FALSE,"By Code";"Input_Opt",#N/A,FALSE,"By Code"}</definedName>
    <definedName name="ssss_1_1_1_1" hidden="1">{"Input_Fin",#N/A,FALSE,"By Code";"Input_Opt",#N/A,FALSE,"By Code"}</definedName>
    <definedName name="ssss_1_1_1_1_1" hidden="1">{"Input_Fin",#N/A,FALSE,"By Code";"Input_Opt",#N/A,FALSE,"By Code"}</definedName>
    <definedName name="ssss_1_1_1_1_2" hidden="1">{"Input_Fin",#N/A,FALSE,"By Code";"Input_Opt",#N/A,FALSE,"By Code"}</definedName>
    <definedName name="ssss_1_1_1_1_3" hidden="1">{"Input_Fin",#N/A,FALSE,"By Code";"Input_Opt",#N/A,FALSE,"By Code"}</definedName>
    <definedName name="ssss_1_1_1_2" hidden="1">{"Input_Fin",#N/A,FALSE,"By Code";"Input_Opt",#N/A,FALSE,"By Code"}</definedName>
    <definedName name="ssss_1_1_1_2_1" hidden="1">{"Input_Fin",#N/A,FALSE,"By Code";"Input_Opt",#N/A,FALSE,"By Code"}</definedName>
    <definedName name="ssss_1_1_1_2_2" hidden="1">{"Input_Fin",#N/A,FALSE,"By Code";"Input_Opt",#N/A,FALSE,"By Code"}</definedName>
    <definedName name="ssss_1_1_1_3" hidden="1">{"Input_Fin",#N/A,FALSE,"By Code";"Input_Opt",#N/A,FALSE,"By Code"}</definedName>
    <definedName name="ssss_1_1_1_3_1" hidden="1">{"Input_Fin",#N/A,FALSE,"By Code";"Input_Opt",#N/A,FALSE,"By Code"}</definedName>
    <definedName name="ssss_1_1_1_3_2" hidden="1">{"Input_Fin",#N/A,FALSE,"By Code";"Input_Opt",#N/A,FALSE,"By Code"}</definedName>
    <definedName name="ssss_1_1_1_4" hidden="1">{"Input_Fin",#N/A,FALSE,"By Code";"Input_Opt",#N/A,FALSE,"By Code"}</definedName>
    <definedName name="ssss_1_1_1_5" hidden="1">{"Input_Fin",#N/A,FALSE,"By Code";"Input_Opt",#N/A,FALSE,"By Code"}</definedName>
    <definedName name="ssss_1_1_2" hidden="1">{"Input_Fin",#N/A,FALSE,"By Code";"Input_Opt",#N/A,FALSE,"By Code"}</definedName>
    <definedName name="ssss_1_1_2_1" hidden="1">{"Input_Fin",#N/A,FALSE,"By Code";"Input_Opt",#N/A,FALSE,"By Code"}</definedName>
    <definedName name="ssss_1_1_2_2" hidden="1">{"Input_Fin",#N/A,FALSE,"By Code";"Input_Opt",#N/A,FALSE,"By Code"}</definedName>
    <definedName name="ssss_1_1_2_3" hidden="1">{"Input_Fin",#N/A,FALSE,"By Code";"Input_Opt",#N/A,FALSE,"By Code"}</definedName>
    <definedName name="ssss_1_1_3" hidden="1">{"Input_Fin",#N/A,FALSE,"By Code";"Input_Opt",#N/A,FALSE,"By Code"}</definedName>
    <definedName name="ssss_1_1_3_1" hidden="1">{"Input_Fin",#N/A,FALSE,"By Code";"Input_Opt",#N/A,FALSE,"By Code"}</definedName>
    <definedName name="ssss_1_1_3_2" hidden="1">{"Input_Fin",#N/A,FALSE,"By Code";"Input_Opt",#N/A,FALSE,"By Code"}</definedName>
    <definedName name="ssss_1_1_4" hidden="1">{"Input_Fin",#N/A,FALSE,"By Code";"Input_Opt",#N/A,FALSE,"By Code"}</definedName>
    <definedName name="ssss_1_1_5" hidden="1">{"Input_Fin",#N/A,FALSE,"By Code";"Input_Opt",#N/A,FALSE,"By Code"}</definedName>
    <definedName name="ssss_1_2" hidden="1">{"Input_Fin",#N/A,FALSE,"By Code";"Input_Opt",#N/A,FALSE,"By Code"}</definedName>
    <definedName name="ssss_1_2_1" hidden="1">{"Input_Fin",#N/A,FALSE,"By Code";"Input_Opt",#N/A,FALSE,"By Code"}</definedName>
    <definedName name="ssss_1_2_2" hidden="1">{"Input_Fin",#N/A,FALSE,"By Code";"Input_Opt",#N/A,FALSE,"By Code"}</definedName>
    <definedName name="ssss_1_2_3" hidden="1">{"Input_Fin",#N/A,FALSE,"By Code";"Input_Opt",#N/A,FALSE,"By Code"}</definedName>
    <definedName name="ssss_1_3" hidden="1">{"Input_Fin",#N/A,FALSE,"By Code";"Input_Opt",#N/A,FALSE,"By Code"}</definedName>
    <definedName name="ssss_1_3_1" hidden="1">{"Input_Fin",#N/A,FALSE,"By Code";"Input_Opt",#N/A,FALSE,"By Code"}</definedName>
    <definedName name="ssss_1_3_2" hidden="1">{"Input_Fin",#N/A,FALSE,"By Code";"Input_Opt",#N/A,FALSE,"By Code"}</definedName>
    <definedName name="ssss_1_4" hidden="1">{"Input_Fin",#N/A,FALSE,"By Code";"Input_Opt",#N/A,FALSE,"By Code"}</definedName>
    <definedName name="ssss_1_5" hidden="1">{"Input_Fin",#N/A,FALSE,"By Code";"Input_Opt",#N/A,FALSE,"By Code"}</definedName>
    <definedName name="ssss_2" hidden="1">{"Input_Fin",#N/A,FALSE,"By Code";"Input_Opt",#N/A,FALSE,"By Code"}</definedName>
    <definedName name="ssss_2_1" hidden="1">{"Input_Fin",#N/A,FALSE,"By Code";"Input_Opt",#N/A,FALSE,"By Code"}</definedName>
    <definedName name="ssss_2_1_1" hidden="1">{"Input_Fin",#N/A,FALSE,"By Code";"Input_Opt",#N/A,FALSE,"By Code"}</definedName>
    <definedName name="ssss_2_1_1_1" hidden="1">{"Input_Fin",#N/A,FALSE,"By Code";"Input_Opt",#N/A,FALSE,"By Code"}</definedName>
    <definedName name="ssss_2_1_1_2" hidden="1">{"Input_Fin",#N/A,FALSE,"By Code";"Input_Opt",#N/A,FALSE,"By Code"}</definedName>
    <definedName name="ssss_2_1_1_3" hidden="1">{"Input_Fin",#N/A,FALSE,"By Code";"Input_Opt",#N/A,FALSE,"By Code"}</definedName>
    <definedName name="ssss_2_1_2" hidden="1">{"Input_Fin",#N/A,FALSE,"By Code";"Input_Opt",#N/A,FALSE,"By Code"}</definedName>
    <definedName name="ssss_2_1_2_1" hidden="1">{"Input_Fin",#N/A,FALSE,"By Code";"Input_Opt",#N/A,FALSE,"By Code"}</definedName>
    <definedName name="ssss_2_1_2_2" hidden="1">{"Input_Fin",#N/A,FALSE,"By Code";"Input_Opt",#N/A,FALSE,"By Code"}</definedName>
    <definedName name="ssss_2_1_3" hidden="1">{"Input_Fin",#N/A,FALSE,"By Code";"Input_Opt",#N/A,FALSE,"By Code"}</definedName>
    <definedName name="ssss_2_1_4" hidden="1">{"Input_Fin",#N/A,FALSE,"By Code";"Input_Opt",#N/A,FALSE,"By Code"}</definedName>
    <definedName name="ssss_2_2" hidden="1">{"Input_Fin",#N/A,FALSE,"By Code";"Input_Opt",#N/A,FALSE,"By Code"}</definedName>
    <definedName name="ssss_2_2_1" hidden="1">{"Input_Fin",#N/A,FALSE,"By Code";"Input_Opt",#N/A,FALSE,"By Code"}</definedName>
    <definedName name="ssss_2_2_2" hidden="1">{"Input_Fin",#N/A,FALSE,"By Code";"Input_Opt",#N/A,FALSE,"By Code"}</definedName>
    <definedName name="ssss_2_2_3" hidden="1">{"Input_Fin",#N/A,FALSE,"By Code";"Input_Opt",#N/A,FALSE,"By Code"}</definedName>
    <definedName name="ssss_2_3" hidden="1">{"Input_Fin",#N/A,FALSE,"By Code";"Input_Opt",#N/A,FALSE,"By Code"}</definedName>
    <definedName name="ssss_2_3_1" hidden="1">{"Input_Fin",#N/A,FALSE,"By Code";"Input_Opt",#N/A,FALSE,"By Code"}</definedName>
    <definedName name="ssss_2_3_2" hidden="1">{"Input_Fin",#N/A,FALSE,"By Code";"Input_Opt",#N/A,FALSE,"By Code"}</definedName>
    <definedName name="ssss_2_4" hidden="1">{"Input_Fin",#N/A,FALSE,"By Code";"Input_Opt",#N/A,FALSE,"By Code"}</definedName>
    <definedName name="ssss_2_5" hidden="1">{"Input_Fin",#N/A,FALSE,"By Code";"Input_Opt",#N/A,FALSE,"By Code"}</definedName>
    <definedName name="ssss_3" hidden="1">{"Input_Fin",#N/A,FALSE,"By Code";"Input_Opt",#N/A,FALSE,"By Code"}</definedName>
    <definedName name="ssss_3_1" hidden="1">{"Input_Fin",#N/A,FALSE,"By Code";"Input_Opt",#N/A,FALSE,"By Code"}</definedName>
    <definedName name="ssss_3_1_1" hidden="1">{"Input_Fin",#N/A,FALSE,"By Code";"Input_Opt",#N/A,FALSE,"By Code"}</definedName>
    <definedName name="ssss_3_1_1_1" hidden="1">{"Input_Fin",#N/A,FALSE,"By Code";"Input_Opt",#N/A,FALSE,"By Code"}</definedName>
    <definedName name="ssss_3_1_1_2" hidden="1">{"Input_Fin",#N/A,FALSE,"By Code";"Input_Opt",#N/A,FALSE,"By Code"}</definedName>
    <definedName name="ssss_3_1_1_3" hidden="1">{"Input_Fin",#N/A,FALSE,"By Code";"Input_Opt",#N/A,FALSE,"By Code"}</definedName>
    <definedName name="ssss_3_1_2" hidden="1">{"Input_Fin",#N/A,FALSE,"By Code";"Input_Opt",#N/A,FALSE,"By Code"}</definedName>
    <definedName name="ssss_3_1_2_1" hidden="1">{"Input_Fin",#N/A,FALSE,"By Code";"Input_Opt",#N/A,FALSE,"By Code"}</definedName>
    <definedName name="ssss_3_1_2_2" hidden="1">{"Input_Fin",#N/A,FALSE,"By Code";"Input_Opt",#N/A,FALSE,"By Code"}</definedName>
    <definedName name="ssss_3_1_3" hidden="1">{"Input_Fin",#N/A,FALSE,"By Code";"Input_Opt",#N/A,FALSE,"By Code"}</definedName>
    <definedName name="ssss_3_1_4" hidden="1">{"Input_Fin",#N/A,FALSE,"By Code";"Input_Opt",#N/A,FALSE,"By Code"}</definedName>
    <definedName name="ssss_3_2" hidden="1">{"Input_Fin",#N/A,FALSE,"By Code";"Input_Opt",#N/A,FALSE,"By Code"}</definedName>
    <definedName name="ssss_3_2_1" hidden="1">{"Input_Fin",#N/A,FALSE,"By Code";"Input_Opt",#N/A,FALSE,"By Code"}</definedName>
    <definedName name="ssss_3_2_2" hidden="1">{"Input_Fin",#N/A,FALSE,"By Code";"Input_Opt",#N/A,FALSE,"By Code"}</definedName>
    <definedName name="ssss_3_2_3" hidden="1">{"Input_Fin",#N/A,FALSE,"By Code";"Input_Opt",#N/A,FALSE,"By Code"}</definedName>
    <definedName name="ssss_3_3" hidden="1">{"Input_Fin",#N/A,FALSE,"By Code";"Input_Opt",#N/A,FALSE,"By Code"}</definedName>
    <definedName name="ssss_3_3_1" hidden="1">{"Input_Fin",#N/A,FALSE,"By Code";"Input_Opt",#N/A,FALSE,"By Code"}</definedName>
    <definedName name="ssss_3_3_2" hidden="1">{"Input_Fin",#N/A,FALSE,"By Code";"Input_Opt",#N/A,FALSE,"By Code"}</definedName>
    <definedName name="ssss_3_4" hidden="1">{"Input_Fin",#N/A,FALSE,"By Code";"Input_Opt",#N/A,FALSE,"By Code"}</definedName>
    <definedName name="ssss_3_5" hidden="1">{"Input_Fin",#N/A,FALSE,"By Code";"Input_Opt",#N/A,FALSE,"By Code"}</definedName>
    <definedName name="ssss_4" hidden="1">{"Input_Fin",#N/A,FALSE,"By Code";"Input_Opt",#N/A,FALSE,"By Code"}</definedName>
    <definedName name="ssss_4_1" hidden="1">{"Input_Fin",#N/A,FALSE,"By Code";"Input_Opt",#N/A,FALSE,"By Code"}</definedName>
    <definedName name="ssss_4_1_1" hidden="1">{"Input_Fin",#N/A,FALSE,"By Code";"Input_Opt",#N/A,FALSE,"By Code"}</definedName>
    <definedName name="ssss_4_1_1_1" hidden="1">{"Input_Fin",#N/A,FALSE,"By Code";"Input_Opt",#N/A,FALSE,"By Code"}</definedName>
    <definedName name="ssss_4_1_1_2" hidden="1">{"Input_Fin",#N/A,FALSE,"By Code";"Input_Opt",#N/A,FALSE,"By Code"}</definedName>
    <definedName name="ssss_4_1_1_3" hidden="1">{"Input_Fin",#N/A,FALSE,"By Code";"Input_Opt",#N/A,FALSE,"By Code"}</definedName>
    <definedName name="ssss_4_1_2" hidden="1">{"Input_Fin",#N/A,FALSE,"By Code";"Input_Opt",#N/A,FALSE,"By Code"}</definedName>
    <definedName name="ssss_4_1_2_1" hidden="1">{"Input_Fin",#N/A,FALSE,"By Code";"Input_Opt",#N/A,FALSE,"By Code"}</definedName>
    <definedName name="ssss_4_1_2_2" hidden="1">{"Input_Fin",#N/A,FALSE,"By Code";"Input_Opt",#N/A,FALSE,"By Code"}</definedName>
    <definedName name="ssss_4_1_3" hidden="1">{"Input_Fin",#N/A,FALSE,"By Code";"Input_Opt",#N/A,FALSE,"By Code"}</definedName>
    <definedName name="ssss_4_1_4" hidden="1">{"Input_Fin",#N/A,FALSE,"By Code";"Input_Opt",#N/A,FALSE,"By Code"}</definedName>
    <definedName name="ssss_4_2" hidden="1">{"Input_Fin",#N/A,FALSE,"By Code";"Input_Opt",#N/A,FALSE,"By Code"}</definedName>
    <definedName name="ssss_4_2_1" hidden="1">{"Input_Fin",#N/A,FALSE,"By Code";"Input_Opt",#N/A,FALSE,"By Code"}</definedName>
    <definedName name="ssss_4_2_2" hidden="1">{"Input_Fin",#N/A,FALSE,"By Code";"Input_Opt",#N/A,FALSE,"By Code"}</definedName>
    <definedName name="ssss_4_2_3" hidden="1">{"Input_Fin",#N/A,FALSE,"By Code";"Input_Opt",#N/A,FALSE,"By Code"}</definedName>
    <definedName name="ssss_4_3" hidden="1">{"Input_Fin",#N/A,FALSE,"By Code";"Input_Opt",#N/A,FALSE,"By Code"}</definedName>
    <definedName name="ssss_4_3_1" hidden="1">{"Input_Fin",#N/A,FALSE,"By Code";"Input_Opt",#N/A,FALSE,"By Code"}</definedName>
    <definedName name="ssss_4_3_2" hidden="1">{"Input_Fin",#N/A,FALSE,"By Code";"Input_Opt",#N/A,FALSE,"By Code"}</definedName>
    <definedName name="ssss_4_4" hidden="1">{"Input_Fin",#N/A,FALSE,"By Code";"Input_Opt",#N/A,FALSE,"By Code"}</definedName>
    <definedName name="ssss_4_5" hidden="1">{"Input_Fin",#N/A,FALSE,"By Code";"Input_Opt",#N/A,FALSE,"By Code"}</definedName>
    <definedName name="ssss_5" hidden="1">{"Input_Fin",#N/A,FALSE,"By Code";"Input_Opt",#N/A,FALSE,"By Code"}</definedName>
    <definedName name="ssss_5_1" hidden="1">{"Input_Fin",#N/A,FALSE,"By Code";"Input_Opt",#N/A,FALSE,"By Code"}</definedName>
    <definedName name="ssss_5_1_1" hidden="1">{"Input_Fin",#N/A,FALSE,"By Code";"Input_Opt",#N/A,FALSE,"By Code"}</definedName>
    <definedName name="ssss_5_1_1_1" hidden="1">{"Input_Fin",#N/A,FALSE,"By Code";"Input_Opt",#N/A,FALSE,"By Code"}</definedName>
    <definedName name="ssss_5_1_1_2" hidden="1">{"Input_Fin",#N/A,FALSE,"By Code";"Input_Opt",#N/A,FALSE,"By Code"}</definedName>
    <definedName name="ssss_5_1_1_3" hidden="1">{"Input_Fin",#N/A,FALSE,"By Code";"Input_Opt",#N/A,FALSE,"By Code"}</definedName>
    <definedName name="ssss_5_1_2" hidden="1">{"Input_Fin",#N/A,FALSE,"By Code";"Input_Opt",#N/A,FALSE,"By Code"}</definedName>
    <definedName name="ssss_5_1_2_1" hidden="1">{"Input_Fin",#N/A,FALSE,"By Code";"Input_Opt",#N/A,FALSE,"By Code"}</definedName>
    <definedName name="ssss_5_1_2_2" hidden="1">{"Input_Fin",#N/A,FALSE,"By Code";"Input_Opt",#N/A,FALSE,"By Code"}</definedName>
    <definedName name="ssss_5_1_3" hidden="1">{"Input_Fin",#N/A,FALSE,"By Code";"Input_Opt",#N/A,FALSE,"By Code"}</definedName>
    <definedName name="ssss_5_1_4" hidden="1">{"Input_Fin",#N/A,FALSE,"By Code";"Input_Opt",#N/A,FALSE,"By Code"}</definedName>
    <definedName name="ssss_5_2" hidden="1">{"Input_Fin",#N/A,FALSE,"By Code";"Input_Opt",#N/A,FALSE,"By Code"}</definedName>
    <definedName name="ssss_5_2_1" hidden="1">{"Input_Fin",#N/A,FALSE,"By Code";"Input_Opt",#N/A,FALSE,"By Code"}</definedName>
    <definedName name="ssss_5_2_2" hidden="1">{"Input_Fin",#N/A,FALSE,"By Code";"Input_Opt",#N/A,FALSE,"By Code"}</definedName>
    <definedName name="ssss_5_2_3" hidden="1">{"Input_Fin",#N/A,FALSE,"By Code";"Input_Opt",#N/A,FALSE,"By Code"}</definedName>
    <definedName name="ssss_5_3" hidden="1">{"Input_Fin",#N/A,FALSE,"By Code";"Input_Opt",#N/A,FALSE,"By Code"}</definedName>
    <definedName name="ssss_5_3_1" hidden="1">{"Input_Fin",#N/A,FALSE,"By Code";"Input_Opt",#N/A,FALSE,"By Code"}</definedName>
    <definedName name="ssss_5_3_2" hidden="1">{"Input_Fin",#N/A,FALSE,"By Code";"Input_Opt",#N/A,FALSE,"By Code"}</definedName>
    <definedName name="ssss_5_4" hidden="1">{"Input_Fin",#N/A,FALSE,"By Code";"Input_Opt",#N/A,FALSE,"By Code"}</definedName>
    <definedName name="ssss_5_5" hidden="1">{"Input_Fin",#N/A,FALSE,"By Code";"Input_Opt",#N/A,FALSE,"By Code"}</definedName>
    <definedName name="sssss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001" hidden="1">{"'Sheet4'!$A$1:$L$41"}</definedName>
    <definedName name="sunyi00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003" hidden="1">{"Input_Fin",#N/A,FALSE,"By Code";"Input_Opt",#N/A,FALSE,"By Code"}</definedName>
    <definedName name="sunyi00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02" hidden="1">{"Input_Fin",#N/A,FALSE,"By Code";"Input_Opt",#N/A,FALSE,"By Code"}</definedName>
    <definedName name="sunyi0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0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05" hidden="1">{"'Sheet4'!$A$1:$L$41"}</definedName>
    <definedName name="sunyi0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07" hidden="1">{"Input_Fin",#N/A,FALSE,"By Code";"Input_Opt",#N/A,FALSE,"By Code"}</definedName>
    <definedName name="sunyi08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09" hidden="1">{"'Sheet4'!$A$1:$L$41"}</definedName>
    <definedName name="sunyi1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0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02" hidden="1">{"'Sheet4'!$A$1:$L$41"}</definedName>
    <definedName name="sunyi11" hidden="1">{"Input_Fin",#N/A,FALSE,"By Code";"Input_Opt",#N/A,FALSE,"By Code"}</definedName>
    <definedName name="sunyi11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11" hidden="1">{"'Sheet4'!$A$1:$L$41"}</definedName>
    <definedName name="sunyi1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13" hidden="1">{"Input_Fin",#N/A,FALSE,"By Code";"Input_Opt",#N/A,FALSE,"By Code"}</definedName>
    <definedName name="sunyi11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1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16" hidden="1">{"'Sheet4'!$A$1:$L$41"}</definedName>
    <definedName name="sunyi11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18" hidden="1">{"Input_Fin",#N/A,FALSE,"By Code";"Input_Opt",#N/A,FALSE,"By Code"}</definedName>
    <definedName name="sunyi119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20" hidden="1">{"'Sheet4'!$A$1:$L$41"}</definedName>
    <definedName name="sunyi12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2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2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2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26" hidden="1">{"'Sheet4'!$A$1:$L$41"}</definedName>
    <definedName name="sunyi127" hidden="1">{"'Sheet4'!$A$1:$L$41"}</definedName>
    <definedName name="sunyi12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0" hidden="1">{"Input_Fin",#N/A,FALSE,"By Code";"Input_Opt",#N/A,FALSE,"By Code"}</definedName>
    <definedName name="sunyi13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3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4" hidden="1">{"'Sheet4'!$A$1:$L$41"}</definedName>
    <definedName name="sunyi135" hidden="1">{"'Sheet4'!$A$1:$L$41"}</definedName>
    <definedName name="sunyi13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7" hidden="1">{"Input_Fin",#N/A,FALSE,"By Code";"Input_Opt",#N/A,FALSE,"By Code"}</definedName>
    <definedName name="sunyi138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3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40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41" hidden="1">{"'Sheet4'!$A$1:$L$41"}</definedName>
    <definedName name="sunyi142" hidden="1">{"'Sheet4'!$A$1:$L$41"}</definedName>
    <definedName name="sunyi14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44" hidden="1">{"Input_Fin",#N/A,FALSE,"By Code";"Input_Opt",#N/A,FALSE,"By Code"}</definedName>
    <definedName name="sunyi14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4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4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48" hidden="1">{"'Sheet4'!$A$1:$L$41"}</definedName>
    <definedName name="sunyi15" hidden="1">{"'Sheet4'!$A$1:$L$41"}</definedName>
    <definedName name="sunyi15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51" hidden="1">{"'Sheet4'!$A$1:$L$41"}</definedName>
    <definedName name="sunyi152" hidden="1">{"'Sheet4'!$A$1:$L$41"}</definedName>
    <definedName name="sunyi15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55" hidden="1">{"Input_Fin",#N/A,FALSE,"By Code";"Input_Opt",#N/A,FALSE,"By Code"}</definedName>
    <definedName name="sunyi156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5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58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59" hidden="1">{"'Sheet4'!$A$1:$L$41"}</definedName>
    <definedName name="sunyi16" hidden="1">{"'Sheet4'!$A$1:$L$41"}</definedName>
    <definedName name="sunyi160" hidden="1">{"'Sheet4'!$A$1:$L$41"}</definedName>
    <definedName name="sunyi16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62" hidden="1">{"Input_Fin",#N/A,FALSE,"By Code";"Input_Opt",#N/A,FALSE,"By Code"}</definedName>
    <definedName name="sunyi16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6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6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67" hidden="1">{"'Sheet4'!$A$1:$L$41"}</definedName>
    <definedName name="sunyi1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8" hidden="1">{"Input_Fin",#N/A,FALSE,"By Code";"Input_Opt",#N/A,FALSE,"By Code"}</definedName>
    <definedName name="sunyi19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2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2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22" hidden="1">{"'Sheet4'!$A$1:$L$41"}</definedName>
    <definedName name="sunyi3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5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51" hidden="1">{"'Sheet4'!$A$1:$L$41"}</definedName>
    <definedName name="sunyi5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53" hidden="1">{"Input_Fin",#N/A,FALSE,"By Code";"Input_Opt",#N/A,FALSE,"By Code"}</definedName>
    <definedName name="sunyi5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56" hidden="1">{"'Sheet4'!$A$1:$L$41"}</definedName>
    <definedName name="sunyi5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58" hidden="1">{"Input_Fin",#N/A,FALSE,"By Code";"Input_Opt",#N/A,FALSE,"By Code"}</definedName>
    <definedName name="sunyi59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6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6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62" hidden="1">{"'Sheet4'!$A$1:$L$41"}</definedName>
    <definedName name="sunyi63" hidden="1">{"'Sheet4'!$A$1:$L$41"}</definedName>
    <definedName name="sunyi6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65" hidden="1">{"Input_Fin",#N/A,FALSE,"By Code";"Input_Opt",#N/A,FALSE,"By Code"}</definedName>
    <definedName name="sunyi66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6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68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69" hidden="1">{"'Sheet4'!$A$1:$L$41"}</definedName>
    <definedName name="sunyi70" hidden="1">{"'Sheet4'!$A$1:$L$41"}</definedName>
    <definedName name="sunyi7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73" hidden="1">{"Input_Fin",#N/A,FALSE,"By Code";"Input_Opt",#N/A,FALSE,"By Code"}</definedName>
    <definedName name="sunyi7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7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76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77" hidden="1">{"'Sheet4'!$A$1:$L$41"}</definedName>
    <definedName name="sunyi78" hidden="1">{"'Sheet4'!$A$1:$L$41"}</definedName>
    <definedName name="sunyi7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80" hidden="1">{"Input_Fin",#N/A,FALSE,"By Code";"Input_Opt",#N/A,FALSE,"By Code"}</definedName>
    <definedName name="sunyi8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8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8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84" hidden="1">{"'Sheet4'!$A$1:$L$41"}</definedName>
    <definedName name="sunyi8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86" hidden="1">{"'Sheet4'!$A$1:$L$41"}</definedName>
    <definedName name="sunyi88" hidden="1">{"'Sheet4'!$A$1:$L$41"}</definedName>
    <definedName name="sunyi8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90" hidden="1">{"Input_Fin",#N/A,FALSE,"By Code";"Input_Opt",#N/A,FALSE,"By Code"}</definedName>
    <definedName name="sunyi9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9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9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94" hidden="1">{"'Sheet4'!$A$1:$L$41"}</definedName>
    <definedName name="sunyi95" hidden="1">{"'Sheet4'!$A$1:$L$41"}</definedName>
    <definedName name="sunyi9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97" hidden="1">{"Input_Fin",#N/A,FALSE,"By Code";"Input_Opt",#N/A,FALSE,"By Code"}</definedName>
    <definedName name="sunyi98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9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ta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ta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TextRefCopyRangeCount" hidden="1">8</definedName>
    <definedName name="trhreherth" localSheetId="12" hidden="1">{"Input_Fin",#N/A,FALSE,"By Code";"Input_Opt",#N/A,FALSE,"By Code"}</definedName>
    <definedName name="trhreherth" hidden="1">{"Input_Fin",#N/A,FALSE,"By Code";"Input_Opt",#N/A,FALSE,"By Code"}</definedName>
    <definedName name="trhreherth_1" hidden="1">{"Input_Fin",#N/A,FALSE,"By Code";"Input_Opt",#N/A,FALSE,"By Code"}</definedName>
    <definedName name="trhreherth_1_1" hidden="1">{"Input_Fin",#N/A,FALSE,"By Code";"Input_Opt",#N/A,FALSE,"By Code"}</definedName>
    <definedName name="trhreherth_1_1_1" hidden="1">{"Input_Fin",#N/A,FALSE,"By Code";"Input_Opt",#N/A,FALSE,"By Code"}</definedName>
    <definedName name="trhreherth_1_1_2" hidden="1">{"Input_Fin",#N/A,FALSE,"By Code";"Input_Opt",#N/A,FALSE,"By Code"}</definedName>
    <definedName name="trhreherth_1_1_3" hidden="1">{"Input_Fin",#N/A,FALSE,"By Code";"Input_Opt",#N/A,FALSE,"By Code"}</definedName>
    <definedName name="trhreherth_1_2" hidden="1">{"Input_Fin",#N/A,FALSE,"By Code";"Input_Opt",#N/A,FALSE,"By Code"}</definedName>
    <definedName name="trhreherth_1_2_1" hidden="1">{"Input_Fin",#N/A,FALSE,"By Code";"Input_Opt",#N/A,FALSE,"By Code"}</definedName>
    <definedName name="trhreherth_1_2_2" hidden="1">{"Input_Fin",#N/A,FALSE,"By Code";"Input_Opt",#N/A,FALSE,"By Code"}</definedName>
    <definedName name="trhreherth_1_3" hidden="1">{"Input_Fin",#N/A,FALSE,"By Code";"Input_Opt",#N/A,FALSE,"By Code"}</definedName>
    <definedName name="trhreherth_1_4" hidden="1">{"Input_Fin",#N/A,FALSE,"By Code";"Input_Opt",#N/A,FALSE,"By Code"}</definedName>
    <definedName name="trhreherth_2" hidden="1">{"Input_Fin",#N/A,FALSE,"By Code";"Input_Opt",#N/A,FALSE,"By Code"}</definedName>
    <definedName name="trhreherth_2_1" hidden="1">{"Input_Fin",#N/A,FALSE,"By Code";"Input_Opt",#N/A,FALSE,"By Code"}</definedName>
    <definedName name="trhreherth_2_2" hidden="1">{"Input_Fin",#N/A,FALSE,"By Code";"Input_Opt",#N/A,FALSE,"By Code"}</definedName>
    <definedName name="trhreherth_2_3" hidden="1">{"Input_Fin",#N/A,FALSE,"By Code";"Input_Opt",#N/A,FALSE,"By Code"}</definedName>
    <definedName name="trhreherth_3" hidden="1">{"Input_Fin",#N/A,FALSE,"By Code";"Input_Opt",#N/A,FALSE,"By Code"}</definedName>
    <definedName name="trhreherth_3_1" hidden="1">{"Input_Fin",#N/A,FALSE,"By Code";"Input_Opt",#N/A,FALSE,"By Code"}</definedName>
    <definedName name="trhreherth_3_2" hidden="1">{"Input_Fin",#N/A,FALSE,"By Code";"Input_Opt",#N/A,FALSE,"By Code"}</definedName>
    <definedName name="trhreherth_4" hidden="1">{"Input_Fin",#N/A,FALSE,"By Code";"Input_Opt",#N/A,FALSE,"By Code"}</definedName>
    <definedName name="trhreherth_5" hidden="1">{"Input_Fin",#N/A,FALSE,"By Code";"Input_Opt",#N/A,FALSE,"By Code"}</definedName>
    <definedName name="tyu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Übertragungsbereich">NA()</definedName>
    <definedName name="usd">8.2773</definedName>
    <definedName name="uvmngiy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576688546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alue">3</definedName>
    <definedName name="versionno">1</definedName>
    <definedName name="VIST">NA()</definedName>
    <definedName name="VJ">NA()</definedName>
    <definedName name="VM">NA()</definedName>
    <definedName name="vnkmnv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VJG">NA()</definedName>
    <definedName name="wh" localSheetId="12" hidden="1">{"'Sheet4'!$A$1:$L$41"}</definedName>
    <definedName name="wh" hidden="1">{"'Sheet4'!$A$1:$L$41"}</definedName>
    <definedName name="wh_1" hidden="1">{"'Sheet4'!$A$1:$L$41"}</definedName>
    <definedName name="wh_1_1" hidden="1">{"'Sheet4'!$A$1:$L$41"}</definedName>
    <definedName name="wh_1_1_1" hidden="1">{"'Sheet4'!$A$1:$L$41"}</definedName>
    <definedName name="wh_1_1_1_1" hidden="1">{"'Sheet4'!$A$1:$L$41"}</definedName>
    <definedName name="wh_1_1_1_1_1" hidden="1">{"'Sheet4'!$A$1:$L$41"}</definedName>
    <definedName name="wh_1_1_1_1_2" hidden="1">{"'Sheet4'!$A$1:$L$41"}</definedName>
    <definedName name="wh_1_1_1_1_3" hidden="1">{"'Sheet4'!$A$1:$L$41"}</definedName>
    <definedName name="wh_1_1_1_2" hidden="1">{"'Sheet4'!$A$1:$L$41"}</definedName>
    <definedName name="wh_1_1_1_2_1" hidden="1">{"'Sheet4'!$A$1:$L$41"}</definedName>
    <definedName name="wh_1_1_1_2_2" hidden="1">{"'Sheet4'!$A$1:$L$41"}</definedName>
    <definedName name="wh_1_1_1_3" hidden="1">{"'Sheet4'!$A$1:$L$41"}</definedName>
    <definedName name="wh_1_1_1_3_1" hidden="1">{"'Sheet4'!$A$1:$L$41"}</definedName>
    <definedName name="wh_1_1_1_3_2" hidden="1">{"'Sheet4'!$A$1:$L$41"}</definedName>
    <definedName name="wh_1_1_1_4" hidden="1">{"'Sheet4'!$A$1:$L$41"}</definedName>
    <definedName name="wh_1_1_1_5" hidden="1">{"'Sheet4'!$A$1:$L$41"}</definedName>
    <definedName name="wh_1_1_2" hidden="1">{"'Sheet4'!$A$1:$L$41"}</definedName>
    <definedName name="wh_1_1_2_1" hidden="1">{"'Sheet4'!$A$1:$L$41"}</definedName>
    <definedName name="wh_1_1_2_2" hidden="1">{"'Sheet4'!$A$1:$L$41"}</definedName>
    <definedName name="wh_1_1_2_3" hidden="1">{"'Sheet4'!$A$1:$L$41"}</definedName>
    <definedName name="wh_1_1_3" hidden="1">{"'Sheet4'!$A$1:$L$41"}</definedName>
    <definedName name="wh_1_1_3_1" hidden="1">{"'Sheet4'!$A$1:$L$41"}</definedName>
    <definedName name="wh_1_1_3_2" hidden="1">{"'Sheet4'!$A$1:$L$41"}</definedName>
    <definedName name="wh_1_1_4" hidden="1">{"'Sheet4'!$A$1:$L$41"}</definedName>
    <definedName name="wh_1_1_5" hidden="1">{"'Sheet4'!$A$1:$L$41"}</definedName>
    <definedName name="wh_1_2" hidden="1">{"'Sheet4'!$A$1:$L$41"}</definedName>
    <definedName name="wh_1_2_1" hidden="1">{"'Sheet4'!$A$1:$L$41"}</definedName>
    <definedName name="wh_1_2_2" hidden="1">{"'Sheet4'!$A$1:$L$41"}</definedName>
    <definedName name="wh_1_2_3" hidden="1">{"'Sheet4'!$A$1:$L$41"}</definedName>
    <definedName name="wh_1_3" hidden="1">{"'Sheet4'!$A$1:$L$41"}</definedName>
    <definedName name="wh_1_3_1" hidden="1">{"'Sheet4'!$A$1:$L$41"}</definedName>
    <definedName name="wh_1_3_2" hidden="1">{"'Sheet4'!$A$1:$L$41"}</definedName>
    <definedName name="wh_1_4" hidden="1">{"'Sheet4'!$A$1:$L$41"}</definedName>
    <definedName name="wh_1_5" hidden="1">{"'Sheet4'!$A$1:$L$41"}</definedName>
    <definedName name="wh_2" hidden="1">{"'Sheet4'!$A$1:$L$41"}</definedName>
    <definedName name="wh_2_1" hidden="1">{"'Sheet4'!$A$1:$L$41"}</definedName>
    <definedName name="wh_2_1_1" hidden="1">{"'Sheet4'!$A$1:$L$41"}</definedName>
    <definedName name="wh_2_1_1_1" hidden="1">{"'Sheet4'!$A$1:$L$41"}</definedName>
    <definedName name="wh_2_1_1_2" hidden="1">{"'Sheet4'!$A$1:$L$41"}</definedName>
    <definedName name="wh_2_1_1_3" hidden="1">{"'Sheet4'!$A$1:$L$41"}</definedName>
    <definedName name="wh_2_1_2" hidden="1">{"'Sheet4'!$A$1:$L$41"}</definedName>
    <definedName name="wh_2_1_2_1" hidden="1">{"'Sheet4'!$A$1:$L$41"}</definedName>
    <definedName name="wh_2_1_2_2" hidden="1">{"'Sheet4'!$A$1:$L$41"}</definedName>
    <definedName name="wh_2_1_3" hidden="1">{"'Sheet4'!$A$1:$L$41"}</definedName>
    <definedName name="wh_2_1_4" hidden="1">{"'Sheet4'!$A$1:$L$41"}</definedName>
    <definedName name="wh_2_2" hidden="1">{"'Sheet4'!$A$1:$L$41"}</definedName>
    <definedName name="wh_2_2_1" hidden="1">{"'Sheet4'!$A$1:$L$41"}</definedName>
    <definedName name="wh_2_2_2" hidden="1">{"'Sheet4'!$A$1:$L$41"}</definedName>
    <definedName name="wh_2_2_3" hidden="1">{"'Sheet4'!$A$1:$L$41"}</definedName>
    <definedName name="wh_2_3" hidden="1">{"'Sheet4'!$A$1:$L$41"}</definedName>
    <definedName name="wh_2_3_1" hidden="1">{"'Sheet4'!$A$1:$L$41"}</definedName>
    <definedName name="wh_2_3_2" hidden="1">{"'Sheet4'!$A$1:$L$41"}</definedName>
    <definedName name="wh_2_4" hidden="1">{"'Sheet4'!$A$1:$L$41"}</definedName>
    <definedName name="wh_2_5" hidden="1">{"'Sheet4'!$A$1:$L$41"}</definedName>
    <definedName name="wh_3" hidden="1">{"'Sheet4'!$A$1:$L$41"}</definedName>
    <definedName name="wh_3_1" hidden="1">{"'Sheet4'!$A$1:$L$41"}</definedName>
    <definedName name="wh_3_1_1" hidden="1">{"'Sheet4'!$A$1:$L$41"}</definedName>
    <definedName name="wh_3_1_1_1" hidden="1">{"'Sheet4'!$A$1:$L$41"}</definedName>
    <definedName name="wh_3_1_1_2" hidden="1">{"'Sheet4'!$A$1:$L$41"}</definedName>
    <definedName name="wh_3_1_1_3" hidden="1">{"'Sheet4'!$A$1:$L$41"}</definedName>
    <definedName name="wh_3_1_2" hidden="1">{"'Sheet4'!$A$1:$L$41"}</definedName>
    <definedName name="wh_3_1_2_1" hidden="1">{"'Sheet4'!$A$1:$L$41"}</definedName>
    <definedName name="wh_3_1_2_2" hidden="1">{"'Sheet4'!$A$1:$L$41"}</definedName>
    <definedName name="wh_3_1_3" hidden="1">{"'Sheet4'!$A$1:$L$41"}</definedName>
    <definedName name="wh_3_1_4" hidden="1">{"'Sheet4'!$A$1:$L$41"}</definedName>
    <definedName name="wh_3_2" hidden="1">{"'Sheet4'!$A$1:$L$41"}</definedName>
    <definedName name="wh_3_2_1" hidden="1">{"'Sheet4'!$A$1:$L$41"}</definedName>
    <definedName name="wh_3_2_2" hidden="1">{"'Sheet4'!$A$1:$L$41"}</definedName>
    <definedName name="wh_3_2_3" hidden="1">{"'Sheet4'!$A$1:$L$41"}</definedName>
    <definedName name="wh_3_3" hidden="1">{"'Sheet4'!$A$1:$L$41"}</definedName>
    <definedName name="wh_3_3_1" hidden="1">{"'Sheet4'!$A$1:$L$41"}</definedName>
    <definedName name="wh_3_3_2" hidden="1">{"'Sheet4'!$A$1:$L$41"}</definedName>
    <definedName name="wh_3_4" hidden="1">{"'Sheet4'!$A$1:$L$41"}</definedName>
    <definedName name="wh_3_5" hidden="1">{"'Sheet4'!$A$1:$L$41"}</definedName>
    <definedName name="wh_4" hidden="1">{"'Sheet4'!$A$1:$L$41"}</definedName>
    <definedName name="wh_4_1" hidden="1">{"'Sheet4'!$A$1:$L$41"}</definedName>
    <definedName name="wh_4_1_1" hidden="1">{"'Sheet4'!$A$1:$L$41"}</definedName>
    <definedName name="wh_4_1_1_1" hidden="1">{"'Sheet4'!$A$1:$L$41"}</definedName>
    <definedName name="wh_4_1_1_2" hidden="1">{"'Sheet4'!$A$1:$L$41"}</definedName>
    <definedName name="wh_4_1_1_3" hidden="1">{"'Sheet4'!$A$1:$L$41"}</definedName>
    <definedName name="wh_4_1_2" hidden="1">{"'Sheet4'!$A$1:$L$41"}</definedName>
    <definedName name="wh_4_1_2_1" hidden="1">{"'Sheet4'!$A$1:$L$41"}</definedName>
    <definedName name="wh_4_1_2_2" hidden="1">{"'Sheet4'!$A$1:$L$41"}</definedName>
    <definedName name="wh_4_1_3" hidden="1">{"'Sheet4'!$A$1:$L$41"}</definedName>
    <definedName name="wh_4_1_4" hidden="1">{"'Sheet4'!$A$1:$L$41"}</definedName>
    <definedName name="wh_4_2" hidden="1">{"'Sheet4'!$A$1:$L$41"}</definedName>
    <definedName name="wh_4_2_1" hidden="1">{"'Sheet4'!$A$1:$L$41"}</definedName>
    <definedName name="wh_4_2_2" hidden="1">{"'Sheet4'!$A$1:$L$41"}</definedName>
    <definedName name="wh_4_2_3" hidden="1">{"'Sheet4'!$A$1:$L$41"}</definedName>
    <definedName name="wh_4_3" hidden="1">{"'Sheet4'!$A$1:$L$41"}</definedName>
    <definedName name="wh_4_3_1" hidden="1">{"'Sheet4'!$A$1:$L$41"}</definedName>
    <definedName name="wh_4_3_2" hidden="1">{"'Sheet4'!$A$1:$L$41"}</definedName>
    <definedName name="wh_4_4" hidden="1">{"'Sheet4'!$A$1:$L$41"}</definedName>
    <definedName name="wh_4_5" hidden="1">{"'Sheet4'!$A$1:$L$41"}</definedName>
    <definedName name="wh_5" hidden="1">{"'Sheet4'!$A$1:$L$41"}</definedName>
    <definedName name="wh_5_1" hidden="1">{"'Sheet4'!$A$1:$L$41"}</definedName>
    <definedName name="wh_5_1_1" hidden="1">{"'Sheet4'!$A$1:$L$41"}</definedName>
    <definedName name="wh_5_1_1_1" hidden="1">{"'Sheet4'!$A$1:$L$41"}</definedName>
    <definedName name="wh_5_1_1_2" hidden="1">{"'Sheet4'!$A$1:$L$41"}</definedName>
    <definedName name="wh_5_1_1_3" hidden="1">{"'Sheet4'!$A$1:$L$41"}</definedName>
    <definedName name="wh_5_1_2" hidden="1">{"'Sheet4'!$A$1:$L$41"}</definedName>
    <definedName name="wh_5_1_2_1" hidden="1">{"'Sheet4'!$A$1:$L$41"}</definedName>
    <definedName name="wh_5_1_2_2" hidden="1">{"'Sheet4'!$A$1:$L$41"}</definedName>
    <definedName name="wh_5_1_3" hidden="1">{"'Sheet4'!$A$1:$L$41"}</definedName>
    <definedName name="wh_5_1_4" hidden="1">{"'Sheet4'!$A$1:$L$41"}</definedName>
    <definedName name="wh_5_2" hidden="1">{"'Sheet4'!$A$1:$L$41"}</definedName>
    <definedName name="wh_5_2_1" hidden="1">{"'Sheet4'!$A$1:$L$41"}</definedName>
    <definedName name="wh_5_2_2" hidden="1">{"'Sheet4'!$A$1:$L$41"}</definedName>
    <definedName name="wh_5_2_3" hidden="1">{"'Sheet4'!$A$1:$L$41"}</definedName>
    <definedName name="wh_5_3" hidden="1">{"'Sheet4'!$A$1:$L$41"}</definedName>
    <definedName name="wh_5_3_1" hidden="1">{"'Sheet4'!$A$1:$L$41"}</definedName>
    <definedName name="wh_5_3_2" hidden="1">{"'Sheet4'!$A$1:$L$41"}</definedName>
    <definedName name="wh_5_4" hidden="1">{"'Sheet4'!$A$1:$L$41"}</definedName>
    <definedName name="wh_5_5" hidden="1">{"'Sheet4'!$A$1:$L$41"}</definedName>
    <definedName name="WRN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all.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Financial._.Report.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Input._.Data." localSheetId="12" hidden="1">{"Input_Fin",#N/A,FALSE,"By Code";"Input_Opt",#N/A,FALSE,"By Code"}</definedName>
    <definedName name="wrn.Input._.Data." hidden="1">{"Input_Fin",#N/A,FALSE,"By Code";"Input_Opt",#N/A,FALSE,"By Code"}</definedName>
    <definedName name="wrn.Input._.Data._1" localSheetId="12" hidden="1">{"Input_Fin",#N/A,FALSE,"By Code";"Input_Opt",#N/A,FALSE,"By Code"}</definedName>
    <definedName name="wrn.Input._.Data._1" hidden="1">{"Input_Fin",#N/A,FALSE,"By Code";"Input_Opt",#N/A,FALSE,"By Code"}</definedName>
    <definedName name="wrn.Input._.Data._1_1" hidden="1">{"Input_Fin",#N/A,FALSE,"By Code";"Input_Opt",#N/A,FALSE,"By Code"}</definedName>
    <definedName name="wrn.Input._.Data._1_1_1" hidden="1">{"Input_Fin",#N/A,FALSE,"By Code";"Input_Opt",#N/A,FALSE,"By Code"}</definedName>
    <definedName name="wrn.Input._.Data._1_1_1_1" hidden="1">{"Input_Fin",#N/A,FALSE,"By Code";"Input_Opt",#N/A,FALSE,"By Code"}</definedName>
    <definedName name="wrn.Input._.Data._1_1_1_1_1" hidden="1">{"Input_Fin",#N/A,FALSE,"By Code";"Input_Opt",#N/A,FALSE,"By Code"}</definedName>
    <definedName name="wrn.Input._.Data._1_1_1_1_2" hidden="1">{"Input_Fin",#N/A,FALSE,"By Code";"Input_Opt",#N/A,FALSE,"By Code"}</definedName>
    <definedName name="wrn.Input._.Data._1_1_1_1_3" hidden="1">{"Input_Fin",#N/A,FALSE,"By Code";"Input_Opt",#N/A,FALSE,"By Code"}</definedName>
    <definedName name="wrn.Input._.Data._1_1_1_2" hidden="1">{"Input_Fin",#N/A,FALSE,"By Code";"Input_Opt",#N/A,FALSE,"By Code"}</definedName>
    <definedName name="wrn.Input._.Data._1_1_1_2_1" hidden="1">{"Input_Fin",#N/A,FALSE,"By Code";"Input_Opt",#N/A,FALSE,"By Code"}</definedName>
    <definedName name="wrn.Input._.Data._1_1_1_2_2" hidden="1">{"Input_Fin",#N/A,FALSE,"By Code";"Input_Opt",#N/A,FALSE,"By Code"}</definedName>
    <definedName name="wrn.Input._.Data._1_1_1_3" hidden="1">{"Input_Fin",#N/A,FALSE,"By Code";"Input_Opt",#N/A,FALSE,"By Code"}</definedName>
    <definedName name="wrn.Input._.Data._1_1_1_3_1" hidden="1">{"Input_Fin",#N/A,FALSE,"By Code";"Input_Opt",#N/A,FALSE,"By Code"}</definedName>
    <definedName name="wrn.Input._.Data._1_1_1_3_2" hidden="1">{"Input_Fin",#N/A,FALSE,"By Code";"Input_Opt",#N/A,FALSE,"By Code"}</definedName>
    <definedName name="wrn.Input._.Data._1_1_1_4" hidden="1">{"Input_Fin",#N/A,FALSE,"By Code";"Input_Opt",#N/A,FALSE,"By Code"}</definedName>
    <definedName name="wrn.Input._.Data._1_1_1_5" hidden="1">{"Input_Fin",#N/A,FALSE,"By Code";"Input_Opt",#N/A,FALSE,"By Code"}</definedName>
    <definedName name="wrn.Input._.Data._1_1_2" hidden="1">{"Input_Fin",#N/A,FALSE,"By Code";"Input_Opt",#N/A,FALSE,"By Code"}</definedName>
    <definedName name="wrn.Input._.Data._1_1_2_1" hidden="1">{"Input_Fin",#N/A,FALSE,"By Code";"Input_Opt",#N/A,FALSE,"By Code"}</definedName>
    <definedName name="wrn.Input._.Data._1_1_2_2" hidden="1">{"Input_Fin",#N/A,FALSE,"By Code";"Input_Opt",#N/A,FALSE,"By Code"}</definedName>
    <definedName name="wrn.Input._.Data._1_1_2_3" hidden="1">{"Input_Fin",#N/A,FALSE,"By Code";"Input_Opt",#N/A,FALSE,"By Code"}</definedName>
    <definedName name="wrn.Input._.Data._1_1_3" hidden="1">{"Input_Fin",#N/A,FALSE,"By Code";"Input_Opt",#N/A,FALSE,"By Code"}</definedName>
    <definedName name="wrn.Input._.Data._1_1_3_1" hidden="1">{"Input_Fin",#N/A,FALSE,"By Code";"Input_Opt",#N/A,FALSE,"By Code"}</definedName>
    <definedName name="wrn.Input._.Data._1_1_3_2" hidden="1">{"Input_Fin",#N/A,FALSE,"By Code";"Input_Opt",#N/A,FALSE,"By Code"}</definedName>
    <definedName name="wrn.Input._.Data._1_1_4" hidden="1">{"Input_Fin",#N/A,FALSE,"By Code";"Input_Opt",#N/A,FALSE,"By Code"}</definedName>
    <definedName name="wrn.Input._.Data._1_1_5" hidden="1">{"Input_Fin",#N/A,FALSE,"By Code";"Input_Opt",#N/A,FALSE,"By Code"}</definedName>
    <definedName name="wrn.Input._.Data._1_2" hidden="1">{"Input_Fin",#N/A,FALSE,"By Code";"Input_Opt",#N/A,FALSE,"By Code"}</definedName>
    <definedName name="wrn.Input._.Data._1_2_1" hidden="1">{"Input_Fin",#N/A,FALSE,"By Code";"Input_Opt",#N/A,FALSE,"By Code"}</definedName>
    <definedName name="wrn.Input._.Data._1_2_2" hidden="1">{"Input_Fin",#N/A,FALSE,"By Code";"Input_Opt",#N/A,FALSE,"By Code"}</definedName>
    <definedName name="wrn.Input._.Data._1_2_3" hidden="1">{"Input_Fin",#N/A,FALSE,"By Code";"Input_Opt",#N/A,FALSE,"By Code"}</definedName>
    <definedName name="wrn.Input._.Data._1_3" hidden="1">{"Input_Fin",#N/A,FALSE,"By Code";"Input_Opt",#N/A,FALSE,"By Code"}</definedName>
    <definedName name="wrn.Input._.Data._1_3_1" hidden="1">{"Input_Fin",#N/A,FALSE,"By Code";"Input_Opt",#N/A,FALSE,"By Code"}</definedName>
    <definedName name="wrn.Input._.Data._1_3_2" hidden="1">{"Input_Fin",#N/A,FALSE,"By Code";"Input_Opt",#N/A,FALSE,"By Code"}</definedName>
    <definedName name="wrn.Input._.Data._1_4" hidden="1">{"Input_Fin",#N/A,FALSE,"By Code";"Input_Opt",#N/A,FALSE,"By Code"}</definedName>
    <definedName name="wrn.Input._.Data._1_5" hidden="1">{"Input_Fin",#N/A,FALSE,"By Code";"Input_Opt",#N/A,FALSE,"By Code"}</definedName>
    <definedName name="wrn.Input._.Data._2" hidden="1">{"Input_Fin",#N/A,FALSE,"By Code";"Input_Opt",#N/A,FALSE,"By Code"}</definedName>
    <definedName name="wrn.Input._.Data._2_1" hidden="1">{"Input_Fin",#N/A,FALSE,"By Code";"Input_Opt",#N/A,FALSE,"By Code"}</definedName>
    <definedName name="wrn.Input._.Data._2_1_1" hidden="1">{"Input_Fin",#N/A,FALSE,"By Code";"Input_Opt",#N/A,FALSE,"By Code"}</definedName>
    <definedName name="wrn.Input._.Data._2_1_1_1" hidden="1">{"Input_Fin",#N/A,FALSE,"By Code";"Input_Opt",#N/A,FALSE,"By Code"}</definedName>
    <definedName name="wrn.Input._.Data._2_1_1_2" hidden="1">{"Input_Fin",#N/A,FALSE,"By Code";"Input_Opt",#N/A,FALSE,"By Code"}</definedName>
    <definedName name="wrn.Input._.Data._2_1_1_3" hidden="1">{"Input_Fin",#N/A,FALSE,"By Code";"Input_Opt",#N/A,FALSE,"By Code"}</definedName>
    <definedName name="wrn.Input._.Data._2_1_2" hidden="1">{"Input_Fin",#N/A,FALSE,"By Code";"Input_Opt",#N/A,FALSE,"By Code"}</definedName>
    <definedName name="wrn.Input._.Data._2_1_2_1" hidden="1">{"Input_Fin",#N/A,FALSE,"By Code";"Input_Opt",#N/A,FALSE,"By Code"}</definedName>
    <definedName name="wrn.Input._.Data._2_1_2_2" hidden="1">{"Input_Fin",#N/A,FALSE,"By Code";"Input_Opt",#N/A,FALSE,"By Code"}</definedName>
    <definedName name="wrn.Input._.Data._2_1_3" hidden="1">{"Input_Fin",#N/A,FALSE,"By Code";"Input_Opt",#N/A,FALSE,"By Code"}</definedName>
    <definedName name="wrn.Input._.Data._2_1_4" hidden="1">{"Input_Fin",#N/A,FALSE,"By Code";"Input_Opt",#N/A,FALSE,"By Code"}</definedName>
    <definedName name="wrn.Input._.Data._2_2" hidden="1">{"Input_Fin",#N/A,FALSE,"By Code";"Input_Opt",#N/A,FALSE,"By Code"}</definedName>
    <definedName name="wrn.Input._.Data._2_2_1" hidden="1">{"Input_Fin",#N/A,FALSE,"By Code";"Input_Opt",#N/A,FALSE,"By Code"}</definedName>
    <definedName name="wrn.Input._.Data._2_2_2" hidden="1">{"Input_Fin",#N/A,FALSE,"By Code";"Input_Opt",#N/A,FALSE,"By Code"}</definedName>
    <definedName name="wrn.Input._.Data._2_2_3" hidden="1">{"Input_Fin",#N/A,FALSE,"By Code";"Input_Opt",#N/A,FALSE,"By Code"}</definedName>
    <definedName name="wrn.Input._.Data._2_3" hidden="1">{"Input_Fin",#N/A,FALSE,"By Code";"Input_Opt",#N/A,FALSE,"By Code"}</definedName>
    <definedName name="wrn.Input._.Data._2_3_1" hidden="1">{"Input_Fin",#N/A,FALSE,"By Code";"Input_Opt",#N/A,FALSE,"By Code"}</definedName>
    <definedName name="wrn.Input._.Data._2_3_2" hidden="1">{"Input_Fin",#N/A,FALSE,"By Code";"Input_Opt",#N/A,FALSE,"By Code"}</definedName>
    <definedName name="wrn.Input._.Data._2_4" hidden="1">{"Input_Fin",#N/A,FALSE,"By Code";"Input_Opt",#N/A,FALSE,"By Code"}</definedName>
    <definedName name="wrn.Input._.Data._2_5" hidden="1">{"Input_Fin",#N/A,FALSE,"By Code";"Input_Opt",#N/A,FALSE,"By Code"}</definedName>
    <definedName name="wrn.Input._.Data._3" hidden="1">{"Input_Fin",#N/A,FALSE,"By Code";"Input_Opt",#N/A,FALSE,"By Code"}</definedName>
    <definedName name="wrn.Input._.Data._3_1" hidden="1">{"Input_Fin",#N/A,FALSE,"By Code";"Input_Opt",#N/A,FALSE,"By Code"}</definedName>
    <definedName name="wrn.Input._.Data._3_1_1" hidden="1">{"Input_Fin",#N/A,FALSE,"By Code";"Input_Opt",#N/A,FALSE,"By Code"}</definedName>
    <definedName name="wrn.Input._.Data._3_1_1_1" hidden="1">{"Input_Fin",#N/A,FALSE,"By Code";"Input_Opt",#N/A,FALSE,"By Code"}</definedName>
    <definedName name="wrn.Input._.Data._3_1_1_2" hidden="1">{"Input_Fin",#N/A,FALSE,"By Code";"Input_Opt",#N/A,FALSE,"By Code"}</definedName>
    <definedName name="wrn.Input._.Data._3_1_1_3" hidden="1">{"Input_Fin",#N/A,FALSE,"By Code";"Input_Opt",#N/A,FALSE,"By Code"}</definedName>
    <definedName name="wrn.Input._.Data._3_1_2" hidden="1">{"Input_Fin",#N/A,FALSE,"By Code";"Input_Opt",#N/A,FALSE,"By Code"}</definedName>
    <definedName name="wrn.Input._.Data._3_1_2_1" hidden="1">{"Input_Fin",#N/A,FALSE,"By Code";"Input_Opt",#N/A,FALSE,"By Code"}</definedName>
    <definedName name="wrn.Input._.Data._3_1_2_2" hidden="1">{"Input_Fin",#N/A,FALSE,"By Code";"Input_Opt",#N/A,FALSE,"By Code"}</definedName>
    <definedName name="wrn.Input._.Data._3_1_3" hidden="1">{"Input_Fin",#N/A,FALSE,"By Code";"Input_Opt",#N/A,FALSE,"By Code"}</definedName>
    <definedName name="wrn.Input._.Data._3_1_4" hidden="1">{"Input_Fin",#N/A,FALSE,"By Code";"Input_Opt",#N/A,FALSE,"By Code"}</definedName>
    <definedName name="wrn.Input._.Data._3_2" hidden="1">{"Input_Fin",#N/A,FALSE,"By Code";"Input_Opt",#N/A,FALSE,"By Code"}</definedName>
    <definedName name="wrn.Input._.Data._3_2_1" hidden="1">{"Input_Fin",#N/A,FALSE,"By Code";"Input_Opt",#N/A,FALSE,"By Code"}</definedName>
    <definedName name="wrn.Input._.Data._3_2_2" hidden="1">{"Input_Fin",#N/A,FALSE,"By Code";"Input_Opt",#N/A,FALSE,"By Code"}</definedName>
    <definedName name="wrn.Input._.Data._3_2_3" hidden="1">{"Input_Fin",#N/A,FALSE,"By Code";"Input_Opt",#N/A,FALSE,"By Code"}</definedName>
    <definedName name="wrn.Input._.Data._3_3" hidden="1">{"Input_Fin",#N/A,FALSE,"By Code";"Input_Opt",#N/A,FALSE,"By Code"}</definedName>
    <definedName name="wrn.Input._.Data._3_3_1" hidden="1">{"Input_Fin",#N/A,FALSE,"By Code";"Input_Opt",#N/A,FALSE,"By Code"}</definedName>
    <definedName name="wrn.Input._.Data._3_3_2" hidden="1">{"Input_Fin",#N/A,FALSE,"By Code";"Input_Opt",#N/A,FALSE,"By Code"}</definedName>
    <definedName name="wrn.Input._.Data._3_4" hidden="1">{"Input_Fin",#N/A,FALSE,"By Code";"Input_Opt",#N/A,FALSE,"By Code"}</definedName>
    <definedName name="wrn.Input._.Data._3_5" hidden="1">{"Input_Fin",#N/A,FALSE,"By Code";"Input_Opt",#N/A,FALSE,"By Code"}</definedName>
    <definedName name="wrn.Input._.Data._4" hidden="1">{"Input_Fin",#N/A,FALSE,"By Code";"Input_Opt",#N/A,FALSE,"By Code"}</definedName>
    <definedName name="wrn.Input._.Data._4_1" hidden="1">{"Input_Fin",#N/A,FALSE,"By Code";"Input_Opt",#N/A,FALSE,"By Code"}</definedName>
    <definedName name="wrn.Input._.Data._4_1_1" hidden="1">{"Input_Fin",#N/A,FALSE,"By Code";"Input_Opt",#N/A,FALSE,"By Code"}</definedName>
    <definedName name="wrn.Input._.Data._4_1_1_1" hidden="1">{"Input_Fin",#N/A,FALSE,"By Code";"Input_Opt",#N/A,FALSE,"By Code"}</definedName>
    <definedName name="wrn.Input._.Data._4_1_1_2" hidden="1">{"Input_Fin",#N/A,FALSE,"By Code";"Input_Opt",#N/A,FALSE,"By Code"}</definedName>
    <definedName name="wrn.Input._.Data._4_1_1_3" hidden="1">{"Input_Fin",#N/A,FALSE,"By Code";"Input_Opt",#N/A,FALSE,"By Code"}</definedName>
    <definedName name="wrn.Input._.Data._4_1_2" hidden="1">{"Input_Fin",#N/A,FALSE,"By Code";"Input_Opt",#N/A,FALSE,"By Code"}</definedName>
    <definedName name="wrn.Input._.Data._4_1_2_1" hidden="1">{"Input_Fin",#N/A,FALSE,"By Code";"Input_Opt",#N/A,FALSE,"By Code"}</definedName>
    <definedName name="wrn.Input._.Data._4_1_2_2" hidden="1">{"Input_Fin",#N/A,FALSE,"By Code";"Input_Opt",#N/A,FALSE,"By Code"}</definedName>
    <definedName name="wrn.Input._.Data._4_1_3" hidden="1">{"Input_Fin",#N/A,FALSE,"By Code";"Input_Opt",#N/A,FALSE,"By Code"}</definedName>
    <definedName name="wrn.Input._.Data._4_1_4" hidden="1">{"Input_Fin",#N/A,FALSE,"By Code";"Input_Opt",#N/A,FALSE,"By Code"}</definedName>
    <definedName name="wrn.Input._.Data._4_2" hidden="1">{"Input_Fin",#N/A,FALSE,"By Code";"Input_Opt",#N/A,FALSE,"By Code"}</definedName>
    <definedName name="wrn.Input._.Data._4_2_1" hidden="1">{"Input_Fin",#N/A,FALSE,"By Code";"Input_Opt",#N/A,FALSE,"By Code"}</definedName>
    <definedName name="wrn.Input._.Data._4_2_2" hidden="1">{"Input_Fin",#N/A,FALSE,"By Code";"Input_Opt",#N/A,FALSE,"By Code"}</definedName>
    <definedName name="wrn.Input._.Data._4_2_3" hidden="1">{"Input_Fin",#N/A,FALSE,"By Code";"Input_Opt",#N/A,FALSE,"By Code"}</definedName>
    <definedName name="wrn.Input._.Data._4_3" hidden="1">{"Input_Fin",#N/A,FALSE,"By Code";"Input_Opt",#N/A,FALSE,"By Code"}</definedName>
    <definedName name="wrn.Input._.Data._4_3_1" hidden="1">{"Input_Fin",#N/A,FALSE,"By Code";"Input_Opt",#N/A,FALSE,"By Code"}</definedName>
    <definedName name="wrn.Input._.Data._4_3_2" hidden="1">{"Input_Fin",#N/A,FALSE,"By Code";"Input_Opt",#N/A,FALSE,"By Code"}</definedName>
    <definedName name="wrn.Input._.Data._4_4" hidden="1">{"Input_Fin",#N/A,FALSE,"By Code";"Input_Opt",#N/A,FALSE,"By Code"}</definedName>
    <definedName name="wrn.Input._.Data._4_5" hidden="1">{"Input_Fin",#N/A,FALSE,"By Code";"Input_Opt",#N/A,FALSE,"By Code"}</definedName>
    <definedName name="wrn.Input._.Data._5" hidden="1">{"Input_Fin",#N/A,FALSE,"By Code";"Input_Opt",#N/A,FALSE,"By Code"}</definedName>
    <definedName name="wrn.Input._.Data._5_1" hidden="1">{"Input_Fin",#N/A,FALSE,"By Code";"Input_Opt",#N/A,FALSE,"By Code"}</definedName>
    <definedName name="wrn.Input._.Data._5_1_1" hidden="1">{"Input_Fin",#N/A,FALSE,"By Code";"Input_Opt",#N/A,FALSE,"By Code"}</definedName>
    <definedName name="wrn.Input._.Data._5_1_1_1" hidden="1">{"Input_Fin",#N/A,FALSE,"By Code";"Input_Opt",#N/A,FALSE,"By Code"}</definedName>
    <definedName name="wrn.Input._.Data._5_1_1_2" hidden="1">{"Input_Fin",#N/A,FALSE,"By Code";"Input_Opt",#N/A,FALSE,"By Code"}</definedName>
    <definedName name="wrn.Input._.Data._5_1_1_3" hidden="1">{"Input_Fin",#N/A,FALSE,"By Code";"Input_Opt",#N/A,FALSE,"By Code"}</definedName>
    <definedName name="wrn.Input._.Data._5_1_2" hidden="1">{"Input_Fin",#N/A,FALSE,"By Code";"Input_Opt",#N/A,FALSE,"By Code"}</definedName>
    <definedName name="wrn.Input._.Data._5_1_2_1" hidden="1">{"Input_Fin",#N/A,FALSE,"By Code";"Input_Opt",#N/A,FALSE,"By Code"}</definedName>
    <definedName name="wrn.Input._.Data._5_1_2_2" hidden="1">{"Input_Fin",#N/A,FALSE,"By Code";"Input_Opt",#N/A,FALSE,"By Code"}</definedName>
    <definedName name="wrn.Input._.Data._5_1_3" hidden="1">{"Input_Fin",#N/A,FALSE,"By Code";"Input_Opt",#N/A,FALSE,"By Code"}</definedName>
    <definedName name="wrn.Input._.Data._5_1_4" hidden="1">{"Input_Fin",#N/A,FALSE,"By Code";"Input_Opt",#N/A,FALSE,"By Code"}</definedName>
    <definedName name="wrn.Input._.Data._5_2" hidden="1">{"Input_Fin",#N/A,FALSE,"By Code";"Input_Opt",#N/A,FALSE,"By Code"}</definedName>
    <definedName name="wrn.Input._.Data._5_2_1" hidden="1">{"Input_Fin",#N/A,FALSE,"By Code";"Input_Opt",#N/A,FALSE,"By Code"}</definedName>
    <definedName name="wrn.Input._.Data._5_2_2" hidden="1">{"Input_Fin",#N/A,FALSE,"By Code";"Input_Opt",#N/A,FALSE,"By Code"}</definedName>
    <definedName name="wrn.Input._.Data._5_2_3" hidden="1">{"Input_Fin",#N/A,FALSE,"By Code";"Input_Opt",#N/A,FALSE,"By Code"}</definedName>
    <definedName name="wrn.Input._.Data._5_3" hidden="1">{"Input_Fin",#N/A,FALSE,"By Code";"Input_Opt",#N/A,FALSE,"By Code"}</definedName>
    <definedName name="wrn.Input._.Data._5_3_1" hidden="1">{"Input_Fin",#N/A,FALSE,"By Code";"Input_Opt",#N/A,FALSE,"By Code"}</definedName>
    <definedName name="wrn.Input._.Data._5_3_2" hidden="1">{"Input_Fin",#N/A,FALSE,"By Code";"Input_Opt",#N/A,FALSE,"By Code"}</definedName>
    <definedName name="wrn.Input._.Data._5_4" hidden="1">{"Input_Fin",#N/A,FALSE,"By Code";"Input_Opt",#N/A,FALSE,"By Code"}</definedName>
    <definedName name="wrn.Input._.Data._5_5" hidden="1">{"Input_Fin",#N/A,FALSE,"By Code";"Input_Opt",#N/A,FALSE,"By Code"}</definedName>
    <definedName name="wrn.Operation._.Report.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report.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report.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wwwq" localSheetId="12" hidden="1">{"Input_Fin",#N/A,FALSE,"By Code";"Input_Opt",#N/A,FALSE,"By Code"}</definedName>
    <definedName name="wwwwq" hidden="1">{"Input_Fin",#N/A,FALSE,"By Code";"Input_Opt",#N/A,FALSE,"By Code"}</definedName>
    <definedName name="wwwwq_1" hidden="1">{"Input_Fin",#N/A,FALSE,"By Code";"Input_Opt",#N/A,FALSE,"By Code"}</definedName>
    <definedName name="wwwwq_1_1" hidden="1">{"Input_Fin",#N/A,FALSE,"By Code";"Input_Opt",#N/A,FALSE,"By Code"}</definedName>
    <definedName name="wwwwq_1_1_1" hidden="1">{"Input_Fin",#N/A,FALSE,"By Code";"Input_Opt",#N/A,FALSE,"By Code"}</definedName>
    <definedName name="wwwwq_1_1_1_1" hidden="1">{"Input_Fin",#N/A,FALSE,"By Code";"Input_Opt",#N/A,FALSE,"By Code"}</definedName>
    <definedName name="wwwwq_1_1_1_1_1" hidden="1">{"Input_Fin",#N/A,FALSE,"By Code";"Input_Opt",#N/A,FALSE,"By Code"}</definedName>
    <definedName name="wwwwq_1_1_1_1_2" hidden="1">{"Input_Fin",#N/A,FALSE,"By Code";"Input_Opt",#N/A,FALSE,"By Code"}</definedName>
    <definedName name="wwwwq_1_1_1_1_3" hidden="1">{"Input_Fin",#N/A,FALSE,"By Code";"Input_Opt",#N/A,FALSE,"By Code"}</definedName>
    <definedName name="wwwwq_1_1_1_2" hidden="1">{"Input_Fin",#N/A,FALSE,"By Code";"Input_Opt",#N/A,FALSE,"By Code"}</definedName>
    <definedName name="wwwwq_1_1_1_2_1" hidden="1">{"Input_Fin",#N/A,FALSE,"By Code";"Input_Opt",#N/A,FALSE,"By Code"}</definedName>
    <definedName name="wwwwq_1_1_1_2_2" hidden="1">{"Input_Fin",#N/A,FALSE,"By Code";"Input_Opt",#N/A,FALSE,"By Code"}</definedName>
    <definedName name="wwwwq_1_1_1_3" hidden="1">{"Input_Fin",#N/A,FALSE,"By Code";"Input_Opt",#N/A,FALSE,"By Code"}</definedName>
    <definedName name="wwwwq_1_1_1_3_1" hidden="1">{"Input_Fin",#N/A,FALSE,"By Code";"Input_Opt",#N/A,FALSE,"By Code"}</definedName>
    <definedName name="wwwwq_1_1_1_3_2" hidden="1">{"Input_Fin",#N/A,FALSE,"By Code";"Input_Opt",#N/A,FALSE,"By Code"}</definedName>
    <definedName name="wwwwq_1_1_1_4" hidden="1">{"Input_Fin",#N/A,FALSE,"By Code";"Input_Opt",#N/A,FALSE,"By Code"}</definedName>
    <definedName name="wwwwq_1_1_1_5" hidden="1">{"Input_Fin",#N/A,FALSE,"By Code";"Input_Opt",#N/A,FALSE,"By Code"}</definedName>
    <definedName name="wwwwq_1_1_2" hidden="1">{"Input_Fin",#N/A,FALSE,"By Code";"Input_Opt",#N/A,FALSE,"By Code"}</definedName>
    <definedName name="wwwwq_1_1_2_1" hidden="1">{"Input_Fin",#N/A,FALSE,"By Code";"Input_Opt",#N/A,FALSE,"By Code"}</definedName>
    <definedName name="wwwwq_1_1_2_2" hidden="1">{"Input_Fin",#N/A,FALSE,"By Code";"Input_Opt",#N/A,FALSE,"By Code"}</definedName>
    <definedName name="wwwwq_1_1_2_3" hidden="1">{"Input_Fin",#N/A,FALSE,"By Code";"Input_Opt",#N/A,FALSE,"By Code"}</definedName>
    <definedName name="wwwwq_1_1_3" hidden="1">{"Input_Fin",#N/A,FALSE,"By Code";"Input_Opt",#N/A,FALSE,"By Code"}</definedName>
    <definedName name="wwwwq_1_1_3_1" hidden="1">{"Input_Fin",#N/A,FALSE,"By Code";"Input_Opt",#N/A,FALSE,"By Code"}</definedName>
    <definedName name="wwwwq_1_1_3_2" hidden="1">{"Input_Fin",#N/A,FALSE,"By Code";"Input_Opt",#N/A,FALSE,"By Code"}</definedName>
    <definedName name="wwwwq_1_1_4" hidden="1">{"Input_Fin",#N/A,FALSE,"By Code";"Input_Opt",#N/A,FALSE,"By Code"}</definedName>
    <definedName name="wwwwq_1_1_5" hidden="1">{"Input_Fin",#N/A,FALSE,"By Code";"Input_Opt",#N/A,FALSE,"By Code"}</definedName>
    <definedName name="wwwwq_1_2" hidden="1">{"Input_Fin",#N/A,FALSE,"By Code";"Input_Opt",#N/A,FALSE,"By Code"}</definedName>
    <definedName name="wwwwq_1_2_1" hidden="1">{"Input_Fin",#N/A,FALSE,"By Code";"Input_Opt",#N/A,FALSE,"By Code"}</definedName>
    <definedName name="wwwwq_1_2_2" hidden="1">{"Input_Fin",#N/A,FALSE,"By Code";"Input_Opt",#N/A,FALSE,"By Code"}</definedName>
    <definedName name="wwwwq_1_2_3" hidden="1">{"Input_Fin",#N/A,FALSE,"By Code";"Input_Opt",#N/A,FALSE,"By Code"}</definedName>
    <definedName name="wwwwq_1_3" hidden="1">{"Input_Fin",#N/A,FALSE,"By Code";"Input_Opt",#N/A,FALSE,"By Code"}</definedName>
    <definedName name="wwwwq_1_3_1" hidden="1">{"Input_Fin",#N/A,FALSE,"By Code";"Input_Opt",#N/A,FALSE,"By Code"}</definedName>
    <definedName name="wwwwq_1_3_2" hidden="1">{"Input_Fin",#N/A,FALSE,"By Code";"Input_Opt",#N/A,FALSE,"By Code"}</definedName>
    <definedName name="wwwwq_1_4" hidden="1">{"Input_Fin",#N/A,FALSE,"By Code";"Input_Opt",#N/A,FALSE,"By Code"}</definedName>
    <definedName name="wwwwq_1_5" hidden="1">{"Input_Fin",#N/A,FALSE,"By Code";"Input_Opt",#N/A,FALSE,"By Code"}</definedName>
    <definedName name="wwwwq_2" hidden="1">{"Input_Fin",#N/A,FALSE,"By Code";"Input_Opt",#N/A,FALSE,"By Code"}</definedName>
    <definedName name="wwwwq_2_1" hidden="1">{"Input_Fin",#N/A,FALSE,"By Code";"Input_Opt",#N/A,FALSE,"By Code"}</definedName>
    <definedName name="wwwwq_2_1_1" hidden="1">{"Input_Fin",#N/A,FALSE,"By Code";"Input_Opt",#N/A,FALSE,"By Code"}</definedName>
    <definedName name="wwwwq_2_1_1_1" hidden="1">{"Input_Fin",#N/A,FALSE,"By Code";"Input_Opt",#N/A,FALSE,"By Code"}</definedName>
    <definedName name="wwwwq_2_1_1_2" hidden="1">{"Input_Fin",#N/A,FALSE,"By Code";"Input_Opt",#N/A,FALSE,"By Code"}</definedName>
    <definedName name="wwwwq_2_1_1_3" hidden="1">{"Input_Fin",#N/A,FALSE,"By Code";"Input_Opt",#N/A,FALSE,"By Code"}</definedName>
    <definedName name="wwwwq_2_1_2" hidden="1">{"Input_Fin",#N/A,FALSE,"By Code";"Input_Opt",#N/A,FALSE,"By Code"}</definedName>
    <definedName name="wwwwq_2_1_2_1" hidden="1">{"Input_Fin",#N/A,FALSE,"By Code";"Input_Opt",#N/A,FALSE,"By Code"}</definedName>
    <definedName name="wwwwq_2_1_2_2" hidden="1">{"Input_Fin",#N/A,FALSE,"By Code";"Input_Opt",#N/A,FALSE,"By Code"}</definedName>
    <definedName name="wwwwq_2_1_3" hidden="1">{"Input_Fin",#N/A,FALSE,"By Code";"Input_Opt",#N/A,FALSE,"By Code"}</definedName>
    <definedName name="wwwwq_2_1_4" hidden="1">{"Input_Fin",#N/A,FALSE,"By Code";"Input_Opt",#N/A,FALSE,"By Code"}</definedName>
    <definedName name="wwwwq_2_2" hidden="1">{"Input_Fin",#N/A,FALSE,"By Code";"Input_Opt",#N/A,FALSE,"By Code"}</definedName>
    <definedName name="wwwwq_2_2_1" hidden="1">{"Input_Fin",#N/A,FALSE,"By Code";"Input_Opt",#N/A,FALSE,"By Code"}</definedName>
    <definedName name="wwwwq_2_2_2" hidden="1">{"Input_Fin",#N/A,FALSE,"By Code";"Input_Opt",#N/A,FALSE,"By Code"}</definedName>
    <definedName name="wwwwq_2_2_3" hidden="1">{"Input_Fin",#N/A,FALSE,"By Code";"Input_Opt",#N/A,FALSE,"By Code"}</definedName>
    <definedName name="wwwwq_2_3" hidden="1">{"Input_Fin",#N/A,FALSE,"By Code";"Input_Opt",#N/A,FALSE,"By Code"}</definedName>
    <definedName name="wwwwq_2_3_1" hidden="1">{"Input_Fin",#N/A,FALSE,"By Code";"Input_Opt",#N/A,FALSE,"By Code"}</definedName>
    <definedName name="wwwwq_2_3_2" hidden="1">{"Input_Fin",#N/A,FALSE,"By Code";"Input_Opt",#N/A,FALSE,"By Code"}</definedName>
    <definedName name="wwwwq_2_4" hidden="1">{"Input_Fin",#N/A,FALSE,"By Code";"Input_Opt",#N/A,FALSE,"By Code"}</definedName>
    <definedName name="wwwwq_2_5" hidden="1">{"Input_Fin",#N/A,FALSE,"By Code";"Input_Opt",#N/A,FALSE,"By Code"}</definedName>
    <definedName name="wwwwq_3" hidden="1">{"Input_Fin",#N/A,FALSE,"By Code";"Input_Opt",#N/A,FALSE,"By Code"}</definedName>
    <definedName name="wwwwq_3_1" hidden="1">{"Input_Fin",#N/A,FALSE,"By Code";"Input_Opt",#N/A,FALSE,"By Code"}</definedName>
    <definedName name="wwwwq_3_1_1" hidden="1">{"Input_Fin",#N/A,FALSE,"By Code";"Input_Opt",#N/A,FALSE,"By Code"}</definedName>
    <definedName name="wwwwq_3_1_1_1" hidden="1">{"Input_Fin",#N/A,FALSE,"By Code";"Input_Opt",#N/A,FALSE,"By Code"}</definedName>
    <definedName name="wwwwq_3_1_1_2" hidden="1">{"Input_Fin",#N/A,FALSE,"By Code";"Input_Opt",#N/A,FALSE,"By Code"}</definedName>
    <definedName name="wwwwq_3_1_1_3" hidden="1">{"Input_Fin",#N/A,FALSE,"By Code";"Input_Opt",#N/A,FALSE,"By Code"}</definedName>
    <definedName name="wwwwq_3_1_2" hidden="1">{"Input_Fin",#N/A,FALSE,"By Code";"Input_Opt",#N/A,FALSE,"By Code"}</definedName>
    <definedName name="wwwwq_3_1_2_1" hidden="1">{"Input_Fin",#N/A,FALSE,"By Code";"Input_Opt",#N/A,FALSE,"By Code"}</definedName>
    <definedName name="wwwwq_3_1_2_2" hidden="1">{"Input_Fin",#N/A,FALSE,"By Code";"Input_Opt",#N/A,FALSE,"By Code"}</definedName>
    <definedName name="wwwwq_3_1_3" hidden="1">{"Input_Fin",#N/A,FALSE,"By Code";"Input_Opt",#N/A,FALSE,"By Code"}</definedName>
    <definedName name="wwwwq_3_1_4" hidden="1">{"Input_Fin",#N/A,FALSE,"By Code";"Input_Opt",#N/A,FALSE,"By Code"}</definedName>
    <definedName name="wwwwq_3_2" hidden="1">{"Input_Fin",#N/A,FALSE,"By Code";"Input_Opt",#N/A,FALSE,"By Code"}</definedName>
    <definedName name="wwwwq_3_2_1" hidden="1">{"Input_Fin",#N/A,FALSE,"By Code";"Input_Opt",#N/A,FALSE,"By Code"}</definedName>
    <definedName name="wwwwq_3_2_2" hidden="1">{"Input_Fin",#N/A,FALSE,"By Code";"Input_Opt",#N/A,FALSE,"By Code"}</definedName>
    <definedName name="wwwwq_3_2_3" hidden="1">{"Input_Fin",#N/A,FALSE,"By Code";"Input_Opt",#N/A,FALSE,"By Code"}</definedName>
    <definedName name="wwwwq_3_3" hidden="1">{"Input_Fin",#N/A,FALSE,"By Code";"Input_Opt",#N/A,FALSE,"By Code"}</definedName>
    <definedName name="wwwwq_3_3_1" hidden="1">{"Input_Fin",#N/A,FALSE,"By Code";"Input_Opt",#N/A,FALSE,"By Code"}</definedName>
    <definedName name="wwwwq_3_3_2" hidden="1">{"Input_Fin",#N/A,FALSE,"By Code";"Input_Opt",#N/A,FALSE,"By Code"}</definedName>
    <definedName name="wwwwq_3_4" hidden="1">{"Input_Fin",#N/A,FALSE,"By Code";"Input_Opt",#N/A,FALSE,"By Code"}</definedName>
    <definedName name="wwwwq_3_5" hidden="1">{"Input_Fin",#N/A,FALSE,"By Code";"Input_Opt",#N/A,FALSE,"By Code"}</definedName>
    <definedName name="wwwwq_4" hidden="1">{"Input_Fin",#N/A,FALSE,"By Code";"Input_Opt",#N/A,FALSE,"By Code"}</definedName>
    <definedName name="wwwwq_4_1" hidden="1">{"Input_Fin",#N/A,FALSE,"By Code";"Input_Opt",#N/A,FALSE,"By Code"}</definedName>
    <definedName name="wwwwq_4_1_1" hidden="1">{"Input_Fin",#N/A,FALSE,"By Code";"Input_Opt",#N/A,FALSE,"By Code"}</definedName>
    <definedName name="wwwwq_4_1_1_1" hidden="1">{"Input_Fin",#N/A,FALSE,"By Code";"Input_Opt",#N/A,FALSE,"By Code"}</definedName>
    <definedName name="wwwwq_4_1_1_2" hidden="1">{"Input_Fin",#N/A,FALSE,"By Code";"Input_Opt",#N/A,FALSE,"By Code"}</definedName>
    <definedName name="wwwwq_4_1_1_3" hidden="1">{"Input_Fin",#N/A,FALSE,"By Code";"Input_Opt",#N/A,FALSE,"By Code"}</definedName>
    <definedName name="wwwwq_4_1_2" hidden="1">{"Input_Fin",#N/A,FALSE,"By Code";"Input_Opt",#N/A,FALSE,"By Code"}</definedName>
    <definedName name="wwwwq_4_1_2_1" hidden="1">{"Input_Fin",#N/A,FALSE,"By Code";"Input_Opt",#N/A,FALSE,"By Code"}</definedName>
    <definedName name="wwwwq_4_1_2_2" hidden="1">{"Input_Fin",#N/A,FALSE,"By Code";"Input_Opt",#N/A,FALSE,"By Code"}</definedName>
    <definedName name="wwwwq_4_1_3" hidden="1">{"Input_Fin",#N/A,FALSE,"By Code";"Input_Opt",#N/A,FALSE,"By Code"}</definedName>
    <definedName name="wwwwq_4_1_4" hidden="1">{"Input_Fin",#N/A,FALSE,"By Code";"Input_Opt",#N/A,FALSE,"By Code"}</definedName>
    <definedName name="wwwwq_4_2" hidden="1">{"Input_Fin",#N/A,FALSE,"By Code";"Input_Opt",#N/A,FALSE,"By Code"}</definedName>
    <definedName name="wwwwq_4_2_1" hidden="1">{"Input_Fin",#N/A,FALSE,"By Code";"Input_Opt",#N/A,FALSE,"By Code"}</definedName>
    <definedName name="wwwwq_4_2_2" hidden="1">{"Input_Fin",#N/A,FALSE,"By Code";"Input_Opt",#N/A,FALSE,"By Code"}</definedName>
    <definedName name="wwwwq_4_2_3" hidden="1">{"Input_Fin",#N/A,FALSE,"By Code";"Input_Opt",#N/A,FALSE,"By Code"}</definedName>
    <definedName name="wwwwq_4_3" hidden="1">{"Input_Fin",#N/A,FALSE,"By Code";"Input_Opt",#N/A,FALSE,"By Code"}</definedName>
    <definedName name="wwwwq_4_3_1" hidden="1">{"Input_Fin",#N/A,FALSE,"By Code";"Input_Opt",#N/A,FALSE,"By Code"}</definedName>
    <definedName name="wwwwq_4_3_2" hidden="1">{"Input_Fin",#N/A,FALSE,"By Code";"Input_Opt",#N/A,FALSE,"By Code"}</definedName>
    <definedName name="wwwwq_4_4" hidden="1">{"Input_Fin",#N/A,FALSE,"By Code";"Input_Opt",#N/A,FALSE,"By Code"}</definedName>
    <definedName name="wwwwq_4_5" hidden="1">{"Input_Fin",#N/A,FALSE,"By Code";"Input_Opt",#N/A,FALSE,"By Code"}</definedName>
    <definedName name="wwwwq_5" hidden="1">{"Input_Fin",#N/A,FALSE,"By Code";"Input_Opt",#N/A,FALSE,"By Code"}</definedName>
    <definedName name="wwwwq_5_1" hidden="1">{"Input_Fin",#N/A,FALSE,"By Code";"Input_Opt",#N/A,FALSE,"By Code"}</definedName>
    <definedName name="wwwwq_5_1_1" hidden="1">{"Input_Fin",#N/A,FALSE,"By Code";"Input_Opt",#N/A,FALSE,"By Code"}</definedName>
    <definedName name="wwwwq_5_1_1_1" hidden="1">{"Input_Fin",#N/A,FALSE,"By Code";"Input_Opt",#N/A,FALSE,"By Code"}</definedName>
    <definedName name="wwwwq_5_1_1_2" hidden="1">{"Input_Fin",#N/A,FALSE,"By Code";"Input_Opt",#N/A,FALSE,"By Code"}</definedName>
    <definedName name="wwwwq_5_1_1_3" hidden="1">{"Input_Fin",#N/A,FALSE,"By Code";"Input_Opt",#N/A,FALSE,"By Code"}</definedName>
    <definedName name="wwwwq_5_1_2" hidden="1">{"Input_Fin",#N/A,FALSE,"By Code";"Input_Opt",#N/A,FALSE,"By Code"}</definedName>
    <definedName name="wwwwq_5_1_2_1" hidden="1">{"Input_Fin",#N/A,FALSE,"By Code";"Input_Opt",#N/A,FALSE,"By Code"}</definedName>
    <definedName name="wwwwq_5_1_2_2" hidden="1">{"Input_Fin",#N/A,FALSE,"By Code";"Input_Opt",#N/A,FALSE,"By Code"}</definedName>
    <definedName name="wwwwq_5_1_3" hidden="1">{"Input_Fin",#N/A,FALSE,"By Code";"Input_Opt",#N/A,FALSE,"By Code"}</definedName>
    <definedName name="wwwwq_5_1_4" hidden="1">{"Input_Fin",#N/A,FALSE,"By Code";"Input_Opt",#N/A,FALSE,"By Code"}</definedName>
    <definedName name="wwwwq_5_2" hidden="1">{"Input_Fin",#N/A,FALSE,"By Code";"Input_Opt",#N/A,FALSE,"By Code"}</definedName>
    <definedName name="wwwwq_5_2_1" hidden="1">{"Input_Fin",#N/A,FALSE,"By Code";"Input_Opt",#N/A,FALSE,"By Code"}</definedName>
    <definedName name="wwwwq_5_2_2" hidden="1">{"Input_Fin",#N/A,FALSE,"By Code";"Input_Opt",#N/A,FALSE,"By Code"}</definedName>
    <definedName name="wwwwq_5_2_3" hidden="1">{"Input_Fin",#N/A,FALSE,"By Code";"Input_Opt",#N/A,FALSE,"By Code"}</definedName>
    <definedName name="wwwwq_5_3" hidden="1">{"Input_Fin",#N/A,FALSE,"By Code";"Input_Opt",#N/A,FALSE,"By Code"}</definedName>
    <definedName name="wwwwq_5_3_1" hidden="1">{"Input_Fin",#N/A,FALSE,"By Code";"Input_Opt",#N/A,FALSE,"By Code"}</definedName>
    <definedName name="wwwwq_5_3_2" hidden="1">{"Input_Fin",#N/A,FALSE,"By Code";"Input_Opt",#N/A,FALSE,"By Code"}</definedName>
    <definedName name="wwwwq_5_4" hidden="1">{"Input_Fin",#N/A,FALSE,"By Code";"Input_Opt",#N/A,FALSE,"By Code"}</definedName>
    <definedName name="wwwwq_5_5" hidden="1">{"Input_Fin",#N/A,FALSE,"By Code";"Input_Opt",#N/A,FALSE,"By Code"}</definedName>
    <definedName name="x" localSheetId="12" hidden="1">#REF!</definedName>
    <definedName name="X">#N/A</definedName>
    <definedName name="xiao" localSheetId="12" hidden="1">{"Input_Fin",#N/A,FALSE,"By Code";"Input_Opt",#N/A,FALSE,"By Code"}</definedName>
    <definedName name="xiao" hidden="1">{"Input_Fin",#N/A,FALSE,"By Code";"Input_Opt",#N/A,FALSE,"By Code"}</definedName>
    <definedName name="xiao_1" hidden="1">{"Input_Fin",#N/A,FALSE,"By Code";"Input_Opt",#N/A,FALSE,"By Code"}</definedName>
    <definedName name="xiao_1_1" hidden="1">{"Input_Fin",#N/A,FALSE,"By Code";"Input_Opt",#N/A,FALSE,"By Code"}</definedName>
    <definedName name="xiao_1_1_1" hidden="1">{"Input_Fin",#N/A,FALSE,"By Code";"Input_Opt",#N/A,FALSE,"By Code"}</definedName>
    <definedName name="xiao_1_1_1_1" hidden="1">{"Input_Fin",#N/A,FALSE,"By Code";"Input_Opt",#N/A,FALSE,"By Code"}</definedName>
    <definedName name="xiao_1_1_1_1_1" hidden="1">{"Input_Fin",#N/A,FALSE,"By Code";"Input_Opt",#N/A,FALSE,"By Code"}</definedName>
    <definedName name="xiao_1_1_1_1_2" hidden="1">{"Input_Fin",#N/A,FALSE,"By Code";"Input_Opt",#N/A,FALSE,"By Code"}</definedName>
    <definedName name="xiao_1_1_1_1_3" hidden="1">{"Input_Fin",#N/A,FALSE,"By Code";"Input_Opt",#N/A,FALSE,"By Code"}</definedName>
    <definedName name="xiao_1_1_1_2" hidden="1">{"Input_Fin",#N/A,FALSE,"By Code";"Input_Opt",#N/A,FALSE,"By Code"}</definedName>
    <definedName name="xiao_1_1_1_2_1" hidden="1">{"Input_Fin",#N/A,FALSE,"By Code";"Input_Opt",#N/A,FALSE,"By Code"}</definedName>
    <definedName name="xiao_1_1_1_2_2" hidden="1">{"Input_Fin",#N/A,FALSE,"By Code";"Input_Opt",#N/A,FALSE,"By Code"}</definedName>
    <definedName name="xiao_1_1_1_3" hidden="1">{"Input_Fin",#N/A,FALSE,"By Code";"Input_Opt",#N/A,FALSE,"By Code"}</definedName>
    <definedName name="xiao_1_1_1_3_1" hidden="1">{"Input_Fin",#N/A,FALSE,"By Code";"Input_Opt",#N/A,FALSE,"By Code"}</definedName>
    <definedName name="xiao_1_1_1_3_2" hidden="1">{"Input_Fin",#N/A,FALSE,"By Code";"Input_Opt",#N/A,FALSE,"By Code"}</definedName>
    <definedName name="xiao_1_1_1_4" hidden="1">{"Input_Fin",#N/A,FALSE,"By Code";"Input_Opt",#N/A,FALSE,"By Code"}</definedName>
    <definedName name="xiao_1_1_1_5" hidden="1">{"Input_Fin",#N/A,FALSE,"By Code";"Input_Opt",#N/A,FALSE,"By Code"}</definedName>
    <definedName name="xiao_1_1_2" hidden="1">{"Input_Fin",#N/A,FALSE,"By Code";"Input_Opt",#N/A,FALSE,"By Code"}</definedName>
    <definedName name="xiao_1_1_2_1" hidden="1">{"Input_Fin",#N/A,FALSE,"By Code";"Input_Opt",#N/A,FALSE,"By Code"}</definedName>
    <definedName name="xiao_1_1_2_2" hidden="1">{"Input_Fin",#N/A,FALSE,"By Code";"Input_Opt",#N/A,FALSE,"By Code"}</definedName>
    <definedName name="xiao_1_1_2_3" hidden="1">{"Input_Fin",#N/A,FALSE,"By Code";"Input_Opt",#N/A,FALSE,"By Code"}</definedName>
    <definedName name="xiao_1_1_3" hidden="1">{"Input_Fin",#N/A,FALSE,"By Code";"Input_Opt",#N/A,FALSE,"By Code"}</definedName>
    <definedName name="xiao_1_1_3_1" hidden="1">{"Input_Fin",#N/A,FALSE,"By Code";"Input_Opt",#N/A,FALSE,"By Code"}</definedName>
    <definedName name="xiao_1_1_3_2" hidden="1">{"Input_Fin",#N/A,FALSE,"By Code";"Input_Opt",#N/A,FALSE,"By Code"}</definedName>
    <definedName name="xiao_1_1_4" hidden="1">{"Input_Fin",#N/A,FALSE,"By Code";"Input_Opt",#N/A,FALSE,"By Code"}</definedName>
    <definedName name="xiao_1_1_5" hidden="1">{"Input_Fin",#N/A,FALSE,"By Code";"Input_Opt",#N/A,FALSE,"By Code"}</definedName>
    <definedName name="xiao_1_2" hidden="1">{"Input_Fin",#N/A,FALSE,"By Code";"Input_Opt",#N/A,FALSE,"By Code"}</definedName>
    <definedName name="xiao_1_2_1" hidden="1">{"Input_Fin",#N/A,FALSE,"By Code";"Input_Opt",#N/A,FALSE,"By Code"}</definedName>
    <definedName name="xiao_1_2_2" hidden="1">{"Input_Fin",#N/A,FALSE,"By Code";"Input_Opt",#N/A,FALSE,"By Code"}</definedName>
    <definedName name="xiao_1_2_3" hidden="1">{"Input_Fin",#N/A,FALSE,"By Code";"Input_Opt",#N/A,FALSE,"By Code"}</definedName>
    <definedName name="xiao_1_3" hidden="1">{"Input_Fin",#N/A,FALSE,"By Code";"Input_Opt",#N/A,FALSE,"By Code"}</definedName>
    <definedName name="xiao_1_3_1" hidden="1">{"Input_Fin",#N/A,FALSE,"By Code";"Input_Opt",#N/A,FALSE,"By Code"}</definedName>
    <definedName name="xiao_1_3_2" hidden="1">{"Input_Fin",#N/A,FALSE,"By Code";"Input_Opt",#N/A,FALSE,"By Code"}</definedName>
    <definedName name="xiao_1_4" hidden="1">{"Input_Fin",#N/A,FALSE,"By Code";"Input_Opt",#N/A,FALSE,"By Code"}</definedName>
    <definedName name="xiao_1_5" hidden="1">{"Input_Fin",#N/A,FALSE,"By Code";"Input_Opt",#N/A,FALSE,"By Code"}</definedName>
    <definedName name="xiao_2" hidden="1">{"Input_Fin",#N/A,FALSE,"By Code";"Input_Opt",#N/A,FALSE,"By Code"}</definedName>
    <definedName name="xiao_2_1" hidden="1">{"Input_Fin",#N/A,FALSE,"By Code";"Input_Opt",#N/A,FALSE,"By Code"}</definedName>
    <definedName name="xiao_2_1_1" hidden="1">{"Input_Fin",#N/A,FALSE,"By Code";"Input_Opt",#N/A,FALSE,"By Code"}</definedName>
    <definedName name="xiao_2_1_1_1" hidden="1">{"Input_Fin",#N/A,FALSE,"By Code";"Input_Opt",#N/A,FALSE,"By Code"}</definedName>
    <definedName name="xiao_2_1_1_2" hidden="1">{"Input_Fin",#N/A,FALSE,"By Code";"Input_Opt",#N/A,FALSE,"By Code"}</definedName>
    <definedName name="xiao_2_1_1_3" hidden="1">{"Input_Fin",#N/A,FALSE,"By Code";"Input_Opt",#N/A,FALSE,"By Code"}</definedName>
    <definedName name="xiao_2_1_2" hidden="1">{"Input_Fin",#N/A,FALSE,"By Code";"Input_Opt",#N/A,FALSE,"By Code"}</definedName>
    <definedName name="xiao_2_1_2_1" hidden="1">{"Input_Fin",#N/A,FALSE,"By Code";"Input_Opt",#N/A,FALSE,"By Code"}</definedName>
    <definedName name="xiao_2_1_2_2" hidden="1">{"Input_Fin",#N/A,FALSE,"By Code";"Input_Opt",#N/A,FALSE,"By Code"}</definedName>
    <definedName name="xiao_2_1_3" hidden="1">{"Input_Fin",#N/A,FALSE,"By Code";"Input_Opt",#N/A,FALSE,"By Code"}</definedName>
    <definedName name="xiao_2_1_4" hidden="1">{"Input_Fin",#N/A,FALSE,"By Code";"Input_Opt",#N/A,FALSE,"By Code"}</definedName>
    <definedName name="xiao_2_2" hidden="1">{"Input_Fin",#N/A,FALSE,"By Code";"Input_Opt",#N/A,FALSE,"By Code"}</definedName>
    <definedName name="xiao_2_2_1" hidden="1">{"Input_Fin",#N/A,FALSE,"By Code";"Input_Opt",#N/A,FALSE,"By Code"}</definedName>
    <definedName name="xiao_2_2_2" hidden="1">{"Input_Fin",#N/A,FALSE,"By Code";"Input_Opt",#N/A,FALSE,"By Code"}</definedName>
    <definedName name="xiao_2_2_3" hidden="1">{"Input_Fin",#N/A,FALSE,"By Code";"Input_Opt",#N/A,FALSE,"By Code"}</definedName>
    <definedName name="xiao_2_3" hidden="1">{"Input_Fin",#N/A,FALSE,"By Code";"Input_Opt",#N/A,FALSE,"By Code"}</definedName>
    <definedName name="xiao_2_3_1" hidden="1">{"Input_Fin",#N/A,FALSE,"By Code";"Input_Opt",#N/A,FALSE,"By Code"}</definedName>
    <definedName name="xiao_2_3_2" hidden="1">{"Input_Fin",#N/A,FALSE,"By Code";"Input_Opt",#N/A,FALSE,"By Code"}</definedName>
    <definedName name="xiao_2_4" hidden="1">{"Input_Fin",#N/A,FALSE,"By Code";"Input_Opt",#N/A,FALSE,"By Code"}</definedName>
    <definedName name="xiao_2_5" hidden="1">{"Input_Fin",#N/A,FALSE,"By Code";"Input_Opt",#N/A,FALSE,"By Code"}</definedName>
    <definedName name="xiao_3" hidden="1">{"Input_Fin",#N/A,FALSE,"By Code";"Input_Opt",#N/A,FALSE,"By Code"}</definedName>
    <definedName name="xiao_3_1" hidden="1">{"Input_Fin",#N/A,FALSE,"By Code";"Input_Opt",#N/A,FALSE,"By Code"}</definedName>
    <definedName name="xiao_3_1_1" hidden="1">{"Input_Fin",#N/A,FALSE,"By Code";"Input_Opt",#N/A,FALSE,"By Code"}</definedName>
    <definedName name="xiao_3_1_1_1" hidden="1">{"Input_Fin",#N/A,FALSE,"By Code";"Input_Opt",#N/A,FALSE,"By Code"}</definedName>
    <definedName name="xiao_3_1_1_2" hidden="1">{"Input_Fin",#N/A,FALSE,"By Code";"Input_Opt",#N/A,FALSE,"By Code"}</definedName>
    <definedName name="xiao_3_1_1_3" hidden="1">{"Input_Fin",#N/A,FALSE,"By Code";"Input_Opt",#N/A,FALSE,"By Code"}</definedName>
    <definedName name="xiao_3_1_2" hidden="1">{"Input_Fin",#N/A,FALSE,"By Code";"Input_Opt",#N/A,FALSE,"By Code"}</definedName>
    <definedName name="xiao_3_1_2_1" hidden="1">{"Input_Fin",#N/A,FALSE,"By Code";"Input_Opt",#N/A,FALSE,"By Code"}</definedName>
    <definedName name="xiao_3_1_2_2" hidden="1">{"Input_Fin",#N/A,FALSE,"By Code";"Input_Opt",#N/A,FALSE,"By Code"}</definedName>
    <definedName name="xiao_3_1_3" hidden="1">{"Input_Fin",#N/A,FALSE,"By Code";"Input_Opt",#N/A,FALSE,"By Code"}</definedName>
    <definedName name="xiao_3_1_4" hidden="1">{"Input_Fin",#N/A,FALSE,"By Code";"Input_Opt",#N/A,FALSE,"By Code"}</definedName>
    <definedName name="xiao_3_2" hidden="1">{"Input_Fin",#N/A,FALSE,"By Code";"Input_Opt",#N/A,FALSE,"By Code"}</definedName>
    <definedName name="xiao_3_2_1" hidden="1">{"Input_Fin",#N/A,FALSE,"By Code";"Input_Opt",#N/A,FALSE,"By Code"}</definedName>
    <definedName name="xiao_3_2_2" hidden="1">{"Input_Fin",#N/A,FALSE,"By Code";"Input_Opt",#N/A,FALSE,"By Code"}</definedName>
    <definedName name="xiao_3_2_3" hidden="1">{"Input_Fin",#N/A,FALSE,"By Code";"Input_Opt",#N/A,FALSE,"By Code"}</definedName>
    <definedName name="xiao_3_3" hidden="1">{"Input_Fin",#N/A,FALSE,"By Code";"Input_Opt",#N/A,FALSE,"By Code"}</definedName>
    <definedName name="xiao_3_3_1" hidden="1">{"Input_Fin",#N/A,FALSE,"By Code";"Input_Opt",#N/A,FALSE,"By Code"}</definedName>
    <definedName name="xiao_3_3_2" hidden="1">{"Input_Fin",#N/A,FALSE,"By Code";"Input_Opt",#N/A,FALSE,"By Code"}</definedName>
    <definedName name="xiao_3_4" hidden="1">{"Input_Fin",#N/A,FALSE,"By Code";"Input_Opt",#N/A,FALSE,"By Code"}</definedName>
    <definedName name="xiao_3_5" hidden="1">{"Input_Fin",#N/A,FALSE,"By Code";"Input_Opt",#N/A,FALSE,"By Code"}</definedName>
    <definedName name="xiao_4" hidden="1">{"Input_Fin",#N/A,FALSE,"By Code";"Input_Opt",#N/A,FALSE,"By Code"}</definedName>
    <definedName name="xiao_4_1" hidden="1">{"Input_Fin",#N/A,FALSE,"By Code";"Input_Opt",#N/A,FALSE,"By Code"}</definedName>
    <definedName name="xiao_4_1_1" hidden="1">{"Input_Fin",#N/A,FALSE,"By Code";"Input_Opt",#N/A,FALSE,"By Code"}</definedName>
    <definedName name="xiao_4_1_1_1" hidden="1">{"Input_Fin",#N/A,FALSE,"By Code";"Input_Opt",#N/A,FALSE,"By Code"}</definedName>
    <definedName name="xiao_4_1_1_2" hidden="1">{"Input_Fin",#N/A,FALSE,"By Code";"Input_Opt",#N/A,FALSE,"By Code"}</definedName>
    <definedName name="xiao_4_1_1_3" hidden="1">{"Input_Fin",#N/A,FALSE,"By Code";"Input_Opt",#N/A,FALSE,"By Code"}</definedName>
    <definedName name="xiao_4_1_2" hidden="1">{"Input_Fin",#N/A,FALSE,"By Code";"Input_Opt",#N/A,FALSE,"By Code"}</definedName>
    <definedName name="xiao_4_1_2_1" hidden="1">{"Input_Fin",#N/A,FALSE,"By Code";"Input_Opt",#N/A,FALSE,"By Code"}</definedName>
    <definedName name="xiao_4_1_2_2" hidden="1">{"Input_Fin",#N/A,FALSE,"By Code";"Input_Opt",#N/A,FALSE,"By Code"}</definedName>
    <definedName name="xiao_4_1_3" hidden="1">{"Input_Fin",#N/A,FALSE,"By Code";"Input_Opt",#N/A,FALSE,"By Code"}</definedName>
    <definedName name="xiao_4_1_4" hidden="1">{"Input_Fin",#N/A,FALSE,"By Code";"Input_Opt",#N/A,FALSE,"By Code"}</definedName>
    <definedName name="xiao_4_2" hidden="1">{"Input_Fin",#N/A,FALSE,"By Code";"Input_Opt",#N/A,FALSE,"By Code"}</definedName>
    <definedName name="xiao_4_2_1" hidden="1">{"Input_Fin",#N/A,FALSE,"By Code";"Input_Opt",#N/A,FALSE,"By Code"}</definedName>
    <definedName name="xiao_4_2_2" hidden="1">{"Input_Fin",#N/A,FALSE,"By Code";"Input_Opt",#N/A,FALSE,"By Code"}</definedName>
    <definedName name="xiao_4_2_3" hidden="1">{"Input_Fin",#N/A,FALSE,"By Code";"Input_Opt",#N/A,FALSE,"By Code"}</definedName>
    <definedName name="xiao_4_3" hidden="1">{"Input_Fin",#N/A,FALSE,"By Code";"Input_Opt",#N/A,FALSE,"By Code"}</definedName>
    <definedName name="xiao_4_3_1" hidden="1">{"Input_Fin",#N/A,FALSE,"By Code";"Input_Opt",#N/A,FALSE,"By Code"}</definedName>
    <definedName name="xiao_4_3_2" hidden="1">{"Input_Fin",#N/A,FALSE,"By Code";"Input_Opt",#N/A,FALSE,"By Code"}</definedName>
    <definedName name="xiao_4_4" hidden="1">{"Input_Fin",#N/A,FALSE,"By Code";"Input_Opt",#N/A,FALSE,"By Code"}</definedName>
    <definedName name="xiao_4_5" hidden="1">{"Input_Fin",#N/A,FALSE,"By Code";"Input_Opt",#N/A,FALSE,"By Code"}</definedName>
    <definedName name="xiao_5" hidden="1">{"Input_Fin",#N/A,FALSE,"By Code";"Input_Opt",#N/A,FALSE,"By Code"}</definedName>
    <definedName name="xiao_5_1" hidden="1">{"Input_Fin",#N/A,FALSE,"By Code";"Input_Opt",#N/A,FALSE,"By Code"}</definedName>
    <definedName name="xiao_5_1_1" hidden="1">{"Input_Fin",#N/A,FALSE,"By Code";"Input_Opt",#N/A,FALSE,"By Code"}</definedName>
    <definedName name="xiao_5_1_1_1" hidden="1">{"Input_Fin",#N/A,FALSE,"By Code";"Input_Opt",#N/A,FALSE,"By Code"}</definedName>
    <definedName name="xiao_5_1_1_2" hidden="1">{"Input_Fin",#N/A,FALSE,"By Code";"Input_Opt",#N/A,FALSE,"By Code"}</definedName>
    <definedName name="xiao_5_1_1_3" hidden="1">{"Input_Fin",#N/A,FALSE,"By Code";"Input_Opt",#N/A,FALSE,"By Code"}</definedName>
    <definedName name="xiao_5_1_2" hidden="1">{"Input_Fin",#N/A,FALSE,"By Code";"Input_Opt",#N/A,FALSE,"By Code"}</definedName>
    <definedName name="xiao_5_1_2_1" hidden="1">{"Input_Fin",#N/A,FALSE,"By Code";"Input_Opt",#N/A,FALSE,"By Code"}</definedName>
    <definedName name="xiao_5_1_2_2" hidden="1">{"Input_Fin",#N/A,FALSE,"By Code";"Input_Opt",#N/A,FALSE,"By Code"}</definedName>
    <definedName name="xiao_5_1_3" hidden="1">{"Input_Fin",#N/A,FALSE,"By Code";"Input_Opt",#N/A,FALSE,"By Code"}</definedName>
    <definedName name="xiao_5_1_4" hidden="1">{"Input_Fin",#N/A,FALSE,"By Code";"Input_Opt",#N/A,FALSE,"By Code"}</definedName>
    <definedName name="xiao_5_2" hidden="1">{"Input_Fin",#N/A,FALSE,"By Code";"Input_Opt",#N/A,FALSE,"By Code"}</definedName>
    <definedName name="xiao_5_2_1" hidden="1">{"Input_Fin",#N/A,FALSE,"By Code";"Input_Opt",#N/A,FALSE,"By Code"}</definedName>
    <definedName name="xiao_5_2_2" hidden="1">{"Input_Fin",#N/A,FALSE,"By Code";"Input_Opt",#N/A,FALSE,"By Code"}</definedName>
    <definedName name="xiao_5_2_3" hidden="1">{"Input_Fin",#N/A,FALSE,"By Code";"Input_Opt",#N/A,FALSE,"By Code"}</definedName>
    <definedName name="xiao_5_3" hidden="1">{"Input_Fin",#N/A,FALSE,"By Code";"Input_Opt",#N/A,FALSE,"By Code"}</definedName>
    <definedName name="xiao_5_3_1" hidden="1">{"Input_Fin",#N/A,FALSE,"By Code";"Input_Opt",#N/A,FALSE,"By Code"}</definedName>
    <definedName name="xiao_5_3_2" hidden="1">{"Input_Fin",#N/A,FALSE,"By Code";"Input_Opt",#N/A,FALSE,"By Code"}</definedName>
    <definedName name="xiao_5_4" hidden="1">{"Input_Fin",#N/A,FALSE,"By Code";"Input_Opt",#N/A,FALSE,"By Code"}</definedName>
    <definedName name="xiao_5_5" hidden="1">{"Input_Fin",#N/A,FALSE,"By Code";"Input_Opt",#N/A,FALSE,"By Code"}</definedName>
    <definedName name="xiaoliao" localSheetId="12" hidden="1">{"Input_Fin",#N/A,FALSE,"By Code";"Input_Opt",#N/A,FALSE,"By Code"}</definedName>
    <definedName name="xiaoliao" hidden="1">{"Input_Fin",#N/A,FALSE,"By Code";"Input_Opt",#N/A,FALSE,"By Code"}</definedName>
    <definedName name="xiaoliao_1" hidden="1">{"Input_Fin",#N/A,FALSE,"By Code";"Input_Opt",#N/A,FALSE,"By Code"}</definedName>
    <definedName name="xiaoliao_1_1" hidden="1">{"Input_Fin",#N/A,FALSE,"By Code";"Input_Opt",#N/A,FALSE,"By Code"}</definedName>
    <definedName name="xiaoliao_1_1_1" hidden="1">{"Input_Fin",#N/A,FALSE,"By Code";"Input_Opt",#N/A,FALSE,"By Code"}</definedName>
    <definedName name="xiaoliao_1_1_1_1" hidden="1">{"Input_Fin",#N/A,FALSE,"By Code";"Input_Opt",#N/A,FALSE,"By Code"}</definedName>
    <definedName name="xiaoliao_1_1_1_1_1" hidden="1">{"Input_Fin",#N/A,FALSE,"By Code";"Input_Opt",#N/A,FALSE,"By Code"}</definedName>
    <definedName name="xiaoliao_1_1_1_1_2" hidden="1">{"Input_Fin",#N/A,FALSE,"By Code";"Input_Opt",#N/A,FALSE,"By Code"}</definedName>
    <definedName name="xiaoliao_1_1_1_1_3" hidden="1">{"Input_Fin",#N/A,FALSE,"By Code";"Input_Opt",#N/A,FALSE,"By Code"}</definedName>
    <definedName name="xiaoliao_1_1_1_2" hidden="1">{"Input_Fin",#N/A,FALSE,"By Code";"Input_Opt",#N/A,FALSE,"By Code"}</definedName>
    <definedName name="xiaoliao_1_1_1_2_1" hidden="1">{"Input_Fin",#N/A,FALSE,"By Code";"Input_Opt",#N/A,FALSE,"By Code"}</definedName>
    <definedName name="xiaoliao_1_1_1_2_2" hidden="1">{"Input_Fin",#N/A,FALSE,"By Code";"Input_Opt",#N/A,FALSE,"By Code"}</definedName>
    <definedName name="xiaoliao_1_1_1_3" hidden="1">{"Input_Fin",#N/A,FALSE,"By Code";"Input_Opt",#N/A,FALSE,"By Code"}</definedName>
    <definedName name="xiaoliao_1_1_1_3_1" hidden="1">{"Input_Fin",#N/A,FALSE,"By Code";"Input_Opt",#N/A,FALSE,"By Code"}</definedName>
    <definedName name="xiaoliao_1_1_1_3_2" hidden="1">{"Input_Fin",#N/A,FALSE,"By Code";"Input_Opt",#N/A,FALSE,"By Code"}</definedName>
    <definedName name="xiaoliao_1_1_1_4" hidden="1">{"Input_Fin",#N/A,FALSE,"By Code";"Input_Opt",#N/A,FALSE,"By Code"}</definedName>
    <definedName name="xiaoliao_1_1_1_5" hidden="1">{"Input_Fin",#N/A,FALSE,"By Code";"Input_Opt",#N/A,FALSE,"By Code"}</definedName>
    <definedName name="xiaoliao_1_1_2" hidden="1">{"Input_Fin",#N/A,FALSE,"By Code";"Input_Opt",#N/A,FALSE,"By Code"}</definedName>
    <definedName name="xiaoliao_1_1_2_1" hidden="1">{"Input_Fin",#N/A,FALSE,"By Code";"Input_Opt",#N/A,FALSE,"By Code"}</definedName>
    <definedName name="xiaoliao_1_1_2_2" hidden="1">{"Input_Fin",#N/A,FALSE,"By Code";"Input_Opt",#N/A,FALSE,"By Code"}</definedName>
    <definedName name="xiaoliao_1_1_2_3" hidden="1">{"Input_Fin",#N/A,FALSE,"By Code";"Input_Opt",#N/A,FALSE,"By Code"}</definedName>
    <definedName name="xiaoliao_1_1_3" hidden="1">{"Input_Fin",#N/A,FALSE,"By Code";"Input_Opt",#N/A,FALSE,"By Code"}</definedName>
    <definedName name="xiaoliao_1_1_3_1" hidden="1">{"Input_Fin",#N/A,FALSE,"By Code";"Input_Opt",#N/A,FALSE,"By Code"}</definedName>
    <definedName name="xiaoliao_1_1_3_2" hidden="1">{"Input_Fin",#N/A,FALSE,"By Code";"Input_Opt",#N/A,FALSE,"By Code"}</definedName>
    <definedName name="xiaoliao_1_1_4" hidden="1">{"Input_Fin",#N/A,FALSE,"By Code";"Input_Opt",#N/A,FALSE,"By Code"}</definedName>
    <definedName name="xiaoliao_1_1_5" hidden="1">{"Input_Fin",#N/A,FALSE,"By Code";"Input_Opt",#N/A,FALSE,"By Code"}</definedName>
    <definedName name="xiaoliao_1_2" hidden="1">{"Input_Fin",#N/A,FALSE,"By Code";"Input_Opt",#N/A,FALSE,"By Code"}</definedName>
    <definedName name="xiaoliao_1_2_1" hidden="1">{"Input_Fin",#N/A,FALSE,"By Code";"Input_Opt",#N/A,FALSE,"By Code"}</definedName>
    <definedName name="xiaoliao_1_2_2" hidden="1">{"Input_Fin",#N/A,FALSE,"By Code";"Input_Opt",#N/A,FALSE,"By Code"}</definedName>
    <definedName name="xiaoliao_1_2_3" hidden="1">{"Input_Fin",#N/A,FALSE,"By Code";"Input_Opt",#N/A,FALSE,"By Code"}</definedName>
    <definedName name="xiaoliao_1_3" hidden="1">{"Input_Fin",#N/A,FALSE,"By Code";"Input_Opt",#N/A,FALSE,"By Code"}</definedName>
    <definedName name="xiaoliao_1_3_1" hidden="1">{"Input_Fin",#N/A,FALSE,"By Code";"Input_Opt",#N/A,FALSE,"By Code"}</definedName>
    <definedName name="xiaoliao_1_3_2" hidden="1">{"Input_Fin",#N/A,FALSE,"By Code";"Input_Opt",#N/A,FALSE,"By Code"}</definedName>
    <definedName name="xiaoliao_1_4" hidden="1">{"Input_Fin",#N/A,FALSE,"By Code";"Input_Opt",#N/A,FALSE,"By Code"}</definedName>
    <definedName name="xiaoliao_1_5" hidden="1">{"Input_Fin",#N/A,FALSE,"By Code";"Input_Opt",#N/A,FALSE,"By Code"}</definedName>
    <definedName name="xiaoliao_2" hidden="1">{"Input_Fin",#N/A,FALSE,"By Code";"Input_Opt",#N/A,FALSE,"By Code"}</definedName>
    <definedName name="xiaoliao_2_1" hidden="1">{"Input_Fin",#N/A,FALSE,"By Code";"Input_Opt",#N/A,FALSE,"By Code"}</definedName>
    <definedName name="xiaoliao_2_1_1" hidden="1">{"Input_Fin",#N/A,FALSE,"By Code";"Input_Opt",#N/A,FALSE,"By Code"}</definedName>
    <definedName name="xiaoliao_2_1_1_1" hidden="1">{"Input_Fin",#N/A,FALSE,"By Code";"Input_Opt",#N/A,FALSE,"By Code"}</definedName>
    <definedName name="xiaoliao_2_1_1_2" hidden="1">{"Input_Fin",#N/A,FALSE,"By Code";"Input_Opt",#N/A,FALSE,"By Code"}</definedName>
    <definedName name="xiaoliao_2_1_1_3" hidden="1">{"Input_Fin",#N/A,FALSE,"By Code";"Input_Opt",#N/A,FALSE,"By Code"}</definedName>
    <definedName name="xiaoliao_2_1_2" hidden="1">{"Input_Fin",#N/A,FALSE,"By Code";"Input_Opt",#N/A,FALSE,"By Code"}</definedName>
    <definedName name="xiaoliao_2_1_2_1" hidden="1">{"Input_Fin",#N/A,FALSE,"By Code";"Input_Opt",#N/A,FALSE,"By Code"}</definedName>
    <definedName name="xiaoliao_2_1_2_2" hidden="1">{"Input_Fin",#N/A,FALSE,"By Code";"Input_Opt",#N/A,FALSE,"By Code"}</definedName>
    <definedName name="xiaoliao_2_1_3" hidden="1">{"Input_Fin",#N/A,FALSE,"By Code";"Input_Opt",#N/A,FALSE,"By Code"}</definedName>
    <definedName name="xiaoliao_2_1_4" hidden="1">{"Input_Fin",#N/A,FALSE,"By Code";"Input_Opt",#N/A,FALSE,"By Code"}</definedName>
    <definedName name="xiaoliao_2_2" hidden="1">{"Input_Fin",#N/A,FALSE,"By Code";"Input_Opt",#N/A,FALSE,"By Code"}</definedName>
    <definedName name="xiaoliao_2_2_1" hidden="1">{"Input_Fin",#N/A,FALSE,"By Code";"Input_Opt",#N/A,FALSE,"By Code"}</definedName>
    <definedName name="xiaoliao_2_2_2" hidden="1">{"Input_Fin",#N/A,FALSE,"By Code";"Input_Opt",#N/A,FALSE,"By Code"}</definedName>
    <definedName name="xiaoliao_2_2_3" hidden="1">{"Input_Fin",#N/A,FALSE,"By Code";"Input_Opt",#N/A,FALSE,"By Code"}</definedName>
    <definedName name="xiaoliao_2_3" hidden="1">{"Input_Fin",#N/A,FALSE,"By Code";"Input_Opt",#N/A,FALSE,"By Code"}</definedName>
    <definedName name="xiaoliao_2_3_1" hidden="1">{"Input_Fin",#N/A,FALSE,"By Code";"Input_Opt",#N/A,FALSE,"By Code"}</definedName>
    <definedName name="xiaoliao_2_3_2" hidden="1">{"Input_Fin",#N/A,FALSE,"By Code";"Input_Opt",#N/A,FALSE,"By Code"}</definedName>
    <definedName name="xiaoliao_2_4" hidden="1">{"Input_Fin",#N/A,FALSE,"By Code";"Input_Opt",#N/A,FALSE,"By Code"}</definedName>
    <definedName name="xiaoliao_2_5" hidden="1">{"Input_Fin",#N/A,FALSE,"By Code";"Input_Opt",#N/A,FALSE,"By Code"}</definedName>
    <definedName name="xiaoliao_3" hidden="1">{"Input_Fin",#N/A,FALSE,"By Code";"Input_Opt",#N/A,FALSE,"By Code"}</definedName>
    <definedName name="xiaoliao_3_1" hidden="1">{"Input_Fin",#N/A,FALSE,"By Code";"Input_Opt",#N/A,FALSE,"By Code"}</definedName>
    <definedName name="xiaoliao_3_1_1" hidden="1">{"Input_Fin",#N/A,FALSE,"By Code";"Input_Opt",#N/A,FALSE,"By Code"}</definedName>
    <definedName name="xiaoliao_3_1_1_1" hidden="1">{"Input_Fin",#N/A,FALSE,"By Code";"Input_Opt",#N/A,FALSE,"By Code"}</definedName>
    <definedName name="xiaoliao_3_1_1_2" hidden="1">{"Input_Fin",#N/A,FALSE,"By Code";"Input_Opt",#N/A,FALSE,"By Code"}</definedName>
    <definedName name="xiaoliao_3_1_1_3" hidden="1">{"Input_Fin",#N/A,FALSE,"By Code";"Input_Opt",#N/A,FALSE,"By Code"}</definedName>
    <definedName name="xiaoliao_3_1_2" hidden="1">{"Input_Fin",#N/A,FALSE,"By Code";"Input_Opt",#N/A,FALSE,"By Code"}</definedName>
    <definedName name="xiaoliao_3_1_2_1" hidden="1">{"Input_Fin",#N/A,FALSE,"By Code";"Input_Opt",#N/A,FALSE,"By Code"}</definedName>
    <definedName name="xiaoliao_3_1_2_2" hidden="1">{"Input_Fin",#N/A,FALSE,"By Code";"Input_Opt",#N/A,FALSE,"By Code"}</definedName>
    <definedName name="xiaoliao_3_1_3" hidden="1">{"Input_Fin",#N/A,FALSE,"By Code";"Input_Opt",#N/A,FALSE,"By Code"}</definedName>
    <definedName name="xiaoliao_3_1_4" hidden="1">{"Input_Fin",#N/A,FALSE,"By Code";"Input_Opt",#N/A,FALSE,"By Code"}</definedName>
    <definedName name="xiaoliao_3_2" hidden="1">{"Input_Fin",#N/A,FALSE,"By Code";"Input_Opt",#N/A,FALSE,"By Code"}</definedName>
    <definedName name="xiaoliao_3_2_1" hidden="1">{"Input_Fin",#N/A,FALSE,"By Code";"Input_Opt",#N/A,FALSE,"By Code"}</definedName>
    <definedName name="xiaoliao_3_2_2" hidden="1">{"Input_Fin",#N/A,FALSE,"By Code";"Input_Opt",#N/A,FALSE,"By Code"}</definedName>
    <definedName name="xiaoliao_3_2_3" hidden="1">{"Input_Fin",#N/A,FALSE,"By Code";"Input_Opt",#N/A,FALSE,"By Code"}</definedName>
    <definedName name="xiaoliao_3_3" hidden="1">{"Input_Fin",#N/A,FALSE,"By Code";"Input_Opt",#N/A,FALSE,"By Code"}</definedName>
    <definedName name="xiaoliao_3_3_1" hidden="1">{"Input_Fin",#N/A,FALSE,"By Code";"Input_Opt",#N/A,FALSE,"By Code"}</definedName>
    <definedName name="xiaoliao_3_3_2" hidden="1">{"Input_Fin",#N/A,FALSE,"By Code";"Input_Opt",#N/A,FALSE,"By Code"}</definedName>
    <definedName name="xiaoliao_3_4" hidden="1">{"Input_Fin",#N/A,FALSE,"By Code";"Input_Opt",#N/A,FALSE,"By Code"}</definedName>
    <definedName name="xiaoliao_3_5" hidden="1">{"Input_Fin",#N/A,FALSE,"By Code";"Input_Opt",#N/A,FALSE,"By Code"}</definedName>
    <definedName name="xiaoliao_4" hidden="1">{"Input_Fin",#N/A,FALSE,"By Code";"Input_Opt",#N/A,FALSE,"By Code"}</definedName>
    <definedName name="xiaoliao_4_1" hidden="1">{"Input_Fin",#N/A,FALSE,"By Code";"Input_Opt",#N/A,FALSE,"By Code"}</definedName>
    <definedName name="xiaoliao_4_1_1" hidden="1">{"Input_Fin",#N/A,FALSE,"By Code";"Input_Opt",#N/A,FALSE,"By Code"}</definedName>
    <definedName name="xiaoliao_4_1_1_1" hidden="1">{"Input_Fin",#N/A,FALSE,"By Code";"Input_Opt",#N/A,FALSE,"By Code"}</definedName>
    <definedName name="xiaoliao_4_1_1_2" hidden="1">{"Input_Fin",#N/A,FALSE,"By Code";"Input_Opt",#N/A,FALSE,"By Code"}</definedName>
    <definedName name="xiaoliao_4_1_1_3" hidden="1">{"Input_Fin",#N/A,FALSE,"By Code";"Input_Opt",#N/A,FALSE,"By Code"}</definedName>
    <definedName name="xiaoliao_4_1_2" hidden="1">{"Input_Fin",#N/A,FALSE,"By Code";"Input_Opt",#N/A,FALSE,"By Code"}</definedName>
    <definedName name="xiaoliao_4_1_2_1" hidden="1">{"Input_Fin",#N/A,FALSE,"By Code";"Input_Opt",#N/A,FALSE,"By Code"}</definedName>
    <definedName name="xiaoliao_4_1_2_2" hidden="1">{"Input_Fin",#N/A,FALSE,"By Code";"Input_Opt",#N/A,FALSE,"By Code"}</definedName>
    <definedName name="xiaoliao_4_1_3" hidden="1">{"Input_Fin",#N/A,FALSE,"By Code";"Input_Opt",#N/A,FALSE,"By Code"}</definedName>
    <definedName name="xiaoliao_4_1_4" hidden="1">{"Input_Fin",#N/A,FALSE,"By Code";"Input_Opt",#N/A,FALSE,"By Code"}</definedName>
    <definedName name="xiaoliao_4_2" hidden="1">{"Input_Fin",#N/A,FALSE,"By Code";"Input_Opt",#N/A,FALSE,"By Code"}</definedName>
    <definedName name="xiaoliao_4_2_1" hidden="1">{"Input_Fin",#N/A,FALSE,"By Code";"Input_Opt",#N/A,FALSE,"By Code"}</definedName>
    <definedName name="xiaoliao_4_2_2" hidden="1">{"Input_Fin",#N/A,FALSE,"By Code";"Input_Opt",#N/A,FALSE,"By Code"}</definedName>
    <definedName name="xiaoliao_4_2_3" hidden="1">{"Input_Fin",#N/A,FALSE,"By Code";"Input_Opt",#N/A,FALSE,"By Code"}</definedName>
    <definedName name="xiaoliao_4_3" hidden="1">{"Input_Fin",#N/A,FALSE,"By Code";"Input_Opt",#N/A,FALSE,"By Code"}</definedName>
    <definedName name="xiaoliao_4_3_1" hidden="1">{"Input_Fin",#N/A,FALSE,"By Code";"Input_Opt",#N/A,FALSE,"By Code"}</definedName>
    <definedName name="xiaoliao_4_3_2" hidden="1">{"Input_Fin",#N/A,FALSE,"By Code";"Input_Opt",#N/A,FALSE,"By Code"}</definedName>
    <definedName name="xiaoliao_4_4" hidden="1">{"Input_Fin",#N/A,FALSE,"By Code";"Input_Opt",#N/A,FALSE,"By Code"}</definedName>
    <definedName name="xiaoliao_4_5" hidden="1">{"Input_Fin",#N/A,FALSE,"By Code";"Input_Opt",#N/A,FALSE,"By Code"}</definedName>
    <definedName name="xiaoliao_5" hidden="1">{"Input_Fin",#N/A,FALSE,"By Code";"Input_Opt",#N/A,FALSE,"By Code"}</definedName>
    <definedName name="xiaoliao_5_1" hidden="1">{"Input_Fin",#N/A,FALSE,"By Code";"Input_Opt",#N/A,FALSE,"By Code"}</definedName>
    <definedName name="xiaoliao_5_1_1" hidden="1">{"Input_Fin",#N/A,FALSE,"By Code";"Input_Opt",#N/A,FALSE,"By Code"}</definedName>
    <definedName name="xiaoliao_5_1_1_1" hidden="1">{"Input_Fin",#N/A,FALSE,"By Code";"Input_Opt",#N/A,FALSE,"By Code"}</definedName>
    <definedName name="xiaoliao_5_1_1_2" hidden="1">{"Input_Fin",#N/A,FALSE,"By Code";"Input_Opt",#N/A,FALSE,"By Code"}</definedName>
    <definedName name="xiaoliao_5_1_1_3" hidden="1">{"Input_Fin",#N/A,FALSE,"By Code";"Input_Opt",#N/A,FALSE,"By Code"}</definedName>
    <definedName name="xiaoliao_5_1_2" hidden="1">{"Input_Fin",#N/A,FALSE,"By Code";"Input_Opt",#N/A,FALSE,"By Code"}</definedName>
    <definedName name="xiaoliao_5_1_2_1" hidden="1">{"Input_Fin",#N/A,FALSE,"By Code";"Input_Opt",#N/A,FALSE,"By Code"}</definedName>
    <definedName name="xiaoliao_5_1_2_2" hidden="1">{"Input_Fin",#N/A,FALSE,"By Code";"Input_Opt",#N/A,FALSE,"By Code"}</definedName>
    <definedName name="xiaoliao_5_1_3" hidden="1">{"Input_Fin",#N/A,FALSE,"By Code";"Input_Opt",#N/A,FALSE,"By Code"}</definedName>
    <definedName name="xiaoliao_5_1_4" hidden="1">{"Input_Fin",#N/A,FALSE,"By Code";"Input_Opt",#N/A,FALSE,"By Code"}</definedName>
    <definedName name="xiaoliao_5_2" hidden="1">{"Input_Fin",#N/A,FALSE,"By Code";"Input_Opt",#N/A,FALSE,"By Code"}</definedName>
    <definedName name="xiaoliao_5_2_1" hidden="1">{"Input_Fin",#N/A,FALSE,"By Code";"Input_Opt",#N/A,FALSE,"By Code"}</definedName>
    <definedName name="xiaoliao_5_2_2" hidden="1">{"Input_Fin",#N/A,FALSE,"By Code";"Input_Opt",#N/A,FALSE,"By Code"}</definedName>
    <definedName name="xiaoliao_5_2_3" hidden="1">{"Input_Fin",#N/A,FALSE,"By Code";"Input_Opt",#N/A,FALSE,"By Code"}</definedName>
    <definedName name="xiaoliao_5_3" hidden="1">{"Input_Fin",#N/A,FALSE,"By Code";"Input_Opt",#N/A,FALSE,"By Code"}</definedName>
    <definedName name="xiaoliao_5_3_1" hidden="1">{"Input_Fin",#N/A,FALSE,"By Code";"Input_Opt",#N/A,FALSE,"By Code"}</definedName>
    <definedName name="xiaoliao_5_3_2" hidden="1">{"Input_Fin",#N/A,FALSE,"By Code";"Input_Opt",#N/A,FALSE,"By Code"}</definedName>
    <definedName name="xiaoliao_5_4" hidden="1">{"Input_Fin",#N/A,FALSE,"By Code";"Input_Opt",#N/A,FALSE,"By Code"}</definedName>
    <definedName name="xiaoliao_5_5" hidden="1">{"Input_Fin",#N/A,FALSE,"By Code";"Input_Opt",#N/A,FALSE,"By Code"}</definedName>
    <definedName name="y77775444556" hidden="1">{"'Sheet4'!$A$1:$L$41"}</definedName>
    <definedName name="ying" localSheetId="12" hidden="1">{"Input_Fin",#N/A,FALSE,"By Code";"Input_Opt",#N/A,FALSE,"By Code"}</definedName>
    <definedName name="ying" hidden="1">{"Input_Fin",#N/A,FALSE,"By Code";"Input_Opt",#N/A,FALSE,"By Code"}</definedName>
    <definedName name="ying_1" hidden="1">{"Input_Fin",#N/A,FALSE,"By Code";"Input_Opt",#N/A,FALSE,"By Code"}</definedName>
    <definedName name="ying_1_1" hidden="1">{"Input_Fin",#N/A,FALSE,"By Code";"Input_Opt",#N/A,FALSE,"By Code"}</definedName>
    <definedName name="ying_1_1_1" hidden="1">{"Input_Fin",#N/A,FALSE,"By Code";"Input_Opt",#N/A,FALSE,"By Code"}</definedName>
    <definedName name="ying_1_1_2" hidden="1">{"Input_Fin",#N/A,FALSE,"By Code";"Input_Opt",#N/A,FALSE,"By Code"}</definedName>
    <definedName name="ying_1_1_3" hidden="1">{"Input_Fin",#N/A,FALSE,"By Code";"Input_Opt",#N/A,FALSE,"By Code"}</definedName>
    <definedName name="ying_1_2" hidden="1">{"Input_Fin",#N/A,FALSE,"By Code";"Input_Opt",#N/A,FALSE,"By Code"}</definedName>
    <definedName name="ying_1_2_1" hidden="1">{"Input_Fin",#N/A,FALSE,"By Code";"Input_Opt",#N/A,FALSE,"By Code"}</definedName>
    <definedName name="ying_1_2_2" hidden="1">{"Input_Fin",#N/A,FALSE,"By Code";"Input_Opt",#N/A,FALSE,"By Code"}</definedName>
    <definedName name="ying_1_3" hidden="1">{"Input_Fin",#N/A,FALSE,"By Code";"Input_Opt",#N/A,FALSE,"By Code"}</definedName>
    <definedName name="ying_1_4" hidden="1">{"Input_Fin",#N/A,FALSE,"By Code";"Input_Opt",#N/A,FALSE,"By Code"}</definedName>
    <definedName name="ying_2" hidden="1">{"Input_Fin",#N/A,FALSE,"By Code";"Input_Opt",#N/A,FALSE,"By Code"}</definedName>
    <definedName name="ying_2_1" hidden="1">{"Input_Fin",#N/A,FALSE,"By Code";"Input_Opt",#N/A,FALSE,"By Code"}</definedName>
    <definedName name="ying_2_2" hidden="1">{"Input_Fin",#N/A,FALSE,"By Code";"Input_Opt",#N/A,FALSE,"By Code"}</definedName>
    <definedName name="ying_2_3" hidden="1">{"Input_Fin",#N/A,FALSE,"By Code";"Input_Opt",#N/A,FALSE,"By Code"}</definedName>
    <definedName name="ying_3" hidden="1">{"Input_Fin",#N/A,FALSE,"By Code";"Input_Opt",#N/A,FALSE,"By Code"}</definedName>
    <definedName name="ying_3_1" hidden="1">{"Input_Fin",#N/A,FALSE,"By Code";"Input_Opt",#N/A,FALSE,"By Code"}</definedName>
    <definedName name="ying_3_2" hidden="1">{"Input_Fin",#N/A,FALSE,"By Code";"Input_Opt",#N/A,FALSE,"By Code"}</definedName>
    <definedName name="ying_4" hidden="1">{"Input_Fin",#N/A,FALSE,"By Code";"Input_Opt",#N/A,FALSE,"By Code"}</definedName>
    <definedName name="ying_5" hidden="1">{"Input_Fin",#N/A,FALSE,"By Code";"Input_Opt",#N/A,FALSE,"By Code"}</definedName>
    <definedName name="ys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s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tjtyjruj" localSheetId="12" hidden="1">{"Input_Fin",#N/A,FALSE,"By Code";"Input_Opt",#N/A,FALSE,"By Code"}</definedName>
    <definedName name="ytjtyjruj" hidden="1">{"Input_Fin",#N/A,FALSE,"By Code";"Input_Opt",#N/A,FALSE,"By Code"}</definedName>
    <definedName name="ytjtyjruj_1" hidden="1">{"Input_Fin",#N/A,FALSE,"By Code";"Input_Opt",#N/A,FALSE,"By Code"}</definedName>
    <definedName name="ytjtyjruj_1_1" hidden="1">{"Input_Fin",#N/A,FALSE,"By Code";"Input_Opt",#N/A,FALSE,"By Code"}</definedName>
    <definedName name="ytjtyjruj_1_1_1" hidden="1">{"Input_Fin",#N/A,FALSE,"By Code";"Input_Opt",#N/A,FALSE,"By Code"}</definedName>
    <definedName name="ytjtyjruj_1_1_2" hidden="1">{"Input_Fin",#N/A,FALSE,"By Code";"Input_Opt",#N/A,FALSE,"By Code"}</definedName>
    <definedName name="ytjtyjruj_1_1_3" hidden="1">{"Input_Fin",#N/A,FALSE,"By Code";"Input_Opt",#N/A,FALSE,"By Code"}</definedName>
    <definedName name="ytjtyjruj_1_2" hidden="1">{"Input_Fin",#N/A,FALSE,"By Code";"Input_Opt",#N/A,FALSE,"By Code"}</definedName>
    <definedName name="ytjtyjruj_1_2_1" hidden="1">{"Input_Fin",#N/A,FALSE,"By Code";"Input_Opt",#N/A,FALSE,"By Code"}</definedName>
    <definedName name="ytjtyjruj_1_2_2" hidden="1">{"Input_Fin",#N/A,FALSE,"By Code";"Input_Opt",#N/A,FALSE,"By Code"}</definedName>
    <definedName name="ytjtyjruj_1_3" hidden="1">{"Input_Fin",#N/A,FALSE,"By Code";"Input_Opt",#N/A,FALSE,"By Code"}</definedName>
    <definedName name="ytjtyjruj_1_4" hidden="1">{"Input_Fin",#N/A,FALSE,"By Code";"Input_Opt",#N/A,FALSE,"By Code"}</definedName>
    <definedName name="ytjtyjruj_2" hidden="1">{"Input_Fin",#N/A,FALSE,"By Code";"Input_Opt",#N/A,FALSE,"By Code"}</definedName>
    <definedName name="ytjtyjruj_2_1" hidden="1">{"Input_Fin",#N/A,FALSE,"By Code";"Input_Opt",#N/A,FALSE,"By Code"}</definedName>
    <definedName name="ytjtyjruj_2_2" hidden="1">{"Input_Fin",#N/A,FALSE,"By Code";"Input_Opt",#N/A,FALSE,"By Code"}</definedName>
    <definedName name="ytjtyjruj_2_3" hidden="1">{"Input_Fin",#N/A,FALSE,"By Code";"Input_Opt",#N/A,FALSE,"By Code"}</definedName>
    <definedName name="ytjtyjruj_3" hidden="1">{"Input_Fin",#N/A,FALSE,"By Code";"Input_Opt",#N/A,FALSE,"By Code"}</definedName>
    <definedName name="ytjtyjruj_3_1" hidden="1">{"Input_Fin",#N/A,FALSE,"By Code";"Input_Opt",#N/A,FALSE,"By Code"}</definedName>
    <definedName name="ytjtyjruj_3_2" hidden="1">{"Input_Fin",#N/A,FALSE,"By Code";"Input_Opt",#N/A,FALSE,"By Code"}</definedName>
    <definedName name="ytjtyjruj_4" hidden="1">{"Input_Fin",#N/A,FALSE,"By Code";"Input_Opt",#N/A,FALSE,"By Code"}</definedName>
    <definedName name="ytjtyjruj_5" hidden="1">{"Input_Fin",#N/A,FALSE,"By Code";"Input_Opt",#N/A,FALSE,"By Code"}</definedName>
    <definedName name="yuan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1111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jhd" localSheetId="12" hidden="1">{"Input_Fin",#N/A,FALSE,"By Code";"Input_Opt",#N/A,FALSE,"By Code"}</definedName>
    <definedName name="yujhd" hidden="1">{"Input_Fin",#N/A,FALSE,"By Code";"Input_Opt",#N/A,FALSE,"By Code"}</definedName>
    <definedName name="yujhd_1" hidden="1">{"Input_Fin",#N/A,FALSE,"By Code";"Input_Opt",#N/A,FALSE,"By Code"}</definedName>
    <definedName name="yujhd_1_1" hidden="1">{"Input_Fin",#N/A,FALSE,"By Code";"Input_Opt",#N/A,FALSE,"By Code"}</definedName>
    <definedName name="yujhd_1_1_1" hidden="1">{"Input_Fin",#N/A,FALSE,"By Code";"Input_Opt",#N/A,FALSE,"By Code"}</definedName>
    <definedName name="yujhd_1_1_1_1" hidden="1">{"Input_Fin",#N/A,FALSE,"By Code";"Input_Opt",#N/A,FALSE,"By Code"}</definedName>
    <definedName name="yujhd_1_1_1_1_1" hidden="1">{"Input_Fin",#N/A,FALSE,"By Code";"Input_Opt",#N/A,FALSE,"By Code"}</definedName>
    <definedName name="yujhd_1_1_1_1_2" hidden="1">{"Input_Fin",#N/A,FALSE,"By Code";"Input_Opt",#N/A,FALSE,"By Code"}</definedName>
    <definedName name="yujhd_1_1_1_1_3" hidden="1">{"Input_Fin",#N/A,FALSE,"By Code";"Input_Opt",#N/A,FALSE,"By Code"}</definedName>
    <definedName name="yujhd_1_1_1_2" hidden="1">{"Input_Fin",#N/A,FALSE,"By Code";"Input_Opt",#N/A,FALSE,"By Code"}</definedName>
    <definedName name="yujhd_1_1_1_2_1" hidden="1">{"Input_Fin",#N/A,FALSE,"By Code";"Input_Opt",#N/A,FALSE,"By Code"}</definedName>
    <definedName name="yujhd_1_1_1_2_2" hidden="1">{"Input_Fin",#N/A,FALSE,"By Code";"Input_Opt",#N/A,FALSE,"By Code"}</definedName>
    <definedName name="yujhd_1_1_1_3" hidden="1">{"Input_Fin",#N/A,FALSE,"By Code";"Input_Opt",#N/A,FALSE,"By Code"}</definedName>
    <definedName name="yujhd_1_1_1_3_1" hidden="1">{"Input_Fin",#N/A,FALSE,"By Code";"Input_Opt",#N/A,FALSE,"By Code"}</definedName>
    <definedName name="yujhd_1_1_1_3_2" hidden="1">{"Input_Fin",#N/A,FALSE,"By Code";"Input_Opt",#N/A,FALSE,"By Code"}</definedName>
    <definedName name="yujhd_1_1_1_4" hidden="1">{"Input_Fin",#N/A,FALSE,"By Code";"Input_Opt",#N/A,FALSE,"By Code"}</definedName>
    <definedName name="yujhd_1_1_1_5" hidden="1">{"Input_Fin",#N/A,FALSE,"By Code";"Input_Opt",#N/A,FALSE,"By Code"}</definedName>
    <definedName name="yujhd_1_1_2" hidden="1">{"Input_Fin",#N/A,FALSE,"By Code";"Input_Opt",#N/A,FALSE,"By Code"}</definedName>
    <definedName name="yujhd_1_1_2_1" hidden="1">{"Input_Fin",#N/A,FALSE,"By Code";"Input_Opt",#N/A,FALSE,"By Code"}</definedName>
    <definedName name="yujhd_1_1_2_2" hidden="1">{"Input_Fin",#N/A,FALSE,"By Code";"Input_Opt",#N/A,FALSE,"By Code"}</definedName>
    <definedName name="yujhd_1_1_2_3" hidden="1">{"Input_Fin",#N/A,FALSE,"By Code";"Input_Opt",#N/A,FALSE,"By Code"}</definedName>
    <definedName name="yujhd_1_1_3" hidden="1">{"Input_Fin",#N/A,FALSE,"By Code";"Input_Opt",#N/A,FALSE,"By Code"}</definedName>
    <definedName name="yujhd_1_1_3_1" hidden="1">{"Input_Fin",#N/A,FALSE,"By Code";"Input_Opt",#N/A,FALSE,"By Code"}</definedName>
    <definedName name="yujhd_1_1_3_2" hidden="1">{"Input_Fin",#N/A,FALSE,"By Code";"Input_Opt",#N/A,FALSE,"By Code"}</definedName>
    <definedName name="yujhd_1_1_4" hidden="1">{"Input_Fin",#N/A,FALSE,"By Code";"Input_Opt",#N/A,FALSE,"By Code"}</definedName>
    <definedName name="yujhd_1_1_5" hidden="1">{"Input_Fin",#N/A,FALSE,"By Code";"Input_Opt",#N/A,FALSE,"By Code"}</definedName>
    <definedName name="yujhd_1_2" hidden="1">{"Input_Fin",#N/A,FALSE,"By Code";"Input_Opt",#N/A,FALSE,"By Code"}</definedName>
    <definedName name="yujhd_1_2_1" hidden="1">{"Input_Fin",#N/A,FALSE,"By Code";"Input_Opt",#N/A,FALSE,"By Code"}</definedName>
    <definedName name="yujhd_1_2_2" hidden="1">{"Input_Fin",#N/A,FALSE,"By Code";"Input_Opt",#N/A,FALSE,"By Code"}</definedName>
    <definedName name="yujhd_1_2_3" hidden="1">{"Input_Fin",#N/A,FALSE,"By Code";"Input_Opt",#N/A,FALSE,"By Code"}</definedName>
    <definedName name="yujhd_1_3" hidden="1">{"Input_Fin",#N/A,FALSE,"By Code";"Input_Opt",#N/A,FALSE,"By Code"}</definedName>
    <definedName name="yujhd_1_3_1" hidden="1">{"Input_Fin",#N/A,FALSE,"By Code";"Input_Opt",#N/A,FALSE,"By Code"}</definedName>
    <definedName name="yujhd_1_3_2" hidden="1">{"Input_Fin",#N/A,FALSE,"By Code";"Input_Opt",#N/A,FALSE,"By Code"}</definedName>
    <definedName name="yujhd_1_4" hidden="1">{"Input_Fin",#N/A,FALSE,"By Code";"Input_Opt",#N/A,FALSE,"By Code"}</definedName>
    <definedName name="yujhd_1_5" hidden="1">{"Input_Fin",#N/A,FALSE,"By Code";"Input_Opt",#N/A,FALSE,"By Code"}</definedName>
    <definedName name="yujhd_2" hidden="1">{"Input_Fin",#N/A,FALSE,"By Code";"Input_Opt",#N/A,FALSE,"By Code"}</definedName>
    <definedName name="yujhd_2_1" hidden="1">{"Input_Fin",#N/A,FALSE,"By Code";"Input_Opt",#N/A,FALSE,"By Code"}</definedName>
    <definedName name="yujhd_2_1_1" hidden="1">{"Input_Fin",#N/A,FALSE,"By Code";"Input_Opt",#N/A,FALSE,"By Code"}</definedName>
    <definedName name="yujhd_2_1_1_1" hidden="1">{"Input_Fin",#N/A,FALSE,"By Code";"Input_Opt",#N/A,FALSE,"By Code"}</definedName>
    <definedName name="yujhd_2_1_1_2" hidden="1">{"Input_Fin",#N/A,FALSE,"By Code";"Input_Opt",#N/A,FALSE,"By Code"}</definedName>
    <definedName name="yujhd_2_1_1_3" hidden="1">{"Input_Fin",#N/A,FALSE,"By Code";"Input_Opt",#N/A,FALSE,"By Code"}</definedName>
    <definedName name="yujhd_2_1_2" hidden="1">{"Input_Fin",#N/A,FALSE,"By Code";"Input_Opt",#N/A,FALSE,"By Code"}</definedName>
    <definedName name="yujhd_2_1_2_1" hidden="1">{"Input_Fin",#N/A,FALSE,"By Code";"Input_Opt",#N/A,FALSE,"By Code"}</definedName>
    <definedName name="yujhd_2_1_2_2" hidden="1">{"Input_Fin",#N/A,FALSE,"By Code";"Input_Opt",#N/A,FALSE,"By Code"}</definedName>
    <definedName name="yujhd_2_1_3" hidden="1">{"Input_Fin",#N/A,FALSE,"By Code";"Input_Opt",#N/A,FALSE,"By Code"}</definedName>
    <definedName name="yujhd_2_1_4" hidden="1">{"Input_Fin",#N/A,FALSE,"By Code";"Input_Opt",#N/A,FALSE,"By Code"}</definedName>
    <definedName name="yujhd_2_2" hidden="1">{"Input_Fin",#N/A,FALSE,"By Code";"Input_Opt",#N/A,FALSE,"By Code"}</definedName>
    <definedName name="yujhd_2_2_1" hidden="1">{"Input_Fin",#N/A,FALSE,"By Code";"Input_Opt",#N/A,FALSE,"By Code"}</definedName>
    <definedName name="yujhd_2_2_2" hidden="1">{"Input_Fin",#N/A,FALSE,"By Code";"Input_Opt",#N/A,FALSE,"By Code"}</definedName>
    <definedName name="yujhd_2_2_3" hidden="1">{"Input_Fin",#N/A,FALSE,"By Code";"Input_Opt",#N/A,FALSE,"By Code"}</definedName>
    <definedName name="yujhd_2_3" hidden="1">{"Input_Fin",#N/A,FALSE,"By Code";"Input_Opt",#N/A,FALSE,"By Code"}</definedName>
    <definedName name="yujhd_2_3_1" hidden="1">{"Input_Fin",#N/A,FALSE,"By Code";"Input_Opt",#N/A,FALSE,"By Code"}</definedName>
    <definedName name="yujhd_2_3_2" hidden="1">{"Input_Fin",#N/A,FALSE,"By Code";"Input_Opt",#N/A,FALSE,"By Code"}</definedName>
    <definedName name="yujhd_2_4" hidden="1">{"Input_Fin",#N/A,FALSE,"By Code";"Input_Opt",#N/A,FALSE,"By Code"}</definedName>
    <definedName name="yujhd_2_5" hidden="1">{"Input_Fin",#N/A,FALSE,"By Code";"Input_Opt",#N/A,FALSE,"By Code"}</definedName>
    <definedName name="yujhd_3" hidden="1">{"Input_Fin",#N/A,FALSE,"By Code";"Input_Opt",#N/A,FALSE,"By Code"}</definedName>
    <definedName name="yujhd_3_1" hidden="1">{"Input_Fin",#N/A,FALSE,"By Code";"Input_Opt",#N/A,FALSE,"By Code"}</definedName>
    <definedName name="yujhd_3_1_1" hidden="1">{"Input_Fin",#N/A,FALSE,"By Code";"Input_Opt",#N/A,FALSE,"By Code"}</definedName>
    <definedName name="yujhd_3_1_1_1" hidden="1">{"Input_Fin",#N/A,FALSE,"By Code";"Input_Opt",#N/A,FALSE,"By Code"}</definedName>
    <definedName name="yujhd_3_1_1_2" hidden="1">{"Input_Fin",#N/A,FALSE,"By Code";"Input_Opt",#N/A,FALSE,"By Code"}</definedName>
    <definedName name="yujhd_3_1_1_3" hidden="1">{"Input_Fin",#N/A,FALSE,"By Code";"Input_Opt",#N/A,FALSE,"By Code"}</definedName>
    <definedName name="yujhd_3_1_2" hidden="1">{"Input_Fin",#N/A,FALSE,"By Code";"Input_Opt",#N/A,FALSE,"By Code"}</definedName>
    <definedName name="yujhd_3_1_2_1" hidden="1">{"Input_Fin",#N/A,FALSE,"By Code";"Input_Opt",#N/A,FALSE,"By Code"}</definedName>
    <definedName name="yujhd_3_1_2_2" hidden="1">{"Input_Fin",#N/A,FALSE,"By Code";"Input_Opt",#N/A,FALSE,"By Code"}</definedName>
    <definedName name="yujhd_3_1_3" hidden="1">{"Input_Fin",#N/A,FALSE,"By Code";"Input_Opt",#N/A,FALSE,"By Code"}</definedName>
    <definedName name="yujhd_3_1_4" hidden="1">{"Input_Fin",#N/A,FALSE,"By Code";"Input_Opt",#N/A,FALSE,"By Code"}</definedName>
    <definedName name="yujhd_3_2" hidden="1">{"Input_Fin",#N/A,FALSE,"By Code";"Input_Opt",#N/A,FALSE,"By Code"}</definedName>
    <definedName name="yujhd_3_2_1" hidden="1">{"Input_Fin",#N/A,FALSE,"By Code";"Input_Opt",#N/A,FALSE,"By Code"}</definedName>
    <definedName name="yujhd_3_2_2" hidden="1">{"Input_Fin",#N/A,FALSE,"By Code";"Input_Opt",#N/A,FALSE,"By Code"}</definedName>
    <definedName name="yujhd_3_2_3" hidden="1">{"Input_Fin",#N/A,FALSE,"By Code";"Input_Opt",#N/A,FALSE,"By Code"}</definedName>
    <definedName name="yujhd_3_3" hidden="1">{"Input_Fin",#N/A,FALSE,"By Code";"Input_Opt",#N/A,FALSE,"By Code"}</definedName>
    <definedName name="yujhd_3_3_1" hidden="1">{"Input_Fin",#N/A,FALSE,"By Code";"Input_Opt",#N/A,FALSE,"By Code"}</definedName>
    <definedName name="yujhd_3_3_2" hidden="1">{"Input_Fin",#N/A,FALSE,"By Code";"Input_Opt",#N/A,FALSE,"By Code"}</definedName>
    <definedName name="yujhd_3_4" hidden="1">{"Input_Fin",#N/A,FALSE,"By Code";"Input_Opt",#N/A,FALSE,"By Code"}</definedName>
    <definedName name="yujhd_3_5" hidden="1">{"Input_Fin",#N/A,FALSE,"By Code";"Input_Opt",#N/A,FALSE,"By Code"}</definedName>
    <definedName name="yujhd_4" hidden="1">{"Input_Fin",#N/A,FALSE,"By Code";"Input_Opt",#N/A,FALSE,"By Code"}</definedName>
    <definedName name="yujhd_4_1" hidden="1">{"Input_Fin",#N/A,FALSE,"By Code";"Input_Opt",#N/A,FALSE,"By Code"}</definedName>
    <definedName name="yujhd_4_1_1" hidden="1">{"Input_Fin",#N/A,FALSE,"By Code";"Input_Opt",#N/A,FALSE,"By Code"}</definedName>
    <definedName name="yujhd_4_1_1_1" hidden="1">{"Input_Fin",#N/A,FALSE,"By Code";"Input_Opt",#N/A,FALSE,"By Code"}</definedName>
    <definedName name="yujhd_4_1_1_2" hidden="1">{"Input_Fin",#N/A,FALSE,"By Code";"Input_Opt",#N/A,FALSE,"By Code"}</definedName>
    <definedName name="yujhd_4_1_1_3" hidden="1">{"Input_Fin",#N/A,FALSE,"By Code";"Input_Opt",#N/A,FALSE,"By Code"}</definedName>
    <definedName name="yujhd_4_1_2" hidden="1">{"Input_Fin",#N/A,FALSE,"By Code";"Input_Opt",#N/A,FALSE,"By Code"}</definedName>
    <definedName name="yujhd_4_1_2_1" hidden="1">{"Input_Fin",#N/A,FALSE,"By Code";"Input_Opt",#N/A,FALSE,"By Code"}</definedName>
    <definedName name="yujhd_4_1_2_2" hidden="1">{"Input_Fin",#N/A,FALSE,"By Code";"Input_Opt",#N/A,FALSE,"By Code"}</definedName>
    <definedName name="yujhd_4_1_3" hidden="1">{"Input_Fin",#N/A,FALSE,"By Code";"Input_Opt",#N/A,FALSE,"By Code"}</definedName>
    <definedName name="yujhd_4_1_4" hidden="1">{"Input_Fin",#N/A,FALSE,"By Code";"Input_Opt",#N/A,FALSE,"By Code"}</definedName>
    <definedName name="yujhd_4_2" hidden="1">{"Input_Fin",#N/A,FALSE,"By Code";"Input_Opt",#N/A,FALSE,"By Code"}</definedName>
    <definedName name="yujhd_4_2_1" hidden="1">{"Input_Fin",#N/A,FALSE,"By Code";"Input_Opt",#N/A,FALSE,"By Code"}</definedName>
    <definedName name="yujhd_4_2_2" hidden="1">{"Input_Fin",#N/A,FALSE,"By Code";"Input_Opt",#N/A,FALSE,"By Code"}</definedName>
    <definedName name="yujhd_4_2_3" hidden="1">{"Input_Fin",#N/A,FALSE,"By Code";"Input_Opt",#N/A,FALSE,"By Code"}</definedName>
    <definedName name="yujhd_4_3" hidden="1">{"Input_Fin",#N/A,FALSE,"By Code";"Input_Opt",#N/A,FALSE,"By Code"}</definedName>
    <definedName name="yujhd_4_3_1" hidden="1">{"Input_Fin",#N/A,FALSE,"By Code";"Input_Opt",#N/A,FALSE,"By Code"}</definedName>
    <definedName name="yujhd_4_3_2" hidden="1">{"Input_Fin",#N/A,FALSE,"By Code";"Input_Opt",#N/A,FALSE,"By Code"}</definedName>
    <definedName name="yujhd_4_4" hidden="1">{"Input_Fin",#N/A,FALSE,"By Code";"Input_Opt",#N/A,FALSE,"By Code"}</definedName>
    <definedName name="yujhd_4_5" hidden="1">{"Input_Fin",#N/A,FALSE,"By Code";"Input_Opt",#N/A,FALSE,"By Code"}</definedName>
    <definedName name="yujhd_5" hidden="1">{"Input_Fin",#N/A,FALSE,"By Code";"Input_Opt",#N/A,FALSE,"By Code"}</definedName>
    <definedName name="yujhd_5_1" hidden="1">{"Input_Fin",#N/A,FALSE,"By Code";"Input_Opt",#N/A,FALSE,"By Code"}</definedName>
    <definedName name="yujhd_5_1_1" hidden="1">{"Input_Fin",#N/A,FALSE,"By Code";"Input_Opt",#N/A,FALSE,"By Code"}</definedName>
    <definedName name="yujhd_5_1_1_1" hidden="1">{"Input_Fin",#N/A,FALSE,"By Code";"Input_Opt",#N/A,FALSE,"By Code"}</definedName>
    <definedName name="yujhd_5_1_1_2" hidden="1">{"Input_Fin",#N/A,FALSE,"By Code";"Input_Opt",#N/A,FALSE,"By Code"}</definedName>
    <definedName name="yujhd_5_1_1_3" hidden="1">{"Input_Fin",#N/A,FALSE,"By Code";"Input_Opt",#N/A,FALSE,"By Code"}</definedName>
    <definedName name="yujhd_5_1_2" hidden="1">{"Input_Fin",#N/A,FALSE,"By Code";"Input_Opt",#N/A,FALSE,"By Code"}</definedName>
    <definedName name="yujhd_5_1_2_1" hidden="1">{"Input_Fin",#N/A,FALSE,"By Code";"Input_Opt",#N/A,FALSE,"By Code"}</definedName>
    <definedName name="yujhd_5_1_2_2" hidden="1">{"Input_Fin",#N/A,FALSE,"By Code";"Input_Opt",#N/A,FALSE,"By Code"}</definedName>
    <definedName name="yujhd_5_1_3" hidden="1">{"Input_Fin",#N/A,FALSE,"By Code";"Input_Opt",#N/A,FALSE,"By Code"}</definedName>
    <definedName name="yujhd_5_1_4" hidden="1">{"Input_Fin",#N/A,FALSE,"By Code";"Input_Opt",#N/A,FALSE,"By Code"}</definedName>
    <definedName name="yujhd_5_2" hidden="1">{"Input_Fin",#N/A,FALSE,"By Code";"Input_Opt",#N/A,FALSE,"By Code"}</definedName>
    <definedName name="yujhd_5_2_1" hidden="1">{"Input_Fin",#N/A,FALSE,"By Code";"Input_Opt",#N/A,FALSE,"By Code"}</definedName>
    <definedName name="yujhd_5_2_2" hidden="1">{"Input_Fin",#N/A,FALSE,"By Code";"Input_Opt",#N/A,FALSE,"By Code"}</definedName>
    <definedName name="yujhd_5_2_3" hidden="1">{"Input_Fin",#N/A,FALSE,"By Code";"Input_Opt",#N/A,FALSE,"By Code"}</definedName>
    <definedName name="yujhd_5_3" hidden="1">{"Input_Fin",#N/A,FALSE,"By Code";"Input_Opt",#N/A,FALSE,"By Code"}</definedName>
    <definedName name="yujhd_5_3_1" hidden="1">{"Input_Fin",#N/A,FALSE,"By Code";"Input_Opt",#N/A,FALSE,"By Code"}</definedName>
    <definedName name="yujhd_5_3_2" hidden="1">{"Input_Fin",#N/A,FALSE,"By Code";"Input_Opt",#N/A,FALSE,"By Code"}</definedName>
    <definedName name="yujhd_5_4" hidden="1">{"Input_Fin",#N/A,FALSE,"By Code";"Input_Opt",#N/A,FALSE,"By Code"}</definedName>
    <definedName name="yujhd_5_5" hidden="1">{"Input_Fin",#N/A,FALSE,"By Code";"Input_Opt",#N/A,FALSE,"By Code"}</definedName>
    <definedName name="Z_2666F02E_A5CD_4C08_BFC3_BC12ACC65A40_.wvu.Cols" localSheetId="12" hidden="1">#REF!,#REF!</definedName>
    <definedName name="Z_2666F02E_A5CD_4C08_BFC3_BC12ACC65A40_.wvu.Cols" hidden="1">#REF!,#REF!</definedName>
    <definedName name="Z_2666F02E_A5CD_4C08_BFC3_BC12ACC65A40_.wvu.PrintArea" localSheetId="12" hidden="1">#REF!</definedName>
    <definedName name="Z_2666F02E_A5CD_4C08_BFC3_BC12ACC65A40_.wvu.PrintArea" hidden="1">#REF!</definedName>
    <definedName name="Z_2666F02E_A5CD_4C08_BFC3_BC12ACC65A40_.wvu.Rows" localSheetId="12" hidden="1">#REF!</definedName>
    <definedName name="Z_2666F02E_A5CD_4C08_BFC3_BC12ACC65A40_.wvu.Rows" hidden="1">#REF!</definedName>
    <definedName name="Z_92178212_88EC_49E5_91A6_FE63A6BD00FF_.wvu.Cols" localSheetId="12" hidden="1">#REF!</definedName>
    <definedName name="Z_92178212_88EC_49E5_91A6_FE63A6BD00FF_.wvu.Cols" hidden="1">#REF!</definedName>
    <definedName name="Z_92178212_88EC_49E5_91A6_FE63A6BD00FF_.wvu.PrintArea" hidden="1">#REF!</definedName>
    <definedName name="Z_E496D2E3_8EFD_11D9_BD0B_00C02681118A_.wvu.Cols" localSheetId="12" hidden="1">#REF!,#REF!</definedName>
    <definedName name="Z_E496D2E3_8EFD_11D9_BD0B_00C02681118A_.wvu.Cols" hidden="1">#REF!,#REF!</definedName>
    <definedName name="Z_E496D2E3_8EFD_11D9_BD0B_00C02681118A_.wvu.PrintArea" localSheetId="12" hidden="1">#REF!</definedName>
    <definedName name="Z_E496D2E3_8EFD_11D9_BD0B_00C02681118A_.wvu.PrintArea" hidden="1">#REF!</definedName>
    <definedName name="zijin0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2" localSheetId="12" hidden="1">{"Input_Fin",#N/A,FALSE,"By Code";"Input_Opt",#N/A,FALSE,"By Code"}</definedName>
    <definedName name="zijin02" hidden="1">{"Input_Fin",#N/A,FALSE,"By Code";"Input_Opt",#N/A,FALSE,"By Code"}</definedName>
    <definedName name="zijin02_1" hidden="1">{"Input_Fin",#N/A,FALSE,"By Code";"Input_Opt",#N/A,FALSE,"By Code"}</definedName>
    <definedName name="zijin02_1_1" hidden="1">{"Input_Fin",#N/A,FALSE,"By Code";"Input_Opt",#N/A,FALSE,"By Code"}</definedName>
    <definedName name="zijin02_1_1_1" hidden="1">{"Input_Fin",#N/A,FALSE,"By Code";"Input_Opt",#N/A,FALSE,"By Code"}</definedName>
    <definedName name="zijin02_1_1_2" hidden="1">{"Input_Fin",#N/A,FALSE,"By Code";"Input_Opt",#N/A,FALSE,"By Code"}</definedName>
    <definedName name="zijin02_1_1_3" hidden="1">{"Input_Fin",#N/A,FALSE,"By Code";"Input_Opt",#N/A,FALSE,"By Code"}</definedName>
    <definedName name="zijin02_1_2" hidden="1">{"Input_Fin",#N/A,FALSE,"By Code";"Input_Opt",#N/A,FALSE,"By Code"}</definedName>
    <definedName name="zijin02_1_2_1" hidden="1">{"Input_Fin",#N/A,FALSE,"By Code";"Input_Opt",#N/A,FALSE,"By Code"}</definedName>
    <definedName name="zijin02_1_2_2" hidden="1">{"Input_Fin",#N/A,FALSE,"By Code";"Input_Opt",#N/A,FALSE,"By Code"}</definedName>
    <definedName name="zijin02_1_3" hidden="1">{"Input_Fin",#N/A,FALSE,"By Code";"Input_Opt",#N/A,FALSE,"By Code"}</definedName>
    <definedName name="zijin02_1_4" hidden="1">{"Input_Fin",#N/A,FALSE,"By Code";"Input_Opt",#N/A,FALSE,"By Code"}</definedName>
    <definedName name="zijin02_2" hidden="1">{"Input_Fin",#N/A,FALSE,"By Code";"Input_Opt",#N/A,FALSE,"By Code"}</definedName>
    <definedName name="zijin02_2_1" hidden="1">{"Input_Fin",#N/A,FALSE,"By Code";"Input_Opt",#N/A,FALSE,"By Code"}</definedName>
    <definedName name="zijin02_2_2" hidden="1">{"Input_Fin",#N/A,FALSE,"By Code";"Input_Opt",#N/A,FALSE,"By Code"}</definedName>
    <definedName name="zijin02_2_3" hidden="1">{"Input_Fin",#N/A,FALSE,"By Code";"Input_Opt",#N/A,FALSE,"By Code"}</definedName>
    <definedName name="zijin02_3" hidden="1">{"Input_Fin",#N/A,FALSE,"By Code";"Input_Opt",#N/A,FALSE,"By Code"}</definedName>
    <definedName name="zijin02_3_1" hidden="1">{"Input_Fin",#N/A,FALSE,"By Code";"Input_Opt",#N/A,FALSE,"By Code"}</definedName>
    <definedName name="zijin02_3_2" hidden="1">{"Input_Fin",#N/A,FALSE,"By Code";"Input_Opt",#N/A,FALSE,"By Code"}</definedName>
    <definedName name="zijin02_4" hidden="1">{"Input_Fin",#N/A,FALSE,"By Code";"Input_Opt",#N/A,FALSE,"By Code"}</definedName>
    <definedName name="zijin02_5" hidden="1">{"Input_Fin",#N/A,FALSE,"By Code";"Input_Opt",#N/A,FALSE,"By Code"}</definedName>
    <definedName name="zijin03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nghong" localSheetId="12" hidden="1">{"Input_Fin",#N/A,FALSE,"By Code";"Input_Opt",#N/A,FALSE,"By Code"}</definedName>
    <definedName name="zinghong" hidden="1">{"Input_Fin",#N/A,FALSE,"By Code";"Input_Opt",#N/A,FALSE,"By Code"}</definedName>
    <definedName name="ZPLA">NA()</definedName>
    <definedName name="ZX">"椭圆 3"</definedName>
    <definedName name="ก" localSheetId="12" hidden="1">#REF!</definedName>
    <definedName name="ก" hidden="1">#REF!</definedName>
    <definedName name="นก" localSheetId="12" hidden="1">#REF!</definedName>
    <definedName name="นก" hidden="1">#REF!</definedName>
    <definedName name="นบ" localSheetId="12" hidden="1">#REF!</definedName>
    <definedName name="นบ" hidden="1">#REF!</definedName>
    <definedName name="ปป" localSheetId="12" hidden="1">{"'Prn2'!$A$4:$N$24"}</definedName>
    <definedName name="ปป" hidden="1">{"'Prn2'!$A$4:$N$24"}</definedName>
    <definedName name="ปป_1" hidden="1">{"'Prn2'!$A$4:$N$24"}</definedName>
    <definedName name="ปป_1_1" hidden="1">{"'Prn2'!$A$4:$N$24"}</definedName>
    <definedName name="ปป_1_1_1" hidden="1">{"'Prn2'!$A$4:$N$24"}</definedName>
    <definedName name="ปป_1_1_2" hidden="1">{"'Prn2'!$A$4:$N$24"}</definedName>
    <definedName name="ปป_1_1_3" hidden="1">{"'Prn2'!$A$4:$N$24"}</definedName>
    <definedName name="ปป_1_2" hidden="1">{"'Prn2'!$A$4:$N$24"}</definedName>
    <definedName name="ปป_1_2_1" hidden="1">{"'Prn2'!$A$4:$N$24"}</definedName>
    <definedName name="ปป_1_2_2" hidden="1">{"'Prn2'!$A$4:$N$24"}</definedName>
    <definedName name="ปป_1_3" hidden="1">{"'Prn2'!$A$4:$N$24"}</definedName>
    <definedName name="ปป_1_4" hidden="1">{"'Prn2'!$A$4:$N$24"}</definedName>
    <definedName name="ปป_2" hidden="1">{"'Prn2'!$A$4:$N$24"}</definedName>
    <definedName name="ปป_2_1" hidden="1">{"'Prn2'!$A$4:$N$24"}</definedName>
    <definedName name="ปป_2_2" hidden="1">{"'Prn2'!$A$4:$N$24"}</definedName>
    <definedName name="ปป_2_3" hidden="1">{"'Prn2'!$A$4:$N$24"}</definedName>
    <definedName name="ปป_3" hidden="1">{"'Prn2'!$A$4:$N$24"}</definedName>
    <definedName name="ปป_3_1" hidden="1">{"'Prn2'!$A$4:$N$24"}</definedName>
    <definedName name="ปป_3_2" hidden="1">{"'Prn2'!$A$4:$N$24"}</definedName>
    <definedName name="ปป_4" hidden="1">{"'Prn2'!$A$4:$N$24"}</definedName>
    <definedName name="ปป_5" hidden="1">{"'Prn2'!$A$4:$N$24"}</definedName>
    <definedName name="ประมาณการผลผลิต" hidden="1">#REF!</definedName>
    <definedName name="ประมาณการผลผลิตกุ้งขาว1" hidden="1">#REF!</definedName>
    <definedName name="ผล" hidden="1">#REF!</definedName>
    <definedName name="วง" hidden="1">#REF!</definedName>
    <definedName name="วงง" hidden="1">#REF!</definedName>
    <definedName name="阿萨" localSheetId="12" hidden="1">{"'Sheet4'!$A$1:$L$41"}</definedName>
    <definedName name="阿萨" hidden="1">{"'Sheet4'!$A$1:$L$41"}</definedName>
    <definedName name="阿瑟" localSheetId="12" hidden="1">{"Input_Fin",#N/A,FALSE,"By Code";"Input_Opt",#N/A,FALSE,"By Code"}</definedName>
    <definedName name="阿瑟" hidden="1">{"Input_Fin",#N/A,FALSE,"By Code";"Input_Opt",#N/A,FALSE,"By Code"}</definedName>
    <definedName name="啊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爱">#N/A</definedName>
    <definedName name="暗示的发的是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爸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白鸡市场占有率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白鸡市场占有率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装" localSheetId="12" hidden="1">{"Input_Fin",#N/A,FALSE,"By Code";"Input_Opt",#N/A,FALSE,"By Code"}</definedName>
    <definedName name="包装" hidden="1">{"Input_Fin",#N/A,FALSE,"By Code";"Input_Opt",#N/A,FALSE,"By Code"}</definedName>
    <definedName name="包装_1" hidden="1">{"Input_Fin",#N/A,FALSE,"By Code";"Input_Opt",#N/A,FALSE,"By Code"}</definedName>
    <definedName name="包装_1_1" hidden="1">{"Input_Fin",#N/A,FALSE,"By Code";"Input_Opt",#N/A,FALSE,"By Code"}</definedName>
    <definedName name="包装_1_1_1" hidden="1">{"Input_Fin",#N/A,FALSE,"By Code";"Input_Opt",#N/A,FALSE,"By Code"}</definedName>
    <definedName name="包装_1_1_1_1" hidden="1">{"Input_Fin",#N/A,FALSE,"By Code";"Input_Opt",#N/A,FALSE,"By Code"}</definedName>
    <definedName name="包装_1_1_1_1_1" hidden="1">{"Input_Fin",#N/A,FALSE,"By Code";"Input_Opt",#N/A,FALSE,"By Code"}</definedName>
    <definedName name="包装_1_1_1_1_2" hidden="1">{"Input_Fin",#N/A,FALSE,"By Code";"Input_Opt",#N/A,FALSE,"By Code"}</definedName>
    <definedName name="包装_1_1_1_1_3" hidden="1">{"Input_Fin",#N/A,FALSE,"By Code";"Input_Opt",#N/A,FALSE,"By Code"}</definedName>
    <definedName name="包装_1_1_1_2" hidden="1">{"Input_Fin",#N/A,FALSE,"By Code";"Input_Opt",#N/A,FALSE,"By Code"}</definedName>
    <definedName name="包装_1_1_1_2_1" hidden="1">{"Input_Fin",#N/A,FALSE,"By Code";"Input_Opt",#N/A,FALSE,"By Code"}</definedName>
    <definedName name="包装_1_1_1_2_2" hidden="1">{"Input_Fin",#N/A,FALSE,"By Code";"Input_Opt",#N/A,FALSE,"By Code"}</definedName>
    <definedName name="包装_1_1_1_3" hidden="1">{"Input_Fin",#N/A,FALSE,"By Code";"Input_Opt",#N/A,FALSE,"By Code"}</definedName>
    <definedName name="包装_1_1_1_3_1" hidden="1">{"Input_Fin",#N/A,FALSE,"By Code";"Input_Opt",#N/A,FALSE,"By Code"}</definedName>
    <definedName name="包装_1_1_1_3_2" hidden="1">{"Input_Fin",#N/A,FALSE,"By Code";"Input_Opt",#N/A,FALSE,"By Code"}</definedName>
    <definedName name="包装_1_1_1_4" hidden="1">{"Input_Fin",#N/A,FALSE,"By Code";"Input_Opt",#N/A,FALSE,"By Code"}</definedName>
    <definedName name="包装_1_1_1_5" hidden="1">{"Input_Fin",#N/A,FALSE,"By Code";"Input_Opt",#N/A,FALSE,"By Code"}</definedName>
    <definedName name="包装_1_1_2" hidden="1">{"Input_Fin",#N/A,FALSE,"By Code";"Input_Opt",#N/A,FALSE,"By Code"}</definedName>
    <definedName name="包装_1_1_2_1" hidden="1">{"Input_Fin",#N/A,FALSE,"By Code";"Input_Opt",#N/A,FALSE,"By Code"}</definedName>
    <definedName name="包装_1_1_2_2" hidden="1">{"Input_Fin",#N/A,FALSE,"By Code";"Input_Opt",#N/A,FALSE,"By Code"}</definedName>
    <definedName name="包装_1_1_2_3" hidden="1">{"Input_Fin",#N/A,FALSE,"By Code";"Input_Opt",#N/A,FALSE,"By Code"}</definedName>
    <definedName name="包装_1_1_3" hidden="1">{"Input_Fin",#N/A,FALSE,"By Code";"Input_Opt",#N/A,FALSE,"By Code"}</definedName>
    <definedName name="包装_1_1_3_1" hidden="1">{"Input_Fin",#N/A,FALSE,"By Code";"Input_Opt",#N/A,FALSE,"By Code"}</definedName>
    <definedName name="包装_1_1_3_2" hidden="1">{"Input_Fin",#N/A,FALSE,"By Code";"Input_Opt",#N/A,FALSE,"By Code"}</definedName>
    <definedName name="包装_1_1_4" hidden="1">{"Input_Fin",#N/A,FALSE,"By Code";"Input_Opt",#N/A,FALSE,"By Code"}</definedName>
    <definedName name="包装_1_1_5" hidden="1">{"Input_Fin",#N/A,FALSE,"By Code";"Input_Opt",#N/A,FALSE,"By Code"}</definedName>
    <definedName name="包装_1_2" hidden="1">{"Input_Fin",#N/A,FALSE,"By Code";"Input_Opt",#N/A,FALSE,"By Code"}</definedName>
    <definedName name="包装_1_2_1" hidden="1">{"Input_Fin",#N/A,FALSE,"By Code";"Input_Opt",#N/A,FALSE,"By Code"}</definedName>
    <definedName name="包装_1_2_2" hidden="1">{"Input_Fin",#N/A,FALSE,"By Code";"Input_Opt",#N/A,FALSE,"By Code"}</definedName>
    <definedName name="包装_1_2_3" hidden="1">{"Input_Fin",#N/A,FALSE,"By Code";"Input_Opt",#N/A,FALSE,"By Code"}</definedName>
    <definedName name="包装_1_3" hidden="1">{"Input_Fin",#N/A,FALSE,"By Code";"Input_Opt",#N/A,FALSE,"By Code"}</definedName>
    <definedName name="包装_1_3_1" hidden="1">{"Input_Fin",#N/A,FALSE,"By Code";"Input_Opt",#N/A,FALSE,"By Code"}</definedName>
    <definedName name="包装_1_3_2" hidden="1">{"Input_Fin",#N/A,FALSE,"By Code";"Input_Opt",#N/A,FALSE,"By Code"}</definedName>
    <definedName name="包装_1_4" hidden="1">{"Input_Fin",#N/A,FALSE,"By Code";"Input_Opt",#N/A,FALSE,"By Code"}</definedName>
    <definedName name="包装_1_5" hidden="1">{"Input_Fin",#N/A,FALSE,"By Code";"Input_Opt",#N/A,FALSE,"By Code"}</definedName>
    <definedName name="包装_2" hidden="1">{"Input_Fin",#N/A,FALSE,"By Code";"Input_Opt",#N/A,FALSE,"By Code"}</definedName>
    <definedName name="包装_2_1" hidden="1">{"Input_Fin",#N/A,FALSE,"By Code";"Input_Opt",#N/A,FALSE,"By Code"}</definedName>
    <definedName name="包装_2_1_1" hidden="1">{"Input_Fin",#N/A,FALSE,"By Code";"Input_Opt",#N/A,FALSE,"By Code"}</definedName>
    <definedName name="包装_2_1_1_1" hidden="1">{"Input_Fin",#N/A,FALSE,"By Code";"Input_Opt",#N/A,FALSE,"By Code"}</definedName>
    <definedName name="包装_2_1_1_2" hidden="1">{"Input_Fin",#N/A,FALSE,"By Code";"Input_Opt",#N/A,FALSE,"By Code"}</definedName>
    <definedName name="包装_2_1_1_3" hidden="1">{"Input_Fin",#N/A,FALSE,"By Code";"Input_Opt",#N/A,FALSE,"By Code"}</definedName>
    <definedName name="包装_2_1_2" hidden="1">{"Input_Fin",#N/A,FALSE,"By Code";"Input_Opt",#N/A,FALSE,"By Code"}</definedName>
    <definedName name="包装_2_1_2_1" hidden="1">{"Input_Fin",#N/A,FALSE,"By Code";"Input_Opt",#N/A,FALSE,"By Code"}</definedName>
    <definedName name="包装_2_1_2_2" hidden="1">{"Input_Fin",#N/A,FALSE,"By Code";"Input_Opt",#N/A,FALSE,"By Code"}</definedName>
    <definedName name="包装_2_1_3" hidden="1">{"Input_Fin",#N/A,FALSE,"By Code";"Input_Opt",#N/A,FALSE,"By Code"}</definedName>
    <definedName name="包装_2_1_4" hidden="1">{"Input_Fin",#N/A,FALSE,"By Code";"Input_Opt",#N/A,FALSE,"By Code"}</definedName>
    <definedName name="包装_2_2" hidden="1">{"Input_Fin",#N/A,FALSE,"By Code";"Input_Opt",#N/A,FALSE,"By Code"}</definedName>
    <definedName name="包装_2_2_1" hidden="1">{"Input_Fin",#N/A,FALSE,"By Code";"Input_Opt",#N/A,FALSE,"By Code"}</definedName>
    <definedName name="包装_2_2_2" hidden="1">{"Input_Fin",#N/A,FALSE,"By Code";"Input_Opt",#N/A,FALSE,"By Code"}</definedName>
    <definedName name="包装_2_2_3" hidden="1">{"Input_Fin",#N/A,FALSE,"By Code";"Input_Opt",#N/A,FALSE,"By Code"}</definedName>
    <definedName name="包装_2_3" hidden="1">{"Input_Fin",#N/A,FALSE,"By Code";"Input_Opt",#N/A,FALSE,"By Code"}</definedName>
    <definedName name="包装_2_3_1" hidden="1">{"Input_Fin",#N/A,FALSE,"By Code";"Input_Opt",#N/A,FALSE,"By Code"}</definedName>
    <definedName name="包装_2_3_2" hidden="1">{"Input_Fin",#N/A,FALSE,"By Code";"Input_Opt",#N/A,FALSE,"By Code"}</definedName>
    <definedName name="包装_2_4" hidden="1">{"Input_Fin",#N/A,FALSE,"By Code";"Input_Opt",#N/A,FALSE,"By Code"}</definedName>
    <definedName name="包装_2_5" hidden="1">{"Input_Fin",#N/A,FALSE,"By Code";"Input_Opt",#N/A,FALSE,"By Code"}</definedName>
    <definedName name="包装_3" hidden="1">{"Input_Fin",#N/A,FALSE,"By Code";"Input_Opt",#N/A,FALSE,"By Code"}</definedName>
    <definedName name="包装_3_1" hidden="1">{"Input_Fin",#N/A,FALSE,"By Code";"Input_Opt",#N/A,FALSE,"By Code"}</definedName>
    <definedName name="包装_3_1_1" hidden="1">{"Input_Fin",#N/A,FALSE,"By Code";"Input_Opt",#N/A,FALSE,"By Code"}</definedName>
    <definedName name="包装_3_1_1_1" hidden="1">{"Input_Fin",#N/A,FALSE,"By Code";"Input_Opt",#N/A,FALSE,"By Code"}</definedName>
    <definedName name="包装_3_1_1_2" hidden="1">{"Input_Fin",#N/A,FALSE,"By Code";"Input_Opt",#N/A,FALSE,"By Code"}</definedName>
    <definedName name="包装_3_1_1_3" hidden="1">{"Input_Fin",#N/A,FALSE,"By Code";"Input_Opt",#N/A,FALSE,"By Code"}</definedName>
    <definedName name="包装_3_1_2" hidden="1">{"Input_Fin",#N/A,FALSE,"By Code";"Input_Opt",#N/A,FALSE,"By Code"}</definedName>
    <definedName name="包装_3_1_2_1" hidden="1">{"Input_Fin",#N/A,FALSE,"By Code";"Input_Opt",#N/A,FALSE,"By Code"}</definedName>
    <definedName name="包装_3_1_2_2" hidden="1">{"Input_Fin",#N/A,FALSE,"By Code";"Input_Opt",#N/A,FALSE,"By Code"}</definedName>
    <definedName name="包装_3_1_3" hidden="1">{"Input_Fin",#N/A,FALSE,"By Code";"Input_Opt",#N/A,FALSE,"By Code"}</definedName>
    <definedName name="包装_3_1_4" hidden="1">{"Input_Fin",#N/A,FALSE,"By Code";"Input_Opt",#N/A,FALSE,"By Code"}</definedName>
    <definedName name="包装_3_2" hidden="1">{"Input_Fin",#N/A,FALSE,"By Code";"Input_Opt",#N/A,FALSE,"By Code"}</definedName>
    <definedName name="包装_3_2_1" hidden="1">{"Input_Fin",#N/A,FALSE,"By Code";"Input_Opt",#N/A,FALSE,"By Code"}</definedName>
    <definedName name="包装_3_2_2" hidden="1">{"Input_Fin",#N/A,FALSE,"By Code";"Input_Opt",#N/A,FALSE,"By Code"}</definedName>
    <definedName name="包装_3_2_3" hidden="1">{"Input_Fin",#N/A,FALSE,"By Code";"Input_Opt",#N/A,FALSE,"By Code"}</definedName>
    <definedName name="包装_3_3" hidden="1">{"Input_Fin",#N/A,FALSE,"By Code";"Input_Opt",#N/A,FALSE,"By Code"}</definedName>
    <definedName name="包装_3_3_1" hidden="1">{"Input_Fin",#N/A,FALSE,"By Code";"Input_Opt",#N/A,FALSE,"By Code"}</definedName>
    <definedName name="包装_3_3_2" hidden="1">{"Input_Fin",#N/A,FALSE,"By Code";"Input_Opt",#N/A,FALSE,"By Code"}</definedName>
    <definedName name="包装_3_4" hidden="1">{"Input_Fin",#N/A,FALSE,"By Code";"Input_Opt",#N/A,FALSE,"By Code"}</definedName>
    <definedName name="包装_3_5" hidden="1">{"Input_Fin",#N/A,FALSE,"By Code";"Input_Opt",#N/A,FALSE,"By Code"}</definedName>
    <definedName name="包装_4" hidden="1">{"Input_Fin",#N/A,FALSE,"By Code";"Input_Opt",#N/A,FALSE,"By Code"}</definedName>
    <definedName name="包装_4_1" hidden="1">{"Input_Fin",#N/A,FALSE,"By Code";"Input_Opt",#N/A,FALSE,"By Code"}</definedName>
    <definedName name="包装_4_1_1" hidden="1">{"Input_Fin",#N/A,FALSE,"By Code";"Input_Opt",#N/A,FALSE,"By Code"}</definedName>
    <definedName name="包装_4_1_1_1" hidden="1">{"Input_Fin",#N/A,FALSE,"By Code";"Input_Opt",#N/A,FALSE,"By Code"}</definedName>
    <definedName name="包装_4_1_1_2" hidden="1">{"Input_Fin",#N/A,FALSE,"By Code";"Input_Opt",#N/A,FALSE,"By Code"}</definedName>
    <definedName name="包装_4_1_1_3" hidden="1">{"Input_Fin",#N/A,FALSE,"By Code";"Input_Opt",#N/A,FALSE,"By Code"}</definedName>
    <definedName name="包装_4_1_2" hidden="1">{"Input_Fin",#N/A,FALSE,"By Code";"Input_Opt",#N/A,FALSE,"By Code"}</definedName>
    <definedName name="包装_4_1_2_1" hidden="1">{"Input_Fin",#N/A,FALSE,"By Code";"Input_Opt",#N/A,FALSE,"By Code"}</definedName>
    <definedName name="包装_4_1_2_2" hidden="1">{"Input_Fin",#N/A,FALSE,"By Code";"Input_Opt",#N/A,FALSE,"By Code"}</definedName>
    <definedName name="包装_4_1_3" hidden="1">{"Input_Fin",#N/A,FALSE,"By Code";"Input_Opt",#N/A,FALSE,"By Code"}</definedName>
    <definedName name="包装_4_1_4" hidden="1">{"Input_Fin",#N/A,FALSE,"By Code";"Input_Opt",#N/A,FALSE,"By Code"}</definedName>
    <definedName name="包装_4_2" hidden="1">{"Input_Fin",#N/A,FALSE,"By Code";"Input_Opt",#N/A,FALSE,"By Code"}</definedName>
    <definedName name="包装_4_2_1" hidden="1">{"Input_Fin",#N/A,FALSE,"By Code";"Input_Opt",#N/A,FALSE,"By Code"}</definedName>
    <definedName name="包装_4_2_2" hidden="1">{"Input_Fin",#N/A,FALSE,"By Code";"Input_Opt",#N/A,FALSE,"By Code"}</definedName>
    <definedName name="包装_4_2_3" hidden="1">{"Input_Fin",#N/A,FALSE,"By Code";"Input_Opt",#N/A,FALSE,"By Code"}</definedName>
    <definedName name="包装_4_3" hidden="1">{"Input_Fin",#N/A,FALSE,"By Code";"Input_Opt",#N/A,FALSE,"By Code"}</definedName>
    <definedName name="包装_4_3_1" hidden="1">{"Input_Fin",#N/A,FALSE,"By Code";"Input_Opt",#N/A,FALSE,"By Code"}</definedName>
    <definedName name="包装_4_3_2" hidden="1">{"Input_Fin",#N/A,FALSE,"By Code";"Input_Opt",#N/A,FALSE,"By Code"}</definedName>
    <definedName name="包装_4_4" hidden="1">{"Input_Fin",#N/A,FALSE,"By Code";"Input_Opt",#N/A,FALSE,"By Code"}</definedName>
    <definedName name="包装_4_5" hidden="1">{"Input_Fin",#N/A,FALSE,"By Code";"Input_Opt",#N/A,FALSE,"By Code"}</definedName>
    <definedName name="包装_5" hidden="1">{"Input_Fin",#N/A,FALSE,"By Code";"Input_Opt",#N/A,FALSE,"By Code"}</definedName>
    <definedName name="包装_5_1" hidden="1">{"Input_Fin",#N/A,FALSE,"By Code";"Input_Opt",#N/A,FALSE,"By Code"}</definedName>
    <definedName name="包装_5_1_1" hidden="1">{"Input_Fin",#N/A,FALSE,"By Code";"Input_Opt",#N/A,FALSE,"By Code"}</definedName>
    <definedName name="包装_5_1_1_1" hidden="1">{"Input_Fin",#N/A,FALSE,"By Code";"Input_Opt",#N/A,FALSE,"By Code"}</definedName>
    <definedName name="包装_5_1_1_2" hidden="1">{"Input_Fin",#N/A,FALSE,"By Code";"Input_Opt",#N/A,FALSE,"By Code"}</definedName>
    <definedName name="包装_5_1_1_3" hidden="1">{"Input_Fin",#N/A,FALSE,"By Code";"Input_Opt",#N/A,FALSE,"By Code"}</definedName>
    <definedName name="包装_5_1_2" hidden="1">{"Input_Fin",#N/A,FALSE,"By Code";"Input_Opt",#N/A,FALSE,"By Code"}</definedName>
    <definedName name="包装_5_1_2_1" hidden="1">{"Input_Fin",#N/A,FALSE,"By Code";"Input_Opt",#N/A,FALSE,"By Code"}</definedName>
    <definedName name="包装_5_1_2_2" hidden="1">{"Input_Fin",#N/A,FALSE,"By Code";"Input_Opt",#N/A,FALSE,"By Code"}</definedName>
    <definedName name="包装_5_1_3" hidden="1">{"Input_Fin",#N/A,FALSE,"By Code";"Input_Opt",#N/A,FALSE,"By Code"}</definedName>
    <definedName name="包装_5_1_4" hidden="1">{"Input_Fin",#N/A,FALSE,"By Code";"Input_Opt",#N/A,FALSE,"By Code"}</definedName>
    <definedName name="包装_5_2" hidden="1">{"Input_Fin",#N/A,FALSE,"By Code";"Input_Opt",#N/A,FALSE,"By Code"}</definedName>
    <definedName name="包装_5_2_1" hidden="1">{"Input_Fin",#N/A,FALSE,"By Code";"Input_Opt",#N/A,FALSE,"By Code"}</definedName>
    <definedName name="包装_5_2_2" hidden="1">{"Input_Fin",#N/A,FALSE,"By Code";"Input_Opt",#N/A,FALSE,"By Code"}</definedName>
    <definedName name="包装_5_2_3" hidden="1">{"Input_Fin",#N/A,FALSE,"By Code";"Input_Opt",#N/A,FALSE,"By Code"}</definedName>
    <definedName name="包装_5_3" hidden="1">{"Input_Fin",#N/A,FALSE,"By Code";"Input_Opt",#N/A,FALSE,"By Code"}</definedName>
    <definedName name="包装_5_3_1" hidden="1">{"Input_Fin",#N/A,FALSE,"By Code";"Input_Opt",#N/A,FALSE,"By Code"}</definedName>
    <definedName name="包装_5_3_2" hidden="1">{"Input_Fin",#N/A,FALSE,"By Code";"Input_Opt",#N/A,FALSE,"By Code"}</definedName>
    <definedName name="包装_5_4" hidden="1">{"Input_Fin",#N/A,FALSE,"By Code";"Input_Opt",#N/A,FALSE,"By Code"}</definedName>
    <definedName name="包装_5_5" hidden="1">{"Input_Fin",#N/A,FALSE,"By Code";"Input_Opt",#N/A,FALSE,"By Code"}</definedName>
    <definedName name="本月饲料利润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笔" hidden="1">{"'Sheet4'!$A$1:$L$41"}</definedName>
    <definedName name="伯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不良辅料明细9月" hidden="1">{"'Sheet4'!$A$1:$L$41"}</definedName>
    <definedName name="不良竹签1" hidden="1">{"Input_Fin",#N/A,FALSE,"By Code";"Input_Opt",#N/A,FALSE,"By Code"}</definedName>
    <definedName name="采购部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昌" hidden="1">{"'Sheet4'!$A$1:$L$41"}</definedName>
    <definedName name="超期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超期60天以上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超期库存" hidden="1">{"Input_Fin",#N/A,FALSE,"By Code";"Input_Opt",#N/A,FALSE,"By Code"}</definedName>
    <definedName name="超期库存60天以上" hidden="1">{"Input_Fin",#N/A,FALSE,"By Code";"Input_Opt",#N/A,FALSE,"By Code"}</definedName>
    <definedName name="出口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预计生产、发货量" hidden="1">{"Input_Fin",#N/A,FALSE,"By Code";"Input_Opt",#N/A,FALSE,"By Code"}</definedName>
    <definedName name="畜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畜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1" hidden="1">{"'Sheet4'!$A$1:$L$41"}</definedName>
    <definedName name="打算非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发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带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带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贷款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贷款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贷款表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贷款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待摊费用附表1" localSheetId="12" hidden="1">{"'Sheet4'!$A$1:$L$41"}</definedName>
    <definedName name="待摊费用附表1" hidden="1">{"'Sheet4'!$A$1:$L$41"}</definedName>
    <definedName name="待摊费用附表1_1" hidden="1">{"'Sheet4'!$A$1:$L$41"}</definedName>
    <definedName name="待摊费用附表1_1_1" hidden="1">{"'Sheet4'!$A$1:$L$41"}</definedName>
    <definedName name="待摊费用附表1_1_1_1" hidden="1">{"'Sheet4'!$A$1:$L$41"}</definedName>
    <definedName name="待摊费用附表1_1_1_1_1" hidden="1">{"'Sheet4'!$A$1:$L$41"}</definedName>
    <definedName name="待摊费用附表1_1_1_1_1_1" hidden="1">{"'Sheet4'!$A$1:$L$41"}</definedName>
    <definedName name="待摊费用附表1_1_1_1_1_2" hidden="1">{"'Sheet4'!$A$1:$L$41"}</definedName>
    <definedName name="待摊费用附表1_1_1_1_1_3" hidden="1">{"'Sheet4'!$A$1:$L$41"}</definedName>
    <definedName name="待摊费用附表1_1_1_1_2" hidden="1">{"'Sheet4'!$A$1:$L$41"}</definedName>
    <definedName name="待摊费用附表1_1_1_1_2_1" hidden="1">{"'Sheet4'!$A$1:$L$41"}</definedName>
    <definedName name="待摊费用附表1_1_1_1_2_2" hidden="1">{"'Sheet4'!$A$1:$L$41"}</definedName>
    <definedName name="待摊费用附表1_1_1_1_3" hidden="1">{"'Sheet4'!$A$1:$L$41"}</definedName>
    <definedName name="待摊费用附表1_1_1_1_3_1" hidden="1">{"'Sheet4'!$A$1:$L$41"}</definedName>
    <definedName name="待摊费用附表1_1_1_1_3_2" hidden="1">{"'Sheet4'!$A$1:$L$41"}</definedName>
    <definedName name="待摊费用附表1_1_1_1_4" hidden="1">{"'Sheet4'!$A$1:$L$41"}</definedName>
    <definedName name="待摊费用附表1_1_1_1_5" hidden="1">{"'Sheet4'!$A$1:$L$41"}</definedName>
    <definedName name="待摊费用附表1_1_1_2" hidden="1">{"'Sheet4'!$A$1:$L$41"}</definedName>
    <definedName name="待摊费用附表1_1_1_2_1" hidden="1">{"'Sheet4'!$A$1:$L$41"}</definedName>
    <definedName name="待摊费用附表1_1_1_2_2" hidden="1">{"'Sheet4'!$A$1:$L$41"}</definedName>
    <definedName name="待摊费用附表1_1_1_2_3" hidden="1">{"'Sheet4'!$A$1:$L$41"}</definedName>
    <definedName name="待摊费用附表1_1_1_3" hidden="1">{"'Sheet4'!$A$1:$L$41"}</definedName>
    <definedName name="待摊费用附表1_1_1_3_1" hidden="1">{"'Sheet4'!$A$1:$L$41"}</definedName>
    <definedName name="待摊费用附表1_1_1_3_2" hidden="1">{"'Sheet4'!$A$1:$L$41"}</definedName>
    <definedName name="待摊费用附表1_1_1_4" hidden="1">{"'Sheet4'!$A$1:$L$41"}</definedName>
    <definedName name="待摊费用附表1_1_1_5" hidden="1">{"'Sheet4'!$A$1:$L$41"}</definedName>
    <definedName name="待摊费用附表1_1_2" hidden="1">{"'Sheet4'!$A$1:$L$41"}</definedName>
    <definedName name="待摊费用附表1_1_2_1" hidden="1">{"'Sheet4'!$A$1:$L$41"}</definedName>
    <definedName name="待摊费用附表1_1_2_2" hidden="1">{"'Sheet4'!$A$1:$L$41"}</definedName>
    <definedName name="待摊费用附表1_1_2_3" hidden="1">{"'Sheet4'!$A$1:$L$41"}</definedName>
    <definedName name="待摊费用附表1_1_3" hidden="1">{"'Sheet4'!$A$1:$L$41"}</definedName>
    <definedName name="待摊费用附表1_1_3_1" hidden="1">{"'Sheet4'!$A$1:$L$41"}</definedName>
    <definedName name="待摊费用附表1_1_3_2" hidden="1">{"'Sheet4'!$A$1:$L$41"}</definedName>
    <definedName name="待摊费用附表1_1_4" hidden="1">{"'Sheet4'!$A$1:$L$41"}</definedName>
    <definedName name="待摊费用附表1_1_5" hidden="1">{"'Sheet4'!$A$1:$L$41"}</definedName>
    <definedName name="待摊费用附表1_2" hidden="1">{"'Sheet4'!$A$1:$L$41"}</definedName>
    <definedName name="待摊费用附表1_2_1" hidden="1">{"'Sheet4'!$A$1:$L$41"}</definedName>
    <definedName name="待摊费用附表1_2_1_1" hidden="1">{"'Sheet4'!$A$1:$L$41"}</definedName>
    <definedName name="待摊费用附表1_2_1_1_1" hidden="1">{"'Sheet4'!$A$1:$L$41"}</definedName>
    <definedName name="待摊费用附表1_2_1_1_2" hidden="1">{"'Sheet4'!$A$1:$L$41"}</definedName>
    <definedName name="待摊费用附表1_2_1_1_3" hidden="1">{"'Sheet4'!$A$1:$L$41"}</definedName>
    <definedName name="待摊费用附表1_2_1_2" hidden="1">{"'Sheet4'!$A$1:$L$41"}</definedName>
    <definedName name="待摊费用附表1_2_1_2_1" hidden="1">{"'Sheet4'!$A$1:$L$41"}</definedName>
    <definedName name="待摊费用附表1_2_1_2_2" hidden="1">{"'Sheet4'!$A$1:$L$41"}</definedName>
    <definedName name="待摊费用附表1_2_1_3" hidden="1">{"'Sheet4'!$A$1:$L$41"}</definedName>
    <definedName name="待摊费用附表1_2_1_4" hidden="1">{"'Sheet4'!$A$1:$L$41"}</definedName>
    <definedName name="待摊费用附表1_2_2" hidden="1">{"'Sheet4'!$A$1:$L$41"}</definedName>
    <definedName name="待摊费用附表1_2_2_1" hidden="1">{"'Sheet4'!$A$1:$L$41"}</definedName>
    <definedName name="待摊费用附表1_2_2_2" hidden="1">{"'Sheet4'!$A$1:$L$41"}</definedName>
    <definedName name="待摊费用附表1_2_2_3" hidden="1">{"'Sheet4'!$A$1:$L$41"}</definedName>
    <definedName name="待摊费用附表1_2_3" hidden="1">{"'Sheet4'!$A$1:$L$41"}</definedName>
    <definedName name="待摊费用附表1_2_3_1" hidden="1">{"'Sheet4'!$A$1:$L$41"}</definedName>
    <definedName name="待摊费用附表1_2_3_2" hidden="1">{"'Sheet4'!$A$1:$L$41"}</definedName>
    <definedName name="待摊费用附表1_2_4" hidden="1">{"'Sheet4'!$A$1:$L$41"}</definedName>
    <definedName name="待摊费用附表1_2_5" hidden="1">{"'Sheet4'!$A$1:$L$41"}</definedName>
    <definedName name="待摊费用附表1_3" hidden="1">{"'Sheet4'!$A$1:$L$41"}</definedName>
    <definedName name="待摊费用附表1_3_1" hidden="1">{"'Sheet4'!$A$1:$L$41"}</definedName>
    <definedName name="待摊费用附表1_3_1_1" hidden="1">{"'Sheet4'!$A$1:$L$41"}</definedName>
    <definedName name="待摊费用附表1_3_1_1_1" hidden="1">{"'Sheet4'!$A$1:$L$41"}</definedName>
    <definedName name="待摊费用附表1_3_1_1_2" hidden="1">{"'Sheet4'!$A$1:$L$41"}</definedName>
    <definedName name="待摊费用附表1_3_1_1_3" hidden="1">{"'Sheet4'!$A$1:$L$41"}</definedName>
    <definedName name="待摊费用附表1_3_1_2" hidden="1">{"'Sheet4'!$A$1:$L$41"}</definedName>
    <definedName name="待摊费用附表1_3_1_2_1" hidden="1">{"'Sheet4'!$A$1:$L$41"}</definedName>
    <definedName name="待摊费用附表1_3_1_2_2" hidden="1">{"'Sheet4'!$A$1:$L$41"}</definedName>
    <definedName name="待摊费用附表1_3_1_3" hidden="1">{"'Sheet4'!$A$1:$L$41"}</definedName>
    <definedName name="待摊费用附表1_3_1_4" hidden="1">{"'Sheet4'!$A$1:$L$41"}</definedName>
    <definedName name="待摊费用附表1_3_2" hidden="1">{"'Sheet4'!$A$1:$L$41"}</definedName>
    <definedName name="待摊费用附表1_3_2_1" hidden="1">{"'Sheet4'!$A$1:$L$41"}</definedName>
    <definedName name="待摊费用附表1_3_2_2" hidden="1">{"'Sheet4'!$A$1:$L$41"}</definedName>
    <definedName name="待摊费用附表1_3_2_3" hidden="1">{"'Sheet4'!$A$1:$L$41"}</definedName>
    <definedName name="待摊费用附表1_3_3" hidden="1">{"'Sheet4'!$A$1:$L$41"}</definedName>
    <definedName name="待摊费用附表1_3_3_1" hidden="1">{"'Sheet4'!$A$1:$L$41"}</definedName>
    <definedName name="待摊费用附表1_3_3_2" hidden="1">{"'Sheet4'!$A$1:$L$41"}</definedName>
    <definedName name="待摊费用附表1_3_4" hidden="1">{"'Sheet4'!$A$1:$L$41"}</definedName>
    <definedName name="待摊费用附表1_3_5" hidden="1">{"'Sheet4'!$A$1:$L$41"}</definedName>
    <definedName name="待摊费用附表1_4" hidden="1">{"'Sheet4'!$A$1:$L$41"}</definedName>
    <definedName name="待摊费用附表1_4_1" hidden="1">{"'Sheet4'!$A$1:$L$41"}</definedName>
    <definedName name="待摊费用附表1_4_1_1" hidden="1">{"'Sheet4'!$A$1:$L$41"}</definedName>
    <definedName name="待摊费用附表1_4_1_1_1" hidden="1">{"'Sheet4'!$A$1:$L$41"}</definedName>
    <definedName name="待摊费用附表1_4_1_1_2" hidden="1">{"'Sheet4'!$A$1:$L$41"}</definedName>
    <definedName name="待摊费用附表1_4_1_1_3" hidden="1">{"'Sheet4'!$A$1:$L$41"}</definedName>
    <definedName name="待摊费用附表1_4_1_2" hidden="1">{"'Sheet4'!$A$1:$L$41"}</definedName>
    <definedName name="待摊费用附表1_4_1_2_1" hidden="1">{"'Sheet4'!$A$1:$L$41"}</definedName>
    <definedName name="待摊费用附表1_4_1_2_2" hidden="1">{"'Sheet4'!$A$1:$L$41"}</definedName>
    <definedName name="待摊费用附表1_4_1_3" hidden="1">{"'Sheet4'!$A$1:$L$41"}</definedName>
    <definedName name="待摊费用附表1_4_1_4" hidden="1">{"'Sheet4'!$A$1:$L$41"}</definedName>
    <definedName name="待摊费用附表1_4_2" hidden="1">{"'Sheet4'!$A$1:$L$41"}</definedName>
    <definedName name="待摊费用附表1_4_2_1" hidden="1">{"'Sheet4'!$A$1:$L$41"}</definedName>
    <definedName name="待摊费用附表1_4_2_2" hidden="1">{"'Sheet4'!$A$1:$L$41"}</definedName>
    <definedName name="待摊费用附表1_4_2_3" hidden="1">{"'Sheet4'!$A$1:$L$41"}</definedName>
    <definedName name="待摊费用附表1_4_3" hidden="1">{"'Sheet4'!$A$1:$L$41"}</definedName>
    <definedName name="待摊费用附表1_4_3_1" hidden="1">{"'Sheet4'!$A$1:$L$41"}</definedName>
    <definedName name="待摊费用附表1_4_3_2" hidden="1">{"'Sheet4'!$A$1:$L$41"}</definedName>
    <definedName name="待摊费用附表1_4_4" hidden="1">{"'Sheet4'!$A$1:$L$41"}</definedName>
    <definedName name="待摊费用附表1_4_5" hidden="1">{"'Sheet4'!$A$1:$L$41"}</definedName>
    <definedName name="待摊费用附表1_5" hidden="1">{"'Sheet4'!$A$1:$L$41"}</definedName>
    <definedName name="待摊费用附表1_5_1" hidden="1">{"'Sheet4'!$A$1:$L$41"}</definedName>
    <definedName name="待摊费用附表1_5_1_1" hidden="1">{"'Sheet4'!$A$1:$L$41"}</definedName>
    <definedName name="待摊费用附表1_5_1_1_1" hidden="1">{"'Sheet4'!$A$1:$L$41"}</definedName>
    <definedName name="待摊费用附表1_5_1_1_2" hidden="1">{"'Sheet4'!$A$1:$L$41"}</definedName>
    <definedName name="待摊费用附表1_5_1_1_3" hidden="1">{"'Sheet4'!$A$1:$L$41"}</definedName>
    <definedName name="待摊费用附表1_5_1_2" hidden="1">{"'Sheet4'!$A$1:$L$41"}</definedName>
    <definedName name="待摊费用附表1_5_1_2_1" hidden="1">{"'Sheet4'!$A$1:$L$41"}</definedName>
    <definedName name="待摊费用附表1_5_1_2_2" hidden="1">{"'Sheet4'!$A$1:$L$41"}</definedName>
    <definedName name="待摊费用附表1_5_1_3" hidden="1">{"'Sheet4'!$A$1:$L$41"}</definedName>
    <definedName name="待摊费用附表1_5_1_4" hidden="1">{"'Sheet4'!$A$1:$L$41"}</definedName>
    <definedName name="待摊费用附表1_5_2" hidden="1">{"'Sheet4'!$A$1:$L$41"}</definedName>
    <definedName name="待摊费用附表1_5_2_1" hidden="1">{"'Sheet4'!$A$1:$L$41"}</definedName>
    <definedName name="待摊费用附表1_5_2_2" hidden="1">{"'Sheet4'!$A$1:$L$41"}</definedName>
    <definedName name="待摊费用附表1_5_2_3" hidden="1">{"'Sheet4'!$A$1:$L$41"}</definedName>
    <definedName name="待摊费用附表1_5_3" hidden="1">{"'Sheet4'!$A$1:$L$41"}</definedName>
    <definedName name="待摊费用附表1_5_3_1" hidden="1">{"'Sheet4'!$A$1:$L$41"}</definedName>
    <definedName name="待摊费用附表1_5_3_2" hidden="1">{"'Sheet4'!$A$1:$L$41"}</definedName>
    <definedName name="待摊费用附表1_5_4" hidden="1">{"'Sheet4'!$A$1:$L$41"}</definedName>
    <definedName name="待摊费用附表1_5_5" hidden="1">{"'Sheet4'!$A$1:$L$41"}</definedName>
    <definedName name="待摊费用明细表1月" localSheetId="12" hidden="1">{"'Sheet4'!$A$1:$L$41"}</definedName>
    <definedName name="待摊费用明细表1月" hidden="1">{"'Sheet4'!$A$1:$L$41"}</definedName>
    <definedName name="待摊费用明细表1月_1" hidden="1">{"'Sheet4'!$A$1:$L$41"}</definedName>
    <definedName name="待摊费用明细表1月_1_1" hidden="1">{"'Sheet4'!$A$1:$L$41"}</definedName>
    <definedName name="待摊费用明细表1月_1_1_1" hidden="1">{"'Sheet4'!$A$1:$L$41"}</definedName>
    <definedName name="待摊费用明细表1月_1_1_1_1" hidden="1">{"'Sheet4'!$A$1:$L$41"}</definedName>
    <definedName name="待摊费用明细表1月_1_1_1_1_1" hidden="1">{"'Sheet4'!$A$1:$L$41"}</definedName>
    <definedName name="待摊费用明细表1月_1_1_1_1_2" hidden="1">{"'Sheet4'!$A$1:$L$41"}</definedName>
    <definedName name="待摊费用明细表1月_1_1_1_1_3" hidden="1">{"'Sheet4'!$A$1:$L$41"}</definedName>
    <definedName name="待摊费用明细表1月_1_1_1_2" hidden="1">{"'Sheet4'!$A$1:$L$41"}</definedName>
    <definedName name="待摊费用明细表1月_1_1_1_2_1" hidden="1">{"'Sheet4'!$A$1:$L$41"}</definedName>
    <definedName name="待摊费用明细表1月_1_1_1_2_2" hidden="1">{"'Sheet4'!$A$1:$L$41"}</definedName>
    <definedName name="待摊费用明细表1月_1_1_1_3" hidden="1">{"'Sheet4'!$A$1:$L$41"}</definedName>
    <definedName name="待摊费用明细表1月_1_1_1_3_1" hidden="1">{"'Sheet4'!$A$1:$L$41"}</definedName>
    <definedName name="待摊费用明细表1月_1_1_1_3_2" hidden="1">{"'Sheet4'!$A$1:$L$41"}</definedName>
    <definedName name="待摊费用明细表1月_1_1_1_4" hidden="1">{"'Sheet4'!$A$1:$L$41"}</definedName>
    <definedName name="待摊费用明细表1月_1_1_1_5" hidden="1">{"'Sheet4'!$A$1:$L$41"}</definedName>
    <definedName name="待摊费用明细表1月_1_1_2" hidden="1">{"'Sheet4'!$A$1:$L$41"}</definedName>
    <definedName name="待摊费用明细表1月_1_1_2_1" hidden="1">{"'Sheet4'!$A$1:$L$41"}</definedName>
    <definedName name="待摊费用明细表1月_1_1_2_2" hidden="1">{"'Sheet4'!$A$1:$L$41"}</definedName>
    <definedName name="待摊费用明细表1月_1_1_2_3" hidden="1">{"'Sheet4'!$A$1:$L$41"}</definedName>
    <definedName name="待摊费用明细表1月_1_1_3" hidden="1">{"'Sheet4'!$A$1:$L$41"}</definedName>
    <definedName name="待摊费用明细表1月_1_1_3_1" hidden="1">{"'Sheet4'!$A$1:$L$41"}</definedName>
    <definedName name="待摊费用明细表1月_1_1_3_2" hidden="1">{"'Sheet4'!$A$1:$L$41"}</definedName>
    <definedName name="待摊费用明细表1月_1_1_4" hidden="1">{"'Sheet4'!$A$1:$L$41"}</definedName>
    <definedName name="待摊费用明细表1月_1_1_5" hidden="1">{"'Sheet4'!$A$1:$L$41"}</definedName>
    <definedName name="待摊费用明细表1月_1_2" hidden="1">{"'Sheet4'!$A$1:$L$41"}</definedName>
    <definedName name="待摊费用明细表1月_1_2_1" hidden="1">{"'Sheet4'!$A$1:$L$41"}</definedName>
    <definedName name="待摊费用明细表1月_1_2_2" hidden="1">{"'Sheet4'!$A$1:$L$41"}</definedName>
    <definedName name="待摊费用明细表1月_1_2_3" hidden="1">{"'Sheet4'!$A$1:$L$41"}</definedName>
    <definedName name="待摊费用明细表1月_1_3" hidden="1">{"'Sheet4'!$A$1:$L$41"}</definedName>
    <definedName name="待摊费用明细表1月_1_3_1" hidden="1">{"'Sheet4'!$A$1:$L$41"}</definedName>
    <definedName name="待摊费用明细表1月_1_3_2" hidden="1">{"'Sheet4'!$A$1:$L$41"}</definedName>
    <definedName name="待摊费用明细表1月_1_4" hidden="1">{"'Sheet4'!$A$1:$L$41"}</definedName>
    <definedName name="待摊费用明细表1月_1_5" hidden="1">{"'Sheet4'!$A$1:$L$41"}</definedName>
    <definedName name="待摊费用明细表1月_2" hidden="1">{"'Sheet4'!$A$1:$L$41"}</definedName>
    <definedName name="待摊费用明细表1月_2_1" hidden="1">{"'Sheet4'!$A$1:$L$41"}</definedName>
    <definedName name="待摊费用明细表1月_2_1_1" hidden="1">{"'Sheet4'!$A$1:$L$41"}</definedName>
    <definedName name="待摊费用明细表1月_2_1_1_1" hidden="1">{"'Sheet4'!$A$1:$L$41"}</definedName>
    <definedName name="待摊费用明细表1月_2_1_1_2" hidden="1">{"'Sheet4'!$A$1:$L$41"}</definedName>
    <definedName name="待摊费用明细表1月_2_1_1_3" hidden="1">{"'Sheet4'!$A$1:$L$41"}</definedName>
    <definedName name="待摊费用明细表1月_2_1_2" hidden="1">{"'Sheet4'!$A$1:$L$41"}</definedName>
    <definedName name="待摊费用明细表1月_2_1_2_1" hidden="1">{"'Sheet4'!$A$1:$L$41"}</definedName>
    <definedName name="待摊费用明细表1月_2_1_2_2" hidden="1">{"'Sheet4'!$A$1:$L$41"}</definedName>
    <definedName name="待摊费用明细表1月_2_1_3" hidden="1">{"'Sheet4'!$A$1:$L$41"}</definedName>
    <definedName name="待摊费用明细表1月_2_1_4" hidden="1">{"'Sheet4'!$A$1:$L$41"}</definedName>
    <definedName name="待摊费用明细表1月_2_2" hidden="1">{"'Sheet4'!$A$1:$L$41"}</definedName>
    <definedName name="待摊费用明细表1月_2_2_1" hidden="1">{"'Sheet4'!$A$1:$L$41"}</definedName>
    <definedName name="待摊费用明细表1月_2_2_2" hidden="1">{"'Sheet4'!$A$1:$L$41"}</definedName>
    <definedName name="待摊费用明细表1月_2_2_3" hidden="1">{"'Sheet4'!$A$1:$L$41"}</definedName>
    <definedName name="待摊费用明细表1月_2_3" hidden="1">{"'Sheet4'!$A$1:$L$41"}</definedName>
    <definedName name="待摊费用明细表1月_2_3_1" hidden="1">{"'Sheet4'!$A$1:$L$41"}</definedName>
    <definedName name="待摊费用明细表1月_2_3_2" hidden="1">{"'Sheet4'!$A$1:$L$41"}</definedName>
    <definedName name="待摊费用明细表1月_2_4" hidden="1">{"'Sheet4'!$A$1:$L$41"}</definedName>
    <definedName name="待摊费用明细表1月_2_5" hidden="1">{"'Sheet4'!$A$1:$L$41"}</definedName>
    <definedName name="待摊费用明细表1月_3" hidden="1">{"'Sheet4'!$A$1:$L$41"}</definedName>
    <definedName name="待摊费用明细表1月_3_1" hidden="1">{"'Sheet4'!$A$1:$L$41"}</definedName>
    <definedName name="待摊费用明细表1月_3_1_1" hidden="1">{"'Sheet4'!$A$1:$L$41"}</definedName>
    <definedName name="待摊费用明细表1月_3_1_1_1" hidden="1">{"'Sheet4'!$A$1:$L$41"}</definedName>
    <definedName name="待摊费用明细表1月_3_1_1_2" hidden="1">{"'Sheet4'!$A$1:$L$41"}</definedName>
    <definedName name="待摊费用明细表1月_3_1_1_3" hidden="1">{"'Sheet4'!$A$1:$L$41"}</definedName>
    <definedName name="待摊费用明细表1月_3_1_2" hidden="1">{"'Sheet4'!$A$1:$L$41"}</definedName>
    <definedName name="待摊费用明细表1月_3_1_2_1" hidden="1">{"'Sheet4'!$A$1:$L$41"}</definedName>
    <definedName name="待摊费用明细表1月_3_1_2_2" hidden="1">{"'Sheet4'!$A$1:$L$41"}</definedName>
    <definedName name="待摊费用明细表1月_3_1_3" hidden="1">{"'Sheet4'!$A$1:$L$41"}</definedName>
    <definedName name="待摊费用明细表1月_3_1_4" hidden="1">{"'Sheet4'!$A$1:$L$41"}</definedName>
    <definedName name="待摊费用明细表1月_3_2" hidden="1">{"'Sheet4'!$A$1:$L$41"}</definedName>
    <definedName name="待摊费用明细表1月_3_2_1" hidden="1">{"'Sheet4'!$A$1:$L$41"}</definedName>
    <definedName name="待摊费用明细表1月_3_2_2" hidden="1">{"'Sheet4'!$A$1:$L$41"}</definedName>
    <definedName name="待摊费用明细表1月_3_2_3" hidden="1">{"'Sheet4'!$A$1:$L$41"}</definedName>
    <definedName name="待摊费用明细表1月_3_3" hidden="1">{"'Sheet4'!$A$1:$L$41"}</definedName>
    <definedName name="待摊费用明细表1月_3_3_1" hidden="1">{"'Sheet4'!$A$1:$L$41"}</definedName>
    <definedName name="待摊费用明细表1月_3_3_2" hidden="1">{"'Sheet4'!$A$1:$L$41"}</definedName>
    <definedName name="待摊费用明细表1月_3_4" hidden="1">{"'Sheet4'!$A$1:$L$41"}</definedName>
    <definedName name="待摊费用明细表1月_3_5" hidden="1">{"'Sheet4'!$A$1:$L$41"}</definedName>
    <definedName name="待摊费用明细表1月_4" hidden="1">{"'Sheet4'!$A$1:$L$41"}</definedName>
    <definedName name="待摊费用明细表1月_4_1" hidden="1">{"'Sheet4'!$A$1:$L$41"}</definedName>
    <definedName name="待摊费用明细表1月_4_1_1" hidden="1">{"'Sheet4'!$A$1:$L$41"}</definedName>
    <definedName name="待摊费用明细表1月_4_1_1_1" hidden="1">{"'Sheet4'!$A$1:$L$41"}</definedName>
    <definedName name="待摊费用明细表1月_4_1_1_2" hidden="1">{"'Sheet4'!$A$1:$L$41"}</definedName>
    <definedName name="待摊费用明细表1月_4_1_1_3" hidden="1">{"'Sheet4'!$A$1:$L$41"}</definedName>
    <definedName name="待摊费用明细表1月_4_1_2" hidden="1">{"'Sheet4'!$A$1:$L$41"}</definedName>
    <definedName name="待摊费用明细表1月_4_1_2_1" hidden="1">{"'Sheet4'!$A$1:$L$41"}</definedName>
    <definedName name="待摊费用明细表1月_4_1_2_2" hidden="1">{"'Sheet4'!$A$1:$L$41"}</definedName>
    <definedName name="待摊费用明细表1月_4_1_3" hidden="1">{"'Sheet4'!$A$1:$L$41"}</definedName>
    <definedName name="待摊费用明细表1月_4_1_4" hidden="1">{"'Sheet4'!$A$1:$L$41"}</definedName>
    <definedName name="待摊费用明细表1月_4_2" hidden="1">{"'Sheet4'!$A$1:$L$41"}</definedName>
    <definedName name="待摊费用明细表1月_4_2_1" hidden="1">{"'Sheet4'!$A$1:$L$41"}</definedName>
    <definedName name="待摊费用明细表1月_4_2_2" hidden="1">{"'Sheet4'!$A$1:$L$41"}</definedName>
    <definedName name="待摊费用明细表1月_4_2_3" hidden="1">{"'Sheet4'!$A$1:$L$41"}</definedName>
    <definedName name="待摊费用明细表1月_4_3" hidden="1">{"'Sheet4'!$A$1:$L$41"}</definedName>
    <definedName name="待摊费用明细表1月_4_3_1" hidden="1">{"'Sheet4'!$A$1:$L$41"}</definedName>
    <definedName name="待摊费用明细表1月_4_3_2" hidden="1">{"'Sheet4'!$A$1:$L$41"}</definedName>
    <definedName name="待摊费用明细表1月_4_4" hidden="1">{"'Sheet4'!$A$1:$L$41"}</definedName>
    <definedName name="待摊费用明细表1月_4_5" hidden="1">{"'Sheet4'!$A$1:$L$41"}</definedName>
    <definedName name="待摊费用明细表1月_5" hidden="1">{"'Sheet4'!$A$1:$L$41"}</definedName>
    <definedName name="待摊费用明细表1月_5_1" hidden="1">{"'Sheet4'!$A$1:$L$41"}</definedName>
    <definedName name="待摊费用明细表1月_5_1_1" hidden="1">{"'Sheet4'!$A$1:$L$41"}</definedName>
    <definedName name="待摊费用明细表1月_5_1_1_1" hidden="1">{"'Sheet4'!$A$1:$L$41"}</definedName>
    <definedName name="待摊费用明细表1月_5_1_1_2" hidden="1">{"'Sheet4'!$A$1:$L$41"}</definedName>
    <definedName name="待摊费用明细表1月_5_1_1_3" hidden="1">{"'Sheet4'!$A$1:$L$41"}</definedName>
    <definedName name="待摊费用明细表1月_5_1_2" hidden="1">{"'Sheet4'!$A$1:$L$41"}</definedName>
    <definedName name="待摊费用明细表1月_5_1_2_1" hidden="1">{"'Sheet4'!$A$1:$L$41"}</definedName>
    <definedName name="待摊费用明细表1月_5_1_2_2" hidden="1">{"'Sheet4'!$A$1:$L$41"}</definedName>
    <definedName name="待摊费用明细表1月_5_1_3" hidden="1">{"'Sheet4'!$A$1:$L$41"}</definedName>
    <definedName name="待摊费用明细表1月_5_1_4" hidden="1">{"'Sheet4'!$A$1:$L$41"}</definedName>
    <definedName name="待摊费用明细表1月_5_2" hidden="1">{"'Sheet4'!$A$1:$L$41"}</definedName>
    <definedName name="待摊费用明细表1月_5_2_1" hidden="1">{"'Sheet4'!$A$1:$L$41"}</definedName>
    <definedName name="待摊费用明细表1月_5_2_2" hidden="1">{"'Sheet4'!$A$1:$L$41"}</definedName>
    <definedName name="待摊费用明细表1月_5_2_3" hidden="1">{"'Sheet4'!$A$1:$L$41"}</definedName>
    <definedName name="待摊费用明细表1月_5_3" hidden="1">{"'Sheet4'!$A$1:$L$41"}</definedName>
    <definedName name="待摊费用明细表1月_5_3_1" hidden="1">{"'Sheet4'!$A$1:$L$41"}</definedName>
    <definedName name="待摊费用明细表1月_5_3_2" hidden="1">{"'Sheet4'!$A$1:$L$41"}</definedName>
    <definedName name="待摊费用明细表1月_5_4" hidden="1">{"'Sheet4'!$A$1:$L$41"}</definedName>
    <definedName name="待摊费用明细表1月_5_5" hidden="1">{"'Sheet4'!$A$1:$L$41"}</definedName>
    <definedName name="地方" localSheetId="12" hidden="1">{"Input_Fin",#N/A,FALSE,"By Code";"Input_Opt",#N/A,FALSE,"By Code"}</definedName>
    <definedName name="地方" hidden="1">{"Input_Fin",#N/A,FALSE,"By Code";"Input_Opt",#N/A,FALSE,"By Code"}</definedName>
    <definedName name="地方_1" hidden="1">{"Input_Fin",#N/A,FALSE,"By Code";"Input_Opt",#N/A,FALSE,"By Code"}</definedName>
    <definedName name="地方_1_1" hidden="1">{"Input_Fin",#N/A,FALSE,"By Code";"Input_Opt",#N/A,FALSE,"By Code"}</definedName>
    <definedName name="地方_1_1_1" hidden="1">{"Input_Fin",#N/A,FALSE,"By Code";"Input_Opt",#N/A,FALSE,"By Code"}</definedName>
    <definedName name="地方_1_1_2" hidden="1">{"Input_Fin",#N/A,FALSE,"By Code";"Input_Opt",#N/A,FALSE,"By Code"}</definedName>
    <definedName name="地方_1_1_3" hidden="1">{"Input_Fin",#N/A,FALSE,"By Code";"Input_Opt",#N/A,FALSE,"By Code"}</definedName>
    <definedName name="地方_1_2" hidden="1">{"Input_Fin",#N/A,FALSE,"By Code";"Input_Opt",#N/A,FALSE,"By Code"}</definedName>
    <definedName name="地方_1_2_1" hidden="1">{"Input_Fin",#N/A,FALSE,"By Code";"Input_Opt",#N/A,FALSE,"By Code"}</definedName>
    <definedName name="地方_1_2_2" hidden="1">{"Input_Fin",#N/A,FALSE,"By Code";"Input_Opt",#N/A,FALSE,"By Code"}</definedName>
    <definedName name="地方_1_3" hidden="1">{"Input_Fin",#N/A,FALSE,"By Code";"Input_Opt",#N/A,FALSE,"By Code"}</definedName>
    <definedName name="地方_1_4" hidden="1">{"Input_Fin",#N/A,FALSE,"By Code";"Input_Opt",#N/A,FALSE,"By Code"}</definedName>
    <definedName name="地方_2" hidden="1">{"Input_Fin",#N/A,FALSE,"By Code";"Input_Opt",#N/A,FALSE,"By Code"}</definedName>
    <definedName name="地方_2_1" hidden="1">{"Input_Fin",#N/A,FALSE,"By Code";"Input_Opt",#N/A,FALSE,"By Code"}</definedName>
    <definedName name="地方_2_2" hidden="1">{"Input_Fin",#N/A,FALSE,"By Code";"Input_Opt",#N/A,FALSE,"By Code"}</definedName>
    <definedName name="地方_2_3" hidden="1">{"Input_Fin",#N/A,FALSE,"By Code";"Input_Opt",#N/A,FALSE,"By Code"}</definedName>
    <definedName name="地方_3" hidden="1">{"Input_Fin",#N/A,FALSE,"By Code";"Input_Opt",#N/A,FALSE,"By Code"}</definedName>
    <definedName name="地方_3_1" hidden="1">{"Input_Fin",#N/A,FALSE,"By Code";"Input_Opt",#N/A,FALSE,"By Code"}</definedName>
    <definedName name="地方_3_2" hidden="1">{"Input_Fin",#N/A,FALSE,"By Code";"Input_Opt",#N/A,FALSE,"By Code"}</definedName>
    <definedName name="地方_4" hidden="1">{"Input_Fin",#N/A,FALSE,"By Code";"Input_Opt",#N/A,FALSE,"By Code"}</definedName>
    <definedName name="地方_5" hidden="1">{"Input_Fin",#N/A,FALSE,"By Code";"Input_Opt",#N/A,FALSE,"By Code"}</definedName>
    <definedName name="地方三次公路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区假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地区假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电费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调">#N/A</definedName>
    <definedName name="调理冻品" hidden="1">{"Input_Fin",#N/A,FALSE,"By Code";"Input_Opt",#N/A,FALSE,"By Code"}</definedName>
    <definedName name="调理冻品_1" hidden="1">{"Input_Fin",#N/A,FALSE,"By Code";"Input_Opt",#N/A,FALSE,"By Code"}</definedName>
    <definedName name="调理冻品_1_1" hidden="1">{"Input_Fin",#N/A,FALSE,"By Code";"Input_Opt",#N/A,FALSE,"By Code"}</definedName>
    <definedName name="调理冻品_1_1_1" hidden="1">{"Input_Fin",#N/A,FALSE,"By Code";"Input_Opt",#N/A,FALSE,"By Code"}</definedName>
    <definedName name="调理冻品_1_1_2" hidden="1">{"Input_Fin",#N/A,FALSE,"By Code";"Input_Opt",#N/A,FALSE,"By Code"}</definedName>
    <definedName name="调理冻品_1_1_3" hidden="1">{"Input_Fin",#N/A,FALSE,"By Code";"Input_Opt",#N/A,FALSE,"By Code"}</definedName>
    <definedName name="调理冻品_1_2" hidden="1">{"Input_Fin",#N/A,FALSE,"By Code";"Input_Opt",#N/A,FALSE,"By Code"}</definedName>
    <definedName name="调理冻品_1_2_1" hidden="1">{"Input_Fin",#N/A,FALSE,"By Code";"Input_Opt",#N/A,FALSE,"By Code"}</definedName>
    <definedName name="调理冻品_1_2_2" hidden="1">{"Input_Fin",#N/A,FALSE,"By Code";"Input_Opt",#N/A,FALSE,"By Code"}</definedName>
    <definedName name="调理冻品_1_3" hidden="1">{"Input_Fin",#N/A,FALSE,"By Code";"Input_Opt",#N/A,FALSE,"By Code"}</definedName>
    <definedName name="调理冻品_1_4" hidden="1">{"Input_Fin",#N/A,FALSE,"By Code";"Input_Opt",#N/A,FALSE,"By Code"}</definedName>
    <definedName name="调理冻品_2" hidden="1">{"Input_Fin",#N/A,FALSE,"By Code";"Input_Opt",#N/A,FALSE,"By Code"}</definedName>
    <definedName name="调理冻品_2_1" hidden="1">{"Input_Fin",#N/A,FALSE,"By Code";"Input_Opt",#N/A,FALSE,"By Code"}</definedName>
    <definedName name="调理冻品_2_2" hidden="1">{"Input_Fin",#N/A,FALSE,"By Code";"Input_Opt",#N/A,FALSE,"By Code"}</definedName>
    <definedName name="调理冻品_2_3" hidden="1">{"Input_Fin",#N/A,FALSE,"By Code";"Input_Opt",#N/A,FALSE,"By Code"}</definedName>
    <definedName name="调理冻品_3" hidden="1">{"Input_Fin",#N/A,FALSE,"By Code";"Input_Opt",#N/A,FALSE,"By Code"}</definedName>
    <definedName name="调理冻品_3_1" hidden="1">{"Input_Fin",#N/A,FALSE,"By Code";"Input_Opt",#N/A,FALSE,"By Code"}</definedName>
    <definedName name="调理冻品_3_2" hidden="1">{"Input_Fin",#N/A,FALSE,"By Code";"Input_Opt",#N/A,FALSE,"By Code"}</definedName>
    <definedName name="调理冻品_4" hidden="1">{"Input_Fin",#N/A,FALSE,"By Code";"Input_Opt",#N/A,FALSE,"By Code"}</definedName>
    <definedName name="调理冻品_5" hidden="1">{"Input_Fin",#N/A,FALSE,"By Code";"Input_Opt",#N/A,FALSE,"By Code"}</definedName>
    <definedName name="调整表">#N/A</definedName>
    <definedName name="调整表1">#N/A</definedName>
    <definedName name="冻转鲜明细表7月" localSheetId="12" hidden="1">{"Input_Fin",#N/A,FALSE,"By Code";"Input_Opt",#N/A,FALSE,"By Code"}</definedName>
    <definedName name="冻转鲜明细表7月" hidden="1">{"Input_Fin",#N/A,FALSE,"By Code";"Input_Opt",#N/A,FALSE,"By Code"}</definedName>
    <definedName name="冻转鲜明细表7月_1" hidden="1">{"Input_Fin",#N/A,FALSE,"By Code";"Input_Opt",#N/A,FALSE,"By Code"}</definedName>
    <definedName name="冻转鲜明细表7月_1_1" hidden="1">{"Input_Fin",#N/A,FALSE,"By Code";"Input_Opt",#N/A,FALSE,"By Code"}</definedName>
    <definedName name="冻转鲜明细表7月_1_1_1" hidden="1">{"Input_Fin",#N/A,FALSE,"By Code";"Input_Opt",#N/A,FALSE,"By Code"}</definedName>
    <definedName name="冻转鲜明细表7月_1_1_1_1" hidden="1">{"Input_Fin",#N/A,FALSE,"By Code";"Input_Opt",#N/A,FALSE,"By Code"}</definedName>
    <definedName name="冻转鲜明细表7月_1_1_1_1_1" hidden="1">{"Input_Fin",#N/A,FALSE,"By Code";"Input_Opt",#N/A,FALSE,"By Code"}</definedName>
    <definedName name="冻转鲜明细表7月_1_1_1_1_2" hidden="1">{"Input_Fin",#N/A,FALSE,"By Code";"Input_Opt",#N/A,FALSE,"By Code"}</definedName>
    <definedName name="冻转鲜明细表7月_1_1_1_1_3" hidden="1">{"Input_Fin",#N/A,FALSE,"By Code";"Input_Opt",#N/A,FALSE,"By Code"}</definedName>
    <definedName name="冻转鲜明细表7月_1_1_1_2" hidden="1">{"Input_Fin",#N/A,FALSE,"By Code";"Input_Opt",#N/A,FALSE,"By Code"}</definedName>
    <definedName name="冻转鲜明细表7月_1_1_1_2_1" hidden="1">{"Input_Fin",#N/A,FALSE,"By Code";"Input_Opt",#N/A,FALSE,"By Code"}</definedName>
    <definedName name="冻转鲜明细表7月_1_1_1_2_2" hidden="1">{"Input_Fin",#N/A,FALSE,"By Code";"Input_Opt",#N/A,FALSE,"By Code"}</definedName>
    <definedName name="冻转鲜明细表7月_1_1_1_3" hidden="1">{"Input_Fin",#N/A,FALSE,"By Code";"Input_Opt",#N/A,FALSE,"By Code"}</definedName>
    <definedName name="冻转鲜明细表7月_1_1_1_3_1" hidden="1">{"Input_Fin",#N/A,FALSE,"By Code";"Input_Opt",#N/A,FALSE,"By Code"}</definedName>
    <definedName name="冻转鲜明细表7月_1_1_1_3_2" hidden="1">{"Input_Fin",#N/A,FALSE,"By Code";"Input_Opt",#N/A,FALSE,"By Code"}</definedName>
    <definedName name="冻转鲜明细表7月_1_1_1_4" hidden="1">{"Input_Fin",#N/A,FALSE,"By Code";"Input_Opt",#N/A,FALSE,"By Code"}</definedName>
    <definedName name="冻转鲜明细表7月_1_1_1_5" hidden="1">{"Input_Fin",#N/A,FALSE,"By Code";"Input_Opt",#N/A,FALSE,"By Code"}</definedName>
    <definedName name="冻转鲜明细表7月_1_1_2" hidden="1">{"Input_Fin",#N/A,FALSE,"By Code";"Input_Opt",#N/A,FALSE,"By Code"}</definedName>
    <definedName name="冻转鲜明细表7月_1_1_2_1" hidden="1">{"Input_Fin",#N/A,FALSE,"By Code";"Input_Opt",#N/A,FALSE,"By Code"}</definedName>
    <definedName name="冻转鲜明细表7月_1_1_2_2" hidden="1">{"Input_Fin",#N/A,FALSE,"By Code";"Input_Opt",#N/A,FALSE,"By Code"}</definedName>
    <definedName name="冻转鲜明细表7月_1_1_2_3" hidden="1">{"Input_Fin",#N/A,FALSE,"By Code";"Input_Opt",#N/A,FALSE,"By Code"}</definedName>
    <definedName name="冻转鲜明细表7月_1_1_3" hidden="1">{"Input_Fin",#N/A,FALSE,"By Code";"Input_Opt",#N/A,FALSE,"By Code"}</definedName>
    <definedName name="冻转鲜明细表7月_1_1_3_1" hidden="1">{"Input_Fin",#N/A,FALSE,"By Code";"Input_Opt",#N/A,FALSE,"By Code"}</definedName>
    <definedName name="冻转鲜明细表7月_1_1_3_2" hidden="1">{"Input_Fin",#N/A,FALSE,"By Code";"Input_Opt",#N/A,FALSE,"By Code"}</definedName>
    <definedName name="冻转鲜明细表7月_1_1_4" hidden="1">{"Input_Fin",#N/A,FALSE,"By Code";"Input_Opt",#N/A,FALSE,"By Code"}</definedName>
    <definedName name="冻转鲜明细表7月_1_1_5" hidden="1">{"Input_Fin",#N/A,FALSE,"By Code";"Input_Opt",#N/A,FALSE,"By Code"}</definedName>
    <definedName name="冻转鲜明细表7月_1_2" hidden="1">{"Input_Fin",#N/A,FALSE,"By Code";"Input_Opt",#N/A,FALSE,"By Code"}</definedName>
    <definedName name="冻转鲜明细表7月_1_2_1" hidden="1">{"Input_Fin",#N/A,FALSE,"By Code";"Input_Opt",#N/A,FALSE,"By Code"}</definedName>
    <definedName name="冻转鲜明细表7月_1_2_2" hidden="1">{"Input_Fin",#N/A,FALSE,"By Code";"Input_Opt",#N/A,FALSE,"By Code"}</definedName>
    <definedName name="冻转鲜明细表7月_1_2_3" hidden="1">{"Input_Fin",#N/A,FALSE,"By Code";"Input_Opt",#N/A,FALSE,"By Code"}</definedName>
    <definedName name="冻转鲜明细表7月_1_3" hidden="1">{"Input_Fin",#N/A,FALSE,"By Code";"Input_Opt",#N/A,FALSE,"By Code"}</definedName>
    <definedName name="冻转鲜明细表7月_1_3_1" hidden="1">{"Input_Fin",#N/A,FALSE,"By Code";"Input_Opt",#N/A,FALSE,"By Code"}</definedName>
    <definedName name="冻转鲜明细表7月_1_3_2" hidden="1">{"Input_Fin",#N/A,FALSE,"By Code";"Input_Opt",#N/A,FALSE,"By Code"}</definedName>
    <definedName name="冻转鲜明细表7月_1_4" hidden="1">{"Input_Fin",#N/A,FALSE,"By Code";"Input_Opt",#N/A,FALSE,"By Code"}</definedName>
    <definedName name="冻转鲜明细表7月_1_5" hidden="1">{"Input_Fin",#N/A,FALSE,"By Code";"Input_Opt",#N/A,FALSE,"By Code"}</definedName>
    <definedName name="冻转鲜明细表7月_2" hidden="1">{"Input_Fin",#N/A,FALSE,"By Code";"Input_Opt",#N/A,FALSE,"By Code"}</definedName>
    <definedName name="冻转鲜明细表7月_2_1" hidden="1">{"Input_Fin",#N/A,FALSE,"By Code";"Input_Opt",#N/A,FALSE,"By Code"}</definedName>
    <definedName name="冻转鲜明细表7月_2_1_1" hidden="1">{"Input_Fin",#N/A,FALSE,"By Code";"Input_Opt",#N/A,FALSE,"By Code"}</definedName>
    <definedName name="冻转鲜明细表7月_2_1_1_1" hidden="1">{"Input_Fin",#N/A,FALSE,"By Code";"Input_Opt",#N/A,FALSE,"By Code"}</definedName>
    <definedName name="冻转鲜明细表7月_2_1_1_2" hidden="1">{"Input_Fin",#N/A,FALSE,"By Code";"Input_Opt",#N/A,FALSE,"By Code"}</definedName>
    <definedName name="冻转鲜明细表7月_2_1_1_3" hidden="1">{"Input_Fin",#N/A,FALSE,"By Code";"Input_Opt",#N/A,FALSE,"By Code"}</definedName>
    <definedName name="冻转鲜明细表7月_2_1_2" hidden="1">{"Input_Fin",#N/A,FALSE,"By Code";"Input_Opt",#N/A,FALSE,"By Code"}</definedName>
    <definedName name="冻转鲜明细表7月_2_1_2_1" hidden="1">{"Input_Fin",#N/A,FALSE,"By Code";"Input_Opt",#N/A,FALSE,"By Code"}</definedName>
    <definedName name="冻转鲜明细表7月_2_1_2_2" hidden="1">{"Input_Fin",#N/A,FALSE,"By Code";"Input_Opt",#N/A,FALSE,"By Code"}</definedName>
    <definedName name="冻转鲜明细表7月_2_1_3" hidden="1">{"Input_Fin",#N/A,FALSE,"By Code";"Input_Opt",#N/A,FALSE,"By Code"}</definedName>
    <definedName name="冻转鲜明细表7月_2_1_4" hidden="1">{"Input_Fin",#N/A,FALSE,"By Code";"Input_Opt",#N/A,FALSE,"By Code"}</definedName>
    <definedName name="冻转鲜明细表7月_2_2" hidden="1">{"Input_Fin",#N/A,FALSE,"By Code";"Input_Opt",#N/A,FALSE,"By Code"}</definedName>
    <definedName name="冻转鲜明细表7月_2_2_1" hidden="1">{"Input_Fin",#N/A,FALSE,"By Code";"Input_Opt",#N/A,FALSE,"By Code"}</definedName>
    <definedName name="冻转鲜明细表7月_2_2_2" hidden="1">{"Input_Fin",#N/A,FALSE,"By Code";"Input_Opt",#N/A,FALSE,"By Code"}</definedName>
    <definedName name="冻转鲜明细表7月_2_2_3" hidden="1">{"Input_Fin",#N/A,FALSE,"By Code";"Input_Opt",#N/A,FALSE,"By Code"}</definedName>
    <definedName name="冻转鲜明细表7月_2_3" hidden="1">{"Input_Fin",#N/A,FALSE,"By Code";"Input_Opt",#N/A,FALSE,"By Code"}</definedName>
    <definedName name="冻转鲜明细表7月_2_3_1" hidden="1">{"Input_Fin",#N/A,FALSE,"By Code";"Input_Opt",#N/A,FALSE,"By Code"}</definedName>
    <definedName name="冻转鲜明细表7月_2_3_2" hidden="1">{"Input_Fin",#N/A,FALSE,"By Code";"Input_Opt",#N/A,FALSE,"By Code"}</definedName>
    <definedName name="冻转鲜明细表7月_2_4" hidden="1">{"Input_Fin",#N/A,FALSE,"By Code";"Input_Opt",#N/A,FALSE,"By Code"}</definedName>
    <definedName name="冻转鲜明细表7月_2_5" hidden="1">{"Input_Fin",#N/A,FALSE,"By Code";"Input_Opt",#N/A,FALSE,"By Code"}</definedName>
    <definedName name="冻转鲜明细表7月_3" hidden="1">{"Input_Fin",#N/A,FALSE,"By Code";"Input_Opt",#N/A,FALSE,"By Code"}</definedName>
    <definedName name="冻转鲜明细表7月_3_1" hidden="1">{"Input_Fin",#N/A,FALSE,"By Code";"Input_Opt",#N/A,FALSE,"By Code"}</definedName>
    <definedName name="冻转鲜明细表7月_3_1_1" hidden="1">{"Input_Fin",#N/A,FALSE,"By Code";"Input_Opt",#N/A,FALSE,"By Code"}</definedName>
    <definedName name="冻转鲜明细表7月_3_1_1_1" hidden="1">{"Input_Fin",#N/A,FALSE,"By Code";"Input_Opt",#N/A,FALSE,"By Code"}</definedName>
    <definedName name="冻转鲜明细表7月_3_1_1_2" hidden="1">{"Input_Fin",#N/A,FALSE,"By Code";"Input_Opt",#N/A,FALSE,"By Code"}</definedName>
    <definedName name="冻转鲜明细表7月_3_1_1_3" hidden="1">{"Input_Fin",#N/A,FALSE,"By Code";"Input_Opt",#N/A,FALSE,"By Code"}</definedName>
    <definedName name="冻转鲜明细表7月_3_1_2" hidden="1">{"Input_Fin",#N/A,FALSE,"By Code";"Input_Opt",#N/A,FALSE,"By Code"}</definedName>
    <definedName name="冻转鲜明细表7月_3_1_2_1" hidden="1">{"Input_Fin",#N/A,FALSE,"By Code";"Input_Opt",#N/A,FALSE,"By Code"}</definedName>
    <definedName name="冻转鲜明细表7月_3_1_2_2" hidden="1">{"Input_Fin",#N/A,FALSE,"By Code";"Input_Opt",#N/A,FALSE,"By Code"}</definedName>
    <definedName name="冻转鲜明细表7月_3_1_3" hidden="1">{"Input_Fin",#N/A,FALSE,"By Code";"Input_Opt",#N/A,FALSE,"By Code"}</definedName>
    <definedName name="冻转鲜明细表7月_3_1_4" hidden="1">{"Input_Fin",#N/A,FALSE,"By Code";"Input_Opt",#N/A,FALSE,"By Code"}</definedName>
    <definedName name="冻转鲜明细表7月_3_2" hidden="1">{"Input_Fin",#N/A,FALSE,"By Code";"Input_Opt",#N/A,FALSE,"By Code"}</definedName>
    <definedName name="冻转鲜明细表7月_3_2_1" hidden="1">{"Input_Fin",#N/A,FALSE,"By Code";"Input_Opt",#N/A,FALSE,"By Code"}</definedName>
    <definedName name="冻转鲜明细表7月_3_2_2" hidden="1">{"Input_Fin",#N/A,FALSE,"By Code";"Input_Opt",#N/A,FALSE,"By Code"}</definedName>
    <definedName name="冻转鲜明细表7月_3_2_3" hidden="1">{"Input_Fin",#N/A,FALSE,"By Code";"Input_Opt",#N/A,FALSE,"By Code"}</definedName>
    <definedName name="冻转鲜明细表7月_3_3" hidden="1">{"Input_Fin",#N/A,FALSE,"By Code";"Input_Opt",#N/A,FALSE,"By Code"}</definedName>
    <definedName name="冻转鲜明细表7月_3_3_1" hidden="1">{"Input_Fin",#N/A,FALSE,"By Code";"Input_Opt",#N/A,FALSE,"By Code"}</definedName>
    <definedName name="冻转鲜明细表7月_3_3_2" hidden="1">{"Input_Fin",#N/A,FALSE,"By Code";"Input_Opt",#N/A,FALSE,"By Code"}</definedName>
    <definedName name="冻转鲜明细表7月_3_4" hidden="1">{"Input_Fin",#N/A,FALSE,"By Code";"Input_Opt",#N/A,FALSE,"By Code"}</definedName>
    <definedName name="冻转鲜明细表7月_3_5" hidden="1">{"Input_Fin",#N/A,FALSE,"By Code";"Input_Opt",#N/A,FALSE,"By Code"}</definedName>
    <definedName name="冻转鲜明细表7月_4" hidden="1">{"Input_Fin",#N/A,FALSE,"By Code";"Input_Opt",#N/A,FALSE,"By Code"}</definedName>
    <definedName name="冻转鲜明细表7月_4_1" hidden="1">{"Input_Fin",#N/A,FALSE,"By Code";"Input_Opt",#N/A,FALSE,"By Code"}</definedName>
    <definedName name="冻转鲜明细表7月_4_1_1" hidden="1">{"Input_Fin",#N/A,FALSE,"By Code";"Input_Opt",#N/A,FALSE,"By Code"}</definedName>
    <definedName name="冻转鲜明细表7月_4_1_1_1" hidden="1">{"Input_Fin",#N/A,FALSE,"By Code";"Input_Opt",#N/A,FALSE,"By Code"}</definedName>
    <definedName name="冻转鲜明细表7月_4_1_1_2" hidden="1">{"Input_Fin",#N/A,FALSE,"By Code";"Input_Opt",#N/A,FALSE,"By Code"}</definedName>
    <definedName name="冻转鲜明细表7月_4_1_1_3" hidden="1">{"Input_Fin",#N/A,FALSE,"By Code";"Input_Opt",#N/A,FALSE,"By Code"}</definedName>
    <definedName name="冻转鲜明细表7月_4_1_2" hidden="1">{"Input_Fin",#N/A,FALSE,"By Code";"Input_Opt",#N/A,FALSE,"By Code"}</definedName>
    <definedName name="冻转鲜明细表7月_4_1_2_1" hidden="1">{"Input_Fin",#N/A,FALSE,"By Code";"Input_Opt",#N/A,FALSE,"By Code"}</definedName>
    <definedName name="冻转鲜明细表7月_4_1_2_2" hidden="1">{"Input_Fin",#N/A,FALSE,"By Code";"Input_Opt",#N/A,FALSE,"By Code"}</definedName>
    <definedName name="冻转鲜明细表7月_4_1_3" hidden="1">{"Input_Fin",#N/A,FALSE,"By Code";"Input_Opt",#N/A,FALSE,"By Code"}</definedName>
    <definedName name="冻转鲜明细表7月_4_1_4" hidden="1">{"Input_Fin",#N/A,FALSE,"By Code";"Input_Opt",#N/A,FALSE,"By Code"}</definedName>
    <definedName name="冻转鲜明细表7月_4_2" hidden="1">{"Input_Fin",#N/A,FALSE,"By Code";"Input_Opt",#N/A,FALSE,"By Code"}</definedName>
    <definedName name="冻转鲜明细表7月_4_2_1" hidden="1">{"Input_Fin",#N/A,FALSE,"By Code";"Input_Opt",#N/A,FALSE,"By Code"}</definedName>
    <definedName name="冻转鲜明细表7月_4_2_2" hidden="1">{"Input_Fin",#N/A,FALSE,"By Code";"Input_Opt",#N/A,FALSE,"By Code"}</definedName>
    <definedName name="冻转鲜明细表7月_4_2_3" hidden="1">{"Input_Fin",#N/A,FALSE,"By Code";"Input_Opt",#N/A,FALSE,"By Code"}</definedName>
    <definedName name="冻转鲜明细表7月_4_3" hidden="1">{"Input_Fin",#N/A,FALSE,"By Code";"Input_Opt",#N/A,FALSE,"By Code"}</definedName>
    <definedName name="冻转鲜明细表7月_4_3_1" hidden="1">{"Input_Fin",#N/A,FALSE,"By Code";"Input_Opt",#N/A,FALSE,"By Code"}</definedName>
    <definedName name="冻转鲜明细表7月_4_3_2" hidden="1">{"Input_Fin",#N/A,FALSE,"By Code";"Input_Opt",#N/A,FALSE,"By Code"}</definedName>
    <definedName name="冻转鲜明细表7月_4_4" hidden="1">{"Input_Fin",#N/A,FALSE,"By Code";"Input_Opt",#N/A,FALSE,"By Code"}</definedName>
    <definedName name="冻转鲜明细表7月_4_5" hidden="1">{"Input_Fin",#N/A,FALSE,"By Code";"Input_Opt",#N/A,FALSE,"By Code"}</definedName>
    <definedName name="冻转鲜明细表7月_5" hidden="1">{"Input_Fin",#N/A,FALSE,"By Code";"Input_Opt",#N/A,FALSE,"By Code"}</definedName>
    <definedName name="冻转鲜明细表7月_5_1" hidden="1">{"Input_Fin",#N/A,FALSE,"By Code";"Input_Opt",#N/A,FALSE,"By Code"}</definedName>
    <definedName name="冻转鲜明细表7月_5_1_1" hidden="1">{"Input_Fin",#N/A,FALSE,"By Code";"Input_Opt",#N/A,FALSE,"By Code"}</definedName>
    <definedName name="冻转鲜明细表7月_5_1_1_1" hidden="1">{"Input_Fin",#N/A,FALSE,"By Code";"Input_Opt",#N/A,FALSE,"By Code"}</definedName>
    <definedName name="冻转鲜明细表7月_5_1_1_2" hidden="1">{"Input_Fin",#N/A,FALSE,"By Code";"Input_Opt",#N/A,FALSE,"By Code"}</definedName>
    <definedName name="冻转鲜明细表7月_5_1_1_3" hidden="1">{"Input_Fin",#N/A,FALSE,"By Code";"Input_Opt",#N/A,FALSE,"By Code"}</definedName>
    <definedName name="冻转鲜明细表7月_5_1_2" hidden="1">{"Input_Fin",#N/A,FALSE,"By Code";"Input_Opt",#N/A,FALSE,"By Code"}</definedName>
    <definedName name="冻转鲜明细表7月_5_1_2_1" hidden="1">{"Input_Fin",#N/A,FALSE,"By Code";"Input_Opt",#N/A,FALSE,"By Code"}</definedName>
    <definedName name="冻转鲜明细表7月_5_1_2_2" hidden="1">{"Input_Fin",#N/A,FALSE,"By Code";"Input_Opt",#N/A,FALSE,"By Code"}</definedName>
    <definedName name="冻转鲜明细表7月_5_1_3" hidden="1">{"Input_Fin",#N/A,FALSE,"By Code";"Input_Opt",#N/A,FALSE,"By Code"}</definedName>
    <definedName name="冻转鲜明细表7月_5_1_4" hidden="1">{"Input_Fin",#N/A,FALSE,"By Code";"Input_Opt",#N/A,FALSE,"By Code"}</definedName>
    <definedName name="冻转鲜明细表7月_5_2" hidden="1">{"Input_Fin",#N/A,FALSE,"By Code";"Input_Opt",#N/A,FALSE,"By Code"}</definedName>
    <definedName name="冻转鲜明细表7月_5_2_1" hidden="1">{"Input_Fin",#N/A,FALSE,"By Code";"Input_Opt",#N/A,FALSE,"By Code"}</definedName>
    <definedName name="冻转鲜明细表7月_5_2_2" hidden="1">{"Input_Fin",#N/A,FALSE,"By Code";"Input_Opt",#N/A,FALSE,"By Code"}</definedName>
    <definedName name="冻转鲜明细表7月_5_2_3" hidden="1">{"Input_Fin",#N/A,FALSE,"By Code";"Input_Opt",#N/A,FALSE,"By Code"}</definedName>
    <definedName name="冻转鲜明细表7月_5_3" hidden="1">{"Input_Fin",#N/A,FALSE,"By Code";"Input_Opt",#N/A,FALSE,"By Code"}</definedName>
    <definedName name="冻转鲜明细表7月_5_3_1" hidden="1">{"Input_Fin",#N/A,FALSE,"By Code";"Input_Opt",#N/A,FALSE,"By Code"}</definedName>
    <definedName name="冻转鲜明细表7月_5_3_2" hidden="1">{"Input_Fin",#N/A,FALSE,"By Code";"Input_Opt",#N/A,FALSE,"By Code"}</definedName>
    <definedName name="冻转鲜明细表7月_5_4" hidden="1">{"Input_Fin",#N/A,FALSE,"By Code";"Input_Opt",#N/A,FALSE,"By Code"}</definedName>
    <definedName name="冻转鲜明细表7月_5_5" hidden="1">{"Input_Fin",#N/A,FALSE,"By Code";"Input_Opt",#N/A,FALSE,"By Code"}</definedName>
    <definedName name="都督府" localSheetId="12" hidden="1">{"Input_Fin",#N/A,FALSE,"By Code";"Input_Opt",#N/A,FALSE,"By Code"}</definedName>
    <definedName name="都督府" hidden="1">{"Input_Fin",#N/A,FALSE,"By Code";"Input_Opt",#N/A,FALSE,"By Code"}</definedName>
    <definedName name="都督府_1" hidden="1">{"Input_Fin",#N/A,FALSE,"By Code";"Input_Opt",#N/A,FALSE,"By Code"}</definedName>
    <definedName name="都督府_1_1" hidden="1">{"Input_Fin",#N/A,FALSE,"By Code";"Input_Opt",#N/A,FALSE,"By Code"}</definedName>
    <definedName name="都督府_1_1_1" hidden="1">{"Input_Fin",#N/A,FALSE,"By Code";"Input_Opt",#N/A,FALSE,"By Code"}</definedName>
    <definedName name="都督府_1_1_1_1" hidden="1">{"Input_Fin",#N/A,FALSE,"By Code";"Input_Opt",#N/A,FALSE,"By Code"}</definedName>
    <definedName name="都督府_1_1_1_1_1" hidden="1">{"Input_Fin",#N/A,FALSE,"By Code";"Input_Opt",#N/A,FALSE,"By Code"}</definedName>
    <definedName name="都督府_1_1_1_1_2" hidden="1">{"Input_Fin",#N/A,FALSE,"By Code";"Input_Opt",#N/A,FALSE,"By Code"}</definedName>
    <definedName name="都督府_1_1_1_1_3" hidden="1">{"Input_Fin",#N/A,FALSE,"By Code";"Input_Opt",#N/A,FALSE,"By Code"}</definedName>
    <definedName name="都督府_1_1_1_2" hidden="1">{"Input_Fin",#N/A,FALSE,"By Code";"Input_Opt",#N/A,FALSE,"By Code"}</definedName>
    <definedName name="都督府_1_1_1_2_1" hidden="1">{"Input_Fin",#N/A,FALSE,"By Code";"Input_Opt",#N/A,FALSE,"By Code"}</definedName>
    <definedName name="都督府_1_1_1_2_2" hidden="1">{"Input_Fin",#N/A,FALSE,"By Code";"Input_Opt",#N/A,FALSE,"By Code"}</definedName>
    <definedName name="都督府_1_1_1_3" hidden="1">{"Input_Fin",#N/A,FALSE,"By Code";"Input_Opt",#N/A,FALSE,"By Code"}</definedName>
    <definedName name="都督府_1_1_1_3_1" hidden="1">{"Input_Fin",#N/A,FALSE,"By Code";"Input_Opt",#N/A,FALSE,"By Code"}</definedName>
    <definedName name="都督府_1_1_1_3_2" hidden="1">{"Input_Fin",#N/A,FALSE,"By Code";"Input_Opt",#N/A,FALSE,"By Code"}</definedName>
    <definedName name="都督府_1_1_1_4" hidden="1">{"Input_Fin",#N/A,FALSE,"By Code";"Input_Opt",#N/A,FALSE,"By Code"}</definedName>
    <definedName name="都督府_1_1_1_5" hidden="1">{"Input_Fin",#N/A,FALSE,"By Code";"Input_Opt",#N/A,FALSE,"By Code"}</definedName>
    <definedName name="都督府_1_1_2" hidden="1">{"Input_Fin",#N/A,FALSE,"By Code";"Input_Opt",#N/A,FALSE,"By Code"}</definedName>
    <definedName name="都督府_1_1_2_1" hidden="1">{"Input_Fin",#N/A,FALSE,"By Code";"Input_Opt",#N/A,FALSE,"By Code"}</definedName>
    <definedName name="都督府_1_1_2_2" hidden="1">{"Input_Fin",#N/A,FALSE,"By Code";"Input_Opt",#N/A,FALSE,"By Code"}</definedName>
    <definedName name="都督府_1_1_2_3" hidden="1">{"Input_Fin",#N/A,FALSE,"By Code";"Input_Opt",#N/A,FALSE,"By Code"}</definedName>
    <definedName name="都督府_1_1_3" hidden="1">{"Input_Fin",#N/A,FALSE,"By Code";"Input_Opt",#N/A,FALSE,"By Code"}</definedName>
    <definedName name="都督府_1_1_3_1" hidden="1">{"Input_Fin",#N/A,FALSE,"By Code";"Input_Opt",#N/A,FALSE,"By Code"}</definedName>
    <definedName name="都督府_1_1_3_2" hidden="1">{"Input_Fin",#N/A,FALSE,"By Code";"Input_Opt",#N/A,FALSE,"By Code"}</definedName>
    <definedName name="都督府_1_1_4" hidden="1">{"Input_Fin",#N/A,FALSE,"By Code";"Input_Opt",#N/A,FALSE,"By Code"}</definedName>
    <definedName name="都督府_1_1_5" hidden="1">{"Input_Fin",#N/A,FALSE,"By Code";"Input_Opt",#N/A,FALSE,"By Code"}</definedName>
    <definedName name="都督府_1_2" hidden="1">{"Input_Fin",#N/A,FALSE,"By Code";"Input_Opt",#N/A,FALSE,"By Code"}</definedName>
    <definedName name="都督府_1_2_1" hidden="1">{"Input_Fin",#N/A,FALSE,"By Code";"Input_Opt",#N/A,FALSE,"By Code"}</definedName>
    <definedName name="都督府_1_2_2" hidden="1">{"Input_Fin",#N/A,FALSE,"By Code";"Input_Opt",#N/A,FALSE,"By Code"}</definedName>
    <definedName name="都督府_1_2_3" hidden="1">{"Input_Fin",#N/A,FALSE,"By Code";"Input_Opt",#N/A,FALSE,"By Code"}</definedName>
    <definedName name="都督府_1_3" hidden="1">{"Input_Fin",#N/A,FALSE,"By Code";"Input_Opt",#N/A,FALSE,"By Code"}</definedName>
    <definedName name="都督府_1_3_1" hidden="1">{"Input_Fin",#N/A,FALSE,"By Code";"Input_Opt",#N/A,FALSE,"By Code"}</definedName>
    <definedName name="都督府_1_3_2" hidden="1">{"Input_Fin",#N/A,FALSE,"By Code";"Input_Opt",#N/A,FALSE,"By Code"}</definedName>
    <definedName name="都督府_1_4" hidden="1">{"Input_Fin",#N/A,FALSE,"By Code";"Input_Opt",#N/A,FALSE,"By Code"}</definedName>
    <definedName name="都督府_1_5" hidden="1">{"Input_Fin",#N/A,FALSE,"By Code";"Input_Opt",#N/A,FALSE,"By Code"}</definedName>
    <definedName name="都督府_2" hidden="1">{"Input_Fin",#N/A,FALSE,"By Code";"Input_Opt",#N/A,FALSE,"By Code"}</definedName>
    <definedName name="都督府_2_1" hidden="1">{"Input_Fin",#N/A,FALSE,"By Code";"Input_Opt",#N/A,FALSE,"By Code"}</definedName>
    <definedName name="都督府_2_1_1" hidden="1">{"Input_Fin",#N/A,FALSE,"By Code";"Input_Opt",#N/A,FALSE,"By Code"}</definedName>
    <definedName name="都督府_2_1_1_1" hidden="1">{"Input_Fin",#N/A,FALSE,"By Code";"Input_Opt",#N/A,FALSE,"By Code"}</definedName>
    <definedName name="都督府_2_1_1_2" hidden="1">{"Input_Fin",#N/A,FALSE,"By Code";"Input_Opt",#N/A,FALSE,"By Code"}</definedName>
    <definedName name="都督府_2_1_1_3" hidden="1">{"Input_Fin",#N/A,FALSE,"By Code";"Input_Opt",#N/A,FALSE,"By Code"}</definedName>
    <definedName name="都督府_2_1_2" hidden="1">{"Input_Fin",#N/A,FALSE,"By Code";"Input_Opt",#N/A,FALSE,"By Code"}</definedName>
    <definedName name="都督府_2_1_2_1" hidden="1">{"Input_Fin",#N/A,FALSE,"By Code";"Input_Opt",#N/A,FALSE,"By Code"}</definedName>
    <definedName name="都督府_2_1_2_2" hidden="1">{"Input_Fin",#N/A,FALSE,"By Code";"Input_Opt",#N/A,FALSE,"By Code"}</definedName>
    <definedName name="都督府_2_1_3" hidden="1">{"Input_Fin",#N/A,FALSE,"By Code";"Input_Opt",#N/A,FALSE,"By Code"}</definedName>
    <definedName name="都督府_2_1_4" hidden="1">{"Input_Fin",#N/A,FALSE,"By Code";"Input_Opt",#N/A,FALSE,"By Code"}</definedName>
    <definedName name="都督府_2_2" hidden="1">{"Input_Fin",#N/A,FALSE,"By Code";"Input_Opt",#N/A,FALSE,"By Code"}</definedName>
    <definedName name="都督府_2_2_1" hidden="1">{"Input_Fin",#N/A,FALSE,"By Code";"Input_Opt",#N/A,FALSE,"By Code"}</definedName>
    <definedName name="都督府_2_2_2" hidden="1">{"Input_Fin",#N/A,FALSE,"By Code";"Input_Opt",#N/A,FALSE,"By Code"}</definedName>
    <definedName name="都督府_2_2_3" hidden="1">{"Input_Fin",#N/A,FALSE,"By Code";"Input_Opt",#N/A,FALSE,"By Code"}</definedName>
    <definedName name="都督府_2_3" hidden="1">{"Input_Fin",#N/A,FALSE,"By Code";"Input_Opt",#N/A,FALSE,"By Code"}</definedName>
    <definedName name="都督府_2_3_1" hidden="1">{"Input_Fin",#N/A,FALSE,"By Code";"Input_Opt",#N/A,FALSE,"By Code"}</definedName>
    <definedName name="都督府_2_3_2" hidden="1">{"Input_Fin",#N/A,FALSE,"By Code";"Input_Opt",#N/A,FALSE,"By Code"}</definedName>
    <definedName name="都督府_2_4" hidden="1">{"Input_Fin",#N/A,FALSE,"By Code";"Input_Opt",#N/A,FALSE,"By Code"}</definedName>
    <definedName name="都督府_2_5" hidden="1">{"Input_Fin",#N/A,FALSE,"By Code";"Input_Opt",#N/A,FALSE,"By Code"}</definedName>
    <definedName name="都督府_3" hidden="1">{"Input_Fin",#N/A,FALSE,"By Code";"Input_Opt",#N/A,FALSE,"By Code"}</definedName>
    <definedName name="都督府_3_1" hidden="1">{"Input_Fin",#N/A,FALSE,"By Code";"Input_Opt",#N/A,FALSE,"By Code"}</definedName>
    <definedName name="都督府_3_1_1" hidden="1">{"Input_Fin",#N/A,FALSE,"By Code";"Input_Opt",#N/A,FALSE,"By Code"}</definedName>
    <definedName name="都督府_3_1_1_1" hidden="1">{"Input_Fin",#N/A,FALSE,"By Code";"Input_Opt",#N/A,FALSE,"By Code"}</definedName>
    <definedName name="都督府_3_1_1_2" hidden="1">{"Input_Fin",#N/A,FALSE,"By Code";"Input_Opt",#N/A,FALSE,"By Code"}</definedName>
    <definedName name="都督府_3_1_1_3" hidden="1">{"Input_Fin",#N/A,FALSE,"By Code";"Input_Opt",#N/A,FALSE,"By Code"}</definedName>
    <definedName name="都督府_3_1_2" hidden="1">{"Input_Fin",#N/A,FALSE,"By Code";"Input_Opt",#N/A,FALSE,"By Code"}</definedName>
    <definedName name="都督府_3_1_2_1" hidden="1">{"Input_Fin",#N/A,FALSE,"By Code";"Input_Opt",#N/A,FALSE,"By Code"}</definedName>
    <definedName name="都督府_3_1_2_2" hidden="1">{"Input_Fin",#N/A,FALSE,"By Code";"Input_Opt",#N/A,FALSE,"By Code"}</definedName>
    <definedName name="都督府_3_1_3" hidden="1">{"Input_Fin",#N/A,FALSE,"By Code";"Input_Opt",#N/A,FALSE,"By Code"}</definedName>
    <definedName name="都督府_3_1_4" hidden="1">{"Input_Fin",#N/A,FALSE,"By Code";"Input_Opt",#N/A,FALSE,"By Code"}</definedName>
    <definedName name="都督府_3_2" hidden="1">{"Input_Fin",#N/A,FALSE,"By Code";"Input_Opt",#N/A,FALSE,"By Code"}</definedName>
    <definedName name="都督府_3_2_1" hidden="1">{"Input_Fin",#N/A,FALSE,"By Code";"Input_Opt",#N/A,FALSE,"By Code"}</definedName>
    <definedName name="都督府_3_2_2" hidden="1">{"Input_Fin",#N/A,FALSE,"By Code";"Input_Opt",#N/A,FALSE,"By Code"}</definedName>
    <definedName name="都督府_3_2_3" hidden="1">{"Input_Fin",#N/A,FALSE,"By Code";"Input_Opt",#N/A,FALSE,"By Code"}</definedName>
    <definedName name="都督府_3_3" hidden="1">{"Input_Fin",#N/A,FALSE,"By Code";"Input_Opt",#N/A,FALSE,"By Code"}</definedName>
    <definedName name="都督府_3_3_1" hidden="1">{"Input_Fin",#N/A,FALSE,"By Code";"Input_Opt",#N/A,FALSE,"By Code"}</definedName>
    <definedName name="都督府_3_3_2" hidden="1">{"Input_Fin",#N/A,FALSE,"By Code";"Input_Opt",#N/A,FALSE,"By Code"}</definedName>
    <definedName name="都督府_3_4" hidden="1">{"Input_Fin",#N/A,FALSE,"By Code";"Input_Opt",#N/A,FALSE,"By Code"}</definedName>
    <definedName name="都督府_3_5" hidden="1">{"Input_Fin",#N/A,FALSE,"By Code";"Input_Opt",#N/A,FALSE,"By Code"}</definedName>
    <definedName name="都督府_4" hidden="1">{"Input_Fin",#N/A,FALSE,"By Code";"Input_Opt",#N/A,FALSE,"By Code"}</definedName>
    <definedName name="都督府_4_1" hidden="1">{"Input_Fin",#N/A,FALSE,"By Code";"Input_Opt",#N/A,FALSE,"By Code"}</definedName>
    <definedName name="都督府_4_1_1" hidden="1">{"Input_Fin",#N/A,FALSE,"By Code";"Input_Opt",#N/A,FALSE,"By Code"}</definedName>
    <definedName name="都督府_4_1_1_1" hidden="1">{"Input_Fin",#N/A,FALSE,"By Code";"Input_Opt",#N/A,FALSE,"By Code"}</definedName>
    <definedName name="都督府_4_1_1_2" hidden="1">{"Input_Fin",#N/A,FALSE,"By Code";"Input_Opt",#N/A,FALSE,"By Code"}</definedName>
    <definedName name="都督府_4_1_1_3" hidden="1">{"Input_Fin",#N/A,FALSE,"By Code";"Input_Opt",#N/A,FALSE,"By Code"}</definedName>
    <definedName name="都督府_4_1_2" hidden="1">{"Input_Fin",#N/A,FALSE,"By Code";"Input_Opt",#N/A,FALSE,"By Code"}</definedName>
    <definedName name="都督府_4_1_2_1" hidden="1">{"Input_Fin",#N/A,FALSE,"By Code";"Input_Opt",#N/A,FALSE,"By Code"}</definedName>
    <definedName name="都督府_4_1_2_2" hidden="1">{"Input_Fin",#N/A,FALSE,"By Code";"Input_Opt",#N/A,FALSE,"By Code"}</definedName>
    <definedName name="都督府_4_1_3" hidden="1">{"Input_Fin",#N/A,FALSE,"By Code";"Input_Opt",#N/A,FALSE,"By Code"}</definedName>
    <definedName name="都督府_4_1_4" hidden="1">{"Input_Fin",#N/A,FALSE,"By Code";"Input_Opt",#N/A,FALSE,"By Code"}</definedName>
    <definedName name="都督府_4_2" hidden="1">{"Input_Fin",#N/A,FALSE,"By Code";"Input_Opt",#N/A,FALSE,"By Code"}</definedName>
    <definedName name="都督府_4_2_1" hidden="1">{"Input_Fin",#N/A,FALSE,"By Code";"Input_Opt",#N/A,FALSE,"By Code"}</definedName>
    <definedName name="都督府_4_2_2" hidden="1">{"Input_Fin",#N/A,FALSE,"By Code";"Input_Opt",#N/A,FALSE,"By Code"}</definedName>
    <definedName name="都督府_4_2_3" hidden="1">{"Input_Fin",#N/A,FALSE,"By Code";"Input_Opt",#N/A,FALSE,"By Code"}</definedName>
    <definedName name="都督府_4_3" hidden="1">{"Input_Fin",#N/A,FALSE,"By Code";"Input_Opt",#N/A,FALSE,"By Code"}</definedName>
    <definedName name="都督府_4_3_1" hidden="1">{"Input_Fin",#N/A,FALSE,"By Code";"Input_Opt",#N/A,FALSE,"By Code"}</definedName>
    <definedName name="都督府_4_3_2" hidden="1">{"Input_Fin",#N/A,FALSE,"By Code";"Input_Opt",#N/A,FALSE,"By Code"}</definedName>
    <definedName name="都督府_4_4" hidden="1">{"Input_Fin",#N/A,FALSE,"By Code";"Input_Opt",#N/A,FALSE,"By Code"}</definedName>
    <definedName name="都督府_4_5" hidden="1">{"Input_Fin",#N/A,FALSE,"By Code";"Input_Opt",#N/A,FALSE,"By Code"}</definedName>
    <definedName name="都督府_5" hidden="1">{"Input_Fin",#N/A,FALSE,"By Code";"Input_Opt",#N/A,FALSE,"By Code"}</definedName>
    <definedName name="都督府_5_1" hidden="1">{"Input_Fin",#N/A,FALSE,"By Code";"Input_Opt",#N/A,FALSE,"By Code"}</definedName>
    <definedName name="都督府_5_1_1" hidden="1">{"Input_Fin",#N/A,FALSE,"By Code";"Input_Opt",#N/A,FALSE,"By Code"}</definedName>
    <definedName name="都督府_5_1_1_1" hidden="1">{"Input_Fin",#N/A,FALSE,"By Code";"Input_Opt",#N/A,FALSE,"By Code"}</definedName>
    <definedName name="都督府_5_1_1_2" hidden="1">{"Input_Fin",#N/A,FALSE,"By Code";"Input_Opt",#N/A,FALSE,"By Code"}</definedName>
    <definedName name="都督府_5_1_1_3" hidden="1">{"Input_Fin",#N/A,FALSE,"By Code";"Input_Opt",#N/A,FALSE,"By Code"}</definedName>
    <definedName name="都督府_5_1_2" hidden="1">{"Input_Fin",#N/A,FALSE,"By Code";"Input_Opt",#N/A,FALSE,"By Code"}</definedName>
    <definedName name="都督府_5_1_2_1" hidden="1">{"Input_Fin",#N/A,FALSE,"By Code";"Input_Opt",#N/A,FALSE,"By Code"}</definedName>
    <definedName name="都督府_5_1_2_2" hidden="1">{"Input_Fin",#N/A,FALSE,"By Code";"Input_Opt",#N/A,FALSE,"By Code"}</definedName>
    <definedName name="都督府_5_1_3" hidden="1">{"Input_Fin",#N/A,FALSE,"By Code";"Input_Opt",#N/A,FALSE,"By Code"}</definedName>
    <definedName name="都督府_5_1_4" hidden="1">{"Input_Fin",#N/A,FALSE,"By Code";"Input_Opt",#N/A,FALSE,"By Code"}</definedName>
    <definedName name="都督府_5_2" hidden="1">{"Input_Fin",#N/A,FALSE,"By Code";"Input_Opt",#N/A,FALSE,"By Code"}</definedName>
    <definedName name="都督府_5_2_1" hidden="1">{"Input_Fin",#N/A,FALSE,"By Code";"Input_Opt",#N/A,FALSE,"By Code"}</definedName>
    <definedName name="都督府_5_2_2" hidden="1">{"Input_Fin",#N/A,FALSE,"By Code";"Input_Opt",#N/A,FALSE,"By Code"}</definedName>
    <definedName name="都督府_5_2_3" hidden="1">{"Input_Fin",#N/A,FALSE,"By Code";"Input_Opt",#N/A,FALSE,"By Code"}</definedName>
    <definedName name="都督府_5_3" hidden="1">{"Input_Fin",#N/A,FALSE,"By Code";"Input_Opt",#N/A,FALSE,"By Code"}</definedName>
    <definedName name="都督府_5_3_1" hidden="1">{"Input_Fin",#N/A,FALSE,"By Code";"Input_Opt",#N/A,FALSE,"By Code"}</definedName>
    <definedName name="都督府_5_3_2" hidden="1">{"Input_Fin",#N/A,FALSE,"By Code";"Input_Opt",#N/A,FALSE,"By Code"}</definedName>
    <definedName name="都督府_5_4" hidden="1">{"Input_Fin",#N/A,FALSE,"By Code";"Input_Opt",#N/A,FALSE,"By Code"}</definedName>
    <definedName name="都督府_5_5" hidden="1">{"Input_Fin",#N/A,FALSE,"By Code";"Input_Opt",#N/A,FALSE,"By Code"}</definedName>
    <definedName name="恶毒狗仔三挂钩作风1">#N/A</definedName>
    <definedName name="发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发大会" localSheetId="12" hidden="1">{"Input_Fin",#N/A,FALSE,"By Code";"Input_Opt",#N/A,FALSE,"By Code"}</definedName>
    <definedName name="发大会" hidden="1">{"Input_Fin",#N/A,FALSE,"By Code";"Input_Opt",#N/A,FALSE,"By Code"}</definedName>
    <definedName name="发大会_1" hidden="1">{"Input_Fin",#N/A,FALSE,"By Code";"Input_Opt",#N/A,FALSE,"By Code"}</definedName>
    <definedName name="发大会_1_1" hidden="1">{"Input_Fin",#N/A,FALSE,"By Code";"Input_Opt",#N/A,FALSE,"By Code"}</definedName>
    <definedName name="发大会_1_1_1" hidden="1">{"Input_Fin",#N/A,FALSE,"By Code";"Input_Opt",#N/A,FALSE,"By Code"}</definedName>
    <definedName name="发大会_1_1_2" hidden="1">{"Input_Fin",#N/A,FALSE,"By Code";"Input_Opt",#N/A,FALSE,"By Code"}</definedName>
    <definedName name="发大会_1_1_3" hidden="1">{"Input_Fin",#N/A,FALSE,"By Code";"Input_Opt",#N/A,FALSE,"By Code"}</definedName>
    <definedName name="发大会_1_2" hidden="1">{"Input_Fin",#N/A,FALSE,"By Code";"Input_Opt",#N/A,FALSE,"By Code"}</definedName>
    <definedName name="发大会_1_2_1" hidden="1">{"Input_Fin",#N/A,FALSE,"By Code";"Input_Opt",#N/A,FALSE,"By Code"}</definedName>
    <definedName name="发大会_1_2_2" hidden="1">{"Input_Fin",#N/A,FALSE,"By Code";"Input_Opt",#N/A,FALSE,"By Code"}</definedName>
    <definedName name="发大会_1_3" hidden="1">{"Input_Fin",#N/A,FALSE,"By Code";"Input_Opt",#N/A,FALSE,"By Code"}</definedName>
    <definedName name="发大会_1_4" hidden="1">{"Input_Fin",#N/A,FALSE,"By Code";"Input_Opt",#N/A,FALSE,"By Code"}</definedName>
    <definedName name="发大会_2" hidden="1">{"Input_Fin",#N/A,FALSE,"By Code";"Input_Opt",#N/A,FALSE,"By Code"}</definedName>
    <definedName name="发大会_2_1" hidden="1">{"Input_Fin",#N/A,FALSE,"By Code";"Input_Opt",#N/A,FALSE,"By Code"}</definedName>
    <definedName name="发大会_2_2" hidden="1">{"Input_Fin",#N/A,FALSE,"By Code";"Input_Opt",#N/A,FALSE,"By Code"}</definedName>
    <definedName name="发大会_2_3" hidden="1">{"Input_Fin",#N/A,FALSE,"By Code";"Input_Opt",#N/A,FALSE,"By Code"}</definedName>
    <definedName name="发大会_3" hidden="1">{"Input_Fin",#N/A,FALSE,"By Code";"Input_Opt",#N/A,FALSE,"By Code"}</definedName>
    <definedName name="发大会_3_1" hidden="1">{"Input_Fin",#N/A,FALSE,"By Code";"Input_Opt",#N/A,FALSE,"By Code"}</definedName>
    <definedName name="发大会_3_2" hidden="1">{"Input_Fin",#N/A,FALSE,"By Code";"Input_Opt",#N/A,FALSE,"By Code"}</definedName>
    <definedName name="发大会_4" hidden="1">{"Input_Fin",#N/A,FALSE,"By Code";"Input_Opt",#N/A,FALSE,"By Code"}</definedName>
    <definedName name="发大会_5" hidden="1">{"Input_Fin",#N/A,FALSE,"By Code";"Input_Opt",#N/A,FALSE,"By Code"}</definedName>
    <definedName name="发生的发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费用1" hidden="1">{"'Sheet4'!$A$1:$L$41"}</definedName>
    <definedName name="费用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分事业线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分事业线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风格共和国工会" hidden="1">{"Input_Fin",#N/A,FALSE,"By Code";"Input_Opt",#N/A,FALSE,"By Code"}</definedName>
    <definedName name="风格共和国工会_1" hidden="1">{"Input_Fin",#N/A,FALSE,"By Code";"Input_Opt",#N/A,FALSE,"By Code"}</definedName>
    <definedName name="风格共和国工会_1_1" hidden="1">{"Input_Fin",#N/A,FALSE,"By Code";"Input_Opt",#N/A,FALSE,"By Code"}</definedName>
    <definedName name="风格共和国工会_1_1_1" hidden="1">{"Input_Fin",#N/A,FALSE,"By Code";"Input_Opt",#N/A,FALSE,"By Code"}</definedName>
    <definedName name="风格共和国工会_1_1_2" hidden="1">{"Input_Fin",#N/A,FALSE,"By Code";"Input_Opt",#N/A,FALSE,"By Code"}</definedName>
    <definedName name="风格共和国工会_1_1_3" hidden="1">{"Input_Fin",#N/A,FALSE,"By Code";"Input_Opt",#N/A,FALSE,"By Code"}</definedName>
    <definedName name="风格共和国工会_1_2" hidden="1">{"Input_Fin",#N/A,FALSE,"By Code";"Input_Opt",#N/A,FALSE,"By Code"}</definedName>
    <definedName name="风格共和国工会_1_2_1" hidden="1">{"Input_Fin",#N/A,FALSE,"By Code";"Input_Opt",#N/A,FALSE,"By Code"}</definedName>
    <definedName name="风格共和国工会_1_2_2" hidden="1">{"Input_Fin",#N/A,FALSE,"By Code";"Input_Opt",#N/A,FALSE,"By Code"}</definedName>
    <definedName name="风格共和国工会_1_3" hidden="1">{"Input_Fin",#N/A,FALSE,"By Code";"Input_Opt",#N/A,FALSE,"By Code"}</definedName>
    <definedName name="风格共和国工会_1_4" hidden="1">{"Input_Fin",#N/A,FALSE,"By Code";"Input_Opt",#N/A,FALSE,"By Code"}</definedName>
    <definedName name="风格共和国工会_2" hidden="1">{"Input_Fin",#N/A,FALSE,"By Code";"Input_Opt",#N/A,FALSE,"By Code"}</definedName>
    <definedName name="风格共和国工会_2_1" hidden="1">{"Input_Fin",#N/A,FALSE,"By Code";"Input_Opt",#N/A,FALSE,"By Code"}</definedName>
    <definedName name="风格共和国工会_2_2" hidden="1">{"Input_Fin",#N/A,FALSE,"By Code";"Input_Opt",#N/A,FALSE,"By Code"}</definedName>
    <definedName name="风格共和国工会_2_3" hidden="1">{"Input_Fin",#N/A,FALSE,"By Code";"Input_Opt",#N/A,FALSE,"By Code"}</definedName>
    <definedName name="风格共和国工会_3" hidden="1">{"Input_Fin",#N/A,FALSE,"By Code";"Input_Opt",#N/A,FALSE,"By Code"}</definedName>
    <definedName name="风格共和国工会_3_1" hidden="1">{"Input_Fin",#N/A,FALSE,"By Code";"Input_Opt",#N/A,FALSE,"By Code"}</definedName>
    <definedName name="风格共和国工会_3_2" hidden="1">{"Input_Fin",#N/A,FALSE,"By Code";"Input_Opt",#N/A,FALSE,"By Code"}</definedName>
    <definedName name="风格共和国工会_4" hidden="1">{"Input_Fin",#N/A,FALSE,"By Code";"Input_Opt",#N/A,FALSE,"By Code"}</definedName>
    <definedName name="风格共和国工会_5" hidden="1">{"Input_Fin",#N/A,FALSE,"By Code";"Input_Opt",#N/A,FALSE,"By Code"}</definedName>
    <definedName name="浮标" localSheetId="12" hidden="1">{"Input_Fin",#N/A,FALSE,"By Code";"Input_Opt",#N/A,FALSE,"By Code"}</definedName>
    <definedName name="浮标" hidden="1">{"Input_Fin",#N/A,FALSE,"By Code";"Input_Opt",#N/A,FALSE,"By Code"}</definedName>
    <definedName name="浮标_1" hidden="1">{"Input_Fin",#N/A,FALSE,"By Code";"Input_Opt",#N/A,FALSE,"By Code"}</definedName>
    <definedName name="浮标_1_1" hidden="1">{"Input_Fin",#N/A,FALSE,"By Code";"Input_Opt",#N/A,FALSE,"By Code"}</definedName>
    <definedName name="浮标_1_1_1" hidden="1">{"Input_Fin",#N/A,FALSE,"By Code";"Input_Opt",#N/A,FALSE,"By Code"}</definedName>
    <definedName name="浮标_1_1_1_1" hidden="1">{"Input_Fin",#N/A,FALSE,"By Code";"Input_Opt",#N/A,FALSE,"By Code"}</definedName>
    <definedName name="浮标_1_1_1_1_1" hidden="1">{"Input_Fin",#N/A,FALSE,"By Code";"Input_Opt",#N/A,FALSE,"By Code"}</definedName>
    <definedName name="浮标_1_1_1_1_2" hidden="1">{"Input_Fin",#N/A,FALSE,"By Code";"Input_Opt",#N/A,FALSE,"By Code"}</definedName>
    <definedName name="浮标_1_1_1_1_3" hidden="1">{"Input_Fin",#N/A,FALSE,"By Code";"Input_Opt",#N/A,FALSE,"By Code"}</definedName>
    <definedName name="浮标_1_1_1_2" hidden="1">{"Input_Fin",#N/A,FALSE,"By Code";"Input_Opt",#N/A,FALSE,"By Code"}</definedName>
    <definedName name="浮标_1_1_1_2_1" hidden="1">{"Input_Fin",#N/A,FALSE,"By Code";"Input_Opt",#N/A,FALSE,"By Code"}</definedName>
    <definedName name="浮标_1_1_1_2_2" hidden="1">{"Input_Fin",#N/A,FALSE,"By Code";"Input_Opt",#N/A,FALSE,"By Code"}</definedName>
    <definedName name="浮标_1_1_1_3" hidden="1">{"Input_Fin",#N/A,FALSE,"By Code";"Input_Opt",#N/A,FALSE,"By Code"}</definedName>
    <definedName name="浮标_1_1_1_3_1" hidden="1">{"Input_Fin",#N/A,FALSE,"By Code";"Input_Opt",#N/A,FALSE,"By Code"}</definedName>
    <definedName name="浮标_1_1_1_3_2" hidden="1">{"Input_Fin",#N/A,FALSE,"By Code";"Input_Opt",#N/A,FALSE,"By Code"}</definedName>
    <definedName name="浮标_1_1_1_4" hidden="1">{"Input_Fin",#N/A,FALSE,"By Code";"Input_Opt",#N/A,FALSE,"By Code"}</definedName>
    <definedName name="浮标_1_1_1_5" hidden="1">{"Input_Fin",#N/A,FALSE,"By Code";"Input_Opt",#N/A,FALSE,"By Code"}</definedName>
    <definedName name="浮标_1_1_2" hidden="1">{"Input_Fin",#N/A,FALSE,"By Code";"Input_Opt",#N/A,FALSE,"By Code"}</definedName>
    <definedName name="浮标_1_1_2_1" hidden="1">{"Input_Fin",#N/A,FALSE,"By Code";"Input_Opt",#N/A,FALSE,"By Code"}</definedName>
    <definedName name="浮标_1_1_2_2" hidden="1">{"Input_Fin",#N/A,FALSE,"By Code";"Input_Opt",#N/A,FALSE,"By Code"}</definedName>
    <definedName name="浮标_1_1_2_3" hidden="1">{"Input_Fin",#N/A,FALSE,"By Code";"Input_Opt",#N/A,FALSE,"By Code"}</definedName>
    <definedName name="浮标_1_1_3" hidden="1">{"Input_Fin",#N/A,FALSE,"By Code";"Input_Opt",#N/A,FALSE,"By Code"}</definedName>
    <definedName name="浮标_1_1_3_1" hidden="1">{"Input_Fin",#N/A,FALSE,"By Code";"Input_Opt",#N/A,FALSE,"By Code"}</definedName>
    <definedName name="浮标_1_1_3_2" hidden="1">{"Input_Fin",#N/A,FALSE,"By Code";"Input_Opt",#N/A,FALSE,"By Code"}</definedName>
    <definedName name="浮标_1_1_4" hidden="1">{"Input_Fin",#N/A,FALSE,"By Code";"Input_Opt",#N/A,FALSE,"By Code"}</definedName>
    <definedName name="浮标_1_1_5" hidden="1">{"Input_Fin",#N/A,FALSE,"By Code";"Input_Opt",#N/A,FALSE,"By Code"}</definedName>
    <definedName name="浮标_1_2" hidden="1">{"Input_Fin",#N/A,FALSE,"By Code";"Input_Opt",#N/A,FALSE,"By Code"}</definedName>
    <definedName name="浮标_1_2_1" hidden="1">{"Input_Fin",#N/A,FALSE,"By Code";"Input_Opt",#N/A,FALSE,"By Code"}</definedName>
    <definedName name="浮标_1_2_2" hidden="1">{"Input_Fin",#N/A,FALSE,"By Code";"Input_Opt",#N/A,FALSE,"By Code"}</definedName>
    <definedName name="浮标_1_2_3" hidden="1">{"Input_Fin",#N/A,FALSE,"By Code";"Input_Opt",#N/A,FALSE,"By Code"}</definedName>
    <definedName name="浮标_1_3" hidden="1">{"Input_Fin",#N/A,FALSE,"By Code";"Input_Opt",#N/A,FALSE,"By Code"}</definedName>
    <definedName name="浮标_1_3_1" hidden="1">{"Input_Fin",#N/A,FALSE,"By Code";"Input_Opt",#N/A,FALSE,"By Code"}</definedName>
    <definedName name="浮标_1_3_2" hidden="1">{"Input_Fin",#N/A,FALSE,"By Code";"Input_Opt",#N/A,FALSE,"By Code"}</definedName>
    <definedName name="浮标_1_4" hidden="1">{"Input_Fin",#N/A,FALSE,"By Code";"Input_Opt",#N/A,FALSE,"By Code"}</definedName>
    <definedName name="浮标_1_5" hidden="1">{"Input_Fin",#N/A,FALSE,"By Code";"Input_Opt",#N/A,FALSE,"By Code"}</definedName>
    <definedName name="浮标_2" hidden="1">{"Input_Fin",#N/A,FALSE,"By Code";"Input_Opt",#N/A,FALSE,"By Code"}</definedName>
    <definedName name="浮标_2_1" hidden="1">{"Input_Fin",#N/A,FALSE,"By Code";"Input_Opt",#N/A,FALSE,"By Code"}</definedName>
    <definedName name="浮标_2_1_1" hidden="1">{"Input_Fin",#N/A,FALSE,"By Code";"Input_Opt",#N/A,FALSE,"By Code"}</definedName>
    <definedName name="浮标_2_1_1_1" hidden="1">{"Input_Fin",#N/A,FALSE,"By Code";"Input_Opt",#N/A,FALSE,"By Code"}</definedName>
    <definedName name="浮标_2_1_1_2" hidden="1">{"Input_Fin",#N/A,FALSE,"By Code";"Input_Opt",#N/A,FALSE,"By Code"}</definedName>
    <definedName name="浮标_2_1_1_3" hidden="1">{"Input_Fin",#N/A,FALSE,"By Code";"Input_Opt",#N/A,FALSE,"By Code"}</definedName>
    <definedName name="浮标_2_1_2" hidden="1">{"Input_Fin",#N/A,FALSE,"By Code";"Input_Opt",#N/A,FALSE,"By Code"}</definedName>
    <definedName name="浮标_2_1_2_1" hidden="1">{"Input_Fin",#N/A,FALSE,"By Code";"Input_Opt",#N/A,FALSE,"By Code"}</definedName>
    <definedName name="浮标_2_1_2_2" hidden="1">{"Input_Fin",#N/A,FALSE,"By Code";"Input_Opt",#N/A,FALSE,"By Code"}</definedName>
    <definedName name="浮标_2_1_3" hidden="1">{"Input_Fin",#N/A,FALSE,"By Code";"Input_Opt",#N/A,FALSE,"By Code"}</definedName>
    <definedName name="浮标_2_1_4" hidden="1">{"Input_Fin",#N/A,FALSE,"By Code";"Input_Opt",#N/A,FALSE,"By Code"}</definedName>
    <definedName name="浮标_2_2" hidden="1">{"Input_Fin",#N/A,FALSE,"By Code";"Input_Opt",#N/A,FALSE,"By Code"}</definedName>
    <definedName name="浮标_2_2_1" hidden="1">{"Input_Fin",#N/A,FALSE,"By Code";"Input_Opt",#N/A,FALSE,"By Code"}</definedName>
    <definedName name="浮标_2_2_2" hidden="1">{"Input_Fin",#N/A,FALSE,"By Code";"Input_Opt",#N/A,FALSE,"By Code"}</definedName>
    <definedName name="浮标_2_2_3" hidden="1">{"Input_Fin",#N/A,FALSE,"By Code";"Input_Opt",#N/A,FALSE,"By Code"}</definedName>
    <definedName name="浮标_2_3" hidden="1">{"Input_Fin",#N/A,FALSE,"By Code";"Input_Opt",#N/A,FALSE,"By Code"}</definedName>
    <definedName name="浮标_2_3_1" hidden="1">{"Input_Fin",#N/A,FALSE,"By Code";"Input_Opt",#N/A,FALSE,"By Code"}</definedName>
    <definedName name="浮标_2_3_2" hidden="1">{"Input_Fin",#N/A,FALSE,"By Code";"Input_Opt",#N/A,FALSE,"By Code"}</definedName>
    <definedName name="浮标_2_4" hidden="1">{"Input_Fin",#N/A,FALSE,"By Code";"Input_Opt",#N/A,FALSE,"By Code"}</definedName>
    <definedName name="浮标_2_5" hidden="1">{"Input_Fin",#N/A,FALSE,"By Code";"Input_Opt",#N/A,FALSE,"By Code"}</definedName>
    <definedName name="浮标_3" hidden="1">{"Input_Fin",#N/A,FALSE,"By Code";"Input_Opt",#N/A,FALSE,"By Code"}</definedName>
    <definedName name="浮标_3_1" hidden="1">{"Input_Fin",#N/A,FALSE,"By Code";"Input_Opt",#N/A,FALSE,"By Code"}</definedName>
    <definedName name="浮标_3_1_1" hidden="1">{"Input_Fin",#N/A,FALSE,"By Code";"Input_Opt",#N/A,FALSE,"By Code"}</definedName>
    <definedName name="浮标_3_1_1_1" hidden="1">{"Input_Fin",#N/A,FALSE,"By Code";"Input_Opt",#N/A,FALSE,"By Code"}</definedName>
    <definedName name="浮标_3_1_1_2" hidden="1">{"Input_Fin",#N/A,FALSE,"By Code";"Input_Opt",#N/A,FALSE,"By Code"}</definedName>
    <definedName name="浮标_3_1_1_3" hidden="1">{"Input_Fin",#N/A,FALSE,"By Code";"Input_Opt",#N/A,FALSE,"By Code"}</definedName>
    <definedName name="浮标_3_1_2" hidden="1">{"Input_Fin",#N/A,FALSE,"By Code";"Input_Opt",#N/A,FALSE,"By Code"}</definedName>
    <definedName name="浮标_3_1_2_1" hidden="1">{"Input_Fin",#N/A,FALSE,"By Code";"Input_Opt",#N/A,FALSE,"By Code"}</definedName>
    <definedName name="浮标_3_1_2_2" hidden="1">{"Input_Fin",#N/A,FALSE,"By Code";"Input_Opt",#N/A,FALSE,"By Code"}</definedName>
    <definedName name="浮标_3_1_3" hidden="1">{"Input_Fin",#N/A,FALSE,"By Code";"Input_Opt",#N/A,FALSE,"By Code"}</definedName>
    <definedName name="浮标_3_1_4" hidden="1">{"Input_Fin",#N/A,FALSE,"By Code";"Input_Opt",#N/A,FALSE,"By Code"}</definedName>
    <definedName name="浮标_3_2" hidden="1">{"Input_Fin",#N/A,FALSE,"By Code";"Input_Opt",#N/A,FALSE,"By Code"}</definedName>
    <definedName name="浮标_3_2_1" hidden="1">{"Input_Fin",#N/A,FALSE,"By Code";"Input_Opt",#N/A,FALSE,"By Code"}</definedName>
    <definedName name="浮标_3_2_2" hidden="1">{"Input_Fin",#N/A,FALSE,"By Code";"Input_Opt",#N/A,FALSE,"By Code"}</definedName>
    <definedName name="浮标_3_2_3" hidden="1">{"Input_Fin",#N/A,FALSE,"By Code";"Input_Opt",#N/A,FALSE,"By Code"}</definedName>
    <definedName name="浮标_3_3" hidden="1">{"Input_Fin",#N/A,FALSE,"By Code";"Input_Opt",#N/A,FALSE,"By Code"}</definedName>
    <definedName name="浮标_3_3_1" hidden="1">{"Input_Fin",#N/A,FALSE,"By Code";"Input_Opt",#N/A,FALSE,"By Code"}</definedName>
    <definedName name="浮标_3_3_2" hidden="1">{"Input_Fin",#N/A,FALSE,"By Code";"Input_Opt",#N/A,FALSE,"By Code"}</definedName>
    <definedName name="浮标_3_4" hidden="1">{"Input_Fin",#N/A,FALSE,"By Code";"Input_Opt",#N/A,FALSE,"By Code"}</definedName>
    <definedName name="浮标_3_5" hidden="1">{"Input_Fin",#N/A,FALSE,"By Code";"Input_Opt",#N/A,FALSE,"By Code"}</definedName>
    <definedName name="浮标_4" hidden="1">{"Input_Fin",#N/A,FALSE,"By Code";"Input_Opt",#N/A,FALSE,"By Code"}</definedName>
    <definedName name="浮标_4_1" hidden="1">{"Input_Fin",#N/A,FALSE,"By Code";"Input_Opt",#N/A,FALSE,"By Code"}</definedName>
    <definedName name="浮标_4_1_1" hidden="1">{"Input_Fin",#N/A,FALSE,"By Code";"Input_Opt",#N/A,FALSE,"By Code"}</definedName>
    <definedName name="浮标_4_1_1_1" hidden="1">{"Input_Fin",#N/A,FALSE,"By Code";"Input_Opt",#N/A,FALSE,"By Code"}</definedName>
    <definedName name="浮标_4_1_1_2" hidden="1">{"Input_Fin",#N/A,FALSE,"By Code";"Input_Opt",#N/A,FALSE,"By Code"}</definedName>
    <definedName name="浮标_4_1_1_3" hidden="1">{"Input_Fin",#N/A,FALSE,"By Code";"Input_Opt",#N/A,FALSE,"By Code"}</definedName>
    <definedName name="浮标_4_1_2" hidden="1">{"Input_Fin",#N/A,FALSE,"By Code";"Input_Opt",#N/A,FALSE,"By Code"}</definedName>
    <definedName name="浮标_4_1_2_1" hidden="1">{"Input_Fin",#N/A,FALSE,"By Code";"Input_Opt",#N/A,FALSE,"By Code"}</definedName>
    <definedName name="浮标_4_1_2_2" hidden="1">{"Input_Fin",#N/A,FALSE,"By Code";"Input_Opt",#N/A,FALSE,"By Code"}</definedName>
    <definedName name="浮标_4_1_3" hidden="1">{"Input_Fin",#N/A,FALSE,"By Code";"Input_Opt",#N/A,FALSE,"By Code"}</definedName>
    <definedName name="浮标_4_1_4" hidden="1">{"Input_Fin",#N/A,FALSE,"By Code";"Input_Opt",#N/A,FALSE,"By Code"}</definedName>
    <definedName name="浮标_4_2" hidden="1">{"Input_Fin",#N/A,FALSE,"By Code";"Input_Opt",#N/A,FALSE,"By Code"}</definedName>
    <definedName name="浮标_4_2_1" hidden="1">{"Input_Fin",#N/A,FALSE,"By Code";"Input_Opt",#N/A,FALSE,"By Code"}</definedName>
    <definedName name="浮标_4_2_2" hidden="1">{"Input_Fin",#N/A,FALSE,"By Code";"Input_Opt",#N/A,FALSE,"By Code"}</definedName>
    <definedName name="浮标_4_2_3" hidden="1">{"Input_Fin",#N/A,FALSE,"By Code";"Input_Opt",#N/A,FALSE,"By Code"}</definedName>
    <definedName name="浮标_4_3" hidden="1">{"Input_Fin",#N/A,FALSE,"By Code";"Input_Opt",#N/A,FALSE,"By Code"}</definedName>
    <definedName name="浮标_4_3_1" hidden="1">{"Input_Fin",#N/A,FALSE,"By Code";"Input_Opt",#N/A,FALSE,"By Code"}</definedName>
    <definedName name="浮标_4_3_2" hidden="1">{"Input_Fin",#N/A,FALSE,"By Code";"Input_Opt",#N/A,FALSE,"By Code"}</definedName>
    <definedName name="浮标_4_4" hidden="1">{"Input_Fin",#N/A,FALSE,"By Code";"Input_Opt",#N/A,FALSE,"By Code"}</definedName>
    <definedName name="浮标_4_5" hidden="1">{"Input_Fin",#N/A,FALSE,"By Code";"Input_Opt",#N/A,FALSE,"By Code"}</definedName>
    <definedName name="浮标_5" hidden="1">{"Input_Fin",#N/A,FALSE,"By Code";"Input_Opt",#N/A,FALSE,"By Code"}</definedName>
    <definedName name="浮标_5_1" hidden="1">{"Input_Fin",#N/A,FALSE,"By Code";"Input_Opt",#N/A,FALSE,"By Code"}</definedName>
    <definedName name="浮标_5_1_1" hidden="1">{"Input_Fin",#N/A,FALSE,"By Code";"Input_Opt",#N/A,FALSE,"By Code"}</definedName>
    <definedName name="浮标_5_1_1_1" hidden="1">{"Input_Fin",#N/A,FALSE,"By Code";"Input_Opt",#N/A,FALSE,"By Code"}</definedName>
    <definedName name="浮标_5_1_1_2" hidden="1">{"Input_Fin",#N/A,FALSE,"By Code";"Input_Opt",#N/A,FALSE,"By Code"}</definedName>
    <definedName name="浮标_5_1_1_3" hidden="1">{"Input_Fin",#N/A,FALSE,"By Code";"Input_Opt",#N/A,FALSE,"By Code"}</definedName>
    <definedName name="浮标_5_1_2" hidden="1">{"Input_Fin",#N/A,FALSE,"By Code";"Input_Opt",#N/A,FALSE,"By Code"}</definedName>
    <definedName name="浮标_5_1_2_1" hidden="1">{"Input_Fin",#N/A,FALSE,"By Code";"Input_Opt",#N/A,FALSE,"By Code"}</definedName>
    <definedName name="浮标_5_1_2_2" hidden="1">{"Input_Fin",#N/A,FALSE,"By Code";"Input_Opt",#N/A,FALSE,"By Code"}</definedName>
    <definedName name="浮标_5_1_3" hidden="1">{"Input_Fin",#N/A,FALSE,"By Code";"Input_Opt",#N/A,FALSE,"By Code"}</definedName>
    <definedName name="浮标_5_1_4" hidden="1">{"Input_Fin",#N/A,FALSE,"By Code";"Input_Opt",#N/A,FALSE,"By Code"}</definedName>
    <definedName name="浮标_5_2" hidden="1">{"Input_Fin",#N/A,FALSE,"By Code";"Input_Opt",#N/A,FALSE,"By Code"}</definedName>
    <definedName name="浮标_5_2_1" hidden="1">{"Input_Fin",#N/A,FALSE,"By Code";"Input_Opt",#N/A,FALSE,"By Code"}</definedName>
    <definedName name="浮标_5_2_2" hidden="1">{"Input_Fin",#N/A,FALSE,"By Code";"Input_Opt",#N/A,FALSE,"By Code"}</definedName>
    <definedName name="浮标_5_2_3" hidden="1">{"Input_Fin",#N/A,FALSE,"By Code";"Input_Opt",#N/A,FALSE,"By Code"}</definedName>
    <definedName name="浮标_5_3" hidden="1">{"Input_Fin",#N/A,FALSE,"By Code";"Input_Opt",#N/A,FALSE,"By Code"}</definedName>
    <definedName name="浮标_5_3_1" hidden="1">{"Input_Fin",#N/A,FALSE,"By Code";"Input_Opt",#N/A,FALSE,"By Code"}</definedName>
    <definedName name="浮标_5_3_2" hidden="1">{"Input_Fin",#N/A,FALSE,"By Code";"Input_Opt",#N/A,FALSE,"By Code"}</definedName>
    <definedName name="浮标_5_4" hidden="1">{"Input_Fin",#N/A,FALSE,"By Code";"Input_Opt",#N/A,FALSE,"By Code"}</definedName>
    <definedName name="浮标_5_5" hidden="1">{"Input_Fin",#N/A,FALSE,"By Code";"Input_Opt",#N/A,FALSE,"By Code"}</definedName>
    <definedName name="福建福建人" hidden="1">{"Input_Fin",#N/A,FALSE,"By Code";"Input_Opt",#N/A,FALSE,"By Code"}</definedName>
    <definedName name="辅导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" localSheetId="12" hidden="1">{"Input_Fin",#N/A,FALSE,"By Code";"Input_Opt",#N/A,FALSE,"By Code"}</definedName>
    <definedName name="辅料" hidden="1">{"Input_Fin",#N/A,FALSE,"By Code";"Input_Opt",#N/A,FALSE,"By Code"}</definedName>
    <definedName name="辅料_1" hidden="1">{"Input_Fin",#N/A,FALSE,"By Code";"Input_Opt",#N/A,FALSE,"By Code"}</definedName>
    <definedName name="辅料_1_1" hidden="1">{"Input_Fin",#N/A,FALSE,"By Code";"Input_Opt",#N/A,FALSE,"By Code"}</definedName>
    <definedName name="辅料_1_1_1" hidden="1">{"Input_Fin",#N/A,FALSE,"By Code";"Input_Opt",#N/A,FALSE,"By Code"}</definedName>
    <definedName name="辅料_1_1_1_1" hidden="1">{"Input_Fin",#N/A,FALSE,"By Code";"Input_Opt",#N/A,FALSE,"By Code"}</definedName>
    <definedName name="辅料_1_1_1_1_1" hidden="1">{"Input_Fin",#N/A,FALSE,"By Code";"Input_Opt",#N/A,FALSE,"By Code"}</definedName>
    <definedName name="辅料_1_1_1_1_2" hidden="1">{"Input_Fin",#N/A,FALSE,"By Code";"Input_Opt",#N/A,FALSE,"By Code"}</definedName>
    <definedName name="辅料_1_1_1_1_3" hidden="1">{"Input_Fin",#N/A,FALSE,"By Code";"Input_Opt",#N/A,FALSE,"By Code"}</definedName>
    <definedName name="辅料_1_1_1_2" hidden="1">{"Input_Fin",#N/A,FALSE,"By Code";"Input_Opt",#N/A,FALSE,"By Code"}</definedName>
    <definedName name="辅料_1_1_1_2_1" hidden="1">{"Input_Fin",#N/A,FALSE,"By Code";"Input_Opt",#N/A,FALSE,"By Code"}</definedName>
    <definedName name="辅料_1_1_1_2_2" hidden="1">{"Input_Fin",#N/A,FALSE,"By Code";"Input_Opt",#N/A,FALSE,"By Code"}</definedName>
    <definedName name="辅料_1_1_1_3" hidden="1">{"Input_Fin",#N/A,FALSE,"By Code";"Input_Opt",#N/A,FALSE,"By Code"}</definedName>
    <definedName name="辅料_1_1_1_3_1" hidden="1">{"Input_Fin",#N/A,FALSE,"By Code";"Input_Opt",#N/A,FALSE,"By Code"}</definedName>
    <definedName name="辅料_1_1_1_3_2" hidden="1">{"Input_Fin",#N/A,FALSE,"By Code";"Input_Opt",#N/A,FALSE,"By Code"}</definedName>
    <definedName name="辅料_1_1_1_4" hidden="1">{"Input_Fin",#N/A,FALSE,"By Code";"Input_Opt",#N/A,FALSE,"By Code"}</definedName>
    <definedName name="辅料_1_1_1_5" hidden="1">{"Input_Fin",#N/A,FALSE,"By Code";"Input_Opt",#N/A,FALSE,"By Code"}</definedName>
    <definedName name="辅料_1_1_2" hidden="1">{"Input_Fin",#N/A,FALSE,"By Code";"Input_Opt",#N/A,FALSE,"By Code"}</definedName>
    <definedName name="辅料_1_1_2_1" hidden="1">{"Input_Fin",#N/A,FALSE,"By Code";"Input_Opt",#N/A,FALSE,"By Code"}</definedName>
    <definedName name="辅料_1_1_2_2" hidden="1">{"Input_Fin",#N/A,FALSE,"By Code";"Input_Opt",#N/A,FALSE,"By Code"}</definedName>
    <definedName name="辅料_1_1_2_3" hidden="1">{"Input_Fin",#N/A,FALSE,"By Code";"Input_Opt",#N/A,FALSE,"By Code"}</definedName>
    <definedName name="辅料_1_1_3" hidden="1">{"Input_Fin",#N/A,FALSE,"By Code";"Input_Opt",#N/A,FALSE,"By Code"}</definedName>
    <definedName name="辅料_1_1_3_1" hidden="1">{"Input_Fin",#N/A,FALSE,"By Code";"Input_Opt",#N/A,FALSE,"By Code"}</definedName>
    <definedName name="辅料_1_1_3_2" hidden="1">{"Input_Fin",#N/A,FALSE,"By Code";"Input_Opt",#N/A,FALSE,"By Code"}</definedName>
    <definedName name="辅料_1_1_4" hidden="1">{"Input_Fin",#N/A,FALSE,"By Code";"Input_Opt",#N/A,FALSE,"By Code"}</definedName>
    <definedName name="辅料_1_1_5" hidden="1">{"Input_Fin",#N/A,FALSE,"By Code";"Input_Opt",#N/A,FALSE,"By Code"}</definedName>
    <definedName name="辅料_1_2" hidden="1">{"Input_Fin",#N/A,FALSE,"By Code";"Input_Opt",#N/A,FALSE,"By Code"}</definedName>
    <definedName name="辅料_1_2_1" hidden="1">{"Input_Fin",#N/A,FALSE,"By Code";"Input_Opt",#N/A,FALSE,"By Code"}</definedName>
    <definedName name="辅料_1_2_2" hidden="1">{"Input_Fin",#N/A,FALSE,"By Code";"Input_Opt",#N/A,FALSE,"By Code"}</definedName>
    <definedName name="辅料_1_2_3" hidden="1">{"Input_Fin",#N/A,FALSE,"By Code";"Input_Opt",#N/A,FALSE,"By Code"}</definedName>
    <definedName name="辅料_1_3" hidden="1">{"Input_Fin",#N/A,FALSE,"By Code";"Input_Opt",#N/A,FALSE,"By Code"}</definedName>
    <definedName name="辅料_1_3_1" hidden="1">{"Input_Fin",#N/A,FALSE,"By Code";"Input_Opt",#N/A,FALSE,"By Code"}</definedName>
    <definedName name="辅料_1_3_2" hidden="1">{"Input_Fin",#N/A,FALSE,"By Code";"Input_Opt",#N/A,FALSE,"By Code"}</definedName>
    <definedName name="辅料_1_4" hidden="1">{"Input_Fin",#N/A,FALSE,"By Code";"Input_Opt",#N/A,FALSE,"By Code"}</definedName>
    <definedName name="辅料_1_5" hidden="1">{"Input_Fin",#N/A,FALSE,"By Code";"Input_Opt",#N/A,FALSE,"By Code"}</definedName>
    <definedName name="辅料_2" hidden="1">{"Input_Fin",#N/A,FALSE,"By Code";"Input_Opt",#N/A,FALSE,"By Code"}</definedName>
    <definedName name="辅料_2_1" hidden="1">{"Input_Fin",#N/A,FALSE,"By Code";"Input_Opt",#N/A,FALSE,"By Code"}</definedName>
    <definedName name="辅料_2_1_1" hidden="1">{"Input_Fin",#N/A,FALSE,"By Code";"Input_Opt",#N/A,FALSE,"By Code"}</definedName>
    <definedName name="辅料_2_1_1_1" hidden="1">{"Input_Fin",#N/A,FALSE,"By Code";"Input_Opt",#N/A,FALSE,"By Code"}</definedName>
    <definedName name="辅料_2_1_1_2" hidden="1">{"Input_Fin",#N/A,FALSE,"By Code";"Input_Opt",#N/A,FALSE,"By Code"}</definedName>
    <definedName name="辅料_2_1_1_3" hidden="1">{"Input_Fin",#N/A,FALSE,"By Code";"Input_Opt",#N/A,FALSE,"By Code"}</definedName>
    <definedName name="辅料_2_1_2" hidden="1">{"Input_Fin",#N/A,FALSE,"By Code";"Input_Opt",#N/A,FALSE,"By Code"}</definedName>
    <definedName name="辅料_2_1_2_1" hidden="1">{"Input_Fin",#N/A,FALSE,"By Code";"Input_Opt",#N/A,FALSE,"By Code"}</definedName>
    <definedName name="辅料_2_1_2_2" hidden="1">{"Input_Fin",#N/A,FALSE,"By Code";"Input_Opt",#N/A,FALSE,"By Code"}</definedName>
    <definedName name="辅料_2_1_3" hidden="1">{"Input_Fin",#N/A,FALSE,"By Code";"Input_Opt",#N/A,FALSE,"By Code"}</definedName>
    <definedName name="辅料_2_1_4" hidden="1">{"Input_Fin",#N/A,FALSE,"By Code";"Input_Opt",#N/A,FALSE,"By Code"}</definedName>
    <definedName name="辅料_2_2" hidden="1">{"Input_Fin",#N/A,FALSE,"By Code";"Input_Opt",#N/A,FALSE,"By Code"}</definedName>
    <definedName name="辅料_2_2_1" hidden="1">{"Input_Fin",#N/A,FALSE,"By Code";"Input_Opt",#N/A,FALSE,"By Code"}</definedName>
    <definedName name="辅料_2_2_2" hidden="1">{"Input_Fin",#N/A,FALSE,"By Code";"Input_Opt",#N/A,FALSE,"By Code"}</definedName>
    <definedName name="辅料_2_2_3" hidden="1">{"Input_Fin",#N/A,FALSE,"By Code";"Input_Opt",#N/A,FALSE,"By Code"}</definedName>
    <definedName name="辅料_2_3" hidden="1">{"Input_Fin",#N/A,FALSE,"By Code";"Input_Opt",#N/A,FALSE,"By Code"}</definedName>
    <definedName name="辅料_2_3_1" hidden="1">{"Input_Fin",#N/A,FALSE,"By Code";"Input_Opt",#N/A,FALSE,"By Code"}</definedName>
    <definedName name="辅料_2_3_2" hidden="1">{"Input_Fin",#N/A,FALSE,"By Code";"Input_Opt",#N/A,FALSE,"By Code"}</definedName>
    <definedName name="辅料_2_4" hidden="1">{"Input_Fin",#N/A,FALSE,"By Code";"Input_Opt",#N/A,FALSE,"By Code"}</definedName>
    <definedName name="辅料_2_5" hidden="1">{"Input_Fin",#N/A,FALSE,"By Code";"Input_Opt",#N/A,FALSE,"By Code"}</definedName>
    <definedName name="辅料_3" hidden="1">{"Input_Fin",#N/A,FALSE,"By Code";"Input_Opt",#N/A,FALSE,"By Code"}</definedName>
    <definedName name="辅料_3_1" hidden="1">{"Input_Fin",#N/A,FALSE,"By Code";"Input_Opt",#N/A,FALSE,"By Code"}</definedName>
    <definedName name="辅料_3_1_1" hidden="1">{"Input_Fin",#N/A,FALSE,"By Code";"Input_Opt",#N/A,FALSE,"By Code"}</definedName>
    <definedName name="辅料_3_1_1_1" hidden="1">{"Input_Fin",#N/A,FALSE,"By Code";"Input_Opt",#N/A,FALSE,"By Code"}</definedName>
    <definedName name="辅料_3_1_1_2" hidden="1">{"Input_Fin",#N/A,FALSE,"By Code";"Input_Opt",#N/A,FALSE,"By Code"}</definedName>
    <definedName name="辅料_3_1_1_3" hidden="1">{"Input_Fin",#N/A,FALSE,"By Code";"Input_Opt",#N/A,FALSE,"By Code"}</definedName>
    <definedName name="辅料_3_1_2" hidden="1">{"Input_Fin",#N/A,FALSE,"By Code";"Input_Opt",#N/A,FALSE,"By Code"}</definedName>
    <definedName name="辅料_3_1_2_1" hidden="1">{"Input_Fin",#N/A,FALSE,"By Code";"Input_Opt",#N/A,FALSE,"By Code"}</definedName>
    <definedName name="辅料_3_1_2_2" hidden="1">{"Input_Fin",#N/A,FALSE,"By Code";"Input_Opt",#N/A,FALSE,"By Code"}</definedName>
    <definedName name="辅料_3_1_3" hidden="1">{"Input_Fin",#N/A,FALSE,"By Code";"Input_Opt",#N/A,FALSE,"By Code"}</definedName>
    <definedName name="辅料_3_1_4" hidden="1">{"Input_Fin",#N/A,FALSE,"By Code";"Input_Opt",#N/A,FALSE,"By Code"}</definedName>
    <definedName name="辅料_3_2" hidden="1">{"Input_Fin",#N/A,FALSE,"By Code";"Input_Opt",#N/A,FALSE,"By Code"}</definedName>
    <definedName name="辅料_3_2_1" hidden="1">{"Input_Fin",#N/A,FALSE,"By Code";"Input_Opt",#N/A,FALSE,"By Code"}</definedName>
    <definedName name="辅料_3_2_2" hidden="1">{"Input_Fin",#N/A,FALSE,"By Code";"Input_Opt",#N/A,FALSE,"By Code"}</definedName>
    <definedName name="辅料_3_2_3" hidden="1">{"Input_Fin",#N/A,FALSE,"By Code";"Input_Opt",#N/A,FALSE,"By Code"}</definedName>
    <definedName name="辅料_3_3" hidden="1">{"Input_Fin",#N/A,FALSE,"By Code";"Input_Opt",#N/A,FALSE,"By Code"}</definedName>
    <definedName name="辅料_3_3_1" hidden="1">{"Input_Fin",#N/A,FALSE,"By Code";"Input_Opt",#N/A,FALSE,"By Code"}</definedName>
    <definedName name="辅料_3_3_2" hidden="1">{"Input_Fin",#N/A,FALSE,"By Code";"Input_Opt",#N/A,FALSE,"By Code"}</definedName>
    <definedName name="辅料_3_4" hidden="1">{"Input_Fin",#N/A,FALSE,"By Code";"Input_Opt",#N/A,FALSE,"By Code"}</definedName>
    <definedName name="辅料_3_5" hidden="1">{"Input_Fin",#N/A,FALSE,"By Code";"Input_Opt",#N/A,FALSE,"By Code"}</definedName>
    <definedName name="辅料_4" hidden="1">{"Input_Fin",#N/A,FALSE,"By Code";"Input_Opt",#N/A,FALSE,"By Code"}</definedName>
    <definedName name="辅料_4_1" hidden="1">{"Input_Fin",#N/A,FALSE,"By Code";"Input_Opt",#N/A,FALSE,"By Code"}</definedName>
    <definedName name="辅料_4_1_1" hidden="1">{"Input_Fin",#N/A,FALSE,"By Code";"Input_Opt",#N/A,FALSE,"By Code"}</definedName>
    <definedName name="辅料_4_1_1_1" hidden="1">{"Input_Fin",#N/A,FALSE,"By Code";"Input_Opt",#N/A,FALSE,"By Code"}</definedName>
    <definedName name="辅料_4_1_1_2" hidden="1">{"Input_Fin",#N/A,FALSE,"By Code";"Input_Opt",#N/A,FALSE,"By Code"}</definedName>
    <definedName name="辅料_4_1_1_3" hidden="1">{"Input_Fin",#N/A,FALSE,"By Code";"Input_Opt",#N/A,FALSE,"By Code"}</definedName>
    <definedName name="辅料_4_1_2" hidden="1">{"Input_Fin",#N/A,FALSE,"By Code";"Input_Opt",#N/A,FALSE,"By Code"}</definedName>
    <definedName name="辅料_4_1_2_1" hidden="1">{"Input_Fin",#N/A,FALSE,"By Code";"Input_Opt",#N/A,FALSE,"By Code"}</definedName>
    <definedName name="辅料_4_1_2_2" hidden="1">{"Input_Fin",#N/A,FALSE,"By Code";"Input_Opt",#N/A,FALSE,"By Code"}</definedName>
    <definedName name="辅料_4_1_3" hidden="1">{"Input_Fin",#N/A,FALSE,"By Code";"Input_Opt",#N/A,FALSE,"By Code"}</definedName>
    <definedName name="辅料_4_1_4" hidden="1">{"Input_Fin",#N/A,FALSE,"By Code";"Input_Opt",#N/A,FALSE,"By Code"}</definedName>
    <definedName name="辅料_4_2" hidden="1">{"Input_Fin",#N/A,FALSE,"By Code";"Input_Opt",#N/A,FALSE,"By Code"}</definedName>
    <definedName name="辅料_4_2_1" hidden="1">{"Input_Fin",#N/A,FALSE,"By Code";"Input_Opt",#N/A,FALSE,"By Code"}</definedName>
    <definedName name="辅料_4_2_2" hidden="1">{"Input_Fin",#N/A,FALSE,"By Code";"Input_Opt",#N/A,FALSE,"By Code"}</definedName>
    <definedName name="辅料_4_2_3" hidden="1">{"Input_Fin",#N/A,FALSE,"By Code";"Input_Opt",#N/A,FALSE,"By Code"}</definedName>
    <definedName name="辅料_4_3" hidden="1">{"Input_Fin",#N/A,FALSE,"By Code";"Input_Opt",#N/A,FALSE,"By Code"}</definedName>
    <definedName name="辅料_4_3_1" hidden="1">{"Input_Fin",#N/A,FALSE,"By Code";"Input_Opt",#N/A,FALSE,"By Code"}</definedName>
    <definedName name="辅料_4_3_2" hidden="1">{"Input_Fin",#N/A,FALSE,"By Code";"Input_Opt",#N/A,FALSE,"By Code"}</definedName>
    <definedName name="辅料_4_4" hidden="1">{"Input_Fin",#N/A,FALSE,"By Code";"Input_Opt",#N/A,FALSE,"By Code"}</definedName>
    <definedName name="辅料_4_5" hidden="1">{"Input_Fin",#N/A,FALSE,"By Code";"Input_Opt",#N/A,FALSE,"By Code"}</definedName>
    <definedName name="辅料_5" hidden="1">{"Input_Fin",#N/A,FALSE,"By Code";"Input_Opt",#N/A,FALSE,"By Code"}</definedName>
    <definedName name="辅料_5_1" hidden="1">{"Input_Fin",#N/A,FALSE,"By Code";"Input_Opt",#N/A,FALSE,"By Code"}</definedName>
    <definedName name="辅料_5_1_1" hidden="1">{"Input_Fin",#N/A,FALSE,"By Code";"Input_Opt",#N/A,FALSE,"By Code"}</definedName>
    <definedName name="辅料_5_1_1_1" hidden="1">{"Input_Fin",#N/A,FALSE,"By Code";"Input_Opt",#N/A,FALSE,"By Code"}</definedName>
    <definedName name="辅料_5_1_1_2" hidden="1">{"Input_Fin",#N/A,FALSE,"By Code";"Input_Opt",#N/A,FALSE,"By Code"}</definedName>
    <definedName name="辅料_5_1_1_3" hidden="1">{"Input_Fin",#N/A,FALSE,"By Code";"Input_Opt",#N/A,FALSE,"By Code"}</definedName>
    <definedName name="辅料_5_1_2" hidden="1">{"Input_Fin",#N/A,FALSE,"By Code";"Input_Opt",#N/A,FALSE,"By Code"}</definedName>
    <definedName name="辅料_5_1_2_1" hidden="1">{"Input_Fin",#N/A,FALSE,"By Code";"Input_Opt",#N/A,FALSE,"By Code"}</definedName>
    <definedName name="辅料_5_1_2_2" hidden="1">{"Input_Fin",#N/A,FALSE,"By Code";"Input_Opt",#N/A,FALSE,"By Code"}</definedName>
    <definedName name="辅料_5_1_3" hidden="1">{"Input_Fin",#N/A,FALSE,"By Code";"Input_Opt",#N/A,FALSE,"By Code"}</definedName>
    <definedName name="辅料_5_1_4" hidden="1">{"Input_Fin",#N/A,FALSE,"By Code";"Input_Opt",#N/A,FALSE,"By Code"}</definedName>
    <definedName name="辅料_5_2" hidden="1">{"Input_Fin",#N/A,FALSE,"By Code";"Input_Opt",#N/A,FALSE,"By Code"}</definedName>
    <definedName name="辅料_5_2_1" hidden="1">{"Input_Fin",#N/A,FALSE,"By Code";"Input_Opt",#N/A,FALSE,"By Code"}</definedName>
    <definedName name="辅料_5_2_2" hidden="1">{"Input_Fin",#N/A,FALSE,"By Code";"Input_Opt",#N/A,FALSE,"By Code"}</definedName>
    <definedName name="辅料_5_2_3" hidden="1">{"Input_Fin",#N/A,FALSE,"By Code";"Input_Opt",#N/A,FALSE,"By Code"}</definedName>
    <definedName name="辅料_5_3" hidden="1">{"Input_Fin",#N/A,FALSE,"By Code";"Input_Opt",#N/A,FALSE,"By Code"}</definedName>
    <definedName name="辅料_5_3_1" hidden="1">{"Input_Fin",#N/A,FALSE,"By Code";"Input_Opt",#N/A,FALSE,"By Code"}</definedName>
    <definedName name="辅料_5_3_2" hidden="1">{"Input_Fin",#N/A,FALSE,"By Code";"Input_Opt",#N/A,FALSE,"By Code"}</definedName>
    <definedName name="辅料_5_4" hidden="1">{"Input_Fin",#N/A,FALSE,"By Code";"Input_Opt",#N/A,FALSE,"By Code"}</definedName>
    <definedName name="辅料_5_5" hidden="1">{"Input_Fin",#N/A,FALSE,"By Code";"Input_Opt",#N/A,FALSE,"By Code"}</definedName>
    <definedName name="辅料耗用1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改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改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刚刚" hidden="1">{"Input_Fin",#N/A,FALSE,"By Code";"Input_Opt",#N/A,FALSE,"By Code"}</definedName>
    <definedName name="工" localSheetId="12" hidden="1">{"Input_Fin",#N/A,FALSE,"By Code";"Input_Opt",#N/A,FALSE,"By Code"}</definedName>
    <definedName name="工" hidden="1">{"Input_Fin",#N/A,FALSE,"By Code";"Input_Opt",#N/A,FALSE,"By Code"}</definedName>
    <definedName name="工作服">#N/A</definedName>
    <definedName name="孤独感" localSheetId="12" hidden="1">{"'Sheet4'!$A$1:$L$41"}</definedName>
    <definedName name="孤独感" hidden="1">{"'Sheet4'!$A$1:$L$41"}</definedName>
    <definedName name="孤独感_1" hidden="1">{"'Sheet4'!$A$1:$L$41"}</definedName>
    <definedName name="孤独感_1_1" hidden="1">{"'Sheet4'!$A$1:$L$41"}</definedName>
    <definedName name="孤独感_1_1_1" hidden="1">{"'Sheet4'!$A$1:$L$41"}</definedName>
    <definedName name="孤独感_1_1_2" hidden="1">{"'Sheet4'!$A$1:$L$41"}</definedName>
    <definedName name="孤独感_1_1_3" hidden="1">{"'Sheet4'!$A$1:$L$41"}</definedName>
    <definedName name="孤独感_1_2" hidden="1">{"'Sheet4'!$A$1:$L$41"}</definedName>
    <definedName name="孤独感_1_2_1" hidden="1">{"'Sheet4'!$A$1:$L$41"}</definedName>
    <definedName name="孤独感_1_2_2" hidden="1">{"'Sheet4'!$A$1:$L$41"}</definedName>
    <definedName name="孤独感_1_3" hidden="1">{"'Sheet4'!$A$1:$L$41"}</definedName>
    <definedName name="孤独感_1_4" hidden="1">{"'Sheet4'!$A$1:$L$41"}</definedName>
    <definedName name="孤独感_2" hidden="1">{"'Sheet4'!$A$1:$L$41"}</definedName>
    <definedName name="孤独感_2_1" hidden="1">{"'Sheet4'!$A$1:$L$41"}</definedName>
    <definedName name="孤独感_2_2" hidden="1">{"'Sheet4'!$A$1:$L$41"}</definedName>
    <definedName name="孤独感_2_3" hidden="1">{"'Sheet4'!$A$1:$L$41"}</definedName>
    <definedName name="孤独感_3" hidden="1">{"'Sheet4'!$A$1:$L$41"}</definedName>
    <definedName name="孤独感_3_1" hidden="1">{"'Sheet4'!$A$1:$L$41"}</definedName>
    <definedName name="孤独感_3_2" hidden="1">{"'Sheet4'!$A$1:$L$41"}</definedName>
    <definedName name="孤独感_4" hidden="1">{"'Sheet4'!$A$1:$L$41"}</definedName>
    <definedName name="孤独感_5" hidden="1">{"'Sheet4'!$A$1:$L$41"}</definedName>
    <definedName name="固定资产3" localSheetId="12" hidden="1">{"Input_Fin",#N/A,FALSE,"By Code";"Input_Opt",#N/A,FALSE,"By Code"}</definedName>
    <definedName name="固定资产3" hidden="1">{"Input_Fin",#N/A,FALSE,"By Code";"Input_Opt",#N/A,FALSE,"By Code"}</definedName>
    <definedName name="固定资产3_1" hidden="1">{"Input_Fin",#N/A,FALSE,"By Code";"Input_Opt",#N/A,FALSE,"By Code"}</definedName>
    <definedName name="固定资产3_1_1" hidden="1">{"Input_Fin",#N/A,FALSE,"By Code";"Input_Opt",#N/A,FALSE,"By Code"}</definedName>
    <definedName name="固定资产3_1_1_1" hidden="1">{"Input_Fin",#N/A,FALSE,"By Code";"Input_Opt",#N/A,FALSE,"By Code"}</definedName>
    <definedName name="固定资产3_1_1_2" hidden="1">{"Input_Fin",#N/A,FALSE,"By Code";"Input_Opt",#N/A,FALSE,"By Code"}</definedName>
    <definedName name="固定资产3_1_1_3" hidden="1">{"Input_Fin",#N/A,FALSE,"By Code";"Input_Opt",#N/A,FALSE,"By Code"}</definedName>
    <definedName name="固定资产3_1_2" hidden="1">{"Input_Fin",#N/A,FALSE,"By Code";"Input_Opt",#N/A,FALSE,"By Code"}</definedName>
    <definedName name="固定资产3_1_2_1" hidden="1">{"Input_Fin",#N/A,FALSE,"By Code";"Input_Opt",#N/A,FALSE,"By Code"}</definedName>
    <definedName name="固定资产3_1_2_2" hidden="1">{"Input_Fin",#N/A,FALSE,"By Code";"Input_Opt",#N/A,FALSE,"By Code"}</definedName>
    <definedName name="固定资产3_1_3" hidden="1">{"Input_Fin",#N/A,FALSE,"By Code";"Input_Opt",#N/A,FALSE,"By Code"}</definedName>
    <definedName name="固定资产3_1_4" hidden="1">{"Input_Fin",#N/A,FALSE,"By Code";"Input_Opt",#N/A,FALSE,"By Code"}</definedName>
    <definedName name="固定资产3_2" hidden="1">{"Input_Fin",#N/A,FALSE,"By Code";"Input_Opt",#N/A,FALSE,"By Code"}</definedName>
    <definedName name="固定资产3_2_1" hidden="1">{"Input_Fin",#N/A,FALSE,"By Code";"Input_Opt",#N/A,FALSE,"By Code"}</definedName>
    <definedName name="固定资产3_2_2" hidden="1">{"Input_Fin",#N/A,FALSE,"By Code";"Input_Opt",#N/A,FALSE,"By Code"}</definedName>
    <definedName name="固定资产3_2_3" hidden="1">{"Input_Fin",#N/A,FALSE,"By Code";"Input_Opt",#N/A,FALSE,"By Code"}</definedName>
    <definedName name="固定资产3_3" hidden="1">{"Input_Fin",#N/A,FALSE,"By Code";"Input_Opt",#N/A,FALSE,"By Code"}</definedName>
    <definedName name="固定资产3_3_1" hidden="1">{"Input_Fin",#N/A,FALSE,"By Code";"Input_Opt",#N/A,FALSE,"By Code"}</definedName>
    <definedName name="固定资产3_3_2" hidden="1">{"Input_Fin",#N/A,FALSE,"By Code";"Input_Opt",#N/A,FALSE,"By Code"}</definedName>
    <definedName name="固定资产3_4" hidden="1">{"Input_Fin",#N/A,FALSE,"By Code";"Input_Opt",#N/A,FALSE,"By Code"}</definedName>
    <definedName name="固定资产3_5" hidden="1">{"Input_Fin",#N/A,FALSE,"By Code";"Input_Opt",#N/A,FALSE,"By Code"}</definedName>
    <definedName name="鬼地方" localSheetId="12" hidden="1">{"Input_Fin",#N/A,FALSE,"By Code";"Input_Opt",#N/A,FALSE,"By Code"}</definedName>
    <definedName name="鬼地方" hidden="1">{"Input_Fin",#N/A,FALSE,"By Code";"Input_Opt",#N/A,FALSE,"By Code"}</definedName>
    <definedName name="鬼地方_1" hidden="1">{"Input_Fin",#N/A,FALSE,"By Code";"Input_Opt",#N/A,FALSE,"By Code"}</definedName>
    <definedName name="鬼地方_1_1" hidden="1">{"Input_Fin",#N/A,FALSE,"By Code";"Input_Opt",#N/A,FALSE,"By Code"}</definedName>
    <definedName name="鬼地方_1_1_1" hidden="1">{"Input_Fin",#N/A,FALSE,"By Code";"Input_Opt",#N/A,FALSE,"By Code"}</definedName>
    <definedName name="鬼地方_1_1_2" hidden="1">{"Input_Fin",#N/A,FALSE,"By Code";"Input_Opt",#N/A,FALSE,"By Code"}</definedName>
    <definedName name="鬼地方_1_1_3" hidden="1">{"Input_Fin",#N/A,FALSE,"By Code";"Input_Opt",#N/A,FALSE,"By Code"}</definedName>
    <definedName name="鬼地方_1_2" hidden="1">{"Input_Fin",#N/A,FALSE,"By Code";"Input_Opt",#N/A,FALSE,"By Code"}</definedName>
    <definedName name="鬼地方_1_2_1" hidden="1">{"Input_Fin",#N/A,FALSE,"By Code";"Input_Opt",#N/A,FALSE,"By Code"}</definedName>
    <definedName name="鬼地方_1_2_2" hidden="1">{"Input_Fin",#N/A,FALSE,"By Code";"Input_Opt",#N/A,FALSE,"By Code"}</definedName>
    <definedName name="鬼地方_1_3" hidden="1">{"Input_Fin",#N/A,FALSE,"By Code";"Input_Opt",#N/A,FALSE,"By Code"}</definedName>
    <definedName name="鬼地方_1_4" hidden="1">{"Input_Fin",#N/A,FALSE,"By Code";"Input_Opt",#N/A,FALSE,"By Code"}</definedName>
    <definedName name="鬼地方_2" hidden="1">{"Input_Fin",#N/A,FALSE,"By Code";"Input_Opt",#N/A,FALSE,"By Code"}</definedName>
    <definedName name="鬼地方_2_1" hidden="1">{"Input_Fin",#N/A,FALSE,"By Code";"Input_Opt",#N/A,FALSE,"By Code"}</definedName>
    <definedName name="鬼地方_2_2" hidden="1">{"Input_Fin",#N/A,FALSE,"By Code";"Input_Opt",#N/A,FALSE,"By Code"}</definedName>
    <definedName name="鬼地方_2_3" hidden="1">{"Input_Fin",#N/A,FALSE,"By Code";"Input_Opt",#N/A,FALSE,"By Code"}</definedName>
    <definedName name="鬼地方_3" hidden="1">{"Input_Fin",#N/A,FALSE,"By Code";"Input_Opt",#N/A,FALSE,"By Code"}</definedName>
    <definedName name="鬼地方_3_1" hidden="1">{"Input_Fin",#N/A,FALSE,"By Code";"Input_Opt",#N/A,FALSE,"By Code"}</definedName>
    <definedName name="鬼地方_3_2" hidden="1">{"Input_Fin",#N/A,FALSE,"By Code";"Input_Opt",#N/A,FALSE,"By Code"}</definedName>
    <definedName name="鬼地方_4" hidden="1">{"Input_Fin",#N/A,FALSE,"By Code";"Input_Opt",#N/A,FALSE,"By Code"}</definedName>
    <definedName name="鬼地方_5" hidden="1">{"Input_Fin",#N/A,FALSE,"By Code";"Input_Opt",#N/A,FALSE,"By Code"}</definedName>
    <definedName name="郭勇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号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号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和" hidden="1">{"'Sheet4'!$A$1:$L$41"}</definedName>
    <definedName name="红" hidden="1">{"Input_Fin",#N/A,FALSE,"By Code";"Input_Opt",#N/A,FALSE,"By Code"}</definedName>
    <definedName name="怀来1" hidden="1">{"Input_Fin",#N/A,FALSE,"By Code";"Input_Opt",#N/A,FALSE,"By Code"}</definedName>
    <definedName name="黄" localSheetId="12" hidden="1">{"Input_Fin",#N/A,FALSE,"By Code";"Input_Opt",#N/A,FALSE,"By Code"}</definedName>
    <definedName name="黄" hidden="1">{"Input_Fin",#N/A,FALSE,"By Code";"Input_Opt",#N/A,FALSE,"By Code"}</definedName>
    <definedName name="黄_1" hidden="1">{"Input_Fin",#N/A,FALSE,"By Code";"Input_Opt",#N/A,FALSE,"By Code"}</definedName>
    <definedName name="黄_1_1" hidden="1">{"Input_Fin",#N/A,FALSE,"By Code";"Input_Opt",#N/A,FALSE,"By Code"}</definedName>
    <definedName name="黄_1_1_1" hidden="1">{"Input_Fin",#N/A,FALSE,"By Code";"Input_Opt",#N/A,FALSE,"By Code"}</definedName>
    <definedName name="黄_1_1_2" hidden="1">{"Input_Fin",#N/A,FALSE,"By Code";"Input_Opt",#N/A,FALSE,"By Code"}</definedName>
    <definedName name="黄_1_1_3" hidden="1">{"Input_Fin",#N/A,FALSE,"By Code";"Input_Opt",#N/A,FALSE,"By Code"}</definedName>
    <definedName name="黄_1_2" hidden="1">{"Input_Fin",#N/A,FALSE,"By Code";"Input_Opt",#N/A,FALSE,"By Code"}</definedName>
    <definedName name="黄_1_2_1" hidden="1">{"Input_Fin",#N/A,FALSE,"By Code";"Input_Opt",#N/A,FALSE,"By Code"}</definedName>
    <definedName name="黄_1_2_2" hidden="1">{"Input_Fin",#N/A,FALSE,"By Code";"Input_Opt",#N/A,FALSE,"By Code"}</definedName>
    <definedName name="黄_1_3" hidden="1">{"Input_Fin",#N/A,FALSE,"By Code";"Input_Opt",#N/A,FALSE,"By Code"}</definedName>
    <definedName name="黄_1_4" hidden="1">{"Input_Fin",#N/A,FALSE,"By Code";"Input_Opt",#N/A,FALSE,"By Code"}</definedName>
    <definedName name="黄_2" hidden="1">{"Input_Fin",#N/A,FALSE,"By Code";"Input_Opt",#N/A,FALSE,"By Code"}</definedName>
    <definedName name="黄_2_1" hidden="1">{"Input_Fin",#N/A,FALSE,"By Code";"Input_Opt",#N/A,FALSE,"By Code"}</definedName>
    <definedName name="黄_2_2" hidden="1">{"Input_Fin",#N/A,FALSE,"By Code";"Input_Opt",#N/A,FALSE,"By Code"}</definedName>
    <definedName name="黄_2_3" hidden="1">{"Input_Fin",#N/A,FALSE,"By Code";"Input_Opt",#N/A,FALSE,"By Code"}</definedName>
    <definedName name="黄_3" hidden="1">{"Input_Fin",#N/A,FALSE,"By Code";"Input_Opt",#N/A,FALSE,"By Code"}</definedName>
    <definedName name="黄_3_1" hidden="1">{"Input_Fin",#N/A,FALSE,"By Code";"Input_Opt",#N/A,FALSE,"By Code"}</definedName>
    <definedName name="黄_3_2" hidden="1">{"Input_Fin",#N/A,FALSE,"By Code";"Input_Opt",#N/A,FALSE,"By Code"}</definedName>
    <definedName name="黄_4" hidden="1">{"Input_Fin",#N/A,FALSE,"By Code";"Input_Opt",#N/A,FALSE,"By Code"}</definedName>
    <definedName name="黄_5" hidden="1">{"Input_Fin",#N/A,FALSE,"By Code";"Input_Opt",#N/A,FALSE,"By Code"}</definedName>
    <definedName name="黄鸡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黄鸡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黄区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黄区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回制" localSheetId="12" hidden="1">{"Input_Fin",#N/A,FALSE,"By Code";"Input_Opt",#N/A,FALSE,"By Code"}</definedName>
    <definedName name="回制" hidden="1">{"Input_Fin",#N/A,FALSE,"By Code";"Input_Opt",#N/A,FALSE,"By Code"}</definedName>
    <definedName name="回制_1" hidden="1">{"Input_Fin",#N/A,FALSE,"By Code";"Input_Opt",#N/A,FALSE,"By Code"}</definedName>
    <definedName name="回制_1_1" hidden="1">{"Input_Fin",#N/A,FALSE,"By Code";"Input_Opt",#N/A,FALSE,"By Code"}</definedName>
    <definedName name="回制_1_1_1" hidden="1">{"Input_Fin",#N/A,FALSE,"By Code";"Input_Opt",#N/A,FALSE,"By Code"}</definedName>
    <definedName name="回制_1_1_1_1" hidden="1">{"Input_Fin",#N/A,FALSE,"By Code";"Input_Opt",#N/A,FALSE,"By Code"}</definedName>
    <definedName name="回制_1_1_1_1_1" hidden="1">{"Input_Fin",#N/A,FALSE,"By Code";"Input_Opt",#N/A,FALSE,"By Code"}</definedName>
    <definedName name="回制_1_1_1_1_2" hidden="1">{"Input_Fin",#N/A,FALSE,"By Code";"Input_Opt",#N/A,FALSE,"By Code"}</definedName>
    <definedName name="回制_1_1_1_1_3" hidden="1">{"Input_Fin",#N/A,FALSE,"By Code";"Input_Opt",#N/A,FALSE,"By Code"}</definedName>
    <definedName name="回制_1_1_1_2" hidden="1">{"Input_Fin",#N/A,FALSE,"By Code";"Input_Opt",#N/A,FALSE,"By Code"}</definedName>
    <definedName name="回制_1_1_1_2_1" hidden="1">{"Input_Fin",#N/A,FALSE,"By Code";"Input_Opt",#N/A,FALSE,"By Code"}</definedName>
    <definedName name="回制_1_1_1_2_2" hidden="1">{"Input_Fin",#N/A,FALSE,"By Code";"Input_Opt",#N/A,FALSE,"By Code"}</definedName>
    <definedName name="回制_1_1_1_3" hidden="1">{"Input_Fin",#N/A,FALSE,"By Code";"Input_Opt",#N/A,FALSE,"By Code"}</definedName>
    <definedName name="回制_1_1_1_3_1" hidden="1">{"Input_Fin",#N/A,FALSE,"By Code";"Input_Opt",#N/A,FALSE,"By Code"}</definedName>
    <definedName name="回制_1_1_1_3_2" hidden="1">{"Input_Fin",#N/A,FALSE,"By Code";"Input_Opt",#N/A,FALSE,"By Code"}</definedName>
    <definedName name="回制_1_1_1_4" hidden="1">{"Input_Fin",#N/A,FALSE,"By Code";"Input_Opt",#N/A,FALSE,"By Code"}</definedName>
    <definedName name="回制_1_1_1_5" hidden="1">{"Input_Fin",#N/A,FALSE,"By Code";"Input_Opt",#N/A,FALSE,"By Code"}</definedName>
    <definedName name="回制_1_1_2" hidden="1">{"Input_Fin",#N/A,FALSE,"By Code";"Input_Opt",#N/A,FALSE,"By Code"}</definedName>
    <definedName name="回制_1_1_2_1" hidden="1">{"Input_Fin",#N/A,FALSE,"By Code";"Input_Opt",#N/A,FALSE,"By Code"}</definedName>
    <definedName name="回制_1_1_2_2" hidden="1">{"Input_Fin",#N/A,FALSE,"By Code";"Input_Opt",#N/A,FALSE,"By Code"}</definedName>
    <definedName name="回制_1_1_2_3" hidden="1">{"Input_Fin",#N/A,FALSE,"By Code";"Input_Opt",#N/A,FALSE,"By Code"}</definedName>
    <definedName name="回制_1_1_3" hidden="1">{"Input_Fin",#N/A,FALSE,"By Code";"Input_Opt",#N/A,FALSE,"By Code"}</definedName>
    <definedName name="回制_1_1_3_1" hidden="1">{"Input_Fin",#N/A,FALSE,"By Code";"Input_Opt",#N/A,FALSE,"By Code"}</definedName>
    <definedName name="回制_1_1_3_2" hidden="1">{"Input_Fin",#N/A,FALSE,"By Code";"Input_Opt",#N/A,FALSE,"By Code"}</definedName>
    <definedName name="回制_1_1_4" hidden="1">{"Input_Fin",#N/A,FALSE,"By Code";"Input_Opt",#N/A,FALSE,"By Code"}</definedName>
    <definedName name="回制_1_1_5" hidden="1">{"Input_Fin",#N/A,FALSE,"By Code";"Input_Opt",#N/A,FALSE,"By Code"}</definedName>
    <definedName name="回制_1_2" hidden="1">{"Input_Fin",#N/A,FALSE,"By Code";"Input_Opt",#N/A,FALSE,"By Code"}</definedName>
    <definedName name="回制_1_2_1" hidden="1">{"Input_Fin",#N/A,FALSE,"By Code";"Input_Opt",#N/A,FALSE,"By Code"}</definedName>
    <definedName name="回制_1_2_2" hidden="1">{"Input_Fin",#N/A,FALSE,"By Code";"Input_Opt",#N/A,FALSE,"By Code"}</definedName>
    <definedName name="回制_1_2_3" hidden="1">{"Input_Fin",#N/A,FALSE,"By Code";"Input_Opt",#N/A,FALSE,"By Code"}</definedName>
    <definedName name="回制_1_3" hidden="1">{"Input_Fin",#N/A,FALSE,"By Code";"Input_Opt",#N/A,FALSE,"By Code"}</definedName>
    <definedName name="回制_1_3_1" hidden="1">{"Input_Fin",#N/A,FALSE,"By Code";"Input_Opt",#N/A,FALSE,"By Code"}</definedName>
    <definedName name="回制_1_3_2" hidden="1">{"Input_Fin",#N/A,FALSE,"By Code";"Input_Opt",#N/A,FALSE,"By Code"}</definedName>
    <definedName name="回制_1_4" hidden="1">{"Input_Fin",#N/A,FALSE,"By Code";"Input_Opt",#N/A,FALSE,"By Code"}</definedName>
    <definedName name="回制_1_5" hidden="1">{"Input_Fin",#N/A,FALSE,"By Code";"Input_Opt",#N/A,FALSE,"By Code"}</definedName>
    <definedName name="回制_2" hidden="1">{"Input_Fin",#N/A,FALSE,"By Code";"Input_Opt",#N/A,FALSE,"By Code"}</definedName>
    <definedName name="回制_2_1" hidden="1">{"Input_Fin",#N/A,FALSE,"By Code";"Input_Opt",#N/A,FALSE,"By Code"}</definedName>
    <definedName name="回制_2_1_1" hidden="1">{"Input_Fin",#N/A,FALSE,"By Code";"Input_Opt",#N/A,FALSE,"By Code"}</definedName>
    <definedName name="回制_2_1_1_1" hidden="1">{"Input_Fin",#N/A,FALSE,"By Code";"Input_Opt",#N/A,FALSE,"By Code"}</definedName>
    <definedName name="回制_2_1_1_2" hidden="1">{"Input_Fin",#N/A,FALSE,"By Code";"Input_Opt",#N/A,FALSE,"By Code"}</definedName>
    <definedName name="回制_2_1_1_3" hidden="1">{"Input_Fin",#N/A,FALSE,"By Code";"Input_Opt",#N/A,FALSE,"By Code"}</definedName>
    <definedName name="回制_2_1_2" hidden="1">{"Input_Fin",#N/A,FALSE,"By Code";"Input_Opt",#N/A,FALSE,"By Code"}</definedName>
    <definedName name="回制_2_1_2_1" hidden="1">{"Input_Fin",#N/A,FALSE,"By Code";"Input_Opt",#N/A,FALSE,"By Code"}</definedName>
    <definedName name="回制_2_1_2_2" hidden="1">{"Input_Fin",#N/A,FALSE,"By Code";"Input_Opt",#N/A,FALSE,"By Code"}</definedName>
    <definedName name="回制_2_1_3" hidden="1">{"Input_Fin",#N/A,FALSE,"By Code";"Input_Opt",#N/A,FALSE,"By Code"}</definedName>
    <definedName name="回制_2_1_4" hidden="1">{"Input_Fin",#N/A,FALSE,"By Code";"Input_Opt",#N/A,FALSE,"By Code"}</definedName>
    <definedName name="回制_2_2" hidden="1">{"Input_Fin",#N/A,FALSE,"By Code";"Input_Opt",#N/A,FALSE,"By Code"}</definedName>
    <definedName name="回制_2_2_1" hidden="1">{"Input_Fin",#N/A,FALSE,"By Code";"Input_Opt",#N/A,FALSE,"By Code"}</definedName>
    <definedName name="回制_2_2_2" hidden="1">{"Input_Fin",#N/A,FALSE,"By Code";"Input_Opt",#N/A,FALSE,"By Code"}</definedName>
    <definedName name="回制_2_2_3" hidden="1">{"Input_Fin",#N/A,FALSE,"By Code";"Input_Opt",#N/A,FALSE,"By Code"}</definedName>
    <definedName name="回制_2_3" hidden="1">{"Input_Fin",#N/A,FALSE,"By Code";"Input_Opt",#N/A,FALSE,"By Code"}</definedName>
    <definedName name="回制_2_3_1" hidden="1">{"Input_Fin",#N/A,FALSE,"By Code";"Input_Opt",#N/A,FALSE,"By Code"}</definedName>
    <definedName name="回制_2_3_2" hidden="1">{"Input_Fin",#N/A,FALSE,"By Code";"Input_Opt",#N/A,FALSE,"By Code"}</definedName>
    <definedName name="回制_2_4" hidden="1">{"Input_Fin",#N/A,FALSE,"By Code";"Input_Opt",#N/A,FALSE,"By Code"}</definedName>
    <definedName name="回制_2_5" hidden="1">{"Input_Fin",#N/A,FALSE,"By Code";"Input_Opt",#N/A,FALSE,"By Code"}</definedName>
    <definedName name="回制_3" hidden="1">{"Input_Fin",#N/A,FALSE,"By Code";"Input_Opt",#N/A,FALSE,"By Code"}</definedName>
    <definedName name="回制_3_1" hidden="1">{"Input_Fin",#N/A,FALSE,"By Code";"Input_Opt",#N/A,FALSE,"By Code"}</definedName>
    <definedName name="回制_3_1_1" hidden="1">{"Input_Fin",#N/A,FALSE,"By Code";"Input_Opt",#N/A,FALSE,"By Code"}</definedName>
    <definedName name="回制_3_1_1_1" hidden="1">{"Input_Fin",#N/A,FALSE,"By Code";"Input_Opt",#N/A,FALSE,"By Code"}</definedName>
    <definedName name="回制_3_1_1_2" hidden="1">{"Input_Fin",#N/A,FALSE,"By Code";"Input_Opt",#N/A,FALSE,"By Code"}</definedName>
    <definedName name="回制_3_1_1_3" hidden="1">{"Input_Fin",#N/A,FALSE,"By Code";"Input_Opt",#N/A,FALSE,"By Code"}</definedName>
    <definedName name="回制_3_1_2" hidden="1">{"Input_Fin",#N/A,FALSE,"By Code";"Input_Opt",#N/A,FALSE,"By Code"}</definedName>
    <definedName name="回制_3_1_2_1" hidden="1">{"Input_Fin",#N/A,FALSE,"By Code";"Input_Opt",#N/A,FALSE,"By Code"}</definedName>
    <definedName name="回制_3_1_2_2" hidden="1">{"Input_Fin",#N/A,FALSE,"By Code";"Input_Opt",#N/A,FALSE,"By Code"}</definedName>
    <definedName name="回制_3_1_3" hidden="1">{"Input_Fin",#N/A,FALSE,"By Code";"Input_Opt",#N/A,FALSE,"By Code"}</definedName>
    <definedName name="回制_3_1_4" hidden="1">{"Input_Fin",#N/A,FALSE,"By Code";"Input_Opt",#N/A,FALSE,"By Code"}</definedName>
    <definedName name="回制_3_2" hidden="1">{"Input_Fin",#N/A,FALSE,"By Code";"Input_Opt",#N/A,FALSE,"By Code"}</definedName>
    <definedName name="回制_3_2_1" hidden="1">{"Input_Fin",#N/A,FALSE,"By Code";"Input_Opt",#N/A,FALSE,"By Code"}</definedName>
    <definedName name="回制_3_2_2" hidden="1">{"Input_Fin",#N/A,FALSE,"By Code";"Input_Opt",#N/A,FALSE,"By Code"}</definedName>
    <definedName name="回制_3_2_3" hidden="1">{"Input_Fin",#N/A,FALSE,"By Code";"Input_Opt",#N/A,FALSE,"By Code"}</definedName>
    <definedName name="回制_3_3" hidden="1">{"Input_Fin",#N/A,FALSE,"By Code";"Input_Opt",#N/A,FALSE,"By Code"}</definedName>
    <definedName name="回制_3_3_1" hidden="1">{"Input_Fin",#N/A,FALSE,"By Code";"Input_Opt",#N/A,FALSE,"By Code"}</definedName>
    <definedName name="回制_3_3_2" hidden="1">{"Input_Fin",#N/A,FALSE,"By Code";"Input_Opt",#N/A,FALSE,"By Code"}</definedName>
    <definedName name="回制_3_4" hidden="1">{"Input_Fin",#N/A,FALSE,"By Code";"Input_Opt",#N/A,FALSE,"By Code"}</definedName>
    <definedName name="回制_3_5" hidden="1">{"Input_Fin",#N/A,FALSE,"By Code";"Input_Opt",#N/A,FALSE,"By Code"}</definedName>
    <definedName name="回制_4" hidden="1">{"Input_Fin",#N/A,FALSE,"By Code";"Input_Opt",#N/A,FALSE,"By Code"}</definedName>
    <definedName name="回制_4_1" hidden="1">{"Input_Fin",#N/A,FALSE,"By Code";"Input_Opt",#N/A,FALSE,"By Code"}</definedName>
    <definedName name="回制_4_1_1" hidden="1">{"Input_Fin",#N/A,FALSE,"By Code";"Input_Opt",#N/A,FALSE,"By Code"}</definedName>
    <definedName name="回制_4_1_1_1" hidden="1">{"Input_Fin",#N/A,FALSE,"By Code";"Input_Opt",#N/A,FALSE,"By Code"}</definedName>
    <definedName name="回制_4_1_1_2" hidden="1">{"Input_Fin",#N/A,FALSE,"By Code";"Input_Opt",#N/A,FALSE,"By Code"}</definedName>
    <definedName name="回制_4_1_1_3" hidden="1">{"Input_Fin",#N/A,FALSE,"By Code";"Input_Opt",#N/A,FALSE,"By Code"}</definedName>
    <definedName name="回制_4_1_2" hidden="1">{"Input_Fin",#N/A,FALSE,"By Code";"Input_Opt",#N/A,FALSE,"By Code"}</definedName>
    <definedName name="回制_4_1_2_1" hidden="1">{"Input_Fin",#N/A,FALSE,"By Code";"Input_Opt",#N/A,FALSE,"By Code"}</definedName>
    <definedName name="回制_4_1_2_2" hidden="1">{"Input_Fin",#N/A,FALSE,"By Code";"Input_Opt",#N/A,FALSE,"By Code"}</definedName>
    <definedName name="回制_4_1_3" hidden="1">{"Input_Fin",#N/A,FALSE,"By Code";"Input_Opt",#N/A,FALSE,"By Code"}</definedName>
    <definedName name="回制_4_1_4" hidden="1">{"Input_Fin",#N/A,FALSE,"By Code";"Input_Opt",#N/A,FALSE,"By Code"}</definedName>
    <definedName name="回制_4_2" hidden="1">{"Input_Fin",#N/A,FALSE,"By Code";"Input_Opt",#N/A,FALSE,"By Code"}</definedName>
    <definedName name="回制_4_2_1" hidden="1">{"Input_Fin",#N/A,FALSE,"By Code";"Input_Opt",#N/A,FALSE,"By Code"}</definedName>
    <definedName name="回制_4_2_2" hidden="1">{"Input_Fin",#N/A,FALSE,"By Code";"Input_Opt",#N/A,FALSE,"By Code"}</definedName>
    <definedName name="回制_4_2_3" hidden="1">{"Input_Fin",#N/A,FALSE,"By Code";"Input_Opt",#N/A,FALSE,"By Code"}</definedName>
    <definedName name="回制_4_3" hidden="1">{"Input_Fin",#N/A,FALSE,"By Code";"Input_Opt",#N/A,FALSE,"By Code"}</definedName>
    <definedName name="回制_4_3_1" hidden="1">{"Input_Fin",#N/A,FALSE,"By Code";"Input_Opt",#N/A,FALSE,"By Code"}</definedName>
    <definedName name="回制_4_3_2" hidden="1">{"Input_Fin",#N/A,FALSE,"By Code";"Input_Opt",#N/A,FALSE,"By Code"}</definedName>
    <definedName name="回制_4_4" hidden="1">{"Input_Fin",#N/A,FALSE,"By Code";"Input_Opt",#N/A,FALSE,"By Code"}</definedName>
    <definedName name="回制_4_5" hidden="1">{"Input_Fin",#N/A,FALSE,"By Code";"Input_Opt",#N/A,FALSE,"By Code"}</definedName>
    <definedName name="回制_5" hidden="1">{"Input_Fin",#N/A,FALSE,"By Code";"Input_Opt",#N/A,FALSE,"By Code"}</definedName>
    <definedName name="回制_5_1" hidden="1">{"Input_Fin",#N/A,FALSE,"By Code";"Input_Opt",#N/A,FALSE,"By Code"}</definedName>
    <definedName name="回制_5_1_1" hidden="1">{"Input_Fin",#N/A,FALSE,"By Code";"Input_Opt",#N/A,FALSE,"By Code"}</definedName>
    <definedName name="回制_5_1_1_1" hidden="1">{"Input_Fin",#N/A,FALSE,"By Code";"Input_Opt",#N/A,FALSE,"By Code"}</definedName>
    <definedName name="回制_5_1_1_2" hidden="1">{"Input_Fin",#N/A,FALSE,"By Code";"Input_Opt",#N/A,FALSE,"By Code"}</definedName>
    <definedName name="回制_5_1_1_3" hidden="1">{"Input_Fin",#N/A,FALSE,"By Code";"Input_Opt",#N/A,FALSE,"By Code"}</definedName>
    <definedName name="回制_5_1_2" hidden="1">{"Input_Fin",#N/A,FALSE,"By Code";"Input_Opt",#N/A,FALSE,"By Code"}</definedName>
    <definedName name="回制_5_1_2_1" hidden="1">{"Input_Fin",#N/A,FALSE,"By Code";"Input_Opt",#N/A,FALSE,"By Code"}</definedName>
    <definedName name="回制_5_1_2_2" hidden="1">{"Input_Fin",#N/A,FALSE,"By Code";"Input_Opt",#N/A,FALSE,"By Code"}</definedName>
    <definedName name="回制_5_1_3" hidden="1">{"Input_Fin",#N/A,FALSE,"By Code";"Input_Opt",#N/A,FALSE,"By Code"}</definedName>
    <definedName name="回制_5_1_4" hidden="1">{"Input_Fin",#N/A,FALSE,"By Code";"Input_Opt",#N/A,FALSE,"By Code"}</definedName>
    <definedName name="回制_5_2" hidden="1">{"Input_Fin",#N/A,FALSE,"By Code";"Input_Opt",#N/A,FALSE,"By Code"}</definedName>
    <definedName name="回制_5_2_1" hidden="1">{"Input_Fin",#N/A,FALSE,"By Code";"Input_Opt",#N/A,FALSE,"By Code"}</definedName>
    <definedName name="回制_5_2_2" hidden="1">{"Input_Fin",#N/A,FALSE,"By Code";"Input_Opt",#N/A,FALSE,"By Code"}</definedName>
    <definedName name="回制_5_2_3" hidden="1">{"Input_Fin",#N/A,FALSE,"By Code";"Input_Opt",#N/A,FALSE,"By Code"}</definedName>
    <definedName name="回制_5_3" hidden="1">{"Input_Fin",#N/A,FALSE,"By Code";"Input_Opt",#N/A,FALSE,"By Code"}</definedName>
    <definedName name="回制_5_3_1" hidden="1">{"Input_Fin",#N/A,FALSE,"By Code";"Input_Opt",#N/A,FALSE,"By Code"}</definedName>
    <definedName name="回制_5_3_2" hidden="1">{"Input_Fin",#N/A,FALSE,"By Code";"Input_Opt",#N/A,FALSE,"By Code"}</definedName>
    <definedName name="回制_5_4" hidden="1">{"Input_Fin",#N/A,FALSE,"By Code";"Input_Opt",#N/A,FALSE,"By Code"}</definedName>
    <definedName name="回制_5_5" hidden="1">{"Input_Fin",#N/A,FALSE,"By Code";"Input_Opt",#N/A,FALSE,"By Code"}</definedName>
    <definedName name="回制2" localSheetId="12" hidden="1">{"Input_Fin",#N/A,FALSE,"By Code";"Input_Opt",#N/A,FALSE,"By Code"}</definedName>
    <definedName name="回制2" hidden="1">{"Input_Fin",#N/A,FALSE,"By Code";"Input_Opt",#N/A,FALSE,"By Code"}</definedName>
    <definedName name="回制2_1" hidden="1">{"Input_Fin",#N/A,FALSE,"By Code";"Input_Opt",#N/A,FALSE,"By Code"}</definedName>
    <definedName name="回制2_1_1" hidden="1">{"Input_Fin",#N/A,FALSE,"By Code";"Input_Opt",#N/A,FALSE,"By Code"}</definedName>
    <definedName name="回制2_1_1_1" hidden="1">{"Input_Fin",#N/A,FALSE,"By Code";"Input_Opt",#N/A,FALSE,"By Code"}</definedName>
    <definedName name="回制2_1_1_1_1" hidden="1">{"Input_Fin",#N/A,FALSE,"By Code";"Input_Opt",#N/A,FALSE,"By Code"}</definedName>
    <definedName name="回制2_1_1_1_1_1" hidden="1">{"Input_Fin",#N/A,FALSE,"By Code";"Input_Opt",#N/A,FALSE,"By Code"}</definedName>
    <definedName name="回制2_1_1_1_1_2" hidden="1">{"Input_Fin",#N/A,FALSE,"By Code";"Input_Opt",#N/A,FALSE,"By Code"}</definedName>
    <definedName name="回制2_1_1_1_1_3" hidden="1">{"Input_Fin",#N/A,FALSE,"By Code";"Input_Opt",#N/A,FALSE,"By Code"}</definedName>
    <definedName name="回制2_1_1_1_2" hidden="1">{"Input_Fin",#N/A,FALSE,"By Code";"Input_Opt",#N/A,FALSE,"By Code"}</definedName>
    <definedName name="回制2_1_1_1_2_1" hidden="1">{"Input_Fin",#N/A,FALSE,"By Code";"Input_Opt",#N/A,FALSE,"By Code"}</definedName>
    <definedName name="回制2_1_1_1_2_2" hidden="1">{"Input_Fin",#N/A,FALSE,"By Code";"Input_Opt",#N/A,FALSE,"By Code"}</definedName>
    <definedName name="回制2_1_1_1_3" hidden="1">{"Input_Fin",#N/A,FALSE,"By Code";"Input_Opt",#N/A,FALSE,"By Code"}</definedName>
    <definedName name="回制2_1_1_1_3_1" hidden="1">{"Input_Fin",#N/A,FALSE,"By Code";"Input_Opt",#N/A,FALSE,"By Code"}</definedName>
    <definedName name="回制2_1_1_1_3_2" hidden="1">{"Input_Fin",#N/A,FALSE,"By Code";"Input_Opt",#N/A,FALSE,"By Code"}</definedName>
    <definedName name="回制2_1_1_1_4" hidden="1">{"Input_Fin",#N/A,FALSE,"By Code";"Input_Opt",#N/A,FALSE,"By Code"}</definedName>
    <definedName name="回制2_1_1_1_5" hidden="1">{"Input_Fin",#N/A,FALSE,"By Code";"Input_Opt",#N/A,FALSE,"By Code"}</definedName>
    <definedName name="回制2_1_1_2" hidden="1">{"Input_Fin",#N/A,FALSE,"By Code";"Input_Opt",#N/A,FALSE,"By Code"}</definedName>
    <definedName name="回制2_1_1_2_1" hidden="1">{"Input_Fin",#N/A,FALSE,"By Code";"Input_Opt",#N/A,FALSE,"By Code"}</definedName>
    <definedName name="回制2_1_1_2_2" hidden="1">{"Input_Fin",#N/A,FALSE,"By Code";"Input_Opt",#N/A,FALSE,"By Code"}</definedName>
    <definedName name="回制2_1_1_2_3" hidden="1">{"Input_Fin",#N/A,FALSE,"By Code";"Input_Opt",#N/A,FALSE,"By Code"}</definedName>
    <definedName name="回制2_1_1_3" hidden="1">{"Input_Fin",#N/A,FALSE,"By Code";"Input_Opt",#N/A,FALSE,"By Code"}</definedName>
    <definedName name="回制2_1_1_3_1" hidden="1">{"Input_Fin",#N/A,FALSE,"By Code";"Input_Opt",#N/A,FALSE,"By Code"}</definedName>
    <definedName name="回制2_1_1_3_2" hidden="1">{"Input_Fin",#N/A,FALSE,"By Code";"Input_Opt",#N/A,FALSE,"By Code"}</definedName>
    <definedName name="回制2_1_1_4" hidden="1">{"Input_Fin",#N/A,FALSE,"By Code";"Input_Opt",#N/A,FALSE,"By Code"}</definedName>
    <definedName name="回制2_1_1_5" hidden="1">{"Input_Fin",#N/A,FALSE,"By Code";"Input_Opt",#N/A,FALSE,"By Code"}</definedName>
    <definedName name="回制2_1_2" hidden="1">{"Input_Fin",#N/A,FALSE,"By Code";"Input_Opt",#N/A,FALSE,"By Code"}</definedName>
    <definedName name="回制2_1_2_1" hidden="1">{"Input_Fin",#N/A,FALSE,"By Code";"Input_Opt",#N/A,FALSE,"By Code"}</definedName>
    <definedName name="回制2_1_2_2" hidden="1">{"Input_Fin",#N/A,FALSE,"By Code";"Input_Opt",#N/A,FALSE,"By Code"}</definedName>
    <definedName name="回制2_1_2_3" hidden="1">{"Input_Fin",#N/A,FALSE,"By Code";"Input_Opt",#N/A,FALSE,"By Code"}</definedName>
    <definedName name="回制2_1_3" hidden="1">{"Input_Fin",#N/A,FALSE,"By Code";"Input_Opt",#N/A,FALSE,"By Code"}</definedName>
    <definedName name="回制2_1_3_1" hidden="1">{"Input_Fin",#N/A,FALSE,"By Code";"Input_Opt",#N/A,FALSE,"By Code"}</definedName>
    <definedName name="回制2_1_3_2" hidden="1">{"Input_Fin",#N/A,FALSE,"By Code";"Input_Opt",#N/A,FALSE,"By Code"}</definedName>
    <definedName name="回制2_1_4" hidden="1">{"Input_Fin",#N/A,FALSE,"By Code";"Input_Opt",#N/A,FALSE,"By Code"}</definedName>
    <definedName name="回制2_1_5" hidden="1">{"Input_Fin",#N/A,FALSE,"By Code";"Input_Opt",#N/A,FALSE,"By Code"}</definedName>
    <definedName name="回制2_2" hidden="1">{"Input_Fin",#N/A,FALSE,"By Code";"Input_Opt",#N/A,FALSE,"By Code"}</definedName>
    <definedName name="回制2_2_1" hidden="1">{"Input_Fin",#N/A,FALSE,"By Code";"Input_Opt",#N/A,FALSE,"By Code"}</definedName>
    <definedName name="回制2_2_1_1" hidden="1">{"Input_Fin",#N/A,FALSE,"By Code";"Input_Opt",#N/A,FALSE,"By Code"}</definedName>
    <definedName name="回制2_2_1_1_1" hidden="1">{"Input_Fin",#N/A,FALSE,"By Code";"Input_Opt",#N/A,FALSE,"By Code"}</definedName>
    <definedName name="回制2_2_1_1_2" hidden="1">{"Input_Fin",#N/A,FALSE,"By Code";"Input_Opt",#N/A,FALSE,"By Code"}</definedName>
    <definedName name="回制2_2_1_1_3" hidden="1">{"Input_Fin",#N/A,FALSE,"By Code";"Input_Opt",#N/A,FALSE,"By Code"}</definedName>
    <definedName name="回制2_2_1_2" hidden="1">{"Input_Fin",#N/A,FALSE,"By Code";"Input_Opt",#N/A,FALSE,"By Code"}</definedName>
    <definedName name="回制2_2_1_2_1" hidden="1">{"Input_Fin",#N/A,FALSE,"By Code";"Input_Opt",#N/A,FALSE,"By Code"}</definedName>
    <definedName name="回制2_2_1_2_2" hidden="1">{"Input_Fin",#N/A,FALSE,"By Code";"Input_Opt",#N/A,FALSE,"By Code"}</definedName>
    <definedName name="回制2_2_1_3" hidden="1">{"Input_Fin",#N/A,FALSE,"By Code";"Input_Opt",#N/A,FALSE,"By Code"}</definedName>
    <definedName name="回制2_2_1_4" hidden="1">{"Input_Fin",#N/A,FALSE,"By Code";"Input_Opt",#N/A,FALSE,"By Code"}</definedName>
    <definedName name="回制2_2_2" hidden="1">{"Input_Fin",#N/A,FALSE,"By Code";"Input_Opt",#N/A,FALSE,"By Code"}</definedName>
    <definedName name="回制2_2_2_1" hidden="1">{"Input_Fin",#N/A,FALSE,"By Code";"Input_Opt",#N/A,FALSE,"By Code"}</definedName>
    <definedName name="回制2_2_2_2" hidden="1">{"Input_Fin",#N/A,FALSE,"By Code";"Input_Opt",#N/A,FALSE,"By Code"}</definedName>
    <definedName name="回制2_2_2_3" hidden="1">{"Input_Fin",#N/A,FALSE,"By Code";"Input_Opt",#N/A,FALSE,"By Code"}</definedName>
    <definedName name="回制2_2_3" hidden="1">{"Input_Fin",#N/A,FALSE,"By Code";"Input_Opt",#N/A,FALSE,"By Code"}</definedName>
    <definedName name="回制2_2_3_1" hidden="1">{"Input_Fin",#N/A,FALSE,"By Code";"Input_Opt",#N/A,FALSE,"By Code"}</definedName>
    <definedName name="回制2_2_3_2" hidden="1">{"Input_Fin",#N/A,FALSE,"By Code";"Input_Opt",#N/A,FALSE,"By Code"}</definedName>
    <definedName name="回制2_2_4" hidden="1">{"Input_Fin",#N/A,FALSE,"By Code";"Input_Opt",#N/A,FALSE,"By Code"}</definedName>
    <definedName name="回制2_2_5" hidden="1">{"Input_Fin",#N/A,FALSE,"By Code";"Input_Opt",#N/A,FALSE,"By Code"}</definedName>
    <definedName name="回制2_3" hidden="1">{"Input_Fin",#N/A,FALSE,"By Code";"Input_Opt",#N/A,FALSE,"By Code"}</definedName>
    <definedName name="回制2_3_1" hidden="1">{"Input_Fin",#N/A,FALSE,"By Code";"Input_Opt",#N/A,FALSE,"By Code"}</definedName>
    <definedName name="回制2_3_1_1" hidden="1">{"Input_Fin",#N/A,FALSE,"By Code";"Input_Opt",#N/A,FALSE,"By Code"}</definedName>
    <definedName name="回制2_3_1_1_1" hidden="1">{"Input_Fin",#N/A,FALSE,"By Code";"Input_Opt",#N/A,FALSE,"By Code"}</definedName>
    <definedName name="回制2_3_1_1_2" hidden="1">{"Input_Fin",#N/A,FALSE,"By Code";"Input_Opt",#N/A,FALSE,"By Code"}</definedName>
    <definedName name="回制2_3_1_1_3" hidden="1">{"Input_Fin",#N/A,FALSE,"By Code";"Input_Opt",#N/A,FALSE,"By Code"}</definedName>
    <definedName name="回制2_3_1_2" hidden="1">{"Input_Fin",#N/A,FALSE,"By Code";"Input_Opt",#N/A,FALSE,"By Code"}</definedName>
    <definedName name="回制2_3_1_2_1" hidden="1">{"Input_Fin",#N/A,FALSE,"By Code";"Input_Opt",#N/A,FALSE,"By Code"}</definedName>
    <definedName name="回制2_3_1_2_2" hidden="1">{"Input_Fin",#N/A,FALSE,"By Code";"Input_Opt",#N/A,FALSE,"By Code"}</definedName>
    <definedName name="回制2_3_1_3" hidden="1">{"Input_Fin",#N/A,FALSE,"By Code";"Input_Opt",#N/A,FALSE,"By Code"}</definedName>
    <definedName name="回制2_3_1_4" hidden="1">{"Input_Fin",#N/A,FALSE,"By Code";"Input_Opt",#N/A,FALSE,"By Code"}</definedName>
    <definedName name="回制2_3_2" hidden="1">{"Input_Fin",#N/A,FALSE,"By Code";"Input_Opt",#N/A,FALSE,"By Code"}</definedName>
    <definedName name="回制2_3_2_1" hidden="1">{"Input_Fin",#N/A,FALSE,"By Code";"Input_Opt",#N/A,FALSE,"By Code"}</definedName>
    <definedName name="回制2_3_2_2" hidden="1">{"Input_Fin",#N/A,FALSE,"By Code";"Input_Opt",#N/A,FALSE,"By Code"}</definedName>
    <definedName name="回制2_3_2_3" hidden="1">{"Input_Fin",#N/A,FALSE,"By Code";"Input_Opt",#N/A,FALSE,"By Code"}</definedName>
    <definedName name="回制2_3_3" hidden="1">{"Input_Fin",#N/A,FALSE,"By Code";"Input_Opt",#N/A,FALSE,"By Code"}</definedName>
    <definedName name="回制2_3_3_1" hidden="1">{"Input_Fin",#N/A,FALSE,"By Code";"Input_Opt",#N/A,FALSE,"By Code"}</definedName>
    <definedName name="回制2_3_3_2" hidden="1">{"Input_Fin",#N/A,FALSE,"By Code";"Input_Opt",#N/A,FALSE,"By Code"}</definedName>
    <definedName name="回制2_3_4" hidden="1">{"Input_Fin",#N/A,FALSE,"By Code";"Input_Opt",#N/A,FALSE,"By Code"}</definedName>
    <definedName name="回制2_3_5" hidden="1">{"Input_Fin",#N/A,FALSE,"By Code";"Input_Opt",#N/A,FALSE,"By Code"}</definedName>
    <definedName name="回制2_4" hidden="1">{"Input_Fin",#N/A,FALSE,"By Code";"Input_Opt",#N/A,FALSE,"By Code"}</definedName>
    <definedName name="回制2_4_1" hidden="1">{"Input_Fin",#N/A,FALSE,"By Code";"Input_Opt",#N/A,FALSE,"By Code"}</definedName>
    <definedName name="回制2_4_1_1" hidden="1">{"Input_Fin",#N/A,FALSE,"By Code";"Input_Opt",#N/A,FALSE,"By Code"}</definedName>
    <definedName name="回制2_4_1_1_1" hidden="1">{"Input_Fin",#N/A,FALSE,"By Code";"Input_Opt",#N/A,FALSE,"By Code"}</definedName>
    <definedName name="回制2_4_1_1_2" hidden="1">{"Input_Fin",#N/A,FALSE,"By Code";"Input_Opt",#N/A,FALSE,"By Code"}</definedName>
    <definedName name="回制2_4_1_1_3" hidden="1">{"Input_Fin",#N/A,FALSE,"By Code";"Input_Opt",#N/A,FALSE,"By Code"}</definedName>
    <definedName name="回制2_4_1_2" hidden="1">{"Input_Fin",#N/A,FALSE,"By Code";"Input_Opt",#N/A,FALSE,"By Code"}</definedName>
    <definedName name="回制2_4_1_2_1" hidden="1">{"Input_Fin",#N/A,FALSE,"By Code";"Input_Opt",#N/A,FALSE,"By Code"}</definedName>
    <definedName name="回制2_4_1_2_2" hidden="1">{"Input_Fin",#N/A,FALSE,"By Code";"Input_Opt",#N/A,FALSE,"By Code"}</definedName>
    <definedName name="回制2_4_1_3" hidden="1">{"Input_Fin",#N/A,FALSE,"By Code";"Input_Opt",#N/A,FALSE,"By Code"}</definedName>
    <definedName name="回制2_4_1_4" hidden="1">{"Input_Fin",#N/A,FALSE,"By Code";"Input_Opt",#N/A,FALSE,"By Code"}</definedName>
    <definedName name="回制2_4_2" hidden="1">{"Input_Fin",#N/A,FALSE,"By Code";"Input_Opt",#N/A,FALSE,"By Code"}</definedName>
    <definedName name="回制2_4_2_1" hidden="1">{"Input_Fin",#N/A,FALSE,"By Code";"Input_Opt",#N/A,FALSE,"By Code"}</definedName>
    <definedName name="回制2_4_2_2" hidden="1">{"Input_Fin",#N/A,FALSE,"By Code";"Input_Opt",#N/A,FALSE,"By Code"}</definedName>
    <definedName name="回制2_4_2_3" hidden="1">{"Input_Fin",#N/A,FALSE,"By Code";"Input_Opt",#N/A,FALSE,"By Code"}</definedName>
    <definedName name="回制2_4_3" hidden="1">{"Input_Fin",#N/A,FALSE,"By Code";"Input_Opt",#N/A,FALSE,"By Code"}</definedName>
    <definedName name="回制2_4_3_1" hidden="1">{"Input_Fin",#N/A,FALSE,"By Code";"Input_Opt",#N/A,FALSE,"By Code"}</definedName>
    <definedName name="回制2_4_3_2" hidden="1">{"Input_Fin",#N/A,FALSE,"By Code";"Input_Opt",#N/A,FALSE,"By Code"}</definedName>
    <definedName name="回制2_4_4" hidden="1">{"Input_Fin",#N/A,FALSE,"By Code";"Input_Opt",#N/A,FALSE,"By Code"}</definedName>
    <definedName name="回制2_4_5" hidden="1">{"Input_Fin",#N/A,FALSE,"By Code";"Input_Opt",#N/A,FALSE,"By Code"}</definedName>
    <definedName name="回制2_5" hidden="1">{"Input_Fin",#N/A,FALSE,"By Code";"Input_Opt",#N/A,FALSE,"By Code"}</definedName>
    <definedName name="回制2_5_1" hidden="1">{"Input_Fin",#N/A,FALSE,"By Code";"Input_Opt",#N/A,FALSE,"By Code"}</definedName>
    <definedName name="回制2_5_1_1" hidden="1">{"Input_Fin",#N/A,FALSE,"By Code";"Input_Opt",#N/A,FALSE,"By Code"}</definedName>
    <definedName name="回制2_5_1_1_1" hidden="1">{"Input_Fin",#N/A,FALSE,"By Code";"Input_Opt",#N/A,FALSE,"By Code"}</definedName>
    <definedName name="回制2_5_1_1_2" hidden="1">{"Input_Fin",#N/A,FALSE,"By Code";"Input_Opt",#N/A,FALSE,"By Code"}</definedName>
    <definedName name="回制2_5_1_1_3" hidden="1">{"Input_Fin",#N/A,FALSE,"By Code";"Input_Opt",#N/A,FALSE,"By Code"}</definedName>
    <definedName name="回制2_5_1_2" hidden="1">{"Input_Fin",#N/A,FALSE,"By Code";"Input_Opt",#N/A,FALSE,"By Code"}</definedName>
    <definedName name="回制2_5_1_2_1" hidden="1">{"Input_Fin",#N/A,FALSE,"By Code";"Input_Opt",#N/A,FALSE,"By Code"}</definedName>
    <definedName name="回制2_5_1_2_2" hidden="1">{"Input_Fin",#N/A,FALSE,"By Code";"Input_Opt",#N/A,FALSE,"By Code"}</definedName>
    <definedName name="回制2_5_1_3" hidden="1">{"Input_Fin",#N/A,FALSE,"By Code";"Input_Opt",#N/A,FALSE,"By Code"}</definedName>
    <definedName name="回制2_5_1_4" hidden="1">{"Input_Fin",#N/A,FALSE,"By Code";"Input_Opt",#N/A,FALSE,"By Code"}</definedName>
    <definedName name="回制2_5_2" hidden="1">{"Input_Fin",#N/A,FALSE,"By Code";"Input_Opt",#N/A,FALSE,"By Code"}</definedName>
    <definedName name="回制2_5_2_1" hidden="1">{"Input_Fin",#N/A,FALSE,"By Code";"Input_Opt",#N/A,FALSE,"By Code"}</definedName>
    <definedName name="回制2_5_2_2" hidden="1">{"Input_Fin",#N/A,FALSE,"By Code";"Input_Opt",#N/A,FALSE,"By Code"}</definedName>
    <definedName name="回制2_5_2_3" hidden="1">{"Input_Fin",#N/A,FALSE,"By Code";"Input_Opt",#N/A,FALSE,"By Code"}</definedName>
    <definedName name="回制2_5_3" hidden="1">{"Input_Fin",#N/A,FALSE,"By Code";"Input_Opt",#N/A,FALSE,"By Code"}</definedName>
    <definedName name="回制2_5_3_1" hidden="1">{"Input_Fin",#N/A,FALSE,"By Code";"Input_Opt",#N/A,FALSE,"By Code"}</definedName>
    <definedName name="回制2_5_3_2" hidden="1">{"Input_Fin",#N/A,FALSE,"By Code";"Input_Opt",#N/A,FALSE,"By Code"}</definedName>
    <definedName name="回制2_5_4" hidden="1">{"Input_Fin",#N/A,FALSE,"By Code";"Input_Opt",#N/A,FALSE,"By Code"}</definedName>
    <definedName name="回制2_5_5" hidden="1">{"Input_Fin",#N/A,FALSE,"By Code";"Input_Opt",#N/A,FALSE,"By Code"}</definedName>
    <definedName name="汇" localSheetId="12" hidden="1">{"Input_Fin",#N/A,FALSE,"By Code";"Input_Opt",#N/A,FALSE,"By Code"}</definedName>
    <definedName name="汇" hidden="1">{"Input_Fin",#N/A,FALSE,"By Code";"Input_Opt",#N/A,FALSE,"By Code"}</definedName>
    <definedName name="汇_1" hidden="1">{"Input_Fin",#N/A,FALSE,"By Code";"Input_Opt",#N/A,FALSE,"By Code"}</definedName>
    <definedName name="汇_1_1" hidden="1">{"Input_Fin",#N/A,FALSE,"By Code";"Input_Opt",#N/A,FALSE,"By Code"}</definedName>
    <definedName name="汇_1_1_1" hidden="1">{"Input_Fin",#N/A,FALSE,"By Code";"Input_Opt",#N/A,FALSE,"By Code"}</definedName>
    <definedName name="汇_1_1_1_1" hidden="1">{"Input_Fin",#N/A,FALSE,"By Code";"Input_Opt",#N/A,FALSE,"By Code"}</definedName>
    <definedName name="汇_1_1_1_1_1" hidden="1">{"Input_Fin",#N/A,FALSE,"By Code";"Input_Opt",#N/A,FALSE,"By Code"}</definedName>
    <definedName name="汇_1_1_1_1_2" hidden="1">{"Input_Fin",#N/A,FALSE,"By Code";"Input_Opt",#N/A,FALSE,"By Code"}</definedName>
    <definedName name="汇_1_1_1_1_3" hidden="1">{"Input_Fin",#N/A,FALSE,"By Code";"Input_Opt",#N/A,FALSE,"By Code"}</definedName>
    <definedName name="汇_1_1_1_2" hidden="1">{"Input_Fin",#N/A,FALSE,"By Code";"Input_Opt",#N/A,FALSE,"By Code"}</definedName>
    <definedName name="汇_1_1_1_2_1" hidden="1">{"Input_Fin",#N/A,FALSE,"By Code";"Input_Opt",#N/A,FALSE,"By Code"}</definedName>
    <definedName name="汇_1_1_1_2_2" hidden="1">{"Input_Fin",#N/A,FALSE,"By Code";"Input_Opt",#N/A,FALSE,"By Code"}</definedName>
    <definedName name="汇_1_1_1_3" hidden="1">{"Input_Fin",#N/A,FALSE,"By Code";"Input_Opt",#N/A,FALSE,"By Code"}</definedName>
    <definedName name="汇_1_1_1_3_1" hidden="1">{"Input_Fin",#N/A,FALSE,"By Code";"Input_Opt",#N/A,FALSE,"By Code"}</definedName>
    <definedName name="汇_1_1_1_3_2" hidden="1">{"Input_Fin",#N/A,FALSE,"By Code";"Input_Opt",#N/A,FALSE,"By Code"}</definedName>
    <definedName name="汇_1_1_1_4" hidden="1">{"Input_Fin",#N/A,FALSE,"By Code";"Input_Opt",#N/A,FALSE,"By Code"}</definedName>
    <definedName name="汇_1_1_1_5" hidden="1">{"Input_Fin",#N/A,FALSE,"By Code";"Input_Opt",#N/A,FALSE,"By Code"}</definedName>
    <definedName name="汇_1_1_2" hidden="1">{"Input_Fin",#N/A,FALSE,"By Code";"Input_Opt",#N/A,FALSE,"By Code"}</definedName>
    <definedName name="汇_1_1_2_1" hidden="1">{"Input_Fin",#N/A,FALSE,"By Code";"Input_Opt",#N/A,FALSE,"By Code"}</definedName>
    <definedName name="汇_1_1_2_2" hidden="1">{"Input_Fin",#N/A,FALSE,"By Code";"Input_Opt",#N/A,FALSE,"By Code"}</definedName>
    <definedName name="汇_1_1_2_3" hidden="1">{"Input_Fin",#N/A,FALSE,"By Code";"Input_Opt",#N/A,FALSE,"By Code"}</definedName>
    <definedName name="汇_1_1_3" hidden="1">{"Input_Fin",#N/A,FALSE,"By Code";"Input_Opt",#N/A,FALSE,"By Code"}</definedName>
    <definedName name="汇_1_1_3_1" hidden="1">{"Input_Fin",#N/A,FALSE,"By Code";"Input_Opt",#N/A,FALSE,"By Code"}</definedName>
    <definedName name="汇_1_1_3_2" hidden="1">{"Input_Fin",#N/A,FALSE,"By Code";"Input_Opt",#N/A,FALSE,"By Code"}</definedName>
    <definedName name="汇_1_1_4" hidden="1">{"Input_Fin",#N/A,FALSE,"By Code";"Input_Opt",#N/A,FALSE,"By Code"}</definedName>
    <definedName name="汇_1_1_5" hidden="1">{"Input_Fin",#N/A,FALSE,"By Code";"Input_Opt",#N/A,FALSE,"By Code"}</definedName>
    <definedName name="汇_1_2" hidden="1">{"Input_Fin",#N/A,FALSE,"By Code";"Input_Opt",#N/A,FALSE,"By Code"}</definedName>
    <definedName name="汇_1_2_1" hidden="1">{"Input_Fin",#N/A,FALSE,"By Code";"Input_Opt",#N/A,FALSE,"By Code"}</definedName>
    <definedName name="汇_1_2_2" hidden="1">{"Input_Fin",#N/A,FALSE,"By Code";"Input_Opt",#N/A,FALSE,"By Code"}</definedName>
    <definedName name="汇_1_2_3" hidden="1">{"Input_Fin",#N/A,FALSE,"By Code";"Input_Opt",#N/A,FALSE,"By Code"}</definedName>
    <definedName name="汇_1_3" hidden="1">{"Input_Fin",#N/A,FALSE,"By Code";"Input_Opt",#N/A,FALSE,"By Code"}</definedName>
    <definedName name="汇_1_3_1" hidden="1">{"Input_Fin",#N/A,FALSE,"By Code";"Input_Opt",#N/A,FALSE,"By Code"}</definedName>
    <definedName name="汇_1_3_2" hidden="1">{"Input_Fin",#N/A,FALSE,"By Code";"Input_Opt",#N/A,FALSE,"By Code"}</definedName>
    <definedName name="汇_1_4" hidden="1">{"Input_Fin",#N/A,FALSE,"By Code";"Input_Opt",#N/A,FALSE,"By Code"}</definedName>
    <definedName name="汇_1_5" hidden="1">{"Input_Fin",#N/A,FALSE,"By Code";"Input_Opt",#N/A,FALSE,"By Code"}</definedName>
    <definedName name="汇_2" hidden="1">{"Input_Fin",#N/A,FALSE,"By Code";"Input_Opt",#N/A,FALSE,"By Code"}</definedName>
    <definedName name="汇_2_1" hidden="1">{"Input_Fin",#N/A,FALSE,"By Code";"Input_Opt",#N/A,FALSE,"By Code"}</definedName>
    <definedName name="汇_2_1_1" hidden="1">{"Input_Fin",#N/A,FALSE,"By Code";"Input_Opt",#N/A,FALSE,"By Code"}</definedName>
    <definedName name="汇_2_1_1_1" hidden="1">{"Input_Fin",#N/A,FALSE,"By Code";"Input_Opt",#N/A,FALSE,"By Code"}</definedName>
    <definedName name="汇_2_1_1_2" hidden="1">{"Input_Fin",#N/A,FALSE,"By Code";"Input_Opt",#N/A,FALSE,"By Code"}</definedName>
    <definedName name="汇_2_1_1_3" hidden="1">{"Input_Fin",#N/A,FALSE,"By Code";"Input_Opt",#N/A,FALSE,"By Code"}</definedName>
    <definedName name="汇_2_1_2" hidden="1">{"Input_Fin",#N/A,FALSE,"By Code";"Input_Opt",#N/A,FALSE,"By Code"}</definedName>
    <definedName name="汇_2_1_2_1" hidden="1">{"Input_Fin",#N/A,FALSE,"By Code";"Input_Opt",#N/A,FALSE,"By Code"}</definedName>
    <definedName name="汇_2_1_2_2" hidden="1">{"Input_Fin",#N/A,FALSE,"By Code";"Input_Opt",#N/A,FALSE,"By Code"}</definedName>
    <definedName name="汇_2_1_3" hidden="1">{"Input_Fin",#N/A,FALSE,"By Code";"Input_Opt",#N/A,FALSE,"By Code"}</definedName>
    <definedName name="汇_2_1_4" hidden="1">{"Input_Fin",#N/A,FALSE,"By Code";"Input_Opt",#N/A,FALSE,"By Code"}</definedName>
    <definedName name="汇_2_2" hidden="1">{"Input_Fin",#N/A,FALSE,"By Code";"Input_Opt",#N/A,FALSE,"By Code"}</definedName>
    <definedName name="汇_2_2_1" hidden="1">{"Input_Fin",#N/A,FALSE,"By Code";"Input_Opt",#N/A,FALSE,"By Code"}</definedName>
    <definedName name="汇_2_2_2" hidden="1">{"Input_Fin",#N/A,FALSE,"By Code";"Input_Opt",#N/A,FALSE,"By Code"}</definedName>
    <definedName name="汇_2_2_3" hidden="1">{"Input_Fin",#N/A,FALSE,"By Code";"Input_Opt",#N/A,FALSE,"By Code"}</definedName>
    <definedName name="汇_2_3" hidden="1">{"Input_Fin",#N/A,FALSE,"By Code";"Input_Opt",#N/A,FALSE,"By Code"}</definedName>
    <definedName name="汇_2_3_1" hidden="1">{"Input_Fin",#N/A,FALSE,"By Code";"Input_Opt",#N/A,FALSE,"By Code"}</definedName>
    <definedName name="汇_2_3_2" hidden="1">{"Input_Fin",#N/A,FALSE,"By Code";"Input_Opt",#N/A,FALSE,"By Code"}</definedName>
    <definedName name="汇_2_4" hidden="1">{"Input_Fin",#N/A,FALSE,"By Code";"Input_Opt",#N/A,FALSE,"By Code"}</definedName>
    <definedName name="汇_2_5" hidden="1">{"Input_Fin",#N/A,FALSE,"By Code";"Input_Opt",#N/A,FALSE,"By Code"}</definedName>
    <definedName name="汇_3" hidden="1">{"Input_Fin",#N/A,FALSE,"By Code";"Input_Opt",#N/A,FALSE,"By Code"}</definedName>
    <definedName name="汇_3_1" hidden="1">{"Input_Fin",#N/A,FALSE,"By Code";"Input_Opt",#N/A,FALSE,"By Code"}</definedName>
    <definedName name="汇_3_1_1" hidden="1">{"Input_Fin",#N/A,FALSE,"By Code";"Input_Opt",#N/A,FALSE,"By Code"}</definedName>
    <definedName name="汇_3_1_1_1" hidden="1">{"Input_Fin",#N/A,FALSE,"By Code";"Input_Opt",#N/A,FALSE,"By Code"}</definedName>
    <definedName name="汇_3_1_1_2" hidden="1">{"Input_Fin",#N/A,FALSE,"By Code";"Input_Opt",#N/A,FALSE,"By Code"}</definedName>
    <definedName name="汇_3_1_1_3" hidden="1">{"Input_Fin",#N/A,FALSE,"By Code";"Input_Opt",#N/A,FALSE,"By Code"}</definedName>
    <definedName name="汇_3_1_2" hidden="1">{"Input_Fin",#N/A,FALSE,"By Code";"Input_Opt",#N/A,FALSE,"By Code"}</definedName>
    <definedName name="汇_3_1_2_1" hidden="1">{"Input_Fin",#N/A,FALSE,"By Code";"Input_Opt",#N/A,FALSE,"By Code"}</definedName>
    <definedName name="汇_3_1_2_2" hidden="1">{"Input_Fin",#N/A,FALSE,"By Code";"Input_Opt",#N/A,FALSE,"By Code"}</definedName>
    <definedName name="汇_3_1_3" hidden="1">{"Input_Fin",#N/A,FALSE,"By Code";"Input_Opt",#N/A,FALSE,"By Code"}</definedName>
    <definedName name="汇_3_1_4" hidden="1">{"Input_Fin",#N/A,FALSE,"By Code";"Input_Opt",#N/A,FALSE,"By Code"}</definedName>
    <definedName name="汇_3_2" hidden="1">{"Input_Fin",#N/A,FALSE,"By Code";"Input_Opt",#N/A,FALSE,"By Code"}</definedName>
    <definedName name="汇_3_2_1" hidden="1">{"Input_Fin",#N/A,FALSE,"By Code";"Input_Opt",#N/A,FALSE,"By Code"}</definedName>
    <definedName name="汇_3_2_2" hidden="1">{"Input_Fin",#N/A,FALSE,"By Code";"Input_Opt",#N/A,FALSE,"By Code"}</definedName>
    <definedName name="汇_3_2_3" hidden="1">{"Input_Fin",#N/A,FALSE,"By Code";"Input_Opt",#N/A,FALSE,"By Code"}</definedName>
    <definedName name="汇_3_3" hidden="1">{"Input_Fin",#N/A,FALSE,"By Code";"Input_Opt",#N/A,FALSE,"By Code"}</definedName>
    <definedName name="汇_3_3_1" hidden="1">{"Input_Fin",#N/A,FALSE,"By Code";"Input_Opt",#N/A,FALSE,"By Code"}</definedName>
    <definedName name="汇_3_3_2" hidden="1">{"Input_Fin",#N/A,FALSE,"By Code";"Input_Opt",#N/A,FALSE,"By Code"}</definedName>
    <definedName name="汇_3_4" hidden="1">{"Input_Fin",#N/A,FALSE,"By Code";"Input_Opt",#N/A,FALSE,"By Code"}</definedName>
    <definedName name="汇_3_5" hidden="1">{"Input_Fin",#N/A,FALSE,"By Code";"Input_Opt",#N/A,FALSE,"By Code"}</definedName>
    <definedName name="汇_4" hidden="1">{"Input_Fin",#N/A,FALSE,"By Code";"Input_Opt",#N/A,FALSE,"By Code"}</definedName>
    <definedName name="汇_4_1" hidden="1">{"Input_Fin",#N/A,FALSE,"By Code";"Input_Opt",#N/A,FALSE,"By Code"}</definedName>
    <definedName name="汇_4_1_1" hidden="1">{"Input_Fin",#N/A,FALSE,"By Code";"Input_Opt",#N/A,FALSE,"By Code"}</definedName>
    <definedName name="汇_4_1_1_1" hidden="1">{"Input_Fin",#N/A,FALSE,"By Code";"Input_Opt",#N/A,FALSE,"By Code"}</definedName>
    <definedName name="汇_4_1_1_2" hidden="1">{"Input_Fin",#N/A,FALSE,"By Code";"Input_Opt",#N/A,FALSE,"By Code"}</definedName>
    <definedName name="汇_4_1_1_3" hidden="1">{"Input_Fin",#N/A,FALSE,"By Code";"Input_Opt",#N/A,FALSE,"By Code"}</definedName>
    <definedName name="汇_4_1_2" hidden="1">{"Input_Fin",#N/A,FALSE,"By Code";"Input_Opt",#N/A,FALSE,"By Code"}</definedName>
    <definedName name="汇_4_1_2_1" hidden="1">{"Input_Fin",#N/A,FALSE,"By Code";"Input_Opt",#N/A,FALSE,"By Code"}</definedName>
    <definedName name="汇_4_1_2_2" hidden="1">{"Input_Fin",#N/A,FALSE,"By Code";"Input_Opt",#N/A,FALSE,"By Code"}</definedName>
    <definedName name="汇_4_1_3" hidden="1">{"Input_Fin",#N/A,FALSE,"By Code";"Input_Opt",#N/A,FALSE,"By Code"}</definedName>
    <definedName name="汇_4_1_4" hidden="1">{"Input_Fin",#N/A,FALSE,"By Code";"Input_Opt",#N/A,FALSE,"By Code"}</definedName>
    <definedName name="汇_4_2" hidden="1">{"Input_Fin",#N/A,FALSE,"By Code";"Input_Opt",#N/A,FALSE,"By Code"}</definedName>
    <definedName name="汇_4_2_1" hidden="1">{"Input_Fin",#N/A,FALSE,"By Code";"Input_Opt",#N/A,FALSE,"By Code"}</definedName>
    <definedName name="汇_4_2_2" hidden="1">{"Input_Fin",#N/A,FALSE,"By Code";"Input_Opt",#N/A,FALSE,"By Code"}</definedName>
    <definedName name="汇_4_2_3" hidden="1">{"Input_Fin",#N/A,FALSE,"By Code";"Input_Opt",#N/A,FALSE,"By Code"}</definedName>
    <definedName name="汇_4_3" hidden="1">{"Input_Fin",#N/A,FALSE,"By Code";"Input_Opt",#N/A,FALSE,"By Code"}</definedName>
    <definedName name="汇_4_3_1" hidden="1">{"Input_Fin",#N/A,FALSE,"By Code";"Input_Opt",#N/A,FALSE,"By Code"}</definedName>
    <definedName name="汇_4_3_2" hidden="1">{"Input_Fin",#N/A,FALSE,"By Code";"Input_Opt",#N/A,FALSE,"By Code"}</definedName>
    <definedName name="汇_4_4" hidden="1">{"Input_Fin",#N/A,FALSE,"By Code";"Input_Opt",#N/A,FALSE,"By Code"}</definedName>
    <definedName name="汇_4_5" hidden="1">{"Input_Fin",#N/A,FALSE,"By Code";"Input_Opt",#N/A,FALSE,"By Code"}</definedName>
    <definedName name="汇_5" hidden="1">{"Input_Fin",#N/A,FALSE,"By Code";"Input_Opt",#N/A,FALSE,"By Code"}</definedName>
    <definedName name="汇_5_1" hidden="1">{"Input_Fin",#N/A,FALSE,"By Code";"Input_Opt",#N/A,FALSE,"By Code"}</definedName>
    <definedName name="汇_5_1_1" hidden="1">{"Input_Fin",#N/A,FALSE,"By Code";"Input_Opt",#N/A,FALSE,"By Code"}</definedName>
    <definedName name="汇_5_1_1_1" hidden="1">{"Input_Fin",#N/A,FALSE,"By Code";"Input_Opt",#N/A,FALSE,"By Code"}</definedName>
    <definedName name="汇_5_1_1_2" hidden="1">{"Input_Fin",#N/A,FALSE,"By Code";"Input_Opt",#N/A,FALSE,"By Code"}</definedName>
    <definedName name="汇_5_1_1_3" hidden="1">{"Input_Fin",#N/A,FALSE,"By Code";"Input_Opt",#N/A,FALSE,"By Code"}</definedName>
    <definedName name="汇_5_1_2" hidden="1">{"Input_Fin",#N/A,FALSE,"By Code";"Input_Opt",#N/A,FALSE,"By Code"}</definedName>
    <definedName name="汇_5_1_2_1" hidden="1">{"Input_Fin",#N/A,FALSE,"By Code";"Input_Opt",#N/A,FALSE,"By Code"}</definedName>
    <definedName name="汇_5_1_2_2" hidden="1">{"Input_Fin",#N/A,FALSE,"By Code";"Input_Opt",#N/A,FALSE,"By Code"}</definedName>
    <definedName name="汇_5_1_3" hidden="1">{"Input_Fin",#N/A,FALSE,"By Code";"Input_Opt",#N/A,FALSE,"By Code"}</definedName>
    <definedName name="汇_5_1_4" hidden="1">{"Input_Fin",#N/A,FALSE,"By Code";"Input_Opt",#N/A,FALSE,"By Code"}</definedName>
    <definedName name="汇_5_2" hidden="1">{"Input_Fin",#N/A,FALSE,"By Code";"Input_Opt",#N/A,FALSE,"By Code"}</definedName>
    <definedName name="汇_5_2_1" hidden="1">{"Input_Fin",#N/A,FALSE,"By Code";"Input_Opt",#N/A,FALSE,"By Code"}</definedName>
    <definedName name="汇_5_2_2" hidden="1">{"Input_Fin",#N/A,FALSE,"By Code";"Input_Opt",#N/A,FALSE,"By Code"}</definedName>
    <definedName name="汇_5_2_3" hidden="1">{"Input_Fin",#N/A,FALSE,"By Code";"Input_Opt",#N/A,FALSE,"By Code"}</definedName>
    <definedName name="汇_5_3" hidden="1">{"Input_Fin",#N/A,FALSE,"By Code";"Input_Opt",#N/A,FALSE,"By Code"}</definedName>
    <definedName name="汇_5_3_1" hidden="1">{"Input_Fin",#N/A,FALSE,"By Code";"Input_Opt",#N/A,FALSE,"By Code"}</definedName>
    <definedName name="汇_5_3_2" hidden="1">{"Input_Fin",#N/A,FALSE,"By Code";"Input_Opt",#N/A,FALSE,"By Code"}</definedName>
    <definedName name="汇_5_4" hidden="1">{"Input_Fin",#N/A,FALSE,"By Code";"Input_Opt",#N/A,FALSE,"By Code"}</definedName>
    <definedName name="汇_5_5" hidden="1">{"Input_Fin",#N/A,FALSE,"By Code";"Input_Opt",#N/A,FALSE,"By Code"}</definedName>
    <definedName name="鸡汤煮制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鸡小龙费用比较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集团" localSheetId="12" hidden="1">{"Input_Fin",#N/A,FALSE,"By Code";"Input_Opt",#N/A,FALSE,"By Code"}</definedName>
    <definedName name="集团" hidden="1">{"Input_Fin",#N/A,FALSE,"By Code";"Input_Opt",#N/A,FALSE,"By Code"}</definedName>
    <definedName name="集团_1" hidden="1">{"Input_Fin",#N/A,FALSE,"By Code";"Input_Opt",#N/A,FALSE,"By Code"}</definedName>
    <definedName name="集团_1_1" hidden="1">{"Input_Fin",#N/A,FALSE,"By Code";"Input_Opt",#N/A,FALSE,"By Code"}</definedName>
    <definedName name="集团_1_1_1" hidden="1">{"Input_Fin",#N/A,FALSE,"By Code";"Input_Opt",#N/A,FALSE,"By Code"}</definedName>
    <definedName name="集团_1_1_2" hidden="1">{"Input_Fin",#N/A,FALSE,"By Code";"Input_Opt",#N/A,FALSE,"By Code"}</definedName>
    <definedName name="集团_1_1_3" hidden="1">{"Input_Fin",#N/A,FALSE,"By Code";"Input_Opt",#N/A,FALSE,"By Code"}</definedName>
    <definedName name="集团_1_2" hidden="1">{"Input_Fin",#N/A,FALSE,"By Code";"Input_Opt",#N/A,FALSE,"By Code"}</definedName>
    <definedName name="集团_1_2_1" hidden="1">{"Input_Fin",#N/A,FALSE,"By Code";"Input_Opt",#N/A,FALSE,"By Code"}</definedName>
    <definedName name="集团_1_2_2" hidden="1">{"Input_Fin",#N/A,FALSE,"By Code";"Input_Opt",#N/A,FALSE,"By Code"}</definedName>
    <definedName name="集团_1_3" hidden="1">{"Input_Fin",#N/A,FALSE,"By Code";"Input_Opt",#N/A,FALSE,"By Code"}</definedName>
    <definedName name="集团_1_4" hidden="1">{"Input_Fin",#N/A,FALSE,"By Code";"Input_Opt",#N/A,FALSE,"By Code"}</definedName>
    <definedName name="集团_2" hidden="1">{"Input_Fin",#N/A,FALSE,"By Code";"Input_Opt",#N/A,FALSE,"By Code"}</definedName>
    <definedName name="集团_2_1" hidden="1">{"Input_Fin",#N/A,FALSE,"By Code";"Input_Opt",#N/A,FALSE,"By Code"}</definedName>
    <definedName name="集团_2_2" hidden="1">{"Input_Fin",#N/A,FALSE,"By Code";"Input_Opt",#N/A,FALSE,"By Code"}</definedName>
    <definedName name="集团_2_3" hidden="1">{"Input_Fin",#N/A,FALSE,"By Code";"Input_Opt",#N/A,FALSE,"By Code"}</definedName>
    <definedName name="集团_3" hidden="1">{"Input_Fin",#N/A,FALSE,"By Code";"Input_Opt",#N/A,FALSE,"By Code"}</definedName>
    <definedName name="集团_3_1" hidden="1">{"Input_Fin",#N/A,FALSE,"By Code";"Input_Opt",#N/A,FALSE,"By Code"}</definedName>
    <definedName name="集团_3_2" hidden="1">{"Input_Fin",#N/A,FALSE,"By Code";"Input_Opt",#N/A,FALSE,"By Code"}</definedName>
    <definedName name="集团_4" hidden="1">{"Input_Fin",#N/A,FALSE,"By Code";"Input_Opt",#N/A,FALSE,"By Code"}</definedName>
    <definedName name="集团_5" hidden="1">{"Input_Fin",#N/A,FALSE,"By Code";"Input_Opt",#N/A,FALSE,"By Code"}</definedName>
    <definedName name="检核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结构影响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结构影响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进口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设备到长" localSheetId="12" hidden="1">{"Input_Fin",#N/A,FALSE,"By Code";"Input_Opt",#N/A,FALSE,"By Code"}</definedName>
    <definedName name="进口设备到长" hidden="1">{"Input_Fin",#N/A,FALSE,"By Code";"Input_Opt",#N/A,FALSE,"By Code"}</definedName>
    <definedName name="进口设备到长_1" hidden="1">{"Input_Fin",#N/A,FALSE,"By Code";"Input_Opt",#N/A,FALSE,"By Code"}</definedName>
    <definedName name="进口设备到长_1_1" hidden="1">{"Input_Fin",#N/A,FALSE,"By Code";"Input_Opt",#N/A,FALSE,"By Code"}</definedName>
    <definedName name="进口设备到长_1_1_1" hidden="1">{"Input_Fin",#N/A,FALSE,"By Code";"Input_Opt",#N/A,FALSE,"By Code"}</definedName>
    <definedName name="进口设备到长_1_1_2" hidden="1">{"Input_Fin",#N/A,FALSE,"By Code";"Input_Opt",#N/A,FALSE,"By Code"}</definedName>
    <definedName name="进口设备到长_1_1_3" hidden="1">{"Input_Fin",#N/A,FALSE,"By Code";"Input_Opt",#N/A,FALSE,"By Code"}</definedName>
    <definedName name="进口设备到长_1_2" hidden="1">{"Input_Fin",#N/A,FALSE,"By Code";"Input_Opt",#N/A,FALSE,"By Code"}</definedName>
    <definedName name="进口设备到长_1_2_1" hidden="1">{"Input_Fin",#N/A,FALSE,"By Code";"Input_Opt",#N/A,FALSE,"By Code"}</definedName>
    <definedName name="进口设备到长_1_2_2" hidden="1">{"Input_Fin",#N/A,FALSE,"By Code";"Input_Opt",#N/A,FALSE,"By Code"}</definedName>
    <definedName name="进口设备到长_1_3" hidden="1">{"Input_Fin",#N/A,FALSE,"By Code";"Input_Opt",#N/A,FALSE,"By Code"}</definedName>
    <definedName name="进口设备到长_1_4" hidden="1">{"Input_Fin",#N/A,FALSE,"By Code";"Input_Opt",#N/A,FALSE,"By Code"}</definedName>
    <definedName name="进口设备到长_2" hidden="1">{"Input_Fin",#N/A,FALSE,"By Code";"Input_Opt",#N/A,FALSE,"By Code"}</definedName>
    <definedName name="进口设备到长_2_1" hidden="1">{"Input_Fin",#N/A,FALSE,"By Code";"Input_Opt",#N/A,FALSE,"By Code"}</definedName>
    <definedName name="进口设备到长_2_2" hidden="1">{"Input_Fin",#N/A,FALSE,"By Code";"Input_Opt",#N/A,FALSE,"By Code"}</definedName>
    <definedName name="进口设备到长_2_3" hidden="1">{"Input_Fin",#N/A,FALSE,"By Code";"Input_Opt",#N/A,FALSE,"By Code"}</definedName>
    <definedName name="进口设备到长_3" hidden="1">{"Input_Fin",#N/A,FALSE,"By Code";"Input_Opt",#N/A,FALSE,"By Code"}</definedName>
    <definedName name="进口设备到长_3_1" hidden="1">{"Input_Fin",#N/A,FALSE,"By Code";"Input_Opt",#N/A,FALSE,"By Code"}</definedName>
    <definedName name="进口设备到长_3_2" hidden="1">{"Input_Fin",#N/A,FALSE,"By Code";"Input_Opt",#N/A,FALSE,"By Code"}</definedName>
    <definedName name="进口设备到长_4" hidden="1">{"Input_Fin",#N/A,FALSE,"By Code";"Input_Opt",#N/A,FALSE,"By Code"}</definedName>
    <definedName name="进口设备到长_5" hidden="1">{"Input_Fin",#N/A,FALSE,"By Code";"Input_Opt",#N/A,FALSE,"By Code"}</definedName>
    <definedName name="经营绩效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咔叽机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咔叽机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可靠就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可靠就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库房" localSheetId="12" hidden="1">{"Input_Fin",#N/A,FALSE,"By Code";"Input_Opt",#N/A,FALSE,"By Code"}</definedName>
    <definedName name="库房" hidden="1">{"Input_Fin",#N/A,FALSE,"By Code";"Input_Opt",#N/A,FALSE,"By Code"}</definedName>
    <definedName name="库房_1" hidden="1">{"Input_Fin",#N/A,FALSE,"By Code";"Input_Opt",#N/A,FALSE,"By Code"}</definedName>
    <definedName name="库房_1_1" hidden="1">{"Input_Fin",#N/A,FALSE,"By Code";"Input_Opt",#N/A,FALSE,"By Code"}</definedName>
    <definedName name="库房_1_1_1" hidden="1">{"Input_Fin",#N/A,FALSE,"By Code";"Input_Opt",#N/A,FALSE,"By Code"}</definedName>
    <definedName name="库房_1_1_1_1" hidden="1">{"Input_Fin",#N/A,FALSE,"By Code";"Input_Opt",#N/A,FALSE,"By Code"}</definedName>
    <definedName name="库房_1_1_1_1_1" hidden="1">{"Input_Fin",#N/A,FALSE,"By Code";"Input_Opt",#N/A,FALSE,"By Code"}</definedName>
    <definedName name="库房_1_1_1_1_2" hidden="1">{"Input_Fin",#N/A,FALSE,"By Code";"Input_Opt",#N/A,FALSE,"By Code"}</definedName>
    <definedName name="库房_1_1_1_1_3" hidden="1">{"Input_Fin",#N/A,FALSE,"By Code";"Input_Opt",#N/A,FALSE,"By Code"}</definedName>
    <definedName name="库房_1_1_1_2" hidden="1">{"Input_Fin",#N/A,FALSE,"By Code";"Input_Opt",#N/A,FALSE,"By Code"}</definedName>
    <definedName name="库房_1_1_1_2_1" hidden="1">{"Input_Fin",#N/A,FALSE,"By Code";"Input_Opt",#N/A,FALSE,"By Code"}</definedName>
    <definedName name="库房_1_1_1_2_2" hidden="1">{"Input_Fin",#N/A,FALSE,"By Code";"Input_Opt",#N/A,FALSE,"By Code"}</definedName>
    <definedName name="库房_1_1_1_3" hidden="1">{"Input_Fin",#N/A,FALSE,"By Code";"Input_Opt",#N/A,FALSE,"By Code"}</definedName>
    <definedName name="库房_1_1_1_3_1" hidden="1">{"Input_Fin",#N/A,FALSE,"By Code";"Input_Opt",#N/A,FALSE,"By Code"}</definedName>
    <definedName name="库房_1_1_1_3_2" hidden="1">{"Input_Fin",#N/A,FALSE,"By Code";"Input_Opt",#N/A,FALSE,"By Code"}</definedName>
    <definedName name="库房_1_1_1_4" hidden="1">{"Input_Fin",#N/A,FALSE,"By Code";"Input_Opt",#N/A,FALSE,"By Code"}</definedName>
    <definedName name="库房_1_1_1_5" hidden="1">{"Input_Fin",#N/A,FALSE,"By Code";"Input_Opt",#N/A,FALSE,"By Code"}</definedName>
    <definedName name="库房_1_1_2" hidden="1">{"Input_Fin",#N/A,FALSE,"By Code";"Input_Opt",#N/A,FALSE,"By Code"}</definedName>
    <definedName name="库房_1_1_2_1" hidden="1">{"Input_Fin",#N/A,FALSE,"By Code";"Input_Opt",#N/A,FALSE,"By Code"}</definedName>
    <definedName name="库房_1_1_2_2" hidden="1">{"Input_Fin",#N/A,FALSE,"By Code";"Input_Opt",#N/A,FALSE,"By Code"}</definedName>
    <definedName name="库房_1_1_2_3" hidden="1">{"Input_Fin",#N/A,FALSE,"By Code";"Input_Opt",#N/A,FALSE,"By Code"}</definedName>
    <definedName name="库房_1_1_3" hidden="1">{"Input_Fin",#N/A,FALSE,"By Code";"Input_Opt",#N/A,FALSE,"By Code"}</definedName>
    <definedName name="库房_1_1_3_1" hidden="1">{"Input_Fin",#N/A,FALSE,"By Code";"Input_Opt",#N/A,FALSE,"By Code"}</definedName>
    <definedName name="库房_1_1_3_2" hidden="1">{"Input_Fin",#N/A,FALSE,"By Code";"Input_Opt",#N/A,FALSE,"By Code"}</definedName>
    <definedName name="库房_1_1_4" hidden="1">{"Input_Fin",#N/A,FALSE,"By Code";"Input_Opt",#N/A,FALSE,"By Code"}</definedName>
    <definedName name="库房_1_1_5" hidden="1">{"Input_Fin",#N/A,FALSE,"By Code";"Input_Opt",#N/A,FALSE,"By Code"}</definedName>
    <definedName name="库房_1_2" hidden="1">{"Input_Fin",#N/A,FALSE,"By Code";"Input_Opt",#N/A,FALSE,"By Code"}</definedName>
    <definedName name="库房_1_2_1" hidden="1">{"Input_Fin",#N/A,FALSE,"By Code";"Input_Opt",#N/A,FALSE,"By Code"}</definedName>
    <definedName name="库房_1_2_2" hidden="1">{"Input_Fin",#N/A,FALSE,"By Code";"Input_Opt",#N/A,FALSE,"By Code"}</definedName>
    <definedName name="库房_1_2_3" hidden="1">{"Input_Fin",#N/A,FALSE,"By Code";"Input_Opt",#N/A,FALSE,"By Code"}</definedName>
    <definedName name="库房_1_3" hidden="1">{"Input_Fin",#N/A,FALSE,"By Code";"Input_Opt",#N/A,FALSE,"By Code"}</definedName>
    <definedName name="库房_1_3_1" hidden="1">{"Input_Fin",#N/A,FALSE,"By Code";"Input_Opt",#N/A,FALSE,"By Code"}</definedName>
    <definedName name="库房_1_3_2" hidden="1">{"Input_Fin",#N/A,FALSE,"By Code";"Input_Opt",#N/A,FALSE,"By Code"}</definedName>
    <definedName name="库房_1_4" hidden="1">{"Input_Fin",#N/A,FALSE,"By Code";"Input_Opt",#N/A,FALSE,"By Code"}</definedName>
    <definedName name="库房_1_5" hidden="1">{"Input_Fin",#N/A,FALSE,"By Code";"Input_Opt",#N/A,FALSE,"By Code"}</definedName>
    <definedName name="库房_2" hidden="1">{"Input_Fin",#N/A,FALSE,"By Code";"Input_Opt",#N/A,FALSE,"By Code"}</definedName>
    <definedName name="库房_2_1" hidden="1">{"Input_Fin",#N/A,FALSE,"By Code";"Input_Opt",#N/A,FALSE,"By Code"}</definedName>
    <definedName name="库房_2_1_1" hidden="1">{"Input_Fin",#N/A,FALSE,"By Code";"Input_Opt",#N/A,FALSE,"By Code"}</definedName>
    <definedName name="库房_2_1_1_1" hidden="1">{"Input_Fin",#N/A,FALSE,"By Code";"Input_Opt",#N/A,FALSE,"By Code"}</definedName>
    <definedName name="库房_2_1_1_2" hidden="1">{"Input_Fin",#N/A,FALSE,"By Code";"Input_Opt",#N/A,FALSE,"By Code"}</definedName>
    <definedName name="库房_2_1_1_3" hidden="1">{"Input_Fin",#N/A,FALSE,"By Code";"Input_Opt",#N/A,FALSE,"By Code"}</definedName>
    <definedName name="库房_2_1_2" hidden="1">{"Input_Fin",#N/A,FALSE,"By Code";"Input_Opt",#N/A,FALSE,"By Code"}</definedName>
    <definedName name="库房_2_1_2_1" hidden="1">{"Input_Fin",#N/A,FALSE,"By Code";"Input_Opt",#N/A,FALSE,"By Code"}</definedName>
    <definedName name="库房_2_1_2_2" hidden="1">{"Input_Fin",#N/A,FALSE,"By Code";"Input_Opt",#N/A,FALSE,"By Code"}</definedName>
    <definedName name="库房_2_1_3" hidden="1">{"Input_Fin",#N/A,FALSE,"By Code";"Input_Opt",#N/A,FALSE,"By Code"}</definedName>
    <definedName name="库房_2_1_4" hidden="1">{"Input_Fin",#N/A,FALSE,"By Code";"Input_Opt",#N/A,FALSE,"By Code"}</definedName>
    <definedName name="库房_2_2" hidden="1">{"Input_Fin",#N/A,FALSE,"By Code";"Input_Opt",#N/A,FALSE,"By Code"}</definedName>
    <definedName name="库房_2_2_1" hidden="1">{"Input_Fin",#N/A,FALSE,"By Code";"Input_Opt",#N/A,FALSE,"By Code"}</definedName>
    <definedName name="库房_2_2_2" hidden="1">{"Input_Fin",#N/A,FALSE,"By Code";"Input_Opt",#N/A,FALSE,"By Code"}</definedName>
    <definedName name="库房_2_2_3" hidden="1">{"Input_Fin",#N/A,FALSE,"By Code";"Input_Opt",#N/A,FALSE,"By Code"}</definedName>
    <definedName name="库房_2_3" hidden="1">{"Input_Fin",#N/A,FALSE,"By Code";"Input_Opt",#N/A,FALSE,"By Code"}</definedName>
    <definedName name="库房_2_3_1" hidden="1">{"Input_Fin",#N/A,FALSE,"By Code";"Input_Opt",#N/A,FALSE,"By Code"}</definedName>
    <definedName name="库房_2_3_2" hidden="1">{"Input_Fin",#N/A,FALSE,"By Code";"Input_Opt",#N/A,FALSE,"By Code"}</definedName>
    <definedName name="库房_2_4" hidden="1">{"Input_Fin",#N/A,FALSE,"By Code";"Input_Opt",#N/A,FALSE,"By Code"}</definedName>
    <definedName name="库房_2_5" hidden="1">{"Input_Fin",#N/A,FALSE,"By Code";"Input_Opt",#N/A,FALSE,"By Code"}</definedName>
    <definedName name="库房_3" hidden="1">{"Input_Fin",#N/A,FALSE,"By Code";"Input_Opt",#N/A,FALSE,"By Code"}</definedName>
    <definedName name="库房_3_1" hidden="1">{"Input_Fin",#N/A,FALSE,"By Code";"Input_Opt",#N/A,FALSE,"By Code"}</definedName>
    <definedName name="库房_3_1_1" hidden="1">{"Input_Fin",#N/A,FALSE,"By Code";"Input_Opt",#N/A,FALSE,"By Code"}</definedName>
    <definedName name="库房_3_1_1_1" hidden="1">{"Input_Fin",#N/A,FALSE,"By Code";"Input_Opt",#N/A,FALSE,"By Code"}</definedName>
    <definedName name="库房_3_1_1_2" hidden="1">{"Input_Fin",#N/A,FALSE,"By Code";"Input_Opt",#N/A,FALSE,"By Code"}</definedName>
    <definedName name="库房_3_1_1_3" hidden="1">{"Input_Fin",#N/A,FALSE,"By Code";"Input_Opt",#N/A,FALSE,"By Code"}</definedName>
    <definedName name="库房_3_1_2" hidden="1">{"Input_Fin",#N/A,FALSE,"By Code";"Input_Opt",#N/A,FALSE,"By Code"}</definedName>
    <definedName name="库房_3_1_2_1" hidden="1">{"Input_Fin",#N/A,FALSE,"By Code";"Input_Opt",#N/A,FALSE,"By Code"}</definedName>
    <definedName name="库房_3_1_2_2" hidden="1">{"Input_Fin",#N/A,FALSE,"By Code";"Input_Opt",#N/A,FALSE,"By Code"}</definedName>
    <definedName name="库房_3_1_3" hidden="1">{"Input_Fin",#N/A,FALSE,"By Code";"Input_Opt",#N/A,FALSE,"By Code"}</definedName>
    <definedName name="库房_3_1_4" hidden="1">{"Input_Fin",#N/A,FALSE,"By Code";"Input_Opt",#N/A,FALSE,"By Code"}</definedName>
    <definedName name="库房_3_2" hidden="1">{"Input_Fin",#N/A,FALSE,"By Code";"Input_Opt",#N/A,FALSE,"By Code"}</definedName>
    <definedName name="库房_3_2_1" hidden="1">{"Input_Fin",#N/A,FALSE,"By Code";"Input_Opt",#N/A,FALSE,"By Code"}</definedName>
    <definedName name="库房_3_2_2" hidden="1">{"Input_Fin",#N/A,FALSE,"By Code";"Input_Opt",#N/A,FALSE,"By Code"}</definedName>
    <definedName name="库房_3_2_3" hidden="1">{"Input_Fin",#N/A,FALSE,"By Code";"Input_Opt",#N/A,FALSE,"By Code"}</definedName>
    <definedName name="库房_3_3" hidden="1">{"Input_Fin",#N/A,FALSE,"By Code";"Input_Opt",#N/A,FALSE,"By Code"}</definedName>
    <definedName name="库房_3_3_1" hidden="1">{"Input_Fin",#N/A,FALSE,"By Code";"Input_Opt",#N/A,FALSE,"By Code"}</definedName>
    <definedName name="库房_3_3_2" hidden="1">{"Input_Fin",#N/A,FALSE,"By Code";"Input_Opt",#N/A,FALSE,"By Code"}</definedName>
    <definedName name="库房_3_4" hidden="1">{"Input_Fin",#N/A,FALSE,"By Code";"Input_Opt",#N/A,FALSE,"By Code"}</definedName>
    <definedName name="库房_3_5" hidden="1">{"Input_Fin",#N/A,FALSE,"By Code";"Input_Opt",#N/A,FALSE,"By Code"}</definedName>
    <definedName name="库房_4" hidden="1">{"Input_Fin",#N/A,FALSE,"By Code";"Input_Opt",#N/A,FALSE,"By Code"}</definedName>
    <definedName name="库房_4_1" hidden="1">{"Input_Fin",#N/A,FALSE,"By Code";"Input_Opt",#N/A,FALSE,"By Code"}</definedName>
    <definedName name="库房_4_1_1" hidden="1">{"Input_Fin",#N/A,FALSE,"By Code";"Input_Opt",#N/A,FALSE,"By Code"}</definedName>
    <definedName name="库房_4_1_1_1" hidden="1">{"Input_Fin",#N/A,FALSE,"By Code";"Input_Opt",#N/A,FALSE,"By Code"}</definedName>
    <definedName name="库房_4_1_1_2" hidden="1">{"Input_Fin",#N/A,FALSE,"By Code";"Input_Opt",#N/A,FALSE,"By Code"}</definedName>
    <definedName name="库房_4_1_1_3" hidden="1">{"Input_Fin",#N/A,FALSE,"By Code";"Input_Opt",#N/A,FALSE,"By Code"}</definedName>
    <definedName name="库房_4_1_2" hidden="1">{"Input_Fin",#N/A,FALSE,"By Code";"Input_Opt",#N/A,FALSE,"By Code"}</definedName>
    <definedName name="库房_4_1_2_1" hidden="1">{"Input_Fin",#N/A,FALSE,"By Code";"Input_Opt",#N/A,FALSE,"By Code"}</definedName>
    <definedName name="库房_4_1_2_2" hidden="1">{"Input_Fin",#N/A,FALSE,"By Code";"Input_Opt",#N/A,FALSE,"By Code"}</definedName>
    <definedName name="库房_4_1_3" hidden="1">{"Input_Fin",#N/A,FALSE,"By Code";"Input_Opt",#N/A,FALSE,"By Code"}</definedName>
    <definedName name="库房_4_1_4" hidden="1">{"Input_Fin",#N/A,FALSE,"By Code";"Input_Opt",#N/A,FALSE,"By Code"}</definedName>
    <definedName name="库房_4_2" hidden="1">{"Input_Fin",#N/A,FALSE,"By Code";"Input_Opt",#N/A,FALSE,"By Code"}</definedName>
    <definedName name="库房_4_2_1" hidden="1">{"Input_Fin",#N/A,FALSE,"By Code";"Input_Opt",#N/A,FALSE,"By Code"}</definedName>
    <definedName name="库房_4_2_2" hidden="1">{"Input_Fin",#N/A,FALSE,"By Code";"Input_Opt",#N/A,FALSE,"By Code"}</definedName>
    <definedName name="库房_4_2_3" hidden="1">{"Input_Fin",#N/A,FALSE,"By Code";"Input_Opt",#N/A,FALSE,"By Code"}</definedName>
    <definedName name="库房_4_3" hidden="1">{"Input_Fin",#N/A,FALSE,"By Code";"Input_Opt",#N/A,FALSE,"By Code"}</definedName>
    <definedName name="库房_4_3_1" hidden="1">{"Input_Fin",#N/A,FALSE,"By Code";"Input_Opt",#N/A,FALSE,"By Code"}</definedName>
    <definedName name="库房_4_3_2" hidden="1">{"Input_Fin",#N/A,FALSE,"By Code";"Input_Opt",#N/A,FALSE,"By Code"}</definedName>
    <definedName name="库房_4_4" hidden="1">{"Input_Fin",#N/A,FALSE,"By Code";"Input_Opt",#N/A,FALSE,"By Code"}</definedName>
    <definedName name="库房_4_5" hidden="1">{"Input_Fin",#N/A,FALSE,"By Code";"Input_Opt",#N/A,FALSE,"By Code"}</definedName>
    <definedName name="库房_5" hidden="1">{"Input_Fin",#N/A,FALSE,"By Code";"Input_Opt",#N/A,FALSE,"By Code"}</definedName>
    <definedName name="库房_5_1" hidden="1">{"Input_Fin",#N/A,FALSE,"By Code";"Input_Opt",#N/A,FALSE,"By Code"}</definedName>
    <definedName name="库房_5_1_1" hidden="1">{"Input_Fin",#N/A,FALSE,"By Code";"Input_Opt",#N/A,FALSE,"By Code"}</definedName>
    <definedName name="库房_5_1_1_1" hidden="1">{"Input_Fin",#N/A,FALSE,"By Code";"Input_Opt",#N/A,FALSE,"By Code"}</definedName>
    <definedName name="库房_5_1_1_2" hidden="1">{"Input_Fin",#N/A,FALSE,"By Code";"Input_Opt",#N/A,FALSE,"By Code"}</definedName>
    <definedName name="库房_5_1_1_3" hidden="1">{"Input_Fin",#N/A,FALSE,"By Code";"Input_Opt",#N/A,FALSE,"By Code"}</definedName>
    <definedName name="库房_5_1_2" hidden="1">{"Input_Fin",#N/A,FALSE,"By Code";"Input_Opt",#N/A,FALSE,"By Code"}</definedName>
    <definedName name="库房_5_1_2_1" hidden="1">{"Input_Fin",#N/A,FALSE,"By Code";"Input_Opt",#N/A,FALSE,"By Code"}</definedName>
    <definedName name="库房_5_1_2_2" hidden="1">{"Input_Fin",#N/A,FALSE,"By Code";"Input_Opt",#N/A,FALSE,"By Code"}</definedName>
    <definedName name="库房_5_1_3" hidden="1">{"Input_Fin",#N/A,FALSE,"By Code";"Input_Opt",#N/A,FALSE,"By Code"}</definedName>
    <definedName name="库房_5_1_4" hidden="1">{"Input_Fin",#N/A,FALSE,"By Code";"Input_Opt",#N/A,FALSE,"By Code"}</definedName>
    <definedName name="库房_5_2" hidden="1">{"Input_Fin",#N/A,FALSE,"By Code";"Input_Opt",#N/A,FALSE,"By Code"}</definedName>
    <definedName name="库房_5_2_1" hidden="1">{"Input_Fin",#N/A,FALSE,"By Code";"Input_Opt",#N/A,FALSE,"By Code"}</definedName>
    <definedName name="库房_5_2_2" hidden="1">{"Input_Fin",#N/A,FALSE,"By Code";"Input_Opt",#N/A,FALSE,"By Code"}</definedName>
    <definedName name="库房_5_2_3" hidden="1">{"Input_Fin",#N/A,FALSE,"By Code";"Input_Opt",#N/A,FALSE,"By Code"}</definedName>
    <definedName name="库房_5_3" hidden="1">{"Input_Fin",#N/A,FALSE,"By Code";"Input_Opt",#N/A,FALSE,"By Code"}</definedName>
    <definedName name="库房_5_3_1" hidden="1">{"Input_Fin",#N/A,FALSE,"By Code";"Input_Opt",#N/A,FALSE,"By Code"}</definedName>
    <definedName name="库房_5_3_2" hidden="1">{"Input_Fin",#N/A,FALSE,"By Code";"Input_Opt",#N/A,FALSE,"By Code"}</definedName>
    <definedName name="库房_5_4" hidden="1">{"Input_Fin",#N/A,FALSE,"By Code";"Input_Opt",#N/A,FALSE,"By Code"}</definedName>
    <definedName name="库房_5_5" hidden="1">{"Input_Fin",#N/A,FALSE,"By Code";"Input_Opt",#N/A,FALSE,"By Code"}</definedName>
    <definedName name="林" hidden="1">{"Input_Fin",#N/A,FALSE,"By Code";"Input_Opt",#N/A,FALSE,"By Code"}</definedName>
    <definedName name="刘" localSheetId="12" hidden="1">{"'Sheet4'!$A$1:$L$41"}</definedName>
    <definedName name="刘" hidden="1">{"'Sheet4'!$A$1:$L$41"}</definedName>
    <definedName name="刘文林" localSheetId="12" hidden="1">{"Input_Fin",#N/A,FALSE,"By Code";"Input_Opt",#N/A,FALSE,"By Code"}</definedName>
    <definedName name="刘文林" hidden="1">{"Input_Fin",#N/A,FALSE,"By Code";"Input_Opt",#N/A,FALSE,"By Code"}</definedName>
    <definedName name="刘文林_1" hidden="1">{"Input_Fin",#N/A,FALSE,"By Code";"Input_Opt",#N/A,FALSE,"By Code"}</definedName>
    <definedName name="刘文林_1_1" hidden="1">{"Input_Fin",#N/A,FALSE,"By Code";"Input_Opt",#N/A,FALSE,"By Code"}</definedName>
    <definedName name="刘文林_1_1_1" hidden="1">{"Input_Fin",#N/A,FALSE,"By Code";"Input_Opt",#N/A,FALSE,"By Code"}</definedName>
    <definedName name="刘文林_1_1_2" hidden="1">{"Input_Fin",#N/A,FALSE,"By Code";"Input_Opt",#N/A,FALSE,"By Code"}</definedName>
    <definedName name="刘文林_1_1_3" hidden="1">{"Input_Fin",#N/A,FALSE,"By Code";"Input_Opt",#N/A,FALSE,"By Code"}</definedName>
    <definedName name="刘文林_1_2" hidden="1">{"Input_Fin",#N/A,FALSE,"By Code";"Input_Opt",#N/A,FALSE,"By Code"}</definedName>
    <definedName name="刘文林_1_2_1" hidden="1">{"Input_Fin",#N/A,FALSE,"By Code";"Input_Opt",#N/A,FALSE,"By Code"}</definedName>
    <definedName name="刘文林_1_2_2" hidden="1">{"Input_Fin",#N/A,FALSE,"By Code";"Input_Opt",#N/A,FALSE,"By Code"}</definedName>
    <definedName name="刘文林_1_3" hidden="1">{"Input_Fin",#N/A,FALSE,"By Code";"Input_Opt",#N/A,FALSE,"By Code"}</definedName>
    <definedName name="刘文林_1_4" hidden="1">{"Input_Fin",#N/A,FALSE,"By Code";"Input_Opt",#N/A,FALSE,"By Code"}</definedName>
    <definedName name="刘文林_2" hidden="1">{"Input_Fin",#N/A,FALSE,"By Code";"Input_Opt",#N/A,FALSE,"By Code"}</definedName>
    <definedName name="刘文林_2_1" hidden="1">{"Input_Fin",#N/A,FALSE,"By Code";"Input_Opt",#N/A,FALSE,"By Code"}</definedName>
    <definedName name="刘文林_2_2" hidden="1">{"Input_Fin",#N/A,FALSE,"By Code";"Input_Opt",#N/A,FALSE,"By Code"}</definedName>
    <definedName name="刘文林_2_3" hidden="1">{"Input_Fin",#N/A,FALSE,"By Code";"Input_Opt",#N/A,FALSE,"By Code"}</definedName>
    <definedName name="刘文林_3" hidden="1">{"Input_Fin",#N/A,FALSE,"By Code";"Input_Opt",#N/A,FALSE,"By Code"}</definedName>
    <definedName name="刘文林_3_1" hidden="1">{"Input_Fin",#N/A,FALSE,"By Code";"Input_Opt",#N/A,FALSE,"By Code"}</definedName>
    <definedName name="刘文林_3_2" hidden="1">{"Input_Fin",#N/A,FALSE,"By Code";"Input_Opt",#N/A,FALSE,"By Code"}</definedName>
    <definedName name="刘文林_4" hidden="1">{"Input_Fin",#N/A,FALSE,"By Code";"Input_Opt",#N/A,FALSE,"By Code"}</definedName>
    <definedName name="刘文林_5" hidden="1">{"Input_Fin",#N/A,FALSE,"By Code";"Input_Opt",#N/A,FALSE,"By Code"}</definedName>
    <definedName name="吗" localSheetId="12" hidden="1">{"Input_Fin",#N/A,FALSE,"By Code";"Input_Opt",#N/A,FALSE,"By Code"}</definedName>
    <definedName name="吗" hidden="1">{"Input_Fin",#N/A,FALSE,"By Code";"Input_Opt",#N/A,FALSE,"By Code"}</definedName>
    <definedName name="吗_1" hidden="1">{"Input_Fin",#N/A,FALSE,"By Code";"Input_Opt",#N/A,FALSE,"By Code"}</definedName>
    <definedName name="吗_1_1" hidden="1">{"Input_Fin",#N/A,FALSE,"By Code";"Input_Opt",#N/A,FALSE,"By Code"}</definedName>
    <definedName name="吗_1_1_1" hidden="1">{"Input_Fin",#N/A,FALSE,"By Code";"Input_Opt",#N/A,FALSE,"By Code"}</definedName>
    <definedName name="吗_1_1_1_1" hidden="1">{"Input_Fin",#N/A,FALSE,"By Code";"Input_Opt",#N/A,FALSE,"By Code"}</definedName>
    <definedName name="吗_1_1_1_1_1" hidden="1">{"Input_Fin",#N/A,FALSE,"By Code";"Input_Opt",#N/A,FALSE,"By Code"}</definedName>
    <definedName name="吗_1_1_1_1_2" hidden="1">{"Input_Fin",#N/A,FALSE,"By Code";"Input_Opt",#N/A,FALSE,"By Code"}</definedName>
    <definedName name="吗_1_1_1_1_3" hidden="1">{"Input_Fin",#N/A,FALSE,"By Code";"Input_Opt",#N/A,FALSE,"By Code"}</definedName>
    <definedName name="吗_1_1_1_2" hidden="1">{"Input_Fin",#N/A,FALSE,"By Code";"Input_Opt",#N/A,FALSE,"By Code"}</definedName>
    <definedName name="吗_1_1_1_2_1" hidden="1">{"Input_Fin",#N/A,FALSE,"By Code";"Input_Opt",#N/A,FALSE,"By Code"}</definedName>
    <definedName name="吗_1_1_1_2_2" hidden="1">{"Input_Fin",#N/A,FALSE,"By Code";"Input_Opt",#N/A,FALSE,"By Code"}</definedName>
    <definedName name="吗_1_1_1_3" hidden="1">{"Input_Fin",#N/A,FALSE,"By Code";"Input_Opt",#N/A,FALSE,"By Code"}</definedName>
    <definedName name="吗_1_1_1_3_1" hidden="1">{"Input_Fin",#N/A,FALSE,"By Code";"Input_Opt",#N/A,FALSE,"By Code"}</definedName>
    <definedName name="吗_1_1_1_3_2" hidden="1">{"Input_Fin",#N/A,FALSE,"By Code";"Input_Opt",#N/A,FALSE,"By Code"}</definedName>
    <definedName name="吗_1_1_1_4" hidden="1">{"Input_Fin",#N/A,FALSE,"By Code";"Input_Opt",#N/A,FALSE,"By Code"}</definedName>
    <definedName name="吗_1_1_1_5" hidden="1">{"Input_Fin",#N/A,FALSE,"By Code";"Input_Opt",#N/A,FALSE,"By Code"}</definedName>
    <definedName name="吗_1_1_2" hidden="1">{"Input_Fin",#N/A,FALSE,"By Code";"Input_Opt",#N/A,FALSE,"By Code"}</definedName>
    <definedName name="吗_1_1_2_1" hidden="1">{"Input_Fin",#N/A,FALSE,"By Code";"Input_Opt",#N/A,FALSE,"By Code"}</definedName>
    <definedName name="吗_1_1_2_2" hidden="1">{"Input_Fin",#N/A,FALSE,"By Code";"Input_Opt",#N/A,FALSE,"By Code"}</definedName>
    <definedName name="吗_1_1_2_3" hidden="1">{"Input_Fin",#N/A,FALSE,"By Code";"Input_Opt",#N/A,FALSE,"By Code"}</definedName>
    <definedName name="吗_1_1_3" hidden="1">{"Input_Fin",#N/A,FALSE,"By Code";"Input_Opt",#N/A,FALSE,"By Code"}</definedName>
    <definedName name="吗_1_1_3_1" hidden="1">{"Input_Fin",#N/A,FALSE,"By Code";"Input_Opt",#N/A,FALSE,"By Code"}</definedName>
    <definedName name="吗_1_1_3_2" hidden="1">{"Input_Fin",#N/A,FALSE,"By Code";"Input_Opt",#N/A,FALSE,"By Code"}</definedName>
    <definedName name="吗_1_1_4" hidden="1">{"Input_Fin",#N/A,FALSE,"By Code";"Input_Opt",#N/A,FALSE,"By Code"}</definedName>
    <definedName name="吗_1_1_5" hidden="1">{"Input_Fin",#N/A,FALSE,"By Code";"Input_Opt",#N/A,FALSE,"By Code"}</definedName>
    <definedName name="吗_1_2" hidden="1">{"Input_Fin",#N/A,FALSE,"By Code";"Input_Opt",#N/A,FALSE,"By Code"}</definedName>
    <definedName name="吗_1_2_1" hidden="1">{"Input_Fin",#N/A,FALSE,"By Code";"Input_Opt",#N/A,FALSE,"By Code"}</definedName>
    <definedName name="吗_1_2_2" hidden="1">{"Input_Fin",#N/A,FALSE,"By Code";"Input_Opt",#N/A,FALSE,"By Code"}</definedName>
    <definedName name="吗_1_2_3" hidden="1">{"Input_Fin",#N/A,FALSE,"By Code";"Input_Opt",#N/A,FALSE,"By Code"}</definedName>
    <definedName name="吗_1_3" hidden="1">{"Input_Fin",#N/A,FALSE,"By Code";"Input_Opt",#N/A,FALSE,"By Code"}</definedName>
    <definedName name="吗_1_3_1" hidden="1">{"Input_Fin",#N/A,FALSE,"By Code";"Input_Opt",#N/A,FALSE,"By Code"}</definedName>
    <definedName name="吗_1_3_2" hidden="1">{"Input_Fin",#N/A,FALSE,"By Code";"Input_Opt",#N/A,FALSE,"By Code"}</definedName>
    <definedName name="吗_1_4" hidden="1">{"Input_Fin",#N/A,FALSE,"By Code";"Input_Opt",#N/A,FALSE,"By Code"}</definedName>
    <definedName name="吗_1_5" hidden="1">{"Input_Fin",#N/A,FALSE,"By Code";"Input_Opt",#N/A,FALSE,"By Code"}</definedName>
    <definedName name="吗_2" hidden="1">{"Input_Fin",#N/A,FALSE,"By Code";"Input_Opt",#N/A,FALSE,"By Code"}</definedName>
    <definedName name="吗_2_1" hidden="1">{"Input_Fin",#N/A,FALSE,"By Code";"Input_Opt",#N/A,FALSE,"By Code"}</definedName>
    <definedName name="吗_2_1_1" hidden="1">{"Input_Fin",#N/A,FALSE,"By Code";"Input_Opt",#N/A,FALSE,"By Code"}</definedName>
    <definedName name="吗_2_1_1_1" hidden="1">{"Input_Fin",#N/A,FALSE,"By Code";"Input_Opt",#N/A,FALSE,"By Code"}</definedName>
    <definedName name="吗_2_1_1_2" hidden="1">{"Input_Fin",#N/A,FALSE,"By Code";"Input_Opt",#N/A,FALSE,"By Code"}</definedName>
    <definedName name="吗_2_1_1_3" hidden="1">{"Input_Fin",#N/A,FALSE,"By Code";"Input_Opt",#N/A,FALSE,"By Code"}</definedName>
    <definedName name="吗_2_1_2" hidden="1">{"Input_Fin",#N/A,FALSE,"By Code";"Input_Opt",#N/A,FALSE,"By Code"}</definedName>
    <definedName name="吗_2_1_2_1" hidden="1">{"Input_Fin",#N/A,FALSE,"By Code";"Input_Opt",#N/A,FALSE,"By Code"}</definedName>
    <definedName name="吗_2_1_2_2" hidden="1">{"Input_Fin",#N/A,FALSE,"By Code";"Input_Opt",#N/A,FALSE,"By Code"}</definedName>
    <definedName name="吗_2_1_3" hidden="1">{"Input_Fin",#N/A,FALSE,"By Code";"Input_Opt",#N/A,FALSE,"By Code"}</definedName>
    <definedName name="吗_2_1_4" hidden="1">{"Input_Fin",#N/A,FALSE,"By Code";"Input_Opt",#N/A,FALSE,"By Code"}</definedName>
    <definedName name="吗_2_2" hidden="1">{"Input_Fin",#N/A,FALSE,"By Code";"Input_Opt",#N/A,FALSE,"By Code"}</definedName>
    <definedName name="吗_2_2_1" hidden="1">{"Input_Fin",#N/A,FALSE,"By Code";"Input_Opt",#N/A,FALSE,"By Code"}</definedName>
    <definedName name="吗_2_2_2" hidden="1">{"Input_Fin",#N/A,FALSE,"By Code";"Input_Opt",#N/A,FALSE,"By Code"}</definedName>
    <definedName name="吗_2_2_3" hidden="1">{"Input_Fin",#N/A,FALSE,"By Code";"Input_Opt",#N/A,FALSE,"By Code"}</definedName>
    <definedName name="吗_2_3" hidden="1">{"Input_Fin",#N/A,FALSE,"By Code";"Input_Opt",#N/A,FALSE,"By Code"}</definedName>
    <definedName name="吗_2_3_1" hidden="1">{"Input_Fin",#N/A,FALSE,"By Code";"Input_Opt",#N/A,FALSE,"By Code"}</definedName>
    <definedName name="吗_2_3_2" hidden="1">{"Input_Fin",#N/A,FALSE,"By Code";"Input_Opt",#N/A,FALSE,"By Code"}</definedName>
    <definedName name="吗_2_4" hidden="1">{"Input_Fin",#N/A,FALSE,"By Code";"Input_Opt",#N/A,FALSE,"By Code"}</definedName>
    <definedName name="吗_2_5" hidden="1">{"Input_Fin",#N/A,FALSE,"By Code";"Input_Opt",#N/A,FALSE,"By Code"}</definedName>
    <definedName name="吗_3" hidden="1">{"Input_Fin",#N/A,FALSE,"By Code";"Input_Opt",#N/A,FALSE,"By Code"}</definedName>
    <definedName name="吗_3_1" hidden="1">{"Input_Fin",#N/A,FALSE,"By Code";"Input_Opt",#N/A,FALSE,"By Code"}</definedName>
    <definedName name="吗_3_1_1" hidden="1">{"Input_Fin",#N/A,FALSE,"By Code";"Input_Opt",#N/A,FALSE,"By Code"}</definedName>
    <definedName name="吗_3_1_1_1" hidden="1">{"Input_Fin",#N/A,FALSE,"By Code";"Input_Opt",#N/A,FALSE,"By Code"}</definedName>
    <definedName name="吗_3_1_1_2" hidden="1">{"Input_Fin",#N/A,FALSE,"By Code";"Input_Opt",#N/A,FALSE,"By Code"}</definedName>
    <definedName name="吗_3_1_1_3" hidden="1">{"Input_Fin",#N/A,FALSE,"By Code";"Input_Opt",#N/A,FALSE,"By Code"}</definedName>
    <definedName name="吗_3_1_2" hidden="1">{"Input_Fin",#N/A,FALSE,"By Code";"Input_Opt",#N/A,FALSE,"By Code"}</definedName>
    <definedName name="吗_3_1_2_1" hidden="1">{"Input_Fin",#N/A,FALSE,"By Code";"Input_Opt",#N/A,FALSE,"By Code"}</definedName>
    <definedName name="吗_3_1_2_2" hidden="1">{"Input_Fin",#N/A,FALSE,"By Code";"Input_Opt",#N/A,FALSE,"By Code"}</definedName>
    <definedName name="吗_3_1_3" hidden="1">{"Input_Fin",#N/A,FALSE,"By Code";"Input_Opt",#N/A,FALSE,"By Code"}</definedName>
    <definedName name="吗_3_1_4" hidden="1">{"Input_Fin",#N/A,FALSE,"By Code";"Input_Opt",#N/A,FALSE,"By Code"}</definedName>
    <definedName name="吗_3_2" hidden="1">{"Input_Fin",#N/A,FALSE,"By Code";"Input_Opt",#N/A,FALSE,"By Code"}</definedName>
    <definedName name="吗_3_2_1" hidden="1">{"Input_Fin",#N/A,FALSE,"By Code";"Input_Opt",#N/A,FALSE,"By Code"}</definedName>
    <definedName name="吗_3_2_2" hidden="1">{"Input_Fin",#N/A,FALSE,"By Code";"Input_Opt",#N/A,FALSE,"By Code"}</definedName>
    <definedName name="吗_3_2_3" hidden="1">{"Input_Fin",#N/A,FALSE,"By Code";"Input_Opt",#N/A,FALSE,"By Code"}</definedName>
    <definedName name="吗_3_3" hidden="1">{"Input_Fin",#N/A,FALSE,"By Code";"Input_Opt",#N/A,FALSE,"By Code"}</definedName>
    <definedName name="吗_3_3_1" hidden="1">{"Input_Fin",#N/A,FALSE,"By Code";"Input_Opt",#N/A,FALSE,"By Code"}</definedName>
    <definedName name="吗_3_3_2" hidden="1">{"Input_Fin",#N/A,FALSE,"By Code";"Input_Opt",#N/A,FALSE,"By Code"}</definedName>
    <definedName name="吗_3_4" hidden="1">{"Input_Fin",#N/A,FALSE,"By Code";"Input_Opt",#N/A,FALSE,"By Code"}</definedName>
    <definedName name="吗_3_5" hidden="1">{"Input_Fin",#N/A,FALSE,"By Code";"Input_Opt",#N/A,FALSE,"By Code"}</definedName>
    <definedName name="吗_4" hidden="1">{"Input_Fin",#N/A,FALSE,"By Code";"Input_Opt",#N/A,FALSE,"By Code"}</definedName>
    <definedName name="吗_4_1" hidden="1">{"Input_Fin",#N/A,FALSE,"By Code";"Input_Opt",#N/A,FALSE,"By Code"}</definedName>
    <definedName name="吗_4_1_1" hidden="1">{"Input_Fin",#N/A,FALSE,"By Code";"Input_Opt",#N/A,FALSE,"By Code"}</definedName>
    <definedName name="吗_4_1_1_1" hidden="1">{"Input_Fin",#N/A,FALSE,"By Code";"Input_Opt",#N/A,FALSE,"By Code"}</definedName>
    <definedName name="吗_4_1_1_2" hidden="1">{"Input_Fin",#N/A,FALSE,"By Code";"Input_Opt",#N/A,FALSE,"By Code"}</definedName>
    <definedName name="吗_4_1_1_3" hidden="1">{"Input_Fin",#N/A,FALSE,"By Code";"Input_Opt",#N/A,FALSE,"By Code"}</definedName>
    <definedName name="吗_4_1_2" hidden="1">{"Input_Fin",#N/A,FALSE,"By Code";"Input_Opt",#N/A,FALSE,"By Code"}</definedName>
    <definedName name="吗_4_1_2_1" hidden="1">{"Input_Fin",#N/A,FALSE,"By Code";"Input_Opt",#N/A,FALSE,"By Code"}</definedName>
    <definedName name="吗_4_1_2_2" hidden="1">{"Input_Fin",#N/A,FALSE,"By Code";"Input_Opt",#N/A,FALSE,"By Code"}</definedName>
    <definedName name="吗_4_1_3" hidden="1">{"Input_Fin",#N/A,FALSE,"By Code";"Input_Opt",#N/A,FALSE,"By Code"}</definedName>
    <definedName name="吗_4_1_4" hidden="1">{"Input_Fin",#N/A,FALSE,"By Code";"Input_Opt",#N/A,FALSE,"By Code"}</definedName>
    <definedName name="吗_4_2" hidden="1">{"Input_Fin",#N/A,FALSE,"By Code";"Input_Opt",#N/A,FALSE,"By Code"}</definedName>
    <definedName name="吗_4_2_1" hidden="1">{"Input_Fin",#N/A,FALSE,"By Code";"Input_Opt",#N/A,FALSE,"By Code"}</definedName>
    <definedName name="吗_4_2_2" hidden="1">{"Input_Fin",#N/A,FALSE,"By Code";"Input_Opt",#N/A,FALSE,"By Code"}</definedName>
    <definedName name="吗_4_2_3" hidden="1">{"Input_Fin",#N/A,FALSE,"By Code";"Input_Opt",#N/A,FALSE,"By Code"}</definedName>
    <definedName name="吗_4_3" hidden="1">{"Input_Fin",#N/A,FALSE,"By Code";"Input_Opt",#N/A,FALSE,"By Code"}</definedName>
    <definedName name="吗_4_3_1" hidden="1">{"Input_Fin",#N/A,FALSE,"By Code";"Input_Opt",#N/A,FALSE,"By Code"}</definedName>
    <definedName name="吗_4_3_2" hidden="1">{"Input_Fin",#N/A,FALSE,"By Code";"Input_Opt",#N/A,FALSE,"By Code"}</definedName>
    <definedName name="吗_4_4" hidden="1">{"Input_Fin",#N/A,FALSE,"By Code";"Input_Opt",#N/A,FALSE,"By Code"}</definedName>
    <definedName name="吗_4_5" hidden="1">{"Input_Fin",#N/A,FALSE,"By Code";"Input_Opt",#N/A,FALSE,"By Code"}</definedName>
    <definedName name="吗_5" hidden="1">{"Input_Fin",#N/A,FALSE,"By Code";"Input_Opt",#N/A,FALSE,"By Code"}</definedName>
    <definedName name="吗_5_1" hidden="1">{"Input_Fin",#N/A,FALSE,"By Code";"Input_Opt",#N/A,FALSE,"By Code"}</definedName>
    <definedName name="吗_5_1_1" hidden="1">{"Input_Fin",#N/A,FALSE,"By Code";"Input_Opt",#N/A,FALSE,"By Code"}</definedName>
    <definedName name="吗_5_1_1_1" hidden="1">{"Input_Fin",#N/A,FALSE,"By Code";"Input_Opt",#N/A,FALSE,"By Code"}</definedName>
    <definedName name="吗_5_1_1_2" hidden="1">{"Input_Fin",#N/A,FALSE,"By Code";"Input_Opt",#N/A,FALSE,"By Code"}</definedName>
    <definedName name="吗_5_1_1_3" hidden="1">{"Input_Fin",#N/A,FALSE,"By Code";"Input_Opt",#N/A,FALSE,"By Code"}</definedName>
    <definedName name="吗_5_1_2" hidden="1">{"Input_Fin",#N/A,FALSE,"By Code";"Input_Opt",#N/A,FALSE,"By Code"}</definedName>
    <definedName name="吗_5_1_2_1" hidden="1">{"Input_Fin",#N/A,FALSE,"By Code";"Input_Opt",#N/A,FALSE,"By Code"}</definedName>
    <definedName name="吗_5_1_2_2" hidden="1">{"Input_Fin",#N/A,FALSE,"By Code";"Input_Opt",#N/A,FALSE,"By Code"}</definedName>
    <definedName name="吗_5_1_3" hidden="1">{"Input_Fin",#N/A,FALSE,"By Code";"Input_Opt",#N/A,FALSE,"By Code"}</definedName>
    <definedName name="吗_5_1_4" hidden="1">{"Input_Fin",#N/A,FALSE,"By Code";"Input_Opt",#N/A,FALSE,"By Code"}</definedName>
    <definedName name="吗_5_2" hidden="1">{"Input_Fin",#N/A,FALSE,"By Code";"Input_Opt",#N/A,FALSE,"By Code"}</definedName>
    <definedName name="吗_5_2_1" hidden="1">{"Input_Fin",#N/A,FALSE,"By Code";"Input_Opt",#N/A,FALSE,"By Code"}</definedName>
    <definedName name="吗_5_2_2" hidden="1">{"Input_Fin",#N/A,FALSE,"By Code";"Input_Opt",#N/A,FALSE,"By Code"}</definedName>
    <definedName name="吗_5_2_3" hidden="1">{"Input_Fin",#N/A,FALSE,"By Code";"Input_Opt",#N/A,FALSE,"By Code"}</definedName>
    <definedName name="吗_5_3" hidden="1">{"Input_Fin",#N/A,FALSE,"By Code";"Input_Opt",#N/A,FALSE,"By Code"}</definedName>
    <definedName name="吗_5_3_1" hidden="1">{"Input_Fin",#N/A,FALSE,"By Code";"Input_Opt",#N/A,FALSE,"By Code"}</definedName>
    <definedName name="吗_5_3_2" hidden="1">{"Input_Fin",#N/A,FALSE,"By Code";"Input_Opt",#N/A,FALSE,"By Code"}</definedName>
    <definedName name="吗_5_4" hidden="1">{"Input_Fin",#N/A,FALSE,"By Code";"Input_Opt",#N/A,FALSE,"By Code"}</definedName>
    <definedName name="吗_5_5" hidden="1">{"Input_Fin",#N/A,FALSE,"By Code";"Input_Opt",#N/A,FALSE,"By Code"}</definedName>
    <definedName name="毛利分析表" localSheetId="12" hidden="1">{"Input_Fin",#N/A,FALSE,"By Code";"Input_Opt",#N/A,FALSE,"By Code"}</definedName>
    <definedName name="毛利分析表" hidden="1">{"Input_Fin",#N/A,FALSE,"By Code";"Input_Opt",#N/A,FALSE,"By Code"}</definedName>
    <definedName name="毛利分析表_1" hidden="1">{"Input_Fin",#N/A,FALSE,"By Code";"Input_Opt",#N/A,FALSE,"By Code"}</definedName>
    <definedName name="毛利分析表_1_1" hidden="1">{"Input_Fin",#N/A,FALSE,"By Code";"Input_Opt",#N/A,FALSE,"By Code"}</definedName>
    <definedName name="毛利分析表_1_1_1" hidden="1">{"Input_Fin",#N/A,FALSE,"By Code";"Input_Opt",#N/A,FALSE,"By Code"}</definedName>
    <definedName name="毛利分析表_1_1_2" hidden="1">{"Input_Fin",#N/A,FALSE,"By Code";"Input_Opt",#N/A,FALSE,"By Code"}</definedName>
    <definedName name="毛利分析表_1_1_3" hidden="1">{"Input_Fin",#N/A,FALSE,"By Code";"Input_Opt",#N/A,FALSE,"By Code"}</definedName>
    <definedName name="毛利分析表_1_2" hidden="1">{"Input_Fin",#N/A,FALSE,"By Code";"Input_Opt",#N/A,FALSE,"By Code"}</definedName>
    <definedName name="毛利分析表_1_2_1" hidden="1">{"Input_Fin",#N/A,FALSE,"By Code";"Input_Opt",#N/A,FALSE,"By Code"}</definedName>
    <definedName name="毛利分析表_1_2_2" hidden="1">{"Input_Fin",#N/A,FALSE,"By Code";"Input_Opt",#N/A,FALSE,"By Code"}</definedName>
    <definedName name="毛利分析表_1_3" hidden="1">{"Input_Fin",#N/A,FALSE,"By Code";"Input_Opt",#N/A,FALSE,"By Code"}</definedName>
    <definedName name="毛利分析表_1_4" hidden="1">{"Input_Fin",#N/A,FALSE,"By Code";"Input_Opt",#N/A,FALSE,"By Code"}</definedName>
    <definedName name="毛利分析表_2" hidden="1">{"Input_Fin",#N/A,FALSE,"By Code";"Input_Opt",#N/A,FALSE,"By Code"}</definedName>
    <definedName name="毛利分析表_2_1" hidden="1">{"Input_Fin",#N/A,FALSE,"By Code";"Input_Opt",#N/A,FALSE,"By Code"}</definedName>
    <definedName name="毛利分析表_2_2" hidden="1">{"Input_Fin",#N/A,FALSE,"By Code";"Input_Opt",#N/A,FALSE,"By Code"}</definedName>
    <definedName name="毛利分析表_2_3" hidden="1">{"Input_Fin",#N/A,FALSE,"By Code";"Input_Opt",#N/A,FALSE,"By Code"}</definedName>
    <definedName name="毛利分析表_3" hidden="1">{"Input_Fin",#N/A,FALSE,"By Code";"Input_Opt",#N/A,FALSE,"By Code"}</definedName>
    <definedName name="毛利分析表_3_1" hidden="1">{"Input_Fin",#N/A,FALSE,"By Code";"Input_Opt",#N/A,FALSE,"By Code"}</definedName>
    <definedName name="毛利分析表_3_2" hidden="1">{"Input_Fin",#N/A,FALSE,"By Code";"Input_Opt",#N/A,FALSE,"By Code"}</definedName>
    <definedName name="毛利分析表_4" hidden="1">{"Input_Fin",#N/A,FALSE,"By Code";"Input_Opt",#N/A,FALSE,"By Code"}</definedName>
    <definedName name="毛利分析表_5" hidden="1">{"Input_Fin",#N/A,FALSE,"By Code";"Input_Opt",#N/A,FALSE,"By Code"}</definedName>
    <definedName name="民" hidden="1">{"Input_Fin",#N/A,FALSE,"By Code";"Input_Opt",#N/A,FALSE,"By Code"}</definedName>
    <definedName name="农1月份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朋" hidden="1">{"'Sheet4'!$A$1:$L$41"}</definedName>
    <definedName name="朋人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脾" hidden="1">{"Input_Fin",#N/A,FALSE,"By Code";"Input_Opt",#N/A,FALSE,"By Code"}</definedName>
    <definedName name="其他应付款10月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3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4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5" localSheetId="12" hidden="1">{"Input_Fin",#N/A,FALSE,"By Code";"Input_Opt",#N/A,FALSE,"By Code"}</definedName>
    <definedName name="其他应付款5" hidden="1">{"Input_Fin",#N/A,FALSE,"By Code";"Input_Opt",#N/A,FALSE,"By Code"}</definedName>
    <definedName name="其他应付款5_1" hidden="1">{"Input_Fin",#N/A,FALSE,"By Code";"Input_Opt",#N/A,FALSE,"By Code"}</definedName>
    <definedName name="其他应付款5_1_1" hidden="1">{"Input_Fin",#N/A,FALSE,"By Code";"Input_Opt",#N/A,FALSE,"By Code"}</definedName>
    <definedName name="其他应付款5_1_1_1" hidden="1">{"Input_Fin",#N/A,FALSE,"By Code";"Input_Opt",#N/A,FALSE,"By Code"}</definedName>
    <definedName name="其他应付款5_1_1_2" hidden="1">{"Input_Fin",#N/A,FALSE,"By Code";"Input_Opt",#N/A,FALSE,"By Code"}</definedName>
    <definedName name="其他应付款5_1_1_3" hidden="1">{"Input_Fin",#N/A,FALSE,"By Code";"Input_Opt",#N/A,FALSE,"By Code"}</definedName>
    <definedName name="其他应付款5_1_2" hidden="1">{"Input_Fin",#N/A,FALSE,"By Code";"Input_Opt",#N/A,FALSE,"By Code"}</definedName>
    <definedName name="其他应付款5_1_2_1" hidden="1">{"Input_Fin",#N/A,FALSE,"By Code";"Input_Opt",#N/A,FALSE,"By Code"}</definedName>
    <definedName name="其他应付款5_1_2_2" hidden="1">{"Input_Fin",#N/A,FALSE,"By Code";"Input_Opt",#N/A,FALSE,"By Code"}</definedName>
    <definedName name="其他应付款5_1_3" hidden="1">{"Input_Fin",#N/A,FALSE,"By Code";"Input_Opt",#N/A,FALSE,"By Code"}</definedName>
    <definedName name="其他应付款5_1_4" hidden="1">{"Input_Fin",#N/A,FALSE,"By Code";"Input_Opt",#N/A,FALSE,"By Code"}</definedName>
    <definedName name="其他应付款5_2" hidden="1">{"Input_Fin",#N/A,FALSE,"By Code";"Input_Opt",#N/A,FALSE,"By Code"}</definedName>
    <definedName name="其他应付款5_2_1" hidden="1">{"Input_Fin",#N/A,FALSE,"By Code";"Input_Opt",#N/A,FALSE,"By Code"}</definedName>
    <definedName name="其他应付款5_2_2" hidden="1">{"Input_Fin",#N/A,FALSE,"By Code";"Input_Opt",#N/A,FALSE,"By Code"}</definedName>
    <definedName name="其他应付款5_2_3" hidden="1">{"Input_Fin",#N/A,FALSE,"By Code";"Input_Opt",#N/A,FALSE,"By Code"}</definedName>
    <definedName name="其他应付款5_3" hidden="1">{"Input_Fin",#N/A,FALSE,"By Code";"Input_Opt",#N/A,FALSE,"By Code"}</definedName>
    <definedName name="其他应付款5_3_1" hidden="1">{"Input_Fin",#N/A,FALSE,"By Code";"Input_Opt",#N/A,FALSE,"By Code"}</definedName>
    <definedName name="其他应付款5_3_2" hidden="1">{"Input_Fin",#N/A,FALSE,"By Code";"Input_Opt",#N/A,FALSE,"By Code"}</definedName>
    <definedName name="其他应付款5_4" hidden="1">{"Input_Fin",#N/A,FALSE,"By Code";"Input_Opt",#N/A,FALSE,"By Code"}</definedName>
    <definedName name="其他应付款5_5" hidden="1">{"Input_Fin",#N/A,FALSE,"By Code";"Input_Opt",#N/A,FALSE,"By Code"}</definedName>
    <definedName name="其他应收款10月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情" localSheetId="12" hidden="1">{"Input_Fin",#N/A,FALSE,"By Code";"Input_Opt",#N/A,FALSE,"By Code"}</definedName>
    <definedName name="情" hidden="1">{"Input_Fin",#N/A,FALSE,"By Code";"Input_Opt",#N/A,FALSE,"By Code"}</definedName>
    <definedName name="情_1" hidden="1">{"Input_Fin",#N/A,FALSE,"By Code";"Input_Opt",#N/A,FALSE,"By Code"}</definedName>
    <definedName name="情_1_1" hidden="1">{"Input_Fin",#N/A,FALSE,"By Code";"Input_Opt",#N/A,FALSE,"By Code"}</definedName>
    <definedName name="情_1_1_1" hidden="1">{"Input_Fin",#N/A,FALSE,"By Code";"Input_Opt",#N/A,FALSE,"By Code"}</definedName>
    <definedName name="情_1_1_2" hidden="1">{"Input_Fin",#N/A,FALSE,"By Code";"Input_Opt",#N/A,FALSE,"By Code"}</definedName>
    <definedName name="情_1_1_3" hidden="1">{"Input_Fin",#N/A,FALSE,"By Code";"Input_Opt",#N/A,FALSE,"By Code"}</definedName>
    <definedName name="情_1_2" hidden="1">{"Input_Fin",#N/A,FALSE,"By Code";"Input_Opt",#N/A,FALSE,"By Code"}</definedName>
    <definedName name="情_1_2_1" hidden="1">{"Input_Fin",#N/A,FALSE,"By Code";"Input_Opt",#N/A,FALSE,"By Code"}</definedName>
    <definedName name="情_1_2_2" hidden="1">{"Input_Fin",#N/A,FALSE,"By Code";"Input_Opt",#N/A,FALSE,"By Code"}</definedName>
    <definedName name="情_1_3" hidden="1">{"Input_Fin",#N/A,FALSE,"By Code";"Input_Opt",#N/A,FALSE,"By Code"}</definedName>
    <definedName name="情_1_4" hidden="1">{"Input_Fin",#N/A,FALSE,"By Code";"Input_Opt",#N/A,FALSE,"By Code"}</definedName>
    <definedName name="情_2" hidden="1">{"Input_Fin",#N/A,FALSE,"By Code";"Input_Opt",#N/A,FALSE,"By Code"}</definedName>
    <definedName name="情_2_1" hidden="1">{"Input_Fin",#N/A,FALSE,"By Code";"Input_Opt",#N/A,FALSE,"By Code"}</definedName>
    <definedName name="情_2_2" hidden="1">{"Input_Fin",#N/A,FALSE,"By Code";"Input_Opt",#N/A,FALSE,"By Code"}</definedName>
    <definedName name="情_2_3" hidden="1">{"Input_Fin",#N/A,FALSE,"By Code";"Input_Opt",#N/A,FALSE,"By Code"}</definedName>
    <definedName name="情_3" hidden="1">{"Input_Fin",#N/A,FALSE,"By Code";"Input_Opt",#N/A,FALSE,"By Code"}</definedName>
    <definedName name="情_3_1" hidden="1">{"Input_Fin",#N/A,FALSE,"By Code";"Input_Opt",#N/A,FALSE,"By Code"}</definedName>
    <definedName name="情_3_2" hidden="1">{"Input_Fin",#N/A,FALSE,"By Code";"Input_Opt",#N/A,FALSE,"By Code"}</definedName>
    <definedName name="情_4" hidden="1">{"Input_Fin",#N/A,FALSE,"By Code";"Input_Opt",#N/A,FALSE,"By Code"}</definedName>
    <definedName name="情_5" hidden="1">{"Input_Fin",#N/A,FALSE,"By Code";"Input_Opt",#N/A,FALSE,"By Code"}</definedName>
    <definedName name="曲线图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去">#N/A</definedName>
    <definedName name="让" hidden="1">{"Input_Fin",#N/A,FALSE,"By Code";"Input_Opt",#N/A,FALSE,"By Code"}</definedName>
    <definedName name="让他" localSheetId="12" hidden="1">{"Input_Fin",#N/A,FALSE,"By Code";"Input_Opt",#N/A,FALSE,"By Code"}</definedName>
    <definedName name="让他" hidden="1">{"Input_Fin",#N/A,FALSE,"By Code";"Input_Opt",#N/A,FALSE,"By Code"}</definedName>
    <definedName name="让他_1" hidden="1">{"Input_Fin",#N/A,FALSE,"By Code";"Input_Opt",#N/A,FALSE,"By Code"}</definedName>
    <definedName name="让他_1_1" hidden="1">{"Input_Fin",#N/A,FALSE,"By Code";"Input_Opt",#N/A,FALSE,"By Code"}</definedName>
    <definedName name="让他_1_1_1" hidden="1">{"Input_Fin",#N/A,FALSE,"By Code";"Input_Opt",#N/A,FALSE,"By Code"}</definedName>
    <definedName name="让他_1_1_2" hidden="1">{"Input_Fin",#N/A,FALSE,"By Code";"Input_Opt",#N/A,FALSE,"By Code"}</definedName>
    <definedName name="让他_1_1_3" hidden="1">{"Input_Fin",#N/A,FALSE,"By Code";"Input_Opt",#N/A,FALSE,"By Code"}</definedName>
    <definedName name="让他_1_2" hidden="1">{"Input_Fin",#N/A,FALSE,"By Code";"Input_Opt",#N/A,FALSE,"By Code"}</definedName>
    <definedName name="让他_1_2_1" hidden="1">{"Input_Fin",#N/A,FALSE,"By Code";"Input_Opt",#N/A,FALSE,"By Code"}</definedName>
    <definedName name="让他_1_2_2" hidden="1">{"Input_Fin",#N/A,FALSE,"By Code";"Input_Opt",#N/A,FALSE,"By Code"}</definedName>
    <definedName name="让他_1_3" hidden="1">{"Input_Fin",#N/A,FALSE,"By Code";"Input_Opt",#N/A,FALSE,"By Code"}</definedName>
    <definedName name="让他_1_4" hidden="1">{"Input_Fin",#N/A,FALSE,"By Code";"Input_Opt",#N/A,FALSE,"By Code"}</definedName>
    <definedName name="让他_2" hidden="1">{"Input_Fin",#N/A,FALSE,"By Code";"Input_Opt",#N/A,FALSE,"By Code"}</definedName>
    <definedName name="让他_2_1" hidden="1">{"Input_Fin",#N/A,FALSE,"By Code";"Input_Opt",#N/A,FALSE,"By Code"}</definedName>
    <definedName name="让他_2_2" hidden="1">{"Input_Fin",#N/A,FALSE,"By Code";"Input_Opt",#N/A,FALSE,"By Code"}</definedName>
    <definedName name="让他_2_3" hidden="1">{"Input_Fin",#N/A,FALSE,"By Code";"Input_Opt",#N/A,FALSE,"By Code"}</definedName>
    <definedName name="让他_3" hidden="1">{"Input_Fin",#N/A,FALSE,"By Code";"Input_Opt",#N/A,FALSE,"By Code"}</definedName>
    <definedName name="让他_3_1" hidden="1">{"Input_Fin",#N/A,FALSE,"By Code";"Input_Opt",#N/A,FALSE,"By Code"}</definedName>
    <definedName name="让他_3_2" hidden="1">{"Input_Fin",#N/A,FALSE,"By Code";"Input_Opt",#N/A,FALSE,"By Code"}</definedName>
    <definedName name="让他_4" hidden="1">{"Input_Fin",#N/A,FALSE,"By Code";"Input_Opt",#N/A,FALSE,"By Code"}</definedName>
    <definedName name="让他_5" hidden="1">{"Input_Fin",#N/A,FALSE,"By Code";"Input_Opt",#N/A,FALSE,"By Code"}</definedName>
    <definedName name="人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肉" localSheetId="12" hidden="1">{"Input_Fin",#N/A,FALSE,"By Code";"Input_Opt",#N/A,FALSE,"By Code"}</definedName>
    <definedName name="肉" hidden="1">{"Input_Fin",#N/A,FALSE,"By Code";"Input_Opt",#N/A,FALSE,"By Code"}</definedName>
    <definedName name="肉_1" hidden="1">{"Input_Fin",#N/A,FALSE,"By Code";"Input_Opt",#N/A,FALSE,"By Code"}</definedName>
    <definedName name="肉_1_1" hidden="1">{"Input_Fin",#N/A,FALSE,"By Code";"Input_Opt",#N/A,FALSE,"By Code"}</definedName>
    <definedName name="肉_1_1_1" hidden="1">{"Input_Fin",#N/A,FALSE,"By Code";"Input_Opt",#N/A,FALSE,"By Code"}</definedName>
    <definedName name="肉_1_1_1_1" hidden="1">{"Input_Fin",#N/A,FALSE,"By Code";"Input_Opt",#N/A,FALSE,"By Code"}</definedName>
    <definedName name="肉_1_1_1_1_1" hidden="1">{"Input_Fin",#N/A,FALSE,"By Code";"Input_Opt",#N/A,FALSE,"By Code"}</definedName>
    <definedName name="肉_1_1_1_1_2" hidden="1">{"Input_Fin",#N/A,FALSE,"By Code";"Input_Opt",#N/A,FALSE,"By Code"}</definedName>
    <definedName name="肉_1_1_1_1_3" hidden="1">{"Input_Fin",#N/A,FALSE,"By Code";"Input_Opt",#N/A,FALSE,"By Code"}</definedName>
    <definedName name="肉_1_1_1_2" hidden="1">{"Input_Fin",#N/A,FALSE,"By Code";"Input_Opt",#N/A,FALSE,"By Code"}</definedName>
    <definedName name="肉_1_1_1_2_1" hidden="1">{"Input_Fin",#N/A,FALSE,"By Code";"Input_Opt",#N/A,FALSE,"By Code"}</definedName>
    <definedName name="肉_1_1_1_2_2" hidden="1">{"Input_Fin",#N/A,FALSE,"By Code";"Input_Opt",#N/A,FALSE,"By Code"}</definedName>
    <definedName name="肉_1_1_1_3" hidden="1">{"Input_Fin",#N/A,FALSE,"By Code";"Input_Opt",#N/A,FALSE,"By Code"}</definedName>
    <definedName name="肉_1_1_1_3_1" hidden="1">{"Input_Fin",#N/A,FALSE,"By Code";"Input_Opt",#N/A,FALSE,"By Code"}</definedName>
    <definedName name="肉_1_1_1_3_2" hidden="1">{"Input_Fin",#N/A,FALSE,"By Code";"Input_Opt",#N/A,FALSE,"By Code"}</definedName>
    <definedName name="肉_1_1_1_4" hidden="1">{"Input_Fin",#N/A,FALSE,"By Code";"Input_Opt",#N/A,FALSE,"By Code"}</definedName>
    <definedName name="肉_1_1_1_5" hidden="1">{"Input_Fin",#N/A,FALSE,"By Code";"Input_Opt",#N/A,FALSE,"By Code"}</definedName>
    <definedName name="肉_1_1_2" hidden="1">{"Input_Fin",#N/A,FALSE,"By Code";"Input_Opt",#N/A,FALSE,"By Code"}</definedName>
    <definedName name="肉_1_1_2_1" hidden="1">{"Input_Fin",#N/A,FALSE,"By Code";"Input_Opt",#N/A,FALSE,"By Code"}</definedName>
    <definedName name="肉_1_1_2_2" hidden="1">{"Input_Fin",#N/A,FALSE,"By Code";"Input_Opt",#N/A,FALSE,"By Code"}</definedName>
    <definedName name="肉_1_1_2_3" hidden="1">{"Input_Fin",#N/A,FALSE,"By Code";"Input_Opt",#N/A,FALSE,"By Code"}</definedName>
    <definedName name="肉_1_1_3" hidden="1">{"Input_Fin",#N/A,FALSE,"By Code";"Input_Opt",#N/A,FALSE,"By Code"}</definedName>
    <definedName name="肉_1_1_3_1" hidden="1">{"Input_Fin",#N/A,FALSE,"By Code";"Input_Opt",#N/A,FALSE,"By Code"}</definedName>
    <definedName name="肉_1_1_3_2" hidden="1">{"Input_Fin",#N/A,FALSE,"By Code";"Input_Opt",#N/A,FALSE,"By Code"}</definedName>
    <definedName name="肉_1_1_4" hidden="1">{"Input_Fin",#N/A,FALSE,"By Code";"Input_Opt",#N/A,FALSE,"By Code"}</definedName>
    <definedName name="肉_1_1_5" hidden="1">{"Input_Fin",#N/A,FALSE,"By Code";"Input_Opt",#N/A,FALSE,"By Code"}</definedName>
    <definedName name="肉_1_2" hidden="1">{"Input_Fin",#N/A,FALSE,"By Code";"Input_Opt",#N/A,FALSE,"By Code"}</definedName>
    <definedName name="肉_1_2_1" hidden="1">{"Input_Fin",#N/A,FALSE,"By Code";"Input_Opt",#N/A,FALSE,"By Code"}</definedName>
    <definedName name="肉_1_2_2" hidden="1">{"Input_Fin",#N/A,FALSE,"By Code";"Input_Opt",#N/A,FALSE,"By Code"}</definedName>
    <definedName name="肉_1_2_3" hidden="1">{"Input_Fin",#N/A,FALSE,"By Code";"Input_Opt",#N/A,FALSE,"By Code"}</definedName>
    <definedName name="肉_1_3" hidden="1">{"Input_Fin",#N/A,FALSE,"By Code";"Input_Opt",#N/A,FALSE,"By Code"}</definedName>
    <definedName name="肉_1_3_1" hidden="1">{"Input_Fin",#N/A,FALSE,"By Code";"Input_Opt",#N/A,FALSE,"By Code"}</definedName>
    <definedName name="肉_1_3_2" hidden="1">{"Input_Fin",#N/A,FALSE,"By Code";"Input_Opt",#N/A,FALSE,"By Code"}</definedName>
    <definedName name="肉_1_4" hidden="1">{"Input_Fin",#N/A,FALSE,"By Code";"Input_Opt",#N/A,FALSE,"By Code"}</definedName>
    <definedName name="肉_1_5" hidden="1">{"Input_Fin",#N/A,FALSE,"By Code";"Input_Opt",#N/A,FALSE,"By Code"}</definedName>
    <definedName name="肉_2" hidden="1">{"Input_Fin",#N/A,FALSE,"By Code";"Input_Opt",#N/A,FALSE,"By Code"}</definedName>
    <definedName name="肉_2_1" hidden="1">{"Input_Fin",#N/A,FALSE,"By Code";"Input_Opt",#N/A,FALSE,"By Code"}</definedName>
    <definedName name="肉_2_1_1" hidden="1">{"Input_Fin",#N/A,FALSE,"By Code";"Input_Opt",#N/A,FALSE,"By Code"}</definedName>
    <definedName name="肉_2_1_1_1" hidden="1">{"Input_Fin",#N/A,FALSE,"By Code";"Input_Opt",#N/A,FALSE,"By Code"}</definedName>
    <definedName name="肉_2_1_1_2" hidden="1">{"Input_Fin",#N/A,FALSE,"By Code";"Input_Opt",#N/A,FALSE,"By Code"}</definedName>
    <definedName name="肉_2_1_1_3" hidden="1">{"Input_Fin",#N/A,FALSE,"By Code";"Input_Opt",#N/A,FALSE,"By Code"}</definedName>
    <definedName name="肉_2_1_2" hidden="1">{"Input_Fin",#N/A,FALSE,"By Code";"Input_Opt",#N/A,FALSE,"By Code"}</definedName>
    <definedName name="肉_2_1_2_1" hidden="1">{"Input_Fin",#N/A,FALSE,"By Code";"Input_Opt",#N/A,FALSE,"By Code"}</definedName>
    <definedName name="肉_2_1_2_2" hidden="1">{"Input_Fin",#N/A,FALSE,"By Code";"Input_Opt",#N/A,FALSE,"By Code"}</definedName>
    <definedName name="肉_2_1_3" hidden="1">{"Input_Fin",#N/A,FALSE,"By Code";"Input_Opt",#N/A,FALSE,"By Code"}</definedName>
    <definedName name="肉_2_1_4" hidden="1">{"Input_Fin",#N/A,FALSE,"By Code";"Input_Opt",#N/A,FALSE,"By Code"}</definedName>
    <definedName name="肉_2_2" hidden="1">{"Input_Fin",#N/A,FALSE,"By Code";"Input_Opt",#N/A,FALSE,"By Code"}</definedName>
    <definedName name="肉_2_2_1" hidden="1">{"Input_Fin",#N/A,FALSE,"By Code";"Input_Opt",#N/A,FALSE,"By Code"}</definedName>
    <definedName name="肉_2_2_2" hidden="1">{"Input_Fin",#N/A,FALSE,"By Code";"Input_Opt",#N/A,FALSE,"By Code"}</definedName>
    <definedName name="肉_2_2_3" hidden="1">{"Input_Fin",#N/A,FALSE,"By Code";"Input_Opt",#N/A,FALSE,"By Code"}</definedName>
    <definedName name="肉_2_3" hidden="1">{"Input_Fin",#N/A,FALSE,"By Code";"Input_Opt",#N/A,FALSE,"By Code"}</definedName>
    <definedName name="肉_2_3_1" hidden="1">{"Input_Fin",#N/A,FALSE,"By Code";"Input_Opt",#N/A,FALSE,"By Code"}</definedName>
    <definedName name="肉_2_3_2" hidden="1">{"Input_Fin",#N/A,FALSE,"By Code";"Input_Opt",#N/A,FALSE,"By Code"}</definedName>
    <definedName name="肉_2_4" hidden="1">{"Input_Fin",#N/A,FALSE,"By Code";"Input_Opt",#N/A,FALSE,"By Code"}</definedName>
    <definedName name="肉_2_5" hidden="1">{"Input_Fin",#N/A,FALSE,"By Code";"Input_Opt",#N/A,FALSE,"By Code"}</definedName>
    <definedName name="肉_3" hidden="1">{"Input_Fin",#N/A,FALSE,"By Code";"Input_Opt",#N/A,FALSE,"By Code"}</definedName>
    <definedName name="肉_3_1" hidden="1">{"Input_Fin",#N/A,FALSE,"By Code";"Input_Opt",#N/A,FALSE,"By Code"}</definedName>
    <definedName name="肉_3_1_1" hidden="1">{"Input_Fin",#N/A,FALSE,"By Code";"Input_Opt",#N/A,FALSE,"By Code"}</definedName>
    <definedName name="肉_3_1_1_1" hidden="1">{"Input_Fin",#N/A,FALSE,"By Code";"Input_Opt",#N/A,FALSE,"By Code"}</definedName>
    <definedName name="肉_3_1_1_2" hidden="1">{"Input_Fin",#N/A,FALSE,"By Code";"Input_Opt",#N/A,FALSE,"By Code"}</definedName>
    <definedName name="肉_3_1_1_3" hidden="1">{"Input_Fin",#N/A,FALSE,"By Code";"Input_Opt",#N/A,FALSE,"By Code"}</definedName>
    <definedName name="肉_3_1_2" hidden="1">{"Input_Fin",#N/A,FALSE,"By Code";"Input_Opt",#N/A,FALSE,"By Code"}</definedName>
    <definedName name="肉_3_1_2_1" hidden="1">{"Input_Fin",#N/A,FALSE,"By Code";"Input_Opt",#N/A,FALSE,"By Code"}</definedName>
    <definedName name="肉_3_1_2_2" hidden="1">{"Input_Fin",#N/A,FALSE,"By Code";"Input_Opt",#N/A,FALSE,"By Code"}</definedName>
    <definedName name="肉_3_1_3" hidden="1">{"Input_Fin",#N/A,FALSE,"By Code";"Input_Opt",#N/A,FALSE,"By Code"}</definedName>
    <definedName name="肉_3_1_4" hidden="1">{"Input_Fin",#N/A,FALSE,"By Code";"Input_Opt",#N/A,FALSE,"By Code"}</definedName>
    <definedName name="肉_3_2" hidden="1">{"Input_Fin",#N/A,FALSE,"By Code";"Input_Opt",#N/A,FALSE,"By Code"}</definedName>
    <definedName name="肉_3_2_1" hidden="1">{"Input_Fin",#N/A,FALSE,"By Code";"Input_Opt",#N/A,FALSE,"By Code"}</definedName>
    <definedName name="肉_3_2_2" hidden="1">{"Input_Fin",#N/A,FALSE,"By Code";"Input_Opt",#N/A,FALSE,"By Code"}</definedName>
    <definedName name="肉_3_2_3" hidden="1">{"Input_Fin",#N/A,FALSE,"By Code";"Input_Opt",#N/A,FALSE,"By Code"}</definedName>
    <definedName name="肉_3_3" hidden="1">{"Input_Fin",#N/A,FALSE,"By Code";"Input_Opt",#N/A,FALSE,"By Code"}</definedName>
    <definedName name="肉_3_3_1" hidden="1">{"Input_Fin",#N/A,FALSE,"By Code";"Input_Opt",#N/A,FALSE,"By Code"}</definedName>
    <definedName name="肉_3_3_2" hidden="1">{"Input_Fin",#N/A,FALSE,"By Code";"Input_Opt",#N/A,FALSE,"By Code"}</definedName>
    <definedName name="肉_3_4" hidden="1">{"Input_Fin",#N/A,FALSE,"By Code";"Input_Opt",#N/A,FALSE,"By Code"}</definedName>
    <definedName name="肉_3_5" hidden="1">{"Input_Fin",#N/A,FALSE,"By Code";"Input_Opt",#N/A,FALSE,"By Code"}</definedName>
    <definedName name="肉_4" hidden="1">{"Input_Fin",#N/A,FALSE,"By Code";"Input_Opt",#N/A,FALSE,"By Code"}</definedName>
    <definedName name="肉_4_1" hidden="1">{"Input_Fin",#N/A,FALSE,"By Code";"Input_Opt",#N/A,FALSE,"By Code"}</definedName>
    <definedName name="肉_4_1_1" hidden="1">{"Input_Fin",#N/A,FALSE,"By Code";"Input_Opt",#N/A,FALSE,"By Code"}</definedName>
    <definedName name="肉_4_1_1_1" hidden="1">{"Input_Fin",#N/A,FALSE,"By Code";"Input_Opt",#N/A,FALSE,"By Code"}</definedName>
    <definedName name="肉_4_1_1_2" hidden="1">{"Input_Fin",#N/A,FALSE,"By Code";"Input_Opt",#N/A,FALSE,"By Code"}</definedName>
    <definedName name="肉_4_1_1_3" hidden="1">{"Input_Fin",#N/A,FALSE,"By Code";"Input_Opt",#N/A,FALSE,"By Code"}</definedName>
    <definedName name="肉_4_1_2" hidden="1">{"Input_Fin",#N/A,FALSE,"By Code";"Input_Opt",#N/A,FALSE,"By Code"}</definedName>
    <definedName name="肉_4_1_2_1" hidden="1">{"Input_Fin",#N/A,FALSE,"By Code";"Input_Opt",#N/A,FALSE,"By Code"}</definedName>
    <definedName name="肉_4_1_2_2" hidden="1">{"Input_Fin",#N/A,FALSE,"By Code";"Input_Opt",#N/A,FALSE,"By Code"}</definedName>
    <definedName name="肉_4_1_3" hidden="1">{"Input_Fin",#N/A,FALSE,"By Code";"Input_Opt",#N/A,FALSE,"By Code"}</definedName>
    <definedName name="肉_4_1_4" hidden="1">{"Input_Fin",#N/A,FALSE,"By Code";"Input_Opt",#N/A,FALSE,"By Code"}</definedName>
    <definedName name="肉_4_2" hidden="1">{"Input_Fin",#N/A,FALSE,"By Code";"Input_Opt",#N/A,FALSE,"By Code"}</definedName>
    <definedName name="肉_4_2_1" hidden="1">{"Input_Fin",#N/A,FALSE,"By Code";"Input_Opt",#N/A,FALSE,"By Code"}</definedName>
    <definedName name="肉_4_2_2" hidden="1">{"Input_Fin",#N/A,FALSE,"By Code";"Input_Opt",#N/A,FALSE,"By Code"}</definedName>
    <definedName name="肉_4_2_3" hidden="1">{"Input_Fin",#N/A,FALSE,"By Code";"Input_Opt",#N/A,FALSE,"By Code"}</definedName>
    <definedName name="肉_4_3" hidden="1">{"Input_Fin",#N/A,FALSE,"By Code";"Input_Opt",#N/A,FALSE,"By Code"}</definedName>
    <definedName name="肉_4_3_1" hidden="1">{"Input_Fin",#N/A,FALSE,"By Code";"Input_Opt",#N/A,FALSE,"By Code"}</definedName>
    <definedName name="肉_4_3_2" hidden="1">{"Input_Fin",#N/A,FALSE,"By Code";"Input_Opt",#N/A,FALSE,"By Code"}</definedName>
    <definedName name="肉_4_4" hidden="1">{"Input_Fin",#N/A,FALSE,"By Code";"Input_Opt",#N/A,FALSE,"By Code"}</definedName>
    <definedName name="肉_4_5" hidden="1">{"Input_Fin",#N/A,FALSE,"By Code";"Input_Opt",#N/A,FALSE,"By Code"}</definedName>
    <definedName name="肉_5" hidden="1">{"Input_Fin",#N/A,FALSE,"By Code";"Input_Opt",#N/A,FALSE,"By Code"}</definedName>
    <definedName name="肉_5_1" hidden="1">{"Input_Fin",#N/A,FALSE,"By Code";"Input_Opt",#N/A,FALSE,"By Code"}</definedName>
    <definedName name="肉_5_1_1" hidden="1">{"Input_Fin",#N/A,FALSE,"By Code";"Input_Opt",#N/A,FALSE,"By Code"}</definedName>
    <definedName name="肉_5_1_1_1" hidden="1">{"Input_Fin",#N/A,FALSE,"By Code";"Input_Opt",#N/A,FALSE,"By Code"}</definedName>
    <definedName name="肉_5_1_1_2" hidden="1">{"Input_Fin",#N/A,FALSE,"By Code";"Input_Opt",#N/A,FALSE,"By Code"}</definedName>
    <definedName name="肉_5_1_1_3" hidden="1">{"Input_Fin",#N/A,FALSE,"By Code";"Input_Opt",#N/A,FALSE,"By Code"}</definedName>
    <definedName name="肉_5_1_2" hidden="1">{"Input_Fin",#N/A,FALSE,"By Code";"Input_Opt",#N/A,FALSE,"By Code"}</definedName>
    <definedName name="肉_5_1_2_1" hidden="1">{"Input_Fin",#N/A,FALSE,"By Code";"Input_Opt",#N/A,FALSE,"By Code"}</definedName>
    <definedName name="肉_5_1_2_2" hidden="1">{"Input_Fin",#N/A,FALSE,"By Code";"Input_Opt",#N/A,FALSE,"By Code"}</definedName>
    <definedName name="肉_5_1_3" hidden="1">{"Input_Fin",#N/A,FALSE,"By Code";"Input_Opt",#N/A,FALSE,"By Code"}</definedName>
    <definedName name="肉_5_1_4" hidden="1">{"Input_Fin",#N/A,FALSE,"By Code";"Input_Opt",#N/A,FALSE,"By Code"}</definedName>
    <definedName name="肉_5_2" hidden="1">{"Input_Fin",#N/A,FALSE,"By Code";"Input_Opt",#N/A,FALSE,"By Code"}</definedName>
    <definedName name="肉_5_2_1" hidden="1">{"Input_Fin",#N/A,FALSE,"By Code";"Input_Opt",#N/A,FALSE,"By Code"}</definedName>
    <definedName name="肉_5_2_2" hidden="1">{"Input_Fin",#N/A,FALSE,"By Code";"Input_Opt",#N/A,FALSE,"By Code"}</definedName>
    <definedName name="肉_5_2_3" hidden="1">{"Input_Fin",#N/A,FALSE,"By Code";"Input_Opt",#N/A,FALSE,"By Code"}</definedName>
    <definedName name="肉_5_3" hidden="1">{"Input_Fin",#N/A,FALSE,"By Code";"Input_Opt",#N/A,FALSE,"By Code"}</definedName>
    <definedName name="肉_5_3_1" hidden="1">{"Input_Fin",#N/A,FALSE,"By Code";"Input_Opt",#N/A,FALSE,"By Code"}</definedName>
    <definedName name="肉_5_3_2" hidden="1">{"Input_Fin",#N/A,FALSE,"By Code";"Input_Opt",#N/A,FALSE,"By Code"}</definedName>
    <definedName name="肉_5_4" hidden="1">{"Input_Fin",#N/A,FALSE,"By Code";"Input_Opt",#N/A,FALSE,"By Code"}</definedName>
    <definedName name="肉_5_5" hidden="1">{"Input_Fin",#N/A,FALSE,"By Code";"Input_Opt",#N/A,FALSE,"By Code"}</definedName>
    <definedName name="肉鸡苗" localSheetId="12" hidden="1">{"'Sheet4'!$A$1:$L$41"}</definedName>
    <definedName name="肉鸡苗" hidden="1">{"'Sheet4'!$A$1:$L$41"}</definedName>
    <definedName name="肉品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入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三高" hidden="1">{"Input_Fin",#N/A,FALSE,"By Code";"Input_Opt",#N/A,FALSE,"By Code"}</definedName>
    <definedName name="沙和驿转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商品蛋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商品蛋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上" hidden="1">{"'Sheet4'!$A$1:$L$41"}</definedName>
    <definedName name="深加工1" localSheetId="12" hidden="1">{"Input_Fin",#N/A,FALSE,"By Code";"Input_Opt",#N/A,FALSE,"By Code"}</definedName>
    <definedName name="深加工1" hidden="1">{"Input_Fin",#N/A,FALSE,"By Code";"Input_Opt",#N/A,FALSE,"By Code"}</definedName>
    <definedName name="深加工1_1" hidden="1">{"Input_Fin",#N/A,FALSE,"By Code";"Input_Opt",#N/A,FALSE,"By Code"}</definedName>
    <definedName name="深加工1_1_1" hidden="1">{"Input_Fin",#N/A,FALSE,"By Code";"Input_Opt",#N/A,FALSE,"By Code"}</definedName>
    <definedName name="深加工1_1_1_1" hidden="1">{"Input_Fin",#N/A,FALSE,"By Code";"Input_Opt",#N/A,FALSE,"By Code"}</definedName>
    <definedName name="深加工1_1_1_2" hidden="1">{"Input_Fin",#N/A,FALSE,"By Code";"Input_Opt",#N/A,FALSE,"By Code"}</definedName>
    <definedName name="深加工1_1_1_3" hidden="1">{"Input_Fin",#N/A,FALSE,"By Code";"Input_Opt",#N/A,FALSE,"By Code"}</definedName>
    <definedName name="深加工1_1_2" hidden="1">{"Input_Fin",#N/A,FALSE,"By Code";"Input_Opt",#N/A,FALSE,"By Code"}</definedName>
    <definedName name="深加工1_1_2_1" hidden="1">{"Input_Fin",#N/A,FALSE,"By Code";"Input_Opt",#N/A,FALSE,"By Code"}</definedName>
    <definedName name="深加工1_1_2_2" hidden="1">{"Input_Fin",#N/A,FALSE,"By Code";"Input_Opt",#N/A,FALSE,"By Code"}</definedName>
    <definedName name="深加工1_1_3" hidden="1">{"Input_Fin",#N/A,FALSE,"By Code";"Input_Opt",#N/A,FALSE,"By Code"}</definedName>
    <definedName name="深加工1_1_4" hidden="1">{"Input_Fin",#N/A,FALSE,"By Code";"Input_Opt",#N/A,FALSE,"By Code"}</definedName>
    <definedName name="深加工1_2" hidden="1">{"Input_Fin",#N/A,FALSE,"By Code";"Input_Opt",#N/A,FALSE,"By Code"}</definedName>
    <definedName name="深加工1_2_1" hidden="1">{"Input_Fin",#N/A,FALSE,"By Code";"Input_Opt",#N/A,FALSE,"By Code"}</definedName>
    <definedName name="深加工1_2_2" hidden="1">{"Input_Fin",#N/A,FALSE,"By Code";"Input_Opt",#N/A,FALSE,"By Code"}</definedName>
    <definedName name="深加工1_2_3" hidden="1">{"Input_Fin",#N/A,FALSE,"By Code";"Input_Opt",#N/A,FALSE,"By Code"}</definedName>
    <definedName name="深加工1_3" hidden="1">{"Input_Fin",#N/A,FALSE,"By Code";"Input_Opt",#N/A,FALSE,"By Code"}</definedName>
    <definedName name="深加工1_3_1" hidden="1">{"Input_Fin",#N/A,FALSE,"By Code";"Input_Opt",#N/A,FALSE,"By Code"}</definedName>
    <definedName name="深加工1_3_2" hidden="1">{"Input_Fin",#N/A,FALSE,"By Code";"Input_Opt",#N/A,FALSE,"By Code"}</definedName>
    <definedName name="深加工1_4" hidden="1">{"Input_Fin",#N/A,FALSE,"By Code";"Input_Opt",#N/A,FALSE,"By Code"}</definedName>
    <definedName name="深加工1_5" hidden="1">{"Input_Fin",#N/A,FALSE,"By Code";"Input_Opt",#N/A,FALSE,"By Code"}</definedName>
    <definedName name="生处理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时常咱">#N/A</definedName>
    <definedName name="时或桔柑地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时或桔柑地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食品部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式" localSheetId="12" hidden="1">{"'Sheet4'!$A$1:$L$41"}</definedName>
    <definedName name="式" hidden="1">{"'Sheet4'!$A$1:$L$41"}</definedName>
    <definedName name="式样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式样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手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受到发掘哈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受到发掘哈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" hidden="1">{"Input_Fin",#N/A,FALSE,"By Code";"Input_Opt",#N/A,FALSE,"By Code"}</definedName>
    <definedName name="熟品1" localSheetId="12" hidden="1">{"Input_Fin",#N/A,FALSE,"By Code";"Input_Opt",#N/A,FALSE,"By Code"}</definedName>
    <definedName name="熟品1" hidden="1">{"Input_Fin",#N/A,FALSE,"By Code";"Input_Opt",#N/A,FALSE,"By Code"}</definedName>
    <definedName name="熟品1_1" hidden="1">{"Input_Fin",#N/A,FALSE,"By Code";"Input_Opt",#N/A,FALSE,"By Code"}</definedName>
    <definedName name="熟品1_1_1" hidden="1">{"Input_Fin",#N/A,FALSE,"By Code";"Input_Opt",#N/A,FALSE,"By Code"}</definedName>
    <definedName name="熟品1_1_1_1" hidden="1">{"Input_Fin",#N/A,FALSE,"By Code";"Input_Opt",#N/A,FALSE,"By Code"}</definedName>
    <definedName name="熟品1_1_1_1_1" hidden="1">{"Input_Fin",#N/A,FALSE,"By Code";"Input_Opt",#N/A,FALSE,"By Code"}</definedName>
    <definedName name="熟品1_1_1_1_1_1" hidden="1">{"Input_Fin",#N/A,FALSE,"By Code";"Input_Opt",#N/A,FALSE,"By Code"}</definedName>
    <definedName name="熟品1_1_1_1_1_2" hidden="1">{"Input_Fin",#N/A,FALSE,"By Code";"Input_Opt",#N/A,FALSE,"By Code"}</definedName>
    <definedName name="熟品1_1_1_1_1_3" hidden="1">{"Input_Fin",#N/A,FALSE,"By Code";"Input_Opt",#N/A,FALSE,"By Code"}</definedName>
    <definedName name="熟品1_1_1_1_2" hidden="1">{"Input_Fin",#N/A,FALSE,"By Code";"Input_Opt",#N/A,FALSE,"By Code"}</definedName>
    <definedName name="熟品1_1_1_1_2_1" hidden="1">{"Input_Fin",#N/A,FALSE,"By Code";"Input_Opt",#N/A,FALSE,"By Code"}</definedName>
    <definedName name="熟品1_1_1_1_2_2" hidden="1">{"Input_Fin",#N/A,FALSE,"By Code";"Input_Opt",#N/A,FALSE,"By Code"}</definedName>
    <definedName name="熟品1_1_1_1_3" hidden="1">{"Input_Fin",#N/A,FALSE,"By Code";"Input_Opt",#N/A,FALSE,"By Code"}</definedName>
    <definedName name="熟品1_1_1_1_3_1" hidden="1">{"Input_Fin",#N/A,FALSE,"By Code";"Input_Opt",#N/A,FALSE,"By Code"}</definedName>
    <definedName name="熟品1_1_1_1_3_2" hidden="1">{"Input_Fin",#N/A,FALSE,"By Code";"Input_Opt",#N/A,FALSE,"By Code"}</definedName>
    <definedName name="熟品1_1_1_1_4" hidden="1">{"Input_Fin",#N/A,FALSE,"By Code";"Input_Opt",#N/A,FALSE,"By Code"}</definedName>
    <definedName name="熟品1_1_1_1_5" hidden="1">{"Input_Fin",#N/A,FALSE,"By Code";"Input_Opt",#N/A,FALSE,"By Code"}</definedName>
    <definedName name="熟品1_1_1_2" hidden="1">{"Input_Fin",#N/A,FALSE,"By Code";"Input_Opt",#N/A,FALSE,"By Code"}</definedName>
    <definedName name="熟品1_1_1_2_1" hidden="1">{"Input_Fin",#N/A,FALSE,"By Code";"Input_Opt",#N/A,FALSE,"By Code"}</definedName>
    <definedName name="熟品1_1_1_2_2" hidden="1">{"Input_Fin",#N/A,FALSE,"By Code";"Input_Opt",#N/A,FALSE,"By Code"}</definedName>
    <definedName name="熟品1_1_1_2_3" hidden="1">{"Input_Fin",#N/A,FALSE,"By Code";"Input_Opt",#N/A,FALSE,"By Code"}</definedName>
    <definedName name="熟品1_1_1_3" hidden="1">{"Input_Fin",#N/A,FALSE,"By Code";"Input_Opt",#N/A,FALSE,"By Code"}</definedName>
    <definedName name="熟品1_1_1_3_1" hidden="1">{"Input_Fin",#N/A,FALSE,"By Code";"Input_Opt",#N/A,FALSE,"By Code"}</definedName>
    <definedName name="熟品1_1_1_3_2" hidden="1">{"Input_Fin",#N/A,FALSE,"By Code";"Input_Opt",#N/A,FALSE,"By Code"}</definedName>
    <definedName name="熟品1_1_1_4" hidden="1">{"Input_Fin",#N/A,FALSE,"By Code";"Input_Opt",#N/A,FALSE,"By Code"}</definedName>
    <definedName name="熟品1_1_1_5" hidden="1">{"Input_Fin",#N/A,FALSE,"By Code";"Input_Opt",#N/A,FALSE,"By Code"}</definedName>
    <definedName name="熟品1_1_2" hidden="1">{"Input_Fin",#N/A,FALSE,"By Code";"Input_Opt",#N/A,FALSE,"By Code"}</definedName>
    <definedName name="熟品1_1_2_1" hidden="1">{"Input_Fin",#N/A,FALSE,"By Code";"Input_Opt",#N/A,FALSE,"By Code"}</definedName>
    <definedName name="熟品1_1_2_2" hidden="1">{"Input_Fin",#N/A,FALSE,"By Code";"Input_Opt",#N/A,FALSE,"By Code"}</definedName>
    <definedName name="熟品1_1_2_3" hidden="1">{"Input_Fin",#N/A,FALSE,"By Code";"Input_Opt",#N/A,FALSE,"By Code"}</definedName>
    <definedName name="熟品1_1_3" hidden="1">{"Input_Fin",#N/A,FALSE,"By Code";"Input_Opt",#N/A,FALSE,"By Code"}</definedName>
    <definedName name="熟品1_1_3_1" hidden="1">{"Input_Fin",#N/A,FALSE,"By Code";"Input_Opt",#N/A,FALSE,"By Code"}</definedName>
    <definedName name="熟品1_1_3_2" hidden="1">{"Input_Fin",#N/A,FALSE,"By Code";"Input_Opt",#N/A,FALSE,"By Code"}</definedName>
    <definedName name="熟品1_1_4" hidden="1">{"Input_Fin",#N/A,FALSE,"By Code";"Input_Opt",#N/A,FALSE,"By Code"}</definedName>
    <definedName name="熟品1_1_5" hidden="1">{"Input_Fin",#N/A,FALSE,"By Code";"Input_Opt",#N/A,FALSE,"By Code"}</definedName>
    <definedName name="熟品1_2" hidden="1">{"Input_Fin",#N/A,FALSE,"By Code";"Input_Opt",#N/A,FALSE,"By Code"}</definedName>
    <definedName name="熟品1_2_1" hidden="1">{"Input_Fin",#N/A,FALSE,"By Code";"Input_Opt",#N/A,FALSE,"By Code"}</definedName>
    <definedName name="熟品1_2_1_1" hidden="1">{"Input_Fin",#N/A,FALSE,"By Code";"Input_Opt",#N/A,FALSE,"By Code"}</definedName>
    <definedName name="熟品1_2_1_1_1" hidden="1">{"Input_Fin",#N/A,FALSE,"By Code";"Input_Opt",#N/A,FALSE,"By Code"}</definedName>
    <definedName name="熟品1_2_1_1_2" hidden="1">{"Input_Fin",#N/A,FALSE,"By Code";"Input_Opt",#N/A,FALSE,"By Code"}</definedName>
    <definedName name="熟品1_2_1_1_3" hidden="1">{"Input_Fin",#N/A,FALSE,"By Code";"Input_Opt",#N/A,FALSE,"By Code"}</definedName>
    <definedName name="熟品1_2_1_2" hidden="1">{"Input_Fin",#N/A,FALSE,"By Code";"Input_Opt",#N/A,FALSE,"By Code"}</definedName>
    <definedName name="熟品1_2_1_2_1" hidden="1">{"Input_Fin",#N/A,FALSE,"By Code";"Input_Opt",#N/A,FALSE,"By Code"}</definedName>
    <definedName name="熟品1_2_1_2_2" hidden="1">{"Input_Fin",#N/A,FALSE,"By Code";"Input_Opt",#N/A,FALSE,"By Code"}</definedName>
    <definedName name="熟品1_2_1_3" hidden="1">{"Input_Fin",#N/A,FALSE,"By Code";"Input_Opt",#N/A,FALSE,"By Code"}</definedName>
    <definedName name="熟品1_2_1_4" hidden="1">{"Input_Fin",#N/A,FALSE,"By Code";"Input_Opt",#N/A,FALSE,"By Code"}</definedName>
    <definedName name="熟品1_2_2" hidden="1">{"Input_Fin",#N/A,FALSE,"By Code";"Input_Opt",#N/A,FALSE,"By Code"}</definedName>
    <definedName name="熟品1_2_2_1" hidden="1">{"Input_Fin",#N/A,FALSE,"By Code";"Input_Opt",#N/A,FALSE,"By Code"}</definedName>
    <definedName name="熟品1_2_2_2" hidden="1">{"Input_Fin",#N/A,FALSE,"By Code";"Input_Opt",#N/A,FALSE,"By Code"}</definedName>
    <definedName name="熟品1_2_2_3" hidden="1">{"Input_Fin",#N/A,FALSE,"By Code";"Input_Opt",#N/A,FALSE,"By Code"}</definedName>
    <definedName name="熟品1_2_3" hidden="1">{"Input_Fin",#N/A,FALSE,"By Code";"Input_Opt",#N/A,FALSE,"By Code"}</definedName>
    <definedName name="熟品1_2_3_1" hidden="1">{"Input_Fin",#N/A,FALSE,"By Code";"Input_Opt",#N/A,FALSE,"By Code"}</definedName>
    <definedName name="熟品1_2_3_2" hidden="1">{"Input_Fin",#N/A,FALSE,"By Code";"Input_Opt",#N/A,FALSE,"By Code"}</definedName>
    <definedName name="熟品1_2_4" hidden="1">{"Input_Fin",#N/A,FALSE,"By Code";"Input_Opt",#N/A,FALSE,"By Code"}</definedName>
    <definedName name="熟品1_2_5" hidden="1">{"Input_Fin",#N/A,FALSE,"By Code";"Input_Opt",#N/A,FALSE,"By Code"}</definedName>
    <definedName name="熟品1_3" hidden="1">{"Input_Fin",#N/A,FALSE,"By Code";"Input_Opt",#N/A,FALSE,"By Code"}</definedName>
    <definedName name="熟品1_3_1" hidden="1">{"Input_Fin",#N/A,FALSE,"By Code";"Input_Opt",#N/A,FALSE,"By Code"}</definedName>
    <definedName name="熟品1_3_1_1" hidden="1">{"Input_Fin",#N/A,FALSE,"By Code";"Input_Opt",#N/A,FALSE,"By Code"}</definedName>
    <definedName name="熟品1_3_1_1_1" hidden="1">{"Input_Fin",#N/A,FALSE,"By Code";"Input_Opt",#N/A,FALSE,"By Code"}</definedName>
    <definedName name="熟品1_3_1_1_2" hidden="1">{"Input_Fin",#N/A,FALSE,"By Code";"Input_Opt",#N/A,FALSE,"By Code"}</definedName>
    <definedName name="熟品1_3_1_1_3" hidden="1">{"Input_Fin",#N/A,FALSE,"By Code";"Input_Opt",#N/A,FALSE,"By Code"}</definedName>
    <definedName name="熟品1_3_1_2" hidden="1">{"Input_Fin",#N/A,FALSE,"By Code";"Input_Opt",#N/A,FALSE,"By Code"}</definedName>
    <definedName name="熟品1_3_1_2_1" hidden="1">{"Input_Fin",#N/A,FALSE,"By Code";"Input_Opt",#N/A,FALSE,"By Code"}</definedName>
    <definedName name="熟品1_3_1_2_2" hidden="1">{"Input_Fin",#N/A,FALSE,"By Code";"Input_Opt",#N/A,FALSE,"By Code"}</definedName>
    <definedName name="熟品1_3_1_3" hidden="1">{"Input_Fin",#N/A,FALSE,"By Code";"Input_Opt",#N/A,FALSE,"By Code"}</definedName>
    <definedName name="熟品1_3_1_4" hidden="1">{"Input_Fin",#N/A,FALSE,"By Code";"Input_Opt",#N/A,FALSE,"By Code"}</definedName>
    <definedName name="熟品1_3_2" hidden="1">{"Input_Fin",#N/A,FALSE,"By Code";"Input_Opt",#N/A,FALSE,"By Code"}</definedName>
    <definedName name="熟品1_3_2_1" hidden="1">{"Input_Fin",#N/A,FALSE,"By Code";"Input_Opt",#N/A,FALSE,"By Code"}</definedName>
    <definedName name="熟品1_3_2_2" hidden="1">{"Input_Fin",#N/A,FALSE,"By Code";"Input_Opt",#N/A,FALSE,"By Code"}</definedName>
    <definedName name="熟品1_3_2_3" hidden="1">{"Input_Fin",#N/A,FALSE,"By Code";"Input_Opt",#N/A,FALSE,"By Code"}</definedName>
    <definedName name="熟品1_3_3" hidden="1">{"Input_Fin",#N/A,FALSE,"By Code";"Input_Opt",#N/A,FALSE,"By Code"}</definedName>
    <definedName name="熟品1_3_3_1" hidden="1">{"Input_Fin",#N/A,FALSE,"By Code";"Input_Opt",#N/A,FALSE,"By Code"}</definedName>
    <definedName name="熟品1_3_3_2" hidden="1">{"Input_Fin",#N/A,FALSE,"By Code";"Input_Opt",#N/A,FALSE,"By Code"}</definedName>
    <definedName name="熟品1_3_4" hidden="1">{"Input_Fin",#N/A,FALSE,"By Code";"Input_Opt",#N/A,FALSE,"By Code"}</definedName>
    <definedName name="熟品1_3_5" hidden="1">{"Input_Fin",#N/A,FALSE,"By Code";"Input_Opt",#N/A,FALSE,"By Code"}</definedName>
    <definedName name="熟品1_4" hidden="1">{"Input_Fin",#N/A,FALSE,"By Code";"Input_Opt",#N/A,FALSE,"By Code"}</definedName>
    <definedName name="熟品1_4_1" hidden="1">{"Input_Fin",#N/A,FALSE,"By Code";"Input_Opt",#N/A,FALSE,"By Code"}</definedName>
    <definedName name="熟品1_4_1_1" hidden="1">{"Input_Fin",#N/A,FALSE,"By Code";"Input_Opt",#N/A,FALSE,"By Code"}</definedName>
    <definedName name="熟品1_4_1_1_1" hidden="1">{"Input_Fin",#N/A,FALSE,"By Code";"Input_Opt",#N/A,FALSE,"By Code"}</definedName>
    <definedName name="熟品1_4_1_1_2" hidden="1">{"Input_Fin",#N/A,FALSE,"By Code";"Input_Opt",#N/A,FALSE,"By Code"}</definedName>
    <definedName name="熟品1_4_1_1_3" hidden="1">{"Input_Fin",#N/A,FALSE,"By Code";"Input_Opt",#N/A,FALSE,"By Code"}</definedName>
    <definedName name="熟品1_4_1_2" hidden="1">{"Input_Fin",#N/A,FALSE,"By Code";"Input_Opt",#N/A,FALSE,"By Code"}</definedName>
    <definedName name="熟品1_4_1_2_1" hidden="1">{"Input_Fin",#N/A,FALSE,"By Code";"Input_Opt",#N/A,FALSE,"By Code"}</definedName>
    <definedName name="熟品1_4_1_2_2" hidden="1">{"Input_Fin",#N/A,FALSE,"By Code";"Input_Opt",#N/A,FALSE,"By Code"}</definedName>
    <definedName name="熟品1_4_1_3" hidden="1">{"Input_Fin",#N/A,FALSE,"By Code";"Input_Opt",#N/A,FALSE,"By Code"}</definedName>
    <definedName name="熟品1_4_1_4" hidden="1">{"Input_Fin",#N/A,FALSE,"By Code";"Input_Opt",#N/A,FALSE,"By Code"}</definedName>
    <definedName name="熟品1_4_2" hidden="1">{"Input_Fin",#N/A,FALSE,"By Code";"Input_Opt",#N/A,FALSE,"By Code"}</definedName>
    <definedName name="熟品1_4_2_1" hidden="1">{"Input_Fin",#N/A,FALSE,"By Code";"Input_Opt",#N/A,FALSE,"By Code"}</definedName>
    <definedName name="熟品1_4_2_2" hidden="1">{"Input_Fin",#N/A,FALSE,"By Code";"Input_Opt",#N/A,FALSE,"By Code"}</definedName>
    <definedName name="熟品1_4_2_3" hidden="1">{"Input_Fin",#N/A,FALSE,"By Code";"Input_Opt",#N/A,FALSE,"By Code"}</definedName>
    <definedName name="熟品1_4_3" hidden="1">{"Input_Fin",#N/A,FALSE,"By Code";"Input_Opt",#N/A,FALSE,"By Code"}</definedName>
    <definedName name="熟品1_4_3_1" hidden="1">{"Input_Fin",#N/A,FALSE,"By Code";"Input_Opt",#N/A,FALSE,"By Code"}</definedName>
    <definedName name="熟品1_4_3_2" hidden="1">{"Input_Fin",#N/A,FALSE,"By Code";"Input_Opt",#N/A,FALSE,"By Code"}</definedName>
    <definedName name="熟品1_4_4" hidden="1">{"Input_Fin",#N/A,FALSE,"By Code";"Input_Opt",#N/A,FALSE,"By Code"}</definedName>
    <definedName name="熟品1_4_5" hidden="1">{"Input_Fin",#N/A,FALSE,"By Code";"Input_Opt",#N/A,FALSE,"By Code"}</definedName>
    <definedName name="熟品1_5" hidden="1">{"Input_Fin",#N/A,FALSE,"By Code";"Input_Opt",#N/A,FALSE,"By Code"}</definedName>
    <definedName name="熟品1_5_1" hidden="1">{"Input_Fin",#N/A,FALSE,"By Code";"Input_Opt",#N/A,FALSE,"By Code"}</definedName>
    <definedName name="熟品1_5_1_1" hidden="1">{"Input_Fin",#N/A,FALSE,"By Code";"Input_Opt",#N/A,FALSE,"By Code"}</definedName>
    <definedName name="熟品1_5_1_1_1" hidden="1">{"Input_Fin",#N/A,FALSE,"By Code";"Input_Opt",#N/A,FALSE,"By Code"}</definedName>
    <definedName name="熟品1_5_1_1_2" hidden="1">{"Input_Fin",#N/A,FALSE,"By Code";"Input_Opt",#N/A,FALSE,"By Code"}</definedName>
    <definedName name="熟品1_5_1_1_3" hidden="1">{"Input_Fin",#N/A,FALSE,"By Code";"Input_Opt",#N/A,FALSE,"By Code"}</definedName>
    <definedName name="熟品1_5_1_2" hidden="1">{"Input_Fin",#N/A,FALSE,"By Code";"Input_Opt",#N/A,FALSE,"By Code"}</definedName>
    <definedName name="熟品1_5_1_2_1" hidden="1">{"Input_Fin",#N/A,FALSE,"By Code";"Input_Opt",#N/A,FALSE,"By Code"}</definedName>
    <definedName name="熟品1_5_1_2_2" hidden="1">{"Input_Fin",#N/A,FALSE,"By Code";"Input_Opt",#N/A,FALSE,"By Code"}</definedName>
    <definedName name="熟品1_5_1_3" hidden="1">{"Input_Fin",#N/A,FALSE,"By Code";"Input_Opt",#N/A,FALSE,"By Code"}</definedName>
    <definedName name="熟品1_5_1_4" hidden="1">{"Input_Fin",#N/A,FALSE,"By Code";"Input_Opt",#N/A,FALSE,"By Code"}</definedName>
    <definedName name="熟品1_5_2" hidden="1">{"Input_Fin",#N/A,FALSE,"By Code";"Input_Opt",#N/A,FALSE,"By Code"}</definedName>
    <definedName name="熟品1_5_2_1" hidden="1">{"Input_Fin",#N/A,FALSE,"By Code";"Input_Opt",#N/A,FALSE,"By Code"}</definedName>
    <definedName name="熟品1_5_2_2" hidden="1">{"Input_Fin",#N/A,FALSE,"By Code";"Input_Opt",#N/A,FALSE,"By Code"}</definedName>
    <definedName name="熟品1_5_2_3" hidden="1">{"Input_Fin",#N/A,FALSE,"By Code";"Input_Opt",#N/A,FALSE,"By Code"}</definedName>
    <definedName name="熟品1_5_3" hidden="1">{"Input_Fin",#N/A,FALSE,"By Code";"Input_Opt",#N/A,FALSE,"By Code"}</definedName>
    <definedName name="熟品1_5_3_1" hidden="1">{"Input_Fin",#N/A,FALSE,"By Code";"Input_Opt",#N/A,FALSE,"By Code"}</definedName>
    <definedName name="熟品1_5_3_2" hidden="1">{"Input_Fin",#N/A,FALSE,"By Code";"Input_Opt",#N/A,FALSE,"By Code"}</definedName>
    <definedName name="熟品1_5_4" hidden="1">{"Input_Fin",#N/A,FALSE,"By Code";"Input_Opt",#N/A,FALSE,"By Code"}</definedName>
    <definedName name="熟品1_5_5" hidden="1">{"Input_Fin",#N/A,FALSE,"By Code";"Input_Opt",#N/A,FALSE,"By Code"}</definedName>
    <definedName name="熟品6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食" hidden="1">{"Input_Fin",#N/A,FALSE,"By Code";"Input_Opt",#N/A,FALSE,"By Code"}</definedName>
    <definedName name="水产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1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斯蒂芬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饲料其他应付款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宋杨" localSheetId="12" hidden="1">{"Input_Fin",#N/A,FALSE,"By Code";"Input_Opt",#N/A,FALSE,"By Code"}</definedName>
    <definedName name="宋杨" hidden="1">{"Input_Fin",#N/A,FALSE,"By Code";"Input_Opt",#N/A,FALSE,"By Code"}</definedName>
    <definedName name="宋杨_1" hidden="1">{"Input_Fin",#N/A,FALSE,"By Code";"Input_Opt",#N/A,FALSE,"By Code"}</definedName>
    <definedName name="宋杨_1_1" hidden="1">{"Input_Fin",#N/A,FALSE,"By Code";"Input_Opt",#N/A,FALSE,"By Code"}</definedName>
    <definedName name="宋杨_1_1_1" hidden="1">{"Input_Fin",#N/A,FALSE,"By Code";"Input_Opt",#N/A,FALSE,"By Code"}</definedName>
    <definedName name="宋杨_1_1_2" hidden="1">{"Input_Fin",#N/A,FALSE,"By Code";"Input_Opt",#N/A,FALSE,"By Code"}</definedName>
    <definedName name="宋杨_1_1_3" hidden="1">{"Input_Fin",#N/A,FALSE,"By Code";"Input_Opt",#N/A,FALSE,"By Code"}</definedName>
    <definedName name="宋杨_1_2" hidden="1">{"Input_Fin",#N/A,FALSE,"By Code";"Input_Opt",#N/A,FALSE,"By Code"}</definedName>
    <definedName name="宋杨_1_2_1" hidden="1">{"Input_Fin",#N/A,FALSE,"By Code";"Input_Opt",#N/A,FALSE,"By Code"}</definedName>
    <definedName name="宋杨_1_2_2" hidden="1">{"Input_Fin",#N/A,FALSE,"By Code";"Input_Opt",#N/A,FALSE,"By Code"}</definedName>
    <definedName name="宋杨_1_3" hidden="1">{"Input_Fin",#N/A,FALSE,"By Code";"Input_Opt",#N/A,FALSE,"By Code"}</definedName>
    <definedName name="宋杨_1_4" hidden="1">{"Input_Fin",#N/A,FALSE,"By Code";"Input_Opt",#N/A,FALSE,"By Code"}</definedName>
    <definedName name="宋杨_2" hidden="1">{"Input_Fin",#N/A,FALSE,"By Code";"Input_Opt",#N/A,FALSE,"By Code"}</definedName>
    <definedName name="宋杨_2_1" hidden="1">{"Input_Fin",#N/A,FALSE,"By Code";"Input_Opt",#N/A,FALSE,"By Code"}</definedName>
    <definedName name="宋杨_2_2" hidden="1">{"Input_Fin",#N/A,FALSE,"By Code";"Input_Opt",#N/A,FALSE,"By Code"}</definedName>
    <definedName name="宋杨_2_3" hidden="1">{"Input_Fin",#N/A,FALSE,"By Code";"Input_Opt",#N/A,FALSE,"By Code"}</definedName>
    <definedName name="宋杨_3" hidden="1">{"Input_Fin",#N/A,FALSE,"By Code";"Input_Opt",#N/A,FALSE,"By Code"}</definedName>
    <definedName name="宋杨_3_1" hidden="1">{"Input_Fin",#N/A,FALSE,"By Code";"Input_Opt",#N/A,FALSE,"By Code"}</definedName>
    <definedName name="宋杨_3_2" hidden="1">{"Input_Fin",#N/A,FALSE,"By Code";"Input_Opt",#N/A,FALSE,"By Code"}</definedName>
    <definedName name="宋杨_4" hidden="1">{"Input_Fin",#N/A,FALSE,"By Code";"Input_Opt",#N/A,FALSE,"By Code"}</definedName>
    <definedName name="宋杨_5" hidden="1">{"Input_Fin",#N/A,FALSE,"By Code";"Input_Opt",#N/A,FALSE,"By Code"}</definedName>
    <definedName name="送货次数" localSheetId="12" hidden="1">{"Input_Fin",#N/A,FALSE,"By Code";"Input_Opt",#N/A,FALSE,"By Code"}</definedName>
    <definedName name="送货次数" hidden="1">{"Input_Fin",#N/A,FALSE,"By Code";"Input_Opt",#N/A,FALSE,"By Code"}</definedName>
    <definedName name="送货次数_1" hidden="1">{"Input_Fin",#N/A,FALSE,"By Code";"Input_Opt",#N/A,FALSE,"By Code"}</definedName>
    <definedName name="送货次数_1_1" hidden="1">{"Input_Fin",#N/A,FALSE,"By Code";"Input_Opt",#N/A,FALSE,"By Code"}</definedName>
    <definedName name="送货次数_1_1_1" hidden="1">{"Input_Fin",#N/A,FALSE,"By Code";"Input_Opt",#N/A,FALSE,"By Code"}</definedName>
    <definedName name="送货次数_1_1_1_1" hidden="1">{"Input_Fin",#N/A,FALSE,"By Code";"Input_Opt",#N/A,FALSE,"By Code"}</definedName>
    <definedName name="送货次数_1_1_1_1_1" hidden="1">{"Input_Fin",#N/A,FALSE,"By Code";"Input_Opt",#N/A,FALSE,"By Code"}</definedName>
    <definedName name="送货次数_1_1_1_1_2" hidden="1">{"Input_Fin",#N/A,FALSE,"By Code";"Input_Opt",#N/A,FALSE,"By Code"}</definedName>
    <definedName name="送货次数_1_1_1_1_3" hidden="1">{"Input_Fin",#N/A,FALSE,"By Code";"Input_Opt",#N/A,FALSE,"By Code"}</definedName>
    <definedName name="送货次数_1_1_1_2" hidden="1">{"Input_Fin",#N/A,FALSE,"By Code";"Input_Opt",#N/A,FALSE,"By Code"}</definedName>
    <definedName name="送货次数_1_1_1_2_1" hidden="1">{"Input_Fin",#N/A,FALSE,"By Code";"Input_Opt",#N/A,FALSE,"By Code"}</definedName>
    <definedName name="送货次数_1_1_1_2_2" hidden="1">{"Input_Fin",#N/A,FALSE,"By Code";"Input_Opt",#N/A,FALSE,"By Code"}</definedName>
    <definedName name="送货次数_1_1_1_3" hidden="1">{"Input_Fin",#N/A,FALSE,"By Code";"Input_Opt",#N/A,FALSE,"By Code"}</definedName>
    <definedName name="送货次数_1_1_1_3_1" hidden="1">{"Input_Fin",#N/A,FALSE,"By Code";"Input_Opt",#N/A,FALSE,"By Code"}</definedName>
    <definedName name="送货次数_1_1_1_3_2" hidden="1">{"Input_Fin",#N/A,FALSE,"By Code";"Input_Opt",#N/A,FALSE,"By Code"}</definedName>
    <definedName name="送货次数_1_1_1_4" hidden="1">{"Input_Fin",#N/A,FALSE,"By Code";"Input_Opt",#N/A,FALSE,"By Code"}</definedName>
    <definedName name="送货次数_1_1_1_5" hidden="1">{"Input_Fin",#N/A,FALSE,"By Code";"Input_Opt",#N/A,FALSE,"By Code"}</definedName>
    <definedName name="送货次数_1_1_2" hidden="1">{"Input_Fin",#N/A,FALSE,"By Code";"Input_Opt",#N/A,FALSE,"By Code"}</definedName>
    <definedName name="送货次数_1_1_2_1" hidden="1">{"Input_Fin",#N/A,FALSE,"By Code";"Input_Opt",#N/A,FALSE,"By Code"}</definedName>
    <definedName name="送货次数_1_1_2_2" hidden="1">{"Input_Fin",#N/A,FALSE,"By Code";"Input_Opt",#N/A,FALSE,"By Code"}</definedName>
    <definedName name="送货次数_1_1_2_3" hidden="1">{"Input_Fin",#N/A,FALSE,"By Code";"Input_Opt",#N/A,FALSE,"By Code"}</definedName>
    <definedName name="送货次数_1_1_3" hidden="1">{"Input_Fin",#N/A,FALSE,"By Code";"Input_Opt",#N/A,FALSE,"By Code"}</definedName>
    <definedName name="送货次数_1_1_3_1" hidden="1">{"Input_Fin",#N/A,FALSE,"By Code";"Input_Opt",#N/A,FALSE,"By Code"}</definedName>
    <definedName name="送货次数_1_1_3_2" hidden="1">{"Input_Fin",#N/A,FALSE,"By Code";"Input_Opt",#N/A,FALSE,"By Code"}</definedName>
    <definedName name="送货次数_1_1_4" hidden="1">{"Input_Fin",#N/A,FALSE,"By Code";"Input_Opt",#N/A,FALSE,"By Code"}</definedName>
    <definedName name="送货次数_1_1_5" hidden="1">{"Input_Fin",#N/A,FALSE,"By Code";"Input_Opt",#N/A,FALSE,"By Code"}</definedName>
    <definedName name="送货次数_1_2" hidden="1">{"Input_Fin",#N/A,FALSE,"By Code";"Input_Opt",#N/A,FALSE,"By Code"}</definedName>
    <definedName name="送货次数_1_2_1" hidden="1">{"Input_Fin",#N/A,FALSE,"By Code";"Input_Opt",#N/A,FALSE,"By Code"}</definedName>
    <definedName name="送货次数_1_2_2" hidden="1">{"Input_Fin",#N/A,FALSE,"By Code";"Input_Opt",#N/A,FALSE,"By Code"}</definedName>
    <definedName name="送货次数_1_2_3" hidden="1">{"Input_Fin",#N/A,FALSE,"By Code";"Input_Opt",#N/A,FALSE,"By Code"}</definedName>
    <definedName name="送货次数_1_3" hidden="1">{"Input_Fin",#N/A,FALSE,"By Code";"Input_Opt",#N/A,FALSE,"By Code"}</definedName>
    <definedName name="送货次数_1_3_1" hidden="1">{"Input_Fin",#N/A,FALSE,"By Code";"Input_Opt",#N/A,FALSE,"By Code"}</definedName>
    <definedName name="送货次数_1_3_2" hidden="1">{"Input_Fin",#N/A,FALSE,"By Code";"Input_Opt",#N/A,FALSE,"By Code"}</definedName>
    <definedName name="送货次数_1_4" hidden="1">{"Input_Fin",#N/A,FALSE,"By Code";"Input_Opt",#N/A,FALSE,"By Code"}</definedName>
    <definedName name="送货次数_1_5" hidden="1">{"Input_Fin",#N/A,FALSE,"By Code";"Input_Opt",#N/A,FALSE,"By Code"}</definedName>
    <definedName name="送货次数_2" hidden="1">{"Input_Fin",#N/A,FALSE,"By Code";"Input_Opt",#N/A,FALSE,"By Code"}</definedName>
    <definedName name="送货次数_2_1" hidden="1">{"Input_Fin",#N/A,FALSE,"By Code";"Input_Opt",#N/A,FALSE,"By Code"}</definedName>
    <definedName name="送货次数_2_1_1" hidden="1">{"Input_Fin",#N/A,FALSE,"By Code";"Input_Opt",#N/A,FALSE,"By Code"}</definedName>
    <definedName name="送货次数_2_1_1_1" hidden="1">{"Input_Fin",#N/A,FALSE,"By Code";"Input_Opt",#N/A,FALSE,"By Code"}</definedName>
    <definedName name="送货次数_2_1_1_2" hidden="1">{"Input_Fin",#N/A,FALSE,"By Code";"Input_Opt",#N/A,FALSE,"By Code"}</definedName>
    <definedName name="送货次数_2_1_1_3" hidden="1">{"Input_Fin",#N/A,FALSE,"By Code";"Input_Opt",#N/A,FALSE,"By Code"}</definedName>
    <definedName name="送货次数_2_1_2" hidden="1">{"Input_Fin",#N/A,FALSE,"By Code";"Input_Opt",#N/A,FALSE,"By Code"}</definedName>
    <definedName name="送货次数_2_1_2_1" hidden="1">{"Input_Fin",#N/A,FALSE,"By Code";"Input_Opt",#N/A,FALSE,"By Code"}</definedName>
    <definedName name="送货次数_2_1_2_2" hidden="1">{"Input_Fin",#N/A,FALSE,"By Code";"Input_Opt",#N/A,FALSE,"By Code"}</definedName>
    <definedName name="送货次数_2_1_3" hidden="1">{"Input_Fin",#N/A,FALSE,"By Code";"Input_Opt",#N/A,FALSE,"By Code"}</definedName>
    <definedName name="送货次数_2_1_4" hidden="1">{"Input_Fin",#N/A,FALSE,"By Code";"Input_Opt",#N/A,FALSE,"By Code"}</definedName>
    <definedName name="送货次数_2_2" hidden="1">{"Input_Fin",#N/A,FALSE,"By Code";"Input_Opt",#N/A,FALSE,"By Code"}</definedName>
    <definedName name="送货次数_2_2_1" hidden="1">{"Input_Fin",#N/A,FALSE,"By Code";"Input_Opt",#N/A,FALSE,"By Code"}</definedName>
    <definedName name="送货次数_2_2_2" hidden="1">{"Input_Fin",#N/A,FALSE,"By Code";"Input_Opt",#N/A,FALSE,"By Code"}</definedName>
    <definedName name="送货次数_2_2_3" hidden="1">{"Input_Fin",#N/A,FALSE,"By Code";"Input_Opt",#N/A,FALSE,"By Code"}</definedName>
    <definedName name="送货次数_2_3" hidden="1">{"Input_Fin",#N/A,FALSE,"By Code";"Input_Opt",#N/A,FALSE,"By Code"}</definedName>
    <definedName name="送货次数_2_3_1" hidden="1">{"Input_Fin",#N/A,FALSE,"By Code";"Input_Opt",#N/A,FALSE,"By Code"}</definedName>
    <definedName name="送货次数_2_3_2" hidden="1">{"Input_Fin",#N/A,FALSE,"By Code";"Input_Opt",#N/A,FALSE,"By Code"}</definedName>
    <definedName name="送货次数_2_4" hidden="1">{"Input_Fin",#N/A,FALSE,"By Code";"Input_Opt",#N/A,FALSE,"By Code"}</definedName>
    <definedName name="送货次数_2_5" hidden="1">{"Input_Fin",#N/A,FALSE,"By Code";"Input_Opt",#N/A,FALSE,"By Code"}</definedName>
    <definedName name="送货次数_3" hidden="1">{"Input_Fin",#N/A,FALSE,"By Code";"Input_Opt",#N/A,FALSE,"By Code"}</definedName>
    <definedName name="送货次数_3_1" hidden="1">{"Input_Fin",#N/A,FALSE,"By Code";"Input_Opt",#N/A,FALSE,"By Code"}</definedName>
    <definedName name="送货次数_3_1_1" hidden="1">{"Input_Fin",#N/A,FALSE,"By Code";"Input_Opt",#N/A,FALSE,"By Code"}</definedName>
    <definedName name="送货次数_3_1_1_1" hidden="1">{"Input_Fin",#N/A,FALSE,"By Code";"Input_Opt",#N/A,FALSE,"By Code"}</definedName>
    <definedName name="送货次数_3_1_1_2" hidden="1">{"Input_Fin",#N/A,FALSE,"By Code";"Input_Opt",#N/A,FALSE,"By Code"}</definedName>
    <definedName name="送货次数_3_1_1_3" hidden="1">{"Input_Fin",#N/A,FALSE,"By Code";"Input_Opt",#N/A,FALSE,"By Code"}</definedName>
    <definedName name="送货次数_3_1_2" hidden="1">{"Input_Fin",#N/A,FALSE,"By Code";"Input_Opt",#N/A,FALSE,"By Code"}</definedName>
    <definedName name="送货次数_3_1_2_1" hidden="1">{"Input_Fin",#N/A,FALSE,"By Code";"Input_Opt",#N/A,FALSE,"By Code"}</definedName>
    <definedName name="送货次数_3_1_2_2" hidden="1">{"Input_Fin",#N/A,FALSE,"By Code";"Input_Opt",#N/A,FALSE,"By Code"}</definedName>
    <definedName name="送货次数_3_1_3" hidden="1">{"Input_Fin",#N/A,FALSE,"By Code";"Input_Opt",#N/A,FALSE,"By Code"}</definedName>
    <definedName name="送货次数_3_1_4" hidden="1">{"Input_Fin",#N/A,FALSE,"By Code";"Input_Opt",#N/A,FALSE,"By Code"}</definedName>
    <definedName name="送货次数_3_2" hidden="1">{"Input_Fin",#N/A,FALSE,"By Code";"Input_Opt",#N/A,FALSE,"By Code"}</definedName>
    <definedName name="送货次数_3_2_1" hidden="1">{"Input_Fin",#N/A,FALSE,"By Code";"Input_Opt",#N/A,FALSE,"By Code"}</definedName>
    <definedName name="送货次数_3_2_2" hidden="1">{"Input_Fin",#N/A,FALSE,"By Code";"Input_Opt",#N/A,FALSE,"By Code"}</definedName>
    <definedName name="送货次数_3_2_3" hidden="1">{"Input_Fin",#N/A,FALSE,"By Code";"Input_Opt",#N/A,FALSE,"By Code"}</definedName>
    <definedName name="送货次数_3_3" hidden="1">{"Input_Fin",#N/A,FALSE,"By Code";"Input_Opt",#N/A,FALSE,"By Code"}</definedName>
    <definedName name="送货次数_3_3_1" hidden="1">{"Input_Fin",#N/A,FALSE,"By Code";"Input_Opt",#N/A,FALSE,"By Code"}</definedName>
    <definedName name="送货次数_3_3_2" hidden="1">{"Input_Fin",#N/A,FALSE,"By Code";"Input_Opt",#N/A,FALSE,"By Code"}</definedName>
    <definedName name="送货次数_3_4" hidden="1">{"Input_Fin",#N/A,FALSE,"By Code";"Input_Opt",#N/A,FALSE,"By Code"}</definedName>
    <definedName name="送货次数_3_5" hidden="1">{"Input_Fin",#N/A,FALSE,"By Code";"Input_Opt",#N/A,FALSE,"By Code"}</definedName>
    <definedName name="送货次数_4" hidden="1">{"Input_Fin",#N/A,FALSE,"By Code";"Input_Opt",#N/A,FALSE,"By Code"}</definedName>
    <definedName name="送货次数_4_1" hidden="1">{"Input_Fin",#N/A,FALSE,"By Code";"Input_Opt",#N/A,FALSE,"By Code"}</definedName>
    <definedName name="送货次数_4_1_1" hidden="1">{"Input_Fin",#N/A,FALSE,"By Code";"Input_Opt",#N/A,FALSE,"By Code"}</definedName>
    <definedName name="送货次数_4_1_1_1" hidden="1">{"Input_Fin",#N/A,FALSE,"By Code";"Input_Opt",#N/A,FALSE,"By Code"}</definedName>
    <definedName name="送货次数_4_1_1_2" hidden="1">{"Input_Fin",#N/A,FALSE,"By Code";"Input_Opt",#N/A,FALSE,"By Code"}</definedName>
    <definedName name="送货次数_4_1_1_3" hidden="1">{"Input_Fin",#N/A,FALSE,"By Code";"Input_Opt",#N/A,FALSE,"By Code"}</definedName>
    <definedName name="送货次数_4_1_2" hidden="1">{"Input_Fin",#N/A,FALSE,"By Code";"Input_Opt",#N/A,FALSE,"By Code"}</definedName>
    <definedName name="送货次数_4_1_2_1" hidden="1">{"Input_Fin",#N/A,FALSE,"By Code";"Input_Opt",#N/A,FALSE,"By Code"}</definedName>
    <definedName name="送货次数_4_1_2_2" hidden="1">{"Input_Fin",#N/A,FALSE,"By Code";"Input_Opt",#N/A,FALSE,"By Code"}</definedName>
    <definedName name="送货次数_4_1_3" hidden="1">{"Input_Fin",#N/A,FALSE,"By Code";"Input_Opt",#N/A,FALSE,"By Code"}</definedName>
    <definedName name="送货次数_4_1_4" hidden="1">{"Input_Fin",#N/A,FALSE,"By Code";"Input_Opt",#N/A,FALSE,"By Code"}</definedName>
    <definedName name="送货次数_4_2" hidden="1">{"Input_Fin",#N/A,FALSE,"By Code";"Input_Opt",#N/A,FALSE,"By Code"}</definedName>
    <definedName name="送货次数_4_2_1" hidden="1">{"Input_Fin",#N/A,FALSE,"By Code";"Input_Opt",#N/A,FALSE,"By Code"}</definedName>
    <definedName name="送货次数_4_2_2" hidden="1">{"Input_Fin",#N/A,FALSE,"By Code";"Input_Opt",#N/A,FALSE,"By Code"}</definedName>
    <definedName name="送货次数_4_2_3" hidden="1">{"Input_Fin",#N/A,FALSE,"By Code";"Input_Opt",#N/A,FALSE,"By Code"}</definedName>
    <definedName name="送货次数_4_3" hidden="1">{"Input_Fin",#N/A,FALSE,"By Code";"Input_Opt",#N/A,FALSE,"By Code"}</definedName>
    <definedName name="送货次数_4_3_1" hidden="1">{"Input_Fin",#N/A,FALSE,"By Code";"Input_Opt",#N/A,FALSE,"By Code"}</definedName>
    <definedName name="送货次数_4_3_2" hidden="1">{"Input_Fin",#N/A,FALSE,"By Code";"Input_Opt",#N/A,FALSE,"By Code"}</definedName>
    <definedName name="送货次数_4_4" hidden="1">{"Input_Fin",#N/A,FALSE,"By Code";"Input_Opt",#N/A,FALSE,"By Code"}</definedName>
    <definedName name="送货次数_4_5" hidden="1">{"Input_Fin",#N/A,FALSE,"By Code";"Input_Opt",#N/A,FALSE,"By Code"}</definedName>
    <definedName name="送货次数_5" hidden="1">{"Input_Fin",#N/A,FALSE,"By Code";"Input_Opt",#N/A,FALSE,"By Code"}</definedName>
    <definedName name="送货次数_5_1" hidden="1">{"Input_Fin",#N/A,FALSE,"By Code";"Input_Opt",#N/A,FALSE,"By Code"}</definedName>
    <definedName name="送货次数_5_1_1" hidden="1">{"Input_Fin",#N/A,FALSE,"By Code";"Input_Opt",#N/A,FALSE,"By Code"}</definedName>
    <definedName name="送货次数_5_1_1_1" hidden="1">{"Input_Fin",#N/A,FALSE,"By Code";"Input_Opt",#N/A,FALSE,"By Code"}</definedName>
    <definedName name="送货次数_5_1_1_2" hidden="1">{"Input_Fin",#N/A,FALSE,"By Code";"Input_Opt",#N/A,FALSE,"By Code"}</definedName>
    <definedName name="送货次数_5_1_1_3" hidden="1">{"Input_Fin",#N/A,FALSE,"By Code";"Input_Opt",#N/A,FALSE,"By Code"}</definedName>
    <definedName name="送货次数_5_1_2" hidden="1">{"Input_Fin",#N/A,FALSE,"By Code";"Input_Opt",#N/A,FALSE,"By Code"}</definedName>
    <definedName name="送货次数_5_1_2_1" hidden="1">{"Input_Fin",#N/A,FALSE,"By Code";"Input_Opt",#N/A,FALSE,"By Code"}</definedName>
    <definedName name="送货次数_5_1_2_2" hidden="1">{"Input_Fin",#N/A,FALSE,"By Code";"Input_Opt",#N/A,FALSE,"By Code"}</definedName>
    <definedName name="送货次数_5_1_3" hidden="1">{"Input_Fin",#N/A,FALSE,"By Code";"Input_Opt",#N/A,FALSE,"By Code"}</definedName>
    <definedName name="送货次数_5_1_4" hidden="1">{"Input_Fin",#N/A,FALSE,"By Code";"Input_Opt",#N/A,FALSE,"By Code"}</definedName>
    <definedName name="送货次数_5_2" hidden="1">{"Input_Fin",#N/A,FALSE,"By Code";"Input_Opt",#N/A,FALSE,"By Code"}</definedName>
    <definedName name="送货次数_5_2_1" hidden="1">{"Input_Fin",#N/A,FALSE,"By Code";"Input_Opt",#N/A,FALSE,"By Code"}</definedName>
    <definedName name="送货次数_5_2_2" hidden="1">{"Input_Fin",#N/A,FALSE,"By Code";"Input_Opt",#N/A,FALSE,"By Code"}</definedName>
    <definedName name="送货次数_5_2_3" hidden="1">{"Input_Fin",#N/A,FALSE,"By Code";"Input_Opt",#N/A,FALSE,"By Code"}</definedName>
    <definedName name="送货次数_5_3" hidden="1">{"Input_Fin",#N/A,FALSE,"By Code";"Input_Opt",#N/A,FALSE,"By Code"}</definedName>
    <definedName name="送货次数_5_3_1" hidden="1">{"Input_Fin",#N/A,FALSE,"By Code";"Input_Opt",#N/A,FALSE,"By Code"}</definedName>
    <definedName name="送货次数_5_3_2" hidden="1">{"Input_Fin",#N/A,FALSE,"By Code";"Input_Opt",#N/A,FALSE,"By Code"}</definedName>
    <definedName name="送货次数_5_4" hidden="1">{"Input_Fin",#N/A,FALSE,"By Code";"Input_Opt",#N/A,FALSE,"By Code"}</definedName>
    <definedName name="送货次数_5_5" hidden="1">{"Input_Fin",#N/A,FALSE,"By Code";"Input_Opt",#N/A,FALSE,"By Code"}</definedName>
    <definedName name="遂川价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遂川价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所得税" localSheetId="12" hidden="1">{"'Sheet4'!$A$1:$L$41"}</definedName>
    <definedName name="所得税" hidden="1">{"'Sheet4'!$A$1:$L$41"}</definedName>
    <definedName name="琐琐碎碎" hidden="1">{"Input_Fin",#N/A,FALSE,"By Code";"Input_Opt",#N/A,FALSE,"By Code"}</definedName>
    <definedName name="特殊及使用缓慢辅料明细" hidden="1">{"'Sheet4'!$A$1:$L$41"}</definedName>
    <definedName name="天安">#N/A</definedName>
    <definedName name="甜甜的" localSheetId="12" hidden="1">{"Input_Fin",#N/A,FALSE,"By Code";"Input_Opt",#N/A,FALSE,"By Code"}</definedName>
    <definedName name="甜甜的" hidden="1">{"Input_Fin",#N/A,FALSE,"By Code";"Input_Opt",#N/A,FALSE,"By Code"}</definedName>
    <definedName name="甜甜的_1" hidden="1">{"Input_Fin",#N/A,FALSE,"By Code";"Input_Opt",#N/A,FALSE,"By Code"}</definedName>
    <definedName name="甜甜的_1_1" hidden="1">{"Input_Fin",#N/A,FALSE,"By Code";"Input_Opt",#N/A,FALSE,"By Code"}</definedName>
    <definedName name="甜甜的_1_1_1" hidden="1">{"Input_Fin",#N/A,FALSE,"By Code";"Input_Opt",#N/A,FALSE,"By Code"}</definedName>
    <definedName name="甜甜的_1_1_2" hidden="1">{"Input_Fin",#N/A,FALSE,"By Code";"Input_Opt",#N/A,FALSE,"By Code"}</definedName>
    <definedName name="甜甜的_1_1_3" hidden="1">{"Input_Fin",#N/A,FALSE,"By Code";"Input_Opt",#N/A,FALSE,"By Code"}</definedName>
    <definedName name="甜甜的_1_2" hidden="1">{"Input_Fin",#N/A,FALSE,"By Code";"Input_Opt",#N/A,FALSE,"By Code"}</definedName>
    <definedName name="甜甜的_1_2_1" hidden="1">{"Input_Fin",#N/A,FALSE,"By Code";"Input_Opt",#N/A,FALSE,"By Code"}</definedName>
    <definedName name="甜甜的_1_2_2" hidden="1">{"Input_Fin",#N/A,FALSE,"By Code";"Input_Opt",#N/A,FALSE,"By Code"}</definedName>
    <definedName name="甜甜的_1_3" hidden="1">{"Input_Fin",#N/A,FALSE,"By Code";"Input_Opt",#N/A,FALSE,"By Code"}</definedName>
    <definedName name="甜甜的_1_4" hidden="1">{"Input_Fin",#N/A,FALSE,"By Code";"Input_Opt",#N/A,FALSE,"By Code"}</definedName>
    <definedName name="甜甜的_2" hidden="1">{"Input_Fin",#N/A,FALSE,"By Code";"Input_Opt",#N/A,FALSE,"By Code"}</definedName>
    <definedName name="甜甜的_2_1" hidden="1">{"Input_Fin",#N/A,FALSE,"By Code";"Input_Opt",#N/A,FALSE,"By Code"}</definedName>
    <definedName name="甜甜的_2_2" hidden="1">{"Input_Fin",#N/A,FALSE,"By Code";"Input_Opt",#N/A,FALSE,"By Code"}</definedName>
    <definedName name="甜甜的_2_3" hidden="1">{"Input_Fin",#N/A,FALSE,"By Code";"Input_Opt",#N/A,FALSE,"By Code"}</definedName>
    <definedName name="甜甜的_3" hidden="1">{"Input_Fin",#N/A,FALSE,"By Code";"Input_Opt",#N/A,FALSE,"By Code"}</definedName>
    <definedName name="甜甜的_3_1" hidden="1">{"Input_Fin",#N/A,FALSE,"By Code";"Input_Opt",#N/A,FALSE,"By Code"}</definedName>
    <definedName name="甜甜的_3_2" hidden="1">{"Input_Fin",#N/A,FALSE,"By Code";"Input_Opt",#N/A,FALSE,"By Code"}</definedName>
    <definedName name="甜甜的_4" hidden="1">{"Input_Fin",#N/A,FALSE,"By Code";"Input_Opt",#N/A,FALSE,"By Code"}</definedName>
    <definedName name="甜甜的_5" hidden="1">{"Input_Fin",#N/A,FALSE,"By Code";"Input_Opt",#N/A,FALSE,"By Code"}</definedName>
    <definedName name="王梓安" localSheetId="12" hidden="1">{"Input_Fin",#N/A,FALSE,"By Code";"Input_Opt",#N/A,FALSE,"By Code"}</definedName>
    <definedName name="王梓安" hidden="1">{"Input_Fin",#N/A,FALSE,"By Code";"Input_Opt",#N/A,FALSE,"By Code"}</definedName>
    <definedName name="王梓安_1" hidden="1">{"Input_Fin",#N/A,FALSE,"By Code";"Input_Opt",#N/A,FALSE,"By Code"}</definedName>
    <definedName name="王梓安_1_1" hidden="1">{"Input_Fin",#N/A,FALSE,"By Code";"Input_Opt",#N/A,FALSE,"By Code"}</definedName>
    <definedName name="王梓安_1_1_1" hidden="1">{"Input_Fin",#N/A,FALSE,"By Code";"Input_Opt",#N/A,FALSE,"By Code"}</definedName>
    <definedName name="王梓安_1_1_2" hidden="1">{"Input_Fin",#N/A,FALSE,"By Code";"Input_Opt",#N/A,FALSE,"By Code"}</definedName>
    <definedName name="王梓安_1_1_3" hidden="1">{"Input_Fin",#N/A,FALSE,"By Code";"Input_Opt",#N/A,FALSE,"By Code"}</definedName>
    <definedName name="王梓安_1_2" hidden="1">{"Input_Fin",#N/A,FALSE,"By Code";"Input_Opt",#N/A,FALSE,"By Code"}</definedName>
    <definedName name="王梓安_1_2_1" hidden="1">{"Input_Fin",#N/A,FALSE,"By Code";"Input_Opt",#N/A,FALSE,"By Code"}</definedName>
    <definedName name="王梓安_1_2_2" hidden="1">{"Input_Fin",#N/A,FALSE,"By Code";"Input_Opt",#N/A,FALSE,"By Code"}</definedName>
    <definedName name="王梓安_1_3" hidden="1">{"Input_Fin",#N/A,FALSE,"By Code";"Input_Opt",#N/A,FALSE,"By Code"}</definedName>
    <definedName name="王梓安_1_4" hidden="1">{"Input_Fin",#N/A,FALSE,"By Code";"Input_Opt",#N/A,FALSE,"By Code"}</definedName>
    <definedName name="王梓安_2" hidden="1">{"Input_Fin",#N/A,FALSE,"By Code";"Input_Opt",#N/A,FALSE,"By Code"}</definedName>
    <definedName name="王梓安_2_1" hidden="1">{"Input_Fin",#N/A,FALSE,"By Code";"Input_Opt",#N/A,FALSE,"By Code"}</definedName>
    <definedName name="王梓安_2_2" hidden="1">{"Input_Fin",#N/A,FALSE,"By Code";"Input_Opt",#N/A,FALSE,"By Code"}</definedName>
    <definedName name="王梓安_2_3" hidden="1">{"Input_Fin",#N/A,FALSE,"By Code";"Input_Opt",#N/A,FALSE,"By Code"}</definedName>
    <definedName name="王梓安_3" hidden="1">{"Input_Fin",#N/A,FALSE,"By Code";"Input_Opt",#N/A,FALSE,"By Code"}</definedName>
    <definedName name="王梓安_3_1" hidden="1">{"Input_Fin",#N/A,FALSE,"By Code";"Input_Opt",#N/A,FALSE,"By Code"}</definedName>
    <definedName name="王梓安_3_2" hidden="1">{"Input_Fin",#N/A,FALSE,"By Code";"Input_Opt",#N/A,FALSE,"By Code"}</definedName>
    <definedName name="王梓安_4" hidden="1">{"Input_Fin",#N/A,FALSE,"By Code";"Input_Opt",#N/A,FALSE,"By Code"}</definedName>
    <definedName name="王梓安_5" hidden="1">{"Input_Fin",#N/A,FALSE,"By Code";"Input_Opt",#N/A,FALSE,"By Code"}</definedName>
    <definedName name="为" localSheetId="12" hidden="1">{"Input_Fin",#N/A,FALSE,"By Code";"Input_Opt",#N/A,FALSE,"By Code"}</definedName>
    <definedName name="为" hidden="1">{"Input_Fin",#N/A,FALSE,"By Code";"Input_Opt",#N/A,FALSE,"By Code"}</definedName>
    <definedName name="为_1" hidden="1">{"Input_Fin",#N/A,FALSE,"By Code";"Input_Opt",#N/A,FALSE,"By Code"}</definedName>
    <definedName name="为_1_1" hidden="1">{"Input_Fin",#N/A,FALSE,"By Code";"Input_Opt",#N/A,FALSE,"By Code"}</definedName>
    <definedName name="为_1_1_1" hidden="1">{"Input_Fin",#N/A,FALSE,"By Code";"Input_Opt",#N/A,FALSE,"By Code"}</definedName>
    <definedName name="为_1_1_2" hidden="1">{"Input_Fin",#N/A,FALSE,"By Code";"Input_Opt",#N/A,FALSE,"By Code"}</definedName>
    <definedName name="为_1_1_3" hidden="1">{"Input_Fin",#N/A,FALSE,"By Code";"Input_Opt",#N/A,FALSE,"By Code"}</definedName>
    <definedName name="为_1_2" hidden="1">{"Input_Fin",#N/A,FALSE,"By Code";"Input_Opt",#N/A,FALSE,"By Code"}</definedName>
    <definedName name="为_1_2_1" hidden="1">{"Input_Fin",#N/A,FALSE,"By Code";"Input_Opt",#N/A,FALSE,"By Code"}</definedName>
    <definedName name="为_1_2_2" hidden="1">{"Input_Fin",#N/A,FALSE,"By Code";"Input_Opt",#N/A,FALSE,"By Code"}</definedName>
    <definedName name="为_1_3" hidden="1">{"Input_Fin",#N/A,FALSE,"By Code";"Input_Opt",#N/A,FALSE,"By Code"}</definedName>
    <definedName name="为_1_4" hidden="1">{"Input_Fin",#N/A,FALSE,"By Code";"Input_Opt",#N/A,FALSE,"By Code"}</definedName>
    <definedName name="为_2" hidden="1">{"Input_Fin",#N/A,FALSE,"By Code";"Input_Opt",#N/A,FALSE,"By Code"}</definedName>
    <definedName name="为_2_1" hidden="1">{"Input_Fin",#N/A,FALSE,"By Code";"Input_Opt",#N/A,FALSE,"By Code"}</definedName>
    <definedName name="为_2_2" hidden="1">{"Input_Fin",#N/A,FALSE,"By Code";"Input_Opt",#N/A,FALSE,"By Code"}</definedName>
    <definedName name="为_2_3" hidden="1">{"Input_Fin",#N/A,FALSE,"By Code";"Input_Opt",#N/A,FALSE,"By Code"}</definedName>
    <definedName name="为_3" hidden="1">{"Input_Fin",#N/A,FALSE,"By Code";"Input_Opt",#N/A,FALSE,"By Code"}</definedName>
    <definedName name="为_3_1" hidden="1">{"Input_Fin",#N/A,FALSE,"By Code";"Input_Opt",#N/A,FALSE,"By Code"}</definedName>
    <definedName name="为_3_2" hidden="1">{"Input_Fin",#N/A,FALSE,"By Code";"Input_Opt",#N/A,FALSE,"By Code"}</definedName>
    <definedName name="为_4" hidden="1">{"Input_Fin",#N/A,FALSE,"By Code";"Input_Opt",#N/A,FALSE,"By Code"}</definedName>
    <definedName name="为_5" hidden="1">{"Input_Fin",#N/A,FALSE,"By Code";"Input_Opt",#N/A,FALSE,"By Code"}</definedName>
    <definedName name="温" localSheetId="12" hidden="1">{"Input_Fin",#N/A,FALSE,"By Code";"Input_Opt",#N/A,FALSE,"By Code"}</definedName>
    <definedName name="温" hidden="1">{"Input_Fin",#N/A,FALSE,"By Code";"Input_Opt",#N/A,FALSE,"By Code"}</definedName>
    <definedName name="温_1" hidden="1">{"Input_Fin",#N/A,FALSE,"By Code";"Input_Opt",#N/A,FALSE,"By Code"}</definedName>
    <definedName name="温_1_1" hidden="1">{"Input_Fin",#N/A,FALSE,"By Code";"Input_Opt",#N/A,FALSE,"By Code"}</definedName>
    <definedName name="温_1_1_1" hidden="1">{"Input_Fin",#N/A,FALSE,"By Code";"Input_Opt",#N/A,FALSE,"By Code"}</definedName>
    <definedName name="温_1_1_2" hidden="1">{"Input_Fin",#N/A,FALSE,"By Code";"Input_Opt",#N/A,FALSE,"By Code"}</definedName>
    <definedName name="温_1_1_3" hidden="1">{"Input_Fin",#N/A,FALSE,"By Code";"Input_Opt",#N/A,FALSE,"By Code"}</definedName>
    <definedName name="温_1_2" hidden="1">{"Input_Fin",#N/A,FALSE,"By Code";"Input_Opt",#N/A,FALSE,"By Code"}</definedName>
    <definedName name="温_1_2_1" hidden="1">{"Input_Fin",#N/A,FALSE,"By Code";"Input_Opt",#N/A,FALSE,"By Code"}</definedName>
    <definedName name="温_1_2_2" hidden="1">{"Input_Fin",#N/A,FALSE,"By Code";"Input_Opt",#N/A,FALSE,"By Code"}</definedName>
    <definedName name="温_1_3" hidden="1">{"Input_Fin",#N/A,FALSE,"By Code";"Input_Opt",#N/A,FALSE,"By Code"}</definedName>
    <definedName name="温_1_4" hidden="1">{"Input_Fin",#N/A,FALSE,"By Code";"Input_Opt",#N/A,FALSE,"By Code"}</definedName>
    <definedName name="温_2" hidden="1">{"Input_Fin",#N/A,FALSE,"By Code";"Input_Opt",#N/A,FALSE,"By Code"}</definedName>
    <definedName name="温_2_1" hidden="1">{"Input_Fin",#N/A,FALSE,"By Code";"Input_Opt",#N/A,FALSE,"By Code"}</definedName>
    <definedName name="温_2_2" hidden="1">{"Input_Fin",#N/A,FALSE,"By Code";"Input_Opt",#N/A,FALSE,"By Code"}</definedName>
    <definedName name="温_2_3" hidden="1">{"Input_Fin",#N/A,FALSE,"By Code";"Input_Opt",#N/A,FALSE,"By Code"}</definedName>
    <definedName name="温_3" hidden="1">{"Input_Fin",#N/A,FALSE,"By Code";"Input_Opt",#N/A,FALSE,"By Code"}</definedName>
    <definedName name="温_3_1" hidden="1">{"Input_Fin",#N/A,FALSE,"By Code";"Input_Opt",#N/A,FALSE,"By Code"}</definedName>
    <definedName name="温_3_2" hidden="1">{"Input_Fin",#N/A,FALSE,"By Code";"Input_Opt",#N/A,FALSE,"By Code"}</definedName>
    <definedName name="温_4" hidden="1">{"Input_Fin",#N/A,FALSE,"By Code";"Input_Opt",#N/A,FALSE,"By Code"}</definedName>
    <definedName name="温_5" hidden="1">{"Input_Fin",#N/A,FALSE,"By Code";"Input_Opt",#N/A,FALSE,"By Code"}</definedName>
    <definedName name="问问" localSheetId="12" hidden="1">#REF!</definedName>
    <definedName name="问问" hidden="1">#REF!</definedName>
    <definedName name="我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我的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我问问" hidden="1">{"Input_Fin",#N/A,FALSE,"By Code";"Input_Opt",#N/A,FALSE,"By Code"}</definedName>
    <definedName name="无1" hidden="1">{"Input_Fin",#N/A,FALSE,"By Code";"Input_Opt",#N/A,FALSE,"By Code"}</definedName>
    <definedName name="无11" hidden="1">{"Input_Fin",#N/A,FALSE,"By Code";"Input_Opt",#N/A,FALSE,"By Code"}</definedName>
    <definedName name="无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无3" hidden="1">{"Input_Fin",#N/A,FALSE,"By Code";"Input_Opt",#N/A,FALSE,"By Code"}</definedName>
    <definedName name="无4" hidden="1">{"Input_Fin",#N/A,FALSE,"By Code";"Input_Opt",#N/A,FALSE,"By Code"}</definedName>
    <definedName name="无5" hidden="1">{"Input_Fin",#N/A,FALSE,"By Code";"Input_Opt",#N/A,FALSE,"By Code"}</definedName>
    <definedName name="无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无7" hidden="1">{"Input_Fin",#N/A,FALSE,"By Code";"Input_Opt",#N/A,FALSE,"By Code"}</definedName>
    <definedName name="无8" hidden="1">{"Input_Fin",#N/A,FALSE,"By Code";"Input_Opt",#N/A,FALSE,"By Code"}</definedName>
    <definedName name="无9" hidden="1">{"Input_Fin",#N/A,FALSE,"By Code";"Input_Opt",#N/A,FALSE,"By Code"}</definedName>
    <definedName name="物8" hidden="1">{"Input_Fin",#N/A,FALSE,"By Code";"Input_Opt",#N/A,FALSE,"By Code"}</definedName>
    <definedName name="西西" localSheetId="12" hidden="1">{"'Sheet4'!$A$1:$L$41"}</definedName>
    <definedName name="西西" hidden="1">{"'Sheet4'!$A$1:$L$41"}</definedName>
    <definedName name="鲜品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香河超期库存9月" hidden="1">{"Input_Fin",#N/A,FALSE,"By Code";"Input_Opt",#N/A,FALSE,"By Code"}</definedName>
    <definedName name="项目计划1" localSheetId="12" hidden="1">{"Input_Fin",#N/A,FALSE,"By Code";"Input_Opt",#N/A,FALSE,"By Code"}</definedName>
    <definedName name="项目计划1" hidden="1">{"Input_Fin",#N/A,FALSE,"By Code";"Input_Opt",#N/A,FALSE,"By Code"}</definedName>
    <definedName name="小料" localSheetId="12" hidden="1">{"Input_Fin",#N/A,FALSE,"By Code";"Input_Opt",#N/A,FALSE,"By Code"}</definedName>
    <definedName name="小料" hidden="1">{"Input_Fin",#N/A,FALSE,"By Code";"Input_Opt",#N/A,FALSE,"By Code"}</definedName>
    <definedName name="小料_1" hidden="1">{"Input_Fin",#N/A,FALSE,"By Code";"Input_Opt",#N/A,FALSE,"By Code"}</definedName>
    <definedName name="小料_1_1" hidden="1">{"Input_Fin",#N/A,FALSE,"By Code";"Input_Opt",#N/A,FALSE,"By Code"}</definedName>
    <definedName name="小料_1_1_1" hidden="1">{"Input_Fin",#N/A,FALSE,"By Code";"Input_Opt",#N/A,FALSE,"By Code"}</definedName>
    <definedName name="小料_1_1_1_1" hidden="1">{"Input_Fin",#N/A,FALSE,"By Code";"Input_Opt",#N/A,FALSE,"By Code"}</definedName>
    <definedName name="小料_1_1_1_1_1" hidden="1">{"Input_Fin",#N/A,FALSE,"By Code";"Input_Opt",#N/A,FALSE,"By Code"}</definedName>
    <definedName name="小料_1_1_1_1_2" hidden="1">{"Input_Fin",#N/A,FALSE,"By Code";"Input_Opt",#N/A,FALSE,"By Code"}</definedName>
    <definedName name="小料_1_1_1_1_3" hidden="1">{"Input_Fin",#N/A,FALSE,"By Code";"Input_Opt",#N/A,FALSE,"By Code"}</definedName>
    <definedName name="小料_1_1_1_2" hidden="1">{"Input_Fin",#N/A,FALSE,"By Code";"Input_Opt",#N/A,FALSE,"By Code"}</definedName>
    <definedName name="小料_1_1_1_2_1" hidden="1">{"Input_Fin",#N/A,FALSE,"By Code";"Input_Opt",#N/A,FALSE,"By Code"}</definedName>
    <definedName name="小料_1_1_1_2_2" hidden="1">{"Input_Fin",#N/A,FALSE,"By Code";"Input_Opt",#N/A,FALSE,"By Code"}</definedName>
    <definedName name="小料_1_1_1_3" hidden="1">{"Input_Fin",#N/A,FALSE,"By Code";"Input_Opt",#N/A,FALSE,"By Code"}</definedName>
    <definedName name="小料_1_1_1_3_1" hidden="1">{"Input_Fin",#N/A,FALSE,"By Code";"Input_Opt",#N/A,FALSE,"By Code"}</definedName>
    <definedName name="小料_1_1_1_3_2" hidden="1">{"Input_Fin",#N/A,FALSE,"By Code";"Input_Opt",#N/A,FALSE,"By Code"}</definedName>
    <definedName name="小料_1_1_1_4" hidden="1">{"Input_Fin",#N/A,FALSE,"By Code";"Input_Opt",#N/A,FALSE,"By Code"}</definedName>
    <definedName name="小料_1_1_1_5" hidden="1">{"Input_Fin",#N/A,FALSE,"By Code";"Input_Opt",#N/A,FALSE,"By Code"}</definedName>
    <definedName name="小料_1_1_2" hidden="1">{"Input_Fin",#N/A,FALSE,"By Code";"Input_Opt",#N/A,FALSE,"By Code"}</definedName>
    <definedName name="小料_1_1_2_1" hidden="1">{"Input_Fin",#N/A,FALSE,"By Code";"Input_Opt",#N/A,FALSE,"By Code"}</definedName>
    <definedName name="小料_1_1_2_2" hidden="1">{"Input_Fin",#N/A,FALSE,"By Code";"Input_Opt",#N/A,FALSE,"By Code"}</definedName>
    <definedName name="小料_1_1_2_3" hidden="1">{"Input_Fin",#N/A,FALSE,"By Code";"Input_Opt",#N/A,FALSE,"By Code"}</definedName>
    <definedName name="小料_1_1_3" hidden="1">{"Input_Fin",#N/A,FALSE,"By Code";"Input_Opt",#N/A,FALSE,"By Code"}</definedName>
    <definedName name="小料_1_1_3_1" hidden="1">{"Input_Fin",#N/A,FALSE,"By Code";"Input_Opt",#N/A,FALSE,"By Code"}</definedName>
    <definedName name="小料_1_1_3_2" hidden="1">{"Input_Fin",#N/A,FALSE,"By Code";"Input_Opt",#N/A,FALSE,"By Code"}</definedName>
    <definedName name="小料_1_1_4" hidden="1">{"Input_Fin",#N/A,FALSE,"By Code";"Input_Opt",#N/A,FALSE,"By Code"}</definedName>
    <definedName name="小料_1_1_5" hidden="1">{"Input_Fin",#N/A,FALSE,"By Code";"Input_Opt",#N/A,FALSE,"By Code"}</definedName>
    <definedName name="小料_1_2" hidden="1">{"Input_Fin",#N/A,FALSE,"By Code";"Input_Opt",#N/A,FALSE,"By Code"}</definedName>
    <definedName name="小料_1_2_1" hidden="1">{"Input_Fin",#N/A,FALSE,"By Code";"Input_Opt",#N/A,FALSE,"By Code"}</definedName>
    <definedName name="小料_1_2_2" hidden="1">{"Input_Fin",#N/A,FALSE,"By Code";"Input_Opt",#N/A,FALSE,"By Code"}</definedName>
    <definedName name="小料_1_2_3" hidden="1">{"Input_Fin",#N/A,FALSE,"By Code";"Input_Opt",#N/A,FALSE,"By Code"}</definedName>
    <definedName name="小料_1_3" hidden="1">{"Input_Fin",#N/A,FALSE,"By Code";"Input_Opt",#N/A,FALSE,"By Code"}</definedName>
    <definedName name="小料_1_3_1" hidden="1">{"Input_Fin",#N/A,FALSE,"By Code";"Input_Opt",#N/A,FALSE,"By Code"}</definedName>
    <definedName name="小料_1_3_2" hidden="1">{"Input_Fin",#N/A,FALSE,"By Code";"Input_Opt",#N/A,FALSE,"By Code"}</definedName>
    <definedName name="小料_1_4" hidden="1">{"Input_Fin",#N/A,FALSE,"By Code";"Input_Opt",#N/A,FALSE,"By Code"}</definedName>
    <definedName name="小料_1_5" hidden="1">{"Input_Fin",#N/A,FALSE,"By Code";"Input_Opt",#N/A,FALSE,"By Code"}</definedName>
    <definedName name="小料_2" hidden="1">{"Input_Fin",#N/A,FALSE,"By Code";"Input_Opt",#N/A,FALSE,"By Code"}</definedName>
    <definedName name="小料_2_1" hidden="1">{"Input_Fin",#N/A,FALSE,"By Code";"Input_Opt",#N/A,FALSE,"By Code"}</definedName>
    <definedName name="小料_2_1_1" hidden="1">{"Input_Fin",#N/A,FALSE,"By Code";"Input_Opt",#N/A,FALSE,"By Code"}</definedName>
    <definedName name="小料_2_1_1_1" hidden="1">{"Input_Fin",#N/A,FALSE,"By Code";"Input_Opt",#N/A,FALSE,"By Code"}</definedName>
    <definedName name="小料_2_1_1_2" hidden="1">{"Input_Fin",#N/A,FALSE,"By Code";"Input_Opt",#N/A,FALSE,"By Code"}</definedName>
    <definedName name="小料_2_1_1_3" hidden="1">{"Input_Fin",#N/A,FALSE,"By Code";"Input_Opt",#N/A,FALSE,"By Code"}</definedName>
    <definedName name="小料_2_1_2" hidden="1">{"Input_Fin",#N/A,FALSE,"By Code";"Input_Opt",#N/A,FALSE,"By Code"}</definedName>
    <definedName name="小料_2_1_2_1" hidden="1">{"Input_Fin",#N/A,FALSE,"By Code";"Input_Opt",#N/A,FALSE,"By Code"}</definedName>
    <definedName name="小料_2_1_2_2" hidden="1">{"Input_Fin",#N/A,FALSE,"By Code";"Input_Opt",#N/A,FALSE,"By Code"}</definedName>
    <definedName name="小料_2_1_3" hidden="1">{"Input_Fin",#N/A,FALSE,"By Code";"Input_Opt",#N/A,FALSE,"By Code"}</definedName>
    <definedName name="小料_2_1_4" hidden="1">{"Input_Fin",#N/A,FALSE,"By Code";"Input_Opt",#N/A,FALSE,"By Code"}</definedName>
    <definedName name="小料_2_2" hidden="1">{"Input_Fin",#N/A,FALSE,"By Code";"Input_Opt",#N/A,FALSE,"By Code"}</definedName>
    <definedName name="小料_2_2_1" hidden="1">{"Input_Fin",#N/A,FALSE,"By Code";"Input_Opt",#N/A,FALSE,"By Code"}</definedName>
    <definedName name="小料_2_2_2" hidden="1">{"Input_Fin",#N/A,FALSE,"By Code";"Input_Opt",#N/A,FALSE,"By Code"}</definedName>
    <definedName name="小料_2_2_3" hidden="1">{"Input_Fin",#N/A,FALSE,"By Code";"Input_Opt",#N/A,FALSE,"By Code"}</definedName>
    <definedName name="小料_2_3" hidden="1">{"Input_Fin",#N/A,FALSE,"By Code";"Input_Opt",#N/A,FALSE,"By Code"}</definedName>
    <definedName name="小料_2_3_1" hidden="1">{"Input_Fin",#N/A,FALSE,"By Code";"Input_Opt",#N/A,FALSE,"By Code"}</definedName>
    <definedName name="小料_2_3_2" hidden="1">{"Input_Fin",#N/A,FALSE,"By Code";"Input_Opt",#N/A,FALSE,"By Code"}</definedName>
    <definedName name="小料_2_4" hidden="1">{"Input_Fin",#N/A,FALSE,"By Code";"Input_Opt",#N/A,FALSE,"By Code"}</definedName>
    <definedName name="小料_2_5" hidden="1">{"Input_Fin",#N/A,FALSE,"By Code";"Input_Opt",#N/A,FALSE,"By Code"}</definedName>
    <definedName name="小料_3" hidden="1">{"Input_Fin",#N/A,FALSE,"By Code";"Input_Opt",#N/A,FALSE,"By Code"}</definedName>
    <definedName name="小料_3_1" hidden="1">{"Input_Fin",#N/A,FALSE,"By Code";"Input_Opt",#N/A,FALSE,"By Code"}</definedName>
    <definedName name="小料_3_1_1" hidden="1">{"Input_Fin",#N/A,FALSE,"By Code";"Input_Opt",#N/A,FALSE,"By Code"}</definedName>
    <definedName name="小料_3_1_1_1" hidden="1">{"Input_Fin",#N/A,FALSE,"By Code";"Input_Opt",#N/A,FALSE,"By Code"}</definedName>
    <definedName name="小料_3_1_1_2" hidden="1">{"Input_Fin",#N/A,FALSE,"By Code";"Input_Opt",#N/A,FALSE,"By Code"}</definedName>
    <definedName name="小料_3_1_1_3" hidden="1">{"Input_Fin",#N/A,FALSE,"By Code";"Input_Opt",#N/A,FALSE,"By Code"}</definedName>
    <definedName name="小料_3_1_2" hidden="1">{"Input_Fin",#N/A,FALSE,"By Code";"Input_Opt",#N/A,FALSE,"By Code"}</definedName>
    <definedName name="小料_3_1_2_1" hidden="1">{"Input_Fin",#N/A,FALSE,"By Code";"Input_Opt",#N/A,FALSE,"By Code"}</definedName>
    <definedName name="小料_3_1_2_2" hidden="1">{"Input_Fin",#N/A,FALSE,"By Code";"Input_Opt",#N/A,FALSE,"By Code"}</definedName>
    <definedName name="小料_3_1_3" hidden="1">{"Input_Fin",#N/A,FALSE,"By Code";"Input_Opt",#N/A,FALSE,"By Code"}</definedName>
    <definedName name="小料_3_1_4" hidden="1">{"Input_Fin",#N/A,FALSE,"By Code";"Input_Opt",#N/A,FALSE,"By Code"}</definedName>
    <definedName name="小料_3_2" hidden="1">{"Input_Fin",#N/A,FALSE,"By Code";"Input_Opt",#N/A,FALSE,"By Code"}</definedName>
    <definedName name="小料_3_2_1" hidden="1">{"Input_Fin",#N/A,FALSE,"By Code";"Input_Opt",#N/A,FALSE,"By Code"}</definedName>
    <definedName name="小料_3_2_2" hidden="1">{"Input_Fin",#N/A,FALSE,"By Code";"Input_Opt",#N/A,FALSE,"By Code"}</definedName>
    <definedName name="小料_3_2_3" hidden="1">{"Input_Fin",#N/A,FALSE,"By Code";"Input_Opt",#N/A,FALSE,"By Code"}</definedName>
    <definedName name="小料_3_3" hidden="1">{"Input_Fin",#N/A,FALSE,"By Code";"Input_Opt",#N/A,FALSE,"By Code"}</definedName>
    <definedName name="小料_3_3_1" hidden="1">{"Input_Fin",#N/A,FALSE,"By Code";"Input_Opt",#N/A,FALSE,"By Code"}</definedName>
    <definedName name="小料_3_3_2" hidden="1">{"Input_Fin",#N/A,FALSE,"By Code";"Input_Opt",#N/A,FALSE,"By Code"}</definedName>
    <definedName name="小料_3_4" hidden="1">{"Input_Fin",#N/A,FALSE,"By Code";"Input_Opt",#N/A,FALSE,"By Code"}</definedName>
    <definedName name="小料_3_5" hidden="1">{"Input_Fin",#N/A,FALSE,"By Code";"Input_Opt",#N/A,FALSE,"By Code"}</definedName>
    <definedName name="小料_4" hidden="1">{"Input_Fin",#N/A,FALSE,"By Code";"Input_Opt",#N/A,FALSE,"By Code"}</definedName>
    <definedName name="小料_4_1" hidden="1">{"Input_Fin",#N/A,FALSE,"By Code";"Input_Opt",#N/A,FALSE,"By Code"}</definedName>
    <definedName name="小料_4_1_1" hidden="1">{"Input_Fin",#N/A,FALSE,"By Code";"Input_Opt",#N/A,FALSE,"By Code"}</definedName>
    <definedName name="小料_4_1_1_1" hidden="1">{"Input_Fin",#N/A,FALSE,"By Code";"Input_Opt",#N/A,FALSE,"By Code"}</definedName>
    <definedName name="小料_4_1_1_2" hidden="1">{"Input_Fin",#N/A,FALSE,"By Code";"Input_Opt",#N/A,FALSE,"By Code"}</definedName>
    <definedName name="小料_4_1_1_3" hidden="1">{"Input_Fin",#N/A,FALSE,"By Code";"Input_Opt",#N/A,FALSE,"By Code"}</definedName>
    <definedName name="小料_4_1_2" hidden="1">{"Input_Fin",#N/A,FALSE,"By Code";"Input_Opt",#N/A,FALSE,"By Code"}</definedName>
    <definedName name="小料_4_1_2_1" hidden="1">{"Input_Fin",#N/A,FALSE,"By Code";"Input_Opt",#N/A,FALSE,"By Code"}</definedName>
    <definedName name="小料_4_1_2_2" hidden="1">{"Input_Fin",#N/A,FALSE,"By Code";"Input_Opt",#N/A,FALSE,"By Code"}</definedName>
    <definedName name="小料_4_1_3" hidden="1">{"Input_Fin",#N/A,FALSE,"By Code";"Input_Opt",#N/A,FALSE,"By Code"}</definedName>
    <definedName name="小料_4_1_4" hidden="1">{"Input_Fin",#N/A,FALSE,"By Code";"Input_Opt",#N/A,FALSE,"By Code"}</definedName>
    <definedName name="小料_4_2" hidden="1">{"Input_Fin",#N/A,FALSE,"By Code";"Input_Opt",#N/A,FALSE,"By Code"}</definedName>
    <definedName name="小料_4_2_1" hidden="1">{"Input_Fin",#N/A,FALSE,"By Code";"Input_Opt",#N/A,FALSE,"By Code"}</definedName>
    <definedName name="小料_4_2_2" hidden="1">{"Input_Fin",#N/A,FALSE,"By Code";"Input_Opt",#N/A,FALSE,"By Code"}</definedName>
    <definedName name="小料_4_2_3" hidden="1">{"Input_Fin",#N/A,FALSE,"By Code";"Input_Opt",#N/A,FALSE,"By Code"}</definedName>
    <definedName name="小料_4_3" hidden="1">{"Input_Fin",#N/A,FALSE,"By Code";"Input_Opt",#N/A,FALSE,"By Code"}</definedName>
    <definedName name="小料_4_3_1" hidden="1">{"Input_Fin",#N/A,FALSE,"By Code";"Input_Opt",#N/A,FALSE,"By Code"}</definedName>
    <definedName name="小料_4_3_2" hidden="1">{"Input_Fin",#N/A,FALSE,"By Code";"Input_Opt",#N/A,FALSE,"By Code"}</definedName>
    <definedName name="小料_4_4" hidden="1">{"Input_Fin",#N/A,FALSE,"By Code";"Input_Opt",#N/A,FALSE,"By Code"}</definedName>
    <definedName name="小料_4_5" hidden="1">{"Input_Fin",#N/A,FALSE,"By Code";"Input_Opt",#N/A,FALSE,"By Code"}</definedName>
    <definedName name="小料_5" hidden="1">{"Input_Fin",#N/A,FALSE,"By Code";"Input_Opt",#N/A,FALSE,"By Code"}</definedName>
    <definedName name="小料_5_1" hidden="1">{"Input_Fin",#N/A,FALSE,"By Code";"Input_Opt",#N/A,FALSE,"By Code"}</definedName>
    <definedName name="小料_5_1_1" hidden="1">{"Input_Fin",#N/A,FALSE,"By Code";"Input_Opt",#N/A,FALSE,"By Code"}</definedName>
    <definedName name="小料_5_1_1_1" hidden="1">{"Input_Fin",#N/A,FALSE,"By Code";"Input_Opt",#N/A,FALSE,"By Code"}</definedName>
    <definedName name="小料_5_1_1_2" hidden="1">{"Input_Fin",#N/A,FALSE,"By Code";"Input_Opt",#N/A,FALSE,"By Code"}</definedName>
    <definedName name="小料_5_1_1_3" hidden="1">{"Input_Fin",#N/A,FALSE,"By Code";"Input_Opt",#N/A,FALSE,"By Code"}</definedName>
    <definedName name="小料_5_1_2" hidden="1">{"Input_Fin",#N/A,FALSE,"By Code";"Input_Opt",#N/A,FALSE,"By Code"}</definedName>
    <definedName name="小料_5_1_2_1" hidden="1">{"Input_Fin",#N/A,FALSE,"By Code";"Input_Opt",#N/A,FALSE,"By Code"}</definedName>
    <definedName name="小料_5_1_2_2" hidden="1">{"Input_Fin",#N/A,FALSE,"By Code";"Input_Opt",#N/A,FALSE,"By Code"}</definedName>
    <definedName name="小料_5_1_3" hidden="1">{"Input_Fin",#N/A,FALSE,"By Code";"Input_Opt",#N/A,FALSE,"By Code"}</definedName>
    <definedName name="小料_5_1_4" hidden="1">{"Input_Fin",#N/A,FALSE,"By Code";"Input_Opt",#N/A,FALSE,"By Code"}</definedName>
    <definedName name="小料_5_2" hidden="1">{"Input_Fin",#N/A,FALSE,"By Code";"Input_Opt",#N/A,FALSE,"By Code"}</definedName>
    <definedName name="小料_5_2_1" hidden="1">{"Input_Fin",#N/A,FALSE,"By Code";"Input_Opt",#N/A,FALSE,"By Code"}</definedName>
    <definedName name="小料_5_2_2" hidden="1">{"Input_Fin",#N/A,FALSE,"By Code";"Input_Opt",#N/A,FALSE,"By Code"}</definedName>
    <definedName name="小料_5_2_3" hidden="1">{"Input_Fin",#N/A,FALSE,"By Code";"Input_Opt",#N/A,FALSE,"By Code"}</definedName>
    <definedName name="小料_5_3" hidden="1">{"Input_Fin",#N/A,FALSE,"By Code";"Input_Opt",#N/A,FALSE,"By Code"}</definedName>
    <definedName name="小料_5_3_1" hidden="1">{"Input_Fin",#N/A,FALSE,"By Code";"Input_Opt",#N/A,FALSE,"By Code"}</definedName>
    <definedName name="小料_5_3_2" hidden="1">{"Input_Fin",#N/A,FALSE,"By Code";"Input_Opt",#N/A,FALSE,"By Code"}</definedName>
    <definedName name="小料_5_4" hidden="1">{"Input_Fin",#N/A,FALSE,"By Code";"Input_Opt",#N/A,FALSE,"By Code"}</definedName>
    <definedName name="小料_5_5" hidden="1">{"Input_Fin",#N/A,FALSE,"By Code";"Input_Opt",#N/A,FALSE,"By Code"}</definedName>
    <definedName name="小龙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小龙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小龙当月排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小龙当月排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新滚揉" hidden="1">{"Input_Fin",#N/A,FALSE,"By Code";"Input_Opt",#N/A,FALSE,"By Code"}</definedName>
    <definedName name="信" localSheetId="12" hidden="1">{"Input_Fin",#N/A,FALSE,"By Code";"Input_Opt",#N/A,FALSE,"By Code"}</definedName>
    <definedName name="信" hidden="1">{"Input_Fin",#N/A,FALSE,"By Code";"Input_Opt",#N/A,FALSE,"By Code"}</definedName>
    <definedName name="信_1" hidden="1">{"Input_Fin",#N/A,FALSE,"By Code";"Input_Opt",#N/A,FALSE,"By Code"}</definedName>
    <definedName name="信_1_1" hidden="1">{"Input_Fin",#N/A,FALSE,"By Code";"Input_Opt",#N/A,FALSE,"By Code"}</definedName>
    <definedName name="信_1_1_1" hidden="1">{"Input_Fin",#N/A,FALSE,"By Code";"Input_Opt",#N/A,FALSE,"By Code"}</definedName>
    <definedName name="信_1_1_1_1" hidden="1">{"Input_Fin",#N/A,FALSE,"By Code";"Input_Opt",#N/A,FALSE,"By Code"}</definedName>
    <definedName name="信_1_1_1_1_1" hidden="1">{"Input_Fin",#N/A,FALSE,"By Code";"Input_Opt",#N/A,FALSE,"By Code"}</definedName>
    <definedName name="信_1_1_1_1_2" hidden="1">{"Input_Fin",#N/A,FALSE,"By Code";"Input_Opt",#N/A,FALSE,"By Code"}</definedName>
    <definedName name="信_1_1_1_1_3" hidden="1">{"Input_Fin",#N/A,FALSE,"By Code";"Input_Opt",#N/A,FALSE,"By Code"}</definedName>
    <definedName name="信_1_1_1_2" hidden="1">{"Input_Fin",#N/A,FALSE,"By Code";"Input_Opt",#N/A,FALSE,"By Code"}</definedName>
    <definedName name="信_1_1_1_2_1" hidden="1">{"Input_Fin",#N/A,FALSE,"By Code";"Input_Opt",#N/A,FALSE,"By Code"}</definedName>
    <definedName name="信_1_1_1_2_2" hidden="1">{"Input_Fin",#N/A,FALSE,"By Code";"Input_Opt",#N/A,FALSE,"By Code"}</definedName>
    <definedName name="信_1_1_1_3" hidden="1">{"Input_Fin",#N/A,FALSE,"By Code";"Input_Opt",#N/A,FALSE,"By Code"}</definedName>
    <definedName name="信_1_1_1_3_1" hidden="1">{"Input_Fin",#N/A,FALSE,"By Code";"Input_Opt",#N/A,FALSE,"By Code"}</definedName>
    <definedName name="信_1_1_1_3_2" hidden="1">{"Input_Fin",#N/A,FALSE,"By Code";"Input_Opt",#N/A,FALSE,"By Code"}</definedName>
    <definedName name="信_1_1_1_4" hidden="1">{"Input_Fin",#N/A,FALSE,"By Code";"Input_Opt",#N/A,FALSE,"By Code"}</definedName>
    <definedName name="信_1_1_1_5" hidden="1">{"Input_Fin",#N/A,FALSE,"By Code";"Input_Opt",#N/A,FALSE,"By Code"}</definedName>
    <definedName name="信_1_1_2" hidden="1">{"Input_Fin",#N/A,FALSE,"By Code";"Input_Opt",#N/A,FALSE,"By Code"}</definedName>
    <definedName name="信_1_1_2_1" hidden="1">{"Input_Fin",#N/A,FALSE,"By Code";"Input_Opt",#N/A,FALSE,"By Code"}</definedName>
    <definedName name="信_1_1_2_2" hidden="1">{"Input_Fin",#N/A,FALSE,"By Code";"Input_Opt",#N/A,FALSE,"By Code"}</definedName>
    <definedName name="信_1_1_2_3" hidden="1">{"Input_Fin",#N/A,FALSE,"By Code";"Input_Opt",#N/A,FALSE,"By Code"}</definedName>
    <definedName name="信_1_1_3" hidden="1">{"Input_Fin",#N/A,FALSE,"By Code";"Input_Opt",#N/A,FALSE,"By Code"}</definedName>
    <definedName name="信_1_1_3_1" hidden="1">{"Input_Fin",#N/A,FALSE,"By Code";"Input_Opt",#N/A,FALSE,"By Code"}</definedName>
    <definedName name="信_1_1_3_2" hidden="1">{"Input_Fin",#N/A,FALSE,"By Code";"Input_Opt",#N/A,FALSE,"By Code"}</definedName>
    <definedName name="信_1_1_4" hidden="1">{"Input_Fin",#N/A,FALSE,"By Code";"Input_Opt",#N/A,FALSE,"By Code"}</definedName>
    <definedName name="信_1_1_5" hidden="1">{"Input_Fin",#N/A,FALSE,"By Code";"Input_Opt",#N/A,FALSE,"By Code"}</definedName>
    <definedName name="信_1_2" hidden="1">{"Input_Fin",#N/A,FALSE,"By Code";"Input_Opt",#N/A,FALSE,"By Code"}</definedName>
    <definedName name="信_1_2_1" hidden="1">{"Input_Fin",#N/A,FALSE,"By Code";"Input_Opt",#N/A,FALSE,"By Code"}</definedName>
    <definedName name="信_1_2_2" hidden="1">{"Input_Fin",#N/A,FALSE,"By Code";"Input_Opt",#N/A,FALSE,"By Code"}</definedName>
    <definedName name="信_1_2_3" hidden="1">{"Input_Fin",#N/A,FALSE,"By Code";"Input_Opt",#N/A,FALSE,"By Code"}</definedName>
    <definedName name="信_1_3" hidden="1">{"Input_Fin",#N/A,FALSE,"By Code";"Input_Opt",#N/A,FALSE,"By Code"}</definedName>
    <definedName name="信_1_3_1" hidden="1">{"Input_Fin",#N/A,FALSE,"By Code";"Input_Opt",#N/A,FALSE,"By Code"}</definedName>
    <definedName name="信_1_3_2" hidden="1">{"Input_Fin",#N/A,FALSE,"By Code";"Input_Opt",#N/A,FALSE,"By Code"}</definedName>
    <definedName name="信_1_4" hidden="1">{"Input_Fin",#N/A,FALSE,"By Code";"Input_Opt",#N/A,FALSE,"By Code"}</definedName>
    <definedName name="信_1_5" hidden="1">{"Input_Fin",#N/A,FALSE,"By Code";"Input_Opt",#N/A,FALSE,"By Code"}</definedName>
    <definedName name="信_2" hidden="1">{"Input_Fin",#N/A,FALSE,"By Code";"Input_Opt",#N/A,FALSE,"By Code"}</definedName>
    <definedName name="信_2_1" hidden="1">{"Input_Fin",#N/A,FALSE,"By Code";"Input_Opt",#N/A,FALSE,"By Code"}</definedName>
    <definedName name="信_2_1_1" hidden="1">{"Input_Fin",#N/A,FALSE,"By Code";"Input_Opt",#N/A,FALSE,"By Code"}</definedName>
    <definedName name="信_2_1_1_1" hidden="1">{"Input_Fin",#N/A,FALSE,"By Code";"Input_Opt",#N/A,FALSE,"By Code"}</definedName>
    <definedName name="信_2_1_1_2" hidden="1">{"Input_Fin",#N/A,FALSE,"By Code";"Input_Opt",#N/A,FALSE,"By Code"}</definedName>
    <definedName name="信_2_1_1_3" hidden="1">{"Input_Fin",#N/A,FALSE,"By Code";"Input_Opt",#N/A,FALSE,"By Code"}</definedName>
    <definedName name="信_2_1_2" hidden="1">{"Input_Fin",#N/A,FALSE,"By Code";"Input_Opt",#N/A,FALSE,"By Code"}</definedName>
    <definedName name="信_2_1_2_1" hidden="1">{"Input_Fin",#N/A,FALSE,"By Code";"Input_Opt",#N/A,FALSE,"By Code"}</definedName>
    <definedName name="信_2_1_2_2" hidden="1">{"Input_Fin",#N/A,FALSE,"By Code";"Input_Opt",#N/A,FALSE,"By Code"}</definedName>
    <definedName name="信_2_1_3" hidden="1">{"Input_Fin",#N/A,FALSE,"By Code";"Input_Opt",#N/A,FALSE,"By Code"}</definedName>
    <definedName name="信_2_1_4" hidden="1">{"Input_Fin",#N/A,FALSE,"By Code";"Input_Opt",#N/A,FALSE,"By Code"}</definedName>
    <definedName name="信_2_2" hidden="1">{"Input_Fin",#N/A,FALSE,"By Code";"Input_Opt",#N/A,FALSE,"By Code"}</definedName>
    <definedName name="信_2_2_1" hidden="1">{"Input_Fin",#N/A,FALSE,"By Code";"Input_Opt",#N/A,FALSE,"By Code"}</definedName>
    <definedName name="信_2_2_2" hidden="1">{"Input_Fin",#N/A,FALSE,"By Code";"Input_Opt",#N/A,FALSE,"By Code"}</definedName>
    <definedName name="信_2_2_3" hidden="1">{"Input_Fin",#N/A,FALSE,"By Code";"Input_Opt",#N/A,FALSE,"By Code"}</definedName>
    <definedName name="信_2_3" hidden="1">{"Input_Fin",#N/A,FALSE,"By Code";"Input_Opt",#N/A,FALSE,"By Code"}</definedName>
    <definedName name="信_2_3_1" hidden="1">{"Input_Fin",#N/A,FALSE,"By Code";"Input_Opt",#N/A,FALSE,"By Code"}</definedName>
    <definedName name="信_2_3_2" hidden="1">{"Input_Fin",#N/A,FALSE,"By Code";"Input_Opt",#N/A,FALSE,"By Code"}</definedName>
    <definedName name="信_2_4" hidden="1">{"Input_Fin",#N/A,FALSE,"By Code";"Input_Opt",#N/A,FALSE,"By Code"}</definedName>
    <definedName name="信_2_5" hidden="1">{"Input_Fin",#N/A,FALSE,"By Code";"Input_Opt",#N/A,FALSE,"By Code"}</definedName>
    <definedName name="信_3" hidden="1">{"Input_Fin",#N/A,FALSE,"By Code";"Input_Opt",#N/A,FALSE,"By Code"}</definedName>
    <definedName name="信_3_1" hidden="1">{"Input_Fin",#N/A,FALSE,"By Code";"Input_Opt",#N/A,FALSE,"By Code"}</definedName>
    <definedName name="信_3_1_1" hidden="1">{"Input_Fin",#N/A,FALSE,"By Code";"Input_Opt",#N/A,FALSE,"By Code"}</definedName>
    <definedName name="信_3_1_1_1" hidden="1">{"Input_Fin",#N/A,FALSE,"By Code";"Input_Opt",#N/A,FALSE,"By Code"}</definedName>
    <definedName name="信_3_1_1_2" hidden="1">{"Input_Fin",#N/A,FALSE,"By Code";"Input_Opt",#N/A,FALSE,"By Code"}</definedName>
    <definedName name="信_3_1_1_3" hidden="1">{"Input_Fin",#N/A,FALSE,"By Code";"Input_Opt",#N/A,FALSE,"By Code"}</definedName>
    <definedName name="信_3_1_2" hidden="1">{"Input_Fin",#N/A,FALSE,"By Code";"Input_Opt",#N/A,FALSE,"By Code"}</definedName>
    <definedName name="信_3_1_2_1" hidden="1">{"Input_Fin",#N/A,FALSE,"By Code";"Input_Opt",#N/A,FALSE,"By Code"}</definedName>
    <definedName name="信_3_1_2_2" hidden="1">{"Input_Fin",#N/A,FALSE,"By Code";"Input_Opt",#N/A,FALSE,"By Code"}</definedName>
    <definedName name="信_3_1_3" hidden="1">{"Input_Fin",#N/A,FALSE,"By Code";"Input_Opt",#N/A,FALSE,"By Code"}</definedName>
    <definedName name="信_3_1_4" hidden="1">{"Input_Fin",#N/A,FALSE,"By Code";"Input_Opt",#N/A,FALSE,"By Code"}</definedName>
    <definedName name="信_3_2" hidden="1">{"Input_Fin",#N/A,FALSE,"By Code";"Input_Opt",#N/A,FALSE,"By Code"}</definedName>
    <definedName name="信_3_2_1" hidden="1">{"Input_Fin",#N/A,FALSE,"By Code";"Input_Opt",#N/A,FALSE,"By Code"}</definedName>
    <definedName name="信_3_2_2" hidden="1">{"Input_Fin",#N/A,FALSE,"By Code";"Input_Opt",#N/A,FALSE,"By Code"}</definedName>
    <definedName name="信_3_2_3" hidden="1">{"Input_Fin",#N/A,FALSE,"By Code";"Input_Opt",#N/A,FALSE,"By Code"}</definedName>
    <definedName name="信_3_3" hidden="1">{"Input_Fin",#N/A,FALSE,"By Code";"Input_Opt",#N/A,FALSE,"By Code"}</definedName>
    <definedName name="信_3_3_1" hidden="1">{"Input_Fin",#N/A,FALSE,"By Code";"Input_Opt",#N/A,FALSE,"By Code"}</definedName>
    <definedName name="信_3_3_2" hidden="1">{"Input_Fin",#N/A,FALSE,"By Code";"Input_Opt",#N/A,FALSE,"By Code"}</definedName>
    <definedName name="信_3_4" hidden="1">{"Input_Fin",#N/A,FALSE,"By Code";"Input_Opt",#N/A,FALSE,"By Code"}</definedName>
    <definedName name="信_3_5" hidden="1">{"Input_Fin",#N/A,FALSE,"By Code";"Input_Opt",#N/A,FALSE,"By Code"}</definedName>
    <definedName name="信_4" hidden="1">{"Input_Fin",#N/A,FALSE,"By Code";"Input_Opt",#N/A,FALSE,"By Code"}</definedName>
    <definedName name="信_4_1" hidden="1">{"Input_Fin",#N/A,FALSE,"By Code";"Input_Opt",#N/A,FALSE,"By Code"}</definedName>
    <definedName name="信_4_1_1" hidden="1">{"Input_Fin",#N/A,FALSE,"By Code";"Input_Opt",#N/A,FALSE,"By Code"}</definedName>
    <definedName name="信_4_1_1_1" hidden="1">{"Input_Fin",#N/A,FALSE,"By Code";"Input_Opt",#N/A,FALSE,"By Code"}</definedName>
    <definedName name="信_4_1_1_2" hidden="1">{"Input_Fin",#N/A,FALSE,"By Code";"Input_Opt",#N/A,FALSE,"By Code"}</definedName>
    <definedName name="信_4_1_1_3" hidden="1">{"Input_Fin",#N/A,FALSE,"By Code";"Input_Opt",#N/A,FALSE,"By Code"}</definedName>
    <definedName name="信_4_1_2" hidden="1">{"Input_Fin",#N/A,FALSE,"By Code";"Input_Opt",#N/A,FALSE,"By Code"}</definedName>
    <definedName name="信_4_1_2_1" hidden="1">{"Input_Fin",#N/A,FALSE,"By Code";"Input_Opt",#N/A,FALSE,"By Code"}</definedName>
    <definedName name="信_4_1_2_2" hidden="1">{"Input_Fin",#N/A,FALSE,"By Code";"Input_Opt",#N/A,FALSE,"By Code"}</definedName>
    <definedName name="信_4_1_3" hidden="1">{"Input_Fin",#N/A,FALSE,"By Code";"Input_Opt",#N/A,FALSE,"By Code"}</definedName>
    <definedName name="信_4_1_4" hidden="1">{"Input_Fin",#N/A,FALSE,"By Code";"Input_Opt",#N/A,FALSE,"By Code"}</definedName>
    <definedName name="信_4_2" hidden="1">{"Input_Fin",#N/A,FALSE,"By Code";"Input_Opt",#N/A,FALSE,"By Code"}</definedName>
    <definedName name="信_4_2_1" hidden="1">{"Input_Fin",#N/A,FALSE,"By Code";"Input_Opt",#N/A,FALSE,"By Code"}</definedName>
    <definedName name="信_4_2_2" hidden="1">{"Input_Fin",#N/A,FALSE,"By Code";"Input_Opt",#N/A,FALSE,"By Code"}</definedName>
    <definedName name="信_4_2_3" hidden="1">{"Input_Fin",#N/A,FALSE,"By Code";"Input_Opt",#N/A,FALSE,"By Code"}</definedName>
    <definedName name="信_4_3" hidden="1">{"Input_Fin",#N/A,FALSE,"By Code";"Input_Opt",#N/A,FALSE,"By Code"}</definedName>
    <definedName name="信_4_3_1" hidden="1">{"Input_Fin",#N/A,FALSE,"By Code";"Input_Opt",#N/A,FALSE,"By Code"}</definedName>
    <definedName name="信_4_3_2" hidden="1">{"Input_Fin",#N/A,FALSE,"By Code";"Input_Opt",#N/A,FALSE,"By Code"}</definedName>
    <definedName name="信_4_4" hidden="1">{"Input_Fin",#N/A,FALSE,"By Code";"Input_Opt",#N/A,FALSE,"By Code"}</definedName>
    <definedName name="信_4_5" hidden="1">{"Input_Fin",#N/A,FALSE,"By Code";"Input_Opt",#N/A,FALSE,"By Code"}</definedName>
    <definedName name="信_5" hidden="1">{"Input_Fin",#N/A,FALSE,"By Code";"Input_Opt",#N/A,FALSE,"By Code"}</definedName>
    <definedName name="信_5_1" hidden="1">{"Input_Fin",#N/A,FALSE,"By Code";"Input_Opt",#N/A,FALSE,"By Code"}</definedName>
    <definedName name="信_5_1_1" hidden="1">{"Input_Fin",#N/A,FALSE,"By Code";"Input_Opt",#N/A,FALSE,"By Code"}</definedName>
    <definedName name="信_5_1_1_1" hidden="1">{"Input_Fin",#N/A,FALSE,"By Code";"Input_Opt",#N/A,FALSE,"By Code"}</definedName>
    <definedName name="信_5_1_1_2" hidden="1">{"Input_Fin",#N/A,FALSE,"By Code";"Input_Opt",#N/A,FALSE,"By Code"}</definedName>
    <definedName name="信_5_1_1_3" hidden="1">{"Input_Fin",#N/A,FALSE,"By Code";"Input_Opt",#N/A,FALSE,"By Code"}</definedName>
    <definedName name="信_5_1_2" hidden="1">{"Input_Fin",#N/A,FALSE,"By Code";"Input_Opt",#N/A,FALSE,"By Code"}</definedName>
    <definedName name="信_5_1_2_1" hidden="1">{"Input_Fin",#N/A,FALSE,"By Code";"Input_Opt",#N/A,FALSE,"By Code"}</definedName>
    <definedName name="信_5_1_2_2" hidden="1">{"Input_Fin",#N/A,FALSE,"By Code";"Input_Opt",#N/A,FALSE,"By Code"}</definedName>
    <definedName name="信_5_1_3" hidden="1">{"Input_Fin",#N/A,FALSE,"By Code";"Input_Opt",#N/A,FALSE,"By Code"}</definedName>
    <definedName name="信_5_1_4" hidden="1">{"Input_Fin",#N/A,FALSE,"By Code";"Input_Opt",#N/A,FALSE,"By Code"}</definedName>
    <definedName name="信_5_2" hidden="1">{"Input_Fin",#N/A,FALSE,"By Code";"Input_Opt",#N/A,FALSE,"By Code"}</definedName>
    <definedName name="信_5_2_1" hidden="1">{"Input_Fin",#N/A,FALSE,"By Code";"Input_Opt",#N/A,FALSE,"By Code"}</definedName>
    <definedName name="信_5_2_2" hidden="1">{"Input_Fin",#N/A,FALSE,"By Code";"Input_Opt",#N/A,FALSE,"By Code"}</definedName>
    <definedName name="信_5_2_3" hidden="1">{"Input_Fin",#N/A,FALSE,"By Code";"Input_Opt",#N/A,FALSE,"By Code"}</definedName>
    <definedName name="信_5_3" hidden="1">{"Input_Fin",#N/A,FALSE,"By Code";"Input_Opt",#N/A,FALSE,"By Code"}</definedName>
    <definedName name="信_5_3_1" hidden="1">{"Input_Fin",#N/A,FALSE,"By Code";"Input_Opt",#N/A,FALSE,"By Code"}</definedName>
    <definedName name="信_5_3_2" hidden="1">{"Input_Fin",#N/A,FALSE,"By Code";"Input_Opt",#N/A,FALSE,"By Code"}</definedName>
    <definedName name="信_5_4" hidden="1">{"Input_Fin",#N/A,FALSE,"By Code";"Input_Opt",#N/A,FALSE,"By Code"}</definedName>
    <definedName name="信_5_5" hidden="1">{"Input_Fin",#N/A,FALSE,"By Code";"Input_Opt",#N/A,FALSE,"By Code"}</definedName>
    <definedName name="休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徐州0405">#N/A</definedName>
    <definedName name="样" localSheetId="12" hidden="1">{"Input_Fin",#N/A,FALSE,"By Code";"Input_Opt",#N/A,FALSE,"By Code"}</definedName>
    <definedName name="样" hidden="1">{"Input_Fin",#N/A,FALSE,"By Code";"Input_Opt",#N/A,FALSE,"By Code"}</definedName>
    <definedName name="样_1" hidden="1">{"Input_Fin",#N/A,FALSE,"By Code";"Input_Opt",#N/A,FALSE,"By Code"}</definedName>
    <definedName name="样_1_1" hidden="1">{"Input_Fin",#N/A,FALSE,"By Code";"Input_Opt",#N/A,FALSE,"By Code"}</definedName>
    <definedName name="样_1_1_1" hidden="1">{"Input_Fin",#N/A,FALSE,"By Code";"Input_Opt",#N/A,FALSE,"By Code"}</definedName>
    <definedName name="样_1_1_2" hidden="1">{"Input_Fin",#N/A,FALSE,"By Code";"Input_Opt",#N/A,FALSE,"By Code"}</definedName>
    <definedName name="样_1_1_3" hidden="1">{"Input_Fin",#N/A,FALSE,"By Code";"Input_Opt",#N/A,FALSE,"By Code"}</definedName>
    <definedName name="样_1_2" hidden="1">{"Input_Fin",#N/A,FALSE,"By Code";"Input_Opt",#N/A,FALSE,"By Code"}</definedName>
    <definedName name="样_1_2_1" hidden="1">{"Input_Fin",#N/A,FALSE,"By Code";"Input_Opt",#N/A,FALSE,"By Code"}</definedName>
    <definedName name="样_1_2_2" hidden="1">{"Input_Fin",#N/A,FALSE,"By Code";"Input_Opt",#N/A,FALSE,"By Code"}</definedName>
    <definedName name="样_1_3" hidden="1">{"Input_Fin",#N/A,FALSE,"By Code";"Input_Opt",#N/A,FALSE,"By Code"}</definedName>
    <definedName name="样_1_4" hidden="1">{"Input_Fin",#N/A,FALSE,"By Code";"Input_Opt",#N/A,FALSE,"By Code"}</definedName>
    <definedName name="样_2" hidden="1">{"Input_Fin",#N/A,FALSE,"By Code";"Input_Opt",#N/A,FALSE,"By Code"}</definedName>
    <definedName name="样_2_1" hidden="1">{"Input_Fin",#N/A,FALSE,"By Code";"Input_Opt",#N/A,FALSE,"By Code"}</definedName>
    <definedName name="样_2_2" hidden="1">{"Input_Fin",#N/A,FALSE,"By Code";"Input_Opt",#N/A,FALSE,"By Code"}</definedName>
    <definedName name="样_2_3" hidden="1">{"Input_Fin",#N/A,FALSE,"By Code";"Input_Opt",#N/A,FALSE,"By Code"}</definedName>
    <definedName name="样_3" hidden="1">{"Input_Fin",#N/A,FALSE,"By Code";"Input_Opt",#N/A,FALSE,"By Code"}</definedName>
    <definedName name="样_3_1" hidden="1">{"Input_Fin",#N/A,FALSE,"By Code";"Input_Opt",#N/A,FALSE,"By Code"}</definedName>
    <definedName name="样_3_2" hidden="1">{"Input_Fin",#N/A,FALSE,"By Code";"Input_Opt",#N/A,FALSE,"By Code"}</definedName>
    <definedName name="样_4" hidden="1">{"Input_Fin",#N/A,FALSE,"By Code";"Input_Opt",#N/A,FALSE,"By Code"}</definedName>
    <definedName name="样_5" hidden="1">{"Input_Fin",#N/A,FALSE,"By Code";"Input_Opt",#N/A,FALSE,"By Code"}</definedName>
    <definedName name="要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一" hidden="1">{"'Sheet4'!$A$1:$L$41"}</definedName>
    <definedName name="一厂" localSheetId="12" hidden="1">{"Input_Fin",#N/A,FALSE,"By Code";"Input_Opt",#N/A,FALSE,"By Code"}</definedName>
    <definedName name="一厂" hidden="1">{"Input_Fin",#N/A,FALSE,"By Code";"Input_Opt",#N/A,FALSE,"By Code"}</definedName>
    <definedName name="一一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以" localSheetId="12" hidden="1">{"Input_Fin",#N/A,FALSE,"By Code";"Input_Opt",#N/A,FALSE,"By Code"}</definedName>
    <definedName name="以" hidden="1">{"Input_Fin",#N/A,FALSE,"By Code";"Input_Opt",#N/A,FALSE,"By Code"}</definedName>
    <definedName name="以_1" hidden="1">{"Input_Fin",#N/A,FALSE,"By Code";"Input_Opt",#N/A,FALSE,"By Code"}</definedName>
    <definedName name="以_1_1" hidden="1">{"Input_Fin",#N/A,FALSE,"By Code";"Input_Opt",#N/A,FALSE,"By Code"}</definedName>
    <definedName name="以_1_1_1" hidden="1">{"Input_Fin",#N/A,FALSE,"By Code";"Input_Opt",#N/A,FALSE,"By Code"}</definedName>
    <definedName name="以_1_1_2" hidden="1">{"Input_Fin",#N/A,FALSE,"By Code";"Input_Opt",#N/A,FALSE,"By Code"}</definedName>
    <definedName name="以_1_1_3" hidden="1">{"Input_Fin",#N/A,FALSE,"By Code";"Input_Opt",#N/A,FALSE,"By Code"}</definedName>
    <definedName name="以_1_2" hidden="1">{"Input_Fin",#N/A,FALSE,"By Code";"Input_Opt",#N/A,FALSE,"By Code"}</definedName>
    <definedName name="以_1_2_1" hidden="1">{"Input_Fin",#N/A,FALSE,"By Code";"Input_Opt",#N/A,FALSE,"By Code"}</definedName>
    <definedName name="以_1_2_2" hidden="1">{"Input_Fin",#N/A,FALSE,"By Code";"Input_Opt",#N/A,FALSE,"By Code"}</definedName>
    <definedName name="以_1_3" hidden="1">{"Input_Fin",#N/A,FALSE,"By Code";"Input_Opt",#N/A,FALSE,"By Code"}</definedName>
    <definedName name="以_1_4" hidden="1">{"Input_Fin",#N/A,FALSE,"By Code";"Input_Opt",#N/A,FALSE,"By Code"}</definedName>
    <definedName name="以_2" hidden="1">{"Input_Fin",#N/A,FALSE,"By Code";"Input_Opt",#N/A,FALSE,"By Code"}</definedName>
    <definedName name="以_2_1" hidden="1">{"Input_Fin",#N/A,FALSE,"By Code";"Input_Opt",#N/A,FALSE,"By Code"}</definedName>
    <definedName name="以_2_2" hidden="1">{"Input_Fin",#N/A,FALSE,"By Code";"Input_Opt",#N/A,FALSE,"By Code"}</definedName>
    <definedName name="以_2_3" hidden="1">{"Input_Fin",#N/A,FALSE,"By Code";"Input_Opt",#N/A,FALSE,"By Code"}</definedName>
    <definedName name="以_3" hidden="1">{"Input_Fin",#N/A,FALSE,"By Code";"Input_Opt",#N/A,FALSE,"By Code"}</definedName>
    <definedName name="以_3_1" hidden="1">{"Input_Fin",#N/A,FALSE,"By Code";"Input_Opt",#N/A,FALSE,"By Code"}</definedName>
    <definedName name="以_3_2" hidden="1">{"Input_Fin",#N/A,FALSE,"By Code";"Input_Opt",#N/A,FALSE,"By Code"}</definedName>
    <definedName name="以_4" hidden="1">{"Input_Fin",#N/A,FALSE,"By Code";"Input_Opt",#N/A,FALSE,"By Code"}</definedName>
    <definedName name="以_5" hidden="1">{"Input_Fin",#N/A,FALSE,"By Code";"Input_Opt",#N/A,FALSE,"By Code"}</definedName>
    <definedName name="溢价量" hidden="1">{"Input_Fin",#N/A,FALSE,"By Code";"Input_Opt",#N/A,FALSE,"By Code"}</definedName>
    <definedName name="应付外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付外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" localSheetId="12" hidden="1">{"Input_Fin",#N/A,FALSE,"By Code";"Input_Opt",#N/A,FALSE,"By Code"}</definedName>
    <definedName name="应收" hidden="1">{"Input_Fin",#N/A,FALSE,"By Code";"Input_Opt",#N/A,FALSE,"By Code"}</definedName>
    <definedName name="应收_1" hidden="1">{"Input_Fin",#N/A,FALSE,"By Code";"Input_Opt",#N/A,FALSE,"By Code"}</definedName>
    <definedName name="应收_1_1" hidden="1">{"Input_Fin",#N/A,FALSE,"By Code";"Input_Opt",#N/A,FALSE,"By Code"}</definedName>
    <definedName name="应收_1_1_1" hidden="1">{"Input_Fin",#N/A,FALSE,"By Code";"Input_Opt",#N/A,FALSE,"By Code"}</definedName>
    <definedName name="应收_1_1_1_1" hidden="1">{"Input_Fin",#N/A,FALSE,"By Code";"Input_Opt",#N/A,FALSE,"By Code"}</definedName>
    <definedName name="应收_1_1_1_1_1" hidden="1">{"Input_Fin",#N/A,FALSE,"By Code";"Input_Opt",#N/A,FALSE,"By Code"}</definedName>
    <definedName name="应收_1_1_1_1_2" hidden="1">{"Input_Fin",#N/A,FALSE,"By Code";"Input_Opt",#N/A,FALSE,"By Code"}</definedName>
    <definedName name="应收_1_1_1_1_3" hidden="1">{"Input_Fin",#N/A,FALSE,"By Code";"Input_Opt",#N/A,FALSE,"By Code"}</definedName>
    <definedName name="应收_1_1_1_2" hidden="1">{"Input_Fin",#N/A,FALSE,"By Code";"Input_Opt",#N/A,FALSE,"By Code"}</definedName>
    <definedName name="应收_1_1_1_2_1" hidden="1">{"Input_Fin",#N/A,FALSE,"By Code";"Input_Opt",#N/A,FALSE,"By Code"}</definedName>
    <definedName name="应收_1_1_1_2_2" hidden="1">{"Input_Fin",#N/A,FALSE,"By Code";"Input_Opt",#N/A,FALSE,"By Code"}</definedName>
    <definedName name="应收_1_1_1_3" hidden="1">{"Input_Fin",#N/A,FALSE,"By Code";"Input_Opt",#N/A,FALSE,"By Code"}</definedName>
    <definedName name="应收_1_1_1_3_1" hidden="1">{"Input_Fin",#N/A,FALSE,"By Code";"Input_Opt",#N/A,FALSE,"By Code"}</definedName>
    <definedName name="应收_1_1_1_3_2" hidden="1">{"Input_Fin",#N/A,FALSE,"By Code";"Input_Opt",#N/A,FALSE,"By Code"}</definedName>
    <definedName name="应收_1_1_1_4" hidden="1">{"Input_Fin",#N/A,FALSE,"By Code";"Input_Opt",#N/A,FALSE,"By Code"}</definedName>
    <definedName name="应收_1_1_1_5" hidden="1">{"Input_Fin",#N/A,FALSE,"By Code";"Input_Opt",#N/A,FALSE,"By Code"}</definedName>
    <definedName name="应收_1_1_2" hidden="1">{"Input_Fin",#N/A,FALSE,"By Code";"Input_Opt",#N/A,FALSE,"By Code"}</definedName>
    <definedName name="应收_1_1_2_1" hidden="1">{"Input_Fin",#N/A,FALSE,"By Code";"Input_Opt",#N/A,FALSE,"By Code"}</definedName>
    <definedName name="应收_1_1_2_2" hidden="1">{"Input_Fin",#N/A,FALSE,"By Code";"Input_Opt",#N/A,FALSE,"By Code"}</definedName>
    <definedName name="应收_1_1_2_3" hidden="1">{"Input_Fin",#N/A,FALSE,"By Code";"Input_Opt",#N/A,FALSE,"By Code"}</definedName>
    <definedName name="应收_1_1_3" hidden="1">{"Input_Fin",#N/A,FALSE,"By Code";"Input_Opt",#N/A,FALSE,"By Code"}</definedName>
    <definedName name="应收_1_1_3_1" hidden="1">{"Input_Fin",#N/A,FALSE,"By Code";"Input_Opt",#N/A,FALSE,"By Code"}</definedName>
    <definedName name="应收_1_1_3_2" hidden="1">{"Input_Fin",#N/A,FALSE,"By Code";"Input_Opt",#N/A,FALSE,"By Code"}</definedName>
    <definedName name="应收_1_1_4" hidden="1">{"Input_Fin",#N/A,FALSE,"By Code";"Input_Opt",#N/A,FALSE,"By Code"}</definedName>
    <definedName name="应收_1_1_5" hidden="1">{"Input_Fin",#N/A,FALSE,"By Code";"Input_Opt",#N/A,FALSE,"By Code"}</definedName>
    <definedName name="应收_1_2" hidden="1">{"Input_Fin",#N/A,FALSE,"By Code";"Input_Opt",#N/A,FALSE,"By Code"}</definedName>
    <definedName name="应收_1_2_1" hidden="1">{"Input_Fin",#N/A,FALSE,"By Code";"Input_Opt",#N/A,FALSE,"By Code"}</definedName>
    <definedName name="应收_1_2_2" hidden="1">{"Input_Fin",#N/A,FALSE,"By Code";"Input_Opt",#N/A,FALSE,"By Code"}</definedName>
    <definedName name="应收_1_2_3" hidden="1">{"Input_Fin",#N/A,FALSE,"By Code";"Input_Opt",#N/A,FALSE,"By Code"}</definedName>
    <definedName name="应收_1_3" hidden="1">{"Input_Fin",#N/A,FALSE,"By Code";"Input_Opt",#N/A,FALSE,"By Code"}</definedName>
    <definedName name="应收_1_3_1" hidden="1">{"Input_Fin",#N/A,FALSE,"By Code";"Input_Opt",#N/A,FALSE,"By Code"}</definedName>
    <definedName name="应收_1_3_2" hidden="1">{"Input_Fin",#N/A,FALSE,"By Code";"Input_Opt",#N/A,FALSE,"By Code"}</definedName>
    <definedName name="应收_1_4" hidden="1">{"Input_Fin",#N/A,FALSE,"By Code";"Input_Opt",#N/A,FALSE,"By Code"}</definedName>
    <definedName name="应收_1_5" hidden="1">{"Input_Fin",#N/A,FALSE,"By Code";"Input_Opt",#N/A,FALSE,"By Code"}</definedName>
    <definedName name="应收_2" hidden="1">{"Input_Fin",#N/A,FALSE,"By Code";"Input_Opt",#N/A,FALSE,"By Code"}</definedName>
    <definedName name="应收_2_1" hidden="1">{"Input_Fin",#N/A,FALSE,"By Code";"Input_Opt",#N/A,FALSE,"By Code"}</definedName>
    <definedName name="应收_2_1_1" hidden="1">{"Input_Fin",#N/A,FALSE,"By Code";"Input_Opt",#N/A,FALSE,"By Code"}</definedName>
    <definedName name="应收_2_1_1_1" hidden="1">{"Input_Fin",#N/A,FALSE,"By Code";"Input_Opt",#N/A,FALSE,"By Code"}</definedName>
    <definedName name="应收_2_1_1_2" hidden="1">{"Input_Fin",#N/A,FALSE,"By Code";"Input_Opt",#N/A,FALSE,"By Code"}</definedName>
    <definedName name="应收_2_1_1_3" hidden="1">{"Input_Fin",#N/A,FALSE,"By Code";"Input_Opt",#N/A,FALSE,"By Code"}</definedName>
    <definedName name="应收_2_1_2" hidden="1">{"Input_Fin",#N/A,FALSE,"By Code";"Input_Opt",#N/A,FALSE,"By Code"}</definedName>
    <definedName name="应收_2_1_2_1" hidden="1">{"Input_Fin",#N/A,FALSE,"By Code";"Input_Opt",#N/A,FALSE,"By Code"}</definedName>
    <definedName name="应收_2_1_2_2" hidden="1">{"Input_Fin",#N/A,FALSE,"By Code";"Input_Opt",#N/A,FALSE,"By Code"}</definedName>
    <definedName name="应收_2_1_3" hidden="1">{"Input_Fin",#N/A,FALSE,"By Code";"Input_Opt",#N/A,FALSE,"By Code"}</definedName>
    <definedName name="应收_2_1_4" hidden="1">{"Input_Fin",#N/A,FALSE,"By Code";"Input_Opt",#N/A,FALSE,"By Code"}</definedName>
    <definedName name="应收_2_2" hidden="1">{"Input_Fin",#N/A,FALSE,"By Code";"Input_Opt",#N/A,FALSE,"By Code"}</definedName>
    <definedName name="应收_2_2_1" hidden="1">{"Input_Fin",#N/A,FALSE,"By Code";"Input_Opt",#N/A,FALSE,"By Code"}</definedName>
    <definedName name="应收_2_2_2" hidden="1">{"Input_Fin",#N/A,FALSE,"By Code";"Input_Opt",#N/A,FALSE,"By Code"}</definedName>
    <definedName name="应收_2_2_3" hidden="1">{"Input_Fin",#N/A,FALSE,"By Code";"Input_Opt",#N/A,FALSE,"By Code"}</definedName>
    <definedName name="应收_2_3" hidden="1">{"Input_Fin",#N/A,FALSE,"By Code";"Input_Opt",#N/A,FALSE,"By Code"}</definedName>
    <definedName name="应收_2_3_1" hidden="1">{"Input_Fin",#N/A,FALSE,"By Code";"Input_Opt",#N/A,FALSE,"By Code"}</definedName>
    <definedName name="应收_2_3_2" hidden="1">{"Input_Fin",#N/A,FALSE,"By Code";"Input_Opt",#N/A,FALSE,"By Code"}</definedName>
    <definedName name="应收_2_4" hidden="1">{"Input_Fin",#N/A,FALSE,"By Code";"Input_Opt",#N/A,FALSE,"By Code"}</definedName>
    <definedName name="应收_2_5" hidden="1">{"Input_Fin",#N/A,FALSE,"By Code";"Input_Opt",#N/A,FALSE,"By Code"}</definedName>
    <definedName name="应收_3" hidden="1">{"Input_Fin",#N/A,FALSE,"By Code";"Input_Opt",#N/A,FALSE,"By Code"}</definedName>
    <definedName name="应收_3_1" hidden="1">{"Input_Fin",#N/A,FALSE,"By Code";"Input_Opt",#N/A,FALSE,"By Code"}</definedName>
    <definedName name="应收_3_1_1" hidden="1">{"Input_Fin",#N/A,FALSE,"By Code";"Input_Opt",#N/A,FALSE,"By Code"}</definedName>
    <definedName name="应收_3_1_1_1" hidden="1">{"Input_Fin",#N/A,FALSE,"By Code";"Input_Opt",#N/A,FALSE,"By Code"}</definedName>
    <definedName name="应收_3_1_1_2" hidden="1">{"Input_Fin",#N/A,FALSE,"By Code";"Input_Opt",#N/A,FALSE,"By Code"}</definedName>
    <definedName name="应收_3_1_1_3" hidden="1">{"Input_Fin",#N/A,FALSE,"By Code";"Input_Opt",#N/A,FALSE,"By Code"}</definedName>
    <definedName name="应收_3_1_2" hidden="1">{"Input_Fin",#N/A,FALSE,"By Code";"Input_Opt",#N/A,FALSE,"By Code"}</definedName>
    <definedName name="应收_3_1_2_1" hidden="1">{"Input_Fin",#N/A,FALSE,"By Code";"Input_Opt",#N/A,FALSE,"By Code"}</definedName>
    <definedName name="应收_3_1_2_2" hidden="1">{"Input_Fin",#N/A,FALSE,"By Code";"Input_Opt",#N/A,FALSE,"By Code"}</definedName>
    <definedName name="应收_3_1_3" hidden="1">{"Input_Fin",#N/A,FALSE,"By Code";"Input_Opt",#N/A,FALSE,"By Code"}</definedName>
    <definedName name="应收_3_1_4" hidden="1">{"Input_Fin",#N/A,FALSE,"By Code";"Input_Opt",#N/A,FALSE,"By Code"}</definedName>
    <definedName name="应收_3_2" hidden="1">{"Input_Fin",#N/A,FALSE,"By Code";"Input_Opt",#N/A,FALSE,"By Code"}</definedName>
    <definedName name="应收_3_2_1" hidden="1">{"Input_Fin",#N/A,FALSE,"By Code";"Input_Opt",#N/A,FALSE,"By Code"}</definedName>
    <definedName name="应收_3_2_2" hidden="1">{"Input_Fin",#N/A,FALSE,"By Code";"Input_Opt",#N/A,FALSE,"By Code"}</definedName>
    <definedName name="应收_3_2_3" hidden="1">{"Input_Fin",#N/A,FALSE,"By Code";"Input_Opt",#N/A,FALSE,"By Code"}</definedName>
    <definedName name="应收_3_3" hidden="1">{"Input_Fin",#N/A,FALSE,"By Code";"Input_Opt",#N/A,FALSE,"By Code"}</definedName>
    <definedName name="应收_3_3_1" hidden="1">{"Input_Fin",#N/A,FALSE,"By Code";"Input_Opt",#N/A,FALSE,"By Code"}</definedName>
    <definedName name="应收_3_3_2" hidden="1">{"Input_Fin",#N/A,FALSE,"By Code";"Input_Opt",#N/A,FALSE,"By Code"}</definedName>
    <definedName name="应收_3_4" hidden="1">{"Input_Fin",#N/A,FALSE,"By Code";"Input_Opt",#N/A,FALSE,"By Code"}</definedName>
    <definedName name="应收_3_5" hidden="1">{"Input_Fin",#N/A,FALSE,"By Code";"Input_Opt",#N/A,FALSE,"By Code"}</definedName>
    <definedName name="应收_4" hidden="1">{"Input_Fin",#N/A,FALSE,"By Code";"Input_Opt",#N/A,FALSE,"By Code"}</definedName>
    <definedName name="应收_4_1" hidden="1">{"Input_Fin",#N/A,FALSE,"By Code";"Input_Opt",#N/A,FALSE,"By Code"}</definedName>
    <definedName name="应收_4_1_1" hidden="1">{"Input_Fin",#N/A,FALSE,"By Code";"Input_Opt",#N/A,FALSE,"By Code"}</definedName>
    <definedName name="应收_4_1_1_1" hidden="1">{"Input_Fin",#N/A,FALSE,"By Code";"Input_Opt",#N/A,FALSE,"By Code"}</definedName>
    <definedName name="应收_4_1_1_2" hidden="1">{"Input_Fin",#N/A,FALSE,"By Code";"Input_Opt",#N/A,FALSE,"By Code"}</definedName>
    <definedName name="应收_4_1_1_3" hidden="1">{"Input_Fin",#N/A,FALSE,"By Code";"Input_Opt",#N/A,FALSE,"By Code"}</definedName>
    <definedName name="应收_4_1_2" hidden="1">{"Input_Fin",#N/A,FALSE,"By Code";"Input_Opt",#N/A,FALSE,"By Code"}</definedName>
    <definedName name="应收_4_1_2_1" hidden="1">{"Input_Fin",#N/A,FALSE,"By Code";"Input_Opt",#N/A,FALSE,"By Code"}</definedName>
    <definedName name="应收_4_1_2_2" hidden="1">{"Input_Fin",#N/A,FALSE,"By Code";"Input_Opt",#N/A,FALSE,"By Code"}</definedName>
    <definedName name="应收_4_1_3" hidden="1">{"Input_Fin",#N/A,FALSE,"By Code";"Input_Opt",#N/A,FALSE,"By Code"}</definedName>
    <definedName name="应收_4_1_4" hidden="1">{"Input_Fin",#N/A,FALSE,"By Code";"Input_Opt",#N/A,FALSE,"By Code"}</definedName>
    <definedName name="应收_4_2" hidden="1">{"Input_Fin",#N/A,FALSE,"By Code";"Input_Opt",#N/A,FALSE,"By Code"}</definedName>
    <definedName name="应收_4_2_1" hidden="1">{"Input_Fin",#N/A,FALSE,"By Code";"Input_Opt",#N/A,FALSE,"By Code"}</definedName>
    <definedName name="应收_4_2_2" hidden="1">{"Input_Fin",#N/A,FALSE,"By Code";"Input_Opt",#N/A,FALSE,"By Code"}</definedName>
    <definedName name="应收_4_2_3" hidden="1">{"Input_Fin",#N/A,FALSE,"By Code";"Input_Opt",#N/A,FALSE,"By Code"}</definedName>
    <definedName name="应收_4_3" hidden="1">{"Input_Fin",#N/A,FALSE,"By Code";"Input_Opt",#N/A,FALSE,"By Code"}</definedName>
    <definedName name="应收_4_3_1" hidden="1">{"Input_Fin",#N/A,FALSE,"By Code";"Input_Opt",#N/A,FALSE,"By Code"}</definedName>
    <definedName name="应收_4_3_2" hidden="1">{"Input_Fin",#N/A,FALSE,"By Code";"Input_Opt",#N/A,FALSE,"By Code"}</definedName>
    <definedName name="应收_4_4" hidden="1">{"Input_Fin",#N/A,FALSE,"By Code";"Input_Opt",#N/A,FALSE,"By Code"}</definedName>
    <definedName name="应收_4_5" hidden="1">{"Input_Fin",#N/A,FALSE,"By Code";"Input_Opt",#N/A,FALSE,"By Code"}</definedName>
    <definedName name="应收_5" hidden="1">{"Input_Fin",#N/A,FALSE,"By Code";"Input_Opt",#N/A,FALSE,"By Code"}</definedName>
    <definedName name="应收_5_1" hidden="1">{"Input_Fin",#N/A,FALSE,"By Code";"Input_Opt",#N/A,FALSE,"By Code"}</definedName>
    <definedName name="应收_5_1_1" hidden="1">{"Input_Fin",#N/A,FALSE,"By Code";"Input_Opt",#N/A,FALSE,"By Code"}</definedName>
    <definedName name="应收_5_1_1_1" hidden="1">{"Input_Fin",#N/A,FALSE,"By Code";"Input_Opt",#N/A,FALSE,"By Code"}</definedName>
    <definedName name="应收_5_1_1_2" hidden="1">{"Input_Fin",#N/A,FALSE,"By Code";"Input_Opt",#N/A,FALSE,"By Code"}</definedName>
    <definedName name="应收_5_1_1_3" hidden="1">{"Input_Fin",#N/A,FALSE,"By Code";"Input_Opt",#N/A,FALSE,"By Code"}</definedName>
    <definedName name="应收_5_1_2" hidden="1">{"Input_Fin",#N/A,FALSE,"By Code";"Input_Opt",#N/A,FALSE,"By Code"}</definedName>
    <definedName name="应收_5_1_2_1" hidden="1">{"Input_Fin",#N/A,FALSE,"By Code";"Input_Opt",#N/A,FALSE,"By Code"}</definedName>
    <definedName name="应收_5_1_2_2" hidden="1">{"Input_Fin",#N/A,FALSE,"By Code";"Input_Opt",#N/A,FALSE,"By Code"}</definedName>
    <definedName name="应收_5_1_3" hidden="1">{"Input_Fin",#N/A,FALSE,"By Code";"Input_Opt",#N/A,FALSE,"By Code"}</definedName>
    <definedName name="应收_5_1_4" hidden="1">{"Input_Fin",#N/A,FALSE,"By Code";"Input_Opt",#N/A,FALSE,"By Code"}</definedName>
    <definedName name="应收_5_2" hidden="1">{"Input_Fin",#N/A,FALSE,"By Code";"Input_Opt",#N/A,FALSE,"By Code"}</definedName>
    <definedName name="应收_5_2_1" hidden="1">{"Input_Fin",#N/A,FALSE,"By Code";"Input_Opt",#N/A,FALSE,"By Code"}</definedName>
    <definedName name="应收_5_2_2" hidden="1">{"Input_Fin",#N/A,FALSE,"By Code";"Input_Opt",#N/A,FALSE,"By Code"}</definedName>
    <definedName name="应收_5_2_3" hidden="1">{"Input_Fin",#N/A,FALSE,"By Code";"Input_Opt",#N/A,FALSE,"By Code"}</definedName>
    <definedName name="应收_5_3" hidden="1">{"Input_Fin",#N/A,FALSE,"By Code";"Input_Opt",#N/A,FALSE,"By Code"}</definedName>
    <definedName name="应收_5_3_1" hidden="1">{"Input_Fin",#N/A,FALSE,"By Code";"Input_Opt",#N/A,FALSE,"By Code"}</definedName>
    <definedName name="应收_5_3_2" hidden="1">{"Input_Fin",#N/A,FALSE,"By Code";"Input_Opt",#N/A,FALSE,"By Code"}</definedName>
    <definedName name="应收_5_4" hidden="1">{"Input_Fin",#N/A,FALSE,"By Code";"Input_Opt",#N/A,FALSE,"By Code"}</definedName>
    <definedName name="应收_5_5" hidden="1">{"Input_Fin",#N/A,FALSE,"By Code";"Input_Opt",#N/A,FALSE,"By Code"}</definedName>
    <definedName name="应收股利">#N/A</definedName>
    <definedName name="应收股利1">#N/A</definedName>
    <definedName name="应收款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与团" localSheetId="12" hidden="1">{"'Sheet4'!$A$1:$L$41"}</definedName>
    <definedName name="与团" hidden="1">{"'Sheet4'!$A$1:$L$41"}</definedName>
    <definedName name="羽绒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预估2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预估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预提新格式饲料厂" localSheetId="12" hidden="1">{"'Sheet4'!$A$1:$L$41"}</definedName>
    <definedName name="预提新格式饲料厂" hidden="1">{"'Sheet4'!$A$1:$L$41"}</definedName>
    <definedName name="预提新格式饲料厂_1" hidden="1">{"'Sheet4'!$A$1:$L$41"}</definedName>
    <definedName name="预提新格式饲料厂_1_1" hidden="1">{"'Sheet4'!$A$1:$L$41"}</definedName>
    <definedName name="预提新格式饲料厂_1_1_1" hidden="1">{"'Sheet4'!$A$1:$L$41"}</definedName>
    <definedName name="预提新格式饲料厂_1_1_1_1" hidden="1">{"'Sheet4'!$A$1:$L$41"}</definedName>
    <definedName name="预提新格式饲料厂_1_1_1_1_1" hidden="1">{"'Sheet4'!$A$1:$L$41"}</definedName>
    <definedName name="预提新格式饲料厂_1_1_1_1_2" hidden="1">{"'Sheet4'!$A$1:$L$41"}</definedName>
    <definedName name="预提新格式饲料厂_1_1_1_1_3" hidden="1">{"'Sheet4'!$A$1:$L$41"}</definedName>
    <definedName name="预提新格式饲料厂_1_1_1_2" hidden="1">{"'Sheet4'!$A$1:$L$41"}</definedName>
    <definedName name="预提新格式饲料厂_1_1_1_2_1" hidden="1">{"'Sheet4'!$A$1:$L$41"}</definedName>
    <definedName name="预提新格式饲料厂_1_1_1_2_2" hidden="1">{"'Sheet4'!$A$1:$L$41"}</definedName>
    <definedName name="预提新格式饲料厂_1_1_1_3" hidden="1">{"'Sheet4'!$A$1:$L$41"}</definedName>
    <definedName name="预提新格式饲料厂_1_1_1_3_1" hidden="1">{"'Sheet4'!$A$1:$L$41"}</definedName>
    <definedName name="预提新格式饲料厂_1_1_1_3_2" hidden="1">{"'Sheet4'!$A$1:$L$41"}</definedName>
    <definedName name="预提新格式饲料厂_1_1_1_4" hidden="1">{"'Sheet4'!$A$1:$L$41"}</definedName>
    <definedName name="预提新格式饲料厂_1_1_1_5" hidden="1">{"'Sheet4'!$A$1:$L$41"}</definedName>
    <definedName name="预提新格式饲料厂_1_1_2" hidden="1">{"'Sheet4'!$A$1:$L$41"}</definedName>
    <definedName name="预提新格式饲料厂_1_1_2_1" hidden="1">{"'Sheet4'!$A$1:$L$41"}</definedName>
    <definedName name="预提新格式饲料厂_1_1_2_2" hidden="1">{"'Sheet4'!$A$1:$L$41"}</definedName>
    <definedName name="预提新格式饲料厂_1_1_2_3" hidden="1">{"'Sheet4'!$A$1:$L$41"}</definedName>
    <definedName name="预提新格式饲料厂_1_1_3" hidden="1">{"'Sheet4'!$A$1:$L$41"}</definedName>
    <definedName name="预提新格式饲料厂_1_1_3_1" hidden="1">{"'Sheet4'!$A$1:$L$41"}</definedName>
    <definedName name="预提新格式饲料厂_1_1_3_2" hidden="1">{"'Sheet4'!$A$1:$L$41"}</definedName>
    <definedName name="预提新格式饲料厂_1_1_4" hidden="1">{"'Sheet4'!$A$1:$L$41"}</definedName>
    <definedName name="预提新格式饲料厂_1_1_5" hidden="1">{"'Sheet4'!$A$1:$L$41"}</definedName>
    <definedName name="预提新格式饲料厂_1_2" hidden="1">{"'Sheet4'!$A$1:$L$41"}</definedName>
    <definedName name="预提新格式饲料厂_1_2_1" hidden="1">{"'Sheet4'!$A$1:$L$41"}</definedName>
    <definedName name="预提新格式饲料厂_1_2_2" hidden="1">{"'Sheet4'!$A$1:$L$41"}</definedName>
    <definedName name="预提新格式饲料厂_1_2_3" hidden="1">{"'Sheet4'!$A$1:$L$41"}</definedName>
    <definedName name="预提新格式饲料厂_1_3" hidden="1">{"'Sheet4'!$A$1:$L$41"}</definedName>
    <definedName name="预提新格式饲料厂_1_3_1" hidden="1">{"'Sheet4'!$A$1:$L$41"}</definedName>
    <definedName name="预提新格式饲料厂_1_3_2" hidden="1">{"'Sheet4'!$A$1:$L$41"}</definedName>
    <definedName name="预提新格式饲料厂_1_4" hidden="1">{"'Sheet4'!$A$1:$L$41"}</definedName>
    <definedName name="预提新格式饲料厂_1_5" hidden="1">{"'Sheet4'!$A$1:$L$41"}</definedName>
    <definedName name="预提新格式饲料厂_2" hidden="1">{"'Sheet4'!$A$1:$L$41"}</definedName>
    <definedName name="预提新格式饲料厂_2_1" hidden="1">{"'Sheet4'!$A$1:$L$41"}</definedName>
    <definedName name="预提新格式饲料厂_2_1_1" hidden="1">{"'Sheet4'!$A$1:$L$41"}</definedName>
    <definedName name="预提新格式饲料厂_2_1_1_1" hidden="1">{"'Sheet4'!$A$1:$L$41"}</definedName>
    <definedName name="预提新格式饲料厂_2_1_1_2" hidden="1">{"'Sheet4'!$A$1:$L$41"}</definedName>
    <definedName name="预提新格式饲料厂_2_1_1_3" hidden="1">{"'Sheet4'!$A$1:$L$41"}</definedName>
    <definedName name="预提新格式饲料厂_2_1_2" hidden="1">{"'Sheet4'!$A$1:$L$41"}</definedName>
    <definedName name="预提新格式饲料厂_2_1_2_1" hidden="1">{"'Sheet4'!$A$1:$L$41"}</definedName>
    <definedName name="预提新格式饲料厂_2_1_2_2" hidden="1">{"'Sheet4'!$A$1:$L$41"}</definedName>
    <definedName name="预提新格式饲料厂_2_1_3" hidden="1">{"'Sheet4'!$A$1:$L$41"}</definedName>
    <definedName name="预提新格式饲料厂_2_1_4" hidden="1">{"'Sheet4'!$A$1:$L$41"}</definedName>
    <definedName name="预提新格式饲料厂_2_2" hidden="1">{"'Sheet4'!$A$1:$L$41"}</definedName>
    <definedName name="预提新格式饲料厂_2_2_1" hidden="1">{"'Sheet4'!$A$1:$L$41"}</definedName>
    <definedName name="预提新格式饲料厂_2_2_2" hidden="1">{"'Sheet4'!$A$1:$L$41"}</definedName>
    <definedName name="预提新格式饲料厂_2_2_3" hidden="1">{"'Sheet4'!$A$1:$L$41"}</definedName>
    <definedName name="预提新格式饲料厂_2_3" hidden="1">{"'Sheet4'!$A$1:$L$41"}</definedName>
    <definedName name="预提新格式饲料厂_2_3_1" hidden="1">{"'Sheet4'!$A$1:$L$41"}</definedName>
    <definedName name="预提新格式饲料厂_2_3_2" hidden="1">{"'Sheet4'!$A$1:$L$41"}</definedName>
    <definedName name="预提新格式饲料厂_2_4" hidden="1">{"'Sheet4'!$A$1:$L$41"}</definedName>
    <definedName name="预提新格式饲料厂_2_5" hidden="1">{"'Sheet4'!$A$1:$L$41"}</definedName>
    <definedName name="预提新格式饲料厂_3" hidden="1">{"'Sheet4'!$A$1:$L$41"}</definedName>
    <definedName name="预提新格式饲料厂_3_1" hidden="1">{"'Sheet4'!$A$1:$L$41"}</definedName>
    <definedName name="预提新格式饲料厂_3_1_1" hidden="1">{"'Sheet4'!$A$1:$L$41"}</definedName>
    <definedName name="预提新格式饲料厂_3_1_1_1" hidden="1">{"'Sheet4'!$A$1:$L$41"}</definedName>
    <definedName name="预提新格式饲料厂_3_1_1_2" hidden="1">{"'Sheet4'!$A$1:$L$41"}</definedName>
    <definedName name="预提新格式饲料厂_3_1_1_3" hidden="1">{"'Sheet4'!$A$1:$L$41"}</definedName>
    <definedName name="预提新格式饲料厂_3_1_2" hidden="1">{"'Sheet4'!$A$1:$L$41"}</definedName>
    <definedName name="预提新格式饲料厂_3_1_2_1" hidden="1">{"'Sheet4'!$A$1:$L$41"}</definedName>
    <definedName name="预提新格式饲料厂_3_1_2_2" hidden="1">{"'Sheet4'!$A$1:$L$41"}</definedName>
    <definedName name="预提新格式饲料厂_3_1_3" hidden="1">{"'Sheet4'!$A$1:$L$41"}</definedName>
    <definedName name="预提新格式饲料厂_3_1_4" hidden="1">{"'Sheet4'!$A$1:$L$41"}</definedName>
    <definedName name="预提新格式饲料厂_3_2" hidden="1">{"'Sheet4'!$A$1:$L$41"}</definedName>
    <definedName name="预提新格式饲料厂_3_2_1" hidden="1">{"'Sheet4'!$A$1:$L$41"}</definedName>
    <definedName name="预提新格式饲料厂_3_2_2" hidden="1">{"'Sheet4'!$A$1:$L$41"}</definedName>
    <definedName name="预提新格式饲料厂_3_2_3" hidden="1">{"'Sheet4'!$A$1:$L$41"}</definedName>
    <definedName name="预提新格式饲料厂_3_3" hidden="1">{"'Sheet4'!$A$1:$L$41"}</definedName>
    <definedName name="预提新格式饲料厂_3_3_1" hidden="1">{"'Sheet4'!$A$1:$L$41"}</definedName>
    <definedName name="预提新格式饲料厂_3_3_2" hidden="1">{"'Sheet4'!$A$1:$L$41"}</definedName>
    <definedName name="预提新格式饲料厂_3_4" hidden="1">{"'Sheet4'!$A$1:$L$41"}</definedName>
    <definedName name="预提新格式饲料厂_3_5" hidden="1">{"'Sheet4'!$A$1:$L$41"}</definedName>
    <definedName name="预提新格式饲料厂_4" hidden="1">{"'Sheet4'!$A$1:$L$41"}</definedName>
    <definedName name="预提新格式饲料厂_4_1" hidden="1">{"'Sheet4'!$A$1:$L$41"}</definedName>
    <definedName name="预提新格式饲料厂_4_1_1" hidden="1">{"'Sheet4'!$A$1:$L$41"}</definedName>
    <definedName name="预提新格式饲料厂_4_1_1_1" hidden="1">{"'Sheet4'!$A$1:$L$41"}</definedName>
    <definedName name="预提新格式饲料厂_4_1_1_2" hidden="1">{"'Sheet4'!$A$1:$L$41"}</definedName>
    <definedName name="预提新格式饲料厂_4_1_1_3" hidden="1">{"'Sheet4'!$A$1:$L$41"}</definedName>
    <definedName name="预提新格式饲料厂_4_1_2" hidden="1">{"'Sheet4'!$A$1:$L$41"}</definedName>
    <definedName name="预提新格式饲料厂_4_1_2_1" hidden="1">{"'Sheet4'!$A$1:$L$41"}</definedName>
    <definedName name="预提新格式饲料厂_4_1_2_2" hidden="1">{"'Sheet4'!$A$1:$L$41"}</definedName>
    <definedName name="预提新格式饲料厂_4_1_3" hidden="1">{"'Sheet4'!$A$1:$L$41"}</definedName>
    <definedName name="预提新格式饲料厂_4_1_4" hidden="1">{"'Sheet4'!$A$1:$L$41"}</definedName>
    <definedName name="预提新格式饲料厂_4_2" hidden="1">{"'Sheet4'!$A$1:$L$41"}</definedName>
    <definedName name="预提新格式饲料厂_4_2_1" hidden="1">{"'Sheet4'!$A$1:$L$41"}</definedName>
    <definedName name="预提新格式饲料厂_4_2_2" hidden="1">{"'Sheet4'!$A$1:$L$41"}</definedName>
    <definedName name="预提新格式饲料厂_4_2_3" hidden="1">{"'Sheet4'!$A$1:$L$41"}</definedName>
    <definedName name="预提新格式饲料厂_4_3" hidden="1">{"'Sheet4'!$A$1:$L$41"}</definedName>
    <definedName name="预提新格式饲料厂_4_3_1" hidden="1">{"'Sheet4'!$A$1:$L$41"}</definedName>
    <definedName name="预提新格式饲料厂_4_3_2" hidden="1">{"'Sheet4'!$A$1:$L$41"}</definedName>
    <definedName name="预提新格式饲料厂_4_4" hidden="1">{"'Sheet4'!$A$1:$L$41"}</definedName>
    <definedName name="预提新格式饲料厂_4_5" hidden="1">{"'Sheet4'!$A$1:$L$41"}</definedName>
    <definedName name="预提新格式饲料厂_5" hidden="1">{"'Sheet4'!$A$1:$L$41"}</definedName>
    <definedName name="预提新格式饲料厂_5_1" hidden="1">{"'Sheet4'!$A$1:$L$41"}</definedName>
    <definedName name="预提新格式饲料厂_5_1_1" hidden="1">{"'Sheet4'!$A$1:$L$41"}</definedName>
    <definedName name="预提新格式饲料厂_5_1_1_1" hidden="1">{"'Sheet4'!$A$1:$L$41"}</definedName>
    <definedName name="预提新格式饲料厂_5_1_1_2" hidden="1">{"'Sheet4'!$A$1:$L$41"}</definedName>
    <definedName name="预提新格式饲料厂_5_1_1_3" hidden="1">{"'Sheet4'!$A$1:$L$41"}</definedName>
    <definedName name="预提新格式饲料厂_5_1_2" hidden="1">{"'Sheet4'!$A$1:$L$41"}</definedName>
    <definedName name="预提新格式饲料厂_5_1_2_1" hidden="1">{"'Sheet4'!$A$1:$L$41"}</definedName>
    <definedName name="预提新格式饲料厂_5_1_2_2" hidden="1">{"'Sheet4'!$A$1:$L$41"}</definedName>
    <definedName name="预提新格式饲料厂_5_1_3" hidden="1">{"'Sheet4'!$A$1:$L$41"}</definedName>
    <definedName name="预提新格式饲料厂_5_1_4" hidden="1">{"'Sheet4'!$A$1:$L$41"}</definedName>
    <definedName name="预提新格式饲料厂_5_2" hidden="1">{"'Sheet4'!$A$1:$L$41"}</definedName>
    <definedName name="预提新格式饲料厂_5_2_1" hidden="1">{"'Sheet4'!$A$1:$L$41"}</definedName>
    <definedName name="预提新格式饲料厂_5_2_2" hidden="1">{"'Sheet4'!$A$1:$L$41"}</definedName>
    <definedName name="预提新格式饲料厂_5_2_3" hidden="1">{"'Sheet4'!$A$1:$L$41"}</definedName>
    <definedName name="预提新格式饲料厂_5_3" hidden="1">{"'Sheet4'!$A$1:$L$41"}</definedName>
    <definedName name="预提新格式饲料厂_5_3_1" hidden="1">{"'Sheet4'!$A$1:$L$41"}</definedName>
    <definedName name="预提新格式饲料厂_5_3_2" hidden="1">{"'Sheet4'!$A$1:$L$41"}</definedName>
    <definedName name="预提新格式饲料厂_5_4" hidden="1">{"'Sheet4'!$A$1:$L$41"}</definedName>
    <definedName name="预提新格式饲料厂_5_5" hidden="1">{"'Sheet4'!$A$1:$L$41"}</definedName>
    <definedName name="原" hidden="1">{"Input_Fin",#N/A,FALSE,"By Code";"Input_Opt",#N/A,FALSE,"By Code"}</definedName>
    <definedName name="原来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账龄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" localSheetId="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制造费用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制造费与上年比较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中国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人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人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" localSheetId="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左" hidden="1">{"Input_Fin",#N/A,FALSE,"By Code";"Input_Opt",#N/A,FALSE,"By Code"}</definedName>
    <definedName name="左_1" hidden="1">{"Input_Fin",#N/A,FALSE,"By Code";"Input_Opt",#N/A,FALSE,"By Code"}</definedName>
    <definedName name="左_1_1" hidden="1">{"Input_Fin",#N/A,FALSE,"By Code";"Input_Opt",#N/A,FALSE,"By Code"}</definedName>
    <definedName name="左_1_1_1" hidden="1">{"Input_Fin",#N/A,FALSE,"By Code";"Input_Opt",#N/A,FALSE,"By Code"}</definedName>
    <definedName name="左_1_1_2" hidden="1">{"Input_Fin",#N/A,FALSE,"By Code";"Input_Opt",#N/A,FALSE,"By Code"}</definedName>
    <definedName name="左_1_1_3" hidden="1">{"Input_Fin",#N/A,FALSE,"By Code";"Input_Opt",#N/A,FALSE,"By Code"}</definedName>
    <definedName name="左_1_2" hidden="1">{"Input_Fin",#N/A,FALSE,"By Code";"Input_Opt",#N/A,FALSE,"By Code"}</definedName>
    <definedName name="左_1_2_1" hidden="1">{"Input_Fin",#N/A,FALSE,"By Code";"Input_Opt",#N/A,FALSE,"By Code"}</definedName>
    <definedName name="左_1_2_2" hidden="1">{"Input_Fin",#N/A,FALSE,"By Code";"Input_Opt",#N/A,FALSE,"By Code"}</definedName>
    <definedName name="左_1_3" hidden="1">{"Input_Fin",#N/A,FALSE,"By Code";"Input_Opt",#N/A,FALSE,"By Code"}</definedName>
    <definedName name="左_1_4" hidden="1">{"Input_Fin",#N/A,FALSE,"By Code";"Input_Opt",#N/A,FALSE,"By Code"}</definedName>
    <definedName name="左_2" hidden="1">{"Input_Fin",#N/A,FALSE,"By Code";"Input_Opt",#N/A,FALSE,"By Code"}</definedName>
    <definedName name="左_2_1" hidden="1">{"Input_Fin",#N/A,FALSE,"By Code";"Input_Opt",#N/A,FALSE,"By Code"}</definedName>
    <definedName name="左_2_2" hidden="1">{"Input_Fin",#N/A,FALSE,"By Code";"Input_Opt",#N/A,FALSE,"By Code"}</definedName>
    <definedName name="左_2_3" hidden="1">{"Input_Fin",#N/A,FALSE,"By Code";"Input_Opt",#N/A,FALSE,"By Code"}</definedName>
    <definedName name="左_3" hidden="1">{"Input_Fin",#N/A,FALSE,"By Code";"Input_Opt",#N/A,FALSE,"By Code"}</definedName>
    <definedName name="左_3_1" hidden="1">{"Input_Fin",#N/A,FALSE,"By Code";"Input_Opt",#N/A,FALSE,"By Code"}</definedName>
    <definedName name="左_3_2" hidden="1">{"Input_Fin",#N/A,FALSE,"By Code";"Input_Opt",#N/A,FALSE,"By Code"}</definedName>
    <definedName name="左_4" hidden="1">{"Input_Fin",#N/A,FALSE,"By Code";"Input_Opt",#N/A,FALSE,"By Code"}</definedName>
    <definedName name="左_5" hidden="1">{"Input_Fin",#N/A,FALSE,"By Code";"Input_Opt",#N/A,FALSE,"By Code"}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45" i="15" l="1"/>
  <c r="J845" i="15"/>
  <c r="H845" i="15"/>
  <c r="F845" i="15"/>
  <c r="E845" i="15"/>
  <c r="D845" i="15"/>
  <c r="K844" i="15"/>
  <c r="J844" i="15"/>
  <c r="H844" i="15"/>
  <c r="F844" i="15"/>
  <c r="E844" i="15"/>
  <c r="D844" i="15"/>
  <c r="K843" i="15"/>
  <c r="J843" i="15"/>
  <c r="H843" i="15"/>
  <c r="F843" i="15"/>
  <c r="E843" i="15"/>
  <c r="D843" i="15"/>
  <c r="K842" i="15"/>
  <c r="J842" i="15"/>
  <c r="H842" i="15"/>
  <c r="F842" i="15"/>
  <c r="E842" i="15"/>
  <c r="D842" i="15"/>
  <c r="K841" i="15"/>
  <c r="J841" i="15"/>
  <c r="H841" i="15"/>
  <c r="F841" i="15"/>
  <c r="E841" i="15"/>
  <c r="D841" i="15"/>
  <c r="K840" i="15"/>
  <c r="J840" i="15"/>
  <c r="H840" i="15"/>
  <c r="F840" i="15"/>
  <c r="E840" i="15"/>
  <c r="D840" i="15"/>
  <c r="K839" i="15"/>
  <c r="J839" i="15"/>
  <c r="H839" i="15"/>
  <c r="F839" i="15"/>
  <c r="E839" i="15"/>
  <c r="D839" i="15"/>
  <c r="K838" i="15"/>
  <c r="J838" i="15"/>
  <c r="H838" i="15"/>
  <c r="F838" i="15"/>
  <c r="E838" i="15"/>
  <c r="D838" i="15"/>
  <c r="K837" i="15"/>
  <c r="J837" i="15"/>
  <c r="H837" i="15"/>
  <c r="F837" i="15"/>
  <c r="E837" i="15"/>
  <c r="D837" i="15"/>
  <c r="K836" i="15"/>
  <c r="J836" i="15"/>
  <c r="H836" i="15"/>
  <c r="F836" i="15"/>
  <c r="E836" i="15"/>
  <c r="D836" i="15"/>
  <c r="K835" i="15"/>
  <c r="J835" i="15"/>
  <c r="H835" i="15"/>
  <c r="F835" i="15"/>
  <c r="E835" i="15"/>
  <c r="D835" i="15"/>
  <c r="K834" i="15"/>
  <c r="J834" i="15"/>
  <c r="H834" i="15"/>
  <c r="F834" i="15"/>
  <c r="E834" i="15"/>
  <c r="D834" i="15"/>
  <c r="K833" i="15"/>
  <c r="J833" i="15"/>
  <c r="H833" i="15"/>
  <c r="F833" i="15"/>
  <c r="E833" i="15"/>
  <c r="D833" i="15"/>
  <c r="K832" i="15"/>
  <c r="J832" i="15"/>
  <c r="H832" i="15"/>
  <c r="F832" i="15"/>
  <c r="E832" i="15"/>
  <c r="D832" i="15"/>
  <c r="K831" i="15"/>
  <c r="J831" i="15"/>
  <c r="H831" i="15"/>
  <c r="F831" i="15"/>
  <c r="E831" i="15"/>
  <c r="D831" i="15"/>
  <c r="K830" i="15"/>
  <c r="J830" i="15"/>
  <c r="H830" i="15"/>
  <c r="F830" i="15"/>
  <c r="E830" i="15"/>
  <c r="D830" i="15"/>
  <c r="K829" i="15"/>
  <c r="J829" i="15"/>
  <c r="H829" i="15"/>
  <c r="F829" i="15"/>
  <c r="E829" i="15"/>
  <c r="D829" i="15"/>
  <c r="K828" i="15"/>
  <c r="J828" i="15"/>
  <c r="H828" i="15"/>
  <c r="F828" i="15"/>
  <c r="E828" i="15"/>
  <c r="D828" i="15"/>
  <c r="K827" i="15"/>
  <c r="J827" i="15"/>
  <c r="H827" i="15"/>
  <c r="F827" i="15"/>
  <c r="E827" i="15"/>
  <c r="D827" i="15"/>
  <c r="K826" i="15"/>
  <c r="J826" i="15"/>
  <c r="H826" i="15"/>
  <c r="F826" i="15"/>
  <c r="E826" i="15"/>
  <c r="D826" i="15"/>
  <c r="K825" i="15"/>
  <c r="J825" i="15"/>
  <c r="H825" i="15"/>
  <c r="F825" i="15"/>
  <c r="E825" i="15"/>
  <c r="D825" i="15"/>
  <c r="K824" i="15"/>
  <c r="J824" i="15"/>
  <c r="H824" i="15"/>
  <c r="F824" i="15"/>
  <c r="E824" i="15"/>
  <c r="D824" i="15"/>
  <c r="K823" i="15"/>
  <c r="J823" i="15"/>
  <c r="H823" i="15"/>
  <c r="F823" i="15"/>
  <c r="E823" i="15"/>
  <c r="D823" i="15"/>
  <c r="K822" i="15"/>
  <c r="J822" i="15"/>
  <c r="H822" i="15"/>
  <c r="F822" i="15"/>
  <c r="E822" i="15"/>
  <c r="D822" i="15"/>
  <c r="K821" i="15"/>
  <c r="J821" i="15"/>
  <c r="H821" i="15"/>
  <c r="F821" i="15"/>
  <c r="E821" i="15"/>
  <c r="D821" i="15"/>
  <c r="K820" i="15"/>
  <c r="J820" i="15"/>
  <c r="H820" i="15"/>
  <c r="F820" i="15"/>
  <c r="E820" i="15"/>
  <c r="D820" i="15"/>
  <c r="K819" i="15"/>
  <c r="J819" i="15"/>
  <c r="H819" i="15"/>
  <c r="F819" i="15"/>
  <c r="E819" i="15"/>
  <c r="D819" i="15"/>
  <c r="K818" i="15"/>
  <c r="J818" i="15"/>
  <c r="H818" i="15"/>
  <c r="F818" i="15"/>
  <c r="E818" i="15"/>
  <c r="D818" i="15"/>
  <c r="K817" i="15"/>
  <c r="J817" i="15"/>
  <c r="H817" i="15"/>
  <c r="F817" i="15"/>
  <c r="E817" i="15"/>
  <c r="D817" i="15"/>
  <c r="K816" i="15"/>
  <c r="J816" i="15"/>
  <c r="H816" i="15"/>
  <c r="F816" i="15"/>
  <c r="E816" i="15"/>
  <c r="D816" i="15"/>
  <c r="K815" i="15"/>
  <c r="J815" i="15"/>
  <c r="H815" i="15"/>
  <c r="F815" i="15"/>
  <c r="E815" i="15"/>
  <c r="D815" i="15"/>
  <c r="K814" i="15"/>
  <c r="J814" i="15"/>
  <c r="H814" i="15"/>
  <c r="F814" i="15"/>
  <c r="E814" i="15"/>
  <c r="D814" i="15"/>
  <c r="K813" i="15"/>
  <c r="J813" i="15"/>
  <c r="H813" i="15"/>
  <c r="F813" i="15"/>
  <c r="E813" i="15"/>
  <c r="D813" i="15"/>
  <c r="K812" i="15"/>
  <c r="J812" i="15"/>
  <c r="H812" i="15"/>
  <c r="F812" i="15"/>
  <c r="E812" i="15"/>
  <c r="D812" i="15"/>
  <c r="K811" i="15"/>
  <c r="J811" i="15"/>
  <c r="H811" i="15"/>
  <c r="F811" i="15"/>
  <c r="E811" i="15"/>
  <c r="D811" i="15"/>
  <c r="K810" i="15"/>
  <c r="J810" i="15"/>
  <c r="H810" i="15"/>
  <c r="F810" i="15"/>
  <c r="E810" i="15"/>
  <c r="D810" i="15"/>
  <c r="K809" i="15"/>
  <c r="J809" i="15"/>
  <c r="H809" i="15"/>
  <c r="F809" i="15"/>
  <c r="E809" i="15"/>
  <c r="D809" i="15"/>
  <c r="K808" i="15"/>
  <c r="J808" i="15"/>
  <c r="H808" i="15"/>
  <c r="F808" i="15"/>
  <c r="E808" i="15"/>
  <c r="D808" i="15"/>
  <c r="K807" i="15"/>
  <c r="J807" i="15"/>
  <c r="H807" i="15"/>
  <c r="F807" i="15"/>
  <c r="E807" i="15"/>
  <c r="D807" i="15"/>
  <c r="K806" i="15"/>
  <c r="J806" i="15"/>
  <c r="H806" i="15"/>
  <c r="F806" i="15"/>
  <c r="E806" i="15"/>
  <c r="D806" i="15"/>
  <c r="K805" i="15"/>
  <c r="J805" i="15"/>
  <c r="H805" i="15"/>
  <c r="F805" i="15"/>
  <c r="E805" i="15"/>
  <c r="D805" i="15"/>
  <c r="K804" i="15"/>
  <c r="J804" i="15"/>
  <c r="H804" i="15"/>
  <c r="F804" i="15"/>
  <c r="E804" i="15"/>
  <c r="D804" i="15"/>
  <c r="K803" i="15"/>
  <c r="J803" i="15"/>
  <c r="H803" i="15"/>
  <c r="F803" i="15"/>
  <c r="E803" i="15"/>
  <c r="D803" i="15"/>
  <c r="K802" i="15"/>
  <c r="J802" i="15"/>
  <c r="H802" i="15"/>
  <c r="F802" i="15"/>
  <c r="E802" i="15"/>
  <c r="D802" i="15"/>
  <c r="K801" i="15"/>
  <c r="J801" i="15"/>
  <c r="H801" i="15"/>
  <c r="F801" i="15"/>
  <c r="E801" i="15"/>
  <c r="D801" i="15"/>
  <c r="K800" i="15"/>
  <c r="J800" i="15"/>
  <c r="H800" i="15"/>
  <c r="F800" i="15"/>
  <c r="E800" i="15"/>
  <c r="D800" i="15"/>
  <c r="K799" i="15"/>
  <c r="J799" i="15"/>
  <c r="H799" i="15"/>
  <c r="F799" i="15"/>
  <c r="E799" i="15"/>
  <c r="D799" i="15"/>
  <c r="K798" i="15"/>
  <c r="J798" i="15"/>
  <c r="H798" i="15"/>
  <c r="F798" i="15"/>
  <c r="E798" i="15"/>
  <c r="D798" i="15"/>
  <c r="K797" i="15"/>
  <c r="J797" i="15"/>
  <c r="H797" i="15"/>
  <c r="F797" i="15"/>
  <c r="E797" i="15"/>
  <c r="D797" i="15"/>
  <c r="K796" i="15"/>
  <c r="J796" i="15"/>
  <c r="H796" i="15"/>
  <c r="F796" i="15"/>
  <c r="E796" i="15"/>
  <c r="D796" i="15"/>
  <c r="K795" i="15"/>
  <c r="J795" i="15"/>
  <c r="H795" i="15"/>
  <c r="F795" i="15"/>
  <c r="E795" i="15"/>
  <c r="D795" i="15"/>
  <c r="K794" i="15"/>
  <c r="J794" i="15"/>
  <c r="H794" i="15"/>
  <c r="F794" i="15"/>
  <c r="E794" i="15"/>
  <c r="D794" i="15"/>
  <c r="K793" i="15"/>
  <c r="J793" i="15"/>
  <c r="H793" i="15"/>
  <c r="F793" i="15"/>
  <c r="E793" i="15"/>
  <c r="D793" i="15"/>
  <c r="K792" i="15"/>
  <c r="J792" i="15"/>
  <c r="H792" i="15"/>
  <c r="F792" i="15"/>
  <c r="E792" i="15"/>
  <c r="D792" i="15"/>
  <c r="K791" i="15"/>
  <c r="J791" i="15"/>
  <c r="H791" i="15"/>
  <c r="F791" i="15"/>
  <c r="E791" i="15"/>
  <c r="D791" i="15"/>
  <c r="K790" i="15"/>
  <c r="J790" i="15"/>
  <c r="H790" i="15"/>
  <c r="F790" i="15"/>
  <c r="E790" i="15"/>
  <c r="D790" i="15"/>
  <c r="K789" i="15"/>
  <c r="J789" i="15"/>
  <c r="H789" i="15"/>
  <c r="F789" i="15"/>
  <c r="E789" i="15"/>
  <c r="D789" i="15"/>
  <c r="K788" i="15"/>
  <c r="J788" i="15"/>
  <c r="H788" i="15"/>
  <c r="F788" i="15"/>
  <c r="E788" i="15"/>
  <c r="D788" i="15"/>
  <c r="K787" i="15"/>
  <c r="J787" i="15"/>
  <c r="H787" i="15"/>
  <c r="F787" i="15"/>
  <c r="E787" i="15"/>
  <c r="D787" i="15"/>
  <c r="K786" i="15"/>
  <c r="J786" i="15"/>
  <c r="H786" i="15"/>
  <c r="F786" i="15"/>
  <c r="E786" i="15"/>
  <c r="D786" i="15"/>
  <c r="K785" i="15"/>
  <c r="J785" i="15"/>
  <c r="H785" i="15"/>
  <c r="F785" i="15"/>
  <c r="E785" i="15"/>
  <c r="D785" i="15"/>
  <c r="K784" i="15"/>
  <c r="J784" i="15"/>
  <c r="H784" i="15"/>
  <c r="F784" i="15"/>
  <c r="E784" i="15"/>
  <c r="D784" i="15"/>
  <c r="K783" i="15"/>
  <c r="J783" i="15"/>
  <c r="H783" i="15"/>
  <c r="F783" i="15"/>
  <c r="E783" i="15"/>
  <c r="D783" i="15"/>
  <c r="K782" i="15"/>
  <c r="J782" i="15"/>
  <c r="H782" i="15"/>
  <c r="F782" i="15"/>
  <c r="E782" i="15"/>
  <c r="D782" i="15"/>
  <c r="K781" i="15"/>
  <c r="J781" i="15"/>
  <c r="H781" i="15"/>
  <c r="F781" i="15"/>
  <c r="E781" i="15"/>
  <c r="D781" i="15"/>
  <c r="K780" i="15"/>
  <c r="J780" i="15"/>
  <c r="H780" i="15"/>
  <c r="F780" i="15"/>
  <c r="E780" i="15"/>
  <c r="D780" i="15"/>
  <c r="K779" i="15"/>
  <c r="J779" i="15"/>
  <c r="H779" i="15"/>
  <c r="F779" i="15"/>
  <c r="E779" i="15"/>
  <c r="D779" i="15"/>
  <c r="K778" i="15"/>
  <c r="J778" i="15"/>
  <c r="H778" i="15"/>
  <c r="F778" i="15"/>
  <c r="E778" i="15"/>
  <c r="D778" i="15"/>
  <c r="K777" i="15"/>
  <c r="J777" i="15"/>
  <c r="H777" i="15"/>
  <c r="F777" i="15"/>
  <c r="E777" i="15"/>
  <c r="D777" i="15"/>
  <c r="K776" i="15"/>
  <c r="J776" i="15"/>
  <c r="H776" i="15"/>
  <c r="F776" i="15"/>
  <c r="E776" i="15"/>
  <c r="D776" i="15"/>
  <c r="K775" i="15"/>
  <c r="J775" i="15"/>
  <c r="H775" i="15"/>
  <c r="F775" i="15"/>
  <c r="E775" i="15"/>
  <c r="D775" i="15"/>
  <c r="K774" i="15"/>
  <c r="J774" i="15"/>
  <c r="H774" i="15"/>
  <c r="F774" i="15"/>
  <c r="E774" i="15"/>
  <c r="D774" i="15"/>
  <c r="K773" i="15"/>
  <c r="J773" i="15"/>
  <c r="H773" i="15"/>
  <c r="F773" i="15"/>
  <c r="E773" i="15"/>
  <c r="D773" i="15"/>
  <c r="K772" i="15"/>
  <c r="J772" i="15"/>
  <c r="H772" i="15"/>
  <c r="F772" i="15"/>
  <c r="E772" i="15"/>
  <c r="D772" i="15"/>
  <c r="K771" i="15"/>
  <c r="J771" i="15"/>
  <c r="H771" i="15"/>
  <c r="F771" i="15"/>
  <c r="E771" i="15"/>
  <c r="D771" i="15"/>
  <c r="K770" i="15"/>
  <c r="J770" i="15"/>
  <c r="H770" i="15"/>
  <c r="F770" i="15"/>
  <c r="E770" i="15"/>
  <c r="D770" i="15"/>
  <c r="K769" i="15"/>
  <c r="J769" i="15"/>
  <c r="H769" i="15"/>
  <c r="F769" i="15"/>
  <c r="E769" i="15"/>
  <c r="D769" i="15"/>
  <c r="K768" i="15"/>
  <c r="J768" i="15"/>
  <c r="H768" i="15"/>
  <c r="F768" i="15"/>
  <c r="E768" i="15"/>
  <c r="D768" i="15"/>
  <c r="K767" i="15"/>
  <c r="J767" i="15"/>
  <c r="H767" i="15"/>
  <c r="F767" i="15"/>
  <c r="E767" i="15"/>
  <c r="D767" i="15"/>
  <c r="K766" i="15"/>
  <c r="J766" i="15"/>
  <c r="H766" i="15"/>
  <c r="F766" i="15"/>
  <c r="E766" i="15"/>
  <c r="D766" i="15"/>
  <c r="K765" i="15"/>
  <c r="J765" i="15"/>
  <c r="H765" i="15"/>
  <c r="F765" i="15"/>
  <c r="E765" i="15"/>
  <c r="D765" i="15"/>
  <c r="K764" i="15"/>
  <c r="J764" i="15"/>
  <c r="H764" i="15"/>
  <c r="F764" i="15"/>
  <c r="E764" i="15"/>
  <c r="D764" i="15"/>
  <c r="K763" i="15"/>
  <c r="J763" i="15"/>
  <c r="H763" i="15"/>
  <c r="F763" i="15"/>
  <c r="E763" i="15"/>
  <c r="D763" i="15"/>
  <c r="K762" i="15"/>
  <c r="J762" i="15"/>
  <c r="H762" i="15"/>
  <c r="F762" i="15"/>
  <c r="E762" i="15"/>
  <c r="D762" i="15"/>
  <c r="K761" i="15"/>
  <c r="J761" i="15"/>
  <c r="H761" i="15"/>
  <c r="F761" i="15"/>
  <c r="E761" i="15"/>
  <c r="D761" i="15"/>
  <c r="K760" i="15"/>
  <c r="J760" i="15"/>
  <c r="H760" i="15"/>
  <c r="F760" i="15"/>
  <c r="E760" i="15"/>
  <c r="D760" i="15"/>
  <c r="K759" i="15"/>
  <c r="J759" i="15"/>
  <c r="H759" i="15"/>
  <c r="F759" i="15"/>
  <c r="E759" i="15"/>
  <c r="D759" i="15"/>
  <c r="K758" i="15"/>
  <c r="J758" i="15"/>
  <c r="H758" i="15"/>
  <c r="F758" i="15"/>
  <c r="E758" i="15"/>
  <c r="D758" i="15"/>
  <c r="K757" i="15"/>
  <c r="J757" i="15"/>
  <c r="H757" i="15"/>
  <c r="F757" i="15"/>
  <c r="E757" i="15"/>
  <c r="D757" i="15"/>
  <c r="K756" i="15"/>
  <c r="J756" i="15"/>
  <c r="H756" i="15"/>
  <c r="F756" i="15"/>
  <c r="E756" i="15"/>
  <c r="D756" i="15"/>
  <c r="K755" i="15"/>
  <c r="J755" i="15"/>
  <c r="H755" i="15"/>
  <c r="F755" i="15"/>
  <c r="E755" i="15"/>
  <c r="D755" i="15"/>
  <c r="K754" i="15"/>
  <c r="J754" i="15"/>
  <c r="H754" i="15"/>
  <c r="F754" i="15"/>
  <c r="E754" i="15"/>
  <c r="D754" i="15"/>
  <c r="K753" i="15"/>
  <c r="J753" i="15"/>
  <c r="H753" i="15"/>
  <c r="F753" i="15"/>
  <c r="E753" i="15"/>
  <c r="D753" i="15"/>
  <c r="K752" i="15"/>
  <c r="J752" i="15"/>
  <c r="H752" i="15"/>
  <c r="F752" i="15"/>
  <c r="E752" i="15"/>
  <c r="D752" i="15"/>
  <c r="K751" i="15"/>
  <c r="J751" i="15"/>
  <c r="H751" i="15"/>
  <c r="F751" i="15"/>
  <c r="E751" i="15"/>
  <c r="D751" i="15"/>
  <c r="K750" i="15"/>
  <c r="J750" i="15"/>
  <c r="H750" i="15"/>
  <c r="F750" i="15"/>
  <c r="E750" i="15"/>
  <c r="D750" i="15"/>
  <c r="K749" i="15"/>
  <c r="J749" i="15"/>
  <c r="H749" i="15"/>
  <c r="F749" i="15"/>
  <c r="E749" i="15"/>
  <c r="D749" i="15"/>
  <c r="K748" i="15"/>
  <c r="J748" i="15"/>
  <c r="H748" i="15"/>
  <c r="F748" i="15"/>
  <c r="E748" i="15"/>
  <c r="D748" i="15"/>
  <c r="K747" i="15"/>
  <c r="J747" i="15"/>
  <c r="H747" i="15"/>
  <c r="F747" i="15"/>
  <c r="E747" i="15"/>
  <c r="D747" i="15"/>
  <c r="K746" i="15"/>
  <c r="J746" i="15"/>
  <c r="H746" i="15"/>
  <c r="F746" i="15"/>
  <c r="E746" i="15"/>
  <c r="D746" i="15"/>
  <c r="K745" i="15"/>
  <c r="J745" i="15"/>
  <c r="H745" i="15"/>
  <c r="F745" i="15"/>
  <c r="E745" i="15"/>
  <c r="D745" i="15"/>
  <c r="K744" i="15"/>
  <c r="J744" i="15"/>
  <c r="H744" i="15"/>
  <c r="F744" i="15"/>
  <c r="E744" i="15"/>
  <c r="D744" i="15"/>
  <c r="K743" i="15"/>
  <c r="J743" i="15"/>
  <c r="H743" i="15"/>
  <c r="F743" i="15"/>
  <c r="E743" i="15"/>
  <c r="D743" i="15"/>
  <c r="K742" i="15"/>
  <c r="J742" i="15"/>
  <c r="H742" i="15"/>
  <c r="F742" i="15"/>
  <c r="E742" i="15"/>
  <c r="D742" i="15"/>
  <c r="K741" i="15"/>
  <c r="J741" i="15"/>
  <c r="H741" i="15"/>
  <c r="F741" i="15"/>
  <c r="E741" i="15"/>
  <c r="D741" i="15"/>
  <c r="K740" i="15"/>
  <c r="J740" i="15"/>
  <c r="H740" i="15"/>
  <c r="F740" i="15"/>
  <c r="E740" i="15"/>
  <c r="D740" i="15"/>
  <c r="K739" i="15"/>
  <c r="J739" i="15"/>
  <c r="H739" i="15"/>
  <c r="F739" i="15"/>
  <c r="E739" i="15"/>
  <c r="D739" i="15"/>
  <c r="K738" i="15"/>
  <c r="J738" i="15"/>
  <c r="H738" i="15"/>
  <c r="F738" i="15"/>
  <c r="E738" i="15"/>
  <c r="D738" i="15"/>
  <c r="K737" i="15"/>
  <c r="J737" i="15"/>
  <c r="H737" i="15"/>
  <c r="F737" i="15"/>
  <c r="E737" i="15"/>
  <c r="D737" i="15"/>
  <c r="K736" i="15"/>
  <c r="J736" i="15"/>
  <c r="H736" i="15"/>
  <c r="F736" i="15"/>
  <c r="E736" i="15"/>
  <c r="D736" i="15"/>
  <c r="K735" i="15"/>
  <c r="J735" i="15"/>
  <c r="H735" i="15"/>
  <c r="F735" i="15"/>
  <c r="E735" i="15"/>
  <c r="D735" i="15"/>
  <c r="K734" i="15"/>
  <c r="J734" i="15"/>
  <c r="H734" i="15"/>
  <c r="F734" i="15"/>
  <c r="E734" i="15"/>
  <c r="D734" i="15"/>
  <c r="K733" i="15"/>
  <c r="J733" i="15"/>
  <c r="H733" i="15"/>
  <c r="F733" i="15"/>
  <c r="E733" i="15"/>
  <c r="D733" i="15"/>
  <c r="K732" i="15"/>
  <c r="J732" i="15"/>
  <c r="H732" i="15"/>
  <c r="F732" i="15"/>
  <c r="E732" i="15"/>
  <c r="D732" i="15"/>
  <c r="K731" i="15"/>
  <c r="J731" i="15"/>
  <c r="H731" i="15"/>
  <c r="F731" i="15"/>
  <c r="E731" i="15"/>
  <c r="D731" i="15"/>
  <c r="K730" i="15"/>
  <c r="J730" i="15"/>
  <c r="H730" i="15"/>
  <c r="F730" i="15"/>
  <c r="E730" i="15"/>
  <c r="D730" i="15"/>
  <c r="K729" i="15"/>
  <c r="J729" i="15"/>
  <c r="H729" i="15"/>
  <c r="F729" i="15"/>
  <c r="E729" i="15"/>
  <c r="D729" i="15"/>
  <c r="K728" i="15"/>
  <c r="J728" i="15"/>
  <c r="H728" i="15"/>
  <c r="F728" i="15"/>
  <c r="E728" i="15"/>
  <c r="D728" i="15"/>
  <c r="K727" i="15"/>
  <c r="J727" i="15"/>
  <c r="H727" i="15"/>
  <c r="F727" i="15"/>
  <c r="E727" i="15"/>
  <c r="D727" i="15"/>
  <c r="K726" i="15"/>
  <c r="J726" i="15"/>
  <c r="H726" i="15"/>
  <c r="F726" i="15"/>
  <c r="E726" i="15"/>
  <c r="D726" i="15"/>
  <c r="K725" i="15"/>
  <c r="J725" i="15"/>
  <c r="H725" i="15"/>
  <c r="F725" i="15"/>
  <c r="E725" i="15"/>
  <c r="D725" i="15"/>
  <c r="K724" i="15"/>
  <c r="J724" i="15"/>
  <c r="H724" i="15"/>
  <c r="F724" i="15"/>
  <c r="E724" i="15"/>
  <c r="D724" i="15"/>
  <c r="K723" i="15"/>
  <c r="J723" i="15"/>
  <c r="H723" i="15"/>
  <c r="F723" i="15"/>
  <c r="E723" i="15"/>
  <c r="D723" i="15"/>
  <c r="K722" i="15"/>
  <c r="J722" i="15"/>
  <c r="H722" i="15"/>
  <c r="F722" i="15"/>
  <c r="E722" i="15"/>
  <c r="D722" i="15"/>
  <c r="K721" i="15"/>
  <c r="J721" i="15"/>
  <c r="H721" i="15"/>
  <c r="F721" i="15"/>
  <c r="E721" i="15"/>
  <c r="D721" i="15"/>
  <c r="K720" i="15"/>
  <c r="J720" i="15"/>
  <c r="H720" i="15"/>
  <c r="F720" i="15"/>
  <c r="E720" i="15"/>
  <c r="D720" i="15"/>
  <c r="K719" i="15"/>
  <c r="J719" i="15"/>
  <c r="H719" i="15"/>
  <c r="F719" i="15"/>
  <c r="E719" i="15"/>
  <c r="D719" i="15"/>
  <c r="K718" i="15"/>
  <c r="J718" i="15"/>
  <c r="H718" i="15"/>
  <c r="F718" i="15"/>
  <c r="E718" i="15"/>
  <c r="D718" i="15"/>
  <c r="K717" i="15"/>
  <c r="J717" i="15"/>
  <c r="H717" i="15"/>
  <c r="F717" i="15"/>
  <c r="E717" i="15"/>
  <c r="D717" i="15"/>
  <c r="K716" i="15"/>
  <c r="J716" i="15"/>
  <c r="H716" i="15"/>
  <c r="F716" i="15"/>
  <c r="E716" i="15"/>
  <c r="D716" i="15"/>
  <c r="K715" i="15"/>
  <c r="J715" i="15"/>
  <c r="H715" i="15"/>
  <c r="F715" i="15"/>
  <c r="E715" i="15"/>
  <c r="D715" i="15"/>
  <c r="K714" i="15"/>
  <c r="J714" i="15"/>
  <c r="H714" i="15"/>
  <c r="F714" i="15"/>
  <c r="E714" i="15"/>
  <c r="D714" i="15"/>
  <c r="K713" i="15"/>
  <c r="J713" i="15"/>
  <c r="H713" i="15"/>
  <c r="F713" i="15"/>
  <c r="E713" i="15"/>
  <c r="D713" i="15"/>
  <c r="K712" i="15"/>
  <c r="J712" i="15"/>
  <c r="H712" i="15"/>
  <c r="F712" i="15"/>
  <c r="E712" i="15"/>
  <c r="D712" i="15"/>
  <c r="K711" i="15"/>
  <c r="J711" i="15"/>
  <c r="H711" i="15"/>
  <c r="F711" i="15"/>
  <c r="E711" i="15"/>
  <c r="D711" i="15"/>
  <c r="K710" i="15"/>
  <c r="J710" i="15"/>
  <c r="H710" i="15"/>
  <c r="F710" i="15"/>
  <c r="E710" i="15"/>
  <c r="D710" i="15"/>
  <c r="K709" i="15"/>
  <c r="J709" i="15"/>
  <c r="H709" i="15"/>
  <c r="F709" i="15"/>
  <c r="E709" i="15"/>
  <c r="D709" i="15"/>
  <c r="K708" i="15"/>
  <c r="J708" i="15"/>
  <c r="H708" i="15"/>
  <c r="F708" i="15"/>
  <c r="E708" i="15"/>
  <c r="D708" i="15"/>
  <c r="K707" i="15"/>
  <c r="J707" i="15"/>
  <c r="H707" i="15"/>
  <c r="F707" i="15"/>
  <c r="E707" i="15"/>
  <c r="D707" i="15"/>
  <c r="K706" i="15"/>
  <c r="J706" i="15"/>
  <c r="H706" i="15"/>
  <c r="F706" i="15"/>
  <c r="E706" i="15"/>
  <c r="D706" i="15"/>
  <c r="K705" i="15"/>
  <c r="J705" i="15"/>
  <c r="H705" i="15"/>
  <c r="F705" i="15"/>
  <c r="E705" i="15"/>
  <c r="D705" i="15"/>
  <c r="K704" i="15"/>
  <c r="J704" i="15"/>
  <c r="H704" i="15"/>
  <c r="F704" i="15"/>
  <c r="E704" i="15"/>
  <c r="D704" i="15"/>
  <c r="K703" i="15"/>
  <c r="J703" i="15"/>
  <c r="H703" i="15"/>
  <c r="F703" i="15"/>
  <c r="E703" i="15"/>
  <c r="D703" i="15"/>
  <c r="K702" i="15"/>
  <c r="J702" i="15"/>
  <c r="H702" i="15"/>
  <c r="F702" i="15"/>
  <c r="E702" i="15"/>
  <c r="D702" i="15"/>
  <c r="K701" i="15"/>
  <c r="J701" i="15"/>
  <c r="H701" i="15"/>
  <c r="F701" i="15"/>
  <c r="E701" i="15"/>
  <c r="D701" i="15"/>
  <c r="K700" i="15"/>
  <c r="J700" i="15"/>
  <c r="H700" i="15"/>
  <c r="F700" i="15"/>
  <c r="E700" i="15"/>
  <c r="D700" i="15"/>
  <c r="K699" i="15"/>
  <c r="J699" i="15"/>
  <c r="H699" i="15"/>
  <c r="F699" i="15"/>
  <c r="E699" i="15"/>
  <c r="D699" i="15"/>
  <c r="K698" i="15"/>
  <c r="J698" i="15"/>
  <c r="H698" i="15"/>
  <c r="F698" i="15"/>
  <c r="E698" i="15"/>
  <c r="D698" i="15"/>
  <c r="K697" i="15"/>
  <c r="J697" i="15"/>
  <c r="H697" i="15"/>
  <c r="F697" i="15"/>
  <c r="E697" i="15"/>
  <c r="D697" i="15"/>
  <c r="K696" i="15"/>
  <c r="J696" i="15"/>
  <c r="H696" i="15"/>
  <c r="F696" i="15"/>
  <c r="E696" i="15"/>
  <c r="D696" i="15"/>
  <c r="K695" i="15"/>
  <c r="J695" i="15"/>
  <c r="H695" i="15"/>
  <c r="F695" i="15"/>
  <c r="E695" i="15"/>
  <c r="D695" i="15"/>
  <c r="K694" i="15"/>
  <c r="J694" i="15"/>
  <c r="H694" i="15"/>
  <c r="F694" i="15"/>
  <c r="E694" i="15"/>
  <c r="D694" i="15"/>
  <c r="K693" i="15"/>
  <c r="J693" i="15"/>
  <c r="H693" i="15"/>
  <c r="F693" i="15"/>
  <c r="E693" i="15"/>
  <c r="D693" i="15"/>
  <c r="K692" i="15"/>
  <c r="J692" i="15"/>
  <c r="H692" i="15"/>
  <c r="F692" i="15"/>
  <c r="E692" i="15"/>
  <c r="D692" i="15"/>
  <c r="K691" i="15"/>
  <c r="J691" i="15"/>
  <c r="H691" i="15"/>
  <c r="F691" i="15"/>
  <c r="E691" i="15"/>
  <c r="D691" i="15"/>
  <c r="K690" i="15"/>
  <c r="J690" i="15"/>
  <c r="H690" i="15"/>
  <c r="F690" i="15"/>
  <c r="E690" i="15"/>
  <c r="D690" i="15"/>
  <c r="K689" i="15"/>
  <c r="J689" i="15"/>
  <c r="H689" i="15"/>
  <c r="F689" i="15"/>
  <c r="E689" i="15"/>
  <c r="D689" i="15"/>
  <c r="K688" i="15"/>
  <c r="J688" i="15"/>
  <c r="H688" i="15"/>
  <c r="F688" i="15"/>
  <c r="E688" i="15"/>
  <c r="D688" i="15"/>
  <c r="K687" i="15"/>
  <c r="J687" i="15"/>
  <c r="H687" i="15"/>
  <c r="F687" i="15"/>
  <c r="E687" i="15"/>
  <c r="D687" i="15"/>
  <c r="K686" i="15"/>
  <c r="J686" i="15"/>
  <c r="H686" i="15"/>
  <c r="F686" i="15"/>
  <c r="E686" i="15"/>
  <c r="D686" i="15"/>
  <c r="K685" i="15"/>
  <c r="J685" i="15"/>
  <c r="H685" i="15"/>
  <c r="F685" i="15"/>
  <c r="E685" i="15"/>
  <c r="D685" i="15"/>
  <c r="K684" i="15"/>
  <c r="J684" i="15"/>
  <c r="H684" i="15"/>
  <c r="F684" i="15"/>
  <c r="E684" i="15"/>
  <c r="D684" i="15"/>
  <c r="K683" i="15"/>
  <c r="J683" i="15"/>
  <c r="H683" i="15"/>
  <c r="F683" i="15"/>
  <c r="E683" i="15"/>
  <c r="D683" i="15"/>
  <c r="K682" i="15"/>
  <c r="J682" i="15"/>
  <c r="H682" i="15"/>
  <c r="F682" i="15"/>
  <c r="E682" i="15"/>
  <c r="D682" i="15"/>
  <c r="K681" i="15"/>
  <c r="J681" i="15"/>
  <c r="H681" i="15"/>
  <c r="F681" i="15"/>
  <c r="E681" i="15"/>
  <c r="D681" i="15"/>
  <c r="K680" i="15"/>
  <c r="J680" i="15"/>
  <c r="H680" i="15"/>
  <c r="F680" i="15"/>
  <c r="E680" i="15"/>
  <c r="D680" i="15"/>
  <c r="K679" i="15"/>
  <c r="J679" i="15"/>
  <c r="H679" i="15"/>
  <c r="F679" i="15"/>
  <c r="E679" i="15"/>
  <c r="D679" i="15"/>
  <c r="K678" i="15"/>
  <c r="J678" i="15"/>
  <c r="H678" i="15"/>
  <c r="F678" i="15"/>
  <c r="E678" i="15"/>
  <c r="D678" i="15"/>
  <c r="K677" i="15"/>
  <c r="J677" i="15"/>
  <c r="H677" i="15"/>
  <c r="F677" i="15"/>
  <c r="E677" i="15"/>
  <c r="D677" i="15"/>
  <c r="K676" i="15"/>
  <c r="J676" i="15"/>
  <c r="H676" i="15"/>
  <c r="F676" i="15"/>
  <c r="E676" i="15"/>
  <c r="D676" i="15"/>
  <c r="K675" i="15"/>
  <c r="J675" i="15"/>
  <c r="H675" i="15"/>
  <c r="F675" i="15"/>
  <c r="E675" i="15"/>
  <c r="D675" i="15"/>
  <c r="K674" i="15"/>
  <c r="J674" i="15"/>
  <c r="H674" i="15"/>
  <c r="F674" i="15"/>
  <c r="E674" i="15"/>
  <c r="D674" i="15"/>
  <c r="K673" i="15"/>
  <c r="J673" i="15"/>
  <c r="H673" i="15"/>
  <c r="F673" i="15"/>
  <c r="E673" i="15"/>
  <c r="D673" i="15"/>
  <c r="K672" i="15"/>
  <c r="J672" i="15"/>
  <c r="H672" i="15"/>
  <c r="F672" i="15"/>
  <c r="E672" i="15"/>
  <c r="D672" i="15"/>
  <c r="K671" i="15"/>
  <c r="J671" i="15"/>
  <c r="H671" i="15"/>
  <c r="F671" i="15"/>
  <c r="E671" i="15"/>
  <c r="D671" i="15"/>
  <c r="K670" i="15"/>
  <c r="J670" i="15"/>
  <c r="H670" i="15"/>
  <c r="F670" i="15"/>
  <c r="E670" i="15"/>
  <c r="D670" i="15"/>
  <c r="K669" i="15"/>
  <c r="J669" i="15"/>
  <c r="H669" i="15"/>
  <c r="F669" i="15"/>
  <c r="E669" i="15"/>
  <c r="D669" i="15"/>
  <c r="K668" i="15"/>
  <c r="J668" i="15"/>
  <c r="H668" i="15"/>
  <c r="F668" i="15"/>
  <c r="E668" i="15"/>
  <c r="D668" i="15"/>
  <c r="K667" i="15"/>
  <c r="J667" i="15"/>
  <c r="H667" i="15"/>
  <c r="F667" i="15"/>
  <c r="E667" i="15"/>
  <c r="D667" i="15"/>
  <c r="K666" i="15"/>
  <c r="J666" i="15"/>
  <c r="H666" i="15"/>
  <c r="F666" i="15"/>
  <c r="E666" i="15"/>
  <c r="D666" i="15"/>
  <c r="K665" i="15"/>
  <c r="J665" i="15"/>
  <c r="H665" i="15"/>
  <c r="F665" i="15"/>
  <c r="E665" i="15"/>
  <c r="D665" i="15"/>
  <c r="K664" i="15"/>
  <c r="J664" i="15"/>
  <c r="H664" i="15"/>
  <c r="F664" i="15"/>
  <c r="E664" i="15"/>
  <c r="D664" i="15"/>
  <c r="K663" i="15"/>
  <c r="J663" i="15"/>
  <c r="H663" i="15"/>
  <c r="F663" i="15"/>
  <c r="E663" i="15"/>
  <c r="D663" i="15"/>
  <c r="K662" i="15"/>
  <c r="J662" i="15"/>
  <c r="H662" i="15"/>
  <c r="F662" i="15"/>
  <c r="E662" i="15"/>
  <c r="D662" i="15"/>
  <c r="K661" i="15"/>
  <c r="J661" i="15"/>
  <c r="H661" i="15"/>
  <c r="F661" i="15"/>
  <c r="E661" i="15"/>
  <c r="D661" i="15"/>
  <c r="K660" i="15"/>
  <c r="J660" i="15"/>
  <c r="H660" i="15"/>
  <c r="F660" i="15"/>
  <c r="E660" i="15"/>
  <c r="D660" i="15"/>
  <c r="K659" i="15"/>
  <c r="J659" i="15"/>
  <c r="H659" i="15"/>
  <c r="F659" i="15"/>
  <c r="E659" i="15"/>
  <c r="D659" i="15"/>
  <c r="K658" i="15"/>
  <c r="J658" i="15"/>
  <c r="H658" i="15"/>
  <c r="F658" i="15"/>
  <c r="E658" i="15"/>
  <c r="D658" i="15"/>
  <c r="K657" i="15"/>
  <c r="J657" i="15"/>
  <c r="H657" i="15"/>
  <c r="F657" i="15"/>
  <c r="E657" i="15"/>
  <c r="D657" i="15"/>
  <c r="K656" i="15"/>
  <c r="J656" i="15"/>
  <c r="H656" i="15"/>
  <c r="F656" i="15"/>
  <c r="E656" i="15"/>
  <c r="D656" i="15"/>
  <c r="K655" i="15"/>
  <c r="J655" i="15"/>
  <c r="H655" i="15"/>
  <c r="F655" i="15"/>
  <c r="E655" i="15"/>
  <c r="D655" i="15"/>
  <c r="K654" i="15"/>
  <c r="J654" i="15"/>
  <c r="H654" i="15"/>
  <c r="F654" i="15"/>
  <c r="E654" i="15"/>
  <c r="D654" i="15"/>
  <c r="K653" i="15"/>
  <c r="J653" i="15"/>
  <c r="H653" i="15"/>
  <c r="F653" i="15"/>
  <c r="E653" i="15"/>
  <c r="D653" i="15"/>
  <c r="K652" i="15"/>
  <c r="J652" i="15"/>
  <c r="H652" i="15"/>
  <c r="F652" i="15"/>
  <c r="E652" i="15"/>
  <c r="D652" i="15"/>
  <c r="K651" i="15"/>
  <c r="J651" i="15"/>
  <c r="H651" i="15"/>
  <c r="F651" i="15"/>
  <c r="E651" i="15"/>
  <c r="D651" i="15"/>
  <c r="K650" i="15"/>
  <c r="J650" i="15"/>
  <c r="H650" i="15"/>
  <c r="F650" i="15"/>
  <c r="E650" i="15"/>
  <c r="D650" i="15"/>
  <c r="K649" i="15"/>
  <c r="J649" i="15"/>
  <c r="H649" i="15"/>
  <c r="F649" i="15"/>
  <c r="E649" i="15"/>
  <c r="D649" i="15"/>
  <c r="K648" i="15"/>
  <c r="J648" i="15"/>
  <c r="H648" i="15"/>
  <c r="F648" i="15"/>
  <c r="E648" i="15"/>
  <c r="D648" i="15"/>
  <c r="K647" i="15"/>
  <c r="J647" i="15"/>
  <c r="H647" i="15"/>
  <c r="F647" i="15"/>
  <c r="E647" i="15"/>
  <c r="D647" i="15"/>
  <c r="K646" i="15"/>
  <c r="J646" i="15"/>
  <c r="H646" i="15"/>
  <c r="F646" i="15"/>
  <c r="E646" i="15"/>
  <c r="D646" i="15"/>
  <c r="K645" i="15"/>
  <c r="J645" i="15"/>
  <c r="H645" i="15"/>
  <c r="F645" i="15"/>
  <c r="E645" i="15"/>
  <c r="D645" i="15"/>
  <c r="K644" i="15"/>
  <c r="J644" i="15"/>
  <c r="H644" i="15"/>
  <c r="F644" i="15"/>
  <c r="E644" i="15"/>
  <c r="D644" i="15"/>
  <c r="K643" i="15"/>
  <c r="J643" i="15"/>
  <c r="H643" i="15"/>
  <c r="F643" i="15"/>
  <c r="E643" i="15"/>
  <c r="D643" i="15"/>
  <c r="K642" i="15"/>
  <c r="J642" i="15"/>
  <c r="H642" i="15"/>
  <c r="F642" i="15"/>
  <c r="E642" i="15"/>
  <c r="D642" i="15"/>
  <c r="K641" i="15"/>
  <c r="J641" i="15"/>
  <c r="H641" i="15"/>
  <c r="F641" i="15"/>
  <c r="E641" i="15"/>
  <c r="D641" i="15"/>
  <c r="K640" i="15"/>
  <c r="J640" i="15"/>
  <c r="H640" i="15"/>
  <c r="F640" i="15"/>
  <c r="E640" i="15"/>
  <c r="D640" i="15"/>
  <c r="K639" i="15"/>
  <c r="J639" i="15"/>
  <c r="H639" i="15"/>
  <c r="F639" i="15"/>
  <c r="E639" i="15"/>
  <c r="D639" i="15"/>
  <c r="K638" i="15"/>
  <c r="J638" i="15"/>
  <c r="H638" i="15"/>
  <c r="F638" i="15"/>
  <c r="E638" i="15"/>
  <c r="D638" i="15"/>
  <c r="K637" i="15"/>
  <c r="J637" i="15"/>
  <c r="H637" i="15"/>
  <c r="F637" i="15"/>
  <c r="E637" i="15"/>
  <c r="D637" i="15"/>
  <c r="K636" i="15"/>
  <c r="J636" i="15"/>
  <c r="H636" i="15"/>
  <c r="F636" i="15"/>
  <c r="E636" i="15"/>
  <c r="D636" i="15"/>
  <c r="K635" i="15"/>
  <c r="J635" i="15"/>
  <c r="H635" i="15"/>
  <c r="F635" i="15"/>
  <c r="E635" i="15"/>
  <c r="D635" i="15"/>
  <c r="K634" i="15"/>
  <c r="J634" i="15"/>
  <c r="H634" i="15"/>
  <c r="F634" i="15"/>
  <c r="E634" i="15"/>
  <c r="D634" i="15"/>
  <c r="K633" i="15"/>
  <c r="J633" i="15"/>
  <c r="H633" i="15"/>
  <c r="F633" i="15"/>
  <c r="E633" i="15"/>
  <c r="D633" i="15"/>
  <c r="K632" i="15"/>
  <c r="J632" i="15"/>
  <c r="H632" i="15"/>
  <c r="F632" i="15"/>
  <c r="E632" i="15"/>
  <c r="D632" i="15"/>
  <c r="K631" i="15"/>
  <c r="J631" i="15"/>
  <c r="H631" i="15"/>
  <c r="F631" i="15"/>
  <c r="E631" i="15"/>
  <c r="D631" i="15"/>
  <c r="K630" i="15"/>
  <c r="J630" i="15"/>
  <c r="H630" i="15"/>
  <c r="F630" i="15"/>
  <c r="E630" i="15"/>
  <c r="D630" i="15"/>
  <c r="K629" i="15"/>
  <c r="J629" i="15"/>
  <c r="H629" i="15"/>
  <c r="F629" i="15"/>
  <c r="E629" i="15"/>
  <c r="D629" i="15"/>
  <c r="K628" i="15"/>
  <c r="J628" i="15"/>
  <c r="H628" i="15"/>
  <c r="F628" i="15"/>
  <c r="E628" i="15"/>
  <c r="D628" i="15"/>
  <c r="K627" i="15"/>
  <c r="J627" i="15"/>
  <c r="H627" i="15"/>
  <c r="F627" i="15"/>
  <c r="E627" i="15"/>
  <c r="D627" i="15"/>
  <c r="K626" i="15"/>
  <c r="J626" i="15"/>
  <c r="H626" i="15"/>
  <c r="F626" i="15"/>
  <c r="E626" i="15"/>
  <c r="D626" i="15"/>
  <c r="K625" i="15"/>
  <c r="J625" i="15"/>
  <c r="H625" i="15"/>
  <c r="F625" i="15"/>
  <c r="E625" i="15"/>
  <c r="D625" i="15"/>
  <c r="K624" i="15"/>
  <c r="J624" i="15"/>
  <c r="H624" i="15"/>
  <c r="F624" i="15"/>
  <c r="E624" i="15"/>
  <c r="D624" i="15"/>
  <c r="K623" i="15"/>
  <c r="J623" i="15"/>
  <c r="H623" i="15"/>
  <c r="F623" i="15"/>
  <c r="E623" i="15"/>
  <c r="D623" i="15"/>
  <c r="K622" i="15"/>
  <c r="J622" i="15"/>
  <c r="H622" i="15"/>
  <c r="F622" i="15"/>
  <c r="E622" i="15"/>
  <c r="D622" i="15"/>
  <c r="K621" i="15"/>
  <c r="J621" i="15"/>
  <c r="H621" i="15"/>
  <c r="F621" i="15"/>
  <c r="E621" i="15"/>
  <c r="D621" i="15"/>
  <c r="K620" i="15"/>
  <c r="J620" i="15"/>
  <c r="H620" i="15"/>
  <c r="F620" i="15"/>
  <c r="E620" i="15"/>
  <c r="D620" i="15"/>
  <c r="K619" i="15"/>
  <c r="J619" i="15"/>
  <c r="H619" i="15"/>
  <c r="F619" i="15"/>
  <c r="E619" i="15"/>
  <c r="D619" i="15"/>
  <c r="K618" i="15"/>
  <c r="J618" i="15"/>
  <c r="H618" i="15"/>
  <c r="F618" i="15"/>
  <c r="E618" i="15"/>
  <c r="D618" i="15"/>
  <c r="K617" i="15"/>
  <c r="J617" i="15"/>
  <c r="H617" i="15"/>
  <c r="F617" i="15"/>
  <c r="E617" i="15"/>
  <c r="D617" i="15"/>
  <c r="K616" i="15"/>
  <c r="J616" i="15"/>
  <c r="H616" i="15"/>
  <c r="F616" i="15"/>
  <c r="E616" i="15"/>
  <c r="D616" i="15"/>
  <c r="K615" i="15"/>
  <c r="J615" i="15"/>
  <c r="H615" i="15"/>
  <c r="F615" i="15"/>
  <c r="E615" i="15"/>
  <c r="D615" i="15"/>
  <c r="K614" i="15"/>
  <c r="J614" i="15"/>
  <c r="H614" i="15"/>
  <c r="F614" i="15"/>
  <c r="E614" i="15"/>
  <c r="D614" i="15"/>
  <c r="K613" i="15"/>
  <c r="J613" i="15"/>
  <c r="H613" i="15"/>
  <c r="F613" i="15"/>
  <c r="E613" i="15"/>
  <c r="D613" i="15"/>
  <c r="K612" i="15"/>
  <c r="J612" i="15"/>
  <c r="H612" i="15"/>
  <c r="F612" i="15"/>
  <c r="E612" i="15"/>
  <c r="D612" i="15"/>
  <c r="K611" i="15"/>
  <c r="J611" i="15"/>
  <c r="H611" i="15"/>
  <c r="F611" i="15"/>
  <c r="E611" i="15"/>
  <c r="D611" i="15"/>
  <c r="K610" i="15"/>
  <c r="J610" i="15"/>
  <c r="H610" i="15"/>
  <c r="F610" i="15"/>
  <c r="E610" i="15"/>
  <c r="D610" i="15"/>
  <c r="K609" i="15"/>
  <c r="J609" i="15"/>
  <c r="H609" i="15"/>
  <c r="F609" i="15"/>
  <c r="E609" i="15"/>
  <c r="D609" i="15"/>
  <c r="K608" i="15"/>
  <c r="J608" i="15"/>
  <c r="H608" i="15"/>
  <c r="F608" i="15"/>
  <c r="E608" i="15"/>
  <c r="D608" i="15"/>
  <c r="K607" i="15"/>
  <c r="J607" i="15"/>
  <c r="H607" i="15"/>
  <c r="F607" i="15"/>
  <c r="E607" i="15"/>
  <c r="D607" i="15"/>
  <c r="K606" i="15"/>
  <c r="J606" i="15"/>
  <c r="H606" i="15"/>
  <c r="F606" i="15"/>
  <c r="E606" i="15"/>
  <c r="D606" i="15"/>
  <c r="K605" i="15"/>
  <c r="J605" i="15"/>
  <c r="H605" i="15"/>
  <c r="F605" i="15"/>
  <c r="E605" i="15"/>
  <c r="D605" i="15"/>
  <c r="K604" i="15"/>
  <c r="J604" i="15"/>
  <c r="H604" i="15"/>
  <c r="F604" i="15"/>
  <c r="E604" i="15"/>
  <c r="D604" i="15"/>
  <c r="K603" i="15"/>
  <c r="J603" i="15"/>
  <c r="H603" i="15"/>
  <c r="F603" i="15"/>
  <c r="E603" i="15"/>
  <c r="D603" i="15"/>
  <c r="K602" i="15"/>
  <c r="J602" i="15"/>
  <c r="H602" i="15"/>
  <c r="F602" i="15"/>
  <c r="E602" i="15"/>
  <c r="D602" i="15"/>
  <c r="K601" i="15"/>
  <c r="J601" i="15"/>
  <c r="H601" i="15"/>
  <c r="F601" i="15"/>
  <c r="E601" i="15"/>
  <c r="D601" i="15"/>
  <c r="K600" i="15"/>
  <c r="J600" i="15"/>
  <c r="H600" i="15"/>
  <c r="F600" i="15"/>
  <c r="E600" i="15"/>
  <c r="D600" i="15"/>
  <c r="K599" i="15"/>
  <c r="J599" i="15"/>
  <c r="H599" i="15"/>
  <c r="F599" i="15"/>
  <c r="E599" i="15"/>
  <c r="D599" i="15"/>
  <c r="K598" i="15"/>
  <c r="J598" i="15"/>
  <c r="H598" i="15"/>
  <c r="F598" i="15"/>
  <c r="E598" i="15"/>
  <c r="D598" i="15"/>
  <c r="K597" i="15"/>
  <c r="J597" i="15"/>
  <c r="H597" i="15"/>
  <c r="F597" i="15"/>
  <c r="E597" i="15"/>
  <c r="D597" i="15"/>
  <c r="K596" i="15"/>
  <c r="J596" i="15"/>
  <c r="H596" i="15"/>
  <c r="F596" i="15"/>
  <c r="E596" i="15"/>
  <c r="D596" i="15"/>
  <c r="K595" i="15"/>
  <c r="J595" i="15"/>
  <c r="H595" i="15"/>
  <c r="F595" i="15"/>
  <c r="E595" i="15"/>
  <c r="D595" i="15"/>
  <c r="K594" i="15"/>
  <c r="J594" i="15"/>
  <c r="H594" i="15"/>
  <c r="F594" i="15"/>
  <c r="E594" i="15"/>
  <c r="D594" i="15"/>
  <c r="K593" i="15"/>
  <c r="J593" i="15"/>
  <c r="H593" i="15"/>
  <c r="F593" i="15"/>
  <c r="E593" i="15"/>
  <c r="D593" i="15"/>
  <c r="K592" i="15"/>
  <c r="J592" i="15"/>
  <c r="H592" i="15"/>
  <c r="F592" i="15"/>
  <c r="E592" i="15"/>
  <c r="D592" i="15"/>
  <c r="K591" i="15"/>
  <c r="J591" i="15"/>
  <c r="H591" i="15"/>
  <c r="F591" i="15"/>
  <c r="E591" i="15"/>
  <c r="D591" i="15"/>
  <c r="K590" i="15"/>
  <c r="J590" i="15"/>
  <c r="H590" i="15"/>
  <c r="F590" i="15"/>
  <c r="E590" i="15"/>
  <c r="D590" i="15"/>
  <c r="K589" i="15"/>
  <c r="J589" i="15"/>
  <c r="H589" i="15"/>
  <c r="F589" i="15"/>
  <c r="E589" i="15"/>
  <c r="D589" i="15"/>
  <c r="K588" i="15"/>
  <c r="J588" i="15"/>
  <c r="H588" i="15"/>
  <c r="F588" i="15"/>
  <c r="E588" i="15"/>
  <c r="D588" i="15"/>
  <c r="K587" i="15"/>
  <c r="J587" i="15"/>
  <c r="H587" i="15"/>
  <c r="F587" i="15"/>
  <c r="E587" i="15"/>
  <c r="D587" i="15"/>
  <c r="K586" i="15"/>
  <c r="J586" i="15"/>
  <c r="H586" i="15"/>
  <c r="F586" i="15"/>
  <c r="E586" i="15"/>
  <c r="D586" i="15"/>
  <c r="K585" i="15"/>
  <c r="J585" i="15"/>
  <c r="H585" i="15"/>
  <c r="F585" i="15"/>
  <c r="E585" i="15"/>
  <c r="D585" i="15"/>
  <c r="K584" i="15"/>
  <c r="J584" i="15"/>
  <c r="H584" i="15"/>
  <c r="F584" i="15"/>
  <c r="E584" i="15"/>
  <c r="D584" i="15"/>
  <c r="K583" i="15"/>
  <c r="J583" i="15"/>
  <c r="H583" i="15"/>
  <c r="F583" i="15"/>
  <c r="E583" i="15"/>
  <c r="D583" i="15"/>
  <c r="K582" i="15"/>
  <c r="J582" i="15"/>
  <c r="H582" i="15"/>
  <c r="F582" i="15"/>
  <c r="E582" i="15"/>
  <c r="D582" i="15"/>
  <c r="K581" i="15"/>
  <c r="J581" i="15"/>
  <c r="H581" i="15"/>
  <c r="F581" i="15"/>
  <c r="E581" i="15"/>
  <c r="D581" i="15"/>
  <c r="K580" i="15"/>
  <c r="J580" i="15"/>
  <c r="H580" i="15"/>
  <c r="F580" i="15"/>
  <c r="E580" i="15"/>
  <c r="D580" i="15"/>
  <c r="K579" i="15"/>
  <c r="J579" i="15"/>
  <c r="H579" i="15"/>
  <c r="F579" i="15"/>
  <c r="E579" i="15"/>
  <c r="D579" i="15"/>
  <c r="K578" i="15"/>
  <c r="J578" i="15"/>
  <c r="H578" i="15"/>
  <c r="F578" i="15"/>
  <c r="E578" i="15"/>
  <c r="D578" i="15"/>
  <c r="K577" i="15"/>
  <c r="J577" i="15"/>
  <c r="H577" i="15"/>
  <c r="F577" i="15"/>
  <c r="E577" i="15"/>
  <c r="D577" i="15"/>
  <c r="K576" i="15"/>
  <c r="J576" i="15"/>
  <c r="H576" i="15"/>
  <c r="F576" i="15"/>
  <c r="E576" i="15"/>
  <c r="D576" i="15"/>
  <c r="K575" i="15"/>
  <c r="J575" i="15"/>
  <c r="H575" i="15"/>
  <c r="F575" i="15"/>
  <c r="E575" i="15"/>
  <c r="D575" i="15"/>
  <c r="K574" i="15"/>
  <c r="J574" i="15"/>
  <c r="H574" i="15"/>
  <c r="F574" i="15"/>
  <c r="E574" i="15"/>
  <c r="D574" i="15"/>
  <c r="K573" i="15"/>
  <c r="J573" i="15"/>
  <c r="H573" i="15"/>
  <c r="F573" i="15"/>
  <c r="E573" i="15"/>
  <c r="D573" i="15"/>
  <c r="K572" i="15"/>
  <c r="J572" i="15"/>
  <c r="H572" i="15"/>
  <c r="F572" i="15"/>
  <c r="E572" i="15"/>
  <c r="D572" i="15"/>
  <c r="K571" i="15"/>
  <c r="J571" i="15"/>
  <c r="H571" i="15"/>
  <c r="F571" i="15"/>
  <c r="E571" i="15"/>
  <c r="D571" i="15"/>
  <c r="K570" i="15"/>
  <c r="J570" i="15"/>
  <c r="H570" i="15"/>
  <c r="F570" i="15"/>
  <c r="E570" i="15"/>
  <c r="D570" i="15"/>
  <c r="K569" i="15"/>
  <c r="J569" i="15"/>
  <c r="H569" i="15"/>
  <c r="F569" i="15"/>
  <c r="E569" i="15"/>
  <c r="D569" i="15"/>
  <c r="K568" i="15"/>
  <c r="J568" i="15"/>
  <c r="H568" i="15"/>
  <c r="F568" i="15"/>
  <c r="E568" i="15"/>
  <c r="D568" i="15"/>
  <c r="K567" i="15"/>
  <c r="J567" i="15"/>
  <c r="H567" i="15"/>
  <c r="F567" i="15"/>
  <c r="E567" i="15"/>
  <c r="D567" i="15"/>
  <c r="K566" i="15"/>
  <c r="J566" i="15"/>
  <c r="H566" i="15"/>
  <c r="F566" i="15"/>
  <c r="E566" i="15"/>
  <c r="D566" i="15"/>
  <c r="K565" i="15"/>
  <c r="J565" i="15"/>
  <c r="H565" i="15"/>
  <c r="F565" i="15"/>
  <c r="E565" i="15"/>
  <c r="D565" i="15"/>
  <c r="K564" i="15"/>
  <c r="J564" i="15"/>
  <c r="H564" i="15"/>
  <c r="F564" i="15"/>
  <c r="E564" i="15"/>
  <c r="D564" i="15"/>
  <c r="K563" i="15"/>
  <c r="J563" i="15"/>
  <c r="H563" i="15"/>
  <c r="F563" i="15"/>
  <c r="E563" i="15"/>
  <c r="D563" i="15"/>
  <c r="K562" i="15"/>
  <c r="J562" i="15"/>
  <c r="H562" i="15"/>
  <c r="F562" i="15"/>
  <c r="E562" i="15"/>
  <c r="D562" i="15"/>
  <c r="K561" i="15"/>
  <c r="J561" i="15"/>
  <c r="H561" i="15"/>
  <c r="F561" i="15"/>
  <c r="E561" i="15"/>
  <c r="D561" i="15"/>
  <c r="K560" i="15"/>
  <c r="J560" i="15"/>
  <c r="H560" i="15"/>
  <c r="F560" i="15"/>
  <c r="E560" i="15"/>
  <c r="D560" i="15"/>
  <c r="K559" i="15"/>
  <c r="J559" i="15"/>
  <c r="H559" i="15"/>
  <c r="F559" i="15"/>
  <c r="E559" i="15"/>
  <c r="D559" i="15"/>
  <c r="K558" i="15"/>
  <c r="J558" i="15"/>
  <c r="H558" i="15"/>
  <c r="F558" i="15"/>
  <c r="E558" i="15"/>
  <c r="D558" i="15"/>
  <c r="K557" i="15"/>
  <c r="J557" i="15"/>
  <c r="H557" i="15"/>
  <c r="F557" i="15"/>
  <c r="E557" i="15"/>
  <c r="D557" i="15"/>
  <c r="K556" i="15"/>
  <c r="J556" i="15"/>
  <c r="H556" i="15"/>
  <c r="F556" i="15"/>
  <c r="E556" i="15"/>
  <c r="D556" i="15"/>
  <c r="K555" i="15"/>
  <c r="J555" i="15"/>
  <c r="H555" i="15"/>
  <c r="F555" i="15"/>
  <c r="E555" i="15"/>
  <c r="D555" i="15"/>
  <c r="K554" i="15"/>
  <c r="J554" i="15"/>
  <c r="H554" i="15"/>
  <c r="F554" i="15"/>
  <c r="E554" i="15"/>
  <c r="D554" i="15"/>
  <c r="K553" i="15"/>
  <c r="J553" i="15"/>
  <c r="H553" i="15"/>
  <c r="F553" i="15"/>
  <c r="E553" i="15"/>
  <c r="D553" i="15"/>
  <c r="K552" i="15"/>
  <c r="J552" i="15"/>
  <c r="H552" i="15"/>
  <c r="F552" i="15"/>
  <c r="E552" i="15"/>
  <c r="D552" i="15"/>
  <c r="K551" i="15"/>
  <c r="J551" i="15"/>
  <c r="H551" i="15"/>
  <c r="F551" i="15"/>
  <c r="E551" i="15"/>
  <c r="D551" i="15"/>
  <c r="K550" i="15"/>
  <c r="J550" i="15"/>
  <c r="H550" i="15"/>
  <c r="F550" i="15"/>
  <c r="E550" i="15"/>
  <c r="D550" i="15"/>
  <c r="K549" i="15"/>
  <c r="J549" i="15"/>
  <c r="H549" i="15"/>
  <c r="F549" i="15"/>
  <c r="E549" i="15"/>
  <c r="D549" i="15"/>
  <c r="K548" i="15"/>
  <c r="J548" i="15"/>
  <c r="H548" i="15"/>
  <c r="F548" i="15"/>
  <c r="E548" i="15"/>
  <c r="D548" i="15"/>
  <c r="K547" i="15"/>
  <c r="J547" i="15"/>
  <c r="H547" i="15"/>
  <c r="F547" i="15"/>
  <c r="E547" i="15"/>
  <c r="D547" i="15"/>
  <c r="K546" i="15"/>
  <c r="J546" i="15"/>
  <c r="H546" i="15"/>
  <c r="F546" i="15"/>
  <c r="E546" i="15"/>
  <c r="D546" i="15"/>
  <c r="K545" i="15"/>
  <c r="J545" i="15"/>
  <c r="H545" i="15"/>
  <c r="F545" i="15"/>
  <c r="E545" i="15"/>
  <c r="D545" i="15"/>
  <c r="K544" i="15"/>
  <c r="J544" i="15"/>
  <c r="H544" i="15"/>
  <c r="F544" i="15"/>
  <c r="E544" i="15"/>
  <c r="D544" i="15"/>
  <c r="K543" i="15"/>
  <c r="J543" i="15"/>
  <c r="H543" i="15"/>
  <c r="F543" i="15"/>
  <c r="E543" i="15"/>
  <c r="D543" i="15"/>
  <c r="K542" i="15"/>
  <c r="J542" i="15"/>
  <c r="H542" i="15"/>
  <c r="F542" i="15"/>
  <c r="E542" i="15"/>
  <c r="D542" i="15"/>
  <c r="K541" i="15"/>
  <c r="J541" i="15"/>
  <c r="H541" i="15"/>
  <c r="F541" i="15"/>
  <c r="E541" i="15"/>
  <c r="D541" i="15"/>
  <c r="K540" i="15"/>
  <c r="J540" i="15"/>
  <c r="H540" i="15"/>
  <c r="F540" i="15"/>
  <c r="E540" i="15"/>
  <c r="D540" i="15"/>
  <c r="K539" i="15"/>
  <c r="J539" i="15"/>
  <c r="H539" i="15"/>
  <c r="F539" i="15"/>
  <c r="E539" i="15"/>
  <c r="D539" i="15"/>
  <c r="K538" i="15"/>
  <c r="J538" i="15"/>
  <c r="H538" i="15"/>
  <c r="F538" i="15"/>
  <c r="E538" i="15"/>
  <c r="D538" i="15"/>
  <c r="K537" i="15"/>
  <c r="J537" i="15"/>
  <c r="H537" i="15"/>
  <c r="F537" i="15"/>
  <c r="E537" i="15"/>
  <c r="D537" i="15"/>
  <c r="K536" i="15"/>
  <c r="J536" i="15"/>
  <c r="H536" i="15"/>
  <c r="F536" i="15"/>
  <c r="E536" i="15"/>
  <c r="D536" i="15"/>
  <c r="K535" i="15"/>
  <c r="J535" i="15"/>
  <c r="H535" i="15"/>
  <c r="F535" i="15"/>
  <c r="E535" i="15"/>
  <c r="D535" i="15"/>
  <c r="K534" i="15"/>
  <c r="J534" i="15"/>
  <c r="H534" i="15"/>
  <c r="F534" i="15"/>
  <c r="E534" i="15"/>
  <c r="D534" i="15"/>
  <c r="K533" i="15"/>
  <c r="J533" i="15"/>
  <c r="H533" i="15"/>
  <c r="F533" i="15"/>
  <c r="E533" i="15"/>
  <c r="D533" i="15"/>
  <c r="K532" i="15"/>
  <c r="J532" i="15"/>
  <c r="H532" i="15"/>
  <c r="F532" i="15"/>
  <c r="E532" i="15"/>
  <c r="D532" i="15"/>
  <c r="K531" i="15"/>
  <c r="J531" i="15"/>
  <c r="H531" i="15"/>
  <c r="F531" i="15"/>
  <c r="E531" i="15"/>
  <c r="D531" i="15"/>
  <c r="K530" i="15"/>
  <c r="J530" i="15"/>
  <c r="H530" i="15"/>
  <c r="F530" i="15"/>
  <c r="E530" i="15"/>
  <c r="D530" i="15"/>
  <c r="K529" i="15"/>
  <c r="J529" i="15"/>
  <c r="H529" i="15"/>
  <c r="F529" i="15"/>
  <c r="E529" i="15"/>
  <c r="D529" i="15"/>
  <c r="K528" i="15"/>
  <c r="J528" i="15"/>
  <c r="H528" i="15"/>
  <c r="F528" i="15"/>
  <c r="E528" i="15"/>
  <c r="D528" i="15"/>
  <c r="K527" i="15"/>
  <c r="J527" i="15"/>
  <c r="H527" i="15"/>
  <c r="F527" i="15"/>
  <c r="E527" i="15"/>
  <c r="D527" i="15"/>
  <c r="K526" i="15"/>
  <c r="J526" i="15"/>
  <c r="H526" i="15"/>
  <c r="F526" i="15"/>
  <c r="E526" i="15"/>
  <c r="D526" i="15"/>
  <c r="K525" i="15"/>
  <c r="J525" i="15"/>
  <c r="H525" i="15"/>
  <c r="F525" i="15"/>
  <c r="E525" i="15"/>
  <c r="D525" i="15"/>
  <c r="K524" i="15"/>
  <c r="J524" i="15"/>
  <c r="H524" i="15"/>
  <c r="F524" i="15"/>
  <c r="E524" i="15"/>
  <c r="D524" i="15"/>
  <c r="J523" i="15"/>
  <c r="F523" i="15"/>
  <c r="E523" i="15"/>
  <c r="D523" i="15"/>
  <c r="J522" i="15"/>
  <c r="F522" i="15"/>
  <c r="E522" i="15"/>
  <c r="D522" i="15"/>
  <c r="J521" i="15"/>
  <c r="F521" i="15"/>
  <c r="E521" i="15"/>
  <c r="D521" i="15"/>
  <c r="J520" i="15"/>
  <c r="F520" i="15"/>
  <c r="E520" i="15"/>
  <c r="D520" i="15"/>
  <c r="J519" i="15"/>
  <c r="F519" i="15"/>
  <c r="E519" i="15"/>
  <c r="D519" i="15"/>
  <c r="J518" i="15"/>
  <c r="F518" i="15"/>
  <c r="E518" i="15"/>
  <c r="D518" i="15"/>
  <c r="J517" i="15"/>
  <c r="F517" i="15"/>
  <c r="E517" i="15"/>
  <c r="D517" i="15"/>
  <c r="J516" i="15"/>
  <c r="F516" i="15"/>
  <c r="E516" i="15"/>
  <c r="D516" i="15"/>
  <c r="J515" i="15"/>
  <c r="F515" i="15"/>
  <c r="E515" i="15"/>
  <c r="D515" i="15"/>
  <c r="J514" i="15"/>
  <c r="F514" i="15"/>
  <c r="E514" i="15"/>
  <c r="D514" i="15"/>
  <c r="J513" i="15"/>
  <c r="F513" i="15"/>
  <c r="E513" i="15"/>
  <c r="D513" i="15"/>
  <c r="J512" i="15"/>
  <c r="F512" i="15"/>
  <c r="E512" i="15"/>
  <c r="D512" i="15"/>
  <c r="J511" i="15"/>
  <c r="F511" i="15"/>
  <c r="E511" i="15"/>
  <c r="D511" i="15"/>
  <c r="J510" i="15"/>
  <c r="F510" i="15"/>
  <c r="E510" i="15"/>
  <c r="D510" i="15"/>
  <c r="J509" i="15"/>
  <c r="F509" i="15"/>
  <c r="E509" i="15"/>
  <c r="D509" i="15"/>
  <c r="J508" i="15"/>
  <c r="F508" i="15"/>
  <c r="E508" i="15"/>
  <c r="D508" i="15"/>
  <c r="K507" i="15"/>
  <c r="J507" i="15"/>
  <c r="H507" i="15"/>
  <c r="F507" i="15"/>
  <c r="E507" i="15"/>
  <c r="D507" i="15"/>
  <c r="K506" i="15"/>
  <c r="J506" i="15"/>
  <c r="H506" i="15"/>
  <c r="F506" i="15"/>
  <c r="E506" i="15"/>
  <c r="D506" i="15"/>
  <c r="K505" i="15"/>
  <c r="J505" i="15"/>
  <c r="H505" i="15"/>
  <c r="F505" i="15"/>
  <c r="E505" i="15"/>
  <c r="D505" i="15"/>
  <c r="K504" i="15"/>
  <c r="J504" i="15"/>
  <c r="H504" i="15"/>
  <c r="F504" i="15"/>
  <c r="E504" i="15"/>
  <c r="D504" i="15"/>
  <c r="K503" i="15"/>
  <c r="J503" i="15"/>
  <c r="H503" i="15"/>
  <c r="F503" i="15"/>
  <c r="E503" i="15"/>
  <c r="D503" i="15"/>
  <c r="K502" i="15"/>
  <c r="J502" i="15"/>
  <c r="H502" i="15"/>
  <c r="F502" i="15"/>
  <c r="E502" i="15"/>
  <c r="D502" i="15"/>
  <c r="K501" i="15"/>
  <c r="J501" i="15"/>
  <c r="H501" i="15"/>
  <c r="F501" i="15"/>
  <c r="E501" i="15"/>
  <c r="D501" i="15"/>
  <c r="K500" i="15"/>
  <c r="J500" i="15"/>
  <c r="H500" i="15"/>
  <c r="F500" i="15"/>
  <c r="E500" i="15"/>
  <c r="D500" i="15"/>
  <c r="K499" i="15"/>
  <c r="J499" i="15"/>
  <c r="H499" i="15"/>
  <c r="F499" i="15"/>
  <c r="E499" i="15"/>
  <c r="D499" i="15"/>
  <c r="K498" i="15"/>
  <c r="J498" i="15"/>
  <c r="H498" i="15"/>
  <c r="F498" i="15"/>
  <c r="E498" i="15"/>
  <c r="D498" i="15"/>
  <c r="K497" i="15"/>
  <c r="J497" i="15"/>
  <c r="H497" i="15"/>
  <c r="F497" i="15"/>
  <c r="E497" i="15"/>
  <c r="D497" i="15"/>
  <c r="K496" i="15"/>
  <c r="J496" i="15"/>
  <c r="H496" i="15"/>
  <c r="F496" i="15"/>
  <c r="E496" i="15"/>
  <c r="D496" i="15"/>
  <c r="K495" i="15"/>
  <c r="J495" i="15"/>
  <c r="H495" i="15"/>
  <c r="F495" i="15"/>
  <c r="E495" i="15"/>
  <c r="D495" i="15"/>
  <c r="K494" i="15"/>
  <c r="J494" i="15"/>
  <c r="H494" i="15"/>
  <c r="F494" i="15"/>
  <c r="E494" i="15"/>
  <c r="D494" i="15"/>
  <c r="K493" i="15"/>
  <c r="J493" i="15"/>
  <c r="H493" i="15"/>
  <c r="F493" i="15"/>
  <c r="E493" i="15"/>
  <c r="D493" i="15"/>
  <c r="K492" i="15"/>
  <c r="J492" i="15"/>
  <c r="H492" i="15"/>
  <c r="F492" i="15"/>
  <c r="E492" i="15"/>
  <c r="D492" i="15"/>
  <c r="K491" i="15"/>
  <c r="J491" i="15"/>
  <c r="H491" i="15"/>
  <c r="F491" i="15"/>
  <c r="E491" i="15"/>
  <c r="D491" i="15"/>
  <c r="K490" i="15"/>
  <c r="J490" i="15"/>
  <c r="H490" i="15"/>
  <c r="F490" i="15"/>
  <c r="E490" i="15"/>
  <c r="D490" i="15"/>
  <c r="L489" i="15"/>
  <c r="K489" i="15"/>
  <c r="J489" i="15"/>
  <c r="H489" i="15"/>
  <c r="F489" i="15"/>
  <c r="E489" i="15"/>
  <c r="D489" i="15"/>
  <c r="K488" i="15"/>
  <c r="J488" i="15"/>
  <c r="H488" i="15"/>
  <c r="F488" i="15"/>
  <c r="E488" i="15"/>
  <c r="D488" i="15"/>
  <c r="K487" i="15"/>
  <c r="J487" i="15"/>
  <c r="H487" i="15"/>
  <c r="F487" i="15"/>
  <c r="E487" i="15"/>
  <c r="D487" i="15"/>
  <c r="K486" i="15"/>
  <c r="J486" i="15"/>
  <c r="H486" i="15"/>
  <c r="F486" i="15"/>
  <c r="E486" i="15"/>
  <c r="D486" i="15"/>
  <c r="K485" i="15"/>
  <c r="J485" i="15"/>
  <c r="H485" i="15"/>
  <c r="F485" i="15"/>
  <c r="E485" i="15"/>
  <c r="D485" i="15"/>
  <c r="K484" i="15"/>
  <c r="J484" i="15"/>
  <c r="H484" i="15"/>
  <c r="F484" i="15"/>
  <c r="E484" i="15"/>
  <c r="D484" i="15"/>
  <c r="K483" i="15"/>
  <c r="J483" i="15"/>
  <c r="H483" i="15"/>
  <c r="F483" i="15"/>
  <c r="E483" i="15"/>
  <c r="D483" i="15"/>
  <c r="K482" i="15"/>
  <c r="J482" i="15"/>
  <c r="H482" i="15"/>
  <c r="F482" i="15"/>
  <c r="E482" i="15"/>
  <c r="D482" i="15"/>
  <c r="K481" i="15"/>
  <c r="J481" i="15"/>
  <c r="H481" i="15"/>
  <c r="F481" i="15"/>
  <c r="E481" i="15"/>
  <c r="D481" i="15"/>
  <c r="K480" i="15"/>
  <c r="J480" i="15"/>
  <c r="H480" i="15"/>
  <c r="F480" i="15"/>
  <c r="E480" i="15"/>
  <c r="D480" i="15"/>
  <c r="K479" i="15"/>
  <c r="J479" i="15"/>
  <c r="H479" i="15"/>
  <c r="F479" i="15"/>
  <c r="E479" i="15"/>
  <c r="D479" i="15"/>
  <c r="K478" i="15"/>
  <c r="J478" i="15"/>
  <c r="H478" i="15"/>
  <c r="F478" i="15"/>
  <c r="E478" i="15"/>
  <c r="D478" i="15"/>
  <c r="K477" i="15"/>
  <c r="J477" i="15"/>
  <c r="H477" i="15"/>
  <c r="F477" i="15"/>
  <c r="E477" i="15"/>
  <c r="D477" i="15"/>
  <c r="K476" i="15"/>
  <c r="J476" i="15"/>
  <c r="H476" i="15"/>
  <c r="F476" i="15"/>
  <c r="E476" i="15"/>
  <c r="D476" i="15"/>
  <c r="K475" i="15"/>
  <c r="J475" i="15"/>
  <c r="H475" i="15"/>
  <c r="F475" i="15"/>
  <c r="E475" i="15"/>
  <c r="D475" i="15"/>
  <c r="K474" i="15"/>
  <c r="J474" i="15"/>
  <c r="H474" i="15"/>
  <c r="F474" i="15"/>
  <c r="E474" i="15"/>
  <c r="D474" i="15"/>
  <c r="K473" i="15"/>
  <c r="J473" i="15"/>
  <c r="H473" i="15"/>
  <c r="F473" i="15"/>
  <c r="E473" i="15"/>
  <c r="D473" i="15"/>
  <c r="K472" i="15"/>
  <c r="J472" i="15"/>
  <c r="H472" i="15"/>
  <c r="F472" i="15"/>
  <c r="E472" i="15"/>
  <c r="D472" i="15"/>
  <c r="K471" i="15"/>
  <c r="J471" i="15"/>
  <c r="H471" i="15"/>
  <c r="F471" i="15"/>
  <c r="E471" i="15"/>
  <c r="D471" i="15"/>
  <c r="K470" i="15"/>
  <c r="J470" i="15"/>
  <c r="H470" i="15"/>
  <c r="F470" i="15"/>
  <c r="E470" i="15"/>
  <c r="D470" i="15"/>
  <c r="K469" i="15"/>
  <c r="J469" i="15"/>
  <c r="H469" i="15"/>
  <c r="F469" i="15"/>
  <c r="E469" i="15"/>
  <c r="D469" i="15"/>
  <c r="K468" i="15"/>
  <c r="J468" i="15"/>
  <c r="H468" i="15"/>
  <c r="F468" i="15"/>
  <c r="E468" i="15"/>
  <c r="D468" i="15"/>
  <c r="K467" i="15"/>
  <c r="J467" i="15"/>
  <c r="H467" i="15"/>
  <c r="F467" i="15"/>
  <c r="E467" i="15"/>
  <c r="D467" i="15"/>
  <c r="K466" i="15"/>
  <c r="J466" i="15"/>
  <c r="H466" i="15"/>
  <c r="F466" i="15"/>
  <c r="E466" i="15"/>
  <c r="D466" i="15"/>
  <c r="K465" i="15"/>
  <c r="J465" i="15"/>
  <c r="H465" i="15"/>
  <c r="F465" i="15"/>
  <c r="E465" i="15"/>
  <c r="D465" i="15"/>
  <c r="K464" i="15"/>
  <c r="J464" i="15"/>
  <c r="H464" i="15"/>
  <c r="F464" i="15"/>
  <c r="E464" i="15"/>
  <c r="D464" i="15"/>
  <c r="K463" i="15"/>
  <c r="J463" i="15"/>
  <c r="H463" i="15"/>
  <c r="F463" i="15"/>
  <c r="E463" i="15"/>
  <c r="D463" i="15"/>
  <c r="K462" i="15"/>
  <c r="J462" i="15"/>
  <c r="H462" i="15"/>
  <c r="F462" i="15"/>
  <c r="E462" i="15"/>
  <c r="D462" i="15"/>
  <c r="K461" i="15"/>
  <c r="J461" i="15"/>
  <c r="H461" i="15"/>
  <c r="F461" i="15"/>
  <c r="E461" i="15"/>
  <c r="D461" i="15"/>
  <c r="K460" i="15"/>
  <c r="J460" i="15"/>
  <c r="H460" i="15"/>
  <c r="F460" i="15"/>
  <c r="E460" i="15"/>
  <c r="D460" i="15"/>
  <c r="K459" i="15"/>
  <c r="J459" i="15"/>
  <c r="H459" i="15"/>
  <c r="F459" i="15"/>
  <c r="E459" i="15"/>
  <c r="D459" i="15"/>
  <c r="J458" i="15"/>
  <c r="F458" i="15"/>
  <c r="E458" i="15"/>
  <c r="D458" i="15"/>
  <c r="J457" i="15"/>
  <c r="F457" i="15"/>
  <c r="E457" i="15"/>
  <c r="D457" i="15"/>
  <c r="J456" i="15"/>
  <c r="F456" i="15"/>
  <c r="E456" i="15"/>
  <c r="D456" i="15"/>
  <c r="J455" i="15"/>
  <c r="F455" i="15"/>
  <c r="E455" i="15"/>
  <c r="D455" i="15"/>
  <c r="J454" i="15"/>
  <c r="F454" i="15"/>
  <c r="E454" i="15"/>
  <c r="D454" i="15"/>
  <c r="J453" i="15"/>
  <c r="F453" i="15"/>
  <c r="E453" i="15"/>
  <c r="D453" i="15"/>
  <c r="J452" i="15"/>
  <c r="F452" i="15"/>
  <c r="E452" i="15"/>
  <c r="D452" i="15"/>
  <c r="J451" i="15"/>
  <c r="F451" i="15"/>
  <c r="E451" i="15"/>
  <c r="D451" i="15"/>
  <c r="J450" i="15"/>
  <c r="F450" i="15"/>
  <c r="E450" i="15"/>
  <c r="D450" i="15"/>
  <c r="J449" i="15"/>
  <c r="F449" i="15"/>
  <c r="E449" i="15"/>
  <c r="D449" i="15"/>
  <c r="J448" i="15"/>
  <c r="F448" i="15"/>
  <c r="E448" i="15"/>
  <c r="D448" i="15"/>
  <c r="J447" i="15"/>
  <c r="F447" i="15"/>
  <c r="E447" i="15"/>
  <c r="D447" i="15"/>
  <c r="J446" i="15"/>
  <c r="F446" i="15"/>
  <c r="E446" i="15"/>
  <c r="D446" i="15"/>
  <c r="J445" i="15"/>
  <c r="F445" i="15"/>
  <c r="E445" i="15"/>
  <c r="D445" i="15"/>
  <c r="J444" i="15"/>
  <c r="F444" i="15"/>
  <c r="E444" i="15"/>
  <c r="D444" i="15"/>
  <c r="J443" i="15"/>
  <c r="F443" i="15"/>
  <c r="E443" i="15"/>
  <c r="D443" i="15"/>
  <c r="K442" i="15"/>
  <c r="J442" i="15"/>
  <c r="H442" i="15"/>
  <c r="F442" i="15"/>
  <c r="E442" i="15"/>
  <c r="D442" i="15"/>
  <c r="K441" i="15"/>
  <c r="J441" i="15"/>
  <c r="H441" i="15"/>
  <c r="F441" i="15"/>
  <c r="E441" i="15"/>
  <c r="D441" i="15"/>
  <c r="K440" i="15"/>
  <c r="J440" i="15"/>
  <c r="H440" i="15"/>
  <c r="F440" i="15"/>
  <c r="E440" i="15"/>
  <c r="D440" i="15"/>
  <c r="K439" i="15"/>
  <c r="J439" i="15"/>
  <c r="H439" i="15"/>
  <c r="F439" i="15"/>
  <c r="E439" i="15"/>
  <c r="D439" i="15"/>
  <c r="K438" i="15"/>
  <c r="J438" i="15"/>
  <c r="H438" i="15"/>
  <c r="F438" i="15"/>
  <c r="E438" i="15"/>
  <c r="D438" i="15"/>
  <c r="K437" i="15"/>
  <c r="J437" i="15"/>
  <c r="H437" i="15"/>
  <c r="F437" i="15"/>
  <c r="E437" i="15"/>
  <c r="D437" i="15"/>
  <c r="K436" i="15"/>
  <c r="J436" i="15"/>
  <c r="H436" i="15"/>
  <c r="F436" i="15"/>
  <c r="E436" i="15"/>
  <c r="D436" i="15"/>
  <c r="K435" i="15"/>
  <c r="J435" i="15"/>
  <c r="H435" i="15"/>
  <c r="F435" i="15"/>
  <c r="E435" i="15"/>
  <c r="D435" i="15"/>
  <c r="K434" i="15"/>
  <c r="J434" i="15"/>
  <c r="H434" i="15"/>
  <c r="F434" i="15"/>
  <c r="E434" i="15"/>
  <c r="D434" i="15"/>
  <c r="K433" i="15"/>
  <c r="J433" i="15"/>
  <c r="H433" i="15"/>
  <c r="F433" i="15"/>
  <c r="E433" i="15"/>
  <c r="D433" i="15"/>
  <c r="K432" i="15"/>
  <c r="J432" i="15"/>
  <c r="H432" i="15"/>
  <c r="F432" i="15"/>
  <c r="E432" i="15"/>
  <c r="D432" i="15"/>
  <c r="K431" i="15"/>
  <c r="J431" i="15"/>
  <c r="H431" i="15"/>
  <c r="F431" i="15"/>
  <c r="E431" i="15"/>
  <c r="D431" i="15"/>
  <c r="K430" i="15"/>
  <c r="J430" i="15"/>
  <c r="H430" i="15"/>
  <c r="F430" i="15"/>
  <c r="E430" i="15"/>
  <c r="D430" i="15"/>
  <c r="K429" i="15"/>
  <c r="J429" i="15"/>
  <c r="H429" i="15"/>
  <c r="F429" i="15"/>
  <c r="E429" i="15"/>
  <c r="D429" i="15"/>
  <c r="K428" i="15"/>
  <c r="J428" i="15"/>
  <c r="H428" i="15"/>
  <c r="F428" i="15"/>
  <c r="E428" i="15"/>
  <c r="D428" i="15"/>
  <c r="K427" i="15"/>
  <c r="J427" i="15"/>
  <c r="H427" i="15"/>
  <c r="F427" i="15"/>
  <c r="E427" i="15"/>
  <c r="D427" i="15"/>
  <c r="K426" i="15"/>
  <c r="J426" i="15"/>
  <c r="H426" i="15"/>
  <c r="F426" i="15"/>
  <c r="E426" i="15"/>
  <c r="D426" i="15"/>
  <c r="K425" i="15"/>
  <c r="J425" i="15"/>
  <c r="H425" i="15"/>
  <c r="F425" i="15"/>
  <c r="E425" i="15"/>
  <c r="D425" i="15"/>
  <c r="L424" i="15"/>
  <c r="K424" i="15"/>
  <c r="J424" i="15"/>
  <c r="H424" i="15"/>
  <c r="F424" i="15"/>
  <c r="E424" i="15"/>
  <c r="D424" i="15"/>
  <c r="K423" i="15"/>
  <c r="J423" i="15"/>
  <c r="H423" i="15"/>
  <c r="F423" i="15"/>
  <c r="E423" i="15"/>
  <c r="D423" i="15"/>
  <c r="K422" i="15"/>
  <c r="J422" i="15"/>
  <c r="H422" i="15"/>
  <c r="F422" i="15"/>
  <c r="E422" i="15"/>
  <c r="D422" i="15"/>
  <c r="K421" i="15"/>
  <c r="J421" i="15"/>
  <c r="H421" i="15"/>
  <c r="F421" i="15"/>
  <c r="E421" i="15"/>
  <c r="D421" i="15"/>
  <c r="K420" i="15"/>
  <c r="J420" i="15"/>
  <c r="H420" i="15"/>
  <c r="F420" i="15"/>
  <c r="E420" i="15"/>
  <c r="D420" i="15"/>
  <c r="K419" i="15"/>
  <c r="J419" i="15"/>
  <c r="H419" i="15"/>
  <c r="F419" i="15"/>
  <c r="E419" i="15"/>
  <c r="D419" i="15"/>
  <c r="K418" i="15"/>
  <c r="J418" i="15"/>
  <c r="H418" i="15"/>
  <c r="F418" i="15"/>
  <c r="E418" i="15"/>
  <c r="D418" i="15"/>
  <c r="K417" i="15"/>
  <c r="J417" i="15"/>
  <c r="H417" i="15"/>
  <c r="F417" i="15"/>
  <c r="E417" i="15"/>
  <c r="D417" i="15"/>
  <c r="K416" i="15"/>
  <c r="J416" i="15"/>
  <c r="H416" i="15"/>
  <c r="F416" i="15"/>
  <c r="E416" i="15"/>
  <c r="D416" i="15"/>
  <c r="K415" i="15"/>
  <c r="J415" i="15"/>
  <c r="H415" i="15"/>
  <c r="F415" i="15"/>
  <c r="E415" i="15"/>
  <c r="D415" i="15"/>
  <c r="K414" i="15"/>
  <c r="J414" i="15"/>
  <c r="H414" i="15"/>
  <c r="F414" i="15"/>
  <c r="E414" i="15"/>
  <c r="D414" i="15"/>
  <c r="K413" i="15"/>
  <c r="J413" i="15"/>
  <c r="H413" i="15"/>
  <c r="F413" i="15"/>
  <c r="E413" i="15"/>
  <c r="D413" i="15"/>
  <c r="K412" i="15"/>
  <c r="J412" i="15"/>
  <c r="H412" i="15"/>
  <c r="F412" i="15"/>
  <c r="E412" i="15"/>
  <c r="D412" i="15"/>
  <c r="K411" i="15"/>
  <c r="J411" i="15"/>
  <c r="H411" i="15"/>
  <c r="F411" i="15"/>
  <c r="E411" i="15"/>
  <c r="D411" i="15"/>
  <c r="K410" i="15"/>
  <c r="J410" i="15"/>
  <c r="H410" i="15"/>
  <c r="F410" i="15"/>
  <c r="E410" i="15"/>
  <c r="D410" i="15"/>
  <c r="K409" i="15"/>
  <c r="J409" i="15"/>
  <c r="H409" i="15"/>
  <c r="F409" i="15"/>
  <c r="E409" i="15"/>
  <c r="D409" i="15"/>
  <c r="K408" i="15"/>
  <c r="J408" i="15"/>
  <c r="H408" i="15"/>
  <c r="F408" i="15"/>
  <c r="E408" i="15"/>
  <c r="D408" i="15"/>
  <c r="K407" i="15"/>
  <c r="J407" i="15"/>
  <c r="H407" i="15"/>
  <c r="F407" i="15"/>
  <c r="E407" i="15"/>
  <c r="D407" i="15"/>
  <c r="K406" i="15"/>
  <c r="J406" i="15"/>
  <c r="H406" i="15"/>
  <c r="F406" i="15"/>
  <c r="E406" i="15"/>
  <c r="D406" i="15"/>
  <c r="K405" i="15"/>
  <c r="J405" i="15"/>
  <c r="H405" i="15"/>
  <c r="F405" i="15"/>
  <c r="E405" i="15"/>
  <c r="D405" i="15"/>
  <c r="K404" i="15"/>
  <c r="J404" i="15"/>
  <c r="H404" i="15"/>
  <c r="F404" i="15"/>
  <c r="E404" i="15"/>
  <c r="D404" i="15"/>
  <c r="K403" i="15"/>
  <c r="J403" i="15"/>
  <c r="H403" i="15"/>
  <c r="F403" i="15"/>
  <c r="E403" i="15"/>
  <c r="D403" i="15"/>
  <c r="K402" i="15"/>
  <c r="J402" i="15"/>
  <c r="H402" i="15"/>
  <c r="F402" i="15"/>
  <c r="E402" i="15"/>
  <c r="D402" i="15"/>
  <c r="K401" i="15"/>
  <c r="J401" i="15"/>
  <c r="H401" i="15"/>
  <c r="F401" i="15"/>
  <c r="E401" i="15"/>
  <c r="D401" i="15"/>
  <c r="K400" i="15"/>
  <c r="J400" i="15"/>
  <c r="H400" i="15"/>
  <c r="F400" i="15"/>
  <c r="E400" i="15"/>
  <c r="D400" i="15"/>
  <c r="K399" i="15"/>
  <c r="J399" i="15"/>
  <c r="H399" i="15"/>
  <c r="F399" i="15"/>
  <c r="E399" i="15"/>
  <c r="D399" i="15"/>
  <c r="K398" i="15"/>
  <c r="J398" i="15"/>
  <c r="H398" i="15"/>
  <c r="F398" i="15"/>
  <c r="E398" i="15"/>
  <c r="D398" i="15"/>
  <c r="K397" i="15"/>
  <c r="J397" i="15"/>
  <c r="H397" i="15"/>
  <c r="F397" i="15"/>
  <c r="E397" i="15"/>
  <c r="D397" i="15"/>
  <c r="K396" i="15"/>
  <c r="J396" i="15"/>
  <c r="H396" i="15"/>
  <c r="F396" i="15"/>
  <c r="E396" i="15"/>
  <c r="D396" i="15"/>
  <c r="K395" i="15"/>
  <c r="J395" i="15"/>
  <c r="H395" i="15"/>
  <c r="F395" i="15"/>
  <c r="E395" i="15"/>
  <c r="D395" i="15"/>
  <c r="K394" i="15"/>
  <c r="J394" i="15"/>
  <c r="H394" i="15"/>
  <c r="F394" i="15"/>
  <c r="E394" i="15"/>
  <c r="D394" i="15"/>
  <c r="J393" i="15"/>
  <c r="F393" i="15"/>
  <c r="E393" i="15"/>
  <c r="D393" i="15"/>
  <c r="J392" i="15"/>
  <c r="F392" i="15"/>
  <c r="E392" i="15"/>
  <c r="D392" i="15"/>
  <c r="J391" i="15"/>
  <c r="F391" i="15"/>
  <c r="E391" i="15"/>
  <c r="D391" i="15"/>
  <c r="J390" i="15"/>
  <c r="F390" i="15"/>
  <c r="E390" i="15"/>
  <c r="D390" i="15"/>
  <c r="J389" i="15"/>
  <c r="F389" i="15"/>
  <c r="E389" i="15"/>
  <c r="D389" i="15"/>
  <c r="J388" i="15"/>
  <c r="F388" i="15"/>
  <c r="E388" i="15"/>
  <c r="D388" i="15"/>
  <c r="J387" i="15"/>
  <c r="F387" i="15"/>
  <c r="E387" i="15"/>
  <c r="D387" i="15"/>
  <c r="J386" i="15"/>
  <c r="F386" i="15"/>
  <c r="E386" i="15"/>
  <c r="D386" i="15"/>
  <c r="J385" i="15"/>
  <c r="F385" i="15"/>
  <c r="E385" i="15"/>
  <c r="D385" i="15"/>
  <c r="J384" i="15"/>
  <c r="F384" i="15"/>
  <c r="E384" i="15"/>
  <c r="D384" i="15"/>
  <c r="J383" i="15"/>
  <c r="F383" i="15"/>
  <c r="E383" i="15"/>
  <c r="D383" i="15"/>
  <c r="J382" i="15"/>
  <c r="F382" i="15"/>
  <c r="E382" i="15"/>
  <c r="D382" i="15"/>
  <c r="J381" i="15"/>
  <c r="F381" i="15"/>
  <c r="E381" i="15"/>
  <c r="D381" i="15"/>
  <c r="J380" i="15"/>
  <c r="F380" i="15"/>
  <c r="E380" i="15"/>
  <c r="D380" i="15"/>
  <c r="J379" i="15"/>
  <c r="F379" i="15"/>
  <c r="E379" i="15"/>
  <c r="D379" i="15"/>
  <c r="J378" i="15"/>
  <c r="F378" i="15"/>
  <c r="E378" i="15"/>
  <c r="D378" i="15"/>
  <c r="K377" i="15"/>
  <c r="J377" i="15"/>
  <c r="H377" i="15"/>
  <c r="F377" i="15"/>
  <c r="E377" i="15"/>
  <c r="D377" i="15"/>
  <c r="K376" i="15"/>
  <c r="J376" i="15"/>
  <c r="H376" i="15"/>
  <c r="F376" i="15"/>
  <c r="E376" i="15"/>
  <c r="D376" i="15"/>
  <c r="K375" i="15"/>
  <c r="J375" i="15"/>
  <c r="H375" i="15"/>
  <c r="F375" i="15"/>
  <c r="E375" i="15"/>
  <c r="D375" i="15"/>
  <c r="K374" i="15"/>
  <c r="J374" i="15"/>
  <c r="H374" i="15"/>
  <c r="F374" i="15"/>
  <c r="E374" i="15"/>
  <c r="D374" i="15"/>
  <c r="K373" i="15"/>
  <c r="J373" i="15"/>
  <c r="H373" i="15"/>
  <c r="F373" i="15"/>
  <c r="E373" i="15"/>
  <c r="D373" i="15"/>
  <c r="K372" i="15"/>
  <c r="J372" i="15"/>
  <c r="H372" i="15"/>
  <c r="F372" i="15"/>
  <c r="E372" i="15"/>
  <c r="D372" i="15"/>
  <c r="K371" i="15"/>
  <c r="J371" i="15"/>
  <c r="H371" i="15"/>
  <c r="F371" i="15"/>
  <c r="E371" i="15"/>
  <c r="D371" i="15"/>
  <c r="K370" i="15"/>
  <c r="J370" i="15"/>
  <c r="H370" i="15"/>
  <c r="F370" i="15"/>
  <c r="E370" i="15"/>
  <c r="D370" i="15"/>
  <c r="K369" i="15"/>
  <c r="J369" i="15"/>
  <c r="H369" i="15"/>
  <c r="F369" i="15"/>
  <c r="E369" i="15"/>
  <c r="D369" i="15"/>
  <c r="K368" i="15"/>
  <c r="J368" i="15"/>
  <c r="H368" i="15"/>
  <c r="F368" i="15"/>
  <c r="E368" i="15"/>
  <c r="D368" i="15"/>
  <c r="K367" i="15"/>
  <c r="J367" i="15"/>
  <c r="H367" i="15"/>
  <c r="F367" i="15"/>
  <c r="E367" i="15"/>
  <c r="D367" i="15"/>
  <c r="K366" i="15"/>
  <c r="J366" i="15"/>
  <c r="H366" i="15"/>
  <c r="F366" i="15"/>
  <c r="E366" i="15"/>
  <c r="D366" i="15"/>
  <c r="K365" i="15"/>
  <c r="J365" i="15"/>
  <c r="H365" i="15"/>
  <c r="F365" i="15"/>
  <c r="E365" i="15"/>
  <c r="D365" i="15"/>
  <c r="K364" i="15"/>
  <c r="J364" i="15"/>
  <c r="H364" i="15"/>
  <c r="F364" i="15"/>
  <c r="E364" i="15"/>
  <c r="D364" i="15"/>
  <c r="K363" i="15"/>
  <c r="J363" i="15"/>
  <c r="H363" i="15"/>
  <c r="F363" i="15"/>
  <c r="E363" i="15"/>
  <c r="D363" i="15"/>
  <c r="K362" i="15"/>
  <c r="J362" i="15"/>
  <c r="H362" i="15"/>
  <c r="F362" i="15"/>
  <c r="E362" i="15"/>
  <c r="D362" i="15"/>
  <c r="K361" i="15"/>
  <c r="J361" i="15"/>
  <c r="H361" i="15"/>
  <c r="F361" i="15"/>
  <c r="E361" i="15"/>
  <c r="D361" i="15"/>
  <c r="K360" i="15"/>
  <c r="J360" i="15"/>
  <c r="H360" i="15"/>
  <c r="F360" i="15"/>
  <c r="E360" i="15"/>
  <c r="D360" i="15"/>
  <c r="L359" i="15"/>
  <c r="K359" i="15"/>
  <c r="J359" i="15"/>
  <c r="H359" i="15"/>
  <c r="F359" i="15"/>
  <c r="E359" i="15"/>
  <c r="D359" i="15"/>
  <c r="K358" i="15"/>
  <c r="J358" i="15"/>
  <c r="H358" i="15"/>
  <c r="F358" i="15"/>
  <c r="E358" i="15"/>
  <c r="D358" i="15"/>
  <c r="K357" i="15"/>
  <c r="J357" i="15"/>
  <c r="H357" i="15"/>
  <c r="F357" i="15"/>
  <c r="E357" i="15"/>
  <c r="D357" i="15"/>
  <c r="K356" i="15"/>
  <c r="J356" i="15"/>
  <c r="H356" i="15"/>
  <c r="F356" i="15"/>
  <c r="E356" i="15"/>
  <c r="D356" i="15"/>
  <c r="K355" i="15"/>
  <c r="J355" i="15"/>
  <c r="H355" i="15"/>
  <c r="F355" i="15"/>
  <c r="E355" i="15"/>
  <c r="D355" i="15"/>
  <c r="K354" i="15"/>
  <c r="J354" i="15"/>
  <c r="H354" i="15"/>
  <c r="F354" i="15"/>
  <c r="E354" i="15"/>
  <c r="D354" i="15"/>
  <c r="K353" i="15"/>
  <c r="J353" i="15"/>
  <c r="H353" i="15"/>
  <c r="F353" i="15"/>
  <c r="E353" i="15"/>
  <c r="D353" i="15"/>
  <c r="K352" i="15"/>
  <c r="J352" i="15"/>
  <c r="H352" i="15"/>
  <c r="F352" i="15"/>
  <c r="E352" i="15"/>
  <c r="D352" i="15"/>
  <c r="K351" i="15"/>
  <c r="J351" i="15"/>
  <c r="H351" i="15"/>
  <c r="F351" i="15"/>
  <c r="E351" i="15"/>
  <c r="D351" i="15"/>
  <c r="K350" i="15"/>
  <c r="J350" i="15"/>
  <c r="H350" i="15"/>
  <c r="F350" i="15"/>
  <c r="E350" i="15"/>
  <c r="D350" i="15"/>
  <c r="K349" i="15"/>
  <c r="J349" i="15"/>
  <c r="H349" i="15"/>
  <c r="F349" i="15"/>
  <c r="E349" i="15"/>
  <c r="D349" i="15"/>
  <c r="K348" i="15"/>
  <c r="J348" i="15"/>
  <c r="H348" i="15"/>
  <c r="F348" i="15"/>
  <c r="E348" i="15"/>
  <c r="D348" i="15"/>
  <c r="K347" i="15"/>
  <c r="J347" i="15"/>
  <c r="H347" i="15"/>
  <c r="F347" i="15"/>
  <c r="E347" i="15"/>
  <c r="D347" i="15"/>
  <c r="K346" i="15"/>
  <c r="J346" i="15"/>
  <c r="H346" i="15"/>
  <c r="F346" i="15"/>
  <c r="E346" i="15"/>
  <c r="D346" i="15"/>
  <c r="K345" i="15"/>
  <c r="J345" i="15"/>
  <c r="H345" i="15"/>
  <c r="F345" i="15"/>
  <c r="E345" i="15"/>
  <c r="D345" i="15"/>
  <c r="K344" i="15"/>
  <c r="J344" i="15"/>
  <c r="H344" i="15"/>
  <c r="F344" i="15"/>
  <c r="E344" i="15"/>
  <c r="D344" i="15"/>
  <c r="K343" i="15"/>
  <c r="J343" i="15"/>
  <c r="H343" i="15"/>
  <c r="F343" i="15"/>
  <c r="E343" i="15"/>
  <c r="D343" i="15"/>
  <c r="K342" i="15"/>
  <c r="J342" i="15"/>
  <c r="H342" i="15"/>
  <c r="F342" i="15"/>
  <c r="E342" i="15"/>
  <c r="D342" i="15"/>
  <c r="K341" i="15"/>
  <c r="J341" i="15"/>
  <c r="H341" i="15"/>
  <c r="F341" i="15"/>
  <c r="E341" i="15"/>
  <c r="D341" i="15"/>
  <c r="K340" i="15"/>
  <c r="J340" i="15"/>
  <c r="H340" i="15"/>
  <c r="F340" i="15"/>
  <c r="E340" i="15"/>
  <c r="D340" i="15"/>
  <c r="K339" i="15"/>
  <c r="J339" i="15"/>
  <c r="H339" i="15"/>
  <c r="F339" i="15"/>
  <c r="E339" i="15"/>
  <c r="D339" i="15"/>
  <c r="K338" i="15"/>
  <c r="J338" i="15"/>
  <c r="H338" i="15"/>
  <c r="F338" i="15"/>
  <c r="E338" i="15"/>
  <c r="D338" i="15"/>
  <c r="K337" i="15"/>
  <c r="J337" i="15"/>
  <c r="H337" i="15"/>
  <c r="F337" i="15"/>
  <c r="E337" i="15"/>
  <c r="D337" i="15"/>
  <c r="K336" i="15"/>
  <c r="J336" i="15"/>
  <c r="H336" i="15"/>
  <c r="F336" i="15"/>
  <c r="E336" i="15"/>
  <c r="D336" i="15"/>
  <c r="K335" i="15"/>
  <c r="J335" i="15"/>
  <c r="H335" i="15"/>
  <c r="F335" i="15"/>
  <c r="E335" i="15"/>
  <c r="D335" i="15"/>
  <c r="K334" i="15"/>
  <c r="J334" i="15"/>
  <c r="H334" i="15"/>
  <c r="F334" i="15"/>
  <c r="E334" i="15"/>
  <c r="D334" i="15"/>
  <c r="K333" i="15"/>
  <c r="J333" i="15"/>
  <c r="H333" i="15"/>
  <c r="F333" i="15"/>
  <c r="E333" i="15"/>
  <c r="D333" i="15"/>
  <c r="K332" i="15"/>
  <c r="J332" i="15"/>
  <c r="H332" i="15"/>
  <c r="F332" i="15"/>
  <c r="E332" i="15"/>
  <c r="D332" i="15"/>
  <c r="K331" i="15"/>
  <c r="J331" i="15"/>
  <c r="H331" i="15"/>
  <c r="F331" i="15"/>
  <c r="E331" i="15"/>
  <c r="D331" i="15"/>
  <c r="K330" i="15"/>
  <c r="J330" i="15"/>
  <c r="H330" i="15"/>
  <c r="F330" i="15"/>
  <c r="E330" i="15"/>
  <c r="D330" i="15"/>
  <c r="K329" i="15"/>
  <c r="J329" i="15"/>
  <c r="H329" i="15"/>
  <c r="F329" i="15"/>
  <c r="E329" i="15"/>
  <c r="D329" i="15"/>
  <c r="J328" i="15"/>
  <c r="F328" i="15"/>
  <c r="E328" i="15"/>
  <c r="D328" i="15"/>
  <c r="J327" i="15"/>
  <c r="F327" i="15"/>
  <c r="E327" i="15"/>
  <c r="D327" i="15"/>
  <c r="J326" i="15"/>
  <c r="F326" i="15"/>
  <c r="E326" i="15"/>
  <c r="D326" i="15"/>
  <c r="J325" i="15"/>
  <c r="F325" i="15"/>
  <c r="E325" i="15"/>
  <c r="D325" i="15"/>
  <c r="J324" i="15"/>
  <c r="F324" i="15"/>
  <c r="E324" i="15"/>
  <c r="D324" i="15"/>
  <c r="J323" i="15"/>
  <c r="F323" i="15"/>
  <c r="E323" i="15"/>
  <c r="D323" i="15"/>
  <c r="J322" i="15"/>
  <c r="F322" i="15"/>
  <c r="E322" i="15"/>
  <c r="D322" i="15"/>
  <c r="J321" i="15"/>
  <c r="F321" i="15"/>
  <c r="E321" i="15"/>
  <c r="D321" i="15"/>
  <c r="J320" i="15"/>
  <c r="F320" i="15"/>
  <c r="E320" i="15"/>
  <c r="D320" i="15"/>
  <c r="J319" i="15"/>
  <c r="F319" i="15"/>
  <c r="E319" i="15"/>
  <c r="D319" i="15"/>
  <c r="J318" i="15"/>
  <c r="F318" i="15"/>
  <c r="E318" i="15"/>
  <c r="D318" i="15"/>
  <c r="J317" i="15"/>
  <c r="F317" i="15"/>
  <c r="E317" i="15"/>
  <c r="D317" i="15"/>
  <c r="J316" i="15"/>
  <c r="F316" i="15"/>
  <c r="E316" i="15"/>
  <c r="D316" i="15"/>
  <c r="J315" i="15"/>
  <c r="F315" i="15"/>
  <c r="E315" i="15"/>
  <c r="D315" i="15"/>
  <c r="J314" i="15"/>
  <c r="F314" i="15"/>
  <c r="E314" i="15"/>
  <c r="D314" i="15"/>
  <c r="J313" i="15"/>
  <c r="F313" i="15"/>
  <c r="E313" i="15"/>
  <c r="D313" i="15"/>
  <c r="K312" i="15"/>
  <c r="J312" i="15"/>
  <c r="H312" i="15"/>
  <c r="F312" i="15"/>
  <c r="E312" i="15"/>
  <c r="D312" i="15"/>
  <c r="K311" i="15"/>
  <c r="J311" i="15"/>
  <c r="H311" i="15"/>
  <c r="F311" i="15"/>
  <c r="E311" i="15"/>
  <c r="D311" i="15"/>
  <c r="K310" i="15"/>
  <c r="J310" i="15"/>
  <c r="H310" i="15"/>
  <c r="F310" i="15"/>
  <c r="E310" i="15"/>
  <c r="D310" i="15"/>
  <c r="K309" i="15"/>
  <c r="J309" i="15"/>
  <c r="H309" i="15"/>
  <c r="F309" i="15"/>
  <c r="E309" i="15"/>
  <c r="D309" i="15"/>
  <c r="K308" i="15"/>
  <c r="J308" i="15"/>
  <c r="H308" i="15"/>
  <c r="F308" i="15"/>
  <c r="E308" i="15"/>
  <c r="D308" i="15"/>
  <c r="K307" i="15"/>
  <c r="J307" i="15"/>
  <c r="H307" i="15"/>
  <c r="F307" i="15"/>
  <c r="E307" i="15"/>
  <c r="D307" i="15"/>
  <c r="K306" i="15"/>
  <c r="J306" i="15"/>
  <c r="H306" i="15"/>
  <c r="F306" i="15"/>
  <c r="E306" i="15"/>
  <c r="D306" i="15"/>
  <c r="K305" i="15"/>
  <c r="J305" i="15"/>
  <c r="H305" i="15"/>
  <c r="F305" i="15"/>
  <c r="E305" i="15"/>
  <c r="D305" i="15"/>
  <c r="K304" i="15"/>
  <c r="J304" i="15"/>
  <c r="H304" i="15"/>
  <c r="F304" i="15"/>
  <c r="E304" i="15"/>
  <c r="D304" i="15"/>
  <c r="K303" i="15"/>
  <c r="J303" i="15"/>
  <c r="H303" i="15"/>
  <c r="F303" i="15"/>
  <c r="E303" i="15"/>
  <c r="D303" i="15"/>
  <c r="K302" i="15"/>
  <c r="J302" i="15"/>
  <c r="H302" i="15"/>
  <c r="F302" i="15"/>
  <c r="E302" i="15"/>
  <c r="D302" i="15"/>
  <c r="K301" i="15"/>
  <c r="J301" i="15"/>
  <c r="H301" i="15"/>
  <c r="F301" i="15"/>
  <c r="E301" i="15"/>
  <c r="D301" i="15"/>
  <c r="K300" i="15"/>
  <c r="J300" i="15"/>
  <c r="H300" i="15"/>
  <c r="F300" i="15"/>
  <c r="E300" i="15"/>
  <c r="D300" i="15"/>
  <c r="K299" i="15"/>
  <c r="J299" i="15"/>
  <c r="H299" i="15"/>
  <c r="F299" i="15"/>
  <c r="E299" i="15"/>
  <c r="D299" i="15"/>
  <c r="K298" i="15"/>
  <c r="J298" i="15"/>
  <c r="H298" i="15"/>
  <c r="F298" i="15"/>
  <c r="E298" i="15"/>
  <c r="D298" i="15"/>
  <c r="K297" i="15"/>
  <c r="J297" i="15"/>
  <c r="H297" i="15"/>
  <c r="F297" i="15"/>
  <c r="E297" i="15"/>
  <c r="D297" i="15"/>
  <c r="K296" i="15"/>
  <c r="J296" i="15"/>
  <c r="H296" i="15"/>
  <c r="F296" i="15"/>
  <c r="E296" i="15"/>
  <c r="D296" i="15"/>
  <c r="K295" i="15"/>
  <c r="J295" i="15"/>
  <c r="H295" i="15"/>
  <c r="F295" i="15"/>
  <c r="E295" i="15"/>
  <c r="D295" i="15"/>
  <c r="L294" i="15"/>
  <c r="K294" i="15"/>
  <c r="J294" i="15"/>
  <c r="H294" i="15"/>
  <c r="F294" i="15"/>
  <c r="E294" i="15"/>
  <c r="D294" i="15"/>
  <c r="K293" i="15"/>
  <c r="J293" i="15"/>
  <c r="H293" i="15"/>
  <c r="F293" i="15"/>
  <c r="E293" i="15"/>
  <c r="D293" i="15"/>
  <c r="K292" i="15"/>
  <c r="J292" i="15"/>
  <c r="H292" i="15"/>
  <c r="F292" i="15"/>
  <c r="E292" i="15"/>
  <c r="D292" i="15"/>
  <c r="K291" i="15"/>
  <c r="J291" i="15"/>
  <c r="H291" i="15"/>
  <c r="F291" i="15"/>
  <c r="E291" i="15"/>
  <c r="D291" i="15"/>
  <c r="K290" i="15"/>
  <c r="J290" i="15"/>
  <c r="H290" i="15"/>
  <c r="F290" i="15"/>
  <c r="E290" i="15"/>
  <c r="D290" i="15"/>
  <c r="K289" i="15"/>
  <c r="J289" i="15"/>
  <c r="H289" i="15"/>
  <c r="F289" i="15"/>
  <c r="E289" i="15"/>
  <c r="D289" i="15"/>
  <c r="K288" i="15"/>
  <c r="J288" i="15"/>
  <c r="H288" i="15"/>
  <c r="F288" i="15"/>
  <c r="E288" i="15"/>
  <c r="D288" i="15"/>
  <c r="K287" i="15"/>
  <c r="J287" i="15"/>
  <c r="H287" i="15"/>
  <c r="F287" i="15"/>
  <c r="E287" i="15"/>
  <c r="D287" i="15"/>
  <c r="K286" i="15"/>
  <c r="J286" i="15"/>
  <c r="H286" i="15"/>
  <c r="F286" i="15"/>
  <c r="E286" i="15"/>
  <c r="D286" i="15"/>
  <c r="K285" i="15"/>
  <c r="J285" i="15"/>
  <c r="H285" i="15"/>
  <c r="F285" i="15"/>
  <c r="E285" i="15"/>
  <c r="D285" i="15"/>
  <c r="K284" i="15"/>
  <c r="J284" i="15"/>
  <c r="H284" i="15"/>
  <c r="F284" i="15"/>
  <c r="E284" i="15"/>
  <c r="D284" i="15"/>
  <c r="K283" i="15"/>
  <c r="J283" i="15"/>
  <c r="H283" i="15"/>
  <c r="F283" i="15"/>
  <c r="E283" i="15"/>
  <c r="D283" i="15"/>
  <c r="K282" i="15"/>
  <c r="J282" i="15"/>
  <c r="H282" i="15"/>
  <c r="F282" i="15"/>
  <c r="E282" i="15"/>
  <c r="D282" i="15"/>
  <c r="K281" i="15"/>
  <c r="J281" i="15"/>
  <c r="H281" i="15"/>
  <c r="F281" i="15"/>
  <c r="E281" i="15"/>
  <c r="D281" i="15"/>
  <c r="K280" i="15"/>
  <c r="J280" i="15"/>
  <c r="H280" i="15"/>
  <c r="F280" i="15"/>
  <c r="E280" i="15"/>
  <c r="D280" i="15"/>
  <c r="K279" i="15"/>
  <c r="J279" i="15"/>
  <c r="H279" i="15"/>
  <c r="F279" i="15"/>
  <c r="E279" i="15"/>
  <c r="D279" i="15"/>
  <c r="K278" i="15"/>
  <c r="J278" i="15"/>
  <c r="H278" i="15"/>
  <c r="F278" i="15"/>
  <c r="E278" i="15"/>
  <c r="D278" i="15"/>
  <c r="K277" i="15"/>
  <c r="J277" i="15"/>
  <c r="H277" i="15"/>
  <c r="F277" i="15"/>
  <c r="E277" i="15"/>
  <c r="D277" i="15"/>
  <c r="K276" i="15"/>
  <c r="J276" i="15"/>
  <c r="H276" i="15"/>
  <c r="F276" i="15"/>
  <c r="E276" i="15"/>
  <c r="D276" i="15"/>
  <c r="K275" i="15"/>
  <c r="J275" i="15"/>
  <c r="H275" i="15"/>
  <c r="F275" i="15"/>
  <c r="E275" i="15"/>
  <c r="D275" i="15"/>
  <c r="K274" i="15"/>
  <c r="J274" i="15"/>
  <c r="H274" i="15"/>
  <c r="F274" i="15"/>
  <c r="E274" i="15"/>
  <c r="D274" i="15"/>
  <c r="K273" i="15"/>
  <c r="J273" i="15"/>
  <c r="H273" i="15"/>
  <c r="F273" i="15"/>
  <c r="E273" i="15"/>
  <c r="D273" i="15"/>
  <c r="K272" i="15"/>
  <c r="J272" i="15"/>
  <c r="H272" i="15"/>
  <c r="F272" i="15"/>
  <c r="E272" i="15"/>
  <c r="D272" i="15"/>
  <c r="K271" i="15"/>
  <c r="J271" i="15"/>
  <c r="H271" i="15"/>
  <c r="F271" i="15"/>
  <c r="E271" i="15"/>
  <c r="D271" i="15"/>
  <c r="K270" i="15"/>
  <c r="J270" i="15"/>
  <c r="H270" i="15"/>
  <c r="F270" i="15"/>
  <c r="E270" i="15"/>
  <c r="D270" i="15"/>
  <c r="K269" i="15"/>
  <c r="J269" i="15"/>
  <c r="H269" i="15"/>
  <c r="F269" i="15"/>
  <c r="E269" i="15"/>
  <c r="D269" i="15"/>
  <c r="K268" i="15"/>
  <c r="J268" i="15"/>
  <c r="H268" i="15"/>
  <c r="F268" i="15"/>
  <c r="E268" i="15"/>
  <c r="D268" i="15"/>
  <c r="K267" i="15"/>
  <c r="J267" i="15"/>
  <c r="H267" i="15"/>
  <c r="F267" i="15"/>
  <c r="E267" i="15"/>
  <c r="D267" i="15"/>
  <c r="K266" i="15"/>
  <c r="J266" i="15"/>
  <c r="H266" i="15"/>
  <c r="F266" i="15"/>
  <c r="E266" i="15"/>
  <c r="D266" i="15"/>
  <c r="K265" i="15"/>
  <c r="J265" i="15"/>
  <c r="H265" i="15"/>
  <c r="F265" i="15"/>
  <c r="E265" i="15"/>
  <c r="D265" i="15"/>
  <c r="K264" i="15"/>
  <c r="J264" i="15"/>
  <c r="H264" i="15"/>
  <c r="F264" i="15"/>
  <c r="E264" i="15"/>
  <c r="D264" i="15"/>
  <c r="J263" i="15"/>
  <c r="F263" i="15"/>
  <c r="E263" i="15"/>
  <c r="D263" i="15"/>
  <c r="J262" i="15"/>
  <c r="F262" i="15"/>
  <c r="E262" i="15"/>
  <c r="D262" i="15"/>
  <c r="J261" i="15"/>
  <c r="F261" i="15"/>
  <c r="E261" i="15"/>
  <c r="D261" i="15"/>
  <c r="J260" i="15"/>
  <c r="F260" i="15"/>
  <c r="E260" i="15"/>
  <c r="D260" i="15"/>
  <c r="J259" i="15"/>
  <c r="F259" i="15"/>
  <c r="E259" i="15"/>
  <c r="D259" i="15"/>
  <c r="J258" i="15"/>
  <c r="F258" i="15"/>
  <c r="E258" i="15"/>
  <c r="D258" i="15"/>
  <c r="J257" i="15"/>
  <c r="F257" i="15"/>
  <c r="E257" i="15"/>
  <c r="D257" i="15"/>
  <c r="J256" i="15"/>
  <c r="F256" i="15"/>
  <c r="E256" i="15"/>
  <c r="D256" i="15"/>
  <c r="J255" i="15"/>
  <c r="F255" i="15"/>
  <c r="E255" i="15"/>
  <c r="D255" i="15"/>
  <c r="J254" i="15"/>
  <c r="F254" i="15"/>
  <c r="E254" i="15"/>
  <c r="D254" i="15"/>
  <c r="J253" i="15"/>
  <c r="F253" i="15"/>
  <c r="E253" i="15"/>
  <c r="D253" i="15"/>
  <c r="J252" i="15"/>
  <c r="F252" i="15"/>
  <c r="E252" i="15"/>
  <c r="D252" i="15"/>
  <c r="J251" i="15"/>
  <c r="F251" i="15"/>
  <c r="E251" i="15"/>
  <c r="D251" i="15"/>
  <c r="J250" i="15"/>
  <c r="F250" i="15"/>
  <c r="E250" i="15"/>
  <c r="D250" i="15"/>
  <c r="J249" i="15"/>
  <c r="F249" i="15"/>
  <c r="E249" i="15"/>
  <c r="D249" i="15"/>
  <c r="J248" i="15"/>
  <c r="F248" i="15"/>
  <c r="E248" i="15"/>
  <c r="D248" i="15"/>
  <c r="K247" i="15"/>
  <c r="J247" i="15"/>
  <c r="H247" i="15"/>
  <c r="F247" i="15"/>
  <c r="E247" i="15"/>
  <c r="D247" i="15"/>
  <c r="K246" i="15"/>
  <c r="J246" i="15"/>
  <c r="H246" i="15"/>
  <c r="F246" i="15"/>
  <c r="E246" i="15"/>
  <c r="D246" i="15"/>
  <c r="K245" i="15"/>
  <c r="J245" i="15"/>
  <c r="H245" i="15"/>
  <c r="F245" i="15"/>
  <c r="E245" i="15"/>
  <c r="D245" i="15"/>
  <c r="K244" i="15"/>
  <c r="J244" i="15"/>
  <c r="H244" i="15"/>
  <c r="F244" i="15"/>
  <c r="E244" i="15"/>
  <c r="D244" i="15"/>
  <c r="K243" i="15"/>
  <c r="J243" i="15"/>
  <c r="H243" i="15"/>
  <c r="F243" i="15"/>
  <c r="E243" i="15"/>
  <c r="D243" i="15"/>
  <c r="K242" i="15"/>
  <c r="J242" i="15"/>
  <c r="H242" i="15"/>
  <c r="F242" i="15"/>
  <c r="E242" i="15"/>
  <c r="D242" i="15"/>
  <c r="K241" i="15"/>
  <c r="J241" i="15"/>
  <c r="H241" i="15"/>
  <c r="F241" i="15"/>
  <c r="E241" i="15"/>
  <c r="D241" i="15"/>
  <c r="K240" i="15"/>
  <c r="J240" i="15"/>
  <c r="H240" i="15"/>
  <c r="F240" i="15"/>
  <c r="E240" i="15"/>
  <c r="D240" i="15"/>
  <c r="K239" i="15"/>
  <c r="J239" i="15"/>
  <c r="H239" i="15"/>
  <c r="F239" i="15"/>
  <c r="E239" i="15"/>
  <c r="D239" i="15"/>
  <c r="K238" i="15"/>
  <c r="J238" i="15"/>
  <c r="H238" i="15"/>
  <c r="F238" i="15"/>
  <c r="E238" i="15"/>
  <c r="D238" i="15"/>
  <c r="K237" i="15"/>
  <c r="J237" i="15"/>
  <c r="H237" i="15"/>
  <c r="F237" i="15"/>
  <c r="E237" i="15"/>
  <c r="D237" i="15"/>
  <c r="K236" i="15"/>
  <c r="J236" i="15"/>
  <c r="H236" i="15"/>
  <c r="F236" i="15"/>
  <c r="E236" i="15"/>
  <c r="D236" i="15"/>
  <c r="K235" i="15"/>
  <c r="J235" i="15"/>
  <c r="H235" i="15"/>
  <c r="F235" i="15"/>
  <c r="E235" i="15"/>
  <c r="D235" i="15"/>
  <c r="K234" i="15"/>
  <c r="J234" i="15"/>
  <c r="H234" i="15"/>
  <c r="F234" i="15"/>
  <c r="E234" i="15"/>
  <c r="D234" i="15"/>
  <c r="K233" i="15"/>
  <c r="J233" i="15"/>
  <c r="H233" i="15"/>
  <c r="F233" i="15"/>
  <c r="E233" i="15"/>
  <c r="D233" i="15"/>
  <c r="K232" i="15"/>
  <c r="J232" i="15"/>
  <c r="H232" i="15"/>
  <c r="F232" i="15"/>
  <c r="E232" i="15"/>
  <c r="D232" i="15"/>
  <c r="K231" i="15"/>
  <c r="J231" i="15"/>
  <c r="H231" i="15"/>
  <c r="F231" i="15"/>
  <c r="E231" i="15"/>
  <c r="D231" i="15"/>
  <c r="L230" i="15"/>
  <c r="K230" i="15"/>
  <c r="J230" i="15"/>
  <c r="H230" i="15"/>
  <c r="F230" i="15"/>
  <c r="E230" i="15"/>
  <c r="D230" i="15"/>
  <c r="L229" i="15"/>
  <c r="K229" i="15"/>
  <c r="J229" i="15"/>
  <c r="H229" i="15"/>
  <c r="F229" i="15"/>
  <c r="E229" i="15"/>
  <c r="D229" i="15"/>
  <c r="L228" i="15"/>
  <c r="K228" i="15"/>
  <c r="J228" i="15"/>
  <c r="H228" i="15"/>
  <c r="F228" i="15"/>
  <c r="E228" i="15"/>
  <c r="D228" i="15"/>
  <c r="K227" i="15"/>
  <c r="J227" i="15"/>
  <c r="H227" i="15"/>
  <c r="F227" i="15"/>
  <c r="E227" i="15"/>
  <c r="D227" i="15"/>
  <c r="K226" i="15"/>
  <c r="J226" i="15"/>
  <c r="H226" i="15"/>
  <c r="F226" i="15"/>
  <c r="E226" i="15"/>
  <c r="D226" i="15"/>
  <c r="K225" i="15"/>
  <c r="J225" i="15"/>
  <c r="H225" i="15"/>
  <c r="F225" i="15"/>
  <c r="E225" i="15"/>
  <c r="D225" i="15"/>
  <c r="K224" i="15"/>
  <c r="J224" i="15"/>
  <c r="H224" i="15"/>
  <c r="F224" i="15"/>
  <c r="E224" i="15"/>
  <c r="D224" i="15"/>
  <c r="K223" i="15"/>
  <c r="J223" i="15"/>
  <c r="H223" i="15"/>
  <c r="F223" i="15"/>
  <c r="E223" i="15"/>
  <c r="D223" i="15"/>
  <c r="K222" i="15"/>
  <c r="J222" i="15"/>
  <c r="H222" i="15"/>
  <c r="F222" i="15"/>
  <c r="E222" i="15"/>
  <c r="D222" i="15"/>
  <c r="K221" i="15"/>
  <c r="J221" i="15"/>
  <c r="H221" i="15"/>
  <c r="F221" i="15"/>
  <c r="E221" i="15"/>
  <c r="D221" i="15"/>
  <c r="K220" i="15"/>
  <c r="J220" i="15"/>
  <c r="H220" i="15"/>
  <c r="F220" i="15"/>
  <c r="E220" i="15"/>
  <c r="D220" i="15"/>
  <c r="K219" i="15"/>
  <c r="J219" i="15"/>
  <c r="H219" i="15"/>
  <c r="F219" i="15"/>
  <c r="E219" i="15"/>
  <c r="D219" i="15"/>
  <c r="K218" i="15"/>
  <c r="J218" i="15"/>
  <c r="H218" i="15"/>
  <c r="F218" i="15"/>
  <c r="E218" i="15"/>
  <c r="D218" i="15"/>
  <c r="K217" i="15"/>
  <c r="J217" i="15"/>
  <c r="H217" i="15"/>
  <c r="F217" i="15"/>
  <c r="E217" i="15"/>
  <c r="D217" i="15"/>
  <c r="K216" i="15"/>
  <c r="J216" i="15"/>
  <c r="H216" i="15"/>
  <c r="F216" i="15"/>
  <c r="E216" i="15"/>
  <c r="D216" i="15"/>
  <c r="K215" i="15"/>
  <c r="J215" i="15"/>
  <c r="H215" i="15"/>
  <c r="F215" i="15"/>
  <c r="E215" i="15"/>
  <c r="D215" i="15"/>
  <c r="K214" i="15"/>
  <c r="J214" i="15"/>
  <c r="H214" i="15"/>
  <c r="F214" i="15"/>
  <c r="E214" i="15"/>
  <c r="D214" i="15"/>
  <c r="K213" i="15"/>
  <c r="J213" i="15"/>
  <c r="H213" i="15"/>
  <c r="F213" i="15"/>
  <c r="E213" i="15"/>
  <c r="D213" i="15"/>
  <c r="K212" i="15"/>
  <c r="J212" i="15"/>
  <c r="H212" i="15"/>
  <c r="F212" i="15"/>
  <c r="E212" i="15"/>
  <c r="D212" i="15"/>
  <c r="K211" i="15"/>
  <c r="J211" i="15"/>
  <c r="H211" i="15"/>
  <c r="F211" i="15"/>
  <c r="E211" i="15"/>
  <c r="D211" i="15"/>
  <c r="K210" i="15"/>
  <c r="J210" i="15"/>
  <c r="H210" i="15"/>
  <c r="F210" i="15"/>
  <c r="E210" i="15"/>
  <c r="D210" i="15"/>
  <c r="K209" i="15"/>
  <c r="J209" i="15"/>
  <c r="H209" i="15"/>
  <c r="F209" i="15"/>
  <c r="E209" i="15"/>
  <c r="D209" i="15"/>
  <c r="K208" i="15"/>
  <c r="J208" i="15"/>
  <c r="H208" i="15"/>
  <c r="F208" i="15"/>
  <c r="E208" i="15"/>
  <c r="D208" i="15"/>
  <c r="K207" i="15"/>
  <c r="J207" i="15"/>
  <c r="H207" i="15"/>
  <c r="F207" i="15"/>
  <c r="E207" i="15"/>
  <c r="D207" i="15"/>
  <c r="K206" i="15"/>
  <c r="J206" i="15"/>
  <c r="H206" i="15"/>
  <c r="F206" i="15"/>
  <c r="E206" i="15"/>
  <c r="D206" i="15"/>
  <c r="K205" i="15"/>
  <c r="J205" i="15"/>
  <c r="H205" i="15"/>
  <c r="F205" i="15"/>
  <c r="E205" i="15"/>
  <c r="D205" i="15"/>
  <c r="K204" i="15"/>
  <c r="J204" i="15"/>
  <c r="H204" i="15"/>
  <c r="F204" i="15"/>
  <c r="E204" i="15"/>
  <c r="D204" i="15"/>
  <c r="K203" i="15"/>
  <c r="J203" i="15"/>
  <c r="H203" i="15"/>
  <c r="F203" i="15"/>
  <c r="E203" i="15"/>
  <c r="D203" i="15"/>
  <c r="K202" i="15"/>
  <c r="J202" i="15"/>
  <c r="H202" i="15"/>
  <c r="F202" i="15"/>
  <c r="E202" i="15"/>
  <c r="D202" i="15"/>
  <c r="K201" i="15"/>
  <c r="J201" i="15"/>
  <c r="H201" i="15"/>
  <c r="F201" i="15"/>
  <c r="E201" i="15"/>
  <c r="D201" i="15"/>
  <c r="K200" i="15"/>
  <c r="J200" i="15"/>
  <c r="H200" i="15"/>
  <c r="F200" i="15"/>
  <c r="E200" i="15"/>
  <c r="D200" i="15"/>
  <c r="K199" i="15"/>
  <c r="J199" i="15"/>
  <c r="H199" i="15"/>
  <c r="F199" i="15"/>
  <c r="E199" i="15"/>
  <c r="D199" i="15"/>
  <c r="J198" i="15"/>
  <c r="F198" i="15"/>
  <c r="E198" i="15"/>
  <c r="D198" i="15"/>
  <c r="J197" i="15"/>
  <c r="F197" i="15"/>
  <c r="E197" i="15"/>
  <c r="D197" i="15"/>
  <c r="J196" i="15"/>
  <c r="F196" i="15"/>
  <c r="E196" i="15"/>
  <c r="D196" i="15"/>
  <c r="J195" i="15"/>
  <c r="F195" i="15"/>
  <c r="E195" i="15"/>
  <c r="D195" i="15"/>
  <c r="J194" i="15"/>
  <c r="F194" i="15"/>
  <c r="E194" i="15"/>
  <c r="D194" i="15"/>
  <c r="J193" i="15"/>
  <c r="F193" i="15"/>
  <c r="E193" i="15"/>
  <c r="D193" i="15"/>
  <c r="J192" i="15"/>
  <c r="F192" i="15"/>
  <c r="E192" i="15"/>
  <c r="D192" i="15"/>
  <c r="J191" i="15"/>
  <c r="F191" i="15"/>
  <c r="E191" i="15"/>
  <c r="D191" i="15"/>
  <c r="J190" i="15"/>
  <c r="F190" i="15"/>
  <c r="E190" i="15"/>
  <c r="D190" i="15"/>
  <c r="J189" i="15"/>
  <c r="F189" i="15"/>
  <c r="E189" i="15"/>
  <c r="D189" i="15"/>
  <c r="J188" i="15"/>
  <c r="F188" i="15"/>
  <c r="E188" i="15"/>
  <c r="D188" i="15"/>
  <c r="J187" i="15"/>
  <c r="F187" i="15"/>
  <c r="E187" i="15"/>
  <c r="D187" i="15"/>
  <c r="J186" i="15"/>
  <c r="F186" i="15"/>
  <c r="E186" i="15"/>
  <c r="D186" i="15"/>
  <c r="J185" i="15"/>
  <c r="F185" i="15"/>
  <c r="E185" i="15"/>
  <c r="D185" i="15"/>
  <c r="J184" i="15"/>
  <c r="F184" i="15"/>
  <c r="E184" i="15"/>
  <c r="D184" i="15"/>
  <c r="J183" i="15"/>
  <c r="F183" i="15"/>
  <c r="E183" i="15"/>
  <c r="D183" i="15"/>
  <c r="K182" i="15"/>
  <c r="J182" i="15"/>
  <c r="H182" i="15"/>
  <c r="F182" i="15"/>
  <c r="E182" i="15"/>
  <c r="D182" i="15"/>
  <c r="K181" i="15"/>
  <c r="J181" i="15"/>
  <c r="H181" i="15"/>
  <c r="F181" i="15"/>
  <c r="E181" i="15"/>
  <c r="D181" i="15"/>
  <c r="K180" i="15"/>
  <c r="J180" i="15"/>
  <c r="H180" i="15"/>
  <c r="F180" i="15"/>
  <c r="E180" i="15"/>
  <c r="D180" i="15"/>
  <c r="K179" i="15"/>
  <c r="J179" i="15"/>
  <c r="H179" i="15"/>
  <c r="F179" i="15"/>
  <c r="E179" i="15"/>
  <c r="D179" i="15"/>
  <c r="K178" i="15"/>
  <c r="J178" i="15"/>
  <c r="H178" i="15"/>
  <c r="F178" i="15"/>
  <c r="E178" i="15"/>
  <c r="D178" i="15"/>
  <c r="K177" i="15"/>
  <c r="J177" i="15"/>
  <c r="H177" i="15"/>
  <c r="F177" i="15"/>
  <c r="E177" i="15"/>
  <c r="D177" i="15"/>
  <c r="K176" i="15"/>
  <c r="J176" i="15"/>
  <c r="H176" i="15"/>
  <c r="F176" i="15"/>
  <c r="E176" i="15"/>
  <c r="D176" i="15"/>
  <c r="K175" i="15"/>
  <c r="J175" i="15"/>
  <c r="H175" i="15"/>
  <c r="F175" i="15"/>
  <c r="E175" i="15"/>
  <c r="D175" i="15"/>
  <c r="K174" i="15"/>
  <c r="J174" i="15"/>
  <c r="H174" i="15"/>
  <c r="F174" i="15"/>
  <c r="E174" i="15"/>
  <c r="D174" i="15"/>
  <c r="K173" i="15"/>
  <c r="J173" i="15"/>
  <c r="H173" i="15"/>
  <c r="F173" i="15"/>
  <c r="E173" i="15"/>
  <c r="D173" i="15"/>
  <c r="K172" i="15"/>
  <c r="J172" i="15"/>
  <c r="H172" i="15"/>
  <c r="F172" i="15"/>
  <c r="E172" i="15"/>
  <c r="D172" i="15"/>
  <c r="K171" i="15"/>
  <c r="J171" i="15"/>
  <c r="H171" i="15"/>
  <c r="F171" i="15"/>
  <c r="E171" i="15"/>
  <c r="D171" i="15"/>
  <c r="K170" i="15"/>
  <c r="J170" i="15"/>
  <c r="H170" i="15"/>
  <c r="F170" i="15"/>
  <c r="E170" i="15"/>
  <c r="D170" i="15"/>
  <c r="K169" i="15"/>
  <c r="J169" i="15"/>
  <c r="H169" i="15"/>
  <c r="F169" i="15"/>
  <c r="E169" i="15"/>
  <c r="D169" i="15"/>
  <c r="K168" i="15"/>
  <c r="J168" i="15"/>
  <c r="H168" i="15"/>
  <c r="F168" i="15"/>
  <c r="E168" i="15"/>
  <c r="D168" i="15"/>
  <c r="K167" i="15"/>
  <c r="J167" i="15"/>
  <c r="H167" i="15"/>
  <c r="F167" i="15"/>
  <c r="E167" i="15"/>
  <c r="D167" i="15"/>
  <c r="K166" i="15"/>
  <c r="J166" i="15"/>
  <c r="H166" i="15"/>
  <c r="F166" i="15"/>
  <c r="E166" i="15"/>
  <c r="D166" i="15"/>
  <c r="K165" i="15"/>
  <c r="J165" i="15"/>
  <c r="H165" i="15"/>
  <c r="F165" i="15"/>
  <c r="E165" i="15"/>
  <c r="D165" i="15"/>
  <c r="L164" i="15"/>
  <c r="K164" i="15"/>
  <c r="J164" i="15"/>
  <c r="H164" i="15"/>
  <c r="F164" i="15"/>
  <c r="E164" i="15"/>
  <c r="D164" i="15"/>
  <c r="K163" i="15"/>
  <c r="J163" i="15"/>
  <c r="H163" i="15"/>
  <c r="F163" i="15"/>
  <c r="E163" i="15"/>
  <c r="D163" i="15"/>
  <c r="K162" i="15"/>
  <c r="J162" i="15"/>
  <c r="H162" i="15"/>
  <c r="F162" i="15"/>
  <c r="E162" i="15"/>
  <c r="D162" i="15"/>
  <c r="K161" i="15"/>
  <c r="J161" i="15"/>
  <c r="H161" i="15"/>
  <c r="F161" i="15"/>
  <c r="E161" i="15"/>
  <c r="D161" i="15"/>
  <c r="K160" i="15"/>
  <c r="J160" i="15"/>
  <c r="H160" i="15"/>
  <c r="F160" i="15"/>
  <c r="E160" i="15"/>
  <c r="D160" i="15"/>
  <c r="K159" i="15"/>
  <c r="J159" i="15"/>
  <c r="H159" i="15"/>
  <c r="F159" i="15"/>
  <c r="E159" i="15"/>
  <c r="D159" i="15"/>
  <c r="K158" i="15"/>
  <c r="J158" i="15"/>
  <c r="H158" i="15"/>
  <c r="F158" i="15"/>
  <c r="E158" i="15"/>
  <c r="D158" i="15"/>
  <c r="K157" i="15"/>
  <c r="J157" i="15"/>
  <c r="H157" i="15"/>
  <c r="F157" i="15"/>
  <c r="E157" i="15"/>
  <c r="D157" i="15"/>
  <c r="K156" i="15"/>
  <c r="J156" i="15"/>
  <c r="H156" i="15"/>
  <c r="F156" i="15"/>
  <c r="E156" i="15"/>
  <c r="D156" i="15"/>
  <c r="K155" i="15"/>
  <c r="J155" i="15"/>
  <c r="H155" i="15"/>
  <c r="F155" i="15"/>
  <c r="E155" i="15"/>
  <c r="D155" i="15"/>
  <c r="K154" i="15"/>
  <c r="J154" i="15"/>
  <c r="H154" i="15"/>
  <c r="F154" i="15"/>
  <c r="E154" i="15"/>
  <c r="D154" i="15"/>
  <c r="K153" i="15"/>
  <c r="J153" i="15"/>
  <c r="H153" i="15"/>
  <c r="F153" i="15"/>
  <c r="E153" i="15"/>
  <c r="D153" i="15"/>
  <c r="K152" i="15"/>
  <c r="J152" i="15"/>
  <c r="H152" i="15"/>
  <c r="F152" i="15"/>
  <c r="E152" i="15"/>
  <c r="D152" i="15"/>
  <c r="K151" i="15"/>
  <c r="J151" i="15"/>
  <c r="H151" i="15"/>
  <c r="F151" i="15"/>
  <c r="E151" i="15"/>
  <c r="D151" i="15"/>
  <c r="K150" i="15"/>
  <c r="J150" i="15"/>
  <c r="H150" i="15"/>
  <c r="F150" i="15"/>
  <c r="E150" i="15"/>
  <c r="D150" i="15"/>
  <c r="K149" i="15"/>
  <c r="J149" i="15"/>
  <c r="H149" i="15"/>
  <c r="F149" i="15"/>
  <c r="E149" i="15"/>
  <c r="D149" i="15"/>
  <c r="K148" i="15"/>
  <c r="J148" i="15"/>
  <c r="H148" i="15"/>
  <c r="F148" i="15"/>
  <c r="E148" i="15"/>
  <c r="D148" i="15"/>
  <c r="K147" i="15"/>
  <c r="J147" i="15"/>
  <c r="H147" i="15"/>
  <c r="F147" i="15"/>
  <c r="E147" i="15"/>
  <c r="D147" i="15"/>
  <c r="K146" i="15"/>
  <c r="J146" i="15"/>
  <c r="H146" i="15"/>
  <c r="F146" i="15"/>
  <c r="E146" i="15"/>
  <c r="D146" i="15"/>
  <c r="K145" i="15"/>
  <c r="J145" i="15"/>
  <c r="H145" i="15"/>
  <c r="F145" i="15"/>
  <c r="E145" i="15"/>
  <c r="D145" i="15"/>
  <c r="K144" i="15"/>
  <c r="J144" i="15"/>
  <c r="H144" i="15"/>
  <c r="F144" i="15"/>
  <c r="E144" i="15"/>
  <c r="D144" i="15"/>
  <c r="K143" i="15"/>
  <c r="J143" i="15"/>
  <c r="H143" i="15"/>
  <c r="F143" i="15"/>
  <c r="E143" i="15"/>
  <c r="D143" i="15"/>
  <c r="K142" i="15"/>
  <c r="J142" i="15"/>
  <c r="H142" i="15"/>
  <c r="F142" i="15"/>
  <c r="E142" i="15"/>
  <c r="D142" i="15"/>
  <c r="K141" i="15"/>
  <c r="J141" i="15"/>
  <c r="H141" i="15"/>
  <c r="F141" i="15"/>
  <c r="E141" i="15"/>
  <c r="D141" i="15"/>
  <c r="K140" i="15"/>
  <c r="J140" i="15"/>
  <c r="H140" i="15"/>
  <c r="F140" i="15"/>
  <c r="E140" i="15"/>
  <c r="D140" i="15"/>
  <c r="K139" i="15"/>
  <c r="J139" i="15"/>
  <c r="H139" i="15"/>
  <c r="F139" i="15"/>
  <c r="E139" i="15"/>
  <c r="D139" i="15"/>
  <c r="K138" i="15"/>
  <c r="J138" i="15"/>
  <c r="H138" i="15"/>
  <c r="F138" i="15"/>
  <c r="E138" i="15"/>
  <c r="D138" i="15"/>
  <c r="K137" i="15"/>
  <c r="J137" i="15"/>
  <c r="H137" i="15"/>
  <c r="F137" i="15"/>
  <c r="E137" i="15"/>
  <c r="D137" i="15"/>
  <c r="K136" i="15"/>
  <c r="J136" i="15"/>
  <c r="H136" i="15"/>
  <c r="F136" i="15"/>
  <c r="E136" i="15"/>
  <c r="D136" i="15"/>
  <c r="K135" i="15"/>
  <c r="J135" i="15"/>
  <c r="H135" i="15"/>
  <c r="F135" i="15"/>
  <c r="E135" i="15"/>
  <c r="D135" i="15"/>
  <c r="K134" i="15"/>
  <c r="J134" i="15"/>
  <c r="H134" i="15"/>
  <c r="F134" i="15"/>
  <c r="E134" i="15"/>
  <c r="D134" i="15"/>
  <c r="J133" i="15"/>
  <c r="F133" i="15"/>
  <c r="E133" i="15"/>
  <c r="D133" i="15"/>
  <c r="J132" i="15"/>
  <c r="F132" i="15"/>
  <c r="E132" i="15"/>
  <c r="D132" i="15"/>
  <c r="J131" i="15"/>
  <c r="F131" i="15"/>
  <c r="E131" i="15"/>
  <c r="D131" i="15"/>
  <c r="J130" i="15"/>
  <c r="F130" i="15"/>
  <c r="E130" i="15"/>
  <c r="D130" i="15"/>
  <c r="J129" i="15"/>
  <c r="F129" i="15"/>
  <c r="E129" i="15"/>
  <c r="D129" i="15"/>
  <c r="J128" i="15"/>
  <c r="F128" i="15"/>
  <c r="E128" i="15"/>
  <c r="D128" i="15"/>
  <c r="J127" i="15"/>
  <c r="F127" i="15"/>
  <c r="E127" i="15"/>
  <c r="D127" i="15"/>
  <c r="J126" i="15"/>
  <c r="F126" i="15"/>
  <c r="E126" i="15"/>
  <c r="D126" i="15"/>
  <c r="J125" i="15"/>
  <c r="F125" i="15"/>
  <c r="E125" i="15"/>
  <c r="D125" i="15"/>
  <c r="J124" i="15"/>
  <c r="F124" i="15"/>
  <c r="E124" i="15"/>
  <c r="D124" i="15"/>
  <c r="J123" i="15"/>
  <c r="F123" i="15"/>
  <c r="E123" i="15"/>
  <c r="D123" i="15"/>
  <c r="J122" i="15"/>
  <c r="F122" i="15"/>
  <c r="E122" i="15"/>
  <c r="D122" i="15"/>
  <c r="J121" i="15"/>
  <c r="F121" i="15"/>
  <c r="E121" i="15"/>
  <c r="D121" i="15"/>
  <c r="J120" i="15"/>
  <c r="F120" i="15"/>
  <c r="E120" i="15"/>
  <c r="D120" i="15"/>
  <c r="J119" i="15"/>
  <c r="F119" i="15"/>
  <c r="E119" i="15"/>
  <c r="D119" i="15"/>
  <c r="J118" i="15"/>
  <c r="F118" i="15"/>
  <c r="E118" i="15"/>
  <c r="D118" i="15"/>
  <c r="K117" i="15"/>
  <c r="J117" i="15"/>
  <c r="H117" i="15"/>
  <c r="F117" i="15"/>
  <c r="E117" i="15"/>
  <c r="D117" i="15"/>
  <c r="K116" i="15"/>
  <c r="J116" i="15"/>
  <c r="H116" i="15"/>
  <c r="F116" i="15"/>
  <c r="E116" i="15"/>
  <c r="D116" i="15"/>
  <c r="K115" i="15"/>
  <c r="J115" i="15"/>
  <c r="H115" i="15"/>
  <c r="F115" i="15"/>
  <c r="E115" i="15"/>
  <c r="D115" i="15"/>
  <c r="K114" i="15"/>
  <c r="J114" i="15"/>
  <c r="H114" i="15"/>
  <c r="F114" i="15"/>
  <c r="E114" i="15"/>
  <c r="D114" i="15"/>
  <c r="K113" i="15"/>
  <c r="J113" i="15"/>
  <c r="H113" i="15"/>
  <c r="F113" i="15"/>
  <c r="E113" i="15"/>
  <c r="D113" i="15"/>
  <c r="K112" i="15"/>
  <c r="J112" i="15"/>
  <c r="H112" i="15"/>
  <c r="F112" i="15"/>
  <c r="E112" i="15"/>
  <c r="D112" i="15"/>
  <c r="K111" i="15"/>
  <c r="J111" i="15"/>
  <c r="H111" i="15"/>
  <c r="F111" i="15"/>
  <c r="E111" i="15"/>
  <c r="D111" i="15"/>
  <c r="K110" i="15"/>
  <c r="J110" i="15"/>
  <c r="H110" i="15"/>
  <c r="F110" i="15"/>
  <c r="E110" i="15"/>
  <c r="D110" i="15"/>
  <c r="K109" i="15"/>
  <c r="J109" i="15"/>
  <c r="H109" i="15"/>
  <c r="F109" i="15"/>
  <c r="E109" i="15"/>
  <c r="D109" i="15"/>
  <c r="K108" i="15"/>
  <c r="J108" i="15"/>
  <c r="H108" i="15"/>
  <c r="F108" i="15"/>
  <c r="E108" i="15"/>
  <c r="D108" i="15"/>
  <c r="K107" i="15"/>
  <c r="J107" i="15"/>
  <c r="H107" i="15"/>
  <c r="F107" i="15"/>
  <c r="E107" i="15"/>
  <c r="D107" i="15"/>
  <c r="K106" i="15"/>
  <c r="J106" i="15"/>
  <c r="H106" i="15"/>
  <c r="F106" i="15"/>
  <c r="E106" i="15"/>
  <c r="D106" i="15"/>
  <c r="K105" i="15"/>
  <c r="J105" i="15"/>
  <c r="H105" i="15"/>
  <c r="F105" i="15"/>
  <c r="E105" i="15"/>
  <c r="D105" i="15"/>
  <c r="K104" i="15"/>
  <c r="J104" i="15"/>
  <c r="H104" i="15"/>
  <c r="F104" i="15"/>
  <c r="E104" i="15"/>
  <c r="D104" i="15"/>
  <c r="K103" i="15"/>
  <c r="J103" i="15"/>
  <c r="H103" i="15"/>
  <c r="F103" i="15"/>
  <c r="E103" i="15"/>
  <c r="D103" i="15"/>
  <c r="K102" i="15"/>
  <c r="J102" i="15"/>
  <c r="H102" i="15"/>
  <c r="F102" i="15"/>
  <c r="E102" i="15"/>
  <c r="D102" i="15"/>
  <c r="K101" i="15"/>
  <c r="J101" i="15"/>
  <c r="H101" i="15"/>
  <c r="F101" i="15"/>
  <c r="E101" i="15"/>
  <c r="D101" i="15"/>
  <c r="L100" i="15"/>
  <c r="K100" i="15"/>
  <c r="J100" i="15"/>
  <c r="H100" i="15"/>
  <c r="F100" i="15"/>
  <c r="E100" i="15"/>
  <c r="D100" i="15"/>
  <c r="L99" i="15"/>
  <c r="K99" i="15"/>
  <c r="J99" i="15"/>
  <c r="H99" i="15"/>
  <c r="F99" i="15"/>
  <c r="E99" i="15"/>
  <c r="D99" i="15"/>
  <c r="L98" i="15"/>
  <c r="K98" i="15"/>
  <c r="J98" i="15"/>
  <c r="H98" i="15"/>
  <c r="F98" i="15"/>
  <c r="E98" i="15"/>
  <c r="D98" i="15"/>
  <c r="K97" i="15"/>
  <c r="J97" i="15"/>
  <c r="H97" i="15"/>
  <c r="F97" i="15"/>
  <c r="E97" i="15"/>
  <c r="D97" i="15"/>
  <c r="K96" i="15"/>
  <c r="J96" i="15"/>
  <c r="H96" i="15"/>
  <c r="F96" i="15"/>
  <c r="E96" i="15"/>
  <c r="D96" i="15"/>
  <c r="K95" i="15"/>
  <c r="J95" i="15"/>
  <c r="H95" i="15"/>
  <c r="F95" i="15"/>
  <c r="E95" i="15"/>
  <c r="D95" i="15"/>
  <c r="K94" i="15"/>
  <c r="J94" i="15"/>
  <c r="H94" i="15"/>
  <c r="F94" i="15"/>
  <c r="E94" i="15"/>
  <c r="D94" i="15"/>
  <c r="K93" i="15"/>
  <c r="J93" i="15"/>
  <c r="H93" i="15"/>
  <c r="F93" i="15"/>
  <c r="E93" i="15"/>
  <c r="D93" i="15"/>
  <c r="K92" i="15"/>
  <c r="J92" i="15"/>
  <c r="H92" i="15"/>
  <c r="F92" i="15"/>
  <c r="E92" i="15"/>
  <c r="D92" i="15"/>
  <c r="K91" i="15"/>
  <c r="J91" i="15"/>
  <c r="H91" i="15"/>
  <c r="F91" i="15"/>
  <c r="E91" i="15"/>
  <c r="D91" i="15"/>
  <c r="K90" i="15"/>
  <c r="J90" i="15"/>
  <c r="H90" i="15"/>
  <c r="F90" i="15"/>
  <c r="E90" i="15"/>
  <c r="D90" i="15"/>
  <c r="K89" i="15"/>
  <c r="J89" i="15"/>
  <c r="H89" i="15"/>
  <c r="F89" i="15"/>
  <c r="E89" i="15"/>
  <c r="D89" i="15"/>
  <c r="K88" i="15"/>
  <c r="J88" i="15"/>
  <c r="H88" i="15"/>
  <c r="F88" i="15"/>
  <c r="E88" i="15"/>
  <c r="D88" i="15"/>
  <c r="K87" i="15"/>
  <c r="J87" i="15"/>
  <c r="H87" i="15"/>
  <c r="F87" i="15"/>
  <c r="E87" i="15"/>
  <c r="D87" i="15"/>
  <c r="K86" i="15"/>
  <c r="J86" i="15"/>
  <c r="H86" i="15"/>
  <c r="F86" i="15"/>
  <c r="E86" i="15"/>
  <c r="D86" i="15"/>
  <c r="K85" i="15"/>
  <c r="J85" i="15"/>
  <c r="H85" i="15"/>
  <c r="F85" i="15"/>
  <c r="E85" i="15"/>
  <c r="D85" i="15"/>
  <c r="K84" i="15"/>
  <c r="J84" i="15"/>
  <c r="H84" i="15"/>
  <c r="F84" i="15"/>
  <c r="E84" i="15"/>
  <c r="D84" i="15"/>
  <c r="K83" i="15"/>
  <c r="J83" i="15"/>
  <c r="H83" i="15"/>
  <c r="F83" i="15"/>
  <c r="E83" i="15"/>
  <c r="D83" i="15"/>
  <c r="K82" i="15"/>
  <c r="J82" i="15"/>
  <c r="H82" i="15"/>
  <c r="F82" i="15"/>
  <c r="E82" i="15"/>
  <c r="D82" i="15"/>
  <c r="K81" i="15"/>
  <c r="J81" i="15"/>
  <c r="H81" i="15"/>
  <c r="F81" i="15"/>
  <c r="E81" i="15"/>
  <c r="D81" i="15"/>
  <c r="K80" i="15"/>
  <c r="J80" i="15"/>
  <c r="H80" i="15"/>
  <c r="F80" i="15"/>
  <c r="E80" i="15"/>
  <c r="D80" i="15"/>
  <c r="K79" i="15"/>
  <c r="J79" i="15"/>
  <c r="H79" i="15"/>
  <c r="F79" i="15"/>
  <c r="E79" i="15"/>
  <c r="D79" i="15"/>
  <c r="K78" i="15"/>
  <c r="J78" i="15"/>
  <c r="H78" i="15"/>
  <c r="F78" i="15"/>
  <c r="E78" i="15"/>
  <c r="D78" i="15"/>
  <c r="K77" i="15"/>
  <c r="J77" i="15"/>
  <c r="H77" i="15"/>
  <c r="F77" i="15"/>
  <c r="E77" i="15"/>
  <c r="D77" i="15"/>
  <c r="K76" i="15"/>
  <c r="J76" i="15"/>
  <c r="H76" i="15"/>
  <c r="F76" i="15"/>
  <c r="E76" i="15"/>
  <c r="D76" i="15"/>
  <c r="K75" i="15"/>
  <c r="J75" i="15"/>
  <c r="H75" i="15"/>
  <c r="F75" i="15"/>
  <c r="E75" i="15"/>
  <c r="D75" i="15"/>
  <c r="K74" i="15"/>
  <c r="J74" i="15"/>
  <c r="H74" i="15"/>
  <c r="F74" i="15"/>
  <c r="E74" i="15"/>
  <c r="D74" i="15"/>
  <c r="K73" i="15"/>
  <c r="J73" i="15"/>
  <c r="H73" i="15"/>
  <c r="F73" i="15"/>
  <c r="E73" i="15"/>
  <c r="D73" i="15"/>
  <c r="K72" i="15"/>
  <c r="J72" i="15"/>
  <c r="H72" i="15"/>
  <c r="F72" i="15"/>
  <c r="E72" i="15"/>
  <c r="D72" i="15"/>
  <c r="K71" i="15"/>
  <c r="J71" i="15"/>
  <c r="H71" i="15"/>
  <c r="F71" i="15"/>
  <c r="E71" i="15"/>
  <c r="D71" i="15"/>
  <c r="K70" i="15"/>
  <c r="J70" i="15"/>
  <c r="H70" i="15"/>
  <c r="F70" i="15"/>
  <c r="E70" i="15"/>
  <c r="D70" i="15"/>
  <c r="K69" i="15"/>
  <c r="J69" i="15"/>
  <c r="H69" i="15"/>
  <c r="F69" i="15"/>
  <c r="E69" i="15"/>
  <c r="D69" i="15"/>
  <c r="J68" i="15"/>
  <c r="F68" i="15"/>
  <c r="E68" i="15"/>
  <c r="D68" i="15"/>
  <c r="J67" i="15"/>
  <c r="F67" i="15"/>
  <c r="E67" i="15"/>
  <c r="D67" i="15"/>
  <c r="J66" i="15"/>
  <c r="F66" i="15"/>
  <c r="E66" i="15"/>
  <c r="D66" i="15"/>
  <c r="J65" i="15"/>
  <c r="F65" i="15"/>
  <c r="E65" i="15"/>
  <c r="D65" i="15"/>
  <c r="J64" i="15"/>
  <c r="F64" i="15"/>
  <c r="E64" i="15"/>
  <c r="D64" i="15"/>
  <c r="J63" i="15"/>
  <c r="F63" i="15"/>
  <c r="E63" i="15"/>
  <c r="D63" i="15"/>
  <c r="J62" i="15"/>
  <c r="F62" i="15"/>
  <c r="E62" i="15"/>
  <c r="D62" i="15"/>
  <c r="J61" i="15"/>
  <c r="F61" i="15"/>
  <c r="E61" i="15"/>
  <c r="D61" i="15"/>
  <c r="J60" i="15"/>
  <c r="F60" i="15"/>
  <c r="E60" i="15"/>
  <c r="D60" i="15"/>
  <c r="J59" i="15"/>
  <c r="F59" i="15"/>
  <c r="E59" i="15"/>
  <c r="D59" i="15"/>
  <c r="J58" i="15"/>
  <c r="F58" i="15"/>
  <c r="E58" i="15"/>
  <c r="D58" i="15"/>
  <c r="J57" i="15"/>
  <c r="F57" i="15"/>
  <c r="E57" i="15"/>
  <c r="D57" i="15"/>
  <c r="J56" i="15"/>
  <c r="F56" i="15"/>
  <c r="E56" i="15"/>
  <c r="D56" i="15"/>
  <c r="J55" i="15"/>
  <c r="F55" i="15"/>
  <c r="E55" i="15"/>
  <c r="D55" i="15"/>
  <c r="J54" i="15"/>
  <c r="F54" i="15"/>
  <c r="E54" i="15"/>
  <c r="D54" i="15"/>
  <c r="J53" i="15"/>
  <c r="F53" i="15"/>
  <c r="E53" i="15"/>
  <c r="D53" i="15"/>
  <c r="K52" i="15"/>
  <c r="J52" i="15"/>
  <c r="H52" i="15"/>
  <c r="F52" i="15"/>
  <c r="E52" i="15"/>
  <c r="D52" i="15"/>
  <c r="K51" i="15"/>
  <c r="J51" i="15"/>
  <c r="H51" i="15"/>
  <c r="F51" i="15"/>
  <c r="E51" i="15"/>
  <c r="D51" i="15"/>
  <c r="K50" i="15"/>
  <c r="J50" i="15"/>
  <c r="H50" i="15"/>
  <c r="F50" i="15"/>
  <c r="E50" i="15"/>
  <c r="D50" i="15"/>
  <c r="K49" i="15"/>
  <c r="J49" i="15"/>
  <c r="H49" i="15"/>
  <c r="F49" i="15"/>
  <c r="E49" i="15"/>
  <c r="D49" i="15"/>
  <c r="K48" i="15"/>
  <c r="J48" i="15"/>
  <c r="H48" i="15"/>
  <c r="F48" i="15"/>
  <c r="E48" i="15"/>
  <c r="D48" i="15"/>
  <c r="K47" i="15"/>
  <c r="J47" i="15"/>
  <c r="H47" i="15"/>
  <c r="F47" i="15"/>
  <c r="E47" i="15"/>
  <c r="D47" i="15"/>
  <c r="K46" i="15"/>
  <c r="J46" i="15"/>
  <c r="H46" i="15"/>
  <c r="F46" i="15"/>
  <c r="E46" i="15"/>
  <c r="D46" i="15"/>
  <c r="K45" i="15"/>
  <c r="J45" i="15"/>
  <c r="H45" i="15"/>
  <c r="F45" i="15"/>
  <c r="E45" i="15"/>
  <c r="D45" i="15"/>
  <c r="K44" i="15"/>
  <c r="J44" i="15"/>
  <c r="H44" i="15"/>
  <c r="F44" i="15"/>
  <c r="E44" i="15"/>
  <c r="D44" i="15"/>
  <c r="K43" i="15"/>
  <c r="J43" i="15"/>
  <c r="H43" i="15"/>
  <c r="F43" i="15"/>
  <c r="E43" i="15"/>
  <c r="D43" i="15"/>
  <c r="K42" i="15"/>
  <c r="J42" i="15"/>
  <c r="H42" i="15"/>
  <c r="F42" i="15"/>
  <c r="E42" i="15"/>
  <c r="D42" i="15"/>
  <c r="K41" i="15"/>
  <c r="J41" i="15"/>
  <c r="H41" i="15"/>
  <c r="F41" i="15"/>
  <c r="E41" i="15"/>
  <c r="D41" i="15"/>
  <c r="K40" i="15"/>
  <c r="J40" i="15"/>
  <c r="H40" i="15"/>
  <c r="F40" i="15"/>
  <c r="E40" i="15"/>
  <c r="D40" i="15"/>
  <c r="K39" i="15"/>
  <c r="J39" i="15"/>
  <c r="H39" i="15"/>
  <c r="F39" i="15"/>
  <c r="E39" i="15"/>
  <c r="D39" i="15"/>
  <c r="K38" i="15"/>
  <c r="J38" i="15"/>
  <c r="H38" i="15"/>
  <c r="F38" i="15"/>
  <c r="E38" i="15"/>
  <c r="D38" i="15"/>
  <c r="K37" i="15"/>
  <c r="J37" i="15"/>
  <c r="H37" i="15"/>
  <c r="F37" i="15"/>
  <c r="E37" i="15"/>
  <c r="D37" i="15"/>
  <c r="K36" i="15"/>
  <c r="J36" i="15"/>
  <c r="H36" i="15"/>
  <c r="F36" i="15"/>
  <c r="E36" i="15"/>
  <c r="D36" i="15"/>
  <c r="K35" i="15"/>
  <c r="J35" i="15"/>
  <c r="H35" i="15"/>
  <c r="F35" i="15"/>
  <c r="E35" i="15"/>
  <c r="D35" i="15"/>
  <c r="L34" i="15"/>
  <c r="K34" i="15"/>
  <c r="J34" i="15"/>
  <c r="H34" i="15"/>
  <c r="F34" i="15"/>
  <c r="E34" i="15"/>
  <c r="D34" i="15"/>
  <c r="K33" i="15"/>
  <c r="J33" i="15"/>
  <c r="H33" i="15"/>
  <c r="F33" i="15"/>
  <c r="E33" i="15"/>
  <c r="D33" i="15"/>
  <c r="K32" i="15"/>
  <c r="J32" i="15"/>
  <c r="H32" i="15"/>
  <c r="F32" i="15"/>
  <c r="E32" i="15"/>
  <c r="D32" i="15"/>
  <c r="K31" i="15"/>
  <c r="J31" i="15"/>
  <c r="H31" i="15"/>
  <c r="F31" i="15"/>
  <c r="E31" i="15"/>
  <c r="D31" i="15"/>
  <c r="K30" i="15"/>
  <c r="J30" i="15"/>
  <c r="H30" i="15"/>
  <c r="F30" i="15"/>
  <c r="E30" i="15"/>
  <c r="D30" i="15"/>
  <c r="K29" i="15"/>
  <c r="J29" i="15"/>
  <c r="H29" i="15"/>
  <c r="F29" i="15"/>
  <c r="E29" i="15"/>
  <c r="D29" i="15"/>
  <c r="K28" i="15"/>
  <c r="J28" i="15"/>
  <c r="H28" i="15"/>
  <c r="F28" i="15"/>
  <c r="E28" i="15"/>
  <c r="D28" i="15"/>
  <c r="K27" i="15"/>
  <c r="J27" i="15"/>
  <c r="H27" i="15"/>
  <c r="F27" i="15"/>
  <c r="E27" i="15"/>
  <c r="D27" i="15"/>
  <c r="K26" i="15"/>
  <c r="J26" i="15"/>
  <c r="H26" i="15"/>
  <c r="F26" i="15"/>
  <c r="E26" i="15"/>
  <c r="D26" i="15"/>
  <c r="K25" i="15"/>
  <c r="J25" i="15"/>
  <c r="H25" i="15"/>
  <c r="F25" i="15"/>
  <c r="E25" i="15"/>
  <c r="D25" i="15"/>
  <c r="K24" i="15"/>
  <c r="J24" i="15"/>
  <c r="H24" i="15"/>
  <c r="F24" i="15"/>
  <c r="E24" i="15"/>
  <c r="D24" i="15"/>
  <c r="K23" i="15"/>
  <c r="J23" i="15"/>
  <c r="H23" i="15"/>
  <c r="F23" i="15"/>
  <c r="E23" i="15"/>
  <c r="D23" i="15"/>
  <c r="K22" i="15"/>
  <c r="J22" i="15"/>
  <c r="H22" i="15"/>
  <c r="F22" i="15"/>
  <c r="E22" i="15"/>
  <c r="D22" i="15"/>
  <c r="K21" i="15"/>
  <c r="J21" i="15"/>
  <c r="H21" i="15"/>
  <c r="F21" i="15"/>
  <c r="E21" i="15"/>
  <c r="D21" i="15"/>
  <c r="K20" i="15"/>
  <c r="J20" i="15"/>
  <c r="H20" i="15"/>
  <c r="F20" i="15"/>
  <c r="E20" i="15"/>
  <c r="D20" i="15"/>
  <c r="K19" i="15"/>
  <c r="J19" i="15"/>
  <c r="H19" i="15"/>
  <c r="F19" i="15"/>
  <c r="E19" i="15"/>
  <c r="D19" i="15"/>
  <c r="K18" i="15"/>
  <c r="J18" i="15"/>
  <c r="H18" i="15"/>
  <c r="F18" i="15"/>
  <c r="E18" i="15"/>
  <c r="D18" i="15"/>
  <c r="K17" i="15"/>
  <c r="J17" i="15"/>
  <c r="H17" i="15"/>
  <c r="F17" i="15"/>
  <c r="E17" i="15"/>
  <c r="D17" i="15"/>
  <c r="K16" i="15"/>
  <c r="J16" i="15"/>
  <c r="H16" i="15"/>
  <c r="F16" i="15"/>
  <c r="E16" i="15"/>
  <c r="D16" i="15"/>
  <c r="K15" i="15"/>
  <c r="J15" i="15"/>
  <c r="H15" i="15"/>
  <c r="F15" i="15"/>
  <c r="E15" i="15"/>
  <c r="D15" i="15"/>
  <c r="K14" i="15"/>
  <c r="J14" i="15"/>
  <c r="H14" i="15"/>
  <c r="F14" i="15"/>
  <c r="E14" i="15"/>
  <c r="D14" i="15"/>
  <c r="K13" i="15"/>
  <c r="J13" i="15"/>
  <c r="H13" i="15"/>
  <c r="F13" i="15"/>
  <c r="E13" i="15"/>
  <c r="D13" i="15"/>
  <c r="K12" i="15"/>
  <c r="J12" i="15"/>
  <c r="H12" i="15"/>
  <c r="F12" i="15"/>
  <c r="E12" i="15"/>
  <c r="D12" i="15"/>
  <c r="K11" i="15"/>
  <c r="J11" i="15"/>
  <c r="H11" i="15"/>
  <c r="F11" i="15"/>
  <c r="E11" i="15"/>
  <c r="D11" i="15"/>
  <c r="K10" i="15"/>
  <c r="J10" i="15"/>
  <c r="H10" i="15"/>
  <c r="F10" i="15"/>
  <c r="E10" i="15"/>
  <c r="D10" i="15"/>
  <c r="K9" i="15"/>
  <c r="J9" i="15"/>
  <c r="H9" i="15"/>
  <c r="F9" i="15"/>
  <c r="E9" i="15"/>
  <c r="D9" i="15"/>
  <c r="K8" i="15"/>
  <c r="J8" i="15"/>
  <c r="H8" i="15"/>
  <c r="F8" i="15"/>
  <c r="E8" i="15"/>
  <c r="D8" i="15"/>
  <c r="K7" i="15"/>
  <c r="J7" i="15"/>
  <c r="H7" i="15"/>
  <c r="F7" i="15"/>
  <c r="E7" i="15"/>
  <c r="D7" i="15"/>
  <c r="K6" i="15"/>
  <c r="J6" i="15"/>
  <c r="H6" i="15"/>
  <c r="F6" i="15"/>
  <c r="E6" i="15"/>
  <c r="D6" i="15"/>
  <c r="K5" i="15"/>
  <c r="J5" i="15"/>
  <c r="H5" i="15"/>
  <c r="F5" i="15"/>
  <c r="E5" i="15"/>
  <c r="D5" i="15"/>
  <c r="K4" i="15"/>
  <c r="J4" i="15"/>
  <c r="H4" i="15"/>
  <c r="F4" i="15"/>
  <c r="E4" i="15"/>
  <c r="D4" i="15"/>
  <c r="O28" i="12"/>
  <c r="O27" i="12"/>
  <c r="E4" i="11"/>
  <c r="F2233" i="2"/>
  <c r="E2233" i="2"/>
  <c r="C2233" i="2"/>
  <c r="F2232" i="2"/>
  <c r="E2232" i="2"/>
  <c r="C2232" i="2"/>
  <c r="F2231" i="2"/>
  <c r="E2231" i="2"/>
  <c r="C2231" i="2"/>
  <c r="F2230" i="2"/>
  <c r="E2230" i="2"/>
  <c r="C2230" i="2"/>
  <c r="F2229" i="2"/>
  <c r="E2229" i="2"/>
  <c r="C2229" i="2"/>
  <c r="F2228" i="2"/>
  <c r="E2228" i="2"/>
  <c r="C2228" i="2"/>
  <c r="F2227" i="2"/>
  <c r="E2227" i="2"/>
  <c r="C2227" i="2"/>
  <c r="F2226" i="2"/>
  <c r="E2226" i="2"/>
  <c r="C2226" i="2"/>
  <c r="F2225" i="2"/>
  <c r="E2225" i="2"/>
  <c r="C2225" i="2"/>
  <c r="F2224" i="2"/>
  <c r="E2224" i="2"/>
  <c r="C2224" i="2"/>
  <c r="F2223" i="2"/>
  <c r="E2223" i="2"/>
  <c r="C2223" i="2"/>
  <c r="F2222" i="2"/>
  <c r="E2222" i="2"/>
  <c r="C2222" i="2"/>
  <c r="F2221" i="2"/>
  <c r="E2221" i="2"/>
  <c r="C2221" i="2"/>
  <c r="F2220" i="2"/>
  <c r="E2220" i="2"/>
  <c r="C2220" i="2"/>
  <c r="F2219" i="2"/>
  <c r="E2219" i="2"/>
  <c r="C2219" i="2"/>
  <c r="F2218" i="2"/>
  <c r="E2218" i="2"/>
  <c r="C2218" i="2"/>
  <c r="F2217" i="2"/>
  <c r="E2217" i="2"/>
  <c r="C2217" i="2"/>
  <c r="F2216" i="2"/>
  <c r="E2216" i="2"/>
  <c r="C2216" i="2"/>
  <c r="F2215" i="2"/>
  <c r="E2215" i="2"/>
  <c r="C2215" i="2"/>
  <c r="F2214" i="2"/>
  <c r="E2214" i="2"/>
  <c r="C2214" i="2"/>
  <c r="F2213" i="2"/>
  <c r="E2213" i="2"/>
  <c r="C2213" i="2"/>
  <c r="F2212" i="2"/>
  <c r="E2212" i="2"/>
  <c r="C2212" i="2"/>
  <c r="F2211" i="2"/>
  <c r="E2211" i="2"/>
  <c r="C2211" i="2"/>
  <c r="F2210" i="2"/>
  <c r="E2210" i="2"/>
  <c r="C2210" i="2"/>
  <c r="F2209" i="2"/>
  <c r="E2209" i="2"/>
  <c r="C2209" i="2"/>
  <c r="F2208" i="2"/>
  <c r="E2208" i="2"/>
  <c r="C2208" i="2"/>
  <c r="F2207" i="2"/>
  <c r="E2207" i="2"/>
  <c r="C2207" i="2"/>
  <c r="F2206" i="2"/>
  <c r="E2206" i="2"/>
  <c r="C2206" i="2"/>
  <c r="F2205" i="2"/>
  <c r="E2205" i="2"/>
  <c r="C2205" i="2"/>
  <c r="F2204" i="2"/>
  <c r="E2204" i="2"/>
  <c r="C2204" i="2"/>
  <c r="F2203" i="2"/>
  <c r="E2203" i="2"/>
  <c r="C2203" i="2"/>
  <c r="F2202" i="2"/>
  <c r="E2202" i="2"/>
  <c r="C2202" i="2"/>
  <c r="F2201" i="2"/>
  <c r="E2201" i="2"/>
  <c r="C2201" i="2"/>
  <c r="F2200" i="2"/>
  <c r="E2200" i="2"/>
  <c r="C2200" i="2"/>
  <c r="F2199" i="2"/>
  <c r="E2199" i="2"/>
  <c r="C2199" i="2"/>
  <c r="F2198" i="2"/>
  <c r="E2198" i="2"/>
  <c r="C2198" i="2"/>
  <c r="F2197" i="2"/>
  <c r="E2197" i="2"/>
  <c r="C2197" i="2"/>
  <c r="F2196" i="2"/>
  <c r="E2196" i="2"/>
  <c r="C2196" i="2"/>
  <c r="F2195" i="2"/>
  <c r="E2195" i="2"/>
  <c r="C2195" i="2"/>
  <c r="F2194" i="2"/>
  <c r="E2194" i="2"/>
  <c r="C2194" i="2"/>
  <c r="F2193" i="2"/>
  <c r="E2193" i="2"/>
  <c r="C2193" i="2"/>
  <c r="F2192" i="2"/>
  <c r="E2192" i="2"/>
  <c r="C2192" i="2"/>
  <c r="F2191" i="2"/>
  <c r="E2191" i="2"/>
  <c r="C2191" i="2"/>
  <c r="F2190" i="2"/>
  <c r="E2190" i="2"/>
  <c r="C2190" i="2"/>
  <c r="F2189" i="2"/>
  <c r="E2189" i="2"/>
  <c r="C2189" i="2"/>
  <c r="F2188" i="2"/>
  <c r="E2188" i="2"/>
  <c r="C2188" i="2"/>
  <c r="F2187" i="2"/>
  <c r="E2187" i="2"/>
  <c r="C2187" i="2"/>
  <c r="F2186" i="2"/>
  <c r="E2186" i="2"/>
  <c r="C2186" i="2"/>
  <c r="I2185" i="2"/>
  <c r="F2185" i="2"/>
  <c r="E2185" i="2"/>
  <c r="C2185" i="2"/>
  <c r="I2184" i="2"/>
  <c r="F2184" i="2"/>
  <c r="E2184" i="2"/>
  <c r="C2184" i="2"/>
  <c r="I2183" i="2"/>
  <c r="F2183" i="2"/>
  <c r="E2183" i="2"/>
  <c r="C2183" i="2"/>
  <c r="I2182" i="2"/>
  <c r="F2182" i="2"/>
  <c r="E2182" i="2"/>
  <c r="C2182" i="2"/>
  <c r="I2181" i="2"/>
  <c r="F2181" i="2"/>
  <c r="E2181" i="2"/>
  <c r="C2181" i="2"/>
  <c r="I2180" i="2"/>
  <c r="F2180" i="2"/>
  <c r="E2180" i="2"/>
  <c r="C2180" i="2"/>
  <c r="I2179" i="2"/>
  <c r="F2179" i="2"/>
  <c r="E2179" i="2"/>
  <c r="C2179" i="2"/>
  <c r="I2178" i="2"/>
  <c r="F2178" i="2"/>
  <c r="E2178" i="2"/>
  <c r="C2178" i="2"/>
  <c r="I2177" i="2"/>
  <c r="F2177" i="2"/>
  <c r="E2177" i="2"/>
  <c r="C2177" i="2"/>
  <c r="I2176" i="2"/>
  <c r="F2176" i="2"/>
  <c r="E2176" i="2"/>
  <c r="C2176" i="2"/>
  <c r="I2175" i="2"/>
  <c r="F2175" i="2"/>
  <c r="E2175" i="2"/>
  <c r="C2175" i="2"/>
  <c r="I2174" i="2"/>
  <c r="F2174" i="2"/>
  <c r="E2174" i="2"/>
  <c r="C2174" i="2"/>
  <c r="I2173" i="2"/>
  <c r="F2173" i="2"/>
  <c r="E2173" i="2"/>
  <c r="C2173" i="2"/>
  <c r="I2172" i="2"/>
  <c r="F2172" i="2"/>
  <c r="E2172" i="2"/>
  <c r="C2172" i="2"/>
  <c r="I2171" i="2"/>
  <c r="F2171" i="2"/>
  <c r="E2171" i="2"/>
  <c r="C2171" i="2"/>
  <c r="I2170" i="2"/>
  <c r="F2170" i="2"/>
  <c r="E2170" i="2"/>
  <c r="C2170" i="2"/>
  <c r="I2169" i="2"/>
  <c r="F2169" i="2"/>
  <c r="E2169" i="2"/>
  <c r="C2169" i="2"/>
  <c r="I2168" i="2"/>
  <c r="F2168" i="2"/>
  <c r="E2168" i="2"/>
  <c r="C2168" i="2"/>
  <c r="I2167" i="2"/>
  <c r="F2167" i="2"/>
  <c r="E2167" i="2"/>
  <c r="C2167" i="2"/>
  <c r="I2166" i="2"/>
  <c r="F2166" i="2"/>
  <c r="E2166" i="2"/>
  <c r="C2166" i="2"/>
  <c r="I2165" i="2"/>
  <c r="F2165" i="2"/>
  <c r="E2165" i="2"/>
  <c r="C2165" i="2"/>
  <c r="I2164" i="2"/>
  <c r="F2164" i="2"/>
  <c r="E2164" i="2"/>
  <c r="C2164" i="2"/>
  <c r="I2163" i="2"/>
  <c r="F2163" i="2"/>
  <c r="E2163" i="2"/>
  <c r="C2163" i="2"/>
  <c r="I2162" i="2"/>
  <c r="F2162" i="2"/>
  <c r="E2162" i="2"/>
  <c r="C2162" i="2"/>
  <c r="I2161" i="2"/>
  <c r="E2161" i="2"/>
  <c r="C2161" i="2"/>
  <c r="I2160" i="2"/>
  <c r="E2160" i="2"/>
  <c r="C2160" i="2"/>
  <c r="I2159" i="2"/>
  <c r="E2159" i="2"/>
  <c r="C2159" i="2"/>
  <c r="I2158" i="2"/>
  <c r="E2158" i="2"/>
  <c r="C2158" i="2"/>
  <c r="I2157" i="2"/>
  <c r="E2157" i="2"/>
  <c r="C2157" i="2"/>
  <c r="I2156" i="2"/>
  <c r="E2156" i="2"/>
  <c r="C2156" i="2"/>
  <c r="I2155" i="2"/>
  <c r="E2155" i="2"/>
  <c r="C2155" i="2"/>
  <c r="I2154" i="2"/>
  <c r="E2154" i="2"/>
  <c r="C2154" i="2"/>
  <c r="I2153" i="2"/>
  <c r="E2153" i="2"/>
  <c r="C2153" i="2"/>
  <c r="I2152" i="2"/>
  <c r="E2152" i="2"/>
  <c r="C2152" i="2"/>
  <c r="I2151" i="2"/>
  <c r="E2151" i="2"/>
  <c r="C2151" i="2"/>
  <c r="I2150" i="2"/>
  <c r="E2150" i="2"/>
  <c r="C2150" i="2"/>
  <c r="I2149" i="2"/>
  <c r="E2149" i="2"/>
  <c r="C2149" i="2"/>
  <c r="I2148" i="2"/>
  <c r="E2148" i="2"/>
  <c r="C2148" i="2"/>
  <c r="I2147" i="2"/>
  <c r="E2147" i="2"/>
  <c r="C2147" i="2"/>
  <c r="I2146" i="2"/>
  <c r="E2146" i="2"/>
  <c r="C2146" i="2"/>
  <c r="I2145" i="2"/>
  <c r="E2145" i="2"/>
  <c r="C2145" i="2"/>
  <c r="I2144" i="2"/>
  <c r="E2144" i="2"/>
  <c r="C2144" i="2"/>
  <c r="I2143" i="2"/>
  <c r="E2143" i="2"/>
  <c r="C2143" i="2"/>
  <c r="I2142" i="2"/>
  <c r="E2142" i="2"/>
  <c r="C2142" i="2"/>
  <c r="I2141" i="2"/>
  <c r="E2141" i="2"/>
  <c r="C2141" i="2"/>
  <c r="I2140" i="2"/>
  <c r="E2140" i="2"/>
  <c r="C2140" i="2"/>
  <c r="I2139" i="2"/>
  <c r="E2139" i="2"/>
  <c r="C2139" i="2"/>
  <c r="I2138" i="2"/>
  <c r="E2138" i="2"/>
  <c r="C2138" i="2"/>
  <c r="I2137" i="2"/>
  <c r="E2137" i="2"/>
  <c r="C2137" i="2"/>
  <c r="F2136" i="2"/>
  <c r="E2136" i="2"/>
  <c r="C2136" i="2"/>
  <c r="F2135" i="2"/>
  <c r="E2135" i="2"/>
  <c r="C2135" i="2"/>
  <c r="F2134" i="2"/>
  <c r="E2134" i="2"/>
  <c r="C2134" i="2"/>
  <c r="F2133" i="2"/>
  <c r="E2133" i="2"/>
  <c r="C2133" i="2"/>
  <c r="F2132" i="2"/>
  <c r="E2132" i="2"/>
  <c r="C2132" i="2"/>
  <c r="F2131" i="2"/>
  <c r="E2131" i="2"/>
  <c r="C2131" i="2"/>
  <c r="F2130" i="2"/>
  <c r="E2130" i="2"/>
  <c r="C2130" i="2"/>
  <c r="F2129" i="2"/>
  <c r="E2129" i="2"/>
  <c r="C2129" i="2"/>
  <c r="F2128" i="2"/>
  <c r="E2128" i="2"/>
  <c r="C2128" i="2"/>
  <c r="F2127" i="2"/>
  <c r="E2127" i="2"/>
  <c r="C2127" i="2"/>
  <c r="F2126" i="2"/>
  <c r="E2126" i="2"/>
  <c r="C2126" i="2"/>
  <c r="F2125" i="2"/>
  <c r="E2125" i="2"/>
  <c r="C2125" i="2"/>
  <c r="F2124" i="2"/>
  <c r="E2124" i="2"/>
  <c r="C2124" i="2"/>
  <c r="F2123" i="2"/>
  <c r="E2123" i="2"/>
  <c r="C2123" i="2"/>
  <c r="F2122" i="2"/>
  <c r="E2122" i="2"/>
  <c r="C2122" i="2"/>
  <c r="F2121" i="2"/>
  <c r="E2121" i="2"/>
  <c r="C2121" i="2"/>
  <c r="F2120" i="2"/>
  <c r="E2120" i="2"/>
  <c r="C2120" i="2"/>
  <c r="F2119" i="2"/>
  <c r="E2119" i="2"/>
  <c r="C2119" i="2"/>
  <c r="F2118" i="2"/>
  <c r="E2118" i="2"/>
  <c r="C2118" i="2"/>
  <c r="F2117" i="2"/>
  <c r="E2117" i="2"/>
  <c r="C2117" i="2"/>
  <c r="F2116" i="2"/>
  <c r="E2116" i="2"/>
  <c r="C2116" i="2"/>
  <c r="F2115" i="2"/>
  <c r="E2115" i="2"/>
  <c r="C2115" i="2"/>
  <c r="F2114" i="2"/>
  <c r="E2114" i="2"/>
  <c r="C2114" i="2"/>
  <c r="F2113" i="2"/>
  <c r="E2113" i="2"/>
  <c r="C2113" i="2"/>
  <c r="F2112" i="2"/>
  <c r="E2112" i="2"/>
  <c r="C2112" i="2"/>
  <c r="F2111" i="2"/>
  <c r="E2111" i="2"/>
  <c r="C2111" i="2"/>
  <c r="F2110" i="2"/>
  <c r="E2110" i="2"/>
  <c r="C2110" i="2"/>
  <c r="F2109" i="2"/>
  <c r="E2109" i="2"/>
  <c r="C2109" i="2"/>
  <c r="F2108" i="2"/>
  <c r="E2108" i="2"/>
  <c r="C2108" i="2"/>
  <c r="F2107" i="2"/>
  <c r="E2107" i="2"/>
  <c r="C2107" i="2"/>
  <c r="F2106" i="2"/>
  <c r="E2106" i="2"/>
  <c r="C2106" i="2"/>
  <c r="F2105" i="2"/>
  <c r="E2105" i="2"/>
  <c r="C2105" i="2"/>
  <c r="F2104" i="2"/>
  <c r="E2104" i="2"/>
  <c r="C2104" i="2"/>
  <c r="F2103" i="2"/>
  <c r="E2103" i="2"/>
  <c r="C2103" i="2"/>
  <c r="F2102" i="2"/>
  <c r="E2102" i="2"/>
  <c r="C2102" i="2"/>
  <c r="F2101" i="2"/>
  <c r="E2101" i="2"/>
  <c r="C2101" i="2"/>
  <c r="F2100" i="2"/>
  <c r="E2100" i="2"/>
  <c r="C2100" i="2"/>
  <c r="F2099" i="2"/>
  <c r="E2099" i="2"/>
  <c r="C2099" i="2"/>
  <c r="F2098" i="2"/>
  <c r="E2098" i="2"/>
  <c r="C2098" i="2"/>
  <c r="F2097" i="2"/>
  <c r="E2097" i="2"/>
  <c r="C2097" i="2"/>
  <c r="F2096" i="2"/>
  <c r="E2096" i="2"/>
  <c r="C2096" i="2"/>
  <c r="F2095" i="2"/>
  <c r="E2095" i="2"/>
  <c r="C2095" i="2"/>
  <c r="F2094" i="2"/>
  <c r="E2094" i="2"/>
  <c r="C2094" i="2"/>
  <c r="F2093" i="2"/>
  <c r="E2093" i="2"/>
  <c r="C2093" i="2"/>
  <c r="F2092" i="2"/>
  <c r="E2092" i="2"/>
  <c r="C2092" i="2"/>
  <c r="F2091" i="2"/>
  <c r="E2091" i="2"/>
  <c r="C2091" i="2"/>
  <c r="F2090" i="2"/>
  <c r="E2090" i="2"/>
  <c r="C2090" i="2"/>
  <c r="F2089" i="2"/>
  <c r="E2089" i="2"/>
  <c r="C2089" i="2"/>
  <c r="I2088" i="2"/>
  <c r="F2088" i="2"/>
  <c r="E2088" i="2"/>
  <c r="C2088" i="2"/>
  <c r="I2087" i="2"/>
  <c r="F2087" i="2"/>
  <c r="E2087" i="2"/>
  <c r="C2087" i="2"/>
  <c r="I2086" i="2"/>
  <c r="F2086" i="2"/>
  <c r="E2086" i="2"/>
  <c r="C2086" i="2"/>
  <c r="I2085" i="2"/>
  <c r="F2085" i="2"/>
  <c r="E2085" i="2"/>
  <c r="C2085" i="2"/>
  <c r="I2084" i="2"/>
  <c r="F2084" i="2"/>
  <c r="E2084" i="2"/>
  <c r="C2084" i="2"/>
  <c r="I2083" i="2"/>
  <c r="F2083" i="2"/>
  <c r="E2083" i="2"/>
  <c r="C2083" i="2"/>
  <c r="I2082" i="2"/>
  <c r="F2082" i="2"/>
  <c r="E2082" i="2"/>
  <c r="C2082" i="2"/>
  <c r="I2081" i="2"/>
  <c r="F2081" i="2"/>
  <c r="E2081" i="2"/>
  <c r="C2081" i="2"/>
  <c r="I2080" i="2"/>
  <c r="F2080" i="2"/>
  <c r="E2080" i="2"/>
  <c r="C2080" i="2"/>
  <c r="I2079" i="2"/>
  <c r="F2079" i="2"/>
  <c r="E2079" i="2"/>
  <c r="C2079" i="2"/>
  <c r="I2078" i="2"/>
  <c r="F2078" i="2"/>
  <c r="E2078" i="2"/>
  <c r="C2078" i="2"/>
  <c r="I2077" i="2"/>
  <c r="F2077" i="2"/>
  <c r="E2077" i="2"/>
  <c r="C2077" i="2"/>
  <c r="I2076" i="2"/>
  <c r="F2076" i="2"/>
  <c r="E2076" i="2"/>
  <c r="C2076" i="2"/>
  <c r="I2075" i="2"/>
  <c r="F2075" i="2"/>
  <c r="E2075" i="2"/>
  <c r="C2075" i="2"/>
  <c r="I2074" i="2"/>
  <c r="F2074" i="2"/>
  <c r="E2074" i="2"/>
  <c r="C2074" i="2"/>
  <c r="I2073" i="2"/>
  <c r="F2073" i="2"/>
  <c r="E2073" i="2"/>
  <c r="C2073" i="2"/>
  <c r="I2072" i="2"/>
  <c r="F2072" i="2"/>
  <c r="E2072" i="2"/>
  <c r="C2072" i="2"/>
  <c r="I2071" i="2"/>
  <c r="F2071" i="2"/>
  <c r="E2071" i="2"/>
  <c r="C2071" i="2"/>
  <c r="I2070" i="2"/>
  <c r="F2070" i="2"/>
  <c r="E2070" i="2"/>
  <c r="C2070" i="2"/>
  <c r="I2069" i="2"/>
  <c r="F2069" i="2"/>
  <c r="E2069" i="2"/>
  <c r="C2069" i="2"/>
  <c r="I2068" i="2"/>
  <c r="F2068" i="2"/>
  <c r="E2068" i="2"/>
  <c r="C2068" i="2"/>
  <c r="I2067" i="2"/>
  <c r="F2067" i="2"/>
  <c r="E2067" i="2"/>
  <c r="C2067" i="2"/>
  <c r="I2066" i="2"/>
  <c r="F2066" i="2"/>
  <c r="E2066" i="2"/>
  <c r="C2066" i="2"/>
  <c r="I2065" i="2"/>
  <c r="F2065" i="2"/>
  <c r="E2065" i="2"/>
  <c r="C2065" i="2"/>
  <c r="I2064" i="2"/>
  <c r="E2064" i="2"/>
  <c r="C2064" i="2"/>
  <c r="I2063" i="2"/>
  <c r="E2063" i="2"/>
  <c r="C2063" i="2"/>
  <c r="I2062" i="2"/>
  <c r="E2062" i="2"/>
  <c r="C2062" i="2"/>
  <c r="I2061" i="2"/>
  <c r="E2061" i="2"/>
  <c r="C2061" i="2"/>
  <c r="I2060" i="2"/>
  <c r="E2060" i="2"/>
  <c r="C2060" i="2"/>
  <c r="I2059" i="2"/>
  <c r="E2059" i="2"/>
  <c r="C2059" i="2"/>
  <c r="I2058" i="2"/>
  <c r="E2058" i="2"/>
  <c r="C2058" i="2"/>
  <c r="I2057" i="2"/>
  <c r="E2057" i="2"/>
  <c r="C2057" i="2"/>
  <c r="I2056" i="2"/>
  <c r="E2056" i="2"/>
  <c r="C2056" i="2"/>
  <c r="I2055" i="2"/>
  <c r="E2055" i="2"/>
  <c r="C2055" i="2"/>
  <c r="I2054" i="2"/>
  <c r="E2054" i="2"/>
  <c r="C2054" i="2"/>
  <c r="I2053" i="2"/>
  <c r="E2053" i="2"/>
  <c r="C2053" i="2"/>
  <c r="I2052" i="2"/>
  <c r="E2052" i="2"/>
  <c r="C2052" i="2"/>
  <c r="I2051" i="2"/>
  <c r="E2051" i="2"/>
  <c r="C2051" i="2"/>
  <c r="I2050" i="2"/>
  <c r="E2050" i="2"/>
  <c r="C2050" i="2"/>
  <c r="I2049" i="2"/>
  <c r="E2049" i="2"/>
  <c r="C2049" i="2"/>
  <c r="I2048" i="2"/>
  <c r="E2048" i="2"/>
  <c r="C2048" i="2"/>
  <c r="I2047" i="2"/>
  <c r="E2047" i="2"/>
  <c r="C2047" i="2"/>
  <c r="I2046" i="2"/>
  <c r="E2046" i="2"/>
  <c r="C2046" i="2"/>
  <c r="I2045" i="2"/>
  <c r="E2045" i="2"/>
  <c r="C2045" i="2"/>
  <c r="I2044" i="2"/>
  <c r="E2044" i="2"/>
  <c r="C2044" i="2"/>
  <c r="I2043" i="2"/>
  <c r="E2043" i="2"/>
  <c r="C2043" i="2"/>
  <c r="I2042" i="2"/>
  <c r="E2042" i="2"/>
  <c r="C2042" i="2"/>
  <c r="I2041" i="2"/>
  <c r="E2041" i="2"/>
  <c r="C2041" i="2"/>
  <c r="I2040" i="2"/>
  <c r="E2040" i="2"/>
  <c r="C2040" i="2"/>
  <c r="F2039" i="2"/>
  <c r="E2039" i="2"/>
  <c r="C2039" i="2"/>
  <c r="F2038" i="2"/>
  <c r="E2038" i="2"/>
  <c r="C2038" i="2"/>
  <c r="F2037" i="2"/>
  <c r="E2037" i="2"/>
  <c r="C2037" i="2"/>
  <c r="F2036" i="2"/>
  <c r="E2036" i="2"/>
  <c r="C2036" i="2"/>
  <c r="F2035" i="2"/>
  <c r="E2035" i="2"/>
  <c r="C2035" i="2"/>
  <c r="F2034" i="2"/>
  <c r="E2034" i="2"/>
  <c r="C2034" i="2"/>
  <c r="F2033" i="2"/>
  <c r="E2033" i="2"/>
  <c r="C2033" i="2"/>
  <c r="F2032" i="2"/>
  <c r="E2032" i="2"/>
  <c r="C2032" i="2"/>
  <c r="F2031" i="2"/>
  <c r="E2031" i="2"/>
  <c r="C2031" i="2"/>
  <c r="F2030" i="2"/>
  <c r="E2030" i="2"/>
  <c r="C2030" i="2"/>
  <c r="F2029" i="2"/>
  <c r="E2029" i="2"/>
  <c r="C2029" i="2"/>
  <c r="F2028" i="2"/>
  <c r="E2028" i="2"/>
  <c r="C2028" i="2"/>
  <c r="F2027" i="2"/>
  <c r="E2027" i="2"/>
  <c r="C2027" i="2"/>
  <c r="F2026" i="2"/>
  <c r="E2026" i="2"/>
  <c r="C2026" i="2"/>
  <c r="F2025" i="2"/>
  <c r="E2025" i="2"/>
  <c r="C2025" i="2"/>
  <c r="F2024" i="2"/>
  <c r="E2024" i="2"/>
  <c r="C2024" i="2"/>
  <c r="F2023" i="2"/>
  <c r="E2023" i="2"/>
  <c r="C2023" i="2"/>
  <c r="F2022" i="2"/>
  <c r="E2022" i="2"/>
  <c r="C2022" i="2"/>
  <c r="F2021" i="2"/>
  <c r="E2021" i="2"/>
  <c r="C2021" i="2"/>
  <c r="F2020" i="2"/>
  <c r="E2020" i="2"/>
  <c r="C2020" i="2"/>
  <c r="F2019" i="2"/>
  <c r="E2019" i="2"/>
  <c r="C2019" i="2"/>
  <c r="F2018" i="2"/>
  <c r="E2018" i="2"/>
  <c r="C2018" i="2"/>
  <c r="F2017" i="2"/>
  <c r="E2017" i="2"/>
  <c r="C2017" i="2"/>
  <c r="F2016" i="2"/>
  <c r="E2016" i="2"/>
  <c r="C2016" i="2"/>
  <c r="F2015" i="2"/>
  <c r="E2015" i="2"/>
  <c r="C2015" i="2"/>
  <c r="F2014" i="2"/>
  <c r="E2014" i="2"/>
  <c r="C2014" i="2"/>
  <c r="F2013" i="2"/>
  <c r="E2013" i="2"/>
  <c r="C2013" i="2"/>
  <c r="F2012" i="2"/>
  <c r="E2012" i="2"/>
  <c r="C2012" i="2"/>
  <c r="F2011" i="2"/>
  <c r="E2011" i="2"/>
  <c r="C2011" i="2"/>
  <c r="F2010" i="2"/>
  <c r="E2010" i="2"/>
  <c r="C2010" i="2"/>
  <c r="F2009" i="2"/>
  <c r="E2009" i="2"/>
  <c r="C2009" i="2"/>
  <c r="F2008" i="2"/>
  <c r="E2008" i="2"/>
  <c r="C2008" i="2"/>
  <c r="F2007" i="2"/>
  <c r="E2007" i="2"/>
  <c r="C2007" i="2"/>
  <c r="F2006" i="2"/>
  <c r="E2006" i="2"/>
  <c r="C2006" i="2"/>
  <c r="F2005" i="2"/>
  <c r="E2005" i="2"/>
  <c r="C2005" i="2"/>
  <c r="F2004" i="2"/>
  <c r="E2004" i="2"/>
  <c r="C2004" i="2"/>
  <c r="F2003" i="2"/>
  <c r="E2003" i="2"/>
  <c r="C2003" i="2"/>
  <c r="F2002" i="2"/>
  <c r="E2002" i="2"/>
  <c r="C2002" i="2"/>
  <c r="F2001" i="2"/>
  <c r="E2001" i="2"/>
  <c r="C2001" i="2"/>
  <c r="F2000" i="2"/>
  <c r="E2000" i="2"/>
  <c r="C2000" i="2"/>
  <c r="F1999" i="2"/>
  <c r="E1999" i="2"/>
  <c r="C1999" i="2"/>
  <c r="F1998" i="2"/>
  <c r="E1998" i="2"/>
  <c r="C1998" i="2"/>
  <c r="F1997" i="2"/>
  <c r="E1997" i="2"/>
  <c r="C1997" i="2"/>
  <c r="F1996" i="2"/>
  <c r="E1996" i="2"/>
  <c r="C1996" i="2"/>
  <c r="F1995" i="2"/>
  <c r="E1995" i="2"/>
  <c r="C1995" i="2"/>
  <c r="F1994" i="2"/>
  <c r="E1994" i="2"/>
  <c r="C1994" i="2"/>
  <c r="F1993" i="2"/>
  <c r="E1993" i="2"/>
  <c r="C1993" i="2"/>
  <c r="F1992" i="2"/>
  <c r="E1992" i="2"/>
  <c r="C1992" i="2"/>
  <c r="I1991" i="2"/>
  <c r="F1991" i="2"/>
  <c r="E1991" i="2"/>
  <c r="C1991" i="2"/>
  <c r="I1990" i="2"/>
  <c r="F1990" i="2"/>
  <c r="E1990" i="2"/>
  <c r="C1990" i="2"/>
  <c r="I1989" i="2"/>
  <c r="F1989" i="2"/>
  <c r="E1989" i="2"/>
  <c r="C1989" i="2"/>
  <c r="I1988" i="2"/>
  <c r="F1988" i="2"/>
  <c r="E1988" i="2"/>
  <c r="C1988" i="2"/>
  <c r="I1987" i="2"/>
  <c r="F1987" i="2"/>
  <c r="E1987" i="2"/>
  <c r="C1987" i="2"/>
  <c r="I1986" i="2"/>
  <c r="F1986" i="2"/>
  <c r="E1986" i="2"/>
  <c r="C1986" i="2"/>
  <c r="I1985" i="2"/>
  <c r="F1985" i="2"/>
  <c r="E1985" i="2"/>
  <c r="C1985" i="2"/>
  <c r="I1984" i="2"/>
  <c r="F1984" i="2"/>
  <c r="E1984" i="2"/>
  <c r="C1984" i="2"/>
  <c r="I1983" i="2"/>
  <c r="F1983" i="2"/>
  <c r="E1983" i="2"/>
  <c r="C1983" i="2"/>
  <c r="I1982" i="2"/>
  <c r="F1982" i="2"/>
  <c r="E1982" i="2"/>
  <c r="C1982" i="2"/>
  <c r="I1981" i="2"/>
  <c r="F1981" i="2"/>
  <c r="E1981" i="2"/>
  <c r="C1981" i="2"/>
  <c r="I1980" i="2"/>
  <c r="F1980" i="2"/>
  <c r="E1980" i="2"/>
  <c r="C1980" i="2"/>
  <c r="I1979" i="2"/>
  <c r="F1979" i="2"/>
  <c r="E1979" i="2"/>
  <c r="C1979" i="2"/>
  <c r="I1978" i="2"/>
  <c r="F1978" i="2"/>
  <c r="E1978" i="2"/>
  <c r="C1978" i="2"/>
  <c r="I1977" i="2"/>
  <c r="F1977" i="2"/>
  <c r="E1977" i="2"/>
  <c r="C1977" i="2"/>
  <c r="I1976" i="2"/>
  <c r="F1976" i="2"/>
  <c r="E1976" i="2"/>
  <c r="C1976" i="2"/>
  <c r="I1975" i="2"/>
  <c r="F1975" i="2"/>
  <c r="E1975" i="2"/>
  <c r="C1975" i="2"/>
  <c r="I1974" i="2"/>
  <c r="F1974" i="2"/>
  <c r="E1974" i="2"/>
  <c r="C1974" i="2"/>
  <c r="I1973" i="2"/>
  <c r="F1973" i="2"/>
  <c r="E1973" i="2"/>
  <c r="C1973" i="2"/>
  <c r="I1972" i="2"/>
  <c r="F1972" i="2"/>
  <c r="E1972" i="2"/>
  <c r="C1972" i="2"/>
  <c r="I1971" i="2"/>
  <c r="F1971" i="2"/>
  <c r="E1971" i="2"/>
  <c r="C1971" i="2"/>
  <c r="I1970" i="2"/>
  <c r="F1970" i="2"/>
  <c r="E1970" i="2"/>
  <c r="C1970" i="2"/>
  <c r="I1969" i="2"/>
  <c r="F1969" i="2"/>
  <c r="E1969" i="2"/>
  <c r="C1969" i="2"/>
  <c r="I1968" i="2"/>
  <c r="F1968" i="2"/>
  <c r="E1968" i="2"/>
  <c r="C1968" i="2"/>
  <c r="I1967" i="2"/>
  <c r="E1967" i="2"/>
  <c r="C1967" i="2"/>
  <c r="I1966" i="2"/>
  <c r="E1966" i="2"/>
  <c r="C1966" i="2"/>
  <c r="I1965" i="2"/>
  <c r="E1965" i="2"/>
  <c r="C1965" i="2"/>
  <c r="I1964" i="2"/>
  <c r="E1964" i="2"/>
  <c r="C1964" i="2"/>
  <c r="I1963" i="2"/>
  <c r="E1963" i="2"/>
  <c r="C1963" i="2"/>
  <c r="I1962" i="2"/>
  <c r="E1962" i="2"/>
  <c r="C1962" i="2"/>
  <c r="I1961" i="2"/>
  <c r="E1961" i="2"/>
  <c r="C1961" i="2"/>
  <c r="I1960" i="2"/>
  <c r="E1960" i="2"/>
  <c r="C1960" i="2"/>
  <c r="I1959" i="2"/>
  <c r="E1959" i="2"/>
  <c r="C1959" i="2"/>
  <c r="I1958" i="2"/>
  <c r="E1958" i="2"/>
  <c r="C1958" i="2"/>
  <c r="I1957" i="2"/>
  <c r="E1957" i="2"/>
  <c r="C1957" i="2"/>
  <c r="I1956" i="2"/>
  <c r="E1956" i="2"/>
  <c r="C1956" i="2"/>
  <c r="I1955" i="2"/>
  <c r="E1955" i="2"/>
  <c r="C1955" i="2"/>
  <c r="I1954" i="2"/>
  <c r="E1954" i="2"/>
  <c r="C1954" i="2"/>
  <c r="I1953" i="2"/>
  <c r="E1953" i="2"/>
  <c r="C1953" i="2"/>
  <c r="I1952" i="2"/>
  <c r="E1952" i="2"/>
  <c r="C1952" i="2"/>
  <c r="I1951" i="2"/>
  <c r="E1951" i="2"/>
  <c r="C1951" i="2"/>
  <c r="I1950" i="2"/>
  <c r="E1950" i="2"/>
  <c r="C1950" i="2"/>
  <c r="I1949" i="2"/>
  <c r="E1949" i="2"/>
  <c r="C1949" i="2"/>
  <c r="I1948" i="2"/>
  <c r="E1948" i="2"/>
  <c r="C1948" i="2"/>
  <c r="I1947" i="2"/>
  <c r="E1947" i="2"/>
  <c r="C1947" i="2"/>
  <c r="I1946" i="2"/>
  <c r="E1946" i="2"/>
  <c r="C1946" i="2"/>
  <c r="I1945" i="2"/>
  <c r="E1945" i="2"/>
  <c r="C1945" i="2"/>
  <c r="I1944" i="2"/>
  <c r="E1944" i="2"/>
  <c r="C1944" i="2"/>
  <c r="I1943" i="2"/>
  <c r="E1943" i="2"/>
  <c r="C1943" i="2"/>
  <c r="F1942" i="2"/>
  <c r="E1942" i="2"/>
  <c r="C1942" i="2"/>
  <c r="F1941" i="2"/>
  <c r="E1941" i="2"/>
  <c r="C1941" i="2"/>
  <c r="F1940" i="2"/>
  <c r="E1940" i="2"/>
  <c r="C1940" i="2"/>
  <c r="F1939" i="2"/>
  <c r="E1939" i="2"/>
  <c r="C1939" i="2"/>
  <c r="F1938" i="2"/>
  <c r="E1938" i="2"/>
  <c r="C1938" i="2"/>
  <c r="F1937" i="2"/>
  <c r="E1937" i="2"/>
  <c r="C1937" i="2"/>
  <c r="F1936" i="2"/>
  <c r="E1936" i="2"/>
  <c r="C1936" i="2"/>
  <c r="F1935" i="2"/>
  <c r="E1935" i="2"/>
  <c r="C1935" i="2"/>
  <c r="F1934" i="2"/>
  <c r="E1934" i="2"/>
  <c r="C1934" i="2"/>
  <c r="F1933" i="2"/>
  <c r="E1933" i="2"/>
  <c r="C1933" i="2"/>
  <c r="F1932" i="2"/>
  <c r="E1932" i="2"/>
  <c r="C1932" i="2"/>
  <c r="F1931" i="2"/>
  <c r="E1931" i="2"/>
  <c r="C1931" i="2"/>
  <c r="F1930" i="2"/>
  <c r="E1930" i="2"/>
  <c r="C1930" i="2"/>
  <c r="F1929" i="2"/>
  <c r="E1929" i="2"/>
  <c r="C1929" i="2"/>
  <c r="F1928" i="2"/>
  <c r="E1928" i="2"/>
  <c r="C1928" i="2"/>
  <c r="F1927" i="2"/>
  <c r="E1927" i="2"/>
  <c r="C1927" i="2"/>
  <c r="F1926" i="2"/>
  <c r="E1926" i="2"/>
  <c r="C1926" i="2"/>
  <c r="F1925" i="2"/>
  <c r="E1925" i="2"/>
  <c r="C1925" i="2"/>
  <c r="F1924" i="2"/>
  <c r="E1924" i="2"/>
  <c r="C1924" i="2"/>
  <c r="F1923" i="2"/>
  <c r="E1923" i="2"/>
  <c r="C1923" i="2"/>
  <c r="F1922" i="2"/>
  <c r="E1922" i="2"/>
  <c r="C1922" i="2"/>
  <c r="F1921" i="2"/>
  <c r="E1921" i="2"/>
  <c r="C1921" i="2"/>
  <c r="F1920" i="2"/>
  <c r="E1920" i="2"/>
  <c r="C1920" i="2"/>
  <c r="F1919" i="2"/>
  <c r="E1919" i="2"/>
  <c r="C1919" i="2"/>
  <c r="F1918" i="2"/>
  <c r="E1918" i="2"/>
  <c r="C1918" i="2"/>
  <c r="F1917" i="2"/>
  <c r="E1917" i="2"/>
  <c r="C1917" i="2"/>
  <c r="F1916" i="2"/>
  <c r="E1916" i="2"/>
  <c r="C1916" i="2"/>
  <c r="F1915" i="2"/>
  <c r="E1915" i="2"/>
  <c r="C1915" i="2"/>
  <c r="F1914" i="2"/>
  <c r="E1914" i="2"/>
  <c r="C1914" i="2"/>
  <c r="F1913" i="2"/>
  <c r="E1913" i="2"/>
  <c r="C1913" i="2"/>
  <c r="F1912" i="2"/>
  <c r="E1912" i="2"/>
  <c r="C1912" i="2"/>
  <c r="F1911" i="2"/>
  <c r="E1911" i="2"/>
  <c r="C1911" i="2"/>
  <c r="F1910" i="2"/>
  <c r="E1910" i="2"/>
  <c r="C1910" i="2"/>
  <c r="F1909" i="2"/>
  <c r="E1909" i="2"/>
  <c r="C1909" i="2"/>
  <c r="F1908" i="2"/>
  <c r="E1908" i="2"/>
  <c r="C1908" i="2"/>
  <c r="F1907" i="2"/>
  <c r="E1907" i="2"/>
  <c r="C1907" i="2"/>
  <c r="F1906" i="2"/>
  <c r="E1906" i="2"/>
  <c r="C1906" i="2"/>
  <c r="F1905" i="2"/>
  <c r="E1905" i="2"/>
  <c r="C1905" i="2"/>
  <c r="F1904" i="2"/>
  <c r="E1904" i="2"/>
  <c r="C1904" i="2"/>
  <c r="F1903" i="2"/>
  <c r="E1903" i="2"/>
  <c r="C1903" i="2"/>
  <c r="F1902" i="2"/>
  <c r="E1902" i="2"/>
  <c r="C1902" i="2"/>
  <c r="F1901" i="2"/>
  <c r="E1901" i="2"/>
  <c r="C1901" i="2"/>
  <c r="F1900" i="2"/>
  <c r="E1900" i="2"/>
  <c r="C1900" i="2"/>
  <c r="F1899" i="2"/>
  <c r="E1899" i="2"/>
  <c r="C1899" i="2"/>
  <c r="F1898" i="2"/>
  <c r="E1898" i="2"/>
  <c r="C1898" i="2"/>
  <c r="F1897" i="2"/>
  <c r="E1897" i="2"/>
  <c r="C1897" i="2"/>
  <c r="F1896" i="2"/>
  <c r="E1896" i="2"/>
  <c r="C1896" i="2"/>
  <c r="F1895" i="2"/>
  <c r="E1895" i="2"/>
  <c r="C1895" i="2"/>
  <c r="I1894" i="2"/>
  <c r="F1894" i="2"/>
  <c r="E1894" i="2"/>
  <c r="C1894" i="2"/>
  <c r="I1893" i="2"/>
  <c r="F1893" i="2"/>
  <c r="E1893" i="2"/>
  <c r="C1893" i="2"/>
  <c r="I1892" i="2"/>
  <c r="F1892" i="2"/>
  <c r="E1892" i="2"/>
  <c r="C1892" i="2"/>
  <c r="I1891" i="2"/>
  <c r="F1891" i="2"/>
  <c r="E1891" i="2"/>
  <c r="C1891" i="2"/>
  <c r="I1890" i="2"/>
  <c r="F1890" i="2"/>
  <c r="E1890" i="2"/>
  <c r="C1890" i="2"/>
  <c r="I1889" i="2"/>
  <c r="F1889" i="2"/>
  <c r="E1889" i="2"/>
  <c r="C1889" i="2"/>
  <c r="I1888" i="2"/>
  <c r="F1888" i="2"/>
  <c r="E1888" i="2"/>
  <c r="C1888" i="2"/>
  <c r="I1887" i="2"/>
  <c r="F1887" i="2"/>
  <c r="E1887" i="2"/>
  <c r="C1887" i="2"/>
  <c r="I1886" i="2"/>
  <c r="F1886" i="2"/>
  <c r="E1886" i="2"/>
  <c r="C1886" i="2"/>
  <c r="I1885" i="2"/>
  <c r="F1885" i="2"/>
  <c r="E1885" i="2"/>
  <c r="C1885" i="2"/>
  <c r="I1884" i="2"/>
  <c r="F1884" i="2"/>
  <c r="E1884" i="2"/>
  <c r="C1884" i="2"/>
  <c r="I1883" i="2"/>
  <c r="F1883" i="2"/>
  <c r="E1883" i="2"/>
  <c r="C1883" i="2"/>
  <c r="I1882" i="2"/>
  <c r="F1882" i="2"/>
  <c r="E1882" i="2"/>
  <c r="C1882" i="2"/>
  <c r="I1881" i="2"/>
  <c r="F1881" i="2"/>
  <c r="E1881" i="2"/>
  <c r="C1881" i="2"/>
  <c r="I1880" i="2"/>
  <c r="F1880" i="2"/>
  <c r="E1880" i="2"/>
  <c r="C1880" i="2"/>
  <c r="I1879" i="2"/>
  <c r="F1879" i="2"/>
  <c r="E1879" i="2"/>
  <c r="C1879" i="2"/>
  <c r="I1878" i="2"/>
  <c r="F1878" i="2"/>
  <c r="E1878" i="2"/>
  <c r="C1878" i="2"/>
  <c r="I1877" i="2"/>
  <c r="F1877" i="2"/>
  <c r="E1877" i="2"/>
  <c r="C1877" i="2"/>
  <c r="I1876" i="2"/>
  <c r="F1876" i="2"/>
  <c r="E1876" i="2"/>
  <c r="C1876" i="2"/>
  <c r="I1875" i="2"/>
  <c r="F1875" i="2"/>
  <c r="E1875" i="2"/>
  <c r="C1875" i="2"/>
  <c r="I1874" i="2"/>
  <c r="F1874" i="2"/>
  <c r="E1874" i="2"/>
  <c r="C1874" i="2"/>
  <c r="I1873" i="2"/>
  <c r="F1873" i="2"/>
  <c r="E1873" i="2"/>
  <c r="C1873" i="2"/>
  <c r="I1872" i="2"/>
  <c r="F1872" i="2"/>
  <c r="E1872" i="2"/>
  <c r="C1872" i="2"/>
  <c r="I1871" i="2"/>
  <c r="F1871" i="2"/>
  <c r="E1871" i="2"/>
  <c r="C1871" i="2"/>
  <c r="I1870" i="2"/>
  <c r="E1870" i="2"/>
  <c r="C1870" i="2"/>
  <c r="I1869" i="2"/>
  <c r="E1869" i="2"/>
  <c r="C1869" i="2"/>
  <c r="I1868" i="2"/>
  <c r="E1868" i="2"/>
  <c r="C1868" i="2"/>
  <c r="I1867" i="2"/>
  <c r="E1867" i="2"/>
  <c r="C1867" i="2"/>
  <c r="I1866" i="2"/>
  <c r="E1866" i="2"/>
  <c r="C1866" i="2"/>
  <c r="I1865" i="2"/>
  <c r="E1865" i="2"/>
  <c r="C1865" i="2"/>
  <c r="I1864" i="2"/>
  <c r="E1864" i="2"/>
  <c r="C1864" i="2"/>
  <c r="I1863" i="2"/>
  <c r="E1863" i="2"/>
  <c r="C1863" i="2"/>
  <c r="I1862" i="2"/>
  <c r="E1862" i="2"/>
  <c r="C1862" i="2"/>
  <c r="I1861" i="2"/>
  <c r="E1861" i="2"/>
  <c r="C1861" i="2"/>
  <c r="I1860" i="2"/>
  <c r="E1860" i="2"/>
  <c r="C1860" i="2"/>
  <c r="I1859" i="2"/>
  <c r="E1859" i="2"/>
  <c r="C1859" i="2"/>
  <c r="I1858" i="2"/>
  <c r="E1858" i="2"/>
  <c r="C1858" i="2"/>
  <c r="I1857" i="2"/>
  <c r="E1857" i="2"/>
  <c r="C1857" i="2"/>
  <c r="I1856" i="2"/>
  <c r="E1856" i="2"/>
  <c r="C1856" i="2"/>
  <c r="I1855" i="2"/>
  <c r="E1855" i="2"/>
  <c r="C1855" i="2"/>
  <c r="I1854" i="2"/>
  <c r="E1854" i="2"/>
  <c r="C1854" i="2"/>
  <c r="I1853" i="2"/>
  <c r="E1853" i="2"/>
  <c r="C1853" i="2"/>
  <c r="I1852" i="2"/>
  <c r="E1852" i="2"/>
  <c r="C1852" i="2"/>
  <c r="I1851" i="2"/>
  <c r="E1851" i="2"/>
  <c r="C1851" i="2"/>
  <c r="I1850" i="2"/>
  <c r="E1850" i="2"/>
  <c r="C1850" i="2"/>
  <c r="I1849" i="2"/>
  <c r="E1849" i="2"/>
  <c r="C1849" i="2"/>
  <c r="I1848" i="2"/>
  <c r="E1848" i="2"/>
  <c r="C1848" i="2"/>
  <c r="I1847" i="2"/>
  <c r="E1847" i="2"/>
  <c r="C1847" i="2"/>
  <c r="I1846" i="2"/>
  <c r="E1846" i="2"/>
  <c r="C1846" i="2"/>
  <c r="F1845" i="2"/>
  <c r="E1845" i="2"/>
  <c r="C1845" i="2"/>
  <c r="F1844" i="2"/>
  <c r="E1844" i="2"/>
  <c r="C1844" i="2"/>
  <c r="F1843" i="2"/>
  <c r="E1843" i="2"/>
  <c r="C1843" i="2"/>
  <c r="F1842" i="2"/>
  <c r="E1842" i="2"/>
  <c r="C1842" i="2"/>
  <c r="F1841" i="2"/>
  <c r="E1841" i="2"/>
  <c r="C1841" i="2"/>
  <c r="F1840" i="2"/>
  <c r="E1840" i="2"/>
  <c r="C1840" i="2"/>
  <c r="F1839" i="2"/>
  <c r="E1839" i="2"/>
  <c r="C1839" i="2"/>
  <c r="F1838" i="2"/>
  <c r="E1838" i="2"/>
  <c r="C1838" i="2"/>
  <c r="F1837" i="2"/>
  <c r="E1837" i="2"/>
  <c r="C1837" i="2"/>
  <c r="F1836" i="2"/>
  <c r="E1836" i="2"/>
  <c r="C1836" i="2"/>
  <c r="F1835" i="2"/>
  <c r="E1835" i="2"/>
  <c r="C1835" i="2"/>
  <c r="F1834" i="2"/>
  <c r="E1834" i="2"/>
  <c r="C1834" i="2"/>
  <c r="F1833" i="2"/>
  <c r="E1833" i="2"/>
  <c r="C1833" i="2"/>
  <c r="F1832" i="2"/>
  <c r="E1832" i="2"/>
  <c r="C1832" i="2"/>
  <c r="F1831" i="2"/>
  <c r="E1831" i="2"/>
  <c r="C1831" i="2"/>
  <c r="F1830" i="2"/>
  <c r="E1830" i="2"/>
  <c r="C1830" i="2"/>
  <c r="F1829" i="2"/>
  <c r="E1829" i="2"/>
  <c r="C1829" i="2"/>
  <c r="F1828" i="2"/>
  <c r="E1828" i="2"/>
  <c r="C1828" i="2"/>
  <c r="F1827" i="2"/>
  <c r="E1827" i="2"/>
  <c r="C1827" i="2"/>
  <c r="F1826" i="2"/>
  <c r="E1826" i="2"/>
  <c r="C1826" i="2"/>
  <c r="F1825" i="2"/>
  <c r="E1825" i="2"/>
  <c r="C1825" i="2"/>
  <c r="F1824" i="2"/>
  <c r="E1824" i="2"/>
  <c r="C1824" i="2"/>
  <c r="F1823" i="2"/>
  <c r="E1823" i="2"/>
  <c r="C1823" i="2"/>
  <c r="F1822" i="2"/>
  <c r="E1822" i="2"/>
  <c r="C1822" i="2"/>
  <c r="F1821" i="2"/>
  <c r="E1821" i="2"/>
  <c r="C1821" i="2"/>
  <c r="F1820" i="2"/>
  <c r="E1820" i="2"/>
  <c r="C1820" i="2"/>
  <c r="F1819" i="2"/>
  <c r="E1819" i="2"/>
  <c r="C1819" i="2"/>
  <c r="F1818" i="2"/>
  <c r="E1818" i="2"/>
  <c r="C1818" i="2"/>
  <c r="F1817" i="2"/>
  <c r="E1817" i="2"/>
  <c r="C1817" i="2"/>
  <c r="F1816" i="2"/>
  <c r="E1816" i="2"/>
  <c r="C1816" i="2"/>
  <c r="F1815" i="2"/>
  <c r="E1815" i="2"/>
  <c r="C1815" i="2"/>
  <c r="F1814" i="2"/>
  <c r="E1814" i="2"/>
  <c r="C1814" i="2"/>
  <c r="F1813" i="2"/>
  <c r="E1813" i="2"/>
  <c r="C1813" i="2"/>
  <c r="F1812" i="2"/>
  <c r="E1812" i="2"/>
  <c r="C1812" i="2"/>
  <c r="F1811" i="2"/>
  <c r="E1811" i="2"/>
  <c r="C1811" i="2"/>
  <c r="F1810" i="2"/>
  <c r="E1810" i="2"/>
  <c r="C1810" i="2"/>
  <c r="F1809" i="2"/>
  <c r="E1809" i="2"/>
  <c r="C1809" i="2"/>
  <c r="F1808" i="2"/>
  <c r="E1808" i="2"/>
  <c r="C1808" i="2"/>
  <c r="F1807" i="2"/>
  <c r="E1807" i="2"/>
  <c r="C1807" i="2"/>
  <c r="F1806" i="2"/>
  <c r="E1806" i="2"/>
  <c r="C1806" i="2"/>
  <c r="F1805" i="2"/>
  <c r="E1805" i="2"/>
  <c r="C1805" i="2"/>
  <c r="F1804" i="2"/>
  <c r="E1804" i="2"/>
  <c r="C1804" i="2"/>
  <c r="F1803" i="2"/>
  <c r="E1803" i="2"/>
  <c r="C1803" i="2"/>
  <c r="F1802" i="2"/>
  <c r="E1802" i="2"/>
  <c r="C1802" i="2"/>
  <c r="F1801" i="2"/>
  <c r="E1801" i="2"/>
  <c r="C1801" i="2"/>
  <c r="F1800" i="2"/>
  <c r="E1800" i="2"/>
  <c r="C1800" i="2"/>
  <c r="F1799" i="2"/>
  <c r="E1799" i="2"/>
  <c r="C1799" i="2"/>
  <c r="F1798" i="2"/>
  <c r="E1798" i="2"/>
  <c r="C1798" i="2"/>
  <c r="I1797" i="2"/>
  <c r="F1797" i="2"/>
  <c r="E1797" i="2"/>
  <c r="C1797" i="2"/>
  <c r="I1796" i="2"/>
  <c r="F1796" i="2"/>
  <c r="E1796" i="2"/>
  <c r="C1796" i="2"/>
  <c r="I1795" i="2"/>
  <c r="F1795" i="2"/>
  <c r="E1795" i="2"/>
  <c r="C1795" i="2"/>
  <c r="I1794" i="2"/>
  <c r="F1794" i="2"/>
  <c r="E1794" i="2"/>
  <c r="C1794" i="2"/>
  <c r="I1793" i="2"/>
  <c r="F1793" i="2"/>
  <c r="E1793" i="2"/>
  <c r="C1793" i="2"/>
  <c r="I1792" i="2"/>
  <c r="F1792" i="2"/>
  <c r="E1792" i="2"/>
  <c r="C1792" i="2"/>
  <c r="I1791" i="2"/>
  <c r="F1791" i="2"/>
  <c r="E1791" i="2"/>
  <c r="C1791" i="2"/>
  <c r="I1790" i="2"/>
  <c r="F1790" i="2"/>
  <c r="E1790" i="2"/>
  <c r="C1790" i="2"/>
  <c r="I1789" i="2"/>
  <c r="F1789" i="2"/>
  <c r="E1789" i="2"/>
  <c r="C1789" i="2"/>
  <c r="I1788" i="2"/>
  <c r="F1788" i="2"/>
  <c r="E1788" i="2"/>
  <c r="C1788" i="2"/>
  <c r="I1787" i="2"/>
  <c r="F1787" i="2"/>
  <c r="E1787" i="2"/>
  <c r="C1787" i="2"/>
  <c r="I1786" i="2"/>
  <c r="F1786" i="2"/>
  <c r="E1786" i="2"/>
  <c r="C1786" i="2"/>
  <c r="I1785" i="2"/>
  <c r="F1785" i="2"/>
  <c r="E1785" i="2"/>
  <c r="C1785" i="2"/>
  <c r="I1784" i="2"/>
  <c r="F1784" i="2"/>
  <c r="E1784" i="2"/>
  <c r="C1784" i="2"/>
  <c r="I1783" i="2"/>
  <c r="F1783" i="2"/>
  <c r="E1783" i="2"/>
  <c r="C1783" i="2"/>
  <c r="I1782" i="2"/>
  <c r="F1782" i="2"/>
  <c r="E1782" i="2"/>
  <c r="C1782" i="2"/>
  <c r="I1781" i="2"/>
  <c r="F1781" i="2"/>
  <c r="E1781" i="2"/>
  <c r="C1781" i="2"/>
  <c r="I1780" i="2"/>
  <c r="F1780" i="2"/>
  <c r="E1780" i="2"/>
  <c r="C1780" i="2"/>
  <c r="I1779" i="2"/>
  <c r="F1779" i="2"/>
  <c r="E1779" i="2"/>
  <c r="C1779" i="2"/>
  <c r="I1778" i="2"/>
  <c r="F1778" i="2"/>
  <c r="E1778" i="2"/>
  <c r="C1778" i="2"/>
  <c r="I1777" i="2"/>
  <c r="F1777" i="2"/>
  <c r="E1777" i="2"/>
  <c r="C1777" i="2"/>
  <c r="I1776" i="2"/>
  <c r="F1776" i="2"/>
  <c r="E1776" i="2"/>
  <c r="C1776" i="2"/>
  <c r="I1775" i="2"/>
  <c r="F1775" i="2"/>
  <c r="E1775" i="2"/>
  <c r="C1775" i="2"/>
  <c r="I1774" i="2"/>
  <c r="F1774" i="2"/>
  <c r="E1774" i="2"/>
  <c r="C1774" i="2"/>
  <c r="I1773" i="2"/>
  <c r="E1773" i="2"/>
  <c r="C1773" i="2"/>
  <c r="I1772" i="2"/>
  <c r="E1772" i="2"/>
  <c r="C1772" i="2"/>
  <c r="I1771" i="2"/>
  <c r="E1771" i="2"/>
  <c r="C1771" i="2"/>
  <c r="I1770" i="2"/>
  <c r="E1770" i="2"/>
  <c r="C1770" i="2"/>
  <c r="I1769" i="2"/>
  <c r="E1769" i="2"/>
  <c r="C1769" i="2"/>
  <c r="I1768" i="2"/>
  <c r="E1768" i="2"/>
  <c r="C1768" i="2"/>
  <c r="I1767" i="2"/>
  <c r="E1767" i="2"/>
  <c r="C1767" i="2"/>
  <c r="I1766" i="2"/>
  <c r="E1766" i="2"/>
  <c r="C1766" i="2"/>
  <c r="I1765" i="2"/>
  <c r="E1765" i="2"/>
  <c r="C1765" i="2"/>
  <c r="I1764" i="2"/>
  <c r="E1764" i="2"/>
  <c r="C1764" i="2"/>
  <c r="I1763" i="2"/>
  <c r="E1763" i="2"/>
  <c r="C1763" i="2"/>
  <c r="I1762" i="2"/>
  <c r="E1762" i="2"/>
  <c r="C1762" i="2"/>
  <c r="I1761" i="2"/>
  <c r="E1761" i="2"/>
  <c r="C1761" i="2"/>
  <c r="I1760" i="2"/>
  <c r="E1760" i="2"/>
  <c r="C1760" i="2"/>
  <c r="I1759" i="2"/>
  <c r="E1759" i="2"/>
  <c r="C1759" i="2"/>
  <c r="I1758" i="2"/>
  <c r="E1758" i="2"/>
  <c r="C1758" i="2"/>
  <c r="I1757" i="2"/>
  <c r="E1757" i="2"/>
  <c r="C1757" i="2"/>
  <c r="I1756" i="2"/>
  <c r="E1756" i="2"/>
  <c r="C1756" i="2"/>
  <c r="I1755" i="2"/>
  <c r="E1755" i="2"/>
  <c r="C1755" i="2"/>
  <c r="I1754" i="2"/>
  <c r="E1754" i="2"/>
  <c r="C1754" i="2"/>
  <c r="I1753" i="2"/>
  <c r="E1753" i="2"/>
  <c r="C1753" i="2"/>
  <c r="I1752" i="2"/>
  <c r="E1752" i="2"/>
  <c r="C1752" i="2"/>
  <c r="I1751" i="2"/>
  <c r="E1751" i="2"/>
  <c r="C1751" i="2"/>
  <c r="I1750" i="2"/>
  <c r="E1750" i="2"/>
  <c r="C1750" i="2"/>
  <c r="I1749" i="2"/>
  <c r="E1749" i="2"/>
  <c r="C1749" i="2"/>
  <c r="F1748" i="2"/>
  <c r="E1748" i="2"/>
  <c r="C1748" i="2"/>
  <c r="F1747" i="2"/>
  <c r="E1747" i="2"/>
  <c r="C1747" i="2"/>
  <c r="F1746" i="2"/>
  <c r="E1746" i="2"/>
  <c r="C1746" i="2"/>
  <c r="F1745" i="2"/>
  <c r="E1745" i="2"/>
  <c r="C1745" i="2"/>
  <c r="F1744" i="2"/>
  <c r="E1744" i="2"/>
  <c r="C1744" i="2"/>
  <c r="F1743" i="2"/>
  <c r="E1743" i="2"/>
  <c r="C1743" i="2"/>
  <c r="F1742" i="2"/>
  <c r="E1742" i="2"/>
  <c r="C1742" i="2"/>
  <c r="F1741" i="2"/>
  <c r="E1741" i="2"/>
  <c r="C1741" i="2"/>
  <c r="F1740" i="2"/>
  <c r="E1740" i="2"/>
  <c r="C1740" i="2"/>
  <c r="F1739" i="2"/>
  <c r="E1739" i="2"/>
  <c r="C1739" i="2"/>
  <c r="F1738" i="2"/>
  <c r="E1738" i="2"/>
  <c r="C1738" i="2"/>
  <c r="F1737" i="2"/>
  <c r="E1737" i="2"/>
  <c r="C1737" i="2"/>
  <c r="F1736" i="2"/>
  <c r="E1736" i="2"/>
  <c r="C1736" i="2"/>
  <c r="F1735" i="2"/>
  <c r="E1735" i="2"/>
  <c r="C1735" i="2"/>
  <c r="F1734" i="2"/>
  <c r="E1734" i="2"/>
  <c r="C1734" i="2"/>
  <c r="F1733" i="2"/>
  <c r="E1733" i="2"/>
  <c r="C1733" i="2"/>
  <c r="F1732" i="2"/>
  <c r="E1732" i="2"/>
  <c r="C1732" i="2"/>
  <c r="F1731" i="2"/>
  <c r="E1731" i="2"/>
  <c r="C1731" i="2"/>
  <c r="F1730" i="2"/>
  <c r="E1730" i="2"/>
  <c r="C1730" i="2"/>
  <c r="F1729" i="2"/>
  <c r="E1729" i="2"/>
  <c r="C1729" i="2"/>
  <c r="F1728" i="2"/>
  <c r="E1728" i="2"/>
  <c r="C1728" i="2"/>
  <c r="F1727" i="2"/>
  <c r="E1727" i="2"/>
  <c r="C1727" i="2"/>
  <c r="F1726" i="2"/>
  <c r="E1726" i="2"/>
  <c r="C1726" i="2"/>
  <c r="F1725" i="2"/>
  <c r="E1725" i="2"/>
  <c r="C1725" i="2"/>
  <c r="F1724" i="2"/>
  <c r="E1724" i="2"/>
  <c r="C1724" i="2"/>
  <c r="F1723" i="2"/>
  <c r="E1723" i="2"/>
  <c r="C1723" i="2"/>
  <c r="F1722" i="2"/>
  <c r="E1722" i="2"/>
  <c r="C1722" i="2"/>
  <c r="F1721" i="2"/>
  <c r="E1721" i="2"/>
  <c r="C1721" i="2"/>
  <c r="F1720" i="2"/>
  <c r="E1720" i="2"/>
  <c r="C1720" i="2"/>
  <c r="F1719" i="2"/>
  <c r="E1719" i="2"/>
  <c r="C1719" i="2"/>
  <c r="F1718" i="2"/>
  <c r="E1718" i="2"/>
  <c r="C1718" i="2"/>
  <c r="F1717" i="2"/>
  <c r="E1717" i="2"/>
  <c r="C1717" i="2"/>
  <c r="F1716" i="2"/>
  <c r="E1716" i="2"/>
  <c r="C1716" i="2"/>
  <c r="F1715" i="2"/>
  <c r="E1715" i="2"/>
  <c r="C1715" i="2"/>
  <c r="F1714" i="2"/>
  <c r="E1714" i="2"/>
  <c r="C1714" i="2"/>
  <c r="F1713" i="2"/>
  <c r="E1713" i="2"/>
  <c r="C1713" i="2"/>
  <c r="F1712" i="2"/>
  <c r="E1712" i="2"/>
  <c r="C1712" i="2"/>
  <c r="F1711" i="2"/>
  <c r="E1711" i="2"/>
  <c r="C1711" i="2"/>
  <c r="F1710" i="2"/>
  <c r="E1710" i="2"/>
  <c r="C1710" i="2"/>
  <c r="F1709" i="2"/>
  <c r="E1709" i="2"/>
  <c r="C1709" i="2"/>
  <c r="F1708" i="2"/>
  <c r="E1708" i="2"/>
  <c r="C1708" i="2"/>
  <c r="F1707" i="2"/>
  <c r="E1707" i="2"/>
  <c r="C1707" i="2"/>
  <c r="F1706" i="2"/>
  <c r="E1706" i="2"/>
  <c r="C1706" i="2"/>
  <c r="F1705" i="2"/>
  <c r="E1705" i="2"/>
  <c r="C1705" i="2"/>
  <c r="F1704" i="2"/>
  <c r="E1704" i="2"/>
  <c r="C1704" i="2"/>
  <c r="F1703" i="2"/>
  <c r="E1703" i="2"/>
  <c r="C1703" i="2"/>
  <c r="F1702" i="2"/>
  <c r="E1702" i="2"/>
  <c r="C1702" i="2"/>
  <c r="F1701" i="2"/>
  <c r="E1701" i="2"/>
  <c r="C1701" i="2"/>
  <c r="I1700" i="2"/>
  <c r="F1700" i="2"/>
  <c r="E1700" i="2"/>
  <c r="C1700" i="2"/>
  <c r="I1699" i="2"/>
  <c r="F1699" i="2"/>
  <c r="E1699" i="2"/>
  <c r="C1699" i="2"/>
  <c r="I1698" i="2"/>
  <c r="F1698" i="2"/>
  <c r="E1698" i="2"/>
  <c r="C1698" i="2"/>
  <c r="I1697" i="2"/>
  <c r="F1697" i="2"/>
  <c r="E1697" i="2"/>
  <c r="C1697" i="2"/>
  <c r="I1696" i="2"/>
  <c r="F1696" i="2"/>
  <c r="E1696" i="2"/>
  <c r="C1696" i="2"/>
  <c r="I1695" i="2"/>
  <c r="F1695" i="2"/>
  <c r="E1695" i="2"/>
  <c r="C1695" i="2"/>
  <c r="I1694" i="2"/>
  <c r="F1694" i="2"/>
  <c r="E1694" i="2"/>
  <c r="C1694" i="2"/>
  <c r="I1693" i="2"/>
  <c r="F1693" i="2"/>
  <c r="E1693" i="2"/>
  <c r="C1693" i="2"/>
  <c r="I1692" i="2"/>
  <c r="F1692" i="2"/>
  <c r="E1692" i="2"/>
  <c r="C1692" i="2"/>
  <c r="I1691" i="2"/>
  <c r="F1691" i="2"/>
  <c r="E1691" i="2"/>
  <c r="C1691" i="2"/>
  <c r="I1690" i="2"/>
  <c r="F1690" i="2"/>
  <c r="E1690" i="2"/>
  <c r="C1690" i="2"/>
  <c r="I1689" i="2"/>
  <c r="F1689" i="2"/>
  <c r="E1689" i="2"/>
  <c r="C1689" i="2"/>
  <c r="I1688" i="2"/>
  <c r="F1688" i="2"/>
  <c r="E1688" i="2"/>
  <c r="C1688" i="2"/>
  <c r="I1687" i="2"/>
  <c r="F1687" i="2"/>
  <c r="E1687" i="2"/>
  <c r="C1687" i="2"/>
  <c r="I1686" i="2"/>
  <c r="F1686" i="2"/>
  <c r="E1686" i="2"/>
  <c r="C1686" i="2"/>
  <c r="I1685" i="2"/>
  <c r="F1685" i="2"/>
  <c r="E1685" i="2"/>
  <c r="C1685" i="2"/>
  <c r="I1684" i="2"/>
  <c r="F1684" i="2"/>
  <c r="E1684" i="2"/>
  <c r="C1684" i="2"/>
  <c r="I1683" i="2"/>
  <c r="F1683" i="2"/>
  <c r="E1683" i="2"/>
  <c r="C1683" i="2"/>
  <c r="I1682" i="2"/>
  <c r="F1682" i="2"/>
  <c r="E1682" i="2"/>
  <c r="C1682" i="2"/>
  <c r="I1681" i="2"/>
  <c r="F1681" i="2"/>
  <c r="E1681" i="2"/>
  <c r="C1681" i="2"/>
  <c r="I1680" i="2"/>
  <c r="F1680" i="2"/>
  <c r="E1680" i="2"/>
  <c r="C1680" i="2"/>
  <c r="I1679" i="2"/>
  <c r="F1679" i="2"/>
  <c r="E1679" i="2"/>
  <c r="C1679" i="2"/>
  <c r="I1678" i="2"/>
  <c r="F1678" i="2"/>
  <c r="E1678" i="2"/>
  <c r="C1678" i="2"/>
  <c r="I1677" i="2"/>
  <c r="F1677" i="2"/>
  <c r="E1677" i="2"/>
  <c r="C1677" i="2"/>
  <c r="I1676" i="2"/>
  <c r="E1676" i="2"/>
  <c r="C1676" i="2"/>
  <c r="I1675" i="2"/>
  <c r="E1675" i="2"/>
  <c r="C1675" i="2"/>
  <c r="I1674" i="2"/>
  <c r="E1674" i="2"/>
  <c r="C1674" i="2"/>
  <c r="I1673" i="2"/>
  <c r="E1673" i="2"/>
  <c r="C1673" i="2"/>
  <c r="I1672" i="2"/>
  <c r="E1672" i="2"/>
  <c r="C1672" i="2"/>
  <c r="I1671" i="2"/>
  <c r="E1671" i="2"/>
  <c r="C1671" i="2"/>
  <c r="I1670" i="2"/>
  <c r="E1670" i="2"/>
  <c r="C1670" i="2"/>
  <c r="I1669" i="2"/>
  <c r="E1669" i="2"/>
  <c r="C1669" i="2"/>
  <c r="I1668" i="2"/>
  <c r="E1668" i="2"/>
  <c r="C1668" i="2"/>
  <c r="I1667" i="2"/>
  <c r="E1667" i="2"/>
  <c r="C1667" i="2"/>
  <c r="I1666" i="2"/>
  <c r="E1666" i="2"/>
  <c r="C1666" i="2"/>
  <c r="I1665" i="2"/>
  <c r="E1665" i="2"/>
  <c r="C1665" i="2"/>
  <c r="I1664" i="2"/>
  <c r="E1664" i="2"/>
  <c r="C1664" i="2"/>
  <c r="I1663" i="2"/>
  <c r="E1663" i="2"/>
  <c r="C1663" i="2"/>
  <c r="I1662" i="2"/>
  <c r="E1662" i="2"/>
  <c r="C1662" i="2"/>
  <c r="I1661" i="2"/>
  <c r="E1661" i="2"/>
  <c r="C1661" i="2"/>
  <c r="I1660" i="2"/>
  <c r="E1660" i="2"/>
  <c r="C1660" i="2"/>
  <c r="I1659" i="2"/>
  <c r="E1659" i="2"/>
  <c r="C1659" i="2"/>
  <c r="I1658" i="2"/>
  <c r="E1658" i="2"/>
  <c r="C1658" i="2"/>
  <c r="I1657" i="2"/>
  <c r="E1657" i="2"/>
  <c r="C1657" i="2"/>
  <c r="I1656" i="2"/>
  <c r="E1656" i="2"/>
  <c r="C1656" i="2"/>
  <c r="I1655" i="2"/>
  <c r="E1655" i="2"/>
  <c r="C1655" i="2"/>
  <c r="I1654" i="2"/>
  <c r="E1654" i="2"/>
  <c r="C1654" i="2"/>
  <c r="I1653" i="2"/>
  <c r="E1653" i="2"/>
  <c r="C1653" i="2"/>
  <c r="I1652" i="2"/>
  <c r="E1652" i="2"/>
  <c r="C1652" i="2"/>
  <c r="F1651" i="2"/>
  <c r="E1651" i="2"/>
  <c r="C1651" i="2"/>
  <c r="F1650" i="2"/>
  <c r="E1650" i="2"/>
  <c r="C1650" i="2"/>
  <c r="F1649" i="2"/>
  <c r="E1649" i="2"/>
  <c r="C1649" i="2"/>
  <c r="F1648" i="2"/>
  <c r="E1648" i="2"/>
  <c r="C1648" i="2"/>
  <c r="F1647" i="2"/>
  <c r="E1647" i="2"/>
  <c r="C1647" i="2"/>
  <c r="F1646" i="2"/>
  <c r="E1646" i="2"/>
  <c r="C1646" i="2"/>
  <c r="F1645" i="2"/>
  <c r="E1645" i="2"/>
  <c r="C1645" i="2"/>
  <c r="F1644" i="2"/>
  <c r="E1644" i="2"/>
  <c r="C1644" i="2"/>
  <c r="F1643" i="2"/>
  <c r="E1643" i="2"/>
  <c r="C1643" i="2"/>
  <c r="F1642" i="2"/>
  <c r="E1642" i="2"/>
  <c r="C1642" i="2"/>
  <c r="F1641" i="2"/>
  <c r="E1641" i="2"/>
  <c r="C1641" i="2"/>
  <c r="F1640" i="2"/>
  <c r="E1640" i="2"/>
  <c r="C1640" i="2"/>
  <c r="F1639" i="2"/>
  <c r="E1639" i="2"/>
  <c r="C1639" i="2"/>
  <c r="F1638" i="2"/>
  <c r="E1638" i="2"/>
  <c r="C1638" i="2"/>
  <c r="F1637" i="2"/>
  <c r="E1637" i="2"/>
  <c r="C1637" i="2"/>
  <c r="F1636" i="2"/>
  <c r="E1636" i="2"/>
  <c r="C1636" i="2"/>
  <c r="F1635" i="2"/>
  <c r="E1635" i="2"/>
  <c r="C1635" i="2"/>
  <c r="F1634" i="2"/>
  <c r="E1634" i="2"/>
  <c r="C1634" i="2"/>
  <c r="F1633" i="2"/>
  <c r="E1633" i="2"/>
  <c r="C1633" i="2"/>
  <c r="F1632" i="2"/>
  <c r="E1632" i="2"/>
  <c r="C1632" i="2"/>
  <c r="F1631" i="2"/>
  <c r="E1631" i="2"/>
  <c r="C1631" i="2"/>
  <c r="F1630" i="2"/>
  <c r="E1630" i="2"/>
  <c r="C1630" i="2"/>
  <c r="F1629" i="2"/>
  <c r="E1629" i="2"/>
  <c r="C1629" i="2"/>
  <c r="F1628" i="2"/>
  <c r="E1628" i="2"/>
  <c r="C1628" i="2"/>
  <c r="F1627" i="2"/>
  <c r="E1627" i="2"/>
  <c r="C1627" i="2"/>
  <c r="F1626" i="2"/>
  <c r="E1626" i="2"/>
  <c r="C1626" i="2"/>
  <c r="F1625" i="2"/>
  <c r="E1625" i="2"/>
  <c r="C1625" i="2"/>
  <c r="F1624" i="2"/>
  <c r="E1624" i="2"/>
  <c r="C1624" i="2"/>
  <c r="F1623" i="2"/>
  <c r="E1623" i="2"/>
  <c r="C1623" i="2"/>
  <c r="F1622" i="2"/>
  <c r="E1622" i="2"/>
  <c r="C1622" i="2"/>
  <c r="F1621" i="2"/>
  <c r="E1621" i="2"/>
  <c r="C1621" i="2"/>
  <c r="F1620" i="2"/>
  <c r="E1620" i="2"/>
  <c r="C1620" i="2"/>
  <c r="F1619" i="2"/>
  <c r="E1619" i="2"/>
  <c r="C1619" i="2"/>
  <c r="F1618" i="2"/>
  <c r="E1618" i="2"/>
  <c r="C1618" i="2"/>
  <c r="F1617" i="2"/>
  <c r="E1617" i="2"/>
  <c r="C1617" i="2"/>
  <c r="F1616" i="2"/>
  <c r="E1616" i="2"/>
  <c r="C1616" i="2"/>
  <c r="F1615" i="2"/>
  <c r="E1615" i="2"/>
  <c r="C1615" i="2"/>
  <c r="F1614" i="2"/>
  <c r="E1614" i="2"/>
  <c r="C1614" i="2"/>
  <c r="F1613" i="2"/>
  <c r="E1613" i="2"/>
  <c r="C1613" i="2"/>
  <c r="F1612" i="2"/>
  <c r="E1612" i="2"/>
  <c r="C1612" i="2"/>
  <c r="F1611" i="2"/>
  <c r="E1611" i="2"/>
  <c r="C1611" i="2"/>
  <c r="F1610" i="2"/>
  <c r="E1610" i="2"/>
  <c r="C1610" i="2"/>
  <c r="F1609" i="2"/>
  <c r="E1609" i="2"/>
  <c r="C1609" i="2"/>
  <c r="F1608" i="2"/>
  <c r="E1608" i="2"/>
  <c r="C1608" i="2"/>
  <c r="F1607" i="2"/>
  <c r="E1607" i="2"/>
  <c r="C1607" i="2"/>
  <c r="F1606" i="2"/>
  <c r="E1606" i="2"/>
  <c r="C1606" i="2"/>
  <c r="F1605" i="2"/>
  <c r="E1605" i="2"/>
  <c r="C1605" i="2"/>
  <c r="F1604" i="2"/>
  <c r="E1604" i="2"/>
  <c r="C1604" i="2"/>
  <c r="I1603" i="2"/>
  <c r="F1603" i="2"/>
  <c r="E1603" i="2"/>
  <c r="C1603" i="2"/>
  <c r="I1602" i="2"/>
  <c r="F1602" i="2"/>
  <c r="E1602" i="2"/>
  <c r="C1602" i="2"/>
  <c r="I1601" i="2"/>
  <c r="F1601" i="2"/>
  <c r="E1601" i="2"/>
  <c r="C1601" i="2"/>
  <c r="I1600" i="2"/>
  <c r="F1600" i="2"/>
  <c r="E1600" i="2"/>
  <c r="C1600" i="2"/>
  <c r="I1599" i="2"/>
  <c r="F1599" i="2"/>
  <c r="E1599" i="2"/>
  <c r="C1599" i="2"/>
  <c r="I1598" i="2"/>
  <c r="F1598" i="2"/>
  <c r="E1598" i="2"/>
  <c r="C1598" i="2"/>
  <c r="I1597" i="2"/>
  <c r="F1597" i="2"/>
  <c r="E1597" i="2"/>
  <c r="C1597" i="2"/>
  <c r="I1596" i="2"/>
  <c r="F1596" i="2"/>
  <c r="E1596" i="2"/>
  <c r="C1596" i="2"/>
  <c r="I1595" i="2"/>
  <c r="F1595" i="2"/>
  <c r="E1595" i="2"/>
  <c r="C1595" i="2"/>
  <c r="I1594" i="2"/>
  <c r="F1594" i="2"/>
  <c r="E1594" i="2"/>
  <c r="C1594" i="2"/>
  <c r="I1593" i="2"/>
  <c r="F1593" i="2"/>
  <c r="E1593" i="2"/>
  <c r="C1593" i="2"/>
  <c r="I1592" i="2"/>
  <c r="F1592" i="2"/>
  <c r="E1592" i="2"/>
  <c r="C1592" i="2"/>
  <c r="I1591" i="2"/>
  <c r="F1591" i="2"/>
  <c r="E1591" i="2"/>
  <c r="C1591" i="2"/>
  <c r="I1590" i="2"/>
  <c r="F1590" i="2"/>
  <c r="E1590" i="2"/>
  <c r="C1590" i="2"/>
  <c r="I1589" i="2"/>
  <c r="F1589" i="2"/>
  <c r="E1589" i="2"/>
  <c r="C1589" i="2"/>
  <c r="I1588" i="2"/>
  <c r="F1588" i="2"/>
  <c r="E1588" i="2"/>
  <c r="C1588" i="2"/>
  <c r="I1587" i="2"/>
  <c r="F1587" i="2"/>
  <c r="E1587" i="2"/>
  <c r="C1587" i="2"/>
  <c r="I1586" i="2"/>
  <c r="F1586" i="2"/>
  <c r="E1586" i="2"/>
  <c r="C1586" i="2"/>
  <c r="I1585" i="2"/>
  <c r="F1585" i="2"/>
  <c r="E1585" i="2"/>
  <c r="C1585" i="2"/>
  <c r="I1584" i="2"/>
  <c r="F1584" i="2"/>
  <c r="E1584" i="2"/>
  <c r="C1584" i="2"/>
  <c r="I1583" i="2"/>
  <c r="F1583" i="2"/>
  <c r="E1583" i="2"/>
  <c r="C1583" i="2"/>
  <c r="I1582" i="2"/>
  <c r="F1582" i="2"/>
  <c r="E1582" i="2"/>
  <c r="C1582" i="2"/>
  <c r="I1581" i="2"/>
  <c r="F1581" i="2"/>
  <c r="E1581" i="2"/>
  <c r="C1581" i="2"/>
  <c r="I1580" i="2"/>
  <c r="F1580" i="2"/>
  <c r="E1580" i="2"/>
  <c r="C1580" i="2"/>
  <c r="I1579" i="2"/>
  <c r="E1579" i="2"/>
  <c r="C1579" i="2"/>
  <c r="I1578" i="2"/>
  <c r="E1578" i="2"/>
  <c r="C1578" i="2"/>
  <c r="I1577" i="2"/>
  <c r="E1577" i="2"/>
  <c r="C1577" i="2"/>
  <c r="I1576" i="2"/>
  <c r="E1576" i="2"/>
  <c r="C1576" i="2"/>
  <c r="I1575" i="2"/>
  <c r="E1575" i="2"/>
  <c r="C1575" i="2"/>
  <c r="I1574" i="2"/>
  <c r="E1574" i="2"/>
  <c r="C1574" i="2"/>
  <c r="I1573" i="2"/>
  <c r="E1573" i="2"/>
  <c r="C1573" i="2"/>
  <c r="I1572" i="2"/>
  <c r="E1572" i="2"/>
  <c r="C1572" i="2"/>
  <c r="I1571" i="2"/>
  <c r="E1571" i="2"/>
  <c r="C1571" i="2"/>
  <c r="I1570" i="2"/>
  <c r="E1570" i="2"/>
  <c r="C1570" i="2"/>
  <c r="I1569" i="2"/>
  <c r="E1569" i="2"/>
  <c r="C1569" i="2"/>
  <c r="I1568" i="2"/>
  <c r="E1568" i="2"/>
  <c r="C1568" i="2"/>
  <c r="I1567" i="2"/>
  <c r="E1567" i="2"/>
  <c r="C1567" i="2"/>
  <c r="I1566" i="2"/>
  <c r="E1566" i="2"/>
  <c r="C1566" i="2"/>
  <c r="I1565" i="2"/>
  <c r="E1565" i="2"/>
  <c r="C1565" i="2"/>
  <c r="I1564" i="2"/>
  <c r="E1564" i="2"/>
  <c r="C1564" i="2"/>
  <c r="I1563" i="2"/>
  <c r="E1563" i="2"/>
  <c r="C1563" i="2"/>
  <c r="I1562" i="2"/>
  <c r="E1562" i="2"/>
  <c r="C1562" i="2"/>
  <c r="I1561" i="2"/>
  <c r="E1561" i="2"/>
  <c r="C1561" i="2"/>
  <c r="I1560" i="2"/>
  <c r="E1560" i="2"/>
  <c r="C1560" i="2"/>
  <c r="I1559" i="2"/>
  <c r="E1559" i="2"/>
  <c r="C1559" i="2"/>
  <c r="I1558" i="2"/>
  <c r="E1558" i="2"/>
  <c r="C1558" i="2"/>
  <c r="I1557" i="2"/>
  <c r="E1557" i="2"/>
  <c r="C1557" i="2"/>
  <c r="I1556" i="2"/>
  <c r="E1556" i="2"/>
  <c r="C1556" i="2"/>
  <c r="I1555" i="2"/>
  <c r="E1555" i="2"/>
  <c r="C1555" i="2"/>
  <c r="F1554" i="2"/>
  <c r="E1554" i="2"/>
  <c r="C1554" i="2"/>
  <c r="F1553" i="2"/>
  <c r="E1553" i="2"/>
  <c r="C1553" i="2"/>
  <c r="F1552" i="2"/>
  <c r="E1552" i="2"/>
  <c r="C1552" i="2"/>
  <c r="F1551" i="2"/>
  <c r="E1551" i="2"/>
  <c r="C1551" i="2"/>
  <c r="F1550" i="2"/>
  <c r="E1550" i="2"/>
  <c r="C1550" i="2"/>
  <c r="F1549" i="2"/>
  <c r="E1549" i="2"/>
  <c r="C1549" i="2"/>
  <c r="F1548" i="2"/>
  <c r="E1548" i="2"/>
  <c r="C1548" i="2"/>
  <c r="F1547" i="2"/>
  <c r="E1547" i="2"/>
  <c r="C1547" i="2"/>
  <c r="F1546" i="2"/>
  <c r="E1546" i="2"/>
  <c r="C1546" i="2"/>
  <c r="F1545" i="2"/>
  <c r="E1545" i="2"/>
  <c r="C1545" i="2"/>
  <c r="F1544" i="2"/>
  <c r="E1544" i="2"/>
  <c r="C1544" i="2"/>
  <c r="F1543" i="2"/>
  <c r="E1543" i="2"/>
  <c r="C1543" i="2"/>
  <c r="F1542" i="2"/>
  <c r="E1542" i="2"/>
  <c r="C1542" i="2"/>
  <c r="F1541" i="2"/>
  <c r="E1541" i="2"/>
  <c r="C1541" i="2"/>
  <c r="F1540" i="2"/>
  <c r="E1540" i="2"/>
  <c r="C1540" i="2"/>
  <c r="F1539" i="2"/>
  <c r="E1539" i="2"/>
  <c r="C1539" i="2"/>
  <c r="F1538" i="2"/>
  <c r="E1538" i="2"/>
  <c r="C1538" i="2"/>
  <c r="F1537" i="2"/>
  <c r="E1537" i="2"/>
  <c r="C1537" i="2"/>
  <c r="F1536" i="2"/>
  <c r="E1536" i="2"/>
  <c r="C1536" i="2"/>
  <c r="F1535" i="2"/>
  <c r="E1535" i="2"/>
  <c r="C1535" i="2"/>
  <c r="F1534" i="2"/>
  <c r="E1534" i="2"/>
  <c r="C1534" i="2"/>
  <c r="F1533" i="2"/>
  <c r="E1533" i="2"/>
  <c r="C1533" i="2"/>
  <c r="F1532" i="2"/>
  <c r="E1532" i="2"/>
  <c r="C1532" i="2"/>
  <c r="F1531" i="2"/>
  <c r="E1531" i="2"/>
  <c r="C1531" i="2"/>
  <c r="F1530" i="2"/>
  <c r="E1530" i="2"/>
  <c r="C1530" i="2"/>
  <c r="F1529" i="2"/>
  <c r="E1529" i="2"/>
  <c r="C1529" i="2"/>
  <c r="F1528" i="2"/>
  <c r="E1528" i="2"/>
  <c r="C1528" i="2"/>
  <c r="F1527" i="2"/>
  <c r="E1527" i="2"/>
  <c r="C1527" i="2"/>
  <c r="F1526" i="2"/>
  <c r="E1526" i="2"/>
  <c r="C1526" i="2"/>
  <c r="F1525" i="2"/>
  <c r="E1525" i="2"/>
  <c r="C1525" i="2"/>
  <c r="F1524" i="2"/>
  <c r="E1524" i="2"/>
  <c r="C1524" i="2"/>
  <c r="F1523" i="2"/>
  <c r="E1523" i="2"/>
  <c r="C1523" i="2"/>
  <c r="F1522" i="2"/>
  <c r="E1522" i="2"/>
  <c r="C1522" i="2"/>
  <c r="F1521" i="2"/>
  <c r="E1521" i="2"/>
  <c r="C1521" i="2"/>
  <c r="F1520" i="2"/>
  <c r="E1520" i="2"/>
  <c r="C1520" i="2"/>
  <c r="F1519" i="2"/>
  <c r="E1519" i="2"/>
  <c r="C1519" i="2"/>
  <c r="F1518" i="2"/>
  <c r="E1518" i="2"/>
  <c r="C1518" i="2"/>
  <c r="F1517" i="2"/>
  <c r="E1517" i="2"/>
  <c r="C1517" i="2"/>
  <c r="F1516" i="2"/>
  <c r="E1516" i="2"/>
  <c r="C1516" i="2"/>
  <c r="F1515" i="2"/>
  <c r="E1515" i="2"/>
  <c r="C1515" i="2"/>
  <c r="F1514" i="2"/>
  <c r="E1514" i="2"/>
  <c r="C1514" i="2"/>
  <c r="F1513" i="2"/>
  <c r="E1513" i="2"/>
  <c r="C1513" i="2"/>
  <c r="F1512" i="2"/>
  <c r="E1512" i="2"/>
  <c r="C1512" i="2"/>
  <c r="F1511" i="2"/>
  <c r="E1511" i="2"/>
  <c r="C1511" i="2"/>
  <c r="F1510" i="2"/>
  <c r="E1510" i="2"/>
  <c r="C1510" i="2"/>
  <c r="F1509" i="2"/>
  <c r="E1509" i="2"/>
  <c r="C1509" i="2"/>
  <c r="F1508" i="2"/>
  <c r="E1508" i="2"/>
  <c r="C1508" i="2"/>
  <c r="F1507" i="2"/>
  <c r="E1507" i="2"/>
  <c r="C1507" i="2"/>
  <c r="I1506" i="2"/>
  <c r="F1506" i="2"/>
  <c r="E1506" i="2"/>
  <c r="C1506" i="2"/>
  <c r="I1505" i="2"/>
  <c r="F1505" i="2"/>
  <c r="E1505" i="2"/>
  <c r="C1505" i="2"/>
  <c r="I1504" i="2"/>
  <c r="F1504" i="2"/>
  <c r="E1504" i="2"/>
  <c r="C1504" i="2"/>
  <c r="I1503" i="2"/>
  <c r="F1503" i="2"/>
  <c r="E1503" i="2"/>
  <c r="C1503" i="2"/>
  <c r="I1502" i="2"/>
  <c r="F1502" i="2"/>
  <c r="E1502" i="2"/>
  <c r="C1502" i="2"/>
  <c r="I1501" i="2"/>
  <c r="F1501" i="2"/>
  <c r="E1501" i="2"/>
  <c r="C1501" i="2"/>
  <c r="I1500" i="2"/>
  <c r="F1500" i="2"/>
  <c r="E1500" i="2"/>
  <c r="C1500" i="2"/>
  <c r="I1499" i="2"/>
  <c r="F1499" i="2"/>
  <c r="E1499" i="2"/>
  <c r="C1499" i="2"/>
  <c r="I1498" i="2"/>
  <c r="F1498" i="2"/>
  <c r="E1498" i="2"/>
  <c r="C1498" i="2"/>
  <c r="I1497" i="2"/>
  <c r="F1497" i="2"/>
  <c r="E1497" i="2"/>
  <c r="C1497" i="2"/>
  <c r="I1496" i="2"/>
  <c r="F1496" i="2"/>
  <c r="E1496" i="2"/>
  <c r="C1496" i="2"/>
  <c r="I1495" i="2"/>
  <c r="F1495" i="2"/>
  <c r="E1495" i="2"/>
  <c r="C1495" i="2"/>
  <c r="I1494" i="2"/>
  <c r="F1494" i="2"/>
  <c r="E1494" i="2"/>
  <c r="C1494" i="2"/>
  <c r="I1493" i="2"/>
  <c r="F1493" i="2"/>
  <c r="E1493" i="2"/>
  <c r="C1493" i="2"/>
  <c r="I1492" i="2"/>
  <c r="F1492" i="2"/>
  <c r="E1492" i="2"/>
  <c r="C1492" i="2"/>
  <c r="I1491" i="2"/>
  <c r="F1491" i="2"/>
  <c r="E1491" i="2"/>
  <c r="C1491" i="2"/>
  <c r="I1490" i="2"/>
  <c r="F1490" i="2"/>
  <c r="E1490" i="2"/>
  <c r="C1490" i="2"/>
  <c r="I1489" i="2"/>
  <c r="F1489" i="2"/>
  <c r="E1489" i="2"/>
  <c r="C1489" i="2"/>
  <c r="I1488" i="2"/>
  <c r="F1488" i="2"/>
  <c r="E1488" i="2"/>
  <c r="C1488" i="2"/>
  <c r="I1487" i="2"/>
  <c r="F1487" i="2"/>
  <c r="E1487" i="2"/>
  <c r="C1487" i="2"/>
  <c r="I1486" i="2"/>
  <c r="F1486" i="2"/>
  <c r="E1486" i="2"/>
  <c r="C1486" i="2"/>
  <c r="I1485" i="2"/>
  <c r="F1485" i="2"/>
  <c r="E1485" i="2"/>
  <c r="C1485" i="2"/>
  <c r="I1484" i="2"/>
  <c r="F1484" i="2"/>
  <c r="E1484" i="2"/>
  <c r="C1484" i="2"/>
  <c r="I1483" i="2"/>
  <c r="F1483" i="2"/>
  <c r="E1483" i="2"/>
  <c r="C1483" i="2"/>
  <c r="I1482" i="2"/>
  <c r="E1482" i="2"/>
  <c r="C1482" i="2"/>
  <c r="I1481" i="2"/>
  <c r="E1481" i="2"/>
  <c r="C1481" i="2"/>
  <c r="I1480" i="2"/>
  <c r="E1480" i="2"/>
  <c r="C1480" i="2"/>
  <c r="I1479" i="2"/>
  <c r="E1479" i="2"/>
  <c r="C1479" i="2"/>
  <c r="I1478" i="2"/>
  <c r="E1478" i="2"/>
  <c r="C1478" i="2"/>
  <c r="I1477" i="2"/>
  <c r="E1477" i="2"/>
  <c r="C1477" i="2"/>
  <c r="I1476" i="2"/>
  <c r="E1476" i="2"/>
  <c r="C1476" i="2"/>
  <c r="I1475" i="2"/>
  <c r="E1475" i="2"/>
  <c r="C1475" i="2"/>
  <c r="I1474" i="2"/>
  <c r="E1474" i="2"/>
  <c r="C1474" i="2"/>
  <c r="I1473" i="2"/>
  <c r="E1473" i="2"/>
  <c r="C1473" i="2"/>
  <c r="I1472" i="2"/>
  <c r="E1472" i="2"/>
  <c r="C1472" i="2"/>
  <c r="I1471" i="2"/>
  <c r="E1471" i="2"/>
  <c r="C1471" i="2"/>
  <c r="I1470" i="2"/>
  <c r="E1470" i="2"/>
  <c r="C1470" i="2"/>
  <c r="I1469" i="2"/>
  <c r="E1469" i="2"/>
  <c r="C1469" i="2"/>
  <c r="I1468" i="2"/>
  <c r="E1468" i="2"/>
  <c r="C1468" i="2"/>
  <c r="I1467" i="2"/>
  <c r="E1467" i="2"/>
  <c r="C1467" i="2"/>
  <c r="I1466" i="2"/>
  <c r="E1466" i="2"/>
  <c r="C1466" i="2"/>
  <c r="I1465" i="2"/>
  <c r="E1465" i="2"/>
  <c r="C1465" i="2"/>
  <c r="I1464" i="2"/>
  <c r="E1464" i="2"/>
  <c r="C1464" i="2"/>
  <c r="I1463" i="2"/>
  <c r="E1463" i="2"/>
  <c r="C1463" i="2"/>
  <c r="I1462" i="2"/>
  <c r="E1462" i="2"/>
  <c r="C1462" i="2"/>
  <c r="I1461" i="2"/>
  <c r="E1461" i="2"/>
  <c r="C1461" i="2"/>
  <c r="I1460" i="2"/>
  <c r="E1460" i="2"/>
  <c r="C1460" i="2"/>
  <c r="I1459" i="2"/>
  <c r="E1459" i="2"/>
  <c r="C1459" i="2"/>
  <c r="I1458" i="2"/>
  <c r="E1458" i="2"/>
  <c r="C1458" i="2"/>
  <c r="F1457" i="2"/>
  <c r="E1457" i="2"/>
  <c r="C1457" i="2"/>
  <c r="F1456" i="2"/>
  <c r="E1456" i="2"/>
  <c r="C1456" i="2"/>
  <c r="F1455" i="2"/>
  <c r="E1455" i="2"/>
  <c r="C1455" i="2"/>
  <c r="F1454" i="2"/>
  <c r="E1454" i="2"/>
  <c r="C1454" i="2"/>
  <c r="F1453" i="2"/>
  <c r="E1453" i="2"/>
  <c r="C1453" i="2"/>
  <c r="F1452" i="2"/>
  <c r="E1452" i="2"/>
  <c r="C1452" i="2"/>
  <c r="F1451" i="2"/>
  <c r="E1451" i="2"/>
  <c r="C1451" i="2"/>
  <c r="F1450" i="2"/>
  <c r="E1450" i="2"/>
  <c r="C1450" i="2"/>
  <c r="F1449" i="2"/>
  <c r="E1449" i="2"/>
  <c r="C1449" i="2"/>
  <c r="F1448" i="2"/>
  <c r="E1448" i="2"/>
  <c r="C1448" i="2"/>
  <c r="F1447" i="2"/>
  <c r="E1447" i="2"/>
  <c r="C1447" i="2"/>
  <c r="F1446" i="2"/>
  <c r="E1446" i="2"/>
  <c r="C1446" i="2"/>
  <c r="F1445" i="2"/>
  <c r="E1445" i="2"/>
  <c r="C1445" i="2"/>
  <c r="F1444" i="2"/>
  <c r="E1444" i="2"/>
  <c r="C1444" i="2"/>
  <c r="F1443" i="2"/>
  <c r="E1443" i="2"/>
  <c r="C1443" i="2"/>
  <c r="F1442" i="2"/>
  <c r="E1442" i="2"/>
  <c r="C1442" i="2"/>
  <c r="F1441" i="2"/>
  <c r="E1441" i="2"/>
  <c r="C1441" i="2"/>
  <c r="F1440" i="2"/>
  <c r="E1440" i="2"/>
  <c r="C1440" i="2"/>
  <c r="F1439" i="2"/>
  <c r="E1439" i="2"/>
  <c r="C1439" i="2"/>
  <c r="F1438" i="2"/>
  <c r="E1438" i="2"/>
  <c r="C1438" i="2"/>
  <c r="F1437" i="2"/>
  <c r="E1437" i="2"/>
  <c r="C1437" i="2"/>
  <c r="F1436" i="2"/>
  <c r="E1436" i="2"/>
  <c r="C1436" i="2"/>
  <c r="F1435" i="2"/>
  <c r="E1435" i="2"/>
  <c r="C1435" i="2"/>
  <c r="F1434" i="2"/>
  <c r="E1434" i="2"/>
  <c r="C1434" i="2"/>
  <c r="F1433" i="2"/>
  <c r="E1433" i="2"/>
  <c r="C1433" i="2"/>
  <c r="F1432" i="2"/>
  <c r="E1432" i="2"/>
  <c r="C1432" i="2"/>
  <c r="F1431" i="2"/>
  <c r="E1431" i="2"/>
  <c r="C1431" i="2"/>
  <c r="F1430" i="2"/>
  <c r="E1430" i="2"/>
  <c r="C1430" i="2"/>
  <c r="F1429" i="2"/>
  <c r="E1429" i="2"/>
  <c r="C1429" i="2"/>
  <c r="F1428" i="2"/>
  <c r="E1428" i="2"/>
  <c r="C1428" i="2"/>
  <c r="F1427" i="2"/>
  <c r="E1427" i="2"/>
  <c r="C1427" i="2"/>
  <c r="F1426" i="2"/>
  <c r="E1426" i="2"/>
  <c r="C1426" i="2"/>
  <c r="F1425" i="2"/>
  <c r="E1425" i="2"/>
  <c r="C1425" i="2"/>
  <c r="F1424" i="2"/>
  <c r="E1424" i="2"/>
  <c r="C1424" i="2"/>
  <c r="F1423" i="2"/>
  <c r="E1423" i="2"/>
  <c r="C1423" i="2"/>
  <c r="F1422" i="2"/>
  <c r="E1422" i="2"/>
  <c r="C1422" i="2"/>
  <c r="F1421" i="2"/>
  <c r="E1421" i="2"/>
  <c r="C1421" i="2"/>
  <c r="F1420" i="2"/>
  <c r="E1420" i="2"/>
  <c r="C1420" i="2"/>
  <c r="F1419" i="2"/>
  <c r="E1419" i="2"/>
  <c r="C1419" i="2"/>
  <c r="F1418" i="2"/>
  <c r="E1418" i="2"/>
  <c r="C1418" i="2"/>
  <c r="F1417" i="2"/>
  <c r="E1417" i="2"/>
  <c r="C1417" i="2"/>
  <c r="F1416" i="2"/>
  <c r="E1416" i="2"/>
  <c r="C1416" i="2"/>
  <c r="F1415" i="2"/>
  <c r="E1415" i="2"/>
  <c r="C1415" i="2"/>
  <c r="F1414" i="2"/>
  <c r="E1414" i="2"/>
  <c r="C1414" i="2"/>
  <c r="F1413" i="2"/>
  <c r="E1413" i="2"/>
  <c r="C1413" i="2"/>
  <c r="F1412" i="2"/>
  <c r="E1412" i="2"/>
  <c r="C1412" i="2"/>
  <c r="F1411" i="2"/>
  <c r="E1411" i="2"/>
  <c r="C1411" i="2"/>
  <c r="F1410" i="2"/>
  <c r="E1410" i="2"/>
  <c r="C1410" i="2"/>
  <c r="I1409" i="2"/>
  <c r="F1409" i="2"/>
  <c r="E1409" i="2"/>
  <c r="C1409" i="2"/>
  <c r="I1408" i="2"/>
  <c r="F1408" i="2"/>
  <c r="E1408" i="2"/>
  <c r="C1408" i="2"/>
  <c r="I1407" i="2"/>
  <c r="F1407" i="2"/>
  <c r="E1407" i="2"/>
  <c r="C1407" i="2"/>
  <c r="I1406" i="2"/>
  <c r="F1406" i="2"/>
  <c r="E1406" i="2"/>
  <c r="C1406" i="2"/>
  <c r="I1405" i="2"/>
  <c r="F1405" i="2"/>
  <c r="E1405" i="2"/>
  <c r="C1405" i="2"/>
  <c r="I1404" i="2"/>
  <c r="F1404" i="2"/>
  <c r="E1404" i="2"/>
  <c r="C1404" i="2"/>
  <c r="I1403" i="2"/>
  <c r="F1403" i="2"/>
  <c r="E1403" i="2"/>
  <c r="C1403" i="2"/>
  <c r="I1402" i="2"/>
  <c r="F1402" i="2"/>
  <c r="E1402" i="2"/>
  <c r="C1402" i="2"/>
  <c r="I1401" i="2"/>
  <c r="F1401" i="2"/>
  <c r="E1401" i="2"/>
  <c r="C1401" i="2"/>
  <c r="I1400" i="2"/>
  <c r="F1400" i="2"/>
  <c r="E1400" i="2"/>
  <c r="C1400" i="2"/>
  <c r="I1399" i="2"/>
  <c r="F1399" i="2"/>
  <c r="E1399" i="2"/>
  <c r="C1399" i="2"/>
  <c r="I1398" i="2"/>
  <c r="F1398" i="2"/>
  <c r="E1398" i="2"/>
  <c r="C1398" i="2"/>
  <c r="I1397" i="2"/>
  <c r="F1397" i="2"/>
  <c r="E1397" i="2"/>
  <c r="C1397" i="2"/>
  <c r="I1396" i="2"/>
  <c r="F1396" i="2"/>
  <c r="E1396" i="2"/>
  <c r="C1396" i="2"/>
  <c r="I1395" i="2"/>
  <c r="F1395" i="2"/>
  <c r="E1395" i="2"/>
  <c r="C1395" i="2"/>
  <c r="I1394" i="2"/>
  <c r="F1394" i="2"/>
  <c r="E1394" i="2"/>
  <c r="C1394" i="2"/>
  <c r="I1393" i="2"/>
  <c r="F1393" i="2"/>
  <c r="E1393" i="2"/>
  <c r="C1393" i="2"/>
  <c r="I1392" i="2"/>
  <c r="F1392" i="2"/>
  <c r="E1392" i="2"/>
  <c r="C1392" i="2"/>
  <c r="I1391" i="2"/>
  <c r="F1391" i="2"/>
  <c r="E1391" i="2"/>
  <c r="C1391" i="2"/>
  <c r="I1390" i="2"/>
  <c r="F1390" i="2"/>
  <c r="E1390" i="2"/>
  <c r="C1390" i="2"/>
  <c r="I1389" i="2"/>
  <c r="F1389" i="2"/>
  <c r="E1389" i="2"/>
  <c r="C1389" i="2"/>
  <c r="I1388" i="2"/>
  <c r="F1388" i="2"/>
  <c r="E1388" i="2"/>
  <c r="C1388" i="2"/>
  <c r="I1387" i="2"/>
  <c r="F1387" i="2"/>
  <c r="E1387" i="2"/>
  <c r="C1387" i="2"/>
  <c r="I1386" i="2"/>
  <c r="F1386" i="2"/>
  <c r="E1386" i="2"/>
  <c r="C1386" i="2"/>
  <c r="I1385" i="2"/>
  <c r="E1385" i="2"/>
  <c r="C1385" i="2"/>
  <c r="I1384" i="2"/>
  <c r="E1384" i="2"/>
  <c r="C1384" i="2"/>
  <c r="I1383" i="2"/>
  <c r="E1383" i="2"/>
  <c r="C1383" i="2"/>
  <c r="I1382" i="2"/>
  <c r="E1382" i="2"/>
  <c r="C1382" i="2"/>
  <c r="I1381" i="2"/>
  <c r="E1381" i="2"/>
  <c r="C1381" i="2"/>
  <c r="I1380" i="2"/>
  <c r="E1380" i="2"/>
  <c r="C1380" i="2"/>
  <c r="I1379" i="2"/>
  <c r="E1379" i="2"/>
  <c r="C1379" i="2"/>
  <c r="I1378" i="2"/>
  <c r="E1378" i="2"/>
  <c r="C1378" i="2"/>
  <c r="I1377" i="2"/>
  <c r="E1377" i="2"/>
  <c r="C1377" i="2"/>
  <c r="I1376" i="2"/>
  <c r="E1376" i="2"/>
  <c r="C1376" i="2"/>
  <c r="I1375" i="2"/>
  <c r="E1375" i="2"/>
  <c r="C1375" i="2"/>
  <c r="I1374" i="2"/>
  <c r="E1374" i="2"/>
  <c r="C1374" i="2"/>
  <c r="I1373" i="2"/>
  <c r="E1373" i="2"/>
  <c r="C1373" i="2"/>
  <c r="I1372" i="2"/>
  <c r="E1372" i="2"/>
  <c r="C1372" i="2"/>
  <c r="I1371" i="2"/>
  <c r="E1371" i="2"/>
  <c r="C1371" i="2"/>
  <c r="I1370" i="2"/>
  <c r="E1370" i="2"/>
  <c r="C1370" i="2"/>
  <c r="I1369" i="2"/>
  <c r="E1369" i="2"/>
  <c r="C1369" i="2"/>
  <c r="I1368" i="2"/>
  <c r="E1368" i="2"/>
  <c r="C1368" i="2"/>
  <c r="I1367" i="2"/>
  <c r="E1367" i="2"/>
  <c r="C1367" i="2"/>
  <c r="I1366" i="2"/>
  <c r="E1366" i="2"/>
  <c r="C1366" i="2"/>
  <c r="I1365" i="2"/>
  <c r="E1365" i="2"/>
  <c r="C1365" i="2"/>
  <c r="I1364" i="2"/>
  <c r="E1364" i="2"/>
  <c r="C1364" i="2"/>
  <c r="I1363" i="2"/>
  <c r="E1363" i="2"/>
  <c r="C1363" i="2"/>
  <c r="I1362" i="2"/>
  <c r="E1362" i="2"/>
  <c r="C1362" i="2"/>
  <c r="I1361" i="2"/>
  <c r="E1361" i="2"/>
  <c r="C1361" i="2"/>
  <c r="F1360" i="2"/>
  <c r="E1360" i="2"/>
  <c r="C1360" i="2"/>
  <c r="F1359" i="2"/>
  <c r="E1359" i="2"/>
  <c r="C1359" i="2"/>
  <c r="F1358" i="2"/>
  <c r="E1358" i="2"/>
  <c r="C1358" i="2"/>
  <c r="F1357" i="2"/>
  <c r="E1357" i="2"/>
  <c r="C1357" i="2"/>
  <c r="F1356" i="2"/>
  <c r="E1356" i="2"/>
  <c r="C1356" i="2"/>
  <c r="F1355" i="2"/>
  <c r="E1355" i="2"/>
  <c r="C1355" i="2"/>
  <c r="F1354" i="2"/>
  <c r="E1354" i="2"/>
  <c r="C1354" i="2"/>
  <c r="F1353" i="2"/>
  <c r="E1353" i="2"/>
  <c r="C1353" i="2"/>
  <c r="F1352" i="2"/>
  <c r="E1352" i="2"/>
  <c r="C1352" i="2"/>
  <c r="F1351" i="2"/>
  <c r="E1351" i="2"/>
  <c r="C1351" i="2"/>
  <c r="F1350" i="2"/>
  <c r="E1350" i="2"/>
  <c r="C1350" i="2"/>
  <c r="F1349" i="2"/>
  <c r="E1349" i="2"/>
  <c r="C1349" i="2"/>
  <c r="F1348" i="2"/>
  <c r="E1348" i="2"/>
  <c r="C1348" i="2"/>
  <c r="F1347" i="2"/>
  <c r="E1347" i="2"/>
  <c r="C1347" i="2"/>
  <c r="F1346" i="2"/>
  <c r="E1346" i="2"/>
  <c r="C1346" i="2"/>
  <c r="F1345" i="2"/>
  <c r="E1345" i="2"/>
  <c r="C1345" i="2"/>
  <c r="F1344" i="2"/>
  <c r="E1344" i="2"/>
  <c r="C1344" i="2"/>
  <c r="F1343" i="2"/>
  <c r="E1343" i="2"/>
  <c r="C1343" i="2"/>
  <c r="F1342" i="2"/>
  <c r="E1342" i="2"/>
  <c r="C1342" i="2"/>
  <c r="F1341" i="2"/>
  <c r="E1341" i="2"/>
  <c r="C1341" i="2"/>
  <c r="F1340" i="2"/>
  <c r="E1340" i="2"/>
  <c r="C1340" i="2"/>
  <c r="F1339" i="2"/>
  <c r="E1339" i="2"/>
  <c r="C1339" i="2"/>
  <c r="F1338" i="2"/>
  <c r="E1338" i="2"/>
  <c r="C1338" i="2"/>
  <c r="F1337" i="2"/>
  <c r="E1337" i="2"/>
  <c r="C1337" i="2"/>
  <c r="F1336" i="2"/>
  <c r="E1336" i="2"/>
  <c r="C1336" i="2"/>
  <c r="F1335" i="2"/>
  <c r="E1335" i="2"/>
  <c r="C1335" i="2"/>
  <c r="F1334" i="2"/>
  <c r="E1334" i="2"/>
  <c r="C1334" i="2"/>
  <c r="F1333" i="2"/>
  <c r="E1333" i="2"/>
  <c r="C1333" i="2"/>
  <c r="F1332" i="2"/>
  <c r="E1332" i="2"/>
  <c r="C1332" i="2"/>
  <c r="F1331" i="2"/>
  <c r="E1331" i="2"/>
  <c r="C1331" i="2"/>
  <c r="F1330" i="2"/>
  <c r="E1330" i="2"/>
  <c r="C1330" i="2"/>
  <c r="F1329" i="2"/>
  <c r="E1329" i="2"/>
  <c r="C1329" i="2"/>
  <c r="F1328" i="2"/>
  <c r="E1328" i="2"/>
  <c r="C1328" i="2"/>
  <c r="F1327" i="2"/>
  <c r="E1327" i="2"/>
  <c r="C1327" i="2"/>
  <c r="F1326" i="2"/>
  <c r="E1326" i="2"/>
  <c r="C1326" i="2"/>
  <c r="F1325" i="2"/>
  <c r="E1325" i="2"/>
  <c r="C1325" i="2"/>
  <c r="F1324" i="2"/>
  <c r="E1324" i="2"/>
  <c r="C1324" i="2"/>
  <c r="F1323" i="2"/>
  <c r="E1323" i="2"/>
  <c r="C1323" i="2"/>
  <c r="F1322" i="2"/>
  <c r="E1322" i="2"/>
  <c r="C1322" i="2"/>
  <c r="F1321" i="2"/>
  <c r="E1321" i="2"/>
  <c r="C1321" i="2"/>
  <c r="F1320" i="2"/>
  <c r="E1320" i="2"/>
  <c r="C1320" i="2"/>
  <c r="F1319" i="2"/>
  <c r="E1319" i="2"/>
  <c r="C1319" i="2"/>
  <c r="F1318" i="2"/>
  <c r="E1318" i="2"/>
  <c r="C1318" i="2"/>
  <c r="F1317" i="2"/>
  <c r="E1317" i="2"/>
  <c r="C1317" i="2"/>
  <c r="F1316" i="2"/>
  <c r="E1316" i="2"/>
  <c r="C1316" i="2"/>
  <c r="F1315" i="2"/>
  <c r="E1315" i="2"/>
  <c r="C1315" i="2"/>
  <c r="F1314" i="2"/>
  <c r="E1314" i="2"/>
  <c r="C1314" i="2"/>
  <c r="F1313" i="2"/>
  <c r="E1313" i="2"/>
  <c r="C1313" i="2"/>
  <c r="I1312" i="2"/>
  <c r="F1312" i="2"/>
  <c r="E1312" i="2"/>
  <c r="C1312" i="2"/>
  <c r="I1311" i="2"/>
  <c r="F1311" i="2"/>
  <c r="E1311" i="2"/>
  <c r="C1311" i="2"/>
  <c r="I1310" i="2"/>
  <c r="F1310" i="2"/>
  <c r="E1310" i="2"/>
  <c r="C1310" i="2"/>
  <c r="I1309" i="2"/>
  <c r="F1309" i="2"/>
  <c r="E1309" i="2"/>
  <c r="C1309" i="2"/>
  <c r="I1308" i="2"/>
  <c r="F1308" i="2"/>
  <c r="E1308" i="2"/>
  <c r="C1308" i="2"/>
  <c r="I1307" i="2"/>
  <c r="F1307" i="2"/>
  <c r="E1307" i="2"/>
  <c r="C1307" i="2"/>
  <c r="I1306" i="2"/>
  <c r="F1306" i="2"/>
  <c r="E1306" i="2"/>
  <c r="C1306" i="2"/>
  <c r="I1305" i="2"/>
  <c r="F1305" i="2"/>
  <c r="E1305" i="2"/>
  <c r="C1305" i="2"/>
  <c r="I1304" i="2"/>
  <c r="F1304" i="2"/>
  <c r="E1304" i="2"/>
  <c r="C1304" i="2"/>
  <c r="I1303" i="2"/>
  <c r="F1303" i="2"/>
  <c r="E1303" i="2"/>
  <c r="C1303" i="2"/>
  <c r="I1302" i="2"/>
  <c r="F1302" i="2"/>
  <c r="E1302" i="2"/>
  <c r="C1302" i="2"/>
  <c r="I1301" i="2"/>
  <c r="F1301" i="2"/>
  <c r="E1301" i="2"/>
  <c r="C1301" i="2"/>
  <c r="I1300" i="2"/>
  <c r="F1300" i="2"/>
  <c r="E1300" i="2"/>
  <c r="C1300" i="2"/>
  <c r="I1299" i="2"/>
  <c r="F1299" i="2"/>
  <c r="E1299" i="2"/>
  <c r="C1299" i="2"/>
  <c r="I1298" i="2"/>
  <c r="F1298" i="2"/>
  <c r="E1298" i="2"/>
  <c r="C1298" i="2"/>
  <c r="I1297" i="2"/>
  <c r="F1297" i="2"/>
  <c r="E1297" i="2"/>
  <c r="C1297" i="2"/>
  <c r="I1296" i="2"/>
  <c r="F1296" i="2"/>
  <c r="E1296" i="2"/>
  <c r="C1296" i="2"/>
  <c r="I1295" i="2"/>
  <c r="F1295" i="2"/>
  <c r="E1295" i="2"/>
  <c r="C1295" i="2"/>
  <c r="I1294" i="2"/>
  <c r="F1294" i="2"/>
  <c r="E1294" i="2"/>
  <c r="C1294" i="2"/>
  <c r="I1293" i="2"/>
  <c r="F1293" i="2"/>
  <c r="E1293" i="2"/>
  <c r="C1293" i="2"/>
  <c r="I1292" i="2"/>
  <c r="F1292" i="2"/>
  <c r="E1292" i="2"/>
  <c r="C1292" i="2"/>
  <c r="I1291" i="2"/>
  <c r="F1291" i="2"/>
  <c r="E1291" i="2"/>
  <c r="C1291" i="2"/>
  <c r="I1290" i="2"/>
  <c r="F1290" i="2"/>
  <c r="E1290" i="2"/>
  <c r="C1290" i="2"/>
  <c r="I1289" i="2"/>
  <c r="F1289" i="2"/>
  <c r="E1289" i="2"/>
  <c r="C1289" i="2"/>
  <c r="I1288" i="2"/>
  <c r="E1288" i="2"/>
  <c r="C1288" i="2"/>
  <c r="I1287" i="2"/>
  <c r="E1287" i="2"/>
  <c r="C1287" i="2"/>
  <c r="I1286" i="2"/>
  <c r="E1286" i="2"/>
  <c r="C1286" i="2"/>
  <c r="I1285" i="2"/>
  <c r="E1285" i="2"/>
  <c r="C1285" i="2"/>
  <c r="I1284" i="2"/>
  <c r="E1284" i="2"/>
  <c r="C1284" i="2"/>
  <c r="I1283" i="2"/>
  <c r="E1283" i="2"/>
  <c r="C1283" i="2"/>
  <c r="I1282" i="2"/>
  <c r="E1282" i="2"/>
  <c r="C1282" i="2"/>
  <c r="I1281" i="2"/>
  <c r="E1281" i="2"/>
  <c r="C1281" i="2"/>
  <c r="I1280" i="2"/>
  <c r="E1280" i="2"/>
  <c r="C1280" i="2"/>
  <c r="I1279" i="2"/>
  <c r="E1279" i="2"/>
  <c r="C1279" i="2"/>
  <c r="I1278" i="2"/>
  <c r="E1278" i="2"/>
  <c r="C1278" i="2"/>
  <c r="I1277" i="2"/>
  <c r="E1277" i="2"/>
  <c r="C1277" i="2"/>
  <c r="I1276" i="2"/>
  <c r="E1276" i="2"/>
  <c r="C1276" i="2"/>
  <c r="I1275" i="2"/>
  <c r="E1275" i="2"/>
  <c r="C1275" i="2"/>
  <c r="I1274" i="2"/>
  <c r="E1274" i="2"/>
  <c r="C1274" i="2"/>
  <c r="I1273" i="2"/>
  <c r="E1273" i="2"/>
  <c r="C1273" i="2"/>
  <c r="I1272" i="2"/>
  <c r="E1272" i="2"/>
  <c r="C1272" i="2"/>
  <c r="I1271" i="2"/>
  <c r="E1271" i="2"/>
  <c r="C1271" i="2"/>
  <c r="I1270" i="2"/>
  <c r="E1270" i="2"/>
  <c r="C1270" i="2"/>
  <c r="I1269" i="2"/>
  <c r="E1269" i="2"/>
  <c r="C1269" i="2"/>
  <c r="I1268" i="2"/>
  <c r="E1268" i="2"/>
  <c r="C1268" i="2"/>
  <c r="I1267" i="2"/>
  <c r="E1267" i="2"/>
  <c r="C1267" i="2"/>
  <c r="I1266" i="2"/>
  <c r="E1266" i="2"/>
  <c r="C1266" i="2"/>
  <c r="I1265" i="2"/>
  <c r="E1265" i="2"/>
  <c r="C1265" i="2"/>
  <c r="I1264" i="2"/>
  <c r="E1264" i="2"/>
  <c r="C1264" i="2"/>
  <c r="F1263" i="2"/>
  <c r="E1263" i="2"/>
  <c r="C1263" i="2"/>
  <c r="F1262" i="2"/>
  <c r="E1262" i="2"/>
  <c r="C1262" i="2"/>
  <c r="F1261" i="2"/>
  <c r="E1261" i="2"/>
  <c r="C1261" i="2"/>
  <c r="F1260" i="2"/>
  <c r="E1260" i="2"/>
  <c r="C1260" i="2"/>
  <c r="F1259" i="2"/>
  <c r="E1259" i="2"/>
  <c r="C1259" i="2"/>
  <c r="F1258" i="2"/>
  <c r="E1258" i="2"/>
  <c r="C1258" i="2"/>
  <c r="F1257" i="2"/>
  <c r="E1257" i="2"/>
  <c r="C1257" i="2"/>
  <c r="F1256" i="2"/>
  <c r="E1256" i="2"/>
  <c r="C1256" i="2"/>
  <c r="F1255" i="2"/>
  <c r="E1255" i="2"/>
  <c r="C1255" i="2"/>
  <c r="F1254" i="2"/>
  <c r="E1254" i="2"/>
  <c r="C1254" i="2"/>
  <c r="F1253" i="2"/>
  <c r="E1253" i="2"/>
  <c r="C1253" i="2"/>
  <c r="F1252" i="2"/>
  <c r="E1252" i="2"/>
  <c r="C1252" i="2"/>
  <c r="F1251" i="2"/>
  <c r="E1251" i="2"/>
  <c r="C1251" i="2"/>
  <c r="F1250" i="2"/>
  <c r="E1250" i="2"/>
  <c r="C1250" i="2"/>
  <c r="F1249" i="2"/>
  <c r="E1249" i="2"/>
  <c r="C1249" i="2"/>
  <c r="F1248" i="2"/>
  <c r="E1248" i="2"/>
  <c r="C1248" i="2"/>
  <c r="F1247" i="2"/>
  <c r="E1247" i="2"/>
  <c r="C1247" i="2"/>
  <c r="F1246" i="2"/>
  <c r="E1246" i="2"/>
  <c r="C1246" i="2"/>
  <c r="F1245" i="2"/>
  <c r="E1245" i="2"/>
  <c r="C1245" i="2"/>
  <c r="F1244" i="2"/>
  <c r="E1244" i="2"/>
  <c r="C1244" i="2"/>
  <c r="F1243" i="2"/>
  <c r="E1243" i="2"/>
  <c r="C1243" i="2"/>
  <c r="F1242" i="2"/>
  <c r="E1242" i="2"/>
  <c r="C1242" i="2"/>
  <c r="F1241" i="2"/>
  <c r="E1241" i="2"/>
  <c r="C1241" i="2"/>
  <c r="F1240" i="2"/>
  <c r="E1240" i="2"/>
  <c r="C1240" i="2"/>
  <c r="F1239" i="2"/>
  <c r="E1239" i="2"/>
  <c r="C1239" i="2"/>
  <c r="F1238" i="2"/>
  <c r="E1238" i="2"/>
  <c r="C1238" i="2"/>
  <c r="F1237" i="2"/>
  <c r="E1237" i="2"/>
  <c r="C1237" i="2"/>
  <c r="F1236" i="2"/>
  <c r="E1236" i="2"/>
  <c r="C1236" i="2"/>
  <c r="F1235" i="2"/>
  <c r="E1235" i="2"/>
  <c r="C1235" i="2"/>
  <c r="F1234" i="2"/>
  <c r="E1234" i="2"/>
  <c r="C1234" i="2"/>
  <c r="F1233" i="2"/>
  <c r="E1233" i="2"/>
  <c r="C1233" i="2"/>
  <c r="F1232" i="2"/>
  <c r="E1232" i="2"/>
  <c r="C1232" i="2"/>
  <c r="F1231" i="2"/>
  <c r="E1231" i="2"/>
  <c r="C1231" i="2"/>
  <c r="F1230" i="2"/>
  <c r="E1230" i="2"/>
  <c r="C1230" i="2"/>
  <c r="F1229" i="2"/>
  <c r="E1229" i="2"/>
  <c r="C1229" i="2"/>
  <c r="F1228" i="2"/>
  <c r="E1228" i="2"/>
  <c r="C1228" i="2"/>
  <c r="F1227" i="2"/>
  <c r="E1227" i="2"/>
  <c r="C1227" i="2"/>
  <c r="F1226" i="2"/>
  <c r="E1226" i="2"/>
  <c r="C1226" i="2"/>
  <c r="F1225" i="2"/>
  <c r="E1225" i="2"/>
  <c r="C1225" i="2"/>
  <c r="F1224" i="2"/>
  <c r="E1224" i="2"/>
  <c r="C1224" i="2"/>
  <c r="F1223" i="2"/>
  <c r="E1223" i="2"/>
  <c r="C1223" i="2"/>
  <c r="F1222" i="2"/>
  <c r="E1222" i="2"/>
  <c r="C1222" i="2"/>
  <c r="F1221" i="2"/>
  <c r="E1221" i="2"/>
  <c r="C1221" i="2"/>
  <c r="F1220" i="2"/>
  <c r="E1220" i="2"/>
  <c r="C1220" i="2"/>
  <c r="F1219" i="2"/>
  <c r="E1219" i="2"/>
  <c r="C1219" i="2"/>
  <c r="F1218" i="2"/>
  <c r="E1218" i="2"/>
  <c r="C1218" i="2"/>
  <c r="F1217" i="2"/>
  <c r="E1217" i="2"/>
  <c r="C1217" i="2"/>
  <c r="F1216" i="2"/>
  <c r="E1216" i="2"/>
  <c r="C1216" i="2"/>
  <c r="I1215" i="2"/>
  <c r="F1215" i="2"/>
  <c r="E1215" i="2"/>
  <c r="C1215" i="2"/>
  <c r="I1214" i="2"/>
  <c r="F1214" i="2"/>
  <c r="E1214" i="2"/>
  <c r="C1214" i="2"/>
  <c r="I1213" i="2"/>
  <c r="F1213" i="2"/>
  <c r="E1213" i="2"/>
  <c r="C1213" i="2"/>
  <c r="I1212" i="2"/>
  <c r="F1212" i="2"/>
  <c r="E1212" i="2"/>
  <c r="C1212" i="2"/>
  <c r="I1211" i="2"/>
  <c r="F1211" i="2"/>
  <c r="E1211" i="2"/>
  <c r="C1211" i="2"/>
  <c r="I1210" i="2"/>
  <c r="F1210" i="2"/>
  <c r="E1210" i="2"/>
  <c r="C1210" i="2"/>
  <c r="I1209" i="2"/>
  <c r="F1209" i="2"/>
  <c r="E1209" i="2"/>
  <c r="C1209" i="2"/>
  <c r="I1208" i="2"/>
  <c r="F1208" i="2"/>
  <c r="E1208" i="2"/>
  <c r="C1208" i="2"/>
  <c r="I1207" i="2"/>
  <c r="F1207" i="2"/>
  <c r="E1207" i="2"/>
  <c r="C1207" i="2"/>
  <c r="I1206" i="2"/>
  <c r="F1206" i="2"/>
  <c r="E1206" i="2"/>
  <c r="C1206" i="2"/>
  <c r="I1205" i="2"/>
  <c r="F1205" i="2"/>
  <c r="E1205" i="2"/>
  <c r="C1205" i="2"/>
  <c r="I1204" i="2"/>
  <c r="F1204" i="2"/>
  <c r="E1204" i="2"/>
  <c r="C1204" i="2"/>
  <c r="I1203" i="2"/>
  <c r="F1203" i="2"/>
  <c r="E1203" i="2"/>
  <c r="C1203" i="2"/>
  <c r="I1202" i="2"/>
  <c r="F1202" i="2"/>
  <c r="E1202" i="2"/>
  <c r="C1202" i="2"/>
  <c r="I1201" i="2"/>
  <c r="F1201" i="2"/>
  <c r="E1201" i="2"/>
  <c r="C1201" i="2"/>
  <c r="I1200" i="2"/>
  <c r="F1200" i="2"/>
  <c r="E1200" i="2"/>
  <c r="C1200" i="2"/>
  <c r="I1199" i="2"/>
  <c r="F1199" i="2"/>
  <c r="E1199" i="2"/>
  <c r="C1199" i="2"/>
  <c r="I1198" i="2"/>
  <c r="F1198" i="2"/>
  <c r="E1198" i="2"/>
  <c r="C1198" i="2"/>
  <c r="I1197" i="2"/>
  <c r="F1197" i="2"/>
  <c r="E1197" i="2"/>
  <c r="C1197" i="2"/>
  <c r="I1196" i="2"/>
  <c r="F1196" i="2"/>
  <c r="E1196" i="2"/>
  <c r="C1196" i="2"/>
  <c r="I1195" i="2"/>
  <c r="F1195" i="2"/>
  <c r="E1195" i="2"/>
  <c r="C1195" i="2"/>
  <c r="I1194" i="2"/>
  <c r="F1194" i="2"/>
  <c r="E1194" i="2"/>
  <c r="C1194" i="2"/>
  <c r="I1193" i="2"/>
  <c r="F1193" i="2"/>
  <c r="E1193" i="2"/>
  <c r="C1193" i="2"/>
  <c r="I1192" i="2"/>
  <c r="F1192" i="2"/>
  <c r="E1192" i="2"/>
  <c r="C1192" i="2"/>
  <c r="I1191" i="2"/>
  <c r="E1191" i="2"/>
  <c r="C1191" i="2"/>
  <c r="I1190" i="2"/>
  <c r="E1190" i="2"/>
  <c r="C1190" i="2"/>
  <c r="I1189" i="2"/>
  <c r="E1189" i="2"/>
  <c r="C1189" i="2"/>
  <c r="I1188" i="2"/>
  <c r="E1188" i="2"/>
  <c r="C1188" i="2"/>
  <c r="I1187" i="2"/>
  <c r="E1187" i="2"/>
  <c r="C1187" i="2"/>
  <c r="I1186" i="2"/>
  <c r="E1186" i="2"/>
  <c r="C1186" i="2"/>
  <c r="I1185" i="2"/>
  <c r="E1185" i="2"/>
  <c r="C1185" i="2"/>
  <c r="I1184" i="2"/>
  <c r="E1184" i="2"/>
  <c r="C1184" i="2"/>
  <c r="I1183" i="2"/>
  <c r="E1183" i="2"/>
  <c r="C1183" i="2"/>
  <c r="I1182" i="2"/>
  <c r="E1182" i="2"/>
  <c r="C1182" i="2"/>
  <c r="I1181" i="2"/>
  <c r="E1181" i="2"/>
  <c r="C1181" i="2"/>
  <c r="I1180" i="2"/>
  <c r="E1180" i="2"/>
  <c r="C1180" i="2"/>
  <c r="I1179" i="2"/>
  <c r="E1179" i="2"/>
  <c r="C1179" i="2"/>
  <c r="I1178" i="2"/>
  <c r="E1178" i="2"/>
  <c r="C1178" i="2"/>
  <c r="I1177" i="2"/>
  <c r="E1177" i="2"/>
  <c r="C1177" i="2"/>
  <c r="I1176" i="2"/>
  <c r="E1176" i="2"/>
  <c r="C1176" i="2"/>
  <c r="I1175" i="2"/>
  <c r="E1175" i="2"/>
  <c r="C1175" i="2"/>
  <c r="I1174" i="2"/>
  <c r="E1174" i="2"/>
  <c r="C1174" i="2"/>
  <c r="I1173" i="2"/>
  <c r="E1173" i="2"/>
  <c r="C1173" i="2"/>
  <c r="I1172" i="2"/>
  <c r="E1172" i="2"/>
  <c r="C1172" i="2"/>
  <c r="I1171" i="2"/>
  <c r="E1171" i="2"/>
  <c r="C1171" i="2"/>
  <c r="I1170" i="2"/>
  <c r="E1170" i="2"/>
  <c r="C1170" i="2"/>
  <c r="I1169" i="2"/>
  <c r="E1169" i="2"/>
  <c r="C1169" i="2"/>
  <c r="I1168" i="2"/>
  <c r="E1168" i="2"/>
  <c r="C1168" i="2"/>
  <c r="I1167" i="2"/>
  <c r="E1167" i="2"/>
  <c r="C1167" i="2"/>
  <c r="F1166" i="2"/>
  <c r="E1166" i="2"/>
  <c r="C1166" i="2"/>
  <c r="F1165" i="2"/>
  <c r="E1165" i="2"/>
  <c r="C1165" i="2"/>
  <c r="F1164" i="2"/>
  <c r="E1164" i="2"/>
  <c r="C1164" i="2"/>
  <c r="F1163" i="2"/>
  <c r="E1163" i="2"/>
  <c r="C1163" i="2"/>
  <c r="F1162" i="2"/>
  <c r="E1162" i="2"/>
  <c r="C1162" i="2"/>
  <c r="F1161" i="2"/>
  <c r="E1161" i="2"/>
  <c r="C1161" i="2"/>
  <c r="F1160" i="2"/>
  <c r="E1160" i="2"/>
  <c r="C1160" i="2"/>
  <c r="F1159" i="2"/>
  <c r="E1159" i="2"/>
  <c r="C1159" i="2"/>
  <c r="F1158" i="2"/>
  <c r="E1158" i="2"/>
  <c r="C1158" i="2"/>
  <c r="F1157" i="2"/>
  <c r="E1157" i="2"/>
  <c r="C1157" i="2"/>
  <c r="F1156" i="2"/>
  <c r="E1156" i="2"/>
  <c r="C1156" i="2"/>
  <c r="F1155" i="2"/>
  <c r="E1155" i="2"/>
  <c r="C1155" i="2"/>
  <c r="F1154" i="2"/>
  <c r="E1154" i="2"/>
  <c r="C1154" i="2"/>
  <c r="F1153" i="2"/>
  <c r="E1153" i="2"/>
  <c r="C1153" i="2"/>
  <c r="F1152" i="2"/>
  <c r="E1152" i="2"/>
  <c r="C1152" i="2"/>
  <c r="F1151" i="2"/>
  <c r="E1151" i="2"/>
  <c r="C1151" i="2"/>
  <c r="F1150" i="2"/>
  <c r="E1150" i="2"/>
  <c r="C1150" i="2"/>
  <c r="F1149" i="2"/>
  <c r="E1149" i="2"/>
  <c r="C1149" i="2"/>
  <c r="F1148" i="2"/>
  <c r="E1148" i="2"/>
  <c r="C1148" i="2"/>
  <c r="F1147" i="2"/>
  <c r="E1147" i="2"/>
  <c r="C1147" i="2"/>
  <c r="F1146" i="2"/>
  <c r="E1146" i="2"/>
  <c r="C1146" i="2"/>
  <c r="F1145" i="2"/>
  <c r="E1145" i="2"/>
  <c r="C1145" i="2"/>
  <c r="F1144" i="2"/>
  <c r="E1144" i="2"/>
  <c r="C1144" i="2"/>
  <c r="F1143" i="2"/>
  <c r="E1143" i="2"/>
  <c r="C1143" i="2"/>
  <c r="F1142" i="2"/>
  <c r="E1142" i="2"/>
  <c r="C1142" i="2"/>
  <c r="F1141" i="2"/>
  <c r="E1141" i="2"/>
  <c r="C1141" i="2"/>
  <c r="F1140" i="2"/>
  <c r="E1140" i="2"/>
  <c r="C1140" i="2"/>
  <c r="F1139" i="2"/>
  <c r="E1139" i="2"/>
  <c r="C1139" i="2"/>
  <c r="F1138" i="2"/>
  <c r="E1138" i="2"/>
  <c r="C1138" i="2"/>
  <c r="F1137" i="2"/>
  <c r="E1137" i="2"/>
  <c r="C1137" i="2"/>
  <c r="F1136" i="2"/>
  <c r="E1136" i="2"/>
  <c r="C1136" i="2"/>
  <c r="F1135" i="2"/>
  <c r="E1135" i="2"/>
  <c r="C1135" i="2"/>
  <c r="F1134" i="2"/>
  <c r="E1134" i="2"/>
  <c r="C1134" i="2"/>
  <c r="F1133" i="2"/>
  <c r="E1133" i="2"/>
  <c r="C1133" i="2"/>
  <c r="F1132" i="2"/>
  <c r="E1132" i="2"/>
  <c r="C1132" i="2"/>
  <c r="F1131" i="2"/>
  <c r="E1131" i="2"/>
  <c r="C1131" i="2"/>
  <c r="F1130" i="2"/>
  <c r="E1130" i="2"/>
  <c r="C1130" i="2"/>
  <c r="F1129" i="2"/>
  <c r="E1129" i="2"/>
  <c r="C1129" i="2"/>
  <c r="F1128" i="2"/>
  <c r="E1128" i="2"/>
  <c r="C1128" i="2"/>
  <c r="F1127" i="2"/>
  <c r="E1127" i="2"/>
  <c r="C1127" i="2"/>
  <c r="F1126" i="2"/>
  <c r="E1126" i="2"/>
  <c r="C1126" i="2"/>
  <c r="F1125" i="2"/>
  <c r="E1125" i="2"/>
  <c r="C1125" i="2"/>
  <c r="F1124" i="2"/>
  <c r="E1124" i="2"/>
  <c r="C1124" i="2"/>
  <c r="F1123" i="2"/>
  <c r="E1123" i="2"/>
  <c r="C1123" i="2"/>
  <c r="F1122" i="2"/>
  <c r="E1122" i="2"/>
  <c r="C1122" i="2"/>
  <c r="F1121" i="2"/>
  <c r="E1121" i="2"/>
  <c r="C1121" i="2"/>
  <c r="F1120" i="2"/>
  <c r="E1120" i="2"/>
  <c r="C1120" i="2"/>
  <c r="F1119" i="2"/>
  <c r="E1119" i="2"/>
  <c r="C1119" i="2"/>
  <c r="I1118" i="2"/>
  <c r="F1118" i="2"/>
  <c r="E1118" i="2"/>
  <c r="C1118" i="2"/>
  <c r="I1117" i="2"/>
  <c r="F1117" i="2"/>
  <c r="E1117" i="2"/>
  <c r="C1117" i="2"/>
  <c r="I1116" i="2"/>
  <c r="F1116" i="2"/>
  <c r="E1116" i="2"/>
  <c r="C1116" i="2"/>
  <c r="I1115" i="2"/>
  <c r="F1115" i="2"/>
  <c r="E1115" i="2"/>
  <c r="C1115" i="2"/>
  <c r="I1114" i="2"/>
  <c r="F1114" i="2"/>
  <c r="E1114" i="2"/>
  <c r="C1114" i="2"/>
  <c r="I1113" i="2"/>
  <c r="F1113" i="2"/>
  <c r="E1113" i="2"/>
  <c r="C1113" i="2"/>
  <c r="I1112" i="2"/>
  <c r="F1112" i="2"/>
  <c r="E1112" i="2"/>
  <c r="C1112" i="2"/>
  <c r="I1111" i="2"/>
  <c r="F1111" i="2"/>
  <c r="E1111" i="2"/>
  <c r="C1111" i="2"/>
  <c r="I1110" i="2"/>
  <c r="F1110" i="2"/>
  <c r="E1110" i="2"/>
  <c r="C1110" i="2"/>
  <c r="I1109" i="2"/>
  <c r="F1109" i="2"/>
  <c r="E1109" i="2"/>
  <c r="C1109" i="2"/>
  <c r="I1108" i="2"/>
  <c r="F1108" i="2"/>
  <c r="E1108" i="2"/>
  <c r="C1108" i="2"/>
  <c r="I1107" i="2"/>
  <c r="F1107" i="2"/>
  <c r="E1107" i="2"/>
  <c r="C1107" i="2"/>
  <c r="I1106" i="2"/>
  <c r="F1106" i="2"/>
  <c r="E1106" i="2"/>
  <c r="C1106" i="2"/>
  <c r="I1105" i="2"/>
  <c r="F1105" i="2"/>
  <c r="E1105" i="2"/>
  <c r="C1105" i="2"/>
  <c r="I1104" i="2"/>
  <c r="F1104" i="2"/>
  <c r="E1104" i="2"/>
  <c r="C1104" i="2"/>
  <c r="I1103" i="2"/>
  <c r="F1103" i="2"/>
  <c r="E1103" i="2"/>
  <c r="C1103" i="2"/>
  <c r="I1102" i="2"/>
  <c r="F1102" i="2"/>
  <c r="E1102" i="2"/>
  <c r="C1102" i="2"/>
  <c r="I1101" i="2"/>
  <c r="F1101" i="2"/>
  <c r="E1101" i="2"/>
  <c r="C1101" i="2"/>
  <c r="I1100" i="2"/>
  <c r="F1100" i="2"/>
  <c r="E1100" i="2"/>
  <c r="C1100" i="2"/>
  <c r="I1099" i="2"/>
  <c r="F1099" i="2"/>
  <c r="E1099" i="2"/>
  <c r="C1099" i="2"/>
  <c r="I1098" i="2"/>
  <c r="F1098" i="2"/>
  <c r="E1098" i="2"/>
  <c r="C1098" i="2"/>
  <c r="I1097" i="2"/>
  <c r="F1097" i="2"/>
  <c r="E1097" i="2"/>
  <c r="C1097" i="2"/>
  <c r="I1096" i="2"/>
  <c r="F1096" i="2"/>
  <c r="E1096" i="2"/>
  <c r="C1096" i="2"/>
  <c r="I1095" i="2"/>
  <c r="F1095" i="2"/>
  <c r="E1095" i="2"/>
  <c r="C1095" i="2"/>
  <c r="I1094" i="2"/>
  <c r="E1094" i="2"/>
  <c r="C1094" i="2"/>
  <c r="I1093" i="2"/>
  <c r="E1093" i="2"/>
  <c r="C1093" i="2"/>
  <c r="I1092" i="2"/>
  <c r="E1092" i="2"/>
  <c r="C1092" i="2"/>
  <c r="I1091" i="2"/>
  <c r="E1091" i="2"/>
  <c r="C1091" i="2"/>
  <c r="I1090" i="2"/>
  <c r="E1090" i="2"/>
  <c r="C1090" i="2"/>
  <c r="I1089" i="2"/>
  <c r="E1089" i="2"/>
  <c r="C1089" i="2"/>
  <c r="I1088" i="2"/>
  <c r="E1088" i="2"/>
  <c r="C1088" i="2"/>
  <c r="I1087" i="2"/>
  <c r="E1087" i="2"/>
  <c r="C1087" i="2"/>
  <c r="I1086" i="2"/>
  <c r="E1086" i="2"/>
  <c r="C1086" i="2"/>
  <c r="I1085" i="2"/>
  <c r="E1085" i="2"/>
  <c r="C1085" i="2"/>
  <c r="I1084" i="2"/>
  <c r="E1084" i="2"/>
  <c r="C1084" i="2"/>
  <c r="I1083" i="2"/>
  <c r="E1083" i="2"/>
  <c r="C1083" i="2"/>
  <c r="I1082" i="2"/>
  <c r="E1082" i="2"/>
  <c r="C1082" i="2"/>
  <c r="I1081" i="2"/>
  <c r="E1081" i="2"/>
  <c r="C1081" i="2"/>
  <c r="I1080" i="2"/>
  <c r="E1080" i="2"/>
  <c r="C1080" i="2"/>
  <c r="I1079" i="2"/>
  <c r="E1079" i="2"/>
  <c r="C1079" i="2"/>
  <c r="I1078" i="2"/>
  <c r="E1078" i="2"/>
  <c r="C1078" i="2"/>
  <c r="I1077" i="2"/>
  <c r="E1077" i="2"/>
  <c r="C1077" i="2"/>
  <c r="I1076" i="2"/>
  <c r="E1076" i="2"/>
  <c r="C1076" i="2"/>
  <c r="I1075" i="2"/>
  <c r="E1075" i="2"/>
  <c r="C1075" i="2"/>
  <c r="I1074" i="2"/>
  <c r="E1074" i="2"/>
  <c r="C1074" i="2"/>
  <c r="I1073" i="2"/>
  <c r="E1073" i="2"/>
  <c r="C1073" i="2"/>
  <c r="I1072" i="2"/>
  <c r="E1072" i="2"/>
  <c r="C1072" i="2"/>
  <c r="I1071" i="2"/>
  <c r="E1071" i="2"/>
  <c r="C1071" i="2"/>
  <c r="I1070" i="2"/>
  <c r="E1070" i="2"/>
  <c r="C1070" i="2"/>
  <c r="F1069" i="2"/>
  <c r="E1069" i="2"/>
  <c r="C1069" i="2"/>
  <c r="F1068" i="2"/>
  <c r="E1068" i="2"/>
  <c r="C1068" i="2"/>
  <c r="F1067" i="2"/>
  <c r="E1067" i="2"/>
  <c r="C1067" i="2"/>
  <c r="F1066" i="2"/>
  <c r="E1066" i="2"/>
  <c r="C1066" i="2"/>
  <c r="F1065" i="2"/>
  <c r="E1065" i="2"/>
  <c r="C1065" i="2"/>
  <c r="F1064" i="2"/>
  <c r="E1064" i="2"/>
  <c r="C1064" i="2"/>
  <c r="F1063" i="2"/>
  <c r="E1063" i="2"/>
  <c r="C1063" i="2"/>
  <c r="F1062" i="2"/>
  <c r="E1062" i="2"/>
  <c r="C1062" i="2"/>
  <c r="F1061" i="2"/>
  <c r="E1061" i="2"/>
  <c r="C1061" i="2"/>
  <c r="F1060" i="2"/>
  <c r="E1060" i="2"/>
  <c r="C1060" i="2"/>
  <c r="F1059" i="2"/>
  <c r="E1059" i="2"/>
  <c r="C1059" i="2"/>
  <c r="F1058" i="2"/>
  <c r="E1058" i="2"/>
  <c r="C1058" i="2"/>
  <c r="F1057" i="2"/>
  <c r="E1057" i="2"/>
  <c r="C1057" i="2"/>
  <c r="F1056" i="2"/>
  <c r="E1056" i="2"/>
  <c r="C1056" i="2"/>
  <c r="F1055" i="2"/>
  <c r="E1055" i="2"/>
  <c r="C1055" i="2"/>
  <c r="F1054" i="2"/>
  <c r="E1054" i="2"/>
  <c r="C1054" i="2"/>
  <c r="F1053" i="2"/>
  <c r="E1053" i="2"/>
  <c r="C1053" i="2"/>
  <c r="F1052" i="2"/>
  <c r="E1052" i="2"/>
  <c r="C1052" i="2"/>
  <c r="F1051" i="2"/>
  <c r="E1051" i="2"/>
  <c r="C1051" i="2"/>
  <c r="F1050" i="2"/>
  <c r="E1050" i="2"/>
  <c r="C1050" i="2"/>
  <c r="F1049" i="2"/>
  <c r="E1049" i="2"/>
  <c r="C1049" i="2"/>
  <c r="F1048" i="2"/>
  <c r="E1048" i="2"/>
  <c r="C1048" i="2"/>
  <c r="F1047" i="2"/>
  <c r="E1047" i="2"/>
  <c r="C1047" i="2"/>
  <c r="F1046" i="2"/>
  <c r="E1046" i="2"/>
  <c r="C1046" i="2"/>
  <c r="F1045" i="2"/>
  <c r="E1045" i="2"/>
  <c r="C1045" i="2"/>
  <c r="F1044" i="2"/>
  <c r="E1044" i="2"/>
  <c r="C1044" i="2"/>
  <c r="F1043" i="2"/>
  <c r="E1043" i="2"/>
  <c r="C1043" i="2"/>
  <c r="F1042" i="2"/>
  <c r="E1042" i="2"/>
  <c r="C1042" i="2"/>
  <c r="F1041" i="2"/>
  <c r="E1041" i="2"/>
  <c r="C1041" i="2"/>
  <c r="F1040" i="2"/>
  <c r="E1040" i="2"/>
  <c r="C1040" i="2"/>
  <c r="F1039" i="2"/>
  <c r="E1039" i="2"/>
  <c r="C1039" i="2"/>
  <c r="F1038" i="2"/>
  <c r="E1038" i="2"/>
  <c r="C1038" i="2"/>
  <c r="F1037" i="2"/>
  <c r="E1037" i="2"/>
  <c r="C1037" i="2"/>
  <c r="F1036" i="2"/>
  <c r="E1036" i="2"/>
  <c r="C1036" i="2"/>
  <c r="F1035" i="2"/>
  <c r="E1035" i="2"/>
  <c r="C1035" i="2"/>
  <c r="F1034" i="2"/>
  <c r="E1034" i="2"/>
  <c r="C1034" i="2"/>
  <c r="F1033" i="2"/>
  <c r="E1033" i="2"/>
  <c r="C1033" i="2"/>
  <c r="F1032" i="2"/>
  <c r="E1032" i="2"/>
  <c r="C1032" i="2"/>
  <c r="F1031" i="2"/>
  <c r="E1031" i="2"/>
  <c r="C1031" i="2"/>
  <c r="F1030" i="2"/>
  <c r="E1030" i="2"/>
  <c r="C1030" i="2"/>
  <c r="F1029" i="2"/>
  <c r="E1029" i="2"/>
  <c r="C1029" i="2"/>
  <c r="F1028" i="2"/>
  <c r="E1028" i="2"/>
  <c r="C1028" i="2"/>
  <c r="F1027" i="2"/>
  <c r="E1027" i="2"/>
  <c r="C1027" i="2"/>
  <c r="F1026" i="2"/>
  <c r="E1026" i="2"/>
  <c r="C1026" i="2"/>
  <c r="F1025" i="2"/>
  <c r="E1025" i="2"/>
  <c r="C1025" i="2"/>
  <c r="F1024" i="2"/>
  <c r="E1024" i="2"/>
  <c r="C1024" i="2"/>
  <c r="F1023" i="2"/>
  <c r="E1023" i="2"/>
  <c r="C1023" i="2"/>
  <c r="F1022" i="2"/>
  <c r="E1022" i="2"/>
  <c r="C1022" i="2"/>
  <c r="I1021" i="2"/>
  <c r="F1021" i="2"/>
  <c r="E1021" i="2"/>
  <c r="C1021" i="2"/>
  <c r="I1020" i="2"/>
  <c r="F1020" i="2"/>
  <c r="E1020" i="2"/>
  <c r="C1020" i="2"/>
  <c r="I1019" i="2"/>
  <c r="F1019" i="2"/>
  <c r="E1019" i="2"/>
  <c r="C1019" i="2"/>
  <c r="I1018" i="2"/>
  <c r="F1018" i="2"/>
  <c r="E1018" i="2"/>
  <c r="C1018" i="2"/>
  <c r="I1017" i="2"/>
  <c r="F1017" i="2"/>
  <c r="E1017" i="2"/>
  <c r="C1017" i="2"/>
  <c r="I1016" i="2"/>
  <c r="F1016" i="2"/>
  <c r="E1016" i="2"/>
  <c r="C1016" i="2"/>
  <c r="I1015" i="2"/>
  <c r="F1015" i="2"/>
  <c r="E1015" i="2"/>
  <c r="C1015" i="2"/>
  <c r="I1014" i="2"/>
  <c r="F1014" i="2"/>
  <c r="E1014" i="2"/>
  <c r="C1014" i="2"/>
  <c r="I1013" i="2"/>
  <c r="F1013" i="2"/>
  <c r="E1013" i="2"/>
  <c r="C1013" i="2"/>
  <c r="I1012" i="2"/>
  <c r="F1012" i="2"/>
  <c r="E1012" i="2"/>
  <c r="C1012" i="2"/>
  <c r="I1011" i="2"/>
  <c r="F1011" i="2"/>
  <c r="E1011" i="2"/>
  <c r="C1011" i="2"/>
  <c r="I1010" i="2"/>
  <c r="F1010" i="2"/>
  <c r="E1010" i="2"/>
  <c r="C1010" i="2"/>
  <c r="I1009" i="2"/>
  <c r="F1009" i="2"/>
  <c r="E1009" i="2"/>
  <c r="C1009" i="2"/>
  <c r="I1008" i="2"/>
  <c r="F1008" i="2"/>
  <c r="E1008" i="2"/>
  <c r="C1008" i="2"/>
  <c r="I1007" i="2"/>
  <c r="F1007" i="2"/>
  <c r="E1007" i="2"/>
  <c r="C1007" i="2"/>
  <c r="I1006" i="2"/>
  <c r="F1006" i="2"/>
  <c r="E1006" i="2"/>
  <c r="C1006" i="2"/>
  <c r="I1005" i="2"/>
  <c r="F1005" i="2"/>
  <c r="E1005" i="2"/>
  <c r="C1005" i="2"/>
  <c r="I1004" i="2"/>
  <c r="F1004" i="2"/>
  <c r="E1004" i="2"/>
  <c r="C1004" i="2"/>
  <c r="I1003" i="2"/>
  <c r="F1003" i="2"/>
  <c r="E1003" i="2"/>
  <c r="C1003" i="2"/>
  <c r="I1002" i="2"/>
  <c r="F1002" i="2"/>
  <c r="E1002" i="2"/>
  <c r="C1002" i="2"/>
  <c r="I1001" i="2"/>
  <c r="F1001" i="2"/>
  <c r="E1001" i="2"/>
  <c r="C1001" i="2"/>
  <c r="I1000" i="2"/>
  <c r="F1000" i="2"/>
  <c r="E1000" i="2"/>
  <c r="C1000" i="2"/>
  <c r="I999" i="2"/>
  <c r="F999" i="2"/>
  <c r="E999" i="2"/>
  <c r="C999" i="2"/>
  <c r="I998" i="2"/>
  <c r="F998" i="2"/>
  <c r="E998" i="2"/>
  <c r="C998" i="2"/>
  <c r="I997" i="2"/>
  <c r="E997" i="2"/>
  <c r="C997" i="2"/>
  <c r="I996" i="2"/>
  <c r="E996" i="2"/>
  <c r="C996" i="2"/>
  <c r="I995" i="2"/>
  <c r="E995" i="2"/>
  <c r="C995" i="2"/>
  <c r="I994" i="2"/>
  <c r="E994" i="2"/>
  <c r="C994" i="2"/>
  <c r="I993" i="2"/>
  <c r="E993" i="2"/>
  <c r="C993" i="2"/>
  <c r="I992" i="2"/>
  <c r="E992" i="2"/>
  <c r="C992" i="2"/>
  <c r="I991" i="2"/>
  <c r="E991" i="2"/>
  <c r="C991" i="2"/>
  <c r="I990" i="2"/>
  <c r="E990" i="2"/>
  <c r="C990" i="2"/>
  <c r="I989" i="2"/>
  <c r="E989" i="2"/>
  <c r="C989" i="2"/>
  <c r="I988" i="2"/>
  <c r="E988" i="2"/>
  <c r="C988" i="2"/>
  <c r="I987" i="2"/>
  <c r="E987" i="2"/>
  <c r="C987" i="2"/>
  <c r="I986" i="2"/>
  <c r="E986" i="2"/>
  <c r="C986" i="2"/>
  <c r="I985" i="2"/>
  <c r="E985" i="2"/>
  <c r="C985" i="2"/>
  <c r="I984" i="2"/>
  <c r="E984" i="2"/>
  <c r="C984" i="2"/>
  <c r="I983" i="2"/>
  <c r="E983" i="2"/>
  <c r="C983" i="2"/>
  <c r="I982" i="2"/>
  <c r="E982" i="2"/>
  <c r="C982" i="2"/>
  <c r="I981" i="2"/>
  <c r="E981" i="2"/>
  <c r="C981" i="2"/>
  <c r="I980" i="2"/>
  <c r="E980" i="2"/>
  <c r="C980" i="2"/>
  <c r="I979" i="2"/>
  <c r="E979" i="2"/>
  <c r="C979" i="2"/>
  <c r="I978" i="2"/>
  <c r="E978" i="2"/>
  <c r="C978" i="2"/>
  <c r="I977" i="2"/>
  <c r="E977" i="2"/>
  <c r="C977" i="2"/>
  <c r="I976" i="2"/>
  <c r="E976" i="2"/>
  <c r="C976" i="2"/>
  <c r="I975" i="2"/>
  <c r="E975" i="2"/>
  <c r="C975" i="2"/>
  <c r="I974" i="2"/>
  <c r="E974" i="2"/>
  <c r="C974" i="2"/>
  <c r="I973" i="2"/>
  <c r="E973" i="2"/>
  <c r="C973" i="2"/>
  <c r="F972" i="2"/>
  <c r="E972" i="2"/>
  <c r="C972" i="2"/>
  <c r="F971" i="2"/>
  <c r="E971" i="2"/>
  <c r="C971" i="2"/>
  <c r="F970" i="2"/>
  <c r="E970" i="2"/>
  <c r="C970" i="2"/>
  <c r="F969" i="2"/>
  <c r="E969" i="2"/>
  <c r="C969" i="2"/>
  <c r="F968" i="2"/>
  <c r="E968" i="2"/>
  <c r="C968" i="2"/>
  <c r="F967" i="2"/>
  <c r="E967" i="2"/>
  <c r="C967" i="2"/>
  <c r="F966" i="2"/>
  <c r="E966" i="2"/>
  <c r="C966" i="2"/>
  <c r="F965" i="2"/>
  <c r="E965" i="2"/>
  <c r="C965" i="2"/>
  <c r="F964" i="2"/>
  <c r="E964" i="2"/>
  <c r="C964" i="2"/>
  <c r="F963" i="2"/>
  <c r="E963" i="2"/>
  <c r="C963" i="2"/>
  <c r="F962" i="2"/>
  <c r="E962" i="2"/>
  <c r="C962" i="2"/>
  <c r="F961" i="2"/>
  <c r="E961" i="2"/>
  <c r="C961" i="2"/>
  <c r="F960" i="2"/>
  <c r="E960" i="2"/>
  <c r="C960" i="2"/>
  <c r="F959" i="2"/>
  <c r="E959" i="2"/>
  <c r="C959" i="2"/>
  <c r="F958" i="2"/>
  <c r="E958" i="2"/>
  <c r="C958" i="2"/>
  <c r="F957" i="2"/>
  <c r="E957" i="2"/>
  <c r="C957" i="2"/>
  <c r="F956" i="2"/>
  <c r="E956" i="2"/>
  <c r="C956" i="2"/>
  <c r="F955" i="2"/>
  <c r="E955" i="2"/>
  <c r="C955" i="2"/>
  <c r="F954" i="2"/>
  <c r="E954" i="2"/>
  <c r="C954" i="2"/>
  <c r="F953" i="2"/>
  <c r="E953" i="2"/>
  <c r="C953" i="2"/>
  <c r="F952" i="2"/>
  <c r="E952" i="2"/>
  <c r="C952" i="2"/>
  <c r="F951" i="2"/>
  <c r="E951" i="2"/>
  <c r="C951" i="2"/>
  <c r="F950" i="2"/>
  <c r="E950" i="2"/>
  <c r="C950" i="2"/>
  <c r="F949" i="2"/>
  <c r="E949" i="2"/>
  <c r="C949" i="2"/>
  <c r="F948" i="2"/>
  <c r="E948" i="2"/>
  <c r="C948" i="2"/>
  <c r="F947" i="2"/>
  <c r="E947" i="2"/>
  <c r="C947" i="2"/>
  <c r="F946" i="2"/>
  <c r="E946" i="2"/>
  <c r="C946" i="2"/>
  <c r="F945" i="2"/>
  <c r="E945" i="2"/>
  <c r="C945" i="2"/>
  <c r="F944" i="2"/>
  <c r="E944" i="2"/>
  <c r="C944" i="2"/>
  <c r="F943" i="2"/>
  <c r="E943" i="2"/>
  <c r="C943" i="2"/>
  <c r="F942" i="2"/>
  <c r="E942" i="2"/>
  <c r="C942" i="2"/>
  <c r="F941" i="2"/>
  <c r="E941" i="2"/>
  <c r="C941" i="2"/>
  <c r="F940" i="2"/>
  <c r="E940" i="2"/>
  <c r="C940" i="2"/>
  <c r="F939" i="2"/>
  <c r="E939" i="2"/>
  <c r="C939" i="2"/>
  <c r="F938" i="2"/>
  <c r="E938" i="2"/>
  <c r="C938" i="2"/>
  <c r="F937" i="2"/>
  <c r="E937" i="2"/>
  <c r="C937" i="2"/>
  <c r="F936" i="2"/>
  <c r="E936" i="2"/>
  <c r="C936" i="2"/>
  <c r="F935" i="2"/>
  <c r="E935" i="2"/>
  <c r="C935" i="2"/>
  <c r="F934" i="2"/>
  <c r="E934" i="2"/>
  <c r="C934" i="2"/>
  <c r="F933" i="2"/>
  <c r="E933" i="2"/>
  <c r="C933" i="2"/>
  <c r="F932" i="2"/>
  <c r="E932" i="2"/>
  <c r="C932" i="2"/>
  <c r="F931" i="2"/>
  <c r="E931" i="2"/>
  <c r="C931" i="2"/>
  <c r="F930" i="2"/>
  <c r="E930" i="2"/>
  <c r="C930" i="2"/>
  <c r="F929" i="2"/>
  <c r="E929" i="2"/>
  <c r="C929" i="2"/>
  <c r="F928" i="2"/>
  <c r="E928" i="2"/>
  <c r="C928" i="2"/>
  <c r="F927" i="2"/>
  <c r="E927" i="2"/>
  <c r="C927" i="2"/>
  <c r="F926" i="2"/>
  <c r="E926" i="2"/>
  <c r="C926" i="2"/>
  <c r="F925" i="2"/>
  <c r="E925" i="2"/>
  <c r="C925" i="2"/>
  <c r="I924" i="2"/>
  <c r="F924" i="2"/>
  <c r="E924" i="2"/>
  <c r="C924" i="2"/>
  <c r="I923" i="2"/>
  <c r="F923" i="2"/>
  <c r="E923" i="2"/>
  <c r="C923" i="2"/>
  <c r="I922" i="2"/>
  <c r="F922" i="2"/>
  <c r="E922" i="2"/>
  <c r="C922" i="2"/>
  <c r="I921" i="2"/>
  <c r="F921" i="2"/>
  <c r="E921" i="2"/>
  <c r="C921" i="2"/>
  <c r="I920" i="2"/>
  <c r="F920" i="2"/>
  <c r="E920" i="2"/>
  <c r="C920" i="2"/>
  <c r="I919" i="2"/>
  <c r="F919" i="2"/>
  <c r="E919" i="2"/>
  <c r="C919" i="2"/>
  <c r="I918" i="2"/>
  <c r="F918" i="2"/>
  <c r="E918" i="2"/>
  <c r="C918" i="2"/>
  <c r="I917" i="2"/>
  <c r="F917" i="2"/>
  <c r="E917" i="2"/>
  <c r="C917" i="2"/>
  <c r="I916" i="2"/>
  <c r="F916" i="2"/>
  <c r="E916" i="2"/>
  <c r="C916" i="2"/>
  <c r="I915" i="2"/>
  <c r="F915" i="2"/>
  <c r="E915" i="2"/>
  <c r="C915" i="2"/>
  <c r="I914" i="2"/>
  <c r="F914" i="2"/>
  <c r="E914" i="2"/>
  <c r="C914" i="2"/>
  <c r="I913" i="2"/>
  <c r="F913" i="2"/>
  <c r="E913" i="2"/>
  <c r="C913" i="2"/>
  <c r="I912" i="2"/>
  <c r="F912" i="2"/>
  <c r="E912" i="2"/>
  <c r="C912" i="2"/>
  <c r="I911" i="2"/>
  <c r="F911" i="2"/>
  <c r="E911" i="2"/>
  <c r="C911" i="2"/>
  <c r="I910" i="2"/>
  <c r="F910" i="2"/>
  <c r="E910" i="2"/>
  <c r="C910" i="2"/>
  <c r="I909" i="2"/>
  <c r="F909" i="2"/>
  <c r="E909" i="2"/>
  <c r="C909" i="2"/>
  <c r="I908" i="2"/>
  <c r="F908" i="2"/>
  <c r="E908" i="2"/>
  <c r="C908" i="2"/>
  <c r="I907" i="2"/>
  <c r="F907" i="2"/>
  <c r="E907" i="2"/>
  <c r="C907" i="2"/>
  <c r="I906" i="2"/>
  <c r="F906" i="2"/>
  <c r="E906" i="2"/>
  <c r="C906" i="2"/>
  <c r="I905" i="2"/>
  <c r="F905" i="2"/>
  <c r="E905" i="2"/>
  <c r="C905" i="2"/>
  <c r="I904" i="2"/>
  <c r="F904" i="2"/>
  <c r="E904" i="2"/>
  <c r="C904" i="2"/>
  <c r="I903" i="2"/>
  <c r="F903" i="2"/>
  <c r="E903" i="2"/>
  <c r="C903" i="2"/>
  <c r="I902" i="2"/>
  <c r="F902" i="2"/>
  <c r="E902" i="2"/>
  <c r="C902" i="2"/>
  <c r="I901" i="2"/>
  <c r="F901" i="2"/>
  <c r="E901" i="2"/>
  <c r="C901" i="2"/>
  <c r="I900" i="2"/>
  <c r="E900" i="2"/>
  <c r="C900" i="2"/>
  <c r="I899" i="2"/>
  <c r="E899" i="2"/>
  <c r="C899" i="2"/>
  <c r="I898" i="2"/>
  <c r="E898" i="2"/>
  <c r="C898" i="2"/>
  <c r="I897" i="2"/>
  <c r="E897" i="2"/>
  <c r="C897" i="2"/>
  <c r="I896" i="2"/>
  <c r="E896" i="2"/>
  <c r="C896" i="2"/>
  <c r="I895" i="2"/>
  <c r="E895" i="2"/>
  <c r="C895" i="2"/>
  <c r="I894" i="2"/>
  <c r="E894" i="2"/>
  <c r="C894" i="2"/>
  <c r="I893" i="2"/>
  <c r="E893" i="2"/>
  <c r="C893" i="2"/>
  <c r="I892" i="2"/>
  <c r="E892" i="2"/>
  <c r="C892" i="2"/>
  <c r="I891" i="2"/>
  <c r="E891" i="2"/>
  <c r="C891" i="2"/>
  <c r="I890" i="2"/>
  <c r="E890" i="2"/>
  <c r="C890" i="2"/>
  <c r="I889" i="2"/>
  <c r="E889" i="2"/>
  <c r="C889" i="2"/>
  <c r="I888" i="2"/>
  <c r="E888" i="2"/>
  <c r="C888" i="2"/>
  <c r="I887" i="2"/>
  <c r="E887" i="2"/>
  <c r="C887" i="2"/>
  <c r="I886" i="2"/>
  <c r="E886" i="2"/>
  <c r="C886" i="2"/>
  <c r="I885" i="2"/>
  <c r="E885" i="2"/>
  <c r="C885" i="2"/>
  <c r="I884" i="2"/>
  <c r="E884" i="2"/>
  <c r="C884" i="2"/>
  <c r="I883" i="2"/>
  <c r="E883" i="2"/>
  <c r="C883" i="2"/>
  <c r="I882" i="2"/>
  <c r="E882" i="2"/>
  <c r="C882" i="2"/>
  <c r="I881" i="2"/>
  <c r="E881" i="2"/>
  <c r="C881" i="2"/>
  <c r="I880" i="2"/>
  <c r="E880" i="2"/>
  <c r="C880" i="2"/>
  <c r="I879" i="2"/>
  <c r="E879" i="2"/>
  <c r="C879" i="2"/>
  <c r="I878" i="2"/>
  <c r="E878" i="2"/>
  <c r="C878" i="2"/>
  <c r="I877" i="2"/>
  <c r="E877" i="2"/>
  <c r="C877" i="2"/>
  <c r="I876" i="2"/>
  <c r="E876" i="2"/>
  <c r="C876" i="2"/>
  <c r="F875" i="2"/>
  <c r="E875" i="2"/>
  <c r="C875" i="2"/>
  <c r="F874" i="2"/>
  <c r="E874" i="2"/>
  <c r="C874" i="2"/>
  <c r="F873" i="2"/>
  <c r="E873" i="2"/>
  <c r="C873" i="2"/>
  <c r="F872" i="2"/>
  <c r="E872" i="2"/>
  <c r="C872" i="2"/>
  <c r="F871" i="2"/>
  <c r="E871" i="2"/>
  <c r="C871" i="2"/>
  <c r="F870" i="2"/>
  <c r="E870" i="2"/>
  <c r="C870" i="2"/>
  <c r="F869" i="2"/>
  <c r="E869" i="2"/>
  <c r="C869" i="2"/>
  <c r="F868" i="2"/>
  <c r="E868" i="2"/>
  <c r="C868" i="2"/>
  <c r="F867" i="2"/>
  <c r="E867" i="2"/>
  <c r="C867" i="2"/>
  <c r="F866" i="2"/>
  <c r="E866" i="2"/>
  <c r="C866" i="2"/>
  <c r="F865" i="2"/>
  <c r="E865" i="2"/>
  <c r="C865" i="2"/>
  <c r="F864" i="2"/>
  <c r="E864" i="2"/>
  <c r="C864" i="2"/>
  <c r="F863" i="2"/>
  <c r="E863" i="2"/>
  <c r="C863" i="2"/>
  <c r="F862" i="2"/>
  <c r="E862" i="2"/>
  <c r="C862" i="2"/>
  <c r="F861" i="2"/>
  <c r="E861" i="2"/>
  <c r="C861" i="2"/>
  <c r="F860" i="2"/>
  <c r="E860" i="2"/>
  <c r="C860" i="2"/>
  <c r="F859" i="2"/>
  <c r="E859" i="2"/>
  <c r="C859" i="2"/>
  <c r="F858" i="2"/>
  <c r="E858" i="2"/>
  <c r="C858" i="2"/>
  <c r="F857" i="2"/>
  <c r="E857" i="2"/>
  <c r="C857" i="2"/>
  <c r="F856" i="2"/>
  <c r="E856" i="2"/>
  <c r="C856" i="2"/>
  <c r="F855" i="2"/>
  <c r="E855" i="2"/>
  <c r="C855" i="2"/>
  <c r="F854" i="2"/>
  <c r="E854" i="2"/>
  <c r="C854" i="2"/>
  <c r="F853" i="2"/>
  <c r="E853" i="2"/>
  <c r="C853" i="2"/>
  <c r="F852" i="2"/>
  <c r="E852" i="2"/>
  <c r="C852" i="2"/>
  <c r="F851" i="2"/>
  <c r="E851" i="2"/>
  <c r="C851" i="2"/>
  <c r="F850" i="2"/>
  <c r="E850" i="2"/>
  <c r="C850" i="2"/>
  <c r="F849" i="2"/>
  <c r="E849" i="2"/>
  <c r="C849" i="2"/>
  <c r="F848" i="2"/>
  <c r="E848" i="2"/>
  <c r="C848" i="2"/>
  <c r="F847" i="2"/>
  <c r="E847" i="2"/>
  <c r="C847" i="2"/>
  <c r="F846" i="2"/>
  <c r="E846" i="2"/>
  <c r="C846" i="2"/>
  <c r="F845" i="2"/>
  <c r="E845" i="2"/>
  <c r="C845" i="2"/>
  <c r="F844" i="2"/>
  <c r="E844" i="2"/>
  <c r="C844" i="2"/>
  <c r="F843" i="2"/>
  <c r="E843" i="2"/>
  <c r="C843" i="2"/>
  <c r="F842" i="2"/>
  <c r="E842" i="2"/>
  <c r="C842" i="2"/>
  <c r="F841" i="2"/>
  <c r="E841" i="2"/>
  <c r="C841" i="2"/>
  <c r="F840" i="2"/>
  <c r="E840" i="2"/>
  <c r="C840" i="2"/>
  <c r="F839" i="2"/>
  <c r="E839" i="2"/>
  <c r="C839" i="2"/>
  <c r="F838" i="2"/>
  <c r="E838" i="2"/>
  <c r="C838" i="2"/>
  <c r="F837" i="2"/>
  <c r="E837" i="2"/>
  <c r="C837" i="2"/>
  <c r="F836" i="2"/>
  <c r="E836" i="2"/>
  <c r="C836" i="2"/>
  <c r="F835" i="2"/>
  <c r="E835" i="2"/>
  <c r="C835" i="2"/>
  <c r="F834" i="2"/>
  <c r="E834" i="2"/>
  <c r="C834" i="2"/>
  <c r="F833" i="2"/>
  <c r="E833" i="2"/>
  <c r="C833" i="2"/>
  <c r="F832" i="2"/>
  <c r="E832" i="2"/>
  <c r="C832" i="2"/>
  <c r="F831" i="2"/>
  <c r="E831" i="2"/>
  <c r="C831" i="2"/>
  <c r="F830" i="2"/>
  <c r="E830" i="2"/>
  <c r="C830" i="2"/>
  <c r="F829" i="2"/>
  <c r="E829" i="2"/>
  <c r="C829" i="2"/>
  <c r="F828" i="2"/>
  <c r="E828" i="2"/>
  <c r="C828" i="2"/>
  <c r="I827" i="2"/>
  <c r="F827" i="2"/>
  <c r="E827" i="2"/>
  <c r="C827" i="2"/>
  <c r="I826" i="2"/>
  <c r="F826" i="2"/>
  <c r="E826" i="2"/>
  <c r="C826" i="2"/>
  <c r="I825" i="2"/>
  <c r="F825" i="2"/>
  <c r="E825" i="2"/>
  <c r="C825" i="2"/>
  <c r="I824" i="2"/>
  <c r="F824" i="2"/>
  <c r="E824" i="2"/>
  <c r="C824" i="2"/>
  <c r="I823" i="2"/>
  <c r="F823" i="2"/>
  <c r="E823" i="2"/>
  <c r="C823" i="2"/>
  <c r="I822" i="2"/>
  <c r="F822" i="2"/>
  <c r="E822" i="2"/>
  <c r="C822" i="2"/>
  <c r="I821" i="2"/>
  <c r="F821" i="2"/>
  <c r="E821" i="2"/>
  <c r="C821" i="2"/>
  <c r="I820" i="2"/>
  <c r="F820" i="2"/>
  <c r="E820" i="2"/>
  <c r="C820" i="2"/>
  <c r="I819" i="2"/>
  <c r="F819" i="2"/>
  <c r="E819" i="2"/>
  <c r="C819" i="2"/>
  <c r="I818" i="2"/>
  <c r="F818" i="2"/>
  <c r="E818" i="2"/>
  <c r="C818" i="2"/>
  <c r="I817" i="2"/>
  <c r="F817" i="2"/>
  <c r="E817" i="2"/>
  <c r="C817" i="2"/>
  <c r="I816" i="2"/>
  <c r="F816" i="2"/>
  <c r="E816" i="2"/>
  <c r="C816" i="2"/>
  <c r="I815" i="2"/>
  <c r="F815" i="2"/>
  <c r="E815" i="2"/>
  <c r="C815" i="2"/>
  <c r="I814" i="2"/>
  <c r="F814" i="2"/>
  <c r="E814" i="2"/>
  <c r="C814" i="2"/>
  <c r="I813" i="2"/>
  <c r="F813" i="2"/>
  <c r="E813" i="2"/>
  <c r="C813" i="2"/>
  <c r="I812" i="2"/>
  <c r="F812" i="2"/>
  <c r="E812" i="2"/>
  <c r="C812" i="2"/>
  <c r="I811" i="2"/>
  <c r="F811" i="2"/>
  <c r="E811" i="2"/>
  <c r="C811" i="2"/>
  <c r="I810" i="2"/>
  <c r="F810" i="2"/>
  <c r="E810" i="2"/>
  <c r="C810" i="2"/>
  <c r="I809" i="2"/>
  <c r="F809" i="2"/>
  <c r="E809" i="2"/>
  <c r="C809" i="2"/>
  <c r="I808" i="2"/>
  <c r="F808" i="2"/>
  <c r="E808" i="2"/>
  <c r="C808" i="2"/>
  <c r="I807" i="2"/>
  <c r="F807" i="2"/>
  <c r="E807" i="2"/>
  <c r="C807" i="2"/>
  <c r="I806" i="2"/>
  <c r="F806" i="2"/>
  <c r="E806" i="2"/>
  <c r="C806" i="2"/>
  <c r="I805" i="2"/>
  <c r="F805" i="2"/>
  <c r="E805" i="2"/>
  <c r="C805" i="2"/>
  <c r="I804" i="2"/>
  <c r="F804" i="2"/>
  <c r="E804" i="2"/>
  <c r="C804" i="2"/>
  <c r="I803" i="2"/>
  <c r="E803" i="2"/>
  <c r="C803" i="2"/>
  <c r="I802" i="2"/>
  <c r="E802" i="2"/>
  <c r="C802" i="2"/>
  <c r="I801" i="2"/>
  <c r="E801" i="2"/>
  <c r="C801" i="2"/>
  <c r="I800" i="2"/>
  <c r="E800" i="2"/>
  <c r="C800" i="2"/>
  <c r="I799" i="2"/>
  <c r="E799" i="2"/>
  <c r="C799" i="2"/>
  <c r="I798" i="2"/>
  <c r="E798" i="2"/>
  <c r="C798" i="2"/>
  <c r="I797" i="2"/>
  <c r="E797" i="2"/>
  <c r="C797" i="2"/>
  <c r="I796" i="2"/>
  <c r="E796" i="2"/>
  <c r="C796" i="2"/>
  <c r="I795" i="2"/>
  <c r="E795" i="2"/>
  <c r="C795" i="2"/>
  <c r="I794" i="2"/>
  <c r="E794" i="2"/>
  <c r="C794" i="2"/>
  <c r="I793" i="2"/>
  <c r="E793" i="2"/>
  <c r="C793" i="2"/>
  <c r="I792" i="2"/>
  <c r="E792" i="2"/>
  <c r="C792" i="2"/>
  <c r="I791" i="2"/>
  <c r="E791" i="2"/>
  <c r="C791" i="2"/>
  <c r="I790" i="2"/>
  <c r="E790" i="2"/>
  <c r="C790" i="2"/>
  <c r="I789" i="2"/>
  <c r="E789" i="2"/>
  <c r="C789" i="2"/>
  <c r="I788" i="2"/>
  <c r="E788" i="2"/>
  <c r="C788" i="2"/>
  <c r="I787" i="2"/>
  <c r="E787" i="2"/>
  <c r="C787" i="2"/>
  <c r="I786" i="2"/>
  <c r="E786" i="2"/>
  <c r="C786" i="2"/>
  <c r="I785" i="2"/>
  <c r="E785" i="2"/>
  <c r="C785" i="2"/>
  <c r="I784" i="2"/>
  <c r="E784" i="2"/>
  <c r="C784" i="2"/>
  <c r="I783" i="2"/>
  <c r="E783" i="2"/>
  <c r="C783" i="2"/>
  <c r="I782" i="2"/>
  <c r="E782" i="2"/>
  <c r="C782" i="2"/>
  <c r="I781" i="2"/>
  <c r="E781" i="2"/>
  <c r="C781" i="2"/>
  <c r="I780" i="2"/>
  <c r="E780" i="2"/>
  <c r="C780" i="2"/>
  <c r="I779" i="2"/>
  <c r="E779" i="2"/>
  <c r="C779" i="2"/>
  <c r="F778" i="2"/>
  <c r="E778" i="2"/>
  <c r="C778" i="2"/>
  <c r="F777" i="2"/>
  <c r="E777" i="2"/>
  <c r="C777" i="2"/>
  <c r="F776" i="2"/>
  <c r="E776" i="2"/>
  <c r="C776" i="2"/>
  <c r="F775" i="2"/>
  <c r="E775" i="2"/>
  <c r="C775" i="2"/>
  <c r="F774" i="2"/>
  <c r="E774" i="2"/>
  <c r="C774" i="2"/>
  <c r="F773" i="2"/>
  <c r="E773" i="2"/>
  <c r="C773" i="2"/>
  <c r="F772" i="2"/>
  <c r="E772" i="2"/>
  <c r="C772" i="2"/>
  <c r="F771" i="2"/>
  <c r="E771" i="2"/>
  <c r="C771" i="2"/>
  <c r="F770" i="2"/>
  <c r="E770" i="2"/>
  <c r="C770" i="2"/>
  <c r="F769" i="2"/>
  <c r="E769" i="2"/>
  <c r="C769" i="2"/>
  <c r="F768" i="2"/>
  <c r="E768" i="2"/>
  <c r="C768" i="2"/>
  <c r="F767" i="2"/>
  <c r="E767" i="2"/>
  <c r="C767" i="2"/>
  <c r="F766" i="2"/>
  <c r="E766" i="2"/>
  <c r="C766" i="2"/>
  <c r="F765" i="2"/>
  <c r="E765" i="2"/>
  <c r="C765" i="2"/>
  <c r="F764" i="2"/>
  <c r="E764" i="2"/>
  <c r="C764" i="2"/>
  <c r="F763" i="2"/>
  <c r="E763" i="2"/>
  <c r="C763" i="2"/>
  <c r="F762" i="2"/>
  <c r="E762" i="2"/>
  <c r="C762" i="2"/>
  <c r="F761" i="2"/>
  <c r="E761" i="2"/>
  <c r="C761" i="2"/>
  <c r="F760" i="2"/>
  <c r="E760" i="2"/>
  <c r="C760" i="2"/>
  <c r="F759" i="2"/>
  <c r="E759" i="2"/>
  <c r="C759" i="2"/>
  <c r="F758" i="2"/>
  <c r="E758" i="2"/>
  <c r="C758" i="2"/>
  <c r="F757" i="2"/>
  <c r="E757" i="2"/>
  <c r="C757" i="2"/>
  <c r="F756" i="2"/>
  <c r="E756" i="2"/>
  <c r="C756" i="2"/>
  <c r="F755" i="2"/>
  <c r="E755" i="2"/>
  <c r="C755" i="2"/>
  <c r="F754" i="2"/>
  <c r="E754" i="2"/>
  <c r="C754" i="2"/>
  <c r="F753" i="2"/>
  <c r="E753" i="2"/>
  <c r="C753" i="2"/>
  <c r="F752" i="2"/>
  <c r="E752" i="2"/>
  <c r="C752" i="2"/>
  <c r="F751" i="2"/>
  <c r="E751" i="2"/>
  <c r="C751" i="2"/>
  <c r="F750" i="2"/>
  <c r="E750" i="2"/>
  <c r="C750" i="2"/>
  <c r="F749" i="2"/>
  <c r="E749" i="2"/>
  <c r="C749" i="2"/>
  <c r="F748" i="2"/>
  <c r="E748" i="2"/>
  <c r="C748" i="2"/>
  <c r="F747" i="2"/>
  <c r="E747" i="2"/>
  <c r="C747" i="2"/>
  <c r="F746" i="2"/>
  <c r="E746" i="2"/>
  <c r="C746" i="2"/>
  <c r="F745" i="2"/>
  <c r="E745" i="2"/>
  <c r="C745" i="2"/>
  <c r="F744" i="2"/>
  <c r="E744" i="2"/>
  <c r="C744" i="2"/>
  <c r="F743" i="2"/>
  <c r="E743" i="2"/>
  <c r="C743" i="2"/>
  <c r="F742" i="2"/>
  <c r="E742" i="2"/>
  <c r="C742" i="2"/>
  <c r="F741" i="2"/>
  <c r="E741" i="2"/>
  <c r="C741" i="2"/>
  <c r="F740" i="2"/>
  <c r="E740" i="2"/>
  <c r="C740" i="2"/>
  <c r="F739" i="2"/>
  <c r="E739" i="2"/>
  <c r="C739" i="2"/>
  <c r="F738" i="2"/>
  <c r="E738" i="2"/>
  <c r="C738" i="2"/>
  <c r="F737" i="2"/>
  <c r="E737" i="2"/>
  <c r="C737" i="2"/>
  <c r="F736" i="2"/>
  <c r="E736" i="2"/>
  <c r="C736" i="2"/>
  <c r="F735" i="2"/>
  <c r="E735" i="2"/>
  <c r="C735" i="2"/>
  <c r="F734" i="2"/>
  <c r="E734" i="2"/>
  <c r="C734" i="2"/>
  <c r="F733" i="2"/>
  <c r="E733" i="2"/>
  <c r="C733" i="2"/>
  <c r="F732" i="2"/>
  <c r="E732" i="2"/>
  <c r="C732" i="2"/>
  <c r="F731" i="2"/>
  <c r="E731" i="2"/>
  <c r="C731" i="2"/>
  <c r="I730" i="2"/>
  <c r="F730" i="2"/>
  <c r="E730" i="2"/>
  <c r="C730" i="2"/>
  <c r="I729" i="2"/>
  <c r="F729" i="2"/>
  <c r="E729" i="2"/>
  <c r="C729" i="2"/>
  <c r="I728" i="2"/>
  <c r="F728" i="2"/>
  <c r="E728" i="2"/>
  <c r="C728" i="2"/>
  <c r="I727" i="2"/>
  <c r="F727" i="2"/>
  <c r="E727" i="2"/>
  <c r="C727" i="2"/>
  <c r="I726" i="2"/>
  <c r="F726" i="2"/>
  <c r="E726" i="2"/>
  <c r="C726" i="2"/>
  <c r="I725" i="2"/>
  <c r="F725" i="2"/>
  <c r="E725" i="2"/>
  <c r="C725" i="2"/>
  <c r="I724" i="2"/>
  <c r="F724" i="2"/>
  <c r="E724" i="2"/>
  <c r="C724" i="2"/>
  <c r="I723" i="2"/>
  <c r="F723" i="2"/>
  <c r="E723" i="2"/>
  <c r="C723" i="2"/>
  <c r="I722" i="2"/>
  <c r="F722" i="2"/>
  <c r="E722" i="2"/>
  <c r="C722" i="2"/>
  <c r="I721" i="2"/>
  <c r="F721" i="2"/>
  <c r="E721" i="2"/>
  <c r="C721" i="2"/>
  <c r="I720" i="2"/>
  <c r="F720" i="2"/>
  <c r="E720" i="2"/>
  <c r="C720" i="2"/>
  <c r="I719" i="2"/>
  <c r="F719" i="2"/>
  <c r="E719" i="2"/>
  <c r="C719" i="2"/>
  <c r="I718" i="2"/>
  <c r="F718" i="2"/>
  <c r="E718" i="2"/>
  <c r="C718" i="2"/>
  <c r="I717" i="2"/>
  <c r="F717" i="2"/>
  <c r="E717" i="2"/>
  <c r="C717" i="2"/>
  <c r="I716" i="2"/>
  <c r="F716" i="2"/>
  <c r="E716" i="2"/>
  <c r="C716" i="2"/>
  <c r="I715" i="2"/>
  <c r="F715" i="2"/>
  <c r="E715" i="2"/>
  <c r="C715" i="2"/>
  <c r="I714" i="2"/>
  <c r="F714" i="2"/>
  <c r="E714" i="2"/>
  <c r="C714" i="2"/>
  <c r="I713" i="2"/>
  <c r="F713" i="2"/>
  <c r="E713" i="2"/>
  <c r="C713" i="2"/>
  <c r="I712" i="2"/>
  <c r="F712" i="2"/>
  <c r="E712" i="2"/>
  <c r="C712" i="2"/>
  <c r="I711" i="2"/>
  <c r="F711" i="2"/>
  <c r="E711" i="2"/>
  <c r="C711" i="2"/>
  <c r="I710" i="2"/>
  <c r="F710" i="2"/>
  <c r="E710" i="2"/>
  <c r="C710" i="2"/>
  <c r="I709" i="2"/>
  <c r="F709" i="2"/>
  <c r="E709" i="2"/>
  <c r="C709" i="2"/>
  <c r="I708" i="2"/>
  <c r="F708" i="2"/>
  <c r="E708" i="2"/>
  <c r="C708" i="2"/>
  <c r="I707" i="2"/>
  <c r="F707" i="2"/>
  <c r="E707" i="2"/>
  <c r="C707" i="2"/>
  <c r="I706" i="2"/>
  <c r="E706" i="2"/>
  <c r="C706" i="2"/>
  <c r="I705" i="2"/>
  <c r="E705" i="2"/>
  <c r="C705" i="2"/>
  <c r="I704" i="2"/>
  <c r="E704" i="2"/>
  <c r="C704" i="2"/>
  <c r="I703" i="2"/>
  <c r="E703" i="2"/>
  <c r="C703" i="2"/>
  <c r="I702" i="2"/>
  <c r="E702" i="2"/>
  <c r="C702" i="2"/>
  <c r="I701" i="2"/>
  <c r="E701" i="2"/>
  <c r="C701" i="2"/>
  <c r="I700" i="2"/>
  <c r="E700" i="2"/>
  <c r="C700" i="2"/>
  <c r="I699" i="2"/>
  <c r="E699" i="2"/>
  <c r="C699" i="2"/>
  <c r="I698" i="2"/>
  <c r="E698" i="2"/>
  <c r="C698" i="2"/>
  <c r="I697" i="2"/>
  <c r="E697" i="2"/>
  <c r="C697" i="2"/>
  <c r="I696" i="2"/>
  <c r="E696" i="2"/>
  <c r="C696" i="2"/>
  <c r="I695" i="2"/>
  <c r="E695" i="2"/>
  <c r="C695" i="2"/>
  <c r="I694" i="2"/>
  <c r="E694" i="2"/>
  <c r="C694" i="2"/>
  <c r="I693" i="2"/>
  <c r="E693" i="2"/>
  <c r="C693" i="2"/>
  <c r="I692" i="2"/>
  <c r="E692" i="2"/>
  <c r="C692" i="2"/>
  <c r="I691" i="2"/>
  <c r="E691" i="2"/>
  <c r="C691" i="2"/>
  <c r="I690" i="2"/>
  <c r="E690" i="2"/>
  <c r="C690" i="2"/>
  <c r="I689" i="2"/>
  <c r="E689" i="2"/>
  <c r="C689" i="2"/>
  <c r="I688" i="2"/>
  <c r="E688" i="2"/>
  <c r="C688" i="2"/>
  <c r="I687" i="2"/>
  <c r="E687" i="2"/>
  <c r="C687" i="2"/>
  <c r="I686" i="2"/>
  <c r="E686" i="2"/>
  <c r="C686" i="2"/>
  <c r="I685" i="2"/>
  <c r="E685" i="2"/>
  <c r="C685" i="2"/>
  <c r="I684" i="2"/>
  <c r="E684" i="2"/>
  <c r="C684" i="2"/>
  <c r="I683" i="2"/>
  <c r="E683" i="2"/>
  <c r="C683" i="2"/>
  <c r="I682" i="2"/>
  <c r="E682" i="2"/>
  <c r="C682" i="2"/>
  <c r="F681" i="2"/>
  <c r="E681" i="2"/>
  <c r="C681" i="2"/>
  <c r="F680" i="2"/>
  <c r="E680" i="2"/>
  <c r="C680" i="2"/>
  <c r="F679" i="2"/>
  <c r="E679" i="2"/>
  <c r="C679" i="2"/>
  <c r="F678" i="2"/>
  <c r="E678" i="2"/>
  <c r="C678" i="2"/>
  <c r="F677" i="2"/>
  <c r="E677" i="2"/>
  <c r="C677" i="2"/>
  <c r="F676" i="2"/>
  <c r="E676" i="2"/>
  <c r="C676" i="2"/>
  <c r="F675" i="2"/>
  <c r="E675" i="2"/>
  <c r="C675" i="2"/>
  <c r="F674" i="2"/>
  <c r="E674" i="2"/>
  <c r="C674" i="2"/>
  <c r="F673" i="2"/>
  <c r="E673" i="2"/>
  <c r="C673" i="2"/>
  <c r="F672" i="2"/>
  <c r="E672" i="2"/>
  <c r="C672" i="2"/>
  <c r="F671" i="2"/>
  <c r="E671" i="2"/>
  <c r="C671" i="2"/>
  <c r="F670" i="2"/>
  <c r="E670" i="2"/>
  <c r="C670" i="2"/>
  <c r="F669" i="2"/>
  <c r="E669" i="2"/>
  <c r="C669" i="2"/>
  <c r="F668" i="2"/>
  <c r="E668" i="2"/>
  <c r="C668" i="2"/>
  <c r="F667" i="2"/>
  <c r="E667" i="2"/>
  <c r="C667" i="2"/>
  <c r="F666" i="2"/>
  <c r="E666" i="2"/>
  <c r="C666" i="2"/>
  <c r="F665" i="2"/>
  <c r="E665" i="2"/>
  <c r="C665" i="2"/>
  <c r="F664" i="2"/>
  <c r="E664" i="2"/>
  <c r="C664" i="2"/>
  <c r="F663" i="2"/>
  <c r="E663" i="2"/>
  <c r="C663" i="2"/>
  <c r="F662" i="2"/>
  <c r="E662" i="2"/>
  <c r="C662" i="2"/>
  <c r="F661" i="2"/>
  <c r="E661" i="2"/>
  <c r="C661" i="2"/>
  <c r="F660" i="2"/>
  <c r="E660" i="2"/>
  <c r="C660" i="2"/>
  <c r="F659" i="2"/>
  <c r="E659" i="2"/>
  <c r="C659" i="2"/>
  <c r="F658" i="2"/>
  <c r="E658" i="2"/>
  <c r="C658" i="2"/>
  <c r="F657" i="2"/>
  <c r="E657" i="2"/>
  <c r="C657" i="2"/>
  <c r="F656" i="2"/>
  <c r="E656" i="2"/>
  <c r="C656" i="2"/>
  <c r="F655" i="2"/>
  <c r="E655" i="2"/>
  <c r="C655" i="2"/>
  <c r="F654" i="2"/>
  <c r="E654" i="2"/>
  <c r="C654" i="2"/>
  <c r="F653" i="2"/>
  <c r="E653" i="2"/>
  <c r="C653" i="2"/>
  <c r="F652" i="2"/>
  <c r="E652" i="2"/>
  <c r="C652" i="2"/>
  <c r="F651" i="2"/>
  <c r="E651" i="2"/>
  <c r="C651" i="2"/>
  <c r="F650" i="2"/>
  <c r="E650" i="2"/>
  <c r="C650" i="2"/>
  <c r="F649" i="2"/>
  <c r="E649" i="2"/>
  <c r="C649" i="2"/>
  <c r="F648" i="2"/>
  <c r="E648" i="2"/>
  <c r="C648" i="2"/>
  <c r="F647" i="2"/>
  <c r="E647" i="2"/>
  <c r="C647" i="2"/>
  <c r="F646" i="2"/>
  <c r="E646" i="2"/>
  <c r="C646" i="2"/>
  <c r="F645" i="2"/>
  <c r="E645" i="2"/>
  <c r="C645" i="2"/>
  <c r="F644" i="2"/>
  <c r="E644" i="2"/>
  <c r="C644" i="2"/>
  <c r="F643" i="2"/>
  <c r="E643" i="2"/>
  <c r="C643" i="2"/>
  <c r="F642" i="2"/>
  <c r="E642" i="2"/>
  <c r="C642" i="2"/>
  <c r="F641" i="2"/>
  <c r="E641" i="2"/>
  <c r="C641" i="2"/>
  <c r="F640" i="2"/>
  <c r="E640" i="2"/>
  <c r="C640" i="2"/>
  <c r="F639" i="2"/>
  <c r="E639" i="2"/>
  <c r="C639" i="2"/>
  <c r="F638" i="2"/>
  <c r="E638" i="2"/>
  <c r="C638" i="2"/>
  <c r="F637" i="2"/>
  <c r="E637" i="2"/>
  <c r="C637" i="2"/>
  <c r="F636" i="2"/>
  <c r="E636" i="2"/>
  <c r="C636" i="2"/>
  <c r="F635" i="2"/>
  <c r="E635" i="2"/>
  <c r="C635" i="2"/>
  <c r="F634" i="2"/>
  <c r="E634" i="2"/>
  <c r="C634" i="2"/>
  <c r="I633" i="2"/>
  <c r="F633" i="2"/>
  <c r="E633" i="2"/>
  <c r="C633" i="2"/>
  <c r="I632" i="2"/>
  <c r="F632" i="2"/>
  <c r="E632" i="2"/>
  <c r="C632" i="2"/>
  <c r="I631" i="2"/>
  <c r="F631" i="2"/>
  <c r="E631" i="2"/>
  <c r="C631" i="2"/>
  <c r="I630" i="2"/>
  <c r="F630" i="2"/>
  <c r="E630" i="2"/>
  <c r="C630" i="2"/>
  <c r="I629" i="2"/>
  <c r="F629" i="2"/>
  <c r="E629" i="2"/>
  <c r="C629" i="2"/>
  <c r="I628" i="2"/>
  <c r="F628" i="2"/>
  <c r="E628" i="2"/>
  <c r="C628" i="2"/>
  <c r="I627" i="2"/>
  <c r="F627" i="2"/>
  <c r="E627" i="2"/>
  <c r="C627" i="2"/>
  <c r="I626" i="2"/>
  <c r="F626" i="2"/>
  <c r="E626" i="2"/>
  <c r="C626" i="2"/>
  <c r="I625" i="2"/>
  <c r="F625" i="2"/>
  <c r="E625" i="2"/>
  <c r="C625" i="2"/>
  <c r="I624" i="2"/>
  <c r="F624" i="2"/>
  <c r="E624" i="2"/>
  <c r="C624" i="2"/>
  <c r="I623" i="2"/>
  <c r="F623" i="2"/>
  <c r="E623" i="2"/>
  <c r="C623" i="2"/>
  <c r="I622" i="2"/>
  <c r="F622" i="2"/>
  <c r="E622" i="2"/>
  <c r="C622" i="2"/>
  <c r="I621" i="2"/>
  <c r="F621" i="2"/>
  <c r="E621" i="2"/>
  <c r="C621" i="2"/>
  <c r="I620" i="2"/>
  <c r="F620" i="2"/>
  <c r="E620" i="2"/>
  <c r="C620" i="2"/>
  <c r="I619" i="2"/>
  <c r="F619" i="2"/>
  <c r="E619" i="2"/>
  <c r="C619" i="2"/>
  <c r="I618" i="2"/>
  <c r="F618" i="2"/>
  <c r="E618" i="2"/>
  <c r="C618" i="2"/>
  <c r="I617" i="2"/>
  <c r="F617" i="2"/>
  <c r="E617" i="2"/>
  <c r="C617" i="2"/>
  <c r="I616" i="2"/>
  <c r="F616" i="2"/>
  <c r="E616" i="2"/>
  <c r="C616" i="2"/>
  <c r="I615" i="2"/>
  <c r="F615" i="2"/>
  <c r="E615" i="2"/>
  <c r="C615" i="2"/>
  <c r="I614" i="2"/>
  <c r="F614" i="2"/>
  <c r="E614" i="2"/>
  <c r="C614" i="2"/>
  <c r="I613" i="2"/>
  <c r="F613" i="2"/>
  <c r="E613" i="2"/>
  <c r="C613" i="2"/>
  <c r="I612" i="2"/>
  <c r="F612" i="2"/>
  <c r="E612" i="2"/>
  <c r="C612" i="2"/>
  <c r="I611" i="2"/>
  <c r="F611" i="2"/>
  <c r="E611" i="2"/>
  <c r="C611" i="2"/>
  <c r="I610" i="2"/>
  <c r="F610" i="2"/>
  <c r="E610" i="2"/>
  <c r="C610" i="2"/>
  <c r="I609" i="2"/>
  <c r="E609" i="2"/>
  <c r="C609" i="2"/>
  <c r="I608" i="2"/>
  <c r="E608" i="2"/>
  <c r="C608" i="2"/>
  <c r="I607" i="2"/>
  <c r="E607" i="2"/>
  <c r="C607" i="2"/>
  <c r="I606" i="2"/>
  <c r="E606" i="2"/>
  <c r="C606" i="2"/>
  <c r="I605" i="2"/>
  <c r="E605" i="2"/>
  <c r="C605" i="2"/>
  <c r="I604" i="2"/>
  <c r="E604" i="2"/>
  <c r="C604" i="2"/>
  <c r="I603" i="2"/>
  <c r="E603" i="2"/>
  <c r="C603" i="2"/>
  <c r="I602" i="2"/>
  <c r="E602" i="2"/>
  <c r="C602" i="2"/>
  <c r="I601" i="2"/>
  <c r="E601" i="2"/>
  <c r="C601" i="2"/>
  <c r="I600" i="2"/>
  <c r="E600" i="2"/>
  <c r="C600" i="2"/>
  <c r="I599" i="2"/>
  <c r="E599" i="2"/>
  <c r="C599" i="2"/>
  <c r="I598" i="2"/>
  <c r="E598" i="2"/>
  <c r="C598" i="2"/>
  <c r="I597" i="2"/>
  <c r="E597" i="2"/>
  <c r="C597" i="2"/>
  <c r="I596" i="2"/>
  <c r="E596" i="2"/>
  <c r="C596" i="2"/>
  <c r="I595" i="2"/>
  <c r="E595" i="2"/>
  <c r="C595" i="2"/>
  <c r="I594" i="2"/>
  <c r="E594" i="2"/>
  <c r="C594" i="2"/>
  <c r="I593" i="2"/>
  <c r="E593" i="2"/>
  <c r="C593" i="2"/>
  <c r="I592" i="2"/>
  <c r="E592" i="2"/>
  <c r="C592" i="2"/>
  <c r="I591" i="2"/>
  <c r="E591" i="2"/>
  <c r="C591" i="2"/>
  <c r="I590" i="2"/>
  <c r="E590" i="2"/>
  <c r="C590" i="2"/>
  <c r="I589" i="2"/>
  <c r="E589" i="2"/>
  <c r="C589" i="2"/>
  <c r="I588" i="2"/>
  <c r="E588" i="2"/>
  <c r="C588" i="2"/>
  <c r="I587" i="2"/>
  <c r="E587" i="2"/>
  <c r="C587" i="2"/>
  <c r="I586" i="2"/>
  <c r="E586" i="2"/>
  <c r="C586" i="2"/>
  <c r="I585" i="2"/>
  <c r="E585" i="2"/>
  <c r="C585" i="2"/>
  <c r="F584" i="2"/>
  <c r="E584" i="2"/>
  <c r="C584" i="2"/>
  <c r="F583" i="2"/>
  <c r="E583" i="2"/>
  <c r="C583" i="2"/>
  <c r="F582" i="2"/>
  <c r="E582" i="2"/>
  <c r="C582" i="2"/>
  <c r="F581" i="2"/>
  <c r="E581" i="2"/>
  <c r="C581" i="2"/>
  <c r="F580" i="2"/>
  <c r="E580" i="2"/>
  <c r="C580" i="2"/>
  <c r="F579" i="2"/>
  <c r="E579" i="2"/>
  <c r="C579" i="2"/>
  <c r="F578" i="2"/>
  <c r="E578" i="2"/>
  <c r="C578" i="2"/>
  <c r="F577" i="2"/>
  <c r="E577" i="2"/>
  <c r="C577" i="2"/>
  <c r="F576" i="2"/>
  <c r="E576" i="2"/>
  <c r="C576" i="2"/>
  <c r="F575" i="2"/>
  <c r="E575" i="2"/>
  <c r="C575" i="2"/>
  <c r="F574" i="2"/>
  <c r="E574" i="2"/>
  <c r="C574" i="2"/>
  <c r="F573" i="2"/>
  <c r="E573" i="2"/>
  <c r="C573" i="2"/>
  <c r="F572" i="2"/>
  <c r="E572" i="2"/>
  <c r="C572" i="2"/>
  <c r="F571" i="2"/>
  <c r="E571" i="2"/>
  <c r="C571" i="2"/>
  <c r="F570" i="2"/>
  <c r="E570" i="2"/>
  <c r="C570" i="2"/>
  <c r="F569" i="2"/>
  <c r="E569" i="2"/>
  <c r="C569" i="2"/>
  <c r="F568" i="2"/>
  <c r="E568" i="2"/>
  <c r="C568" i="2"/>
  <c r="F567" i="2"/>
  <c r="E567" i="2"/>
  <c r="C567" i="2"/>
  <c r="F566" i="2"/>
  <c r="E566" i="2"/>
  <c r="C566" i="2"/>
  <c r="F565" i="2"/>
  <c r="E565" i="2"/>
  <c r="C565" i="2"/>
  <c r="F564" i="2"/>
  <c r="E564" i="2"/>
  <c r="C564" i="2"/>
  <c r="F563" i="2"/>
  <c r="E563" i="2"/>
  <c r="C563" i="2"/>
  <c r="F562" i="2"/>
  <c r="E562" i="2"/>
  <c r="C562" i="2"/>
  <c r="F561" i="2"/>
  <c r="E561" i="2"/>
  <c r="C561" i="2"/>
  <c r="F560" i="2"/>
  <c r="E560" i="2"/>
  <c r="C560" i="2"/>
  <c r="F559" i="2"/>
  <c r="E559" i="2"/>
  <c r="C559" i="2"/>
  <c r="F558" i="2"/>
  <c r="E558" i="2"/>
  <c r="C558" i="2"/>
  <c r="F557" i="2"/>
  <c r="E557" i="2"/>
  <c r="C557" i="2"/>
  <c r="F556" i="2"/>
  <c r="E556" i="2"/>
  <c r="C556" i="2"/>
  <c r="F555" i="2"/>
  <c r="E555" i="2"/>
  <c r="C555" i="2"/>
  <c r="F554" i="2"/>
  <c r="E554" i="2"/>
  <c r="C554" i="2"/>
  <c r="F553" i="2"/>
  <c r="E553" i="2"/>
  <c r="C553" i="2"/>
  <c r="F552" i="2"/>
  <c r="E552" i="2"/>
  <c r="C552" i="2"/>
  <c r="F551" i="2"/>
  <c r="E551" i="2"/>
  <c r="C551" i="2"/>
  <c r="F550" i="2"/>
  <c r="E550" i="2"/>
  <c r="C550" i="2"/>
  <c r="F549" i="2"/>
  <c r="E549" i="2"/>
  <c r="C549" i="2"/>
  <c r="F548" i="2"/>
  <c r="E548" i="2"/>
  <c r="C548" i="2"/>
  <c r="F547" i="2"/>
  <c r="E547" i="2"/>
  <c r="C547" i="2"/>
  <c r="F546" i="2"/>
  <c r="E546" i="2"/>
  <c r="C546" i="2"/>
  <c r="F545" i="2"/>
  <c r="E545" i="2"/>
  <c r="C545" i="2"/>
  <c r="F544" i="2"/>
  <c r="E544" i="2"/>
  <c r="C544" i="2"/>
  <c r="F543" i="2"/>
  <c r="E543" i="2"/>
  <c r="C543" i="2"/>
  <c r="F542" i="2"/>
  <c r="E542" i="2"/>
  <c r="C542" i="2"/>
  <c r="F541" i="2"/>
  <c r="E541" i="2"/>
  <c r="C541" i="2"/>
  <c r="F540" i="2"/>
  <c r="E540" i="2"/>
  <c r="C540" i="2"/>
  <c r="F539" i="2"/>
  <c r="E539" i="2"/>
  <c r="C539" i="2"/>
  <c r="F538" i="2"/>
  <c r="E538" i="2"/>
  <c r="C538" i="2"/>
  <c r="F537" i="2"/>
  <c r="E537" i="2"/>
  <c r="C537" i="2"/>
  <c r="I536" i="2"/>
  <c r="F536" i="2"/>
  <c r="E536" i="2"/>
  <c r="C536" i="2"/>
  <c r="I535" i="2"/>
  <c r="F535" i="2"/>
  <c r="E535" i="2"/>
  <c r="C535" i="2"/>
  <c r="I534" i="2"/>
  <c r="F534" i="2"/>
  <c r="E534" i="2"/>
  <c r="C534" i="2"/>
  <c r="I533" i="2"/>
  <c r="F533" i="2"/>
  <c r="E533" i="2"/>
  <c r="C533" i="2"/>
  <c r="I532" i="2"/>
  <c r="F532" i="2"/>
  <c r="E532" i="2"/>
  <c r="C532" i="2"/>
  <c r="I531" i="2"/>
  <c r="F531" i="2"/>
  <c r="E531" i="2"/>
  <c r="C531" i="2"/>
  <c r="I530" i="2"/>
  <c r="F530" i="2"/>
  <c r="E530" i="2"/>
  <c r="C530" i="2"/>
  <c r="I529" i="2"/>
  <c r="F529" i="2"/>
  <c r="E529" i="2"/>
  <c r="C529" i="2"/>
  <c r="I528" i="2"/>
  <c r="F528" i="2"/>
  <c r="E528" i="2"/>
  <c r="C528" i="2"/>
  <c r="I527" i="2"/>
  <c r="F527" i="2"/>
  <c r="E527" i="2"/>
  <c r="C527" i="2"/>
  <c r="I526" i="2"/>
  <c r="F526" i="2"/>
  <c r="E526" i="2"/>
  <c r="C526" i="2"/>
  <c r="I525" i="2"/>
  <c r="F525" i="2"/>
  <c r="E525" i="2"/>
  <c r="C525" i="2"/>
  <c r="I524" i="2"/>
  <c r="F524" i="2"/>
  <c r="E524" i="2"/>
  <c r="C524" i="2"/>
  <c r="I523" i="2"/>
  <c r="F523" i="2"/>
  <c r="E523" i="2"/>
  <c r="C523" i="2"/>
  <c r="I522" i="2"/>
  <c r="F522" i="2"/>
  <c r="E522" i="2"/>
  <c r="C522" i="2"/>
  <c r="I521" i="2"/>
  <c r="F521" i="2"/>
  <c r="E521" i="2"/>
  <c r="C521" i="2"/>
  <c r="I520" i="2"/>
  <c r="F520" i="2"/>
  <c r="E520" i="2"/>
  <c r="C520" i="2"/>
  <c r="I519" i="2"/>
  <c r="F519" i="2"/>
  <c r="E519" i="2"/>
  <c r="C519" i="2"/>
  <c r="I518" i="2"/>
  <c r="F518" i="2"/>
  <c r="E518" i="2"/>
  <c r="C518" i="2"/>
  <c r="I517" i="2"/>
  <c r="F517" i="2"/>
  <c r="E517" i="2"/>
  <c r="C517" i="2"/>
  <c r="I516" i="2"/>
  <c r="F516" i="2"/>
  <c r="E516" i="2"/>
  <c r="C516" i="2"/>
  <c r="I515" i="2"/>
  <c r="F515" i="2"/>
  <c r="E515" i="2"/>
  <c r="C515" i="2"/>
  <c r="I514" i="2"/>
  <c r="F514" i="2"/>
  <c r="E514" i="2"/>
  <c r="C514" i="2"/>
  <c r="I513" i="2"/>
  <c r="F513" i="2"/>
  <c r="E513" i="2"/>
  <c r="C513" i="2"/>
  <c r="I512" i="2"/>
  <c r="E512" i="2"/>
  <c r="C512" i="2"/>
  <c r="I511" i="2"/>
  <c r="E511" i="2"/>
  <c r="C511" i="2"/>
  <c r="I510" i="2"/>
  <c r="E510" i="2"/>
  <c r="C510" i="2"/>
  <c r="I509" i="2"/>
  <c r="E509" i="2"/>
  <c r="C509" i="2"/>
  <c r="I508" i="2"/>
  <c r="E508" i="2"/>
  <c r="C508" i="2"/>
  <c r="I507" i="2"/>
  <c r="E507" i="2"/>
  <c r="C507" i="2"/>
  <c r="I506" i="2"/>
  <c r="E506" i="2"/>
  <c r="C506" i="2"/>
  <c r="I505" i="2"/>
  <c r="E505" i="2"/>
  <c r="C505" i="2"/>
  <c r="I504" i="2"/>
  <c r="E504" i="2"/>
  <c r="C504" i="2"/>
  <c r="I503" i="2"/>
  <c r="E503" i="2"/>
  <c r="C503" i="2"/>
  <c r="I502" i="2"/>
  <c r="E502" i="2"/>
  <c r="C502" i="2"/>
  <c r="I501" i="2"/>
  <c r="E501" i="2"/>
  <c r="C501" i="2"/>
  <c r="I500" i="2"/>
  <c r="E500" i="2"/>
  <c r="C500" i="2"/>
  <c r="I499" i="2"/>
  <c r="E499" i="2"/>
  <c r="C499" i="2"/>
  <c r="I498" i="2"/>
  <c r="E498" i="2"/>
  <c r="C498" i="2"/>
  <c r="I497" i="2"/>
  <c r="E497" i="2"/>
  <c r="C497" i="2"/>
  <c r="I496" i="2"/>
  <c r="E496" i="2"/>
  <c r="C496" i="2"/>
  <c r="I495" i="2"/>
  <c r="E495" i="2"/>
  <c r="C495" i="2"/>
  <c r="I494" i="2"/>
  <c r="E494" i="2"/>
  <c r="C494" i="2"/>
  <c r="I493" i="2"/>
  <c r="E493" i="2"/>
  <c r="C493" i="2"/>
  <c r="I492" i="2"/>
  <c r="E492" i="2"/>
  <c r="C492" i="2"/>
  <c r="I491" i="2"/>
  <c r="E491" i="2"/>
  <c r="C491" i="2"/>
  <c r="I490" i="2"/>
  <c r="E490" i="2"/>
  <c r="C490" i="2"/>
  <c r="I489" i="2"/>
  <c r="E489" i="2"/>
  <c r="C489" i="2"/>
  <c r="I488" i="2"/>
  <c r="E488" i="2"/>
  <c r="C488" i="2"/>
  <c r="F487" i="2"/>
  <c r="E487" i="2"/>
  <c r="C487" i="2"/>
  <c r="F486" i="2"/>
  <c r="E486" i="2"/>
  <c r="C486" i="2"/>
  <c r="F485" i="2"/>
  <c r="E485" i="2"/>
  <c r="C485" i="2"/>
  <c r="F484" i="2"/>
  <c r="E484" i="2"/>
  <c r="C484" i="2"/>
  <c r="F483" i="2"/>
  <c r="E483" i="2"/>
  <c r="C483" i="2"/>
  <c r="F482" i="2"/>
  <c r="E482" i="2"/>
  <c r="C482" i="2"/>
  <c r="F481" i="2"/>
  <c r="E481" i="2"/>
  <c r="C481" i="2"/>
  <c r="F480" i="2"/>
  <c r="E480" i="2"/>
  <c r="C480" i="2"/>
  <c r="F479" i="2"/>
  <c r="E479" i="2"/>
  <c r="C479" i="2"/>
  <c r="F478" i="2"/>
  <c r="E478" i="2"/>
  <c r="C478" i="2"/>
  <c r="F477" i="2"/>
  <c r="E477" i="2"/>
  <c r="C477" i="2"/>
  <c r="F476" i="2"/>
  <c r="E476" i="2"/>
  <c r="C476" i="2"/>
  <c r="F475" i="2"/>
  <c r="E475" i="2"/>
  <c r="C475" i="2"/>
  <c r="F474" i="2"/>
  <c r="E474" i="2"/>
  <c r="C474" i="2"/>
  <c r="F473" i="2"/>
  <c r="E473" i="2"/>
  <c r="C473" i="2"/>
  <c r="F472" i="2"/>
  <c r="E472" i="2"/>
  <c r="C472" i="2"/>
  <c r="F471" i="2"/>
  <c r="E471" i="2"/>
  <c r="C471" i="2"/>
  <c r="F470" i="2"/>
  <c r="E470" i="2"/>
  <c r="C470" i="2"/>
  <c r="F469" i="2"/>
  <c r="E469" i="2"/>
  <c r="C469" i="2"/>
  <c r="F468" i="2"/>
  <c r="E468" i="2"/>
  <c r="C468" i="2"/>
  <c r="F467" i="2"/>
  <c r="E467" i="2"/>
  <c r="C467" i="2"/>
  <c r="F466" i="2"/>
  <c r="E466" i="2"/>
  <c r="C466" i="2"/>
  <c r="F465" i="2"/>
  <c r="E465" i="2"/>
  <c r="C465" i="2"/>
  <c r="F464" i="2"/>
  <c r="E464" i="2"/>
  <c r="C464" i="2"/>
  <c r="F463" i="2"/>
  <c r="E463" i="2"/>
  <c r="C463" i="2"/>
  <c r="F462" i="2"/>
  <c r="E462" i="2"/>
  <c r="C462" i="2"/>
  <c r="F461" i="2"/>
  <c r="E461" i="2"/>
  <c r="C461" i="2"/>
  <c r="F460" i="2"/>
  <c r="E460" i="2"/>
  <c r="C460" i="2"/>
  <c r="F459" i="2"/>
  <c r="E459" i="2"/>
  <c r="C459" i="2"/>
  <c r="F458" i="2"/>
  <c r="E458" i="2"/>
  <c r="C458" i="2"/>
  <c r="F457" i="2"/>
  <c r="E457" i="2"/>
  <c r="C457" i="2"/>
  <c r="F456" i="2"/>
  <c r="E456" i="2"/>
  <c r="C456" i="2"/>
  <c r="F455" i="2"/>
  <c r="E455" i="2"/>
  <c r="C455" i="2"/>
  <c r="F454" i="2"/>
  <c r="E454" i="2"/>
  <c r="C454" i="2"/>
  <c r="F453" i="2"/>
  <c r="E453" i="2"/>
  <c r="C453" i="2"/>
  <c r="F452" i="2"/>
  <c r="E452" i="2"/>
  <c r="C452" i="2"/>
  <c r="F451" i="2"/>
  <c r="E451" i="2"/>
  <c r="C451" i="2"/>
  <c r="F450" i="2"/>
  <c r="E450" i="2"/>
  <c r="C450" i="2"/>
  <c r="F449" i="2"/>
  <c r="E449" i="2"/>
  <c r="C449" i="2"/>
  <c r="F448" i="2"/>
  <c r="E448" i="2"/>
  <c r="C448" i="2"/>
  <c r="F447" i="2"/>
  <c r="E447" i="2"/>
  <c r="C447" i="2"/>
  <c r="F446" i="2"/>
  <c r="E446" i="2"/>
  <c r="C446" i="2"/>
  <c r="F445" i="2"/>
  <c r="E445" i="2"/>
  <c r="C445" i="2"/>
  <c r="F444" i="2"/>
  <c r="E444" i="2"/>
  <c r="C444" i="2"/>
  <c r="F443" i="2"/>
  <c r="E443" i="2"/>
  <c r="C443" i="2"/>
  <c r="F442" i="2"/>
  <c r="E442" i="2"/>
  <c r="C442" i="2"/>
  <c r="F441" i="2"/>
  <c r="E441" i="2"/>
  <c r="C441" i="2"/>
  <c r="F440" i="2"/>
  <c r="E440" i="2"/>
  <c r="C440" i="2"/>
  <c r="I439" i="2"/>
  <c r="F439" i="2"/>
  <c r="E439" i="2"/>
  <c r="C439" i="2"/>
  <c r="I438" i="2"/>
  <c r="F438" i="2"/>
  <c r="E438" i="2"/>
  <c r="C438" i="2"/>
  <c r="I437" i="2"/>
  <c r="F437" i="2"/>
  <c r="E437" i="2"/>
  <c r="C437" i="2"/>
  <c r="I436" i="2"/>
  <c r="F436" i="2"/>
  <c r="E436" i="2"/>
  <c r="C436" i="2"/>
  <c r="I435" i="2"/>
  <c r="F435" i="2"/>
  <c r="E435" i="2"/>
  <c r="C435" i="2"/>
  <c r="I434" i="2"/>
  <c r="F434" i="2"/>
  <c r="E434" i="2"/>
  <c r="C434" i="2"/>
  <c r="I433" i="2"/>
  <c r="F433" i="2"/>
  <c r="E433" i="2"/>
  <c r="C433" i="2"/>
  <c r="I432" i="2"/>
  <c r="F432" i="2"/>
  <c r="E432" i="2"/>
  <c r="C432" i="2"/>
  <c r="I431" i="2"/>
  <c r="F431" i="2"/>
  <c r="E431" i="2"/>
  <c r="C431" i="2"/>
  <c r="I430" i="2"/>
  <c r="F430" i="2"/>
  <c r="E430" i="2"/>
  <c r="C430" i="2"/>
  <c r="I429" i="2"/>
  <c r="F429" i="2"/>
  <c r="E429" i="2"/>
  <c r="C429" i="2"/>
  <c r="I428" i="2"/>
  <c r="F428" i="2"/>
  <c r="E428" i="2"/>
  <c r="C428" i="2"/>
  <c r="I427" i="2"/>
  <c r="F427" i="2"/>
  <c r="E427" i="2"/>
  <c r="C427" i="2"/>
  <c r="I426" i="2"/>
  <c r="F426" i="2"/>
  <c r="E426" i="2"/>
  <c r="C426" i="2"/>
  <c r="I425" i="2"/>
  <c r="F425" i="2"/>
  <c r="E425" i="2"/>
  <c r="C425" i="2"/>
  <c r="I424" i="2"/>
  <c r="F424" i="2"/>
  <c r="E424" i="2"/>
  <c r="C424" i="2"/>
  <c r="I423" i="2"/>
  <c r="F423" i="2"/>
  <c r="E423" i="2"/>
  <c r="C423" i="2"/>
  <c r="I422" i="2"/>
  <c r="F422" i="2"/>
  <c r="E422" i="2"/>
  <c r="C422" i="2"/>
  <c r="I421" i="2"/>
  <c r="F421" i="2"/>
  <c r="E421" i="2"/>
  <c r="C421" i="2"/>
  <c r="I420" i="2"/>
  <c r="F420" i="2"/>
  <c r="E420" i="2"/>
  <c r="C420" i="2"/>
  <c r="I419" i="2"/>
  <c r="F419" i="2"/>
  <c r="E419" i="2"/>
  <c r="C419" i="2"/>
  <c r="I418" i="2"/>
  <c r="F418" i="2"/>
  <c r="E418" i="2"/>
  <c r="C418" i="2"/>
  <c r="I417" i="2"/>
  <c r="F417" i="2"/>
  <c r="E417" i="2"/>
  <c r="C417" i="2"/>
  <c r="I416" i="2"/>
  <c r="F416" i="2"/>
  <c r="E416" i="2"/>
  <c r="C416" i="2"/>
  <c r="I415" i="2"/>
  <c r="E415" i="2"/>
  <c r="C415" i="2"/>
  <c r="I414" i="2"/>
  <c r="E414" i="2"/>
  <c r="C414" i="2"/>
  <c r="I413" i="2"/>
  <c r="E413" i="2"/>
  <c r="C413" i="2"/>
  <c r="I412" i="2"/>
  <c r="E412" i="2"/>
  <c r="C412" i="2"/>
  <c r="I411" i="2"/>
  <c r="E411" i="2"/>
  <c r="C411" i="2"/>
  <c r="I410" i="2"/>
  <c r="E410" i="2"/>
  <c r="C410" i="2"/>
  <c r="I409" i="2"/>
  <c r="E409" i="2"/>
  <c r="C409" i="2"/>
  <c r="I408" i="2"/>
  <c r="E408" i="2"/>
  <c r="C408" i="2"/>
  <c r="I407" i="2"/>
  <c r="E407" i="2"/>
  <c r="C407" i="2"/>
  <c r="I406" i="2"/>
  <c r="E406" i="2"/>
  <c r="C406" i="2"/>
  <c r="I405" i="2"/>
  <c r="E405" i="2"/>
  <c r="C405" i="2"/>
  <c r="I404" i="2"/>
  <c r="E404" i="2"/>
  <c r="C404" i="2"/>
  <c r="I403" i="2"/>
  <c r="E403" i="2"/>
  <c r="C403" i="2"/>
  <c r="I402" i="2"/>
  <c r="E402" i="2"/>
  <c r="C402" i="2"/>
  <c r="I401" i="2"/>
  <c r="E401" i="2"/>
  <c r="C401" i="2"/>
  <c r="I400" i="2"/>
  <c r="E400" i="2"/>
  <c r="C400" i="2"/>
  <c r="I399" i="2"/>
  <c r="E399" i="2"/>
  <c r="C399" i="2"/>
  <c r="I398" i="2"/>
  <c r="E398" i="2"/>
  <c r="C398" i="2"/>
  <c r="I397" i="2"/>
  <c r="E397" i="2"/>
  <c r="C397" i="2"/>
  <c r="I396" i="2"/>
  <c r="E396" i="2"/>
  <c r="C396" i="2"/>
  <c r="I395" i="2"/>
  <c r="E395" i="2"/>
  <c r="C395" i="2"/>
  <c r="I394" i="2"/>
  <c r="E394" i="2"/>
  <c r="C394" i="2"/>
  <c r="I393" i="2"/>
  <c r="E393" i="2"/>
  <c r="C393" i="2"/>
  <c r="I392" i="2"/>
  <c r="E392" i="2"/>
  <c r="C392" i="2"/>
  <c r="I391" i="2"/>
  <c r="E391" i="2"/>
  <c r="C391" i="2"/>
  <c r="F390" i="2"/>
  <c r="E390" i="2"/>
  <c r="C390" i="2"/>
  <c r="F389" i="2"/>
  <c r="E389" i="2"/>
  <c r="C389" i="2"/>
  <c r="F388" i="2"/>
  <c r="E388" i="2"/>
  <c r="C388" i="2"/>
  <c r="F387" i="2"/>
  <c r="E387" i="2"/>
  <c r="C387" i="2"/>
  <c r="F386" i="2"/>
  <c r="E386" i="2"/>
  <c r="C386" i="2"/>
  <c r="F385" i="2"/>
  <c r="E385" i="2"/>
  <c r="C385" i="2"/>
  <c r="F384" i="2"/>
  <c r="E384" i="2"/>
  <c r="C384" i="2"/>
  <c r="F383" i="2"/>
  <c r="E383" i="2"/>
  <c r="C383" i="2"/>
  <c r="F382" i="2"/>
  <c r="E382" i="2"/>
  <c r="C382" i="2"/>
  <c r="F381" i="2"/>
  <c r="E381" i="2"/>
  <c r="C381" i="2"/>
  <c r="F380" i="2"/>
  <c r="E380" i="2"/>
  <c r="C380" i="2"/>
  <c r="F379" i="2"/>
  <c r="E379" i="2"/>
  <c r="C379" i="2"/>
  <c r="F378" i="2"/>
  <c r="E378" i="2"/>
  <c r="C378" i="2"/>
  <c r="F377" i="2"/>
  <c r="E377" i="2"/>
  <c r="C377" i="2"/>
  <c r="F376" i="2"/>
  <c r="E376" i="2"/>
  <c r="C376" i="2"/>
  <c r="F375" i="2"/>
  <c r="E375" i="2"/>
  <c r="C375" i="2"/>
  <c r="F374" i="2"/>
  <c r="E374" i="2"/>
  <c r="C374" i="2"/>
  <c r="F373" i="2"/>
  <c r="E373" i="2"/>
  <c r="C373" i="2"/>
  <c r="F372" i="2"/>
  <c r="E372" i="2"/>
  <c r="C372" i="2"/>
  <c r="F371" i="2"/>
  <c r="E371" i="2"/>
  <c r="C371" i="2"/>
  <c r="F370" i="2"/>
  <c r="E370" i="2"/>
  <c r="C370" i="2"/>
  <c r="F369" i="2"/>
  <c r="E369" i="2"/>
  <c r="C369" i="2"/>
  <c r="F368" i="2"/>
  <c r="E368" i="2"/>
  <c r="C368" i="2"/>
  <c r="F367" i="2"/>
  <c r="E367" i="2"/>
  <c r="C367" i="2"/>
  <c r="F366" i="2"/>
  <c r="E366" i="2"/>
  <c r="C366" i="2"/>
  <c r="F365" i="2"/>
  <c r="E365" i="2"/>
  <c r="C365" i="2"/>
  <c r="F364" i="2"/>
  <c r="E364" i="2"/>
  <c r="C364" i="2"/>
  <c r="F363" i="2"/>
  <c r="E363" i="2"/>
  <c r="C363" i="2"/>
  <c r="F362" i="2"/>
  <c r="E362" i="2"/>
  <c r="C362" i="2"/>
  <c r="F361" i="2"/>
  <c r="E361" i="2"/>
  <c r="C361" i="2"/>
  <c r="F360" i="2"/>
  <c r="E360" i="2"/>
  <c r="C360" i="2"/>
  <c r="F359" i="2"/>
  <c r="E359" i="2"/>
  <c r="C359" i="2"/>
  <c r="F358" i="2"/>
  <c r="E358" i="2"/>
  <c r="C358" i="2"/>
  <c r="F357" i="2"/>
  <c r="E357" i="2"/>
  <c r="C357" i="2"/>
  <c r="F356" i="2"/>
  <c r="E356" i="2"/>
  <c r="C356" i="2"/>
  <c r="F355" i="2"/>
  <c r="E355" i="2"/>
  <c r="C355" i="2"/>
  <c r="F354" i="2"/>
  <c r="E354" i="2"/>
  <c r="C354" i="2"/>
  <c r="F353" i="2"/>
  <c r="E353" i="2"/>
  <c r="C353" i="2"/>
  <c r="F352" i="2"/>
  <c r="E352" i="2"/>
  <c r="C352" i="2"/>
  <c r="F351" i="2"/>
  <c r="E351" i="2"/>
  <c r="C351" i="2"/>
  <c r="F350" i="2"/>
  <c r="E350" i="2"/>
  <c r="C350" i="2"/>
  <c r="F349" i="2"/>
  <c r="E349" i="2"/>
  <c r="C349" i="2"/>
  <c r="F348" i="2"/>
  <c r="E348" i="2"/>
  <c r="C348" i="2"/>
  <c r="F347" i="2"/>
  <c r="E347" i="2"/>
  <c r="C347" i="2"/>
  <c r="F346" i="2"/>
  <c r="E346" i="2"/>
  <c r="C346" i="2"/>
  <c r="F345" i="2"/>
  <c r="E345" i="2"/>
  <c r="C345" i="2"/>
  <c r="F344" i="2"/>
  <c r="E344" i="2"/>
  <c r="C344" i="2"/>
  <c r="F343" i="2"/>
  <c r="E343" i="2"/>
  <c r="C343" i="2"/>
  <c r="I342" i="2"/>
  <c r="F342" i="2"/>
  <c r="E342" i="2"/>
  <c r="C342" i="2"/>
  <c r="I341" i="2"/>
  <c r="F341" i="2"/>
  <c r="E341" i="2"/>
  <c r="C341" i="2"/>
  <c r="I340" i="2"/>
  <c r="F340" i="2"/>
  <c r="E340" i="2"/>
  <c r="C340" i="2"/>
  <c r="I339" i="2"/>
  <c r="F339" i="2"/>
  <c r="E339" i="2"/>
  <c r="C339" i="2"/>
  <c r="I338" i="2"/>
  <c r="F338" i="2"/>
  <c r="E338" i="2"/>
  <c r="C338" i="2"/>
  <c r="I337" i="2"/>
  <c r="F337" i="2"/>
  <c r="E337" i="2"/>
  <c r="C337" i="2"/>
  <c r="I336" i="2"/>
  <c r="F336" i="2"/>
  <c r="E336" i="2"/>
  <c r="C336" i="2"/>
  <c r="I335" i="2"/>
  <c r="F335" i="2"/>
  <c r="E335" i="2"/>
  <c r="C335" i="2"/>
  <c r="I334" i="2"/>
  <c r="F334" i="2"/>
  <c r="E334" i="2"/>
  <c r="C334" i="2"/>
  <c r="I333" i="2"/>
  <c r="F333" i="2"/>
  <c r="E333" i="2"/>
  <c r="C333" i="2"/>
  <c r="I332" i="2"/>
  <c r="F332" i="2"/>
  <c r="E332" i="2"/>
  <c r="C332" i="2"/>
  <c r="I331" i="2"/>
  <c r="F331" i="2"/>
  <c r="E331" i="2"/>
  <c r="C331" i="2"/>
  <c r="I330" i="2"/>
  <c r="F330" i="2"/>
  <c r="E330" i="2"/>
  <c r="C330" i="2"/>
  <c r="I329" i="2"/>
  <c r="F329" i="2"/>
  <c r="E329" i="2"/>
  <c r="C329" i="2"/>
  <c r="I328" i="2"/>
  <c r="F328" i="2"/>
  <c r="E328" i="2"/>
  <c r="C328" i="2"/>
  <c r="I327" i="2"/>
  <c r="F327" i="2"/>
  <c r="E327" i="2"/>
  <c r="C327" i="2"/>
  <c r="I326" i="2"/>
  <c r="F326" i="2"/>
  <c r="E326" i="2"/>
  <c r="C326" i="2"/>
  <c r="I325" i="2"/>
  <c r="F325" i="2"/>
  <c r="E325" i="2"/>
  <c r="C325" i="2"/>
  <c r="I324" i="2"/>
  <c r="F324" i="2"/>
  <c r="E324" i="2"/>
  <c r="C324" i="2"/>
  <c r="I323" i="2"/>
  <c r="F323" i="2"/>
  <c r="E323" i="2"/>
  <c r="C323" i="2"/>
  <c r="I322" i="2"/>
  <c r="F322" i="2"/>
  <c r="E322" i="2"/>
  <c r="C322" i="2"/>
  <c r="I321" i="2"/>
  <c r="F321" i="2"/>
  <c r="E321" i="2"/>
  <c r="C321" i="2"/>
  <c r="I320" i="2"/>
  <c r="F320" i="2"/>
  <c r="E320" i="2"/>
  <c r="C320" i="2"/>
  <c r="I319" i="2"/>
  <c r="F319" i="2"/>
  <c r="E319" i="2"/>
  <c r="C319" i="2"/>
  <c r="I318" i="2"/>
  <c r="E318" i="2"/>
  <c r="C318" i="2"/>
  <c r="I317" i="2"/>
  <c r="E317" i="2"/>
  <c r="C317" i="2"/>
  <c r="I316" i="2"/>
  <c r="E316" i="2"/>
  <c r="C316" i="2"/>
  <c r="I315" i="2"/>
  <c r="E315" i="2"/>
  <c r="C315" i="2"/>
  <c r="I314" i="2"/>
  <c r="E314" i="2"/>
  <c r="C314" i="2"/>
  <c r="I313" i="2"/>
  <c r="E313" i="2"/>
  <c r="C313" i="2"/>
  <c r="I312" i="2"/>
  <c r="E312" i="2"/>
  <c r="C312" i="2"/>
  <c r="I311" i="2"/>
  <c r="E311" i="2"/>
  <c r="C311" i="2"/>
  <c r="I310" i="2"/>
  <c r="E310" i="2"/>
  <c r="C310" i="2"/>
  <c r="I309" i="2"/>
  <c r="E309" i="2"/>
  <c r="C309" i="2"/>
  <c r="I308" i="2"/>
  <c r="E308" i="2"/>
  <c r="C308" i="2"/>
  <c r="I307" i="2"/>
  <c r="E307" i="2"/>
  <c r="C307" i="2"/>
  <c r="I306" i="2"/>
  <c r="E306" i="2"/>
  <c r="C306" i="2"/>
  <c r="I305" i="2"/>
  <c r="E305" i="2"/>
  <c r="C305" i="2"/>
  <c r="I304" i="2"/>
  <c r="E304" i="2"/>
  <c r="C304" i="2"/>
  <c r="I303" i="2"/>
  <c r="E303" i="2"/>
  <c r="C303" i="2"/>
  <c r="I302" i="2"/>
  <c r="E302" i="2"/>
  <c r="C302" i="2"/>
  <c r="I301" i="2"/>
  <c r="E301" i="2"/>
  <c r="C301" i="2"/>
  <c r="I300" i="2"/>
  <c r="E300" i="2"/>
  <c r="C300" i="2"/>
  <c r="I299" i="2"/>
  <c r="E299" i="2"/>
  <c r="C299" i="2"/>
  <c r="I298" i="2"/>
  <c r="E298" i="2"/>
  <c r="C298" i="2"/>
  <c r="I297" i="2"/>
  <c r="E297" i="2"/>
  <c r="C297" i="2"/>
  <c r="I296" i="2"/>
  <c r="E296" i="2"/>
  <c r="C296" i="2"/>
  <c r="I295" i="2"/>
  <c r="E295" i="2"/>
  <c r="C295" i="2"/>
  <c r="I294" i="2"/>
  <c r="E294" i="2"/>
  <c r="C294" i="2"/>
  <c r="F293" i="2"/>
  <c r="E293" i="2"/>
  <c r="C293" i="2"/>
  <c r="F292" i="2"/>
  <c r="E292" i="2"/>
  <c r="C292" i="2"/>
  <c r="F291" i="2"/>
  <c r="E291" i="2"/>
  <c r="C291" i="2"/>
  <c r="F290" i="2"/>
  <c r="E290" i="2"/>
  <c r="C290" i="2"/>
  <c r="F289" i="2"/>
  <c r="E289" i="2"/>
  <c r="C289" i="2"/>
  <c r="F288" i="2"/>
  <c r="E288" i="2"/>
  <c r="C288" i="2"/>
  <c r="F287" i="2"/>
  <c r="E287" i="2"/>
  <c r="C287" i="2"/>
  <c r="F286" i="2"/>
  <c r="E286" i="2"/>
  <c r="C286" i="2"/>
  <c r="F285" i="2"/>
  <c r="E285" i="2"/>
  <c r="C285" i="2"/>
  <c r="F284" i="2"/>
  <c r="E284" i="2"/>
  <c r="C284" i="2"/>
  <c r="F283" i="2"/>
  <c r="E283" i="2"/>
  <c r="C283" i="2"/>
  <c r="F282" i="2"/>
  <c r="E282" i="2"/>
  <c r="C282" i="2"/>
  <c r="F281" i="2"/>
  <c r="E281" i="2"/>
  <c r="C281" i="2"/>
  <c r="F280" i="2"/>
  <c r="E280" i="2"/>
  <c r="C280" i="2"/>
  <c r="F279" i="2"/>
  <c r="E279" i="2"/>
  <c r="C279" i="2"/>
  <c r="F278" i="2"/>
  <c r="E278" i="2"/>
  <c r="C278" i="2"/>
  <c r="F277" i="2"/>
  <c r="E277" i="2"/>
  <c r="C277" i="2"/>
  <c r="F276" i="2"/>
  <c r="E276" i="2"/>
  <c r="C276" i="2"/>
  <c r="F275" i="2"/>
  <c r="E275" i="2"/>
  <c r="C275" i="2"/>
  <c r="F274" i="2"/>
  <c r="E274" i="2"/>
  <c r="C274" i="2"/>
  <c r="F273" i="2"/>
  <c r="E273" i="2"/>
  <c r="C273" i="2"/>
  <c r="F272" i="2"/>
  <c r="E272" i="2"/>
  <c r="C272" i="2"/>
  <c r="F271" i="2"/>
  <c r="E271" i="2"/>
  <c r="C271" i="2"/>
  <c r="F270" i="2"/>
  <c r="E270" i="2"/>
  <c r="C270" i="2"/>
  <c r="F269" i="2"/>
  <c r="E269" i="2"/>
  <c r="C269" i="2"/>
  <c r="F268" i="2"/>
  <c r="E268" i="2"/>
  <c r="C268" i="2"/>
  <c r="F267" i="2"/>
  <c r="E267" i="2"/>
  <c r="C267" i="2"/>
  <c r="F266" i="2"/>
  <c r="E266" i="2"/>
  <c r="C266" i="2"/>
  <c r="F265" i="2"/>
  <c r="E265" i="2"/>
  <c r="C265" i="2"/>
  <c r="F264" i="2"/>
  <c r="E264" i="2"/>
  <c r="C264" i="2"/>
  <c r="F263" i="2"/>
  <c r="E263" i="2"/>
  <c r="C263" i="2"/>
  <c r="F262" i="2"/>
  <c r="E262" i="2"/>
  <c r="C262" i="2"/>
  <c r="F261" i="2"/>
  <c r="E261" i="2"/>
  <c r="C261" i="2"/>
  <c r="F260" i="2"/>
  <c r="E260" i="2"/>
  <c r="C260" i="2"/>
  <c r="F259" i="2"/>
  <c r="E259" i="2"/>
  <c r="C259" i="2"/>
  <c r="F258" i="2"/>
  <c r="E258" i="2"/>
  <c r="C258" i="2"/>
  <c r="F257" i="2"/>
  <c r="E257" i="2"/>
  <c r="C257" i="2"/>
  <c r="F256" i="2"/>
  <c r="E256" i="2"/>
  <c r="C256" i="2"/>
  <c r="F255" i="2"/>
  <c r="E255" i="2"/>
  <c r="C255" i="2"/>
  <c r="F254" i="2"/>
  <c r="E254" i="2"/>
  <c r="C254" i="2"/>
  <c r="F253" i="2"/>
  <c r="E253" i="2"/>
  <c r="C253" i="2"/>
  <c r="F252" i="2"/>
  <c r="E252" i="2"/>
  <c r="C252" i="2"/>
  <c r="F251" i="2"/>
  <c r="E251" i="2"/>
  <c r="C251" i="2"/>
  <c r="F250" i="2"/>
  <c r="E250" i="2"/>
  <c r="C250" i="2"/>
  <c r="F249" i="2"/>
  <c r="E249" i="2"/>
  <c r="C249" i="2"/>
  <c r="F248" i="2"/>
  <c r="E248" i="2"/>
  <c r="C248" i="2"/>
  <c r="F247" i="2"/>
  <c r="E247" i="2"/>
  <c r="C247" i="2"/>
  <c r="F246" i="2"/>
  <c r="E246" i="2"/>
  <c r="C246" i="2"/>
  <c r="I245" i="2"/>
  <c r="F245" i="2"/>
  <c r="E245" i="2"/>
  <c r="C245" i="2"/>
  <c r="I244" i="2"/>
  <c r="F244" i="2"/>
  <c r="E244" i="2"/>
  <c r="C244" i="2"/>
  <c r="I243" i="2"/>
  <c r="F243" i="2"/>
  <c r="E243" i="2"/>
  <c r="C243" i="2"/>
  <c r="I242" i="2"/>
  <c r="F242" i="2"/>
  <c r="E242" i="2"/>
  <c r="C242" i="2"/>
  <c r="I241" i="2"/>
  <c r="F241" i="2"/>
  <c r="E241" i="2"/>
  <c r="C241" i="2"/>
  <c r="I240" i="2"/>
  <c r="F240" i="2"/>
  <c r="E240" i="2"/>
  <c r="C240" i="2"/>
  <c r="I239" i="2"/>
  <c r="F239" i="2"/>
  <c r="E239" i="2"/>
  <c r="C239" i="2"/>
  <c r="I238" i="2"/>
  <c r="F238" i="2"/>
  <c r="E238" i="2"/>
  <c r="C238" i="2"/>
  <c r="I237" i="2"/>
  <c r="F237" i="2"/>
  <c r="E237" i="2"/>
  <c r="C237" i="2"/>
  <c r="I236" i="2"/>
  <c r="F236" i="2"/>
  <c r="E236" i="2"/>
  <c r="C236" i="2"/>
  <c r="I235" i="2"/>
  <c r="F235" i="2"/>
  <c r="E235" i="2"/>
  <c r="C235" i="2"/>
  <c r="I234" i="2"/>
  <c r="F234" i="2"/>
  <c r="E234" i="2"/>
  <c r="C234" i="2"/>
  <c r="I233" i="2"/>
  <c r="F233" i="2"/>
  <c r="E233" i="2"/>
  <c r="C233" i="2"/>
  <c r="I232" i="2"/>
  <c r="F232" i="2"/>
  <c r="E232" i="2"/>
  <c r="C232" i="2"/>
  <c r="I231" i="2"/>
  <c r="F231" i="2"/>
  <c r="E231" i="2"/>
  <c r="C231" i="2"/>
  <c r="I230" i="2"/>
  <c r="F230" i="2"/>
  <c r="E230" i="2"/>
  <c r="C230" i="2"/>
  <c r="I229" i="2"/>
  <c r="F229" i="2"/>
  <c r="E229" i="2"/>
  <c r="C229" i="2"/>
  <c r="I228" i="2"/>
  <c r="F228" i="2"/>
  <c r="E228" i="2"/>
  <c r="C228" i="2"/>
  <c r="I227" i="2"/>
  <c r="F227" i="2"/>
  <c r="E227" i="2"/>
  <c r="C227" i="2"/>
  <c r="I226" i="2"/>
  <c r="F226" i="2"/>
  <c r="E226" i="2"/>
  <c r="C226" i="2"/>
  <c r="I225" i="2"/>
  <c r="F225" i="2"/>
  <c r="E225" i="2"/>
  <c r="C225" i="2"/>
  <c r="I224" i="2"/>
  <c r="F224" i="2"/>
  <c r="E224" i="2"/>
  <c r="C224" i="2"/>
  <c r="I223" i="2"/>
  <c r="F223" i="2"/>
  <c r="E223" i="2"/>
  <c r="C223" i="2"/>
  <c r="I222" i="2"/>
  <c r="F222" i="2"/>
  <c r="E222" i="2"/>
  <c r="C222" i="2"/>
  <c r="I221" i="2"/>
  <c r="E221" i="2"/>
  <c r="C221" i="2"/>
  <c r="I220" i="2"/>
  <c r="E220" i="2"/>
  <c r="C220" i="2"/>
  <c r="I219" i="2"/>
  <c r="E219" i="2"/>
  <c r="C219" i="2"/>
  <c r="I218" i="2"/>
  <c r="E218" i="2"/>
  <c r="C218" i="2"/>
  <c r="I217" i="2"/>
  <c r="E217" i="2"/>
  <c r="C217" i="2"/>
  <c r="I216" i="2"/>
  <c r="E216" i="2"/>
  <c r="C216" i="2"/>
  <c r="I215" i="2"/>
  <c r="E215" i="2"/>
  <c r="C215" i="2"/>
  <c r="I214" i="2"/>
  <c r="E214" i="2"/>
  <c r="C214" i="2"/>
  <c r="I213" i="2"/>
  <c r="E213" i="2"/>
  <c r="C213" i="2"/>
  <c r="I212" i="2"/>
  <c r="E212" i="2"/>
  <c r="C212" i="2"/>
  <c r="I211" i="2"/>
  <c r="E211" i="2"/>
  <c r="C211" i="2"/>
  <c r="I210" i="2"/>
  <c r="E210" i="2"/>
  <c r="C210" i="2"/>
  <c r="I209" i="2"/>
  <c r="E209" i="2"/>
  <c r="C209" i="2"/>
  <c r="I208" i="2"/>
  <c r="E208" i="2"/>
  <c r="C208" i="2"/>
  <c r="I207" i="2"/>
  <c r="E207" i="2"/>
  <c r="C207" i="2"/>
  <c r="I206" i="2"/>
  <c r="E206" i="2"/>
  <c r="C206" i="2"/>
  <c r="I205" i="2"/>
  <c r="E205" i="2"/>
  <c r="C205" i="2"/>
  <c r="I204" i="2"/>
  <c r="E204" i="2"/>
  <c r="C204" i="2"/>
  <c r="I203" i="2"/>
  <c r="E203" i="2"/>
  <c r="C203" i="2"/>
  <c r="I202" i="2"/>
  <c r="E202" i="2"/>
  <c r="C202" i="2"/>
  <c r="I201" i="2"/>
  <c r="E201" i="2"/>
  <c r="C201" i="2"/>
  <c r="I200" i="2"/>
  <c r="E200" i="2"/>
  <c r="C200" i="2"/>
  <c r="I199" i="2"/>
  <c r="E199" i="2"/>
  <c r="C199" i="2"/>
  <c r="I198" i="2"/>
  <c r="E198" i="2"/>
  <c r="C198" i="2"/>
  <c r="I197" i="2"/>
  <c r="E197" i="2"/>
  <c r="C197" i="2"/>
  <c r="F196" i="2"/>
  <c r="E196" i="2"/>
  <c r="C196" i="2"/>
  <c r="F195" i="2"/>
  <c r="E195" i="2"/>
  <c r="C195" i="2"/>
  <c r="F194" i="2"/>
  <c r="E194" i="2"/>
  <c r="C194" i="2"/>
  <c r="F193" i="2"/>
  <c r="E193" i="2"/>
  <c r="C193" i="2"/>
  <c r="F192" i="2"/>
  <c r="E192" i="2"/>
  <c r="C192" i="2"/>
  <c r="F191" i="2"/>
  <c r="E191" i="2"/>
  <c r="C191" i="2"/>
  <c r="F190" i="2"/>
  <c r="E190" i="2"/>
  <c r="C190" i="2"/>
  <c r="F189" i="2"/>
  <c r="E189" i="2"/>
  <c r="C189" i="2"/>
  <c r="F188" i="2"/>
  <c r="E188" i="2"/>
  <c r="C188" i="2"/>
  <c r="F187" i="2"/>
  <c r="E187" i="2"/>
  <c r="C187" i="2"/>
  <c r="F186" i="2"/>
  <c r="E186" i="2"/>
  <c r="C186" i="2"/>
  <c r="F185" i="2"/>
  <c r="E185" i="2"/>
  <c r="C185" i="2"/>
  <c r="F184" i="2"/>
  <c r="E184" i="2"/>
  <c r="C184" i="2"/>
  <c r="F183" i="2"/>
  <c r="E183" i="2"/>
  <c r="C183" i="2"/>
  <c r="F182" i="2"/>
  <c r="E182" i="2"/>
  <c r="C182" i="2"/>
  <c r="F181" i="2"/>
  <c r="E181" i="2"/>
  <c r="C181" i="2"/>
  <c r="F180" i="2"/>
  <c r="E180" i="2"/>
  <c r="C180" i="2"/>
  <c r="F179" i="2"/>
  <c r="E179" i="2"/>
  <c r="C179" i="2"/>
  <c r="F178" i="2"/>
  <c r="E178" i="2"/>
  <c r="C178" i="2"/>
  <c r="F177" i="2"/>
  <c r="E177" i="2"/>
  <c r="C177" i="2"/>
  <c r="F176" i="2"/>
  <c r="E176" i="2"/>
  <c r="C176" i="2"/>
  <c r="F175" i="2"/>
  <c r="E175" i="2"/>
  <c r="C175" i="2"/>
  <c r="F174" i="2"/>
  <c r="E174" i="2"/>
  <c r="C174" i="2"/>
  <c r="F173" i="2"/>
  <c r="E173" i="2"/>
  <c r="C173" i="2"/>
  <c r="F172" i="2"/>
  <c r="E172" i="2"/>
  <c r="C172" i="2"/>
  <c r="F171" i="2"/>
  <c r="E171" i="2"/>
  <c r="C171" i="2"/>
  <c r="F170" i="2"/>
  <c r="E170" i="2"/>
  <c r="C170" i="2"/>
  <c r="F169" i="2"/>
  <c r="E169" i="2"/>
  <c r="C169" i="2"/>
  <c r="F168" i="2"/>
  <c r="E168" i="2"/>
  <c r="C168" i="2"/>
  <c r="F167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C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F154" i="2"/>
  <c r="E154" i="2"/>
  <c r="C154" i="2"/>
  <c r="F153" i="2"/>
  <c r="E153" i="2"/>
  <c r="C153" i="2"/>
  <c r="F152" i="2"/>
  <c r="E152" i="2"/>
  <c r="C152" i="2"/>
  <c r="F151" i="2"/>
  <c r="E151" i="2"/>
  <c r="C151" i="2"/>
  <c r="F150" i="2"/>
  <c r="E150" i="2"/>
  <c r="C150" i="2"/>
  <c r="F149" i="2"/>
  <c r="E149" i="2"/>
  <c r="C149" i="2"/>
  <c r="I148" i="2"/>
  <c r="F148" i="2"/>
  <c r="E148" i="2"/>
  <c r="C148" i="2"/>
  <c r="I147" i="2"/>
  <c r="F147" i="2"/>
  <c r="E147" i="2"/>
  <c r="C147" i="2"/>
  <c r="I146" i="2"/>
  <c r="F146" i="2"/>
  <c r="E146" i="2"/>
  <c r="C146" i="2"/>
  <c r="I145" i="2"/>
  <c r="F145" i="2"/>
  <c r="E145" i="2"/>
  <c r="C145" i="2"/>
  <c r="I144" i="2"/>
  <c r="F144" i="2"/>
  <c r="E144" i="2"/>
  <c r="C144" i="2"/>
  <c r="I143" i="2"/>
  <c r="F143" i="2"/>
  <c r="E143" i="2"/>
  <c r="C143" i="2"/>
  <c r="I142" i="2"/>
  <c r="F142" i="2"/>
  <c r="E142" i="2"/>
  <c r="C142" i="2"/>
  <c r="I141" i="2"/>
  <c r="F141" i="2"/>
  <c r="E141" i="2"/>
  <c r="C141" i="2"/>
  <c r="I140" i="2"/>
  <c r="F140" i="2"/>
  <c r="E140" i="2"/>
  <c r="C140" i="2"/>
  <c r="I139" i="2"/>
  <c r="F139" i="2"/>
  <c r="E139" i="2"/>
  <c r="C139" i="2"/>
  <c r="I138" i="2"/>
  <c r="F138" i="2"/>
  <c r="E138" i="2"/>
  <c r="C138" i="2"/>
  <c r="I137" i="2"/>
  <c r="F137" i="2"/>
  <c r="E137" i="2"/>
  <c r="C137" i="2"/>
  <c r="I136" i="2"/>
  <c r="F136" i="2"/>
  <c r="E136" i="2"/>
  <c r="C136" i="2"/>
  <c r="I135" i="2"/>
  <c r="F135" i="2"/>
  <c r="E135" i="2"/>
  <c r="C135" i="2"/>
  <c r="I134" i="2"/>
  <c r="F134" i="2"/>
  <c r="E134" i="2"/>
  <c r="C134" i="2"/>
  <c r="I133" i="2"/>
  <c r="F133" i="2"/>
  <c r="E133" i="2"/>
  <c r="C133" i="2"/>
  <c r="I132" i="2"/>
  <c r="F132" i="2"/>
  <c r="E132" i="2"/>
  <c r="C132" i="2"/>
  <c r="I131" i="2"/>
  <c r="F131" i="2"/>
  <c r="E131" i="2"/>
  <c r="C131" i="2"/>
  <c r="I130" i="2"/>
  <c r="F130" i="2"/>
  <c r="E130" i="2"/>
  <c r="C130" i="2"/>
  <c r="I129" i="2"/>
  <c r="F129" i="2"/>
  <c r="E129" i="2"/>
  <c r="C129" i="2"/>
  <c r="I128" i="2"/>
  <c r="F128" i="2"/>
  <c r="E128" i="2"/>
  <c r="C128" i="2"/>
  <c r="I127" i="2"/>
  <c r="F127" i="2"/>
  <c r="E127" i="2"/>
  <c r="C127" i="2"/>
  <c r="I126" i="2"/>
  <c r="F126" i="2"/>
  <c r="E126" i="2"/>
  <c r="C126" i="2"/>
  <c r="I125" i="2"/>
  <c r="F125" i="2"/>
  <c r="E125" i="2"/>
  <c r="C125" i="2"/>
  <c r="I124" i="2"/>
  <c r="E124" i="2"/>
  <c r="C124" i="2"/>
  <c r="I123" i="2"/>
  <c r="E123" i="2"/>
  <c r="C123" i="2"/>
  <c r="I122" i="2"/>
  <c r="E122" i="2"/>
  <c r="C122" i="2"/>
  <c r="I121" i="2"/>
  <c r="E121" i="2"/>
  <c r="C121" i="2"/>
  <c r="I120" i="2"/>
  <c r="E120" i="2"/>
  <c r="C120" i="2"/>
  <c r="I119" i="2"/>
  <c r="E119" i="2"/>
  <c r="C119" i="2"/>
  <c r="I118" i="2"/>
  <c r="E118" i="2"/>
  <c r="C118" i="2"/>
  <c r="I117" i="2"/>
  <c r="E117" i="2"/>
  <c r="C117" i="2"/>
  <c r="I116" i="2"/>
  <c r="E116" i="2"/>
  <c r="C116" i="2"/>
  <c r="I115" i="2"/>
  <c r="E115" i="2"/>
  <c r="C115" i="2"/>
  <c r="I114" i="2"/>
  <c r="E114" i="2"/>
  <c r="C114" i="2"/>
  <c r="I113" i="2"/>
  <c r="E113" i="2"/>
  <c r="C113" i="2"/>
  <c r="I112" i="2"/>
  <c r="E112" i="2"/>
  <c r="C112" i="2"/>
  <c r="I111" i="2"/>
  <c r="E111" i="2"/>
  <c r="C111" i="2"/>
  <c r="I110" i="2"/>
  <c r="E110" i="2"/>
  <c r="C110" i="2"/>
  <c r="I109" i="2"/>
  <c r="E109" i="2"/>
  <c r="C109" i="2"/>
  <c r="I108" i="2"/>
  <c r="E108" i="2"/>
  <c r="C108" i="2"/>
  <c r="I107" i="2"/>
  <c r="E107" i="2"/>
  <c r="C107" i="2"/>
  <c r="I106" i="2"/>
  <c r="E106" i="2"/>
  <c r="C106" i="2"/>
  <c r="I105" i="2"/>
  <c r="E105" i="2"/>
  <c r="C105" i="2"/>
  <c r="I104" i="2"/>
  <c r="E104" i="2"/>
  <c r="C104" i="2"/>
  <c r="I103" i="2"/>
  <c r="E103" i="2"/>
  <c r="C103" i="2"/>
  <c r="I102" i="2"/>
  <c r="E102" i="2"/>
  <c r="C102" i="2"/>
  <c r="I101" i="2"/>
  <c r="E101" i="2"/>
  <c r="C101" i="2"/>
  <c r="I100" i="2"/>
  <c r="E100" i="2"/>
  <c r="C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I51" i="2"/>
  <c r="F51" i="2"/>
  <c r="E51" i="2"/>
  <c r="I50" i="2"/>
  <c r="F50" i="2"/>
  <c r="E50" i="2"/>
  <c r="I49" i="2"/>
  <c r="F49" i="2"/>
  <c r="E49" i="2"/>
  <c r="I48" i="2"/>
  <c r="F48" i="2"/>
  <c r="E48" i="2"/>
  <c r="I47" i="2"/>
  <c r="F47" i="2"/>
  <c r="E47" i="2"/>
  <c r="I46" i="2"/>
  <c r="F46" i="2"/>
  <c r="E46" i="2"/>
  <c r="I45" i="2"/>
  <c r="F45" i="2"/>
  <c r="E45" i="2"/>
  <c r="I44" i="2"/>
  <c r="F44" i="2"/>
  <c r="E44" i="2"/>
  <c r="I43" i="2"/>
  <c r="F43" i="2"/>
  <c r="E43" i="2"/>
  <c r="I42" i="2"/>
  <c r="F42" i="2"/>
  <c r="E42" i="2"/>
  <c r="I41" i="2"/>
  <c r="F41" i="2"/>
  <c r="E41" i="2"/>
  <c r="I40" i="2"/>
  <c r="F40" i="2"/>
  <c r="E40" i="2"/>
  <c r="I39" i="2"/>
  <c r="F39" i="2"/>
  <c r="E39" i="2"/>
  <c r="I38" i="2"/>
  <c r="F38" i="2"/>
  <c r="E38" i="2"/>
  <c r="I37" i="2"/>
  <c r="F37" i="2"/>
  <c r="E37" i="2"/>
  <c r="I36" i="2"/>
  <c r="F36" i="2"/>
  <c r="E36" i="2"/>
  <c r="I35" i="2"/>
  <c r="F35" i="2"/>
  <c r="E35" i="2"/>
  <c r="I34" i="2"/>
  <c r="F34" i="2"/>
  <c r="E34" i="2"/>
  <c r="I33" i="2"/>
  <c r="F33" i="2"/>
  <c r="E33" i="2"/>
  <c r="I32" i="2"/>
  <c r="F32" i="2"/>
  <c r="E32" i="2"/>
  <c r="I31" i="2"/>
  <c r="F31" i="2"/>
  <c r="E31" i="2"/>
  <c r="I30" i="2"/>
  <c r="F30" i="2"/>
  <c r="E30" i="2"/>
  <c r="I29" i="2"/>
  <c r="F29" i="2"/>
  <c r="E29" i="2"/>
  <c r="I28" i="2"/>
  <c r="F28" i="2"/>
  <c r="E28" i="2"/>
  <c r="I27" i="2"/>
  <c r="E27" i="2"/>
  <c r="I26" i="2"/>
  <c r="E26" i="2"/>
  <c r="I25" i="2"/>
  <c r="E25" i="2"/>
  <c r="I24" i="2"/>
  <c r="E24" i="2"/>
  <c r="I23" i="2"/>
  <c r="E23" i="2"/>
  <c r="I22" i="2"/>
  <c r="E22" i="2"/>
  <c r="I21" i="2"/>
  <c r="E21" i="2"/>
  <c r="I20" i="2"/>
  <c r="E20" i="2"/>
  <c r="I19" i="2"/>
  <c r="E19" i="2"/>
  <c r="I18" i="2"/>
  <c r="E18" i="2"/>
  <c r="I17" i="2"/>
  <c r="E17" i="2"/>
  <c r="I16" i="2"/>
  <c r="E16" i="2"/>
  <c r="I15" i="2"/>
  <c r="E15" i="2"/>
  <c r="I14" i="2"/>
  <c r="E14" i="2"/>
  <c r="I13" i="2"/>
  <c r="E13" i="2"/>
  <c r="I12" i="2"/>
  <c r="E12" i="2"/>
  <c r="I11" i="2"/>
  <c r="E11" i="2"/>
  <c r="I10" i="2"/>
  <c r="E10" i="2"/>
  <c r="I9" i="2"/>
  <c r="E9" i="2"/>
  <c r="I8" i="2"/>
  <c r="E8" i="2"/>
  <c r="I7" i="2"/>
  <c r="E7" i="2"/>
  <c r="I6" i="2"/>
  <c r="E6" i="2"/>
  <c r="I5" i="2"/>
  <c r="E5" i="2"/>
  <c r="I4" i="2"/>
  <c r="E4" i="2"/>
  <c r="I3" i="2"/>
  <c r="E3" i="2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J704" i="8"/>
  <c r="I704" i="8"/>
  <c r="H704" i="8"/>
  <c r="G704" i="8"/>
  <c r="F704" i="8"/>
  <c r="A704" i="8"/>
  <c r="J703" i="8"/>
  <c r="I703" i="8"/>
  <c r="H703" i="8"/>
  <c r="G703" i="8"/>
  <c r="F703" i="8"/>
  <c r="A703" i="8"/>
  <c r="J702" i="8"/>
  <c r="I702" i="8"/>
  <c r="H702" i="8"/>
  <c r="G702" i="8"/>
  <c r="F702" i="8"/>
  <c r="A702" i="8"/>
  <c r="J701" i="8"/>
  <c r="I701" i="8"/>
  <c r="H701" i="8"/>
  <c r="G701" i="8"/>
  <c r="F701" i="8"/>
  <c r="A701" i="8"/>
  <c r="J700" i="8"/>
  <c r="I700" i="8"/>
  <c r="H700" i="8"/>
  <c r="G700" i="8"/>
  <c r="F700" i="8"/>
  <c r="A700" i="8"/>
  <c r="J699" i="8"/>
  <c r="I699" i="8"/>
  <c r="H699" i="8"/>
  <c r="G699" i="8"/>
  <c r="F699" i="8"/>
  <c r="A699" i="8"/>
  <c r="J698" i="8"/>
  <c r="I698" i="8"/>
  <c r="H698" i="8"/>
  <c r="G698" i="8"/>
  <c r="F698" i="8"/>
  <c r="A698" i="8"/>
  <c r="J697" i="8"/>
  <c r="I697" i="8"/>
  <c r="H697" i="8"/>
  <c r="G697" i="8"/>
  <c r="F697" i="8"/>
  <c r="A697" i="8"/>
  <c r="J696" i="8"/>
  <c r="I696" i="8"/>
  <c r="H696" i="8"/>
  <c r="G696" i="8"/>
  <c r="F696" i="8"/>
  <c r="A696" i="8"/>
  <c r="J695" i="8"/>
  <c r="I695" i="8"/>
  <c r="H695" i="8"/>
  <c r="G695" i="8"/>
  <c r="F695" i="8"/>
  <c r="A695" i="8"/>
  <c r="J694" i="8"/>
  <c r="I694" i="8"/>
  <c r="H694" i="8"/>
  <c r="G694" i="8"/>
  <c r="F694" i="8"/>
  <c r="A694" i="8"/>
  <c r="J693" i="8"/>
  <c r="I693" i="8"/>
  <c r="H693" i="8"/>
  <c r="G693" i="8"/>
  <c r="F693" i="8"/>
  <c r="A693" i="8"/>
  <c r="J692" i="8"/>
  <c r="I692" i="8"/>
  <c r="H692" i="8"/>
  <c r="G692" i="8"/>
  <c r="F692" i="8"/>
  <c r="A692" i="8"/>
  <c r="J691" i="8"/>
  <c r="I691" i="8"/>
  <c r="H691" i="8"/>
  <c r="G691" i="8"/>
  <c r="F691" i="8"/>
  <c r="A691" i="8"/>
  <c r="J690" i="8"/>
  <c r="I690" i="8"/>
  <c r="H690" i="8"/>
  <c r="G690" i="8"/>
  <c r="F690" i="8"/>
  <c r="A690" i="8"/>
  <c r="J689" i="8"/>
  <c r="I689" i="8"/>
  <c r="H689" i="8"/>
  <c r="G689" i="8"/>
  <c r="F689" i="8"/>
  <c r="A689" i="8"/>
  <c r="J688" i="8"/>
  <c r="I688" i="8"/>
  <c r="H688" i="8"/>
  <c r="G688" i="8"/>
  <c r="F688" i="8"/>
  <c r="A688" i="8"/>
  <c r="J687" i="8"/>
  <c r="I687" i="8"/>
  <c r="H687" i="8"/>
  <c r="G687" i="8"/>
  <c r="F687" i="8"/>
  <c r="A687" i="8"/>
  <c r="J686" i="8"/>
  <c r="I686" i="8"/>
  <c r="H686" i="8"/>
  <c r="G686" i="8"/>
  <c r="F686" i="8"/>
  <c r="A686" i="8"/>
  <c r="J685" i="8"/>
  <c r="I685" i="8"/>
  <c r="H685" i="8"/>
  <c r="G685" i="8"/>
  <c r="F685" i="8"/>
  <c r="A685" i="8"/>
  <c r="J684" i="8"/>
  <c r="I684" i="8"/>
  <c r="H684" i="8"/>
  <c r="G684" i="8"/>
  <c r="F684" i="8"/>
  <c r="A684" i="8"/>
  <c r="J683" i="8"/>
  <c r="I683" i="8"/>
  <c r="H683" i="8"/>
  <c r="G683" i="8"/>
  <c r="F683" i="8"/>
  <c r="A683" i="8"/>
  <c r="J682" i="8"/>
  <c r="I682" i="8"/>
  <c r="H682" i="8"/>
  <c r="G682" i="8"/>
  <c r="F682" i="8"/>
  <c r="A682" i="8"/>
  <c r="J681" i="8"/>
  <c r="I681" i="8"/>
  <c r="H681" i="8"/>
  <c r="G681" i="8"/>
  <c r="F681" i="8"/>
  <c r="A681" i="8"/>
  <c r="J680" i="8"/>
  <c r="I680" i="8"/>
  <c r="H680" i="8"/>
  <c r="G680" i="8"/>
  <c r="F680" i="8"/>
  <c r="A680" i="8"/>
  <c r="J679" i="8"/>
  <c r="I679" i="8"/>
  <c r="H679" i="8"/>
  <c r="G679" i="8"/>
  <c r="F679" i="8"/>
  <c r="A679" i="8"/>
  <c r="J678" i="8"/>
  <c r="I678" i="8"/>
  <c r="H678" i="8"/>
  <c r="G678" i="8"/>
  <c r="F678" i="8"/>
  <c r="A678" i="8"/>
  <c r="J677" i="8"/>
  <c r="I677" i="8"/>
  <c r="H677" i="8"/>
  <c r="G677" i="8"/>
  <c r="F677" i="8"/>
  <c r="A677" i="8"/>
  <c r="J676" i="8"/>
  <c r="I676" i="8"/>
  <c r="H676" i="8"/>
  <c r="G676" i="8"/>
  <c r="F676" i="8"/>
  <c r="A676" i="8"/>
  <c r="J675" i="8"/>
  <c r="I675" i="8"/>
  <c r="H675" i="8"/>
  <c r="G675" i="8"/>
  <c r="F675" i="8"/>
  <c r="A675" i="8"/>
  <c r="J674" i="8"/>
  <c r="I674" i="8"/>
  <c r="H674" i="8"/>
  <c r="G674" i="8"/>
  <c r="F674" i="8"/>
  <c r="A674" i="8"/>
  <c r="J673" i="8"/>
  <c r="I673" i="8"/>
  <c r="H673" i="8"/>
  <c r="G673" i="8"/>
  <c r="F673" i="8"/>
  <c r="A673" i="8"/>
  <c r="J672" i="8"/>
  <c r="I672" i="8"/>
  <c r="H672" i="8"/>
  <c r="G672" i="8"/>
  <c r="F672" i="8"/>
  <c r="A672" i="8"/>
  <c r="J671" i="8"/>
  <c r="I671" i="8"/>
  <c r="H671" i="8"/>
  <c r="G671" i="8"/>
  <c r="F671" i="8"/>
  <c r="A671" i="8"/>
  <c r="J670" i="8"/>
  <c r="I670" i="8"/>
  <c r="H670" i="8"/>
  <c r="G670" i="8"/>
  <c r="F670" i="8"/>
  <c r="A670" i="8"/>
  <c r="J669" i="8"/>
  <c r="I669" i="8"/>
  <c r="H669" i="8"/>
  <c r="G669" i="8"/>
  <c r="F669" i="8"/>
  <c r="A669" i="8"/>
  <c r="J668" i="8"/>
  <c r="I668" i="8"/>
  <c r="H668" i="8"/>
  <c r="G668" i="8"/>
  <c r="F668" i="8"/>
  <c r="A668" i="8"/>
  <c r="J667" i="8"/>
  <c r="I667" i="8"/>
  <c r="H667" i="8"/>
  <c r="G667" i="8"/>
  <c r="F667" i="8"/>
  <c r="A667" i="8"/>
  <c r="J666" i="8"/>
  <c r="I666" i="8"/>
  <c r="H666" i="8"/>
  <c r="G666" i="8"/>
  <c r="F666" i="8"/>
  <c r="A666" i="8"/>
  <c r="J665" i="8"/>
  <c r="I665" i="8"/>
  <c r="H665" i="8"/>
  <c r="G665" i="8"/>
  <c r="F665" i="8"/>
  <c r="A665" i="8"/>
  <c r="J664" i="8"/>
  <c r="I664" i="8"/>
  <c r="H664" i="8"/>
  <c r="G664" i="8"/>
  <c r="F664" i="8"/>
  <c r="A664" i="8"/>
  <c r="J663" i="8"/>
  <c r="I663" i="8"/>
  <c r="H663" i="8"/>
  <c r="G663" i="8"/>
  <c r="F663" i="8"/>
  <c r="A663" i="8"/>
  <c r="J662" i="8"/>
  <c r="I662" i="8"/>
  <c r="H662" i="8"/>
  <c r="G662" i="8"/>
  <c r="F662" i="8"/>
  <c r="A662" i="8"/>
  <c r="J661" i="8"/>
  <c r="I661" i="8"/>
  <c r="H661" i="8"/>
  <c r="G661" i="8"/>
  <c r="F661" i="8"/>
  <c r="A661" i="8"/>
  <c r="J660" i="8"/>
  <c r="I660" i="8"/>
  <c r="H660" i="8"/>
  <c r="G660" i="8"/>
  <c r="F660" i="8"/>
  <c r="A660" i="8"/>
  <c r="J659" i="8"/>
  <c r="I659" i="8"/>
  <c r="H659" i="8"/>
  <c r="G659" i="8"/>
  <c r="F659" i="8"/>
  <c r="A659" i="8"/>
  <c r="J658" i="8"/>
  <c r="I658" i="8"/>
  <c r="H658" i="8"/>
  <c r="G658" i="8"/>
  <c r="F658" i="8"/>
  <c r="A658" i="8"/>
  <c r="J657" i="8"/>
  <c r="I657" i="8"/>
  <c r="H657" i="8"/>
  <c r="G657" i="8"/>
  <c r="F657" i="8"/>
  <c r="A657" i="8"/>
  <c r="J656" i="8"/>
  <c r="I656" i="8"/>
  <c r="H656" i="8"/>
  <c r="G656" i="8"/>
  <c r="F656" i="8"/>
  <c r="A656" i="8"/>
  <c r="J655" i="8"/>
  <c r="I655" i="8"/>
  <c r="H655" i="8"/>
  <c r="G655" i="8"/>
  <c r="F655" i="8"/>
  <c r="A655" i="8"/>
  <c r="J654" i="8"/>
  <c r="I654" i="8"/>
  <c r="H654" i="8"/>
  <c r="G654" i="8"/>
  <c r="F654" i="8"/>
  <c r="A654" i="8"/>
  <c r="J653" i="8"/>
  <c r="I653" i="8"/>
  <c r="H653" i="8"/>
  <c r="G653" i="8"/>
  <c r="F653" i="8"/>
  <c r="A653" i="8"/>
  <c r="J652" i="8"/>
  <c r="I652" i="8"/>
  <c r="H652" i="8"/>
  <c r="G652" i="8"/>
  <c r="F652" i="8"/>
  <c r="A652" i="8"/>
  <c r="J651" i="8"/>
  <c r="I651" i="8"/>
  <c r="H651" i="8"/>
  <c r="G651" i="8"/>
  <c r="F651" i="8"/>
  <c r="A651" i="8"/>
  <c r="J650" i="8"/>
  <c r="I650" i="8"/>
  <c r="H650" i="8"/>
  <c r="G650" i="8"/>
  <c r="F650" i="8"/>
  <c r="A650" i="8"/>
  <c r="J649" i="8"/>
  <c r="I649" i="8"/>
  <c r="H649" i="8"/>
  <c r="G649" i="8"/>
  <c r="F649" i="8"/>
  <c r="A649" i="8"/>
  <c r="J648" i="8"/>
  <c r="I648" i="8"/>
  <c r="H648" i="8"/>
  <c r="G648" i="8"/>
  <c r="F648" i="8"/>
  <c r="A648" i="8"/>
  <c r="J647" i="8"/>
  <c r="I647" i="8"/>
  <c r="H647" i="8"/>
  <c r="G647" i="8"/>
  <c r="F647" i="8"/>
  <c r="A647" i="8"/>
  <c r="J646" i="8"/>
  <c r="I646" i="8"/>
  <c r="H646" i="8"/>
  <c r="G646" i="8"/>
  <c r="F646" i="8"/>
  <c r="A646" i="8"/>
  <c r="J645" i="8"/>
  <c r="I645" i="8"/>
  <c r="H645" i="8"/>
  <c r="G645" i="8"/>
  <c r="F645" i="8"/>
  <c r="A645" i="8"/>
  <c r="J644" i="8"/>
  <c r="I644" i="8"/>
  <c r="H644" i="8"/>
  <c r="G644" i="8"/>
  <c r="F644" i="8"/>
  <c r="A644" i="8"/>
  <c r="J643" i="8"/>
  <c r="I643" i="8"/>
  <c r="H643" i="8"/>
  <c r="G643" i="8"/>
  <c r="F643" i="8"/>
  <c r="A643" i="8"/>
  <c r="J642" i="8"/>
  <c r="I642" i="8"/>
  <c r="H642" i="8"/>
  <c r="G642" i="8"/>
  <c r="F642" i="8"/>
  <c r="A642" i="8"/>
  <c r="J641" i="8"/>
  <c r="I641" i="8"/>
  <c r="H641" i="8"/>
  <c r="G641" i="8"/>
  <c r="F641" i="8"/>
  <c r="A641" i="8"/>
  <c r="J640" i="8"/>
  <c r="I640" i="8"/>
  <c r="H640" i="8"/>
  <c r="G640" i="8"/>
  <c r="F640" i="8"/>
  <c r="A640" i="8"/>
  <c r="J639" i="8"/>
  <c r="I639" i="8"/>
  <c r="H639" i="8"/>
  <c r="G639" i="8"/>
  <c r="F639" i="8"/>
  <c r="A639" i="8"/>
  <c r="J638" i="8"/>
  <c r="I638" i="8"/>
  <c r="H638" i="8"/>
  <c r="G638" i="8"/>
  <c r="F638" i="8"/>
  <c r="A638" i="8"/>
  <c r="J637" i="8"/>
  <c r="I637" i="8"/>
  <c r="H637" i="8"/>
  <c r="G637" i="8"/>
  <c r="F637" i="8"/>
  <c r="A637" i="8"/>
  <c r="J636" i="8"/>
  <c r="I636" i="8"/>
  <c r="H636" i="8"/>
  <c r="G636" i="8"/>
  <c r="F636" i="8"/>
  <c r="A636" i="8"/>
  <c r="J635" i="8"/>
  <c r="I635" i="8"/>
  <c r="H635" i="8"/>
  <c r="G635" i="8"/>
  <c r="F635" i="8"/>
  <c r="A635" i="8"/>
  <c r="J634" i="8"/>
  <c r="I634" i="8"/>
  <c r="H634" i="8"/>
  <c r="G634" i="8"/>
  <c r="F634" i="8"/>
  <c r="A634" i="8"/>
  <c r="J633" i="8"/>
  <c r="I633" i="8"/>
  <c r="H633" i="8"/>
  <c r="G633" i="8"/>
  <c r="F633" i="8"/>
  <c r="A633" i="8"/>
  <c r="J632" i="8"/>
  <c r="I632" i="8"/>
  <c r="H632" i="8"/>
  <c r="G632" i="8"/>
  <c r="F632" i="8"/>
  <c r="A632" i="8"/>
  <c r="J631" i="8"/>
  <c r="I631" i="8"/>
  <c r="H631" i="8"/>
  <c r="G631" i="8"/>
  <c r="F631" i="8"/>
  <c r="A631" i="8"/>
  <c r="J630" i="8"/>
  <c r="I630" i="8"/>
  <c r="H630" i="8"/>
  <c r="G630" i="8"/>
  <c r="F630" i="8"/>
  <c r="A630" i="8"/>
  <c r="J629" i="8"/>
  <c r="I629" i="8"/>
  <c r="H629" i="8"/>
  <c r="G629" i="8"/>
  <c r="F629" i="8"/>
  <c r="A629" i="8"/>
  <c r="J628" i="8"/>
  <c r="I628" i="8"/>
  <c r="H628" i="8"/>
  <c r="G628" i="8"/>
  <c r="F628" i="8"/>
  <c r="A628" i="8"/>
  <c r="J627" i="8"/>
  <c r="I627" i="8"/>
  <c r="H627" i="8"/>
  <c r="G627" i="8"/>
  <c r="F627" i="8"/>
  <c r="A627" i="8"/>
  <c r="J626" i="8"/>
  <c r="I626" i="8"/>
  <c r="H626" i="8"/>
  <c r="G626" i="8"/>
  <c r="F626" i="8"/>
  <c r="A626" i="8"/>
  <c r="J625" i="8"/>
  <c r="I625" i="8"/>
  <c r="H625" i="8"/>
  <c r="G625" i="8"/>
  <c r="F625" i="8"/>
  <c r="A625" i="8"/>
  <c r="J624" i="8"/>
  <c r="I624" i="8"/>
  <c r="H624" i="8"/>
  <c r="G624" i="8"/>
  <c r="F624" i="8"/>
  <c r="A624" i="8"/>
  <c r="J623" i="8"/>
  <c r="I623" i="8"/>
  <c r="H623" i="8"/>
  <c r="G623" i="8"/>
  <c r="F623" i="8"/>
  <c r="A623" i="8"/>
  <c r="J622" i="8"/>
  <c r="I622" i="8"/>
  <c r="H622" i="8"/>
  <c r="G622" i="8"/>
  <c r="F622" i="8"/>
  <c r="A622" i="8"/>
  <c r="J621" i="8"/>
  <c r="I621" i="8"/>
  <c r="H621" i="8"/>
  <c r="G621" i="8"/>
  <c r="F621" i="8"/>
  <c r="A621" i="8"/>
  <c r="J620" i="8"/>
  <c r="I620" i="8"/>
  <c r="H620" i="8"/>
  <c r="G620" i="8"/>
  <c r="F620" i="8"/>
  <c r="A620" i="8"/>
  <c r="J619" i="8"/>
  <c r="I619" i="8"/>
  <c r="H619" i="8"/>
  <c r="G619" i="8"/>
  <c r="F619" i="8"/>
  <c r="A619" i="8"/>
  <c r="J618" i="8"/>
  <c r="I618" i="8"/>
  <c r="H618" i="8"/>
  <c r="G618" i="8"/>
  <c r="F618" i="8"/>
  <c r="A618" i="8"/>
  <c r="J617" i="8"/>
  <c r="I617" i="8"/>
  <c r="H617" i="8"/>
  <c r="G617" i="8"/>
  <c r="F617" i="8"/>
  <c r="A617" i="8"/>
  <c r="J616" i="8"/>
  <c r="I616" i="8"/>
  <c r="H616" i="8"/>
  <c r="G616" i="8"/>
  <c r="F616" i="8"/>
  <c r="A616" i="8"/>
  <c r="J615" i="8"/>
  <c r="I615" i="8"/>
  <c r="H615" i="8"/>
  <c r="G615" i="8"/>
  <c r="F615" i="8"/>
  <c r="A615" i="8"/>
  <c r="J614" i="8"/>
  <c r="I614" i="8"/>
  <c r="H614" i="8"/>
  <c r="G614" i="8"/>
  <c r="F614" i="8"/>
  <c r="A614" i="8"/>
  <c r="J613" i="8"/>
  <c r="I613" i="8"/>
  <c r="H613" i="8"/>
  <c r="G613" i="8"/>
  <c r="F613" i="8"/>
  <c r="A613" i="8"/>
  <c r="J612" i="8"/>
  <c r="I612" i="8"/>
  <c r="H612" i="8"/>
  <c r="G612" i="8"/>
  <c r="F612" i="8"/>
  <c r="A612" i="8"/>
  <c r="J611" i="8"/>
  <c r="I611" i="8"/>
  <c r="H611" i="8"/>
  <c r="G611" i="8"/>
  <c r="F611" i="8"/>
  <c r="A611" i="8"/>
  <c r="J610" i="8"/>
  <c r="I610" i="8"/>
  <c r="H610" i="8"/>
  <c r="G610" i="8"/>
  <c r="F610" i="8"/>
  <c r="A610" i="8"/>
  <c r="J609" i="8"/>
  <c r="I609" i="8"/>
  <c r="H609" i="8"/>
  <c r="G609" i="8"/>
  <c r="F609" i="8"/>
  <c r="A609" i="8"/>
  <c r="J608" i="8"/>
  <c r="I608" i="8"/>
  <c r="H608" i="8"/>
  <c r="G608" i="8"/>
  <c r="F608" i="8"/>
  <c r="A608" i="8"/>
  <c r="J607" i="8"/>
  <c r="I607" i="8"/>
  <c r="H607" i="8"/>
  <c r="G607" i="8"/>
  <c r="F607" i="8"/>
  <c r="A607" i="8"/>
  <c r="J606" i="8"/>
  <c r="I606" i="8"/>
  <c r="H606" i="8"/>
  <c r="G606" i="8"/>
  <c r="F606" i="8"/>
  <c r="A606" i="8"/>
  <c r="J605" i="8"/>
  <c r="I605" i="8"/>
  <c r="H605" i="8"/>
  <c r="G605" i="8"/>
  <c r="F605" i="8"/>
  <c r="A605" i="8"/>
  <c r="J604" i="8"/>
  <c r="I604" i="8"/>
  <c r="H604" i="8"/>
  <c r="G604" i="8"/>
  <c r="F604" i="8"/>
  <c r="A604" i="8"/>
  <c r="J603" i="8"/>
  <c r="I603" i="8"/>
  <c r="H603" i="8"/>
  <c r="G603" i="8"/>
  <c r="F603" i="8"/>
  <c r="A603" i="8"/>
  <c r="J602" i="8"/>
  <c r="I602" i="8"/>
  <c r="H602" i="8"/>
  <c r="G602" i="8"/>
  <c r="F602" i="8"/>
  <c r="A602" i="8"/>
  <c r="J601" i="8"/>
  <c r="I601" i="8"/>
  <c r="H601" i="8"/>
  <c r="G601" i="8"/>
  <c r="F601" i="8"/>
  <c r="A601" i="8"/>
  <c r="J600" i="8"/>
  <c r="I600" i="8"/>
  <c r="H600" i="8"/>
  <c r="G600" i="8"/>
  <c r="F600" i="8"/>
  <c r="A600" i="8"/>
  <c r="J599" i="8"/>
  <c r="I599" i="8"/>
  <c r="H599" i="8"/>
  <c r="G599" i="8"/>
  <c r="F599" i="8"/>
  <c r="A599" i="8"/>
  <c r="J598" i="8"/>
  <c r="I598" i="8"/>
  <c r="H598" i="8"/>
  <c r="G598" i="8"/>
  <c r="F598" i="8"/>
  <c r="A598" i="8"/>
  <c r="J597" i="8"/>
  <c r="I597" i="8"/>
  <c r="H597" i="8"/>
  <c r="G597" i="8"/>
  <c r="F597" i="8"/>
  <c r="A597" i="8"/>
  <c r="J596" i="8"/>
  <c r="I596" i="8"/>
  <c r="H596" i="8"/>
  <c r="G596" i="8"/>
  <c r="F596" i="8"/>
  <c r="A596" i="8"/>
  <c r="J595" i="8"/>
  <c r="I595" i="8"/>
  <c r="H595" i="8"/>
  <c r="G595" i="8"/>
  <c r="F595" i="8"/>
  <c r="A595" i="8"/>
  <c r="J594" i="8"/>
  <c r="I594" i="8"/>
  <c r="H594" i="8"/>
  <c r="G594" i="8"/>
  <c r="F594" i="8"/>
  <c r="A594" i="8"/>
  <c r="J593" i="8"/>
  <c r="I593" i="8"/>
  <c r="H593" i="8"/>
  <c r="G593" i="8"/>
  <c r="F593" i="8"/>
  <c r="A593" i="8"/>
  <c r="J592" i="8"/>
  <c r="I592" i="8"/>
  <c r="H592" i="8"/>
  <c r="G592" i="8"/>
  <c r="F592" i="8"/>
  <c r="A592" i="8"/>
  <c r="J591" i="8"/>
  <c r="I591" i="8"/>
  <c r="H591" i="8"/>
  <c r="G591" i="8"/>
  <c r="F591" i="8"/>
  <c r="A591" i="8"/>
  <c r="J590" i="8"/>
  <c r="I590" i="8"/>
  <c r="H590" i="8"/>
  <c r="G590" i="8"/>
  <c r="F590" i="8"/>
  <c r="A590" i="8"/>
  <c r="J589" i="8"/>
  <c r="I589" i="8"/>
  <c r="H589" i="8"/>
  <c r="G589" i="8"/>
  <c r="F589" i="8"/>
  <c r="A589" i="8"/>
  <c r="J588" i="8"/>
  <c r="I588" i="8"/>
  <c r="H588" i="8"/>
  <c r="G588" i="8"/>
  <c r="F588" i="8"/>
  <c r="A588" i="8"/>
  <c r="J587" i="8"/>
  <c r="I587" i="8"/>
  <c r="H587" i="8"/>
  <c r="G587" i="8"/>
  <c r="F587" i="8"/>
  <c r="A587" i="8"/>
  <c r="J586" i="8"/>
  <c r="I586" i="8"/>
  <c r="H586" i="8"/>
  <c r="G586" i="8"/>
  <c r="F586" i="8"/>
  <c r="A586" i="8"/>
  <c r="J585" i="8"/>
  <c r="I585" i="8"/>
  <c r="H585" i="8"/>
  <c r="G585" i="8"/>
  <c r="F585" i="8"/>
  <c r="A585" i="8"/>
  <c r="J584" i="8"/>
  <c r="I584" i="8"/>
  <c r="H584" i="8"/>
  <c r="G584" i="8"/>
  <c r="F584" i="8"/>
  <c r="A584" i="8"/>
  <c r="J583" i="8"/>
  <c r="I583" i="8"/>
  <c r="H583" i="8"/>
  <c r="G583" i="8"/>
  <c r="F583" i="8"/>
  <c r="A583" i="8"/>
  <c r="J582" i="8"/>
  <c r="I582" i="8"/>
  <c r="H582" i="8"/>
  <c r="G582" i="8"/>
  <c r="F582" i="8"/>
  <c r="A582" i="8"/>
  <c r="J581" i="8"/>
  <c r="I581" i="8"/>
  <c r="H581" i="8"/>
  <c r="G581" i="8"/>
  <c r="F581" i="8"/>
  <c r="A581" i="8"/>
  <c r="J580" i="8"/>
  <c r="I580" i="8"/>
  <c r="H580" i="8"/>
  <c r="G580" i="8"/>
  <c r="F580" i="8"/>
  <c r="A580" i="8"/>
  <c r="J579" i="8"/>
  <c r="I579" i="8"/>
  <c r="H579" i="8"/>
  <c r="G579" i="8"/>
  <c r="F579" i="8"/>
  <c r="A579" i="8"/>
  <c r="J578" i="8"/>
  <c r="I578" i="8"/>
  <c r="H578" i="8"/>
  <c r="G578" i="8"/>
  <c r="F578" i="8"/>
  <c r="A578" i="8"/>
  <c r="J577" i="8"/>
  <c r="I577" i="8"/>
  <c r="H577" i="8"/>
  <c r="G577" i="8"/>
  <c r="F577" i="8"/>
  <c r="A577" i="8"/>
  <c r="J576" i="8"/>
  <c r="I576" i="8"/>
  <c r="H576" i="8"/>
  <c r="G576" i="8"/>
  <c r="F576" i="8"/>
  <c r="A576" i="8"/>
  <c r="J575" i="8"/>
  <c r="I575" i="8"/>
  <c r="H575" i="8"/>
  <c r="G575" i="8"/>
  <c r="F575" i="8"/>
  <c r="A575" i="8"/>
  <c r="J574" i="8"/>
  <c r="I574" i="8"/>
  <c r="H574" i="8"/>
  <c r="G574" i="8"/>
  <c r="F574" i="8"/>
  <c r="A574" i="8"/>
  <c r="J573" i="8"/>
  <c r="I573" i="8"/>
  <c r="H573" i="8"/>
  <c r="G573" i="8"/>
  <c r="F573" i="8"/>
  <c r="A573" i="8"/>
  <c r="J572" i="8"/>
  <c r="I572" i="8"/>
  <c r="H572" i="8"/>
  <c r="G572" i="8"/>
  <c r="F572" i="8"/>
  <c r="A572" i="8"/>
  <c r="J571" i="8"/>
  <c r="I571" i="8"/>
  <c r="H571" i="8"/>
  <c r="G571" i="8"/>
  <c r="F571" i="8"/>
  <c r="A571" i="8"/>
  <c r="J570" i="8"/>
  <c r="I570" i="8"/>
  <c r="H570" i="8"/>
  <c r="G570" i="8"/>
  <c r="F570" i="8"/>
  <c r="A570" i="8"/>
  <c r="J569" i="8"/>
  <c r="I569" i="8"/>
  <c r="H569" i="8"/>
  <c r="G569" i="8"/>
  <c r="F569" i="8"/>
  <c r="A569" i="8"/>
  <c r="J568" i="8"/>
  <c r="I568" i="8"/>
  <c r="H568" i="8"/>
  <c r="G568" i="8"/>
  <c r="F568" i="8"/>
  <c r="A568" i="8"/>
  <c r="J567" i="8"/>
  <c r="I567" i="8"/>
  <c r="H567" i="8"/>
  <c r="G567" i="8"/>
  <c r="F567" i="8"/>
  <c r="A567" i="8"/>
  <c r="J566" i="8"/>
  <c r="I566" i="8"/>
  <c r="H566" i="8"/>
  <c r="G566" i="8"/>
  <c r="F566" i="8"/>
  <c r="A566" i="8"/>
  <c r="J565" i="8"/>
  <c r="I565" i="8"/>
  <c r="H565" i="8"/>
  <c r="G565" i="8"/>
  <c r="F565" i="8"/>
  <c r="A565" i="8"/>
  <c r="J564" i="8"/>
  <c r="I564" i="8"/>
  <c r="H564" i="8"/>
  <c r="G564" i="8"/>
  <c r="F564" i="8"/>
  <c r="A564" i="8"/>
  <c r="J563" i="8"/>
  <c r="I563" i="8"/>
  <c r="H563" i="8"/>
  <c r="G563" i="8"/>
  <c r="F563" i="8"/>
  <c r="A563" i="8"/>
  <c r="J562" i="8"/>
  <c r="I562" i="8"/>
  <c r="H562" i="8"/>
  <c r="G562" i="8"/>
  <c r="F562" i="8"/>
  <c r="A562" i="8"/>
  <c r="J561" i="8"/>
  <c r="I561" i="8"/>
  <c r="H561" i="8"/>
  <c r="G561" i="8"/>
  <c r="F561" i="8"/>
  <c r="A561" i="8"/>
  <c r="J560" i="8"/>
  <c r="I560" i="8"/>
  <c r="H560" i="8"/>
  <c r="G560" i="8"/>
  <c r="F560" i="8"/>
  <c r="A560" i="8"/>
  <c r="J559" i="8"/>
  <c r="I559" i="8"/>
  <c r="H559" i="8"/>
  <c r="G559" i="8"/>
  <c r="F559" i="8"/>
  <c r="A559" i="8"/>
  <c r="J558" i="8"/>
  <c r="I558" i="8"/>
  <c r="H558" i="8"/>
  <c r="G558" i="8"/>
  <c r="F558" i="8"/>
  <c r="A558" i="8"/>
  <c r="J557" i="8"/>
  <c r="I557" i="8"/>
  <c r="H557" i="8"/>
  <c r="G557" i="8"/>
  <c r="F557" i="8"/>
  <c r="A557" i="8"/>
  <c r="J556" i="8"/>
  <c r="I556" i="8"/>
  <c r="H556" i="8"/>
  <c r="G556" i="8"/>
  <c r="F556" i="8"/>
  <c r="A556" i="8"/>
  <c r="J555" i="8"/>
  <c r="I555" i="8"/>
  <c r="H555" i="8"/>
  <c r="G555" i="8"/>
  <c r="F555" i="8"/>
  <c r="A555" i="8"/>
  <c r="J554" i="8"/>
  <c r="I554" i="8"/>
  <c r="H554" i="8"/>
  <c r="G554" i="8"/>
  <c r="F554" i="8"/>
  <c r="A554" i="8"/>
  <c r="J553" i="8"/>
  <c r="I553" i="8"/>
  <c r="H553" i="8"/>
  <c r="G553" i="8"/>
  <c r="F553" i="8"/>
  <c r="A553" i="8"/>
  <c r="J552" i="8"/>
  <c r="I552" i="8"/>
  <c r="H552" i="8"/>
  <c r="G552" i="8"/>
  <c r="F552" i="8"/>
  <c r="A552" i="8"/>
  <c r="J551" i="8"/>
  <c r="I551" i="8"/>
  <c r="H551" i="8"/>
  <c r="G551" i="8"/>
  <c r="F551" i="8"/>
  <c r="A551" i="8"/>
  <c r="J550" i="8"/>
  <c r="I550" i="8"/>
  <c r="H550" i="8"/>
  <c r="G550" i="8"/>
  <c r="F550" i="8"/>
  <c r="A550" i="8"/>
  <c r="J549" i="8"/>
  <c r="I549" i="8"/>
  <c r="H549" i="8"/>
  <c r="G549" i="8"/>
  <c r="F549" i="8"/>
  <c r="A549" i="8"/>
  <c r="J548" i="8"/>
  <c r="I548" i="8"/>
  <c r="H548" i="8"/>
  <c r="G548" i="8"/>
  <c r="F548" i="8"/>
  <c r="A548" i="8"/>
  <c r="J547" i="8"/>
  <c r="I547" i="8"/>
  <c r="H547" i="8"/>
  <c r="G547" i="8"/>
  <c r="F547" i="8"/>
  <c r="A547" i="8"/>
  <c r="J546" i="8"/>
  <c r="I546" i="8"/>
  <c r="H546" i="8"/>
  <c r="G546" i="8"/>
  <c r="F546" i="8"/>
  <c r="A546" i="8"/>
  <c r="J545" i="8"/>
  <c r="I545" i="8"/>
  <c r="H545" i="8"/>
  <c r="G545" i="8"/>
  <c r="F545" i="8"/>
  <c r="A545" i="8"/>
  <c r="J544" i="8"/>
  <c r="I544" i="8"/>
  <c r="H544" i="8"/>
  <c r="G544" i="8"/>
  <c r="F544" i="8"/>
  <c r="A544" i="8"/>
  <c r="J543" i="8"/>
  <c r="I543" i="8"/>
  <c r="H543" i="8"/>
  <c r="G543" i="8"/>
  <c r="F543" i="8"/>
  <c r="A543" i="8"/>
  <c r="J542" i="8"/>
  <c r="I542" i="8"/>
  <c r="H542" i="8"/>
  <c r="G542" i="8"/>
  <c r="F542" i="8"/>
  <c r="A542" i="8"/>
  <c r="J541" i="8"/>
  <c r="I541" i="8"/>
  <c r="H541" i="8"/>
  <c r="G541" i="8"/>
  <c r="F541" i="8"/>
  <c r="A541" i="8"/>
  <c r="J540" i="8"/>
  <c r="I540" i="8"/>
  <c r="H540" i="8"/>
  <c r="G540" i="8"/>
  <c r="F540" i="8"/>
  <c r="A540" i="8"/>
  <c r="J539" i="8"/>
  <c r="I539" i="8"/>
  <c r="H539" i="8"/>
  <c r="G539" i="8"/>
  <c r="F539" i="8"/>
  <c r="A539" i="8"/>
  <c r="J538" i="8"/>
  <c r="I538" i="8"/>
  <c r="H538" i="8"/>
  <c r="G538" i="8"/>
  <c r="F538" i="8"/>
  <c r="A538" i="8"/>
  <c r="J537" i="8"/>
  <c r="I537" i="8"/>
  <c r="H537" i="8"/>
  <c r="G537" i="8"/>
  <c r="F537" i="8"/>
  <c r="A537" i="8"/>
  <c r="J536" i="8"/>
  <c r="I536" i="8"/>
  <c r="H536" i="8"/>
  <c r="G536" i="8"/>
  <c r="F536" i="8"/>
  <c r="A536" i="8"/>
  <c r="J535" i="8"/>
  <c r="I535" i="8"/>
  <c r="H535" i="8"/>
  <c r="G535" i="8"/>
  <c r="F535" i="8"/>
  <c r="A535" i="8"/>
  <c r="J534" i="8"/>
  <c r="I534" i="8"/>
  <c r="H534" i="8"/>
  <c r="G534" i="8"/>
  <c r="F534" i="8"/>
  <c r="A534" i="8"/>
  <c r="J533" i="8"/>
  <c r="I533" i="8"/>
  <c r="H533" i="8"/>
  <c r="G533" i="8"/>
  <c r="F533" i="8"/>
  <c r="A533" i="8"/>
  <c r="J532" i="8"/>
  <c r="I532" i="8"/>
  <c r="H532" i="8"/>
  <c r="G532" i="8"/>
  <c r="F532" i="8"/>
  <c r="A532" i="8"/>
  <c r="J531" i="8"/>
  <c r="I531" i="8"/>
  <c r="H531" i="8"/>
  <c r="G531" i="8"/>
  <c r="F531" i="8"/>
  <c r="A531" i="8"/>
  <c r="J530" i="8"/>
  <c r="I530" i="8"/>
  <c r="H530" i="8"/>
  <c r="G530" i="8"/>
  <c r="F530" i="8"/>
  <c r="A530" i="8"/>
  <c r="J529" i="8"/>
  <c r="I529" i="8"/>
  <c r="H529" i="8"/>
  <c r="G529" i="8"/>
  <c r="F529" i="8"/>
  <c r="A529" i="8"/>
  <c r="J528" i="8"/>
  <c r="I528" i="8"/>
  <c r="H528" i="8"/>
  <c r="G528" i="8"/>
  <c r="F528" i="8"/>
  <c r="A528" i="8"/>
  <c r="J527" i="8"/>
  <c r="I527" i="8"/>
  <c r="H527" i="8"/>
  <c r="G527" i="8"/>
  <c r="F527" i="8"/>
  <c r="A527" i="8"/>
  <c r="J526" i="8"/>
  <c r="I526" i="8"/>
  <c r="H526" i="8"/>
  <c r="G526" i="8"/>
  <c r="F526" i="8"/>
  <c r="A526" i="8"/>
  <c r="J525" i="8"/>
  <c r="I525" i="8"/>
  <c r="H525" i="8"/>
  <c r="G525" i="8"/>
  <c r="F525" i="8"/>
  <c r="A525" i="8"/>
  <c r="J524" i="8"/>
  <c r="I524" i="8"/>
  <c r="H524" i="8"/>
  <c r="G524" i="8"/>
  <c r="F524" i="8"/>
  <c r="A524" i="8"/>
  <c r="J523" i="8"/>
  <c r="I523" i="8"/>
  <c r="H523" i="8"/>
  <c r="G523" i="8"/>
  <c r="F523" i="8"/>
  <c r="A523" i="8"/>
  <c r="J522" i="8"/>
  <c r="I522" i="8"/>
  <c r="H522" i="8"/>
  <c r="G522" i="8"/>
  <c r="F522" i="8"/>
  <c r="A522" i="8"/>
  <c r="J521" i="8"/>
  <c r="I521" i="8"/>
  <c r="H521" i="8"/>
  <c r="G521" i="8"/>
  <c r="F521" i="8"/>
  <c r="A521" i="8"/>
  <c r="J520" i="8"/>
  <c r="I520" i="8"/>
  <c r="H520" i="8"/>
  <c r="G520" i="8"/>
  <c r="F520" i="8"/>
  <c r="A520" i="8"/>
  <c r="J519" i="8"/>
  <c r="I519" i="8"/>
  <c r="H519" i="8"/>
  <c r="G519" i="8"/>
  <c r="F519" i="8"/>
  <c r="A519" i="8"/>
  <c r="J518" i="8"/>
  <c r="I518" i="8"/>
  <c r="H518" i="8"/>
  <c r="G518" i="8"/>
  <c r="F518" i="8"/>
  <c r="A518" i="8"/>
  <c r="J517" i="8"/>
  <c r="I517" i="8"/>
  <c r="H517" i="8"/>
  <c r="G517" i="8"/>
  <c r="F517" i="8"/>
  <c r="A517" i="8"/>
  <c r="J516" i="8"/>
  <c r="I516" i="8"/>
  <c r="H516" i="8"/>
  <c r="G516" i="8"/>
  <c r="F516" i="8"/>
  <c r="A516" i="8"/>
  <c r="J515" i="8"/>
  <c r="I515" i="8"/>
  <c r="H515" i="8"/>
  <c r="G515" i="8"/>
  <c r="F515" i="8"/>
  <c r="A515" i="8"/>
  <c r="J514" i="8"/>
  <c r="I514" i="8"/>
  <c r="H514" i="8"/>
  <c r="G514" i="8"/>
  <c r="F514" i="8"/>
  <c r="A514" i="8"/>
  <c r="J513" i="8"/>
  <c r="I513" i="8"/>
  <c r="H513" i="8"/>
  <c r="G513" i="8"/>
  <c r="F513" i="8"/>
  <c r="A513" i="8"/>
  <c r="J512" i="8"/>
  <c r="I512" i="8"/>
  <c r="H512" i="8"/>
  <c r="G512" i="8"/>
  <c r="F512" i="8"/>
  <c r="A512" i="8"/>
  <c r="J511" i="8"/>
  <c r="I511" i="8"/>
  <c r="H511" i="8"/>
  <c r="G511" i="8"/>
  <c r="F511" i="8"/>
  <c r="A511" i="8"/>
  <c r="J510" i="8"/>
  <c r="I510" i="8"/>
  <c r="H510" i="8"/>
  <c r="G510" i="8"/>
  <c r="F510" i="8"/>
  <c r="A510" i="8"/>
  <c r="J509" i="8"/>
  <c r="I509" i="8"/>
  <c r="H509" i="8"/>
  <c r="G509" i="8"/>
  <c r="F509" i="8"/>
  <c r="A509" i="8"/>
  <c r="J508" i="8"/>
  <c r="I508" i="8"/>
  <c r="H508" i="8"/>
  <c r="G508" i="8"/>
  <c r="F508" i="8"/>
  <c r="A508" i="8"/>
  <c r="J507" i="8"/>
  <c r="I507" i="8"/>
  <c r="H507" i="8"/>
  <c r="G507" i="8"/>
  <c r="F507" i="8"/>
  <c r="A507" i="8"/>
  <c r="J506" i="8"/>
  <c r="I506" i="8"/>
  <c r="H506" i="8"/>
  <c r="G506" i="8"/>
  <c r="F506" i="8"/>
  <c r="A506" i="8"/>
  <c r="J505" i="8"/>
  <c r="I505" i="8"/>
  <c r="H505" i="8"/>
  <c r="G505" i="8"/>
  <c r="F505" i="8"/>
  <c r="A505" i="8"/>
  <c r="J504" i="8"/>
  <c r="I504" i="8"/>
  <c r="H504" i="8"/>
  <c r="G504" i="8"/>
  <c r="F504" i="8"/>
  <c r="A504" i="8"/>
  <c r="J503" i="8"/>
  <c r="I503" i="8"/>
  <c r="H503" i="8"/>
  <c r="G503" i="8"/>
  <c r="F503" i="8"/>
  <c r="A503" i="8"/>
  <c r="J502" i="8"/>
  <c r="I502" i="8"/>
  <c r="H502" i="8"/>
  <c r="G502" i="8"/>
  <c r="F502" i="8"/>
  <c r="A502" i="8"/>
  <c r="J501" i="8"/>
  <c r="I501" i="8"/>
  <c r="H501" i="8"/>
  <c r="G501" i="8"/>
  <c r="F501" i="8"/>
  <c r="A501" i="8"/>
  <c r="J500" i="8"/>
  <c r="I500" i="8"/>
  <c r="H500" i="8"/>
  <c r="G500" i="8"/>
  <c r="F500" i="8"/>
  <c r="A500" i="8"/>
  <c r="J499" i="8"/>
  <c r="I499" i="8"/>
  <c r="H499" i="8"/>
  <c r="G499" i="8"/>
  <c r="F499" i="8"/>
  <c r="A499" i="8"/>
  <c r="J498" i="8"/>
  <c r="I498" i="8"/>
  <c r="H498" i="8"/>
  <c r="G498" i="8"/>
  <c r="F498" i="8"/>
  <c r="A498" i="8"/>
  <c r="J497" i="8"/>
  <c r="I497" i="8"/>
  <c r="H497" i="8"/>
  <c r="G497" i="8"/>
  <c r="F497" i="8"/>
  <c r="A497" i="8"/>
  <c r="J496" i="8"/>
  <c r="I496" i="8"/>
  <c r="H496" i="8"/>
  <c r="G496" i="8"/>
  <c r="F496" i="8"/>
  <c r="A496" i="8"/>
  <c r="J495" i="8"/>
  <c r="I495" i="8"/>
  <c r="H495" i="8"/>
  <c r="G495" i="8"/>
  <c r="F495" i="8"/>
  <c r="A495" i="8"/>
  <c r="J494" i="8"/>
  <c r="I494" i="8"/>
  <c r="H494" i="8"/>
  <c r="G494" i="8"/>
  <c r="F494" i="8"/>
  <c r="A494" i="8"/>
  <c r="J493" i="8"/>
  <c r="I493" i="8"/>
  <c r="H493" i="8"/>
  <c r="G493" i="8"/>
  <c r="F493" i="8"/>
  <c r="A493" i="8"/>
  <c r="J492" i="8"/>
  <c r="I492" i="8"/>
  <c r="H492" i="8"/>
  <c r="G492" i="8"/>
  <c r="F492" i="8"/>
  <c r="A492" i="8"/>
  <c r="J491" i="8"/>
  <c r="I491" i="8"/>
  <c r="H491" i="8"/>
  <c r="G491" i="8"/>
  <c r="F491" i="8"/>
  <c r="A491" i="8"/>
  <c r="J490" i="8"/>
  <c r="I490" i="8"/>
  <c r="H490" i="8"/>
  <c r="G490" i="8"/>
  <c r="F490" i="8"/>
  <c r="A490" i="8"/>
  <c r="J489" i="8"/>
  <c r="I489" i="8"/>
  <c r="H489" i="8"/>
  <c r="G489" i="8"/>
  <c r="F489" i="8"/>
  <c r="A489" i="8"/>
  <c r="J488" i="8"/>
  <c r="I488" i="8"/>
  <c r="H488" i="8"/>
  <c r="G488" i="8"/>
  <c r="F488" i="8"/>
  <c r="A488" i="8"/>
  <c r="J487" i="8"/>
  <c r="I487" i="8"/>
  <c r="H487" i="8"/>
  <c r="G487" i="8"/>
  <c r="F487" i="8"/>
  <c r="A487" i="8"/>
  <c r="J486" i="8"/>
  <c r="I486" i="8"/>
  <c r="H486" i="8"/>
  <c r="G486" i="8"/>
  <c r="F486" i="8"/>
  <c r="A486" i="8"/>
  <c r="J485" i="8"/>
  <c r="I485" i="8"/>
  <c r="H485" i="8"/>
  <c r="G485" i="8"/>
  <c r="F485" i="8"/>
  <c r="A485" i="8"/>
  <c r="J484" i="8"/>
  <c r="I484" i="8"/>
  <c r="H484" i="8"/>
  <c r="G484" i="8"/>
  <c r="F484" i="8"/>
  <c r="A484" i="8"/>
  <c r="J483" i="8"/>
  <c r="I483" i="8"/>
  <c r="H483" i="8"/>
  <c r="G483" i="8"/>
  <c r="F483" i="8"/>
  <c r="A483" i="8"/>
  <c r="J482" i="8"/>
  <c r="I482" i="8"/>
  <c r="H482" i="8"/>
  <c r="G482" i="8"/>
  <c r="F482" i="8"/>
  <c r="A482" i="8"/>
  <c r="J481" i="8"/>
  <c r="I481" i="8"/>
  <c r="H481" i="8"/>
  <c r="G481" i="8"/>
  <c r="F481" i="8"/>
  <c r="A481" i="8"/>
  <c r="J480" i="8"/>
  <c r="I480" i="8"/>
  <c r="H480" i="8"/>
  <c r="G480" i="8"/>
  <c r="F480" i="8"/>
  <c r="A480" i="8"/>
  <c r="J479" i="8"/>
  <c r="I479" i="8"/>
  <c r="H479" i="8"/>
  <c r="G479" i="8"/>
  <c r="F479" i="8"/>
  <c r="A479" i="8"/>
  <c r="J478" i="8"/>
  <c r="I478" i="8"/>
  <c r="H478" i="8"/>
  <c r="G478" i="8"/>
  <c r="F478" i="8"/>
  <c r="A478" i="8"/>
  <c r="J477" i="8"/>
  <c r="I477" i="8"/>
  <c r="H477" i="8"/>
  <c r="G477" i="8"/>
  <c r="F477" i="8"/>
  <c r="A477" i="8"/>
  <c r="J476" i="8"/>
  <c r="I476" i="8"/>
  <c r="H476" i="8"/>
  <c r="G476" i="8"/>
  <c r="F476" i="8"/>
  <c r="A476" i="8"/>
  <c r="J475" i="8"/>
  <c r="I475" i="8"/>
  <c r="H475" i="8"/>
  <c r="G475" i="8"/>
  <c r="F475" i="8"/>
  <c r="A475" i="8"/>
  <c r="J474" i="8"/>
  <c r="I474" i="8"/>
  <c r="H474" i="8"/>
  <c r="G474" i="8"/>
  <c r="F474" i="8"/>
  <c r="A474" i="8"/>
  <c r="J473" i="8"/>
  <c r="I473" i="8"/>
  <c r="H473" i="8"/>
  <c r="G473" i="8"/>
  <c r="F473" i="8"/>
  <c r="A473" i="8"/>
  <c r="J472" i="8"/>
  <c r="I472" i="8"/>
  <c r="H472" i="8"/>
  <c r="G472" i="8"/>
  <c r="F472" i="8"/>
  <c r="A472" i="8"/>
  <c r="J471" i="8"/>
  <c r="I471" i="8"/>
  <c r="H471" i="8"/>
  <c r="G471" i="8"/>
  <c r="F471" i="8"/>
  <c r="A471" i="8"/>
  <c r="J470" i="8"/>
  <c r="I470" i="8"/>
  <c r="H470" i="8"/>
  <c r="G470" i="8"/>
  <c r="F470" i="8"/>
  <c r="A470" i="8"/>
  <c r="J469" i="8"/>
  <c r="I469" i="8"/>
  <c r="H469" i="8"/>
  <c r="G469" i="8"/>
  <c r="F469" i="8"/>
  <c r="A469" i="8"/>
  <c r="J468" i="8"/>
  <c r="I468" i="8"/>
  <c r="H468" i="8"/>
  <c r="G468" i="8"/>
  <c r="F468" i="8"/>
  <c r="A468" i="8"/>
  <c r="J467" i="8"/>
  <c r="I467" i="8"/>
  <c r="H467" i="8"/>
  <c r="G467" i="8"/>
  <c r="F467" i="8"/>
  <c r="A467" i="8"/>
  <c r="J466" i="8"/>
  <c r="I466" i="8"/>
  <c r="H466" i="8"/>
  <c r="G466" i="8"/>
  <c r="F466" i="8"/>
  <c r="A466" i="8"/>
  <c r="J465" i="8"/>
  <c r="I465" i="8"/>
  <c r="H465" i="8"/>
  <c r="G465" i="8"/>
  <c r="F465" i="8"/>
  <c r="A465" i="8"/>
  <c r="J464" i="8"/>
  <c r="I464" i="8"/>
  <c r="H464" i="8"/>
  <c r="G464" i="8"/>
  <c r="F464" i="8"/>
  <c r="A464" i="8"/>
  <c r="J463" i="8"/>
  <c r="I463" i="8"/>
  <c r="H463" i="8"/>
  <c r="G463" i="8"/>
  <c r="F463" i="8"/>
  <c r="A463" i="8"/>
  <c r="J462" i="8"/>
  <c r="I462" i="8"/>
  <c r="H462" i="8"/>
  <c r="G462" i="8"/>
  <c r="F462" i="8"/>
  <c r="A462" i="8"/>
  <c r="J461" i="8"/>
  <c r="I461" i="8"/>
  <c r="H461" i="8"/>
  <c r="G461" i="8"/>
  <c r="F461" i="8"/>
  <c r="A461" i="8"/>
  <c r="J460" i="8"/>
  <c r="I460" i="8"/>
  <c r="H460" i="8"/>
  <c r="G460" i="8"/>
  <c r="F460" i="8"/>
  <c r="A460" i="8"/>
  <c r="J459" i="8"/>
  <c r="I459" i="8"/>
  <c r="H459" i="8"/>
  <c r="G459" i="8"/>
  <c r="F459" i="8"/>
  <c r="A459" i="8"/>
  <c r="J458" i="8"/>
  <c r="I458" i="8"/>
  <c r="H458" i="8"/>
  <c r="G458" i="8"/>
  <c r="F458" i="8"/>
  <c r="A458" i="8"/>
  <c r="J457" i="8"/>
  <c r="I457" i="8"/>
  <c r="H457" i="8"/>
  <c r="G457" i="8"/>
  <c r="F457" i="8"/>
  <c r="A457" i="8"/>
  <c r="J456" i="8"/>
  <c r="I456" i="8"/>
  <c r="H456" i="8"/>
  <c r="G456" i="8"/>
  <c r="F456" i="8"/>
  <c r="A456" i="8"/>
  <c r="J455" i="8"/>
  <c r="I455" i="8"/>
  <c r="H455" i="8"/>
  <c r="G455" i="8"/>
  <c r="F455" i="8"/>
  <c r="A455" i="8"/>
  <c r="J454" i="8"/>
  <c r="I454" i="8"/>
  <c r="H454" i="8"/>
  <c r="G454" i="8"/>
  <c r="F454" i="8"/>
  <c r="A454" i="8"/>
  <c r="J453" i="8"/>
  <c r="I453" i="8"/>
  <c r="H453" i="8"/>
  <c r="G453" i="8"/>
  <c r="F453" i="8"/>
  <c r="A453" i="8"/>
  <c r="J452" i="8"/>
  <c r="I452" i="8"/>
  <c r="H452" i="8"/>
  <c r="G452" i="8"/>
  <c r="F452" i="8"/>
  <c r="A452" i="8"/>
  <c r="J451" i="8"/>
  <c r="I451" i="8"/>
  <c r="H451" i="8"/>
  <c r="G451" i="8"/>
  <c r="F451" i="8"/>
  <c r="A451" i="8"/>
  <c r="J450" i="8"/>
  <c r="I450" i="8"/>
  <c r="H450" i="8"/>
  <c r="G450" i="8"/>
  <c r="F450" i="8"/>
  <c r="A450" i="8"/>
  <c r="J449" i="8"/>
  <c r="I449" i="8"/>
  <c r="H449" i="8"/>
  <c r="G449" i="8"/>
  <c r="F449" i="8"/>
  <c r="A449" i="8"/>
  <c r="J448" i="8"/>
  <c r="I448" i="8"/>
  <c r="H448" i="8"/>
  <c r="G448" i="8"/>
  <c r="F448" i="8"/>
  <c r="A448" i="8"/>
  <c r="J447" i="8"/>
  <c r="I447" i="8"/>
  <c r="H447" i="8"/>
  <c r="G447" i="8"/>
  <c r="F447" i="8"/>
  <c r="A447" i="8"/>
  <c r="J446" i="8"/>
  <c r="I446" i="8"/>
  <c r="H446" i="8"/>
  <c r="G446" i="8"/>
  <c r="F446" i="8"/>
  <c r="A446" i="8"/>
  <c r="J445" i="8"/>
  <c r="I445" i="8"/>
  <c r="H445" i="8"/>
  <c r="G445" i="8"/>
  <c r="F445" i="8"/>
  <c r="A445" i="8"/>
  <c r="J444" i="8"/>
  <c r="I444" i="8"/>
  <c r="H444" i="8"/>
  <c r="G444" i="8"/>
  <c r="F444" i="8"/>
  <c r="A444" i="8"/>
  <c r="J443" i="8"/>
  <c r="I443" i="8"/>
  <c r="H443" i="8"/>
  <c r="G443" i="8"/>
  <c r="F443" i="8"/>
  <c r="A443" i="8"/>
  <c r="J442" i="8"/>
  <c r="I442" i="8"/>
  <c r="H442" i="8"/>
  <c r="G442" i="8"/>
  <c r="F442" i="8"/>
  <c r="A442" i="8"/>
  <c r="J441" i="8"/>
  <c r="I441" i="8"/>
  <c r="H441" i="8"/>
  <c r="G441" i="8"/>
  <c r="F441" i="8"/>
  <c r="A441" i="8"/>
  <c r="J440" i="8"/>
  <c r="I440" i="8"/>
  <c r="H440" i="8"/>
  <c r="G440" i="8"/>
  <c r="F440" i="8"/>
  <c r="A440" i="8"/>
  <c r="J439" i="8"/>
  <c r="I439" i="8"/>
  <c r="H439" i="8"/>
  <c r="G439" i="8"/>
  <c r="F439" i="8"/>
  <c r="A439" i="8"/>
  <c r="J438" i="8"/>
  <c r="I438" i="8"/>
  <c r="H438" i="8"/>
  <c r="G438" i="8"/>
  <c r="F438" i="8"/>
  <c r="A438" i="8"/>
  <c r="J437" i="8"/>
  <c r="I437" i="8"/>
  <c r="H437" i="8"/>
  <c r="G437" i="8"/>
  <c r="F437" i="8"/>
  <c r="A437" i="8"/>
  <c r="J436" i="8"/>
  <c r="I436" i="8"/>
  <c r="H436" i="8"/>
  <c r="G436" i="8"/>
  <c r="F436" i="8"/>
  <c r="A436" i="8"/>
  <c r="J435" i="8"/>
  <c r="I435" i="8"/>
  <c r="H435" i="8"/>
  <c r="G435" i="8"/>
  <c r="F435" i="8"/>
  <c r="A435" i="8"/>
  <c r="J434" i="8"/>
  <c r="I434" i="8"/>
  <c r="H434" i="8"/>
  <c r="G434" i="8"/>
  <c r="F434" i="8"/>
  <c r="A434" i="8"/>
  <c r="J433" i="8"/>
  <c r="I433" i="8"/>
  <c r="H433" i="8"/>
  <c r="G433" i="8"/>
  <c r="F433" i="8"/>
  <c r="A433" i="8"/>
  <c r="J432" i="8"/>
  <c r="I432" i="8"/>
  <c r="H432" i="8"/>
  <c r="G432" i="8"/>
  <c r="F432" i="8"/>
  <c r="A432" i="8"/>
  <c r="J431" i="8"/>
  <c r="I431" i="8"/>
  <c r="H431" i="8"/>
  <c r="G431" i="8"/>
  <c r="F431" i="8"/>
  <c r="A431" i="8"/>
  <c r="J430" i="8"/>
  <c r="I430" i="8"/>
  <c r="H430" i="8"/>
  <c r="G430" i="8"/>
  <c r="F430" i="8"/>
  <c r="A430" i="8"/>
  <c r="J429" i="8"/>
  <c r="I429" i="8"/>
  <c r="H429" i="8"/>
  <c r="G429" i="8"/>
  <c r="F429" i="8"/>
  <c r="A429" i="8"/>
  <c r="J428" i="8"/>
  <c r="I428" i="8"/>
  <c r="H428" i="8"/>
  <c r="G428" i="8"/>
  <c r="F428" i="8"/>
  <c r="A428" i="8"/>
  <c r="J427" i="8"/>
  <c r="I427" i="8"/>
  <c r="H427" i="8"/>
  <c r="G427" i="8"/>
  <c r="F427" i="8"/>
  <c r="A427" i="8"/>
  <c r="J426" i="8"/>
  <c r="I426" i="8"/>
  <c r="H426" i="8"/>
  <c r="G426" i="8"/>
  <c r="F426" i="8"/>
  <c r="A426" i="8"/>
  <c r="J425" i="8"/>
  <c r="I425" i="8"/>
  <c r="H425" i="8"/>
  <c r="G425" i="8"/>
  <c r="F425" i="8"/>
  <c r="A425" i="8"/>
  <c r="J424" i="8"/>
  <c r="I424" i="8"/>
  <c r="H424" i="8"/>
  <c r="G424" i="8"/>
  <c r="F424" i="8"/>
  <c r="A424" i="8"/>
  <c r="J423" i="8"/>
  <c r="I423" i="8"/>
  <c r="H423" i="8"/>
  <c r="G423" i="8"/>
  <c r="F423" i="8"/>
  <c r="A423" i="8"/>
  <c r="J422" i="8"/>
  <c r="I422" i="8"/>
  <c r="H422" i="8"/>
  <c r="G422" i="8"/>
  <c r="F422" i="8"/>
  <c r="A422" i="8"/>
  <c r="J421" i="8"/>
  <c r="I421" i="8"/>
  <c r="H421" i="8"/>
  <c r="G421" i="8"/>
  <c r="F421" i="8"/>
  <c r="A421" i="8"/>
  <c r="J420" i="8"/>
  <c r="I420" i="8"/>
  <c r="H420" i="8"/>
  <c r="G420" i="8"/>
  <c r="F420" i="8"/>
  <c r="A420" i="8"/>
  <c r="J419" i="8"/>
  <c r="I419" i="8"/>
  <c r="H419" i="8"/>
  <c r="G419" i="8"/>
  <c r="F419" i="8"/>
  <c r="A419" i="8"/>
  <c r="J418" i="8"/>
  <c r="I418" i="8"/>
  <c r="H418" i="8"/>
  <c r="G418" i="8"/>
  <c r="F418" i="8"/>
  <c r="A418" i="8"/>
  <c r="J417" i="8"/>
  <c r="I417" i="8"/>
  <c r="H417" i="8"/>
  <c r="G417" i="8"/>
  <c r="F417" i="8"/>
  <c r="A417" i="8"/>
  <c r="J416" i="8"/>
  <c r="I416" i="8"/>
  <c r="H416" i="8"/>
  <c r="G416" i="8"/>
  <c r="F416" i="8"/>
  <c r="A416" i="8"/>
  <c r="J415" i="8"/>
  <c r="I415" i="8"/>
  <c r="H415" i="8"/>
  <c r="G415" i="8"/>
  <c r="F415" i="8"/>
  <c r="A415" i="8"/>
  <c r="J414" i="8"/>
  <c r="I414" i="8"/>
  <c r="H414" i="8"/>
  <c r="G414" i="8"/>
  <c r="F414" i="8"/>
  <c r="A414" i="8"/>
  <c r="J413" i="8"/>
  <c r="I413" i="8"/>
  <c r="H413" i="8"/>
  <c r="G413" i="8"/>
  <c r="F413" i="8"/>
  <c r="A413" i="8"/>
  <c r="J412" i="8"/>
  <c r="I412" i="8"/>
  <c r="H412" i="8"/>
  <c r="G412" i="8"/>
  <c r="F412" i="8"/>
  <c r="A412" i="8"/>
  <c r="J411" i="8"/>
  <c r="I411" i="8"/>
  <c r="H411" i="8"/>
  <c r="G411" i="8"/>
  <c r="F411" i="8"/>
  <c r="A411" i="8"/>
  <c r="J410" i="8"/>
  <c r="I410" i="8"/>
  <c r="H410" i="8"/>
  <c r="G410" i="8"/>
  <c r="F410" i="8"/>
  <c r="A410" i="8"/>
  <c r="J409" i="8"/>
  <c r="I409" i="8"/>
  <c r="H409" i="8"/>
  <c r="G409" i="8"/>
  <c r="F409" i="8"/>
  <c r="A409" i="8"/>
  <c r="J408" i="8"/>
  <c r="I408" i="8"/>
  <c r="H408" i="8"/>
  <c r="G408" i="8"/>
  <c r="F408" i="8"/>
  <c r="A408" i="8"/>
  <c r="J407" i="8"/>
  <c r="I407" i="8"/>
  <c r="H407" i="8"/>
  <c r="G407" i="8"/>
  <c r="F407" i="8"/>
  <c r="A407" i="8"/>
  <c r="J406" i="8"/>
  <c r="I406" i="8"/>
  <c r="H406" i="8"/>
  <c r="G406" i="8"/>
  <c r="F406" i="8"/>
  <c r="A406" i="8"/>
  <c r="J405" i="8"/>
  <c r="I405" i="8"/>
  <c r="H405" i="8"/>
  <c r="G405" i="8"/>
  <c r="F405" i="8"/>
  <c r="A405" i="8"/>
  <c r="J404" i="8"/>
  <c r="I404" i="8"/>
  <c r="H404" i="8"/>
  <c r="G404" i="8"/>
  <c r="F404" i="8"/>
  <c r="A404" i="8"/>
  <c r="J403" i="8"/>
  <c r="I403" i="8"/>
  <c r="H403" i="8"/>
  <c r="G403" i="8"/>
  <c r="F403" i="8"/>
  <c r="A403" i="8"/>
  <c r="J402" i="8"/>
  <c r="I402" i="8"/>
  <c r="H402" i="8"/>
  <c r="G402" i="8"/>
  <c r="F402" i="8"/>
  <c r="A402" i="8"/>
  <c r="J401" i="8"/>
  <c r="I401" i="8"/>
  <c r="H401" i="8"/>
  <c r="G401" i="8"/>
  <c r="F401" i="8"/>
  <c r="A401" i="8"/>
  <c r="J400" i="8"/>
  <c r="I400" i="8"/>
  <c r="H400" i="8"/>
  <c r="G400" i="8"/>
  <c r="F400" i="8"/>
  <c r="A400" i="8"/>
  <c r="J399" i="8"/>
  <c r="I399" i="8"/>
  <c r="H399" i="8"/>
  <c r="G399" i="8"/>
  <c r="F399" i="8"/>
  <c r="A399" i="8"/>
  <c r="J398" i="8"/>
  <c r="I398" i="8"/>
  <c r="H398" i="8"/>
  <c r="G398" i="8"/>
  <c r="F398" i="8"/>
  <c r="A398" i="8"/>
  <c r="J397" i="8"/>
  <c r="I397" i="8"/>
  <c r="H397" i="8"/>
  <c r="G397" i="8"/>
  <c r="F397" i="8"/>
  <c r="A397" i="8"/>
  <c r="J396" i="8"/>
  <c r="I396" i="8"/>
  <c r="H396" i="8"/>
  <c r="G396" i="8"/>
  <c r="F396" i="8"/>
  <c r="A396" i="8"/>
  <c r="J395" i="8"/>
  <c r="I395" i="8"/>
  <c r="H395" i="8"/>
  <c r="G395" i="8"/>
  <c r="F395" i="8"/>
  <c r="A395" i="8"/>
  <c r="J394" i="8"/>
  <c r="I394" i="8"/>
  <c r="H394" i="8"/>
  <c r="G394" i="8"/>
  <c r="F394" i="8"/>
  <c r="A394" i="8"/>
  <c r="J393" i="8"/>
  <c r="I393" i="8"/>
  <c r="H393" i="8"/>
  <c r="G393" i="8"/>
  <c r="F393" i="8"/>
  <c r="A393" i="8"/>
  <c r="J392" i="8"/>
  <c r="I392" i="8"/>
  <c r="H392" i="8"/>
  <c r="G392" i="8"/>
  <c r="F392" i="8"/>
  <c r="A392" i="8"/>
  <c r="J391" i="8"/>
  <c r="I391" i="8"/>
  <c r="H391" i="8"/>
  <c r="G391" i="8"/>
  <c r="F391" i="8"/>
  <c r="A391" i="8"/>
  <c r="J390" i="8"/>
  <c r="I390" i="8"/>
  <c r="H390" i="8"/>
  <c r="G390" i="8"/>
  <c r="F390" i="8"/>
  <c r="A390" i="8"/>
  <c r="J389" i="8"/>
  <c r="I389" i="8"/>
  <c r="H389" i="8"/>
  <c r="G389" i="8"/>
  <c r="F389" i="8"/>
  <c r="A389" i="8"/>
  <c r="J388" i="8"/>
  <c r="I388" i="8"/>
  <c r="H388" i="8"/>
  <c r="G388" i="8"/>
  <c r="F388" i="8"/>
  <c r="A388" i="8"/>
  <c r="J387" i="8"/>
  <c r="I387" i="8"/>
  <c r="H387" i="8"/>
  <c r="G387" i="8"/>
  <c r="F387" i="8"/>
  <c r="A387" i="8"/>
  <c r="J386" i="8"/>
  <c r="I386" i="8"/>
  <c r="H386" i="8"/>
  <c r="G386" i="8"/>
  <c r="F386" i="8"/>
  <c r="A386" i="8"/>
  <c r="J385" i="8"/>
  <c r="I385" i="8"/>
  <c r="H385" i="8"/>
  <c r="G385" i="8"/>
  <c r="F385" i="8"/>
  <c r="A385" i="8"/>
  <c r="J384" i="8"/>
  <c r="I384" i="8"/>
  <c r="H384" i="8"/>
  <c r="G384" i="8"/>
  <c r="F384" i="8"/>
  <c r="A384" i="8"/>
  <c r="J383" i="8"/>
  <c r="I383" i="8"/>
  <c r="H383" i="8"/>
  <c r="G383" i="8"/>
  <c r="F383" i="8"/>
  <c r="A383" i="8"/>
  <c r="J382" i="8"/>
  <c r="I382" i="8"/>
  <c r="H382" i="8"/>
  <c r="G382" i="8"/>
  <c r="F382" i="8"/>
  <c r="A382" i="8"/>
  <c r="J381" i="8"/>
  <c r="I381" i="8"/>
  <c r="H381" i="8"/>
  <c r="G381" i="8"/>
  <c r="F381" i="8"/>
  <c r="A381" i="8"/>
  <c r="J380" i="8"/>
  <c r="I380" i="8"/>
  <c r="H380" i="8"/>
  <c r="G380" i="8"/>
  <c r="F380" i="8"/>
  <c r="A380" i="8"/>
  <c r="J379" i="8"/>
  <c r="I379" i="8"/>
  <c r="H379" i="8"/>
  <c r="G379" i="8"/>
  <c r="F379" i="8"/>
  <c r="A379" i="8"/>
  <c r="J378" i="8"/>
  <c r="I378" i="8"/>
  <c r="H378" i="8"/>
  <c r="G378" i="8"/>
  <c r="F378" i="8"/>
  <c r="A378" i="8"/>
  <c r="J377" i="8"/>
  <c r="I377" i="8"/>
  <c r="H377" i="8"/>
  <c r="G377" i="8"/>
  <c r="F377" i="8"/>
  <c r="A377" i="8"/>
  <c r="J376" i="8"/>
  <c r="I376" i="8"/>
  <c r="H376" i="8"/>
  <c r="G376" i="8"/>
  <c r="F376" i="8"/>
  <c r="A376" i="8"/>
  <c r="J375" i="8"/>
  <c r="I375" i="8"/>
  <c r="H375" i="8"/>
  <c r="G375" i="8"/>
  <c r="F375" i="8"/>
  <c r="A375" i="8"/>
  <c r="J374" i="8"/>
  <c r="I374" i="8"/>
  <c r="H374" i="8"/>
  <c r="G374" i="8"/>
  <c r="F374" i="8"/>
  <c r="A374" i="8"/>
  <c r="J373" i="8"/>
  <c r="I373" i="8"/>
  <c r="H373" i="8"/>
  <c r="G373" i="8"/>
  <c r="F373" i="8"/>
  <c r="A373" i="8"/>
  <c r="J372" i="8"/>
  <c r="I372" i="8"/>
  <c r="H372" i="8"/>
  <c r="G372" i="8"/>
  <c r="F372" i="8"/>
  <c r="A372" i="8"/>
  <c r="J371" i="8"/>
  <c r="I371" i="8"/>
  <c r="H371" i="8"/>
  <c r="G371" i="8"/>
  <c r="F371" i="8"/>
  <c r="A371" i="8"/>
  <c r="J370" i="8"/>
  <c r="I370" i="8"/>
  <c r="H370" i="8"/>
  <c r="G370" i="8"/>
  <c r="F370" i="8"/>
  <c r="A370" i="8"/>
  <c r="J369" i="8"/>
  <c r="I369" i="8"/>
  <c r="H369" i="8"/>
  <c r="G369" i="8"/>
  <c r="F369" i="8"/>
  <c r="A369" i="8"/>
  <c r="J368" i="8"/>
  <c r="I368" i="8"/>
  <c r="H368" i="8"/>
  <c r="G368" i="8"/>
  <c r="F368" i="8"/>
  <c r="A368" i="8"/>
  <c r="J367" i="8"/>
  <c r="I367" i="8"/>
  <c r="H367" i="8"/>
  <c r="G367" i="8"/>
  <c r="F367" i="8"/>
  <c r="A367" i="8"/>
  <c r="J366" i="8"/>
  <c r="I366" i="8"/>
  <c r="H366" i="8"/>
  <c r="G366" i="8"/>
  <c r="F366" i="8"/>
  <c r="A366" i="8"/>
  <c r="J365" i="8"/>
  <c r="I365" i="8"/>
  <c r="H365" i="8"/>
  <c r="G365" i="8"/>
  <c r="F365" i="8"/>
  <c r="A365" i="8"/>
  <c r="J364" i="8"/>
  <c r="I364" i="8"/>
  <c r="H364" i="8"/>
  <c r="G364" i="8"/>
  <c r="F364" i="8"/>
  <c r="A364" i="8"/>
  <c r="J363" i="8"/>
  <c r="I363" i="8"/>
  <c r="H363" i="8"/>
  <c r="G363" i="8"/>
  <c r="F363" i="8"/>
  <c r="A363" i="8"/>
  <c r="J362" i="8"/>
  <c r="I362" i="8"/>
  <c r="H362" i="8"/>
  <c r="G362" i="8"/>
  <c r="F362" i="8"/>
  <c r="A362" i="8"/>
  <c r="J361" i="8"/>
  <c r="I361" i="8"/>
  <c r="H361" i="8"/>
  <c r="G361" i="8"/>
  <c r="F361" i="8"/>
  <c r="A361" i="8"/>
  <c r="J360" i="8"/>
  <c r="I360" i="8"/>
  <c r="H360" i="8"/>
  <c r="G360" i="8"/>
  <c r="F360" i="8"/>
  <c r="A360" i="8"/>
  <c r="J359" i="8"/>
  <c r="I359" i="8"/>
  <c r="H359" i="8"/>
  <c r="G359" i="8"/>
  <c r="F359" i="8"/>
  <c r="A359" i="8"/>
  <c r="J358" i="8"/>
  <c r="I358" i="8"/>
  <c r="H358" i="8"/>
  <c r="G358" i="8"/>
  <c r="F358" i="8"/>
  <c r="A358" i="8"/>
  <c r="J357" i="8"/>
  <c r="I357" i="8"/>
  <c r="H357" i="8"/>
  <c r="G357" i="8"/>
  <c r="F357" i="8"/>
  <c r="A357" i="8"/>
  <c r="J356" i="8"/>
  <c r="I356" i="8"/>
  <c r="H356" i="8"/>
  <c r="G356" i="8"/>
  <c r="F356" i="8"/>
  <c r="A356" i="8"/>
  <c r="J355" i="8"/>
  <c r="I355" i="8"/>
  <c r="H355" i="8"/>
  <c r="G355" i="8"/>
  <c r="F355" i="8"/>
  <c r="A355" i="8"/>
  <c r="J354" i="8"/>
  <c r="I354" i="8"/>
  <c r="H354" i="8"/>
  <c r="G354" i="8"/>
  <c r="F354" i="8"/>
  <c r="A354" i="8"/>
  <c r="J353" i="8"/>
  <c r="I353" i="8"/>
  <c r="H353" i="8"/>
  <c r="G353" i="8"/>
  <c r="F353" i="8"/>
  <c r="A353" i="8"/>
  <c r="J352" i="8"/>
  <c r="I352" i="8"/>
  <c r="H352" i="8"/>
  <c r="G352" i="8"/>
  <c r="F352" i="8"/>
  <c r="A352" i="8"/>
  <c r="J351" i="8"/>
  <c r="I351" i="8"/>
  <c r="H351" i="8"/>
  <c r="G351" i="8"/>
  <c r="F351" i="8"/>
  <c r="A351" i="8"/>
  <c r="J350" i="8"/>
  <c r="I350" i="8"/>
  <c r="H350" i="8"/>
  <c r="G350" i="8"/>
  <c r="F350" i="8"/>
  <c r="A350" i="8"/>
  <c r="J349" i="8"/>
  <c r="I349" i="8"/>
  <c r="H349" i="8"/>
  <c r="G349" i="8"/>
  <c r="F349" i="8"/>
  <c r="A349" i="8"/>
  <c r="J348" i="8"/>
  <c r="I348" i="8"/>
  <c r="H348" i="8"/>
  <c r="G348" i="8"/>
  <c r="F348" i="8"/>
  <c r="A348" i="8"/>
  <c r="J347" i="8"/>
  <c r="I347" i="8"/>
  <c r="H347" i="8"/>
  <c r="G347" i="8"/>
  <c r="F347" i="8"/>
  <c r="A347" i="8"/>
  <c r="J346" i="8"/>
  <c r="I346" i="8"/>
  <c r="H346" i="8"/>
  <c r="G346" i="8"/>
  <c r="F346" i="8"/>
  <c r="A346" i="8"/>
  <c r="J345" i="8"/>
  <c r="I345" i="8"/>
  <c r="H345" i="8"/>
  <c r="G345" i="8"/>
  <c r="F345" i="8"/>
  <c r="A345" i="8"/>
  <c r="J344" i="8"/>
  <c r="I344" i="8"/>
  <c r="H344" i="8"/>
  <c r="G344" i="8"/>
  <c r="F344" i="8"/>
  <c r="A344" i="8"/>
  <c r="J343" i="8"/>
  <c r="I343" i="8"/>
  <c r="H343" i="8"/>
  <c r="G343" i="8"/>
  <c r="F343" i="8"/>
  <c r="A343" i="8"/>
  <c r="J342" i="8"/>
  <c r="I342" i="8"/>
  <c r="H342" i="8"/>
  <c r="G342" i="8"/>
  <c r="F342" i="8"/>
  <c r="A342" i="8"/>
  <c r="J341" i="8"/>
  <c r="I341" i="8"/>
  <c r="H341" i="8"/>
  <c r="G341" i="8"/>
  <c r="F341" i="8"/>
  <c r="A341" i="8"/>
  <c r="J340" i="8"/>
  <c r="I340" i="8"/>
  <c r="H340" i="8"/>
  <c r="G340" i="8"/>
  <c r="F340" i="8"/>
  <c r="A340" i="8"/>
  <c r="J339" i="8"/>
  <c r="I339" i="8"/>
  <c r="H339" i="8"/>
  <c r="G339" i="8"/>
  <c r="F339" i="8"/>
  <c r="A339" i="8"/>
  <c r="J338" i="8"/>
  <c r="I338" i="8"/>
  <c r="H338" i="8"/>
  <c r="G338" i="8"/>
  <c r="F338" i="8"/>
  <c r="A338" i="8"/>
  <c r="J337" i="8"/>
  <c r="I337" i="8"/>
  <c r="H337" i="8"/>
  <c r="G337" i="8"/>
  <c r="F337" i="8"/>
  <c r="A337" i="8"/>
  <c r="J336" i="8"/>
  <c r="I336" i="8"/>
  <c r="H336" i="8"/>
  <c r="G336" i="8"/>
  <c r="F336" i="8"/>
  <c r="A336" i="8"/>
  <c r="J335" i="8"/>
  <c r="I335" i="8"/>
  <c r="H335" i="8"/>
  <c r="G335" i="8"/>
  <c r="F335" i="8"/>
  <c r="A335" i="8"/>
  <c r="J334" i="8"/>
  <c r="I334" i="8"/>
  <c r="H334" i="8"/>
  <c r="G334" i="8"/>
  <c r="F334" i="8"/>
  <c r="A334" i="8"/>
  <c r="J333" i="8"/>
  <c r="I333" i="8"/>
  <c r="H333" i="8"/>
  <c r="G333" i="8"/>
  <c r="F333" i="8"/>
  <c r="A333" i="8"/>
  <c r="J332" i="8"/>
  <c r="I332" i="8"/>
  <c r="H332" i="8"/>
  <c r="G332" i="8"/>
  <c r="F332" i="8"/>
  <c r="A332" i="8"/>
  <c r="J331" i="8"/>
  <c r="I331" i="8"/>
  <c r="H331" i="8"/>
  <c r="G331" i="8"/>
  <c r="F331" i="8"/>
  <c r="A331" i="8"/>
  <c r="J330" i="8"/>
  <c r="I330" i="8"/>
  <c r="H330" i="8"/>
  <c r="G330" i="8"/>
  <c r="F330" i="8"/>
  <c r="A330" i="8"/>
  <c r="J329" i="8"/>
  <c r="I329" i="8"/>
  <c r="H329" i="8"/>
  <c r="G329" i="8"/>
  <c r="F329" i="8"/>
  <c r="A329" i="8"/>
  <c r="J328" i="8"/>
  <c r="I328" i="8"/>
  <c r="H328" i="8"/>
  <c r="G328" i="8"/>
  <c r="F328" i="8"/>
  <c r="A328" i="8"/>
  <c r="J327" i="8"/>
  <c r="I327" i="8"/>
  <c r="H327" i="8"/>
  <c r="G327" i="8"/>
  <c r="F327" i="8"/>
  <c r="A327" i="8"/>
  <c r="J326" i="8"/>
  <c r="I326" i="8"/>
  <c r="H326" i="8"/>
  <c r="G326" i="8"/>
  <c r="F326" i="8"/>
  <c r="A326" i="8"/>
  <c r="J325" i="8"/>
  <c r="I325" i="8"/>
  <c r="H325" i="8"/>
  <c r="G325" i="8"/>
  <c r="F325" i="8"/>
  <c r="A325" i="8"/>
  <c r="J324" i="8"/>
  <c r="I324" i="8"/>
  <c r="H324" i="8"/>
  <c r="G324" i="8"/>
  <c r="F324" i="8"/>
  <c r="A324" i="8"/>
  <c r="J323" i="8"/>
  <c r="I323" i="8"/>
  <c r="H323" i="8"/>
  <c r="G323" i="8"/>
  <c r="F323" i="8"/>
  <c r="A323" i="8"/>
  <c r="J322" i="8"/>
  <c r="I322" i="8"/>
  <c r="H322" i="8"/>
  <c r="G322" i="8"/>
  <c r="F322" i="8"/>
  <c r="A322" i="8"/>
  <c r="J321" i="8"/>
  <c r="I321" i="8"/>
  <c r="H321" i="8"/>
  <c r="G321" i="8"/>
  <c r="F321" i="8"/>
  <c r="A321" i="8"/>
  <c r="J320" i="8"/>
  <c r="I320" i="8"/>
  <c r="H320" i="8"/>
  <c r="G320" i="8"/>
  <c r="F320" i="8"/>
  <c r="A320" i="8"/>
  <c r="J319" i="8"/>
  <c r="I319" i="8"/>
  <c r="H319" i="8"/>
  <c r="G319" i="8"/>
  <c r="F319" i="8"/>
  <c r="A319" i="8"/>
  <c r="J318" i="8"/>
  <c r="I318" i="8"/>
  <c r="H318" i="8"/>
  <c r="G318" i="8"/>
  <c r="F318" i="8"/>
  <c r="A318" i="8"/>
  <c r="J317" i="8"/>
  <c r="I317" i="8"/>
  <c r="H317" i="8"/>
  <c r="G317" i="8"/>
  <c r="F317" i="8"/>
  <c r="A317" i="8"/>
  <c r="J316" i="8"/>
  <c r="I316" i="8"/>
  <c r="H316" i="8"/>
  <c r="G316" i="8"/>
  <c r="F316" i="8"/>
  <c r="A316" i="8"/>
  <c r="J315" i="8"/>
  <c r="I315" i="8"/>
  <c r="H315" i="8"/>
  <c r="G315" i="8"/>
  <c r="F315" i="8"/>
  <c r="A315" i="8"/>
  <c r="J314" i="8"/>
  <c r="I314" i="8"/>
  <c r="H314" i="8"/>
  <c r="G314" i="8"/>
  <c r="F314" i="8"/>
  <c r="A314" i="8"/>
  <c r="J313" i="8"/>
  <c r="I313" i="8"/>
  <c r="H313" i="8"/>
  <c r="G313" i="8"/>
  <c r="F313" i="8"/>
  <c r="A313" i="8"/>
  <c r="J312" i="8"/>
  <c r="I312" i="8"/>
  <c r="H312" i="8"/>
  <c r="G312" i="8"/>
  <c r="F312" i="8"/>
  <c r="A312" i="8"/>
  <c r="J311" i="8"/>
  <c r="I311" i="8"/>
  <c r="H311" i="8"/>
  <c r="G311" i="8"/>
  <c r="F311" i="8"/>
  <c r="A311" i="8"/>
  <c r="J310" i="8"/>
  <c r="I310" i="8"/>
  <c r="H310" i="8"/>
  <c r="G310" i="8"/>
  <c r="F310" i="8"/>
  <c r="A310" i="8"/>
  <c r="J309" i="8"/>
  <c r="I309" i="8"/>
  <c r="H309" i="8"/>
  <c r="G309" i="8"/>
  <c r="F309" i="8"/>
  <c r="A309" i="8"/>
  <c r="J308" i="8"/>
  <c r="I308" i="8"/>
  <c r="H308" i="8"/>
  <c r="G308" i="8"/>
  <c r="F308" i="8"/>
  <c r="A308" i="8"/>
  <c r="J307" i="8"/>
  <c r="I307" i="8"/>
  <c r="H307" i="8"/>
  <c r="G307" i="8"/>
  <c r="F307" i="8"/>
  <c r="A307" i="8"/>
  <c r="J306" i="8"/>
  <c r="I306" i="8"/>
  <c r="H306" i="8"/>
  <c r="G306" i="8"/>
  <c r="F306" i="8"/>
  <c r="A306" i="8"/>
  <c r="J305" i="8"/>
  <c r="I305" i="8"/>
  <c r="H305" i="8"/>
  <c r="G305" i="8"/>
  <c r="F305" i="8"/>
  <c r="A305" i="8"/>
  <c r="J304" i="8"/>
  <c r="I304" i="8"/>
  <c r="H304" i="8"/>
  <c r="G304" i="8"/>
  <c r="F304" i="8"/>
  <c r="A304" i="8"/>
  <c r="J303" i="8"/>
  <c r="I303" i="8"/>
  <c r="H303" i="8"/>
  <c r="G303" i="8"/>
  <c r="F303" i="8"/>
  <c r="A303" i="8"/>
  <c r="J302" i="8"/>
  <c r="I302" i="8"/>
  <c r="H302" i="8"/>
  <c r="G302" i="8"/>
  <c r="F302" i="8"/>
  <c r="A302" i="8"/>
  <c r="J301" i="8"/>
  <c r="I301" i="8"/>
  <c r="H301" i="8"/>
  <c r="G301" i="8"/>
  <c r="F301" i="8"/>
  <c r="A301" i="8"/>
  <c r="J300" i="8"/>
  <c r="I300" i="8"/>
  <c r="H300" i="8"/>
  <c r="G300" i="8"/>
  <c r="F300" i="8"/>
  <c r="A300" i="8"/>
  <c r="J299" i="8"/>
  <c r="I299" i="8"/>
  <c r="H299" i="8"/>
  <c r="G299" i="8"/>
  <c r="F299" i="8"/>
  <c r="A299" i="8"/>
  <c r="J298" i="8"/>
  <c r="I298" i="8"/>
  <c r="H298" i="8"/>
  <c r="G298" i="8"/>
  <c r="F298" i="8"/>
  <c r="A298" i="8"/>
  <c r="J297" i="8"/>
  <c r="I297" i="8"/>
  <c r="H297" i="8"/>
  <c r="G297" i="8"/>
  <c r="F297" i="8"/>
  <c r="A297" i="8"/>
  <c r="J296" i="8"/>
  <c r="I296" i="8"/>
  <c r="H296" i="8"/>
  <c r="G296" i="8"/>
  <c r="F296" i="8"/>
  <c r="A296" i="8"/>
  <c r="J295" i="8"/>
  <c r="I295" i="8"/>
  <c r="H295" i="8"/>
  <c r="G295" i="8"/>
  <c r="F295" i="8"/>
  <c r="A295" i="8"/>
  <c r="J294" i="8"/>
  <c r="I294" i="8"/>
  <c r="H294" i="8"/>
  <c r="G294" i="8"/>
  <c r="F294" i="8"/>
  <c r="A294" i="8"/>
  <c r="J293" i="8"/>
  <c r="I293" i="8"/>
  <c r="H293" i="8"/>
  <c r="G293" i="8"/>
  <c r="F293" i="8"/>
  <c r="A293" i="8"/>
  <c r="J292" i="8"/>
  <c r="I292" i="8"/>
  <c r="H292" i="8"/>
  <c r="G292" i="8"/>
  <c r="F292" i="8"/>
  <c r="A292" i="8"/>
  <c r="J291" i="8"/>
  <c r="I291" i="8"/>
  <c r="H291" i="8"/>
  <c r="G291" i="8"/>
  <c r="F291" i="8"/>
  <c r="A291" i="8"/>
  <c r="J290" i="8"/>
  <c r="I290" i="8"/>
  <c r="H290" i="8"/>
  <c r="G290" i="8"/>
  <c r="F290" i="8"/>
  <c r="A290" i="8"/>
  <c r="J289" i="8"/>
  <c r="I289" i="8"/>
  <c r="H289" i="8"/>
  <c r="G289" i="8"/>
  <c r="F289" i="8"/>
  <c r="A289" i="8"/>
  <c r="J288" i="8"/>
  <c r="I288" i="8"/>
  <c r="H288" i="8"/>
  <c r="G288" i="8"/>
  <c r="F288" i="8"/>
  <c r="A288" i="8"/>
  <c r="J287" i="8"/>
  <c r="I287" i="8"/>
  <c r="H287" i="8"/>
  <c r="G287" i="8"/>
  <c r="F287" i="8"/>
  <c r="A287" i="8"/>
  <c r="J286" i="8"/>
  <c r="I286" i="8"/>
  <c r="H286" i="8"/>
  <c r="G286" i="8"/>
  <c r="F286" i="8"/>
  <c r="A286" i="8"/>
  <c r="J285" i="8"/>
  <c r="I285" i="8"/>
  <c r="H285" i="8"/>
  <c r="G285" i="8"/>
  <c r="F285" i="8"/>
  <c r="A285" i="8"/>
  <c r="J284" i="8"/>
  <c r="I284" i="8"/>
  <c r="H284" i="8"/>
  <c r="G284" i="8"/>
  <c r="F284" i="8"/>
  <c r="A284" i="8"/>
  <c r="J283" i="8"/>
  <c r="I283" i="8"/>
  <c r="H283" i="8"/>
  <c r="G283" i="8"/>
  <c r="F283" i="8"/>
  <c r="A283" i="8"/>
  <c r="J282" i="8"/>
  <c r="I282" i="8"/>
  <c r="H282" i="8"/>
  <c r="G282" i="8"/>
  <c r="F282" i="8"/>
  <c r="A282" i="8"/>
  <c r="J281" i="8"/>
  <c r="I281" i="8"/>
  <c r="H281" i="8"/>
  <c r="G281" i="8"/>
  <c r="F281" i="8"/>
  <c r="A281" i="8"/>
  <c r="J280" i="8"/>
  <c r="I280" i="8"/>
  <c r="H280" i="8"/>
  <c r="G280" i="8"/>
  <c r="F280" i="8"/>
  <c r="A280" i="8"/>
  <c r="J279" i="8"/>
  <c r="I279" i="8"/>
  <c r="H279" i="8"/>
  <c r="G279" i="8"/>
  <c r="F279" i="8"/>
  <c r="A279" i="8"/>
  <c r="J278" i="8"/>
  <c r="I278" i="8"/>
  <c r="H278" i="8"/>
  <c r="G278" i="8"/>
  <c r="F278" i="8"/>
  <c r="A278" i="8"/>
  <c r="J277" i="8"/>
  <c r="I277" i="8"/>
  <c r="H277" i="8"/>
  <c r="G277" i="8"/>
  <c r="F277" i="8"/>
  <c r="A277" i="8"/>
  <c r="J276" i="8"/>
  <c r="I276" i="8"/>
  <c r="H276" i="8"/>
  <c r="G276" i="8"/>
  <c r="F276" i="8"/>
  <c r="A276" i="8"/>
  <c r="J275" i="8"/>
  <c r="I275" i="8"/>
  <c r="H275" i="8"/>
  <c r="G275" i="8"/>
  <c r="F275" i="8"/>
  <c r="A275" i="8"/>
  <c r="J274" i="8"/>
  <c r="I274" i="8"/>
  <c r="H274" i="8"/>
  <c r="G274" i="8"/>
  <c r="F274" i="8"/>
  <c r="A274" i="8"/>
  <c r="J273" i="8"/>
  <c r="I273" i="8"/>
  <c r="H273" i="8"/>
  <c r="G273" i="8"/>
  <c r="F273" i="8"/>
  <c r="A273" i="8"/>
  <c r="J272" i="8"/>
  <c r="I272" i="8"/>
  <c r="H272" i="8"/>
  <c r="G272" i="8"/>
  <c r="F272" i="8"/>
  <c r="A272" i="8"/>
  <c r="J271" i="8"/>
  <c r="I271" i="8"/>
  <c r="H271" i="8"/>
  <c r="G271" i="8"/>
  <c r="F271" i="8"/>
  <c r="A271" i="8"/>
  <c r="J270" i="8"/>
  <c r="I270" i="8"/>
  <c r="H270" i="8"/>
  <c r="G270" i="8"/>
  <c r="F270" i="8"/>
  <c r="A270" i="8"/>
  <c r="J269" i="8"/>
  <c r="I269" i="8"/>
  <c r="H269" i="8"/>
  <c r="G269" i="8"/>
  <c r="F269" i="8"/>
  <c r="A269" i="8"/>
  <c r="J268" i="8"/>
  <c r="I268" i="8"/>
  <c r="H268" i="8"/>
  <c r="G268" i="8"/>
  <c r="F268" i="8"/>
  <c r="A268" i="8"/>
  <c r="J267" i="8"/>
  <c r="I267" i="8"/>
  <c r="H267" i="8"/>
  <c r="G267" i="8"/>
  <c r="F267" i="8"/>
  <c r="A267" i="8"/>
  <c r="J266" i="8"/>
  <c r="I266" i="8"/>
  <c r="H266" i="8"/>
  <c r="G266" i="8"/>
  <c r="F266" i="8"/>
  <c r="A266" i="8"/>
  <c r="J265" i="8"/>
  <c r="I265" i="8"/>
  <c r="H265" i="8"/>
  <c r="G265" i="8"/>
  <c r="F265" i="8"/>
  <c r="A265" i="8"/>
  <c r="J264" i="8"/>
  <c r="I264" i="8"/>
  <c r="H264" i="8"/>
  <c r="G264" i="8"/>
  <c r="F264" i="8"/>
  <c r="A264" i="8"/>
  <c r="J263" i="8"/>
  <c r="I263" i="8"/>
  <c r="H263" i="8"/>
  <c r="G263" i="8"/>
  <c r="F263" i="8"/>
  <c r="A263" i="8"/>
  <c r="J262" i="8"/>
  <c r="I262" i="8"/>
  <c r="H262" i="8"/>
  <c r="G262" i="8"/>
  <c r="F262" i="8"/>
  <c r="A262" i="8"/>
  <c r="J261" i="8"/>
  <c r="I261" i="8"/>
  <c r="H261" i="8"/>
  <c r="G261" i="8"/>
  <c r="F261" i="8"/>
  <c r="A261" i="8"/>
  <c r="J260" i="8"/>
  <c r="I260" i="8"/>
  <c r="H260" i="8"/>
  <c r="G260" i="8"/>
  <c r="F260" i="8"/>
  <c r="A260" i="8"/>
  <c r="J259" i="8"/>
  <c r="I259" i="8"/>
  <c r="H259" i="8"/>
  <c r="G259" i="8"/>
  <c r="F259" i="8"/>
  <c r="A259" i="8"/>
  <c r="J258" i="8"/>
  <c r="I258" i="8"/>
  <c r="H258" i="8"/>
  <c r="G258" i="8"/>
  <c r="F258" i="8"/>
  <c r="A258" i="8"/>
  <c r="J257" i="8"/>
  <c r="I257" i="8"/>
  <c r="H257" i="8"/>
  <c r="G257" i="8"/>
  <c r="F257" i="8"/>
  <c r="A257" i="8"/>
  <c r="J256" i="8"/>
  <c r="I256" i="8"/>
  <c r="H256" i="8"/>
  <c r="G256" i="8"/>
  <c r="F256" i="8"/>
  <c r="A256" i="8"/>
  <c r="J255" i="8"/>
  <c r="I255" i="8"/>
  <c r="H255" i="8"/>
  <c r="G255" i="8"/>
  <c r="F255" i="8"/>
  <c r="A255" i="8"/>
  <c r="J254" i="8"/>
  <c r="I254" i="8"/>
  <c r="H254" i="8"/>
  <c r="G254" i="8"/>
  <c r="F254" i="8"/>
  <c r="A254" i="8"/>
  <c r="J253" i="8"/>
  <c r="I253" i="8"/>
  <c r="H253" i="8"/>
  <c r="G253" i="8"/>
  <c r="F253" i="8"/>
  <c r="A253" i="8"/>
  <c r="J252" i="8"/>
  <c r="I252" i="8"/>
  <c r="H252" i="8"/>
  <c r="G252" i="8"/>
  <c r="F252" i="8"/>
  <c r="A252" i="8"/>
  <c r="J251" i="8"/>
  <c r="I251" i="8"/>
  <c r="H251" i="8"/>
  <c r="G251" i="8"/>
  <c r="F251" i="8"/>
  <c r="A251" i="8"/>
  <c r="J250" i="8"/>
  <c r="I250" i="8"/>
  <c r="H250" i="8"/>
  <c r="G250" i="8"/>
  <c r="F250" i="8"/>
  <c r="A250" i="8"/>
  <c r="J249" i="8"/>
  <c r="I249" i="8"/>
  <c r="H249" i="8"/>
  <c r="G249" i="8"/>
  <c r="F249" i="8"/>
  <c r="A249" i="8"/>
  <c r="J248" i="8"/>
  <c r="I248" i="8"/>
  <c r="H248" i="8"/>
  <c r="G248" i="8"/>
  <c r="F248" i="8"/>
  <c r="A248" i="8"/>
  <c r="J247" i="8"/>
  <c r="I247" i="8"/>
  <c r="H247" i="8"/>
  <c r="G247" i="8"/>
  <c r="F247" i="8"/>
  <c r="A247" i="8"/>
  <c r="J246" i="8"/>
  <c r="I246" i="8"/>
  <c r="H246" i="8"/>
  <c r="G246" i="8"/>
  <c r="F246" i="8"/>
  <c r="A246" i="8"/>
  <c r="J245" i="8"/>
  <c r="I245" i="8"/>
  <c r="H245" i="8"/>
  <c r="G245" i="8"/>
  <c r="F245" i="8"/>
  <c r="A245" i="8"/>
  <c r="J244" i="8"/>
  <c r="I244" i="8"/>
  <c r="H244" i="8"/>
  <c r="G244" i="8"/>
  <c r="F244" i="8"/>
  <c r="A244" i="8"/>
  <c r="J243" i="8"/>
  <c r="I243" i="8"/>
  <c r="H243" i="8"/>
  <c r="G243" i="8"/>
  <c r="F243" i="8"/>
  <c r="A243" i="8"/>
  <c r="J242" i="8"/>
  <c r="I242" i="8"/>
  <c r="H242" i="8"/>
  <c r="G242" i="8"/>
  <c r="F242" i="8"/>
  <c r="A242" i="8"/>
  <c r="J241" i="8"/>
  <c r="I241" i="8"/>
  <c r="H241" i="8"/>
  <c r="G241" i="8"/>
  <c r="F241" i="8"/>
  <c r="A241" i="8"/>
  <c r="J240" i="8"/>
  <c r="I240" i="8"/>
  <c r="H240" i="8"/>
  <c r="G240" i="8"/>
  <c r="F240" i="8"/>
  <c r="A240" i="8"/>
  <c r="J239" i="8"/>
  <c r="I239" i="8"/>
  <c r="H239" i="8"/>
  <c r="G239" i="8"/>
  <c r="F239" i="8"/>
  <c r="A239" i="8"/>
  <c r="J238" i="8"/>
  <c r="I238" i="8"/>
  <c r="H238" i="8"/>
  <c r="G238" i="8"/>
  <c r="F238" i="8"/>
  <c r="A238" i="8"/>
  <c r="J237" i="8"/>
  <c r="I237" i="8"/>
  <c r="H237" i="8"/>
  <c r="G237" i="8"/>
  <c r="F237" i="8"/>
  <c r="A237" i="8"/>
  <c r="J236" i="8"/>
  <c r="I236" i="8"/>
  <c r="H236" i="8"/>
  <c r="G236" i="8"/>
  <c r="F236" i="8"/>
  <c r="A236" i="8"/>
  <c r="J235" i="8"/>
  <c r="I235" i="8"/>
  <c r="H235" i="8"/>
  <c r="G235" i="8"/>
  <c r="F235" i="8"/>
  <c r="A235" i="8"/>
  <c r="J234" i="8"/>
  <c r="I234" i="8"/>
  <c r="H234" i="8"/>
  <c r="G234" i="8"/>
  <c r="F234" i="8"/>
  <c r="A234" i="8"/>
  <c r="J233" i="8"/>
  <c r="I233" i="8"/>
  <c r="H233" i="8"/>
  <c r="G233" i="8"/>
  <c r="F233" i="8"/>
  <c r="A233" i="8"/>
  <c r="J232" i="8"/>
  <c r="I232" i="8"/>
  <c r="H232" i="8"/>
  <c r="G232" i="8"/>
  <c r="F232" i="8"/>
  <c r="A232" i="8"/>
  <c r="J231" i="8"/>
  <c r="I231" i="8"/>
  <c r="H231" i="8"/>
  <c r="G231" i="8"/>
  <c r="F231" i="8"/>
  <c r="A231" i="8"/>
  <c r="J230" i="8"/>
  <c r="I230" i="8"/>
  <c r="H230" i="8"/>
  <c r="G230" i="8"/>
  <c r="F230" i="8"/>
  <c r="A230" i="8"/>
  <c r="J229" i="8"/>
  <c r="I229" i="8"/>
  <c r="H229" i="8"/>
  <c r="G229" i="8"/>
  <c r="F229" i="8"/>
  <c r="A229" i="8"/>
  <c r="J228" i="8"/>
  <c r="I228" i="8"/>
  <c r="H228" i="8"/>
  <c r="G228" i="8"/>
  <c r="F228" i="8"/>
  <c r="A228" i="8"/>
  <c r="J227" i="8"/>
  <c r="I227" i="8"/>
  <c r="H227" i="8"/>
  <c r="G227" i="8"/>
  <c r="F227" i="8"/>
  <c r="A227" i="8"/>
  <c r="J226" i="8"/>
  <c r="I226" i="8"/>
  <c r="H226" i="8"/>
  <c r="G226" i="8"/>
  <c r="F226" i="8"/>
  <c r="A226" i="8"/>
  <c r="J225" i="8"/>
  <c r="I225" i="8"/>
  <c r="H225" i="8"/>
  <c r="G225" i="8"/>
  <c r="F225" i="8"/>
  <c r="A225" i="8"/>
  <c r="J224" i="8"/>
  <c r="I224" i="8"/>
  <c r="H224" i="8"/>
  <c r="G224" i="8"/>
  <c r="F224" i="8"/>
  <c r="A224" i="8"/>
  <c r="J223" i="8"/>
  <c r="I223" i="8"/>
  <c r="H223" i="8"/>
  <c r="G223" i="8"/>
  <c r="F223" i="8"/>
  <c r="A223" i="8"/>
  <c r="J222" i="8"/>
  <c r="I222" i="8"/>
  <c r="H222" i="8"/>
  <c r="G222" i="8"/>
  <c r="F222" i="8"/>
  <c r="A222" i="8"/>
  <c r="J221" i="8"/>
  <c r="I221" i="8"/>
  <c r="H221" i="8"/>
  <c r="G221" i="8"/>
  <c r="F221" i="8"/>
  <c r="A221" i="8"/>
  <c r="J220" i="8"/>
  <c r="I220" i="8"/>
  <c r="H220" i="8"/>
  <c r="G220" i="8"/>
  <c r="F220" i="8"/>
  <c r="A220" i="8"/>
  <c r="J219" i="8"/>
  <c r="I219" i="8"/>
  <c r="H219" i="8"/>
  <c r="G219" i="8"/>
  <c r="F219" i="8"/>
  <c r="A219" i="8"/>
  <c r="J218" i="8"/>
  <c r="I218" i="8"/>
  <c r="H218" i="8"/>
  <c r="G218" i="8"/>
  <c r="F218" i="8"/>
  <c r="A218" i="8"/>
  <c r="J217" i="8"/>
  <c r="I217" i="8"/>
  <c r="H217" i="8"/>
  <c r="G217" i="8"/>
  <c r="F217" i="8"/>
  <c r="A217" i="8"/>
  <c r="J216" i="8"/>
  <c r="I216" i="8"/>
  <c r="H216" i="8"/>
  <c r="G216" i="8"/>
  <c r="F216" i="8"/>
  <c r="A216" i="8"/>
  <c r="J215" i="8"/>
  <c r="I215" i="8"/>
  <c r="H215" i="8"/>
  <c r="G215" i="8"/>
  <c r="F215" i="8"/>
  <c r="A215" i="8"/>
  <c r="J214" i="8"/>
  <c r="I214" i="8"/>
  <c r="H214" i="8"/>
  <c r="G214" i="8"/>
  <c r="F214" i="8"/>
  <c r="A214" i="8"/>
  <c r="J213" i="8"/>
  <c r="I213" i="8"/>
  <c r="H213" i="8"/>
  <c r="G213" i="8"/>
  <c r="F213" i="8"/>
  <c r="A213" i="8"/>
  <c r="J212" i="8"/>
  <c r="I212" i="8"/>
  <c r="H212" i="8"/>
  <c r="G212" i="8"/>
  <c r="F212" i="8"/>
  <c r="A212" i="8"/>
  <c r="J211" i="8"/>
  <c r="I211" i="8"/>
  <c r="H211" i="8"/>
  <c r="G211" i="8"/>
  <c r="F211" i="8"/>
  <c r="A211" i="8"/>
  <c r="J210" i="8"/>
  <c r="I210" i="8"/>
  <c r="H210" i="8"/>
  <c r="G210" i="8"/>
  <c r="F210" i="8"/>
  <c r="A210" i="8"/>
  <c r="J209" i="8"/>
  <c r="I209" i="8"/>
  <c r="H209" i="8"/>
  <c r="G209" i="8"/>
  <c r="F209" i="8"/>
  <c r="A209" i="8"/>
  <c r="J208" i="8"/>
  <c r="I208" i="8"/>
  <c r="H208" i="8"/>
  <c r="G208" i="8"/>
  <c r="F208" i="8"/>
  <c r="A208" i="8"/>
  <c r="J207" i="8"/>
  <c r="I207" i="8"/>
  <c r="H207" i="8"/>
  <c r="G207" i="8"/>
  <c r="F207" i="8"/>
  <c r="A207" i="8"/>
  <c r="J206" i="8"/>
  <c r="I206" i="8"/>
  <c r="H206" i="8"/>
  <c r="G206" i="8"/>
  <c r="F206" i="8"/>
  <c r="A206" i="8"/>
  <c r="J205" i="8"/>
  <c r="I205" i="8"/>
  <c r="H205" i="8"/>
  <c r="G205" i="8"/>
  <c r="F205" i="8"/>
  <c r="A205" i="8"/>
  <c r="J204" i="8"/>
  <c r="I204" i="8"/>
  <c r="H204" i="8"/>
  <c r="G204" i="8"/>
  <c r="F204" i="8"/>
  <c r="A204" i="8"/>
  <c r="J203" i="8"/>
  <c r="I203" i="8"/>
  <c r="H203" i="8"/>
  <c r="G203" i="8"/>
  <c r="F203" i="8"/>
  <c r="A203" i="8"/>
  <c r="J202" i="8"/>
  <c r="I202" i="8"/>
  <c r="H202" i="8"/>
  <c r="G202" i="8"/>
  <c r="F202" i="8"/>
  <c r="A202" i="8"/>
  <c r="J201" i="8"/>
  <c r="I201" i="8"/>
  <c r="H201" i="8"/>
  <c r="G201" i="8"/>
  <c r="F201" i="8"/>
  <c r="A201" i="8"/>
  <c r="J200" i="8"/>
  <c r="I200" i="8"/>
  <c r="H200" i="8"/>
  <c r="G200" i="8"/>
  <c r="F200" i="8"/>
  <c r="A200" i="8"/>
  <c r="J199" i="8"/>
  <c r="I199" i="8"/>
  <c r="H199" i="8"/>
  <c r="G199" i="8"/>
  <c r="F199" i="8"/>
  <c r="A199" i="8"/>
  <c r="J198" i="8"/>
  <c r="I198" i="8"/>
  <c r="H198" i="8"/>
  <c r="G198" i="8"/>
  <c r="F198" i="8"/>
  <c r="A198" i="8"/>
  <c r="J197" i="8"/>
  <c r="I197" i="8"/>
  <c r="H197" i="8"/>
  <c r="G197" i="8"/>
  <c r="F197" i="8"/>
  <c r="A197" i="8"/>
  <c r="J196" i="8"/>
  <c r="I196" i="8"/>
  <c r="H196" i="8"/>
  <c r="G196" i="8"/>
  <c r="F196" i="8"/>
  <c r="A196" i="8"/>
  <c r="J195" i="8"/>
  <c r="I195" i="8"/>
  <c r="H195" i="8"/>
  <c r="G195" i="8"/>
  <c r="F195" i="8"/>
  <c r="A195" i="8"/>
  <c r="J194" i="8"/>
  <c r="I194" i="8"/>
  <c r="H194" i="8"/>
  <c r="G194" i="8"/>
  <c r="F194" i="8"/>
  <c r="A194" i="8"/>
  <c r="J193" i="8"/>
  <c r="I193" i="8"/>
  <c r="H193" i="8"/>
  <c r="G193" i="8"/>
  <c r="F193" i="8"/>
  <c r="A193" i="8"/>
  <c r="J192" i="8"/>
  <c r="I192" i="8"/>
  <c r="H192" i="8"/>
  <c r="G192" i="8"/>
  <c r="F192" i="8"/>
  <c r="A192" i="8"/>
  <c r="J191" i="8"/>
  <c r="I191" i="8"/>
  <c r="H191" i="8"/>
  <c r="G191" i="8"/>
  <c r="F191" i="8"/>
  <c r="A191" i="8"/>
  <c r="J190" i="8"/>
  <c r="I190" i="8"/>
  <c r="H190" i="8"/>
  <c r="G190" i="8"/>
  <c r="F190" i="8"/>
  <c r="A190" i="8"/>
  <c r="J189" i="8"/>
  <c r="I189" i="8"/>
  <c r="H189" i="8"/>
  <c r="G189" i="8"/>
  <c r="F189" i="8"/>
  <c r="A189" i="8"/>
  <c r="J188" i="8"/>
  <c r="I188" i="8"/>
  <c r="H188" i="8"/>
  <c r="G188" i="8"/>
  <c r="F188" i="8"/>
  <c r="A188" i="8"/>
  <c r="J187" i="8"/>
  <c r="I187" i="8"/>
  <c r="H187" i="8"/>
  <c r="G187" i="8"/>
  <c r="F187" i="8"/>
  <c r="A187" i="8"/>
  <c r="J186" i="8"/>
  <c r="I186" i="8"/>
  <c r="H186" i="8"/>
  <c r="G186" i="8"/>
  <c r="F186" i="8"/>
  <c r="A186" i="8"/>
  <c r="J185" i="8"/>
  <c r="I185" i="8"/>
  <c r="H185" i="8"/>
  <c r="G185" i="8"/>
  <c r="F185" i="8"/>
  <c r="A185" i="8"/>
  <c r="J184" i="8"/>
  <c r="I184" i="8"/>
  <c r="H184" i="8"/>
  <c r="G184" i="8"/>
  <c r="F184" i="8"/>
  <c r="A184" i="8"/>
  <c r="J183" i="8"/>
  <c r="I183" i="8"/>
  <c r="H183" i="8"/>
  <c r="G183" i="8"/>
  <c r="F183" i="8"/>
  <c r="A183" i="8"/>
  <c r="J182" i="8"/>
  <c r="I182" i="8"/>
  <c r="H182" i="8"/>
  <c r="G182" i="8"/>
  <c r="F182" i="8"/>
  <c r="A182" i="8"/>
  <c r="J181" i="8"/>
  <c r="I181" i="8"/>
  <c r="H181" i="8"/>
  <c r="G181" i="8"/>
  <c r="F181" i="8"/>
  <c r="A181" i="8"/>
  <c r="J180" i="8"/>
  <c r="I180" i="8"/>
  <c r="H180" i="8"/>
  <c r="G180" i="8"/>
  <c r="F180" i="8"/>
  <c r="A180" i="8"/>
  <c r="J179" i="8"/>
  <c r="I179" i="8"/>
  <c r="H179" i="8"/>
  <c r="G179" i="8"/>
  <c r="F179" i="8"/>
  <c r="A179" i="8"/>
  <c r="J178" i="8"/>
  <c r="I178" i="8"/>
  <c r="H178" i="8"/>
  <c r="G178" i="8"/>
  <c r="F178" i="8"/>
  <c r="A178" i="8"/>
  <c r="J177" i="8"/>
  <c r="I177" i="8"/>
  <c r="H177" i="8"/>
  <c r="G177" i="8"/>
  <c r="F177" i="8"/>
  <c r="A177" i="8"/>
  <c r="J176" i="8"/>
  <c r="I176" i="8"/>
  <c r="H176" i="8"/>
  <c r="G176" i="8"/>
  <c r="F176" i="8"/>
  <c r="A176" i="8"/>
  <c r="J175" i="8"/>
  <c r="I175" i="8"/>
  <c r="H175" i="8"/>
  <c r="G175" i="8"/>
  <c r="F175" i="8"/>
  <c r="A175" i="8"/>
  <c r="J174" i="8"/>
  <c r="I174" i="8"/>
  <c r="H174" i="8"/>
  <c r="G174" i="8"/>
  <c r="F174" i="8"/>
  <c r="A174" i="8"/>
  <c r="J173" i="8"/>
  <c r="I173" i="8"/>
  <c r="H173" i="8"/>
  <c r="G173" i="8"/>
  <c r="F173" i="8"/>
  <c r="A173" i="8"/>
  <c r="J172" i="8"/>
  <c r="I172" i="8"/>
  <c r="H172" i="8"/>
  <c r="G172" i="8"/>
  <c r="F172" i="8"/>
  <c r="A172" i="8"/>
  <c r="J171" i="8"/>
  <c r="I171" i="8"/>
  <c r="H171" i="8"/>
  <c r="G171" i="8"/>
  <c r="F171" i="8"/>
  <c r="A171" i="8"/>
  <c r="J170" i="8"/>
  <c r="I170" i="8"/>
  <c r="H170" i="8"/>
  <c r="G170" i="8"/>
  <c r="F170" i="8"/>
  <c r="A170" i="8"/>
  <c r="J169" i="8"/>
  <c r="I169" i="8"/>
  <c r="H169" i="8"/>
  <c r="G169" i="8"/>
  <c r="F169" i="8"/>
  <c r="A169" i="8"/>
  <c r="J168" i="8"/>
  <c r="I168" i="8"/>
  <c r="H168" i="8"/>
  <c r="G168" i="8"/>
  <c r="F168" i="8"/>
  <c r="A168" i="8"/>
  <c r="J167" i="8"/>
  <c r="I167" i="8"/>
  <c r="H167" i="8"/>
  <c r="G167" i="8"/>
  <c r="F167" i="8"/>
  <c r="A167" i="8"/>
  <c r="J166" i="8"/>
  <c r="I166" i="8"/>
  <c r="H166" i="8"/>
  <c r="G166" i="8"/>
  <c r="F166" i="8"/>
  <c r="A166" i="8"/>
  <c r="J165" i="8"/>
  <c r="I165" i="8"/>
  <c r="H165" i="8"/>
  <c r="G165" i="8"/>
  <c r="F165" i="8"/>
  <c r="A165" i="8"/>
  <c r="J164" i="8"/>
  <c r="I164" i="8"/>
  <c r="H164" i="8"/>
  <c r="G164" i="8"/>
  <c r="F164" i="8"/>
  <c r="A164" i="8"/>
  <c r="J163" i="8"/>
  <c r="I163" i="8"/>
  <c r="H163" i="8"/>
  <c r="G163" i="8"/>
  <c r="F163" i="8"/>
  <c r="A163" i="8"/>
  <c r="J162" i="8"/>
  <c r="I162" i="8"/>
  <c r="H162" i="8"/>
  <c r="G162" i="8"/>
  <c r="F162" i="8"/>
  <c r="A162" i="8"/>
  <c r="J161" i="8"/>
  <c r="I161" i="8"/>
  <c r="H161" i="8"/>
  <c r="G161" i="8"/>
  <c r="F161" i="8"/>
  <c r="A161" i="8"/>
  <c r="J160" i="8"/>
  <c r="I160" i="8"/>
  <c r="H160" i="8"/>
  <c r="G160" i="8"/>
  <c r="F160" i="8"/>
  <c r="A160" i="8"/>
  <c r="J159" i="8"/>
  <c r="I159" i="8"/>
  <c r="H159" i="8"/>
  <c r="G159" i="8"/>
  <c r="F159" i="8"/>
  <c r="A159" i="8"/>
  <c r="J158" i="8"/>
  <c r="I158" i="8"/>
  <c r="H158" i="8"/>
  <c r="G158" i="8"/>
  <c r="F158" i="8"/>
  <c r="A158" i="8"/>
  <c r="J157" i="8"/>
  <c r="I157" i="8"/>
  <c r="H157" i="8"/>
  <c r="G157" i="8"/>
  <c r="F157" i="8"/>
  <c r="A157" i="8"/>
  <c r="J156" i="8"/>
  <c r="I156" i="8"/>
  <c r="H156" i="8"/>
  <c r="G156" i="8"/>
  <c r="F156" i="8"/>
  <c r="A156" i="8"/>
  <c r="J155" i="8"/>
  <c r="I155" i="8"/>
  <c r="H155" i="8"/>
  <c r="G155" i="8"/>
  <c r="F155" i="8"/>
  <c r="A155" i="8"/>
  <c r="J154" i="8"/>
  <c r="I154" i="8"/>
  <c r="H154" i="8"/>
  <c r="G154" i="8"/>
  <c r="F154" i="8"/>
  <c r="A154" i="8"/>
  <c r="J153" i="8"/>
  <c r="I153" i="8"/>
  <c r="H153" i="8"/>
  <c r="G153" i="8"/>
  <c r="F153" i="8"/>
  <c r="A153" i="8"/>
  <c r="J152" i="8"/>
  <c r="I152" i="8"/>
  <c r="H152" i="8"/>
  <c r="G152" i="8"/>
  <c r="F152" i="8"/>
  <c r="A152" i="8"/>
  <c r="J151" i="8"/>
  <c r="I151" i="8"/>
  <c r="H151" i="8"/>
  <c r="G151" i="8"/>
  <c r="F151" i="8"/>
  <c r="A151" i="8"/>
  <c r="J150" i="8"/>
  <c r="I150" i="8"/>
  <c r="H150" i="8"/>
  <c r="G150" i="8"/>
  <c r="F150" i="8"/>
  <c r="A150" i="8"/>
  <c r="J149" i="8"/>
  <c r="I149" i="8"/>
  <c r="H149" i="8"/>
  <c r="G149" i="8"/>
  <c r="F149" i="8"/>
  <c r="A149" i="8"/>
  <c r="J148" i="8"/>
  <c r="I148" i="8"/>
  <c r="H148" i="8"/>
  <c r="G148" i="8"/>
  <c r="F148" i="8"/>
  <c r="A148" i="8"/>
  <c r="J147" i="8"/>
  <c r="I147" i="8"/>
  <c r="H147" i="8"/>
  <c r="G147" i="8"/>
  <c r="F147" i="8"/>
  <c r="A147" i="8"/>
  <c r="J146" i="8"/>
  <c r="I146" i="8"/>
  <c r="H146" i="8"/>
  <c r="G146" i="8"/>
  <c r="F146" i="8"/>
  <c r="A146" i="8"/>
  <c r="J145" i="8"/>
  <c r="I145" i="8"/>
  <c r="H145" i="8"/>
  <c r="G145" i="8"/>
  <c r="F145" i="8"/>
  <c r="A145" i="8"/>
  <c r="J144" i="8"/>
  <c r="I144" i="8"/>
  <c r="H144" i="8"/>
  <c r="G144" i="8"/>
  <c r="F144" i="8"/>
  <c r="A144" i="8"/>
  <c r="J143" i="8"/>
  <c r="I143" i="8"/>
  <c r="H143" i="8"/>
  <c r="G143" i="8"/>
  <c r="F143" i="8"/>
  <c r="A143" i="8"/>
  <c r="J142" i="8"/>
  <c r="I142" i="8"/>
  <c r="H142" i="8"/>
  <c r="G142" i="8"/>
  <c r="F142" i="8"/>
  <c r="A142" i="8"/>
  <c r="J141" i="8"/>
  <c r="I141" i="8"/>
  <c r="H141" i="8"/>
  <c r="G141" i="8"/>
  <c r="F141" i="8"/>
  <c r="A141" i="8"/>
  <c r="J140" i="8"/>
  <c r="I140" i="8"/>
  <c r="H140" i="8"/>
  <c r="G140" i="8"/>
  <c r="F140" i="8"/>
  <c r="A140" i="8"/>
  <c r="J139" i="8"/>
  <c r="I139" i="8"/>
  <c r="H139" i="8"/>
  <c r="G139" i="8"/>
  <c r="F139" i="8"/>
  <c r="A139" i="8"/>
  <c r="J138" i="8"/>
  <c r="I138" i="8"/>
  <c r="H138" i="8"/>
  <c r="G138" i="8"/>
  <c r="F138" i="8"/>
  <c r="A138" i="8"/>
  <c r="J137" i="8"/>
  <c r="I137" i="8"/>
  <c r="H137" i="8"/>
  <c r="G137" i="8"/>
  <c r="F137" i="8"/>
  <c r="A137" i="8"/>
  <c r="J136" i="8"/>
  <c r="I136" i="8"/>
  <c r="H136" i="8"/>
  <c r="G136" i="8"/>
  <c r="F136" i="8"/>
  <c r="A136" i="8"/>
  <c r="J135" i="8"/>
  <c r="I135" i="8"/>
  <c r="H135" i="8"/>
  <c r="G135" i="8"/>
  <c r="F135" i="8"/>
  <c r="A135" i="8"/>
  <c r="J134" i="8"/>
  <c r="I134" i="8"/>
  <c r="H134" i="8"/>
  <c r="G134" i="8"/>
  <c r="F134" i="8"/>
  <c r="A134" i="8"/>
  <c r="J133" i="8"/>
  <c r="I133" i="8"/>
  <c r="H133" i="8"/>
  <c r="G133" i="8"/>
  <c r="F133" i="8"/>
  <c r="A133" i="8"/>
  <c r="J132" i="8"/>
  <c r="I132" i="8"/>
  <c r="H132" i="8"/>
  <c r="G132" i="8"/>
  <c r="F132" i="8"/>
  <c r="A132" i="8"/>
  <c r="J131" i="8"/>
  <c r="I131" i="8"/>
  <c r="H131" i="8"/>
  <c r="G131" i="8"/>
  <c r="F131" i="8"/>
  <c r="A131" i="8"/>
  <c r="J130" i="8"/>
  <c r="I130" i="8"/>
  <c r="H130" i="8"/>
  <c r="G130" i="8"/>
  <c r="F130" i="8"/>
  <c r="A130" i="8"/>
  <c r="J129" i="8"/>
  <c r="I129" i="8"/>
  <c r="H129" i="8"/>
  <c r="G129" i="8"/>
  <c r="F129" i="8"/>
  <c r="A129" i="8"/>
  <c r="J128" i="8"/>
  <c r="I128" i="8"/>
  <c r="H128" i="8"/>
  <c r="G128" i="8"/>
  <c r="F128" i="8"/>
  <c r="A128" i="8"/>
  <c r="J127" i="8"/>
  <c r="I127" i="8"/>
  <c r="H127" i="8"/>
  <c r="G127" i="8"/>
  <c r="F127" i="8"/>
  <c r="A127" i="8"/>
  <c r="J126" i="8"/>
  <c r="I126" i="8"/>
  <c r="H126" i="8"/>
  <c r="G126" i="8"/>
  <c r="F126" i="8"/>
  <c r="A126" i="8"/>
  <c r="J125" i="8"/>
  <c r="I125" i="8"/>
  <c r="H125" i="8"/>
  <c r="G125" i="8"/>
  <c r="F125" i="8"/>
  <c r="A125" i="8"/>
  <c r="J124" i="8"/>
  <c r="I124" i="8"/>
  <c r="H124" i="8"/>
  <c r="G124" i="8"/>
  <c r="F124" i="8"/>
  <c r="A124" i="8"/>
  <c r="J123" i="8"/>
  <c r="I123" i="8"/>
  <c r="H123" i="8"/>
  <c r="G123" i="8"/>
  <c r="F123" i="8"/>
  <c r="A123" i="8"/>
  <c r="J122" i="8"/>
  <c r="I122" i="8"/>
  <c r="H122" i="8"/>
  <c r="G122" i="8"/>
  <c r="F122" i="8"/>
  <c r="A122" i="8"/>
  <c r="J121" i="8"/>
  <c r="I121" i="8"/>
  <c r="H121" i="8"/>
  <c r="G121" i="8"/>
  <c r="F121" i="8"/>
  <c r="A121" i="8"/>
  <c r="J120" i="8"/>
  <c r="I120" i="8"/>
  <c r="H120" i="8"/>
  <c r="G120" i="8"/>
  <c r="F120" i="8"/>
  <c r="A120" i="8"/>
  <c r="J119" i="8"/>
  <c r="I119" i="8"/>
  <c r="H119" i="8"/>
  <c r="G119" i="8"/>
  <c r="F119" i="8"/>
  <c r="A119" i="8"/>
  <c r="J118" i="8"/>
  <c r="I118" i="8"/>
  <c r="H118" i="8"/>
  <c r="G118" i="8"/>
  <c r="F118" i="8"/>
  <c r="A118" i="8"/>
  <c r="J117" i="8"/>
  <c r="I117" i="8"/>
  <c r="H117" i="8"/>
  <c r="G117" i="8"/>
  <c r="F117" i="8"/>
  <c r="A117" i="8"/>
  <c r="J116" i="8"/>
  <c r="I116" i="8"/>
  <c r="H116" i="8"/>
  <c r="G116" i="8"/>
  <c r="F116" i="8"/>
  <c r="A116" i="8"/>
  <c r="J115" i="8"/>
  <c r="I115" i="8"/>
  <c r="H115" i="8"/>
  <c r="G115" i="8"/>
  <c r="F115" i="8"/>
  <c r="A115" i="8"/>
  <c r="J114" i="8"/>
  <c r="I114" i="8"/>
  <c r="H114" i="8"/>
  <c r="G114" i="8"/>
  <c r="F114" i="8"/>
  <c r="A114" i="8"/>
  <c r="J113" i="8"/>
  <c r="I113" i="8"/>
  <c r="H113" i="8"/>
  <c r="G113" i="8"/>
  <c r="F113" i="8"/>
  <c r="A113" i="8"/>
  <c r="J112" i="8"/>
  <c r="I112" i="8"/>
  <c r="H112" i="8"/>
  <c r="G112" i="8"/>
  <c r="F112" i="8"/>
  <c r="A112" i="8"/>
  <c r="J111" i="8"/>
  <c r="I111" i="8"/>
  <c r="H111" i="8"/>
  <c r="G111" i="8"/>
  <c r="F111" i="8"/>
  <c r="A111" i="8"/>
  <c r="J110" i="8"/>
  <c r="I110" i="8"/>
  <c r="H110" i="8"/>
  <c r="G110" i="8"/>
  <c r="F110" i="8"/>
  <c r="A110" i="8"/>
  <c r="J109" i="8"/>
  <c r="I109" i="8"/>
  <c r="H109" i="8"/>
  <c r="G109" i="8"/>
  <c r="F109" i="8"/>
  <c r="A109" i="8"/>
  <c r="J108" i="8"/>
  <c r="I108" i="8"/>
  <c r="H108" i="8"/>
  <c r="G108" i="8"/>
  <c r="F108" i="8"/>
  <c r="A108" i="8"/>
  <c r="J107" i="8"/>
  <c r="I107" i="8"/>
  <c r="H107" i="8"/>
  <c r="G107" i="8"/>
  <c r="F107" i="8"/>
  <c r="A107" i="8"/>
  <c r="J106" i="8"/>
  <c r="I106" i="8"/>
  <c r="H106" i="8"/>
  <c r="G106" i="8"/>
  <c r="F106" i="8"/>
  <c r="A106" i="8"/>
  <c r="J105" i="8"/>
  <c r="I105" i="8"/>
  <c r="H105" i="8"/>
  <c r="G105" i="8"/>
  <c r="F105" i="8"/>
  <c r="A105" i="8"/>
  <c r="J104" i="8"/>
  <c r="I104" i="8"/>
  <c r="H104" i="8"/>
  <c r="G104" i="8"/>
  <c r="F104" i="8"/>
  <c r="A104" i="8"/>
  <c r="J103" i="8"/>
  <c r="I103" i="8"/>
  <c r="H103" i="8"/>
  <c r="G103" i="8"/>
  <c r="F103" i="8"/>
  <c r="A103" i="8"/>
  <c r="J102" i="8"/>
  <c r="I102" i="8"/>
  <c r="H102" i="8"/>
  <c r="G102" i="8"/>
  <c r="F102" i="8"/>
  <c r="A102" i="8"/>
  <c r="J101" i="8"/>
  <c r="I101" i="8"/>
  <c r="H101" i="8"/>
  <c r="G101" i="8"/>
  <c r="F101" i="8"/>
  <c r="A101" i="8"/>
  <c r="J100" i="8"/>
  <c r="I100" i="8"/>
  <c r="H100" i="8"/>
  <c r="G100" i="8"/>
  <c r="F100" i="8"/>
  <c r="A100" i="8"/>
  <c r="J99" i="8"/>
  <c r="I99" i="8"/>
  <c r="H99" i="8"/>
  <c r="G99" i="8"/>
  <c r="F99" i="8"/>
  <c r="A99" i="8"/>
  <c r="J98" i="8"/>
  <c r="I98" i="8"/>
  <c r="H98" i="8"/>
  <c r="G98" i="8"/>
  <c r="F98" i="8"/>
  <c r="A98" i="8"/>
  <c r="J97" i="8"/>
  <c r="I97" i="8"/>
  <c r="H97" i="8"/>
  <c r="G97" i="8"/>
  <c r="F97" i="8"/>
  <c r="A97" i="8"/>
  <c r="J96" i="8"/>
  <c r="I96" i="8"/>
  <c r="H96" i="8"/>
  <c r="G96" i="8"/>
  <c r="F96" i="8"/>
  <c r="A96" i="8"/>
  <c r="J95" i="8"/>
  <c r="I95" i="8"/>
  <c r="H95" i="8"/>
  <c r="G95" i="8"/>
  <c r="F95" i="8"/>
  <c r="A95" i="8"/>
  <c r="J94" i="8"/>
  <c r="I94" i="8"/>
  <c r="H94" i="8"/>
  <c r="G94" i="8"/>
  <c r="F94" i="8"/>
  <c r="A94" i="8"/>
  <c r="J93" i="8"/>
  <c r="I93" i="8"/>
  <c r="H93" i="8"/>
  <c r="G93" i="8"/>
  <c r="F93" i="8"/>
  <c r="A93" i="8"/>
  <c r="J92" i="8"/>
  <c r="I92" i="8"/>
  <c r="H92" i="8"/>
  <c r="G92" i="8"/>
  <c r="F92" i="8"/>
  <c r="A92" i="8"/>
  <c r="J91" i="8"/>
  <c r="I91" i="8"/>
  <c r="H91" i="8"/>
  <c r="G91" i="8"/>
  <c r="F91" i="8"/>
  <c r="A91" i="8"/>
  <c r="J90" i="8"/>
  <c r="I90" i="8"/>
  <c r="H90" i="8"/>
  <c r="G90" i="8"/>
  <c r="F90" i="8"/>
  <c r="A90" i="8"/>
  <c r="J89" i="8"/>
  <c r="I89" i="8"/>
  <c r="H89" i="8"/>
  <c r="G89" i="8"/>
  <c r="F89" i="8"/>
  <c r="A89" i="8"/>
  <c r="J88" i="8"/>
  <c r="I88" i="8"/>
  <c r="H88" i="8"/>
  <c r="G88" i="8"/>
  <c r="F88" i="8"/>
  <c r="A88" i="8"/>
  <c r="J87" i="8"/>
  <c r="I87" i="8"/>
  <c r="H87" i="8"/>
  <c r="G87" i="8"/>
  <c r="F87" i="8"/>
  <c r="A87" i="8"/>
  <c r="J86" i="8"/>
  <c r="I86" i="8"/>
  <c r="H86" i="8"/>
  <c r="G86" i="8"/>
  <c r="F86" i="8"/>
  <c r="A86" i="8"/>
  <c r="J85" i="8"/>
  <c r="I85" i="8"/>
  <c r="H85" i="8"/>
  <c r="G85" i="8"/>
  <c r="F85" i="8"/>
  <c r="A85" i="8"/>
  <c r="J84" i="8"/>
  <c r="I84" i="8"/>
  <c r="H84" i="8"/>
  <c r="G84" i="8"/>
  <c r="F84" i="8"/>
  <c r="A84" i="8"/>
  <c r="J83" i="8"/>
  <c r="I83" i="8"/>
  <c r="H83" i="8"/>
  <c r="G83" i="8"/>
  <c r="F83" i="8"/>
  <c r="A83" i="8"/>
  <c r="J82" i="8"/>
  <c r="I82" i="8"/>
  <c r="H82" i="8"/>
  <c r="G82" i="8"/>
  <c r="F82" i="8"/>
  <c r="A82" i="8"/>
  <c r="J81" i="8"/>
  <c r="I81" i="8"/>
  <c r="H81" i="8"/>
  <c r="G81" i="8"/>
  <c r="F81" i="8"/>
  <c r="A81" i="8"/>
  <c r="J80" i="8"/>
  <c r="I80" i="8"/>
  <c r="H80" i="8"/>
  <c r="G80" i="8"/>
  <c r="F80" i="8"/>
  <c r="A80" i="8"/>
  <c r="J79" i="8"/>
  <c r="I79" i="8"/>
  <c r="H79" i="8"/>
  <c r="G79" i="8"/>
  <c r="F79" i="8"/>
  <c r="A79" i="8"/>
  <c r="J78" i="8"/>
  <c r="I78" i="8"/>
  <c r="H78" i="8"/>
  <c r="G78" i="8"/>
  <c r="F78" i="8"/>
  <c r="A78" i="8"/>
  <c r="J77" i="8"/>
  <c r="I77" i="8"/>
  <c r="H77" i="8"/>
  <c r="G77" i="8"/>
  <c r="F77" i="8"/>
  <c r="A77" i="8"/>
  <c r="J76" i="8"/>
  <c r="I76" i="8"/>
  <c r="H76" i="8"/>
  <c r="G76" i="8"/>
  <c r="F76" i="8"/>
  <c r="A76" i="8"/>
  <c r="J75" i="8"/>
  <c r="I75" i="8"/>
  <c r="H75" i="8"/>
  <c r="G75" i="8"/>
  <c r="F75" i="8"/>
  <c r="A75" i="8"/>
  <c r="J74" i="8"/>
  <c r="I74" i="8"/>
  <c r="H74" i="8"/>
  <c r="G74" i="8"/>
  <c r="F74" i="8"/>
  <c r="A74" i="8"/>
  <c r="J73" i="8"/>
  <c r="I73" i="8"/>
  <c r="H73" i="8"/>
  <c r="G73" i="8"/>
  <c r="F73" i="8"/>
  <c r="A73" i="8"/>
  <c r="J72" i="8"/>
  <c r="I72" i="8"/>
  <c r="H72" i="8"/>
  <c r="G72" i="8"/>
  <c r="F72" i="8"/>
  <c r="A72" i="8"/>
  <c r="J71" i="8"/>
  <c r="I71" i="8"/>
  <c r="H71" i="8"/>
  <c r="G71" i="8"/>
  <c r="F71" i="8"/>
  <c r="A71" i="8"/>
  <c r="J70" i="8"/>
  <c r="I70" i="8"/>
  <c r="H70" i="8"/>
  <c r="G70" i="8"/>
  <c r="F70" i="8"/>
  <c r="A70" i="8"/>
  <c r="J69" i="8"/>
  <c r="I69" i="8"/>
  <c r="H69" i="8"/>
  <c r="G69" i="8"/>
  <c r="F69" i="8"/>
  <c r="A69" i="8"/>
  <c r="J68" i="8"/>
  <c r="I68" i="8"/>
  <c r="H68" i="8"/>
  <c r="G68" i="8"/>
  <c r="F68" i="8"/>
  <c r="A68" i="8"/>
  <c r="J67" i="8"/>
  <c r="I67" i="8"/>
  <c r="H67" i="8"/>
  <c r="G67" i="8"/>
  <c r="F67" i="8"/>
  <c r="A67" i="8"/>
  <c r="J66" i="8"/>
  <c r="I66" i="8"/>
  <c r="H66" i="8"/>
  <c r="G66" i="8"/>
  <c r="F66" i="8"/>
  <c r="A66" i="8"/>
  <c r="J65" i="8"/>
  <c r="I65" i="8"/>
  <c r="H65" i="8"/>
  <c r="G65" i="8"/>
  <c r="F65" i="8"/>
  <c r="A65" i="8"/>
  <c r="J64" i="8"/>
  <c r="I64" i="8"/>
  <c r="H64" i="8"/>
  <c r="G64" i="8"/>
  <c r="F64" i="8"/>
  <c r="A64" i="8"/>
  <c r="J63" i="8"/>
  <c r="I63" i="8"/>
  <c r="H63" i="8"/>
  <c r="G63" i="8"/>
  <c r="F63" i="8"/>
  <c r="A63" i="8"/>
  <c r="J62" i="8"/>
  <c r="I62" i="8"/>
  <c r="H62" i="8"/>
  <c r="G62" i="8"/>
  <c r="F62" i="8"/>
  <c r="A62" i="8"/>
  <c r="J61" i="8"/>
  <c r="I61" i="8"/>
  <c r="H61" i="8"/>
  <c r="G61" i="8"/>
  <c r="F61" i="8"/>
  <c r="A61" i="8"/>
  <c r="J60" i="8"/>
  <c r="I60" i="8"/>
  <c r="H60" i="8"/>
  <c r="G60" i="8"/>
  <c r="F60" i="8"/>
  <c r="A60" i="8"/>
  <c r="J59" i="8"/>
  <c r="I59" i="8"/>
  <c r="H59" i="8"/>
  <c r="G59" i="8"/>
  <c r="F59" i="8"/>
  <c r="A59" i="8"/>
  <c r="J58" i="8"/>
  <c r="I58" i="8"/>
  <c r="H58" i="8"/>
  <c r="G58" i="8"/>
  <c r="F58" i="8"/>
  <c r="A58" i="8"/>
  <c r="J57" i="8"/>
  <c r="I57" i="8"/>
  <c r="H57" i="8"/>
  <c r="G57" i="8"/>
  <c r="F57" i="8"/>
  <c r="A57" i="8"/>
  <c r="J56" i="8"/>
  <c r="I56" i="8"/>
  <c r="H56" i="8"/>
  <c r="G56" i="8"/>
  <c r="F56" i="8"/>
  <c r="A56" i="8"/>
  <c r="J55" i="8"/>
  <c r="I55" i="8"/>
  <c r="H55" i="8"/>
  <c r="G55" i="8"/>
  <c r="F55" i="8"/>
  <c r="A55" i="8"/>
  <c r="J54" i="8"/>
  <c r="I54" i="8"/>
  <c r="H54" i="8"/>
  <c r="G54" i="8"/>
  <c r="F54" i="8"/>
  <c r="A54" i="8"/>
  <c r="J53" i="8"/>
  <c r="I53" i="8"/>
  <c r="H53" i="8"/>
  <c r="G53" i="8"/>
  <c r="F53" i="8"/>
  <c r="A53" i="8"/>
  <c r="J52" i="8"/>
  <c r="I52" i="8"/>
  <c r="H52" i="8"/>
  <c r="G52" i="8"/>
  <c r="F52" i="8"/>
  <c r="A52" i="8"/>
  <c r="J51" i="8"/>
  <c r="I51" i="8"/>
  <c r="H51" i="8"/>
  <c r="G51" i="8"/>
  <c r="F51" i="8"/>
  <c r="A51" i="8"/>
  <c r="J50" i="8"/>
  <c r="I50" i="8"/>
  <c r="H50" i="8"/>
  <c r="G50" i="8"/>
  <c r="F50" i="8"/>
  <c r="C50" i="8"/>
  <c r="A50" i="8"/>
  <c r="J49" i="8"/>
  <c r="I49" i="8"/>
  <c r="H49" i="8"/>
  <c r="G49" i="8"/>
  <c r="F49" i="8"/>
  <c r="C49" i="8"/>
  <c r="A49" i="8"/>
  <c r="J48" i="8"/>
  <c r="I48" i="8"/>
  <c r="H48" i="8"/>
  <c r="G48" i="8"/>
  <c r="F48" i="8"/>
  <c r="C48" i="8"/>
  <c r="A48" i="8"/>
  <c r="J47" i="8"/>
  <c r="I47" i="8"/>
  <c r="H47" i="8"/>
  <c r="G47" i="8"/>
  <c r="F47" i="8"/>
  <c r="C47" i="8"/>
  <c r="A47" i="8"/>
  <c r="J46" i="8"/>
  <c r="I46" i="8"/>
  <c r="H46" i="8"/>
  <c r="G46" i="8"/>
  <c r="F46" i="8"/>
  <c r="C46" i="8"/>
  <c r="A46" i="8"/>
  <c r="J45" i="8"/>
  <c r="I45" i="8"/>
  <c r="H45" i="8"/>
  <c r="G45" i="8"/>
  <c r="F45" i="8"/>
  <c r="C45" i="8"/>
  <c r="A45" i="8"/>
  <c r="J44" i="8"/>
  <c r="I44" i="8"/>
  <c r="H44" i="8"/>
  <c r="G44" i="8"/>
  <c r="F44" i="8"/>
  <c r="C44" i="8"/>
  <c r="A44" i="8"/>
  <c r="J43" i="8"/>
  <c r="I43" i="8"/>
  <c r="H43" i="8"/>
  <c r="G43" i="8"/>
  <c r="F43" i="8"/>
  <c r="C43" i="8"/>
  <c r="A43" i="8"/>
  <c r="J42" i="8"/>
  <c r="I42" i="8"/>
  <c r="H42" i="8"/>
  <c r="G42" i="8"/>
  <c r="F42" i="8"/>
  <c r="C42" i="8"/>
  <c r="A42" i="8"/>
  <c r="J41" i="8"/>
  <c r="I41" i="8"/>
  <c r="H41" i="8"/>
  <c r="G41" i="8"/>
  <c r="F41" i="8"/>
  <c r="C41" i="8"/>
  <c r="A41" i="8"/>
  <c r="J40" i="8"/>
  <c r="I40" i="8"/>
  <c r="H40" i="8"/>
  <c r="G40" i="8"/>
  <c r="F40" i="8"/>
  <c r="C40" i="8"/>
  <c r="A40" i="8"/>
  <c r="J39" i="8"/>
  <c r="I39" i="8"/>
  <c r="H39" i="8"/>
  <c r="G39" i="8"/>
  <c r="F39" i="8"/>
  <c r="C39" i="8"/>
  <c r="A39" i="8"/>
  <c r="J38" i="8"/>
  <c r="I38" i="8"/>
  <c r="H38" i="8"/>
  <c r="G38" i="8"/>
  <c r="F38" i="8"/>
  <c r="C38" i="8"/>
  <c r="A38" i="8"/>
  <c r="J37" i="8"/>
  <c r="I37" i="8"/>
  <c r="H37" i="8"/>
  <c r="G37" i="8"/>
  <c r="F37" i="8"/>
  <c r="C37" i="8"/>
  <c r="A37" i="8"/>
  <c r="J36" i="8"/>
  <c r="I36" i="8"/>
  <c r="H36" i="8"/>
  <c r="G36" i="8"/>
  <c r="F36" i="8"/>
  <c r="C36" i="8"/>
  <c r="A36" i="8"/>
  <c r="J35" i="8"/>
  <c r="I35" i="8"/>
  <c r="H35" i="8"/>
  <c r="G35" i="8"/>
  <c r="F35" i="8"/>
  <c r="C35" i="8"/>
  <c r="A35" i="8"/>
  <c r="J34" i="8"/>
  <c r="I34" i="8"/>
  <c r="H34" i="8"/>
  <c r="G34" i="8"/>
  <c r="F34" i="8"/>
  <c r="C34" i="8"/>
  <c r="A34" i="8"/>
  <c r="J33" i="8"/>
  <c r="I33" i="8"/>
  <c r="H33" i="8"/>
  <c r="G33" i="8"/>
  <c r="F33" i="8"/>
  <c r="C33" i="8"/>
  <c r="A33" i="8"/>
  <c r="J32" i="8"/>
  <c r="I32" i="8"/>
  <c r="H32" i="8"/>
  <c r="G32" i="8"/>
  <c r="F32" i="8"/>
  <c r="C32" i="8"/>
  <c r="A32" i="8"/>
  <c r="J31" i="8"/>
  <c r="I31" i="8"/>
  <c r="H31" i="8"/>
  <c r="G31" i="8"/>
  <c r="F31" i="8"/>
  <c r="C31" i="8"/>
  <c r="A31" i="8"/>
  <c r="J30" i="8"/>
  <c r="I30" i="8"/>
  <c r="H30" i="8"/>
  <c r="G30" i="8"/>
  <c r="F30" i="8"/>
  <c r="C30" i="8"/>
  <c r="A30" i="8"/>
  <c r="J29" i="8"/>
  <c r="I29" i="8"/>
  <c r="H29" i="8"/>
  <c r="G29" i="8"/>
  <c r="F29" i="8"/>
  <c r="C29" i="8"/>
  <c r="A29" i="8"/>
  <c r="J28" i="8"/>
  <c r="I28" i="8"/>
  <c r="H28" i="8"/>
  <c r="G28" i="8"/>
  <c r="F28" i="8"/>
  <c r="C28" i="8"/>
  <c r="A28" i="8"/>
  <c r="J27" i="8"/>
  <c r="I27" i="8"/>
  <c r="H27" i="8"/>
  <c r="G27" i="8"/>
  <c r="F27" i="8"/>
  <c r="C27" i="8"/>
  <c r="A27" i="8"/>
  <c r="J26" i="8"/>
  <c r="I26" i="8"/>
  <c r="H26" i="8"/>
  <c r="G26" i="8"/>
  <c r="F26" i="8"/>
  <c r="C26" i="8"/>
  <c r="A26" i="8"/>
  <c r="J25" i="8"/>
  <c r="I25" i="8"/>
  <c r="H25" i="8"/>
  <c r="G25" i="8"/>
  <c r="F25" i="8"/>
  <c r="C25" i="8"/>
  <c r="A25" i="8"/>
  <c r="J24" i="8"/>
  <c r="I24" i="8"/>
  <c r="H24" i="8"/>
  <c r="G24" i="8"/>
  <c r="F24" i="8"/>
  <c r="C24" i="8"/>
  <c r="A24" i="8"/>
  <c r="J23" i="8"/>
  <c r="I23" i="8"/>
  <c r="H23" i="8"/>
  <c r="G23" i="8"/>
  <c r="F23" i="8"/>
  <c r="C23" i="8"/>
  <c r="A23" i="8"/>
  <c r="J22" i="8"/>
  <c r="I22" i="8"/>
  <c r="H22" i="8"/>
  <c r="G22" i="8"/>
  <c r="F22" i="8"/>
  <c r="C22" i="8"/>
  <c r="A22" i="8"/>
  <c r="J21" i="8"/>
  <c r="I21" i="8"/>
  <c r="H21" i="8"/>
  <c r="G21" i="8"/>
  <c r="F21" i="8"/>
  <c r="C21" i="8"/>
  <c r="A21" i="8"/>
  <c r="J20" i="8"/>
  <c r="I20" i="8"/>
  <c r="H20" i="8"/>
  <c r="G20" i="8"/>
  <c r="F20" i="8"/>
  <c r="C20" i="8"/>
  <c r="A20" i="8"/>
  <c r="J19" i="8"/>
  <c r="I19" i="8"/>
  <c r="H19" i="8"/>
  <c r="G19" i="8"/>
  <c r="F19" i="8"/>
  <c r="C19" i="8"/>
  <c r="A19" i="8"/>
  <c r="J18" i="8"/>
  <c r="I18" i="8"/>
  <c r="H18" i="8"/>
  <c r="G18" i="8"/>
  <c r="F18" i="8"/>
  <c r="C18" i="8"/>
  <c r="A18" i="8"/>
  <c r="J17" i="8"/>
  <c r="I17" i="8"/>
  <c r="H17" i="8"/>
  <c r="G17" i="8"/>
  <c r="F17" i="8"/>
  <c r="C17" i="8"/>
  <c r="A17" i="8"/>
  <c r="J16" i="8"/>
  <c r="I16" i="8"/>
  <c r="H16" i="8"/>
  <c r="G16" i="8"/>
  <c r="F16" i="8"/>
  <c r="C16" i="8"/>
  <c r="A16" i="8"/>
  <c r="J15" i="8"/>
  <c r="I15" i="8"/>
  <c r="H15" i="8"/>
  <c r="G15" i="8"/>
  <c r="F15" i="8"/>
  <c r="C15" i="8"/>
  <c r="A15" i="8"/>
  <c r="J14" i="8"/>
  <c r="I14" i="8"/>
  <c r="H14" i="8"/>
  <c r="G14" i="8"/>
  <c r="F14" i="8"/>
  <c r="C14" i="8"/>
  <c r="A14" i="8"/>
  <c r="J13" i="8"/>
  <c r="I13" i="8"/>
  <c r="H13" i="8"/>
  <c r="G13" i="8"/>
  <c r="F13" i="8"/>
  <c r="C13" i="8"/>
  <c r="A13" i="8"/>
  <c r="J12" i="8"/>
  <c r="I12" i="8"/>
  <c r="H12" i="8"/>
  <c r="G12" i="8"/>
  <c r="F12" i="8"/>
  <c r="C12" i="8"/>
  <c r="A12" i="8"/>
  <c r="J11" i="8"/>
  <c r="I11" i="8"/>
  <c r="H11" i="8"/>
  <c r="G11" i="8"/>
  <c r="F11" i="8"/>
  <c r="C11" i="8"/>
  <c r="A11" i="8"/>
  <c r="J10" i="8"/>
  <c r="I10" i="8"/>
  <c r="H10" i="8"/>
  <c r="G10" i="8"/>
  <c r="F10" i="8"/>
  <c r="C10" i="8"/>
  <c r="A10" i="8"/>
  <c r="J9" i="8"/>
  <c r="I9" i="8"/>
  <c r="H9" i="8"/>
  <c r="G9" i="8"/>
  <c r="F9" i="8"/>
  <c r="C9" i="8"/>
  <c r="A9" i="8"/>
  <c r="J8" i="8"/>
  <c r="I8" i="8"/>
  <c r="H8" i="8"/>
  <c r="G8" i="8"/>
  <c r="F8" i="8"/>
  <c r="C8" i="8"/>
  <c r="A8" i="8"/>
  <c r="J7" i="8"/>
  <c r="I7" i="8"/>
  <c r="H7" i="8"/>
  <c r="G7" i="8"/>
  <c r="F7" i="8"/>
  <c r="C7" i="8"/>
  <c r="A7" i="8"/>
  <c r="J6" i="8"/>
  <c r="I6" i="8"/>
  <c r="H6" i="8"/>
  <c r="G6" i="8"/>
  <c r="F6" i="8"/>
  <c r="C6" i="8"/>
  <c r="A6" i="8"/>
  <c r="J5" i="8"/>
  <c r="I5" i="8"/>
  <c r="H5" i="8"/>
  <c r="G5" i="8"/>
  <c r="F5" i="8"/>
  <c r="C5" i="8"/>
  <c r="A5" i="8"/>
  <c r="J4" i="8"/>
  <c r="I4" i="8"/>
  <c r="H4" i="8"/>
  <c r="G4" i="8"/>
  <c r="F4" i="8"/>
  <c r="C4" i="8"/>
  <c r="A4" i="8"/>
  <c r="J3" i="8"/>
  <c r="I3" i="8"/>
  <c r="H3" i="8"/>
  <c r="G3" i="8"/>
  <c r="F3" i="8"/>
  <c r="C3" i="8"/>
  <c r="A3" i="8"/>
</calcChain>
</file>

<file path=xl/sharedStrings.xml><?xml version="1.0" encoding="utf-8"?>
<sst xmlns="http://schemas.openxmlformats.org/spreadsheetml/2006/main" count="20453" uniqueCount="317">
  <si>
    <t>屠宰费用</t>
  </si>
  <si>
    <t>分割费用</t>
  </si>
  <si>
    <t>管理费用</t>
  </si>
  <si>
    <t>财务费用</t>
  </si>
  <si>
    <t>所属省份</t>
  </si>
  <si>
    <t>日期</t>
  </si>
  <si>
    <t>出栏量-头</t>
  </si>
  <si>
    <t>均重</t>
  </si>
  <si>
    <t>毛猪价格-元/kg-用于计算成本</t>
  </si>
  <si>
    <t>网站价格-用于计算决策</t>
  </si>
  <si>
    <t>未来期货价格-元/kg</t>
  </si>
  <si>
    <t>甘肃</t>
  </si>
  <si>
    <t>吉林</t>
  </si>
  <si>
    <t>辽宁</t>
  </si>
  <si>
    <t>内蒙古</t>
  </si>
  <si>
    <t>山西</t>
  </si>
  <si>
    <t>陕西</t>
  </si>
  <si>
    <t>新疆</t>
  </si>
  <si>
    <t>东营</t>
  </si>
  <si>
    <t>福建</t>
  </si>
  <si>
    <t>江苏</t>
  </si>
  <si>
    <t>山东</t>
  </si>
  <si>
    <t>贵州</t>
  </si>
  <si>
    <t>四川</t>
  </si>
  <si>
    <t>云南</t>
  </si>
  <si>
    <t>重庆</t>
  </si>
  <si>
    <t>浙江</t>
  </si>
  <si>
    <t>河南</t>
  </si>
  <si>
    <t>安徽</t>
  </si>
  <si>
    <t>广东</t>
  </si>
  <si>
    <t>广西</t>
  </si>
  <si>
    <t>海南</t>
  </si>
  <si>
    <t>湖北</t>
  </si>
  <si>
    <t>湖南</t>
  </si>
  <si>
    <t>江西</t>
  </si>
  <si>
    <t>分割父物料</t>
  </si>
  <si>
    <t>分割子物料</t>
  </si>
  <si>
    <t>产出率</t>
  </si>
  <si>
    <t>工艺</t>
  </si>
  <si>
    <t>是否储备</t>
  </si>
  <si>
    <t>毛猪</t>
  </si>
  <si>
    <t>白条</t>
  </si>
  <si>
    <t>屠宰</t>
  </si>
  <si>
    <t>N</t>
  </si>
  <si>
    <t>猪头</t>
  </si>
  <si>
    <t>猪蹄</t>
  </si>
  <si>
    <t>猪尾</t>
  </si>
  <si>
    <t>猪心</t>
  </si>
  <si>
    <t>猪肝</t>
  </si>
  <si>
    <t>猪腰</t>
  </si>
  <si>
    <t>大肠</t>
  </si>
  <si>
    <t>猪肚</t>
  </si>
  <si>
    <t>罗膈肉</t>
  </si>
  <si>
    <t>猪舌</t>
  </si>
  <si>
    <t>大肠头</t>
  </si>
  <si>
    <t>心血管</t>
  </si>
  <si>
    <t>槽头</t>
  </si>
  <si>
    <t>杂油</t>
  </si>
  <si>
    <t>板油</t>
  </si>
  <si>
    <t>小肠</t>
  </si>
  <si>
    <t>小八件</t>
  </si>
  <si>
    <t>猪肺</t>
  </si>
  <si>
    <t>冠油</t>
  </si>
  <si>
    <t>软膘</t>
  </si>
  <si>
    <t>脑花</t>
  </si>
  <si>
    <t>小肚</t>
  </si>
  <si>
    <t>网油</t>
  </si>
  <si>
    <t>猪血</t>
  </si>
  <si>
    <t>五花肉</t>
  </si>
  <si>
    <t>分割</t>
  </si>
  <si>
    <t>大排肌肉</t>
  </si>
  <si>
    <t>肋排</t>
  </si>
  <si>
    <t>前排</t>
  </si>
  <si>
    <t>颈背肌肉</t>
  </si>
  <si>
    <t>小里脊</t>
  </si>
  <si>
    <t>前腿肌肉</t>
  </si>
  <si>
    <t>后腿肌肉</t>
  </si>
  <si>
    <t>前肘</t>
  </si>
  <si>
    <t>后肘</t>
  </si>
  <si>
    <t>肥膘</t>
  </si>
  <si>
    <t>脊膘</t>
  </si>
  <si>
    <t>脊骨</t>
  </si>
  <si>
    <t>带肉后棒骨</t>
  </si>
  <si>
    <t>带肉前棒骨</t>
  </si>
  <si>
    <t>尾叉骨</t>
  </si>
  <si>
    <t>扇骨</t>
  </si>
  <si>
    <t>颈骨</t>
  </si>
  <si>
    <t>杂骨</t>
  </si>
  <si>
    <t>月牙骨</t>
  </si>
  <si>
    <t>精碎肉</t>
  </si>
  <si>
    <t>7:3碎肉</t>
  </si>
  <si>
    <t>脊皮</t>
  </si>
  <si>
    <t>碎皮</t>
  </si>
  <si>
    <t>五花肉-冷冻</t>
  </si>
  <si>
    <t>冷冻</t>
  </si>
  <si>
    <t>Y</t>
  </si>
  <si>
    <t>大排肌肉-冷冻</t>
  </si>
  <si>
    <t>肋排-冷冻</t>
  </si>
  <si>
    <t>前排-冷冻</t>
  </si>
  <si>
    <t>颈背肌肉-冷冻</t>
  </si>
  <si>
    <t>小里脊-冷冻</t>
  </si>
  <si>
    <t>前腿肌肉-冷冻</t>
  </si>
  <si>
    <t>后腿肌肉-冷冻</t>
  </si>
  <si>
    <t>前肘-冷冻</t>
  </si>
  <si>
    <t>后肘-冷冻</t>
  </si>
  <si>
    <t>肥膘-冷冻</t>
  </si>
  <si>
    <t>脊膘-冷冻</t>
  </si>
  <si>
    <t>脊骨-冷冻</t>
  </si>
  <si>
    <t>带肉后棒骨-冷冻</t>
  </si>
  <si>
    <t>带肉前棒骨-冷冻</t>
  </si>
  <si>
    <t>尾叉骨-冷冻</t>
  </si>
  <si>
    <t>扇骨-冷冻</t>
  </si>
  <si>
    <t>颈骨-冷冻</t>
  </si>
  <si>
    <t>杂骨-冷冻</t>
  </si>
  <si>
    <t>月牙骨-冷冻</t>
  </si>
  <si>
    <t>精碎肉-冷冻</t>
  </si>
  <si>
    <t>7:3碎肉-冷冻</t>
  </si>
  <si>
    <t>脊皮-冷冻</t>
  </si>
  <si>
    <t>碎皮-冷冻</t>
  </si>
  <si>
    <t>猪头-冷冻</t>
  </si>
  <si>
    <t>猪蹄-冷冻</t>
  </si>
  <si>
    <t>猪尾-冷冻</t>
  </si>
  <si>
    <t>猪心-冷冻</t>
  </si>
  <si>
    <t>猪肝-冷冻</t>
  </si>
  <si>
    <t>猪腰-冷冻</t>
  </si>
  <si>
    <t>大肠-冷冻</t>
  </si>
  <si>
    <t>猪肚-冷冻</t>
  </si>
  <si>
    <t>罗膈肉-冷冻</t>
  </si>
  <si>
    <t>猪舌-冷冻</t>
  </si>
  <si>
    <t>大肠头-冷冻</t>
  </si>
  <si>
    <t>心血管-冷冻</t>
  </si>
  <si>
    <t>槽头-冷冻</t>
  </si>
  <si>
    <t>杂油-冷冻</t>
  </si>
  <si>
    <t>板油-冷冻</t>
  </si>
  <si>
    <t>小肠-冷冻</t>
  </si>
  <si>
    <t>小八件-冷冻</t>
  </si>
  <si>
    <t>猪肺-冷冻</t>
  </si>
  <si>
    <t>冠油-冷冻</t>
  </si>
  <si>
    <t>软膘-冷冻</t>
  </si>
  <si>
    <t>脑花-冷冻</t>
  </si>
  <si>
    <t>小肚-冷冻</t>
  </si>
  <si>
    <t>网油-冷冻</t>
  </si>
  <si>
    <t>猪血-冷冻</t>
  </si>
  <si>
    <t>屠宰厂id</t>
  </si>
  <si>
    <t>公司名称</t>
  </si>
  <si>
    <t>屠宰产能-头/日</t>
  </si>
  <si>
    <t>0567</t>
  </si>
  <si>
    <t>正大食品（襄阳）有限公司</t>
  </si>
  <si>
    <t>0555</t>
  </si>
  <si>
    <t>洛阳正大食品有限公司</t>
  </si>
  <si>
    <t>0476</t>
  </si>
  <si>
    <t>正大食品（徐州）有限公司</t>
  </si>
  <si>
    <t>0370</t>
  </si>
  <si>
    <t>内蒙古正大鸿业食品有限公司</t>
  </si>
  <si>
    <t>0377</t>
  </si>
  <si>
    <t>山西正大食品有限公司</t>
  </si>
  <si>
    <t>0388</t>
  </si>
  <si>
    <t>甘肃庆阳正大食品有限公司</t>
  </si>
  <si>
    <t>0638</t>
  </si>
  <si>
    <t>成都正大农牧食品有限公司</t>
  </si>
  <si>
    <t>1533</t>
  </si>
  <si>
    <t>正大食品（长沙）有限公司</t>
  </si>
  <si>
    <t>A388</t>
  </si>
  <si>
    <t>庆阳正大食品有限公司OEM</t>
  </si>
  <si>
    <t>0294</t>
  </si>
  <si>
    <t>正大畜牧(阜新)有限公司</t>
  </si>
  <si>
    <t>0261</t>
  </si>
  <si>
    <t>吉林中新正大食品有限公司</t>
  </si>
  <si>
    <t>0360</t>
  </si>
  <si>
    <t>新疆正大畜禽有限公司</t>
  </si>
  <si>
    <t>0362</t>
  </si>
  <si>
    <t>陕西正大畜禽有限公司</t>
  </si>
  <si>
    <t>0760</t>
  </si>
  <si>
    <t>正大食品（合肥）有限公司</t>
  </si>
  <si>
    <t>0648</t>
  </si>
  <si>
    <t>昆明正大猪业有限公司</t>
  </si>
  <si>
    <t>正大食品（咸宁）有限公司</t>
  </si>
  <si>
    <t>1521</t>
  </si>
  <si>
    <t>正大食品（宜昌）有限公司</t>
  </si>
  <si>
    <t>1850</t>
  </si>
  <si>
    <t>江西正大畜禽有限公司高安分公司</t>
  </si>
  <si>
    <t>0692</t>
  </si>
  <si>
    <t>正大食品（来宾）有限公司</t>
  </si>
  <si>
    <t>0662</t>
  </si>
  <si>
    <t>贵州正大农牧食品有限公司</t>
  </si>
  <si>
    <t>1658</t>
  </si>
  <si>
    <t>正大卜蜂食品(重庆)有限公司</t>
  </si>
  <si>
    <t>1441</t>
  </si>
  <si>
    <t>正大食品（徐州）有限公司山东第二分公司</t>
  </si>
  <si>
    <t>1810</t>
  </si>
  <si>
    <t>正大食品（广东）有限公司</t>
  </si>
  <si>
    <t>分割能力上限-头</t>
  </si>
  <si>
    <t>冷冻能力上限-kg</t>
  </si>
  <si>
    <t>工厂id</t>
  </si>
  <si>
    <t>分割部位</t>
  </si>
  <si>
    <t>屠宰成本-元/kg</t>
  </si>
  <si>
    <t>分割费用-元/kg</t>
  </si>
  <si>
    <t>包装费用-元/kg</t>
  </si>
  <si>
    <t>速冻费用-元/kg</t>
  </si>
  <si>
    <t>成本系数-后期统计用</t>
  </si>
  <si>
    <t>副产</t>
  </si>
  <si>
    <t>1522</t>
  </si>
  <si>
    <t>库容上限-kg</t>
  </si>
  <si>
    <t>库存成本系数-元/kg/日</t>
  </si>
  <si>
    <t>部位</t>
  </si>
  <si>
    <t>当期库存-kg</t>
  </si>
  <si>
    <t>客户类别</t>
  </si>
  <si>
    <t>订单量</t>
  </si>
  <si>
    <t>鲜销价格系数</t>
  </si>
  <si>
    <t>销售价格</t>
  </si>
  <si>
    <t>订单售达省份</t>
  </si>
  <si>
    <t>毛猪价格</t>
  </si>
  <si>
    <t>工厂类别</t>
  </si>
  <si>
    <t>深加工的原料需求量</t>
  </si>
  <si>
    <t>运输成本-元/kg/公里</t>
  </si>
  <si>
    <t>距离-公里</t>
  </si>
  <si>
    <t>全分割部位</t>
  </si>
  <si>
    <t>产量占比</t>
  </si>
  <si>
    <t>单头产量</t>
  </si>
  <si>
    <t>产值系数</t>
  </si>
  <si>
    <t>产值占比</t>
  </si>
  <si>
    <t>%</t>
  </si>
  <si>
    <t>kg/头</t>
  </si>
  <si>
    <t>储备</t>
  </si>
  <si>
    <t>白条产值占比</t>
  </si>
  <si>
    <t>副产品产值占比</t>
  </si>
  <si>
    <t>非储备</t>
  </si>
  <si>
    <t>猪肘</t>
  </si>
  <si>
    <t>冻价格系数</t>
  </si>
  <si>
    <t>鲜价格系数</t>
  </si>
  <si>
    <t>12个</t>
  </si>
  <si>
    <t>分割品小计</t>
  </si>
  <si>
    <t>大区</t>
  </si>
  <si>
    <t>省区</t>
  </si>
  <si>
    <t>公司</t>
  </si>
  <si>
    <t>2025年修订版标准</t>
  </si>
  <si>
    <t>自建/OEM</t>
  </si>
  <si>
    <t>使用系统</t>
  </si>
  <si>
    <t>3211生产</t>
  </si>
  <si>
    <t>6711贸易</t>
  </si>
  <si>
    <t>4811事业线</t>
  </si>
  <si>
    <t>元/头</t>
  </si>
  <si>
    <t>中南区</t>
  </si>
  <si>
    <t>自有</t>
  </si>
  <si>
    <t>ework+SAP</t>
  </si>
  <si>
    <t>√</t>
  </si>
  <si>
    <t>中东南区</t>
  </si>
  <si>
    <t>罗家顺区</t>
  </si>
  <si>
    <t>北方区</t>
  </si>
  <si>
    <t>内蒙</t>
  </si>
  <si>
    <t>大同正大食品有限公司</t>
  </si>
  <si>
    <t>庆阳正大食品有限公司</t>
  </si>
  <si>
    <t>SAP</t>
  </si>
  <si>
    <t>西南区</t>
  </si>
  <si>
    <t>OEM</t>
  </si>
  <si>
    <t>正大食品（利辛）有限公司</t>
  </si>
  <si>
    <t>SS+SAP</t>
  </si>
  <si>
    <t>SS</t>
  </si>
  <si>
    <t>SAP总账</t>
  </si>
  <si>
    <t>0813</t>
  </si>
  <si>
    <t>江西正大畜禽有限公司</t>
  </si>
  <si>
    <t>0220</t>
  </si>
  <si>
    <t>辽宁正大畜禽有限公司</t>
  </si>
  <si>
    <t>陕西正大食品有限公司</t>
  </si>
  <si>
    <t>重庆正大猪业有限公司</t>
  </si>
  <si>
    <t>昆明正大农牧食品有限公司</t>
  </si>
  <si>
    <t>湛江</t>
  </si>
  <si>
    <t>0835</t>
  </si>
  <si>
    <t>湛江正大猪业有限公司</t>
  </si>
  <si>
    <t>0519</t>
  </si>
  <si>
    <t>贸易</t>
  </si>
  <si>
    <t>0824</t>
  </si>
  <si>
    <t>福建卜蜂畜禽有限公司</t>
  </si>
  <si>
    <t>浙江区</t>
  </si>
  <si>
    <t>0770</t>
  </si>
  <si>
    <t>正大食品（慈溪）有限公司</t>
  </si>
  <si>
    <t>广东（不含湛江）</t>
  </si>
  <si>
    <t>正大食品（广州）有限公司</t>
  </si>
  <si>
    <t>/</t>
  </si>
  <si>
    <t>1543</t>
  </si>
  <si>
    <t>上海</t>
  </si>
  <si>
    <t>0447</t>
  </si>
  <si>
    <t>正大食品（徐州）有限公司上海分公司</t>
  </si>
  <si>
    <t>正大食品（徐州）有限公司苏州分公司</t>
  </si>
  <si>
    <t>1830</t>
  </si>
  <si>
    <t>正大食品（徐州）有限公司浙江分公司</t>
  </si>
  <si>
    <t>北京战区</t>
  </si>
  <si>
    <t>北京</t>
  </si>
  <si>
    <t>内蒙古正大食品有限公司北京分公司</t>
  </si>
  <si>
    <t>庆阳正大食品有限公司-OEM</t>
  </si>
  <si>
    <t>毛猪均重</t>
  </si>
  <si>
    <t>公司代码</t>
  </si>
  <si>
    <t>每日屠宰头数</t>
  </si>
  <si>
    <t>每日分割头数</t>
  </si>
  <si>
    <t>每日入冻能力-kg</t>
  </si>
  <si>
    <t>部位出品率</t>
  </si>
  <si>
    <t>产量</t>
  </si>
  <si>
    <t>鲜销</t>
  </si>
  <si>
    <t>湖北襄阳</t>
  </si>
  <si>
    <t>湖北咸宁</t>
  </si>
  <si>
    <t>湖北宜昌</t>
  </si>
  <si>
    <t>工厂ID</t>
    <phoneticPr fontId="14" type="noConversion"/>
  </si>
  <si>
    <t>公司名称</t>
    <phoneticPr fontId="14" type="noConversion"/>
  </si>
  <si>
    <t>0138</t>
    <phoneticPr fontId="14" type="noConversion"/>
  </si>
  <si>
    <t>正大食品（秦皇岛）有限公司</t>
  </si>
  <si>
    <t>自有深加工</t>
    <phoneticPr fontId="14" type="noConversion"/>
  </si>
  <si>
    <t>0459</t>
    <phoneticPr fontId="14" type="noConversion"/>
  </si>
  <si>
    <t>正大食品（青岛）有限公司</t>
  </si>
  <si>
    <t>0650</t>
    <phoneticPr fontId="14" type="noConversion"/>
  </si>
  <si>
    <t>正大食品（成都）有限公司</t>
  </si>
  <si>
    <t>0750</t>
    <phoneticPr fontId="14" type="noConversion"/>
  </si>
  <si>
    <t>正大食品（义乌）有限公司</t>
  </si>
  <si>
    <t>正大食品（湖北）有限公司</t>
  </si>
  <si>
    <t>正大食品企业（洛阳）有限公司</t>
  </si>
  <si>
    <t>卜蜂食品（徐州）有限公司</t>
  </si>
  <si>
    <t>内蒙古卜蜂食品有限公司</t>
  </si>
  <si>
    <t>河北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</si>
</sst>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%"/>
    <numFmt numFmtId="177" formatCode="#,##0.0"/>
    <numFmt numFmtId="178" formatCode="0_);[Red]\(0\)"/>
    <numFmt numFmtId="179" formatCode="0.0"/>
    <numFmt numFmtId="180" formatCode="0_ "/>
  </numFmts>
  <fonts count="1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00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0066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1F4E79"/>
        <bgColor indexed="64"/>
      </patternFill>
    </fill>
  </fills>
  <borders count="36">
    <border>
      <left/>
      <right/>
      <top/>
      <bottom/>
      <diagonal/>
    </border>
    <border>
      <left style="medium">
        <color rgb="FF006600"/>
      </left>
      <right style="medium">
        <color theme="0" tint="-4.9989318521683403E-2"/>
      </right>
      <top style="medium">
        <color rgb="FF006600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rgb="FF006600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rgb="FF006600"/>
      </right>
      <top style="medium">
        <color rgb="FF006600"/>
      </top>
      <bottom style="medium">
        <color theme="0" tint="-4.9989318521683403E-2"/>
      </bottom>
      <diagonal/>
    </border>
    <border>
      <left style="medium">
        <color rgb="FF006600"/>
      </left>
      <right/>
      <top/>
      <bottom/>
      <diagonal/>
    </border>
    <border>
      <left style="medium">
        <color rgb="FF006600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rgb="FF006600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rgb="FF006600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 style="medium">
        <color rgb="FF006600"/>
      </right>
      <top style="medium">
        <color theme="0" tint="-4.9989318521683403E-2"/>
      </top>
      <bottom/>
      <diagonal/>
    </border>
    <border>
      <left style="medium">
        <color rgb="FF006600"/>
      </left>
      <right style="hair">
        <color rgb="FF006600"/>
      </right>
      <top/>
      <bottom/>
      <diagonal/>
    </border>
    <border>
      <left style="hair">
        <color rgb="FF006600"/>
      </left>
      <right style="hair">
        <color rgb="FF006600"/>
      </right>
      <top/>
      <bottom/>
      <diagonal/>
    </border>
    <border>
      <left style="hair">
        <color rgb="FF006600"/>
      </left>
      <right style="medium">
        <color rgb="FF006600"/>
      </right>
      <top/>
      <bottom/>
      <diagonal/>
    </border>
    <border>
      <left style="medium">
        <color rgb="FF006600"/>
      </left>
      <right style="hair">
        <color rgb="FF006600"/>
      </right>
      <top/>
      <bottom style="medium">
        <color rgb="FF006600"/>
      </bottom>
      <diagonal/>
    </border>
    <border>
      <left style="hair">
        <color rgb="FF006600"/>
      </left>
      <right style="hair">
        <color rgb="FF006600"/>
      </right>
      <top/>
      <bottom style="medium">
        <color rgb="FF006600"/>
      </bottom>
      <diagonal/>
    </border>
    <border>
      <left style="hair">
        <color rgb="FF006600"/>
      </left>
      <right style="medium">
        <color rgb="FF006600"/>
      </right>
      <top/>
      <bottom style="medium">
        <color rgb="FF0066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3" fillId="0" borderId="0">
      <alignment vertical="center"/>
    </xf>
    <xf numFmtId="0" fontId="1" fillId="0" borderId="0">
      <alignment vertical="center"/>
    </xf>
  </cellStyleXfs>
  <cellXfs count="102">
    <xf numFmtId="0" fontId="0" fillId="0" borderId="0" xfId="0">
      <alignment vertical="center"/>
    </xf>
    <xf numFmtId="176" fontId="0" fillId="0" borderId="0" xfId="2" applyNumberFormat="1" applyFont="1">
      <alignment vertical="center"/>
    </xf>
    <xf numFmtId="0" fontId="1" fillId="0" borderId="0" xfId="0" applyFont="1">
      <alignment vertical="center"/>
    </xf>
    <xf numFmtId="176" fontId="1" fillId="0" borderId="0" xfId="2" applyNumberFormat="1" applyFont="1">
      <alignment vertical="center"/>
    </xf>
    <xf numFmtId="0" fontId="0" fillId="2" borderId="0" xfId="0" applyFill="1">
      <alignment vertical="center"/>
    </xf>
    <xf numFmtId="43" fontId="0" fillId="0" borderId="0" xfId="1" applyFont="1">
      <alignment vertical="center"/>
    </xf>
    <xf numFmtId="43" fontId="0" fillId="3" borderId="0" xfId="1" applyFont="1" applyFill="1">
      <alignment vertical="center"/>
    </xf>
    <xf numFmtId="0" fontId="0" fillId="3" borderId="0" xfId="0" applyFill="1">
      <alignment vertical="center"/>
    </xf>
    <xf numFmtId="1" fontId="0" fillId="0" borderId="0" xfId="0" applyNumberFormat="1">
      <alignment vertical="center"/>
    </xf>
    <xf numFmtId="0" fontId="2" fillId="0" borderId="0" xfId="3" applyFont="1"/>
    <xf numFmtId="0" fontId="2" fillId="4" borderId="2" xfId="3" applyFont="1" applyFill="1" applyBorder="1"/>
    <xf numFmtId="178" fontId="3" fillId="5" borderId="6" xfId="4" applyNumberFormat="1" applyFont="1" applyFill="1" applyBorder="1" applyAlignment="1">
      <alignment horizontal="center" vertical="center" wrapText="1"/>
    </xf>
    <xf numFmtId="178" fontId="3" fillId="5" borderId="7" xfId="4" applyNumberFormat="1" applyFont="1" applyFill="1" applyBorder="1" applyAlignment="1">
      <alignment horizontal="center" vertical="center" wrapText="1"/>
    </xf>
    <xf numFmtId="178" fontId="3" fillId="5" borderId="9" xfId="4" applyNumberFormat="1" applyFont="1" applyFill="1" applyBorder="1" applyAlignment="1">
      <alignment horizontal="center" vertical="center" wrapText="1"/>
    </xf>
    <xf numFmtId="178" fontId="3" fillId="5" borderId="10" xfId="4" applyNumberFormat="1" applyFont="1" applyFill="1" applyBorder="1" applyAlignment="1">
      <alignment horizontal="center" vertical="center" wrapText="1"/>
    </xf>
    <xf numFmtId="49" fontId="4" fillId="0" borderId="11" xfId="4" applyNumberFormat="1" applyFont="1" applyBorder="1" applyAlignment="1">
      <alignment horizontal="center" vertical="center"/>
    </xf>
    <xf numFmtId="49" fontId="4" fillId="0" borderId="12" xfId="4" applyNumberFormat="1" applyFont="1" applyBorder="1" applyAlignment="1">
      <alignment horizontal="center" vertical="center"/>
    </xf>
    <xf numFmtId="177" fontId="4" fillId="0" borderId="12" xfId="4" applyNumberFormat="1" applyFont="1" applyBorder="1" applyAlignment="1">
      <alignment horizontal="left" vertical="center"/>
    </xf>
    <xf numFmtId="177" fontId="3" fillId="0" borderId="12" xfId="4" applyNumberFormat="1" applyFont="1" applyBorder="1" applyAlignment="1">
      <alignment horizontal="center" vertical="center"/>
    </xf>
    <xf numFmtId="178" fontId="5" fillId="0" borderId="12" xfId="3" applyNumberFormat="1" applyFont="1" applyBorder="1" applyAlignment="1">
      <alignment horizontal="center" vertical="center"/>
    </xf>
    <xf numFmtId="178" fontId="5" fillId="0" borderId="13" xfId="3" applyNumberFormat="1" applyFont="1" applyBorder="1" applyAlignment="1">
      <alignment horizontal="center" vertical="center"/>
    </xf>
    <xf numFmtId="178" fontId="2" fillId="0" borderId="0" xfId="3" applyNumberFormat="1" applyFont="1"/>
    <xf numFmtId="49" fontId="4" fillId="6" borderId="11" xfId="4" applyNumberFormat="1" applyFont="1" applyFill="1" applyBorder="1" applyAlignment="1">
      <alignment horizontal="center" vertical="center"/>
    </xf>
    <xf numFmtId="49" fontId="4" fillId="6" borderId="12" xfId="4" applyNumberFormat="1" applyFont="1" applyFill="1" applyBorder="1" applyAlignment="1">
      <alignment horizontal="center" vertical="center"/>
    </xf>
    <xf numFmtId="177" fontId="4" fillId="6" borderId="12" xfId="4" applyNumberFormat="1" applyFont="1" applyFill="1" applyBorder="1" applyAlignment="1">
      <alignment horizontal="left" vertical="center"/>
    </xf>
    <xf numFmtId="177" fontId="3" fillId="6" borderId="12" xfId="4" applyNumberFormat="1" applyFont="1" applyFill="1" applyBorder="1" applyAlignment="1">
      <alignment horizontal="center" vertical="center"/>
    </xf>
    <xf numFmtId="178" fontId="5" fillId="6" borderId="12" xfId="3" applyNumberFormat="1" applyFont="1" applyFill="1" applyBorder="1" applyAlignment="1">
      <alignment horizontal="center" vertical="center"/>
    </xf>
    <xf numFmtId="178" fontId="5" fillId="6" borderId="13" xfId="3" applyNumberFormat="1" applyFont="1" applyFill="1" applyBorder="1" applyAlignment="1">
      <alignment horizontal="center" vertical="center"/>
    </xf>
    <xf numFmtId="49" fontId="4" fillId="6" borderId="14" xfId="4" applyNumberFormat="1" applyFont="1" applyFill="1" applyBorder="1" applyAlignment="1">
      <alignment horizontal="center" vertical="center"/>
    </xf>
    <xf numFmtId="49" fontId="4" fillId="6" borderId="15" xfId="4" applyNumberFormat="1" applyFont="1" applyFill="1" applyBorder="1" applyAlignment="1">
      <alignment horizontal="center" vertical="center"/>
    </xf>
    <xf numFmtId="177" fontId="4" fillId="6" borderId="15" xfId="4" applyNumberFormat="1" applyFont="1" applyFill="1" applyBorder="1" applyAlignment="1">
      <alignment horizontal="left" vertical="center"/>
    </xf>
    <xf numFmtId="177" fontId="3" fillId="6" borderId="15" xfId="4" applyNumberFormat="1" applyFont="1" applyFill="1" applyBorder="1" applyAlignment="1">
      <alignment horizontal="center" vertical="center"/>
    </xf>
    <xf numFmtId="178" fontId="6" fillId="6" borderId="15" xfId="3" applyNumberFormat="1" applyFont="1" applyFill="1" applyBorder="1" applyAlignment="1">
      <alignment horizontal="center" vertical="center"/>
    </xf>
    <xf numFmtId="178" fontId="6" fillId="6" borderId="16" xfId="3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9" fontId="0" fillId="0" borderId="0" xfId="2" applyFont="1">
      <alignment vertical="center"/>
    </xf>
    <xf numFmtId="2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0" fontId="7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58" fontId="2" fillId="0" borderId="0" xfId="0" applyNumberFormat="1" applyFont="1" applyAlignment="1">
      <alignment horizontal="center" vertical="center"/>
    </xf>
    <xf numFmtId="2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7" borderId="17" xfId="0" applyFont="1" applyFill="1" applyBorder="1" applyAlignment="1">
      <alignment horizontal="left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0" fillId="7" borderId="17" xfId="0" applyFont="1" applyFill="1" applyBorder="1">
      <alignment vertical="center"/>
    </xf>
    <xf numFmtId="1" fontId="11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9" fontId="11" fillId="0" borderId="0" xfId="2" applyFont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9" fontId="10" fillId="7" borderId="17" xfId="2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9" fontId="11" fillId="0" borderId="20" xfId="2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9" fontId="11" fillId="0" borderId="26" xfId="2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9" fontId="11" fillId="0" borderId="29" xfId="2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2" fillId="8" borderId="31" xfId="5" applyFont="1" applyFill="1" applyBorder="1" applyAlignment="1">
      <alignment horizontal="center" vertical="center"/>
    </xf>
    <xf numFmtId="0" fontId="12" fillId="8" borderId="32" xfId="5" applyFont="1" applyFill="1" applyBorder="1" applyAlignment="1">
      <alignment horizontal="center" vertical="center"/>
    </xf>
    <xf numFmtId="4" fontId="2" fillId="0" borderId="33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58" fontId="2" fillId="0" borderId="34" xfId="0" applyNumberFormat="1" applyFont="1" applyBorder="1" applyAlignment="1">
      <alignment horizontal="center" vertical="center"/>
    </xf>
    <xf numFmtId="3" fontId="2" fillId="0" borderId="34" xfId="0" applyNumberFormat="1" applyFont="1" applyBorder="1" applyAlignment="1">
      <alignment horizontal="center" vertical="center"/>
    </xf>
    <xf numFmtId="180" fontId="2" fillId="0" borderId="34" xfId="0" applyNumberFormat="1" applyFont="1" applyBorder="1" applyAlignment="1">
      <alignment horizontal="center" vertical="center"/>
    </xf>
    <xf numFmtId="4" fontId="2" fillId="0" borderId="34" xfId="0" applyNumberFormat="1" applyFont="1" applyBorder="1" applyAlignment="1">
      <alignment horizontal="center" vertical="center"/>
    </xf>
    <xf numFmtId="4" fontId="2" fillId="0" borderId="35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2" fillId="0" borderId="4" xfId="3" applyFont="1" applyBorder="1" applyAlignment="1">
      <alignment horizontal="center"/>
    </xf>
    <xf numFmtId="178" fontId="3" fillId="5" borderId="2" xfId="3" applyNumberFormat="1" applyFont="1" applyFill="1" applyBorder="1" applyAlignment="1">
      <alignment horizontal="center" vertical="center"/>
    </xf>
    <xf numFmtId="178" fontId="3" fillId="5" borderId="3" xfId="3" applyNumberFormat="1" applyFont="1" applyFill="1" applyBorder="1" applyAlignment="1">
      <alignment horizontal="center" vertical="center"/>
    </xf>
    <xf numFmtId="49" fontId="3" fillId="4" borderId="1" xfId="4" applyNumberFormat="1" applyFont="1" applyFill="1" applyBorder="1" applyAlignment="1">
      <alignment horizontal="center" vertical="center" wrapText="1"/>
    </xf>
    <xf numFmtId="49" fontId="3" fillId="4" borderId="5" xfId="4" applyNumberFormat="1" applyFont="1" applyFill="1" applyBorder="1" applyAlignment="1">
      <alignment horizontal="center" vertical="center" wrapText="1"/>
    </xf>
    <xf numFmtId="49" fontId="3" fillId="4" borderId="8" xfId="4" applyNumberFormat="1" applyFont="1" applyFill="1" applyBorder="1" applyAlignment="1">
      <alignment horizontal="center" vertical="center" wrapText="1"/>
    </xf>
    <xf numFmtId="49" fontId="3" fillId="4" borderId="2" xfId="4" applyNumberFormat="1" applyFont="1" applyFill="1" applyBorder="1" applyAlignment="1">
      <alignment horizontal="center" vertical="center" wrapText="1"/>
    </xf>
    <xf numFmtId="49" fontId="3" fillId="4" borderId="6" xfId="4" applyNumberFormat="1" applyFont="1" applyFill="1" applyBorder="1" applyAlignment="1">
      <alignment horizontal="center" vertical="center" wrapText="1"/>
    </xf>
    <xf numFmtId="49" fontId="3" fillId="4" borderId="9" xfId="4" applyNumberFormat="1" applyFont="1" applyFill="1" applyBorder="1" applyAlignment="1">
      <alignment horizontal="center" vertical="center" wrapText="1"/>
    </xf>
    <xf numFmtId="177" fontId="3" fillId="4" borderId="2" xfId="4" applyNumberFormat="1" applyFont="1" applyFill="1" applyBorder="1" applyAlignment="1">
      <alignment horizontal="center" vertical="center" wrapText="1"/>
    </xf>
    <xf numFmtId="177" fontId="3" fillId="4" borderId="6" xfId="4" applyNumberFormat="1" applyFont="1" applyFill="1" applyBorder="1" applyAlignment="1">
      <alignment horizontal="center" vertical="center" wrapText="1"/>
    </xf>
    <xf numFmtId="177" fontId="3" fillId="4" borderId="9" xfId="4" applyNumberFormat="1" applyFont="1" applyFill="1" applyBorder="1" applyAlignment="1">
      <alignment horizontal="center" vertical="center" wrapText="1"/>
    </xf>
  </cellXfs>
  <cellStyles count="6">
    <cellStyle name="百分比" xfId="2" builtinId="5"/>
    <cellStyle name="常规" xfId="0" builtinId="0"/>
    <cellStyle name="常规 2 2" xfId="3" xr:uid="{00000000-0005-0000-0000-000031000000}"/>
    <cellStyle name="常规 2 3" xfId="4" xr:uid="{00000000-0005-0000-0000-000032000000}"/>
    <cellStyle name="常规 4" xfId="5" xr:uid="{00000000-0005-0000-0000-000033000000}"/>
    <cellStyle name="千位分隔" xfId="1" builtinId="3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6074"/>
  <sheetViews>
    <sheetView showGridLines="0" tabSelected="1" workbookViewId="0">
      <selection activeCell="K17" sqref="K17"/>
    </sheetView>
  </sheetViews>
  <sheetFormatPr defaultColWidth="9" defaultRowHeight="15" x14ac:dyDescent="0.3"/>
  <cols>
    <col min="1" max="1" width="11.9296875" style="74" customWidth="1"/>
    <col min="2" max="2" width="11.265625" style="75" customWidth="1"/>
    <col min="3" max="3" width="9.59765625" style="75" customWidth="1"/>
    <col min="4" max="4" width="12.33203125" style="76" customWidth="1"/>
    <col min="5" max="5" width="6.33203125" style="77" customWidth="1"/>
    <col min="6" max="6" width="38.33203125" style="78" customWidth="1"/>
    <col min="7" max="7" width="28.265625" style="78" customWidth="1"/>
    <col min="8" max="8" width="24.796875" style="78" customWidth="1"/>
    <col min="9" max="16384" width="9" style="74"/>
  </cols>
  <sheetData>
    <row r="2" spans="1:8" ht="42" customHeight="1" x14ac:dyDescent="0.3">
      <c r="B2" s="79" t="s">
        <v>4</v>
      </c>
      <c r="C2" s="80" t="s">
        <v>5</v>
      </c>
      <c r="D2" s="79" t="s">
        <v>6</v>
      </c>
      <c r="E2" s="80" t="s">
        <v>7</v>
      </c>
      <c r="F2" s="79" t="s">
        <v>8</v>
      </c>
      <c r="G2" s="80" t="s">
        <v>9</v>
      </c>
      <c r="H2" s="80" t="s">
        <v>10</v>
      </c>
    </row>
    <row r="3" spans="1:8" x14ac:dyDescent="0.3">
      <c r="A3" s="45" t="str">
        <f t="shared" ref="A3:A66" si="0">B3&amp;C3</f>
        <v>甘肃46135</v>
      </c>
      <c r="B3" s="75" t="s">
        <v>11</v>
      </c>
      <c r="C3" s="45">
        <v>46135</v>
      </c>
      <c r="D3" s="76">
        <v>1179.86839552174</v>
      </c>
      <c r="E3" s="77">
        <v>125</v>
      </c>
      <c r="F3" s="78">
        <v>8.8166562126317292</v>
      </c>
      <c r="G3" s="78">
        <v>8.8166562126317292</v>
      </c>
      <c r="H3" s="81">
        <v>9.3737657104664898</v>
      </c>
    </row>
    <row r="4" spans="1:8" x14ac:dyDescent="0.3">
      <c r="A4" s="74" t="str">
        <f t="shared" si="0"/>
        <v>甘肃46136</v>
      </c>
      <c r="B4" s="75" t="s">
        <v>11</v>
      </c>
      <c r="C4" s="45">
        <v>46136</v>
      </c>
      <c r="D4" s="76">
        <v>1179.86839552174</v>
      </c>
      <c r="E4" s="77">
        <v>125</v>
      </c>
      <c r="F4" s="78">
        <v>8.8166562126317292</v>
      </c>
      <c r="G4" s="78">
        <v>8.8166562126317292</v>
      </c>
      <c r="H4" s="81">
        <v>9.3737657104664898</v>
      </c>
    </row>
    <row r="5" spans="1:8" x14ac:dyDescent="0.3">
      <c r="A5" s="74" t="str">
        <f t="shared" si="0"/>
        <v>甘肃46137</v>
      </c>
      <c r="B5" s="75" t="s">
        <v>11</v>
      </c>
      <c r="C5" s="45">
        <v>46137</v>
      </c>
      <c r="D5" s="76">
        <v>1179.86839552174</v>
      </c>
      <c r="E5" s="77">
        <v>125</v>
      </c>
      <c r="F5" s="78">
        <v>8.8166562126317292</v>
      </c>
      <c r="G5" s="78">
        <v>8.8166562126317292</v>
      </c>
      <c r="H5" s="81">
        <v>9.3737657104664898</v>
      </c>
    </row>
    <row r="6" spans="1:8" x14ac:dyDescent="0.3">
      <c r="A6" s="74" t="str">
        <f t="shared" si="0"/>
        <v>甘肃46138</v>
      </c>
      <c r="B6" s="75" t="s">
        <v>11</v>
      </c>
      <c r="C6" s="45">
        <v>46138</v>
      </c>
      <c r="D6" s="76">
        <v>1179.86839552174</v>
      </c>
      <c r="E6" s="77">
        <v>125</v>
      </c>
      <c r="F6" s="78">
        <v>8.8166562126317292</v>
      </c>
      <c r="G6" s="78">
        <v>8.8166562126317292</v>
      </c>
      <c r="H6" s="81">
        <v>9.3737657104664898</v>
      </c>
    </row>
    <row r="7" spans="1:8" x14ac:dyDescent="0.3">
      <c r="A7" s="74" t="str">
        <f t="shared" si="0"/>
        <v>甘肃46139</v>
      </c>
      <c r="B7" s="75" t="s">
        <v>11</v>
      </c>
      <c r="C7" s="45">
        <v>46139</v>
      </c>
      <c r="D7" s="76">
        <v>1179.86839552174</v>
      </c>
      <c r="E7" s="77">
        <v>125</v>
      </c>
      <c r="F7" s="78">
        <v>8.8166562126317292</v>
      </c>
      <c r="G7" s="78">
        <v>8.8166562126317292</v>
      </c>
      <c r="H7" s="81">
        <v>9.3737657104664898</v>
      </c>
    </row>
    <row r="8" spans="1:8" x14ac:dyDescent="0.3">
      <c r="A8" s="74" t="str">
        <f t="shared" si="0"/>
        <v>甘肃46140</v>
      </c>
      <c r="B8" s="75" t="s">
        <v>11</v>
      </c>
      <c r="C8" s="45">
        <v>46140</v>
      </c>
      <c r="D8" s="76">
        <v>1179.86839552174</v>
      </c>
      <c r="E8" s="77">
        <v>125</v>
      </c>
      <c r="F8" s="78">
        <v>8.8166562126317292</v>
      </c>
      <c r="G8" s="78">
        <v>8.8166562126317292</v>
      </c>
      <c r="H8" s="81">
        <v>9.3737657104664898</v>
      </c>
    </row>
    <row r="9" spans="1:8" x14ac:dyDescent="0.3">
      <c r="A9" s="74" t="str">
        <f t="shared" si="0"/>
        <v>甘肃46141</v>
      </c>
      <c r="B9" s="75" t="s">
        <v>11</v>
      </c>
      <c r="C9" s="45">
        <v>46141</v>
      </c>
      <c r="D9" s="76">
        <v>1179.86839552174</v>
      </c>
      <c r="E9" s="77">
        <v>125</v>
      </c>
      <c r="F9" s="78">
        <v>8.8166562126317292</v>
      </c>
      <c r="G9" s="78">
        <v>8.8166562126317292</v>
      </c>
      <c r="H9" s="81">
        <v>9.3737657104664898</v>
      </c>
    </row>
    <row r="10" spans="1:8" x14ac:dyDescent="0.3">
      <c r="A10" s="74" t="str">
        <f t="shared" si="0"/>
        <v>甘肃46142</v>
      </c>
      <c r="B10" s="75" t="s">
        <v>11</v>
      </c>
      <c r="C10" s="45">
        <v>46142</v>
      </c>
      <c r="D10" s="76">
        <v>1179.86839552174</v>
      </c>
      <c r="E10" s="77">
        <v>125</v>
      </c>
      <c r="F10" s="78">
        <v>8.8166562126317292</v>
      </c>
      <c r="G10" s="78">
        <v>8.8166562126317292</v>
      </c>
      <c r="H10" s="81">
        <v>9.3737657104664898</v>
      </c>
    </row>
    <row r="11" spans="1:8" x14ac:dyDescent="0.3">
      <c r="A11" s="74" t="str">
        <f t="shared" si="0"/>
        <v>甘肃46143</v>
      </c>
      <c r="B11" s="75" t="s">
        <v>11</v>
      </c>
      <c r="C11" s="45">
        <v>46143</v>
      </c>
      <c r="D11" s="76">
        <v>983.690772491183</v>
      </c>
      <c r="E11" s="77">
        <v>125</v>
      </c>
      <c r="F11" s="78">
        <v>10.2612466543832</v>
      </c>
      <c r="G11" s="78">
        <v>10.2612466543832</v>
      </c>
      <c r="H11" s="81">
        <v>9.5866404238218603</v>
      </c>
    </row>
    <row r="12" spans="1:8" x14ac:dyDescent="0.3">
      <c r="A12" s="74" t="str">
        <f t="shared" si="0"/>
        <v>甘肃46144</v>
      </c>
      <c r="B12" s="75" t="s">
        <v>11</v>
      </c>
      <c r="C12" s="45">
        <v>46144</v>
      </c>
      <c r="D12" s="76">
        <v>983.690772491183</v>
      </c>
      <c r="E12" s="77">
        <v>125</v>
      </c>
      <c r="F12" s="78">
        <v>10.2612466543832</v>
      </c>
      <c r="G12" s="78">
        <v>10.2612466543832</v>
      </c>
      <c r="H12" s="81">
        <v>9.5866404238218603</v>
      </c>
    </row>
    <row r="13" spans="1:8" x14ac:dyDescent="0.3">
      <c r="A13" s="74" t="str">
        <f t="shared" si="0"/>
        <v>甘肃46145</v>
      </c>
      <c r="B13" s="75" t="s">
        <v>11</v>
      </c>
      <c r="C13" s="45">
        <v>46145</v>
      </c>
      <c r="D13" s="76">
        <v>983.690772491183</v>
      </c>
      <c r="E13" s="77">
        <v>125</v>
      </c>
      <c r="F13" s="78">
        <v>10.2612466543832</v>
      </c>
      <c r="G13" s="78">
        <v>10.2612466543832</v>
      </c>
      <c r="H13" s="81">
        <v>9.5866404238218603</v>
      </c>
    </row>
    <row r="14" spans="1:8" x14ac:dyDescent="0.3">
      <c r="A14" s="74" t="str">
        <f t="shared" si="0"/>
        <v>甘肃46146</v>
      </c>
      <c r="B14" s="75" t="s">
        <v>11</v>
      </c>
      <c r="C14" s="45">
        <v>46146</v>
      </c>
      <c r="D14" s="76">
        <v>983.690772491183</v>
      </c>
      <c r="E14" s="77">
        <v>125</v>
      </c>
      <c r="F14" s="78">
        <v>10.2612466543832</v>
      </c>
      <c r="G14" s="78">
        <v>10.2612466543832</v>
      </c>
      <c r="H14" s="81">
        <v>9.5866404238218603</v>
      </c>
    </row>
    <row r="15" spans="1:8" x14ac:dyDescent="0.3">
      <c r="A15" s="74" t="str">
        <f t="shared" si="0"/>
        <v>甘肃46147</v>
      </c>
      <c r="B15" s="75" t="s">
        <v>11</v>
      </c>
      <c r="C15" s="45">
        <v>46147</v>
      </c>
      <c r="D15" s="76">
        <v>983.690772491183</v>
      </c>
      <c r="E15" s="77">
        <v>125</v>
      </c>
      <c r="F15" s="78">
        <v>10.2612466543832</v>
      </c>
      <c r="G15" s="78">
        <v>10.2612466543832</v>
      </c>
      <c r="H15" s="81">
        <v>9.5866404238218603</v>
      </c>
    </row>
    <row r="16" spans="1:8" x14ac:dyDescent="0.3">
      <c r="A16" s="74" t="str">
        <f t="shared" si="0"/>
        <v>甘肃46148</v>
      </c>
      <c r="B16" s="75" t="s">
        <v>11</v>
      </c>
      <c r="C16" s="45">
        <v>46148</v>
      </c>
      <c r="D16" s="76">
        <v>983.690772491183</v>
      </c>
      <c r="E16" s="77">
        <v>125</v>
      </c>
      <c r="F16" s="78">
        <v>10.2612466543832</v>
      </c>
      <c r="G16" s="78">
        <v>10.2612466543832</v>
      </c>
      <c r="H16" s="81">
        <v>9.5866404238218603</v>
      </c>
    </row>
    <row r="17" spans="1:8" x14ac:dyDescent="0.3">
      <c r="A17" s="74" t="str">
        <f t="shared" si="0"/>
        <v>甘肃46149</v>
      </c>
      <c r="B17" s="75" t="s">
        <v>11</v>
      </c>
      <c r="C17" s="45">
        <v>46149</v>
      </c>
      <c r="D17" s="76">
        <v>983.690772491183</v>
      </c>
      <c r="E17" s="77">
        <v>125</v>
      </c>
      <c r="F17" s="78">
        <v>10.2612466543832</v>
      </c>
      <c r="G17" s="78">
        <v>10.2612466543832</v>
      </c>
      <c r="H17" s="81">
        <v>9.5866404238218603</v>
      </c>
    </row>
    <row r="18" spans="1:8" x14ac:dyDescent="0.3">
      <c r="A18" s="74" t="str">
        <f t="shared" si="0"/>
        <v>甘肃46150</v>
      </c>
      <c r="B18" s="75" t="s">
        <v>11</v>
      </c>
      <c r="C18" s="45">
        <v>46150</v>
      </c>
      <c r="D18" s="76">
        <v>983.690772491183</v>
      </c>
      <c r="E18" s="77">
        <v>125</v>
      </c>
      <c r="F18" s="78">
        <v>10.2612466543832</v>
      </c>
      <c r="G18" s="78">
        <v>10.2612466543832</v>
      </c>
      <c r="H18" s="81">
        <v>9.5866404238218603</v>
      </c>
    </row>
    <row r="19" spans="1:8" x14ac:dyDescent="0.3">
      <c r="A19" s="74" t="str">
        <f t="shared" si="0"/>
        <v>甘肃46151</v>
      </c>
      <c r="B19" s="75" t="s">
        <v>11</v>
      </c>
      <c r="C19" s="45">
        <v>46151</v>
      </c>
      <c r="D19" s="76">
        <v>983.690772491183</v>
      </c>
      <c r="E19" s="77">
        <v>125</v>
      </c>
      <c r="F19" s="78">
        <v>10.2612466543832</v>
      </c>
      <c r="G19" s="78">
        <v>10.2612466543832</v>
      </c>
      <c r="H19" s="81">
        <v>9.5866404238218603</v>
      </c>
    </row>
    <row r="20" spans="1:8" x14ac:dyDescent="0.3">
      <c r="A20" s="74" t="str">
        <f t="shared" si="0"/>
        <v>甘肃46152</v>
      </c>
      <c r="B20" s="75" t="s">
        <v>11</v>
      </c>
      <c r="C20" s="45">
        <v>46152</v>
      </c>
      <c r="D20" s="76">
        <v>983.690772491183</v>
      </c>
      <c r="E20" s="77">
        <v>125</v>
      </c>
      <c r="F20" s="78">
        <v>10.2612466543832</v>
      </c>
      <c r="G20" s="78">
        <v>10.2612466543832</v>
      </c>
      <c r="H20" s="81">
        <v>9.5866404238218603</v>
      </c>
    </row>
    <row r="21" spans="1:8" x14ac:dyDescent="0.3">
      <c r="A21" s="74" t="str">
        <f t="shared" si="0"/>
        <v>甘肃46153</v>
      </c>
      <c r="B21" s="75" t="s">
        <v>11</v>
      </c>
      <c r="C21" s="45">
        <v>46153</v>
      </c>
      <c r="D21" s="76">
        <v>983.690772491183</v>
      </c>
      <c r="E21" s="77">
        <v>125</v>
      </c>
      <c r="F21" s="78">
        <v>10.2612466543832</v>
      </c>
      <c r="G21" s="78">
        <v>10.2612466543832</v>
      </c>
      <c r="H21" s="81">
        <v>9.5866404238218603</v>
      </c>
    </row>
    <row r="22" spans="1:8" x14ac:dyDescent="0.3">
      <c r="A22" s="74" t="str">
        <f t="shared" si="0"/>
        <v>甘肃46154</v>
      </c>
      <c r="B22" s="75" t="s">
        <v>11</v>
      </c>
      <c r="C22" s="45">
        <v>46154</v>
      </c>
      <c r="D22" s="76">
        <v>983.690772491183</v>
      </c>
      <c r="E22" s="77">
        <v>125</v>
      </c>
      <c r="F22" s="78">
        <v>10.2612466543832</v>
      </c>
      <c r="G22" s="78">
        <v>10.2612466543832</v>
      </c>
      <c r="H22" s="81">
        <v>9.5866404238218603</v>
      </c>
    </row>
    <row r="23" spans="1:8" x14ac:dyDescent="0.3">
      <c r="A23" s="74" t="str">
        <f t="shared" si="0"/>
        <v>甘肃46155</v>
      </c>
      <c r="B23" s="75" t="s">
        <v>11</v>
      </c>
      <c r="C23" s="45">
        <v>46155</v>
      </c>
      <c r="D23" s="76">
        <v>983.690772491183</v>
      </c>
      <c r="E23" s="77">
        <v>125</v>
      </c>
      <c r="F23" s="78">
        <v>10.2612466543832</v>
      </c>
      <c r="G23" s="78">
        <v>10.2612466543832</v>
      </c>
      <c r="H23" s="81">
        <v>9.5866404238218603</v>
      </c>
    </row>
    <row r="24" spans="1:8" x14ac:dyDescent="0.3">
      <c r="A24" s="74" t="str">
        <f t="shared" si="0"/>
        <v>甘肃46156</v>
      </c>
      <c r="B24" s="75" t="s">
        <v>11</v>
      </c>
      <c r="C24" s="45">
        <v>46156</v>
      </c>
      <c r="D24" s="76">
        <v>983.690772491183</v>
      </c>
      <c r="E24" s="77">
        <v>125</v>
      </c>
      <c r="F24" s="78">
        <v>10.2612466543832</v>
      </c>
      <c r="G24" s="78">
        <v>10.2612466543832</v>
      </c>
      <c r="H24" s="81">
        <v>9.5866404238218603</v>
      </c>
    </row>
    <row r="25" spans="1:8" x14ac:dyDescent="0.3">
      <c r="A25" s="74" t="str">
        <f t="shared" si="0"/>
        <v>甘肃46157</v>
      </c>
      <c r="B25" s="75" t="s">
        <v>11</v>
      </c>
      <c r="C25" s="45">
        <v>46157</v>
      </c>
      <c r="D25" s="76">
        <v>983.690772491183</v>
      </c>
      <c r="E25" s="77">
        <v>125</v>
      </c>
      <c r="F25" s="78">
        <v>10.2612466543832</v>
      </c>
      <c r="G25" s="78">
        <v>10.2612466543832</v>
      </c>
      <c r="H25" s="81">
        <v>9.5866404238218603</v>
      </c>
    </row>
    <row r="26" spans="1:8" x14ac:dyDescent="0.3">
      <c r="A26" s="74" t="str">
        <f t="shared" si="0"/>
        <v>甘肃46158</v>
      </c>
      <c r="B26" s="75" t="s">
        <v>11</v>
      </c>
      <c r="C26" s="45">
        <v>46158</v>
      </c>
      <c r="D26" s="76">
        <v>983.690772491183</v>
      </c>
      <c r="E26" s="77">
        <v>125</v>
      </c>
      <c r="F26" s="78">
        <v>10.2612466543832</v>
      </c>
      <c r="G26" s="78">
        <v>10.2612466543832</v>
      </c>
      <c r="H26" s="81">
        <v>9.5866404238218603</v>
      </c>
    </row>
    <row r="27" spans="1:8" x14ac:dyDescent="0.3">
      <c r="A27" s="74" t="str">
        <f t="shared" si="0"/>
        <v>甘肃46159</v>
      </c>
      <c r="B27" s="75" t="s">
        <v>11</v>
      </c>
      <c r="C27" s="45">
        <v>46159</v>
      </c>
      <c r="D27" s="76">
        <v>983.690772491183</v>
      </c>
      <c r="E27" s="77">
        <v>125</v>
      </c>
      <c r="F27" s="78">
        <v>10.2612466543832</v>
      </c>
      <c r="G27" s="78">
        <v>10.2612466543832</v>
      </c>
      <c r="H27" s="81">
        <v>9.5866404238218603</v>
      </c>
    </row>
    <row r="28" spans="1:8" x14ac:dyDescent="0.3">
      <c r="A28" s="74" t="str">
        <f t="shared" si="0"/>
        <v>甘肃46160</v>
      </c>
      <c r="B28" s="75" t="s">
        <v>11</v>
      </c>
      <c r="C28" s="45">
        <v>46160</v>
      </c>
      <c r="D28" s="76">
        <v>983.690772491183</v>
      </c>
      <c r="E28" s="77">
        <v>125</v>
      </c>
      <c r="F28" s="78">
        <v>10.2612466543832</v>
      </c>
      <c r="G28" s="78">
        <v>10.2612466543832</v>
      </c>
      <c r="H28" s="81">
        <v>9.5866404238218603</v>
      </c>
    </row>
    <row r="29" spans="1:8" x14ac:dyDescent="0.3">
      <c r="A29" s="74" t="str">
        <f t="shared" si="0"/>
        <v>甘肃46161</v>
      </c>
      <c r="B29" s="75" t="s">
        <v>11</v>
      </c>
      <c r="C29" s="45">
        <v>46161</v>
      </c>
      <c r="D29" s="76">
        <v>983.690772491183</v>
      </c>
      <c r="E29" s="77">
        <v>125</v>
      </c>
      <c r="F29" s="78">
        <v>10.2612466543832</v>
      </c>
      <c r="G29" s="78">
        <v>10.2612466543832</v>
      </c>
      <c r="H29" s="81">
        <v>9.5866404238218603</v>
      </c>
    </row>
    <row r="30" spans="1:8" x14ac:dyDescent="0.3">
      <c r="A30" s="74" t="str">
        <f t="shared" si="0"/>
        <v>甘肃46162</v>
      </c>
      <c r="B30" s="75" t="s">
        <v>11</v>
      </c>
      <c r="C30" s="45">
        <v>46162</v>
      </c>
      <c r="D30" s="76">
        <v>983.690772491183</v>
      </c>
      <c r="E30" s="77">
        <v>125</v>
      </c>
      <c r="F30" s="78">
        <v>10.2612466543832</v>
      </c>
      <c r="G30" s="78">
        <v>10.2612466543832</v>
      </c>
      <c r="H30" s="81">
        <v>9.5866404238218603</v>
      </c>
    </row>
    <row r="31" spans="1:8" x14ac:dyDescent="0.3">
      <c r="A31" s="74" t="str">
        <f t="shared" si="0"/>
        <v>甘肃46163</v>
      </c>
      <c r="B31" s="75" t="s">
        <v>11</v>
      </c>
      <c r="C31" s="45">
        <v>46163</v>
      </c>
      <c r="D31" s="76">
        <v>983.690772491183</v>
      </c>
      <c r="E31" s="77">
        <v>125</v>
      </c>
      <c r="F31" s="78">
        <v>10.2612466543832</v>
      </c>
      <c r="G31" s="78">
        <v>10.2612466543832</v>
      </c>
      <c r="H31" s="81">
        <v>9.5866404238218603</v>
      </c>
    </row>
    <row r="32" spans="1:8" x14ac:dyDescent="0.3">
      <c r="A32" s="74" t="str">
        <f t="shared" si="0"/>
        <v>甘肃46164</v>
      </c>
      <c r="B32" s="75" t="s">
        <v>11</v>
      </c>
      <c r="C32" s="45">
        <v>46164</v>
      </c>
      <c r="D32" s="76">
        <v>983.690772491183</v>
      </c>
      <c r="E32" s="77">
        <v>125</v>
      </c>
      <c r="F32" s="78">
        <v>10.2612466543832</v>
      </c>
      <c r="G32" s="78">
        <v>10.2612466543832</v>
      </c>
      <c r="H32" s="81">
        <v>9.5866404238218603</v>
      </c>
    </row>
    <row r="33" spans="1:8" x14ac:dyDescent="0.3">
      <c r="A33" s="74" t="str">
        <f t="shared" si="0"/>
        <v>甘肃46165</v>
      </c>
      <c r="B33" s="75" t="s">
        <v>11</v>
      </c>
      <c r="C33" s="45">
        <v>46165</v>
      </c>
      <c r="D33" s="76">
        <v>983.690772491183</v>
      </c>
      <c r="E33" s="77">
        <v>125</v>
      </c>
      <c r="F33" s="78">
        <v>10.2612466543832</v>
      </c>
      <c r="G33" s="78">
        <v>10.2612466543832</v>
      </c>
      <c r="H33" s="81">
        <v>9.5866404238218603</v>
      </c>
    </row>
    <row r="34" spans="1:8" x14ac:dyDescent="0.3">
      <c r="A34" s="74" t="str">
        <f t="shared" si="0"/>
        <v>甘肃46166</v>
      </c>
      <c r="B34" s="75" t="s">
        <v>11</v>
      </c>
      <c r="C34" s="45">
        <v>46166</v>
      </c>
      <c r="D34" s="76">
        <v>983.690772491183</v>
      </c>
      <c r="E34" s="77">
        <v>125</v>
      </c>
      <c r="F34" s="78">
        <v>10.2612466543832</v>
      </c>
      <c r="G34" s="78">
        <v>10.2612466543832</v>
      </c>
      <c r="H34" s="81">
        <v>9.5866404238218603</v>
      </c>
    </row>
    <row r="35" spans="1:8" x14ac:dyDescent="0.3">
      <c r="A35" s="74" t="str">
        <f t="shared" si="0"/>
        <v>甘肃46167</v>
      </c>
      <c r="B35" s="75" t="s">
        <v>11</v>
      </c>
      <c r="C35" s="45">
        <v>46167</v>
      </c>
      <c r="D35" s="76">
        <v>983.690772491183</v>
      </c>
      <c r="E35" s="77">
        <v>125</v>
      </c>
      <c r="F35" s="78">
        <v>10.2612466543832</v>
      </c>
      <c r="G35" s="78">
        <v>10.2612466543832</v>
      </c>
      <c r="H35" s="81">
        <v>9.5866404238218603</v>
      </c>
    </row>
    <row r="36" spans="1:8" x14ac:dyDescent="0.3">
      <c r="A36" s="74" t="str">
        <f t="shared" si="0"/>
        <v>甘肃46168</v>
      </c>
      <c r="B36" s="75" t="s">
        <v>11</v>
      </c>
      <c r="C36" s="45">
        <v>46168</v>
      </c>
      <c r="D36" s="76">
        <v>983.690772491183</v>
      </c>
      <c r="E36" s="77">
        <v>125</v>
      </c>
      <c r="F36" s="78">
        <v>10.2612466543832</v>
      </c>
      <c r="G36" s="78">
        <v>10.2612466543832</v>
      </c>
      <c r="H36" s="81">
        <v>9.5866404238218603</v>
      </c>
    </row>
    <row r="37" spans="1:8" x14ac:dyDescent="0.3">
      <c r="A37" s="74" t="str">
        <f t="shared" si="0"/>
        <v>甘肃46169</v>
      </c>
      <c r="B37" s="75" t="s">
        <v>11</v>
      </c>
      <c r="C37" s="45">
        <v>46169</v>
      </c>
      <c r="D37" s="76">
        <v>983.690772491183</v>
      </c>
      <c r="E37" s="77">
        <v>125</v>
      </c>
      <c r="F37" s="78">
        <v>10.2612466543832</v>
      </c>
      <c r="G37" s="78">
        <v>10.2612466543832</v>
      </c>
      <c r="H37" s="81">
        <v>9.5866404238218603</v>
      </c>
    </row>
    <row r="38" spans="1:8" x14ac:dyDescent="0.3">
      <c r="A38" s="74" t="str">
        <f t="shared" si="0"/>
        <v>甘肃46170</v>
      </c>
      <c r="B38" s="75" t="s">
        <v>11</v>
      </c>
      <c r="C38" s="45">
        <v>46170</v>
      </c>
      <c r="D38" s="76">
        <v>983.690772491183</v>
      </c>
      <c r="E38" s="77">
        <v>125</v>
      </c>
      <c r="F38" s="78">
        <v>10.2612466543832</v>
      </c>
      <c r="G38" s="78">
        <v>10.2612466543832</v>
      </c>
      <c r="H38" s="81">
        <v>9.5866404238218603</v>
      </c>
    </row>
    <row r="39" spans="1:8" x14ac:dyDescent="0.3">
      <c r="A39" s="74" t="str">
        <f t="shared" si="0"/>
        <v>甘肃46171</v>
      </c>
      <c r="B39" s="75" t="s">
        <v>11</v>
      </c>
      <c r="C39" s="45">
        <v>46171</v>
      </c>
      <c r="D39" s="76">
        <v>983.690772491183</v>
      </c>
      <c r="E39" s="77">
        <v>125</v>
      </c>
      <c r="F39" s="78">
        <v>10.2612466543832</v>
      </c>
      <c r="G39" s="78">
        <v>10.2612466543832</v>
      </c>
      <c r="H39" s="81">
        <v>9.5866404238218603</v>
      </c>
    </row>
    <row r="40" spans="1:8" x14ac:dyDescent="0.3">
      <c r="A40" s="74" t="str">
        <f t="shared" si="0"/>
        <v>甘肃46172</v>
      </c>
      <c r="B40" s="75" t="s">
        <v>11</v>
      </c>
      <c r="C40" s="45">
        <v>46172</v>
      </c>
      <c r="D40" s="76">
        <v>983.690772491183</v>
      </c>
      <c r="E40" s="77">
        <v>125</v>
      </c>
      <c r="F40" s="78">
        <v>10.2612466543832</v>
      </c>
      <c r="G40" s="78">
        <v>10.2612466543832</v>
      </c>
      <c r="H40" s="81">
        <v>9.5866404238218603</v>
      </c>
    </row>
    <row r="41" spans="1:8" x14ac:dyDescent="0.3">
      <c r="A41" s="74" t="str">
        <f t="shared" si="0"/>
        <v>甘肃46173</v>
      </c>
      <c r="B41" s="75" t="s">
        <v>11</v>
      </c>
      <c r="C41" s="45">
        <v>46173</v>
      </c>
      <c r="D41" s="76">
        <v>983.690772491183</v>
      </c>
      <c r="E41" s="77">
        <v>125</v>
      </c>
      <c r="F41" s="78">
        <v>10.2612466543832</v>
      </c>
      <c r="G41" s="78">
        <v>10.2612466543832</v>
      </c>
      <c r="H41" s="81">
        <v>9.5866404238218603</v>
      </c>
    </row>
    <row r="42" spans="1:8" x14ac:dyDescent="0.3">
      <c r="A42" s="74" t="str">
        <f t="shared" si="0"/>
        <v>甘肃46174</v>
      </c>
      <c r="B42" s="75" t="s">
        <v>11</v>
      </c>
      <c r="C42" s="45">
        <v>46174</v>
      </c>
      <c r="D42" s="76">
        <v>813.47691472545</v>
      </c>
      <c r="E42" s="77">
        <v>125</v>
      </c>
      <c r="F42" s="78">
        <v>11.260557592322501</v>
      </c>
      <c r="G42" s="78">
        <v>11.260557592322501</v>
      </c>
      <c r="H42" s="81">
        <v>10.4349722874133</v>
      </c>
    </row>
    <row r="43" spans="1:8" x14ac:dyDescent="0.3">
      <c r="A43" s="74" t="str">
        <f t="shared" si="0"/>
        <v>甘肃46175</v>
      </c>
      <c r="B43" s="75" t="s">
        <v>11</v>
      </c>
      <c r="C43" s="45">
        <v>46175</v>
      </c>
      <c r="D43" s="76">
        <v>813.47691472545</v>
      </c>
      <c r="E43" s="77">
        <v>125</v>
      </c>
      <c r="F43" s="78">
        <v>11.260557592322501</v>
      </c>
      <c r="G43" s="78">
        <v>11.260557592322501</v>
      </c>
      <c r="H43" s="81">
        <v>10.4349722874133</v>
      </c>
    </row>
    <row r="44" spans="1:8" x14ac:dyDescent="0.3">
      <c r="A44" s="74" t="str">
        <f t="shared" si="0"/>
        <v>甘肃46176</v>
      </c>
      <c r="B44" s="75" t="s">
        <v>11</v>
      </c>
      <c r="C44" s="45">
        <v>46176</v>
      </c>
      <c r="D44" s="76">
        <v>813.47691472545</v>
      </c>
      <c r="E44" s="77">
        <v>125</v>
      </c>
      <c r="F44" s="78">
        <v>11.260557592322501</v>
      </c>
      <c r="G44" s="78">
        <v>11.260557592322501</v>
      </c>
      <c r="H44" s="81">
        <v>10.4349722874133</v>
      </c>
    </row>
    <row r="45" spans="1:8" x14ac:dyDescent="0.3">
      <c r="A45" s="74" t="str">
        <f t="shared" si="0"/>
        <v>甘肃46177</v>
      </c>
      <c r="B45" s="75" t="s">
        <v>11</v>
      </c>
      <c r="C45" s="45">
        <v>46177</v>
      </c>
      <c r="D45" s="76">
        <v>813.47691472545</v>
      </c>
      <c r="E45" s="77">
        <v>125</v>
      </c>
      <c r="F45" s="78">
        <v>11.260557592322501</v>
      </c>
      <c r="G45" s="78">
        <v>11.260557592322501</v>
      </c>
      <c r="H45" s="81">
        <v>10.4349722874133</v>
      </c>
    </row>
    <row r="46" spans="1:8" x14ac:dyDescent="0.3">
      <c r="A46" s="74" t="str">
        <f t="shared" si="0"/>
        <v>甘肃46178</v>
      </c>
      <c r="B46" s="75" t="s">
        <v>11</v>
      </c>
      <c r="C46" s="45">
        <v>46178</v>
      </c>
      <c r="D46" s="76">
        <v>813.47691472545</v>
      </c>
      <c r="E46" s="77">
        <v>125</v>
      </c>
      <c r="F46" s="78">
        <v>11.260557592322501</v>
      </c>
      <c r="G46" s="78">
        <v>11.260557592322501</v>
      </c>
      <c r="H46" s="81">
        <v>10.4349722874133</v>
      </c>
    </row>
    <row r="47" spans="1:8" x14ac:dyDescent="0.3">
      <c r="A47" s="74" t="str">
        <f t="shared" si="0"/>
        <v>甘肃46179</v>
      </c>
      <c r="B47" s="75" t="s">
        <v>11</v>
      </c>
      <c r="C47" s="45">
        <v>46179</v>
      </c>
      <c r="D47" s="76">
        <v>813.47691472545</v>
      </c>
      <c r="E47" s="77">
        <v>125</v>
      </c>
      <c r="F47" s="78">
        <v>11.260557592322501</v>
      </c>
      <c r="G47" s="78">
        <v>11.260557592322501</v>
      </c>
      <c r="H47" s="81">
        <v>10.4349722874133</v>
      </c>
    </row>
    <row r="48" spans="1:8" x14ac:dyDescent="0.3">
      <c r="A48" s="74" t="str">
        <f t="shared" si="0"/>
        <v>甘肃46180</v>
      </c>
      <c r="B48" s="75" t="s">
        <v>11</v>
      </c>
      <c r="C48" s="45">
        <v>46180</v>
      </c>
      <c r="D48" s="76">
        <v>813.47691472545</v>
      </c>
      <c r="E48" s="77">
        <v>125</v>
      </c>
      <c r="F48" s="78">
        <v>11.260557592322501</v>
      </c>
      <c r="G48" s="78">
        <v>11.260557592322501</v>
      </c>
      <c r="H48" s="81">
        <v>10.4349722874133</v>
      </c>
    </row>
    <row r="49" spans="1:8" x14ac:dyDescent="0.3">
      <c r="A49" s="74" t="str">
        <f t="shared" si="0"/>
        <v>甘肃46181</v>
      </c>
      <c r="B49" s="75" t="s">
        <v>11</v>
      </c>
      <c r="C49" s="45">
        <v>46181</v>
      </c>
      <c r="D49" s="76">
        <v>813.47691472545</v>
      </c>
      <c r="E49" s="77">
        <v>125</v>
      </c>
      <c r="F49" s="78">
        <v>11.260557592322501</v>
      </c>
      <c r="G49" s="78">
        <v>11.260557592322501</v>
      </c>
      <c r="H49" s="81">
        <v>10.4349722874133</v>
      </c>
    </row>
    <row r="50" spans="1:8" x14ac:dyDescent="0.3">
      <c r="A50" s="74" t="str">
        <f t="shared" si="0"/>
        <v>甘肃46182</v>
      </c>
      <c r="B50" s="75" t="s">
        <v>11</v>
      </c>
      <c r="C50" s="45">
        <v>46182</v>
      </c>
      <c r="D50" s="76">
        <v>813.47691472545</v>
      </c>
      <c r="E50" s="77">
        <v>125</v>
      </c>
      <c r="F50" s="78">
        <v>11.260557592322501</v>
      </c>
      <c r="G50" s="78">
        <v>11.260557592322501</v>
      </c>
      <c r="H50" s="81">
        <v>10.4349722874133</v>
      </c>
    </row>
    <row r="51" spans="1:8" x14ac:dyDescent="0.3">
      <c r="A51" s="74" t="str">
        <f t="shared" si="0"/>
        <v>甘肃46183</v>
      </c>
      <c r="B51" s="75" t="s">
        <v>11</v>
      </c>
      <c r="C51" s="45">
        <v>46183</v>
      </c>
      <c r="D51" s="76">
        <v>813.47691472545</v>
      </c>
      <c r="E51" s="77">
        <v>125</v>
      </c>
      <c r="F51" s="78">
        <v>11.260557592322501</v>
      </c>
      <c r="G51" s="78">
        <v>11.260557592322501</v>
      </c>
      <c r="H51" s="81">
        <v>10.4349722874133</v>
      </c>
    </row>
    <row r="52" spans="1:8" x14ac:dyDescent="0.3">
      <c r="A52" s="74" t="str">
        <f t="shared" si="0"/>
        <v>甘肃46184</v>
      </c>
      <c r="B52" s="75" t="s">
        <v>11</v>
      </c>
      <c r="C52" s="45">
        <v>46184</v>
      </c>
      <c r="D52" s="76">
        <v>813.47691472545</v>
      </c>
      <c r="E52" s="77">
        <v>125</v>
      </c>
      <c r="F52" s="78">
        <v>11.260557592322501</v>
      </c>
      <c r="G52" s="78">
        <v>11.260557592322501</v>
      </c>
      <c r="H52" s="81">
        <v>10.4349722874133</v>
      </c>
    </row>
    <row r="53" spans="1:8" x14ac:dyDescent="0.3">
      <c r="A53" s="74" t="str">
        <f t="shared" si="0"/>
        <v>甘肃46185</v>
      </c>
      <c r="B53" s="75" t="s">
        <v>11</v>
      </c>
      <c r="C53" s="45">
        <v>46185</v>
      </c>
      <c r="D53" s="76">
        <v>813.47691472545</v>
      </c>
      <c r="E53" s="77">
        <v>125</v>
      </c>
      <c r="F53" s="78">
        <v>11.260557592322501</v>
      </c>
      <c r="G53" s="78">
        <v>11.260557592322501</v>
      </c>
      <c r="H53" s="81">
        <v>10.4349722874133</v>
      </c>
    </row>
    <row r="54" spans="1:8" x14ac:dyDescent="0.3">
      <c r="A54" s="74" t="str">
        <f t="shared" si="0"/>
        <v>甘肃46186</v>
      </c>
      <c r="B54" s="75" t="s">
        <v>11</v>
      </c>
      <c r="C54" s="45">
        <v>46186</v>
      </c>
      <c r="D54" s="76">
        <v>813.47691472545</v>
      </c>
      <c r="E54" s="77">
        <v>125</v>
      </c>
      <c r="F54" s="78">
        <v>11.260557592322501</v>
      </c>
      <c r="G54" s="78">
        <v>11.260557592322501</v>
      </c>
      <c r="H54" s="81">
        <v>10.4349722874133</v>
      </c>
    </row>
    <row r="55" spans="1:8" x14ac:dyDescent="0.3">
      <c r="A55" s="74" t="str">
        <f t="shared" si="0"/>
        <v>甘肃46187</v>
      </c>
      <c r="B55" s="75" t="s">
        <v>11</v>
      </c>
      <c r="C55" s="45">
        <v>46187</v>
      </c>
      <c r="D55" s="76">
        <v>813.47691472545</v>
      </c>
      <c r="E55" s="77">
        <v>125</v>
      </c>
      <c r="F55" s="78">
        <v>11.260557592322501</v>
      </c>
      <c r="G55" s="78">
        <v>11.260557592322501</v>
      </c>
      <c r="H55" s="81">
        <v>10.4349722874133</v>
      </c>
    </row>
    <row r="56" spans="1:8" x14ac:dyDescent="0.3">
      <c r="A56" s="74" t="str">
        <f t="shared" si="0"/>
        <v>甘肃46188</v>
      </c>
      <c r="B56" s="75" t="s">
        <v>11</v>
      </c>
      <c r="C56" s="45">
        <v>46188</v>
      </c>
      <c r="D56" s="76">
        <v>813.47691472545</v>
      </c>
      <c r="E56" s="77">
        <v>125</v>
      </c>
      <c r="F56" s="78">
        <v>11.260557592322501</v>
      </c>
      <c r="G56" s="78">
        <v>11.260557592322501</v>
      </c>
      <c r="H56" s="81">
        <v>10.4349722874133</v>
      </c>
    </row>
    <row r="57" spans="1:8" x14ac:dyDescent="0.3">
      <c r="A57" s="74" t="str">
        <f t="shared" si="0"/>
        <v>甘肃46189</v>
      </c>
      <c r="B57" s="75" t="s">
        <v>11</v>
      </c>
      <c r="C57" s="45">
        <v>46189</v>
      </c>
      <c r="D57" s="76">
        <v>813.47691472545</v>
      </c>
      <c r="E57" s="77">
        <v>125</v>
      </c>
      <c r="F57" s="78">
        <v>11.260557592322501</v>
      </c>
      <c r="G57" s="78">
        <v>11.260557592322501</v>
      </c>
      <c r="H57" s="81">
        <v>10.4349722874133</v>
      </c>
    </row>
    <row r="58" spans="1:8" x14ac:dyDescent="0.3">
      <c r="A58" s="74" t="str">
        <f t="shared" si="0"/>
        <v>甘肃46190</v>
      </c>
      <c r="B58" s="75" t="s">
        <v>11</v>
      </c>
      <c r="C58" s="45">
        <v>46190</v>
      </c>
      <c r="D58" s="76">
        <v>813.47691472545</v>
      </c>
      <c r="E58" s="77">
        <v>125</v>
      </c>
      <c r="F58" s="78">
        <v>11.260557592322501</v>
      </c>
      <c r="G58" s="78">
        <v>11.260557592322501</v>
      </c>
      <c r="H58" s="81">
        <v>10.4349722874133</v>
      </c>
    </row>
    <row r="59" spans="1:8" x14ac:dyDescent="0.3">
      <c r="A59" s="74" t="str">
        <f t="shared" si="0"/>
        <v>甘肃46191</v>
      </c>
      <c r="B59" s="75" t="s">
        <v>11</v>
      </c>
      <c r="C59" s="45">
        <v>46191</v>
      </c>
      <c r="D59" s="76">
        <v>813.47691472545</v>
      </c>
      <c r="E59" s="77">
        <v>125</v>
      </c>
      <c r="F59" s="78">
        <v>11.260557592322501</v>
      </c>
      <c r="G59" s="78">
        <v>11.260557592322501</v>
      </c>
      <c r="H59" s="81">
        <v>10.4349722874133</v>
      </c>
    </row>
    <row r="60" spans="1:8" x14ac:dyDescent="0.3">
      <c r="A60" s="74" t="str">
        <f t="shared" si="0"/>
        <v>甘肃46192</v>
      </c>
      <c r="B60" s="75" t="s">
        <v>11</v>
      </c>
      <c r="C60" s="45">
        <v>46192</v>
      </c>
      <c r="D60" s="76">
        <v>813.47691472545</v>
      </c>
      <c r="E60" s="77">
        <v>125</v>
      </c>
      <c r="F60" s="78">
        <v>11.260557592322501</v>
      </c>
      <c r="G60" s="78">
        <v>11.260557592322501</v>
      </c>
      <c r="H60" s="81">
        <v>10.4349722874133</v>
      </c>
    </row>
    <row r="61" spans="1:8" x14ac:dyDescent="0.3">
      <c r="A61" s="74" t="str">
        <f t="shared" si="0"/>
        <v>甘肃46193</v>
      </c>
      <c r="B61" s="75" t="s">
        <v>11</v>
      </c>
      <c r="C61" s="45">
        <v>46193</v>
      </c>
      <c r="D61" s="76">
        <v>813.47691472545</v>
      </c>
      <c r="E61" s="77">
        <v>125</v>
      </c>
      <c r="F61" s="78">
        <v>11.260557592322501</v>
      </c>
      <c r="G61" s="78">
        <v>11.260557592322501</v>
      </c>
      <c r="H61" s="81">
        <v>10.4349722874133</v>
      </c>
    </row>
    <row r="62" spans="1:8" x14ac:dyDescent="0.3">
      <c r="A62" s="74" t="str">
        <f t="shared" si="0"/>
        <v>甘肃46194</v>
      </c>
      <c r="B62" s="75" t="s">
        <v>11</v>
      </c>
      <c r="C62" s="45">
        <v>46194</v>
      </c>
      <c r="D62" s="76">
        <v>813.47691472545</v>
      </c>
      <c r="E62" s="77">
        <v>125</v>
      </c>
      <c r="F62" s="78">
        <v>11.260557592322501</v>
      </c>
      <c r="G62" s="78">
        <v>11.260557592322501</v>
      </c>
      <c r="H62" s="81">
        <v>10.4349722874133</v>
      </c>
    </row>
    <row r="63" spans="1:8" x14ac:dyDescent="0.3">
      <c r="A63" s="74" t="str">
        <f t="shared" si="0"/>
        <v>甘肃46195</v>
      </c>
      <c r="B63" s="75" t="s">
        <v>11</v>
      </c>
      <c r="C63" s="45">
        <v>46195</v>
      </c>
      <c r="D63" s="76">
        <v>813.47691472545</v>
      </c>
      <c r="E63" s="77">
        <v>125</v>
      </c>
      <c r="F63" s="78">
        <v>11.260557592322501</v>
      </c>
      <c r="G63" s="78">
        <v>11.260557592322501</v>
      </c>
      <c r="H63" s="81">
        <v>10.4349722874133</v>
      </c>
    </row>
    <row r="64" spans="1:8" x14ac:dyDescent="0.3">
      <c r="A64" s="74" t="str">
        <f t="shared" si="0"/>
        <v>甘肃46196</v>
      </c>
      <c r="B64" s="75" t="s">
        <v>11</v>
      </c>
      <c r="C64" s="45">
        <v>46196</v>
      </c>
      <c r="D64" s="76">
        <v>813.47691472545</v>
      </c>
      <c r="E64" s="77">
        <v>125</v>
      </c>
      <c r="F64" s="78">
        <v>11.260557592322501</v>
      </c>
      <c r="G64" s="78">
        <v>11.260557592322501</v>
      </c>
      <c r="H64" s="81">
        <v>10.4349722874133</v>
      </c>
    </row>
    <row r="65" spans="1:8" x14ac:dyDescent="0.3">
      <c r="A65" s="74" t="str">
        <f t="shared" si="0"/>
        <v>甘肃46197</v>
      </c>
      <c r="B65" s="75" t="s">
        <v>11</v>
      </c>
      <c r="C65" s="45">
        <v>46197</v>
      </c>
      <c r="D65" s="76">
        <v>813.47691472545</v>
      </c>
      <c r="E65" s="77">
        <v>125</v>
      </c>
      <c r="F65" s="78">
        <v>11.260557592322501</v>
      </c>
      <c r="G65" s="78">
        <v>11.260557592322501</v>
      </c>
      <c r="H65" s="81">
        <v>10.4349722874133</v>
      </c>
    </row>
    <row r="66" spans="1:8" x14ac:dyDescent="0.3">
      <c r="A66" s="74" t="str">
        <f t="shared" si="0"/>
        <v>甘肃46198</v>
      </c>
      <c r="B66" s="75" t="s">
        <v>11</v>
      </c>
      <c r="C66" s="45">
        <v>46198</v>
      </c>
      <c r="D66" s="76">
        <v>813.47691472545</v>
      </c>
      <c r="E66" s="77">
        <v>125</v>
      </c>
      <c r="F66" s="78">
        <v>11.260557592322501</v>
      </c>
      <c r="G66" s="78">
        <v>11.260557592322501</v>
      </c>
      <c r="H66" s="81">
        <v>10.4349722874133</v>
      </c>
    </row>
    <row r="67" spans="1:8" x14ac:dyDescent="0.3">
      <c r="A67" s="74" t="str">
        <f t="shared" ref="A67:A130" si="1">B67&amp;C67</f>
        <v>甘肃46199</v>
      </c>
      <c r="B67" s="75" t="s">
        <v>11</v>
      </c>
      <c r="C67" s="45">
        <v>46199</v>
      </c>
      <c r="D67" s="76">
        <v>813.47691472545</v>
      </c>
      <c r="E67" s="77">
        <v>125</v>
      </c>
      <c r="F67" s="78">
        <v>11.260557592322501</v>
      </c>
      <c r="G67" s="78">
        <v>11.260557592322501</v>
      </c>
      <c r="H67" s="81">
        <v>10.4349722874133</v>
      </c>
    </row>
    <row r="68" spans="1:8" x14ac:dyDescent="0.3">
      <c r="A68" s="74" t="str">
        <f t="shared" si="1"/>
        <v>甘肃46200</v>
      </c>
      <c r="B68" s="75" t="s">
        <v>11</v>
      </c>
      <c r="C68" s="45">
        <v>46200</v>
      </c>
      <c r="D68" s="76">
        <v>813.47691472545</v>
      </c>
      <c r="E68" s="77">
        <v>125</v>
      </c>
      <c r="F68" s="78">
        <v>11.260557592322501</v>
      </c>
      <c r="G68" s="78">
        <v>11.260557592322501</v>
      </c>
      <c r="H68" s="81">
        <v>10.4349722874133</v>
      </c>
    </row>
    <row r="69" spans="1:8" x14ac:dyDescent="0.3">
      <c r="A69" s="74" t="str">
        <f t="shared" si="1"/>
        <v>甘肃46201</v>
      </c>
      <c r="B69" s="75" t="s">
        <v>11</v>
      </c>
      <c r="C69" s="45">
        <v>46201</v>
      </c>
      <c r="D69" s="76">
        <v>813.47691472545</v>
      </c>
      <c r="E69" s="77">
        <v>125</v>
      </c>
      <c r="F69" s="78">
        <v>11.260557592322501</v>
      </c>
      <c r="G69" s="78">
        <v>11.260557592322501</v>
      </c>
      <c r="H69" s="81">
        <v>10.4349722874133</v>
      </c>
    </row>
    <row r="70" spans="1:8" x14ac:dyDescent="0.3">
      <c r="A70" s="74" t="str">
        <f t="shared" si="1"/>
        <v>甘肃46202</v>
      </c>
      <c r="B70" s="75" t="s">
        <v>11</v>
      </c>
      <c r="C70" s="45">
        <v>46202</v>
      </c>
      <c r="D70" s="76">
        <v>813.47691472545</v>
      </c>
      <c r="E70" s="77">
        <v>125</v>
      </c>
      <c r="F70" s="78">
        <v>11.260557592322501</v>
      </c>
      <c r="G70" s="78">
        <v>11.260557592322501</v>
      </c>
      <c r="H70" s="81">
        <v>10.4349722874133</v>
      </c>
    </row>
    <row r="71" spans="1:8" x14ac:dyDescent="0.3">
      <c r="A71" s="74" t="str">
        <f t="shared" si="1"/>
        <v>甘肃46203</v>
      </c>
      <c r="B71" s="75" t="s">
        <v>11</v>
      </c>
      <c r="C71" s="45">
        <v>46203</v>
      </c>
      <c r="D71" s="76">
        <v>813.47691472545</v>
      </c>
      <c r="E71" s="77">
        <v>125</v>
      </c>
      <c r="F71" s="78">
        <v>11.260557592322501</v>
      </c>
      <c r="G71" s="78">
        <v>11.260557592322501</v>
      </c>
      <c r="H71" s="81">
        <v>10.4349722874133</v>
      </c>
    </row>
    <row r="72" spans="1:8" x14ac:dyDescent="0.3">
      <c r="A72" s="74" t="str">
        <f t="shared" si="1"/>
        <v>甘肃46204</v>
      </c>
      <c r="B72" s="75" t="s">
        <v>11</v>
      </c>
      <c r="C72" s="45">
        <v>46204</v>
      </c>
      <c r="D72" s="76">
        <v>1196.9643591505401</v>
      </c>
      <c r="E72" s="77">
        <v>125</v>
      </c>
      <c r="F72" s="78">
        <v>11.732411951792701</v>
      </c>
      <c r="G72" s="78">
        <v>11.732411951792701</v>
      </c>
      <c r="H72" s="81">
        <v>11.2833041510047</v>
      </c>
    </row>
    <row r="73" spans="1:8" x14ac:dyDescent="0.3">
      <c r="A73" s="74" t="str">
        <f t="shared" si="1"/>
        <v>甘肃46205</v>
      </c>
      <c r="B73" s="75" t="s">
        <v>11</v>
      </c>
      <c r="C73" s="45">
        <v>46205</v>
      </c>
      <c r="D73" s="76">
        <v>1196.9643591505401</v>
      </c>
      <c r="E73" s="77">
        <v>125</v>
      </c>
      <c r="F73" s="78">
        <v>11.732411951792701</v>
      </c>
      <c r="G73" s="78">
        <v>11.732411951792701</v>
      </c>
      <c r="H73" s="81">
        <v>11.2833041510047</v>
      </c>
    </row>
    <row r="74" spans="1:8" x14ac:dyDescent="0.3">
      <c r="A74" s="74" t="str">
        <f t="shared" si="1"/>
        <v>甘肃46206</v>
      </c>
      <c r="B74" s="75" t="s">
        <v>11</v>
      </c>
      <c r="C74" s="45">
        <v>46206</v>
      </c>
      <c r="D74" s="76">
        <v>1196.9643591505401</v>
      </c>
      <c r="E74" s="77">
        <v>125</v>
      </c>
      <c r="F74" s="78">
        <v>11.732411951792701</v>
      </c>
      <c r="G74" s="78">
        <v>11.732411951792701</v>
      </c>
      <c r="H74" s="81">
        <v>11.2833041510047</v>
      </c>
    </row>
    <row r="75" spans="1:8" x14ac:dyDescent="0.3">
      <c r="A75" s="74" t="str">
        <f t="shared" si="1"/>
        <v>甘肃46207</v>
      </c>
      <c r="B75" s="75" t="s">
        <v>11</v>
      </c>
      <c r="C75" s="45">
        <v>46207</v>
      </c>
      <c r="D75" s="76">
        <v>1196.9643591505401</v>
      </c>
      <c r="E75" s="77">
        <v>125</v>
      </c>
      <c r="F75" s="78">
        <v>11.732411951792701</v>
      </c>
      <c r="G75" s="78">
        <v>11.732411951792701</v>
      </c>
      <c r="H75" s="81">
        <v>11.2833041510047</v>
      </c>
    </row>
    <row r="76" spans="1:8" x14ac:dyDescent="0.3">
      <c r="A76" s="74" t="str">
        <f t="shared" si="1"/>
        <v>甘肃46208</v>
      </c>
      <c r="B76" s="75" t="s">
        <v>11</v>
      </c>
      <c r="C76" s="45">
        <v>46208</v>
      </c>
      <c r="D76" s="76">
        <v>1196.9643591505401</v>
      </c>
      <c r="E76" s="77">
        <v>125</v>
      </c>
      <c r="F76" s="78">
        <v>11.732411951792701</v>
      </c>
      <c r="G76" s="78">
        <v>11.732411951792701</v>
      </c>
      <c r="H76" s="81">
        <v>11.2833041510047</v>
      </c>
    </row>
    <row r="77" spans="1:8" x14ac:dyDescent="0.3">
      <c r="A77" s="74" t="str">
        <f t="shared" si="1"/>
        <v>甘肃46209</v>
      </c>
      <c r="B77" s="75" t="s">
        <v>11</v>
      </c>
      <c r="C77" s="45">
        <v>46209</v>
      </c>
      <c r="D77" s="76">
        <v>1196.9643591505401</v>
      </c>
      <c r="E77" s="77">
        <v>125</v>
      </c>
      <c r="F77" s="78">
        <v>11.732411951792701</v>
      </c>
      <c r="G77" s="78">
        <v>11.732411951792701</v>
      </c>
      <c r="H77" s="81">
        <v>11.2833041510047</v>
      </c>
    </row>
    <row r="78" spans="1:8" x14ac:dyDescent="0.3">
      <c r="A78" s="74" t="str">
        <f t="shared" si="1"/>
        <v>甘肃46210</v>
      </c>
      <c r="B78" s="75" t="s">
        <v>11</v>
      </c>
      <c r="C78" s="45">
        <v>46210</v>
      </c>
      <c r="D78" s="76">
        <v>1196.9643591505401</v>
      </c>
      <c r="E78" s="77">
        <v>125</v>
      </c>
      <c r="F78" s="78">
        <v>11.732411951792701</v>
      </c>
      <c r="G78" s="78">
        <v>11.732411951792701</v>
      </c>
      <c r="H78" s="81">
        <v>11.2833041510047</v>
      </c>
    </row>
    <row r="79" spans="1:8" x14ac:dyDescent="0.3">
      <c r="A79" s="74" t="str">
        <f t="shared" si="1"/>
        <v>甘肃46211</v>
      </c>
      <c r="B79" s="75" t="s">
        <v>11</v>
      </c>
      <c r="C79" s="45">
        <v>46211</v>
      </c>
      <c r="D79" s="76">
        <v>1196.9643591505401</v>
      </c>
      <c r="E79" s="77">
        <v>125</v>
      </c>
      <c r="F79" s="78">
        <v>11.732411951792701</v>
      </c>
      <c r="G79" s="78">
        <v>11.732411951792701</v>
      </c>
      <c r="H79" s="81">
        <v>11.2833041510047</v>
      </c>
    </row>
    <row r="80" spans="1:8" x14ac:dyDescent="0.3">
      <c r="A80" s="74" t="str">
        <f t="shared" si="1"/>
        <v>甘肃46212</v>
      </c>
      <c r="B80" s="75" t="s">
        <v>11</v>
      </c>
      <c r="C80" s="45">
        <v>46212</v>
      </c>
      <c r="D80" s="76">
        <v>1196.9643591505401</v>
      </c>
      <c r="E80" s="77">
        <v>125</v>
      </c>
      <c r="F80" s="78">
        <v>11.732411951792701</v>
      </c>
      <c r="G80" s="78">
        <v>11.732411951792701</v>
      </c>
      <c r="H80" s="81">
        <v>11.2833041510047</v>
      </c>
    </row>
    <row r="81" spans="1:8" x14ac:dyDescent="0.3">
      <c r="A81" s="74" t="str">
        <f t="shared" si="1"/>
        <v>甘肃46213</v>
      </c>
      <c r="B81" s="75" t="s">
        <v>11</v>
      </c>
      <c r="C81" s="45">
        <v>46213</v>
      </c>
      <c r="D81" s="76">
        <v>1196.9643591505401</v>
      </c>
      <c r="E81" s="77">
        <v>125</v>
      </c>
      <c r="F81" s="78">
        <v>11.732411951792701</v>
      </c>
      <c r="G81" s="78">
        <v>11.732411951792701</v>
      </c>
      <c r="H81" s="81">
        <v>11.2833041510047</v>
      </c>
    </row>
    <row r="82" spans="1:8" x14ac:dyDescent="0.3">
      <c r="A82" s="74" t="str">
        <f t="shared" si="1"/>
        <v>甘肃46214</v>
      </c>
      <c r="B82" s="75" t="s">
        <v>11</v>
      </c>
      <c r="C82" s="45">
        <v>46214</v>
      </c>
      <c r="D82" s="76">
        <v>1196.9643591505401</v>
      </c>
      <c r="E82" s="77">
        <v>125</v>
      </c>
      <c r="F82" s="78">
        <v>11.732411951792701</v>
      </c>
      <c r="G82" s="78">
        <v>11.732411951792701</v>
      </c>
      <c r="H82" s="81">
        <v>11.2833041510047</v>
      </c>
    </row>
    <row r="83" spans="1:8" x14ac:dyDescent="0.3">
      <c r="A83" s="74" t="str">
        <f t="shared" si="1"/>
        <v>甘肃46215</v>
      </c>
      <c r="B83" s="75" t="s">
        <v>11</v>
      </c>
      <c r="C83" s="45">
        <v>46215</v>
      </c>
      <c r="D83" s="76">
        <v>1196.9643591505401</v>
      </c>
      <c r="E83" s="77">
        <v>125</v>
      </c>
      <c r="F83" s="78">
        <v>11.732411951792701</v>
      </c>
      <c r="G83" s="78">
        <v>11.732411951792701</v>
      </c>
      <c r="H83" s="81">
        <v>11.2833041510047</v>
      </c>
    </row>
    <row r="84" spans="1:8" x14ac:dyDescent="0.3">
      <c r="A84" s="74" t="str">
        <f t="shared" si="1"/>
        <v>甘肃46216</v>
      </c>
      <c r="B84" s="75" t="s">
        <v>11</v>
      </c>
      <c r="C84" s="45">
        <v>46216</v>
      </c>
      <c r="D84" s="76">
        <v>1196.9643591505401</v>
      </c>
      <c r="E84" s="77">
        <v>125</v>
      </c>
      <c r="F84" s="78">
        <v>11.732411951792701</v>
      </c>
      <c r="G84" s="78">
        <v>11.732411951792701</v>
      </c>
      <c r="H84" s="81">
        <v>11.2833041510047</v>
      </c>
    </row>
    <row r="85" spans="1:8" x14ac:dyDescent="0.3">
      <c r="A85" s="74" t="str">
        <f t="shared" si="1"/>
        <v>甘肃46217</v>
      </c>
      <c r="B85" s="75" t="s">
        <v>11</v>
      </c>
      <c r="C85" s="45">
        <v>46217</v>
      </c>
      <c r="D85" s="76">
        <v>1196.9643591505401</v>
      </c>
      <c r="E85" s="77">
        <v>125</v>
      </c>
      <c r="F85" s="78">
        <v>11.732411951792701</v>
      </c>
      <c r="G85" s="78">
        <v>11.732411951792701</v>
      </c>
      <c r="H85" s="81">
        <v>11.2833041510047</v>
      </c>
    </row>
    <row r="86" spans="1:8" x14ac:dyDescent="0.3">
      <c r="A86" s="74" t="str">
        <f t="shared" si="1"/>
        <v>甘肃46218</v>
      </c>
      <c r="B86" s="75" t="s">
        <v>11</v>
      </c>
      <c r="C86" s="45">
        <v>46218</v>
      </c>
      <c r="D86" s="76">
        <v>1196.9643591505401</v>
      </c>
      <c r="E86" s="77">
        <v>125</v>
      </c>
      <c r="F86" s="78">
        <v>11.732411951792701</v>
      </c>
      <c r="G86" s="78">
        <v>11.732411951792701</v>
      </c>
      <c r="H86" s="81">
        <v>11.2833041510047</v>
      </c>
    </row>
    <row r="87" spans="1:8" x14ac:dyDescent="0.3">
      <c r="A87" s="74" t="str">
        <f t="shared" si="1"/>
        <v>甘肃46219</v>
      </c>
      <c r="B87" s="75" t="s">
        <v>11</v>
      </c>
      <c r="C87" s="45">
        <v>46219</v>
      </c>
      <c r="D87" s="76">
        <v>1196.9643591505401</v>
      </c>
      <c r="E87" s="77">
        <v>125</v>
      </c>
      <c r="F87" s="78">
        <v>11.732411951792701</v>
      </c>
      <c r="G87" s="78">
        <v>11.732411951792701</v>
      </c>
      <c r="H87" s="81">
        <v>11.2833041510047</v>
      </c>
    </row>
    <row r="88" spans="1:8" x14ac:dyDescent="0.3">
      <c r="A88" s="74" t="str">
        <f t="shared" si="1"/>
        <v>甘肃46220</v>
      </c>
      <c r="B88" s="75" t="s">
        <v>11</v>
      </c>
      <c r="C88" s="45">
        <v>46220</v>
      </c>
      <c r="D88" s="76">
        <v>1196.9643591505401</v>
      </c>
      <c r="E88" s="77">
        <v>125</v>
      </c>
      <c r="F88" s="78">
        <v>11.732411951792701</v>
      </c>
      <c r="G88" s="78">
        <v>11.732411951792701</v>
      </c>
      <c r="H88" s="81">
        <v>11.2833041510047</v>
      </c>
    </row>
    <row r="89" spans="1:8" x14ac:dyDescent="0.3">
      <c r="A89" s="74" t="str">
        <f t="shared" si="1"/>
        <v>甘肃46221</v>
      </c>
      <c r="B89" s="75" t="s">
        <v>11</v>
      </c>
      <c r="C89" s="45">
        <v>46221</v>
      </c>
      <c r="D89" s="76">
        <v>1196.9643591505401</v>
      </c>
      <c r="E89" s="77">
        <v>125</v>
      </c>
      <c r="F89" s="78">
        <v>11.732411951792701</v>
      </c>
      <c r="G89" s="78">
        <v>11.732411951792701</v>
      </c>
      <c r="H89" s="81">
        <v>11.2833041510047</v>
      </c>
    </row>
    <row r="90" spans="1:8" x14ac:dyDescent="0.3">
      <c r="A90" s="74" t="str">
        <f t="shared" si="1"/>
        <v>甘肃46222</v>
      </c>
      <c r="B90" s="75" t="s">
        <v>11</v>
      </c>
      <c r="C90" s="45">
        <v>46222</v>
      </c>
      <c r="D90" s="76">
        <v>1196.9643591505401</v>
      </c>
      <c r="E90" s="77">
        <v>125</v>
      </c>
      <c r="F90" s="78">
        <v>11.732411951792701</v>
      </c>
      <c r="G90" s="78">
        <v>11.732411951792701</v>
      </c>
      <c r="H90" s="81">
        <v>11.2833041510047</v>
      </c>
    </row>
    <row r="91" spans="1:8" x14ac:dyDescent="0.3">
      <c r="A91" s="74" t="str">
        <f t="shared" si="1"/>
        <v>甘肃46223</v>
      </c>
      <c r="B91" s="75" t="s">
        <v>11</v>
      </c>
      <c r="C91" s="45">
        <v>46223</v>
      </c>
      <c r="D91" s="76">
        <v>1196.9643591505401</v>
      </c>
      <c r="E91" s="77">
        <v>125</v>
      </c>
      <c r="F91" s="78">
        <v>11.732411951792701</v>
      </c>
      <c r="G91" s="78">
        <v>11.732411951792701</v>
      </c>
      <c r="H91" s="81">
        <v>11.2833041510047</v>
      </c>
    </row>
    <row r="92" spans="1:8" x14ac:dyDescent="0.3">
      <c r="A92" s="74" t="str">
        <f t="shared" si="1"/>
        <v>甘肃46224</v>
      </c>
      <c r="B92" s="75" t="s">
        <v>11</v>
      </c>
      <c r="C92" s="45">
        <v>46224</v>
      </c>
      <c r="D92" s="76">
        <v>1196.9643591505401</v>
      </c>
      <c r="E92" s="77">
        <v>125</v>
      </c>
      <c r="F92" s="78">
        <v>11.732411951792701</v>
      </c>
      <c r="G92" s="78">
        <v>11.732411951792701</v>
      </c>
      <c r="H92" s="81">
        <v>11.2833041510047</v>
      </c>
    </row>
    <row r="93" spans="1:8" x14ac:dyDescent="0.3">
      <c r="A93" s="74" t="str">
        <f t="shared" si="1"/>
        <v>甘肃46225</v>
      </c>
      <c r="B93" s="75" t="s">
        <v>11</v>
      </c>
      <c r="C93" s="45">
        <v>46225</v>
      </c>
      <c r="D93" s="76">
        <v>1196.9643591505401</v>
      </c>
      <c r="E93" s="77">
        <v>125</v>
      </c>
      <c r="F93" s="78">
        <v>11.732411951792701</v>
      </c>
      <c r="G93" s="78">
        <v>11.732411951792701</v>
      </c>
      <c r="H93" s="81">
        <v>11.2833041510047</v>
      </c>
    </row>
    <row r="94" spans="1:8" x14ac:dyDescent="0.3">
      <c r="A94" s="74" t="str">
        <f t="shared" si="1"/>
        <v>甘肃46226</v>
      </c>
      <c r="B94" s="75" t="s">
        <v>11</v>
      </c>
      <c r="C94" s="45">
        <v>46226</v>
      </c>
      <c r="D94" s="76">
        <v>1196.9643591505401</v>
      </c>
      <c r="E94" s="77">
        <v>125</v>
      </c>
      <c r="F94" s="78">
        <v>11.732411951792701</v>
      </c>
      <c r="G94" s="78">
        <v>11.732411951792701</v>
      </c>
      <c r="H94" s="81">
        <v>11.2833041510047</v>
      </c>
    </row>
    <row r="95" spans="1:8" x14ac:dyDescent="0.3">
      <c r="A95" s="74" t="str">
        <f t="shared" si="1"/>
        <v>甘肃46227</v>
      </c>
      <c r="B95" s="75" t="s">
        <v>11</v>
      </c>
      <c r="C95" s="45">
        <v>46227</v>
      </c>
      <c r="D95" s="76">
        <v>1196.9643591505401</v>
      </c>
      <c r="E95" s="77">
        <v>125</v>
      </c>
      <c r="F95" s="78">
        <v>11.732411951792701</v>
      </c>
      <c r="G95" s="78">
        <v>11.732411951792701</v>
      </c>
      <c r="H95" s="81">
        <v>11.2833041510047</v>
      </c>
    </row>
    <row r="96" spans="1:8" x14ac:dyDescent="0.3">
      <c r="A96" s="74" t="str">
        <f t="shared" si="1"/>
        <v>甘肃46228</v>
      </c>
      <c r="B96" s="75" t="s">
        <v>11</v>
      </c>
      <c r="C96" s="45">
        <v>46228</v>
      </c>
      <c r="D96" s="76">
        <v>1196.9643591505401</v>
      </c>
      <c r="E96" s="77">
        <v>125</v>
      </c>
      <c r="F96" s="78">
        <v>11.732411951792701</v>
      </c>
      <c r="G96" s="78">
        <v>11.732411951792701</v>
      </c>
      <c r="H96" s="81">
        <v>11.2833041510047</v>
      </c>
    </row>
    <row r="97" spans="1:8" x14ac:dyDescent="0.3">
      <c r="A97" s="74" t="str">
        <f t="shared" si="1"/>
        <v>甘肃46229</v>
      </c>
      <c r="B97" s="75" t="s">
        <v>11</v>
      </c>
      <c r="C97" s="45">
        <v>46229</v>
      </c>
      <c r="D97" s="76">
        <v>1196.9643591505401</v>
      </c>
      <c r="E97" s="77">
        <v>125</v>
      </c>
      <c r="F97" s="78">
        <v>11.732411951792701</v>
      </c>
      <c r="G97" s="78">
        <v>11.732411951792701</v>
      </c>
      <c r="H97" s="81">
        <v>11.2833041510047</v>
      </c>
    </row>
    <row r="98" spans="1:8" x14ac:dyDescent="0.3">
      <c r="A98" s="74" t="str">
        <f t="shared" si="1"/>
        <v>甘肃46230</v>
      </c>
      <c r="B98" s="75" t="s">
        <v>11</v>
      </c>
      <c r="C98" s="45">
        <v>46230</v>
      </c>
      <c r="D98" s="76">
        <v>1196.9643591505401</v>
      </c>
      <c r="E98" s="77">
        <v>125</v>
      </c>
      <c r="F98" s="78">
        <v>11.732411951792701</v>
      </c>
      <c r="G98" s="78">
        <v>11.732411951792701</v>
      </c>
      <c r="H98" s="81">
        <v>11.2833041510047</v>
      </c>
    </row>
    <row r="99" spans="1:8" x14ac:dyDescent="0.3">
      <c r="A99" s="74" t="str">
        <f t="shared" si="1"/>
        <v>甘肃46231</v>
      </c>
      <c r="B99" s="75" t="s">
        <v>11</v>
      </c>
      <c r="C99" s="45">
        <v>46231</v>
      </c>
      <c r="D99" s="76">
        <v>1196.9643591505401</v>
      </c>
      <c r="E99" s="77">
        <v>125</v>
      </c>
      <c r="F99" s="78">
        <v>11.732411951792701</v>
      </c>
      <c r="G99" s="78">
        <v>11.732411951792701</v>
      </c>
      <c r="H99" s="81">
        <v>11.2833041510047</v>
      </c>
    </row>
    <row r="100" spans="1:8" x14ac:dyDescent="0.3">
      <c r="A100" s="74" t="str">
        <f t="shared" si="1"/>
        <v>甘肃46232</v>
      </c>
      <c r="B100" s="75" t="s">
        <v>11</v>
      </c>
      <c r="C100" s="45">
        <v>46232</v>
      </c>
      <c r="D100" s="76">
        <v>1196.9643591505401</v>
      </c>
      <c r="E100" s="77">
        <v>125</v>
      </c>
      <c r="F100" s="78">
        <v>11.732411951792701</v>
      </c>
      <c r="G100" s="78">
        <v>11.732411951792701</v>
      </c>
      <c r="H100" s="81">
        <v>11.2833041510047</v>
      </c>
    </row>
    <row r="101" spans="1:8" x14ac:dyDescent="0.3">
      <c r="A101" s="74" t="str">
        <f t="shared" si="1"/>
        <v>甘肃46233</v>
      </c>
      <c r="B101" s="75" t="s">
        <v>11</v>
      </c>
      <c r="C101" s="45">
        <v>46233</v>
      </c>
      <c r="D101" s="76">
        <v>1196.9643591505401</v>
      </c>
      <c r="E101" s="77">
        <v>125</v>
      </c>
      <c r="F101" s="78">
        <v>11.732411951792701</v>
      </c>
      <c r="G101" s="78">
        <v>11.732411951792701</v>
      </c>
      <c r="H101" s="81">
        <v>11.2833041510047</v>
      </c>
    </row>
    <row r="102" spans="1:8" x14ac:dyDescent="0.3">
      <c r="A102" s="74" t="str">
        <f t="shared" si="1"/>
        <v>甘肃46234</v>
      </c>
      <c r="B102" s="75" t="s">
        <v>11</v>
      </c>
      <c r="C102" s="45">
        <v>46234</v>
      </c>
      <c r="D102" s="76">
        <v>1196.9643591505401</v>
      </c>
      <c r="E102" s="77">
        <v>125</v>
      </c>
      <c r="F102" s="78">
        <v>11.732411951792701</v>
      </c>
      <c r="G102" s="78">
        <v>11.732411951792701</v>
      </c>
      <c r="H102" s="81">
        <v>11.2833041510047</v>
      </c>
    </row>
    <row r="103" spans="1:8" x14ac:dyDescent="0.3">
      <c r="A103" s="74" t="str">
        <f t="shared" si="1"/>
        <v>甘肃46235</v>
      </c>
      <c r="B103" s="75" t="s">
        <v>11</v>
      </c>
      <c r="C103" s="45">
        <v>46235</v>
      </c>
      <c r="D103" s="76">
        <v>1043.57412007262</v>
      </c>
      <c r="E103" s="77">
        <v>125</v>
      </c>
      <c r="F103" s="78">
        <v>11.8362537386274</v>
      </c>
      <c r="G103" s="78">
        <v>11.8362537386274</v>
      </c>
      <c r="H103" s="81">
        <v>11.807994956809701</v>
      </c>
    </row>
    <row r="104" spans="1:8" x14ac:dyDescent="0.3">
      <c r="A104" s="74" t="str">
        <f t="shared" si="1"/>
        <v>甘肃46236</v>
      </c>
      <c r="B104" s="75" t="s">
        <v>11</v>
      </c>
      <c r="C104" s="45">
        <v>46236</v>
      </c>
      <c r="D104" s="76">
        <v>1043.57412007262</v>
      </c>
      <c r="E104" s="77">
        <v>125</v>
      </c>
      <c r="F104" s="78">
        <v>11.8362537386274</v>
      </c>
      <c r="G104" s="78">
        <v>11.8362537386274</v>
      </c>
      <c r="H104" s="81">
        <v>11.807994956809701</v>
      </c>
    </row>
    <row r="105" spans="1:8" x14ac:dyDescent="0.3">
      <c r="A105" s="74" t="str">
        <f t="shared" si="1"/>
        <v>甘肃46237</v>
      </c>
      <c r="B105" s="75" t="s">
        <v>11</v>
      </c>
      <c r="C105" s="45">
        <v>46237</v>
      </c>
      <c r="D105" s="76">
        <v>1043.57412007262</v>
      </c>
      <c r="E105" s="77">
        <v>125</v>
      </c>
      <c r="F105" s="78">
        <v>11.8362537386274</v>
      </c>
      <c r="G105" s="78">
        <v>11.8362537386274</v>
      </c>
      <c r="H105" s="81">
        <v>11.807994956809701</v>
      </c>
    </row>
    <row r="106" spans="1:8" x14ac:dyDescent="0.3">
      <c r="A106" s="74" t="str">
        <f t="shared" si="1"/>
        <v>甘肃46238</v>
      </c>
      <c r="B106" s="75" t="s">
        <v>11</v>
      </c>
      <c r="C106" s="45">
        <v>46238</v>
      </c>
      <c r="D106" s="76">
        <v>1043.57412007262</v>
      </c>
      <c r="E106" s="77">
        <v>125</v>
      </c>
      <c r="F106" s="78">
        <v>11.8362537386274</v>
      </c>
      <c r="G106" s="78">
        <v>11.8362537386274</v>
      </c>
      <c r="H106" s="81">
        <v>11.807994956809701</v>
      </c>
    </row>
    <row r="107" spans="1:8" x14ac:dyDescent="0.3">
      <c r="A107" s="74" t="str">
        <f t="shared" si="1"/>
        <v>甘肃46239</v>
      </c>
      <c r="B107" s="75" t="s">
        <v>11</v>
      </c>
      <c r="C107" s="45">
        <v>46239</v>
      </c>
      <c r="D107" s="76">
        <v>1043.57412007262</v>
      </c>
      <c r="E107" s="77">
        <v>125</v>
      </c>
      <c r="F107" s="78">
        <v>11.8362537386274</v>
      </c>
      <c r="G107" s="78">
        <v>11.8362537386274</v>
      </c>
      <c r="H107" s="81">
        <v>11.807994956809701</v>
      </c>
    </row>
    <row r="108" spans="1:8" x14ac:dyDescent="0.3">
      <c r="A108" s="74" t="str">
        <f t="shared" si="1"/>
        <v>甘肃46240</v>
      </c>
      <c r="B108" s="75" t="s">
        <v>11</v>
      </c>
      <c r="C108" s="45">
        <v>46240</v>
      </c>
      <c r="D108" s="76">
        <v>1043.57412007262</v>
      </c>
      <c r="E108" s="77">
        <v>125</v>
      </c>
      <c r="F108" s="78">
        <v>11.8362537386274</v>
      </c>
      <c r="G108" s="78">
        <v>11.8362537386274</v>
      </c>
      <c r="H108" s="81">
        <v>11.807994956809701</v>
      </c>
    </row>
    <row r="109" spans="1:8" x14ac:dyDescent="0.3">
      <c r="A109" s="74" t="str">
        <f t="shared" si="1"/>
        <v>甘肃46241</v>
      </c>
      <c r="B109" s="75" t="s">
        <v>11</v>
      </c>
      <c r="C109" s="45">
        <v>46241</v>
      </c>
      <c r="D109" s="76">
        <v>1043.57412007262</v>
      </c>
      <c r="E109" s="77">
        <v>125</v>
      </c>
      <c r="F109" s="78">
        <v>11.8362537386274</v>
      </c>
      <c r="G109" s="78">
        <v>11.8362537386274</v>
      </c>
      <c r="H109" s="81">
        <v>11.807994956809701</v>
      </c>
    </row>
    <row r="110" spans="1:8" x14ac:dyDescent="0.3">
      <c r="A110" s="74" t="str">
        <f t="shared" si="1"/>
        <v>甘肃46242</v>
      </c>
      <c r="B110" s="75" t="s">
        <v>11</v>
      </c>
      <c r="C110" s="45">
        <v>46242</v>
      </c>
      <c r="D110" s="76">
        <v>1043.57412007262</v>
      </c>
      <c r="E110" s="77">
        <v>125</v>
      </c>
      <c r="F110" s="78">
        <v>11.8362537386274</v>
      </c>
      <c r="G110" s="78">
        <v>11.8362537386274</v>
      </c>
      <c r="H110" s="81">
        <v>11.807994956809701</v>
      </c>
    </row>
    <row r="111" spans="1:8" x14ac:dyDescent="0.3">
      <c r="A111" s="74" t="str">
        <f t="shared" si="1"/>
        <v>甘肃46243</v>
      </c>
      <c r="B111" s="75" t="s">
        <v>11</v>
      </c>
      <c r="C111" s="45">
        <v>46243</v>
      </c>
      <c r="D111" s="76">
        <v>1043.57412007262</v>
      </c>
      <c r="E111" s="77">
        <v>125</v>
      </c>
      <c r="F111" s="78">
        <v>11.8362537386274</v>
      </c>
      <c r="G111" s="78">
        <v>11.8362537386274</v>
      </c>
      <c r="H111" s="81">
        <v>11.807994956809701</v>
      </c>
    </row>
    <row r="112" spans="1:8" x14ac:dyDescent="0.3">
      <c r="A112" s="74" t="str">
        <f t="shared" si="1"/>
        <v>甘肃46244</v>
      </c>
      <c r="B112" s="75" t="s">
        <v>11</v>
      </c>
      <c r="C112" s="45">
        <v>46244</v>
      </c>
      <c r="D112" s="76">
        <v>1043.57412007262</v>
      </c>
      <c r="E112" s="77">
        <v>125</v>
      </c>
      <c r="F112" s="78">
        <v>11.8362537386274</v>
      </c>
      <c r="G112" s="78">
        <v>11.8362537386274</v>
      </c>
      <c r="H112" s="81">
        <v>11.807994956809701</v>
      </c>
    </row>
    <row r="113" spans="1:8" x14ac:dyDescent="0.3">
      <c r="A113" s="74" t="str">
        <f t="shared" si="1"/>
        <v>甘肃46245</v>
      </c>
      <c r="B113" s="75" t="s">
        <v>11</v>
      </c>
      <c r="C113" s="45">
        <v>46245</v>
      </c>
      <c r="D113" s="76">
        <v>1043.57412007262</v>
      </c>
      <c r="E113" s="77">
        <v>125</v>
      </c>
      <c r="F113" s="78">
        <v>11.8362537386274</v>
      </c>
      <c r="G113" s="78">
        <v>11.8362537386274</v>
      </c>
      <c r="H113" s="81">
        <v>11.807994956809701</v>
      </c>
    </row>
    <row r="114" spans="1:8" x14ac:dyDescent="0.3">
      <c r="A114" s="74" t="str">
        <f t="shared" si="1"/>
        <v>甘肃46246</v>
      </c>
      <c r="B114" s="75" t="s">
        <v>11</v>
      </c>
      <c r="C114" s="45">
        <v>46246</v>
      </c>
      <c r="D114" s="76">
        <v>1043.57412007262</v>
      </c>
      <c r="E114" s="77">
        <v>125</v>
      </c>
      <c r="F114" s="78">
        <v>11.8362537386274</v>
      </c>
      <c r="G114" s="78">
        <v>11.8362537386274</v>
      </c>
      <c r="H114" s="81">
        <v>11.807994956809701</v>
      </c>
    </row>
    <row r="115" spans="1:8" x14ac:dyDescent="0.3">
      <c r="A115" s="74" t="str">
        <f t="shared" si="1"/>
        <v>甘肃46247</v>
      </c>
      <c r="B115" s="75" t="s">
        <v>11</v>
      </c>
      <c r="C115" s="45">
        <v>46247</v>
      </c>
      <c r="D115" s="76">
        <v>1043.57412007262</v>
      </c>
      <c r="E115" s="77">
        <v>125</v>
      </c>
      <c r="F115" s="78">
        <v>11.8362537386274</v>
      </c>
      <c r="G115" s="78">
        <v>11.8362537386274</v>
      </c>
      <c r="H115" s="81">
        <v>11.807994956809701</v>
      </c>
    </row>
    <row r="116" spans="1:8" x14ac:dyDescent="0.3">
      <c r="A116" s="74" t="str">
        <f t="shared" si="1"/>
        <v>甘肃46248</v>
      </c>
      <c r="B116" s="75" t="s">
        <v>11</v>
      </c>
      <c r="C116" s="45">
        <v>46248</v>
      </c>
      <c r="D116" s="76">
        <v>1043.57412007262</v>
      </c>
      <c r="E116" s="77">
        <v>125</v>
      </c>
      <c r="F116" s="78">
        <v>11.8362537386274</v>
      </c>
      <c r="G116" s="78">
        <v>11.8362537386274</v>
      </c>
      <c r="H116" s="81">
        <v>11.807994956809701</v>
      </c>
    </row>
    <row r="117" spans="1:8" x14ac:dyDescent="0.3">
      <c r="A117" s="74" t="str">
        <f t="shared" si="1"/>
        <v>甘肃46249</v>
      </c>
      <c r="B117" s="75" t="s">
        <v>11</v>
      </c>
      <c r="C117" s="45">
        <v>46249</v>
      </c>
      <c r="D117" s="76">
        <v>1043.57412007262</v>
      </c>
      <c r="E117" s="77">
        <v>125</v>
      </c>
      <c r="F117" s="78">
        <v>11.8362537386274</v>
      </c>
      <c r="G117" s="78">
        <v>11.8362537386274</v>
      </c>
      <c r="H117" s="81">
        <v>11.807994956809701</v>
      </c>
    </row>
    <row r="118" spans="1:8" x14ac:dyDescent="0.3">
      <c r="A118" s="74" t="str">
        <f t="shared" si="1"/>
        <v>甘肃46250</v>
      </c>
      <c r="B118" s="75" t="s">
        <v>11</v>
      </c>
      <c r="C118" s="45">
        <v>46250</v>
      </c>
      <c r="D118" s="76">
        <v>1043.57412007262</v>
      </c>
      <c r="E118" s="77">
        <v>125</v>
      </c>
      <c r="F118" s="78">
        <v>11.8362537386274</v>
      </c>
      <c r="G118" s="78">
        <v>11.8362537386274</v>
      </c>
      <c r="H118" s="81">
        <v>11.807994956809701</v>
      </c>
    </row>
    <row r="119" spans="1:8" x14ac:dyDescent="0.3">
      <c r="A119" s="74" t="str">
        <f t="shared" si="1"/>
        <v>甘肃46251</v>
      </c>
      <c r="B119" s="75" t="s">
        <v>11</v>
      </c>
      <c r="C119" s="45">
        <v>46251</v>
      </c>
      <c r="D119" s="76">
        <v>1043.57412007262</v>
      </c>
      <c r="E119" s="77">
        <v>125</v>
      </c>
      <c r="F119" s="78">
        <v>11.8362537386274</v>
      </c>
      <c r="G119" s="78">
        <v>11.8362537386274</v>
      </c>
      <c r="H119" s="81">
        <v>11.807994956809701</v>
      </c>
    </row>
    <row r="120" spans="1:8" x14ac:dyDescent="0.3">
      <c r="A120" s="74" t="str">
        <f t="shared" si="1"/>
        <v>甘肃46252</v>
      </c>
      <c r="B120" s="75" t="s">
        <v>11</v>
      </c>
      <c r="C120" s="45">
        <v>46252</v>
      </c>
      <c r="D120" s="76">
        <v>1043.57412007262</v>
      </c>
      <c r="E120" s="77">
        <v>125</v>
      </c>
      <c r="F120" s="78">
        <v>11.8362537386274</v>
      </c>
      <c r="G120" s="78">
        <v>11.8362537386274</v>
      </c>
      <c r="H120" s="81">
        <v>11.807994956809701</v>
      </c>
    </row>
    <row r="121" spans="1:8" x14ac:dyDescent="0.3">
      <c r="A121" s="74" t="str">
        <f t="shared" si="1"/>
        <v>甘肃46253</v>
      </c>
      <c r="B121" s="75" t="s">
        <v>11</v>
      </c>
      <c r="C121" s="45">
        <v>46253</v>
      </c>
      <c r="D121" s="76">
        <v>1043.57412007262</v>
      </c>
      <c r="E121" s="77">
        <v>125</v>
      </c>
      <c r="F121" s="78">
        <v>11.8362537386274</v>
      </c>
      <c r="G121" s="78">
        <v>11.8362537386274</v>
      </c>
      <c r="H121" s="81">
        <v>11.807994956809701</v>
      </c>
    </row>
    <row r="122" spans="1:8" x14ac:dyDescent="0.3">
      <c r="A122" s="74" t="str">
        <f t="shared" si="1"/>
        <v>甘肃46254</v>
      </c>
      <c r="B122" s="75" t="s">
        <v>11</v>
      </c>
      <c r="C122" s="45">
        <v>46254</v>
      </c>
      <c r="D122" s="76">
        <v>1043.57412007262</v>
      </c>
      <c r="E122" s="77">
        <v>125</v>
      </c>
      <c r="F122" s="78">
        <v>11.8362537386274</v>
      </c>
      <c r="G122" s="78">
        <v>11.8362537386274</v>
      </c>
      <c r="H122" s="81">
        <v>11.807994956809701</v>
      </c>
    </row>
    <row r="123" spans="1:8" x14ac:dyDescent="0.3">
      <c r="A123" s="74" t="str">
        <f t="shared" si="1"/>
        <v>甘肃46255</v>
      </c>
      <c r="B123" s="75" t="s">
        <v>11</v>
      </c>
      <c r="C123" s="45">
        <v>46255</v>
      </c>
      <c r="D123" s="76">
        <v>1043.57412007262</v>
      </c>
      <c r="E123" s="77">
        <v>125</v>
      </c>
      <c r="F123" s="78">
        <v>11.8362537386274</v>
      </c>
      <c r="G123" s="78">
        <v>11.8362537386274</v>
      </c>
      <c r="H123" s="81">
        <v>11.807994956809701</v>
      </c>
    </row>
    <row r="124" spans="1:8" x14ac:dyDescent="0.3">
      <c r="A124" s="74" t="str">
        <f t="shared" si="1"/>
        <v>甘肃46256</v>
      </c>
      <c r="B124" s="75" t="s">
        <v>11</v>
      </c>
      <c r="C124" s="45">
        <v>46256</v>
      </c>
      <c r="D124" s="76">
        <v>1043.57412007262</v>
      </c>
      <c r="E124" s="77">
        <v>125</v>
      </c>
      <c r="F124" s="78">
        <v>11.8362537386274</v>
      </c>
      <c r="G124" s="78">
        <v>11.8362537386274</v>
      </c>
      <c r="H124" s="81">
        <v>11.807994956809701</v>
      </c>
    </row>
    <row r="125" spans="1:8" x14ac:dyDescent="0.3">
      <c r="A125" s="74" t="str">
        <f t="shared" si="1"/>
        <v>甘肃46257</v>
      </c>
      <c r="B125" s="75" t="s">
        <v>11</v>
      </c>
      <c r="C125" s="45">
        <v>46257</v>
      </c>
      <c r="D125" s="76">
        <v>1043.57412007262</v>
      </c>
      <c r="E125" s="77">
        <v>125</v>
      </c>
      <c r="F125" s="78">
        <v>11.8362537386274</v>
      </c>
      <c r="G125" s="78">
        <v>11.8362537386274</v>
      </c>
      <c r="H125" s="81">
        <v>11.807994956809701</v>
      </c>
    </row>
    <row r="126" spans="1:8" x14ac:dyDescent="0.3">
      <c r="A126" s="74" t="str">
        <f t="shared" si="1"/>
        <v>甘肃46258</v>
      </c>
      <c r="B126" s="75" t="s">
        <v>11</v>
      </c>
      <c r="C126" s="45">
        <v>46258</v>
      </c>
      <c r="D126" s="76">
        <v>1043.57412007262</v>
      </c>
      <c r="E126" s="77">
        <v>125</v>
      </c>
      <c r="F126" s="78">
        <v>11.8362537386274</v>
      </c>
      <c r="G126" s="78">
        <v>11.8362537386274</v>
      </c>
      <c r="H126" s="81">
        <v>11.807994956809701</v>
      </c>
    </row>
    <row r="127" spans="1:8" x14ac:dyDescent="0.3">
      <c r="A127" s="74" t="str">
        <f t="shared" si="1"/>
        <v>甘肃46259</v>
      </c>
      <c r="B127" s="75" t="s">
        <v>11</v>
      </c>
      <c r="C127" s="45">
        <v>46259</v>
      </c>
      <c r="D127" s="76">
        <v>1043.57412007262</v>
      </c>
      <c r="E127" s="77">
        <v>125</v>
      </c>
      <c r="F127" s="78">
        <v>11.8362537386274</v>
      </c>
      <c r="G127" s="78">
        <v>11.8362537386274</v>
      </c>
      <c r="H127" s="81">
        <v>11.807994956809701</v>
      </c>
    </row>
    <row r="128" spans="1:8" x14ac:dyDescent="0.3">
      <c r="A128" s="74" t="str">
        <f t="shared" si="1"/>
        <v>甘肃46260</v>
      </c>
      <c r="B128" s="75" t="s">
        <v>11</v>
      </c>
      <c r="C128" s="45">
        <v>46260</v>
      </c>
      <c r="D128" s="76">
        <v>1043.57412007262</v>
      </c>
      <c r="E128" s="77">
        <v>125</v>
      </c>
      <c r="F128" s="78">
        <v>11.8362537386274</v>
      </c>
      <c r="G128" s="78">
        <v>11.8362537386274</v>
      </c>
      <c r="H128" s="81">
        <v>11.807994956809701</v>
      </c>
    </row>
    <row r="129" spans="1:8" x14ac:dyDescent="0.3">
      <c r="A129" s="74" t="str">
        <f t="shared" si="1"/>
        <v>甘肃46261</v>
      </c>
      <c r="B129" s="75" t="s">
        <v>11</v>
      </c>
      <c r="C129" s="45">
        <v>46261</v>
      </c>
      <c r="D129" s="76">
        <v>1043.57412007262</v>
      </c>
      <c r="E129" s="77">
        <v>125</v>
      </c>
      <c r="F129" s="78">
        <v>11.8362537386274</v>
      </c>
      <c r="G129" s="78">
        <v>11.8362537386274</v>
      </c>
      <c r="H129" s="81">
        <v>11.807994956809701</v>
      </c>
    </row>
    <row r="130" spans="1:8" x14ac:dyDescent="0.3">
      <c r="A130" s="74" t="str">
        <f t="shared" si="1"/>
        <v>甘肃46262</v>
      </c>
      <c r="B130" s="75" t="s">
        <v>11</v>
      </c>
      <c r="C130" s="45">
        <v>46262</v>
      </c>
      <c r="D130" s="76">
        <v>1043.57412007262</v>
      </c>
      <c r="E130" s="77">
        <v>125</v>
      </c>
      <c r="F130" s="78">
        <v>11.8362537386274</v>
      </c>
      <c r="G130" s="78">
        <v>11.8362537386274</v>
      </c>
      <c r="H130" s="81">
        <v>11.807994956809701</v>
      </c>
    </row>
    <row r="131" spans="1:8" x14ac:dyDescent="0.3">
      <c r="A131" s="74" t="str">
        <f t="shared" ref="A131:A194" si="2">B131&amp;C131</f>
        <v>甘肃46263</v>
      </c>
      <c r="B131" s="75" t="s">
        <v>11</v>
      </c>
      <c r="C131" s="45">
        <v>46263</v>
      </c>
      <c r="D131" s="76">
        <v>1043.57412007262</v>
      </c>
      <c r="E131" s="77">
        <v>125</v>
      </c>
      <c r="F131" s="78">
        <v>11.8362537386274</v>
      </c>
      <c r="G131" s="78">
        <v>11.8362537386274</v>
      </c>
      <c r="H131" s="81">
        <v>11.807994956809701</v>
      </c>
    </row>
    <row r="132" spans="1:8" x14ac:dyDescent="0.3">
      <c r="A132" s="74" t="str">
        <f t="shared" si="2"/>
        <v>甘肃46264</v>
      </c>
      <c r="B132" s="75" t="s">
        <v>11</v>
      </c>
      <c r="C132" s="45">
        <v>46264</v>
      </c>
      <c r="D132" s="76">
        <v>1043.57412007262</v>
      </c>
      <c r="E132" s="77">
        <v>125</v>
      </c>
      <c r="F132" s="78">
        <v>11.8362537386274</v>
      </c>
      <c r="G132" s="78">
        <v>11.8362537386274</v>
      </c>
      <c r="H132" s="81">
        <v>11.807994956809701</v>
      </c>
    </row>
    <row r="133" spans="1:8" x14ac:dyDescent="0.3">
      <c r="A133" s="74" t="str">
        <f t="shared" si="2"/>
        <v>甘肃46265</v>
      </c>
      <c r="B133" s="75" t="s">
        <v>11</v>
      </c>
      <c r="C133" s="45">
        <v>46265</v>
      </c>
      <c r="D133" s="76">
        <v>1043.57412007262</v>
      </c>
      <c r="E133" s="77">
        <v>125</v>
      </c>
      <c r="F133" s="78">
        <v>11.8362537386274</v>
      </c>
      <c r="G133" s="78">
        <v>11.8362537386274</v>
      </c>
      <c r="H133" s="81">
        <v>11.807994956809701</v>
      </c>
    </row>
    <row r="134" spans="1:8" x14ac:dyDescent="0.3">
      <c r="A134" s="74" t="str">
        <f t="shared" si="2"/>
        <v>甘肃46266</v>
      </c>
      <c r="B134" s="75" t="s">
        <v>11</v>
      </c>
      <c r="C134" s="45">
        <v>46266</v>
      </c>
      <c r="D134" s="76">
        <v>1026.5116175743899</v>
      </c>
      <c r="E134" s="77">
        <v>125</v>
      </c>
      <c r="F134" s="78">
        <v>12.1173401631318</v>
      </c>
      <c r="G134" s="78">
        <v>12.1173401631318</v>
      </c>
      <c r="H134" s="81">
        <v>12.332685762614799</v>
      </c>
    </row>
    <row r="135" spans="1:8" x14ac:dyDescent="0.3">
      <c r="A135" s="74" t="str">
        <f t="shared" si="2"/>
        <v>甘肃46267</v>
      </c>
      <c r="B135" s="75" t="s">
        <v>11</v>
      </c>
      <c r="C135" s="45">
        <v>46267</v>
      </c>
      <c r="D135" s="76">
        <v>1026.5116175743899</v>
      </c>
      <c r="E135" s="77">
        <v>125</v>
      </c>
      <c r="F135" s="78">
        <v>12.1173401631318</v>
      </c>
      <c r="G135" s="78">
        <v>12.1173401631318</v>
      </c>
      <c r="H135" s="81">
        <v>12.332685762614799</v>
      </c>
    </row>
    <row r="136" spans="1:8" x14ac:dyDescent="0.3">
      <c r="A136" s="74" t="str">
        <f t="shared" si="2"/>
        <v>甘肃46268</v>
      </c>
      <c r="B136" s="75" t="s">
        <v>11</v>
      </c>
      <c r="C136" s="45">
        <v>46268</v>
      </c>
      <c r="D136" s="76">
        <v>1026.5116175743899</v>
      </c>
      <c r="E136" s="77">
        <v>125</v>
      </c>
      <c r="F136" s="78">
        <v>12.1173401631318</v>
      </c>
      <c r="G136" s="78">
        <v>12.1173401631318</v>
      </c>
      <c r="H136" s="81">
        <v>12.332685762614799</v>
      </c>
    </row>
    <row r="137" spans="1:8" x14ac:dyDescent="0.3">
      <c r="A137" s="74" t="str">
        <f t="shared" si="2"/>
        <v>甘肃46269</v>
      </c>
      <c r="B137" s="75" t="s">
        <v>11</v>
      </c>
      <c r="C137" s="45">
        <v>46269</v>
      </c>
      <c r="D137" s="76">
        <v>1026.5116175743899</v>
      </c>
      <c r="E137" s="77">
        <v>125</v>
      </c>
      <c r="F137" s="78">
        <v>12.1173401631318</v>
      </c>
      <c r="G137" s="78">
        <v>12.1173401631318</v>
      </c>
      <c r="H137" s="81">
        <v>12.332685762614799</v>
      </c>
    </row>
    <row r="138" spans="1:8" x14ac:dyDescent="0.3">
      <c r="A138" s="74" t="str">
        <f t="shared" si="2"/>
        <v>甘肃46270</v>
      </c>
      <c r="B138" s="75" t="s">
        <v>11</v>
      </c>
      <c r="C138" s="45">
        <v>46270</v>
      </c>
      <c r="D138" s="76">
        <v>1026.5116175743899</v>
      </c>
      <c r="E138" s="77">
        <v>125</v>
      </c>
      <c r="F138" s="78">
        <v>12.1173401631318</v>
      </c>
      <c r="G138" s="78">
        <v>12.1173401631318</v>
      </c>
      <c r="H138" s="81">
        <v>12.332685762614799</v>
      </c>
    </row>
    <row r="139" spans="1:8" x14ac:dyDescent="0.3">
      <c r="A139" s="74" t="str">
        <f t="shared" si="2"/>
        <v>甘肃46271</v>
      </c>
      <c r="B139" s="75" t="s">
        <v>11</v>
      </c>
      <c r="C139" s="45">
        <v>46271</v>
      </c>
      <c r="D139" s="76">
        <v>1026.5116175743899</v>
      </c>
      <c r="E139" s="77">
        <v>125</v>
      </c>
      <c r="F139" s="78">
        <v>12.1173401631318</v>
      </c>
      <c r="G139" s="78">
        <v>12.1173401631318</v>
      </c>
      <c r="H139" s="81">
        <v>12.332685762614799</v>
      </c>
    </row>
    <row r="140" spans="1:8" x14ac:dyDescent="0.3">
      <c r="A140" s="74" t="str">
        <f t="shared" si="2"/>
        <v>甘肃46272</v>
      </c>
      <c r="B140" s="75" t="s">
        <v>11</v>
      </c>
      <c r="C140" s="45">
        <v>46272</v>
      </c>
      <c r="D140" s="76">
        <v>1026.5116175743899</v>
      </c>
      <c r="E140" s="77">
        <v>125</v>
      </c>
      <c r="F140" s="78">
        <v>12.1173401631318</v>
      </c>
      <c r="G140" s="78">
        <v>12.1173401631318</v>
      </c>
      <c r="H140" s="81">
        <v>12.332685762614799</v>
      </c>
    </row>
    <row r="141" spans="1:8" x14ac:dyDescent="0.3">
      <c r="A141" s="74" t="str">
        <f t="shared" si="2"/>
        <v>甘肃46273</v>
      </c>
      <c r="B141" s="75" t="s">
        <v>11</v>
      </c>
      <c r="C141" s="45">
        <v>46273</v>
      </c>
      <c r="D141" s="76">
        <v>1026.5116175743899</v>
      </c>
      <c r="E141" s="77">
        <v>125</v>
      </c>
      <c r="F141" s="78">
        <v>12.1173401631318</v>
      </c>
      <c r="G141" s="78">
        <v>12.1173401631318</v>
      </c>
      <c r="H141" s="81">
        <v>12.332685762614799</v>
      </c>
    </row>
    <row r="142" spans="1:8" x14ac:dyDescent="0.3">
      <c r="A142" s="74" t="str">
        <f t="shared" si="2"/>
        <v>甘肃46274</v>
      </c>
      <c r="B142" s="75" t="s">
        <v>11</v>
      </c>
      <c r="C142" s="45">
        <v>46274</v>
      </c>
      <c r="D142" s="76">
        <v>1026.5116175743899</v>
      </c>
      <c r="E142" s="77">
        <v>125</v>
      </c>
      <c r="F142" s="78">
        <v>12.1173401631318</v>
      </c>
      <c r="G142" s="78">
        <v>12.1173401631318</v>
      </c>
      <c r="H142" s="81">
        <v>12.332685762614799</v>
      </c>
    </row>
    <row r="143" spans="1:8" x14ac:dyDescent="0.3">
      <c r="A143" s="74" t="str">
        <f t="shared" si="2"/>
        <v>甘肃46275</v>
      </c>
      <c r="B143" s="75" t="s">
        <v>11</v>
      </c>
      <c r="C143" s="45">
        <v>46275</v>
      </c>
      <c r="D143" s="76">
        <v>1026.5116175743899</v>
      </c>
      <c r="E143" s="77">
        <v>125</v>
      </c>
      <c r="F143" s="78">
        <v>12.1173401631318</v>
      </c>
      <c r="G143" s="78">
        <v>12.1173401631318</v>
      </c>
      <c r="H143" s="81">
        <v>12.332685762614799</v>
      </c>
    </row>
    <row r="144" spans="1:8" x14ac:dyDescent="0.3">
      <c r="A144" s="74" t="str">
        <f t="shared" si="2"/>
        <v>甘肃46276</v>
      </c>
      <c r="B144" s="75" t="s">
        <v>11</v>
      </c>
      <c r="C144" s="45">
        <v>46276</v>
      </c>
      <c r="D144" s="76">
        <v>1026.5116175743899</v>
      </c>
      <c r="E144" s="77">
        <v>125</v>
      </c>
      <c r="F144" s="78">
        <v>12.1173401631318</v>
      </c>
      <c r="G144" s="78">
        <v>12.1173401631318</v>
      </c>
      <c r="H144" s="81">
        <v>12.332685762614799</v>
      </c>
    </row>
    <row r="145" spans="1:8" x14ac:dyDescent="0.3">
      <c r="A145" s="74" t="str">
        <f t="shared" si="2"/>
        <v>甘肃46277</v>
      </c>
      <c r="B145" s="75" t="s">
        <v>11</v>
      </c>
      <c r="C145" s="45">
        <v>46277</v>
      </c>
      <c r="D145" s="76">
        <v>1026.5116175743899</v>
      </c>
      <c r="E145" s="77">
        <v>125</v>
      </c>
      <c r="F145" s="78">
        <v>12.1173401631318</v>
      </c>
      <c r="G145" s="78">
        <v>12.1173401631318</v>
      </c>
      <c r="H145" s="81">
        <v>12.332685762614799</v>
      </c>
    </row>
    <row r="146" spans="1:8" x14ac:dyDescent="0.3">
      <c r="A146" s="74" t="str">
        <f t="shared" si="2"/>
        <v>甘肃46278</v>
      </c>
      <c r="B146" s="75" t="s">
        <v>11</v>
      </c>
      <c r="C146" s="45">
        <v>46278</v>
      </c>
      <c r="D146" s="76">
        <v>1026.5116175743899</v>
      </c>
      <c r="E146" s="77">
        <v>125</v>
      </c>
      <c r="F146" s="78">
        <v>12.1173401631318</v>
      </c>
      <c r="G146" s="78">
        <v>12.1173401631318</v>
      </c>
      <c r="H146" s="81">
        <v>12.332685762614799</v>
      </c>
    </row>
    <row r="147" spans="1:8" x14ac:dyDescent="0.3">
      <c r="A147" s="74" t="str">
        <f t="shared" si="2"/>
        <v>甘肃46279</v>
      </c>
      <c r="B147" s="75" t="s">
        <v>11</v>
      </c>
      <c r="C147" s="45">
        <v>46279</v>
      </c>
      <c r="D147" s="76">
        <v>1026.5116175743899</v>
      </c>
      <c r="E147" s="77">
        <v>125</v>
      </c>
      <c r="F147" s="78">
        <v>12.1173401631318</v>
      </c>
      <c r="G147" s="78">
        <v>12.1173401631318</v>
      </c>
      <c r="H147" s="81">
        <v>12.332685762614799</v>
      </c>
    </row>
    <row r="148" spans="1:8" x14ac:dyDescent="0.3">
      <c r="A148" s="74" t="str">
        <f t="shared" si="2"/>
        <v>甘肃46280</v>
      </c>
      <c r="B148" s="75" t="s">
        <v>11</v>
      </c>
      <c r="C148" s="45">
        <v>46280</v>
      </c>
      <c r="D148" s="76">
        <v>1026.5116175743899</v>
      </c>
      <c r="E148" s="77">
        <v>125</v>
      </c>
      <c r="F148" s="78">
        <v>12.1173401631318</v>
      </c>
      <c r="G148" s="78">
        <v>12.1173401631318</v>
      </c>
      <c r="H148" s="81">
        <v>12.332685762614799</v>
      </c>
    </row>
    <row r="149" spans="1:8" x14ac:dyDescent="0.3">
      <c r="A149" s="74" t="str">
        <f t="shared" si="2"/>
        <v>甘肃46281</v>
      </c>
      <c r="B149" s="75" t="s">
        <v>11</v>
      </c>
      <c r="C149" s="45">
        <v>46281</v>
      </c>
      <c r="D149" s="76">
        <v>1026.5116175743899</v>
      </c>
      <c r="E149" s="77">
        <v>125</v>
      </c>
      <c r="F149" s="78">
        <v>12.1173401631318</v>
      </c>
      <c r="G149" s="78">
        <v>12.1173401631318</v>
      </c>
      <c r="H149" s="81">
        <v>12.332685762614799</v>
      </c>
    </row>
    <row r="150" spans="1:8" x14ac:dyDescent="0.3">
      <c r="A150" s="74" t="str">
        <f t="shared" si="2"/>
        <v>甘肃46282</v>
      </c>
      <c r="B150" s="75" t="s">
        <v>11</v>
      </c>
      <c r="C150" s="45">
        <v>46282</v>
      </c>
      <c r="D150" s="76">
        <v>1026.5116175743899</v>
      </c>
      <c r="E150" s="77">
        <v>125</v>
      </c>
      <c r="F150" s="78">
        <v>12.1173401631318</v>
      </c>
      <c r="G150" s="78">
        <v>12.1173401631318</v>
      </c>
      <c r="H150" s="81">
        <v>12.332685762614799</v>
      </c>
    </row>
    <row r="151" spans="1:8" x14ac:dyDescent="0.3">
      <c r="A151" s="74" t="str">
        <f t="shared" si="2"/>
        <v>甘肃46283</v>
      </c>
      <c r="B151" s="75" t="s">
        <v>11</v>
      </c>
      <c r="C151" s="45">
        <v>46283</v>
      </c>
      <c r="D151" s="76">
        <v>1026.5116175743899</v>
      </c>
      <c r="E151" s="77">
        <v>125</v>
      </c>
      <c r="F151" s="78">
        <v>12.1173401631318</v>
      </c>
      <c r="G151" s="78">
        <v>12.1173401631318</v>
      </c>
      <c r="H151" s="81">
        <v>12.332685762614799</v>
      </c>
    </row>
    <row r="152" spans="1:8" x14ac:dyDescent="0.3">
      <c r="A152" s="74" t="str">
        <f t="shared" si="2"/>
        <v>甘肃46284</v>
      </c>
      <c r="B152" s="75" t="s">
        <v>11</v>
      </c>
      <c r="C152" s="45">
        <v>46284</v>
      </c>
      <c r="D152" s="76">
        <v>1026.5116175743899</v>
      </c>
      <c r="E152" s="77">
        <v>125</v>
      </c>
      <c r="F152" s="78">
        <v>12.1173401631318</v>
      </c>
      <c r="G152" s="78">
        <v>12.1173401631318</v>
      </c>
      <c r="H152" s="81">
        <v>12.332685762614799</v>
      </c>
    </row>
    <row r="153" spans="1:8" x14ac:dyDescent="0.3">
      <c r="A153" s="74" t="str">
        <f t="shared" si="2"/>
        <v>甘肃46285</v>
      </c>
      <c r="B153" s="75" t="s">
        <v>11</v>
      </c>
      <c r="C153" s="45">
        <v>46285</v>
      </c>
      <c r="D153" s="76">
        <v>1026.5116175743899</v>
      </c>
      <c r="E153" s="77">
        <v>125</v>
      </c>
      <c r="F153" s="78">
        <v>12.1173401631318</v>
      </c>
      <c r="G153" s="78">
        <v>12.1173401631318</v>
      </c>
      <c r="H153" s="81">
        <v>12.332685762614799</v>
      </c>
    </row>
    <row r="154" spans="1:8" x14ac:dyDescent="0.3">
      <c r="A154" s="74" t="str">
        <f t="shared" si="2"/>
        <v>甘肃46286</v>
      </c>
      <c r="B154" s="75" t="s">
        <v>11</v>
      </c>
      <c r="C154" s="45">
        <v>46286</v>
      </c>
      <c r="D154" s="76">
        <v>1026.5116175743899</v>
      </c>
      <c r="E154" s="77">
        <v>125</v>
      </c>
      <c r="F154" s="78">
        <v>12.1173401631318</v>
      </c>
      <c r="G154" s="78">
        <v>12.1173401631318</v>
      </c>
      <c r="H154" s="81">
        <v>12.332685762614799</v>
      </c>
    </row>
    <row r="155" spans="1:8" x14ac:dyDescent="0.3">
      <c r="A155" s="74" t="str">
        <f t="shared" si="2"/>
        <v>甘肃46287</v>
      </c>
      <c r="B155" s="75" t="s">
        <v>11</v>
      </c>
      <c r="C155" s="45">
        <v>46287</v>
      </c>
      <c r="D155" s="76">
        <v>1026.5116175743899</v>
      </c>
      <c r="E155" s="77">
        <v>125</v>
      </c>
      <c r="F155" s="78">
        <v>12.1173401631318</v>
      </c>
      <c r="G155" s="78">
        <v>12.1173401631318</v>
      </c>
      <c r="H155" s="81">
        <v>12.332685762614799</v>
      </c>
    </row>
    <row r="156" spans="1:8" x14ac:dyDescent="0.3">
      <c r="A156" s="74" t="str">
        <f t="shared" si="2"/>
        <v>甘肃46288</v>
      </c>
      <c r="B156" s="75" t="s">
        <v>11</v>
      </c>
      <c r="C156" s="45">
        <v>46288</v>
      </c>
      <c r="D156" s="76">
        <v>1026.5116175743899</v>
      </c>
      <c r="E156" s="77">
        <v>125</v>
      </c>
      <c r="F156" s="78">
        <v>12.1173401631318</v>
      </c>
      <c r="G156" s="78">
        <v>12.1173401631318</v>
      </c>
      <c r="H156" s="81">
        <v>12.332685762614799</v>
      </c>
    </row>
    <row r="157" spans="1:8" x14ac:dyDescent="0.3">
      <c r="A157" s="74" t="str">
        <f t="shared" si="2"/>
        <v>甘肃46289</v>
      </c>
      <c r="B157" s="75" t="s">
        <v>11</v>
      </c>
      <c r="C157" s="45">
        <v>46289</v>
      </c>
      <c r="D157" s="76">
        <v>1026.5116175743899</v>
      </c>
      <c r="E157" s="77">
        <v>125</v>
      </c>
      <c r="F157" s="78">
        <v>12.1173401631318</v>
      </c>
      <c r="G157" s="78">
        <v>12.1173401631318</v>
      </c>
      <c r="H157" s="81">
        <v>12.332685762614799</v>
      </c>
    </row>
    <row r="158" spans="1:8" x14ac:dyDescent="0.3">
      <c r="A158" s="74" t="str">
        <f t="shared" si="2"/>
        <v>甘肃46290</v>
      </c>
      <c r="B158" s="75" t="s">
        <v>11</v>
      </c>
      <c r="C158" s="45">
        <v>46290</v>
      </c>
      <c r="D158" s="76">
        <v>1026.5116175743899</v>
      </c>
      <c r="E158" s="77">
        <v>125</v>
      </c>
      <c r="F158" s="78">
        <v>12.1173401631318</v>
      </c>
      <c r="G158" s="78">
        <v>12.1173401631318</v>
      </c>
      <c r="H158" s="81">
        <v>12.332685762614799</v>
      </c>
    </row>
    <row r="159" spans="1:8" x14ac:dyDescent="0.3">
      <c r="A159" s="74" t="str">
        <f t="shared" si="2"/>
        <v>甘肃46291</v>
      </c>
      <c r="B159" s="75" t="s">
        <v>11</v>
      </c>
      <c r="C159" s="45">
        <v>46291</v>
      </c>
      <c r="D159" s="76">
        <v>1026.5116175743899</v>
      </c>
      <c r="E159" s="77">
        <v>125</v>
      </c>
      <c r="F159" s="78">
        <v>12.1173401631318</v>
      </c>
      <c r="G159" s="78">
        <v>12.1173401631318</v>
      </c>
      <c r="H159" s="81">
        <v>12.332685762614799</v>
      </c>
    </row>
    <row r="160" spans="1:8" x14ac:dyDescent="0.3">
      <c r="A160" s="74" t="str">
        <f t="shared" si="2"/>
        <v>甘肃46292</v>
      </c>
      <c r="B160" s="75" t="s">
        <v>11</v>
      </c>
      <c r="C160" s="45">
        <v>46292</v>
      </c>
      <c r="D160" s="76">
        <v>1026.5116175743899</v>
      </c>
      <c r="E160" s="77">
        <v>125</v>
      </c>
      <c r="F160" s="78">
        <v>12.1173401631318</v>
      </c>
      <c r="G160" s="78">
        <v>12.1173401631318</v>
      </c>
      <c r="H160" s="81">
        <v>12.332685762614799</v>
      </c>
    </row>
    <row r="161" spans="1:8" x14ac:dyDescent="0.3">
      <c r="A161" s="74" t="str">
        <f t="shared" si="2"/>
        <v>甘肃46293</v>
      </c>
      <c r="B161" s="75" t="s">
        <v>11</v>
      </c>
      <c r="C161" s="45">
        <v>46293</v>
      </c>
      <c r="D161" s="76">
        <v>1026.5116175743899</v>
      </c>
      <c r="E161" s="77">
        <v>125</v>
      </c>
      <c r="F161" s="78">
        <v>12.1173401631318</v>
      </c>
      <c r="G161" s="78">
        <v>12.1173401631318</v>
      </c>
      <c r="H161" s="81">
        <v>12.332685762614799</v>
      </c>
    </row>
    <row r="162" spans="1:8" x14ac:dyDescent="0.3">
      <c r="A162" s="74" t="str">
        <f t="shared" si="2"/>
        <v>甘肃46294</v>
      </c>
      <c r="B162" s="75" t="s">
        <v>11</v>
      </c>
      <c r="C162" s="45">
        <v>46294</v>
      </c>
      <c r="D162" s="76">
        <v>1026.5116175743899</v>
      </c>
      <c r="E162" s="77">
        <v>125</v>
      </c>
      <c r="F162" s="78">
        <v>12.1173401631318</v>
      </c>
      <c r="G162" s="78">
        <v>12.1173401631318</v>
      </c>
      <c r="H162" s="81">
        <v>12.332685762614799</v>
      </c>
    </row>
    <row r="163" spans="1:8" x14ac:dyDescent="0.3">
      <c r="A163" s="74" t="str">
        <f t="shared" si="2"/>
        <v>甘肃46295</v>
      </c>
      <c r="B163" s="75" t="s">
        <v>11</v>
      </c>
      <c r="C163" s="45">
        <v>46295</v>
      </c>
      <c r="D163" s="76">
        <v>1026.5116175743899</v>
      </c>
      <c r="E163" s="77">
        <v>125</v>
      </c>
      <c r="F163" s="78">
        <v>12.1173401631318</v>
      </c>
      <c r="G163" s="78">
        <v>12.1173401631318</v>
      </c>
      <c r="H163" s="81">
        <v>12.332685762614799</v>
      </c>
    </row>
    <row r="164" spans="1:8" x14ac:dyDescent="0.3">
      <c r="A164" s="74" t="str">
        <f t="shared" si="2"/>
        <v>甘肃46296</v>
      </c>
      <c r="B164" s="75" t="s">
        <v>11</v>
      </c>
      <c r="C164" s="45">
        <v>46296</v>
      </c>
      <c r="D164" s="76">
        <v>1010.6743489612001</v>
      </c>
      <c r="E164" s="77">
        <v>125</v>
      </c>
      <c r="F164" s="78">
        <v>12.3246396466209</v>
      </c>
      <c r="G164" s="78">
        <v>12.3246396466209</v>
      </c>
      <c r="H164" s="81">
        <v>12.406240548475401</v>
      </c>
    </row>
    <row r="165" spans="1:8" x14ac:dyDescent="0.3">
      <c r="A165" s="74" t="str">
        <f t="shared" si="2"/>
        <v>甘肃46297</v>
      </c>
      <c r="B165" s="75" t="s">
        <v>11</v>
      </c>
      <c r="C165" s="45">
        <v>46297</v>
      </c>
      <c r="D165" s="76">
        <v>1010.6743489612001</v>
      </c>
      <c r="E165" s="77">
        <v>125</v>
      </c>
      <c r="F165" s="78">
        <v>12.3246396466209</v>
      </c>
      <c r="G165" s="78">
        <v>12.3246396466209</v>
      </c>
      <c r="H165" s="81">
        <v>12.406240548475401</v>
      </c>
    </row>
    <row r="166" spans="1:8" x14ac:dyDescent="0.3">
      <c r="A166" s="74" t="str">
        <f t="shared" si="2"/>
        <v>甘肃46298</v>
      </c>
      <c r="B166" s="75" t="s">
        <v>11</v>
      </c>
      <c r="C166" s="45">
        <v>46298</v>
      </c>
      <c r="D166" s="76">
        <v>1010.6743489612001</v>
      </c>
      <c r="E166" s="77">
        <v>125</v>
      </c>
      <c r="F166" s="78">
        <v>12.3246396466209</v>
      </c>
      <c r="G166" s="78">
        <v>12.3246396466209</v>
      </c>
      <c r="H166" s="81">
        <v>12.406240548475401</v>
      </c>
    </row>
    <row r="167" spans="1:8" x14ac:dyDescent="0.3">
      <c r="A167" s="74" t="str">
        <f t="shared" si="2"/>
        <v>甘肃46299</v>
      </c>
      <c r="B167" s="75" t="s">
        <v>11</v>
      </c>
      <c r="C167" s="45">
        <v>46299</v>
      </c>
      <c r="D167" s="76">
        <v>1010.6743489612001</v>
      </c>
      <c r="E167" s="77">
        <v>125</v>
      </c>
      <c r="F167" s="78">
        <v>12.3246396466209</v>
      </c>
      <c r="G167" s="78">
        <v>12.3246396466209</v>
      </c>
      <c r="H167" s="81">
        <v>12.406240548475401</v>
      </c>
    </row>
    <row r="168" spans="1:8" x14ac:dyDescent="0.3">
      <c r="A168" s="74" t="str">
        <f t="shared" si="2"/>
        <v>甘肃46300</v>
      </c>
      <c r="B168" s="75" t="s">
        <v>11</v>
      </c>
      <c r="C168" s="45">
        <v>46300</v>
      </c>
      <c r="D168" s="76">
        <v>1010.6743489612001</v>
      </c>
      <c r="E168" s="77">
        <v>125</v>
      </c>
      <c r="F168" s="78">
        <v>12.3246396466209</v>
      </c>
      <c r="G168" s="78">
        <v>12.3246396466209</v>
      </c>
      <c r="H168" s="81">
        <v>12.406240548475401</v>
      </c>
    </row>
    <row r="169" spans="1:8" x14ac:dyDescent="0.3">
      <c r="A169" s="74" t="str">
        <f t="shared" si="2"/>
        <v>甘肃46301</v>
      </c>
      <c r="B169" s="75" t="s">
        <v>11</v>
      </c>
      <c r="C169" s="45">
        <v>46301</v>
      </c>
      <c r="D169" s="76">
        <v>1010.6743489612001</v>
      </c>
      <c r="E169" s="77">
        <v>125</v>
      </c>
      <c r="F169" s="78">
        <v>12.3246396466209</v>
      </c>
      <c r="G169" s="78">
        <v>12.3246396466209</v>
      </c>
      <c r="H169" s="81">
        <v>12.406240548475401</v>
      </c>
    </row>
    <row r="170" spans="1:8" x14ac:dyDescent="0.3">
      <c r="A170" s="74" t="str">
        <f t="shared" si="2"/>
        <v>甘肃46302</v>
      </c>
      <c r="B170" s="75" t="s">
        <v>11</v>
      </c>
      <c r="C170" s="45">
        <v>46302</v>
      </c>
      <c r="D170" s="76">
        <v>1010.6743489612001</v>
      </c>
      <c r="E170" s="77">
        <v>125</v>
      </c>
      <c r="F170" s="78">
        <v>12.3246396466209</v>
      </c>
      <c r="G170" s="78">
        <v>12.3246396466209</v>
      </c>
      <c r="H170" s="81">
        <v>12.406240548475401</v>
      </c>
    </row>
    <row r="171" spans="1:8" x14ac:dyDescent="0.3">
      <c r="A171" s="74" t="str">
        <f t="shared" si="2"/>
        <v>甘肃46303</v>
      </c>
      <c r="B171" s="75" t="s">
        <v>11</v>
      </c>
      <c r="C171" s="45">
        <v>46303</v>
      </c>
      <c r="D171" s="76">
        <v>1010.6743489612001</v>
      </c>
      <c r="E171" s="77">
        <v>125</v>
      </c>
      <c r="F171" s="78">
        <v>12.3246396466209</v>
      </c>
      <c r="G171" s="78">
        <v>12.3246396466209</v>
      </c>
      <c r="H171" s="81">
        <v>12.406240548475401</v>
      </c>
    </row>
    <row r="172" spans="1:8" x14ac:dyDescent="0.3">
      <c r="A172" s="74" t="str">
        <f t="shared" si="2"/>
        <v>甘肃46304</v>
      </c>
      <c r="B172" s="75" t="s">
        <v>11</v>
      </c>
      <c r="C172" s="45">
        <v>46304</v>
      </c>
      <c r="D172" s="76">
        <v>1010.6743489612001</v>
      </c>
      <c r="E172" s="77">
        <v>125</v>
      </c>
      <c r="F172" s="78">
        <v>12.3246396466209</v>
      </c>
      <c r="G172" s="78">
        <v>12.3246396466209</v>
      </c>
      <c r="H172" s="81">
        <v>12.406240548475401</v>
      </c>
    </row>
    <row r="173" spans="1:8" x14ac:dyDescent="0.3">
      <c r="A173" s="74" t="str">
        <f t="shared" si="2"/>
        <v>甘肃46305</v>
      </c>
      <c r="B173" s="75" t="s">
        <v>11</v>
      </c>
      <c r="C173" s="45">
        <v>46305</v>
      </c>
      <c r="D173" s="76">
        <v>1010.6743489612001</v>
      </c>
      <c r="E173" s="77">
        <v>125</v>
      </c>
      <c r="F173" s="78">
        <v>12.3246396466209</v>
      </c>
      <c r="G173" s="78">
        <v>12.3246396466209</v>
      </c>
      <c r="H173" s="81">
        <v>12.406240548475401</v>
      </c>
    </row>
    <row r="174" spans="1:8" x14ac:dyDescent="0.3">
      <c r="A174" s="74" t="str">
        <f t="shared" si="2"/>
        <v>甘肃46306</v>
      </c>
      <c r="B174" s="75" t="s">
        <v>11</v>
      </c>
      <c r="C174" s="45">
        <v>46306</v>
      </c>
      <c r="D174" s="76">
        <v>1010.6743489612001</v>
      </c>
      <c r="E174" s="77">
        <v>125</v>
      </c>
      <c r="F174" s="78">
        <v>12.3246396466209</v>
      </c>
      <c r="G174" s="78">
        <v>12.3246396466209</v>
      </c>
      <c r="H174" s="81">
        <v>12.406240548475401</v>
      </c>
    </row>
    <row r="175" spans="1:8" x14ac:dyDescent="0.3">
      <c r="A175" s="74" t="str">
        <f t="shared" si="2"/>
        <v>甘肃46307</v>
      </c>
      <c r="B175" s="75" t="s">
        <v>11</v>
      </c>
      <c r="C175" s="45">
        <v>46307</v>
      </c>
      <c r="D175" s="76">
        <v>1010.6743489612001</v>
      </c>
      <c r="E175" s="77">
        <v>125</v>
      </c>
      <c r="F175" s="78">
        <v>12.3246396466209</v>
      </c>
      <c r="G175" s="78">
        <v>12.3246396466209</v>
      </c>
      <c r="H175" s="81">
        <v>12.406240548475401</v>
      </c>
    </row>
    <row r="176" spans="1:8" x14ac:dyDescent="0.3">
      <c r="A176" s="74" t="str">
        <f t="shared" si="2"/>
        <v>甘肃46308</v>
      </c>
      <c r="B176" s="75" t="s">
        <v>11</v>
      </c>
      <c r="C176" s="45">
        <v>46308</v>
      </c>
      <c r="D176" s="76">
        <v>1010.6743489612001</v>
      </c>
      <c r="E176" s="77">
        <v>125</v>
      </c>
      <c r="F176" s="78">
        <v>12.3246396466209</v>
      </c>
      <c r="G176" s="78">
        <v>12.3246396466209</v>
      </c>
      <c r="H176" s="81">
        <v>12.406240548475401</v>
      </c>
    </row>
    <row r="177" spans="1:8" x14ac:dyDescent="0.3">
      <c r="A177" s="74" t="str">
        <f t="shared" si="2"/>
        <v>甘肃46309</v>
      </c>
      <c r="B177" s="75" t="s">
        <v>11</v>
      </c>
      <c r="C177" s="45">
        <v>46309</v>
      </c>
      <c r="D177" s="76">
        <v>1010.6743489612001</v>
      </c>
      <c r="E177" s="77">
        <v>125</v>
      </c>
      <c r="F177" s="78">
        <v>12.3246396466209</v>
      </c>
      <c r="G177" s="78">
        <v>12.3246396466209</v>
      </c>
      <c r="H177" s="81">
        <v>12.406240548475401</v>
      </c>
    </row>
    <row r="178" spans="1:8" x14ac:dyDescent="0.3">
      <c r="A178" s="74" t="str">
        <f t="shared" si="2"/>
        <v>甘肃46310</v>
      </c>
      <c r="B178" s="75" t="s">
        <v>11</v>
      </c>
      <c r="C178" s="45">
        <v>46310</v>
      </c>
      <c r="D178" s="76">
        <v>1010.6743489612001</v>
      </c>
      <c r="E178" s="77">
        <v>125</v>
      </c>
      <c r="F178" s="78">
        <v>12.3246396466209</v>
      </c>
      <c r="G178" s="78">
        <v>12.3246396466209</v>
      </c>
      <c r="H178" s="81">
        <v>12.406240548475401</v>
      </c>
    </row>
    <row r="179" spans="1:8" x14ac:dyDescent="0.3">
      <c r="A179" s="74" t="str">
        <f t="shared" si="2"/>
        <v>甘肃46311</v>
      </c>
      <c r="B179" s="75" t="s">
        <v>11</v>
      </c>
      <c r="C179" s="45">
        <v>46311</v>
      </c>
      <c r="D179" s="76">
        <v>1010.6743489612001</v>
      </c>
      <c r="E179" s="77">
        <v>125</v>
      </c>
      <c r="F179" s="78">
        <v>12.3246396466209</v>
      </c>
      <c r="G179" s="78">
        <v>12.3246396466209</v>
      </c>
      <c r="H179" s="81">
        <v>12.406240548475401</v>
      </c>
    </row>
    <row r="180" spans="1:8" x14ac:dyDescent="0.3">
      <c r="A180" s="74" t="str">
        <f t="shared" si="2"/>
        <v>甘肃46312</v>
      </c>
      <c r="B180" s="75" t="s">
        <v>11</v>
      </c>
      <c r="C180" s="45">
        <v>46312</v>
      </c>
      <c r="D180" s="76">
        <v>1010.6743489612001</v>
      </c>
      <c r="E180" s="77">
        <v>125</v>
      </c>
      <c r="F180" s="78">
        <v>12.3246396466209</v>
      </c>
      <c r="G180" s="78">
        <v>12.3246396466209</v>
      </c>
      <c r="H180" s="81">
        <v>12.406240548475401</v>
      </c>
    </row>
    <row r="181" spans="1:8" x14ac:dyDescent="0.3">
      <c r="A181" s="74" t="str">
        <f t="shared" si="2"/>
        <v>甘肃46313</v>
      </c>
      <c r="B181" s="75" t="s">
        <v>11</v>
      </c>
      <c r="C181" s="45">
        <v>46313</v>
      </c>
      <c r="D181" s="76">
        <v>1010.6743489612001</v>
      </c>
      <c r="E181" s="77">
        <v>125</v>
      </c>
      <c r="F181" s="78">
        <v>12.3246396466209</v>
      </c>
      <c r="G181" s="78">
        <v>12.3246396466209</v>
      </c>
      <c r="H181" s="81">
        <v>12.406240548475401</v>
      </c>
    </row>
    <row r="182" spans="1:8" x14ac:dyDescent="0.3">
      <c r="A182" s="74" t="str">
        <f t="shared" si="2"/>
        <v>甘肃46314</v>
      </c>
      <c r="B182" s="75" t="s">
        <v>11</v>
      </c>
      <c r="C182" s="45">
        <v>46314</v>
      </c>
      <c r="D182" s="76">
        <v>1010.6743489612001</v>
      </c>
      <c r="E182" s="77">
        <v>125</v>
      </c>
      <c r="F182" s="78">
        <v>12.3246396466209</v>
      </c>
      <c r="G182" s="78">
        <v>12.3246396466209</v>
      </c>
      <c r="H182" s="81">
        <v>12.406240548475401</v>
      </c>
    </row>
    <row r="183" spans="1:8" x14ac:dyDescent="0.3">
      <c r="A183" s="74" t="str">
        <f t="shared" si="2"/>
        <v>甘肃46315</v>
      </c>
      <c r="B183" s="75" t="s">
        <v>11</v>
      </c>
      <c r="C183" s="45">
        <v>46315</v>
      </c>
      <c r="D183" s="76">
        <v>1010.6743489612001</v>
      </c>
      <c r="E183" s="77">
        <v>125</v>
      </c>
      <c r="F183" s="78">
        <v>12.3246396466209</v>
      </c>
      <c r="G183" s="78">
        <v>12.3246396466209</v>
      </c>
      <c r="H183" s="81">
        <v>12.406240548475401</v>
      </c>
    </row>
    <row r="184" spans="1:8" x14ac:dyDescent="0.3">
      <c r="A184" s="74" t="str">
        <f t="shared" si="2"/>
        <v>甘肃46316</v>
      </c>
      <c r="B184" s="75" t="s">
        <v>11</v>
      </c>
      <c r="C184" s="45">
        <v>46316</v>
      </c>
      <c r="D184" s="76">
        <v>1010.6743489612001</v>
      </c>
      <c r="E184" s="77">
        <v>125</v>
      </c>
      <c r="F184" s="78">
        <v>12.3246396466209</v>
      </c>
      <c r="G184" s="78">
        <v>12.3246396466209</v>
      </c>
      <c r="H184" s="81">
        <v>12.406240548475401</v>
      </c>
    </row>
    <row r="185" spans="1:8" x14ac:dyDescent="0.3">
      <c r="A185" s="74" t="str">
        <f t="shared" si="2"/>
        <v>甘肃46317</v>
      </c>
      <c r="B185" s="75" t="s">
        <v>11</v>
      </c>
      <c r="C185" s="45">
        <v>46317</v>
      </c>
      <c r="D185" s="76">
        <v>1010.6743489612001</v>
      </c>
      <c r="E185" s="77">
        <v>125</v>
      </c>
      <c r="F185" s="78">
        <v>12.3246396466209</v>
      </c>
      <c r="G185" s="78">
        <v>12.3246396466209</v>
      </c>
      <c r="H185" s="81">
        <v>12.406240548475401</v>
      </c>
    </row>
    <row r="186" spans="1:8" x14ac:dyDescent="0.3">
      <c r="A186" s="74" t="str">
        <f t="shared" si="2"/>
        <v>甘肃46318</v>
      </c>
      <c r="B186" s="75" t="s">
        <v>11</v>
      </c>
      <c r="C186" s="45">
        <v>46318</v>
      </c>
      <c r="D186" s="76">
        <v>1010.6743489612001</v>
      </c>
      <c r="E186" s="77">
        <v>125</v>
      </c>
      <c r="F186" s="78">
        <v>12.3246396466209</v>
      </c>
      <c r="G186" s="78">
        <v>12.3246396466209</v>
      </c>
      <c r="H186" s="81">
        <v>12.406240548475401</v>
      </c>
    </row>
    <row r="187" spans="1:8" x14ac:dyDescent="0.3">
      <c r="A187" s="74" t="str">
        <f t="shared" si="2"/>
        <v>甘肃46319</v>
      </c>
      <c r="B187" s="75" t="s">
        <v>11</v>
      </c>
      <c r="C187" s="45">
        <v>46319</v>
      </c>
      <c r="D187" s="76">
        <v>1010.6743489612001</v>
      </c>
      <c r="E187" s="77">
        <v>125</v>
      </c>
      <c r="F187" s="78">
        <v>12.3246396466209</v>
      </c>
      <c r="G187" s="78">
        <v>12.3246396466209</v>
      </c>
      <c r="H187" s="81">
        <v>12.406240548475401</v>
      </c>
    </row>
    <row r="188" spans="1:8" x14ac:dyDescent="0.3">
      <c r="A188" s="74" t="str">
        <f t="shared" si="2"/>
        <v>甘肃46320</v>
      </c>
      <c r="B188" s="75" t="s">
        <v>11</v>
      </c>
      <c r="C188" s="45">
        <v>46320</v>
      </c>
      <c r="D188" s="76">
        <v>1010.6743489612001</v>
      </c>
      <c r="E188" s="77">
        <v>125</v>
      </c>
      <c r="F188" s="78">
        <v>12.3246396466209</v>
      </c>
      <c r="G188" s="78">
        <v>12.3246396466209</v>
      </c>
      <c r="H188" s="81">
        <v>12.406240548475401</v>
      </c>
    </row>
    <row r="189" spans="1:8" x14ac:dyDescent="0.3">
      <c r="A189" s="74" t="str">
        <f t="shared" si="2"/>
        <v>甘肃46321</v>
      </c>
      <c r="B189" s="75" t="s">
        <v>11</v>
      </c>
      <c r="C189" s="45">
        <v>46321</v>
      </c>
      <c r="D189" s="76">
        <v>1010.6743489612001</v>
      </c>
      <c r="E189" s="77">
        <v>125</v>
      </c>
      <c r="F189" s="78">
        <v>12.3246396466209</v>
      </c>
      <c r="G189" s="78">
        <v>12.3246396466209</v>
      </c>
      <c r="H189" s="81">
        <v>12.406240548475401</v>
      </c>
    </row>
    <row r="190" spans="1:8" x14ac:dyDescent="0.3">
      <c r="A190" s="74" t="str">
        <f t="shared" si="2"/>
        <v>甘肃46322</v>
      </c>
      <c r="B190" s="75" t="s">
        <v>11</v>
      </c>
      <c r="C190" s="45">
        <v>46322</v>
      </c>
      <c r="D190" s="76">
        <v>1010.6743489612001</v>
      </c>
      <c r="E190" s="77">
        <v>125</v>
      </c>
      <c r="F190" s="78">
        <v>12.3246396466209</v>
      </c>
      <c r="G190" s="78">
        <v>12.3246396466209</v>
      </c>
      <c r="H190" s="81">
        <v>12.406240548475401</v>
      </c>
    </row>
    <row r="191" spans="1:8" x14ac:dyDescent="0.3">
      <c r="A191" s="74" t="str">
        <f t="shared" si="2"/>
        <v>甘肃46323</v>
      </c>
      <c r="B191" s="75" t="s">
        <v>11</v>
      </c>
      <c r="C191" s="45">
        <v>46323</v>
      </c>
      <c r="D191" s="76">
        <v>1010.6743489612001</v>
      </c>
      <c r="E191" s="77">
        <v>125</v>
      </c>
      <c r="F191" s="78">
        <v>12.3246396466209</v>
      </c>
      <c r="G191" s="78">
        <v>12.3246396466209</v>
      </c>
      <c r="H191" s="81">
        <v>12.406240548475401</v>
      </c>
    </row>
    <row r="192" spans="1:8" x14ac:dyDescent="0.3">
      <c r="A192" s="74" t="str">
        <f t="shared" si="2"/>
        <v>甘肃46324</v>
      </c>
      <c r="B192" s="75" t="s">
        <v>11</v>
      </c>
      <c r="C192" s="45">
        <v>46324</v>
      </c>
      <c r="D192" s="76">
        <v>1010.6743489612001</v>
      </c>
      <c r="E192" s="77">
        <v>125</v>
      </c>
      <c r="F192" s="78">
        <v>12.3246396466209</v>
      </c>
      <c r="G192" s="78">
        <v>12.3246396466209</v>
      </c>
      <c r="H192" s="81">
        <v>12.406240548475401</v>
      </c>
    </row>
    <row r="193" spans="1:8" x14ac:dyDescent="0.3">
      <c r="A193" s="74" t="str">
        <f t="shared" si="2"/>
        <v>甘肃46325</v>
      </c>
      <c r="B193" s="75" t="s">
        <v>11</v>
      </c>
      <c r="C193" s="45">
        <v>46325</v>
      </c>
      <c r="D193" s="76">
        <v>1010.6743489612001</v>
      </c>
      <c r="E193" s="77">
        <v>125</v>
      </c>
      <c r="F193" s="78">
        <v>12.3246396466209</v>
      </c>
      <c r="G193" s="78">
        <v>12.3246396466209</v>
      </c>
      <c r="H193" s="81">
        <v>12.406240548475401</v>
      </c>
    </row>
    <row r="194" spans="1:8" x14ac:dyDescent="0.3">
      <c r="A194" s="74" t="str">
        <f t="shared" si="2"/>
        <v>甘肃46326</v>
      </c>
      <c r="B194" s="75" t="s">
        <v>11</v>
      </c>
      <c r="C194" s="45">
        <v>46326</v>
      </c>
      <c r="D194" s="76">
        <v>1010.6743489612001</v>
      </c>
      <c r="E194" s="77">
        <v>125</v>
      </c>
      <c r="F194" s="78">
        <v>12.3246396466209</v>
      </c>
      <c r="G194" s="78">
        <v>12.3246396466209</v>
      </c>
      <c r="H194" s="81">
        <v>12.406240548475401</v>
      </c>
    </row>
    <row r="195" spans="1:8" x14ac:dyDescent="0.3">
      <c r="A195" s="74" t="str">
        <f t="shared" ref="A195:A258" si="3">B195&amp;C195</f>
        <v>甘肃46327</v>
      </c>
      <c r="B195" s="75" t="s">
        <v>11</v>
      </c>
      <c r="C195" s="45">
        <v>46327</v>
      </c>
      <c r="D195" s="76">
        <v>733.74824641590999</v>
      </c>
      <c r="E195" s="77">
        <v>125</v>
      </c>
      <c r="F195" s="78">
        <v>12.610402561386699</v>
      </c>
      <c r="G195" s="78">
        <v>12.610402561386699</v>
      </c>
      <c r="H195" s="81">
        <v>12.4797953343359</v>
      </c>
    </row>
    <row r="196" spans="1:8" x14ac:dyDescent="0.3">
      <c r="A196" s="74" t="str">
        <f t="shared" si="3"/>
        <v>甘肃46328</v>
      </c>
      <c r="B196" s="75" t="s">
        <v>11</v>
      </c>
      <c r="C196" s="45">
        <v>46328</v>
      </c>
      <c r="D196" s="76">
        <v>733.74824641590999</v>
      </c>
      <c r="E196" s="77">
        <v>125</v>
      </c>
      <c r="F196" s="78">
        <v>12.610402561386699</v>
      </c>
      <c r="G196" s="78">
        <v>12.610402561386699</v>
      </c>
      <c r="H196" s="81">
        <v>12.4797953343359</v>
      </c>
    </row>
    <row r="197" spans="1:8" x14ac:dyDescent="0.3">
      <c r="A197" s="74" t="str">
        <f t="shared" si="3"/>
        <v>甘肃46329</v>
      </c>
      <c r="B197" s="75" t="s">
        <v>11</v>
      </c>
      <c r="C197" s="45">
        <v>46329</v>
      </c>
      <c r="D197" s="76">
        <v>733.74824641590999</v>
      </c>
      <c r="E197" s="77">
        <v>125</v>
      </c>
      <c r="F197" s="78">
        <v>12.610402561386699</v>
      </c>
      <c r="G197" s="78">
        <v>12.610402561386699</v>
      </c>
      <c r="H197" s="81">
        <v>12.4797953343359</v>
      </c>
    </row>
    <row r="198" spans="1:8" x14ac:dyDescent="0.3">
      <c r="A198" s="74" t="str">
        <f t="shared" si="3"/>
        <v>甘肃46330</v>
      </c>
      <c r="B198" s="75" t="s">
        <v>11</v>
      </c>
      <c r="C198" s="45">
        <v>46330</v>
      </c>
      <c r="D198" s="76">
        <v>733.74824641590999</v>
      </c>
      <c r="E198" s="77">
        <v>125</v>
      </c>
      <c r="F198" s="78">
        <v>12.610402561386699</v>
      </c>
      <c r="G198" s="78">
        <v>12.610402561386699</v>
      </c>
      <c r="H198" s="81">
        <v>12.4797953343359</v>
      </c>
    </row>
    <row r="199" spans="1:8" x14ac:dyDescent="0.3">
      <c r="A199" s="74" t="str">
        <f t="shared" si="3"/>
        <v>甘肃46331</v>
      </c>
      <c r="B199" s="75" t="s">
        <v>11</v>
      </c>
      <c r="C199" s="45">
        <v>46331</v>
      </c>
      <c r="D199" s="76">
        <v>733.74824641590999</v>
      </c>
      <c r="E199" s="77">
        <v>125</v>
      </c>
      <c r="F199" s="78">
        <v>12.610402561386699</v>
      </c>
      <c r="G199" s="78">
        <v>12.610402561386699</v>
      </c>
      <c r="H199" s="81">
        <v>12.4797953343359</v>
      </c>
    </row>
    <row r="200" spans="1:8" x14ac:dyDescent="0.3">
      <c r="A200" s="74" t="str">
        <f t="shared" si="3"/>
        <v>甘肃46332</v>
      </c>
      <c r="B200" s="75" t="s">
        <v>11</v>
      </c>
      <c r="C200" s="45">
        <v>46332</v>
      </c>
      <c r="D200" s="76">
        <v>733.74824641590999</v>
      </c>
      <c r="E200" s="77">
        <v>125</v>
      </c>
      <c r="F200" s="78">
        <v>12.610402561386699</v>
      </c>
      <c r="G200" s="78">
        <v>12.610402561386699</v>
      </c>
      <c r="H200" s="81">
        <v>12.4797953343359</v>
      </c>
    </row>
    <row r="201" spans="1:8" x14ac:dyDescent="0.3">
      <c r="A201" s="74" t="str">
        <f t="shared" si="3"/>
        <v>甘肃46333</v>
      </c>
      <c r="B201" s="75" t="s">
        <v>11</v>
      </c>
      <c r="C201" s="45">
        <v>46333</v>
      </c>
      <c r="D201" s="76">
        <v>733.74824641590999</v>
      </c>
      <c r="E201" s="77">
        <v>125</v>
      </c>
      <c r="F201" s="78">
        <v>12.610402561386699</v>
      </c>
      <c r="G201" s="78">
        <v>12.610402561386699</v>
      </c>
      <c r="H201" s="81">
        <v>12.4797953343359</v>
      </c>
    </row>
    <row r="202" spans="1:8" x14ac:dyDescent="0.3">
      <c r="A202" s="74" t="str">
        <f t="shared" si="3"/>
        <v>甘肃46334</v>
      </c>
      <c r="B202" s="75" t="s">
        <v>11</v>
      </c>
      <c r="C202" s="45">
        <v>46334</v>
      </c>
      <c r="D202" s="76">
        <v>733.74824641590999</v>
      </c>
      <c r="E202" s="77">
        <v>125</v>
      </c>
      <c r="F202" s="78">
        <v>12.610402561386699</v>
      </c>
      <c r="G202" s="78">
        <v>12.610402561386699</v>
      </c>
      <c r="H202" s="81">
        <v>12.4797953343359</v>
      </c>
    </row>
    <row r="203" spans="1:8" x14ac:dyDescent="0.3">
      <c r="A203" s="74" t="str">
        <f t="shared" si="3"/>
        <v>甘肃46335</v>
      </c>
      <c r="B203" s="75" t="s">
        <v>11</v>
      </c>
      <c r="C203" s="45">
        <v>46335</v>
      </c>
      <c r="D203" s="76">
        <v>733.74824641590999</v>
      </c>
      <c r="E203" s="77">
        <v>125</v>
      </c>
      <c r="F203" s="78">
        <v>12.610402561386699</v>
      </c>
      <c r="G203" s="78">
        <v>12.610402561386699</v>
      </c>
      <c r="H203" s="81">
        <v>12.4797953343359</v>
      </c>
    </row>
    <row r="204" spans="1:8" x14ac:dyDescent="0.3">
      <c r="A204" s="74" t="str">
        <f t="shared" si="3"/>
        <v>甘肃46336</v>
      </c>
      <c r="B204" s="75" t="s">
        <v>11</v>
      </c>
      <c r="C204" s="45">
        <v>46336</v>
      </c>
      <c r="D204" s="76">
        <v>733.74824641590999</v>
      </c>
      <c r="E204" s="77">
        <v>125</v>
      </c>
      <c r="F204" s="78">
        <v>12.610402561386699</v>
      </c>
      <c r="G204" s="78">
        <v>12.610402561386699</v>
      </c>
      <c r="H204" s="81">
        <v>12.4797953343359</v>
      </c>
    </row>
    <row r="205" spans="1:8" x14ac:dyDescent="0.3">
      <c r="A205" s="74" t="str">
        <f t="shared" si="3"/>
        <v>甘肃46337</v>
      </c>
      <c r="B205" s="75" t="s">
        <v>11</v>
      </c>
      <c r="C205" s="45">
        <v>46337</v>
      </c>
      <c r="D205" s="76">
        <v>733.74824641590999</v>
      </c>
      <c r="E205" s="77">
        <v>125</v>
      </c>
      <c r="F205" s="78">
        <v>12.610402561386699</v>
      </c>
      <c r="G205" s="78">
        <v>12.610402561386699</v>
      </c>
      <c r="H205" s="81">
        <v>12.4797953343359</v>
      </c>
    </row>
    <row r="206" spans="1:8" x14ac:dyDescent="0.3">
      <c r="A206" s="74" t="str">
        <f t="shared" si="3"/>
        <v>甘肃46338</v>
      </c>
      <c r="B206" s="75" t="s">
        <v>11</v>
      </c>
      <c r="C206" s="45">
        <v>46338</v>
      </c>
      <c r="D206" s="76">
        <v>733.74824641590999</v>
      </c>
      <c r="E206" s="77">
        <v>125</v>
      </c>
      <c r="F206" s="78">
        <v>12.610402561386699</v>
      </c>
      <c r="G206" s="78">
        <v>12.610402561386699</v>
      </c>
      <c r="H206" s="81">
        <v>12.4797953343359</v>
      </c>
    </row>
    <row r="207" spans="1:8" x14ac:dyDescent="0.3">
      <c r="A207" s="74" t="str">
        <f t="shared" si="3"/>
        <v>甘肃46339</v>
      </c>
      <c r="B207" s="75" t="s">
        <v>11</v>
      </c>
      <c r="C207" s="45">
        <v>46339</v>
      </c>
      <c r="D207" s="76">
        <v>733.74824641590999</v>
      </c>
      <c r="E207" s="77">
        <v>125</v>
      </c>
      <c r="F207" s="78">
        <v>12.610402561386699</v>
      </c>
      <c r="G207" s="78">
        <v>12.610402561386699</v>
      </c>
      <c r="H207" s="81">
        <v>12.4797953343359</v>
      </c>
    </row>
    <row r="208" spans="1:8" x14ac:dyDescent="0.3">
      <c r="A208" s="74" t="str">
        <f t="shared" si="3"/>
        <v>甘肃46340</v>
      </c>
      <c r="B208" s="75" t="s">
        <v>11</v>
      </c>
      <c r="C208" s="45">
        <v>46340</v>
      </c>
      <c r="D208" s="76">
        <v>733.74824641590999</v>
      </c>
      <c r="E208" s="77">
        <v>125</v>
      </c>
      <c r="F208" s="78">
        <v>12.610402561386699</v>
      </c>
      <c r="G208" s="78">
        <v>12.610402561386699</v>
      </c>
      <c r="H208" s="81">
        <v>12.4797953343359</v>
      </c>
    </row>
    <row r="209" spans="1:8" x14ac:dyDescent="0.3">
      <c r="A209" s="74" t="str">
        <f t="shared" si="3"/>
        <v>甘肃46341</v>
      </c>
      <c r="B209" s="75" t="s">
        <v>11</v>
      </c>
      <c r="C209" s="45">
        <v>46341</v>
      </c>
      <c r="D209" s="76">
        <v>733.74824641590999</v>
      </c>
      <c r="E209" s="77">
        <v>125</v>
      </c>
      <c r="F209" s="78">
        <v>12.610402561386699</v>
      </c>
      <c r="G209" s="78">
        <v>12.610402561386699</v>
      </c>
      <c r="H209" s="81">
        <v>12.4797953343359</v>
      </c>
    </row>
    <row r="210" spans="1:8" x14ac:dyDescent="0.3">
      <c r="A210" s="74" t="str">
        <f t="shared" si="3"/>
        <v>甘肃46342</v>
      </c>
      <c r="B210" s="75" t="s">
        <v>11</v>
      </c>
      <c r="C210" s="45">
        <v>46342</v>
      </c>
      <c r="D210" s="76">
        <v>733.74824641590999</v>
      </c>
      <c r="E210" s="77">
        <v>125</v>
      </c>
      <c r="F210" s="78">
        <v>12.610402561386699</v>
      </c>
      <c r="G210" s="78">
        <v>12.610402561386699</v>
      </c>
      <c r="H210" s="81">
        <v>12.4797953343359</v>
      </c>
    </row>
    <row r="211" spans="1:8" x14ac:dyDescent="0.3">
      <c r="A211" s="74" t="str">
        <f t="shared" si="3"/>
        <v>甘肃46343</v>
      </c>
      <c r="B211" s="75" t="s">
        <v>11</v>
      </c>
      <c r="C211" s="45">
        <v>46343</v>
      </c>
      <c r="D211" s="76">
        <v>733.74824641590999</v>
      </c>
      <c r="E211" s="77">
        <v>125</v>
      </c>
      <c r="F211" s="78">
        <v>12.610402561386699</v>
      </c>
      <c r="G211" s="78">
        <v>12.610402561386699</v>
      </c>
      <c r="H211" s="81">
        <v>12.4797953343359</v>
      </c>
    </row>
    <row r="212" spans="1:8" x14ac:dyDescent="0.3">
      <c r="A212" s="74" t="str">
        <f t="shared" si="3"/>
        <v>甘肃46344</v>
      </c>
      <c r="B212" s="75" t="s">
        <v>11</v>
      </c>
      <c r="C212" s="45">
        <v>46344</v>
      </c>
      <c r="D212" s="76">
        <v>733.74824641590999</v>
      </c>
      <c r="E212" s="77">
        <v>125</v>
      </c>
      <c r="F212" s="78">
        <v>12.610402561386699</v>
      </c>
      <c r="G212" s="78">
        <v>12.610402561386699</v>
      </c>
      <c r="H212" s="81">
        <v>12.4797953343359</v>
      </c>
    </row>
    <row r="213" spans="1:8" x14ac:dyDescent="0.3">
      <c r="A213" s="74" t="str">
        <f t="shared" si="3"/>
        <v>甘肃46345</v>
      </c>
      <c r="B213" s="75" t="s">
        <v>11</v>
      </c>
      <c r="C213" s="45">
        <v>46345</v>
      </c>
      <c r="D213" s="76">
        <v>733.74824641590999</v>
      </c>
      <c r="E213" s="77">
        <v>125</v>
      </c>
      <c r="F213" s="78">
        <v>12.610402561386699</v>
      </c>
      <c r="G213" s="78">
        <v>12.610402561386699</v>
      </c>
      <c r="H213" s="81">
        <v>12.4797953343359</v>
      </c>
    </row>
    <row r="214" spans="1:8" x14ac:dyDescent="0.3">
      <c r="A214" s="74" t="str">
        <f t="shared" si="3"/>
        <v>甘肃46346</v>
      </c>
      <c r="B214" s="75" t="s">
        <v>11</v>
      </c>
      <c r="C214" s="45">
        <v>46346</v>
      </c>
      <c r="D214" s="76">
        <v>733.74824641590999</v>
      </c>
      <c r="E214" s="77">
        <v>125</v>
      </c>
      <c r="F214" s="78">
        <v>12.610402561386699</v>
      </c>
      <c r="G214" s="78">
        <v>12.610402561386699</v>
      </c>
      <c r="H214" s="81">
        <v>12.4797953343359</v>
      </c>
    </row>
    <row r="215" spans="1:8" x14ac:dyDescent="0.3">
      <c r="A215" s="74" t="str">
        <f t="shared" si="3"/>
        <v>甘肃46347</v>
      </c>
      <c r="B215" s="75" t="s">
        <v>11</v>
      </c>
      <c r="C215" s="45">
        <v>46347</v>
      </c>
      <c r="D215" s="76">
        <v>733.74824641590999</v>
      </c>
      <c r="E215" s="77">
        <v>125</v>
      </c>
      <c r="F215" s="78">
        <v>12.610402561386699</v>
      </c>
      <c r="G215" s="78">
        <v>12.610402561386699</v>
      </c>
      <c r="H215" s="81">
        <v>12.4797953343359</v>
      </c>
    </row>
    <row r="216" spans="1:8" x14ac:dyDescent="0.3">
      <c r="A216" s="74" t="str">
        <f t="shared" si="3"/>
        <v>甘肃46348</v>
      </c>
      <c r="B216" s="75" t="s">
        <v>11</v>
      </c>
      <c r="C216" s="45">
        <v>46348</v>
      </c>
      <c r="D216" s="76">
        <v>733.74824641590999</v>
      </c>
      <c r="E216" s="77">
        <v>125</v>
      </c>
      <c r="F216" s="78">
        <v>12.610402561386699</v>
      </c>
      <c r="G216" s="78">
        <v>12.610402561386699</v>
      </c>
      <c r="H216" s="81">
        <v>12.4797953343359</v>
      </c>
    </row>
    <row r="217" spans="1:8" x14ac:dyDescent="0.3">
      <c r="A217" s="74" t="str">
        <f t="shared" si="3"/>
        <v>甘肃46349</v>
      </c>
      <c r="B217" s="75" t="s">
        <v>11</v>
      </c>
      <c r="C217" s="45">
        <v>46349</v>
      </c>
      <c r="D217" s="76">
        <v>733.74824641590999</v>
      </c>
      <c r="E217" s="77">
        <v>125</v>
      </c>
      <c r="F217" s="78">
        <v>12.610402561386699</v>
      </c>
      <c r="G217" s="78">
        <v>12.610402561386699</v>
      </c>
      <c r="H217" s="81">
        <v>12.4797953343359</v>
      </c>
    </row>
    <row r="218" spans="1:8" x14ac:dyDescent="0.3">
      <c r="A218" s="74" t="str">
        <f t="shared" si="3"/>
        <v>甘肃46350</v>
      </c>
      <c r="B218" s="75" t="s">
        <v>11</v>
      </c>
      <c r="C218" s="45">
        <v>46350</v>
      </c>
      <c r="D218" s="76">
        <v>733.74824641590999</v>
      </c>
      <c r="E218" s="77">
        <v>125</v>
      </c>
      <c r="F218" s="78">
        <v>12.610402561386699</v>
      </c>
      <c r="G218" s="78">
        <v>12.610402561386699</v>
      </c>
      <c r="H218" s="81">
        <v>12.4797953343359</v>
      </c>
    </row>
    <row r="219" spans="1:8" x14ac:dyDescent="0.3">
      <c r="A219" s="74" t="str">
        <f t="shared" si="3"/>
        <v>甘肃46351</v>
      </c>
      <c r="B219" s="75" t="s">
        <v>11</v>
      </c>
      <c r="C219" s="45">
        <v>46351</v>
      </c>
      <c r="D219" s="76">
        <v>733.74824641590999</v>
      </c>
      <c r="E219" s="77">
        <v>125</v>
      </c>
      <c r="F219" s="78">
        <v>12.610402561386699</v>
      </c>
      <c r="G219" s="78">
        <v>12.610402561386699</v>
      </c>
      <c r="H219" s="81">
        <v>12.4797953343359</v>
      </c>
    </row>
    <row r="220" spans="1:8" x14ac:dyDescent="0.3">
      <c r="A220" s="74" t="str">
        <f t="shared" si="3"/>
        <v>甘肃46352</v>
      </c>
      <c r="B220" s="75" t="s">
        <v>11</v>
      </c>
      <c r="C220" s="45">
        <v>46352</v>
      </c>
      <c r="D220" s="76">
        <v>733.74824641590999</v>
      </c>
      <c r="E220" s="77">
        <v>125</v>
      </c>
      <c r="F220" s="78">
        <v>12.610402561386699</v>
      </c>
      <c r="G220" s="78">
        <v>12.610402561386699</v>
      </c>
      <c r="H220" s="81">
        <v>12.4797953343359</v>
      </c>
    </row>
    <row r="221" spans="1:8" x14ac:dyDescent="0.3">
      <c r="A221" s="74" t="str">
        <f t="shared" si="3"/>
        <v>甘肃46353</v>
      </c>
      <c r="B221" s="75" t="s">
        <v>11</v>
      </c>
      <c r="C221" s="45">
        <v>46353</v>
      </c>
      <c r="D221" s="76">
        <v>733.74824641590999</v>
      </c>
      <c r="E221" s="77">
        <v>125</v>
      </c>
      <c r="F221" s="78">
        <v>12.610402561386699</v>
      </c>
      <c r="G221" s="78">
        <v>12.610402561386699</v>
      </c>
      <c r="H221" s="81">
        <v>12.4797953343359</v>
      </c>
    </row>
    <row r="222" spans="1:8" x14ac:dyDescent="0.3">
      <c r="A222" s="74" t="str">
        <f t="shared" si="3"/>
        <v>甘肃46354</v>
      </c>
      <c r="B222" s="75" t="s">
        <v>11</v>
      </c>
      <c r="C222" s="45">
        <v>46354</v>
      </c>
      <c r="D222" s="76">
        <v>733.74824641590999</v>
      </c>
      <c r="E222" s="77">
        <v>125</v>
      </c>
      <c r="F222" s="78">
        <v>12.610402561386699</v>
      </c>
      <c r="G222" s="78">
        <v>12.610402561386699</v>
      </c>
      <c r="H222" s="81">
        <v>12.4797953343359</v>
      </c>
    </row>
    <row r="223" spans="1:8" x14ac:dyDescent="0.3">
      <c r="A223" s="74" t="str">
        <f t="shared" si="3"/>
        <v>甘肃46355</v>
      </c>
      <c r="B223" s="75" t="s">
        <v>11</v>
      </c>
      <c r="C223" s="45">
        <v>46355</v>
      </c>
      <c r="D223" s="76">
        <v>733.74824641590999</v>
      </c>
      <c r="E223" s="77">
        <v>125</v>
      </c>
      <c r="F223" s="78">
        <v>12.610402561386699</v>
      </c>
      <c r="G223" s="78">
        <v>12.610402561386699</v>
      </c>
      <c r="H223" s="81">
        <v>12.4797953343359</v>
      </c>
    </row>
    <row r="224" spans="1:8" x14ac:dyDescent="0.3">
      <c r="A224" s="74" t="str">
        <f t="shared" si="3"/>
        <v>甘肃46356</v>
      </c>
      <c r="B224" s="75" t="s">
        <v>11</v>
      </c>
      <c r="C224" s="45">
        <v>46356</v>
      </c>
      <c r="D224" s="76">
        <v>733.74824641590999</v>
      </c>
      <c r="E224" s="77">
        <v>125</v>
      </c>
      <c r="F224" s="78">
        <v>12.610402561386699</v>
      </c>
      <c r="G224" s="78">
        <v>12.610402561386699</v>
      </c>
      <c r="H224" s="81">
        <v>12.4797953343359</v>
      </c>
    </row>
    <row r="225" spans="1:8" x14ac:dyDescent="0.3">
      <c r="A225" s="74" t="str">
        <f t="shared" si="3"/>
        <v>甘肃46357</v>
      </c>
      <c r="B225" s="75" t="s">
        <v>11</v>
      </c>
      <c r="C225" s="45">
        <v>46357</v>
      </c>
      <c r="D225" s="76">
        <v>848.97416225901998</v>
      </c>
      <c r="E225" s="77">
        <v>125</v>
      </c>
      <c r="F225" s="78">
        <v>13.2933660207517</v>
      </c>
      <c r="G225" s="78">
        <v>13.2933660207517</v>
      </c>
      <c r="H225" s="81">
        <v>12.7102669966989</v>
      </c>
    </row>
    <row r="226" spans="1:8" x14ac:dyDescent="0.3">
      <c r="A226" s="74" t="str">
        <f t="shared" si="3"/>
        <v>甘肃46358</v>
      </c>
      <c r="B226" s="75" t="s">
        <v>11</v>
      </c>
      <c r="C226" s="45">
        <v>46358</v>
      </c>
      <c r="D226" s="76">
        <v>848.97416225901998</v>
      </c>
      <c r="E226" s="77">
        <v>125</v>
      </c>
      <c r="F226" s="78">
        <v>13.2933660207517</v>
      </c>
      <c r="G226" s="78">
        <v>13.2933660207517</v>
      </c>
      <c r="H226" s="81">
        <v>12.7102669966989</v>
      </c>
    </row>
    <row r="227" spans="1:8" x14ac:dyDescent="0.3">
      <c r="A227" s="74" t="str">
        <f t="shared" si="3"/>
        <v>甘肃46359</v>
      </c>
      <c r="B227" s="75" t="s">
        <v>11</v>
      </c>
      <c r="C227" s="45">
        <v>46359</v>
      </c>
      <c r="D227" s="76">
        <v>848.97416225901998</v>
      </c>
      <c r="E227" s="77">
        <v>125</v>
      </c>
      <c r="F227" s="78">
        <v>13.2933660207517</v>
      </c>
      <c r="G227" s="78">
        <v>13.2933660207517</v>
      </c>
      <c r="H227" s="81">
        <v>12.7102669966989</v>
      </c>
    </row>
    <row r="228" spans="1:8" x14ac:dyDescent="0.3">
      <c r="A228" s="74" t="str">
        <f t="shared" si="3"/>
        <v>甘肃46360</v>
      </c>
      <c r="B228" s="75" t="s">
        <v>11</v>
      </c>
      <c r="C228" s="45">
        <v>46360</v>
      </c>
      <c r="D228" s="76">
        <v>848.97416225901998</v>
      </c>
      <c r="E228" s="77">
        <v>125</v>
      </c>
      <c r="F228" s="78">
        <v>13.2933660207517</v>
      </c>
      <c r="G228" s="78">
        <v>13.2933660207517</v>
      </c>
      <c r="H228" s="81">
        <v>12.7102669966989</v>
      </c>
    </row>
    <row r="229" spans="1:8" x14ac:dyDescent="0.3">
      <c r="A229" s="74" t="str">
        <f t="shared" si="3"/>
        <v>甘肃46361</v>
      </c>
      <c r="B229" s="75" t="s">
        <v>11</v>
      </c>
      <c r="C229" s="45">
        <v>46361</v>
      </c>
      <c r="D229" s="76">
        <v>848.97416225901998</v>
      </c>
      <c r="E229" s="77">
        <v>125</v>
      </c>
      <c r="F229" s="78">
        <v>13.2933660207517</v>
      </c>
      <c r="G229" s="78">
        <v>13.2933660207517</v>
      </c>
      <c r="H229" s="81">
        <v>12.7102669966989</v>
      </c>
    </row>
    <row r="230" spans="1:8" x14ac:dyDescent="0.3">
      <c r="A230" s="74" t="str">
        <f t="shared" si="3"/>
        <v>甘肃46362</v>
      </c>
      <c r="B230" s="75" t="s">
        <v>11</v>
      </c>
      <c r="C230" s="45">
        <v>46362</v>
      </c>
      <c r="D230" s="76">
        <v>848.97416225901998</v>
      </c>
      <c r="E230" s="77">
        <v>125</v>
      </c>
      <c r="F230" s="78">
        <v>13.2933660207517</v>
      </c>
      <c r="G230" s="78">
        <v>13.2933660207517</v>
      </c>
      <c r="H230" s="81">
        <v>12.7102669966989</v>
      </c>
    </row>
    <row r="231" spans="1:8" x14ac:dyDescent="0.3">
      <c r="A231" s="74" t="str">
        <f t="shared" si="3"/>
        <v>甘肃46363</v>
      </c>
      <c r="B231" s="75" t="s">
        <v>11</v>
      </c>
      <c r="C231" s="45">
        <v>46363</v>
      </c>
      <c r="D231" s="76">
        <v>848.97416225901998</v>
      </c>
      <c r="E231" s="77">
        <v>125</v>
      </c>
      <c r="F231" s="78">
        <v>13.2933660207517</v>
      </c>
      <c r="G231" s="78">
        <v>13.2933660207517</v>
      </c>
      <c r="H231" s="81">
        <v>12.7102669966989</v>
      </c>
    </row>
    <row r="232" spans="1:8" x14ac:dyDescent="0.3">
      <c r="A232" s="74" t="str">
        <f t="shared" si="3"/>
        <v>甘肃46364</v>
      </c>
      <c r="B232" s="75" t="s">
        <v>11</v>
      </c>
      <c r="C232" s="45">
        <v>46364</v>
      </c>
      <c r="D232" s="76">
        <v>848.97416225901998</v>
      </c>
      <c r="E232" s="77">
        <v>125</v>
      </c>
      <c r="F232" s="78">
        <v>13.2933660207517</v>
      </c>
      <c r="G232" s="78">
        <v>13.2933660207517</v>
      </c>
      <c r="H232" s="81">
        <v>12.7102669966989</v>
      </c>
    </row>
    <row r="233" spans="1:8" x14ac:dyDescent="0.3">
      <c r="A233" s="74" t="str">
        <f t="shared" si="3"/>
        <v>甘肃46365</v>
      </c>
      <c r="B233" s="75" t="s">
        <v>11</v>
      </c>
      <c r="C233" s="45">
        <v>46365</v>
      </c>
      <c r="D233" s="76">
        <v>848.97416225901998</v>
      </c>
      <c r="E233" s="77">
        <v>125</v>
      </c>
      <c r="F233" s="78">
        <v>13.2933660207517</v>
      </c>
      <c r="G233" s="78">
        <v>13.2933660207517</v>
      </c>
      <c r="H233" s="81">
        <v>12.7102669966989</v>
      </c>
    </row>
    <row r="234" spans="1:8" x14ac:dyDescent="0.3">
      <c r="A234" s="74" t="str">
        <f t="shared" si="3"/>
        <v>甘肃46366</v>
      </c>
      <c r="B234" s="75" t="s">
        <v>11</v>
      </c>
      <c r="C234" s="45">
        <v>46366</v>
      </c>
      <c r="D234" s="76">
        <v>848.97416225901998</v>
      </c>
      <c r="E234" s="77">
        <v>125</v>
      </c>
      <c r="F234" s="78">
        <v>13.2933660207517</v>
      </c>
      <c r="G234" s="78">
        <v>13.2933660207517</v>
      </c>
      <c r="H234" s="81">
        <v>12.7102669966989</v>
      </c>
    </row>
    <row r="235" spans="1:8" x14ac:dyDescent="0.3">
      <c r="A235" s="74" t="str">
        <f t="shared" si="3"/>
        <v>甘肃46367</v>
      </c>
      <c r="B235" s="75" t="s">
        <v>11</v>
      </c>
      <c r="C235" s="45">
        <v>46367</v>
      </c>
      <c r="D235" s="76">
        <v>848.97416225901998</v>
      </c>
      <c r="E235" s="77">
        <v>125</v>
      </c>
      <c r="F235" s="78">
        <v>13.2933660207517</v>
      </c>
      <c r="G235" s="78">
        <v>13.2933660207517</v>
      </c>
      <c r="H235" s="81">
        <v>12.7102669966989</v>
      </c>
    </row>
    <row r="236" spans="1:8" x14ac:dyDescent="0.3">
      <c r="A236" s="74" t="str">
        <f t="shared" si="3"/>
        <v>甘肃46368</v>
      </c>
      <c r="B236" s="75" t="s">
        <v>11</v>
      </c>
      <c r="C236" s="45">
        <v>46368</v>
      </c>
      <c r="D236" s="76">
        <v>848.97416225901998</v>
      </c>
      <c r="E236" s="77">
        <v>125</v>
      </c>
      <c r="F236" s="78">
        <v>13.2933660207517</v>
      </c>
      <c r="G236" s="78">
        <v>13.2933660207517</v>
      </c>
      <c r="H236" s="81">
        <v>12.7102669966989</v>
      </c>
    </row>
    <row r="237" spans="1:8" x14ac:dyDescent="0.3">
      <c r="A237" s="74" t="str">
        <f t="shared" si="3"/>
        <v>甘肃46369</v>
      </c>
      <c r="B237" s="75" t="s">
        <v>11</v>
      </c>
      <c r="C237" s="45">
        <v>46369</v>
      </c>
      <c r="D237" s="76">
        <v>848.97416225901998</v>
      </c>
      <c r="E237" s="77">
        <v>125</v>
      </c>
      <c r="F237" s="78">
        <v>13.2933660207517</v>
      </c>
      <c r="G237" s="78">
        <v>13.2933660207517</v>
      </c>
      <c r="H237" s="81">
        <v>12.7102669966989</v>
      </c>
    </row>
    <row r="238" spans="1:8" x14ac:dyDescent="0.3">
      <c r="A238" s="74" t="str">
        <f t="shared" si="3"/>
        <v>甘肃46370</v>
      </c>
      <c r="B238" s="75" t="s">
        <v>11</v>
      </c>
      <c r="C238" s="45">
        <v>46370</v>
      </c>
      <c r="D238" s="76">
        <v>848.97416225901998</v>
      </c>
      <c r="E238" s="77">
        <v>125</v>
      </c>
      <c r="F238" s="78">
        <v>13.2933660207517</v>
      </c>
      <c r="G238" s="78">
        <v>13.2933660207517</v>
      </c>
      <c r="H238" s="81">
        <v>12.7102669966989</v>
      </c>
    </row>
    <row r="239" spans="1:8" x14ac:dyDescent="0.3">
      <c r="A239" s="74" t="str">
        <f t="shared" si="3"/>
        <v>甘肃46371</v>
      </c>
      <c r="B239" s="75" t="s">
        <v>11</v>
      </c>
      <c r="C239" s="45">
        <v>46371</v>
      </c>
      <c r="D239" s="76">
        <v>848.97416225901998</v>
      </c>
      <c r="E239" s="77">
        <v>125</v>
      </c>
      <c r="F239" s="78">
        <v>13.2933660207517</v>
      </c>
      <c r="G239" s="78">
        <v>13.2933660207517</v>
      </c>
      <c r="H239" s="81">
        <v>12.7102669966989</v>
      </c>
    </row>
    <row r="240" spans="1:8" x14ac:dyDescent="0.3">
      <c r="A240" s="74" t="str">
        <f t="shared" si="3"/>
        <v>甘肃46372</v>
      </c>
      <c r="B240" s="75" t="s">
        <v>11</v>
      </c>
      <c r="C240" s="45">
        <v>46372</v>
      </c>
      <c r="D240" s="76">
        <v>848.97416225901998</v>
      </c>
      <c r="E240" s="77">
        <v>125</v>
      </c>
      <c r="F240" s="78">
        <v>13.2933660207517</v>
      </c>
      <c r="G240" s="78">
        <v>13.2933660207517</v>
      </c>
      <c r="H240" s="81">
        <v>12.7102669966989</v>
      </c>
    </row>
    <row r="241" spans="1:8" x14ac:dyDescent="0.3">
      <c r="A241" s="74" t="str">
        <f t="shared" si="3"/>
        <v>甘肃46373</v>
      </c>
      <c r="B241" s="75" t="s">
        <v>11</v>
      </c>
      <c r="C241" s="45">
        <v>46373</v>
      </c>
      <c r="D241" s="76">
        <v>848.97416225901998</v>
      </c>
      <c r="E241" s="77">
        <v>125</v>
      </c>
      <c r="F241" s="78">
        <v>13.2933660207517</v>
      </c>
      <c r="G241" s="78">
        <v>13.2933660207517</v>
      </c>
      <c r="H241" s="81">
        <v>12.7102669966989</v>
      </c>
    </row>
    <row r="242" spans="1:8" x14ac:dyDescent="0.3">
      <c r="A242" s="74" t="str">
        <f t="shared" si="3"/>
        <v>甘肃46374</v>
      </c>
      <c r="B242" s="75" t="s">
        <v>11</v>
      </c>
      <c r="C242" s="45">
        <v>46374</v>
      </c>
      <c r="D242" s="76">
        <v>848.97416225901998</v>
      </c>
      <c r="E242" s="77">
        <v>125</v>
      </c>
      <c r="F242" s="78">
        <v>13.2933660207517</v>
      </c>
      <c r="G242" s="78">
        <v>13.2933660207517</v>
      </c>
      <c r="H242" s="81">
        <v>12.7102669966989</v>
      </c>
    </row>
    <row r="243" spans="1:8" x14ac:dyDescent="0.3">
      <c r="A243" s="74" t="str">
        <f t="shared" si="3"/>
        <v>甘肃46375</v>
      </c>
      <c r="B243" s="75" t="s">
        <v>11</v>
      </c>
      <c r="C243" s="45">
        <v>46375</v>
      </c>
      <c r="D243" s="76">
        <v>848.97416225901998</v>
      </c>
      <c r="E243" s="77">
        <v>125</v>
      </c>
      <c r="F243" s="78">
        <v>13.2933660207517</v>
      </c>
      <c r="G243" s="78">
        <v>13.2933660207517</v>
      </c>
      <c r="H243" s="81">
        <v>12.7102669966989</v>
      </c>
    </row>
    <row r="244" spans="1:8" x14ac:dyDescent="0.3">
      <c r="A244" s="74" t="str">
        <f t="shared" si="3"/>
        <v>甘肃46376</v>
      </c>
      <c r="B244" s="75" t="s">
        <v>11</v>
      </c>
      <c r="C244" s="45">
        <v>46376</v>
      </c>
      <c r="D244" s="76">
        <v>848.97416225901998</v>
      </c>
      <c r="E244" s="77">
        <v>125</v>
      </c>
      <c r="F244" s="78">
        <v>13.2933660207517</v>
      </c>
      <c r="G244" s="78">
        <v>13.2933660207517</v>
      </c>
      <c r="H244" s="81">
        <v>12.7102669966989</v>
      </c>
    </row>
    <row r="245" spans="1:8" x14ac:dyDescent="0.3">
      <c r="A245" s="74" t="str">
        <f t="shared" si="3"/>
        <v>甘肃46377</v>
      </c>
      <c r="B245" s="75" t="s">
        <v>11</v>
      </c>
      <c r="C245" s="45">
        <v>46377</v>
      </c>
      <c r="D245" s="76">
        <v>848.97416225901998</v>
      </c>
      <c r="E245" s="77">
        <v>125</v>
      </c>
      <c r="F245" s="78">
        <v>13.2933660207517</v>
      </c>
      <c r="G245" s="78">
        <v>13.2933660207517</v>
      </c>
      <c r="H245" s="81">
        <v>12.7102669966989</v>
      </c>
    </row>
    <row r="246" spans="1:8" x14ac:dyDescent="0.3">
      <c r="A246" s="74" t="str">
        <f t="shared" si="3"/>
        <v>甘肃46378</v>
      </c>
      <c r="B246" s="75" t="s">
        <v>11</v>
      </c>
      <c r="C246" s="45">
        <v>46378</v>
      </c>
      <c r="D246" s="76">
        <v>848.97416225901998</v>
      </c>
      <c r="E246" s="77">
        <v>125</v>
      </c>
      <c r="F246" s="78">
        <v>13.2933660207517</v>
      </c>
      <c r="G246" s="78">
        <v>13.2933660207517</v>
      </c>
      <c r="H246" s="81">
        <v>12.7102669966989</v>
      </c>
    </row>
    <row r="247" spans="1:8" x14ac:dyDescent="0.3">
      <c r="A247" s="74" t="str">
        <f t="shared" si="3"/>
        <v>甘肃46379</v>
      </c>
      <c r="B247" s="75" t="s">
        <v>11</v>
      </c>
      <c r="C247" s="45">
        <v>46379</v>
      </c>
      <c r="D247" s="76">
        <v>848.97416225901998</v>
      </c>
      <c r="E247" s="77">
        <v>125</v>
      </c>
      <c r="F247" s="78">
        <v>13.2933660207517</v>
      </c>
      <c r="G247" s="78">
        <v>13.2933660207517</v>
      </c>
      <c r="H247" s="81">
        <v>12.7102669966989</v>
      </c>
    </row>
    <row r="248" spans="1:8" x14ac:dyDescent="0.3">
      <c r="A248" s="74" t="str">
        <f t="shared" si="3"/>
        <v>甘肃46380</v>
      </c>
      <c r="B248" s="75" t="s">
        <v>11</v>
      </c>
      <c r="C248" s="45">
        <v>46380</v>
      </c>
      <c r="D248" s="76">
        <v>848.97416225901998</v>
      </c>
      <c r="E248" s="77">
        <v>125</v>
      </c>
      <c r="F248" s="78">
        <v>13.2933660207517</v>
      </c>
      <c r="G248" s="78">
        <v>13.2933660207517</v>
      </c>
      <c r="H248" s="81">
        <v>12.7102669966989</v>
      </c>
    </row>
    <row r="249" spans="1:8" x14ac:dyDescent="0.3">
      <c r="A249" s="74" t="str">
        <f t="shared" si="3"/>
        <v>甘肃46381</v>
      </c>
      <c r="B249" s="75" t="s">
        <v>11</v>
      </c>
      <c r="C249" s="45">
        <v>46381</v>
      </c>
      <c r="D249" s="76">
        <v>848.97416225901998</v>
      </c>
      <c r="E249" s="77">
        <v>125</v>
      </c>
      <c r="F249" s="78">
        <v>13.2933660207517</v>
      </c>
      <c r="G249" s="78">
        <v>13.2933660207517</v>
      </c>
      <c r="H249" s="81">
        <v>12.7102669966989</v>
      </c>
    </row>
    <row r="250" spans="1:8" x14ac:dyDescent="0.3">
      <c r="A250" s="74" t="str">
        <f t="shared" si="3"/>
        <v>甘肃46382</v>
      </c>
      <c r="B250" s="75" t="s">
        <v>11</v>
      </c>
      <c r="C250" s="45">
        <v>46382</v>
      </c>
      <c r="D250" s="76">
        <v>848.97416225901998</v>
      </c>
      <c r="E250" s="77">
        <v>125</v>
      </c>
      <c r="F250" s="78">
        <v>13.2933660207517</v>
      </c>
      <c r="G250" s="78">
        <v>13.2933660207517</v>
      </c>
      <c r="H250" s="81">
        <v>12.7102669966989</v>
      </c>
    </row>
    <row r="251" spans="1:8" x14ac:dyDescent="0.3">
      <c r="A251" s="74" t="str">
        <f t="shared" si="3"/>
        <v>甘肃46383</v>
      </c>
      <c r="B251" s="75" t="s">
        <v>11</v>
      </c>
      <c r="C251" s="45">
        <v>46383</v>
      </c>
      <c r="D251" s="76">
        <v>848.97416225901998</v>
      </c>
      <c r="E251" s="77">
        <v>125</v>
      </c>
      <c r="F251" s="78">
        <v>13.2933660207517</v>
      </c>
      <c r="G251" s="78">
        <v>13.2933660207517</v>
      </c>
      <c r="H251" s="81">
        <v>12.7102669966989</v>
      </c>
    </row>
    <row r="252" spans="1:8" x14ac:dyDescent="0.3">
      <c r="A252" s="74" t="str">
        <f t="shared" si="3"/>
        <v>甘肃46384</v>
      </c>
      <c r="B252" s="75" t="s">
        <v>11</v>
      </c>
      <c r="C252" s="45">
        <v>46384</v>
      </c>
      <c r="D252" s="76">
        <v>848.97416225901998</v>
      </c>
      <c r="E252" s="77">
        <v>125</v>
      </c>
      <c r="F252" s="78">
        <v>13.2933660207517</v>
      </c>
      <c r="G252" s="78">
        <v>13.2933660207517</v>
      </c>
      <c r="H252" s="81">
        <v>12.7102669966989</v>
      </c>
    </row>
    <row r="253" spans="1:8" x14ac:dyDescent="0.3">
      <c r="A253" s="74" t="str">
        <f t="shared" si="3"/>
        <v>甘肃46385</v>
      </c>
      <c r="B253" s="75" t="s">
        <v>11</v>
      </c>
      <c r="C253" s="45">
        <v>46385</v>
      </c>
      <c r="D253" s="76">
        <v>848.97416225901998</v>
      </c>
      <c r="E253" s="77">
        <v>125</v>
      </c>
      <c r="F253" s="78">
        <v>13.2933660207517</v>
      </c>
      <c r="G253" s="78">
        <v>13.2933660207517</v>
      </c>
      <c r="H253" s="81">
        <v>12.7102669966989</v>
      </c>
    </row>
    <row r="254" spans="1:8" x14ac:dyDescent="0.3">
      <c r="A254" s="74" t="str">
        <f t="shared" si="3"/>
        <v>甘肃46386</v>
      </c>
      <c r="B254" s="75" t="s">
        <v>11</v>
      </c>
      <c r="C254" s="45">
        <v>46386</v>
      </c>
      <c r="D254" s="76">
        <v>848.97416225901998</v>
      </c>
      <c r="E254" s="77">
        <v>125</v>
      </c>
      <c r="F254" s="78">
        <v>13.2933660207517</v>
      </c>
      <c r="G254" s="78">
        <v>13.2933660207517</v>
      </c>
      <c r="H254" s="81">
        <v>12.7102669966989</v>
      </c>
    </row>
    <row r="255" spans="1:8" x14ac:dyDescent="0.3">
      <c r="A255" s="74" t="str">
        <f t="shared" si="3"/>
        <v>甘肃46387</v>
      </c>
      <c r="B255" s="82" t="s">
        <v>11</v>
      </c>
      <c r="C255" s="83">
        <v>46387</v>
      </c>
      <c r="D255" s="84">
        <v>848.97416225901998</v>
      </c>
      <c r="E255" s="85">
        <v>125</v>
      </c>
      <c r="F255" s="86">
        <v>13.2933660207517</v>
      </c>
      <c r="G255" s="86">
        <v>13.2933660207517</v>
      </c>
      <c r="H255" s="87">
        <v>12.7102669966989</v>
      </c>
    </row>
    <row r="256" spans="1:8" x14ac:dyDescent="0.3">
      <c r="A256" s="74" t="str">
        <f t="shared" si="3"/>
        <v>吉林46135</v>
      </c>
      <c r="B256" s="75" t="s">
        <v>12</v>
      </c>
      <c r="C256" s="45">
        <v>46135</v>
      </c>
      <c r="D256" s="76">
        <v>850.72583827859603</v>
      </c>
      <c r="E256" s="77">
        <v>125</v>
      </c>
      <c r="F256" s="78">
        <v>8.8366857907670795</v>
      </c>
      <c r="G256" s="78">
        <v>8.8366857907670795</v>
      </c>
      <c r="H256" s="81">
        <v>9.3950609235486606</v>
      </c>
    </row>
    <row r="257" spans="1:8" x14ac:dyDescent="0.3">
      <c r="A257" s="74" t="str">
        <f t="shared" si="3"/>
        <v>吉林46136</v>
      </c>
      <c r="B257" s="75" t="s">
        <v>12</v>
      </c>
      <c r="C257" s="45">
        <v>46136</v>
      </c>
      <c r="D257" s="76">
        <v>850.72583827859603</v>
      </c>
      <c r="E257" s="77">
        <v>125</v>
      </c>
      <c r="F257" s="78">
        <v>8.8366857907670795</v>
      </c>
      <c r="G257" s="78">
        <v>8.8366857907670795</v>
      </c>
      <c r="H257" s="81">
        <v>9.3950609235486606</v>
      </c>
    </row>
    <row r="258" spans="1:8" x14ac:dyDescent="0.3">
      <c r="A258" s="74" t="str">
        <f t="shared" si="3"/>
        <v>吉林46137</v>
      </c>
      <c r="B258" s="75" t="s">
        <v>12</v>
      </c>
      <c r="C258" s="45">
        <v>46137</v>
      </c>
      <c r="D258" s="76">
        <v>850.72583827859603</v>
      </c>
      <c r="E258" s="77">
        <v>125</v>
      </c>
      <c r="F258" s="78">
        <v>8.8366857907670795</v>
      </c>
      <c r="G258" s="78">
        <v>8.8366857907670795</v>
      </c>
      <c r="H258" s="81">
        <v>9.3950609235486606</v>
      </c>
    </row>
    <row r="259" spans="1:8" x14ac:dyDescent="0.3">
      <c r="A259" s="74" t="str">
        <f t="shared" ref="A259:A322" si="4">B259&amp;C259</f>
        <v>吉林46138</v>
      </c>
      <c r="B259" s="75" t="s">
        <v>12</v>
      </c>
      <c r="C259" s="45">
        <v>46138</v>
      </c>
      <c r="D259" s="76">
        <v>850.72583827859603</v>
      </c>
      <c r="E259" s="77">
        <v>125</v>
      </c>
      <c r="F259" s="78">
        <v>8.8366857907670795</v>
      </c>
      <c r="G259" s="78">
        <v>8.8366857907670795</v>
      </c>
      <c r="H259" s="81">
        <v>9.3950609235486606</v>
      </c>
    </row>
    <row r="260" spans="1:8" x14ac:dyDescent="0.3">
      <c r="A260" s="74" t="str">
        <f t="shared" si="4"/>
        <v>吉林46139</v>
      </c>
      <c r="B260" s="75" t="s">
        <v>12</v>
      </c>
      <c r="C260" s="45">
        <v>46139</v>
      </c>
      <c r="D260" s="76">
        <v>850.72583827859603</v>
      </c>
      <c r="E260" s="77">
        <v>125</v>
      </c>
      <c r="F260" s="78">
        <v>8.8366857907670795</v>
      </c>
      <c r="G260" s="78">
        <v>8.8366857907670795</v>
      </c>
      <c r="H260" s="81">
        <v>9.3950609235486606</v>
      </c>
    </row>
    <row r="261" spans="1:8" x14ac:dyDescent="0.3">
      <c r="A261" s="74" t="str">
        <f t="shared" si="4"/>
        <v>吉林46140</v>
      </c>
      <c r="B261" s="75" t="s">
        <v>12</v>
      </c>
      <c r="C261" s="45">
        <v>46140</v>
      </c>
      <c r="D261" s="76">
        <v>850.72583827859603</v>
      </c>
      <c r="E261" s="77">
        <v>125</v>
      </c>
      <c r="F261" s="78">
        <v>8.8366857907670795</v>
      </c>
      <c r="G261" s="78">
        <v>8.8366857907670795</v>
      </c>
      <c r="H261" s="81">
        <v>9.3950609235486606</v>
      </c>
    </row>
    <row r="262" spans="1:8" x14ac:dyDescent="0.3">
      <c r="A262" s="74" t="str">
        <f t="shared" si="4"/>
        <v>吉林46141</v>
      </c>
      <c r="B262" s="75" t="s">
        <v>12</v>
      </c>
      <c r="C262" s="45">
        <v>46141</v>
      </c>
      <c r="D262" s="76">
        <v>850.72583827859603</v>
      </c>
      <c r="E262" s="77">
        <v>125</v>
      </c>
      <c r="F262" s="78">
        <v>8.8366857907670795</v>
      </c>
      <c r="G262" s="78">
        <v>8.8366857907670795</v>
      </c>
      <c r="H262" s="81">
        <v>9.3950609235486606</v>
      </c>
    </row>
    <row r="263" spans="1:8" x14ac:dyDescent="0.3">
      <c r="A263" s="74" t="str">
        <f t="shared" si="4"/>
        <v>吉林46142</v>
      </c>
      <c r="B263" s="75" t="s">
        <v>12</v>
      </c>
      <c r="C263" s="45">
        <v>46142</v>
      </c>
      <c r="D263" s="76">
        <v>850.72583827859603</v>
      </c>
      <c r="E263" s="77">
        <v>125</v>
      </c>
      <c r="F263" s="78">
        <v>8.8366857907670795</v>
      </c>
      <c r="G263" s="78">
        <v>8.8366857907670795</v>
      </c>
      <c r="H263" s="81">
        <v>9.3950609235486606</v>
      </c>
    </row>
    <row r="264" spans="1:8" x14ac:dyDescent="0.3">
      <c r="A264" s="74" t="str">
        <f t="shared" si="4"/>
        <v>吉林46143</v>
      </c>
      <c r="B264" s="75" t="s">
        <v>12</v>
      </c>
      <c r="C264" s="45">
        <v>46143</v>
      </c>
      <c r="D264" s="76">
        <v>878.92884462372194</v>
      </c>
      <c r="E264" s="77">
        <v>125</v>
      </c>
      <c r="F264" s="78">
        <v>10.284558036462</v>
      </c>
      <c r="G264" s="78">
        <v>10.284558036462</v>
      </c>
      <c r="H264" s="81">
        <v>9.6084192432284006</v>
      </c>
    </row>
    <row r="265" spans="1:8" x14ac:dyDescent="0.3">
      <c r="A265" s="74" t="str">
        <f t="shared" si="4"/>
        <v>吉林46144</v>
      </c>
      <c r="B265" s="75" t="s">
        <v>12</v>
      </c>
      <c r="C265" s="45">
        <v>46144</v>
      </c>
      <c r="D265" s="76">
        <v>878.92884462372194</v>
      </c>
      <c r="E265" s="77">
        <v>125</v>
      </c>
      <c r="F265" s="78">
        <v>10.284558036462</v>
      </c>
      <c r="G265" s="78">
        <v>10.284558036462</v>
      </c>
      <c r="H265" s="81">
        <v>9.6084192432284006</v>
      </c>
    </row>
    <row r="266" spans="1:8" x14ac:dyDescent="0.3">
      <c r="A266" s="74" t="str">
        <f t="shared" si="4"/>
        <v>吉林46145</v>
      </c>
      <c r="B266" s="75" t="s">
        <v>12</v>
      </c>
      <c r="C266" s="45">
        <v>46145</v>
      </c>
      <c r="D266" s="76">
        <v>878.92884462372194</v>
      </c>
      <c r="E266" s="77">
        <v>125</v>
      </c>
      <c r="F266" s="78">
        <v>10.284558036462</v>
      </c>
      <c r="G266" s="78">
        <v>10.284558036462</v>
      </c>
      <c r="H266" s="81">
        <v>9.6084192432284006</v>
      </c>
    </row>
    <row r="267" spans="1:8" x14ac:dyDescent="0.3">
      <c r="A267" s="74" t="str">
        <f t="shared" si="4"/>
        <v>吉林46146</v>
      </c>
      <c r="B267" s="75" t="s">
        <v>12</v>
      </c>
      <c r="C267" s="45">
        <v>46146</v>
      </c>
      <c r="D267" s="76">
        <v>878.92884462372194</v>
      </c>
      <c r="E267" s="77">
        <v>125</v>
      </c>
      <c r="F267" s="78">
        <v>10.284558036462</v>
      </c>
      <c r="G267" s="78">
        <v>10.284558036462</v>
      </c>
      <c r="H267" s="81">
        <v>9.6084192432284006</v>
      </c>
    </row>
    <row r="268" spans="1:8" x14ac:dyDescent="0.3">
      <c r="A268" s="74" t="str">
        <f t="shared" si="4"/>
        <v>吉林46147</v>
      </c>
      <c r="B268" s="75" t="s">
        <v>12</v>
      </c>
      <c r="C268" s="45">
        <v>46147</v>
      </c>
      <c r="D268" s="76">
        <v>878.92884462372194</v>
      </c>
      <c r="E268" s="77">
        <v>125</v>
      </c>
      <c r="F268" s="78">
        <v>10.284558036462</v>
      </c>
      <c r="G268" s="78">
        <v>10.284558036462</v>
      </c>
      <c r="H268" s="81">
        <v>9.6084192432284006</v>
      </c>
    </row>
    <row r="269" spans="1:8" x14ac:dyDescent="0.3">
      <c r="A269" s="74" t="str">
        <f t="shared" si="4"/>
        <v>吉林46148</v>
      </c>
      <c r="B269" s="75" t="s">
        <v>12</v>
      </c>
      <c r="C269" s="45">
        <v>46148</v>
      </c>
      <c r="D269" s="76">
        <v>878.92884462372194</v>
      </c>
      <c r="E269" s="77">
        <v>125</v>
      </c>
      <c r="F269" s="78">
        <v>10.284558036462</v>
      </c>
      <c r="G269" s="78">
        <v>10.284558036462</v>
      </c>
      <c r="H269" s="81">
        <v>9.6084192432284006</v>
      </c>
    </row>
    <row r="270" spans="1:8" x14ac:dyDescent="0.3">
      <c r="A270" s="74" t="str">
        <f t="shared" si="4"/>
        <v>吉林46149</v>
      </c>
      <c r="B270" s="75" t="s">
        <v>12</v>
      </c>
      <c r="C270" s="45">
        <v>46149</v>
      </c>
      <c r="D270" s="76">
        <v>878.92884462372194</v>
      </c>
      <c r="E270" s="77">
        <v>125</v>
      </c>
      <c r="F270" s="78">
        <v>10.284558036462</v>
      </c>
      <c r="G270" s="78">
        <v>10.284558036462</v>
      </c>
      <c r="H270" s="81">
        <v>9.6084192432284006</v>
      </c>
    </row>
    <row r="271" spans="1:8" x14ac:dyDescent="0.3">
      <c r="A271" s="74" t="str">
        <f t="shared" si="4"/>
        <v>吉林46150</v>
      </c>
      <c r="B271" s="75" t="s">
        <v>12</v>
      </c>
      <c r="C271" s="45">
        <v>46150</v>
      </c>
      <c r="D271" s="76">
        <v>878.92884462372194</v>
      </c>
      <c r="E271" s="77">
        <v>125</v>
      </c>
      <c r="F271" s="78">
        <v>10.284558036462</v>
      </c>
      <c r="G271" s="78">
        <v>10.284558036462</v>
      </c>
      <c r="H271" s="81">
        <v>9.6084192432284006</v>
      </c>
    </row>
    <row r="272" spans="1:8" x14ac:dyDescent="0.3">
      <c r="A272" s="74" t="str">
        <f t="shared" si="4"/>
        <v>吉林46151</v>
      </c>
      <c r="B272" s="75" t="s">
        <v>12</v>
      </c>
      <c r="C272" s="45">
        <v>46151</v>
      </c>
      <c r="D272" s="76">
        <v>878.92884462372194</v>
      </c>
      <c r="E272" s="77">
        <v>125</v>
      </c>
      <c r="F272" s="78">
        <v>10.284558036462</v>
      </c>
      <c r="G272" s="78">
        <v>10.284558036462</v>
      </c>
      <c r="H272" s="81">
        <v>9.6084192432284006</v>
      </c>
    </row>
    <row r="273" spans="1:8" x14ac:dyDescent="0.3">
      <c r="A273" s="74" t="str">
        <f t="shared" si="4"/>
        <v>吉林46152</v>
      </c>
      <c r="B273" s="75" t="s">
        <v>12</v>
      </c>
      <c r="C273" s="45">
        <v>46152</v>
      </c>
      <c r="D273" s="76">
        <v>878.92884462372194</v>
      </c>
      <c r="E273" s="77">
        <v>125</v>
      </c>
      <c r="F273" s="78">
        <v>10.284558036462</v>
      </c>
      <c r="G273" s="78">
        <v>10.284558036462</v>
      </c>
      <c r="H273" s="81">
        <v>9.6084192432284006</v>
      </c>
    </row>
    <row r="274" spans="1:8" x14ac:dyDescent="0.3">
      <c r="A274" s="74" t="str">
        <f t="shared" si="4"/>
        <v>吉林46153</v>
      </c>
      <c r="B274" s="75" t="s">
        <v>12</v>
      </c>
      <c r="C274" s="45">
        <v>46153</v>
      </c>
      <c r="D274" s="76">
        <v>878.92884462372194</v>
      </c>
      <c r="E274" s="77">
        <v>125</v>
      </c>
      <c r="F274" s="78">
        <v>10.284558036462</v>
      </c>
      <c r="G274" s="78">
        <v>10.284558036462</v>
      </c>
      <c r="H274" s="81">
        <v>9.6084192432284006</v>
      </c>
    </row>
    <row r="275" spans="1:8" x14ac:dyDescent="0.3">
      <c r="A275" s="74" t="str">
        <f t="shared" si="4"/>
        <v>吉林46154</v>
      </c>
      <c r="B275" s="75" t="s">
        <v>12</v>
      </c>
      <c r="C275" s="45">
        <v>46154</v>
      </c>
      <c r="D275" s="76">
        <v>878.92884462372194</v>
      </c>
      <c r="E275" s="77">
        <v>125</v>
      </c>
      <c r="F275" s="78">
        <v>10.284558036462</v>
      </c>
      <c r="G275" s="78">
        <v>10.284558036462</v>
      </c>
      <c r="H275" s="81">
        <v>9.6084192432284006</v>
      </c>
    </row>
    <row r="276" spans="1:8" x14ac:dyDescent="0.3">
      <c r="A276" s="74" t="str">
        <f t="shared" si="4"/>
        <v>吉林46155</v>
      </c>
      <c r="B276" s="75" t="s">
        <v>12</v>
      </c>
      <c r="C276" s="45">
        <v>46155</v>
      </c>
      <c r="D276" s="76">
        <v>878.92884462372194</v>
      </c>
      <c r="E276" s="77">
        <v>125</v>
      </c>
      <c r="F276" s="78">
        <v>10.284558036462</v>
      </c>
      <c r="G276" s="78">
        <v>10.284558036462</v>
      </c>
      <c r="H276" s="81">
        <v>9.6084192432284006</v>
      </c>
    </row>
    <row r="277" spans="1:8" x14ac:dyDescent="0.3">
      <c r="A277" s="74" t="str">
        <f t="shared" si="4"/>
        <v>吉林46156</v>
      </c>
      <c r="B277" s="75" t="s">
        <v>12</v>
      </c>
      <c r="C277" s="45">
        <v>46156</v>
      </c>
      <c r="D277" s="76">
        <v>878.92884462372194</v>
      </c>
      <c r="E277" s="77">
        <v>125</v>
      </c>
      <c r="F277" s="78">
        <v>10.284558036462</v>
      </c>
      <c r="G277" s="78">
        <v>10.284558036462</v>
      </c>
      <c r="H277" s="81">
        <v>9.6084192432284006</v>
      </c>
    </row>
    <row r="278" spans="1:8" x14ac:dyDescent="0.3">
      <c r="A278" s="74" t="str">
        <f t="shared" si="4"/>
        <v>吉林46157</v>
      </c>
      <c r="B278" s="75" t="s">
        <v>12</v>
      </c>
      <c r="C278" s="45">
        <v>46157</v>
      </c>
      <c r="D278" s="76">
        <v>878.92884462372194</v>
      </c>
      <c r="E278" s="77">
        <v>125</v>
      </c>
      <c r="F278" s="78">
        <v>10.284558036462</v>
      </c>
      <c r="G278" s="78">
        <v>10.284558036462</v>
      </c>
      <c r="H278" s="81">
        <v>9.6084192432284006</v>
      </c>
    </row>
    <row r="279" spans="1:8" x14ac:dyDescent="0.3">
      <c r="A279" s="74" t="str">
        <f t="shared" si="4"/>
        <v>吉林46158</v>
      </c>
      <c r="B279" s="75" t="s">
        <v>12</v>
      </c>
      <c r="C279" s="45">
        <v>46158</v>
      </c>
      <c r="D279" s="76">
        <v>878.92884462372194</v>
      </c>
      <c r="E279" s="77">
        <v>125</v>
      </c>
      <c r="F279" s="78">
        <v>10.284558036462</v>
      </c>
      <c r="G279" s="78">
        <v>10.284558036462</v>
      </c>
      <c r="H279" s="81">
        <v>9.6084192432284006</v>
      </c>
    </row>
    <row r="280" spans="1:8" x14ac:dyDescent="0.3">
      <c r="A280" s="74" t="str">
        <f t="shared" si="4"/>
        <v>吉林46159</v>
      </c>
      <c r="B280" s="75" t="s">
        <v>12</v>
      </c>
      <c r="C280" s="45">
        <v>46159</v>
      </c>
      <c r="D280" s="76">
        <v>878.92884462372194</v>
      </c>
      <c r="E280" s="77">
        <v>125</v>
      </c>
      <c r="F280" s="78">
        <v>10.284558036462</v>
      </c>
      <c r="G280" s="78">
        <v>10.284558036462</v>
      </c>
      <c r="H280" s="81">
        <v>9.6084192432284006</v>
      </c>
    </row>
    <row r="281" spans="1:8" x14ac:dyDescent="0.3">
      <c r="A281" s="74" t="str">
        <f t="shared" si="4"/>
        <v>吉林46160</v>
      </c>
      <c r="B281" s="75" t="s">
        <v>12</v>
      </c>
      <c r="C281" s="45">
        <v>46160</v>
      </c>
      <c r="D281" s="76">
        <v>878.92884462372194</v>
      </c>
      <c r="E281" s="77">
        <v>125</v>
      </c>
      <c r="F281" s="78">
        <v>10.284558036462</v>
      </c>
      <c r="G281" s="78">
        <v>10.284558036462</v>
      </c>
      <c r="H281" s="81">
        <v>9.6084192432284006</v>
      </c>
    </row>
    <row r="282" spans="1:8" x14ac:dyDescent="0.3">
      <c r="A282" s="74" t="str">
        <f t="shared" si="4"/>
        <v>吉林46161</v>
      </c>
      <c r="B282" s="75" t="s">
        <v>12</v>
      </c>
      <c r="C282" s="45">
        <v>46161</v>
      </c>
      <c r="D282" s="76">
        <v>878.92884462372194</v>
      </c>
      <c r="E282" s="77">
        <v>125</v>
      </c>
      <c r="F282" s="78">
        <v>10.284558036462</v>
      </c>
      <c r="G282" s="78">
        <v>10.284558036462</v>
      </c>
      <c r="H282" s="81">
        <v>9.6084192432284006</v>
      </c>
    </row>
    <row r="283" spans="1:8" x14ac:dyDescent="0.3">
      <c r="A283" s="74" t="str">
        <f t="shared" si="4"/>
        <v>吉林46162</v>
      </c>
      <c r="B283" s="75" t="s">
        <v>12</v>
      </c>
      <c r="C283" s="45">
        <v>46162</v>
      </c>
      <c r="D283" s="76">
        <v>878.92884462372194</v>
      </c>
      <c r="E283" s="77">
        <v>125</v>
      </c>
      <c r="F283" s="78">
        <v>10.284558036462</v>
      </c>
      <c r="G283" s="78">
        <v>10.284558036462</v>
      </c>
      <c r="H283" s="81">
        <v>9.6084192432284006</v>
      </c>
    </row>
    <row r="284" spans="1:8" x14ac:dyDescent="0.3">
      <c r="A284" s="74" t="str">
        <f t="shared" si="4"/>
        <v>吉林46163</v>
      </c>
      <c r="B284" s="75" t="s">
        <v>12</v>
      </c>
      <c r="C284" s="45">
        <v>46163</v>
      </c>
      <c r="D284" s="76">
        <v>878.92884462372194</v>
      </c>
      <c r="E284" s="77">
        <v>125</v>
      </c>
      <c r="F284" s="78">
        <v>10.284558036462</v>
      </c>
      <c r="G284" s="78">
        <v>10.284558036462</v>
      </c>
      <c r="H284" s="81">
        <v>9.6084192432284006</v>
      </c>
    </row>
    <row r="285" spans="1:8" x14ac:dyDescent="0.3">
      <c r="A285" s="74" t="str">
        <f t="shared" si="4"/>
        <v>吉林46164</v>
      </c>
      <c r="B285" s="75" t="s">
        <v>12</v>
      </c>
      <c r="C285" s="45">
        <v>46164</v>
      </c>
      <c r="D285" s="76">
        <v>878.92884462372194</v>
      </c>
      <c r="E285" s="77">
        <v>125</v>
      </c>
      <c r="F285" s="78">
        <v>10.284558036462</v>
      </c>
      <c r="G285" s="78">
        <v>10.284558036462</v>
      </c>
      <c r="H285" s="81">
        <v>9.6084192432284006</v>
      </c>
    </row>
    <row r="286" spans="1:8" x14ac:dyDescent="0.3">
      <c r="A286" s="74" t="str">
        <f t="shared" si="4"/>
        <v>吉林46165</v>
      </c>
      <c r="B286" s="75" t="s">
        <v>12</v>
      </c>
      <c r="C286" s="45">
        <v>46165</v>
      </c>
      <c r="D286" s="76">
        <v>878.92884462372194</v>
      </c>
      <c r="E286" s="77">
        <v>125</v>
      </c>
      <c r="F286" s="78">
        <v>10.284558036462</v>
      </c>
      <c r="G286" s="78">
        <v>10.284558036462</v>
      </c>
      <c r="H286" s="81">
        <v>9.6084192432284006</v>
      </c>
    </row>
    <row r="287" spans="1:8" x14ac:dyDescent="0.3">
      <c r="A287" s="74" t="str">
        <f t="shared" si="4"/>
        <v>吉林46166</v>
      </c>
      <c r="B287" s="75" t="s">
        <v>12</v>
      </c>
      <c r="C287" s="45">
        <v>46166</v>
      </c>
      <c r="D287" s="76">
        <v>878.92884462372194</v>
      </c>
      <c r="E287" s="77">
        <v>125</v>
      </c>
      <c r="F287" s="78">
        <v>10.284558036462</v>
      </c>
      <c r="G287" s="78">
        <v>10.284558036462</v>
      </c>
      <c r="H287" s="81">
        <v>9.6084192432284006</v>
      </c>
    </row>
    <row r="288" spans="1:8" x14ac:dyDescent="0.3">
      <c r="A288" s="74" t="str">
        <f t="shared" si="4"/>
        <v>吉林46167</v>
      </c>
      <c r="B288" s="75" t="s">
        <v>12</v>
      </c>
      <c r="C288" s="45">
        <v>46167</v>
      </c>
      <c r="D288" s="76">
        <v>878.92884462372194</v>
      </c>
      <c r="E288" s="77">
        <v>125</v>
      </c>
      <c r="F288" s="78">
        <v>10.284558036462</v>
      </c>
      <c r="G288" s="78">
        <v>10.284558036462</v>
      </c>
      <c r="H288" s="81">
        <v>9.6084192432284006</v>
      </c>
    </row>
    <row r="289" spans="1:8" x14ac:dyDescent="0.3">
      <c r="A289" s="74" t="str">
        <f t="shared" si="4"/>
        <v>吉林46168</v>
      </c>
      <c r="B289" s="75" t="s">
        <v>12</v>
      </c>
      <c r="C289" s="45">
        <v>46168</v>
      </c>
      <c r="D289" s="76">
        <v>878.92884462372194</v>
      </c>
      <c r="E289" s="77">
        <v>125</v>
      </c>
      <c r="F289" s="78">
        <v>10.284558036462</v>
      </c>
      <c r="G289" s="78">
        <v>10.284558036462</v>
      </c>
      <c r="H289" s="81">
        <v>9.6084192432284006</v>
      </c>
    </row>
    <row r="290" spans="1:8" x14ac:dyDescent="0.3">
      <c r="A290" s="74" t="str">
        <f t="shared" si="4"/>
        <v>吉林46169</v>
      </c>
      <c r="B290" s="75" t="s">
        <v>12</v>
      </c>
      <c r="C290" s="45">
        <v>46169</v>
      </c>
      <c r="D290" s="76">
        <v>878.92884462372194</v>
      </c>
      <c r="E290" s="77">
        <v>125</v>
      </c>
      <c r="F290" s="78">
        <v>10.284558036462</v>
      </c>
      <c r="G290" s="78">
        <v>10.284558036462</v>
      </c>
      <c r="H290" s="81">
        <v>9.6084192432284006</v>
      </c>
    </row>
    <row r="291" spans="1:8" x14ac:dyDescent="0.3">
      <c r="A291" s="74" t="str">
        <f t="shared" si="4"/>
        <v>吉林46170</v>
      </c>
      <c r="B291" s="75" t="s">
        <v>12</v>
      </c>
      <c r="C291" s="45">
        <v>46170</v>
      </c>
      <c r="D291" s="76">
        <v>878.92884462372194</v>
      </c>
      <c r="E291" s="77">
        <v>125</v>
      </c>
      <c r="F291" s="78">
        <v>10.284558036462</v>
      </c>
      <c r="G291" s="78">
        <v>10.284558036462</v>
      </c>
      <c r="H291" s="81">
        <v>9.6084192432284006</v>
      </c>
    </row>
    <row r="292" spans="1:8" x14ac:dyDescent="0.3">
      <c r="A292" s="74" t="str">
        <f t="shared" si="4"/>
        <v>吉林46171</v>
      </c>
      <c r="B292" s="75" t="s">
        <v>12</v>
      </c>
      <c r="C292" s="45">
        <v>46171</v>
      </c>
      <c r="D292" s="76">
        <v>878.92884462372194</v>
      </c>
      <c r="E292" s="77">
        <v>125</v>
      </c>
      <c r="F292" s="78">
        <v>10.284558036462</v>
      </c>
      <c r="G292" s="78">
        <v>10.284558036462</v>
      </c>
      <c r="H292" s="81">
        <v>9.6084192432284006</v>
      </c>
    </row>
    <row r="293" spans="1:8" x14ac:dyDescent="0.3">
      <c r="A293" s="74" t="str">
        <f t="shared" si="4"/>
        <v>吉林46172</v>
      </c>
      <c r="B293" s="75" t="s">
        <v>12</v>
      </c>
      <c r="C293" s="45">
        <v>46172</v>
      </c>
      <c r="D293" s="76">
        <v>878.92884462372194</v>
      </c>
      <c r="E293" s="77">
        <v>125</v>
      </c>
      <c r="F293" s="78">
        <v>10.284558036462</v>
      </c>
      <c r="G293" s="78">
        <v>10.284558036462</v>
      </c>
      <c r="H293" s="81">
        <v>9.6084192432284006</v>
      </c>
    </row>
    <row r="294" spans="1:8" x14ac:dyDescent="0.3">
      <c r="A294" s="74" t="str">
        <f t="shared" si="4"/>
        <v>吉林46173</v>
      </c>
      <c r="B294" s="75" t="s">
        <v>12</v>
      </c>
      <c r="C294" s="45">
        <v>46173</v>
      </c>
      <c r="D294" s="76">
        <v>878.92884462372194</v>
      </c>
      <c r="E294" s="77">
        <v>125</v>
      </c>
      <c r="F294" s="78">
        <v>10.284558036462</v>
      </c>
      <c r="G294" s="78">
        <v>10.284558036462</v>
      </c>
      <c r="H294" s="81">
        <v>9.6084192432284006</v>
      </c>
    </row>
    <row r="295" spans="1:8" x14ac:dyDescent="0.3">
      <c r="A295" s="74" t="str">
        <f t="shared" si="4"/>
        <v>吉林46174</v>
      </c>
      <c r="B295" s="75" t="s">
        <v>12</v>
      </c>
      <c r="C295" s="45">
        <v>46174</v>
      </c>
      <c r="D295" s="76">
        <v>833.47767637790298</v>
      </c>
      <c r="E295" s="77">
        <v>125</v>
      </c>
      <c r="F295" s="78">
        <v>11.286139197491501</v>
      </c>
      <c r="G295" s="78">
        <v>11.286139197491501</v>
      </c>
      <c r="H295" s="81">
        <v>10.4586783373862</v>
      </c>
    </row>
    <row r="296" spans="1:8" x14ac:dyDescent="0.3">
      <c r="A296" s="74" t="str">
        <f t="shared" si="4"/>
        <v>吉林46175</v>
      </c>
      <c r="B296" s="75" t="s">
        <v>12</v>
      </c>
      <c r="C296" s="45">
        <v>46175</v>
      </c>
      <c r="D296" s="76">
        <v>833.47767637790298</v>
      </c>
      <c r="E296" s="77">
        <v>125</v>
      </c>
      <c r="F296" s="78">
        <v>11.286139197491501</v>
      </c>
      <c r="G296" s="78">
        <v>11.286139197491501</v>
      </c>
      <c r="H296" s="81">
        <v>10.4586783373862</v>
      </c>
    </row>
    <row r="297" spans="1:8" x14ac:dyDescent="0.3">
      <c r="A297" s="74" t="str">
        <f t="shared" si="4"/>
        <v>吉林46176</v>
      </c>
      <c r="B297" s="75" t="s">
        <v>12</v>
      </c>
      <c r="C297" s="45">
        <v>46176</v>
      </c>
      <c r="D297" s="76">
        <v>833.47767637790298</v>
      </c>
      <c r="E297" s="77">
        <v>125</v>
      </c>
      <c r="F297" s="78">
        <v>11.286139197491501</v>
      </c>
      <c r="G297" s="78">
        <v>11.286139197491501</v>
      </c>
      <c r="H297" s="81">
        <v>10.4586783373862</v>
      </c>
    </row>
    <row r="298" spans="1:8" x14ac:dyDescent="0.3">
      <c r="A298" s="74" t="str">
        <f t="shared" si="4"/>
        <v>吉林46177</v>
      </c>
      <c r="B298" s="75" t="s">
        <v>12</v>
      </c>
      <c r="C298" s="45">
        <v>46177</v>
      </c>
      <c r="D298" s="76">
        <v>833.47767637790298</v>
      </c>
      <c r="E298" s="77">
        <v>125</v>
      </c>
      <c r="F298" s="78">
        <v>11.286139197491501</v>
      </c>
      <c r="G298" s="78">
        <v>11.286139197491501</v>
      </c>
      <c r="H298" s="81">
        <v>10.4586783373862</v>
      </c>
    </row>
    <row r="299" spans="1:8" x14ac:dyDescent="0.3">
      <c r="A299" s="74" t="str">
        <f t="shared" si="4"/>
        <v>吉林46178</v>
      </c>
      <c r="B299" s="75" t="s">
        <v>12</v>
      </c>
      <c r="C299" s="45">
        <v>46178</v>
      </c>
      <c r="D299" s="76">
        <v>833.47767637790298</v>
      </c>
      <c r="E299" s="77">
        <v>125</v>
      </c>
      <c r="F299" s="78">
        <v>11.286139197491501</v>
      </c>
      <c r="G299" s="78">
        <v>11.286139197491501</v>
      </c>
      <c r="H299" s="81">
        <v>10.4586783373862</v>
      </c>
    </row>
    <row r="300" spans="1:8" x14ac:dyDescent="0.3">
      <c r="A300" s="74" t="str">
        <f t="shared" si="4"/>
        <v>吉林46179</v>
      </c>
      <c r="B300" s="75" t="s">
        <v>12</v>
      </c>
      <c r="C300" s="45">
        <v>46179</v>
      </c>
      <c r="D300" s="76">
        <v>833.47767637790298</v>
      </c>
      <c r="E300" s="77">
        <v>125</v>
      </c>
      <c r="F300" s="78">
        <v>11.286139197491501</v>
      </c>
      <c r="G300" s="78">
        <v>11.286139197491501</v>
      </c>
      <c r="H300" s="81">
        <v>10.4586783373862</v>
      </c>
    </row>
    <row r="301" spans="1:8" x14ac:dyDescent="0.3">
      <c r="A301" s="74" t="str">
        <f t="shared" si="4"/>
        <v>吉林46180</v>
      </c>
      <c r="B301" s="75" t="s">
        <v>12</v>
      </c>
      <c r="C301" s="45">
        <v>46180</v>
      </c>
      <c r="D301" s="76">
        <v>833.47767637790298</v>
      </c>
      <c r="E301" s="77">
        <v>125</v>
      </c>
      <c r="F301" s="78">
        <v>11.286139197491501</v>
      </c>
      <c r="G301" s="78">
        <v>11.286139197491501</v>
      </c>
      <c r="H301" s="81">
        <v>10.4586783373862</v>
      </c>
    </row>
    <row r="302" spans="1:8" x14ac:dyDescent="0.3">
      <c r="A302" s="74" t="str">
        <f t="shared" si="4"/>
        <v>吉林46181</v>
      </c>
      <c r="B302" s="75" t="s">
        <v>12</v>
      </c>
      <c r="C302" s="45">
        <v>46181</v>
      </c>
      <c r="D302" s="76">
        <v>833.47767637790298</v>
      </c>
      <c r="E302" s="77">
        <v>125</v>
      </c>
      <c r="F302" s="78">
        <v>11.286139197491501</v>
      </c>
      <c r="G302" s="78">
        <v>11.286139197491501</v>
      </c>
      <c r="H302" s="81">
        <v>10.4586783373862</v>
      </c>
    </row>
    <row r="303" spans="1:8" x14ac:dyDescent="0.3">
      <c r="A303" s="74" t="str">
        <f t="shared" si="4"/>
        <v>吉林46182</v>
      </c>
      <c r="B303" s="75" t="s">
        <v>12</v>
      </c>
      <c r="C303" s="45">
        <v>46182</v>
      </c>
      <c r="D303" s="76">
        <v>833.47767637790298</v>
      </c>
      <c r="E303" s="77">
        <v>125</v>
      </c>
      <c r="F303" s="78">
        <v>11.286139197491501</v>
      </c>
      <c r="G303" s="78">
        <v>11.286139197491501</v>
      </c>
      <c r="H303" s="81">
        <v>10.4586783373862</v>
      </c>
    </row>
    <row r="304" spans="1:8" x14ac:dyDescent="0.3">
      <c r="A304" s="74" t="str">
        <f t="shared" si="4"/>
        <v>吉林46183</v>
      </c>
      <c r="B304" s="75" t="s">
        <v>12</v>
      </c>
      <c r="C304" s="45">
        <v>46183</v>
      </c>
      <c r="D304" s="76">
        <v>833.47767637790298</v>
      </c>
      <c r="E304" s="77">
        <v>125</v>
      </c>
      <c r="F304" s="78">
        <v>11.286139197491501</v>
      </c>
      <c r="G304" s="78">
        <v>11.286139197491501</v>
      </c>
      <c r="H304" s="81">
        <v>10.4586783373862</v>
      </c>
    </row>
    <row r="305" spans="1:8" x14ac:dyDescent="0.3">
      <c r="A305" s="74" t="str">
        <f t="shared" si="4"/>
        <v>吉林46184</v>
      </c>
      <c r="B305" s="75" t="s">
        <v>12</v>
      </c>
      <c r="C305" s="45">
        <v>46184</v>
      </c>
      <c r="D305" s="76">
        <v>833.47767637790298</v>
      </c>
      <c r="E305" s="77">
        <v>125</v>
      </c>
      <c r="F305" s="78">
        <v>11.286139197491501</v>
      </c>
      <c r="G305" s="78">
        <v>11.286139197491501</v>
      </c>
      <c r="H305" s="81">
        <v>10.4586783373862</v>
      </c>
    </row>
    <row r="306" spans="1:8" x14ac:dyDescent="0.3">
      <c r="A306" s="74" t="str">
        <f t="shared" si="4"/>
        <v>吉林46185</v>
      </c>
      <c r="B306" s="75" t="s">
        <v>12</v>
      </c>
      <c r="C306" s="45">
        <v>46185</v>
      </c>
      <c r="D306" s="76">
        <v>833.47767637790298</v>
      </c>
      <c r="E306" s="77">
        <v>125</v>
      </c>
      <c r="F306" s="78">
        <v>11.286139197491501</v>
      </c>
      <c r="G306" s="78">
        <v>11.286139197491501</v>
      </c>
      <c r="H306" s="81">
        <v>10.4586783373862</v>
      </c>
    </row>
    <row r="307" spans="1:8" x14ac:dyDescent="0.3">
      <c r="A307" s="74" t="str">
        <f t="shared" si="4"/>
        <v>吉林46186</v>
      </c>
      <c r="B307" s="75" t="s">
        <v>12</v>
      </c>
      <c r="C307" s="45">
        <v>46186</v>
      </c>
      <c r="D307" s="76">
        <v>833.47767637790298</v>
      </c>
      <c r="E307" s="77">
        <v>125</v>
      </c>
      <c r="F307" s="78">
        <v>11.286139197491501</v>
      </c>
      <c r="G307" s="78">
        <v>11.286139197491501</v>
      </c>
      <c r="H307" s="81">
        <v>10.4586783373862</v>
      </c>
    </row>
    <row r="308" spans="1:8" x14ac:dyDescent="0.3">
      <c r="A308" s="74" t="str">
        <f t="shared" si="4"/>
        <v>吉林46187</v>
      </c>
      <c r="B308" s="75" t="s">
        <v>12</v>
      </c>
      <c r="C308" s="45">
        <v>46187</v>
      </c>
      <c r="D308" s="76">
        <v>833.47767637790298</v>
      </c>
      <c r="E308" s="77">
        <v>125</v>
      </c>
      <c r="F308" s="78">
        <v>11.286139197491501</v>
      </c>
      <c r="G308" s="78">
        <v>11.286139197491501</v>
      </c>
      <c r="H308" s="81">
        <v>10.4586783373862</v>
      </c>
    </row>
    <row r="309" spans="1:8" x14ac:dyDescent="0.3">
      <c r="A309" s="74" t="str">
        <f t="shared" si="4"/>
        <v>吉林46188</v>
      </c>
      <c r="B309" s="75" t="s">
        <v>12</v>
      </c>
      <c r="C309" s="45">
        <v>46188</v>
      </c>
      <c r="D309" s="76">
        <v>833.47767637790298</v>
      </c>
      <c r="E309" s="77">
        <v>125</v>
      </c>
      <c r="F309" s="78">
        <v>11.286139197491501</v>
      </c>
      <c r="G309" s="78">
        <v>11.286139197491501</v>
      </c>
      <c r="H309" s="81">
        <v>10.4586783373862</v>
      </c>
    </row>
    <row r="310" spans="1:8" x14ac:dyDescent="0.3">
      <c r="A310" s="74" t="str">
        <f t="shared" si="4"/>
        <v>吉林46189</v>
      </c>
      <c r="B310" s="75" t="s">
        <v>12</v>
      </c>
      <c r="C310" s="45">
        <v>46189</v>
      </c>
      <c r="D310" s="76">
        <v>833.47767637790298</v>
      </c>
      <c r="E310" s="77">
        <v>125</v>
      </c>
      <c r="F310" s="78">
        <v>11.286139197491501</v>
      </c>
      <c r="G310" s="78">
        <v>11.286139197491501</v>
      </c>
      <c r="H310" s="81">
        <v>10.4586783373862</v>
      </c>
    </row>
    <row r="311" spans="1:8" x14ac:dyDescent="0.3">
      <c r="A311" s="74" t="str">
        <f t="shared" si="4"/>
        <v>吉林46190</v>
      </c>
      <c r="B311" s="75" t="s">
        <v>12</v>
      </c>
      <c r="C311" s="45">
        <v>46190</v>
      </c>
      <c r="D311" s="76">
        <v>833.47767637790298</v>
      </c>
      <c r="E311" s="77">
        <v>125</v>
      </c>
      <c r="F311" s="78">
        <v>11.286139197491501</v>
      </c>
      <c r="G311" s="78">
        <v>11.286139197491501</v>
      </c>
      <c r="H311" s="81">
        <v>10.4586783373862</v>
      </c>
    </row>
    <row r="312" spans="1:8" x14ac:dyDescent="0.3">
      <c r="A312" s="74" t="str">
        <f t="shared" si="4"/>
        <v>吉林46191</v>
      </c>
      <c r="B312" s="75" t="s">
        <v>12</v>
      </c>
      <c r="C312" s="45">
        <v>46191</v>
      </c>
      <c r="D312" s="76">
        <v>833.47767637790298</v>
      </c>
      <c r="E312" s="77">
        <v>125</v>
      </c>
      <c r="F312" s="78">
        <v>11.286139197491501</v>
      </c>
      <c r="G312" s="78">
        <v>11.286139197491501</v>
      </c>
      <c r="H312" s="81">
        <v>10.4586783373862</v>
      </c>
    </row>
    <row r="313" spans="1:8" x14ac:dyDescent="0.3">
      <c r="A313" s="74" t="str">
        <f t="shared" si="4"/>
        <v>吉林46192</v>
      </c>
      <c r="B313" s="75" t="s">
        <v>12</v>
      </c>
      <c r="C313" s="45">
        <v>46192</v>
      </c>
      <c r="D313" s="76">
        <v>833.47767637790298</v>
      </c>
      <c r="E313" s="77">
        <v>125</v>
      </c>
      <c r="F313" s="78">
        <v>11.286139197491501</v>
      </c>
      <c r="G313" s="78">
        <v>11.286139197491501</v>
      </c>
      <c r="H313" s="81">
        <v>10.4586783373862</v>
      </c>
    </row>
    <row r="314" spans="1:8" x14ac:dyDescent="0.3">
      <c r="A314" s="74" t="str">
        <f t="shared" si="4"/>
        <v>吉林46193</v>
      </c>
      <c r="B314" s="75" t="s">
        <v>12</v>
      </c>
      <c r="C314" s="45">
        <v>46193</v>
      </c>
      <c r="D314" s="76">
        <v>833.47767637790298</v>
      </c>
      <c r="E314" s="77">
        <v>125</v>
      </c>
      <c r="F314" s="78">
        <v>11.286139197491501</v>
      </c>
      <c r="G314" s="78">
        <v>11.286139197491501</v>
      </c>
      <c r="H314" s="81">
        <v>10.4586783373862</v>
      </c>
    </row>
    <row r="315" spans="1:8" x14ac:dyDescent="0.3">
      <c r="A315" s="74" t="str">
        <f t="shared" si="4"/>
        <v>吉林46194</v>
      </c>
      <c r="B315" s="75" t="s">
        <v>12</v>
      </c>
      <c r="C315" s="45">
        <v>46194</v>
      </c>
      <c r="D315" s="76">
        <v>833.47767637790298</v>
      </c>
      <c r="E315" s="77">
        <v>125</v>
      </c>
      <c r="F315" s="78">
        <v>11.286139197491501</v>
      </c>
      <c r="G315" s="78">
        <v>11.286139197491501</v>
      </c>
      <c r="H315" s="81">
        <v>10.4586783373862</v>
      </c>
    </row>
    <row r="316" spans="1:8" x14ac:dyDescent="0.3">
      <c r="A316" s="74" t="str">
        <f t="shared" si="4"/>
        <v>吉林46195</v>
      </c>
      <c r="B316" s="75" t="s">
        <v>12</v>
      </c>
      <c r="C316" s="45">
        <v>46195</v>
      </c>
      <c r="D316" s="76">
        <v>833.47767637790298</v>
      </c>
      <c r="E316" s="77">
        <v>125</v>
      </c>
      <c r="F316" s="78">
        <v>11.286139197491501</v>
      </c>
      <c r="G316" s="78">
        <v>11.286139197491501</v>
      </c>
      <c r="H316" s="81">
        <v>10.4586783373862</v>
      </c>
    </row>
    <row r="317" spans="1:8" x14ac:dyDescent="0.3">
      <c r="A317" s="74" t="str">
        <f t="shared" si="4"/>
        <v>吉林46196</v>
      </c>
      <c r="B317" s="75" t="s">
        <v>12</v>
      </c>
      <c r="C317" s="45">
        <v>46196</v>
      </c>
      <c r="D317" s="76">
        <v>833.47767637790298</v>
      </c>
      <c r="E317" s="77">
        <v>125</v>
      </c>
      <c r="F317" s="78">
        <v>11.286139197491501</v>
      </c>
      <c r="G317" s="78">
        <v>11.286139197491501</v>
      </c>
      <c r="H317" s="81">
        <v>10.4586783373862</v>
      </c>
    </row>
    <row r="318" spans="1:8" x14ac:dyDescent="0.3">
      <c r="A318" s="74" t="str">
        <f t="shared" si="4"/>
        <v>吉林46197</v>
      </c>
      <c r="B318" s="75" t="s">
        <v>12</v>
      </c>
      <c r="C318" s="45">
        <v>46197</v>
      </c>
      <c r="D318" s="76">
        <v>833.47767637790298</v>
      </c>
      <c r="E318" s="77">
        <v>125</v>
      </c>
      <c r="F318" s="78">
        <v>11.286139197491501</v>
      </c>
      <c r="G318" s="78">
        <v>11.286139197491501</v>
      </c>
      <c r="H318" s="81">
        <v>10.4586783373862</v>
      </c>
    </row>
    <row r="319" spans="1:8" x14ac:dyDescent="0.3">
      <c r="A319" s="74" t="str">
        <f t="shared" si="4"/>
        <v>吉林46198</v>
      </c>
      <c r="B319" s="75" t="s">
        <v>12</v>
      </c>
      <c r="C319" s="45">
        <v>46198</v>
      </c>
      <c r="D319" s="76">
        <v>833.47767637790298</v>
      </c>
      <c r="E319" s="77">
        <v>125</v>
      </c>
      <c r="F319" s="78">
        <v>11.286139197491501</v>
      </c>
      <c r="G319" s="78">
        <v>11.286139197491501</v>
      </c>
      <c r="H319" s="81">
        <v>10.4586783373862</v>
      </c>
    </row>
    <row r="320" spans="1:8" x14ac:dyDescent="0.3">
      <c r="A320" s="74" t="str">
        <f t="shared" si="4"/>
        <v>吉林46199</v>
      </c>
      <c r="B320" s="75" t="s">
        <v>12</v>
      </c>
      <c r="C320" s="45">
        <v>46199</v>
      </c>
      <c r="D320" s="76">
        <v>833.47767637790298</v>
      </c>
      <c r="E320" s="77">
        <v>125</v>
      </c>
      <c r="F320" s="78">
        <v>11.286139197491501</v>
      </c>
      <c r="G320" s="78">
        <v>11.286139197491501</v>
      </c>
      <c r="H320" s="81">
        <v>10.4586783373862</v>
      </c>
    </row>
    <row r="321" spans="1:8" x14ac:dyDescent="0.3">
      <c r="A321" s="74" t="str">
        <f t="shared" si="4"/>
        <v>吉林46200</v>
      </c>
      <c r="B321" s="75" t="s">
        <v>12</v>
      </c>
      <c r="C321" s="45">
        <v>46200</v>
      </c>
      <c r="D321" s="76">
        <v>833.47767637790298</v>
      </c>
      <c r="E321" s="77">
        <v>125</v>
      </c>
      <c r="F321" s="78">
        <v>11.286139197491501</v>
      </c>
      <c r="G321" s="78">
        <v>11.286139197491501</v>
      </c>
      <c r="H321" s="81">
        <v>10.4586783373862</v>
      </c>
    </row>
    <row r="322" spans="1:8" x14ac:dyDescent="0.3">
      <c r="A322" s="74" t="str">
        <f t="shared" si="4"/>
        <v>吉林46201</v>
      </c>
      <c r="B322" s="75" t="s">
        <v>12</v>
      </c>
      <c r="C322" s="45">
        <v>46201</v>
      </c>
      <c r="D322" s="76">
        <v>833.47767637790298</v>
      </c>
      <c r="E322" s="77">
        <v>125</v>
      </c>
      <c r="F322" s="78">
        <v>11.286139197491501</v>
      </c>
      <c r="G322" s="78">
        <v>11.286139197491501</v>
      </c>
      <c r="H322" s="81">
        <v>10.4586783373862</v>
      </c>
    </row>
    <row r="323" spans="1:8" x14ac:dyDescent="0.3">
      <c r="A323" s="74" t="str">
        <f t="shared" ref="A323:A386" si="5">B323&amp;C323</f>
        <v>吉林46202</v>
      </c>
      <c r="B323" s="75" t="s">
        <v>12</v>
      </c>
      <c r="C323" s="45">
        <v>46202</v>
      </c>
      <c r="D323" s="76">
        <v>833.47767637790298</v>
      </c>
      <c r="E323" s="77">
        <v>125</v>
      </c>
      <c r="F323" s="78">
        <v>11.286139197491501</v>
      </c>
      <c r="G323" s="78">
        <v>11.286139197491501</v>
      </c>
      <c r="H323" s="81">
        <v>10.4586783373862</v>
      </c>
    </row>
    <row r="324" spans="1:8" x14ac:dyDescent="0.3">
      <c r="A324" s="74" t="str">
        <f t="shared" si="5"/>
        <v>吉林46203</v>
      </c>
      <c r="B324" s="75" t="s">
        <v>12</v>
      </c>
      <c r="C324" s="45">
        <v>46203</v>
      </c>
      <c r="D324" s="76">
        <v>833.47767637790298</v>
      </c>
      <c r="E324" s="77">
        <v>125</v>
      </c>
      <c r="F324" s="78">
        <v>11.286139197491501</v>
      </c>
      <c r="G324" s="78">
        <v>11.286139197491501</v>
      </c>
      <c r="H324" s="81">
        <v>10.4586783373862</v>
      </c>
    </row>
    <row r="325" spans="1:8" x14ac:dyDescent="0.3">
      <c r="A325" s="74" t="str">
        <f t="shared" si="5"/>
        <v>吉林46204</v>
      </c>
      <c r="B325" s="75" t="s">
        <v>12</v>
      </c>
      <c r="C325" s="45">
        <v>46204</v>
      </c>
      <c r="D325" s="76">
        <v>872.87186677633804</v>
      </c>
      <c r="E325" s="77">
        <v>125</v>
      </c>
      <c r="F325" s="78">
        <v>11.759065510266201</v>
      </c>
      <c r="G325" s="78">
        <v>11.759065510266201</v>
      </c>
      <c r="H325" s="81">
        <v>11.308937431544001</v>
      </c>
    </row>
    <row r="326" spans="1:8" x14ac:dyDescent="0.3">
      <c r="A326" s="74" t="str">
        <f t="shared" si="5"/>
        <v>吉林46205</v>
      </c>
      <c r="B326" s="75" t="s">
        <v>12</v>
      </c>
      <c r="C326" s="45">
        <v>46205</v>
      </c>
      <c r="D326" s="76">
        <v>872.87186677633804</v>
      </c>
      <c r="E326" s="77">
        <v>125</v>
      </c>
      <c r="F326" s="78">
        <v>11.759065510266201</v>
      </c>
      <c r="G326" s="78">
        <v>11.759065510266201</v>
      </c>
      <c r="H326" s="81">
        <v>11.308937431544001</v>
      </c>
    </row>
    <row r="327" spans="1:8" x14ac:dyDescent="0.3">
      <c r="A327" s="74" t="str">
        <f t="shared" si="5"/>
        <v>吉林46206</v>
      </c>
      <c r="B327" s="75" t="s">
        <v>12</v>
      </c>
      <c r="C327" s="45">
        <v>46206</v>
      </c>
      <c r="D327" s="76">
        <v>872.87186677633804</v>
      </c>
      <c r="E327" s="77">
        <v>125</v>
      </c>
      <c r="F327" s="78">
        <v>11.759065510266201</v>
      </c>
      <c r="G327" s="78">
        <v>11.759065510266201</v>
      </c>
      <c r="H327" s="81">
        <v>11.308937431544001</v>
      </c>
    </row>
    <row r="328" spans="1:8" x14ac:dyDescent="0.3">
      <c r="A328" s="74" t="str">
        <f t="shared" si="5"/>
        <v>吉林46207</v>
      </c>
      <c r="B328" s="75" t="s">
        <v>12</v>
      </c>
      <c r="C328" s="45">
        <v>46207</v>
      </c>
      <c r="D328" s="76">
        <v>872.87186677633804</v>
      </c>
      <c r="E328" s="77">
        <v>125</v>
      </c>
      <c r="F328" s="78">
        <v>11.759065510266201</v>
      </c>
      <c r="G328" s="78">
        <v>11.759065510266201</v>
      </c>
      <c r="H328" s="81">
        <v>11.308937431544001</v>
      </c>
    </row>
    <row r="329" spans="1:8" x14ac:dyDescent="0.3">
      <c r="A329" s="74" t="str">
        <f t="shared" si="5"/>
        <v>吉林46208</v>
      </c>
      <c r="B329" s="75" t="s">
        <v>12</v>
      </c>
      <c r="C329" s="45">
        <v>46208</v>
      </c>
      <c r="D329" s="76">
        <v>872.87186677633804</v>
      </c>
      <c r="E329" s="77">
        <v>125</v>
      </c>
      <c r="F329" s="78">
        <v>11.759065510266201</v>
      </c>
      <c r="G329" s="78">
        <v>11.759065510266201</v>
      </c>
      <c r="H329" s="81">
        <v>11.308937431544001</v>
      </c>
    </row>
    <row r="330" spans="1:8" x14ac:dyDescent="0.3">
      <c r="A330" s="74" t="str">
        <f t="shared" si="5"/>
        <v>吉林46209</v>
      </c>
      <c r="B330" s="75" t="s">
        <v>12</v>
      </c>
      <c r="C330" s="45">
        <v>46209</v>
      </c>
      <c r="D330" s="76">
        <v>872.87186677633804</v>
      </c>
      <c r="E330" s="77">
        <v>125</v>
      </c>
      <c r="F330" s="78">
        <v>11.759065510266201</v>
      </c>
      <c r="G330" s="78">
        <v>11.759065510266201</v>
      </c>
      <c r="H330" s="81">
        <v>11.308937431544001</v>
      </c>
    </row>
    <row r="331" spans="1:8" x14ac:dyDescent="0.3">
      <c r="A331" s="74" t="str">
        <f t="shared" si="5"/>
        <v>吉林46210</v>
      </c>
      <c r="B331" s="75" t="s">
        <v>12</v>
      </c>
      <c r="C331" s="45">
        <v>46210</v>
      </c>
      <c r="D331" s="76">
        <v>872.87186677633804</v>
      </c>
      <c r="E331" s="77">
        <v>125</v>
      </c>
      <c r="F331" s="78">
        <v>11.759065510266201</v>
      </c>
      <c r="G331" s="78">
        <v>11.759065510266201</v>
      </c>
      <c r="H331" s="81">
        <v>11.308937431544001</v>
      </c>
    </row>
    <row r="332" spans="1:8" x14ac:dyDescent="0.3">
      <c r="A332" s="74" t="str">
        <f t="shared" si="5"/>
        <v>吉林46211</v>
      </c>
      <c r="B332" s="75" t="s">
        <v>12</v>
      </c>
      <c r="C332" s="45">
        <v>46211</v>
      </c>
      <c r="D332" s="76">
        <v>872.87186677633804</v>
      </c>
      <c r="E332" s="77">
        <v>125</v>
      </c>
      <c r="F332" s="78">
        <v>11.759065510266201</v>
      </c>
      <c r="G332" s="78">
        <v>11.759065510266201</v>
      </c>
      <c r="H332" s="81">
        <v>11.308937431544001</v>
      </c>
    </row>
    <row r="333" spans="1:8" x14ac:dyDescent="0.3">
      <c r="A333" s="74" t="str">
        <f t="shared" si="5"/>
        <v>吉林46212</v>
      </c>
      <c r="B333" s="75" t="s">
        <v>12</v>
      </c>
      <c r="C333" s="45">
        <v>46212</v>
      </c>
      <c r="D333" s="76">
        <v>872.87186677633804</v>
      </c>
      <c r="E333" s="77">
        <v>125</v>
      </c>
      <c r="F333" s="78">
        <v>11.759065510266201</v>
      </c>
      <c r="G333" s="78">
        <v>11.759065510266201</v>
      </c>
      <c r="H333" s="81">
        <v>11.308937431544001</v>
      </c>
    </row>
    <row r="334" spans="1:8" x14ac:dyDescent="0.3">
      <c r="A334" s="74" t="str">
        <f t="shared" si="5"/>
        <v>吉林46213</v>
      </c>
      <c r="B334" s="75" t="s">
        <v>12</v>
      </c>
      <c r="C334" s="45">
        <v>46213</v>
      </c>
      <c r="D334" s="76">
        <v>872.87186677633804</v>
      </c>
      <c r="E334" s="77">
        <v>125</v>
      </c>
      <c r="F334" s="78">
        <v>11.759065510266201</v>
      </c>
      <c r="G334" s="78">
        <v>11.759065510266201</v>
      </c>
      <c r="H334" s="81">
        <v>11.308937431544001</v>
      </c>
    </row>
    <row r="335" spans="1:8" x14ac:dyDescent="0.3">
      <c r="A335" s="74" t="str">
        <f t="shared" si="5"/>
        <v>吉林46214</v>
      </c>
      <c r="B335" s="75" t="s">
        <v>12</v>
      </c>
      <c r="C335" s="45">
        <v>46214</v>
      </c>
      <c r="D335" s="76">
        <v>872.87186677633804</v>
      </c>
      <c r="E335" s="77">
        <v>125</v>
      </c>
      <c r="F335" s="78">
        <v>11.759065510266201</v>
      </c>
      <c r="G335" s="78">
        <v>11.759065510266201</v>
      </c>
      <c r="H335" s="81">
        <v>11.308937431544001</v>
      </c>
    </row>
    <row r="336" spans="1:8" x14ac:dyDescent="0.3">
      <c r="A336" s="74" t="str">
        <f t="shared" si="5"/>
        <v>吉林46215</v>
      </c>
      <c r="B336" s="75" t="s">
        <v>12</v>
      </c>
      <c r="C336" s="45">
        <v>46215</v>
      </c>
      <c r="D336" s="76">
        <v>872.87186677633804</v>
      </c>
      <c r="E336" s="77">
        <v>125</v>
      </c>
      <c r="F336" s="78">
        <v>11.759065510266201</v>
      </c>
      <c r="G336" s="78">
        <v>11.759065510266201</v>
      </c>
      <c r="H336" s="81">
        <v>11.308937431544001</v>
      </c>
    </row>
    <row r="337" spans="1:8" x14ac:dyDescent="0.3">
      <c r="A337" s="74" t="str">
        <f t="shared" si="5"/>
        <v>吉林46216</v>
      </c>
      <c r="B337" s="75" t="s">
        <v>12</v>
      </c>
      <c r="C337" s="45">
        <v>46216</v>
      </c>
      <c r="D337" s="76">
        <v>872.87186677633804</v>
      </c>
      <c r="E337" s="77">
        <v>125</v>
      </c>
      <c r="F337" s="78">
        <v>11.759065510266201</v>
      </c>
      <c r="G337" s="78">
        <v>11.759065510266201</v>
      </c>
      <c r="H337" s="81">
        <v>11.308937431544001</v>
      </c>
    </row>
    <row r="338" spans="1:8" x14ac:dyDescent="0.3">
      <c r="A338" s="74" t="str">
        <f t="shared" si="5"/>
        <v>吉林46217</v>
      </c>
      <c r="B338" s="75" t="s">
        <v>12</v>
      </c>
      <c r="C338" s="45">
        <v>46217</v>
      </c>
      <c r="D338" s="76">
        <v>872.87186677633804</v>
      </c>
      <c r="E338" s="77">
        <v>125</v>
      </c>
      <c r="F338" s="78">
        <v>11.759065510266201</v>
      </c>
      <c r="G338" s="78">
        <v>11.759065510266201</v>
      </c>
      <c r="H338" s="81">
        <v>11.308937431544001</v>
      </c>
    </row>
    <row r="339" spans="1:8" x14ac:dyDescent="0.3">
      <c r="A339" s="74" t="str">
        <f t="shared" si="5"/>
        <v>吉林46218</v>
      </c>
      <c r="B339" s="75" t="s">
        <v>12</v>
      </c>
      <c r="C339" s="45">
        <v>46218</v>
      </c>
      <c r="D339" s="76">
        <v>872.87186677633804</v>
      </c>
      <c r="E339" s="77">
        <v>125</v>
      </c>
      <c r="F339" s="78">
        <v>11.759065510266201</v>
      </c>
      <c r="G339" s="78">
        <v>11.759065510266201</v>
      </c>
      <c r="H339" s="81">
        <v>11.308937431544001</v>
      </c>
    </row>
    <row r="340" spans="1:8" x14ac:dyDescent="0.3">
      <c r="A340" s="74" t="str">
        <f t="shared" si="5"/>
        <v>吉林46219</v>
      </c>
      <c r="B340" s="75" t="s">
        <v>12</v>
      </c>
      <c r="C340" s="45">
        <v>46219</v>
      </c>
      <c r="D340" s="76">
        <v>872.87186677633804</v>
      </c>
      <c r="E340" s="77">
        <v>125</v>
      </c>
      <c r="F340" s="78">
        <v>11.759065510266201</v>
      </c>
      <c r="G340" s="78">
        <v>11.759065510266201</v>
      </c>
      <c r="H340" s="81">
        <v>11.308937431544001</v>
      </c>
    </row>
    <row r="341" spans="1:8" x14ac:dyDescent="0.3">
      <c r="A341" s="74" t="str">
        <f t="shared" si="5"/>
        <v>吉林46220</v>
      </c>
      <c r="B341" s="75" t="s">
        <v>12</v>
      </c>
      <c r="C341" s="45">
        <v>46220</v>
      </c>
      <c r="D341" s="76">
        <v>872.87186677633804</v>
      </c>
      <c r="E341" s="77">
        <v>125</v>
      </c>
      <c r="F341" s="78">
        <v>11.759065510266201</v>
      </c>
      <c r="G341" s="78">
        <v>11.759065510266201</v>
      </c>
      <c r="H341" s="81">
        <v>11.308937431544001</v>
      </c>
    </row>
    <row r="342" spans="1:8" x14ac:dyDescent="0.3">
      <c r="A342" s="74" t="str">
        <f t="shared" si="5"/>
        <v>吉林46221</v>
      </c>
      <c r="B342" s="75" t="s">
        <v>12</v>
      </c>
      <c r="C342" s="45">
        <v>46221</v>
      </c>
      <c r="D342" s="76">
        <v>872.87186677633804</v>
      </c>
      <c r="E342" s="77">
        <v>125</v>
      </c>
      <c r="F342" s="78">
        <v>11.759065510266201</v>
      </c>
      <c r="G342" s="78">
        <v>11.759065510266201</v>
      </c>
      <c r="H342" s="81">
        <v>11.308937431544001</v>
      </c>
    </row>
    <row r="343" spans="1:8" x14ac:dyDescent="0.3">
      <c r="A343" s="74" t="str">
        <f t="shared" si="5"/>
        <v>吉林46222</v>
      </c>
      <c r="B343" s="75" t="s">
        <v>12</v>
      </c>
      <c r="C343" s="45">
        <v>46222</v>
      </c>
      <c r="D343" s="76">
        <v>872.87186677633804</v>
      </c>
      <c r="E343" s="77">
        <v>125</v>
      </c>
      <c r="F343" s="78">
        <v>11.759065510266201</v>
      </c>
      <c r="G343" s="78">
        <v>11.759065510266201</v>
      </c>
      <c r="H343" s="81">
        <v>11.308937431544001</v>
      </c>
    </row>
    <row r="344" spans="1:8" x14ac:dyDescent="0.3">
      <c r="A344" s="74" t="str">
        <f t="shared" si="5"/>
        <v>吉林46223</v>
      </c>
      <c r="B344" s="75" t="s">
        <v>12</v>
      </c>
      <c r="C344" s="45">
        <v>46223</v>
      </c>
      <c r="D344" s="76">
        <v>872.87186677633804</v>
      </c>
      <c r="E344" s="77">
        <v>125</v>
      </c>
      <c r="F344" s="78">
        <v>11.759065510266201</v>
      </c>
      <c r="G344" s="78">
        <v>11.759065510266201</v>
      </c>
      <c r="H344" s="81">
        <v>11.308937431544001</v>
      </c>
    </row>
    <row r="345" spans="1:8" x14ac:dyDescent="0.3">
      <c r="A345" s="74" t="str">
        <f t="shared" si="5"/>
        <v>吉林46224</v>
      </c>
      <c r="B345" s="75" t="s">
        <v>12</v>
      </c>
      <c r="C345" s="45">
        <v>46224</v>
      </c>
      <c r="D345" s="76">
        <v>872.87186677633804</v>
      </c>
      <c r="E345" s="77">
        <v>125</v>
      </c>
      <c r="F345" s="78">
        <v>11.759065510266201</v>
      </c>
      <c r="G345" s="78">
        <v>11.759065510266201</v>
      </c>
      <c r="H345" s="81">
        <v>11.308937431544001</v>
      </c>
    </row>
    <row r="346" spans="1:8" x14ac:dyDescent="0.3">
      <c r="A346" s="74" t="str">
        <f t="shared" si="5"/>
        <v>吉林46225</v>
      </c>
      <c r="B346" s="75" t="s">
        <v>12</v>
      </c>
      <c r="C346" s="45">
        <v>46225</v>
      </c>
      <c r="D346" s="76">
        <v>872.87186677633804</v>
      </c>
      <c r="E346" s="77">
        <v>125</v>
      </c>
      <c r="F346" s="78">
        <v>11.759065510266201</v>
      </c>
      <c r="G346" s="78">
        <v>11.759065510266201</v>
      </c>
      <c r="H346" s="81">
        <v>11.308937431544001</v>
      </c>
    </row>
    <row r="347" spans="1:8" x14ac:dyDescent="0.3">
      <c r="A347" s="74" t="str">
        <f t="shared" si="5"/>
        <v>吉林46226</v>
      </c>
      <c r="B347" s="75" t="s">
        <v>12</v>
      </c>
      <c r="C347" s="45">
        <v>46226</v>
      </c>
      <c r="D347" s="76">
        <v>872.87186677633804</v>
      </c>
      <c r="E347" s="77">
        <v>125</v>
      </c>
      <c r="F347" s="78">
        <v>11.759065510266201</v>
      </c>
      <c r="G347" s="78">
        <v>11.759065510266201</v>
      </c>
      <c r="H347" s="81">
        <v>11.308937431544001</v>
      </c>
    </row>
    <row r="348" spans="1:8" x14ac:dyDescent="0.3">
      <c r="A348" s="74" t="str">
        <f t="shared" si="5"/>
        <v>吉林46227</v>
      </c>
      <c r="B348" s="75" t="s">
        <v>12</v>
      </c>
      <c r="C348" s="45">
        <v>46227</v>
      </c>
      <c r="D348" s="76">
        <v>872.87186677633804</v>
      </c>
      <c r="E348" s="77">
        <v>125</v>
      </c>
      <c r="F348" s="78">
        <v>11.759065510266201</v>
      </c>
      <c r="G348" s="78">
        <v>11.759065510266201</v>
      </c>
      <c r="H348" s="81">
        <v>11.308937431544001</v>
      </c>
    </row>
    <row r="349" spans="1:8" x14ac:dyDescent="0.3">
      <c r="A349" s="74" t="str">
        <f t="shared" si="5"/>
        <v>吉林46228</v>
      </c>
      <c r="B349" s="75" t="s">
        <v>12</v>
      </c>
      <c r="C349" s="45">
        <v>46228</v>
      </c>
      <c r="D349" s="76">
        <v>872.87186677633804</v>
      </c>
      <c r="E349" s="77">
        <v>125</v>
      </c>
      <c r="F349" s="78">
        <v>11.759065510266201</v>
      </c>
      <c r="G349" s="78">
        <v>11.759065510266201</v>
      </c>
      <c r="H349" s="81">
        <v>11.308937431544001</v>
      </c>
    </row>
    <row r="350" spans="1:8" x14ac:dyDescent="0.3">
      <c r="A350" s="74" t="str">
        <f t="shared" si="5"/>
        <v>吉林46229</v>
      </c>
      <c r="B350" s="75" t="s">
        <v>12</v>
      </c>
      <c r="C350" s="45">
        <v>46229</v>
      </c>
      <c r="D350" s="76">
        <v>872.87186677633804</v>
      </c>
      <c r="E350" s="77">
        <v>125</v>
      </c>
      <c r="F350" s="78">
        <v>11.759065510266201</v>
      </c>
      <c r="G350" s="78">
        <v>11.759065510266201</v>
      </c>
      <c r="H350" s="81">
        <v>11.308937431544001</v>
      </c>
    </row>
    <row r="351" spans="1:8" x14ac:dyDescent="0.3">
      <c r="A351" s="74" t="str">
        <f t="shared" si="5"/>
        <v>吉林46230</v>
      </c>
      <c r="B351" s="75" t="s">
        <v>12</v>
      </c>
      <c r="C351" s="45">
        <v>46230</v>
      </c>
      <c r="D351" s="76">
        <v>872.87186677633804</v>
      </c>
      <c r="E351" s="77">
        <v>125</v>
      </c>
      <c r="F351" s="78">
        <v>11.759065510266201</v>
      </c>
      <c r="G351" s="78">
        <v>11.759065510266201</v>
      </c>
      <c r="H351" s="81">
        <v>11.308937431544001</v>
      </c>
    </row>
    <row r="352" spans="1:8" x14ac:dyDescent="0.3">
      <c r="A352" s="74" t="str">
        <f t="shared" si="5"/>
        <v>吉林46231</v>
      </c>
      <c r="B352" s="75" t="s">
        <v>12</v>
      </c>
      <c r="C352" s="45">
        <v>46231</v>
      </c>
      <c r="D352" s="76">
        <v>872.87186677633804</v>
      </c>
      <c r="E352" s="77">
        <v>125</v>
      </c>
      <c r="F352" s="78">
        <v>11.759065510266201</v>
      </c>
      <c r="G352" s="78">
        <v>11.759065510266201</v>
      </c>
      <c r="H352" s="81">
        <v>11.308937431544001</v>
      </c>
    </row>
    <row r="353" spans="1:8" x14ac:dyDescent="0.3">
      <c r="A353" s="74" t="str">
        <f t="shared" si="5"/>
        <v>吉林46232</v>
      </c>
      <c r="B353" s="75" t="s">
        <v>12</v>
      </c>
      <c r="C353" s="45">
        <v>46232</v>
      </c>
      <c r="D353" s="76">
        <v>872.87186677633804</v>
      </c>
      <c r="E353" s="77">
        <v>125</v>
      </c>
      <c r="F353" s="78">
        <v>11.759065510266201</v>
      </c>
      <c r="G353" s="78">
        <v>11.759065510266201</v>
      </c>
      <c r="H353" s="81">
        <v>11.308937431544001</v>
      </c>
    </row>
    <row r="354" spans="1:8" x14ac:dyDescent="0.3">
      <c r="A354" s="74" t="str">
        <f t="shared" si="5"/>
        <v>吉林46233</v>
      </c>
      <c r="B354" s="75" t="s">
        <v>12</v>
      </c>
      <c r="C354" s="45">
        <v>46233</v>
      </c>
      <c r="D354" s="76">
        <v>872.87186677633804</v>
      </c>
      <c r="E354" s="77">
        <v>125</v>
      </c>
      <c r="F354" s="78">
        <v>11.759065510266201</v>
      </c>
      <c r="G354" s="78">
        <v>11.759065510266201</v>
      </c>
      <c r="H354" s="81">
        <v>11.308937431544001</v>
      </c>
    </row>
    <row r="355" spans="1:8" x14ac:dyDescent="0.3">
      <c r="A355" s="74" t="str">
        <f t="shared" si="5"/>
        <v>吉林46234</v>
      </c>
      <c r="B355" s="75" t="s">
        <v>12</v>
      </c>
      <c r="C355" s="45">
        <v>46234</v>
      </c>
      <c r="D355" s="76">
        <v>872.87186677633804</v>
      </c>
      <c r="E355" s="77">
        <v>125</v>
      </c>
      <c r="F355" s="78">
        <v>11.759065510266201</v>
      </c>
      <c r="G355" s="78">
        <v>11.759065510266201</v>
      </c>
      <c r="H355" s="81">
        <v>11.308937431544001</v>
      </c>
    </row>
    <row r="356" spans="1:8" x14ac:dyDescent="0.3">
      <c r="A356" s="74" t="str">
        <f t="shared" si="5"/>
        <v>吉林46235</v>
      </c>
      <c r="B356" s="75" t="s">
        <v>12</v>
      </c>
      <c r="C356" s="45">
        <v>46235</v>
      </c>
      <c r="D356" s="76">
        <v>838.98506030112901</v>
      </c>
      <c r="E356" s="77">
        <v>125</v>
      </c>
      <c r="F356" s="78">
        <v>11.863143203677399</v>
      </c>
      <c r="G356" s="78">
        <v>11.863143203677399</v>
      </c>
      <c r="H356" s="81">
        <v>11.8348202238844</v>
      </c>
    </row>
    <row r="357" spans="1:8" x14ac:dyDescent="0.3">
      <c r="A357" s="74" t="str">
        <f t="shared" si="5"/>
        <v>吉林46236</v>
      </c>
      <c r="B357" s="75" t="s">
        <v>12</v>
      </c>
      <c r="C357" s="45">
        <v>46236</v>
      </c>
      <c r="D357" s="76">
        <v>838.98506030112901</v>
      </c>
      <c r="E357" s="77">
        <v>125</v>
      </c>
      <c r="F357" s="78">
        <v>11.863143203677399</v>
      </c>
      <c r="G357" s="78">
        <v>11.863143203677399</v>
      </c>
      <c r="H357" s="81">
        <v>11.8348202238844</v>
      </c>
    </row>
    <row r="358" spans="1:8" x14ac:dyDescent="0.3">
      <c r="A358" s="74" t="str">
        <f t="shared" si="5"/>
        <v>吉林46237</v>
      </c>
      <c r="B358" s="75" t="s">
        <v>12</v>
      </c>
      <c r="C358" s="45">
        <v>46237</v>
      </c>
      <c r="D358" s="76">
        <v>838.98506030112901</v>
      </c>
      <c r="E358" s="77">
        <v>125</v>
      </c>
      <c r="F358" s="78">
        <v>11.863143203677399</v>
      </c>
      <c r="G358" s="78">
        <v>11.863143203677399</v>
      </c>
      <c r="H358" s="81">
        <v>11.8348202238844</v>
      </c>
    </row>
    <row r="359" spans="1:8" x14ac:dyDescent="0.3">
      <c r="A359" s="74" t="str">
        <f t="shared" si="5"/>
        <v>吉林46238</v>
      </c>
      <c r="B359" s="75" t="s">
        <v>12</v>
      </c>
      <c r="C359" s="45">
        <v>46238</v>
      </c>
      <c r="D359" s="76">
        <v>838.98506030112901</v>
      </c>
      <c r="E359" s="77">
        <v>125</v>
      </c>
      <c r="F359" s="78">
        <v>11.863143203677399</v>
      </c>
      <c r="G359" s="78">
        <v>11.863143203677399</v>
      </c>
      <c r="H359" s="81">
        <v>11.8348202238844</v>
      </c>
    </row>
    <row r="360" spans="1:8" x14ac:dyDescent="0.3">
      <c r="A360" s="74" t="str">
        <f t="shared" si="5"/>
        <v>吉林46239</v>
      </c>
      <c r="B360" s="75" t="s">
        <v>12</v>
      </c>
      <c r="C360" s="45">
        <v>46239</v>
      </c>
      <c r="D360" s="76">
        <v>838.98506030112901</v>
      </c>
      <c r="E360" s="77">
        <v>125</v>
      </c>
      <c r="F360" s="78">
        <v>11.863143203677399</v>
      </c>
      <c r="G360" s="78">
        <v>11.863143203677399</v>
      </c>
      <c r="H360" s="81">
        <v>11.8348202238844</v>
      </c>
    </row>
    <row r="361" spans="1:8" x14ac:dyDescent="0.3">
      <c r="A361" s="74" t="str">
        <f t="shared" si="5"/>
        <v>吉林46240</v>
      </c>
      <c r="B361" s="75" t="s">
        <v>12</v>
      </c>
      <c r="C361" s="45">
        <v>46240</v>
      </c>
      <c r="D361" s="76">
        <v>838.98506030112901</v>
      </c>
      <c r="E361" s="77">
        <v>125</v>
      </c>
      <c r="F361" s="78">
        <v>11.863143203677399</v>
      </c>
      <c r="G361" s="78">
        <v>11.863143203677399</v>
      </c>
      <c r="H361" s="81">
        <v>11.8348202238844</v>
      </c>
    </row>
    <row r="362" spans="1:8" x14ac:dyDescent="0.3">
      <c r="A362" s="74" t="str">
        <f t="shared" si="5"/>
        <v>吉林46241</v>
      </c>
      <c r="B362" s="75" t="s">
        <v>12</v>
      </c>
      <c r="C362" s="45">
        <v>46241</v>
      </c>
      <c r="D362" s="76">
        <v>838.98506030112901</v>
      </c>
      <c r="E362" s="77">
        <v>125</v>
      </c>
      <c r="F362" s="78">
        <v>11.863143203677399</v>
      </c>
      <c r="G362" s="78">
        <v>11.863143203677399</v>
      </c>
      <c r="H362" s="81">
        <v>11.8348202238844</v>
      </c>
    </row>
    <row r="363" spans="1:8" x14ac:dyDescent="0.3">
      <c r="A363" s="74" t="str">
        <f t="shared" si="5"/>
        <v>吉林46242</v>
      </c>
      <c r="B363" s="75" t="s">
        <v>12</v>
      </c>
      <c r="C363" s="45">
        <v>46242</v>
      </c>
      <c r="D363" s="76">
        <v>838.98506030112901</v>
      </c>
      <c r="E363" s="77">
        <v>125</v>
      </c>
      <c r="F363" s="78">
        <v>11.863143203677399</v>
      </c>
      <c r="G363" s="78">
        <v>11.863143203677399</v>
      </c>
      <c r="H363" s="81">
        <v>11.8348202238844</v>
      </c>
    </row>
    <row r="364" spans="1:8" x14ac:dyDescent="0.3">
      <c r="A364" s="74" t="str">
        <f t="shared" si="5"/>
        <v>吉林46243</v>
      </c>
      <c r="B364" s="75" t="s">
        <v>12</v>
      </c>
      <c r="C364" s="45">
        <v>46243</v>
      </c>
      <c r="D364" s="76">
        <v>838.98506030112901</v>
      </c>
      <c r="E364" s="77">
        <v>125</v>
      </c>
      <c r="F364" s="78">
        <v>11.863143203677399</v>
      </c>
      <c r="G364" s="78">
        <v>11.863143203677399</v>
      </c>
      <c r="H364" s="81">
        <v>11.8348202238844</v>
      </c>
    </row>
    <row r="365" spans="1:8" x14ac:dyDescent="0.3">
      <c r="A365" s="74" t="str">
        <f t="shared" si="5"/>
        <v>吉林46244</v>
      </c>
      <c r="B365" s="75" t="s">
        <v>12</v>
      </c>
      <c r="C365" s="45">
        <v>46244</v>
      </c>
      <c r="D365" s="76">
        <v>838.98506030112901</v>
      </c>
      <c r="E365" s="77">
        <v>125</v>
      </c>
      <c r="F365" s="78">
        <v>11.863143203677399</v>
      </c>
      <c r="G365" s="78">
        <v>11.863143203677399</v>
      </c>
      <c r="H365" s="81">
        <v>11.8348202238844</v>
      </c>
    </row>
    <row r="366" spans="1:8" x14ac:dyDescent="0.3">
      <c r="A366" s="74" t="str">
        <f t="shared" si="5"/>
        <v>吉林46245</v>
      </c>
      <c r="B366" s="75" t="s">
        <v>12</v>
      </c>
      <c r="C366" s="45">
        <v>46245</v>
      </c>
      <c r="D366" s="76">
        <v>838.98506030112901</v>
      </c>
      <c r="E366" s="77">
        <v>125</v>
      </c>
      <c r="F366" s="78">
        <v>11.863143203677399</v>
      </c>
      <c r="G366" s="78">
        <v>11.863143203677399</v>
      </c>
      <c r="H366" s="81">
        <v>11.8348202238844</v>
      </c>
    </row>
    <row r="367" spans="1:8" x14ac:dyDescent="0.3">
      <c r="A367" s="74" t="str">
        <f t="shared" si="5"/>
        <v>吉林46246</v>
      </c>
      <c r="B367" s="75" t="s">
        <v>12</v>
      </c>
      <c r="C367" s="45">
        <v>46246</v>
      </c>
      <c r="D367" s="76">
        <v>838.98506030112901</v>
      </c>
      <c r="E367" s="77">
        <v>125</v>
      </c>
      <c r="F367" s="78">
        <v>11.863143203677399</v>
      </c>
      <c r="G367" s="78">
        <v>11.863143203677399</v>
      </c>
      <c r="H367" s="81">
        <v>11.8348202238844</v>
      </c>
    </row>
    <row r="368" spans="1:8" x14ac:dyDescent="0.3">
      <c r="A368" s="74" t="str">
        <f t="shared" si="5"/>
        <v>吉林46247</v>
      </c>
      <c r="B368" s="75" t="s">
        <v>12</v>
      </c>
      <c r="C368" s="45">
        <v>46247</v>
      </c>
      <c r="D368" s="76">
        <v>838.98506030112901</v>
      </c>
      <c r="E368" s="77">
        <v>125</v>
      </c>
      <c r="F368" s="78">
        <v>11.863143203677399</v>
      </c>
      <c r="G368" s="78">
        <v>11.863143203677399</v>
      </c>
      <c r="H368" s="81">
        <v>11.8348202238844</v>
      </c>
    </row>
    <row r="369" spans="1:8" x14ac:dyDescent="0.3">
      <c r="A369" s="74" t="str">
        <f t="shared" si="5"/>
        <v>吉林46248</v>
      </c>
      <c r="B369" s="75" t="s">
        <v>12</v>
      </c>
      <c r="C369" s="45">
        <v>46248</v>
      </c>
      <c r="D369" s="76">
        <v>838.98506030112901</v>
      </c>
      <c r="E369" s="77">
        <v>125</v>
      </c>
      <c r="F369" s="78">
        <v>11.863143203677399</v>
      </c>
      <c r="G369" s="78">
        <v>11.863143203677399</v>
      </c>
      <c r="H369" s="81">
        <v>11.8348202238844</v>
      </c>
    </row>
    <row r="370" spans="1:8" x14ac:dyDescent="0.3">
      <c r="A370" s="74" t="str">
        <f t="shared" si="5"/>
        <v>吉林46249</v>
      </c>
      <c r="B370" s="75" t="s">
        <v>12</v>
      </c>
      <c r="C370" s="45">
        <v>46249</v>
      </c>
      <c r="D370" s="76">
        <v>838.98506030112901</v>
      </c>
      <c r="E370" s="77">
        <v>125</v>
      </c>
      <c r="F370" s="78">
        <v>11.863143203677399</v>
      </c>
      <c r="G370" s="78">
        <v>11.863143203677399</v>
      </c>
      <c r="H370" s="81">
        <v>11.8348202238844</v>
      </c>
    </row>
    <row r="371" spans="1:8" x14ac:dyDescent="0.3">
      <c r="A371" s="74" t="str">
        <f t="shared" si="5"/>
        <v>吉林46250</v>
      </c>
      <c r="B371" s="75" t="s">
        <v>12</v>
      </c>
      <c r="C371" s="45">
        <v>46250</v>
      </c>
      <c r="D371" s="76">
        <v>838.98506030112901</v>
      </c>
      <c r="E371" s="77">
        <v>125</v>
      </c>
      <c r="F371" s="78">
        <v>11.863143203677399</v>
      </c>
      <c r="G371" s="78">
        <v>11.863143203677399</v>
      </c>
      <c r="H371" s="81">
        <v>11.8348202238844</v>
      </c>
    </row>
    <row r="372" spans="1:8" x14ac:dyDescent="0.3">
      <c r="A372" s="74" t="str">
        <f t="shared" si="5"/>
        <v>吉林46251</v>
      </c>
      <c r="B372" s="75" t="s">
        <v>12</v>
      </c>
      <c r="C372" s="45">
        <v>46251</v>
      </c>
      <c r="D372" s="76">
        <v>838.98506030112901</v>
      </c>
      <c r="E372" s="77">
        <v>125</v>
      </c>
      <c r="F372" s="78">
        <v>11.863143203677399</v>
      </c>
      <c r="G372" s="78">
        <v>11.863143203677399</v>
      </c>
      <c r="H372" s="81">
        <v>11.8348202238844</v>
      </c>
    </row>
    <row r="373" spans="1:8" x14ac:dyDescent="0.3">
      <c r="A373" s="74" t="str">
        <f t="shared" si="5"/>
        <v>吉林46252</v>
      </c>
      <c r="B373" s="75" t="s">
        <v>12</v>
      </c>
      <c r="C373" s="45">
        <v>46252</v>
      </c>
      <c r="D373" s="76">
        <v>838.98506030112901</v>
      </c>
      <c r="E373" s="77">
        <v>125</v>
      </c>
      <c r="F373" s="78">
        <v>11.863143203677399</v>
      </c>
      <c r="G373" s="78">
        <v>11.863143203677399</v>
      </c>
      <c r="H373" s="81">
        <v>11.8348202238844</v>
      </c>
    </row>
    <row r="374" spans="1:8" x14ac:dyDescent="0.3">
      <c r="A374" s="74" t="str">
        <f t="shared" si="5"/>
        <v>吉林46253</v>
      </c>
      <c r="B374" s="75" t="s">
        <v>12</v>
      </c>
      <c r="C374" s="45">
        <v>46253</v>
      </c>
      <c r="D374" s="76">
        <v>838.98506030112901</v>
      </c>
      <c r="E374" s="77">
        <v>125</v>
      </c>
      <c r="F374" s="78">
        <v>11.863143203677399</v>
      </c>
      <c r="G374" s="78">
        <v>11.863143203677399</v>
      </c>
      <c r="H374" s="81">
        <v>11.8348202238844</v>
      </c>
    </row>
    <row r="375" spans="1:8" x14ac:dyDescent="0.3">
      <c r="A375" s="74" t="str">
        <f t="shared" si="5"/>
        <v>吉林46254</v>
      </c>
      <c r="B375" s="75" t="s">
        <v>12</v>
      </c>
      <c r="C375" s="45">
        <v>46254</v>
      </c>
      <c r="D375" s="76">
        <v>838.98506030112901</v>
      </c>
      <c r="E375" s="77">
        <v>125</v>
      </c>
      <c r="F375" s="78">
        <v>11.863143203677399</v>
      </c>
      <c r="G375" s="78">
        <v>11.863143203677399</v>
      </c>
      <c r="H375" s="81">
        <v>11.8348202238844</v>
      </c>
    </row>
    <row r="376" spans="1:8" x14ac:dyDescent="0.3">
      <c r="A376" s="74" t="str">
        <f t="shared" si="5"/>
        <v>吉林46255</v>
      </c>
      <c r="B376" s="75" t="s">
        <v>12</v>
      </c>
      <c r="C376" s="45">
        <v>46255</v>
      </c>
      <c r="D376" s="76">
        <v>838.98506030112901</v>
      </c>
      <c r="E376" s="77">
        <v>125</v>
      </c>
      <c r="F376" s="78">
        <v>11.863143203677399</v>
      </c>
      <c r="G376" s="78">
        <v>11.863143203677399</v>
      </c>
      <c r="H376" s="81">
        <v>11.8348202238844</v>
      </c>
    </row>
    <row r="377" spans="1:8" x14ac:dyDescent="0.3">
      <c r="A377" s="74" t="str">
        <f t="shared" si="5"/>
        <v>吉林46256</v>
      </c>
      <c r="B377" s="75" t="s">
        <v>12</v>
      </c>
      <c r="C377" s="45">
        <v>46256</v>
      </c>
      <c r="D377" s="76">
        <v>838.98506030112901</v>
      </c>
      <c r="E377" s="77">
        <v>125</v>
      </c>
      <c r="F377" s="78">
        <v>11.863143203677399</v>
      </c>
      <c r="G377" s="78">
        <v>11.863143203677399</v>
      </c>
      <c r="H377" s="81">
        <v>11.8348202238844</v>
      </c>
    </row>
    <row r="378" spans="1:8" x14ac:dyDescent="0.3">
      <c r="A378" s="74" t="str">
        <f t="shared" si="5"/>
        <v>吉林46257</v>
      </c>
      <c r="B378" s="75" t="s">
        <v>12</v>
      </c>
      <c r="C378" s="45">
        <v>46257</v>
      </c>
      <c r="D378" s="76">
        <v>838.98506030112901</v>
      </c>
      <c r="E378" s="77">
        <v>125</v>
      </c>
      <c r="F378" s="78">
        <v>11.863143203677399</v>
      </c>
      <c r="G378" s="78">
        <v>11.863143203677399</v>
      </c>
      <c r="H378" s="81">
        <v>11.8348202238844</v>
      </c>
    </row>
    <row r="379" spans="1:8" x14ac:dyDescent="0.3">
      <c r="A379" s="74" t="str">
        <f t="shared" si="5"/>
        <v>吉林46258</v>
      </c>
      <c r="B379" s="75" t="s">
        <v>12</v>
      </c>
      <c r="C379" s="45">
        <v>46258</v>
      </c>
      <c r="D379" s="76">
        <v>838.98506030112901</v>
      </c>
      <c r="E379" s="77">
        <v>125</v>
      </c>
      <c r="F379" s="78">
        <v>11.863143203677399</v>
      </c>
      <c r="G379" s="78">
        <v>11.863143203677399</v>
      </c>
      <c r="H379" s="81">
        <v>11.8348202238844</v>
      </c>
    </row>
    <row r="380" spans="1:8" x14ac:dyDescent="0.3">
      <c r="A380" s="74" t="str">
        <f t="shared" si="5"/>
        <v>吉林46259</v>
      </c>
      <c r="B380" s="75" t="s">
        <v>12</v>
      </c>
      <c r="C380" s="45">
        <v>46259</v>
      </c>
      <c r="D380" s="76">
        <v>838.98506030112901</v>
      </c>
      <c r="E380" s="77">
        <v>125</v>
      </c>
      <c r="F380" s="78">
        <v>11.863143203677399</v>
      </c>
      <c r="G380" s="78">
        <v>11.863143203677399</v>
      </c>
      <c r="H380" s="81">
        <v>11.8348202238844</v>
      </c>
    </row>
    <row r="381" spans="1:8" x14ac:dyDescent="0.3">
      <c r="A381" s="74" t="str">
        <f t="shared" si="5"/>
        <v>吉林46260</v>
      </c>
      <c r="B381" s="75" t="s">
        <v>12</v>
      </c>
      <c r="C381" s="45">
        <v>46260</v>
      </c>
      <c r="D381" s="76">
        <v>838.98506030112901</v>
      </c>
      <c r="E381" s="77">
        <v>125</v>
      </c>
      <c r="F381" s="78">
        <v>11.863143203677399</v>
      </c>
      <c r="G381" s="78">
        <v>11.863143203677399</v>
      </c>
      <c r="H381" s="81">
        <v>11.8348202238844</v>
      </c>
    </row>
    <row r="382" spans="1:8" x14ac:dyDescent="0.3">
      <c r="A382" s="74" t="str">
        <f t="shared" si="5"/>
        <v>吉林46261</v>
      </c>
      <c r="B382" s="75" t="s">
        <v>12</v>
      </c>
      <c r="C382" s="45">
        <v>46261</v>
      </c>
      <c r="D382" s="76">
        <v>838.98506030112901</v>
      </c>
      <c r="E382" s="77">
        <v>125</v>
      </c>
      <c r="F382" s="78">
        <v>11.863143203677399</v>
      </c>
      <c r="G382" s="78">
        <v>11.863143203677399</v>
      </c>
      <c r="H382" s="81">
        <v>11.8348202238844</v>
      </c>
    </row>
    <row r="383" spans="1:8" x14ac:dyDescent="0.3">
      <c r="A383" s="74" t="str">
        <f t="shared" si="5"/>
        <v>吉林46262</v>
      </c>
      <c r="B383" s="75" t="s">
        <v>12</v>
      </c>
      <c r="C383" s="45">
        <v>46262</v>
      </c>
      <c r="D383" s="76">
        <v>838.98506030112901</v>
      </c>
      <c r="E383" s="77">
        <v>125</v>
      </c>
      <c r="F383" s="78">
        <v>11.863143203677399</v>
      </c>
      <c r="G383" s="78">
        <v>11.863143203677399</v>
      </c>
      <c r="H383" s="81">
        <v>11.8348202238844</v>
      </c>
    </row>
    <row r="384" spans="1:8" x14ac:dyDescent="0.3">
      <c r="A384" s="74" t="str">
        <f t="shared" si="5"/>
        <v>吉林46263</v>
      </c>
      <c r="B384" s="75" t="s">
        <v>12</v>
      </c>
      <c r="C384" s="45">
        <v>46263</v>
      </c>
      <c r="D384" s="76">
        <v>838.98506030112901</v>
      </c>
      <c r="E384" s="77">
        <v>125</v>
      </c>
      <c r="F384" s="78">
        <v>11.863143203677399</v>
      </c>
      <c r="G384" s="78">
        <v>11.863143203677399</v>
      </c>
      <c r="H384" s="81">
        <v>11.8348202238844</v>
      </c>
    </row>
    <row r="385" spans="1:8" x14ac:dyDescent="0.3">
      <c r="A385" s="74" t="str">
        <f t="shared" si="5"/>
        <v>吉林46264</v>
      </c>
      <c r="B385" s="75" t="s">
        <v>12</v>
      </c>
      <c r="C385" s="45">
        <v>46264</v>
      </c>
      <c r="D385" s="76">
        <v>838.98506030112901</v>
      </c>
      <c r="E385" s="77">
        <v>125</v>
      </c>
      <c r="F385" s="78">
        <v>11.863143203677399</v>
      </c>
      <c r="G385" s="78">
        <v>11.863143203677399</v>
      </c>
      <c r="H385" s="81">
        <v>11.8348202238844</v>
      </c>
    </row>
    <row r="386" spans="1:8" x14ac:dyDescent="0.3">
      <c r="A386" s="74" t="str">
        <f t="shared" si="5"/>
        <v>吉林46265</v>
      </c>
      <c r="B386" s="75" t="s">
        <v>12</v>
      </c>
      <c r="C386" s="45">
        <v>46265</v>
      </c>
      <c r="D386" s="76">
        <v>838.98506030112901</v>
      </c>
      <c r="E386" s="77">
        <v>125</v>
      </c>
      <c r="F386" s="78">
        <v>11.863143203677399</v>
      </c>
      <c r="G386" s="78">
        <v>11.863143203677399</v>
      </c>
      <c r="H386" s="81">
        <v>11.8348202238844</v>
      </c>
    </row>
    <row r="387" spans="1:8" x14ac:dyDescent="0.3">
      <c r="A387" s="74" t="str">
        <f t="shared" ref="A387:A450" si="6">B387&amp;C387</f>
        <v>吉林46266</v>
      </c>
      <c r="B387" s="75" t="s">
        <v>12</v>
      </c>
      <c r="C387" s="45">
        <v>46266</v>
      </c>
      <c r="D387" s="76">
        <v>808.793074716246</v>
      </c>
      <c r="E387" s="77">
        <v>125</v>
      </c>
      <c r="F387" s="78">
        <v>12.1448681970867</v>
      </c>
      <c r="G387" s="78">
        <v>12.1448681970867</v>
      </c>
      <c r="H387" s="81">
        <v>12.3607030162248</v>
      </c>
    </row>
    <row r="388" spans="1:8" x14ac:dyDescent="0.3">
      <c r="A388" s="74" t="str">
        <f t="shared" si="6"/>
        <v>吉林46267</v>
      </c>
      <c r="B388" s="75" t="s">
        <v>12</v>
      </c>
      <c r="C388" s="45">
        <v>46267</v>
      </c>
      <c r="D388" s="76">
        <v>808.793074716246</v>
      </c>
      <c r="E388" s="77">
        <v>125</v>
      </c>
      <c r="F388" s="78">
        <v>12.1448681970867</v>
      </c>
      <c r="G388" s="78">
        <v>12.1448681970867</v>
      </c>
      <c r="H388" s="81">
        <v>12.3607030162248</v>
      </c>
    </row>
    <row r="389" spans="1:8" x14ac:dyDescent="0.3">
      <c r="A389" s="74" t="str">
        <f t="shared" si="6"/>
        <v>吉林46268</v>
      </c>
      <c r="B389" s="75" t="s">
        <v>12</v>
      </c>
      <c r="C389" s="45">
        <v>46268</v>
      </c>
      <c r="D389" s="76">
        <v>808.793074716246</v>
      </c>
      <c r="E389" s="77">
        <v>125</v>
      </c>
      <c r="F389" s="78">
        <v>12.1448681970867</v>
      </c>
      <c r="G389" s="78">
        <v>12.1448681970867</v>
      </c>
      <c r="H389" s="81">
        <v>12.3607030162248</v>
      </c>
    </row>
    <row r="390" spans="1:8" x14ac:dyDescent="0.3">
      <c r="A390" s="74" t="str">
        <f t="shared" si="6"/>
        <v>吉林46269</v>
      </c>
      <c r="B390" s="75" t="s">
        <v>12</v>
      </c>
      <c r="C390" s="45">
        <v>46269</v>
      </c>
      <c r="D390" s="76">
        <v>808.793074716246</v>
      </c>
      <c r="E390" s="77">
        <v>125</v>
      </c>
      <c r="F390" s="78">
        <v>12.1448681970867</v>
      </c>
      <c r="G390" s="78">
        <v>12.1448681970867</v>
      </c>
      <c r="H390" s="81">
        <v>12.3607030162248</v>
      </c>
    </row>
    <row r="391" spans="1:8" x14ac:dyDescent="0.3">
      <c r="A391" s="74" t="str">
        <f t="shared" si="6"/>
        <v>吉林46270</v>
      </c>
      <c r="B391" s="75" t="s">
        <v>12</v>
      </c>
      <c r="C391" s="45">
        <v>46270</v>
      </c>
      <c r="D391" s="76">
        <v>808.793074716246</v>
      </c>
      <c r="E391" s="77">
        <v>125</v>
      </c>
      <c r="F391" s="78">
        <v>12.1448681970867</v>
      </c>
      <c r="G391" s="78">
        <v>12.1448681970867</v>
      </c>
      <c r="H391" s="81">
        <v>12.3607030162248</v>
      </c>
    </row>
    <row r="392" spans="1:8" x14ac:dyDescent="0.3">
      <c r="A392" s="74" t="str">
        <f t="shared" si="6"/>
        <v>吉林46271</v>
      </c>
      <c r="B392" s="75" t="s">
        <v>12</v>
      </c>
      <c r="C392" s="45">
        <v>46271</v>
      </c>
      <c r="D392" s="76">
        <v>808.793074716246</v>
      </c>
      <c r="E392" s="77">
        <v>125</v>
      </c>
      <c r="F392" s="78">
        <v>12.1448681970867</v>
      </c>
      <c r="G392" s="78">
        <v>12.1448681970867</v>
      </c>
      <c r="H392" s="81">
        <v>12.3607030162248</v>
      </c>
    </row>
    <row r="393" spans="1:8" x14ac:dyDescent="0.3">
      <c r="A393" s="74" t="str">
        <f t="shared" si="6"/>
        <v>吉林46272</v>
      </c>
      <c r="B393" s="75" t="s">
        <v>12</v>
      </c>
      <c r="C393" s="45">
        <v>46272</v>
      </c>
      <c r="D393" s="76">
        <v>808.793074716246</v>
      </c>
      <c r="E393" s="77">
        <v>125</v>
      </c>
      <c r="F393" s="78">
        <v>12.1448681970867</v>
      </c>
      <c r="G393" s="78">
        <v>12.1448681970867</v>
      </c>
      <c r="H393" s="81">
        <v>12.3607030162248</v>
      </c>
    </row>
    <row r="394" spans="1:8" x14ac:dyDescent="0.3">
      <c r="A394" s="74" t="str">
        <f t="shared" si="6"/>
        <v>吉林46273</v>
      </c>
      <c r="B394" s="75" t="s">
        <v>12</v>
      </c>
      <c r="C394" s="45">
        <v>46273</v>
      </c>
      <c r="D394" s="76">
        <v>808.793074716246</v>
      </c>
      <c r="E394" s="77">
        <v>125</v>
      </c>
      <c r="F394" s="78">
        <v>12.1448681970867</v>
      </c>
      <c r="G394" s="78">
        <v>12.1448681970867</v>
      </c>
      <c r="H394" s="81">
        <v>12.3607030162248</v>
      </c>
    </row>
    <row r="395" spans="1:8" x14ac:dyDescent="0.3">
      <c r="A395" s="74" t="str">
        <f t="shared" si="6"/>
        <v>吉林46274</v>
      </c>
      <c r="B395" s="75" t="s">
        <v>12</v>
      </c>
      <c r="C395" s="45">
        <v>46274</v>
      </c>
      <c r="D395" s="76">
        <v>808.793074716246</v>
      </c>
      <c r="E395" s="77">
        <v>125</v>
      </c>
      <c r="F395" s="78">
        <v>12.1448681970867</v>
      </c>
      <c r="G395" s="78">
        <v>12.1448681970867</v>
      </c>
      <c r="H395" s="81">
        <v>12.3607030162248</v>
      </c>
    </row>
    <row r="396" spans="1:8" x14ac:dyDescent="0.3">
      <c r="A396" s="74" t="str">
        <f t="shared" si="6"/>
        <v>吉林46275</v>
      </c>
      <c r="B396" s="75" t="s">
        <v>12</v>
      </c>
      <c r="C396" s="45">
        <v>46275</v>
      </c>
      <c r="D396" s="76">
        <v>808.793074716246</v>
      </c>
      <c r="E396" s="77">
        <v>125</v>
      </c>
      <c r="F396" s="78">
        <v>12.1448681970867</v>
      </c>
      <c r="G396" s="78">
        <v>12.1448681970867</v>
      </c>
      <c r="H396" s="81">
        <v>12.3607030162248</v>
      </c>
    </row>
    <row r="397" spans="1:8" x14ac:dyDescent="0.3">
      <c r="A397" s="74" t="str">
        <f t="shared" si="6"/>
        <v>吉林46276</v>
      </c>
      <c r="B397" s="75" t="s">
        <v>12</v>
      </c>
      <c r="C397" s="45">
        <v>46276</v>
      </c>
      <c r="D397" s="76">
        <v>808.793074716246</v>
      </c>
      <c r="E397" s="77">
        <v>125</v>
      </c>
      <c r="F397" s="78">
        <v>12.1448681970867</v>
      </c>
      <c r="G397" s="78">
        <v>12.1448681970867</v>
      </c>
      <c r="H397" s="81">
        <v>12.3607030162248</v>
      </c>
    </row>
    <row r="398" spans="1:8" x14ac:dyDescent="0.3">
      <c r="A398" s="74" t="str">
        <f t="shared" si="6"/>
        <v>吉林46277</v>
      </c>
      <c r="B398" s="75" t="s">
        <v>12</v>
      </c>
      <c r="C398" s="45">
        <v>46277</v>
      </c>
      <c r="D398" s="76">
        <v>808.793074716246</v>
      </c>
      <c r="E398" s="77">
        <v>125</v>
      </c>
      <c r="F398" s="78">
        <v>12.1448681970867</v>
      </c>
      <c r="G398" s="78">
        <v>12.1448681970867</v>
      </c>
      <c r="H398" s="81">
        <v>12.3607030162248</v>
      </c>
    </row>
    <row r="399" spans="1:8" x14ac:dyDescent="0.3">
      <c r="A399" s="74" t="str">
        <f t="shared" si="6"/>
        <v>吉林46278</v>
      </c>
      <c r="B399" s="75" t="s">
        <v>12</v>
      </c>
      <c r="C399" s="45">
        <v>46278</v>
      </c>
      <c r="D399" s="76">
        <v>808.793074716246</v>
      </c>
      <c r="E399" s="77">
        <v>125</v>
      </c>
      <c r="F399" s="78">
        <v>12.1448681970867</v>
      </c>
      <c r="G399" s="78">
        <v>12.1448681970867</v>
      </c>
      <c r="H399" s="81">
        <v>12.3607030162248</v>
      </c>
    </row>
    <row r="400" spans="1:8" x14ac:dyDescent="0.3">
      <c r="A400" s="74" t="str">
        <f t="shared" si="6"/>
        <v>吉林46279</v>
      </c>
      <c r="B400" s="75" t="s">
        <v>12</v>
      </c>
      <c r="C400" s="45">
        <v>46279</v>
      </c>
      <c r="D400" s="76">
        <v>808.793074716246</v>
      </c>
      <c r="E400" s="77">
        <v>125</v>
      </c>
      <c r="F400" s="78">
        <v>12.1448681970867</v>
      </c>
      <c r="G400" s="78">
        <v>12.1448681970867</v>
      </c>
      <c r="H400" s="81">
        <v>12.3607030162248</v>
      </c>
    </row>
    <row r="401" spans="1:8" x14ac:dyDescent="0.3">
      <c r="A401" s="74" t="str">
        <f t="shared" si="6"/>
        <v>吉林46280</v>
      </c>
      <c r="B401" s="75" t="s">
        <v>12</v>
      </c>
      <c r="C401" s="45">
        <v>46280</v>
      </c>
      <c r="D401" s="76">
        <v>808.793074716246</v>
      </c>
      <c r="E401" s="77">
        <v>125</v>
      </c>
      <c r="F401" s="78">
        <v>12.1448681970867</v>
      </c>
      <c r="G401" s="78">
        <v>12.1448681970867</v>
      </c>
      <c r="H401" s="81">
        <v>12.3607030162248</v>
      </c>
    </row>
    <row r="402" spans="1:8" x14ac:dyDescent="0.3">
      <c r="A402" s="74" t="str">
        <f t="shared" si="6"/>
        <v>吉林46281</v>
      </c>
      <c r="B402" s="75" t="s">
        <v>12</v>
      </c>
      <c r="C402" s="45">
        <v>46281</v>
      </c>
      <c r="D402" s="76">
        <v>808.793074716246</v>
      </c>
      <c r="E402" s="77">
        <v>125</v>
      </c>
      <c r="F402" s="78">
        <v>12.1448681970867</v>
      </c>
      <c r="G402" s="78">
        <v>12.1448681970867</v>
      </c>
      <c r="H402" s="81">
        <v>12.3607030162248</v>
      </c>
    </row>
    <row r="403" spans="1:8" x14ac:dyDescent="0.3">
      <c r="A403" s="74" t="str">
        <f t="shared" si="6"/>
        <v>吉林46282</v>
      </c>
      <c r="B403" s="75" t="s">
        <v>12</v>
      </c>
      <c r="C403" s="45">
        <v>46282</v>
      </c>
      <c r="D403" s="76">
        <v>808.793074716246</v>
      </c>
      <c r="E403" s="77">
        <v>125</v>
      </c>
      <c r="F403" s="78">
        <v>12.1448681970867</v>
      </c>
      <c r="G403" s="78">
        <v>12.1448681970867</v>
      </c>
      <c r="H403" s="81">
        <v>12.3607030162248</v>
      </c>
    </row>
    <row r="404" spans="1:8" x14ac:dyDescent="0.3">
      <c r="A404" s="74" t="str">
        <f t="shared" si="6"/>
        <v>吉林46283</v>
      </c>
      <c r="B404" s="75" t="s">
        <v>12</v>
      </c>
      <c r="C404" s="45">
        <v>46283</v>
      </c>
      <c r="D404" s="76">
        <v>808.793074716246</v>
      </c>
      <c r="E404" s="77">
        <v>125</v>
      </c>
      <c r="F404" s="78">
        <v>12.1448681970867</v>
      </c>
      <c r="G404" s="78">
        <v>12.1448681970867</v>
      </c>
      <c r="H404" s="81">
        <v>12.3607030162248</v>
      </c>
    </row>
    <row r="405" spans="1:8" x14ac:dyDescent="0.3">
      <c r="A405" s="74" t="str">
        <f t="shared" si="6"/>
        <v>吉林46284</v>
      </c>
      <c r="B405" s="75" t="s">
        <v>12</v>
      </c>
      <c r="C405" s="45">
        <v>46284</v>
      </c>
      <c r="D405" s="76">
        <v>808.793074716246</v>
      </c>
      <c r="E405" s="77">
        <v>125</v>
      </c>
      <c r="F405" s="78">
        <v>12.1448681970867</v>
      </c>
      <c r="G405" s="78">
        <v>12.1448681970867</v>
      </c>
      <c r="H405" s="81">
        <v>12.3607030162248</v>
      </c>
    </row>
    <row r="406" spans="1:8" x14ac:dyDescent="0.3">
      <c r="A406" s="74" t="str">
        <f t="shared" si="6"/>
        <v>吉林46285</v>
      </c>
      <c r="B406" s="75" t="s">
        <v>12</v>
      </c>
      <c r="C406" s="45">
        <v>46285</v>
      </c>
      <c r="D406" s="76">
        <v>808.793074716246</v>
      </c>
      <c r="E406" s="77">
        <v>125</v>
      </c>
      <c r="F406" s="78">
        <v>12.1448681970867</v>
      </c>
      <c r="G406" s="78">
        <v>12.1448681970867</v>
      </c>
      <c r="H406" s="81">
        <v>12.3607030162248</v>
      </c>
    </row>
    <row r="407" spans="1:8" x14ac:dyDescent="0.3">
      <c r="A407" s="74" t="str">
        <f t="shared" si="6"/>
        <v>吉林46286</v>
      </c>
      <c r="B407" s="75" t="s">
        <v>12</v>
      </c>
      <c r="C407" s="45">
        <v>46286</v>
      </c>
      <c r="D407" s="76">
        <v>808.793074716246</v>
      </c>
      <c r="E407" s="77">
        <v>125</v>
      </c>
      <c r="F407" s="78">
        <v>12.1448681970867</v>
      </c>
      <c r="G407" s="78">
        <v>12.1448681970867</v>
      </c>
      <c r="H407" s="81">
        <v>12.3607030162248</v>
      </c>
    </row>
    <row r="408" spans="1:8" x14ac:dyDescent="0.3">
      <c r="A408" s="74" t="str">
        <f t="shared" si="6"/>
        <v>吉林46287</v>
      </c>
      <c r="B408" s="75" t="s">
        <v>12</v>
      </c>
      <c r="C408" s="45">
        <v>46287</v>
      </c>
      <c r="D408" s="76">
        <v>808.793074716246</v>
      </c>
      <c r="E408" s="77">
        <v>125</v>
      </c>
      <c r="F408" s="78">
        <v>12.1448681970867</v>
      </c>
      <c r="G408" s="78">
        <v>12.1448681970867</v>
      </c>
      <c r="H408" s="81">
        <v>12.3607030162248</v>
      </c>
    </row>
    <row r="409" spans="1:8" x14ac:dyDescent="0.3">
      <c r="A409" s="74" t="str">
        <f t="shared" si="6"/>
        <v>吉林46288</v>
      </c>
      <c r="B409" s="75" t="s">
        <v>12</v>
      </c>
      <c r="C409" s="45">
        <v>46288</v>
      </c>
      <c r="D409" s="76">
        <v>808.793074716246</v>
      </c>
      <c r="E409" s="77">
        <v>125</v>
      </c>
      <c r="F409" s="78">
        <v>12.1448681970867</v>
      </c>
      <c r="G409" s="78">
        <v>12.1448681970867</v>
      </c>
      <c r="H409" s="81">
        <v>12.3607030162248</v>
      </c>
    </row>
    <row r="410" spans="1:8" x14ac:dyDescent="0.3">
      <c r="A410" s="74" t="str">
        <f t="shared" si="6"/>
        <v>吉林46289</v>
      </c>
      <c r="B410" s="75" t="s">
        <v>12</v>
      </c>
      <c r="C410" s="45">
        <v>46289</v>
      </c>
      <c r="D410" s="76">
        <v>808.793074716246</v>
      </c>
      <c r="E410" s="77">
        <v>125</v>
      </c>
      <c r="F410" s="78">
        <v>12.1448681970867</v>
      </c>
      <c r="G410" s="78">
        <v>12.1448681970867</v>
      </c>
      <c r="H410" s="81">
        <v>12.3607030162248</v>
      </c>
    </row>
    <row r="411" spans="1:8" x14ac:dyDescent="0.3">
      <c r="A411" s="74" t="str">
        <f t="shared" si="6"/>
        <v>吉林46290</v>
      </c>
      <c r="B411" s="75" t="s">
        <v>12</v>
      </c>
      <c r="C411" s="45">
        <v>46290</v>
      </c>
      <c r="D411" s="76">
        <v>808.793074716246</v>
      </c>
      <c r="E411" s="77">
        <v>125</v>
      </c>
      <c r="F411" s="78">
        <v>12.1448681970867</v>
      </c>
      <c r="G411" s="78">
        <v>12.1448681970867</v>
      </c>
      <c r="H411" s="81">
        <v>12.3607030162248</v>
      </c>
    </row>
    <row r="412" spans="1:8" x14ac:dyDescent="0.3">
      <c r="A412" s="74" t="str">
        <f t="shared" si="6"/>
        <v>吉林46291</v>
      </c>
      <c r="B412" s="75" t="s">
        <v>12</v>
      </c>
      <c r="C412" s="45">
        <v>46291</v>
      </c>
      <c r="D412" s="76">
        <v>808.793074716246</v>
      </c>
      <c r="E412" s="77">
        <v>125</v>
      </c>
      <c r="F412" s="78">
        <v>12.1448681970867</v>
      </c>
      <c r="G412" s="78">
        <v>12.1448681970867</v>
      </c>
      <c r="H412" s="81">
        <v>12.3607030162248</v>
      </c>
    </row>
    <row r="413" spans="1:8" x14ac:dyDescent="0.3">
      <c r="A413" s="74" t="str">
        <f t="shared" si="6"/>
        <v>吉林46292</v>
      </c>
      <c r="B413" s="75" t="s">
        <v>12</v>
      </c>
      <c r="C413" s="45">
        <v>46292</v>
      </c>
      <c r="D413" s="76">
        <v>808.793074716246</v>
      </c>
      <c r="E413" s="77">
        <v>125</v>
      </c>
      <c r="F413" s="78">
        <v>12.1448681970867</v>
      </c>
      <c r="G413" s="78">
        <v>12.1448681970867</v>
      </c>
      <c r="H413" s="81">
        <v>12.3607030162248</v>
      </c>
    </row>
    <row r="414" spans="1:8" x14ac:dyDescent="0.3">
      <c r="A414" s="74" t="str">
        <f t="shared" si="6"/>
        <v>吉林46293</v>
      </c>
      <c r="B414" s="75" t="s">
        <v>12</v>
      </c>
      <c r="C414" s="45">
        <v>46293</v>
      </c>
      <c r="D414" s="76">
        <v>808.793074716246</v>
      </c>
      <c r="E414" s="77">
        <v>125</v>
      </c>
      <c r="F414" s="78">
        <v>12.1448681970867</v>
      </c>
      <c r="G414" s="78">
        <v>12.1448681970867</v>
      </c>
      <c r="H414" s="81">
        <v>12.3607030162248</v>
      </c>
    </row>
    <row r="415" spans="1:8" x14ac:dyDescent="0.3">
      <c r="A415" s="74" t="str">
        <f t="shared" si="6"/>
        <v>吉林46294</v>
      </c>
      <c r="B415" s="75" t="s">
        <v>12</v>
      </c>
      <c r="C415" s="45">
        <v>46294</v>
      </c>
      <c r="D415" s="76">
        <v>808.793074716246</v>
      </c>
      <c r="E415" s="77">
        <v>125</v>
      </c>
      <c r="F415" s="78">
        <v>12.1448681970867</v>
      </c>
      <c r="G415" s="78">
        <v>12.1448681970867</v>
      </c>
      <c r="H415" s="81">
        <v>12.3607030162248</v>
      </c>
    </row>
    <row r="416" spans="1:8" x14ac:dyDescent="0.3">
      <c r="A416" s="74" t="str">
        <f t="shared" si="6"/>
        <v>吉林46295</v>
      </c>
      <c r="B416" s="75" t="s">
        <v>12</v>
      </c>
      <c r="C416" s="45">
        <v>46295</v>
      </c>
      <c r="D416" s="76">
        <v>808.793074716246</v>
      </c>
      <c r="E416" s="77">
        <v>125</v>
      </c>
      <c r="F416" s="78">
        <v>12.1448681970867</v>
      </c>
      <c r="G416" s="78">
        <v>12.1448681970867</v>
      </c>
      <c r="H416" s="81">
        <v>12.3607030162248</v>
      </c>
    </row>
    <row r="417" spans="1:8" x14ac:dyDescent="0.3">
      <c r="A417" s="74" t="str">
        <f t="shared" si="6"/>
        <v>吉林46296</v>
      </c>
      <c r="B417" s="75" t="s">
        <v>12</v>
      </c>
      <c r="C417" s="45">
        <v>46296</v>
      </c>
      <c r="D417" s="76">
        <v>828.61567836737595</v>
      </c>
      <c r="E417" s="77">
        <v>125</v>
      </c>
      <c r="F417" s="78">
        <v>12.3526386211571</v>
      </c>
      <c r="G417" s="78">
        <v>12.3526386211571</v>
      </c>
      <c r="H417" s="81">
        <v>12.434424903001499</v>
      </c>
    </row>
    <row r="418" spans="1:8" x14ac:dyDescent="0.3">
      <c r="A418" s="74" t="str">
        <f t="shared" si="6"/>
        <v>吉林46297</v>
      </c>
      <c r="B418" s="75" t="s">
        <v>12</v>
      </c>
      <c r="C418" s="45">
        <v>46297</v>
      </c>
      <c r="D418" s="76">
        <v>828.61567836737595</v>
      </c>
      <c r="E418" s="77">
        <v>125</v>
      </c>
      <c r="F418" s="78">
        <v>12.3526386211571</v>
      </c>
      <c r="G418" s="78">
        <v>12.3526386211571</v>
      </c>
      <c r="H418" s="81">
        <v>12.434424903001499</v>
      </c>
    </row>
    <row r="419" spans="1:8" x14ac:dyDescent="0.3">
      <c r="A419" s="74" t="str">
        <f t="shared" si="6"/>
        <v>吉林46298</v>
      </c>
      <c r="B419" s="75" t="s">
        <v>12</v>
      </c>
      <c r="C419" s="45">
        <v>46298</v>
      </c>
      <c r="D419" s="76">
        <v>828.61567836737595</v>
      </c>
      <c r="E419" s="77">
        <v>125</v>
      </c>
      <c r="F419" s="78">
        <v>12.3526386211571</v>
      </c>
      <c r="G419" s="78">
        <v>12.3526386211571</v>
      </c>
      <c r="H419" s="81">
        <v>12.434424903001499</v>
      </c>
    </row>
    <row r="420" spans="1:8" x14ac:dyDescent="0.3">
      <c r="A420" s="74" t="str">
        <f t="shared" si="6"/>
        <v>吉林46299</v>
      </c>
      <c r="B420" s="75" t="s">
        <v>12</v>
      </c>
      <c r="C420" s="45">
        <v>46299</v>
      </c>
      <c r="D420" s="76">
        <v>828.61567836737595</v>
      </c>
      <c r="E420" s="77">
        <v>125</v>
      </c>
      <c r="F420" s="78">
        <v>12.3526386211571</v>
      </c>
      <c r="G420" s="78">
        <v>12.3526386211571</v>
      </c>
      <c r="H420" s="81">
        <v>12.434424903001499</v>
      </c>
    </row>
    <row r="421" spans="1:8" x14ac:dyDescent="0.3">
      <c r="A421" s="74" t="str">
        <f t="shared" si="6"/>
        <v>吉林46300</v>
      </c>
      <c r="B421" s="75" t="s">
        <v>12</v>
      </c>
      <c r="C421" s="45">
        <v>46300</v>
      </c>
      <c r="D421" s="76">
        <v>828.61567836737595</v>
      </c>
      <c r="E421" s="77">
        <v>125</v>
      </c>
      <c r="F421" s="78">
        <v>12.3526386211571</v>
      </c>
      <c r="G421" s="78">
        <v>12.3526386211571</v>
      </c>
      <c r="H421" s="81">
        <v>12.434424903001499</v>
      </c>
    </row>
    <row r="422" spans="1:8" x14ac:dyDescent="0.3">
      <c r="A422" s="74" t="str">
        <f t="shared" si="6"/>
        <v>吉林46301</v>
      </c>
      <c r="B422" s="75" t="s">
        <v>12</v>
      </c>
      <c r="C422" s="45">
        <v>46301</v>
      </c>
      <c r="D422" s="76">
        <v>828.61567836737595</v>
      </c>
      <c r="E422" s="77">
        <v>125</v>
      </c>
      <c r="F422" s="78">
        <v>12.3526386211571</v>
      </c>
      <c r="G422" s="78">
        <v>12.3526386211571</v>
      </c>
      <c r="H422" s="81">
        <v>12.434424903001499</v>
      </c>
    </row>
    <row r="423" spans="1:8" x14ac:dyDescent="0.3">
      <c r="A423" s="74" t="str">
        <f t="shared" si="6"/>
        <v>吉林46302</v>
      </c>
      <c r="B423" s="75" t="s">
        <v>12</v>
      </c>
      <c r="C423" s="45">
        <v>46302</v>
      </c>
      <c r="D423" s="76">
        <v>828.61567836737595</v>
      </c>
      <c r="E423" s="77">
        <v>125</v>
      </c>
      <c r="F423" s="78">
        <v>12.3526386211571</v>
      </c>
      <c r="G423" s="78">
        <v>12.3526386211571</v>
      </c>
      <c r="H423" s="81">
        <v>12.434424903001499</v>
      </c>
    </row>
    <row r="424" spans="1:8" x14ac:dyDescent="0.3">
      <c r="A424" s="74" t="str">
        <f t="shared" si="6"/>
        <v>吉林46303</v>
      </c>
      <c r="B424" s="75" t="s">
        <v>12</v>
      </c>
      <c r="C424" s="45">
        <v>46303</v>
      </c>
      <c r="D424" s="76">
        <v>828.61567836737595</v>
      </c>
      <c r="E424" s="77">
        <v>125</v>
      </c>
      <c r="F424" s="78">
        <v>12.3526386211571</v>
      </c>
      <c r="G424" s="78">
        <v>12.3526386211571</v>
      </c>
      <c r="H424" s="81">
        <v>12.434424903001499</v>
      </c>
    </row>
    <row r="425" spans="1:8" x14ac:dyDescent="0.3">
      <c r="A425" s="74" t="str">
        <f t="shared" si="6"/>
        <v>吉林46304</v>
      </c>
      <c r="B425" s="75" t="s">
        <v>12</v>
      </c>
      <c r="C425" s="45">
        <v>46304</v>
      </c>
      <c r="D425" s="76">
        <v>828.61567836737595</v>
      </c>
      <c r="E425" s="77">
        <v>125</v>
      </c>
      <c r="F425" s="78">
        <v>12.3526386211571</v>
      </c>
      <c r="G425" s="78">
        <v>12.3526386211571</v>
      </c>
      <c r="H425" s="81">
        <v>12.434424903001499</v>
      </c>
    </row>
    <row r="426" spans="1:8" x14ac:dyDescent="0.3">
      <c r="A426" s="74" t="str">
        <f t="shared" si="6"/>
        <v>吉林46305</v>
      </c>
      <c r="B426" s="75" t="s">
        <v>12</v>
      </c>
      <c r="C426" s="45">
        <v>46305</v>
      </c>
      <c r="D426" s="76">
        <v>828.61567836737595</v>
      </c>
      <c r="E426" s="77">
        <v>125</v>
      </c>
      <c r="F426" s="78">
        <v>12.3526386211571</v>
      </c>
      <c r="G426" s="78">
        <v>12.3526386211571</v>
      </c>
      <c r="H426" s="81">
        <v>12.434424903001499</v>
      </c>
    </row>
    <row r="427" spans="1:8" x14ac:dyDescent="0.3">
      <c r="A427" s="74" t="str">
        <f t="shared" si="6"/>
        <v>吉林46306</v>
      </c>
      <c r="B427" s="75" t="s">
        <v>12</v>
      </c>
      <c r="C427" s="45">
        <v>46306</v>
      </c>
      <c r="D427" s="76">
        <v>828.61567836737595</v>
      </c>
      <c r="E427" s="77">
        <v>125</v>
      </c>
      <c r="F427" s="78">
        <v>12.3526386211571</v>
      </c>
      <c r="G427" s="78">
        <v>12.3526386211571</v>
      </c>
      <c r="H427" s="81">
        <v>12.434424903001499</v>
      </c>
    </row>
    <row r="428" spans="1:8" x14ac:dyDescent="0.3">
      <c r="A428" s="74" t="str">
        <f t="shared" si="6"/>
        <v>吉林46307</v>
      </c>
      <c r="B428" s="75" t="s">
        <v>12</v>
      </c>
      <c r="C428" s="45">
        <v>46307</v>
      </c>
      <c r="D428" s="76">
        <v>828.61567836737595</v>
      </c>
      <c r="E428" s="77">
        <v>125</v>
      </c>
      <c r="F428" s="78">
        <v>12.3526386211571</v>
      </c>
      <c r="G428" s="78">
        <v>12.3526386211571</v>
      </c>
      <c r="H428" s="81">
        <v>12.434424903001499</v>
      </c>
    </row>
    <row r="429" spans="1:8" x14ac:dyDescent="0.3">
      <c r="A429" s="74" t="str">
        <f t="shared" si="6"/>
        <v>吉林46308</v>
      </c>
      <c r="B429" s="75" t="s">
        <v>12</v>
      </c>
      <c r="C429" s="45">
        <v>46308</v>
      </c>
      <c r="D429" s="76">
        <v>828.61567836737595</v>
      </c>
      <c r="E429" s="77">
        <v>125</v>
      </c>
      <c r="F429" s="78">
        <v>12.3526386211571</v>
      </c>
      <c r="G429" s="78">
        <v>12.3526386211571</v>
      </c>
      <c r="H429" s="81">
        <v>12.434424903001499</v>
      </c>
    </row>
    <row r="430" spans="1:8" x14ac:dyDescent="0.3">
      <c r="A430" s="74" t="str">
        <f t="shared" si="6"/>
        <v>吉林46309</v>
      </c>
      <c r="B430" s="75" t="s">
        <v>12</v>
      </c>
      <c r="C430" s="45">
        <v>46309</v>
      </c>
      <c r="D430" s="76">
        <v>828.61567836737595</v>
      </c>
      <c r="E430" s="77">
        <v>125</v>
      </c>
      <c r="F430" s="78">
        <v>12.3526386211571</v>
      </c>
      <c r="G430" s="78">
        <v>12.3526386211571</v>
      </c>
      <c r="H430" s="81">
        <v>12.434424903001499</v>
      </c>
    </row>
    <row r="431" spans="1:8" x14ac:dyDescent="0.3">
      <c r="A431" s="74" t="str">
        <f t="shared" si="6"/>
        <v>吉林46310</v>
      </c>
      <c r="B431" s="75" t="s">
        <v>12</v>
      </c>
      <c r="C431" s="45">
        <v>46310</v>
      </c>
      <c r="D431" s="76">
        <v>828.61567836737595</v>
      </c>
      <c r="E431" s="77">
        <v>125</v>
      </c>
      <c r="F431" s="78">
        <v>12.3526386211571</v>
      </c>
      <c r="G431" s="78">
        <v>12.3526386211571</v>
      </c>
      <c r="H431" s="81">
        <v>12.434424903001499</v>
      </c>
    </row>
    <row r="432" spans="1:8" x14ac:dyDescent="0.3">
      <c r="A432" s="74" t="str">
        <f t="shared" si="6"/>
        <v>吉林46311</v>
      </c>
      <c r="B432" s="75" t="s">
        <v>12</v>
      </c>
      <c r="C432" s="45">
        <v>46311</v>
      </c>
      <c r="D432" s="76">
        <v>828.61567836737595</v>
      </c>
      <c r="E432" s="77">
        <v>125</v>
      </c>
      <c r="F432" s="78">
        <v>12.3526386211571</v>
      </c>
      <c r="G432" s="78">
        <v>12.3526386211571</v>
      </c>
      <c r="H432" s="81">
        <v>12.434424903001499</v>
      </c>
    </row>
    <row r="433" spans="1:8" x14ac:dyDescent="0.3">
      <c r="A433" s="74" t="str">
        <f t="shared" si="6"/>
        <v>吉林46312</v>
      </c>
      <c r="B433" s="75" t="s">
        <v>12</v>
      </c>
      <c r="C433" s="45">
        <v>46312</v>
      </c>
      <c r="D433" s="76">
        <v>828.61567836737595</v>
      </c>
      <c r="E433" s="77">
        <v>125</v>
      </c>
      <c r="F433" s="78">
        <v>12.3526386211571</v>
      </c>
      <c r="G433" s="78">
        <v>12.3526386211571</v>
      </c>
      <c r="H433" s="81">
        <v>12.434424903001499</v>
      </c>
    </row>
    <row r="434" spans="1:8" x14ac:dyDescent="0.3">
      <c r="A434" s="74" t="str">
        <f t="shared" si="6"/>
        <v>吉林46313</v>
      </c>
      <c r="B434" s="75" t="s">
        <v>12</v>
      </c>
      <c r="C434" s="45">
        <v>46313</v>
      </c>
      <c r="D434" s="76">
        <v>828.61567836737595</v>
      </c>
      <c r="E434" s="77">
        <v>125</v>
      </c>
      <c r="F434" s="78">
        <v>12.3526386211571</v>
      </c>
      <c r="G434" s="78">
        <v>12.3526386211571</v>
      </c>
      <c r="H434" s="81">
        <v>12.434424903001499</v>
      </c>
    </row>
    <row r="435" spans="1:8" x14ac:dyDescent="0.3">
      <c r="A435" s="74" t="str">
        <f t="shared" si="6"/>
        <v>吉林46314</v>
      </c>
      <c r="B435" s="75" t="s">
        <v>12</v>
      </c>
      <c r="C435" s="45">
        <v>46314</v>
      </c>
      <c r="D435" s="76">
        <v>828.61567836737595</v>
      </c>
      <c r="E435" s="77">
        <v>125</v>
      </c>
      <c r="F435" s="78">
        <v>12.3526386211571</v>
      </c>
      <c r="G435" s="78">
        <v>12.3526386211571</v>
      </c>
      <c r="H435" s="81">
        <v>12.434424903001499</v>
      </c>
    </row>
    <row r="436" spans="1:8" x14ac:dyDescent="0.3">
      <c r="A436" s="74" t="str">
        <f t="shared" si="6"/>
        <v>吉林46315</v>
      </c>
      <c r="B436" s="75" t="s">
        <v>12</v>
      </c>
      <c r="C436" s="45">
        <v>46315</v>
      </c>
      <c r="D436" s="76">
        <v>828.61567836737595</v>
      </c>
      <c r="E436" s="77">
        <v>125</v>
      </c>
      <c r="F436" s="78">
        <v>12.3526386211571</v>
      </c>
      <c r="G436" s="78">
        <v>12.3526386211571</v>
      </c>
      <c r="H436" s="81">
        <v>12.434424903001499</v>
      </c>
    </row>
    <row r="437" spans="1:8" x14ac:dyDescent="0.3">
      <c r="A437" s="74" t="str">
        <f t="shared" si="6"/>
        <v>吉林46316</v>
      </c>
      <c r="B437" s="75" t="s">
        <v>12</v>
      </c>
      <c r="C437" s="45">
        <v>46316</v>
      </c>
      <c r="D437" s="76">
        <v>828.61567836737595</v>
      </c>
      <c r="E437" s="77">
        <v>125</v>
      </c>
      <c r="F437" s="78">
        <v>12.3526386211571</v>
      </c>
      <c r="G437" s="78">
        <v>12.3526386211571</v>
      </c>
      <c r="H437" s="81">
        <v>12.434424903001499</v>
      </c>
    </row>
    <row r="438" spans="1:8" x14ac:dyDescent="0.3">
      <c r="A438" s="74" t="str">
        <f t="shared" si="6"/>
        <v>吉林46317</v>
      </c>
      <c r="B438" s="75" t="s">
        <v>12</v>
      </c>
      <c r="C438" s="45">
        <v>46317</v>
      </c>
      <c r="D438" s="76">
        <v>828.61567836737595</v>
      </c>
      <c r="E438" s="77">
        <v>125</v>
      </c>
      <c r="F438" s="78">
        <v>12.3526386211571</v>
      </c>
      <c r="G438" s="78">
        <v>12.3526386211571</v>
      </c>
      <c r="H438" s="81">
        <v>12.434424903001499</v>
      </c>
    </row>
    <row r="439" spans="1:8" x14ac:dyDescent="0.3">
      <c r="A439" s="74" t="str">
        <f t="shared" si="6"/>
        <v>吉林46318</v>
      </c>
      <c r="B439" s="75" t="s">
        <v>12</v>
      </c>
      <c r="C439" s="45">
        <v>46318</v>
      </c>
      <c r="D439" s="76">
        <v>828.61567836737595</v>
      </c>
      <c r="E439" s="77">
        <v>125</v>
      </c>
      <c r="F439" s="78">
        <v>12.3526386211571</v>
      </c>
      <c r="G439" s="78">
        <v>12.3526386211571</v>
      </c>
      <c r="H439" s="81">
        <v>12.434424903001499</v>
      </c>
    </row>
    <row r="440" spans="1:8" x14ac:dyDescent="0.3">
      <c r="A440" s="74" t="str">
        <f t="shared" si="6"/>
        <v>吉林46319</v>
      </c>
      <c r="B440" s="75" t="s">
        <v>12</v>
      </c>
      <c r="C440" s="45">
        <v>46319</v>
      </c>
      <c r="D440" s="76">
        <v>828.61567836737595</v>
      </c>
      <c r="E440" s="77">
        <v>125</v>
      </c>
      <c r="F440" s="78">
        <v>12.3526386211571</v>
      </c>
      <c r="G440" s="78">
        <v>12.3526386211571</v>
      </c>
      <c r="H440" s="81">
        <v>12.434424903001499</v>
      </c>
    </row>
    <row r="441" spans="1:8" x14ac:dyDescent="0.3">
      <c r="A441" s="74" t="str">
        <f t="shared" si="6"/>
        <v>吉林46320</v>
      </c>
      <c r="B441" s="75" t="s">
        <v>12</v>
      </c>
      <c r="C441" s="45">
        <v>46320</v>
      </c>
      <c r="D441" s="76">
        <v>828.61567836737595</v>
      </c>
      <c r="E441" s="77">
        <v>125</v>
      </c>
      <c r="F441" s="78">
        <v>12.3526386211571</v>
      </c>
      <c r="G441" s="78">
        <v>12.3526386211571</v>
      </c>
      <c r="H441" s="81">
        <v>12.434424903001499</v>
      </c>
    </row>
    <row r="442" spans="1:8" x14ac:dyDescent="0.3">
      <c r="A442" s="74" t="str">
        <f t="shared" si="6"/>
        <v>吉林46321</v>
      </c>
      <c r="B442" s="75" t="s">
        <v>12</v>
      </c>
      <c r="C442" s="45">
        <v>46321</v>
      </c>
      <c r="D442" s="76">
        <v>828.61567836737595</v>
      </c>
      <c r="E442" s="77">
        <v>125</v>
      </c>
      <c r="F442" s="78">
        <v>12.3526386211571</v>
      </c>
      <c r="G442" s="78">
        <v>12.3526386211571</v>
      </c>
      <c r="H442" s="81">
        <v>12.434424903001499</v>
      </c>
    </row>
    <row r="443" spans="1:8" x14ac:dyDescent="0.3">
      <c r="A443" s="74" t="str">
        <f t="shared" si="6"/>
        <v>吉林46322</v>
      </c>
      <c r="B443" s="75" t="s">
        <v>12</v>
      </c>
      <c r="C443" s="45">
        <v>46322</v>
      </c>
      <c r="D443" s="76">
        <v>828.61567836737595</v>
      </c>
      <c r="E443" s="77">
        <v>125</v>
      </c>
      <c r="F443" s="78">
        <v>12.3526386211571</v>
      </c>
      <c r="G443" s="78">
        <v>12.3526386211571</v>
      </c>
      <c r="H443" s="81">
        <v>12.434424903001499</v>
      </c>
    </row>
    <row r="444" spans="1:8" x14ac:dyDescent="0.3">
      <c r="A444" s="74" t="str">
        <f t="shared" si="6"/>
        <v>吉林46323</v>
      </c>
      <c r="B444" s="75" t="s">
        <v>12</v>
      </c>
      <c r="C444" s="45">
        <v>46323</v>
      </c>
      <c r="D444" s="76">
        <v>828.61567836737595</v>
      </c>
      <c r="E444" s="77">
        <v>125</v>
      </c>
      <c r="F444" s="78">
        <v>12.3526386211571</v>
      </c>
      <c r="G444" s="78">
        <v>12.3526386211571</v>
      </c>
      <c r="H444" s="81">
        <v>12.434424903001499</v>
      </c>
    </row>
    <row r="445" spans="1:8" x14ac:dyDescent="0.3">
      <c r="A445" s="74" t="str">
        <f t="shared" si="6"/>
        <v>吉林46324</v>
      </c>
      <c r="B445" s="75" t="s">
        <v>12</v>
      </c>
      <c r="C445" s="45">
        <v>46324</v>
      </c>
      <c r="D445" s="76">
        <v>828.61567836737595</v>
      </c>
      <c r="E445" s="77">
        <v>125</v>
      </c>
      <c r="F445" s="78">
        <v>12.3526386211571</v>
      </c>
      <c r="G445" s="78">
        <v>12.3526386211571</v>
      </c>
      <c r="H445" s="81">
        <v>12.434424903001499</v>
      </c>
    </row>
    <row r="446" spans="1:8" x14ac:dyDescent="0.3">
      <c r="A446" s="74" t="str">
        <f t="shared" si="6"/>
        <v>吉林46325</v>
      </c>
      <c r="B446" s="75" t="s">
        <v>12</v>
      </c>
      <c r="C446" s="45">
        <v>46325</v>
      </c>
      <c r="D446" s="76">
        <v>828.61567836737595</v>
      </c>
      <c r="E446" s="77">
        <v>125</v>
      </c>
      <c r="F446" s="78">
        <v>12.3526386211571</v>
      </c>
      <c r="G446" s="78">
        <v>12.3526386211571</v>
      </c>
      <c r="H446" s="81">
        <v>12.434424903001499</v>
      </c>
    </row>
    <row r="447" spans="1:8" x14ac:dyDescent="0.3">
      <c r="A447" s="74" t="str">
        <f t="shared" si="6"/>
        <v>吉林46326</v>
      </c>
      <c r="B447" s="75" t="s">
        <v>12</v>
      </c>
      <c r="C447" s="45">
        <v>46326</v>
      </c>
      <c r="D447" s="76">
        <v>828.61567836737595</v>
      </c>
      <c r="E447" s="77">
        <v>125</v>
      </c>
      <c r="F447" s="78">
        <v>12.3526386211571</v>
      </c>
      <c r="G447" s="78">
        <v>12.3526386211571</v>
      </c>
      <c r="H447" s="81">
        <v>12.434424903001499</v>
      </c>
    </row>
    <row r="448" spans="1:8" x14ac:dyDescent="0.3">
      <c r="A448" s="74" t="str">
        <f t="shared" si="6"/>
        <v>吉林46327</v>
      </c>
      <c r="B448" s="75" t="s">
        <v>12</v>
      </c>
      <c r="C448" s="45">
        <v>46327</v>
      </c>
      <c r="D448" s="76">
        <v>800.63106907723295</v>
      </c>
      <c r="E448" s="77">
        <v>125</v>
      </c>
      <c r="F448" s="78">
        <v>12.6390507288245</v>
      </c>
      <c r="G448" s="78">
        <v>12.6390507288245</v>
      </c>
      <c r="H448" s="81">
        <v>12.508146789778101</v>
      </c>
    </row>
    <row r="449" spans="1:8" x14ac:dyDescent="0.3">
      <c r="A449" s="74" t="str">
        <f t="shared" si="6"/>
        <v>吉林46328</v>
      </c>
      <c r="B449" s="75" t="s">
        <v>12</v>
      </c>
      <c r="C449" s="45">
        <v>46328</v>
      </c>
      <c r="D449" s="76">
        <v>800.63106907723295</v>
      </c>
      <c r="E449" s="77">
        <v>125</v>
      </c>
      <c r="F449" s="78">
        <v>12.6390507288245</v>
      </c>
      <c r="G449" s="78">
        <v>12.6390507288245</v>
      </c>
      <c r="H449" s="81">
        <v>12.508146789778101</v>
      </c>
    </row>
    <row r="450" spans="1:8" x14ac:dyDescent="0.3">
      <c r="A450" s="74" t="str">
        <f t="shared" si="6"/>
        <v>吉林46329</v>
      </c>
      <c r="B450" s="75" t="s">
        <v>12</v>
      </c>
      <c r="C450" s="45">
        <v>46329</v>
      </c>
      <c r="D450" s="76">
        <v>800.63106907723295</v>
      </c>
      <c r="E450" s="77">
        <v>125</v>
      </c>
      <c r="F450" s="78">
        <v>12.6390507288245</v>
      </c>
      <c r="G450" s="78">
        <v>12.6390507288245</v>
      </c>
      <c r="H450" s="81">
        <v>12.508146789778101</v>
      </c>
    </row>
    <row r="451" spans="1:8" x14ac:dyDescent="0.3">
      <c r="A451" s="74" t="str">
        <f t="shared" ref="A451:A514" si="7">B451&amp;C451</f>
        <v>吉林46330</v>
      </c>
      <c r="B451" s="75" t="s">
        <v>12</v>
      </c>
      <c r="C451" s="45">
        <v>46330</v>
      </c>
      <c r="D451" s="76">
        <v>800.63106907723295</v>
      </c>
      <c r="E451" s="77">
        <v>125</v>
      </c>
      <c r="F451" s="78">
        <v>12.6390507288245</v>
      </c>
      <c r="G451" s="78">
        <v>12.6390507288245</v>
      </c>
      <c r="H451" s="81">
        <v>12.508146789778101</v>
      </c>
    </row>
    <row r="452" spans="1:8" x14ac:dyDescent="0.3">
      <c r="A452" s="74" t="str">
        <f t="shared" si="7"/>
        <v>吉林46331</v>
      </c>
      <c r="B452" s="75" t="s">
        <v>12</v>
      </c>
      <c r="C452" s="45">
        <v>46331</v>
      </c>
      <c r="D452" s="76">
        <v>800.63106907723295</v>
      </c>
      <c r="E452" s="77">
        <v>125</v>
      </c>
      <c r="F452" s="78">
        <v>12.6390507288245</v>
      </c>
      <c r="G452" s="78">
        <v>12.6390507288245</v>
      </c>
      <c r="H452" s="81">
        <v>12.508146789778101</v>
      </c>
    </row>
    <row r="453" spans="1:8" x14ac:dyDescent="0.3">
      <c r="A453" s="74" t="str">
        <f t="shared" si="7"/>
        <v>吉林46332</v>
      </c>
      <c r="B453" s="75" t="s">
        <v>12</v>
      </c>
      <c r="C453" s="45">
        <v>46332</v>
      </c>
      <c r="D453" s="76">
        <v>800.63106907723295</v>
      </c>
      <c r="E453" s="77">
        <v>125</v>
      </c>
      <c r="F453" s="78">
        <v>12.6390507288245</v>
      </c>
      <c r="G453" s="78">
        <v>12.6390507288245</v>
      </c>
      <c r="H453" s="81">
        <v>12.508146789778101</v>
      </c>
    </row>
    <row r="454" spans="1:8" x14ac:dyDescent="0.3">
      <c r="A454" s="74" t="str">
        <f t="shared" si="7"/>
        <v>吉林46333</v>
      </c>
      <c r="B454" s="75" t="s">
        <v>12</v>
      </c>
      <c r="C454" s="45">
        <v>46333</v>
      </c>
      <c r="D454" s="76">
        <v>800.63106907723295</v>
      </c>
      <c r="E454" s="77">
        <v>125</v>
      </c>
      <c r="F454" s="78">
        <v>12.6390507288245</v>
      </c>
      <c r="G454" s="78">
        <v>12.6390507288245</v>
      </c>
      <c r="H454" s="81">
        <v>12.508146789778101</v>
      </c>
    </row>
    <row r="455" spans="1:8" x14ac:dyDescent="0.3">
      <c r="A455" s="74" t="str">
        <f t="shared" si="7"/>
        <v>吉林46334</v>
      </c>
      <c r="B455" s="75" t="s">
        <v>12</v>
      </c>
      <c r="C455" s="45">
        <v>46334</v>
      </c>
      <c r="D455" s="76">
        <v>800.63106907723295</v>
      </c>
      <c r="E455" s="77">
        <v>125</v>
      </c>
      <c r="F455" s="78">
        <v>12.6390507288245</v>
      </c>
      <c r="G455" s="78">
        <v>12.6390507288245</v>
      </c>
      <c r="H455" s="81">
        <v>12.508146789778101</v>
      </c>
    </row>
    <row r="456" spans="1:8" x14ac:dyDescent="0.3">
      <c r="A456" s="74" t="str">
        <f t="shared" si="7"/>
        <v>吉林46335</v>
      </c>
      <c r="B456" s="75" t="s">
        <v>12</v>
      </c>
      <c r="C456" s="45">
        <v>46335</v>
      </c>
      <c r="D456" s="76">
        <v>800.63106907723295</v>
      </c>
      <c r="E456" s="77">
        <v>125</v>
      </c>
      <c r="F456" s="78">
        <v>12.6390507288245</v>
      </c>
      <c r="G456" s="78">
        <v>12.6390507288245</v>
      </c>
      <c r="H456" s="81">
        <v>12.508146789778101</v>
      </c>
    </row>
    <row r="457" spans="1:8" x14ac:dyDescent="0.3">
      <c r="A457" s="74" t="str">
        <f t="shared" si="7"/>
        <v>吉林46336</v>
      </c>
      <c r="B457" s="75" t="s">
        <v>12</v>
      </c>
      <c r="C457" s="45">
        <v>46336</v>
      </c>
      <c r="D457" s="76">
        <v>800.63106907723295</v>
      </c>
      <c r="E457" s="77">
        <v>125</v>
      </c>
      <c r="F457" s="78">
        <v>12.6390507288245</v>
      </c>
      <c r="G457" s="78">
        <v>12.6390507288245</v>
      </c>
      <c r="H457" s="81">
        <v>12.508146789778101</v>
      </c>
    </row>
    <row r="458" spans="1:8" x14ac:dyDescent="0.3">
      <c r="A458" s="74" t="str">
        <f t="shared" si="7"/>
        <v>吉林46337</v>
      </c>
      <c r="B458" s="75" t="s">
        <v>12</v>
      </c>
      <c r="C458" s="45">
        <v>46337</v>
      </c>
      <c r="D458" s="76">
        <v>800.63106907723295</v>
      </c>
      <c r="E458" s="77">
        <v>125</v>
      </c>
      <c r="F458" s="78">
        <v>12.6390507288245</v>
      </c>
      <c r="G458" s="78">
        <v>12.6390507288245</v>
      </c>
      <c r="H458" s="81">
        <v>12.508146789778101</v>
      </c>
    </row>
    <row r="459" spans="1:8" x14ac:dyDescent="0.3">
      <c r="A459" s="74" t="str">
        <f t="shared" si="7"/>
        <v>吉林46338</v>
      </c>
      <c r="B459" s="75" t="s">
        <v>12</v>
      </c>
      <c r="C459" s="45">
        <v>46338</v>
      </c>
      <c r="D459" s="76">
        <v>800.63106907723295</v>
      </c>
      <c r="E459" s="77">
        <v>125</v>
      </c>
      <c r="F459" s="78">
        <v>12.6390507288245</v>
      </c>
      <c r="G459" s="78">
        <v>12.6390507288245</v>
      </c>
      <c r="H459" s="81">
        <v>12.508146789778101</v>
      </c>
    </row>
    <row r="460" spans="1:8" x14ac:dyDescent="0.3">
      <c r="A460" s="74" t="str">
        <f t="shared" si="7"/>
        <v>吉林46339</v>
      </c>
      <c r="B460" s="75" t="s">
        <v>12</v>
      </c>
      <c r="C460" s="45">
        <v>46339</v>
      </c>
      <c r="D460" s="76">
        <v>800.63106907723295</v>
      </c>
      <c r="E460" s="77">
        <v>125</v>
      </c>
      <c r="F460" s="78">
        <v>12.6390507288245</v>
      </c>
      <c r="G460" s="78">
        <v>12.6390507288245</v>
      </c>
      <c r="H460" s="81">
        <v>12.508146789778101</v>
      </c>
    </row>
    <row r="461" spans="1:8" x14ac:dyDescent="0.3">
      <c r="A461" s="74" t="str">
        <f t="shared" si="7"/>
        <v>吉林46340</v>
      </c>
      <c r="B461" s="75" t="s">
        <v>12</v>
      </c>
      <c r="C461" s="45">
        <v>46340</v>
      </c>
      <c r="D461" s="76">
        <v>800.63106907723295</v>
      </c>
      <c r="E461" s="77">
        <v>125</v>
      </c>
      <c r="F461" s="78">
        <v>12.6390507288245</v>
      </c>
      <c r="G461" s="78">
        <v>12.6390507288245</v>
      </c>
      <c r="H461" s="81">
        <v>12.508146789778101</v>
      </c>
    </row>
    <row r="462" spans="1:8" x14ac:dyDescent="0.3">
      <c r="A462" s="74" t="str">
        <f t="shared" si="7"/>
        <v>吉林46341</v>
      </c>
      <c r="B462" s="75" t="s">
        <v>12</v>
      </c>
      <c r="C462" s="45">
        <v>46341</v>
      </c>
      <c r="D462" s="76">
        <v>800.63106907723295</v>
      </c>
      <c r="E462" s="77">
        <v>125</v>
      </c>
      <c r="F462" s="78">
        <v>12.6390507288245</v>
      </c>
      <c r="G462" s="78">
        <v>12.6390507288245</v>
      </c>
      <c r="H462" s="81">
        <v>12.508146789778101</v>
      </c>
    </row>
    <row r="463" spans="1:8" x14ac:dyDescent="0.3">
      <c r="A463" s="74" t="str">
        <f t="shared" si="7"/>
        <v>吉林46342</v>
      </c>
      <c r="B463" s="75" t="s">
        <v>12</v>
      </c>
      <c r="C463" s="45">
        <v>46342</v>
      </c>
      <c r="D463" s="76">
        <v>800.63106907723295</v>
      </c>
      <c r="E463" s="77">
        <v>125</v>
      </c>
      <c r="F463" s="78">
        <v>12.6390507288245</v>
      </c>
      <c r="G463" s="78">
        <v>12.6390507288245</v>
      </c>
      <c r="H463" s="81">
        <v>12.508146789778101</v>
      </c>
    </row>
    <row r="464" spans="1:8" x14ac:dyDescent="0.3">
      <c r="A464" s="74" t="str">
        <f t="shared" si="7"/>
        <v>吉林46343</v>
      </c>
      <c r="B464" s="75" t="s">
        <v>12</v>
      </c>
      <c r="C464" s="45">
        <v>46343</v>
      </c>
      <c r="D464" s="76">
        <v>800.63106907723295</v>
      </c>
      <c r="E464" s="77">
        <v>125</v>
      </c>
      <c r="F464" s="78">
        <v>12.6390507288245</v>
      </c>
      <c r="G464" s="78">
        <v>12.6390507288245</v>
      </c>
      <c r="H464" s="81">
        <v>12.508146789778101</v>
      </c>
    </row>
    <row r="465" spans="1:8" x14ac:dyDescent="0.3">
      <c r="A465" s="74" t="str">
        <f t="shared" si="7"/>
        <v>吉林46344</v>
      </c>
      <c r="B465" s="75" t="s">
        <v>12</v>
      </c>
      <c r="C465" s="45">
        <v>46344</v>
      </c>
      <c r="D465" s="76">
        <v>800.63106907723295</v>
      </c>
      <c r="E465" s="77">
        <v>125</v>
      </c>
      <c r="F465" s="78">
        <v>12.6390507288245</v>
      </c>
      <c r="G465" s="78">
        <v>12.6390507288245</v>
      </c>
      <c r="H465" s="81">
        <v>12.508146789778101</v>
      </c>
    </row>
    <row r="466" spans="1:8" x14ac:dyDescent="0.3">
      <c r="A466" s="74" t="str">
        <f t="shared" si="7"/>
        <v>吉林46345</v>
      </c>
      <c r="B466" s="75" t="s">
        <v>12</v>
      </c>
      <c r="C466" s="45">
        <v>46345</v>
      </c>
      <c r="D466" s="76">
        <v>800.63106907723295</v>
      </c>
      <c r="E466" s="77">
        <v>125</v>
      </c>
      <c r="F466" s="78">
        <v>12.6390507288245</v>
      </c>
      <c r="G466" s="78">
        <v>12.6390507288245</v>
      </c>
      <c r="H466" s="81">
        <v>12.508146789778101</v>
      </c>
    </row>
    <row r="467" spans="1:8" x14ac:dyDescent="0.3">
      <c r="A467" s="74" t="str">
        <f t="shared" si="7"/>
        <v>吉林46346</v>
      </c>
      <c r="B467" s="75" t="s">
        <v>12</v>
      </c>
      <c r="C467" s="45">
        <v>46346</v>
      </c>
      <c r="D467" s="76">
        <v>800.63106907723295</v>
      </c>
      <c r="E467" s="77">
        <v>125</v>
      </c>
      <c r="F467" s="78">
        <v>12.6390507288245</v>
      </c>
      <c r="G467" s="78">
        <v>12.6390507288245</v>
      </c>
      <c r="H467" s="81">
        <v>12.508146789778101</v>
      </c>
    </row>
    <row r="468" spans="1:8" x14ac:dyDescent="0.3">
      <c r="A468" s="74" t="str">
        <f t="shared" si="7"/>
        <v>吉林46347</v>
      </c>
      <c r="B468" s="75" t="s">
        <v>12</v>
      </c>
      <c r="C468" s="45">
        <v>46347</v>
      </c>
      <c r="D468" s="76">
        <v>800.63106907723295</v>
      </c>
      <c r="E468" s="77">
        <v>125</v>
      </c>
      <c r="F468" s="78">
        <v>12.6390507288245</v>
      </c>
      <c r="G468" s="78">
        <v>12.6390507288245</v>
      </c>
      <c r="H468" s="81">
        <v>12.508146789778101</v>
      </c>
    </row>
    <row r="469" spans="1:8" x14ac:dyDescent="0.3">
      <c r="A469" s="74" t="str">
        <f t="shared" si="7"/>
        <v>吉林46348</v>
      </c>
      <c r="B469" s="75" t="s">
        <v>12</v>
      </c>
      <c r="C469" s="45">
        <v>46348</v>
      </c>
      <c r="D469" s="76">
        <v>800.63106907723295</v>
      </c>
      <c r="E469" s="77">
        <v>125</v>
      </c>
      <c r="F469" s="78">
        <v>12.6390507288245</v>
      </c>
      <c r="G469" s="78">
        <v>12.6390507288245</v>
      </c>
      <c r="H469" s="81">
        <v>12.508146789778101</v>
      </c>
    </row>
    <row r="470" spans="1:8" x14ac:dyDescent="0.3">
      <c r="A470" s="74" t="str">
        <f t="shared" si="7"/>
        <v>吉林46349</v>
      </c>
      <c r="B470" s="75" t="s">
        <v>12</v>
      </c>
      <c r="C470" s="45">
        <v>46349</v>
      </c>
      <c r="D470" s="76">
        <v>800.63106907723295</v>
      </c>
      <c r="E470" s="77">
        <v>125</v>
      </c>
      <c r="F470" s="78">
        <v>12.6390507288245</v>
      </c>
      <c r="G470" s="78">
        <v>12.6390507288245</v>
      </c>
      <c r="H470" s="81">
        <v>12.508146789778101</v>
      </c>
    </row>
    <row r="471" spans="1:8" x14ac:dyDescent="0.3">
      <c r="A471" s="74" t="str">
        <f t="shared" si="7"/>
        <v>吉林46350</v>
      </c>
      <c r="B471" s="75" t="s">
        <v>12</v>
      </c>
      <c r="C471" s="45">
        <v>46350</v>
      </c>
      <c r="D471" s="76">
        <v>800.63106907723295</v>
      </c>
      <c r="E471" s="77">
        <v>125</v>
      </c>
      <c r="F471" s="78">
        <v>12.6390507288245</v>
      </c>
      <c r="G471" s="78">
        <v>12.6390507288245</v>
      </c>
      <c r="H471" s="81">
        <v>12.508146789778101</v>
      </c>
    </row>
    <row r="472" spans="1:8" x14ac:dyDescent="0.3">
      <c r="A472" s="74" t="str">
        <f t="shared" si="7"/>
        <v>吉林46351</v>
      </c>
      <c r="B472" s="75" t="s">
        <v>12</v>
      </c>
      <c r="C472" s="45">
        <v>46351</v>
      </c>
      <c r="D472" s="76">
        <v>800.63106907723295</v>
      </c>
      <c r="E472" s="77">
        <v>125</v>
      </c>
      <c r="F472" s="78">
        <v>12.6390507288245</v>
      </c>
      <c r="G472" s="78">
        <v>12.6390507288245</v>
      </c>
      <c r="H472" s="81">
        <v>12.508146789778101</v>
      </c>
    </row>
    <row r="473" spans="1:8" x14ac:dyDescent="0.3">
      <c r="A473" s="74" t="str">
        <f t="shared" si="7"/>
        <v>吉林46352</v>
      </c>
      <c r="B473" s="75" t="s">
        <v>12</v>
      </c>
      <c r="C473" s="45">
        <v>46352</v>
      </c>
      <c r="D473" s="76">
        <v>800.63106907723295</v>
      </c>
      <c r="E473" s="77">
        <v>125</v>
      </c>
      <c r="F473" s="78">
        <v>12.6390507288245</v>
      </c>
      <c r="G473" s="78">
        <v>12.6390507288245</v>
      </c>
      <c r="H473" s="81">
        <v>12.508146789778101</v>
      </c>
    </row>
    <row r="474" spans="1:8" x14ac:dyDescent="0.3">
      <c r="A474" s="74" t="str">
        <f t="shared" si="7"/>
        <v>吉林46353</v>
      </c>
      <c r="B474" s="75" t="s">
        <v>12</v>
      </c>
      <c r="C474" s="45">
        <v>46353</v>
      </c>
      <c r="D474" s="76">
        <v>800.63106907723295</v>
      </c>
      <c r="E474" s="77">
        <v>125</v>
      </c>
      <c r="F474" s="78">
        <v>12.6390507288245</v>
      </c>
      <c r="G474" s="78">
        <v>12.6390507288245</v>
      </c>
      <c r="H474" s="81">
        <v>12.508146789778101</v>
      </c>
    </row>
    <row r="475" spans="1:8" x14ac:dyDescent="0.3">
      <c r="A475" s="74" t="str">
        <f t="shared" si="7"/>
        <v>吉林46354</v>
      </c>
      <c r="B475" s="75" t="s">
        <v>12</v>
      </c>
      <c r="C475" s="45">
        <v>46354</v>
      </c>
      <c r="D475" s="76">
        <v>800.63106907723295</v>
      </c>
      <c r="E475" s="77">
        <v>125</v>
      </c>
      <c r="F475" s="78">
        <v>12.6390507288245</v>
      </c>
      <c r="G475" s="78">
        <v>12.6390507288245</v>
      </c>
      <c r="H475" s="81">
        <v>12.508146789778101</v>
      </c>
    </row>
    <row r="476" spans="1:8" x14ac:dyDescent="0.3">
      <c r="A476" s="74" t="str">
        <f t="shared" si="7"/>
        <v>吉林46355</v>
      </c>
      <c r="B476" s="75" t="s">
        <v>12</v>
      </c>
      <c r="C476" s="45">
        <v>46355</v>
      </c>
      <c r="D476" s="76">
        <v>800.63106907723295</v>
      </c>
      <c r="E476" s="77">
        <v>125</v>
      </c>
      <c r="F476" s="78">
        <v>12.6390507288245</v>
      </c>
      <c r="G476" s="78">
        <v>12.6390507288245</v>
      </c>
      <c r="H476" s="81">
        <v>12.508146789778101</v>
      </c>
    </row>
    <row r="477" spans="1:8" x14ac:dyDescent="0.3">
      <c r="A477" s="74" t="str">
        <f t="shared" si="7"/>
        <v>吉林46356</v>
      </c>
      <c r="B477" s="75" t="s">
        <v>12</v>
      </c>
      <c r="C477" s="45">
        <v>46356</v>
      </c>
      <c r="D477" s="76">
        <v>800.63106907723295</v>
      </c>
      <c r="E477" s="77">
        <v>125</v>
      </c>
      <c r="F477" s="78">
        <v>12.6390507288245</v>
      </c>
      <c r="G477" s="78">
        <v>12.6390507288245</v>
      </c>
      <c r="H477" s="81">
        <v>12.508146789778101</v>
      </c>
    </row>
    <row r="478" spans="1:8" x14ac:dyDescent="0.3">
      <c r="A478" s="74" t="str">
        <f t="shared" si="7"/>
        <v>吉林46357</v>
      </c>
      <c r="B478" s="75" t="s">
        <v>12</v>
      </c>
      <c r="C478" s="45">
        <v>46357</v>
      </c>
      <c r="D478" s="76">
        <v>817.65854101196601</v>
      </c>
      <c r="E478" s="77">
        <v>125</v>
      </c>
      <c r="F478" s="78">
        <v>13.323565736718001</v>
      </c>
      <c r="G478" s="78">
        <v>13.323565736718001</v>
      </c>
      <c r="H478" s="81">
        <v>12.739142035011801</v>
      </c>
    </row>
    <row r="479" spans="1:8" x14ac:dyDescent="0.3">
      <c r="A479" s="74" t="str">
        <f t="shared" si="7"/>
        <v>吉林46358</v>
      </c>
      <c r="B479" s="75" t="s">
        <v>12</v>
      </c>
      <c r="C479" s="45">
        <v>46358</v>
      </c>
      <c r="D479" s="76">
        <v>817.65854101196601</v>
      </c>
      <c r="E479" s="77">
        <v>125</v>
      </c>
      <c r="F479" s="78">
        <v>13.323565736718001</v>
      </c>
      <c r="G479" s="78">
        <v>13.323565736718001</v>
      </c>
      <c r="H479" s="81">
        <v>12.739142035011801</v>
      </c>
    </row>
    <row r="480" spans="1:8" x14ac:dyDescent="0.3">
      <c r="A480" s="74" t="str">
        <f t="shared" si="7"/>
        <v>吉林46359</v>
      </c>
      <c r="B480" s="75" t="s">
        <v>12</v>
      </c>
      <c r="C480" s="45">
        <v>46359</v>
      </c>
      <c r="D480" s="76">
        <v>817.65854101196601</v>
      </c>
      <c r="E480" s="77">
        <v>125</v>
      </c>
      <c r="F480" s="78">
        <v>13.323565736718001</v>
      </c>
      <c r="G480" s="78">
        <v>13.323565736718001</v>
      </c>
      <c r="H480" s="81">
        <v>12.739142035011801</v>
      </c>
    </row>
    <row r="481" spans="1:8" x14ac:dyDescent="0.3">
      <c r="A481" s="74" t="str">
        <f t="shared" si="7"/>
        <v>吉林46360</v>
      </c>
      <c r="B481" s="75" t="s">
        <v>12</v>
      </c>
      <c r="C481" s="45">
        <v>46360</v>
      </c>
      <c r="D481" s="76">
        <v>817.65854101196601</v>
      </c>
      <c r="E481" s="77">
        <v>125</v>
      </c>
      <c r="F481" s="78">
        <v>13.323565736718001</v>
      </c>
      <c r="G481" s="78">
        <v>13.323565736718001</v>
      </c>
      <c r="H481" s="81">
        <v>12.739142035011801</v>
      </c>
    </row>
    <row r="482" spans="1:8" x14ac:dyDescent="0.3">
      <c r="A482" s="74" t="str">
        <f t="shared" si="7"/>
        <v>吉林46361</v>
      </c>
      <c r="B482" s="75" t="s">
        <v>12</v>
      </c>
      <c r="C482" s="45">
        <v>46361</v>
      </c>
      <c r="D482" s="76">
        <v>817.65854101196601</v>
      </c>
      <c r="E482" s="77">
        <v>125</v>
      </c>
      <c r="F482" s="78">
        <v>13.323565736718001</v>
      </c>
      <c r="G482" s="78">
        <v>13.323565736718001</v>
      </c>
      <c r="H482" s="81">
        <v>12.739142035011801</v>
      </c>
    </row>
    <row r="483" spans="1:8" x14ac:dyDescent="0.3">
      <c r="A483" s="74" t="str">
        <f t="shared" si="7"/>
        <v>吉林46362</v>
      </c>
      <c r="B483" s="75" t="s">
        <v>12</v>
      </c>
      <c r="C483" s="45">
        <v>46362</v>
      </c>
      <c r="D483" s="76">
        <v>817.65854101196601</v>
      </c>
      <c r="E483" s="77">
        <v>125</v>
      </c>
      <c r="F483" s="78">
        <v>13.323565736718001</v>
      </c>
      <c r="G483" s="78">
        <v>13.323565736718001</v>
      </c>
      <c r="H483" s="81">
        <v>12.739142035011801</v>
      </c>
    </row>
    <row r="484" spans="1:8" x14ac:dyDescent="0.3">
      <c r="A484" s="74" t="str">
        <f t="shared" si="7"/>
        <v>吉林46363</v>
      </c>
      <c r="B484" s="75" t="s">
        <v>12</v>
      </c>
      <c r="C484" s="45">
        <v>46363</v>
      </c>
      <c r="D484" s="76">
        <v>817.65854101196601</v>
      </c>
      <c r="E484" s="77">
        <v>125</v>
      </c>
      <c r="F484" s="78">
        <v>13.323565736718001</v>
      </c>
      <c r="G484" s="78">
        <v>13.323565736718001</v>
      </c>
      <c r="H484" s="81">
        <v>12.739142035011801</v>
      </c>
    </row>
    <row r="485" spans="1:8" x14ac:dyDescent="0.3">
      <c r="A485" s="74" t="str">
        <f t="shared" si="7"/>
        <v>吉林46364</v>
      </c>
      <c r="B485" s="75" t="s">
        <v>12</v>
      </c>
      <c r="C485" s="45">
        <v>46364</v>
      </c>
      <c r="D485" s="76">
        <v>817.65854101196601</v>
      </c>
      <c r="E485" s="77">
        <v>125</v>
      </c>
      <c r="F485" s="78">
        <v>13.323565736718001</v>
      </c>
      <c r="G485" s="78">
        <v>13.323565736718001</v>
      </c>
      <c r="H485" s="81">
        <v>12.739142035011801</v>
      </c>
    </row>
    <row r="486" spans="1:8" x14ac:dyDescent="0.3">
      <c r="A486" s="74" t="str">
        <f t="shared" si="7"/>
        <v>吉林46365</v>
      </c>
      <c r="B486" s="75" t="s">
        <v>12</v>
      </c>
      <c r="C486" s="45">
        <v>46365</v>
      </c>
      <c r="D486" s="76">
        <v>817.65854101196601</v>
      </c>
      <c r="E486" s="77">
        <v>125</v>
      </c>
      <c r="F486" s="78">
        <v>13.323565736718001</v>
      </c>
      <c r="G486" s="78">
        <v>13.323565736718001</v>
      </c>
      <c r="H486" s="81">
        <v>12.739142035011801</v>
      </c>
    </row>
    <row r="487" spans="1:8" x14ac:dyDescent="0.3">
      <c r="A487" s="74" t="str">
        <f t="shared" si="7"/>
        <v>吉林46366</v>
      </c>
      <c r="B487" s="75" t="s">
        <v>12</v>
      </c>
      <c r="C487" s="45">
        <v>46366</v>
      </c>
      <c r="D487" s="76">
        <v>817.65854101196601</v>
      </c>
      <c r="E487" s="77">
        <v>125</v>
      </c>
      <c r="F487" s="78">
        <v>13.323565736718001</v>
      </c>
      <c r="G487" s="78">
        <v>13.323565736718001</v>
      </c>
      <c r="H487" s="81">
        <v>12.739142035011801</v>
      </c>
    </row>
    <row r="488" spans="1:8" x14ac:dyDescent="0.3">
      <c r="A488" s="74" t="str">
        <f t="shared" si="7"/>
        <v>吉林46367</v>
      </c>
      <c r="B488" s="75" t="s">
        <v>12</v>
      </c>
      <c r="C488" s="45">
        <v>46367</v>
      </c>
      <c r="D488" s="76">
        <v>817.65854101196601</v>
      </c>
      <c r="E488" s="77">
        <v>125</v>
      </c>
      <c r="F488" s="78">
        <v>13.323565736718001</v>
      </c>
      <c r="G488" s="78">
        <v>13.323565736718001</v>
      </c>
      <c r="H488" s="81">
        <v>12.739142035011801</v>
      </c>
    </row>
    <row r="489" spans="1:8" x14ac:dyDescent="0.3">
      <c r="A489" s="74" t="str">
        <f t="shared" si="7"/>
        <v>吉林46368</v>
      </c>
      <c r="B489" s="75" t="s">
        <v>12</v>
      </c>
      <c r="C489" s="45">
        <v>46368</v>
      </c>
      <c r="D489" s="76">
        <v>817.65854101196601</v>
      </c>
      <c r="E489" s="77">
        <v>125</v>
      </c>
      <c r="F489" s="78">
        <v>13.323565736718001</v>
      </c>
      <c r="G489" s="78">
        <v>13.323565736718001</v>
      </c>
      <c r="H489" s="81">
        <v>12.739142035011801</v>
      </c>
    </row>
    <row r="490" spans="1:8" x14ac:dyDescent="0.3">
      <c r="A490" s="74" t="str">
        <f t="shared" si="7"/>
        <v>吉林46369</v>
      </c>
      <c r="B490" s="75" t="s">
        <v>12</v>
      </c>
      <c r="C490" s="45">
        <v>46369</v>
      </c>
      <c r="D490" s="76">
        <v>817.65854101196601</v>
      </c>
      <c r="E490" s="77">
        <v>125</v>
      </c>
      <c r="F490" s="78">
        <v>13.323565736718001</v>
      </c>
      <c r="G490" s="78">
        <v>13.323565736718001</v>
      </c>
      <c r="H490" s="81">
        <v>12.739142035011801</v>
      </c>
    </row>
    <row r="491" spans="1:8" x14ac:dyDescent="0.3">
      <c r="A491" s="74" t="str">
        <f t="shared" si="7"/>
        <v>吉林46370</v>
      </c>
      <c r="B491" s="75" t="s">
        <v>12</v>
      </c>
      <c r="C491" s="45">
        <v>46370</v>
      </c>
      <c r="D491" s="76">
        <v>817.65854101196601</v>
      </c>
      <c r="E491" s="77">
        <v>125</v>
      </c>
      <c r="F491" s="78">
        <v>13.323565736718001</v>
      </c>
      <c r="G491" s="78">
        <v>13.323565736718001</v>
      </c>
      <c r="H491" s="81">
        <v>12.739142035011801</v>
      </c>
    </row>
    <row r="492" spans="1:8" x14ac:dyDescent="0.3">
      <c r="A492" s="74" t="str">
        <f t="shared" si="7"/>
        <v>吉林46371</v>
      </c>
      <c r="B492" s="75" t="s">
        <v>12</v>
      </c>
      <c r="C492" s="45">
        <v>46371</v>
      </c>
      <c r="D492" s="76">
        <v>817.65854101196601</v>
      </c>
      <c r="E492" s="77">
        <v>125</v>
      </c>
      <c r="F492" s="78">
        <v>13.323565736718001</v>
      </c>
      <c r="G492" s="78">
        <v>13.323565736718001</v>
      </c>
      <c r="H492" s="81">
        <v>12.739142035011801</v>
      </c>
    </row>
    <row r="493" spans="1:8" x14ac:dyDescent="0.3">
      <c r="A493" s="74" t="str">
        <f t="shared" si="7"/>
        <v>吉林46372</v>
      </c>
      <c r="B493" s="75" t="s">
        <v>12</v>
      </c>
      <c r="C493" s="45">
        <v>46372</v>
      </c>
      <c r="D493" s="76">
        <v>817.65854101196601</v>
      </c>
      <c r="E493" s="77">
        <v>125</v>
      </c>
      <c r="F493" s="78">
        <v>13.323565736718001</v>
      </c>
      <c r="G493" s="78">
        <v>13.323565736718001</v>
      </c>
      <c r="H493" s="81">
        <v>12.739142035011801</v>
      </c>
    </row>
    <row r="494" spans="1:8" x14ac:dyDescent="0.3">
      <c r="A494" s="74" t="str">
        <f t="shared" si="7"/>
        <v>吉林46373</v>
      </c>
      <c r="B494" s="75" t="s">
        <v>12</v>
      </c>
      <c r="C494" s="45">
        <v>46373</v>
      </c>
      <c r="D494" s="76">
        <v>817.65854101196601</v>
      </c>
      <c r="E494" s="77">
        <v>125</v>
      </c>
      <c r="F494" s="78">
        <v>13.323565736718001</v>
      </c>
      <c r="G494" s="78">
        <v>13.323565736718001</v>
      </c>
      <c r="H494" s="81">
        <v>12.739142035011801</v>
      </c>
    </row>
    <row r="495" spans="1:8" x14ac:dyDescent="0.3">
      <c r="A495" s="74" t="str">
        <f t="shared" si="7"/>
        <v>吉林46374</v>
      </c>
      <c r="B495" s="75" t="s">
        <v>12</v>
      </c>
      <c r="C495" s="45">
        <v>46374</v>
      </c>
      <c r="D495" s="76">
        <v>817.65854101196601</v>
      </c>
      <c r="E495" s="77">
        <v>125</v>
      </c>
      <c r="F495" s="78">
        <v>13.323565736718001</v>
      </c>
      <c r="G495" s="78">
        <v>13.323565736718001</v>
      </c>
      <c r="H495" s="81">
        <v>12.739142035011801</v>
      </c>
    </row>
    <row r="496" spans="1:8" x14ac:dyDescent="0.3">
      <c r="A496" s="74" t="str">
        <f t="shared" si="7"/>
        <v>吉林46375</v>
      </c>
      <c r="B496" s="75" t="s">
        <v>12</v>
      </c>
      <c r="C496" s="45">
        <v>46375</v>
      </c>
      <c r="D496" s="76">
        <v>817.65854101196601</v>
      </c>
      <c r="E496" s="77">
        <v>125</v>
      </c>
      <c r="F496" s="78">
        <v>13.323565736718001</v>
      </c>
      <c r="G496" s="78">
        <v>13.323565736718001</v>
      </c>
      <c r="H496" s="81">
        <v>12.739142035011801</v>
      </c>
    </row>
    <row r="497" spans="1:8" x14ac:dyDescent="0.3">
      <c r="A497" s="74" t="str">
        <f t="shared" si="7"/>
        <v>吉林46376</v>
      </c>
      <c r="B497" s="75" t="s">
        <v>12</v>
      </c>
      <c r="C497" s="45">
        <v>46376</v>
      </c>
      <c r="D497" s="76">
        <v>817.65854101196601</v>
      </c>
      <c r="E497" s="77">
        <v>125</v>
      </c>
      <c r="F497" s="78">
        <v>13.323565736718001</v>
      </c>
      <c r="G497" s="78">
        <v>13.323565736718001</v>
      </c>
      <c r="H497" s="81">
        <v>12.739142035011801</v>
      </c>
    </row>
    <row r="498" spans="1:8" x14ac:dyDescent="0.3">
      <c r="A498" s="74" t="str">
        <f t="shared" si="7"/>
        <v>吉林46377</v>
      </c>
      <c r="B498" s="75" t="s">
        <v>12</v>
      </c>
      <c r="C498" s="45">
        <v>46377</v>
      </c>
      <c r="D498" s="76">
        <v>817.65854101196601</v>
      </c>
      <c r="E498" s="77">
        <v>125</v>
      </c>
      <c r="F498" s="78">
        <v>13.323565736718001</v>
      </c>
      <c r="G498" s="78">
        <v>13.323565736718001</v>
      </c>
      <c r="H498" s="81">
        <v>12.739142035011801</v>
      </c>
    </row>
    <row r="499" spans="1:8" x14ac:dyDescent="0.3">
      <c r="A499" s="74" t="str">
        <f t="shared" si="7"/>
        <v>吉林46378</v>
      </c>
      <c r="B499" s="75" t="s">
        <v>12</v>
      </c>
      <c r="C499" s="45">
        <v>46378</v>
      </c>
      <c r="D499" s="76">
        <v>817.65854101196601</v>
      </c>
      <c r="E499" s="77">
        <v>125</v>
      </c>
      <c r="F499" s="78">
        <v>13.323565736718001</v>
      </c>
      <c r="G499" s="78">
        <v>13.323565736718001</v>
      </c>
      <c r="H499" s="81">
        <v>12.739142035011801</v>
      </c>
    </row>
    <row r="500" spans="1:8" x14ac:dyDescent="0.3">
      <c r="A500" s="74" t="str">
        <f t="shared" si="7"/>
        <v>吉林46379</v>
      </c>
      <c r="B500" s="75" t="s">
        <v>12</v>
      </c>
      <c r="C500" s="45">
        <v>46379</v>
      </c>
      <c r="D500" s="76">
        <v>817.65854101196601</v>
      </c>
      <c r="E500" s="77">
        <v>125</v>
      </c>
      <c r="F500" s="78">
        <v>13.323565736718001</v>
      </c>
      <c r="G500" s="78">
        <v>13.323565736718001</v>
      </c>
      <c r="H500" s="81">
        <v>12.739142035011801</v>
      </c>
    </row>
    <row r="501" spans="1:8" x14ac:dyDescent="0.3">
      <c r="A501" s="74" t="str">
        <f t="shared" si="7"/>
        <v>吉林46380</v>
      </c>
      <c r="B501" s="75" t="s">
        <v>12</v>
      </c>
      <c r="C501" s="45">
        <v>46380</v>
      </c>
      <c r="D501" s="76">
        <v>817.65854101196601</v>
      </c>
      <c r="E501" s="77">
        <v>125</v>
      </c>
      <c r="F501" s="78">
        <v>13.323565736718001</v>
      </c>
      <c r="G501" s="78">
        <v>13.323565736718001</v>
      </c>
      <c r="H501" s="81">
        <v>12.739142035011801</v>
      </c>
    </row>
    <row r="502" spans="1:8" x14ac:dyDescent="0.3">
      <c r="A502" s="74" t="str">
        <f t="shared" si="7"/>
        <v>吉林46381</v>
      </c>
      <c r="B502" s="75" t="s">
        <v>12</v>
      </c>
      <c r="C502" s="45">
        <v>46381</v>
      </c>
      <c r="D502" s="76">
        <v>817.65854101196601</v>
      </c>
      <c r="E502" s="77">
        <v>125</v>
      </c>
      <c r="F502" s="78">
        <v>13.323565736718001</v>
      </c>
      <c r="G502" s="78">
        <v>13.323565736718001</v>
      </c>
      <c r="H502" s="81">
        <v>12.739142035011801</v>
      </c>
    </row>
    <row r="503" spans="1:8" x14ac:dyDescent="0.3">
      <c r="A503" s="74" t="str">
        <f t="shared" si="7"/>
        <v>吉林46382</v>
      </c>
      <c r="B503" s="75" t="s">
        <v>12</v>
      </c>
      <c r="C503" s="45">
        <v>46382</v>
      </c>
      <c r="D503" s="76">
        <v>817.65854101196601</v>
      </c>
      <c r="E503" s="77">
        <v>125</v>
      </c>
      <c r="F503" s="78">
        <v>13.323565736718001</v>
      </c>
      <c r="G503" s="78">
        <v>13.323565736718001</v>
      </c>
      <c r="H503" s="81">
        <v>12.739142035011801</v>
      </c>
    </row>
    <row r="504" spans="1:8" x14ac:dyDescent="0.3">
      <c r="A504" s="74" t="str">
        <f t="shared" si="7"/>
        <v>吉林46383</v>
      </c>
      <c r="B504" s="75" t="s">
        <v>12</v>
      </c>
      <c r="C504" s="45">
        <v>46383</v>
      </c>
      <c r="D504" s="76">
        <v>817.65854101196601</v>
      </c>
      <c r="E504" s="77">
        <v>125</v>
      </c>
      <c r="F504" s="78">
        <v>13.323565736718001</v>
      </c>
      <c r="G504" s="78">
        <v>13.323565736718001</v>
      </c>
      <c r="H504" s="81">
        <v>12.739142035011801</v>
      </c>
    </row>
    <row r="505" spans="1:8" x14ac:dyDescent="0.3">
      <c r="A505" s="74" t="str">
        <f t="shared" si="7"/>
        <v>吉林46384</v>
      </c>
      <c r="B505" s="75" t="s">
        <v>12</v>
      </c>
      <c r="C505" s="45">
        <v>46384</v>
      </c>
      <c r="D505" s="76">
        <v>817.65854101196601</v>
      </c>
      <c r="E505" s="77">
        <v>125</v>
      </c>
      <c r="F505" s="78">
        <v>13.323565736718001</v>
      </c>
      <c r="G505" s="78">
        <v>13.323565736718001</v>
      </c>
      <c r="H505" s="81">
        <v>12.739142035011801</v>
      </c>
    </row>
    <row r="506" spans="1:8" x14ac:dyDescent="0.3">
      <c r="A506" s="74" t="str">
        <f t="shared" si="7"/>
        <v>吉林46385</v>
      </c>
      <c r="B506" s="75" t="s">
        <v>12</v>
      </c>
      <c r="C506" s="45">
        <v>46385</v>
      </c>
      <c r="D506" s="76">
        <v>817.65854101196601</v>
      </c>
      <c r="E506" s="77">
        <v>125</v>
      </c>
      <c r="F506" s="78">
        <v>13.323565736718001</v>
      </c>
      <c r="G506" s="78">
        <v>13.323565736718001</v>
      </c>
      <c r="H506" s="81">
        <v>12.739142035011801</v>
      </c>
    </row>
    <row r="507" spans="1:8" x14ac:dyDescent="0.3">
      <c r="A507" s="74" t="str">
        <f t="shared" si="7"/>
        <v>吉林46386</v>
      </c>
      <c r="B507" s="75" t="s">
        <v>12</v>
      </c>
      <c r="C507" s="45">
        <v>46386</v>
      </c>
      <c r="D507" s="76">
        <v>817.65854101196601</v>
      </c>
      <c r="E507" s="77">
        <v>125</v>
      </c>
      <c r="F507" s="78">
        <v>13.323565736718001</v>
      </c>
      <c r="G507" s="78">
        <v>13.323565736718001</v>
      </c>
      <c r="H507" s="81">
        <v>12.739142035011801</v>
      </c>
    </row>
    <row r="508" spans="1:8" x14ac:dyDescent="0.3">
      <c r="A508" s="74" t="str">
        <f t="shared" si="7"/>
        <v>吉林46387</v>
      </c>
      <c r="B508" s="82" t="s">
        <v>12</v>
      </c>
      <c r="C508" s="83">
        <v>46387</v>
      </c>
      <c r="D508" s="84">
        <v>817.65854101196601</v>
      </c>
      <c r="E508" s="85">
        <v>125</v>
      </c>
      <c r="F508" s="86">
        <v>13.323565736718001</v>
      </c>
      <c r="G508" s="86">
        <v>13.323565736718001</v>
      </c>
      <c r="H508" s="87">
        <v>12.739142035011801</v>
      </c>
    </row>
    <row r="509" spans="1:8" x14ac:dyDescent="0.3">
      <c r="A509" s="74" t="str">
        <f t="shared" si="7"/>
        <v>辽宁46135</v>
      </c>
      <c r="B509" s="75" t="s">
        <v>13</v>
      </c>
      <c r="C509" s="45">
        <v>46135</v>
      </c>
      <c r="D509" s="76">
        <v>873.11362495247795</v>
      </c>
      <c r="E509" s="77">
        <v>125</v>
      </c>
      <c r="F509" s="78">
        <v>8.6501616087992694</v>
      </c>
      <c r="G509" s="78">
        <v>8.6501616087992694</v>
      </c>
      <c r="H509" s="81">
        <v>9.1967505960349705</v>
      </c>
    </row>
    <row r="510" spans="1:8" x14ac:dyDescent="0.3">
      <c r="A510" s="74" t="str">
        <f t="shared" si="7"/>
        <v>辽宁46136</v>
      </c>
      <c r="B510" s="75" t="s">
        <v>13</v>
      </c>
      <c r="C510" s="45">
        <v>46136</v>
      </c>
      <c r="D510" s="76">
        <v>873.11362495247795</v>
      </c>
      <c r="E510" s="77">
        <v>125</v>
      </c>
      <c r="F510" s="78">
        <v>8.6501616087992694</v>
      </c>
      <c r="G510" s="78">
        <v>8.6501616087992694</v>
      </c>
      <c r="H510" s="81">
        <v>9.1967505960349705</v>
      </c>
    </row>
    <row r="511" spans="1:8" x14ac:dyDescent="0.3">
      <c r="A511" s="74" t="str">
        <f t="shared" si="7"/>
        <v>辽宁46137</v>
      </c>
      <c r="B511" s="75" t="s">
        <v>13</v>
      </c>
      <c r="C511" s="45">
        <v>46137</v>
      </c>
      <c r="D511" s="76">
        <v>873.11362495247795</v>
      </c>
      <c r="E511" s="77">
        <v>125</v>
      </c>
      <c r="F511" s="78">
        <v>8.6501616087992694</v>
      </c>
      <c r="G511" s="78">
        <v>8.6501616087992694</v>
      </c>
      <c r="H511" s="81">
        <v>9.1967505960349705</v>
      </c>
    </row>
    <row r="512" spans="1:8" x14ac:dyDescent="0.3">
      <c r="A512" s="74" t="str">
        <f t="shared" si="7"/>
        <v>辽宁46138</v>
      </c>
      <c r="B512" s="75" t="s">
        <v>13</v>
      </c>
      <c r="C512" s="45">
        <v>46138</v>
      </c>
      <c r="D512" s="76">
        <v>873.11362495247795</v>
      </c>
      <c r="E512" s="77">
        <v>125</v>
      </c>
      <c r="F512" s="78">
        <v>8.6501616087992694</v>
      </c>
      <c r="G512" s="78">
        <v>8.6501616087992694</v>
      </c>
      <c r="H512" s="81">
        <v>9.1967505960349705</v>
      </c>
    </row>
    <row r="513" spans="1:8" x14ac:dyDescent="0.3">
      <c r="A513" s="74" t="str">
        <f t="shared" si="7"/>
        <v>辽宁46139</v>
      </c>
      <c r="B513" s="75" t="s">
        <v>13</v>
      </c>
      <c r="C513" s="45">
        <v>46139</v>
      </c>
      <c r="D513" s="76">
        <v>873.11362495247795</v>
      </c>
      <c r="E513" s="77">
        <v>125</v>
      </c>
      <c r="F513" s="78">
        <v>8.6501616087992694</v>
      </c>
      <c r="G513" s="78">
        <v>8.6501616087992694</v>
      </c>
      <c r="H513" s="81">
        <v>9.1967505960349705</v>
      </c>
    </row>
    <row r="514" spans="1:8" x14ac:dyDescent="0.3">
      <c r="A514" s="74" t="str">
        <f t="shared" si="7"/>
        <v>辽宁46140</v>
      </c>
      <c r="B514" s="75" t="s">
        <v>13</v>
      </c>
      <c r="C514" s="45">
        <v>46140</v>
      </c>
      <c r="D514" s="76">
        <v>873.11362495247795</v>
      </c>
      <c r="E514" s="77">
        <v>125</v>
      </c>
      <c r="F514" s="78">
        <v>8.6501616087992694</v>
      </c>
      <c r="G514" s="78">
        <v>8.6501616087992694</v>
      </c>
      <c r="H514" s="81">
        <v>9.1967505960349705</v>
      </c>
    </row>
    <row r="515" spans="1:8" x14ac:dyDescent="0.3">
      <c r="A515" s="74" t="str">
        <f t="shared" ref="A515:A578" si="8">B515&amp;C515</f>
        <v>辽宁46141</v>
      </c>
      <c r="B515" s="75" t="s">
        <v>13</v>
      </c>
      <c r="C515" s="45">
        <v>46141</v>
      </c>
      <c r="D515" s="76">
        <v>873.11362495247795</v>
      </c>
      <c r="E515" s="77">
        <v>125</v>
      </c>
      <c r="F515" s="78">
        <v>8.6501616087992694</v>
      </c>
      <c r="G515" s="78">
        <v>8.6501616087992694</v>
      </c>
      <c r="H515" s="81">
        <v>9.1967505960349705</v>
      </c>
    </row>
    <row r="516" spans="1:8" x14ac:dyDescent="0.3">
      <c r="A516" s="74" t="str">
        <f t="shared" si="8"/>
        <v>辽宁46142</v>
      </c>
      <c r="B516" s="75" t="s">
        <v>13</v>
      </c>
      <c r="C516" s="45">
        <v>46142</v>
      </c>
      <c r="D516" s="76">
        <v>873.11362495247795</v>
      </c>
      <c r="E516" s="77">
        <v>125</v>
      </c>
      <c r="F516" s="78">
        <v>8.6501616087992694</v>
      </c>
      <c r="G516" s="78">
        <v>8.6501616087992694</v>
      </c>
      <c r="H516" s="81">
        <v>9.1967505960349705</v>
      </c>
    </row>
    <row r="517" spans="1:8" x14ac:dyDescent="0.3">
      <c r="A517" s="74" t="str">
        <f t="shared" si="8"/>
        <v>辽宁46143</v>
      </c>
      <c r="B517" s="75" t="s">
        <v>13</v>
      </c>
      <c r="C517" s="45">
        <v>46143</v>
      </c>
      <c r="D517" s="76">
        <v>897.99955667662596</v>
      </c>
      <c r="E517" s="77">
        <v>125</v>
      </c>
      <c r="F517" s="78">
        <v>10.067472262442999</v>
      </c>
      <c r="G517" s="78">
        <v>10.067472262442999</v>
      </c>
      <c r="H517" s="81">
        <v>9.4056053623479094</v>
      </c>
    </row>
    <row r="518" spans="1:8" x14ac:dyDescent="0.3">
      <c r="A518" s="74" t="str">
        <f t="shared" si="8"/>
        <v>辽宁46144</v>
      </c>
      <c r="B518" s="75" t="s">
        <v>13</v>
      </c>
      <c r="C518" s="45">
        <v>46144</v>
      </c>
      <c r="D518" s="76">
        <v>897.99955667662596</v>
      </c>
      <c r="E518" s="77">
        <v>125</v>
      </c>
      <c r="F518" s="78">
        <v>10.067472262442999</v>
      </c>
      <c r="G518" s="78">
        <v>10.067472262442999</v>
      </c>
      <c r="H518" s="81">
        <v>9.4056053623479094</v>
      </c>
    </row>
    <row r="519" spans="1:8" x14ac:dyDescent="0.3">
      <c r="A519" s="74" t="str">
        <f t="shared" si="8"/>
        <v>辽宁46145</v>
      </c>
      <c r="B519" s="75" t="s">
        <v>13</v>
      </c>
      <c r="C519" s="45">
        <v>46145</v>
      </c>
      <c r="D519" s="76">
        <v>897.99955667662596</v>
      </c>
      <c r="E519" s="77">
        <v>125</v>
      </c>
      <c r="F519" s="78">
        <v>10.067472262442999</v>
      </c>
      <c r="G519" s="78">
        <v>10.067472262442999</v>
      </c>
      <c r="H519" s="81">
        <v>9.4056053623479094</v>
      </c>
    </row>
    <row r="520" spans="1:8" x14ac:dyDescent="0.3">
      <c r="A520" s="74" t="str">
        <f t="shared" si="8"/>
        <v>辽宁46146</v>
      </c>
      <c r="B520" s="75" t="s">
        <v>13</v>
      </c>
      <c r="C520" s="45">
        <v>46146</v>
      </c>
      <c r="D520" s="76">
        <v>897.99955667662596</v>
      </c>
      <c r="E520" s="77">
        <v>125</v>
      </c>
      <c r="F520" s="78">
        <v>10.067472262442999</v>
      </c>
      <c r="G520" s="78">
        <v>10.067472262442999</v>
      </c>
      <c r="H520" s="81">
        <v>9.4056053623479094</v>
      </c>
    </row>
    <row r="521" spans="1:8" x14ac:dyDescent="0.3">
      <c r="A521" s="74" t="str">
        <f t="shared" si="8"/>
        <v>辽宁46147</v>
      </c>
      <c r="B521" s="75" t="s">
        <v>13</v>
      </c>
      <c r="C521" s="45">
        <v>46147</v>
      </c>
      <c r="D521" s="76">
        <v>897.99955667662596</v>
      </c>
      <c r="E521" s="77">
        <v>125</v>
      </c>
      <c r="F521" s="78">
        <v>10.067472262442999</v>
      </c>
      <c r="G521" s="78">
        <v>10.067472262442999</v>
      </c>
      <c r="H521" s="81">
        <v>9.4056053623479094</v>
      </c>
    </row>
    <row r="522" spans="1:8" x14ac:dyDescent="0.3">
      <c r="A522" s="74" t="str">
        <f t="shared" si="8"/>
        <v>辽宁46148</v>
      </c>
      <c r="B522" s="75" t="s">
        <v>13</v>
      </c>
      <c r="C522" s="45">
        <v>46148</v>
      </c>
      <c r="D522" s="76">
        <v>897.99955667662596</v>
      </c>
      <c r="E522" s="77">
        <v>125</v>
      </c>
      <c r="F522" s="78">
        <v>10.067472262442999</v>
      </c>
      <c r="G522" s="78">
        <v>10.067472262442999</v>
      </c>
      <c r="H522" s="81">
        <v>9.4056053623479094</v>
      </c>
    </row>
    <row r="523" spans="1:8" x14ac:dyDescent="0.3">
      <c r="A523" s="74" t="str">
        <f t="shared" si="8"/>
        <v>辽宁46149</v>
      </c>
      <c r="B523" s="75" t="s">
        <v>13</v>
      </c>
      <c r="C523" s="45">
        <v>46149</v>
      </c>
      <c r="D523" s="76">
        <v>897.99955667662596</v>
      </c>
      <c r="E523" s="77">
        <v>125</v>
      </c>
      <c r="F523" s="78">
        <v>10.067472262442999</v>
      </c>
      <c r="G523" s="78">
        <v>10.067472262442999</v>
      </c>
      <c r="H523" s="81">
        <v>9.4056053623479094</v>
      </c>
    </row>
    <row r="524" spans="1:8" x14ac:dyDescent="0.3">
      <c r="A524" s="74" t="str">
        <f t="shared" si="8"/>
        <v>辽宁46150</v>
      </c>
      <c r="B524" s="75" t="s">
        <v>13</v>
      </c>
      <c r="C524" s="45">
        <v>46150</v>
      </c>
      <c r="D524" s="76">
        <v>897.99955667662596</v>
      </c>
      <c r="E524" s="77">
        <v>125</v>
      </c>
      <c r="F524" s="78">
        <v>10.067472262442999</v>
      </c>
      <c r="G524" s="78">
        <v>10.067472262442999</v>
      </c>
      <c r="H524" s="81">
        <v>9.4056053623479094</v>
      </c>
    </row>
    <row r="525" spans="1:8" x14ac:dyDescent="0.3">
      <c r="A525" s="74" t="str">
        <f t="shared" si="8"/>
        <v>辽宁46151</v>
      </c>
      <c r="B525" s="75" t="s">
        <v>13</v>
      </c>
      <c r="C525" s="45">
        <v>46151</v>
      </c>
      <c r="D525" s="76">
        <v>897.99955667662596</v>
      </c>
      <c r="E525" s="77">
        <v>125</v>
      </c>
      <c r="F525" s="78">
        <v>10.067472262442999</v>
      </c>
      <c r="G525" s="78">
        <v>10.067472262442999</v>
      </c>
      <c r="H525" s="81">
        <v>9.4056053623479094</v>
      </c>
    </row>
    <row r="526" spans="1:8" x14ac:dyDescent="0.3">
      <c r="A526" s="74" t="str">
        <f t="shared" si="8"/>
        <v>辽宁46152</v>
      </c>
      <c r="B526" s="75" t="s">
        <v>13</v>
      </c>
      <c r="C526" s="45">
        <v>46152</v>
      </c>
      <c r="D526" s="76">
        <v>897.99955667662596</v>
      </c>
      <c r="E526" s="77">
        <v>125</v>
      </c>
      <c r="F526" s="78">
        <v>10.067472262442999</v>
      </c>
      <c r="G526" s="78">
        <v>10.067472262442999</v>
      </c>
      <c r="H526" s="81">
        <v>9.4056053623479094</v>
      </c>
    </row>
    <row r="527" spans="1:8" x14ac:dyDescent="0.3">
      <c r="A527" s="74" t="str">
        <f t="shared" si="8"/>
        <v>辽宁46153</v>
      </c>
      <c r="B527" s="75" t="s">
        <v>13</v>
      </c>
      <c r="C527" s="45">
        <v>46153</v>
      </c>
      <c r="D527" s="76">
        <v>897.99955667662596</v>
      </c>
      <c r="E527" s="77">
        <v>125</v>
      </c>
      <c r="F527" s="78">
        <v>10.067472262442999</v>
      </c>
      <c r="G527" s="78">
        <v>10.067472262442999</v>
      </c>
      <c r="H527" s="81">
        <v>9.4056053623479094</v>
      </c>
    </row>
    <row r="528" spans="1:8" x14ac:dyDescent="0.3">
      <c r="A528" s="74" t="str">
        <f t="shared" si="8"/>
        <v>辽宁46154</v>
      </c>
      <c r="B528" s="75" t="s">
        <v>13</v>
      </c>
      <c r="C528" s="45">
        <v>46154</v>
      </c>
      <c r="D528" s="76">
        <v>897.99955667662596</v>
      </c>
      <c r="E528" s="77">
        <v>125</v>
      </c>
      <c r="F528" s="78">
        <v>10.067472262442999</v>
      </c>
      <c r="G528" s="78">
        <v>10.067472262442999</v>
      </c>
      <c r="H528" s="81">
        <v>9.4056053623479094</v>
      </c>
    </row>
    <row r="529" spans="1:8" x14ac:dyDescent="0.3">
      <c r="A529" s="74" t="str">
        <f t="shared" si="8"/>
        <v>辽宁46155</v>
      </c>
      <c r="B529" s="75" t="s">
        <v>13</v>
      </c>
      <c r="C529" s="45">
        <v>46155</v>
      </c>
      <c r="D529" s="76">
        <v>897.99955667662596</v>
      </c>
      <c r="E529" s="77">
        <v>125</v>
      </c>
      <c r="F529" s="78">
        <v>10.067472262442999</v>
      </c>
      <c r="G529" s="78">
        <v>10.067472262442999</v>
      </c>
      <c r="H529" s="81">
        <v>9.4056053623479094</v>
      </c>
    </row>
    <row r="530" spans="1:8" x14ac:dyDescent="0.3">
      <c r="A530" s="74" t="str">
        <f t="shared" si="8"/>
        <v>辽宁46156</v>
      </c>
      <c r="B530" s="75" t="s">
        <v>13</v>
      </c>
      <c r="C530" s="45">
        <v>46156</v>
      </c>
      <c r="D530" s="76">
        <v>897.99955667662596</v>
      </c>
      <c r="E530" s="77">
        <v>125</v>
      </c>
      <c r="F530" s="78">
        <v>10.067472262442999</v>
      </c>
      <c r="G530" s="78">
        <v>10.067472262442999</v>
      </c>
      <c r="H530" s="81">
        <v>9.4056053623479094</v>
      </c>
    </row>
    <row r="531" spans="1:8" x14ac:dyDescent="0.3">
      <c r="A531" s="74" t="str">
        <f t="shared" si="8"/>
        <v>辽宁46157</v>
      </c>
      <c r="B531" s="75" t="s">
        <v>13</v>
      </c>
      <c r="C531" s="45">
        <v>46157</v>
      </c>
      <c r="D531" s="76">
        <v>897.99955667662596</v>
      </c>
      <c r="E531" s="77">
        <v>125</v>
      </c>
      <c r="F531" s="78">
        <v>10.067472262442999</v>
      </c>
      <c r="G531" s="78">
        <v>10.067472262442999</v>
      </c>
      <c r="H531" s="81">
        <v>9.4056053623479094</v>
      </c>
    </row>
    <row r="532" spans="1:8" x14ac:dyDescent="0.3">
      <c r="A532" s="74" t="str">
        <f t="shared" si="8"/>
        <v>辽宁46158</v>
      </c>
      <c r="B532" s="75" t="s">
        <v>13</v>
      </c>
      <c r="C532" s="45">
        <v>46158</v>
      </c>
      <c r="D532" s="76">
        <v>897.99955667662596</v>
      </c>
      <c r="E532" s="77">
        <v>125</v>
      </c>
      <c r="F532" s="78">
        <v>10.067472262442999</v>
      </c>
      <c r="G532" s="78">
        <v>10.067472262442999</v>
      </c>
      <c r="H532" s="81">
        <v>9.4056053623479094</v>
      </c>
    </row>
    <row r="533" spans="1:8" x14ac:dyDescent="0.3">
      <c r="A533" s="74" t="str">
        <f t="shared" si="8"/>
        <v>辽宁46159</v>
      </c>
      <c r="B533" s="75" t="s">
        <v>13</v>
      </c>
      <c r="C533" s="45">
        <v>46159</v>
      </c>
      <c r="D533" s="76">
        <v>897.99955667662596</v>
      </c>
      <c r="E533" s="77">
        <v>125</v>
      </c>
      <c r="F533" s="78">
        <v>10.067472262442999</v>
      </c>
      <c r="G533" s="78">
        <v>10.067472262442999</v>
      </c>
      <c r="H533" s="81">
        <v>9.4056053623479094</v>
      </c>
    </row>
    <row r="534" spans="1:8" x14ac:dyDescent="0.3">
      <c r="A534" s="74" t="str">
        <f t="shared" si="8"/>
        <v>辽宁46160</v>
      </c>
      <c r="B534" s="75" t="s">
        <v>13</v>
      </c>
      <c r="C534" s="45">
        <v>46160</v>
      </c>
      <c r="D534" s="76">
        <v>897.99955667662596</v>
      </c>
      <c r="E534" s="77">
        <v>125</v>
      </c>
      <c r="F534" s="78">
        <v>10.067472262442999</v>
      </c>
      <c r="G534" s="78">
        <v>10.067472262442999</v>
      </c>
      <c r="H534" s="81">
        <v>9.4056053623479094</v>
      </c>
    </row>
    <row r="535" spans="1:8" x14ac:dyDescent="0.3">
      <c r="A535" s="74" t="str">
        <f t="shared" si="8"/>
        <v>辽宁46161</v>
      </c>
      <c r="B535" s="75" t="s">
        <v>13</v>
      </c>
      <c r="C535" s="45">
        <v>46161</v>
      </c>
      <c r="D535" s="76">
        <v>897.99955667662596</v>
      </c>
      <c r="E535" s="77">
        <v>125</v>
      </c>
      <c r="F535" s="78">
        <v>10.067472262442999</v>
      </c>
      <c r="G535" s="78">
        <v>10.067472262442999</v>
      </c>
      <c r="H535" s="81">
        <v>9.4056053623479094</v>
      </c>
    </row>
    <row r="536" spans="1:8" x14ac:dyDescent="0.3">
      <c r="A536" s="74" t="str">
        <f t="shared" si="8"/>
        <v>辽宁46162</v>
      </c>
      <c r="B536" s="75" t="s">
        <v>13</v>
      </c>
      <c r="C536" s="45">
        <v>46162</v>
      </c>
      <c r="D536" s="76">
        <v>897.99955667662596</v>
      </c>
      <c r="E536" s="77">
        <v>125</v>
      </c>
      <c r="F536" s="78">
        <v>10.067472262442999</v>
      </c>
      <c r="G536" s="78">
        <v>10.067472262442999</v>
      </c>
      <c r="H536" s="81">
        <v>9.4056053623479094</v>
      </c>
    </row>
    <row r="537" spans="1:8" x14ac:dyDescent="0.3">
      <c r="A537" s="74" t="str">
        <f t="shared" si="8"/>
        <v>辽宁46163</v>
      </c>
      <c r="B537" s="75" t="s">
        <v>13</v>
      </c>
      <c r="C537" s="45">
        <v>46163</v>
      </c>
      <c r="D537" s="76">
        <v>897.99955667662596</v>
      </c>
      <c r="E537" s="77">
        <v>125</v>
      </c>
      <c r="F537" s="78">
        <v>10.067472262442999</v>
      </c>
      <c r="G537" s="78">
        <v>10.067472262442999</v>
      </c>
      <c r="H537" s="81">
        <v>9.4056053623479094</v>
      </c>
    </row>
    <row r="538" spans="1:8" x14ac:dyDescent="0.3">
      <c r="A538" s="74" t="str">
        <f t="shared" si="8"/>
        <v>辽宁46164</v>
      </c>
      <c r="B538" s="75" t="s">
        <v>13</v>
      </c>
      <c r="C538" s="45">
        <v>46164</v>
      </c>
      <c r="D538" s="76">
        <v>897.99955667662596</v>
      </c>
      <c r="E538" s="77">
        <v>125</v>
      </c>
      <c r="F538" s="78">
        <v>10.067472262442999</v>
      </c>
      <c r="G538" s="78">
        <v>10.067472262442999</v>
      </c>
      <c r="H538" s="81">
        <v>9.4056053623479094</v>
      </c>
    </row>
    <row r="539" spans="1:8" x14ac:dyDescent="0.3">
      <c r="A539" s="74" t="str">
        <f t="shared" si="8"/>
        <v>辽宁46165</v>
      </c>
      <c r="B539" s="75" t="s">
        <v>13</v>
      </c>
      <c r="C539" s="45">
        <v>46165</v>
      </c>
      <c r="D539" s="76">
        <v>897.99955667662596</v>
      </c>
      <c r="E539" s="77">
        <v>125</v>
      </c>
      <c r="F539" s="78">
        <v>10.067472262442999</v>
      </c>
      <c r="G539" s="78">
        <v>10.067472262442999</v>
      </c>
      <c r="H539" s="81">
        <v>9.4056053623479094</v>
      </c>
    </row>
    <row r="540" spans="1:8" x14ac:dyDescent="0.3">
      <c r="A540" s="74" t="str">
        <f t="shared" si="8"/>
        <v>辽宁46166</v>
      </c>
      <c r="B540" s="75" t="s">
        <v>13</v>
      </c>
      <c r="C540" s="45">
        <v>46166</v>
      </c>
      <c r="D540" s="76">
        <v>897.99955667662596</v>
      </c>
      <c r="E540" s="77">
        <v>125</v>
      </c>
      <c r="F540" s="78">
        <v>10.067472262442999</v>
      </c>
      <c r="G540" s="78">
        <v>10.067472262442999</v>
      </c>
      <c r="H540" s="81">
        <v>9.4056053623479094</v>
      </c>
    </row>
    <row r="541" spans="1:8" x14ac:dyDescent="0.3">
      <c r="A541" s="74" t="str">
        <f t="shared" si="8"/>
        <v>辽宁46167</v>
      </c>
      <c r="B541" s="75" t="s">
        <v>13</v>
      </c>
      <c r="C541" s="45">
        <v>46167</v>
      </c>
      <c r="D541" s="76">
        <v>897.99955667662596</v>
      </c>
      <c r="E541" s="77">
        <v>125</v>
      </c>
      <c r="F541" s="78">
        <v>10.067472262442999</v>
      </c>
      <c r="G541" s="78">
        <v>10.067472262442999</v>
      </c>
      <c r="H541" s="81">
        <v>9.4056053623479094</v>
      </c>
    </row>
    <row r="542" spans="1:8" x14ac:dyDescent="0.3">
      <c r="A542" s="74" t="str">
        <f t="shared" si="8"/>
        <v>辽宁46168</v>
      </c>
      <c r="B542" s="75" t="s">
        <v>13</v>
      </c>
      <c r="C542" s="45">
        <v>46168</v>
      </c>
      <c r="D542" s="76">
        <v>897.99955667662596</v>
      </c>
      <c r="E542" s="77">
        <v>125</v>
      </c>
      <c r="F542" s="78">
        <v>10.067472262442999</v>
      </c>
      <c r="G542" s="78">
        <v>10.067472262442999</v>
      </c>
      <c r="H542" s="81">
        <v>9.4056053623479094</v>
      </c>
    </row>
    <row r="543" spans="1:8" x14ac:dyDescent="0.3">
      <c r="A543" s="74" t="str">
        <f t="shared" si="8"/>
        <v>辽宁46169</v>
      </c>
      <c r="B543" s="75" t="s">
        <v>13</v>
      </c>
      <c r="C543" s="45">
        <v>46169</v>
      </c>
      <c r="D543" s="76">
        <v>897.99955667662596</v>
      </c>
      <c r="E543" s="77">
        <v>125</v>
      </c>
      <c r="F543" s="78">
        <v>10.067472262442999</v>
      </c>
      <c r="G543" s="78">
        <v>10.067472262442999</v>
      </c>
      <c r="H543" s="81">
        <v>9.4056053623479094</v>
      </c>
    </row>
    <row r="544" spans="1:8" x14ac:dyDescent="0.3">
      <c r="A544" s="74" t="str">
        <f t="shared" si="8"/>
        <v>辽宁46170</v>
      </c>
      <c r="B544" s="75" t="s">
        <v>13</v>
      </c>
      <c r="C544" s="45">
        <v>46170</v>
      </c>
      <c r="D544" s="76">
        <v>897.99955667662596</v>
      </c>
      <c r="E544" s="77">
        <v>125</v>
      </c>
      <c r="F544" s="78">
        <v>10.067472262442999</v>
      </c>
      <c r="G544" s="78">
        <v>10.067472262442999</v>
      </c>
      <c r="H544" s="81">
        <v>9.4056053623479094</v>
      </c>
    </row>
    <row r="545" spans="1:8" x14ac:dyDescent="0.3">
      <c r="A545" s="74" t="str">
        <f t="shared" si="8"/>
        <v>辽宁46171</v>
      </c>
      <c r="B545" s="75" t="s">
        <v>13</v>
      </c>
      <c r="C545" s="45">
        <v>46171</v>
      </c>
      <c r="D545" s="76">
        <v>897.99955667662596</v>
      </c>
      <c r="E545" s="77">
        <v>125</v>
      </c>
      <c r="F545" s="78">
        <v>10.067472262442999</v>
      </c>
      <c r="G545" s="78">
        <v>10.067472262442999</v>
      </c>
      <c r="H545" s="81">
        <v>9.4056053623479094</v>
      </c>
    </row>
    <row r="546" spans="1:8" x14ac:dyDescent="0.3">
      <c r="A546" s="74" t="str">
        <f t="shared" si="8"/>
        <v>辽宁46172</v>
      </c>
      <c r="B546" s="75" t="s">
        <v>13</v>
      </c>
      <c r="C546" s="45">
        <v>46172</v>
      </c>
      <c r="D546" s="76">
        <v>897.99955667662596</v>
      </c>
      <c r="E546" s="77">
        <v>125</v>
      </c>
      <c r="F546" s="78">
        <v>10.067472262442999</v>
      </c>
      <c r="G546" s="78">
        <v>10.067472262442999</v>
      </c>
      <c r="H546" s="81">
        <v>9.4056053623479094</v>
      </c>
    </row>
    <row r="547" spans="1:8" x14ac:dyDescent="0.3">
      <c r="A547" s="74" t="str">
        <f t="shared" si="8"/>
        <v>辽宁46173</v>
      </c>
      <c r="B547" s="75" t="s">
        <v>13</v>
      </c>
      <c r="C547" s="45">
        <v>46173</v>
      </c>
      <c r="D547" s="76">
        <v>897.99955667662596</v>
      </c>
      <c r="E547" s="77">
        <v>125</v>
      </c>
      <c r="F547" s="78">
        <v>10.067472262442999</v>
      </c>
      <c r="G547" s="78">
        <v>10.067472262442999</v>
      </c>
      <c r="H547" s="81">
        <v>9.4056053623479094</v>
      </c>
    </row>
    <row r="548" spans="1:8" x14ac:dyDescent="0.3">
      <c r="A548" s="74" t="str">
        <f t="shared" si="8"/>
        <v>辽宁46174</v>
      </c>
      <c r="B548" s="75" t="s">
        <v>13</v>
      </c>
      <c r="C548" s="45">
        <v>46174</v>
      </c>
      <c r="D548" s="76">
        <v>781.27610075912298</v>
      </c>
      <c r="E548" s="77">
        <v>125</v>
      </c>
      <c r="F548" s="78">
        <v>11.047912114257899</v>
      </c>
      <c r="G548" s="78">
        <v>11.047912114257899</v>
      </c>
      <c r="H548" s="81">
        <v>10.2379172435173</v>
      </c>
    </row>
    <row r="549" spans="1:8" x14ac:dyDescent="0.3">
      <c r="A549" s="74" t="str">
        <f t="shared" si="8"/>
        <v>辽宁46175</v>
      </c>
      <c r="B549" s="75" t="s">
        <v>13</v>
      </c>
      <c r="C549" s="45">
        <v>46175</v>
      </c>
      <c r="D549" s="76">
        <v>781.27610075912298</v>
      </c>
      <c r="E549" s="77">
        <v>125</v>
      </c>
      <c r="F549" s="78">
        <v>11.047912114257899</v>
      </c>
      <c r="G549" s="78">
        <v>11.047912114257899</v>
      </c>
      <c r="H549" s="81">
        <v>10.2379172435173</v>
      </c>
    </row>
    <row r="550" spans="1:8" x14ac:dyDescent="0.3">
      <c r="A550" s="74" t="str">
        <f t="shared" si="8"/>
        <v>辽宁46176</v>
      </c>
      <c r="B550" s="75" t="s">
        <v>13</v>
      </c>
      <c r="C550" s="45">
        <v>46176</v>
      </c>
      <c r="D550" s="76">
        <v>781.27610075912298</v>
      </c>
      <c r="E550" s="77">
        <v>125</v>
      </c>
      <c r="F550" s="78">
        <v>11.047912114257899</v>
      </c>
      <c r="G550" s="78">
        <v>11.047912114257899</v>
      </c>
      <c r="H550" s="81">
        <v>10.2379172435173</v>
      </c>
    </row>
    <row r="551" spans="1:8" x14ac:dyDescent="0.3">
      <c r="A551" s="74" t="str">
        <f t="shared" si="8"/>
        <v>辽宁46177</v>
      </c>
      <c r="B551" s="75" t="s">
        <v>13</v>
      </c>
      <c r="C551" s="45">
        <v>46177</v>
      </c>
      <c r="D551" s="76">
        <v>781.27610075912298</v>
      </c>
      <c r="E551" s="77">
        <v>125</v>
      </c>
      <c r="F551" s="78">
        <v>11.047912114257899</v>
      </c>
      <c r="G551" s="78">
        <v>11.047912114257899</v>
      </c>
      <c r="H551" s="81">
        <v>10.2379172435173</v>
      </c>
    </row>
    <row r="552" spans="1:8" x14ac:dyDescent="0.3">
      <c r="A552" s="74" t="str">
        <f t="shared" si="8"/>
        <v>辽宁46178</v>
      </c>
      <c r="B552" s="75" t="s">
        <v>13</v>
      </c>
      <c r="C552" s="45">
        <v>46178</v>
      </c>
      <c r="D552" s="76">
        <v>781.27610075912298</v>
      </c>
      <c r="E552" s="77">
        <v>125</v>
      </c>
      <c r="F552" s="78">
        <v>11.047912114257899</v>
      </c>
      <c r="G552" s="78">
        <v>11.047912114257899</v>
      </c>
      <c r="H552" s="81">
        <v>10.2379172435173</v>
      </c>
    </row>
    <row r="553" spans="1:8" x14ac:dyDescent="0.3">
      <c r="A553" s="74" t="str">
        <f t="shared" si="8"/>
        <v>辽宁46179</v>
      </c>
      <c r="B553" s="75" t="s">
        <v>13</v>
      </c>
      <c r="C553" s="45">
        <v>46179</v>
      </c>
      <c r="D553" s="76">
        <v>781.27610075912298</v>
      </c>
      <c r="E553" s="77">
        <v>125</v>
      </c>
      <c r="F553" s="78">
        <v>11.047912114257899</v>
      </c>
      <c r="G553" s="78">
        <v>11.047912114257899</v>
      </c>
      <c r="H553" s="81">
        <v>10.2379172435173</v>
      </c>
    </row>
    <row r="554" spans="1:8" x14ac:dyDescent="0.3">
      <c r="A554" s="74" t="str">
        <f t="shared" si="8"/>
        <v>辽宁46180</v>
      </c>
      <c r="B554" s="75" t="s">
        <v>13</v>
      </c>
      <c r="C554" s="45">
        <v>46180</v>
      </c>
      <c r="D554" s="76">
        <v>781.27610075912298</v>
      </c>
      <c r="E554" s="77">
        <v>125</v>
      </c>
      <c r="F554" s="78">
        <v>11.047912114257899</v>
      </c>
      <c r="G554" s="78">
        <v>11.047912114257899</v>
      </c>
      <c r="H554" s="81">
        <v>10.2379172435173</v>
      </c>
    </row>
    <row r="555" spans="1:8" x14ac:dyDescent="0.3">
      <c r="A555" s="74" t="str">
        <f t="shared" si="8"/>
        <v>辽宁46181</v>
      </c>
      <c r="B555" s="75" t="s">
        <v>13</v>
      </c>
      <c r="C555" s="45">
        <v>46181</v>
      </c>
      <c r="D555" s="76">
        <v>781.27610075912298</v>
      </c>
      <c r="E555" s="77">
        <v>125</v>
      </c>
      <c r="F555" s="78">
        <v>11.047912114257899</v>
      </c>
      <c r="G555" s="78">
        <v>11.047912114257899</v>
      </c>
      <c r="H555" s="81">
        <v>10.2379172435173</v>
      </c>
    </row>
    <row r="556" spans="1:8" x14ac:dyDescent="0.3">
      <c r="A556" s="74" t="str">
        <f t="shared" si="8"/>
        <v>辽宁46182</v>
      </c>
      <c r="B556" s="75" t="s">
        <v>13</v>
      </c>
      <c r="C556" s="45">
        <v>46182</v>
      </c>
      <c r="D556" s="76">
        <v>781.27610075912298</v>
      </c>
      <c r="E556" s="77">
        <v>125</v>
      </c>
      <c r="F556" s="78">
        <v>11.047912114257899</v>
      </c>
      <c r="G556" s="78">
        <v>11.047912114257899</v>
      </c>
      <c r="H556" s="81">
        <v>10.2379172435173</v>
      </c>
    </row>
    <row r="557" spans="1:8" x14ac:dyDescent="0.3">
      <c r="A557" s="74" t="str">
        <f t="shared" si="8"/>
        <v>辽宁46183</v>
      </c>
      <c r="B557" s="75" t="s">
        <v>13</v>
      </c>
      <c r="C557" s="45">
        <v>46183</v>
      </c>
      <c r="D557" s="76">
        <v>781.27610075912298</v>
      </c>
      <c r="E557" s="77">
        <v>125</v>
      </c>
      <c r="F557" s="78">
        <v>11.047912114257899</v>
      </c>
      <c r="G557" s="78">
        <v>11.047912114257899</v>
      </c>
      <c r="H557" s="81">
        <v>10.2379172435173</v>
      </c>
    </row>
    <row r="558" spans="1:8" x14ac:dyDescent="0.3">
      <c r="A558" s="74" t="str">
        <f t="shared" si="8"/>
        <v>辽宁46184</v>
      </c>
      <c r="B558" s="75" t="s">
        <v>13</v>
      </c>
      <c r="C558" s="45">
        <v>46184</v>
      </c>
      <c r="D558" s="76">
        <v>781.27610075912298</v>
      </c>
      <c r="E558" s="77">
        <v>125</v>
      </c>
      <c r="F558" s="78">
        <v>11.047912114257899</v>
      </c>
      <c r="G558" s="78">
        <v>11.047912114257899</v>
      </c>
      <c r="H558" s="81">
        <v>10.2379172435173</v>
      </c>
    </row>
    <row r="559" spans="1:8" x14ac:dyDescent="0.3">
      <c r="A559" s="74" t="str">
        <f t="shared" si="8"/>
        <v>辽宁46185</v>
      </c>
      <c r="B559" s="75" t="s">
        <v>13</v>
      </c>
      <c r="C559" s="45">
        <v>46185</v>
      </c>
      <c r="D559" s="76">
        <v>781.27610075912298</v>
      </c>
      <c r="E559" s="77">
        <v>125</v>
      </c>
      <c r="F559" s="78">
        <v>11.047912114257899</v>
      </c>
      <c r="G559" s="78">
        <v>11.047912114257899</v>
      </c>
      <c r="H559" s="81">
        <v>10.2379172435173</v>
      </c>
    </row>
    <row r="560" spans="1:8" x14ac:dyDescent="0.3">
      <c r="A560" s="74" t="str">
        <f t="shared" si="8"/>
        <v>辽宁46186</v>
      </c>
      <c r="B560" s="75" t="s">
        <v>13</v>
      </c>
      <c r="C560" s="45">
        <v>46186</v>
      </c>
      <c r="D560" s="76">
        <v>781.27610075912298</v>
      </c>
      <c r="E560" s="77">
        <v>125</v>
      </c>
      <c r="F560" s="78">
        <v>11.047912114257899</v>
      </c>
      <c r="G560" s="78">
        <v>11.047912114257899</v>
      </c>
      <c r="H560" s="81">
        <v>10.2379172435173</v>
      </c>
    </row>
    <row r="561" spans="1:8" x14ac:dyDescent="0.3">
      <c r="A561" s="74" t="str">
        <f t="shared" si="8"/>
        <v>辽宁46187</v>
      </c>
      <c r="B561" s="75" t="s">
        <v>13</v>
      </c>
      <c r="C561" s="45">
        <v>46187</v>
      </c>
      <c r="D561" s="76">
        <v>781.27610075912298</v>
      </c>
      <c r="E561" s="77">
        <v>125</v>
      </c>
      <c r="F561" s="78">
        <v>11.047912114257899</v>
      </c>
      <c r="G561" s="78">
        <v>11.047912114257899</v>
      </c>
      <c r="H561" s="81">
        <v>10.2379172435173</v>
      </c>
    </row>
    <row r="562" spans="1:8" x14ac:dyDescent="0.3">
      <c r="A562" s="74" t="str">
        <f t="shared" si="8"/>
        <v>辽宁46188</v>
      </c>
      <c r="B562" s="75" t="s">
        <v>13</v>
      </c>
      <c r="C562" s="45">
        <v>46188</v>
      </c>
      <c r="D562" s="76">
        <v>781.27610075912298</v>
      </c>
      <c r="E562" s="77">
        <v>125</v>
      </c>
      <c r="F562" s="78">
        <v>11.047912114257899</v>
      </c>
      <c r="G562" s="78">
        <v>11.047912114257899</v>
      </c>
      <c r="H562" s="81">
        <v>10.2379172435173</v>
      </c>
    </row>
    <row r="563" spans="1:8" x14ac:dyDescent="0.3">
      <c r="A563" s="74" t="str">
        <f t="shared" si="8"/>
        <v>辽宁46189</v>
      </c>
      <c r="B563" s="75" t="s">
        <v>13</v>
      </c>
      <c r="C563" s="45">
        <v>46189</v>
      </c>
      <c r="D563" s="76">
        <v>781.27610075912298</v>
      </c>
      <c r="E563" s="77">
        <v>125</v>
      </c>
      <c r="F563" s="78">
        <v>11.047912114257899</v>
      </c>
      <c r="G563" s="78">
        <v>11.047912114257899</v>
      </c>
      <c r="H563" s="81">
        <v>10.2379172435173</v>
      </c>
    </row>
    <row r="564" spans="1:8" x14ac:dyDescent="0.3">
      <c r="A564" s="74" t="str">
        <f t="shared" si="8"/>
        <v>辽宁46190</v>
      </c>
      <c r="B564" s="75" t="s">
        <v>13</v>
      </c>
      <c r="C564" s="45">
        <v>46190</v>
      </c>
      <c r="D564" s="76">
        <v>781.27610075912298</v>
      </c>
      <c r="E564" s="77">
        <v>125</v>
      </c>
      <c r="F564" s="78">
        <v>11.047912114257899</v>
      </c>
      <c r="G564" s="78">
        <v>11.047912114257899</v>
      </c>
      <c r="H564" s="81">
        <v>10.2379172435173</v>
      </c>
    </row>
    <row r="565" spans="1:8" x14ac:dyDescent="0.3">
      <c r="A565" s="74" t="str">
        <f t="shared" si="8"/>
        <v>辽宁46191</v>
      </c>
      <c r="B565" s="75" t="s">
        <v>13</v>
      </c>
      <c r="C565" s="45">
        <v>46191</v>
      </c>
      <c r="D565" s="76">
        <v>781.27610075912298</v>
      </c>
      <c r="E565" s="77">
        <v>125</v>
      </c>
      <c r="F565" s="78">
        <v>11.047912114257899</v>
      </c>
      <c r="G565" s="78">
        <v>11.047912114257899</v>
      </c>
      <c r="H565" s="81">
        <v>10.2379172435173</v>
      </c>
    </row>
    <row r="566" spans="1:8" x14ac:dyDescent="0.3">
      <c r="A566" s="74" t="str">
        <f t="shared" si="8"/>
        <v>辽宁46192</v>
      </c>
      <c r="B566" s="75" t="s">
        <v>13</v>
      </c>
      <c r="C566" s="45">
        <v>46192</v>
      </c>
      <c r="D566" s="76">
        <v>781.27610075912298</v>
      </c>
      <c r="E566" s="77">
        <v>125</v>
      </c>
      <c r="F566" s="78">
        <v>11.047912114257899</v>
      </c>
      <c r="G566" s="78">
        <v>11.047912114257899</v>
      </c>
      <c r="H566" s="81">
        <v>10.2379172435173</v>
      </c>
    </row>
    <row r="567" spans="1:8" x14ac:dyDescent="0.3">
      <c r="A567" s="74" t="str">
        <f t="shared" si="8"/>
        <v>辽宁46193</v>
      </c>
      <c r="B567" s="75" t="s">
        <v>13</v>
      </c>
      <c r="C567" s="45">
        <v>46193</v>
      </c>
      <c r="D567" s="76">
        <v>781.27610075912298</v>
      </c>
      <c r="E567" s="77">
        <v>125</v>
      </c>
      <c r="F567" s="78">
        <v>11.047912114257899</v>
      </c>
      <c r="G567" s="78">
        <v>11.047912114257899</v>
      </c>
      <c r="H567" s="81">
        <v>10.2379172435173</v>
      </c>
    </row>
    <row r="568" spans="1:8" x14ac:dyDescent="0.3">
      <c r="A568" s="74" t="str">
        <f t="shared" si="8"/>
        <v>辽宁46194</v>
      </c>
      <c r="B568" s="75" t="s">
        <v>13</v>
      </c>
      <c r="C568" s="45">
        <v>46194</v>
      </c>
      <c r="D568" s="76">
        <v>781.27610075912298</v>
      </c>
      <c r="E568" s="77">
        <v>125</v>
      </c>
      <c r="F568" s="78">
        <v>11.047912114257899</v>
      </c>
      <c r="G568" s="78">
        <v>11.047912114257899</v>
      </c>
      <c r="H568" s="81">
        <v>10.2379172435173</v>
      </c>
    </row>
    <row r="569" spans="1:8" x14ac:dyDescent="0.3">
      <c r="A569" s="74" t="str">
        <f t="shared" si="8"/>
        <v>辽宁46195</v>
      </c>
      <c r="B569" s="75" t="s">
        <v>13</v>
      </c>
      <c r="C569" s="45">
        <v>46195</v>
      </c>
      <c r="D569" s="76">
        <v>781.27610075912298</v>
      </c>
      <c r="E569" s="77">
        <v>125</v>
      </c>
      <c r="F569" s="78">
        <v>11.047912114257899</v>
      </c>
      <c r="G569" s="78">
        <v>11.047912114257899</v>
      </c>
      <c r="H569" s="81">
        <v>10.2379172435173</v>
      </c>
    </row>
    <row r="570" spans="1:8" x14ac:dyDescent="0.3">
      <c r="A570" s="74" t="str">
        <f t="shared" si="8"/>
        <v>辽宁46196</v>
      </c>
      <c r="B570" s="75" t="s">
        <v>13</v>
      </c>
      <c r="C570" s="45">
        <v>46196</v>
      </c>
      <c r="D570" s="76">
        <v>781.27610075912298</v>
      </c>
      <c r="E570" s="77">
        <v>125</v>
      </c>
      <c r="F570" s="78">
        <v>11.047912114257899</v>
      </c>
      <c r="G570" s="78">
        <v>11.047912114257899</v>
      </c>
      <c r="H570" s="81">
        <v>10.2379172435173</v>
      </c>
    </row>
    <row r="571" spans="1:8" x14ac:dyDescent="0.3">
      <c r="A571" s="74" t="str">
        <f t="shared" si="8"/>
        <v>辽宁46197</v>
      </c>
      <c r="B571" s="75" t="s">
        <v>13</v>
      </c>
      <c r="C571" s="45">
        <v>46197</v>
      </c>
      <c r="D571" s="76">
        <v>781.27610075912298</v>
      </c>
      <c r="E571" s="77">
        <v>125</v>
      </c>
      <c r="F571" s="78">
        <v>11.047912114257899</v>
      </c>
      <c r="G571" s="78">
        <v>11.047912114257899</v>
      </c>
      <c r="H571" s="81">
        <v>10.2379172435173</v>
      </c>
    </row>
    <row r="572" spans="1:8" x14ac:dyDescent="0.3">
      <c r="A572" s="74" t="str">
        <f t="shared" si="8"/>
        <v>辽宁46198</v>
      </c>
      <c r="B572" s="75" t="s">
        <v>13</v>
      </c>
      <c r="C572" s="45">
        <v>46198</v>
      </c>
      <c r="D572" s="76">
        <v>781.27610075912298</v>
      </c>
      <c r="E572" s="77">
        <v>125</v>
      </c>
      <c r="F572" s="78">
        <v>11.047912114257899</v>
      </c>
      <c r="G572" s="78">
        <v>11.047912114257899</v>
      </c>
      <c r="H572" s="81">
        <v>10.2379172435173</v>
      </c>
    </row>
    <row r="573" spans="1:8" x14ac:dyDescent="0.3">
      <c r="A573" s="74" t="str">
        <f t="shared" si="8"/>
        <v>辽宁46199</v>
      </c>
      <c r="B573" s="75" t="s">
        <v>13</v>
      </c>
      <c r="C573" s="45">
        <v>46199</v>
      </c>
      <c r="D573" s="76">
        <v>781.27610075912298</v>
      </c>
      <c r="E573" s="77">
        <v>125</v>
      </c>
      <c r="F573" s="78">
        <v>11.047912114257899</v>
      </c>
      <c r="G573" s="78">
        <v>11.047912114257899</v>
      </c>
      <c r="H573" s="81">
        <v>10.2379172435173</v>
      </c>
    </row>
    <row r="574" spans="1:8" x14ac:dyDescent="0.3">
      <c r="A574" s="74" t="str">
        <f t="shared" si="8"/>
        <v>辽宁46200</v>
      </c>
      <c r="B574" s="75" t="s">
        <v>13</v>
      </c>
      <c r="C574" s="45">
        <v>46200</v>
      </c>
      <c r="D574" s="76">
        <v>781.27610075912298</v>
      </c>
      <c r="E574" s="77">
        <v>125</v>
      </c>
      <c r="F574" s="78">
        <v>11.047912114257899</v>
      </c>
      <c r="G574" s="78">
        <v>11.047912114257899</v>
      </c>
      <c r="H574" s="81">
        <v>10.2379172435173</v>
      </c>
    </row>
    <row r="575" spans="1:8" x14ac:dyDescent="0.3">
      <c r="A575" s="74" t="str">
        <f t="shared" si="8"/>
        <v>辽宁46201</v>
      </c>
      <c r="B575" s="75" t="s">
        <v>13</v>
      </c>
      <c r="C575" s="45">
        <v>46201</v>
      </c>
      <c r="D575" s="76">
        <v>781.27610075912298</v>
      </c>
      <c r="E575" s="77">
        <v>125</v>
      </c>
      <c r="F575" s="78">
        <v>11.047912114257899</v>
      </c>
      <c r="G575" s="78">
        <v>11.047912114257899</v>
      </c>
      <c r="H575" s="81">
        <v>10.2379172435173</v>
      </c>
    </row>
    <row r="576" spans="1:8" x14ac:dyDescent="0.3">
      <c r="A576" s="74" t="str">
        <f t="shared" si="8"/>
        <v>辽宁46202</v>
      </c>
      <c r="B576" s="75" t="s">
        <v>13</v>
      </c>
      <c r="C576" s="45">
        <v>46202</v>
      </c>
      <c r="D576" s="76">
        <v>781.27610075912298</v>
      </c>
      <c r="E576" s="77">
        <v>125</v>
      </c>
      <c r="F576" s="78">
        <v>11.047912114257899</v>
      </c>
      <c r="G576" s="78">
        <v>11.047912114257899</v>
      </c>
      <c r="H576" s="81">
        <v>10.2379172435173</v>
      </c>
    </row>
    <row r="577" spans="1:8" x14ac:dyDescent="0.3">
      <c r="A577" s="74" t="str">
        <f t="shared" si="8"/>
        <v>辽宁46203</v>
      </c>
      <c r="B577" s="75" t="s">
        <v>13</v>
      </c>
      <c r="C577" s="45">
        <v>46203</v>
      </c>
      <c r="D577" s="76">
        <v>781.27610075912298</v>
      </c>
      <c r="E577" s="77">
        <v>125</v>
      </c>
      <c r="F577" s="78">
        <v>11.047912114257899</v>
      </c>
      <c r="G577" s="78">
        <v>11.047912114257899</v>
      </c>
      <c r="H577" s="81">
        <v>10.2379172435173</v>
      </c>
    </row>
    <row r="578" spans="1:8" x14ac:dyDescent="0.3">
      <c r="A578" s="74" t="str">
        <f t="shared" si="8"/>
        <v>辽宁46204</v>
      </c>
      <c r="B578" s="75" t="s">
        <v>13</v>
      </c>
      <c r="C578" s="45">
        <v>46204</v>
      </c>
      <c r="D578" s="76">
        <v>920.65664974131005</v>
      </c>
      <c r="E578" s="77">
        <v>125</v>
      </c>
      <c r="F578" s="78">
        <v>11.510855929554401</v>
      </c>
      <c r="G578" s="78">
        <v>11.510855929554401</v>
      </c>
      <c r="H578" s="81">
        <v>11.0702291246867</v>
      </c>
    </row>
    <row r="579" spans="1:8" x14ac:dyDescent="0.3">
      <c r="A579" s="74" t="str">
        <f t="shared" ref="A579:A642" si="9">B579&amp;C579</f>
        <v>辽宁46205</v>
      </c>
      <c r="B579" s="75" t="s">
        <v>13</v>
      </c>
      <c r="C579" s="45">
        <v>46205</v>
      </c>
      <c r="D579" s="76">
        <v>920.65664974131005</v>
      </c>
      <c r="E579" s="77">
        <v>125</v>
      </c>
      <c r="F579" s="78">
        <v>11.510855929554401</v>
      </c>
      <c r="G579" s="78">
        <v>11.510855929554401</v>
      </c>
      <c r="H579" s="81">
        <v>11.0702291246867</v>
      </c>
    </row>
    <row r="580" spans="1:8" x14ac:dyDescent="0.3">
      <c r="A580" s="74" t="str">
        <f t="shared" si="9"/>
        <v>辽宁46206</v>
      </c>
      <c r="B580" s="75" t="s">
        <v>13</v>
      </c>
      <c r="C580" s="45">
        <v>46206</v>
      </c>
      <c r="D580" s="76">
        <v>920.65664974131005</v>
      </c>
      <c r="E580" s="77">
        <v>125</v>
      </c>
      <c r="F580" s="78">
        <v>11.510855929554401</v>
      </c>
      <c r="G580" s="78">
        <v>11.510855929554401</v>
      </c>
      <c r="H580" s="81">
        <v>11.0702291246867</v>
      </c>
    </row>
    <row r="581" spans="1:8" x14ac:dyDescent="0.3">
      <c r="A581" s="74" t="str">
        <f t="shared" si="9"/>
        <v>辽宁46207</v>
      </c>
      <c r="B581" s="75" t="s">
        <v>13</v>
      </c>
      <c r="C581" s="45">
        <v>46207</v>
      </c>
      <c r="D581" s="76">
        <v>920.65664974131005</v>
      </c>
      <c r="E581" s="77">
        <v>125</v>
      </c>
      <c r="F581" s="78">
        <v>11.510855929554401</v>
      </c>
      <c r="G581" s="78">
        <v>11.510855929554401</v>
      </c>
      <c r="H581" s="81">
        <v>11.0702291246867</v>
      </c>
    </row>
    <row r="582" spans="1:8" x14ac:dyDescent="0.3">
      <c r="A582" s="74" t="str">
        <f t="shared" si="9"/>
        <v>辽宁46208</v>
      </c>
      <c r="B582" s="75" t="s">
        <v>13</v>
      </c>
      <c r="C582" s="45">
        <v>46208</v>
      </c>
      <c r="D582" s="76">
        <v>920.65664974131005</v>
      </c>
      <c r="E582" s="77">
        <v>125</v>
      </c>
      <c r="F582" s="78">
        <v>11.510855929554401</v>
      </c>
      <c r="G582" s="78">
        <v>11.510855929554401</v>
      </c>
      <c r="H582" s="81">
        <v>11.0702291246867</v>
      </c>
    </row>
    <row r="583" spans="1:8" x14ac:dyDescent="0.3">
      <c r="A583" s="74" t="str">
        <f t="shared" si="9"/>
        <v>辽宁46209</v>
      </c>
      <c r="B583" s="75" t="s">
        <v>13</v>
      </c>
      <c r="C583" s="45">
        <v>46209</v>
      </c>
      <c r="D583" s="76">
        <v>920.65664974131005</v>
      </c>
      <c r="E583" s="77">
        <v>125</v>
      </c>
      <c r="F583" s="78">
        <v>11.510855929554401</v>
      </c>
      <c r="G583" s="78">
        <v>11.510855929554401</v>
      </c>
      <c r="H583" s="81">
        <v>11.0702291246867</v>
      </c>
    </row>
    <row r="584" spans="1:8" x14ac:dyDescent="0.3">
      <c r="A584" s="74" t="str">
        <f t="shared" si="9"/>
        <v>辽宁46210</v>
      </c>
      <c r="B584" s="75" t="s">
        <v>13</v>
      </c>
      <c r="C584" s="45">
        <v>46210</v>
      </c>
      <c r="D584" s="76">
        <v>920.65664974131005</v>
      </c>
      <c r="E584" s="77">
        <v>125</v>
      </c>
      <c r="F584" s="78">
        <v>11.510855929554401</v>
      </c>
      <c r="G584" s="78">
        <v>11.510855929554401</v>
      </c>
      <c r="H584" s="81">
        <v>11.0702291246867</v>
      </c>
    </row>
    <row r="585" spans="1:8" x14ac:dyDescent="0.3">
      <c r="A585" s="74" t="str">
        <f t="shared" si="9"/>
        <v>辽宁46211</v>
      </c>
      <c r="B585" s="75" t="s">
        <v>13</v>
      </c>
      <c r="C585" s="45">
        <v>46211</v>
      </c>
      <c r="D585" s="76">
        <v>920.65664974131005</v>
      </c>
      <c r="E585" s="77">
        <v>125</v>
      </c>
      <c r="F585" s="78">
        <v>11.510855929554401</v>
      </c>
      <c r="G585" s="78">
        <v>11.510855929554401</v>
      </c>
      <c r="H585" s="81">
        <v>11.0702291246867</v>
      </c>
    </row>
    <row r="586" spans="1:8" x14ac:dyDescent="0.3">
      <c r="A586" s="74" t="str">
        <f t="shared" si="9"/>
        <v>辽宁46212</v>
      </c>
      <c r="B586" s="75" t="s">
        <v>13</v>
      </c>
      <c r="C586" s="45">
        <v>46212</v>
      </c>
      <c r="D586" s="76">
        <v>920.65664974131005</v>
      </c>
      <c r="E586" s="77">
        <v>125</v>
      </c>
      <c r="F586" s="78">
        <v>11.510855929554401</v>
      </c>
      <c r="G586" s="78">
        <v>11.510855929554401</v>
      </c>
      <c r="H586" s="81">
        <v>11.0702291246867</v>
      </c>
    </row>
    <row r="587" spans="1:8" x14ac:dyDescent="0.3">
      <c r="A587" s="74" t="str">
        <f t="shared" si="9"/>
        <v>辽宁46213</v>
      </c>
      <c r="B587" s="75" t="s">
        <v>13</v>
      </c>
      <c r="C587" s="45">
        <v>46213</v>
      </c>
      <c r="D587" s="76">
        <v>920.65664974131005</v>
      </c>
      <c r="E587" s="77">
        <v>125</v>
      </c>
      <c r="F587" s="78">
        <v>11.510855929554401</v>
      </c>
      <c r="G587" s="78">
        <v>11.510855929554401</v>
      </c>
      <c r="H587" s="81">
        <v>11.0702291246867</v>
      </c>
    </row>
    <row r="588" spans="1:8" x14ac:dyDescent="0.3">
      <c r="A588" s="74" t="str">
        <f t="shared" si="9"/>
        <v>辽宁46214</v>
      </c>
      <c r="B588" s="75" t="s">
        <v>13</v>
      </c>
      <c r="C588" s="45">
        <v>46214</v>
      </c>
      <c r="D588" s="76">
        <v>920.65664974131005</v>
      </c>
      <c r="E588" s="77">
        <v>125</v>
      </c>
      <c r="F588" s="78">
        <v>11.510855929554401</v>
      </c>
      <c r="G588" s="78">
        <v>11.510855929554401</v>
      </c>
      <c r="H588" s="81">
        <v>11.0702291246867</v>
      </c>
    </row>
    <row r="589" spans="1:8" x14ac:dyDescent="0.3">
      <c r="A589" s="74" t="str">
        <f t="shared" si="9"/>
        <v>辽宁46215</v>
      </c>
      <c r="B589" s="75" t="s">
        <v>13</v>
      </c>
      <c r="C589" s="45">
        <v>46215</v>
      </c>
      <c r="D589" s="76">
        <v>920.65664974131005</v>
      </c>
      <c r="E589" s="77">
        <v>125</v>
      </c>
      <c r="F589" s="78">
        <v>11.510855929554401</v>
      </c>
      <c r="G589" s="78">
        <v>11.510855929554401</v>
      </c>
      <c r="H589" s="81">
        <v>11.0702291246867</v>
      </c>
    </row>
    <row r="590" spans="1:8" x14ac:dyDescent="0.3">
      <c r="A590" s="74" t="str">
        <f t="shared" si="9"/>
        <v>辽宁46216</v>
      </c>
      <c r="B590" s="75" t="s">
        <v>13</v>
      </c>
      <c r="C590" s="45">
        <v>46216</v>
      </c>
      <c r="D590" s="76">
        <v>920.65664974131005</v>
      </c>
      <c r="E590" s="77">
        <v>125</v>
      </c>
      <c r="F590" s="78">
        <v>11.510855929554401</v>
      </c>
      <c r="G590" s="78">
        <v>11.510855929554401</v>
      </c>
      <c r="H590" s="81">
        <v>11.0702291246867</v>
      </c>
    </row>
    <row r="591" spans="1:8" x14ac:dyDescent="0.3">
      <c r="A591" s="74" t="str">
        <f t="shared" si="9"/>
        <v>辽宁46217</v>
      </c>
      <c r="B591" s="75" t="s">
        <v>13</v>
      </c>
      <c r="C591" s="45">
        <v>46217</v>
      </c>
      <c r="D591" s="76">
        <v>920.65664974131005</v>
      </c>
      <c r="E591" s="77">
        <v>125</v>
      </c>
      <c r="F591" s="78">
        <v>11.510855929554401</v>
      </c>
      <c r="G591" s="78">
        <v>11.510855929554401</v>
      </c>
      <c r="H591" s="81">
        <v>11.0702291246867</v>
      </c>
    </row>
    <row r="592" spans="1:8" x14ac:dyDescent="0.3">
      <c r="A592" s="74" t="str">
        <f t="shared" si="9"/>
        <v>辽宁46218</v>
      </c>
      <c r="B592" s="75" t="s">
        <v>13</v>
      </c>
      <c r="C592" s="45">
        <v>46218</v>
      </c>
      <c r="D592" s="76">
        <v>920.65664974131005</v>
      </c>
      <c r="E592" s="77">
        <v>125</v>
      </c>
      <c r="F592" s="78">
        <v>11.510855929554401</v>
      </c>
      <c r="G592" s="78">
        <v>11.510855929554401</v>
      </c>
      <c r="H592" s="81">
        <v>11.0702291246867</v>
      </c>
    </row>
    <row r="593" spans="1:8" x14ac:dyDescent="0.3">
      <c r="A593" s="74" t="str">
        <f t="shared" si="9"/>
        <v>辽宁46219</v>
      </c>
      <c r="B593" s="75" t="s">
        <v>13</v>
      </c>
      <c r="C593" s="45">
        <v>46219</v>
      </c>
      <c r="D593" s="76">
        <v>920.65664974131005</v>
      </c>
      <c r="E593" s="77">
        <v>125</v>
      </c>
      <c r="F593" s="78">
        <v>11.510855929554401</v>
      </c>
      <c r="G593" s="78">
        <v>11.510855929554401</v>
      </c>
      <c r="H593" s="81">
        <v>11.0702291246867</v>
      </c>
    </row>
    <row r="594" spans="1:8" x14ac:dyDescent="0.3">
      <c r="A594" s="74" t="str">
        <f t="shared" si="9"/>
        <v>辽宁46220</v>
      </c>
      <c r="B594" s="75" t="s">
        <v>13</v>
      </c>
      <c r="C594" s="45">
        <v>46220</v>
      </c>
      <c r="D594" s="76">
        <v>920.65664974131005</v>
      </c>
      <c r="E594" s="77">
        <v>125</v>
      </c>
      <c r="F594" s="78">
        <v>11.510855929554401</v>
      </c>
      <c r="G594" s="78">
        <v>11.510855929554401</v>
      </c>
      <c r="H594" s="81">
        <v>11.0702291246867</v>
      </c>
    </row>
    <row r="595" spans="1:8" x14ac:dyDescent="0.3">
      <c r="A595" s="74" t="str">
        <f t="shared" si="9"/>
        <v>辽宁46221</v>
      </c>
      <c r="B595" s="75" t="s">
        <v>13</v>
      </c>
      <c r="C595" s="45">
        <v>46221</v>
      </c>
      <c r="D595" s="76">
        <v>920.65664974131005</v>
      </c>
      <c r="E595" s="77">
        <v>125</v>
      </c>
      <c r="F595" s="78">
        <v>11.510855929554401</v>
      </c>
      <c r="G595" s="78">
        <v>11.510855929554401</v>
      </c>
      <c r="H595" s="81">
        <v>11.0702291246867</v>
      </c>
    </row>
    <row r="596" spans="1:8" x14ac:dyDescent="0.3">
      <c r="A596" s="74" t="str">
        <f t="shared" si="9"/>
        <v>辽宁46222</v>
      </c>
      <c r="B596" s="75" t="s">
        <v>13</v>
      </c>
      <c r="C596" s="45">
        <v>46222</v>
      </c>
      <c r="D596" s="76">
        <v>920.65664974131005</v>
      </c>
      <c r="E596" s="77">
        <v>125</v>
      </c>
      <c r="F596" s="78">
        <v>11.510855929554401</v>
      </c>
      <c r="G596" s="78">
        <v>11.510855929554401</v>
      </c>
      <c r="H596" s="81">
        <v>11.0702291246867</v>
      </c>
    </row>
    <row r="597" spans="1:8" x14ac:dyDescent="0.3">
      <c r="A597" s="74" t="str">
        <f t="shared" si="9"/>
        <v>辽宁46223</v>
      </c>
      <c r="B597" s="75" t="s">
        <v>13</v>
      </c>
      <c r="C597" s="45">
        <v>46223</v>
      </c>
      <c r="D597" s="76">
        <v>920.65664974131005</v>
      </c>
      <c r="E597" s="77">
        <v>125</v>
      </c>
      <c r="F597" s="78">
        <v>11.510855929554401</v>
      </c>
      <c r="G597" s="78">
        <v>11.510855929554401</v>
      </c>
      <c r="H597" s="81">
        <v>11.0702291246867</v>
      </c>
    </row>
    <row r="598" spans="1:8" x14ac:dyDescent="0.3">
      <c r="A598" s="74" t="str">
        <f t="shared" si="9"/>
        <v>辽宁46224</v>
      </c>
      <c r="B598" s="75" t="s">
        <v>13</v>
      </c>
      <c r="C598" s="45">
        <v>46224</v>
      </c>
      <c r="D598" s="76">
        <v>920.65664974131005</v>
      </c>
      <c r="E598" s="77">
        <v>125</v>
      </c>
      <c r="F598" s="78">
        <v>11.510855929554401</v>
      </c>
      <c r="G598" s="78">
        <v>11.510855929554401</v>
      </c>
      <c r="H598" s="81">
        <v>11.0702291246867</v>
      </c>
    </row>
    <row r="599" spans="1:8" x14ac:dyDescent="0.3">
      <c r="A599" s="74" t="str">
        <f t="shared" si="9"/>
        <v>辽宁46225</v>
      </c>
      <c r="B599" s="75" t="s">
        <v>13</v>
      </c>
      <c r="C599" s="45">
        <v>46225</v>
      </c>
      <c r="D599" s="76">
        <v>920.65664974131005</v>
      </c>
      <c r="E599" s="77">
        <v>125</v>
      </c>
      <c r="F599" s="78">
        <v>11.510855929554401</v>
      </c>
      <c r="G599" s="78">
        <v>11.510855929554401</v>
      </c>
      <c r="H599" s="81">
        <v>11.0702291246867</v>
      </c>
    </row>
    <row r="600" spans="1:8" x14ac:dyDescent="0.3">
      <c r="A600" s="74" t="str">
        <f t="shared" si="9"/>
        <v>辽宁46226</v>
      </c>
      <c r="B600" s="75" t="s">
        <v>13</v>
      </c>
      <c r="C600" s="45">
        <v>46226</v>
      </c>
      <c r="D600" s="76">
        <v>920.65664974131005</v>
      </c>
      <c r="E600" s="77">
        <v>125</v>
      </c>
      <c r="F600" s="78">
        <v>11.510855929554401</v>
      </c>
      <c r="G600" s="78">
        <v>11.510855929554401</v>
      </c>
      <c r="H600" s="81">
        <v>11.0702291246867</v>
      </c>
    </row>
    <row r="601" spans="1:8" x14ac:dyDescent="0.3">
      <c r="A601" s="74" t="str">
        <f t="shared" si="9"/>
        <v>辽宁46227</v>
      </c>
      <c r="B601" s="75" t="s">
        <v>13</v>
      </c>
      <c r="C601" s="45">
        <v>46227</v>
      </c>
      <c r="D601" s="76">
        <v>920.65664974131005</v>
      </c>
      <c r="E601" s="77">
        <v>125</v>
      </c>
      <c r="F601" s="78">
        <v>11.510855929554401</v>
      </c>
      <c r="G601" s="78">
        <v>11.510855929554401</v>
      </c>
      <c r="H601" s="81">
        <v>11.0702291246867</v>
      </c>
    </row>
    <row r="602" spans="1:8" x14ac:dyDescent="0.3">
      <c r="A602" s="74" t="str">
        <f t="shared" si="9"/>
        <v>辽宁46228</v>
      </c>
      <c r="B602" s="75" t="s">
        <v>13</v>
      </c>
      <c r="C602" s="45">
        <v>46228</v>
      </c>
      <c r="D602" s="76">
        <v>920.65664974131005</v>
      </c>
      <c r="E602" s="77">
        <v>125</v>
      </c>
      <c r="F602" s="78">
        <v>11.510855929554401</v>
      </c>
      <c r="G602" s="78">
        <v>11.510855929554401</v>
      </c>
      <c r="H602" s="81">
        <v>11.0702291246867</v>
      </c>
    </row>
    <row r="603" spans="1:8" x14ac:dyDescent="0.3">
      <c r="A603" s="74" t="str">
        <f t="shared" si="9"/>
        <v>辽宁46229</v>
      </c>
      <c r="B603" s="75" t="s">
        <v>13</v>
      </c>
      <c r="C603" s="45">
        <v>46229</v>
      </c>
      <c r="D603" s="76">
        <v>920.65664974131005</v>
      </c>
      <c r="E603" s="77">
        <v>125</v>
      </c>
      <c r="F603" s="78">
        <v>11.510855929554401</v>
      </c>
      <c r="G603" s="78">
        <v>11.510855929554401</v>
      </c>
      <c r="H603" s="81">
        <v>11.0702291246867</v>
      </c>
    </row>
    <row r="604" spans="1:8" x14ac:dyDescent="0.3">
      <c r="A604" s="74" t="str">
        <f t="shared" si="9"/>
        <v>辽宁46230</v>
      </c>
      <c r="B604" s="75" t="s">
        <v>13</v>
      </c>
      <c r="C604" s="45">
        <v>46230</v>
      </c>
      <c r="D604" s="76">
        <v>920.65664974131005</v>
      </c>
      <c r="E604" s="77">
        <v>125</v>
      </c>
      <c r="F604" s="78">
        <v>11.510855929554401</v>
      </c>
      <c r="G604" s="78">
        <v>11.510855929554401</v>
      </c>
      <c r="H604" s="81">
        <v>11.0702291246867</v>
      </c>
    </row>
    <row r="605" spans="1:8" x14ac:dyDescent="0.3">
      <c r="A605" s="74" t="str">
        <f t="shared" si="9"/>
        <v>辽宁46231</v>
      </c>
      <c r="B605" s="75" t="s">
        <v>13</v>
      </c>
      <c r="C605" s="45">
        <v>46231</v>
      </c>
      <c r="D605" s="76">
        <v>920.65664974131005</v>
      </c>
      <c r="E605" s="77">
        <v>125</v>
      </c>
      <c r="F605" s="78">
        <v>11.510855929554401</v>
      </c>
      <c r="G605" s="78">
        <v>11.510855929554401</v>
      </c>
      <c r="H605" s="81">
        <v>11.0702291246867</v>
      </c>
    </row>
    <row r="606" spans="1:8" x14ac:dyDescent="0.3">
      <c r="A606" s="74" t="str">
        <f t="shared" si="9"/>
        <v>辽宁46232</v>
      </c>
      <c r="B606" s="75" t="s">
        <v>13</v>
      </c>
      <c r="C606" s="45">
        <v>46232</v>
      </c>
      <c r="D606" s="76">
        <v>920.65664974131005</v>
      </c>
      <c r="E606" s="77">
        <v>125</v>
      </c>
      <c r="F606" s="78">
        <v>11.510855929554401</v>
      </c>
      <c r="G606" s="78">
        <v>11.510855929554401</v>
      </c>
      <c r="H606" s="81">
        <v>11.0702291246867</v>
      </c>
    </row>
    <row r="607" spans="1:8" x14ac:dyDescent="0.3">
      <c r="A607" s="74" t="str">
        <f t="shared" si="9"/>
        <v>辽宁46233</v>
      </c>
      <c r="B607" s="75" t="s">
        <v>13</v>
      </c>
      <c r="C607" s="45">
        <v>46233</v>
      </c>
      <c r="D607" s="76">
        <v>920.65664974131005</v>
      </c>
      <c r="E607" s="77">
        <v>125</v>
      </c>
      <c r="F607" s="78">
        <v>11.510855929554401</v>
      </c>
      <c r="G607" s="78">
        <v>11.510855929554401</v>
      </c>
      <c r="H607" s="81">
        <v>11.0702291246867</v>
      </c>
    </row>
    <row r="608" spans="1:8" x14ac:dyDescent="0.3">
      <c r="A608" s="74" t="str">
        <f t="shared" si="9"/>
        <v>辽宁46234</v>
      </c>
      <c r="B608" s="75" t="s">
        <v>13</v>
      </c>
      <c r="C608" s="45">
        <v>46234</v>
      </c>
      <c r="D608" s="76">
        <v>920.65664974131005</v>
      </c>
      <c r="E608" s="77">
        <v>125</v>
      </c>
      <c r="F608" s="78">
        <v>11.510855929554401</v>
      </c>
      <c r="G608" s="78">
        <v>11.510855929554401</v>
      </c>
      <c r="H608" s="81">
        <v>11.0702291246867</v>
      </c>
    </row>
    <row r="609" spans="1:8" x14ac:dyDescent="0.3">
      <c r="A609" s="74" t="str">
        <f t="shared" si="9"/>
        <v>辽宁46235</v>
      </c>
      <c r="B609" s="75" t="s">
        <v>13</v>
      </c>
      <c r="C609" s="45">
        <v>46235</v>
      </c>
      <c r="D609" s="76">
        <v>926.58215136663296</v>
      </c>
      <c r="E609" s="77">
        <v>125</v>
      </c>
      <c r="F609" s="78">
        <v>11.612736757864401</v>
      </c>
      <c r="G609" s="78">
        <v>11.612736757864401</v>
      </c>
      <c r="H609" s="81">
        <v>11.5850116176643</v>
      </c>
    </row>
    <row r="610" spans="1:8" x14ac:dyDescent="0.3">
      <c r="A610" s="74" t="str">
        <f t="shared" si="9"/>
        <v>辽宁46236</v>
      </c>
      <c r="B610" s="75" t="s">
        <v>13</v>
      </c>
      <c r="C610" s="45">
        <v>46236</v>
      </c>
      <c r="D610" s="76">
        <v>926.58215136663296</v>
      </c>
      <c r="E610" s="77">
        <v>125</v>
      </c>
      <c r="F610" s="78">
        <v>11.612736757864401</v>
      </c>
      <c r="G610" s="78">
        <v>11.612736757864401</v>
      </c>
      <c r="H610" s="81">
        <v>11.5850116176643</v>
      </c>
    </row>
    <row r="611" spans="1:8" x14ac:dyDescent="0.3">
      <c r="A611" s="74" t="str">
        <f t="shared" si="9"/>
        <v>辽宁46237</v>
      </c>
      <c r="B611" s="75" t="s">
        <v>13</v>
      </c>
      <c r="C611" s="45">
        <v>46237</v>
      </c>
      <c r="D611" s="76">
        <v>926.58215136663296</v>
      </c>
      <c r="E611" s="77">
        <v>125</v>
      </c>
      <c r="F611" s="78">
        <v>11.612736757864401</v>
      </c>
      <c r="G611" s="78">
        <v>11.612736757864401</v>
      </c>
      <c r="H611" s="81">
        <v>11.5850116176643</v>
      </c>
    </row>
    <row r="612" spans="1:8" x14ac:dyDescent="0.3">
      <c r="A612" s="74" t="str">
        <f t="shared" si="9"/>
        <v>辽宁46238</v>
      </c>
      <c r="B612" s="75" t="s">
        <v>13</v>
      </c>
      <c r="C612" s="45">
        <v>46238</v>
      </c>
      <c r="D612" s="76">
        <v>926.58215136663296</v>
      </c>
      <c r="E612" s="77">
        <v>125</v>
      </c>
      <c r="F612" s="78">
        <v>11.612736757864401</v>
      </c>
      <c r="G612" s="78">
        <v>11.612736757864401</v>
      </c>
      <c r="H612" s="81">
        <v>11.5850116176643</v>
      </c>
    </row>
    <row r="613" spans="1:8" x14ac:dyDescent="0.3">
      <c r="A613" s="74" t="str">
        <f t="shared" si="9"/>
        <v>辽宁46239</v>
      </c>
      <c r="B613" s="75" t="s">
        <v>13</v>
      </c>
      <c r="C613" s="45">
        <v>46239</v>
      </c>
      <c r="D613" s="76">
        <v>926.58215136663296</v>
      </c>
      <c r="E613" s="77">
        <v>125</v>
      </c>
      <c r="F613" s="78">
        <v>11.612736757864401</v>
      </c>
      <c r="G613" s="78">
        <v>11.612736757864401</v>
      </c>
      <c r="H613" s="81">
        <v>11.5850116176643</v>
      </c>
    </row>
    <row r="614" spans="1:8" x14ac:dyDescent="0.3">
      <c r="A614" s="74" t="str">
        <f t="shared" si="9"/>
        <v>辽宁46240</v>
      </c>
      <c r="B614" s="75" t="s">
        <v>13</v>
      </c>
      <c r="C614" s="45">
        <v>46240</v>
      </c>
      <c r="D614" s="76">
        <v>926.58215136663296</v>
      </c>
      <c r="E614" s="77">
        <v>125</v>
      </c>
      <c r="F614" s="78">
        <v>11.612736757864401</v>
      </c>
      <c r="G614" s="78">
        <v>11.612736757864401</v>
      </c>
      <c r="H614" s="81">
        <v>11.5850116176643</v>
      </c>
    </row>
    <row r="615" spans="1:8" x14ac:dyDescent="0.3">
      <c r="A615" s="74" t="str">
        <f t="shared" si="9"/>
        <v>辽宁46241</v>
      </c>
      <c r="B615" s="75" t="s">
        <v>13</v>
      </c>
      <c r="C615" s="45">
        <v>46241</v>
      </c>
      <c r="D615" s="76">
        <v>926.58215136663296</v>
      </c>
      <c r="E615" s="77">
        <v>125</v>
      </c>
      <c r="F615" s="78">
        <v>11.612736757864401</v>
      </c>
      <c r="G615" s="78">
        <v>11.612736757864401</v>
      </c>
      <c r="H615" s="81">
        <v>11.5850116176643</v>
      </c>
    </row>
    <row r="616" spans="1:8" x14ac:dyDescent="0.3">
      <c r="A616" s="74" t="str">
        <f t="shared" si="9"/>
        <v>辽宁46242</v>
      </c>
      <c r="B616" s="75" t="s">
        <v>13</v>
      </c>
      <c r="C616" s="45">
        <v>46242</v>
      </c>
      <c r="D616" s="76">
        <v>926.58215136663296</v>
      </c>
      <c r="E616" s="77">
        <v>125</v>
      </c>
      <c r="F616" s="78">
        <v>11.612736757864401</v>
      </c>
      <c r="G616" s="78">
        <v>11.612736757864401</v>
      </c>
      <c r="H616" s="81">
        <v>11.5850116176643</v>
      </c>
    </row>
    <row r="617" spans="1:8" x14ac:dyDescent="0.3">
      <c r="A617" s="74" t="str">
        <f t="shared" si="9"/>
        <v>辽宁46243</v>
      </c>
      <c r="B617" s="75" t="s">
        <v>13</v>
      </c>
      <c r="C617" s="45">
        <v>46243</v>
      </c>
      <c r="D617" s="76">
        <v>926.58215136663296</v>
      </c>
      <c r="E617" s="77">
        <v>125</v>
      </c>
      <c r="F617" s="78">
        <v>11.612736757864401</v>
      </c>
      <c r="G617" s="78">
        <v>11.612736757864401</v>
      </c>
      <c r="H617" s="81">
        <v>11.5850116176643</v>
      </c>
    </row>
    <row r="618" spans="1:8" x14ac:dyDescent="0.3">
      <c r="A618" s="74" t="str">
        <f t="shared" si="9"/>
        <v>辽宁46244</v>
      </c>
      <c r="B618" s="75" t="s">
        <v>13</v>
      </c>
      <c r="C618" s="45">
        <v>46244</v>
      </c>
      <c r="D618" s="76">
        <v>926.58215136663296</v>
      </c>
      <c r="E618" s="77">
        <v>125</v>
      </c>
      <c r="F618" s="78">
        <v>11.612736757864401</v>
      </c>
      <c r="G618" s="78">
        <v>11.612736757864401</v>
      </c>
      <c r="H618" s="81">
        <v>11.5850116176643</v>
      </c>
    </row>
    <row r="619" spans="1:8" x14ac:dyDescent="0.3">
      <c r="A619" s="74" t="str">
        <f t="shared" si="9"/>
        <v>辽宁46245</v>
      </c>
      <c r="B619" s="75" t="s">
        <v>13</v>
      </c>
      <c r="C619" s="45">
        <v>46245</v>
      </c>
      <c r="D619" s="76">
        <v>926.58215136663296</v>
      </c>
      <c r="E619" s="77">
        <v>125</v>
      </c>
      <c r="F619" s="78">
        <v>11.612736757864401</v>
      </c>
      <c r="G619" s="78">
        <v>11.612736757864401</v>
      </c>
      <c r="H619" s="81">
        <v>11.5850116176643</v>
      </c>
    </row>
    <row r="620" spans="1:8" x14ac:dyDescent="0.3">
      <c r="A620" s="74" t="str">
        <f t="shared" si="9"/>
        <v>辽宁46246</v>
      </c>
      <c r="B620" s="75" t="s">
        <v>13</v>
      </c>
      <c r="C620" s="45">
        <v>46246</v>
      </c>
      <c r="D620" s="76">
        <v>926.58215136663296</v>
      </c>
      <c r="E620" s="77">
        <v>125</v>
      </c>
      <c r="F620" s="78">
        <v>11.612736757864401</v>
      </c>
      <c r="G620" s="78">
        <v>11.612736757864401</v>
      </c>
      <c r="H620" s="81">
        <v>11.5850116176643</v>
      </c>
    </row>
    <row r="621" spans="1:8" x14ac:dyDescent="0.3">
      <c r="A621" s="74" t="str">
        <f t="shared" si="9"/>
        <v>辽宁46247</v>
      </c>
      <c r="B621" s="75" t="s">
        <v>13</v>
      </c>
      <c r="C621" s="45">
        <v>46247</v>
      </c>
      <c r="D621" s="76">
        <v>926.58215136663296</v>
      </c>
      <c r="E621" s="77">
        <v>125</v>
      </c>
      <c r="F621" s="78">
        <v>11.612736757864401</v>
      </c>
      <c r="G621" s="78">
        <v>11.612736757864401</v>
      </c>
      <c r="H621" s="81">
        <v>11.5850116176643</v>
      </c>
    </row>
    <row r="622" spans="1:8" x14ac:dyDescent="0.3">
      <c r="A622" s="74" t="str">
        <f t="shared" si="9"/>
        <v>辽宁46248</v>
      </c>
      <c r="B622" s="75" t="s">
        <v>13</v>
      </c>
      <c r="C622" s="45">
        <v>46248</v>
      </c>
      <c r="D622" s="76">
        <v>926.58215136663296</v>
      </c>
      <c r="E622" s="77">
        <v>125</v>
      </c>
      <c r="F622" s="78">
        <v>11.612736757864401</v>
      </c>
      <c r="G622" s="78">
        <v>11.612736757864401</v>
      </c>
      <c r="H622" s="81">
        <v>11.5850116176643</v>
      </c>
    </row>
    <row r="623" spans="1:8" x14ac:dyDescent="0.3">
      <c r="A623" s="74" t="str">
        <f t="shared" si="9"/>
        <v>辽宁46249</v>
      </c>
      <c r="B623" s="75" t="s">
        <v>13</v>
      </c>
      <c r="C623" s="45">
        <v>46249</v>
      </c>
      <c r="D623" s="76">
        <v>926.58215136663296</v>
      </c>
      <c r="E623" s="77">
        <v>125</v>
      </c>
      <c r="F623" s="78">
        <v>11.612736757864401</v>
      </c>
      <c r="G623" s="78">
        <v>11.612736757864401</v>
      </c>
      <c r="H623" s="81">
        <v>11.5850116176643</v>
      </c>
    </row>
    <row r="624" spans="1:8" x14ac:dyDescent="0.3">
      <c r="A624" s="74" t="str">
        <f t="shared" si="9"/>
        <v>辽宁46250</v>
      </c>
      <c r="B624" s="75" t="s">
        <v>13</v>
      </c>
      <c r="C624" s="45">
        <v>46250</v>
      </c>
      <c r="D624" s="76">
        <v>926.58215136663296</v>
      </c>
      <c r="E624" s="77">
        <v>125</v>
      </c>
      <c r="F624" s="78">
        <v>11.612736757864401</v>
      </c>
      <c r="G624" s="78">
        <v>11.612736757864401</v>
      </c>
      <c r="H624" s="81">
        <v>11.5850116176643</v>
      </c>
    </row>
    <row r="625" spans="1:8" x14ac:dyDescent="0.3">
      <c r="A625" s="74" t="str">
        <f t="shared" si="9"/>
        <v>辽宁46251</v>
      </c>
      <c r="B625" s="75" t="s">
        <v>13</v>
      </c>
      <c r="C625" s="45">
        <v>46251</v>
      </c>
      <c r="D625" s="76">
        <v>926.58215136663296</v>
      </c>
      <c r="E625" s="77">
        <v>125</v>
      </c>
      <c r="F625" s="78">
        <v>11.612736757864401</v>
      </c>
      <c r="G625" s="78">
        <v>11.612736757864401</v>
      </c>
      <c r="H625" s="81">
        <v>11.5850116176643</v>
      </c>
    </row>
    <row r="626" spans="1:8" x14ac:dyDescent="0.3">
      <c r="A626" s="74" t="str">
        <f t="shared" si="9"/>
        <v>辽宁46252</v>
      </c>
      <c r="B626" s="75" t="s">
        <v>13</v>
      </c>
      <c r="C626" s="45">
        <v>46252</v>
      </c>
      <c r="D626" s="76">
        <v>926.58215136663296</v>
      </c>
      <c r="E626" s="77">
        <v>125</v>
      </c>
      <c r="F626" s="78">
        <v>11.612736757864401</v>
      </c>
      <c r="G626" s="78">
        <v>11.612736757864401</v>
      </c>
      <c r="H626" s="81">
        <v>11.5850116176643</v>
      </c>
    </row>
    <row r="627" spans="1:8" x14ac:dyDescent="0.3">
      <c r="A627" s="74" t="str">
        <f t="shared" si="9"/>
        <v>辽宁46253</v>
      </c>
      <c r="B627" s="75" t="s">
        <v>13</v>
      </c>
      <c r="C627" s="45">
        <v>46253</v>
      </c>
      <c r="D627" s="76">
        <v>926.58215136663296</v>
      </c>
      <c r="E627" s="77">
        <v>125</v>
      </c>
      <c r="F627" s="78">
        <v>11.612736757864401</v>
      </c>
      <c r="G627" s="78">
        <v>11.612736757864401</v>
      </c>
      <c r="H627" s="81">
        <v>11.5850116176643</v>
      </c>
    </row>
    <row r="628" spans="1:8" x14ac:dyDescent="0.3">
      <c r="A628" s="74" t="str">
        <f t="shared" si="9"/>
        <v>辽宁46254</v>
      </c>
      <c r="B628" s="75" t="s">
        <v>13</v>
      </c>
      <c r="C628" s="45">
        <v>46254</v>
      </c>
      <c r="D628" s="76">
        <v>926.58215136663296</v>
      </c>
      <c r="E628" s="77">
        <v>125</v>
      </c>
      <c r="F628" s="78">
        <v>11.612736757864401</v>
      </c>
      <c r="G628" s="78">
        <v>11.612736757864401</v>
      </c>
      <c r="H628" s="81">
        <v>11.5850116176643</v>
      </c>
    </row>
    <row r="629" spans="1:8" x14ac:dyDescent="0.3">
      <c r="A629" s="74" t="str">
        <f t="shared" si="9"/>
        <v>辽宁46255</v>
      </c>
      <c r="B629" s="75" t="s">
        <v>13</v>
      </c>
      <c r="C629" s="45">
        <v>46255</v>
      </c>
      <c r="D629" s="76">
        <v>926.58215136663296</v>
      </c>
      <c r="E629" s="77">
        <v>125</v>
      </c>
      <c r="F629" s="78">
        <v>11.612736757864401</v>
      </c>
      <c r="G629" s="78">
        <v>11.612736757864401</v>
      </c>
      <c r="H629" s="81">
        <v>11.5850116176643</v>
      </c>
    </row>
    <row r="630" spans="1:8" x14ac:dyDescent="0.3">
      <c r="A630" s="74" t="str">
        <f t="shared" si="9"/>
        <v>辽宁46256</v>
      </c>
      <c r="B630" s="75" t="s">
        <v>13</v>
      </c>
      <c r="C630" s="45">
        <v>46256</v>
      </c>
      <c r="D630" s="76">
        <v>926.58215136663296</v>
      </c>
      <c r="E630" s="77">
        <v>125</v>
      </c>
      <c r="F630" s="78">
        <v>11.612736757864401</v>
      </c>
      <c r="G630" s="78">
        <v>11.612736757864401</v>
      </c>
      <c r="H630" s="81">
        <v>11.5850116176643</v>
      </c>
    </row>
    <row r="631" spans="1:8" x14ac:dyDescent="0.3">
      <c r="A631" s="74" t="str">
        <f t="shared" si="9"/>
        <v>辽宁46257</v>
      </c>
      <c r="B631" s="75" t="s">
        <v>13</v>
      </c>
      <c r="C631" s="45">
        <v>46257</v>
      </c>
      <c r="D631" s="76">
        <v>926.58215136663296</v>
      </c>
      <c r="E631" s="77">
        <v>125</v>
      </c>
      <c r="F631" s="78">
        <v>11.612736757864401</v>
      </c>
      <c r="G631" s="78">
        <v>11.612736757864401</v>
      </c>
      <c r="H631" s="81">
        <v>11.5850116176643</v>
      </c>
    </row>
    <row r="632" spans="1:8" x14ac:dyDescent="0.3">
      <c r="A632" s="74" t="str">
        <f t="shared" si="9"/>
        <v>辽宁46258</v>
      </c>
      <c r="B632" s="75" t="s">
        <v>13</v>
      </c>
      <c r="C632" s="45">
        <v>46258</v>
      </c>
      <c r="D632" s="76">
        <v>926.58215136663296</v>
      </c>
      <c r="E632" s="77">
        <v>125</v>
      </c>
      <c r="F632" s="78">
        <v>11.612736757864401</v>
      </c>
      <c r="G632" s="78">
        <v>11.612736757864401</v>
      </c>
      <c r="H632" s="81">
        <v>11.5850116176643</v>
      </c>
    </row>
    <row r="633" spans="1:8" x14ac:dyDescent="0.3">
      <c r="A633" s="74" t="str">
        <f t="shared" si="9"/>
        <v>辽宁46259</v>
      </c>
      <c r="B633" s="75" t="s">
        <v>13</v>
      </c>
      <c r="C633" s="45">
        <v>46259</v>
      </c>
      <c r="D633" s="76">
        <v>926.58215136663296</v>
      </c>
      <c r="E633" s="77">
        <v>125</v>
      </c>
      <c r="F633" s="78">
        <v>11.612736757864401</v>
      </c>
      <c r="G633" s="78">
        <v>11.612736757864401</v>
      </c>
      <c r="H633" s="81">
        <v>11.5850116176643</v>
      </c>
    </row>
    <row r="634" spans="1:8" x14ac:dyDescent="0.3">
      <c r="A634" s="74" t="str">
        <f t="shared" si="9"/>
        <v>辽宁46260</v>
      </c>
      <c r="B634" s="75" t="s">
        <v>13</v>
      </c>
      <c r="C634" s="45">
        <v>46260</v>
      </c>
      <c r="D634" s="76">
        <v>926.58215136663296</v>
      </c>
      <c r="E634" s="77">
        <v>125</v>
      </c>
      <c r="F634" s="78">
        <v>11.612736757864401</v>
      </c>
      <c r="G634" s="78">
        <v>11.612736757864401</v>
      </c>
      <c r="H634" s="81">
        <v>11.5850116176643</v>
      </c>
    </row>
    <row r="635" spans="1:8" x14ac:dyDescent="0.3">
      <c r="A635" s="74" t="str">
        <f t="shared" si="9"/>
        <v>辽宁46261</v>
      </c>
      <c r="B635" s="75" t="s">
        <v>13</v>
      </c>
      <c r="C635" s="45">
        <v>46261</v>
      </c>
      <c r="D635" s="76">
        <v>926.58215136663296</v>
      </c>
      <c r="E635" s="77">
        <v>125</v>
      </c>
      <c r="F635" s="78">
        <v>11.612736757864401</v>
      </c>
      <c r="G635" s="78">
        <v>11.612736757864401</v>
      </c>
      <c r="H635" s="81">
        <v>11.5850116176643</v>
      </c>
    </row>
    <row r="636" spans="1:8" x14ac:dyDescent="0.3">
      <c r="A636" s="74" t="str">
        <f t="shared" si="9"/>
        <v>辽宁46262</v>
      </c>
      <c r="B636" s="75" t="s">
        <v>13</v>
      </c>
      <c r="C636" s="45">
        <v>46262</v>
      </c>
      <c r="D636" s="76">
        <v>926.58215136663296</v>
      </c>
      <c r="E636" s="77">
        <v>125</v>
      </c>
      <c r="F636" s="78">
        <v>11.612736757864401</v>
      </c>
      <c r="G636" s="78">
        <v>11.612736757864401</v>
      </c>
      <c r="H636" s="81">
        <v>11.5850116176643</v>
      </c>
    </row>
    <row r="637" spans="1:8" x14ac:dyDescent="0.3">
      <c r="A637" s="74" t="str">
        <f t="shared" si="9"/>
        <v>辽宁46263</v>
      </c>
      <c r="B637" s="75" t="s">
        <v>13</v>
      </c>
      <c r="C637" s="45">
        <v>46263</v>
      </c>
      <c r="D637" s="76">
        <v>926.58215136663296</v>
      </c>
      <c r="E637" s="77">
        <v>125</v>
      </c>
      <c r="F637" s="78">
        <v>11.612736757864401</v>
      </c>
      <c r="G637" s="78">
        <v>11.612736757864401</v>
      </c>
      <c r="H637" s="81">
        <v>11.5850116176643</v>
      </c>
    </row>
    <row r="638" spans="1:8" x14ac:dyDescent="0.3">
      <c r="A638" s="74" t="str">
        <f t="shared" si="9"/>
        <v>辽宁46264</v>
      </c>
      <c r="B638" s="75" t="s">
        <v>13</v>
      </c>
      <c r="C638" s="45">
        <v>46264</v>
      </c>
      <c r="D638" s="76">
        <v>926.58215136663296</v>
      </c>
      <c r="E638" s="77">
        <v>125</v>
      </c>
      <c r="F638" s="78">
        <v>11.612736757864401</v>
      </c>
      <c r="G638" s="78">
        <v>11.612736757864401</v>
      </c>
      <c r="H638" s="81">
        <v>11.5850116176643</v>
      </c>
    </row>
    <row r="639" spans="1:8" x14ac:dyDescent="0.3">
      <c r="A639" s="74" t="str">
        <f t="shared" si="9"/>
        <v>辽宁46265</v>
      </c>
      <c r="B639" s="75" t="s">
        <v>13</v>
      </c>
      <c r="C639" s="45">
        <v>46265</v>
      </c>
      <c r="D639" s="76">
        <v>926.58215136663296</v>
      </c>
      <c r="E639" s="77">
        <v>125</v>
      </c>
      <c r="F639" s="78">
        <v>11.612736757864401</v>
      </c>
      <c r="G639" s="78">
        <v>11.612736757864401</v>
      </c>
      <c r="H639" s="81">
        <v>11.5850116176643</v>
      </c>
    </row>
    <row r="640" spans="1:8" x14ac:dyDescent="0.3">
      <c r="A640" s="74" t="str">
        <f t="shared" si="9"/>
        <v>辽宁46266</v>
      </c>
      <c r="B640" s="75" t="s">
        <v>13</v>
      </c>
      <c r="C640" s="45">
        <v>46266</v>
      </c>
      <c r="D640" s="76">
        <v>895.48823183277602</v>
      </c>
      <c r="E640" s="77">
        <v>125</v>
      </c>
      <c r="F640" s="78">
        <v>11.8885151186582</v>
      </c>
      <c r="G640" s="78">
        <v>11.8885151186582</v>
      </c>
      <c r="H640" s="81">
        <v>12.0997941106419</v>
      </c>
    </row>
    <row r="641" spans="1:8" x14ac:dyDescent="0.3">
      <c r="A641" s="74" t="str">
        <f t="shared" si="9"/>
        <v>辽宁46267</v>
      </c>
      <c r="B641" s="75" t="s">
        <v>13</v>
      </c>
      <c r="C641" s="45">
        <v>46267</v>
      </c>
      <c r="D641" s="76">
        <v>895.48823183277602</v>
      </c>
      <c r="E641" s="77">
        <v>125</v>
      </c>
      <c r="F641" s="78">
        <v>11.8885151186582</v>
      </c>
      <c r="G641" s="78">
        <v>11.8885151186582</v>
      </c>
      <c r="H641" s="81">
        <v>12.0997941106419</v>
      </c>
    </row>
    <row r="642" spans="1:8" x14ac:dyDescent="0.3">
      <c r="A642" s="74" t="str">
        <f t="shared" si="9"/>
        <v>辽宁46268</v>
      </c>
      <c r="B642" s="75" t="s">
        <v>13</v>
      </c>
      <c r="C642" s="45">
        <v>46268</v>
      </c>
      <c r="D642" s="76">
        <v>895.48823183277602</v>
      </c>
      <c r="E642" s="77">
        <v>125</v>
      </c>
      <c r="F642" s="78">
        <v>11.8885151186582</v>
      </c>
      <c r="G642" s="78">
        <v>11.8885151186582</v>
      </c>
      <c r="H642" s="81">
        <v>12.0997941106419</v>
      </c>
    </row>
    <row r="643" spans="1:8" x14ac:dyDescent="0.3">
      <c r="A643" s="74" t="str">
        <f t="shared" ref="A643:A706" si="10">B643&amp;C643</f>
        <v>辽宁46269</v>
      </c>
      <c r="B643" s="75" t="s">
        <v>13</v>
      </c>
      <c r="C643" s="45">
        <v>46269</v>
      </c>
      <c r="D643" s="76">
        <v>895.48823183277602</v>
      </c>
      <c r="E643" s="77">
        <v>125</v>
      </c>
      <c r="F643" s="78">
        <v>11.8885151186582</v>
      </c>
      <c r="G643" s="78">
        <v>11.8885151186582</v>
      </c>
      <c r="H643" s="81">
        <v>12.0997941106419</v>
      </c>
    </row>
    <row r="644" spans="1:8" x14ac:dyDescent="0.3">
      <c r="A644" s="74" t="str">
        <f t="shared" si="10"/>
        <v>辽宁46270</v>
      </c>
      <c r="B644" s="75" t="s">
        <v>13</v>
      </c>
      <c r="C644" s="45">
        <v>46270</v>
      </c>
      <c r="D644" s="76">
        <v>895.48823183277602</v>
      </c>
      <c r="E644" s="77">
        <v>125</v>
      </c>
      <c r="F644" s="78">
        <v>11.8885151186582</v>
      </c>
      <c r="G644" s="78">
        <v>11.8885151186582</v>
      </c>
      <c r="H644" s="81">
        <v>12.0997941106419</v>
      </c>
    </row>
    <row r="645" spans="1:8" x14ac:dyDescent="0.3">
      <c r="A645" s="74" t="str">
        <f t="shared" si="10"/>
        <v>辽宁46271</v>
      </c>
      <c r="B645" s="75" t="s">
        <v>13</v>
      </c>
      <c r="C645" s="45">
        <v>46271</v>
      </c>
      <c r="D645" s="76">
        <v>895.48823183277602</v>
      </c>
      <c r="E645" s="77">
        <v>125</v>
      </c>
      <c r="F645" s="78">
        <v>11.8885151186582</v>
      </c>
      <c r="G645" s="78">
        <v>11.8885151186582</v>
      </c>
      <c r="H645" s="81">
        <v>12.0997941106419</v>
      </c>
    </row>
    <row r="646" spans="1:8" x14ac:dyDescent="0.3">
      <c r="A646" s="74" t="str">
        <f t="shared" si="10"/>
        <v>辽宁46272</v>
      </c>
      <c r="B646" s="75" t="s">
        <v>13</v>
      </c>
      <c r="C646" s="45">
        <v>46272</v>
      </c>
      <c r="D646" s="76">
        <v>895.48823183277602</v>
      </c>
      <c r="E646" s="77">
        <v>125</v>
      </c>
      <c r="F646" s="78">
        <v>11.8885151186582</v>
      </c>
      <c r="G646" s="78">
        <v>11.8885151186582</v>
      </c>
      <c r="H646" s="81">
        <v>12.0997941106419</v>
      </c>
    </row>
    <row r="647" spans="1:8" x14ac:dyDescent="0.3">
      <c r="A647" s="74" t="str">
        <f t="shared" si="10"/>
        <v>辽宁46273</v>
      </c>
      <c r="B647" s="75" t="s">
        <v>13</v>
      </c>
      <c r="C647" s="45">
        <v>46273</v>
      </c>
      <c r="D647" s="76">
        <v>895.48823183277602</v>
      </c>
      <c r="E647" s="77">
        <v>125</v>
      </c>
      <c r="F647" s="78">
        <v>11.8885151186582</v>
      </c>
      <c r="G647" s="78">
        <v>11.8885151186582</v>
      </c>
      <c r="H647" s="81">
        <v>12.0997941106419</v>
      </c>
    </row>
    <row r="648" spans="1:8" x14ac:dyDescent="0.3">
      <c r="A648" s="74" t="str">
        <f t="shared" si="10"/>
        <v>辽宁46274</v>
      </c>
      <c r="B648" s="75" t="s">
        <v>13</v>
      </c>
      <c r="C648" s="45">
        <v>46274</v>
      </c>
      <c r="D648" s="76">
        <v>895.48823183277602</v>
      </c>
      <c r="E648" s="77">
        <v>125</v>
      </c>
      <c r="F648" s="78">
        <v>11.8885151186582</v>
      </c>
      <c r="G648" s="78">
        <v>11.8885151186582</v>
      </c>
      <c r="H648" s="81">
        <v>12.0997941106419</v>
      </c>
    </row>
    <row r="649" spans="1:8" x14ac:dyDescent="0.3">
      <c r="A649" s="74" t="str">
        <f t="shared" si="10"/>
        <v>辽宁46275</v>
      </c>
      <c r="B649" s="75" t="s">
        <v>13</v>
      </c>
      <c r="C649" s="45">
        <v>46275</v>
      </c>
      <c r="D649" s="76">
        <v>895.48823183277602</v>
      </c>
      <c r="E649" s="77">
        <v>125</v>
      </c>
      <c r="F649" s="78">
        <v>11.8885151186582</v>
      </c>
      <c r="G649" s="78">
        <v>11.8885151186582</v>
      </c>
      <c r="H649" s="81">
        <v>12.0997941106419</v>
      </c>
    </row>
    <row r="650" spans="1:8" x14ac:dyDescent="0.3">
      <c r="A650" s="74" t="str">
        <f t="shared" si="10"/>
        <v>辽宁46276</v>
      </c>
      <c r="B650" s="75" t="s">
        <v>13</v>
      </c>
      <c r="C650" s="45">
        <v>46276</v>
      </c>
      <c r="D650" s="76">
        <v>895.48823183277602</v>
      </c>
      <c r="E650" s="77">
        <v>125</v>
      </c>
      <c r="F650" s="78">
        <v>11.8885151186582</v>
      </c>
      <c r="G650" s="78">
        <v>11.8885151186582</v>
      </c>
      <c r="H650" s="81">
        <v>12.0997941106419</v>
      </c>
    </row>
    <row r="651" spans="1:8" x14ac:dyDescent="0.3">
      <c r="A651" s="74" t="str">
        <f t="shared" si="10"/>
        <v>辽宁46277</v>
      </c>
      <c r="B651" s="75" t="s">
        <v>13</v>
      </c>
      <c r="C651" s="45">
        <v>46277</v>
      </c>
      <c r="D651" s="76">
        <v>895.48823183277602</v>
      </c>
      <c r="E651" s="77">
        <v>125</v>
      </c>
      <c r="F651" s="78">
        <v>11.8885151186582</v>
      </c>
      <c r="G651" s="78">
        <v>11.8885151186582</v>
      </c>
      <c r="H651" s="81">
        <v>12.0997941106419</v>
      </c>
    </row>
    <row r="652" spans="1:8" x14ac:dyDescent="0.3">
      <c r="A652" s="74" t="str">
        <f t="shared" si="10"/>
        <v>辽宁46278</v>
      </c>
      <c r="B652" s="75" t="s">
        <v>13</v>
      </c>
      <c r="C652" s="45">
        <v>46278</v>
      </c>
      <c r="D652" s="76">
        <v>895.48823183277602</v>
      </c>
      <c r="E652" s="77">
        <v>125</v>
      </c>
      <c r="F652" s="78">
        <v>11.8885151186582</v>
      </c>
      <c r="G652" s="78">
        <v>11.8885151186582</v>
      </c>
      <c r="H652" s="81">
        <v>12.0997941106419</v>
      </c>
    </row>
    <row r="653" spans="1:8" x14ac:dyDescent="0.3">
      <c r="A653" s="74" t="str">
        <f t="shared" si="10"/>
        <v>辽宁46279</v>
      </c>
      <c r="B653" s="75" t="s">
        <v>13</v>
      </c>
      <c r="C653" s="45">
        <v>46279</v>
      </c>
      <c r="D653" s="76">
        <v>895.48823183277602</v>
      </c>
      <c r="E653" s="77">
        <v>125</v>
      </c>
      <c r="F653" s="78">
        <v>11.8885151186582</v>
      </c>
      <c r="G653" s="78">
        <v>11.8885151186582</v>
      </c>
      <c r="H653" s="81">
        <v>12.0997941106419</v>
      </c>
    </row>
    <row r="654" spans="1:8" x14ac:dyDescent="0.3">
      <c r="A654" s="74" t="str">
        <f t="shared" si="10"/>
        <v>辽宁46280</v>
      </c>
      <c r="B654" s="75" t="s">
        <v>13</v>
      </c>
      <c r="C654" s="45">
        <v>46280</v>
      </c>
      <c r="D654" s="76">
        <v>895.48823183277602</v>
      </c>
      <c r="E654" s="77">
        <v>125</v>
      </c>
      <c r="F654" s="78">
        <v>11.8885151186582</v>
      </c>
      <c r="G654" s="78">
        <v>11.8885151186582</v>
      </c>
      <c r="H654" s="81">
        <v>12.0997941106419</v>
      </c>
    </row>
    <row r="655" spans="1:8" x14ac:dyDescent="0.3">
      <c r="A655" s="74" t="str">
        <f t="shared" si="10"/>
        <v>辽宁46281</v>
      </c>
      <c r="B655" s="75" t="s">
        <v>13</v>
      </c>
      <c r="C655" s="45">
        <v>46281</v>
      </c>
      <c r="D655" s="76">
        <v>895.48823183277602</v>
      </c>
      <c r="E655" s="77">
        <v>125</v>
      </c>
      <c r="F655" s="78">
        <v>11.8885151186582</v>
      </c>
      <c r="G655" s="78">
        <v>11.8885151186582</v>
      </c>
      <c r="H655" s="81">
        <v>12.0997941106419</v>
      </c>
    </row>
    <row r="656" spans="1:8" x14ac:dyDescent="0.3">
      <c r="A656" s="74" t="str">
        <f t="shared" si="10"/>
        <v>辽宁46282</v>
      </c>
      <c r="B656" s="75" t="s">
        <v>13</v>
      </c>
      <c r="C656" s="45">
        <v>46282</v>
      </c>
      <c r="D656" s="76">
        <v>895.48823183277602</v>
      </c>
      <c r="E656" s="77">
        <v>125</v>
      </c>
      <c r="F656" s="78">
        <v>11.8885151186582</v>
      </c>
      <c r="G656" s="78">
        <v>11.8885151186582</v>
      </c>
      <c r="H656" s="81">
        <v>12.0997941106419</v>
      </c>
    </row>
    <row r="657" spans="1:8" x14ac:dyDescent="0.3">
      <c r="A657" s="74" t="str">
        <f t="shared" si="10"/>
        <v>辽宁46283</v>
      </c>
      <c r="B657" s="75" t="s">
        <v>13</v>
      </c>
      <c r="C657" s="45">
        <v>46283</v>
      </c>
      <c r="D657" s="76">
        <v>895.48823183277602</v>
      </c>
      <c r="E657" s="77">
        <v>125</v>
      </c>
      <c r="F657" s="78">
        <v>11.8885151186582</v>
      </c>
      <c r="G657" s="78">
        <v>11.8885151186582</v>
      </c>
      <c r="H657" s="81">
        <v>12.0997941106419</v>
      </c>
    </row>
    <row r="658" spans="1:8" x14ac:dyDescent="0.3">
      <c r="A658" s="74" t="str">
        <f t="shared" si="10"/>
        <v>辽宁46284</v>
      </c>
      <c r="B658" s="75" t="s">
        <v>13</v>
      </c>
      <c r="C658" s="45">
        <v>46284</v>
      </c>
      <c r="D658" s="76">
        <v>895.48823183277602</v>
      </c>
      <c r="E658" s="77">
        <v>125</v>
      </c>
      <c r="F658" s="78">
        <v>11.8885151186582</v>
      </c>
      <c r="G658" s="78">
        <v>11.8885151186582</v>
      </c>
      <c r="H658" s="81">
        <v>12.0997941106419</v>
      </c>
    </row>
    <row r="659" spans="1:8" x14ac:dyDescent="0.3">
      <c r="A659" s="74" t="str">
        <f t="shared" si="10"/>
        <v>辽宁46285</v>
      </c>
      <c r="B659" s="75" t="s">
        <v>13</v>
      </c>
      <c r="C659" s="45">
        <v>46285</v>
      </c>
      <c r="D659" s="76">
        <v>895.48823183277602</v>
      </c>
      <c r="E659" s="77">
        <v>125</v>
      </c>
      <c r="F659" s="78">
        <v>11.8885151186582</v>
      </c>
      <c r="G659" s="78">
        <v>11.8885151186582</v>
      </c>
      <c r="H659" s="81">
        <v>12.0997941106419</v>
      </c>
    </row>
    <row r="660" spans="1:8" x14ac:dyDescent="0.3">
      <c r="A660" s="74" t="str">
        <f t="shared" si="10"/>
        <v>辽宁46286</v>
      </c>
      <c r="B660" s="75" t="s">
        <v>13</v>
      </c>
      <c r="C660" s="45">
        <v>46286</v>
      </c>
      <c r="D660" s="76">
        <v>895.48823183277602</v>
      </c>
      <c r="E660" s="77">
        <v>125</v>
      </c>
      <c r="F660" s="78">
        <v>11.8885151186582</v>
      </c>
      <c r="G660" s="78">
        <v>11.8885151186582</v>
      </c>
      <c r="H660" s="81">
        <v>12.0997941106419</v>
      </c>
    </row>
    <row r="661" spans="1:8" x14ac:dyDescent="0.3">
      <c r="A661" s="74" t="str">
        <f t="shared" si="10"/>
        <v>辽宁46287</v>
      </c>
      <c r="B661" s="75" t="s">
        <v>13</v>
      </c>
      <c r="C661" s="45">
        <v>46287</v>
      </c>
      <c r="D661" s="76">
        <v>895.48823183277602</v>
      </c>
      <c r="E661" s="77">
        <v>125</v>
      </c>
      <c r="F661" s="78">
        <v>11.8885151186582</v>
      </c>
      <c r="G661" s="78">
        <v>11.8885151186582</v>
      </c>
      <c r="H661" s="81">
        <v>12.0997941106419</v>
      </c>
    </row>
    <row r="662" spans="1:8" x14ac:dyDescent="0.3">
      <c r="A662" s="74" t="str">
        <f t="shared" si="10"/>
        <v>辽宁46288</v>
      </c>
      <c r="B662" s="75" t="s">
        <v>13</v>
      </c>
      <c r="C662" s="45">
        <v>46288</v>
      </c>
      <c r="D662" s="76">
        <v>895.48823183277602</v>
      </c>
      <c r="E662" s="77">
        <v>125</v>
      </c>
      <c r="F662" s="78">
        <v>11.8885151186582</v>
      </c>
      <c r="G662" s="78">
        <v>11.8885151186582</v>
      </c>
      <c r="H662" s="81">
        <v>12.0997941106419</v>
      </c>
    </row>
    <row r="663" spans="1:8" x14ac:dyDescent="0.3">
      <c r="A663" s="74" t="str">
        <f t="shared" si="10"/>
        <v>辽宁46289</v>
      </c>
      <c r="B663" s="75" t="s">
        <v>13</v>
      </c>
      <c r="C663" s="45">
        <v>46289</v>
      </c>
      <c r="D663" s="76">
        <v>895.48823183277602</v>
      </c>
      <c r="E663" s="77">
        <v>125</v>
      </c>
      <c r="F663" s="78">
        <v>11.8885151186582</v>
      </c>
      <c r="G663" s="78">
        <v>11.8885151186582</v>
      </c>
      <c r="H663" s="81">
        <v>12.0997941106419</v>
      </c>
    </row>
    <row r="664" spans="1:8" x14ac:dyDescent="0.3">
      <c r="A664" s="74" t="str">
        <f t="shared" si="10"/>
        <v>辽宁46290</v>
      </c>
      <c r="B664" s="75" t="s">
        <v>13</v>
      </c>
      <c r="C664" s="45">
        <v>46290</v>
      </c>
      <c r="D664" s="76">
        <v>895.48823183277602</v>
      </c>
      <c r="E664" s="77">
        <v>125</v>
      </c>
      <c r="F664" s="78">
        <v>11.8885151186582</v>
      </c>
      <c r="G664" s="78">
        <v>11.8885151186582</v>
      </c>
      <c r="H664" s="81">
        <v>12.0997941106419</v>
      </c>
    </row>
    <row r="665" spans="1:8" x14ac:dyDescent="0.3">
      <c r="A665" s="74" t="str">
        <f t="shared" si="10"/>
        <v>辽宁46291</v>
      </c>
      <c r="B665" s="75" t="s">
        <v>13</v>
      </c>
      <c r="C665" s="45">
        <v>46291</v>
      </c>
      <c r="D665" s="76">
        <v>895.48823183277602</v>
      </c>
      <c r="E665" s="77">
        <v>125</v>
      </c>
      <c r="F665" s="78">
        <v>11.8885151186582</v>
      </c>
      <c r="G665" s="78">
        <v>11.8885151186582</v>
      </c>
      <c r="H665" s="81">
        <v>12.0997941106419</v>
      </c>
    </row>
    <row r="666" spans="1:8" x14ac:dyDescent="0.3">
      <c r="A666" s="74" t="str">
        <f t="shared" si="10"/>
        <v>辽宁46292</v>
      </c>
      <c r="B666" s="75" t="s">
        <v>13</v>
      </c>
      <c r="C666" s="45">
        <v>46292</v>
      </c>
      <c r="D666" s="76">
        <v>895.48823183277602</v>
      </c>
      <c r="E666" s="77">
        <v>125</v>
      </c>
      <c r="F666" s="78">
        <v>11.8885151186582</v>
      </c>
      <c r="G666" s="78">
        <v>11.8885151186582</v>
      </c>
      <c r="H666" s="81">
        <v>12.0997941106419</v>
      </c>
    </row>
    <row r="667" spans="1:8" x14ac:dyDescent="0.3">
      <c r="A667" s="74" t="str">
        <f t="shared" si="10"/>
        <v>辽宁46293</v>
      </c>
      <c r="B667" s="75" t="s">
        <v>13</v>
      </c>
      <c r="C667" s="45">
        <v>46293</v>
      </c>
      <c r="D667" s="76">
        <v>895.48823183277602</v>
      </c>
      <c r="E667" s="77">
        <v>125</v>
      </c>
      <c r="F667" s="78">
        <v>11.8885151186582</v>
      </c>
      <c r="G667" s="78">
        <v>11.8885151186582</v>
      </c>
      <c r="H667" s="81">
        <v>12.0997941106419</v>
      </c>
    </row>
    <row r="668" spans="1:8" x14ac:dyDescent="0.3">
      <c r="A668" s="74" t="str">
        <f t="shared" si="10"/>
        <v>辽宁46294</v>
      </c>
      <c r="B668" s="75" t="s">
        <v>13</v>
      </c>
      <c r="C668" s="45">
        <v>46294</v>
      </c>
      <c r="D668" s="76">
        <v>895.48823183277602</v>
      </c>
      <c r="E668" s="77">
        <v>125</v>
      </c>
      <c r="F668" s="78">
        <v>11.8885151186582</v>
      </c>
      <c r="G668" s="78">
        <v>11.8885151186582</v>
      </c>
      <c r="H668" s="81">
        <v>12.0997941106419</v>
      </c>
    </row>
    <row r="669" spans="1:8" x14ac:dyDescent="0.3">
      <c r="A669" s="74" t="str">
        <f t="shared" si="10"/>
        <v>辽宁46295</v>
      </c>
      <c r="B669" s="75" t="s">
        <v>13</v>
      </c>
      <c r="C669" s="45">
        <v>46295</v>
      </c>
      <c r="D669" s="76">
        <v>895.48823183277602</v>
      </c>
      <c r="E669" s="77">
        <v>125</v>
      </c>
      <c r="F669" s="78">
        <v>11.8885151186582</v>
      </c>
      <c r="G669" s="78">
        <v>11.8885151186582</v>
      </c>
      <c r="H669" s="81">
        <v>12.0997941106419</v>
      </c>
    </row>
    <row r="670" spans="1:8" x14ac:dyDescent="0.3">
      <c r="A670" s="74" t="str">
        <f t="shared" si="10"/>
        <v>辽宁46296</v>
      </c>
      <c r="B670" s="75" t="s">
        <v>13</v>
      </c>
      <c r="C670" s="45">
        <v>46296</v>
      </c>
      <c r="D670" s="76">
        <v>922.73569497911399</v>
      </c>
      <c r="E670" s="77">
        <v>125</v>
      </c>
      <c r="F670" s="78">
        <v>12.0918999382945</v>
      </c>
      <c r="G670" s="78">
        <v>12.0918999382945</v>
      </c>
      <c r="H670" s="81">
        <v>12.171959880685501</v>
      </c>
    </row>
    <row r="671" spans="1:8" x14ac:dyDescent="0.3">
      <c r="A671" s="74" t="str">
        <f t="shared" si="10"/>
        <v>辽宁46297</v>
      </c>
      <c r="B671" s="75" t="s">
        <v>13</v>
      </c>
      <c r="C671" s="45">
        <v>46297</v>
      </c>
      <c r="D671" s="76">
        <v>922.73569497911399</v>
      </c>
      <c r="E671" s="77">
        <v>125</v>
      </c>
      <c r="F671" s="78">
        <v>12.0918999382945</v>
      </c>
      <c r="G671" s="78">
        <v>12.0918999382945</v>
      </c>
      <c r="H671" s="81">
        <v>12.171959880685501</v>
      </c>
    </row>
    <row r="672" spans="1:8" x14ac:dyDescent="0.3">
      <c r="A672" s="74" t="str">
        <f t="shared" si="10"/>
        <v>辽宁46298</v>
      </c>
      <c r="B672" s="75" t="s">
        <v>13</v>
      </c>
      <c r="C672" s="45">
        <v>46298</v>
      </c>
      <c r="D672" s="76">
        <v>922.73569497911399</v>
      </c>
      <c r="E672" s="77">
        <v>125</v>
      </c>
      <c r="F672" s="78">
        <v>12.0918999382945</v>
      </c>
      <c r="G672" s="78">
        <v>12.0918999382945</v>
      </c>
      <c r="H672" s="81">
        <v>12.171959880685501</v>
      </c>
    </row>
    <row r="673" spans="1:8" x14ac:dyDescent="0.3">
      <c r="A673" s="74" t="str">
        <f t="shared" si="10"/>
        <v>辽宁46299</v>
      </c>
      <c r="B673" s="75" t="s">
        <v>13</v>
      </c>
      <c r="C673" s="45">
        <v>46299</v>
      </c>
      <c r="D673" s="76">
        <v>922.73569497911399</v>
      </c>
      <c r="E673" s="77">
        <v>125</v>
      </c>
      <c r="F673" s="78">
        <v>12.0918999382945</v>
      </c>
      <c r="G673" s="78">
        <v>12.0918999382945</v>
      </c>
      <c r="H673" s="81">
        <v>12.171959880685501</v>
      </c>
    </row>
    <row r="674" spans="1:8" x14ac:dyDescent="0.3">
      <c r="A674" s="74" t="str">
        <f t="shared" si="10"/>
        <v>辽宁46300</v>
      </c>
      <c r="B674" s="75" t="s">
        <v>13</v>
      </c>
      <c r="C674" s="45">
        <v>46300</v>
      </c>
      <c r="D674" s="76">
        <v>922.73569497911399</v>
      </c>
      <c r="E674" s="77">
        <v>125</v>
      </c>
      <c r="F674" s="78">
        <v>12.0918999382945</v>
      </c>
      <c r="G674" s="78">
        <v>12.0918999382945</v>
      </c>
      <c r="H674" s="81">
        <v>12.171959880685501</v>
      </c>
    </row>
    <row r="675" spans="1:8" x14ac:dyDescent="0.3">
      <c r="A675" s="74" t="str">
        <f t="shared" si="10"/>
        <v>辽宁46301</v>
      </c>
      <c r="B675" s="75" t="s">
        <v>13</v>
      </c>
      <c r="C675" s="45">
        <v>46301</v>
      </c>
      <c r="D675" s="76">
        <v>922.73569497911399</v>
      </c>
      <c r="E675" s="77">
        <v>125</v>
      </c>
      <c r="F675" s="78">
        <v>12.0918999382945</v>
      </c>
      <c r="G675" s="78">
        <v>12.0918999382945</v>
      </c>
      <c r="H675" s="81">
        <v>12.171959880685501</v>
      </c>
    </row>
    <row r="676" spans="1:8" x14ac:dyDescent="0.3">
      <c r="A676" s="74" t="str">
        <f t="shared" si="10"/>
        <v>辽宁46302</v>
      </c>
      <c r="B676" s="75" t="s">
        <v>13</v>
      </c>
      <c r="C676" s="45">
        <v>46302</v>
      </c>
      <c r="D676" s="76">
        <v>922.73569497911399</v>
      </c>
      <c r="E676" s="77">
        <v>125</v>
      </c>
      <c r="F676" s="78">
        <v>12.0918999382945</v>
      </c>
      <c r="G676" s="78">
        <v>12.0918999382945</v>
      </c>
      <c r="H676" s="81">
        <v>12.171959880685501</v>
      </c>
    </row>
    <row r="677" spans="1:8" x14ac:dyDescent="0.3">
      <c r="A677" s="74" t="str">
        <f t="shared" si="10"/>
        <v>辽宁46303</v>
      </c>
      <c r="B677" s="75" t="s">
        <v>13</v>
      </c>
      <c r="C677" s="45">
        <v>46303</v>
      </c>
      <c r="D677" s="76">
        <v>922.73569497911399</v>
      </c>
      <c r="E677" s="77">
        <v>125</v>
      </c>
      <c r="F677" s="78">
        <v>12.0918999382945</v>
      </c>
      <c r="G677" s="78">
        <v>12.0918999382945</v>
      </c>
      <c r="H677" s="81">
        <v>12.171959880685501</v>
      </c>
    </row>
    <row r="678" spans="1:8" x14ac:dyDescent="0.3">
      <c r="A678" s="74" t="str">
        <f t="shared" si="10"/>
        <v>辽宁46304</v>
      </c>
      <c r="B678" s="75" t="s">
        <v>13</v>
      </c>
      <c r="C678" s="45">
        <v>46304</v>
      </c>
      <c r="D678" s="76">
        <v>922.73569497911399</v>
      </c>
      <c r="E678" s="77">
        <v>125</v>
      </c>
      <c r="F678" s="78">
        <v>12.0918999382945</v>
      </c>
      <c r="G678" s="78">
        <v>12.0918999382945</v>
      </c>
      <c r="H678" s="81">
        <v>12.171959880685501</v>
      </c>
    </row>
    <row r="679" spans="1:8" x14ac:dyDescent="0.3">
      <c r="A679" s="74" t="str">
        <f t="shared" si="10"/>
        <v>辽宁46305</v>
      </c>
      <c r="B679" s="75" t="s">
        <v>13</v>
      </c>
      <c r="C679" s="45">
        <v>46305</v>
      </c>
      <c r="D679" s="76">
        <v>922.73569497911399</v>
      </c>
      <c r="E679" s="77">
        <v>125</v>
      </c>
      <c r="F679" s="78">
        <v>12.0918999382945</v>
      </c>
      <c r="G679" s="78">
        <v>12.0918999382945</v>
      </c>
      <c r="H679" s="81">
        <v>12.171959880685501</v>
      </c>
    </row>
    <row r="680" spans="1:8" x14ac:dyDescent="0.3">
      <c r="A680" s="74" t="str">
        <f t="shared" si="10"/>
        <v>辽宁46306</v>
      </c>
      <c r="B680" s="75" t="s">
        <v>13</v>
      </c>
      <c r="C680" s="45">
        <v>46306</v>
      </c>
      <c r="D680" s="76">
        <v>922.73569497911399</v>
      </c>
      <c r="E680" s="77">
        <v>125</v>
      </c>
      <c r="F680" s="78">
        <v>12.0918999382945</v>
      </c>
      <c r="G680" s="78">
        <v>12.0918999382945</v>
      </c>
      <c r="H680" s="81">
        <v>12.171959880685501</v>
      </c>
    </row>
    <row r="681" spans="1:8" x14ac:dyDescent="0.3">
      <c r="A681" s="74" t="str">
        <f t="shared" si="10"/>
        <v>辽宁46307</v>
      </c>
      <c r="B681" s="75" t="s">
        <v>13</v>
      </c>
      <c r="C681" s="45">
        <v>46307</v>
      </c>
      <c r="D681" s="76">
        <v>922.73569497911399</v>
      </c>
      <c r="E681" s="77">
        <v>125</v>
      </c>
      <c r="F681" s="78">
        <v>12.0918999382945</v>
      </c>
      <c r="G681" s="78">
        <v>12.0918999382945</v>
      </c>
      <c r="H681" s="81">
        <v>12.171959880685501</v>
      </c>
    </row>
    <row r="682" spans="1:8" x14ac:dyDescent="0.3">
      <c r="A682" s="74" t="str">
        <f t="shared" si="10"/>
        <v>辽宁46308</v>
      </c>
      <c r="B682" s="75" t="s">
        <v>13</v>
      </c>
      <c r="C682" s="45">
        <v>46308</v>
      </c>
      <c r="D682" s="76">
        <v>922.73569497911399</v>
      </c>
      <c r="E682" s="77">
        <v>125</v>
      </c>
      <c r="F682" s="78">
        <v>12.0918999382945</v>
      </c>
      <c r="G682" s="78">
        <v>12.0918999382945</v>
      </c>
      <c r="H682" s="81">
        <v>12.171959880685501</v>
      </c>
    </row>
    <row r="683" spans="1:8" x14ac:dyDescent="0.3">
      <c r="A683" s="74" t="str">
        <f t="shared" si="10"/>
        <v>辽宁46309</v>
      </c>
      <c r="B683" s="75" t="s">
        <v>13</v>
      </c>
      <c r="C683" s="45">
        <v>46309</v>
      </c>
      <c r="D683" s="76">
        <v>922.73569497911399</v>
      </c>
      <c r="E683" s="77">
        <v>125</v>
      </c>
      <c r="F683" s="78">
        <v>12.0918999382945</v>
      </c>
      <c r="G683" s="78">
        <v>12.0918999382945</v>
      </c>
      <c r="H683" s="81">
        <v>12.171959880685501</v>
      </c>
    </row>
    <row r="684" spans="1:8" x14ac:dyDescent="0.3">
      <c r="A684" s="74" t="str">
        <f t="shared" si="10"/>
        <v>辽宁46310</v>
      </c>
      <c r="B684" s="75" t="s">
        <v>13</v>
      </c>
      <c r="C684" s="45">
        <v>46310</v>
      </c>
      <c r="D684" s="76">
        <v>922.73569497911399</v>
      </c>
      <c r="E684" s="77">
        <v>125</v>
      </c>
      <c r="F684" s="78">
        <v>12.0918999382945</v>
      </c>
      <c r="G684" s="78">
        <v>12.0918999382945</v>
      </c>
      <c r="H684" s="81">
        <v>12.171959880685501</v>
      </c>
    </row>
    <row r="685" spans="1:8" x14ac:dyDescent="0.3">
      <c r="A685" s="74" t="str">
        <f t="shared" si="10"/>
        <v>辽宁46311</v>
      </c>
      <c r="B685" s="75" t="s">
        <v>13</v>
      </c>
      <c r="C685" s="45">
        <v>46311</v>
      </c>
      <c r="D685" s="76">
        <v>922.73569497911399</v>
      </c>
      <c r="E685" s="77">
        <v>125</v>
      </c>
      <c r="F685" s="78">
        <v>12.0918999382945</v>
      </c>
      <c r="G685" s="78">
        <v>12.0918999382945</v>
      </c>
      <c r="H685" s="81">
        <v>12.171959880685501</v>
      </c>
    </row>
    <row r="686" spans="1:8" x14ac:dyDescent="0.3">
      <c r="A686" s="74" t="str">
        <f t="shared" si="10"/>
        <v>辽宁46312</v>
      </c>
      <c r="B686" s="75" t="s">
        <v>13</v>
      </c>
      <c r="C686" s="45">
        <v>46312</v>
      </c>
      <c r="D686" s="76">
        <v>922.73569497911399</v>
      </c>
      <c r="E686" s="77">
        <v>125</v>
      </c>
      <c r="F686" s="78">
        <v>12.0918999382945</v>
      </c>
      <c r="G686" s="78">
        <v>12.0918999382945</v>
      </c>
      <c r="H686" s="81">
        <v>12.171959880685501</v>
      </c>
    </row>
    <row r="687" spans="1:8" x14ac:dyDescent="0.3">
      <c r="A687" s="74" t="str">
        <f t="shared" si="10"/>
        <v>辽宁46313</v>
      </c>
      <c r="B687" s="75" t="s">
        <v>13</v>
      </c>
      <c r="C687" s="45">
        <v>46313</v>
      </c>
      <c r="D687" s="76">
        <v>922.73569497911399</v>
      </c>
      <c r="E687" s="77">
        <v>125</v>
      </c>
      <c r="F687" s="78">
        <v>12.0918999382945</v>
      </c>
      <c r="G687" s="78">
        <v>12.0918999382945</v>
      </c>
      <c r="H687" s="81">
        <v>12.171959880685501</v>
      </c>
    </row>
    <row r="688" spans="1:8" x14ac:dyDescent="0.3">
      <c r="A688" s="74" t="str">
        <f t="shared" si="10"/>
        <v>辽宁46314</v>
      </c>
      <c r="B688" s="75" t="s">
        <v>13</v>
      </c>
      <c r="C688" s="45">
        <v>46314</v>
      </c>
      <c r="D688" s="76">
        <v>922.73569497911399</v>
      </c>
      <c r="E688" s="77">
        <v>125</v>
      </c>
      <c r="F688" s="78">
        <v>12.0918999382945</v>
      </c>
      <c r="G688" s="78">
        <v>12.0918999382945</v>
      </c>
      <c r="H688" s="81">
        <v>12.171959880685501</v>
      </c>
    </row>
    <row r="689" spans="1:8" x14ac:dyDescent="0.3">
      <c r="A689" s="74" t="str">
        <f t="shared" si="10"/>
        <v>辽宁46315</v>
      </c>
      <c r="B689" s="75" t="s">
        <v>13</v>
      </c>
      <c r="C689" s="45">
        <v>46315</v>
      </c>
      <c r="D689" s="76">
        <v>922.73569497911399</v>
      </c>
      <c r="E689" s="77">
        <v>125</v>
      </c>
      <c r="F689" s="78">
        <v>12.0918999382945</v>
      </c>
      <c r="G689" s="78">
        <v>12.0918999382945</v>
      </c>
      <c r="H689" s="81">
        <v>12.171959880685501</v>
      </c>
    </row>
    <row r="690" spans="1:8" x14ac:dyDescent="0.3">
      <c r="A690" s="74" t="str">
        <f t="shared" si="10"/>
        <v>辽宁46316</v>
      </c>
      <c r="B690" s="75" t="s">
        <v>13</v>
      </c>
      <c r="C690" s="45">
        <v>46316</v>
      </c>
      <c r="D690" s="76">
        <v>922.73569497911399</v>
      </c>
      <c r="E690" s="77">
        <v>125</v>
      </c>
      <c r="F690" s="78">
        <v>12.0918999382945</v>
      </c>
      <c r="G690" s="78">
        <v>12.0918999382945</v>
      </c>
      <c r="H690" s="81">
        <v>12.171959880685501</v>
      </c>
    </row>
    <row r="691" spans="1:8" x14ac:dyDescent="0.3">
      <c r="A691" s="74" t="str">
        <f t="shared" si="10"/>
        <v>辽宁46317</v>
      </c>
      <c r="B691" s="75" t="s">
        <v>13</v>
      </c>
      <c r="C691" s="45">
        <v>46317</v>
      </c>
      <c r="D691" s="76">
        <v>922.73569497911399</v>
      </c>
      <c r="E691" s="77">
        <v>125</v>
      </c>
      <c r="F691" s="78">
        <v>12.0918999382945</v>
      </c>
      <c r="G691" s="78">
        <v>12.0918999382945</v>
      </c>
      <c r="H691" s="81">
        <v>12.171959880685501</v>
      </c>
    </row>
    <row r="692" spans="1:8" x14ac:dyDescent="0.3">
      <c r="A692" s="74" t="str">
        <f t="shared" si="10"/>
        <v>辽宁46318</v>
      </c>
      <c r="B692" s="75" t="s">
        <v>13</v>
      </c>
      <c r="C692" s="45">
        <v>46318</v>
      </c>
      <c r="D692" s="76">
        <v>922.73569497911399</v>
      </c>
      <c r="E692" s="77">
        <v>125</v>
      </c>
      <c r="F692" s="78">
        <v>12.0918999382945</v>
      </c>
      <c r="G692" s="78">
        <v>12.0918999382945</v>
      </c>
      <c r="H692" s="81">
        <v>12.171959880685501</v>
      </c>
    </row>
    <row r="693" spans="1:8" x14ac:dyDescent="0.3">
      <c r="A693" s="74" t="str">
        <f t="shared" si="10"/>
        <v>辽宁46319</v>
      </c>
      <c r="B693" s="75" t="s">
        <v>13</v>
      </c>
      <c r="C693" s="45">
        <v>46319</v>
      </c>
      <c r="D693" s="76">
        <v>922.73569497911399</v>
      </c>
      <c r="E693" s="77">
        <v>125</v>
      </c>
      <c r="F693" s="78">
        <v>12.0918999382945</v>
      </c>
      <c r="G693" s="78">
        <v>12.0918999382945</v>
      </c>
      <c r="H693" s="81">
        <v>12.171959880685501</v>
      </c>
    </row>
    <row r="694" spans="1:8" x14ac:dyDescent="0.3">
      <c r="A694" s="74" t="str">
        <f t="shared" si="10"/>
        <v>辽宁46320</v>
      </c>
      <c r="B694" s="75" t="s">
        <v>13</v>
      </c>
      <c r="C694" s="45">
        <v>46320</v>
      </c>
      <c r="D694" s="76">
        <v>922.73569497911399</v>
      </c>
      <c r="E694" s="77">
        <v>125</v>
      </c>
      <c r="F694" s="78">
        <v>12.0918999382945</v>
      </c>
      <c r="G694" s="78">
        <v>12.0918999382945</v>
      </c>
      <c r="H694" s="81">
        <v>12.171959880685501</v>
      </c>
    </row>
    <row r="695" spans="1:8" x14ac:dyDescent="0.3">
      <c r="A695" s="74" t="str">
        <f t="shared" si="10"/>
        <v>辽宁46321</v>
      </c>
      <c r="B695" s="75" t="s">
        <v>13</v>
      </c>
      <c r="C695" s="45">
        <v>46321</v>
      </c>
      <c r="D695" s="76">
        <v>922.73569497911399</v>
      </c>
      <c r="E695" s="77">
        <v>125</v>
      </c>
      <c r="F695" s="78">
        <v>12.0918999382945</v>
      </c>
      <c r="G695" s="78">
        <v>12.0918999382945</v>
      </c>
      <c r="H695" s="81">
        <v>12.171959880685501</v>
      </c>
    </row>
    <row r="696" spans="1:8" x14ac:dyDescent="0.3">
      <c r="A696" s="74" t="str">
        <f t="shared" si="10"/>
        <v>辽宁46322</v>
      </c>
      <c r="B696" s="75" t="s">
        <v>13</v>
      </c>
      <c r="C696" s="45">
        <v>46322</v>
      </c>
      <c r="D696" s="76">
        <v>922.73569497911399</v>
      </c>
      <c r="E696" s="77">
        <v>125</v>
      </c>
      <c r="F696" s="78">
        <v>12.0918999382945</v>
      </c>
      <c r="G696" s="78">
        <v>12.0918999382945</v>
      </c>
      <c r="H696" s="81">
        <v>12.171959880685501</v>
      </c>
    </row>
    <row r="697" spans="1:8" x14ac:dyDescent="0.3">
      <c r="A697" s="74" t="str">
        <f t="shared" si="10"/>
        <v>辽宁46323</v>
      </c>
      <c r="B697" s="75" t="s">
        <v>13</v>
      </c>
      <c r="C697" s="45">
        <v>46323</v>
      </c>
      <c r="D697" s="76">
        <v>922.73569497911399</v>
      </c>
      <c r="E697" s="77">
        <v>125</v>
      </c>
      <c r="F697" s="78">
        <v>12.0918999382945</v>
      </c>
      <c r="G697" s="78">
        <v>12.0918999382945</v>
      </c>
      <c r="H697" s="81">
        <v>12.171959880685501</v>
      </c>
    </row>
    <row r="698" spans="1:8" x14ac:dyDescent="0.3">
      <c r="A698" s="74" t="str">
        <f t="shared" si="10"/>
        <v>辽宁46324</v>
      </c>
      <c r="B698" s="75" t="s">
        <v>13</v>
      </c>
      <c r="C698" s="45">
        <v>46324</v>
      </c>
      <c r="D698" s="76">
        <v>922.73569497911399</v>
      </c>
      <c r="E698" s="77">
        <v>125</v>
      </c>
      <c r="F698" s="78">
        <v>12.0918999382945</v>
      </c>
      <c r="G698" s="78">
        <v>12.0918999382945</v>
      </c>
      <c r="H698" s="81">
        <v>12.171959880685501</v>
      </c>
    </row>
    <row r="699" spans="1:8" x14ac:dyDescent="0.3">
      <c r="A699" s="74" t="str">
        <f t="shared" si="10"/>
        <v>辽宁46325</v>
      </c>
      <c r="B699" s="75" t="s">
        <v>13</v>
      </c>
      <c r="C699" s="45">
        <v>46325</v>
      </c>
      <c r="D699" s="76">
        <v>922.73569497911399</v>
      </c>
      <c r="E699" s="77">
        <v>125</v>
      </c>
      <c r="F699" s="78">
        <v>12.0918999382945</v>
      </c>
      <c r="G699" s="78">
        <v>12.0918999382945</v>
      </c>
      <c r="H699" s="81">
        <v>12.171959880685501</v>
      </c>
    </row>
    <row r="700" spans="1:8" x14ac:dyDescent="0.3">
      <c r="A700" s="74" t="str">
        <f t="shared" si="10"/>
        <v>辽宁46326</v>
      </c>
      <c r="B700" s="75" t="s">
        <v>13</v>
      </c>
      <c r="C700" s="45">
        <v>46326</v>
      </c>
      <c r="D700" s="76">
        <v>922.73569497911399</v>
      </c>
      <c r="E700" s="77">
        <v>125</v>
      </c>
      <c r="F700" s="78">
        <v>12.0918999382945</v>
      </c>
      <c r="G700" s="78">
        <v>12.0918999382945</v>
      </c>
      <c r="H700" s="81">
        <v>12.171959880685501</v>
      </c>
    </row>
    <row r="701" spans="1:8" x14ac:dyDescent="0.3">
      <c r="A701" s="74" t="str">
        <f t="shared" si="10"/>
        <v>辽宁46327</v>
      </c>
      <c r="B701" s="75" t="s">
        <v>13</v>
      </c>
      <c r="C701" s="45">
        <v>46327</v>
      </c>
      <c r="D701" s="76">
        <v>895.097122087147</v>
      </c>
      <c r="E701" s="77">
        <v>125</v>
      </c>
      <c r="F701" s="78">
        <v>12.372266478047299</v>
      </c>
      <c r="G701" s="78">
        <v>12.372266478047299</v>
      </c>
      <c r="H701" s="81">
        <v>12.244125650729099</v>
      </c>
    </row>
    <row r="702" spans="1:8" x14ac:dyDescent="0.3">
      <c r="A702" s="74" t="str">
        <f t="shared" si="10"/>
        <v>辽宁46328</v>
      </c>
      <c r="B702" s="75" t="s">
        <v>13</v>
      </c>
      <c r="C702" s="45">
        <v>46328</v>
      </c>
      <c r="D702" s="76">
        <v>895.097122087147</v>
      </c>
      <c r="E702" s="77">
        <v>125</v>
      </c>
      <c r="F702" s="78">
        <v>12.372266478047299</v>
      </c>
      <c r="G702" s="78">
        <v>12.372266478047299</v>
      </c>
      <c r="H702" s="81">
        <v>12.244125650729099</v>
      </c>
    </row>
    <row r="703" spans="1:8" x14ac:dyDescent="0.3">
      <c r="A703" s="74" t="str">
        <f t="shared" si="10"/>
        <v>辽宁46329</v>
      </c>
      <c r="B703" s="75" t="s">
        <v>13</v>
      </c>
      <c r="C703" s="45">
        <v>46329</v>
      </c>
      <c r="D703" s="76">
        <v>895.097122087147</v>
      </c>
      <c r="E703" s="77">
        <v>125</v>
      </c>
      <c r="F703" s="78">
        <v>12.372266478047299</v>
      </c>
      <c r="G703" s="78">
        <v>12.372266478047299</v>
      </c>
      <c r="H703" s="81">
        <v>12.244125650729099</v>
      </c>
    </row>
    <row r="704" spans="1:8" x14ac:dyDescent="0.3">
      <c r="A704" s="74" t="str">
        <f t="shared" si="10"/>
        <v>辽宁46330</v>
      </c>
      <c r="B704" s="75" t="s">
        <v>13</v>
      </c>
      <c r="C704" s="45">
        <v>46330</v>
      </c>
      <c r="D704" s="76">
        <v>895.097122087147</v>
      </c>
      <c r="E704" s="77">
        <v>125</v>
      </c>
      <c r="F704" s="78">
        <v>12.372266478047299</v>
      </c>
      <c r="G704" s="78">
        <v>12.372266478047299</v>
      </c>
      <c r="H704" s="81">
        <v>12.244125650729099</v>
      </c>
    </row>
    <row r="705" spans="1:8" x14ac:dyDescent="0.3">
      <c r="A705" s="74" t="str">
        <f t="shared" si="10"/>
        <v>辽宁46331</v>
      </c>
      <c r="B705" s="75" t="s">
        <v>13</v>
      </c>
      <c r="C705" s="45">
        <v>46331</v>
      </c>
      <c r="D705" s="76">
        <v>895.097122087147</v>
      </c>
      <c r="E705" s="77">
        <v>125</v>
      </c>
      <c r="F705" s="78">
        <v>12.372266478047299</v>
      </c>
      <c r="G705" s="78">
        <v>12.372266478047299</v>
      </c>
      <c r="H705" s="81">
        <v>12.244125650729099</v>
      </c>
    </row>
    <row r="706" spans="1:8" x14ac:dyDescent="0.3">
      <c r="A706" s="74" t="str">
        <f t="shared" si="10"/>
        <v>辽宁46332</v>
      </c>
      <c r="B706" s="75" t="s">
        <v>13</v>
      </c>
      <c r="C706" s="45">
        <v>46332</v>
      </c>
      <c r="D706" s="76">
        <v>895.097122087147</v>
      </c>
      <c r="E706" s="77">
        <v>125</v>
      </c>
      <c r="F706" s="78">
        <v>12.372266478047299</v>
      </c>
      <c r="G706" s="78">
        <v>12.372266478047299</v>
      </c>
      <c r="H706" s="81">
        <v>12.244125650729099</v>
      </c>
    </row>
    <row r="707" spans="1:8" x14ac:dyDescent="0.3">
      <c r="A707" s="74" t="str">
        <f t="shared" ref="A707:A770" si="11">B707&amp;C707</f>
        <v>辽宁46333</v>
      </c>
      <c r="B707" s="75" t="s">
        <v>13</v>
      </c>
      <c r="C707" s="45">
        <v>46333</v>
      </c>
      <c r="D707" s="76">
        <v>895.097122087147</v>
      </c>
      <c r="E707" s="77">
        <v>125</v>
      </c>
      <c r="F707" s="78">
        <v>12.372266478047299</v>
      </c>
      <c r="G707" s="78">
        <v>12.372266478047299</v>
      </c>
      <c r="H707" s="81">
        <v>12.244125650729099</v>
      </c>
    </row>
    <row r="708" spans="1:8" x14ac:dyDescent="0.3">
      <c r="A708" s="74" t="str">
        <f t="shared" si="11"/>
        <v>辽宁46334</v>
      </c>
      <c r="B708" s="75" t="s">
        <v>13</v>
      </c>
      <c r="C708" s="45">
        <v>46334</v>
      </c>
      <c r="D708" s="76">
        <v>895.097122087147</v>
      </c>
      <c r="E708" s="77">
        <v>125</v>
      </c>
      <c r="F708" s="78">
        <v>12.372266478047299</v>
      </c>
      <c r="G708" s="78">
        <v>12.372266478047299</v>
      </c>
      <c r="H708" s="81">
        <v>12.244125650729099</v>
      </c>
    </row>
    <row r="709" spans="1:8" x14ac:dyDescent="0.3">
      <c r="A709" s="74" t="str">
        <f t="shared" si="11"/>
        <v>辽宁46335</v>
      </c>
      <c r="B709" s="75" t="s">
        <v>13</v>
      </c>
      <c r="C709" s="45">
        <v>46335</v>
      </c>
      <c r="D709" s="76">
        <v>895.097122087147</v>
      </c>
      <c r="E709" s="77">
        <v>125</v>
      </c>
      <c r="F709" s="78">
        <v>12.372266478047299</v>
      </c>
      <c r="G709" s="78">
        <v>12.372266478047299</v>
      </c>
      <c r="H709" s="81">
        <v>12.244125650729099</v>
      </c>
    </row>
    <row r="710" spans="1:8" x14ac:dyDescent="0.3">
      <c r="A710" s="74" t="str">
        <f t="shared" si="11"/>
        <v>辽宁46336</v>
      </c>
      <c r="B710" s="75" t="s">
        <v>13</v>
      </c>
      <c r="C710" s="45">
        <v>46336</v>
      </c>
      <c r="D710" s="76">
        <v>895.097122087147</v>
      </c>
      <c r="E710" s="77">
        <v>125</v>
      </c>
      <c r="F710" s="78">
        <v>12.372266478047299</v>
      </c>
      <c r="G710" s="78">
        <v>12.372266478047299</v>
      </c>
      <c r="H710" s="81">
        <v>12.244125650729099</v>
      </c>
    </row>
    <row r="711" spans="1:8" x14ac:dyDescent="0.3">
      <c r="A711" s="74" t="str">
        <f t="shared" si="11"/>
        <v>辽宁46337</v>
      </c>
      <c r="B711" s="75" t="s">
        <v>13</v>
      </c>
      <c r="C711" s="45">
        <v>46337</v>
      </c>
      <c r="D711" s="76">
        <v>895.097122087147</v>
      </c>
      <c r="E711" s="77">
        <v>125</v>
      </c>
      <c r="F711" s="78">
        <v>12.372266478047299</v>
      </c>
      <c r="G711" s="78">
        <v>12.372266478047299</v>
      </c>
      <c r="H711" s="81">
        <v>12.244125650729099</v>
      </c>
    </row>
    <row r="712" spans="1:8" x14ac:dyDescent="0.3">
      <c r="A712" s="74" t="str">
        <f t="shared" si="11"/>
        <v>辽宁46338</v>
      </c>
      <c r="B712" s="75" t="s">
        <v>13</v>
      </c>
      <c r="C712" s="45">
        <v>46338</v>
      </c>
      <c r="D712" s="76">
        <v>895.097122087147</v>
      </c>
      <c r="E712" s="77">
        <v>125</v>
      </c>
      <c r="F712" s="78">
        <v>12.372266478047299</v>
      </c>
      <c r="G712" s="78">
        <v>12.372266478047299</v>
      </c>
      <c r="H712" s="81">
        <v>12.244125650729099</v>
      </c>
    </row>
    <row r="713" spans="1:8" x14ac:dyDescent="0.3">
      <c r="A713" s="74" t="str">
        <f t="shared" si="11"/>
        <v>辽宁46339</v>
      </c>
      <c r="B713" s="75" t="s">
        <v>13</v>
      </c>
      <c r="C713" s="45">
        <v>46339</v>
      </c>
      <c r="D713" s="76">
        <v>895.097122087147</v>
      </c>
      <c r="E713" s="77">
        <v>125</v>
      </c>
      <c r="F713" s="78">
        <v>12.372266478047299</v>
      </c>
      <c r="G713" s="78">
        <v>12.372266478047299</v>
      </c>
      <c r="H713" s="81">
        <v>12.244125650729099</v>
      </c>
    </row>
    <row r="714" spans="1:8" x14ac:dyDescent="0.3">
      <c r="A714" s="74" t="str">
        <f t="shared" si="11"/>
        <v>辽宁46340</v>
      </c>
      <c r="B714" s="75" t="s">
        <v>13</v>
      </c>
      <c r="C714" s="45">
        <v>46340</v>
      </c>
      <c r="D714" s="76">
        <v>895.097122087147</v>
      </c>
      <c r="E714" s="77">
        <v>125</v>
      </c>
      <c r="F714" s="78">
        <v>12.372266478047299</v>
      </c>
      <c r="G714" s="78">
        <v>12.372266478047299</v>
      </c>
      <c r="H714" s="81">
        <v>12.244125650729099</v>
      </c>
    </row>
    <row r="715" spans="1:8" x14ac:dyDescent="0.3">
      <c r="A715" s="74" t="str">
        <f t="shared" si="11"/>
        <v>辽宁46341</v>
      </c>
      <c r="B715" s="75" t="s">
        <v>13</v>
      </c>
      <c r="C715" s="45">
        <v>46341</v>
      </c>
      <c r="D715" s="76">
        <v>895.097122087147</v>
      </c>
      <c r="E715" s="77">
        <v>125</v>
      </c>
      <c r="F715" s="78">
        <v>12.372266478047299</v>
      </c>
      <c r="G715" s="78">
        <v>12.372266478047299</v>
      </c>
      <c r="H715" s="81">
        <v>12.244125650729099</v>
      </c>
    </row>
    <row r="716" spans="1:8" x14ac:dyDescent="0.3">
      <c r="A716" s="74" t="str">
        <f t="shared" si="11"/>
        <v>辽宁46342</v>
      </c>
      <c r="B716" s="75" t="s">
        <v>13</v>
      </c>
      <c r="C716" s="45">
        <v>46342</v>
      </c>
      <c r="D716" s="76">
        <v>895.097122087147</v>
      </c>
      <c r="E716" s="77">
        <v>125</v>
      </c>
      <c r="F716" s="78">
        <v>12.372266478047299</v>
      </c>
      <c r="G716" s="78">
        <v>12.372266478047299</v>
      </c>
      <c r="H716" s="81">
        <v>12.244125650729099</v>
      </c>
    </row>
    <row r="717" spans="1:8" x14ac:dyDescent="0.3">
      <c r="A717" s="74" t="str">
        <f t="shared" si="11"/>
        <v>辽宁46343</v>
      </c>
      <c r="B717" s="75" t="s">
        <v>13</v>
      </c>
      <c r="C717" s="45">
        <v>46343</v>
      </c>
      <c r="D717" s="76">
        <v>895.097122087147</v>
      </c>
      <c r="E717" s="77">
        <v>125</v>
      </c>
      <c r="F717" s="78">
        <v>12.372266478047299</v>
      </c>
      <c r="G717" s="78">
        <v>12.372266478047299</v>
      </c>
      <c r="H717" s="81">
        <v>12.244125650729099</v>
      </c>
    </row>
    <row r="718" spans="1:8" x14ac:dyDescent="0.3">
      <c r="A718" s="74" t="str">
        <f t="shared" si="11"/>
        <v>辽宁46344</v>
      </c>
      <c r="B718" s="75" t="s">
        <v>13</v>
      </c>
      <c r="C718" s="45">
        <v>46344</v>
      </c>
      <c r="D718" s="76">
        <v>895.097122087147</v>
      </c>
      <c r="E718" s="77">
        <v>125</v>
      </c>
      <c r="F718" s="78">
        <v>12.372266478047299</v>
      </c>
      <c r="G718" s="78">
        <v>12.372266478047299</v>
      </c>
      <c r="H718" s="81">
        <v>12.244125650729099</v>
      </c>
    </row>
    <row r="719" spans="1:8" x14ac:dyDescent="0.3">
      <c r="A719" s="74" t="str">
        <f t="shared" si="11"/>
        <v>辽宁46345</v>
      </c>
      <c r="B719" s="75" t="s">
        <v>13</v>
      </c>
      <c r="C719" s="45">
        <v>46345</v>
      </c>
      <c r="D719" s="76">
        <v>895.097122087147</v>
      </c>
      <c r="E719" s="77">
        <v>125</v>
      </c>
      <c r="F719" s="78">
        <v>12.372266478047299</v>
      </c>
      <c r="G719" s="78">
        <v>12.372266478047299</v>
      </c>
      <c r="H719" s="81">
        <v>12.244125650729099</v>
      </c>
    </row>
    <row r="720" spans="1:8" x14ac:dyDescent="0.3">
      <c r="A720" s="74" t="str">
        <f t="shared" si="11"/>
        <v>辽宁46346</v>
      </c>
      <c r="B720" s="75" t="s">
        <v>13</v>
      </c>
      <c r="C720" s="45">
        <v>46346</v>
      </c>
      <c r="D720" s="76">
        <v>895.097122087147</v>
      </c>
      <c r="E720" s="77">
        <v>125</v>
      </c>
      <c r="F720" s="78">
        <v>12.372266478047299</v>
      </c>
      <c r="G720" s="78">
        <v>12.372266478047299</v>
      </c>
      <c r="H720" s="81">
        <v>12.244125650729099</v>
      </c>
    </row>
    <row r="721" spans="1:8" x14ac:dyDescent="0.3">
      <c r="A721" s="74" t="str">
        <f t="shared" si="11"/>
        <v>辽宁46347</v>
      </c>
      <c r="B721" s="75" t="s">
        <v>13</v>
      </c>
      <c r="C721" s="45">
        <v>46347</v>
      </c>
      <c r="D721" s="76">
        <v>895.097122087147</v>
      </c>
      <c r="E721" s="77">
        <v>125</v>
      </c>
      <c r="F721" s="78">
        <v>12.372266478047299</v>
      </c>
      <c r="G721" s="78">
        <v>12.372266478047299</v>
      </c>
      <c r="H721" s="81">
        <v>12.244125650729099</v>
      </c>
    </row>
    <row r="722" spans="1:8" x14ac:dyDescent="0.3">
      <c r="A722" s="74" t="str">
        <f t="shared" si="11"/>
        <v>辽宁46348</v>
      </c>
      <c r="B722" s="75" t="s">
        <v>13</v>
      </c>
      <c r="C722" s="45">
        <v>46348</v>
      </c>
      <c r="D722" s="76">
        <v>895.097122087147</v>
      </c>
      <c r="E722" s="77">
        <v>125</v>
      </c>
      <c r="F722" s="78">
        <v>12.372266478047299</v>
      </c>
      <c r="G722" s="78">
        <v>12.372266478047299</v>
      </c>
      <c r="H722" s="81">
        <v>12.244125650729099</v>
      </c>
    </row>
    <row r="723" spans="1:8" x14ac:dyDescent="0.3">
      <c r="A723" s="74" t="str">
        <f t="shared" si="11"/>
        <v>辽宁46349</v>
      </c>
      <c r="B723" s="75" t="s">
        <v>13</v>
      </c>
      <c r="C723" s="45">
        <v>46349</v>
      </c>
      <c r="D723" s="76">
        <v>895.097122087147</v>
      </c>
      <c r="E723" s="77">
        <v>125</v>
      </c>
      <c r="F723" s="78">
        <v>12.372266478047299</v>
      </c>
      <c r="G723" s="78">
        <v>12.372266478047299</v>
      </c>
      <c r="H723" s="81">
        <v>12.244125650729099</v>
      </c>
    </row>
    <row r="724" spans="1:8" x14ac:dyDescent="0.3">
      <c r="A724" s="74" t="str">
        <f t="shared" si="11"/>
        <v>辽宁46350</v>
      </c>
      <c r="B724" s="75" t="s">
        <v>13</v>
      </c>
      <c r="C724" s="45">
        <v>46350</v>
      </c>
      <c r="D724" s="76">
        <v>895.097122087147</v>
      </c>
      <c r="E724" s="77">
        <v>125</v>
      </c>
      <c r="F724" s="78">
        <v>12.372266478047299</v>
      </c>
      <c r="G724" s="78">
        <v>12.372266478047299</v>
      </c>
      <c r="H724" s="81">
        <v>12.244125650729099</v>
      </c>
    </row>
    <row r="725" spans="1:8" x14ac:dyDescent="0.3">
      <c r="A725" s="74" t="str">
        <f t="shared" si="11"/>
        <v>辽宁46351</v>
      </c>
      <c r="B725" s="75" t="s">
        <v>13</v>
      </c>
      <c r="C725" s="45">
        <v>46351</v>
      </c>
      <c r="D725" s="76">
        <v>895.097122087147</v>
      </c>
      <c r="E725" s="77">
        <v>125</v>
      </c>
      <c r="F725" s="78">
        <v>12.372266478047299</v>
      </c>
      <c r="G725" s="78">
        <v>12.372266478047299</v>
      </c>
      <c r="H725" s="81">
        <v>12.244125650729099</v>
      </c>
    </row>
    <row r="726" spans="1:8" x14ac:dyDescent="0.3">
      <c r="A726" s="74" t="str">
        <f t="shared" si="11"/>
        <v>辽宁46352</v>
      </c>
      <c r="B726" s="75" t="s">
        <v>13</v>
      </c>
      <c r="C726" s="45">
        <v>46352</v>
      </c>
      <c r="D726" s="76">
        <v>895.097122087147</v>
      </c>
      <c r="E726" s="77">
        <v>125</v>
      </c>
      <c r="F726" s="78">
        <v>12.372266478047299</v>
      </c>
      <c r="G726" s="78">
        <v>12.372266478047299</v>
      </c>
      <c r="H726" s="81">
        <v>12.244125650729099</v>
      </c>
    </row>
    <row r="727" spans="1:8" x14ac:dyDescent="0.3">
      <c r="A727" s="74" t="str">
        <f t="shared" si="11"/>
        <v>辽宁46353</v>
      </c>
      <c r="B727" s="75" t="s">
        <v>13</v>
      </c>
      <c r="C727" s="45">
        <v>46353</v>
      </c>
      <c r="D727" s="76">
        <v>895.097122087147</v>
      </c>
      <c r="E727" s="77">
        <v>125</v>
      </c>
      <c r="F727" s="78">
        <v>12.372266478047299</v>
      </c>
      <c r="G727" s="78">
        <v>12.372266478047299</v>
      </c>
      <c r="H727" s="81">
        <v>12.244125650729099</v>
      </c>
    </row>
    <row r="728" spans="1:8" x14ac:dyDescent="0.3">
      <c r="A728" s="74" t="str">
        <f t="shared" si="11"/>
        <v>辽宁46354</v>
      </c>
      <c r="B728" s="75" t="s">
        <v>13</v>
      </c>
      <c r="C728" s="45">
        <v>46354</v>
      </c>
      <c r="D728" s="76">
        <v>895.097122087147</v>
      </c>
      <c r="E728" s="77">
        <v>125</v>
      </c>
      <c r="F728" s="78">
        <v>12.372266478047299</v>
      </c>
      <c r="G728" s="78">
        <v>12.372266478047299</v>
      </c>
      <c r="H728" s="81">
        <v>12.244125650729099</v>
      </c>
    </row>
    <row r="729" spans="1:8" x14ac:dyDescent="0.3">
      <c r="A729" s="74" t="str">
        <f t="shared" si="11"/>
        <v>辽宁46355</v>
      </c>
      <c r="B729" s="75" t="s">
        <v>13</v>
      </c>
      <c r="C729" s="45">
        <v>46355</v>
      </c>
      <c r="D729" s="76">
        <v>895.097122087147</v>
      </c>
      <c r="E729" s="77">
        <v>125</v>
      </c>
      <c r="F729" s="78">
        <v>12.372266478047299</v>
      </c>
      <c r="G729" s="78">
        <v>12.372266478047299</v>
      </c>
      <c r="H729" s="81">
        <v>12.244125650729099</v>
      </c>
    </row>
    <row r="730" spans="1:8" x14ac:dyDescent="0.3">
      <c r="A730" s="74" t="str">
        <f t="shared" si="11"/>
        <v>辽宁46356</v>
      </c>
      <c r="B730" s="75" t="s">
        <v>13</v>
      </c>
      <c r="C730" s="45">
        <v>46356</v>
      </c>
      <c r="D730" s="76">
        <v>895.097122087147</v>
      </c>
      <c r="E730" s="77">
        <v>125</v>
      </c>
      <c r="F730" s="78">
        <v>12.372266478047299</v>
      </c>
      <c r="G730" s="78">
        <v>12.372266478047299</v>
      </c>
      <c r="H730" s="81">
        <v>12.244125650729099</v>
      </c>
    </row>
    <row r="731" spans="1:8" x14ac:dyDescent="0.3">
      <c r="A731" s="74" t="str">
        <f t="shared" si="11"/>
        <v>辽宁46357</v>
      </c>
      <c r="B731" s="75" t="s">
        <v>13</v>
      </c>
      <c r="C731" s="45">
        <v>46357</v>
      </c>
      <c r="D731" s="76">
        <v>924.93369282338494</v>
      </c>
      <c r="E731" s="77">
        <v>125</v>
      </c>
      <c r="F731" s="78">
        <v>13.042332788214599</v>
      </c>
      <c r="G731" s="78">
        <v>13.042332788214599</v>
      </c>
      <c r="H731" s="81">
        <v>12.470245063532399</v>
      </c>
    </row>
    <row r="732" spans="1:8" x14ac:dyDescent="0.3">
      <c r="A732" s="74" t="str">
        <f t="shared" si="11"/>
        <v>辽宁46358</v>
      </c>
      <c r="B732" s="75" t="s">
        <v>13</v>
      </c>
      <c r="C732" s="45">
        <v>46358</v>
      </c>
      <c r="D732" s="76">
        <v>924.93369282338494</v>
      </c>
      <c r="E732" s="77">
        <v>125</v>
      </c>
      <c r="F732" s="78">
        <v>13.042332788214599</v>
      </c>
      <c r="G732" s="78">
        <v>13.042332788214599</v>
      </c>
      <c r="H732" s="81">
        <v>12.470245063532399</v>
      </c>
    </row>
    <row r="733" spans="1:8" x14ac:dyDescent="0.3">
      <c r="A733" s="74" t="str">
        <f t="shared" si="11"/>
        <v>辽宁46359</v>
      </c>
      <c r="B733" s="75" t="s">
        <v>13</v>
      </c>
      <c r="C733" s="45">
        <v>46359</v>
      </c>
      <c r="D733" s="76">
        <v>924.93369282338494</v>
      </c>
      <c r="E733" s="77">
        <v>125</v>
      </c>
      <c r="F733" s="78">
        <v>13.042332788214599</v>
      </c>
      <c r="G733" s="78">
        <v>13.042332788214599</v>
      </c>
      <c r="H733" s="81">
        <v>12.470245063532399</v>
      </c>
    </row>
    <row r="734" spans="1:8" x14ac:dyDescent="0.3">
      <c r="A734" s="74" t="str">
        <f t="shared" si="11"/>
        <v>辽宁46360</v>
      </c>
      <c r="B734" s="75" t="s">
        <v>13</v>
      </c>
      <c r="C734" s="45">
        <v>46360</v>
      </c>
      <c r="D734" s="76">
        <v>924.93369282338494</v>
      </c>
      <c r="E734" s="77">
        <v>125</v>
      </c>
      <c r="F734" s="78">
        <v>13.042332788214599</v>
      </c>
      <c r="G734" s="78">
        <v>13.042332788214599</v>
      </c>
      <c r="H734" s="81">
        <v>12.470245063532399</v>
      </c>
    </row>
    <row r="735" spans="1:8" x14ac:dyDescent="0.3">
      <c r="A735" s="74" t="str">
        <f t="shared" si="11"/>
        <v>辽宁46361</v>
      </c>
      <c r="B735" s="75" t="s">
        <v>13</v>
      </c>
      <c r="C735" s="45">
        <v>46361</v>
      </c>
      <c r="D735" s="76">
        <v>924.93369282338494</v>
      </c>
      <c r="E735" s="77">
        <v>125</v>
      </c>
      <c r="F735" s="78">
        <v>13.042332788214599</v>
      </c>
      <c r="G735" s="78">
        <v>13.042332788214599</v>
      </c>
      <c r="H735" s="81">
        <v>12.470245063532399</v>
      </c>
    </row>
    <row r="736" spans="1:8" x14ac:dyDescent="0.3">
      <c r="A736" s="74" t="str">
        <f t="shared" si="11"/>
        <v>辽宁46362</v>
      </c>
      <c r="B736" s="75" t="s">
        <v>13</v>
      </c>
      <c r="C736" s="45">
        <v>46362</v>
      </c>
      <c r="D736" s="76">
        <v>924.93369282338494</v>
      </c>
      <c r="E736" s="77">
        <v>125</v>
      </c>
      <c r="F736" s="78">
        <v>13.042332788214599</v>
      </c>
      <c r="G736" s="78">
        <v>13.042332788214599</v>
      </c>
      <c r="H736" s="81">
        <v>12.470245063532399</v>
      </c>
    </row>
    <row r="737" spans="1:8" x14ac:dyDescent="0.3">
      <c r="A737" s="74" t="str">
        <f t="shared" si="11"/>
        <v>辽宁46363</v>
      </c>
      <c r="B737" s="75" t="s">
        <v>13</v>
      </c>
      <c r="C737" s="45">
        <v>46363</v>
      </c>
      <c r="D737" s="76">
        <v>924.93369282338494</v>
      </c>
      <c r="E737" s="77">
        <v>125</v>
      </c>
      <c r="F737" s="78">
        <v>13.042332788214599</v>
      </c>
      <c r="G737" s="78">
        <v>13.042332788214599</v>
      </c>
      <c r="H737" s="81">
        <v>12.470245063532399</v>
      </c>
    </row>
    <row r="738" spans="1:8" x14ac:dyDescent="0.3">
      <c r="A738" s="74" t="str">
        <f t="shared" si="11"/>
        <v>辽宁46364</v>
      </c>
      <c r="B738" s="75" t="s">
        <v>13</v>
      </c>
      <c r="C738" s="45">
        <v>46364</v>
      </c>
      <c r="D738" s="76">
        <v>924.93369282338494</v>
      </c>
      <c r="E738" s="77">
        <v>125</v>
      </c>
      <c r="F738" s="78">
        <v>13.042332788214599</v>
      </c>
      <c r="G738" s="78">
        <v>13.042332788214599</v>
      </c>
      <c r="H738" s="81">
        <v>12.470245063532399</v>
      </c>
    </row>
    <row r="739" spans="1:8" x14ac:dyDescent="0.3">
      <c r="A739" s="74" t="str">
        <f t="shared" si="11"/>
        <v>辽宁46365</v>
      </c>
      <c r="B739" s="75" t="s">
        <v>13</v>
      </c>
      <c r="C739" s="45">
        <v>46365</v>
      </c>
      <c r="D739" s="76">
        <v>924.93369282338494</v>
      </c>
      <c r="E739" s="77">
        <v>125</v>
      </c>
      <c r="F739" s="78">
        <v>13.042332788214599</v>
      </c>
      <c r="G739" s="78">
        <v>13.042332788214599</v>
      </c>
      <c r="H739" s="81">
        <v>12.470245063532399</v>
      </c>
    </row>
    <row r="740" spans="1:8" x14ac:dyDescent="0.3">
      <c r="A740" s="74" t="str">
        <f t="shared" si="11"/>
        <v>辽宁46366</v>
      </c>
      <c r="B740" s="75" t="s">
        <v>13</v>
      </c>
      <c r="C740" s="45">
        <v>46366</v>
      </c>
      <c r="D740" s="76">
        <v>924.93369282338494</v>
      </c>
      <c r="E740" s="77">
        <v>125</v>
      </c>
      <c r="F740" s="78">
        <v>13.042332788214599</v>
      </c>
      <c r="G740" s="78">
        <v>13.042332788214599</v>
      </c>
      <c r="H740" s="81">
        <v>12.470245063532399</v>
      </c>
    </row>
    <row r="741" spans="1:8" x14ac:dyDescent="0.3">
      <c r="A741" s="74" t="str">
        <f t="shared" si="11"/>
        <v>辽宁46367</v>
      </c>
      <c r="B741" s="75" t="s">
        <v>13</v>
      </c>
      <c r="C741" s="45">
        <v>46367</v>
      </c>
      <c r="D741" s="76">
        <v>924.93369282338494</v>
      </c>
      <c r="E741" s="77">
        <v>125</v>
      </c>
      <c r="F741" s="78">
        <v>13.042332788214599</v>
      </c>
      <c r="G741" s="78">
        <v>13.042332788214599</v>
      </c>
      <c r="H741" s="81">
        <v>12.470245063532399</v>
      </c>
    </row>
    <row r="742" spans="1:8" x14ac:dyDescent="0.3">
      <c r="A742" s="74" t="str">
        <f t="shared" si="11"/>
        <v>辽宁46368</v>
      </c>
      <c r="B742" s="75" t="s">
        <v>13</v>
      </c>
      <c r="C742" s="45">
        <v>46368</v>
      </c>
      <c r="D742" s="76">
        <v>924.93369282338494</v>
      </c>
      <c r="E742" s="77">
        <v>125</v>
      </c>
      <c r="F742" s="78">
        <v>13.042332788214599</v>
      </c>
      <c r="G742" s="78">
        <v>13.042332788214599</v>
      </c>
      <c r="H742" s="81">
        <v>12.470245063532399</v>
      </c>
    </row>
    <row r="743" spans="1:8" x14ac:dyDescent="0.3">
      <c r="A743" s="74" t="str">
        <f t="shared" si="11"/>
        <v>辽宁46369</v>
      </c>
      <c r="B743" s="75" t="s">
        <v>13</v>
      </c>
      <c r="C743" s="45">
        <v>46369</v>
      </c>
      <c r="D743" s="76">
        <v>924.93369282338494</v>
      </c>
      <c r="E743" s="77">
        <v>125</v>
      </c>
      <c r="F743" s="78">
        <v>13.042332788214599</v>
      </c>
      <c r="G743" s="78">
        <v>13.042332788214599</v>
      </c>
      <c r="H743" s="81">
        <v>12.470245063532399</v>
      </c>
    </row>
    <row r="744" spans="1:8" x14ac:dyDescent="0.3">
      <c r="A744" s="74" t="str">
        <f t="shared" si="11"/>
        <v>辽宁46370</v>
      </c>
      <c r="B744" s="75" t="s">
        <v>13</v>
      </c>
      <c r="C744" s="45">
        <v>46370</v>
      </c>
      <c r="D744" s="76">
        <v>924.93369282338494</v>
      </c>
      <c r="E744" s="77">
        <v>125</v>
      </c>
      <c r="F744" s="78">
        <v>13.042332788214599</v>
      </c>
      <c r="G744" s="78">
        <v>13.042332788214599</v>
      </c>
      <c r="H744" s="81">
        <v>12.470245063532399</v>
      </c>
    </row>
    <row r="745" spans="1:8" x14ac:dyDescent="0.3">
      <c r="A745" s="74" t="str">
        <f t="shared" si="11"/>
        <v>辽宁46371</v>
      </c>
      <c r="B745" s="75" t="s">
        <v>13</v>
      </c>
      <c r="C745" s="45">
        <v>46371</v>
      </c>
      <c r="D745" s="76">
        <v>924.93369282338494</v>
      </c>
      <c r="E745" s="77">
        <v>125</v>
      </c>
      <c r="F745" s="78">
        <v>13.042332788214599</v>
      </c>
      <c r="G745" s="78">
        <v>13.042332788214599</v>
      </c>
      <c r="H745" s="81">
        <v>12.470245063532399</v>
      </c>
    </row>
    <row r="746" spans="1:8" x14ac:dyDescent="0.3">
      <c r="A746" s="74" t="str">
        <f t="shared" si="11"/>
        <v>辽宁46372</v>
      </c>
      <c r="B746" s="75" t="s">
        <v>13</v>
      </c>
      <c r="C746" s="45">
        <v>46372</v>
      </c>
      <c r="D746" s="76">
        <v>924.93369282338494</v>
      </c>
      <c r="E746" s="77">
        <v>125</v>
      </c>
      <c r="F746" s="78">
        <v>13.042332788214599</v>
      </c>
      <c r="G746" s="78">
        <v>13.042332788214599</v>
      </c>
      <c r="H746" s="81">
        <v>12.470245063532399</v>
      </c>
    </row>
    <row r="747" spans="1:8" x14ac:dyDescent="0.3">
      <c r="A747" s="74" t="str">
        <f t="shared" si="11"/>
        <v>辽宁46373</v>
      </c>
      <c r="B747" s="75" t="s">
        <v>13</v>
      </c>
      <c r="C747" s="45">
        <v>46373</v>
      </c>
      <c r="D747" s="76">
        <v>924.93369282338494</v>
      </c>
      <c r="E747" s="77">
        <v>125</v>
      </c>
      <c r="F747" s="78">
        <v>13.042332788214599</v>
      </c>
      <c r="G747" s="78">
        <v>13.042332788214599</v>
      </c>
      <c r="H747" s="81">
        <v>12.470245063532399</v>
      </c>
    </row>
    <row r="748" spans="1:8" x14ac:dyDescent="0.3">
      <c r="A748" s="74" t="str">
        <f t="shared" si="11"/>
        <v>辽宁46374</v>
      </c>
      <c r="B748" s="75" t="s">
        <v>13</v>
      </c>
      <c r="C748" s="45">
        <v>46374</v>
      </c>
      <c r="D748" s="76">
        <v>924.93369282338494</v>
      </c>
      <c r="E748" s="77">
        <v>125</v>
      </c>
      <c r="F748" s="78">
        <v>13.042332788214599</v>
      </c>
      <c r="G748" s="78">
        <v>13.042332788214599</v>
      </c>
      <c r="H748" s="81">
        <v>12.470245063532399</v>
      </c>
    </row>
    <row r="749" spans="1:8" x14ac:dyDescent="0.3">
      <c r="A749" s="74" t="str">
        <f t="shared" si="11"/>
        <v>辽宁46375</v>
      </c>
      <c r="B749" s="75" t="s">
        <v>13</v>
      </c>
      <c r="C749" s="45">
        <v>46375</v>
      </c>
      <c r="D749" s="76">
        <v>924.93369282338494</v>
      </c>
      <c r="E749" s="77">
        <v>125</v>
      </c>
      <c r="F749" s="78">
        <v>13.042332788214599</v>
      </c>
      <c r="G749" s="78">
        <v>13.042332788214599</v>
      </c>
      <c r="H749" s="81">
        <v>12.470245063532399</v>
      </c>
    </row>
    <row r="750" spans="1:8" x14ac:dyDescent="0.3">
      <c r="A750" s="74" t="str">
        <f t="shared" si="11"/>
        <v>辽宁46376</v>
      </c>
      <c r="B750" s="75" t="s">
        <v>13</v>
      </c>
      <c r="C750" s="45">
        <v>46376</v>
      </c>
      <c r="D750" s="76">
        <v>924.93369282338494</v>
      </c>
      <c r="E750" s="77">
        <v>125</v>
      </c>
      <c r="F750" s="78">
        <v>13.042332788214599</v>
      </c>
      <c r="G750" s="78">
        <v>13.042332788214599</v>
      </c>
      <c r="H750" s="81">
        <v>12.470245063532399</v>
      </c>
    </row>
    <row r="751" spans="1:8" x14ac:dyDescent="0.3">
      <c r="A751" s="74" t="str">
        <f t="shared" si="11"/>
        <v>辽宁46377</v>
      </c>
      <c r="B751" s="75" t="s">
        <v>13</v>
      </c>
      <c r="C751" s="45">
        <v>46377</v>
      </c>
      <c r="D751" s="76">
        <v>924.93369282338494</v>
      </c>
      <c r="E751" s="77">
        <v>125</v>
      </c>
      <c r="F751" s="78">
        <v>13.042332788214599</v>
      </c>
      <c r="G751" s="78">
        <v>13.042332788214599</v>
      </c>
      <c r="H751" s="81">
        <v>12.470245063532399</v>
      </c>
    </row>
    <row r="752" spans="1:8" x14ac:dyDescent="0.3">
      <c r="A752" s="74" t="str">
        <f t="shared" si="11"/>
        <v>辽宁46378</v>
      </c>
      <c r="B752" s="75" t="s">
        <v>13</v>
      </c>
      <c r="C752" s="45">
        <v>46378</v>
      </c>
      <c r="D752" s="76">
        <v>924.93369282338494</v>
      </c>
      <c r="E752" s="77">
        <v>125</v>
      </c>
      <c r="F752" s="78">
        <v>13.042332788214599</v>
      </c>
      <c r="G752" s="78">
        <v>13.042332788214599</v>
      </c>
      <c r="H752" s="81">
        <v>12.470245063532399</v>
      </c>
    </row>
    <row r="753" spans="1:8" x14ac:dyDescent="0.3">
      <c r="A753" s="74" t="str">
        <f t="shared" si="11"/>
        <v>辽宁46379</v>
      </c>
      <c r="B753" s="75" t="s">
        <v>13</v>
      </c>
      <c r="C753" s="45">
        <v>46379</v>
      </c>
      <c r="D753" s="76">
        <v>924.93369282338494</v>
      </c>
      <c r="E753" s="77">
        <v>125</v>
      </c>
      <c r="F753" s="78">
        <v>13.042332788214599</v>
      </c>
      <c r="G753" s="78">
        <v>13.042332788214599</v>
      </c>
      <c r="H753" s="81">
        <v>12.470245063532399</v>
      </c>
    </row>
    <row r="754" spans="1:8" x14ac:dyDescent="0.3">
      <c r="A754" s="74" t="str">
        <f t="shared" si="11"/>
        <v>辽宁46380</v>
      </c>
      <c r="B754" s="75" t="s">
        <v>13</v>
      </c>
      <c r="C754" s="45">
        <v>46380</v>
      </c>
      <c r="D754" s="76">
        <v>924.93369282338494</v>
      </c>
      <c r="E754" s="77">
        <v>125</v>
      </c>
      <c r="F754" s="78">
        <v>13.042332788214599</v>
      </c>
      <c r="G754" s="78">
        <v>13.042332788214599</v>
      </c>
      <c r="H754" s="81">
        <v>12.470245063532399</v>
      </c>
    </row>
    <row r="755" spans="1:8" x14ac:dyDescent="0.3">
      <c r="A755" s="74" t="str">
        <f t="shared" si="11"/>
        <v>辽宁46381</v>
      </c>
      <c r="B755" s="75" t="s">
        <v>13</v>
      </c>
      <c r="C755" s="45">
        <v>46381</v>
      </c>
      <c r="D755" s="76">
        <v>924.93369282338494</v>
      </c>
      <c r="E755" s="77">
        <v>125</v>
      </c>
      <c r="F755" s="78">
        <v>13.042332788214599</v>
      </c>
      <c r="G755" s="78">
        <v>13.042332788214599</v>
      </c>
      <c r="H755" s="81">
        <v>12.470245063532399</v>
      </c>
    </row>
    <row r="756" spans="1:8" x14ac:dyDescent="0.3">
      <c r="A756" s="74" t="str">
        <f t="shared" si="11"/>
        <v>辽宁46382</v>
      </c>
      <c r="B756" s="75" t="s">
        <v>13</v>
      </c>
      <c r="C756" s="45">
        <v>46382</v>
      </c>
      <c r="D756" s="76">
        <v>924.93369282338494</v>
      </c>
      <c r="E756" s="77">
        <v>125</v>
      </c>
      <c r="F756" s="78">
        <v>13.042332788214599</v>
      </c>
      <c r="G756" s="78">
        <v>13.042332788214599</v>
      </c>
      <c r="H756" s="81">
        <v>12.470245063532399</v>
      </c>
    </row>
    <row r="757" spans="1:8" x14ac:dyDescent="0.3">
      <c r="A757" s="74" t="str">
        <f t="shared" si="11"/>
        <v>辽宁46383</v>
      </c>
      <c r="B757" s="75" t="s">
        <v>13</v>
      </c>
      <c r="C757" s="45">
        <v>46383</v>
      </c>
      <c r="D757" s="76">
        <v>924.93369282338494</v>
      </c>
      <c r="E757" s="77">
        <v>125</v>
      </c>
      <c r="F757" s="78">
        <v>13.042332788214599</v>
      </c>
      <c r="G757" s="78">
        <v>13.042332788214599</v>
      </c>
      <c r="H757" s="81">
        <v>12.470245063532399</v>
      </c>
    </row>
    <row r="758" spans="1:8" x14ac:dyDescent="0.3">
      <c r="A758" s="74" t="str">
        <f t="shared" si="11"/>
        <v>辽宁46384</v>
      </c>
      <c r="B758" s="75" t="s">
        <v>13</v>
      </c>
      <c r="C758" s="45">
        <v>46384</v>
      </c>
      <c r="D758" s="76">
        <v>924.93369282338494</v>
      </c>
      <c r="E758" s="77">
        <v>125</v>
      </c>
      <c r="F758" s="78">
        <v>13.042332788214599</v>
      </c>
      <c r="G758" s="78">
        <v>13.042332788214599</v>
      </c>
      <c r="H758" s="81">
        <v>12.470245063532399</v>
      </c>
    </row>
    <row r="759" spans="1:8" x14ac:dyDescent="0.3">
      <c r="A759" s="74" t="str">
        <f t="shared" si="11"/>
        <v>辽宁46385</v>
      </c>
      <c r="B759" s="75" t="s">
        <v>13</v>
      </c>
      <c r="C759" s="45">
        <v>46385</v>
      </c>
      <c r="D759" s="76">
        <v>924.93369282338494</v>
      </c>
      <c r="E759" s="77">
        <v>125</v>
      </c>
      <c r="F759" s="78">
        <v>13.042332788214599</v>
      </c>
      <c r="G759" s="78">
        <v>13.042332788214599</v>
      </c>
      <c r="H759" s="81">
        <v>12.470245063532399</v>
      </c>
    </row>
    <row r="760" spans="1:8" x14ac:dyDescent="0.3">
      <c r="A760" s="74" t="str">
        <f t="shared" si="11"/>
        <v>辽宁46386</v>
      </c>
      <c r="B760" s="75" t="s">
        <v>13</v>
      </c>
      <c r="C760" s="45">
        <v>46386</v>
      </c>
      <c r="D760" s="76">
        <v>924.93369282338494</v>
      </c>
      <c r="E760" s="77">
        <v>125</v>
      </c>
      <c r="F760" s="78">
        <v>13.042332788214599</v>
      </c>
      <c r="G760" s="78">
        <v>13.042332788214599</v>
      </c>
      <c r="H760" s="81">
        <v>12.470245063532399</v>
      </c>
    </row>
    <row r="761" spans="1:8" x14ac:dyDescent="0.3">
      <c r="A761" s="74" t="str">
        <f t="shared" si="11"/>
        <v>辽宁46387</v>
      </c>
      <c r="B761" s="82" t="s">
        <v>13</v>
      </c>
      <c r="C761" s="83">
        <v>46387</v>
      </c>
      <c r="D761" s="84">
        <v>924.93369282338494</v>
      </c>
      <c r="E761" s="85">
        <v>125</v>
      </c>
      <c r="F761" s="86">
        <v>13.042332788214599</v>
      </c>
      <c r="G761" s="86">
        <v>13.042332788214599</v>
      </c>
      <c r="H761" s="87">
        <v>12.470245063532399</v>
      </c>
    </row>
    <row r="762" spans="1:8" x14ac:dyDescent="0.3">
      <c r="A762" s="74" t="str">
        <f t="shared" si="11"/>
        <v>内蒙古46135</v>
      </c>
      <c r="B762" s="75" t="s">
        <v>14</v>
      </c>
      <c r="C762" s="45">
        <v>46135</v>
      </c>
      <c r="D762" s="76">
        <v>1566.3953261485401</v>
      </c>
      <c r="E762" s="77">
        <v>125</v>
      </c>
      <c r="F762" s="78">
        <v>8.9344135401683094</v>
      </c>
      <c r="G762" s="78">
        <v>8.9344135401683094</v>
      </c>
      <c r="H762" s="81">
        <v>9.4989639230765093</v>
      </c>
    </row>
    <row r="763" spans="1:8" x14ac:dyDescent="0.3">
      <c r="A763" s="74" t="str">
        <f t="shared" si="11"/>
        <v>内蒙古46136</v>
      </c>
      <c r="B763" s="75" t="s">
        <v>14</v>
      </c>
      <c r="C763" s="45">
        <v>46136</v>
      </c>
      <c r="D763" s="76">
        <v>1566.3953261485401</v>
      </c>
      <c r="E763" s="77">
        <v>125</v>
      </c>
      <c r="F763" s="78">
        <v>8.9344135401683094</v>
      </c>
      <c r="G763" s="78">
        <v>8.9344135401683094</v>
      </c>
      <c r="H763" s="81">
        <v>9.4989639230765093</v>
      </c>
    </row>
    <row r="764" spans="1:8" x14ac:dyDescent="0.3">
      <c r="A764" s="74" t="str">
        <f t="shared" si="11"/>
        <v>内蒙古46137</v>
      </c>
      <c r="B764" s="75" t="s">
        <v>14</v>
      </c>
      <c r="C764" s="45">
        <v>46137</v>
      </c>
      <c r="D764" s="76">
        <v>1566.3953261485401</v>
      </c>
      <c r="E764" s="77">
        <v>125</v>
      </c>
      <c r="F764" s="78">
        <v>8.9344135401683094</v>
      </c>
      <c r="G764" s="78">
        <v>8.9344135401683094</v>
      </c>
      <c r="H764" s="81">
        <v>9.4989639230765093</v>
      </c>
    </row>
    <row r="765" spans="1:8" x14ac:dyDescent="0.3">
      <c r="A765" s="74" t="str">
        <f t="shared" si="11"/>
        <v>内蒙古46138</v>
      </c>
      <c r="B765" s="75" t="s">
        <v>14</v>
      </c>
      <c r="C765" s="45">
        <v>46138</v>
      </c>
      <c r="D765" s="76">
        <v>1566.3953261485401</v>
      </c>
      <c r="E765" s="77">
        <v>125</v>
      </c>
      <c r="F765" s="78">
        <v>8.9344135401683094</v>
      </c>
      <c r="G765" s="78">
        <v>8.9344135401683094</v>
      </c>
      <c r="H765" s="81">
        <v>9.4989639230765093</v>
      </c>
    </row>
    <row r="766" spans="1:8" x14ac:dyDescent="0.3">
      <c r="A766" s="74" t="str">
        <f t="shared" si="11"/>
        <v>内蒙古46139</v>
      </c>
      <c r="B766" s="75" t="s">
        <v>14</v>
      </c>
      <c r="C766" s="45">
        <v>46139</v>
      </c>
      <c r="D766" s="76">
        <v>1566.3953261485401</v>
      </c>
      <c r="E766" s="77">
        <v>125</v>
      </c>
      <c r="F766" s="78">
        <v>8.9344135401683094</v>
      </c>
      <c r="G766" s="78">
        <v>8.9344135401683094</v>
      </c>
      <c r="H766" s="81">
        <v>9.4989639230765093</v>
      </c>
    </row>
    <row r="767" spans="1:8" x14ac:dyDescent="0.3">
      <c r="A767" s="74" t="str">
        <f t="shared" si="11"/>
        <v>内蒙古46140</v>
      </c>
      <c r="B767" s="75" t="s">
        <v>14</v>
      </c>
      <c r="C767" s="45">
        <v>46140</v>
      </c>
      <c r="D767" s="76">
        <v>1566.3953261485401</v>
      </c>
      <c r="E767" s="77">
        <v>125</v>
      </c>
      <c r="F767" s="78">
        <v>8.9344135401683094</v>
      </c>
      <c r="G767" s="78">
        <v>8.9344135401683094</v>
      </c>
      <c r="H767" s="81">
        <v>9.4989639230765093</v>
      </c>
    </row>
    <row r="768" spans="1:8" x14ac:dyDescent="0.3">
      <c r="A768" s="74" t="str">
        <f t="shared" si="11"/>
        <v>内蒙古46141</v>
      </c>
      <c r="B768" s="75" t="s">
        <v>14</v>
      </c>
      <c r="C768" s="45">
        <v>46141</v>
      </c>
      <c r="D768" s="76">
        <v>1566.3953261485401</v>
      </c>
      <c r="E768" s="77">
        <v>125</v>
      </c>
      <c r="F768" s="78">
        <v>8.9344135401683094</v>
      </c>
      <c r="G768" s="78">
        <v>8.9344135401683094</v>
      </c>
      <c r="H768" s="81">
        <v>9.4989639230765093</v>
      </c>
    </row>
    <row r="769" spans="1:8" x14ac:dyDescent="0.3">
      <c r="A769" s="74" t="str">
        <f t="shared" si="11"/>
        <v>内蒙古46142</v>
      </c>
      <c r="B769" s="75" t="s">
        <v>14</v>
      </c>
      <c r="C769" s="45">
        <v>46142</v>
      </c>
      <c r="D769" s="76">
        <v>1566.3953261485401</v>
      </c>
      <c r="E769" s="77">
        <v>125</v>
      </c>
      <c r="F769" s="78">
        <v>8.9344135401683094</v>
      </c>
      <c r="G769" s="78">
        <v>8.9344135401683094</v>
      </c>
      <c r="H769" s="81">
        <v>9.4989639230765093</v>
      </c>
    </row>
    <row r="770" spans="1:8" x14ac:dyDescent="0.3">
      <c r="A770" s="74" t="str">
        <f t="shared" si="11"/>
        <v>内蒙古46143</v>
      </c>
      <c r="B770" s="75" t="s">
        <v>14</v>
      </c>
      <c r="C770" s="45">
        <v>46143</v>
      </c>
      <c r="D770" s="76">
        <v>1416.8003817804899</v>
      </c>
      <c r="E770" s="77">
        <v>125</v>
      </c>
      <c r="F770" s="78">
        <v>10.3982982705597</v>
      </c>
      <c r="G770" s="78">
        <v>10.3982982705597</v>
      </c>
      <c r="H770" s="81">
        <v>9.7146818410142401</v>
      </c>
    </row>
    <row r="771" spans="1:8" x14ac:dyDescent="0.3">
      <c r="A771" s="74" t="str">
        <f t="shared" ref="A771:A834" si="12">B771&amp;C771</f>
        <v>内蒙古46144</v>
      </c>
      <c r="B771" s="75" t="s">
        <v>14</v>
      </c>
      <c r="C771" s="45">
        <v>46144</v>
      </c>
      <c r="D771" s="76">
        <v>1416.8003817804899</v>
      </c>
      <c r="E771" s="77">
        <v>125</v>
      </c>
      <c r="F771" s="78">
        <v>10.3982982705597</v>
      </c>
      <c r="G771" s="78">
        <v>10.3982982705597</v>
      </c>
      <c r="H771" s="81">
        <v>9.7146818410142401</v>
      </c>
    </row>
    <row r="772" spans="1:8" x14ac:dyDescent="0.3">
      <c r="A772" s="74" t="str">
        <f t="shared" si="12"/>
        <v>内蒙古46145</v>
      </c>
      <c r="B772" s="75" t="s">
        <v>14</v>
      </c>
      <c r="C772" s="45">
        <v>46145</v>
      </c>
      <c r="D772" s="76">
        <v>1416.8003817804899</v>
      </c>
      <c r="E772" s="77">
        <v>125</v>
      </c>
      <c r="F772" s="78">
        <v>10.3982982705597</v>
      </c>
      <c r="G772" s="78">
        <v>10.3982982705597</v>
      </c>
      <c r="H772" s="81">
        <v>9.7146818410142401</v>
      </c>
    </row>
    <row r="773" spans="1:8" x14ac:dyDescent="0.3">
      <c r="A773" s="74" t="str">
        <f t="shared" si="12"/>
        <v>内蒙古46146</v>
      </c>
      <c r="B773" s="75" t="s">
        <v>14</v>
      </c>
      <c r="C773" s="45">
        <v>46146</v>
      </c>
      <c r="D773" s="76">
        <v>1416.8003817804899</v>
      </c>
      <c r="E773" s="77">
        <v>125</v>
      </c>
      <c r="F773" s="78">
        <v>10.3982982705597</v>
      </c>
      <c r="G773" s="78">
        <v>10.3982982705597</v>
      </c>
      <c r="H773" s="81">
        <v>9.7146818410142401</v>
      </c>
    </row>
    <row r="774" spans="1:8" x14ac:dyDescent="0.3">
      <c r="A774" s="74" t="str">
        <f t="shared" si="12"/>
        <v>内蒙古46147</v>
      </c>
      <c r="B774" s="75" t="s">
        <v>14</v>
      </c>
      <c r="C774" s="45">
        <v>46147</v>
      </c>
      <c r="D774" s="76">
        <v>1416.8003817804899</v>
      </c>
      <c r="E774" s="77">
        <v>125</v>
      </c>
      <c r="F774" s="78">
        <v>10.3982982705597</v>
      </c>
      <c r="G774" s="78">
        <v>10.3982982705597</v>
      </c>
      <c r="H774" s="81">
        <v>9.7146818410142401</v>
      </c>
    </row>
    <row r="775" spans="1:8" x14ac:dyDescent="0.3">
      <c r="A775" s="74" t="str">
        <f t="shared" si="12"/>
        <v>内蒙古46148</v>
      </c>
      <c r="B775" s="75" t="s">
        <v>14</v>
      </c>
      <c r="C775" s="45">
        <v>46148</v>
      </c>
      <c r="D775" s="76">
        <v>1416.8003817804899</v>
      </c>
      <c r="E775" s="77">
        <v>125</v>
      </c>
      <c r="F775" s="78">
        <v>10.3982982705597</v>
      </c>
      <c r="G775" s="78">
        <v>10.3982982705597</v>
      </c>
      <c r="H775" s="81">
        <v>9.7146818410142401</v>
      </c>
    </row>
    <row r="776" spans="1:8" x14ac:dyDescent="0.3">
      <c r="A776" s="74" t="str">
        <f t="shared" si="12"/>
        <v>内蒙古46149</v>
      </c>
      <c r="B776" s="75" t="s">
        <v>14</v>
      </c>
      <c r="C776" s="45">
        <v>46149</v>
      </c>
      <c r="D776" s="76">
        <v>1416.8003817804899</v>
      </c>
      <c r="E776" s="77">
        <v>125</v>
      </c>
      <c r="F776" s="78">
        <v>10.3982982705597</v>
      </c>
      <c r="G776" s="78">
        <v>10.3982982705597</v>
      </c>
      <c r="H776" s="81">
        <v>9.7146818410142401</v>
      </c>
    </row>
    <row r="777" spans="1:8" x14ac:dyDescent="0.3">
      <c r="A777" s="74" t="str">
        <f t="shared" si="12"/>
        <v>内蒙古46150</v>
      </c>
      <c r="B777" s="75" t="s">
        <v>14</v>
      </c>
      <c r="C777" s="45">
        <v>46150</v>
      </c>
      <c r="D777" s="76">
        <v>1416.8003817804899</v>
      </c>
      <c r="E777" s="77">
        <v>125</v>
      </c>
      <c r="F777" s="78">
        <v>10.3982982705597</v>
      </c>
      <c r="G777" s="78">
        <v>10.3982982705597</v>
      </c>
      <c r="H777" s="81">
        <v>9.7146818410142401</v>
      </c>
    </row>
    <row r="778" spans="1:8" x14ac:dyDescent="0.3">
      <c r="A778" s="74" t="str">
        <f t="shared" si="12"/>
        <v>内蒙古46151</v>
      </c>
      <c r="B778" s="75" t="s">
        <v>14</v>
      </c>
      <c r="C778" s="45">
        <v>46151</v>
      </c>
      <c r="D778" s="76">
        <v>1416.8003817804899</v>
      </c>
      <c r="E778" s="77">
        <v>125</v>
      </c>
      <c r="F778" s="78">
        <v>10.3982982705597</v>
      </c>
      <c r="G778" s="78">
        <v>10.3982982705597</v>
      </c>
      <c r="H778" s="81">
        <v>9.7146818410142401</v>
      </c>
    </row>
    <row r="779" spans="1:8" x14ac:dyDescent="0.3">
      <c r="A779" s="74" t="str">
        <f t="shared" si="12"/>
        <v>内蒙古46152</v>
      </c>
      <c r="B779" s="75" t="s">
        <v>14</v>
      </c>
      <c r="C779" s="45">
        <v>46152</v>
      </c>
      <c r="D779" s="76">
        <v>1416.8003817804899</v>
      </c>
      <c r="E779" s="77">
        <v>125</v>
      </c>
      <c r="F779" s="78">
        <v>10.3982982705597</v>
      </c>
      <c r="G779" s="78">
        <v>10.3982982705597</v>
      </c>
      <c r="H779" s="81">
        <v>9.7146818410142401</v>
      </c>
    </row>
    <row r="780" spans="1:8" x14ac:dyDescent="0.3">
      <c r="A780" s="74" t="str">
        <f t="shared" si="12"/>
        <v>内蒙古46153</v>
      </c>
      <c r="B780" s="75" t="s">
        <v>14</v>
      </c>
      <c r="C780" s="45">
        <v>46153</v>
      </c>
      <c r="D780" s="76">
        <v>1416.8003817804899</v>
      </c>
      <c r="E780" s="77">
        <v>125</v>
      </c>
      <c r="F780" s="78">
        <v>10.3982982705597</v>
      </c>
      <c r="G780" s="78">
        <v>10.3982982705597</v>
      </c>
      <c r="H780" s="81">
        <v>9.7146818410142401</v>
      </c>
    </row>
    <row r="781" spans="1:8" x14ac:dyDescent="0.3">
      <c r="A781" s="74" t="str">
        <f t="shared" si="12"/>
        <v>内蒙古46154</v>
      </c>
      <c r="B781" s="75" t="s">
        <v>14</v>
      </c>
      <c r="C781" s="45">
        <v>46154</v>
      </c>
      <c r="D781" s="76">
        <v>1416.8003817804899</v>
      </c>
      <c r="E781" s="77">
        <v>125</v>
      </c>
      <c r="F781" s="78">
        <v>10.3982982705597</v>
      </c>
      <c r="G781" s="78">
        <v>10.3982982705597</v>
      </c>
      <c r="H781" s="81">
        <v>9.7146818410142401</v>
      </c>
    </row>
    <row r="782" spans="1:8" x14ac:dyDescent="0.3">
      <c r="A782" s="74" t="str">
        <f t="shared" si="12"/>
        <v>内蒙古46155</v>
      </c>
      <c r="B782" s="75" t="s">
        <v>14</v>
      </c>
      <c r="C782" s="45">
        <v>46155</v>
      </c>
      <c r="D782" s="76">
        <v>1416.8003817804899</v>
      </c>
      <c r="E782" s="77">
        <v>125</v>
      </c>
      <c r="F782" s="78">
        <v>10.3982982705597</v>
      </c>
      <c r="G782" s="78">
        <v>10.3982982705597</v>
      </c>
      <c r="H782" s="81">
        <v>9.7146818410142401</v>
      </c>
    </row>
    <row r="783" spans="1:8" x14ac:dyDescent="0.3">
      <c r="A783" s="74" t="str">
        <f t="shared" si="12"/>
        <v>内蒙古46156</v>
      </c>
      <c r="B783" s="75" t="s">
        <v>14</v>
      </c>
      <c r="C783" s="45">
        <v>46156</v>
      </c>
      <c r="D783" s="76">
        <v>1416.8003817804899</v>
      </c>
      <c r="E783" s="77">
        <v>125</v>
      </c>
      <c r="F783" s="78">
        <v>10.3982982705597</v>
      </c>
      <c r="G783" s="78">
        <v>10.3982982705597</v>
      </c>
      <c r="H783" s="81">
        <v>9.7146818410142401</v>
      </c>
    </row>
    <row r="784" spans="1:8" x14ac:dyDescent="0.3">
      <c r="A784" s="74" t="str">
        <f t="shared" si="12"/>
        <v>内蒙古46157</v>
      </c>
      <c r="B784" s="75" t="s">
        <v>14</v>
      </c>
      <c r="C784" s="45">
        <v>46157</v>
      </c>
      <c r="D784" s="76">
        <v>1416.8003817804899</v>
      </c>
      <c r="E784" s="77">
        <v>125</v>
      </c>
      <c r="F784" s="78">
        <v>10.3982982705597</v>
      </c>
      <c r="G784" s="78">
        <v>10.3982982705597</v>
      </c>
      <c r="H784" s="81">
        <v>9.7146818410142401</v>
      </c>
    </row>
    <row r="785" spans="1:8" x14ac:dyDescent="0.3">
      <c r="A785" s="74" t="str">
        <f t="shared" si="12"/>
        <v>内蒙古46158</v>
      </c>
      <c r="B785" s="75" t="s">
        <v>14</v>
      </c>
      <c r="C785" s="45">
        <v>46158</v>
      </c>
      <c r="D785" s="76">
        <v>1416.8003817804899</v>
      </c>
      <c r="E785" s="77">
        <v>125</v>
      </c>
      <c r="F785" s="78">
        <v>10.3982982705597</v>
      </c>
      <c r="G785" s="78">
        <v>10.3982982705597</v>
      </c>
      <c r="H785" s="81">
        <v>9.7146818410142401</v>
      </c>
    </row>
    <row r="786" spans="1:8" x14ac:dyDescent="0.3">
      <c r="A786" s="74" t="str">
        <f t="shared" si="12"/>
        <v>内蒙古46159</v>
      </c>
      <c r="B786" s="75" t="s">
        <v>14</v>
      </c>
      <c r="C786" s="45">
        <v>46159</v>
      </c>
      <c r="D786" s="76">
        <v>1416.8003817804899</v>
      </c>
      <c r="E786" s="77">
        <v>125</v>
      </c>
      <c r="F786" s="78">
        <v>10.3982982705597</v>
      </c>
      <c r="G786" s="78">
        <v>10.3982982705597</v>
      </c>
      <c r="H786" s="81">
        <v>9.7146818410142401</v>
      </c>
    </row>
    <row r="787" spans="1:8" x14ac:dyDescent="0.3">
      <c r="A787" s="74" t="str">
        <f t="shared" si="12"/>
        <v>内蒙古46160</v>
      </c>
      <c r="B787" s="75" t="s">
        <v>14</v>
      </c>
      <c r="C787" s="45">
        <v>46160</v>
      </c>
      <c r="D787" s="76">
        <v>1416.8003817804899</v>
      </c>
      <c r="E787" s="77">
        <v>125</v>
      </c>
      <c r="F787" s="78">
        <v>10.3982982705597</v>
      </c>
      <c r="G787" s="78">
        <v>10.3982982705597</v>
      </c>
      <c r="H787" s="81">
        <v>9.7146818410142401</v>
      </c>
    </row>
    <row r="788" spans="1:8" x14ac:dyDescent="0.3">
      <c r="A788" s="74" t="str">
        <f t="shared" si="12"/>
        <v>内蒙古46161</v>
      </c>
      <c r="B788" s="75" t="s">
        <v>14</v>
      </c>
      <c r="C788" s="45">
        <v>46161</v>
      </c>
      <c r="D788" s="76">
        <v>1416.8003817804899</v>
      </c>
      <c r="E788" s="77">
        <v>125</v>
      </c>
      <c r="F788" s="78">
        <v>10.3982982705597</v>
      </c>
      <c r="G788" s="78">
        <v>10.3982982705597</v>
      </c>
      <c r="H788" s="81">
        <v>9.7146818410142401</v>
      </c>
    </row>
    <row r="789" spans="1:8" x14ac:dyDescent="0.3">
      <c r="A789" s="74" t="str">
        <f t="shared" si="12"/>
        <v>内蒙古46162</v>
      </c>
      <c r="B789" s="75" t="s">
        <v>14</v>
      </c>
      <c r="C789" s="45">
        <v>46162</v>
      </c>
      <c r="D789" s="76">
        <v>1416.8003817804899</v>
      </c>
      <c r="E789" s="77">
        <v>125</v>
      </c>
      <c r="F789" s="78">
        <v>10.3982982705597</v>
      </c>
      <c r="G789" s="78">
        <v>10.3982982705597</v>
      </c>
      <c r="H789" s="81">
        <v>9.7146818410142401</v>
      </c>
    </row>
    <row r="790" spans="1:8" x14ac:dyDescent="0.3">
      <c r="A790" s="74" t="str">
        <f t="shared" si="12"/>
        <v>内蒙古46163</v>
      </c>
      <c r="B790" s="75" t="s">
        <v>14</v>
      </c>
      <c r="C790" s="45">
        <v>46163</v>
      </c>
      <c r="D790" s="76">
        <v>1416.8003817804899</v>
      </c>
      <c r="E790" s="77">
        <v>125</v>
      </c>
      <c r="F790" s="78">
        <v>10.3982982705597</v>
      </c>
      <c r="G790" s="78">
        <v>10.3982982705597</v>
      </c>
      <c r="H790" s="81">
        <v>9.7146818410142401</v>
      </c>
    </row>
    <row r="791" spans="1:8" x14ac:dyDescent="0.3">
      <c r="A791" s="74" t="str">
        <f t="shared" si="12"/>
        <v>内蒙古46164</v>
      </c>
      <c r="B791" s="75" t="s">
        <v>14</v>
      </c>
      <c r="C791" s="45">
        <v>46164</v>
      </c>
      <c r="D791" s="76">
        <v>1416.8003817804899</v>
      </c>
      <c r="E791" s="77">
        <v>125</v>
      </c>
      <c r="F791" s="78">
        <v>10.3982982705597</v>
      </c>
      <c r="G791" s="78">
        <v>10.3982982705597</v>
      </c>
      <c r="H791" s="81">
        <v>9.7146818410142401</v>
      </c>
    </row>
    <row r="792" spans="1:8" x14ac:dyDescent="0.3">
      <c r="A792" s="74" t="str">
        <f t="shared" si="12"/>
        <v>内蒙古46165</v>
      </c>
      <c r="B792" s="75" t="s">
        <v>14</v>
      </c>
      <c r="C792" s="45">
        <v>46165</v>
      </c>
      <c r="D792" s="76">
        <v>1416.8003817804899</v>
      </c>
      <c r="E792" s="77">
        <v>125</v>
      </c>
      <c r="F792" s="78">
        <v>10.3982982705597</v>
      </c>
      <c r="G792" s="78">
        <v>10.3982982705597</v>
      </c>
      <c r="H792" s="81">
        <v>9.7146818410142401</v>
      </c>
    </row>
    <row r="793" spans="1:8" x14ac:dyDescent="0.3">
      <c r="A793" s="74" t="str">
        <f t="shared" si="12"/>
        <v>内蒙古46166</v>
      </c>
      <c r="B793" s="75" t="s">
        <v>14</v>
      </c>
      <c r="C793" s="45">
        <v>46166</v>
      </c>
      <c r="D793" s="76">
        <v>1416.8003817804899</v>
      </c>
      <c r="E793" s="77">
        <v>125</v>
      </c>
      <c r="F793" s="78">
        <v>10.3982982705597</v>
      </c>
      <c r="G793" s="78">
        <v>10.3982982705597</v>
      </c>
      <c r="H793" s="81">
        <v>9.7146818410142401</v>
      </c>
    </row>
    <row r="794" spans="1:8" x14ac:dyDescent="0.3">
      <c r="A794" s="74" t="str">
        <f t="shared" si="12"/>
        <v>内蒙古46167</v>
      </c>
      <c r="B794" s="75" t="s">
        <v>14</v>
      </c>
      <c r="C794" s="45">
        <v>46167</v>
      </c>
      <c r="D794" s="76">
        <v>1416.8003817804899</v>
      </c>
      <c r="E794" s="77">
        <v>125</v>
      </c>
      <c r="F794" s="78">
        <v>10.3982982705597</v>
      </c>
      <c r="G794" s="78">
        <v>10.3982982705597</v>
      </c>
      <c r="H794" s="81">
        <v>9.7146818410142401</v>
      </c>
    </row>
    <row r="795" spans="1:8" x14ac:dyDescent="0.3">
      <c r="A795" s="74" t="str">
        <f t="shared" si="12"/>
        <v>内蒙古46168</v>
      </c>
      <c r="B795" s="75" t="s">
        <v>14</v>
      </c>
      <c r="C795" s="45">
        <v>46168</v>
      </c>
      <c r="D795" s="76">
        <v>1416.8003817804899</v>
      </c>
      <c r="E795" s="77">
        <v>125</v>
      </c>
      <c r="F795" s="78">
        <v>10.3982982705597</v>
      </c>
      <c r="G795" s="78">
        <v>10.3982982705597</v>
      </c>
      <c r="H795" s="81">
        <v>9.7146818410142401</v>
      </c>
    </row>
    <row r="796" spans="1:8" x14ac:dyDescent="0.3">
      <c r="A796" s="74" t="str">
        <f t="shared" si="12"/>
        <v>内蒙古46169</v>
      </c>
      <c r="B796" s="75" t="s">
        <v>14</v>
      </c>
      <c r="C796" s="45">
        <v>46169</v>
      </c>
      <c r="D796" s="76">
        <v>1416.8003817804899</v>
      </c>
      <c r="E796" s="77">
        <v>125</v>
      </c>
      <c r="F796" s="78">
        <v>10.3982982705597</v>
      </c>
      <c r="G796" s="78">
        <v>10.3982982705597</v>
      </c>
      <c r="H796" s="81">
        <v>9.7146818410142401</v>
      </c>
    </row>
    <row r="797" spans="1:8" x14ac:dyDescent="0.3">
      <c r="A797" s="74" t="str">
        <f t="shared" si="12"/>
        <v>内蒙古46170</v>
      </c>
      <c r="B797" s="75" t="s">
        <v>14</v>
      </c>
      <c r="C797" s="45">
        <v>46170</v>
      </c>
      <c r="D797" s="76">
        <v>1416.8003817804899</v>
      </c>
      <c r="E797" s="77">
        <v>125</v>
      </c>
      <c r="F797" s="78">
        <v>10.3982982705597</v>
      </c>
      <c r="G797" s="78">
        <v>10.3982982705597</v>
      </c>
      <c r="H797" s="81">
        <v>9.7146818410142401</v>
      </c>
    </row>
    <row r="798" spans="1:8" x14ac:dyDescent="0.3">
      <c r="A798" s="74" t="str">
        <f t="shared" si="12"/>
        <v>内蒙古46171</v>
      </c>
      <c r="B798" s="75" t="s">
        <v>14</v>
      </c>
      <c r="C798" s="45">
        <v>46171</v>
      </c>
      <c r="D798" s="76">
        <v>1416.8003817804899</v>
      </c>
      <c r="E798" s="77">
        <v>125</v>
      </c>
      <c r="F798" s="78">
        <v>10.3982982705597</v>
      </c>
      <c r="G798" s="78">
        <v>10.3982982705597</v>
      </c>
      <c r="H798" s="81">
        <v>9.7146818410142401</v>
      </c>
    </row>
    <row r="799" spans="1:8" x14ac:dyDescent="0.3">
      <c r="A799" s="74" t="str">
        <f t="shared" si="12"/>
        <v>内蒙古46172</v>
      </c>
      <c r="B799" s="75" t="s">
        <v>14</v>
      </c>
      <c r="C799" s="45">
        <v>46172</v>
      </c>
      <c r="D799" s="76">
        <v>1416.8003817804899</v>
      </c>
      <c r="E799" s="77">
        <v>125</v>
      </c>
      <c r="F799" s="78">
        <v>10.3982982705597</v>
      </c>
      <c r="G799" s="78">
        <v>10.3982982705597</v>
      </c>
      <c r="H799" s="81">
        <v>9.7146818410142401</v>
      </c>
    </row>
    <row r="800" spans="1:8" x14ac:dyDescent="0.3">
      <c r="A800" s="74" t="str">
        <f t="shared" si="12"/>
        <v>内蒙古46173</v>
      </c>
      <c r="B800" s="75" t="s">
        <v>14</v>
      </c>
      <c r="C800" s="45">
        <v>46173</v>
      </c>
      <c r="D800" s="76">
        <v>1416.8003817804899</v>
      </c>
      <c r="E800" s="77">
        <v>125</v>
      </c>
      <c r="F800" s="78">
        <v>10.3982982705597</v>
      </c>
      <c r="G800" s="78">
        <v>10.3982982705597</v>
      </c>
      <c r="H800" s="81">
        <v>9.7146818410142401</v>
      </c>
    </row>
    <row r="801" spans="1:8" x14ac:dyDescent="0.3">
      <c r="A801" s="74" t="str">
        <f t="shared" si="12"/>
        <v>内蒙古46174</v>
      </c>
      <c r="B801" s="75" t="s">
        <v>14</v>
      </c>
      <c r="C801" s="45">
        <v>46174</v>
      </c>
      <c r="D801" s="76">
        <v>1440.34947334719</v>
      </c>
      <c r="E801" s="77">
        <v>125</v>
      </c>
      <c r="F801" s="78">
        <v>11.410956239685399</v>
      </c>
      <c r="G801" s="78">
        <v>11.410956239685399</v>
      </c>
      <c r="H801" s="81">
        <v>10.5743442238764</v>
      </c>
    </row>
    <row r="802" spans="1:8" x14ac:dyDescent="0.3">
      <c r="A802" s="74" t="str">
        <f t="shared" si="12"/>
        <v>内蒙古46175</v>
      </c>
      <c r="B802" s="75" t="s">
        <v>14</v>
      </c>
      <c r="C802" s="45">
        <v>46175</v>
      </c>
      <c r="D802" s="76">
        <v>1440.34947334719</v>
      </c>
      <c r="E802" s="77">
        <v>125</v>
      </c>
      <c r="F802" s="78">
        <v>11.410956239685399</v>
      </c>
      <c r="G802" s="78">
        <v>11.410956239685399</v>
      </c>
      <c r="H802" s="81">
        <v>10.5743442238764</v>
      </c>
    </row>
    <row r="803" spans="1:8" x14ac:dyDescent="0.3">
      <c r="A803" s="74" t="str">
        <f t="shared" si="12"/>
        <v>内蒙古46176</v>
      </c>
      <c r="B803" s="75" t="s">
        <v>14</v>
      </c>
      <c r="C803" s="45">
        <v>46176</v>
      </c>
      <c r="D803" s="76">
        <v>1440.34947334719</v>
      </c>
      <c r="E803" s="77">
        <v>125</v>
      </c>
      <c r="F803" s="78">
        <v>11.410956239685399</v>
      </c>
      <c r="G803" s="78">
        <v>11.410956239685399</v>
      </c>
      <c r="H803" s="81">
        <v>10.5743442238764</v>
      </c>
    </row>
    <row r="804" spans="1:8" x14ac:dyDescent="0.3">
      <c r="A804" s="74" t="str">
        <f t="shared" si="12"/>
        <v>内蒙古46177</v>
      </c>
      <c r="B804" s="75" t="s">
        <v>14</v>
      </c>
      <c r="C804" s="45">
        <v>46177</v>
      </c>
      <c r="D804" s="76">
        <v>1440.34947334719</v>
      </c>
      <c r="E804" s="77">
        <v>125</v>
      </c>
      <c r="F804" s="78">
        <v>11.410956239685399</v>
      </c>
      <c r="G804" s="78">
        <v>11.410956239685399</v>
      </c>
      <c r="H804" s="81">
        <v>10.5743442238764</v>
      </c>
    </row>
    <row r="805" spans="1:8" x14ac:dyDescent="0.3">
      <c r="A805" s="74" t="str">
        <f t="shared" si="12"/>
        <v>内蒙古46178</v>
      </c>
      <c r="B805" s="75" t="s">
        <v>14</v>
      </c>
      <c r="C805" s="45">
        <v>46178</v>
      </c>
      <c r="D805" s="76">
        <v>1440.34947334719</v>
      </c>
      <c r="E805" s="77">
        <v>125</v>
      </c>
      <c r="F805" s="78">
        <v>11.410956239685399</v>
      </c>
      <c r="G805" s="78">
        <v>11.410956239685399</v>
      </c>
      <c r="H805" s="81">
        <v>10.5743442238764</v>
      </c>
    </row>
    <row r="806" spans="1:8" x14ac:dyDescent="0.3">
      <c r="A806" s="74" t="str">
        <f t="shared" si="12"/>
        <v>内蒙古46179</v>
      </c>
      <c r="B806" s="75" t="s">
        <v>14</v>
      </c>
      <c r="C806" s="45">
        <v>46179</v>
      </c>
      <c r="D806" s="76">
        <v>1440.34947334719</v>
      </c>
      <c r="E806" s="77">
        <v>125</v>
      </c>
      <c r="F806" s="78">
        <v>11.410956239685399</v>
      </c>
      <c r="G806" s="78">
        <v>11.410956239685399</v>
      </c>
      <c r="H806" s="81">
        <v>10.5743442238764</v>
      </c>
    </row>
    <row r="807" spans="1:8" x14ac:dyDescent="0.3">
      <c r="A807" s="74" t="str">
        <f t="shared" si="12"/>
        <v>内蒙古46180</v>
      </c>
      <c r="B807" s="75" t="s">
        <v>14</v>
      </c>
      <c r="C807" s="45">
        <v>46180</v>
      </c>
      <c r="D807" s="76">
        <v>1440.34947334719</v>
      </c>
      <c r="E807" s="77">
        <v>125</v>
      </c>
      <c r="F807" s="78">
        <v>11.410956239685399</v>
      </c>
      <c r="G807" s="78">
        <v>11.410956239685399</v>
      </c>
      <c r="H807" s="81">
        <v>10.5743442238764</v>
      </c>
    </row>
    <row r="808" spans="1:8" x14ac:dyDescent="0.3">
      <c r="A808" s="74" t="str">
        <f t="shared" si="12"/>
        <v>内蒙古46181</v>
      </c>
      <c r="B808" s="75" t="s">
        <v>14</v>
      </c>
      <c r="C808" s="45">
        <v>46181</v>
      </c>
      <c r="D808" s="76">
        <v>1440.34947334719</v>
      </c>
      <c r="E808" s="77">
        <v>125</v>
      </c>
      <c r="F808" s="78">
        <v>11.410956239685399</v>
      </c>
      <c r="G808" s="78">
        <v>11.410956239685399</v>
      </c>
      <c r="H808" s="81">
        <v>10.5743442238764</v>
      </c>
    </row>
    <row r="809" spans="1:8" x14ac:dyDescent="0.3">
      <c r="A809" s="74" t="str">
        <f t="shared" si="12"/>
        <v>内蒙古46182</v>
      </c>
      <c r="B809" s="75" t="s">
        <v>14</v>
      </c>
      <c r="C809" s="45">
        <v>46182</v>
      </c>
      <c r="D809" s="76">
        <v>1440.34947334719</v>
      </c>
      <c r="E809" s="77">
        <v>125</v>
      </c>
      <c r="F809" s="78">
        <v>11.410956239685399</v>
      </c>
      <c r="G809" s="78">
        <v>11.410956239685399</v>
      </c>
      <c r="H809" s="81">
        <v>10.5743442238764</v>
      </c>
    </row>
    <row r="810" spans="1:8" x14ac:dyDescent="0.3">
      <c r="A810" s="74" t="str">
        <f t="shared" si="12"/>
        <v>内蒙古46183</v>
      </c>
      <c r="B810" s="75" t="s">
        <v>14</v>
      </c>
      <c r="C810" s="45">
        <v>46183</v>
      </c>
      <c r="D810" s="76">
        <v>1440.34947334719</v>
      </c>
      <c r="E810" s="77">
        <v>125</v>
      </c>
      <c r="F810" s="78">
        <v>11.410956239685399</v>
      </c>
      <c r="G810" s="78">
        <v>11.410956239685399</v>
      </c>
      <c r="H810" s="81">
        <v>10.5743442238764</v>
      </c>
    </row>
    <row r="811" spans="1:8" x14ac:dyDescent="0.3">
      <c r="A811" s="74" t="str">
        <f t="shared" si="12"/>
        <v>内蒙古46184</v>
      </c>
      <c r="B811" s="75" t="s">
        <v>14</v>
      </c>
      <c r="C811" s="45">
        <v>46184</v>
      </c>
      <c r="D811" s="76">
        <v>1440.34947334719</v>
      </c>
      <c r="E811" s="77">
        <v>125</v>
      </c>
      <c r="F811" s="78">
        <v>11.410956239685399</v>
      </c>
      <c r="G811" s="78">
        <v>11.410956239685399</v>
      </c>
      <c r="H811" s="81">
        <v>10.5743442238764</v>
      </c>
    </row>
    <row r="812" spans="1:8" x14ac:dyDescent="0.3">
      <c r="A812" s="74" t="str">
        <f t="shared" si="12"/>
        <v>内蒙古46185</v>
      </c>
      <c r="B812" s="75" t="s">
        <v>14</v>
      </c>
      <c r="C812" s="45">
        <v>46185</v>
      </c>
      <c r="D812" s="76">
        <v>1440.34947334719</v>
      </c>
      <c r="E812" s="77">
        <v>125</v>
      </c>
      <c r="F812" s="78">
        <v>11.410956239685399</v>
      </c>
      <c r="G812" s="78">
        <v>11.410956239685399</v>
      </c>
      <c r="H812" s="81">
        <v>10.5743442238764</v>
      </c>
    </row>
    <row r="813" spans="1:8" x14ac:dyDescent="0.3">
      <c r="A813" s="74" t="str">
        <f t="shared" si="12"/>
        <v>内蒙古46186</v>
      </c>
      <c r="B813" s="75" t="s">
        <v>14</v>
      </c>
      <c r="C813" s="45">
        <v>46186</v>
      </c>
      <c r="D813" s="76">
        <v>1440.34947334719</v>
      </c>
      <c r="E813" s="77">
        <v>125</v>
      </c>
      <c r="F813" s="78">
        <v>11.410956239685399</v>
      </c>
      <c r="G813" s="78">
        <v>11.410956239685399</v>
      </c>
      <c r="H813" s="81">
        <v>10.5743442238764</v>
      </c>
    </row>
    <row r="814" spans="1:8" x14ac:dyDescent="0.3">
      <c r="A814" s="74" t="str">
        <f t="shared" si="12"/>
        <v>内蒙古46187</v>
      </c>
      <c r="B814" s="75" t="s">
        <v>14</v>
      </c>
      <c r="C814" s="45">
        <v>46187</v>
      </c>
      <c r="D814" s="76">
        <v>1440.34947334719</v>
      </c>
      <c r="E814" s="77">
        <v>125</v>
      </c>
      <c r="F814" s="78">
        <v>11.410956239685399</v>
      </c>
      <c r="G814" s="78">
        <v>11.410956239685399</v>
      </c>
      <c r="H814" s="81">
        <v>10.5743442238764</v>
      </c>
    </row>
    <row r="815" spans="1:8" x14ac:dyDescent="0.3">
      <c r="A815" s="74" t="str">
        <f t="shared" si="12"/>
        <v>内蒙古46188</v>
      </c>
      <c r="B815" s="75" t="s">
        <v>14</v>
      </c>
      <c r="C815" s="45">
        <v>46188</v>
      </c>
      <c r="D815" s="76">
        <v>1440.34947334719</v>
      </c>
      <c r="E815" s="77">
        <v>125</v>
      </c>
      <c r="F815" s="78">
        <v>11.410956239685399</v>
      </c>
      <c r="G815" s="78">
        <v>11.410956239685399</v>
      </c>
      <c r="H815" s="81">
        <v>10.5743442238764</v>
      </c>
    </row>
    <row r="816" spans="1:8" x14ac:dyDescent="0.3">
      <c r="A816" s="74" t="str">
        <f t="shared" si="12"/>
        <v>内蒙古46189</v>
      </c>
      <c r="B816" s="75" t="s">
        <v>14</v>
      </c>
      <c r="C816" s="45">
        <v>46189</v>
      </c>
      <c r="D816" s="76">
        <v>1440.34947334719</v>
      </c>
      <c r="E816" s="77">
        <v>125</v>
      </c>
      <c r="F816" s="78">
        <v>11.410956239685399</v>
      </c>
      <c r="G816" s="78">
        <v>11.410956239685399</v>
      </c>
      <c r="H816" s="81">
        <v>10.5743442238764</v>
      </c>
    </row>
    <row r="817" spans="1:8" x14ac:dyDescent="0.3">
      <c r="A817" s="74" t="str">
        <f t="shared" si="12"/>
        <v>内蒙古46190</v>
      </c>
      <c r="B817" s="75" t="s">
        <v>14</v>
      </c>
      <c r="C817" s="45">
        <v>46190</v>
      </c>
      <c r="D817" s="76">
        <v>1440.34947334719</v>
      </c>
      <c r="E817" s="77">
        <v>125</v>
      </c>
      <c r="F817" s="78">
        <v>11.410956239685399</v>
      </c>
      <c r="G817" s="78">
        <v>11.410956239685399</v>
      </c>
      <c r="H817" s="81">
        <v>10.5743442238764</v>
      </c>
    </row>
    <row r="818" spans="1:8" x14ac:dyDescent="0.3">
      <c r="A818" s="74" t="str">
        <f t="shared" si="12"/>
        <v>内蒙古46191</v>
      </c>
      <c r="B818" s="75" t="s">
        <v>14</v>
      </c>
      <c r="C818" s="45">
        <v>46191</v>
      </c>
      <c r="D818" s="76">
        <v>1440.34947334719</v>
      </c>
      <c r="E818" s="77">
        <v>125</v>
      </c>
      <c r="F818" s="78">
        <v>11.410956239685399</v>
      </c>
      <c r="G818" s="78">
        <v>11.410956239685399</v>
      </c>
      <c r="H818" s="81">
        <v>10.5743442238764</v>
      </c>
    </row>
    <row r="819" spans="1:8" x14ac:dyDescent="0.3">
      <c r="A819" s="74" t="str">
        <f t="shared" si="12"/>
        <v>内蒙古46192</v>
      </c>
      <c r="B819" s="75" t="s">
        <v>14</v>
      </c>
      <c r="C819" s="45">
        <v>46192</v>
      </c>
      <c r="D819" s="76">
        <v>1440.34947334719</v>
      </c>
      <c r="E819" s="77">
        <v>125</v>
      </c>
      <c r="F819" s="78">
        <v>11.410956239685399</v>
      </c>
      <c r="G819" s="78">
        <v>11.410956239685399</v>
      </c>
      <c r="H819" s="81">
        <v>10.5743442238764</v>
      </c>
    </row>
    <row r="820" spans="1:8" x14ac:dyDescent="0.3">
      <c r="A820" s="74" t="str">
        <f t="shared" si="12"/>
        <v>内蒙古46193</v>
      </c>
      <c r="B820" s="75" t="s">
        <v>14</v>
      </c>
      <c r="C820" s="45">
        <v>46193</v>
      </c>
      <c r="D820" s="76">
        <v>1440.34947334719</v>
      </c>
      <c r="E820" s="77">
        <v>125</v>
      </c>
      <c r="F820" s="78">
        <v>11.410956239685399</v>
      </c>
      <c r="G820" s="78">
        <v>11.410956239685399</v>
      </c>
      <c r="H820" s="81">
        <v>10.5743442238764</v>
      </c>
    </row>
    <row r="821" spans="1:8" x14ac:dyDescent="0.3">
      <c r="A821" s="74" t="str">
        <f t="shared" si="12"/>
        <v>内蒙古46194</v>
      </c>
      <c r="B821" s="75" t="s">
        <v>14</v>
      </c>
      <c r="C821" s="45">
        <v>46194</v>
      </c>
      <c r="D821" s="76">
        <v>1440.34947334719</v>
      </c>
      <c r="E821" s="77">
        <v>125</v>
      </c>
      <c r="F821" s="78">
        <v>11.410956239685399</v>
      </c>
      <c r="G821" s="78">
        <v>11.410956239685399</v>
      </c>
      <c r="H821" s="81">
        <v>10.5743442238764</v>
      </c>
    </row>
    <row r="822" spans="1:8" x14ac:dyDescent="0.3">
      <c r="A822" s="74" t="str">
        <f t="shared" si="12"/>
        <v>内蒙古46195</v>
      </c>
      <c r="B822" s="75" t="s">
        <v>14</v>
      </c>
      <c r="C822" s="45">
        <v>46195</v>
      </c>
      <c r="D822" s="76">
        <v>1440.34947334719</v>
      </c>
      <c r="E822" s="77">
        <v>125</v>
      </c>
      <c r="F822" s="78">
        <v>11.410956239685399</v>
      </c>
      <c r="G822" s="78">
        <v>11.410956239685399</v>
      </c>
      <c r="H822" s="81">
        <v>10.5743442238764</v>
      </c>
    </row>
    <row r="823" spans="1:8" x14ac:dyDescent="0.3">
      <c r="A823" s="74" t="str">
        <f t="shared" si="12"/>
        <v>内蒙古46196</v>
      </c>
      <c r="B823" s="75" t="s">
        <v>14</v>
      </c>
      <c r="C823" s="45">
        <v>46196</v>
      </c>
      <c r="D823" s="76">
        <v>1440.34947334719</v>
      </c>
      <c r="E823" s="77">
        <v>125</v>
      </c>
      <c r="F823" s="78">
        <v>11.410956239685399</v>
      </c>
      <c r="G823" s="78">
        <v>11.410956239685399</v>
      </c>
      <c r="H823" s="81">
        <v>10.5743442238764</v>
      </c>
    </row>
    <row r="824" spans="1:8" x14ac:dyDescent="0.3">
      <c r="A824" s="74" t="str">
        <f t="shared" si="12"/>
        <v>内蒙古46197</v>
      </c>
      <c r="B824" s="75" t="s">
        <v>14</v>
      </c>
      <c r="C824" s="45">
        <v>46197</v>
      </c>
      <c r="D824" s="76">
        <v>1440.34947334719</v>
      </c>
      <c r="E824" s="77">
        <v>125</v>
      </c>
      <c r="F824" s="78">
        <v>11.410956239685399</v>
      </c>
      <c r="G824" s="78">
        <v>11.410956239685399</v>
      </c>
      <c r="H824" s="81">
        <v>10.5743442238764</v>
      </c>
    </row>
    <row r="825" spans="1:8" x14ac:dyDescent="0.3">
      <c r="A825" s="74" t="str">
        <f t="shared" si="12"/>
        <v>内蒙古46198</v>
      </c>
      <c r="B825" s="75" t="s">
        <v>14</v>
      </c>
      <c r="C825" s="45">
        <v>46198</v>
      </c>
      <c r="D825" s="76">
        <v>1440.34947334719</v>
      </c>
      <c r="E825" s="77">
        <v>125</v>
      </c>
      <c r="F825" s="78">
        <v>11.410956239685399</v>
      </c>
      <c r="G825" s="78">
        <v>11.410956239685399</v>
      </c>
      <c r="H825" s="81">
        <v>10.5743442238764</v>
      </c>
    </row>
    <row r="826" spans="1:8" x14ac:dyDescent="0.3">
      <c r="A826" s="74" t="str">
        <f t="shared" si="12"/>
        <v>内蒙古46199</v>
      </c>
      <c r="B826" s="75" t="s">
        <v>14</v>
      </c>
      <c r="C826" s="45">
        <v>46199</v>
      </c>
      <c r="D826" s="76">
        <v>1440.34947334719</v>
      </c>
      <c r="E826" s="77">
        <v>125</v>
      </c>
      <c r="F826" s="78">
        <v>11.410956239685399</v>
      </c>
      <c r="G826" s="78">
        <v>11.410956239685399</v>
      </c>
      <c r="H826" s="81">
        <v>10.5743442238764</v>
      </c>
    </row>
    <row r="827" spans="1:8" x14ac:dyDescent="0.3">
      <c r="A827" s="74" t="str">
        <f t="shared" si="12"/>
        <v>内蒙古46200</v>
      </c>
      <c r="B827" s="75" t="s">
        <v>14</v>
      </c>
      <c r="C827" s="45">
        <v>46200</v>
      </c>
      <c r="D827" s="76">
        <v>1440.34947334719</v>
      </c>
      <c r="E827" s="77">
        <v>125</v>
      </c>
      <c r="F827" s="78">
        <v>11.410956239685399</v>
      </c>
      <c r="G827" s="78">
        <v>11.410956239685399</v>
      </c>
      <c r="H827" s="81">
        <v>10.5743442238764</v>
      </c>
    </row>
    <row r="828" spans="1:8" x14ac:dyDescent="0.3">
      <c r="A828" s="74" t="str">
        <f t="shared" si="12"/>
        <v>内蒙古46201</v>
      </c>
      <c r="B828" s="75" t="s">
        <v>14</v>
      </c>
      <c r="C828" s="45">
        <v>46201</v>
      </c>
      <c r="D828" s="76">
        <v>1440.34947334719</v>
      </c>
      <c r="E828" s="77">
        <v>125</v>
      </c>
      <c r="F828" s="78">
        <v>11.410956239685399</v>
      </c>
      <c r="G828" s="78">
        <v>11.410956239685399</v>
      </c>
      <c r="H828" s="81">
        <v>10.5743442238764</v>
      </c>
    </row>
    <row r="829" spans="1:8" x14ac:dyDescent="0.3">
      <c r="A829" s="74" t="str">
        <f t="shared" si="12"/>
        <v>内蒙古46202</v>
      </c>
      <c r="B829" s="75" t="s">
        <v>14</v>
      </c>
      <c r="C829" s="45">
        <v>46202</v>
      </c>
      <c r="D829" s="76">
        <v>1440.34947334719</v>
      </c>
      <c r="E829" s="77">
        <v>125</v>
      </c>
      <c r="F829" s="78">
        <v>11.410956239685399</v>
      </c>
      <c r="G829" s="78">
        <v>11.410956239685399</v>
      </c>
      <c r="H829" s="81">
        <v>10.5743442238764</v>
      </c>
    </row>
    <row r="830" spans="1:8" x14ac:dyDescent="0.3">
      <c r="A830" s="74" t="str">
        <f t="shared" si="12"/>
        <v>内蒙古46203</v>
      </c>
      <c r="B830" s="75" t="s">
        <v>14</v>
      </c>
      <c r="C830" s="45">
        <v>46203</v>
      </c>
      <c r="D830" s="76">
        <v>1440.34947334719</v>
      </c>
      <c r="E830" s="77">
        <v>125</v>
      </c>
      <c r="F830" s="78">
        <v>11.410956239685399</v>
      </c>
      <c r="G830" s="78">
        <v>11.410956239685399</v>
      </c>
      <c r="H830" s="81">
        <v>10.5743442238764</v>
      </c>
    </row>
    <row r="831" spans="1:8" x14ac:dyDescent="0.3">
      <c r="A831" s="74" t="str">
        <f t="shared" si="12"/>
        <v>内蒙古46204</v>
      </c>
      <c r="B831" s="75" t="s">
        <v>14</v>
      </c>
      <c r="C831" s="45">
        <v>46204</v>
      </c>
      <c r="D831" s="76">
        <v>1732.48828974042</v>
      </c>
      <c r="E831" s="77">
        <v>125</v>
      </c>
      <c r="F831" s="78">
        <v>11.889112796612</v>
      </c>
      <c r="G831" s="78">
        <v>11.889112796612</v>
      </c>
      <c r="H831" s="81">
        <v>11.4340066067385</v>
      </c>
    </row>
    <row r="832" spans="1:8" x14ac:dyDescent="0.3">
      <c r="A832" s="74" t="str">
        <f t="shared" si="12"/>
        <v>内蒙古46205</v>
      </c>
      <c r="B832" s="75" t="s">
        <v>14</v>
      </c>
      <c r="C832" s="45">
        <v>46205</v>
      </c>
      <c r="D832" s="76">
        <v>1732.48828974042</v>
      </c>
      <c r="E832" s="77">
        <v>125</v>
      </c>
      <c r="F832" s="78">
        <v>11.889112796612</v>
      </c>
      <c r="G832" s="78">
        <v>11.889112796612</v>
      </c>
      <c r="H832" s="81">
        <v>11.4340066067385</v>
      </c>
    </row>
    <row r="833" spans="1:8" x14ac:dyDescent="0.3">
      <c r="A833" s="74" t="str">
        <f t="shared" si="12"/>
        <v>内蒙古46206</v>
      </c>
      <c r="B833" s="75" t="s">
        <v>14</v>
      </c>
      <c r="C833" s="45">
        <v>46206</v>
      </c>
      <c r="D833" s="76">
        <v>1732.48828974042</v>
      </c>
      <c r="E833" s="77">
        <v>125</v>
      </c>
      <c r="F833" s="78">
        <v>11.889112796612</v>
      </c>
      <c r="G833" s="78">
        <v>11.889112796612</v>
      </c>
      <c r="H833" s="81">
        <v>11.4340066067385</v>
      </c>
    </row>
    <row r="834" spans="1:8" x14ac:dyDescent="0.3">
      <c r="A834" s="74" t="str">
        <f t="shared" si="12"/>
        <v>内蒙古46207</v>
      </c>
      <c r="B834" s="75" t="s">
        <v>14</v>
      </c>
      <c r="C834" s="45">
        <v>46207</v>
      </c>
      <c r="D834" s="76">
        <v>1732.48828974042</v>
      </c>
      <c r="E834" s="77">
        <v>125</v>
      </c>
      <c r="F834" s="78">
        <v>11.889112796612</v>
      </c>
      <c r="G834" s="78">
        <v>11.889112796612</v>
      </c>
      <c r="H834" s="81">
        <v>11.4340066067385</v>
      </c>
    </row>
    <row r="835" spans="1:8" x14ac:dyDescent="0.3">
      <c r="A835" s="74" t="str">
        <f t="shared" ref="A835:A898" si="13">B835&amp;C835</f>
        <v>内蒙古46208</v>
      </c>
      <c r="B835" s="75" t="s">
        <v>14</v>
      </c>
      <c r="C835" s="45">
        <v>46208</v>
      </c>
      <c r="D835" s="76">
        <v>1732.48828974042</v>
      </c>
      <c r="E835" s="77">
        <v>125</v>
      </c>
      <c r="F835" s="78">
        <v>11.889112796612</v>
      </c>
      <c r="G835" s="78">
        <v>11.889112796612</v>
      </c>
      <c r="H835" s="81">
        <v>11.4340066067385</v>
      </c>
    </row>
    <row r="836" spans="1:8" x14ac:dyDescent="0.3">
      <c r="A836" s="74" t="str">
        <f t="shared" si="13"/>
        <v>内蒙古46209</v>
      </c>
      <c r="B836" s="75" t="s">
        <v>14</v>
      </c>
      <c r="C836" s="45">
        <v>46209</v>
      </c>
      <c r="D836" s="76">
        <v>1732.48828974042</v>
      </c>
      <c r="E836" s="77">
        <v>125</v>
      </c>
      <c r="F836" s="78">
        <v>11.889112796612</v>
      </c>
      <c r="G836" s="78">
        <v>11.889112796612</v>
      </c>
      <c r="H836" s="81">
        <v>11.4340066067385</v>
      </c>
    </row>
    <row r="837" spans="1:8" x14ac:dyDescent="0.3">
      <c r="A837" s="74" t="str">
        <f t="shared" si="13"/>
        <v>内蒙古46210</v>
      </c>
      <c r="B837" s="75" t="s">
        <v>14</v>
      </c>
      <c r="C837" s="45">
        <v>46210</v>
      </c>
      <c r="D837" s="76">
        <v>1732.48828974042</v>
      </c>
      <c r="E837" s="77">
        <v>125</v>
      </c>
      <c r="F837" s="78">
        <v>11.889112796612</v>
      </c>
      <c r="G837" s="78">
        <v>11.889112796612</v>
      </c>
      <c r="H837" s="81">
        <v>11.4340066067385</v>
      </c>
    </row>
    <row r="838" spans="1:8" x14ac:dyDescent="0.3">
      <c r="A838" s="74" t="str">
        <f t="shared" si="13"/>
        <v>内蒙古46211</v>
      </c>
      <c r="B838" s="75" t="s">
        <v>14</v>
      </c>
      <c r="C838" s="45">
        <v>46211</v>
      </c>
      <c r="D838" s="76">
        <v>1732.48828974042</v>
      </c>
      <c r="E838" s="77">
        <v>125</v>
      </c>
      <c r="F838" s="78">
        <v>11.889112796612</v>
      </c>
      <c r="G838" s="78">
        <v>11.889112796612</v>
      </c>
      <c r="H838" s="81">
        <v>11.4340066067385</v>
      </c>
    </row>
    <row r="839" spans="1:8" x14ac:dyDescent="0.3">
      <c r="A839" s="74" t="str">
        <f t="shared" si="13"/>
        <v>内蒙古46212</v>
      </c>
      <c r="B839" s="75" t="s">
        <v>14</v>
      </c>
      <c r="C839" s="45">
        <v>46212</v>
      </c>
      <c r="D839" s="76">
        <v>1732.48828974042</v>
      </c>
      <c r="E839" s="77">
        <v>125</v>
      </c>
      <c r="F839" s="78">
        <v>11.889112796612</v>
      </c>
      <c r="G839" s="78">
        <v>11.889112796612</v>
      </c>
      <c r="H839" s="81">
        <v>11.4340066067385</v>
      </c>
    </row>
    <row r="840" spans="1:8" x14ac:dyDescent="0.3">
      <c r="A840" s="74" t="str">
        <f t="shared" si="13"/>
        <v>内蒙古46213</v>
      </c>
      <c r="B840" s="75" t="s">
        <v>14</v>
      </c>
      <c r="C840" s="45">
        <v>46213</v>
      </c>
      <c r="D840" s="76">
        <v>1732.48828974042</v>
      </c>
      <c r="E840" s="77">
        <v>125</v>
      </c>
      <c r="F840" s="78">
        <v>11.889112796612</v>
      </c>
      <c r="G840" s="78">
        <v>11.889112796612</v>
      </c>
      <c r="H840" s="81">
        <v>11.4340066067385</v>
      </c>
    </row>
    <row r="841" spans="1:8" x14ac:dyDescent="0.3">
      <c r="A841" s="74" t="str">
        <f t="shared" si="13"/>
        <v>内蒙古46214</v>
      </c>
      <c r="B841" s="75" t="s">
        <v>14</v>
      </c>
      <c r="C841" s="45">
        <v>46214</v>
      </c>
      <c r="D841" s="76">
        <v>1732.48828974042</v>
      </c>
      <c r="E841" s="77">
        <v>125</v>
      </c>
      <c r="F841" s="78">
        <v>11.889112796612</v>
      </c>
      <c r="G841" s="78">
        <v>11.889112796612</v>
      </c>
      <c r="H841" s="81">
        <v>11.4340066067385</v>
      </c>
    </row>
    <row r="842" spans="1:8" x14ac:dyDescent="0.3">
      <c r="A842" s="74" t="str">
        <f t="shared" si="13"/>
        <v>内蒙古46215</v>
      </c>
      <c r="B842" s="75" t="s">
        <v>14</v>
      </c>
      <c r="C842" s="45">
        <v>46215</v>
      </c>
      <c r="D842" s="76">
        <v>1732.48828974042</v>
      </c>
      <c r="E842" s="77">
        <v>125</v>
      </c>
      <c r="F842" s="78">
        <v>11.889112796612</v>
      </c>
      <c r="G842" s="78">
        <v>11.889112796612</v>
      </c>
      <c r="H842" s="81">
        <v>11.4340066067385</v>
      </c>
    </row>
    <row r="843" spans="1:8" x14ac:dyDescent="0.3">
      <c r="A843" s="74" t="str">
        <f t="shared" si="13"/>
        <v>内蒙古46216</v>
      </c>
      <c r="B843" s="75" t="s">
        <v>14</v>
      </c>
      <c r="C843" s="45">
        <v>46216</v>
      </c>
      <c r="D843" s="76">
        <v>1732.48828974042</v>
      </c>
      <c r="E843" s="77">
        <v>125</v>
      </c>
      <c r="F843" s="78">
        <v>11.889112796612</v>
      </c>
      <c r="G843" s="78">
        <v>11.889112796612</v>
      </c>
      <c r="H843" s="81">
        <v>11.4340066067385</v>
      </c>
    </row>
    <row r="844" spans="1:8" x14ac:dyDescent="0.3">
      <c r="A844" s="74" t="str">
        <f t="shared" si="13"/>
        <v>内蒙古46217</v>
      </c>
      <c r="B844" s="75" t="s">
        <v>14</v>
      </c>
      <c r="C844" s="45">
        <v>46217</v>
      </c>
      <c r="D844" s="76">
        <v>1732.48828974042</v>
      </c>
      <c r="E844" s="77">
        <v>125</v>
      </c>
      <c r="F844" s="78">
        <v>11.889112796612</v>
      </c>
      <c r="G844" s="78">
        <v>11.889112796612</v>
      </c>
      <c r="H844" s="81">
        <v>11.4340066067385</v>
      </c>
    </row>
    <row r="845" spans="1:8" x14ac:dyDescent="0.3">
      <c r="A845" s="74" t="str">
        <f t="shared" si="13"/>
        <v>内蒙古46218</v>
      </c>
      <c r="B845" s="75" t="s">
        <v>14</v>
      </c>
      <c r="C845" s="45">
        <v>46218</v>
      </c>
      <c r="D845" s="76">
        <v>1732.48828974042</v>
      </c>
      <c r="E845" s="77">
        <v>125</v>
      </c>
      <c r="F845" s="78">
        <v>11.889112796612</v>
      </c>
      <c r="G845" s="78">
        <v>11.889112796612</v>
      </c>
      <c r="H845" s="81">
        <v>11.4340066067385</v>
      </c>
    </row>
    <row r="846" spans="1:8" x14ac:dyDescent="0.3">
      <c r="A846" s="74" t="str">
        <f t="shared" si="13"/>
        <v>内蒙古46219</v>
      </c>
      <c r="B846" s="75" t="s">
        <v>14</v>
      </c>
      <c r="C846" s="45">
        <v>46219</v>
      </c>
      <c r="D846" s="76">
        <v>1732.48828974042</v>
      </c>
      <c r="E846" s="77">
        <v>125</v>
      </c>
      <c r="F846" s="78">
        <v>11.889112796612</v>
      </c>
      <c r="G846" s="78">
        <v>11.889112796612</v>
      </c>
      <c r="H846" s="81">
        <v>11.4340066067385</v>
      </c>
    </row>
    <row r="847" spans="1:8" x14ac:dyDescent="0.3">
      <c r="A847" s="74" t="str">
        <f t="shared" si="13"/>
        <v>内蒙古46220</v>
      </c>
      <c r="B847" s="75" t="s">
        <v>14</v>
      </c>
      <c r="C847" s="45">
        <v>46220</v>
      </c>
      <c r="D847" s="76">
        <v>1732.48828974042</v>
      </c>
      <c r="E847" s="77">
        <v>125</v>
      </c>
      <c r="F847" s="78">
        <v>11.889112796612</v>
      </c>
      <c r="G847" s="78">
        <v>11.889112796612</v>
      </c>
      <c r="H847" s="81">
        <v>11.4340066067385</v>
      </c>
    </row>
    <row r="848" spans="1:8" x14ac:dyDescent="0.3">
      <c r="A848" s="74" t="str">
        <f t="shared" si="13"/>
        <v>内蒙古46221</v>
      </c>
      <c r="B848" s="75" t="s">
        <v>14</v>
      </c>
      <c r="C848" s="45">
        <v>46221</v>
      </c>
      <c r="D848" s="76">
        <v>1732.48828974042</v>
      </c>
      <c r="E848" s="77">
        <v>125</v>
      </c>
      <c r="F848" s="78">
        <v>11.889112796612</v>
      </c>
      <c r="G848" s="78">
        <v>11.889112796612</v>
      </c>
      <c r="H848" s="81">
        <v>11.4340066067385</v>
      </c>
    </row>
    <row r="849" spans="1:8" x14ac:dyDescent="0.3">
      <c r="A849" s="74" t="str">
        <f t="shared" si="13"/>
        <v>内蒙古46222</v>
      </c>
      <c r="B849" s="75" t="s">
        <v>14</v>
      </c>
      <c r="C849" s="45">
        <v>46222</v>
      </c>
      <c r="D849" s="76">
        <v>1732.48828974042</v>
      </c>
      <c r="E849" s="77">
        <v>125</v>
      </c>
      <c r="F849" s="78">
        <v>11.889112796612</v>
      </c>
      <c r="G849" s="78">
        <v>11.889112796612</v>
      </c>
      <c r="H849" s="81">
        <v>11.4340066067385</v>
      </c>
    </row>
    <row r="850" spans="1:8" x14ac:dyDescent="0.3">
      <c r="A850" s="74" t="str">
        <f t="shared" si="13"/>
        <v>内蒙古46223</v>
      </c>
      <c r="B850" s="75" t="s">
        <v>14</v>
      </c>
      <c r="C850" s="45">
        <v>46223</v>
      </c>
      <c r="D850" s="76">
        <v>1732.48828974042</v>
      </c>
      <c r="E850" s="77">
        <v>125</v>
      </c>
      <c r="F850" s="78">
        <v>11.889112796612</v>
      </c>
      <c r="G850" s="78">
        <v>11.889112796612</v>
      </c>
      <c r="H850" s="81">
        <v>11.4340066067385</v>
      </c>
    </row>
    <row r="851" spans="1:8" x14ac:dyDescent="0.3">
      <c r="A851" s="74" t="str">
        <f t="shared" si="13"/>
        <v>内蒙古46224</v>
      </c>
      <c r="B851" s="75" t="s">
        <v>14</v>
      </c>
      <c r="C851" s="45">
        <v>46224</v>
      </c>
      <c r="D851" s="76">
        <v>1732.48828974042</v>
      </c>
      <c r="E851" s="77">
        <v>125</v>
      </c>
      <c r="F851" s="78">
        <v>11.889112796612</v>
      </c>
      <c r="G851" s="78">
        <v>11.889112796612</v>
      </c>
      <c r="H851" s="81">
        <v>11.4340066067385</v>
      </c>
    </row>
    <row r="852" spans="1:8" x14ac:dyDescent="0.3">
      <c r="A852" s="74" t="str">
        <f t="shared" si="13"/>
        <v>内蒙古46225</v>
      </c>
      <c r="B852" s="75" t="s">
        <v>14</v>
      </c>
      <c r="C852" s="45">
        <v>46225</v>
      </c>
      <c r="D852" s="76">
        <v>1732.48828974042</v>
      </c>
      <c r="E852" s="77">
        <v>125</v>
      </c>
      <c r="F852" s="78">
        <v>11.889112796612</v>
      </c>
      <c r="G852" s="78">
        <v>11.889112796612</v>
      </c>
      <c r="H852" s="81">
        <v>11.4340066067385</v>
      </c>
    </row>
    <row r="853" spans="1:8" x14ac:dyDescent="0.3">
      <c r="A853" s="74" t="str">
        <f t="shared" si="13"/>
        <v>内蒙古46226</v>
      </c>
      <c r="B853" s="75" t="s">
        <v>14</v>
      </c>
      <c r="C853" s="45">
        <v>46226</v>
      </c>
      <c r="D853" s="76">
        <v>1732.48828974042</v>
      </c>
      <c r="E853" s="77">
        <v>125</v>
      </c>
      <c r="F853" s="78">
        <v>11.889112796612</v>
      </c>
      <c r="G853" s="78">
        <v>11.889112796612</v>
      </c>
      <c r="H853" s="81">
        <v>11.4340066067385</v>
      </c>
    </row>
    <row r="854" spans="1:8" x14ac:dyDescent="0.3">
      <c r="A854" s="74" t="str">
        <f t="shared" si="13"/>
        <v>内蒙古46227</v>
      </c>
      <c r="B854" s="75" t="s">
        <v>14</v>
      </c>
      <c r="C854" s="45">
        <v>46227</v>
      </c>
      <c r="D854" s="76">
        <v>1732.48828974042</v>
      </c>
      <c r="E854" s="77">
        <v>125</v>
      </c>
      <c r="F854" s="78">
        <v>11.889112796612</v>
      </c>
      <c r="G854" s="78">
        <v>11.889112796612</v>
      </c>
      <c r="H854" s="81">
        <v>11.4340066067385</v>
      </c>
    </row>
    <row r="855" spans="1:8" x14ac:dyDescent="0.3">
      <c r="A855" s="74" t="str">
        <f t="shared" si="13"/>
        <v>内蒙古46228</v>
      </c>
      <c r="B855" s="75" t="s">
        <v>14</v>
      </c>
      <c r="C855" s="45">
        <v>46228</v>
      </c>
      <c r="D855" s="76">
        <v>1732.48828974042</v>
      </c>
      <c r="E855" s="77">
        <v>125</v>
      </c>
      <c r="F855" s="78">
        <v>11.889112796612</v>
      </c>
      <c r="G855" s="78">
        <v>11.889112796612</v>
      </c>
      <c r="H855" s="81">
        <v>11.4340066067385</v>
      </c>
    </row>
    <row r="856" spans="1:8" x14ac:dyDescent="0.3">
      <c r="A856" s="74" t="str">
        <f t="shared" si="13"/>
        <v>内蒙古46229</v>
      </c>
      <c r="B856" s="75" t="s">
        <v>14</v>
      </c>
      <c r="C856" s="45">
        <v>46229</v>
      </c>
      <c r="D856" s="76">
        <v>1732.48828974042</v>
      </c>
      <c r="E856" s="77">
        <v>125</v>
      </c>
      <c r="F856" s="78">
        <v>11.889112796612</v>
      </c>
      <c r="G856" s="78">
        <v>11.889112796612</v>
      </c>
      <c r="H856" s="81">
        <v>11.4340066067385</v>
      </c>
    </row>
    <row r="857" spans="1:8" x14ac:dyDescent="0.3">
      <c r="A857" s="74" t="str">
        <f t="shared" si="13"/>
        <v>内蒙古46230</v>
      </c>
      <c r="B857" s="75" t="s">
        <v>14</v>
      </c>
      <c r="C857" s="45">
        <v>46230</v>
      </c>
      <c r="D857" s="76">
        <v>1732.48828974042</v>
      </c>
      <c r="E857" s="77">
        <v>125</v>
      </c>
      <c r="F857" s="78">
        <v>11.889112796612</v>
      </c>
      <c r="G857" s="78">
        <v>11.889112796612</v>
      </c>
      <c r="H857" s="81">
        <v>11.4340066067385</v>
      </c>
    </row>
    <row r="858" spans="1:8" x14ac:dyDescent="0.3">
      <c r="A858" s="74" t="str">
        <f t="shared" si="13"/>
        <v>内蒙古46231</v>
      </c>
      <c r="B858" s="75" t="s">
        <v>14</v>
      </c>
      <c r="C858" s="45">
        <v>46231</v>
      </c>
      <c r="D858" s="76">
        <v>1732.48828974042</v>
      </c>
      <c r="E858" s="77">
        <v>125</v>
      </c>
      <c r="F858" s="78">
        <v>11.889112796612</v>
      </c>
      <c r="G858" s="78">
        <v>11.889112796612</v>
      </c>
      <c r="H858" s="81">
        <v>11.4340066067385</v>
      </c>
    </row>
    <row r="859" spans="1:8" x14ac:dyDescent="0.3">
      <c r="A859" s="74" t="str">
        <f t="shared" si="13"/>
        <v>内蒙古46232</v>
      </c>
      <c r="B859" s="75" t="s">
        <v>14</v>
      </c>
      <c r="C859" s="45">
        <v>46232</v>
      </c>
      <c r="D859" s="76">
        <v>1732.48828974042</v>
      </c>
      <c r="E859" s="77">
        <v>125</v>
      </c>
      <c r="F859" s="78">
        <v>11.889112796612</v>
      </c>
      <c r="G859" s="78">
        <v>11.889112796612</v>
      </c>
      <c r="H859" s="81">
        <v>11.4340066067385</v>
      </c>
    </row>
    <row r="860" spans="1:8" x14ac:dyDescent="0.3">
      <c r="A860" s="74" t="str">
        <f t="shared" si="13"/>
        <v>内蒙古46233</v>
      </c>
      <c r="B860" s="75" t="s">
        <v>14</v>
      </c>
      <c r="C860" s="45">
        <v>46233</v>
      </c>
      <c r="D860" s="76">
        <v>1732.48828974042</v>
      </c>
      <c r="E860" s="77">
        <v>125</v>
      </c>
      <c r="F860" s="78">
        <v>11.889112796612</v>
      </c>
      <c r="G860" s="78">
        <v>11.889112796612</v>
      </c>
      <c r="H860" s="81">
        <v>11.4340066067385</v>
      </c>
    </row>
    <row r="861" spans="1:8" x14ac:dyDescent="0.3">
      <c r="A861" s="74" t="str">
        <f t="shared" si="13"/>
        <v>内蒙古46234</v>
      </c>
      <c r="B861" s="75" t="s">
        <v>14</v>
      </c>
      <c r="C861" s="45">
        <v>46234</v>
      </c>
      <c r="D861" s="76">
        <v>1732.48828974042</v>
      </c>
      <c r="E861" s="77">
        <v>125</v>
      </c>
      <c r="F861" s="78">
        <v>11.889112796612</v>
      </c>
      <c r="G861" s="78">
        <v>11.889112796612</v>
      </c>
      <c r="H861" s="81">
        <v>11.4340066067385</v>
      </c>
    </row>
    <row r="862" spans="1:8" x14ac:dyDescent="0.3">
      <c r="A862" s="74" t="str">
        <f t="shared" si="13"/>
        <v>内蒙古46235</v>
      </c>
      <c r="B862" s="75" t="s">
        <v>14</v>
      </c>
      <c r="C862" s="45">
        <v>46235</v>
      </c>
      <c r="D862" s="76">
        <v>1629.3880819917199</v>
      </c>
      <c r="E862" s="77">
        <v>125</v>
      </c>
      <c r="F862" s="78">
        <v>11.994341518698601</v>
      </c>
      <c r="G862" s="78">
        <v>11.994341518698601</v>
      </c>
      <c r="H862" s="81">
        <v>11.9657053059654</v>
      </c>
    </row>
    <row r="863" spans="1:8" x14ac:dyDescent="0.3">
      <c r="A863" s="74" t="str">
        <f t="shared" si="13"/>
        <v>内蒙古46236</v>
      </c>
      <c r="B863" s="75" t="s">
        <v>14</v>
      </c>
      <c r="C863" s="45">
        <v>46236</v>
      </c>
      <c r="D863" s="76">
        <v>1629.3880819917199</v>
      </c>
      <c r="E863" s="77">
        <v>125</v>
      </c>
      <c r="F863" s="78">
        <v>11.994341518698601</v>
      </c>
      <c r="G863" s="78">
        <v>11.994341518698601</v>
      </c>
      <c r="H863" s="81">
        <v>11.9657053059654</v>
      </c>
    </row>
    <row r="864" spans="1:8" x14ac:dyDescent="0.3">
      <c r="A864" s="74" t="str">
        <f t="shared" si="13"/>
        <v>内蒙古46237</v>
      </c>
      <c r="B864" s="75" t="s">
        <v>14</v>
      </c>
      <c r="C864" s="45">
        <v>46237</v>
      </c>
      <c r="D864" s="76">
        <v>1629.3880819917199</v>
      </c>
      <c r="E864" s="77">
        <v>125</v>
      </c>
      <c r="F864" s="78">
        <v>11.994341518698601</v>
      </c>
      <c r="G864" s="78">
        <v>11.994341518698601</v>
      </c>
      <c r="H864" s="81">
        <v>11.9657053059654</v>
      </c>
    </row>
    <row r="865" spans="1:8" x14ac:dyDescent="0.3">
      <c r="A865" s="74" t="str">
        <f t="shared" si="13"/>
        <v>内蒙古46238</v>
      </c>
      <c r="B865" s="75" t="s">
        <v>14</v>
      </c>
      <c r="C865" s="45">
        <v>46238</v>
      </c>
      <c r="D865" s="76">
        <v>1629.3880819917199</v>
      </c>
      <c r="E865" s="77">
        <v>125</v>
      </c>
      <c r="F865" s="78">
        <v>11.994341518698601</v>
      </c>
      <c r="G865" s="78">
        <v>11.994341518698601</v>
      </c>
      <c r="H865" s="81">
        <v>11.9657053059654</v>
      </c>
    </row>
    <row r="866" spans="1:8" x14ac:dyDescent="0.3">
      <c r="A866" s="74" t="str">
        <f t="shared" si="13"/>
        <v>内蒙古46239</v>
      </c>
      <c r="B866" s="75" t="s">
        <v>14</v>
      </c>
      <c r="C866" s="45">
        <v>46239</v>
      </c>
      <c r="D866" s="76">
        <v>1629.3880819917199</v>
      </c>
      <c r="E866" s="77">
        <v>125</v>
      </c>
      <c r="F866" s="78">
        <v>11.994341518698601</v>
      </c>
      <c r="G866" s="78">
        <v>11.994341518698601</v>
      </c>
      <c r="H866" s="81">
        <v>11.9657053059654</v>
      </c>
    </row>
    <row r="867" spans="1:8" x14ac:dyDescent="0.3">
      <c r="A867" s="74" t="str">
        <f t="shared" si="13"/>
        <v>内蒙古46240</v>
      </c>
      <c r="B867" s="75" t="s">
        <v>14</v>
      </c>
      <c r="C867" s="45">
        <v>46240</v>
      </c>
      <c r="D867" s="76">
        <v>1629.3880819917199</v>
      </c>
      <c r="E867" s="77">
        <v>125</v>
      </c>
      <c r="F867" s="78">
        <v>11.994341518698601</v>
      </c>
      <c r="G867" s="78">
        <v>11.994341518698601</v>
      </c>
      <c r="H867" s="81">
        <v>11.9657053059654</v>
      </c>
    </row>
    <row r="868" spans="1:8" x14ac:dyDescent="0.3">
      <c r="A868" s="74" t="str">
        <f t="shared" si="13"/>
        <v>内蒙古46241</v>
      </c>
      <c r="B868" s="75" t="s">
        <v>14</v>
      </c>
      <c r="C868" s="45">
        <v>46241</v>
      </c>
      <c r="D868" s="76">
        <v>1629.3880819917199</v>
      </c>
      <c r="E868" s="77">
        <v>125</v>
      </c>
      <c r="F868" s="78">
        <v>11.994341518698601</v>
      </c>
      <c r="G868" s="78">
        <v>11.994341518698601</v>
      </c>
      <c r="H868" s="81">
        <v>11.9657053059654</v>
      </c>
    </row>
    <row r="869" spans="1:8" x14ac:dyDescent="0.3">
      <c r="A869" s="74" t="str">
        <f t="shared" si="13"/>
        <v>内蒙古46242</v>
      </c>
      <c r="B869" s="75" t="s">
        <v>14</v>
      </c>
      <c r="C869" s="45">
        <v>46242</v>
      </c>
      <c r="D869" s="76">
        <v>1629.3880819917199</v>
      </c>
      <c r="E869" s="77">
        <v>125</v>
      </c>
      <c r="F869" s="78">
        <v>11.994341518698601</v>
      </c>
      <c r="G869" s="78">
        <v>11.994341518698601</v>
      </c>
      <c r="H869" s="81">
        <v>11.9657053059654</v>
      </c>
    </row>
    <row r="870" spans="1:8" x14ac:dyDescent="0.3">
      <c r="A870" s="74" t="str">
        <f t="shared" si="13"/>
        <v>内蒙古46243</v>
      </c>
      <c r="B870" s="75" t="s">
        <v>14</v>
      </c>
      <c r="C870" s="45">
        <v>46243</v>
      </c>
      <c r="D870" s="76">
        <v>1629.3880819917199</v>
      </c>
      <c r="E870" s="77">
        <v>125</v>
      </c>
      <c r="F870" s="78">
        <v>11.994341518698601</v>
      </c>
      <c r="G870" s="78">
        <v>11.994341518698601</v>
      </c>
      <c r="H870" s="81">
        <v>11.9657053059654</v>
      </c>
    </row>
    <row r="871" spans="1:8" x14ac:dyDescent="0.3">
      <c r="A871" s="74" t="str">
        <f t="shared" si="13"/>
        <v>内蒙古46244</v>
      </c>
      <c r="B871" s="75" t="s">
        <v>14</v>
      </c>
      <c r="C871" s="45">
        <v>46244</v>
      </c>
      <c r="D871" s="76">
        <v>1629.3880819917199</v>
      </c>
      <c r="E871" s="77">
        <v>125</v>
      </c>
      <c r="F871" s="78">
        <v>11.994341518698601</v>
      </c>
      <c r="G871" s="78">
        <v>11.994341518698601</v>
      </c>
      <c r="H871" s="81">
        <v>11.9657053059654</v>
      </c>
    </row>
    <row r="872" spans="1:8" x14ac:dyDescent="0.3">
      <c r="A872" s="74" t="str">
        <f t="shared" si="13"/>
        <v>内蒙古46245</v>
      </c>
      <c r="B872" s="75" t="s">
        <v>14</v>
      </c>
      <c r="C872" s="45">
        <v>46245</v>
      </c>
      <c r="D872" s="76">
        <v>1629.3880819917199</v>
      </c>
      <c r="E872" s="77">
        <v>125</v>
      </c>
      <c r="F872" s="78">
        <v>11.994341518698601</v>
      </c>
      <c r="G872" s="78">
        <v>11.994341518698601</v>
      </c>
      <c r="H872" s="81">
        <v>11.9657053059654</v>
      </c>
    </row>
    <row r="873" spans="1:8" x14ac:dyDescent="0.3">
      <c r="A873" s="74" t="str">
        <f t="shared" si="13"/>
        <v>内蒙古46246</v>
      </c>
      <c r="B873" s="75" t="s">
        <v>14</v>
      </c>
      <c r="C873" s="45">
        <v>46246</v>
      </c>
      <c r="D873" s="76">
        <v>1629.3880819917199</v>
      </c>
      <c r="E873" s="77">
        <v>125</v>
      </c>
      <c r="F873" s="78">
        <v>11.994341518698601</v>
      </c>
      <c r="G873" s="78">
        <v>11.994341518698601</v>
      </c>
      <c r="H873" s="81">
        <v>11.9657053059654</v>
      </c>
    </row>
    <row r="874" spans="1:8" x14ac:dyDescent="0.3">
      <c r="A874" s="74" t="str">
        <f t="shared" si="13"/>
        <v>内蒙古46247</v>
      </c>
      <c r="B874" s="75" t="s">
        <v>14</v>
      </c>
      <c r="C874" s="45">
        <v>46247</v>
      </c>
      <c r="D874" s="76">
        <v>1629.3880819917199</v>
      </c>
      <c r="E874" s="77">
        <v>125</v>
      </c>
      <c r="F874" s="78">
        <v>11.994341518698601</v>
      </c>
      <c r="G874" s="78">
        <v>11.994341518698601</v>
      </c>
      <c r="H874" s="81">
        <v>11.9657053059654</v>
      </c>
    </row>
    <row r="875" spans="1:8" x14ac:dyDescent="0.3">
      <c r="A875" s="74" t="str">
        <f t="shared" si="13"/>
        <v>内蒙古46248</v>
      </c>
      <c r="B875" s="75" t="s">
        <v>14</v>
      </c>
      <c r="C875" s="45">
        <v>46248</v>
      </c>
      <c r="D875" s="76">
        <v>1629.3880819917199</v>
      </c>
      <c r="E875" s="77">
        <v>125</v>
      </c>
      <c r="F875" s="78">
        <v>11.994341518698601</v>
      </c>
      <c r="G875" s="78">
        <v>11.994341518698601</v>
      </c>
      <c r="H875" s="81">
        <v>11.9657053059654</v>
      </c>
    </row>
    <row r="876" spans="1:8" x14ac:dyDescent="0.3">
      <c r="A876" s="74" t="str">
        <f t="shared" si="13"/>
        <v>内蒙古46249</v>
      </c>
      <c r="B876" s="75" t="s">
        <v>14</v>
      </c>
      <c r="C876" s="45">
        <v>46249</v>
      </c>
      <c r="D876" s="76">
        <v>1629.3880819917199</v>
      </c>
      <c r="E876" s="77">
        <v>125</v>
      </c>
      <c r="F876" s="78">
        <v>11.994341518698601</v>
      </c>
      <c r="G876" s="78">
        <v>11.994341518698601</v>
      </c>
      <c r="H876" s="81">
        <v>11.9657053059654</v>
      </c>
    </row>
    <row r="877" spans="1:8" x14ac:dyDescent="0.3">
      <c r="A877" s="74" t="str">
        <f t="shared" si="13"/>
        <v>内蒙古46250</v>
      </c>
      <c r="B877" s="75" t="s">
        <v>14</v>
      </c>
      <c r="C877" s="45">
        <v>46250</v>
      </c>
      <c r="D877" s="76">
        <v>1629.3880819917199</v>
      </c>
      <c r="E877" s="77">
        <v>125</v>
      </c>
      <c r="F877" s="78">
        <v>11.994341518698601</v>
      </c>
      <c r="G877" s="78">
        <v>11.994341518698601</v>
      </c>
      <c r="H877" s="81">
        <v>11.9657053059654</v>
      </c>
    </row>
    <row r="878" spans="1:8" x14ac:dyDescent="0.3">
      <c r="A878" s="74" t="str">
        <f t="shared" si="13"/>
        <v>内蒙古46251</v>
      </c>
      <c r="B878" s="75" t="s">
        <v>14</v>
      </c>
      <c r="C878" s="45">
        <v>46251</v>
      </c>
      <c r="D878" s="76">
        <v>1629.3880819917199</v>
      </c>
      <c r="E878" s="77">
        <v>125</v>
      </c>
      <c r="F878" s="78">
        <v>11.994341518698601</v>
      </c>
      <c r="G878" s="78">
        <v>11.994341518698601</v>
      </c>
      <c r="H878" s="81">
        <v>11.9657053059654</v>
      </c>
    </row>
    <row r="879" spans="1:8" x14ac:dyDescent="0.3">
      <c r="A879" s="74" t="str">
        <f t="shared" si="13"/>
        <v>内蒙古46252</v>
      </c>
      <c r="B879" s="75" t="s">
        <v>14</v>
      </c>
      <c r="C879" s="45">
        <v>46252</v>
      </c>
      <c r="D879" s="76">
        <v>1629.3880819917199</v>
      </c>
      <c r="E879" s="77">
        <v>125</v>
      </c>
      <c r="F879" s="78">
        <v>11.994341518698601</v>
      </c>
      <c r="G879" s="78">
        <v>11.994341518698601</v>
      </c>
      <c r="H879" s="81">
        <v>11.9657053059654</v>
      </c>
    </row>
    <row r="880" spans="1:8" x14ac:dyDescent="0.3">
      <c r="A880" s="74" t="str">
        <f t="shared" si="13"/>
        <v>内蒙古46253</v>
      </c>
      <c r="B880" s="75" t="s">
        <v>14</v>
      </c>
      <c r="C880" s="45">
        <v>46253</v>
      </c>
      <c r="D880" s="76">
        <v>1629.3880819917199</v>
      </c>
      <c r="E880" s="77">
        <v>125</v>
      </c>
      <c r="F880" s="78">
        <v>11.994341518698601</v>
      </c>
      <c r="G880" s="78">
        <v>11.994341518698601</v>
      </c>
      <c r="H880" s="81">
        <v>11.9657053059654</v>
      </c>
    </row>
    <row r="881" spans="1:8" x14ac:dyDescent="0.3">
      <c r="A881" s="74" t="str">
        <f t="shared" si="13"/>
        <v>内蒙古46254</v>
      </c>
      <c r="B881" s="75" t="s">
        <v>14</v>
      </c>
      <c r="C881" s="45">
        <v>46254</v>
      </c>
      <c r="D881" s="76">
        <v>1629.3880819917199</v>
      </c>
      <c r="E881" s="77">
        <v>125</v>
      </c>
      <c r="F881" s="78">
        <v>11.994341518698601</v>
      </c>
      <c r="G881" s="78">
        <v>11.994341518698601</v>
      </c>
      <c r="H881" s="81">
        <v>11.9657053059654</v>
      </c>
    </row>
    <row r="882" spans="1:8" x14ac:dyDescent="0.3">
      <c r="A882" s="74" t="str">
        <f t="shared" si="13"/>
        <v>内蒙古46255</v>
      </c>
      <c r="B882" s="75" t="s">
        <v>14</v>
      </c>
      <c r="C882" s="45">
        <v>46255</v>
      </c>
      <c r="D882" s="76">
        <v>1629.3880819917199</v>
      </c>
      <c r="E882" s="77">
        <v>125</v>
      </c>
      <c r="F882" s="78">
        <v>11.994341518698601</v>
      </c>
      <c r="G882" s="78">
        <v>11.994341518698601</v>
      </c>
      <c r="H882" s="81">
        <v>11.9657053059654</v>
      </c>
    </row>
    <row r="883" spans="1:8" x14ac:dyDescent="0.3">
      <c r="A883" s="74" t="str">
        <f t="shared" si="13"/>
        <v>内蒙古46256</v>
      </c>
      <c r="B883" s="75" t="s">
        <v>14</v>
      </c>
      <c r="C883" s="45">
        <v>46256</v>
      </c>
      <c r="D883" s="76">
        <v>1629.3880819917199</v>
      </c>
      <c r="E883" s="77">
        <v>125</v>
      </c>
      <c r="F883" s="78">
        <v>11.994341518698601</v>
      </c>
      <c r="G883" s="78">
        <v>11.994341518698601</v>
      </c>
      <c r="H883" s="81">
        <v>11.9657053059654</v>
      </c>
    </row>
    <row r="884" spans="1:8" x14ac:dyDescent="0.3">
      <c r="A884" s="74" t="str">
        <f t="shared" si="13"/>
        <v>内蒙古46257</v>
      </c>
      <c r="B884" s="75" t="s">
        <v>14</v>
      </c>
      <c r="C884" s="45">
        <v>46257</v>
      </c>
      <c r="D884" s="76">
        <v>1629.3880819917199</v>
      </c>
      <c r="E884" s="77">
        <v>125</v>
      </c>
      <c r="F884" s="78">
        <v>11.994341518698601</v>
      </c>
      <c r="G884" s="78">
        <v>11.994341518698601</v>
      </c>
      <c r="H884" s="81">
        <v>11.9657053059654</v>
      </c>
    </row>
    <row r="885" spans="1:8" x14ac:dyDescent="0.3">
      <c r="A885" s="74" t="str">
        <f t="shared" si="13"/>
        <v>内蒙古46258</v>
      </c>
      <c r="B885" s="75" t="s">
        <v>14</v>
      </c>
      <c r="C885" s="45">
        <v>46258</v>
      </c>
      <c r="D885" s="76">
        <v>1629.3880819917199</v>
      </c>
      <c r="E885" s="77">
        <v>125</v>
      </c>
      <c r="F885" s="78">
        <v>11.994341518698601</v>
      </c>
      <c r="G885" s="78">
        <v>11.994341518698601</v>
      </c>
      <c r="H885" s="81">
        <v>11.9657053059654</v>
      </c>
    </row>
    <row r="886" spans="1:8" x14ac:dyDescent="0.3">
      <c r="A886" s="74" t="str">
        <f t="shared" si="13"/>
        <v>内蒙古46259</v>
      </c>
      <c r="B886" s="75" t="s">
        <v>14</v>
      </c>
      <c r="C886" s="45">
        <v>46259</v>
      </c>
      <c r="D886" s="76">
        <v>1629.3880819917199</v>
      </c>
      <c r="E886" s="77">
        <v>125</v>
      </c>
      <c r="F886" s="78">
        <v>11.994341518698601</v>
      </c>
      <c r="G886" s="78">
        <v>11.994341518698601</v>
      </c>
      <c r="H886" s="81">
        <v>11.9657053059654</v>
      </c>
    </row>
    <row r="887" spans="1:8" x14ac:dyDescent="0.3">
      <c r="A887" s="74" t="str">
        <f t="shared" si="13"/>
        <v>内蒙古46260</v>
      </c>
      <c r="B887" s="75" t="s">
        <v>14</v>
      </c>
      <c r="C887" s="45">
        <v>46260</v>
      </c>
      <c r="D887" s="76">
        <v>1629.3880819917199</v>
      </c>
      <c r="E887" s="77">
        <v>125</v>
      </c>
      <c r="F887" s="78">
        <v>11.994341518698601</v>
      </c>
      <c r="G887" s="78">
        <v>11.994341518698601</v>
      </c>
      <c r="H887" s="81">
        <v>11.9657053059654</v>
      </c>
    </row>
    <row r="888" spans="1:8" x14ac:dyDescent="0.3">
      <c r="A888" s="74" t="str">
        <f t="shared" si="13"/>
        <v>内蒙古46261</v>
      </c>
      <c r="B888" s="75" t="s">
        <v>14</v>
      </c>
      <c r="C888" s="45">
        <v>46261</v>
      </c>
      <c r="D888" s="76">
        <v>1629.3880819917199</v>
      </c>
      <c r="E888" s="77">
        <v>125</v>
      </c>
      <c r="F888" s="78">
        <v>11.994341518698601</v>
      </c>
      <c r="G888" s="78">
        <v>11.994341518698601</v>
      </c>
      <c r="H888" s="81">
        <v>11.9657053059654</v>
      </c>
    </row>
    <row r="889" spans="1:8" x14ac:dyDescent="0.3">
      <c r="A889" s="74" t="str">
        <f t="shared" si="13"/>
        <v>内蒙古46262</v>
      </c>
      <c r="B889" s="75" t="s">
        <v>14</v>
      </c>
      <c r="C889" s="45">
        <v>46262</v>
      </c>
      <c r="D889" s="76">
        <v>1629.3880819917199</v>
      </c>
      <c r="E889" s="77">
        <v>125</v>
      </c>
      <c r="F889" s="78">
        <v>11.994341518698601</v>
      </c>
      <c r="G889" s="78">
        <v>11.994341518698601</v>
      </c>
      <c r="H889" s="81">
        <v>11.9657053059654</v>
      </c>
    </row>
    <row r="890" spans="1:8" x14ac:dyDescent="0.3">
      <c r="A890" s="74" t="str">
        <f t="shared" si="13"/>
        <v>内蒙古46263</v>
      </c>
      <c r="B890" s="75" t="s">
        <v>14</v>
      </c>
      <c r="C890" s="45">
        <v>46263</v>
      </c>
      <c r="D890" s="76">
        <v>1629.3880819917199</v>
      </c>
      <c r="E890" s="77">
        <v>125</v>
      </c>
      <c r="F890" s="78">
        <v>11.994341518698601</v>
      </c>
      <c r="G890" s="78">
        <v>11.994341518698601</v>
      </c>
      <c r="H890" s="81">
        <v>11.9657053059654</v>
      </c>
    </row>
    <row r="891" spans="1:8" x14ac:dyDescent="0.3">
      <c r="A891" s="74" t="str">
        <f t="shared" si="13"/>
        <v>内蒙古46264</v>
      </c>
      <c r="B891" s="75" t="s">
        <v>14</v>
      </c>
      <c r="C891" s="45">
        <v>46264</v>
      </c>
      <c r="D891" s="76">
        <v>1629.3880819917199</v>
      </c>
      <c r="E891" s="77">
        <v>125</v>
      </c>
      <c r="F891" s="78">
        <v>11.994341518698601</v>
      </c>
      <c r="G891" s="78">
        <v>11.994341518698601</v>
      </c>
      <c r="H891" s="81">
        <v>11.9657053059654</v>
      </c>
    </row>
    <row r="892" spans="1:8" x14ac:dyDescent="0.3">
      <c r="A892" s="74" t="str">
        <f t="shared" si="13"/>
        <v>内蒙古46265</v>
      </c>
      <c r="B892" s="75" t="s">
        <v>14</v>
      </c>
      <c r="C892" s="45">
        <v>46265</v>
      </c>
      <c r="D892" s="76">
        <v>1629.3880819917199</v>
      </c>
      <c r="E892" s="77">
        <v>125</v>
      </c>
      <c r="F892" s="78">
        <v>11.994341518698601</v>
      </c>
      <c r="G892" s="78">
        <v>11.994341518698601</v>
      </c>
      <c r="H892" s="81">
        <v>11.9657053059654</v>
      </c>
    </row>
    <row r="893" spans="1:8" x14ac:dyDescent="0.3">
      <c r="A893" s="74" t="str">
        <f t="shared" si="13"/>
        <v>内蒙古46266</v>
      </c>
      <c r="B893" s="75" t="s">
        <v>14</v>
      </c>
      <c r="C893" s="45">
        <v>46266</v>
      </c>
      <c r="D893" s="76">
        <v>1443.82448746062</v>
      </c>
      <c r="E893" s="77">
        <v>125</v>
      </c>
      <c r="F893" s="78">
        <v>12.2791821993924</v>
      </c>
      <c r="G893" s="78">
        <v>12.2791821993924</v>
      </c>
      <c r="H893" s="81">
        <v>12.4974040051922</v>
      </c>
    </row>
    <row r="894" spans="1:8" x14ac:dyDescent="0.3">
      <c r="A894" s="74" t="str">
        <f t="shared" si="13"/>
        <v>内蒙古46267</v>
      </c>
      <c r="B894" s="75" t="s">
        <v>14</v>
      </c>
      <c r="C894" s="45">
        <v>46267</v>
      </c>
      <c r="D894" s="76">
        <v>1443.82448746062</v>
      </c>
      <c r="E894" s="77">
        <v>125</v>
      </c>
      <c r="F894" s="78">
        <v>12.2791821993924</v>
      </c>
      <c r="G894" s="78">
        <v>12.2791821993924</v>
      </c>
      <c r="H894" s="81">
        <v>12.4974040051922</v>
      </c>
    </row>
    <row r="895" spans="1:8" x14ac:dyDescent="0.3">
      <c r="A895" s="74" t="str">
        <f t="shared" si="13"/>
        <v>内蒙古46268</v>
      </c>
      <c r="B895" s="75" t="s">
        <v>14</v>
      </c>
      <c r="C895" s="45">
        <v>46268</v>
      </c>
      <c r="D895" s="76">
        <v>1443.82448746062</v>
      </c>
      <c r="E895" s="77">
        <v>125</v>
      </c>
      <c r="F895" s="78">
        <v>12.2791821993924</v>
      </c>
      <c r="G895" s="78">
        <v>12.2791821993924</v>
      </c>
      <c r="H895" s="81">
        <v>12.4974040051922</v>
      </c>
    </row>
    <row r="896" spans="1:8" x14ac:dyDescent="0.3">
      <c r="A896" s="74" t="str">
        <f t="shared" si="13"/>
        <v>内蒙古46269</v>
      </c>
      <c r="B896" s="75" t="s">
        <v>14</v>
      </c>
      <c r="C896" s="45">
        <v>46269</v>
      </c>
      <c r="D896" s="76">
        <v>1443.82448746062</v>
      </c>
      <c r="E896" s="77">
        <v>125</v>
      </c>
      <c r="F896" s="78">
        <v>12.2791821993924</v>
      </c>
      <c r="G896" s="78">
        <v>12.2791821993924</v>
      </c>
      <c r="H896" s="81">
        <v>12.4974040051922</v>
      </c>
    </row>
    <row r="897" spans="1:8" x14ac:dyDescent="0.3">
      <c r="A897" s="74" t="str">
        <f t="shared" si="13"/>
        <v>内蒙古46270</v>
      </c>
      <c r="B897" s="75" t="s">
        <v>14</v>
      </c>
      <c r="C897" s="45">
        <v>46270</v>
      </c>
      <c r="D897" s="76">
        <v>1443.82448746062</v>
      </c>
      <c r="E897" s="77">
        <v>125</v>
      </c>
      <c r="F897" s="78">
        <v>12.2791821993924</v>
      </c>
      <c r="G897" s="78">
        <v>12.2791821993924</v>
      </c>
      <c r="H897" s="81">
        <v>12.4974040051922</v>
      </c>
    </row>
    <row r="898" spans="1:8" x14ac:dyDescent="0.3">
      <c r="A898" s="74" t="str">
        <f t="shared" si="13"/>
        <v>内蒙古46271</v>
      </c>
      <c r="B898" s="75" t="s">
        <v>14</v>
      </c>
      <c r="C898" s="45">
        <v>46271</v>
      </c>
      <c r="D898" s="76">
        <v>1443.82448746062</v>
      </c>
      <c r="E898" s="77">
        <v>125</v>
      </c>
      <c r="F898" s="78">
        <v>12.2791821993924</v>
      </c>
      <c r="G898" s="78">
        <v>12.2791821993924</v>
      </c>
      <c r="H898" s="81">
        <v>12.4974040051922</v>
      </c>
    </row>
    <row r="899" spans="1:8" x14ac:dyDescent="0.3">
      <c r="A899" s="74" t="str">
        <f t="shared" ref="A899:A962" si="14">B899&amp;C899</f>
        <v>内蒙古46272</v>
      </c>
      <c r="B899" s="75" t="s">
        <v>14</v>
      </c>
      <c r="C899" s="45">
        <v>46272</v>
      </c>
      <c r="D899" s="76">
        <v>1443.82448746062</v>
      </c>
      <c r="E899" s="77">
        <v>125</v>
      </c>
      <c r="F899" s="78">
        <v>12.2791821993924</v>
      </c>
      <c r="G899" s="78">
        <v>12.2791821993924</v>
      </c>
      <c r="H899" s="81">
        <v>12.4974040051922</v>
      </c>
    </row>
    <row r="900" spans="1:8" x14ac:dyDescent="0.3">
      <c r="A900" s="74" t="str">
        <f t="shared" si="14"/>
        <v>内蒙古46273</v>
      </c>
      <c r="B900" s="75" t="s">
        <v>14</v>
      </c>
      <c r="C900" s="45">
        <v>46273</v>
      </c>
      <c r="D900" s="76">
        <v>1443.82448746062</v>
      </c>
      <c r="E900" s="77">
        <v>125</v>
      </c>
      <c r="F900" s="78">
        <v>12.2791821993924</v>
      </c>
      <c r="G900" s="78">
        <v>12.2791821993924</v>
      </c>
      <c r="H900" s="81">
        <v>12.4974040051922</v>
      </c>
    </row>
    <row r="901" spans="1:8" x14ac:dyDescent="0.3">
      <c r="A901" s="74" t="str">
        <f t="shared" si="14"/>
        <v>内蒙古46274</v>
      </c>
      <c r="B901" s="75" t="s">
        <v>14</v>
      </c>
      <c r="C901" s="45">
        <v>46274</v>
      </c>
      <c r="D901" s="76">
        <v>1443.82448746062</v>
      </c>
      <c r="E901" s="77">
        <v>125</v>
      </c>
      <c r="F901" s="78">
        <v>12.2791821993924</v>
      </c>
      <c r="G901" s="78">
        <v>12.2791821993924</v>
      </c>
      <c r="H901" s="81">
        <v>12.4974040051922</v>
      </c>
    </row>
    <row r="902" spans="1:8" x14ac:dyDescent="0.3">
      <c r="A902" s="74" t="str">
        <f t="shared" si="14"/>
        <v>内蒙古46275</v>
      </c>
      <c r="B902" s="75" t="s">
        <v>14</v>
      </c>
      <c r="C902" s="45">
        <v>46275</v>
      </c>
      <c r="D902" s="76">
        <v>1443.82448746062</v>
      </c>
      <c r="E902" s="77">
        <v>125</v>
      </c>
      <c r="F902" s="78">
        <v>12.2791821993924</v>
      </c>
      <c r="G902" s="78">
        <v>12.2791821993924</v>
      </c>
      <c r="H902" s="81">
        <v>12.4974040051922</v>
      </c>
    </row>
    <row r="903" spans="1:8" x14ac:dyDescent="0.3">
      <c r="A903" s="74" t="str">
        <f t="shared" si="14"/>
        <v>内蒙古46276</v>
      </c>
      <c r="B903" s="75" t="s">
        <v>14</v>
      </c>
      <c r="C903" s="45">
        <v>46276</v>
      </c>
      <c r="D903" s="76">
        <v>1443.82448746062</v>
      </c>
      <c r="E903" s="77">
        <v>125</v>
      </c>
      <c r="F903" s="78">
        <v>12.2791821993924</v>
      </c>
      <c r="G903" s="78">
        <v>12.2791821993924</v>
      </c>
      <c r="H903" s="81">
        <v>12.4974040051922</v>
      </c>
    </row>
    <row r="904" spans="1:8" x14ac:dyDescent="0.3">
      <c r="A904" s="74" t="str">
        <f t="shared" si="14"/>
        <v>内蒙古46277</v>
      </c>
      <c r="B904" s="75" t="s">
        <v>14</v>
      </c>
      <c r="C904" s="45">
        <v>46277</v>
      </c>
      <c r="D904" s="76">
        <v>1443.82448746062</v>
      </c>
      <c r="E904" s="77">
        <v>125</v>
      </c>
      <c r="F904" s="78">
        <v>12.2791821993924</v>
      </c>
      <c r="G904" s="78">
        <v>12.2791821993924</v>
      </c>
      <c r="H904" s="81">
        <v>12.4974040051922</v>
      </c>
    </row>
    <row r="905" spans="1:8" x14ac:dyDescent="0.3">
      <c r="A905" s="74" t="str">
        <f t="shared" si="14"/>
        <v>内蒙古46278</v>
      </c>
      <c r="B905" s="75" t="s">
        <v>14</v>
      </c>
      <c r="C905" s="45">
        <v>46278</v>
      </c>
      <c r="D905" s="76">
        <v>1443.82448746062</v>
      </c>
      <c r="E905" s="77">
        <v>125</v>
      </c>
      <c r="F905" s="78">
        <v>12.2791821993924</v>
      </c>
      <c r="G905" s="78">
        <v>12.2791821993924</v>
      </c>
      <c r="H905" s="81">
        <v>12.4974040051922</v>
      </c>
    </row>
    <row r="906" spans="1:8" x14ac:dyDescent="0.3">
      <c r="A906" s="74" t="str">
        <f t="shared" si="14"/>
        <v>内蒙古46279</v>
      </c>
      <c r="B906" s="75" t="s">
        <v>14</v>
      </c>
      <c r="C906" s="45">
        <v>46279</v>
      </c>
      <c r="D906" s="76">
        <v>1443.82448746062</v>
      </c>
      <c r="E906" s="77">
        <v>125</v>
      </c>
      <c r="F906" s="78">
        <v>12.2791821993924</v>
      </c>
      <c r="G906" s="78">
        <v>12.2791821993924</v>
      </c>
      <c r="H906" s="81">
        <v>12.4974040051922</v>
      </c>
    </row>
    <row r="907" spans="1:8" x14ac:dyDescent="0.3">
      <c r="A907" s="74" t="str">
        <f t="shared" si="14"/>
        <v>内蒙古46280</v>
      </c>
      <c r="B907" s="75" t="s">
        <v>14</v>
      </c>
      <c r="C907" s="45">
        <v>46280</v>
      </c>
      <c r="D907" s="76">
        <v>1443.82448746062</v>
      </c>
      <c r="E907" s="77">
        <v>125</v>
      </c>
      <c r="F907" s="78">
        <v>12.2791821993924</v>
      </c>
      <c r="G907" s="78">
        <v>12.2791821993924</v>
      </c>
      <c r="H907" s="81">
        <v>12.4974040051922</v>
      </c>
    </row>
    <row r="908" spans="1:8" x14ac:dyDescent="0.3">
      <c r="A908" s="74" t="str">
        <f t="shared" si="14"/>
        <v>内蒙古46281</v>
      </c>
      <c r="B908" s="75" t="s">
        <v>14</v>
      </c>
      <c r="C908" s="45">
        <v>46281</v>
      </c>
      <c r="D908" s="76">
        <v>1443.82448746062</v>
      </c>
      <c r="E908" s="77">
        <v>125</v>
      </c>
      <c r="F908" s="78">
        <v>12.2791821993924</v>
      </c>
      <c r="G908" s="78">
        <v>12.2791821993924</v>
      </c>
      <c r="H908" s="81">
        <v>12.4974040051922</v>
      </c>
    </row>
    <row r="909" spans="1:8" x14ac:dyDescent="0.3">
      <c r="A909" s="74" t="str">
        <f t="shared" si="14"/>
        <v>内蒙古46282</v>
      </c>
      <c r="B909" s="75" t="s">
        <v>14</v>
      </c>
      <c r="C909" s="45">
        <v>46282</v>
      </c>
      <c r="D909" s="76">
        <v>1443.82448746062</v>
      </c>
      <c r="E909" s="77">
        <v>125</v>
      </c>
      <c r="F909" s="78">
        <v>12.2791821993924</v>
      </c>
      <c r="G909" s="78">
        <v>12.2791821993924</v>
      </c>
      <c r="H909" s="81">
        <v>12.4974040051922</v>
      </c>
    </row>
    <row r="910" spans="1:8" x14ac:dyDescent="0.3">
      <c r="A910" s="74" t="str">
        <f t="shared" si="14"/>
        <v>内蒙古46283</v>
      </c>
      <c r="B910" s="75" t="s">
        <v>14</v>
      </c>
      <c r="C910" s="45">
        <v>46283</v>
      </c>
      <c r="D910" s="76">
        <v>1443.82448746062</v>
      </c>
      <c r="E910" s="77">
        <v>125</v>
      </c>
      <c r="F910" s="78">
        <v>12.2791821993924</v>
      </c>
      <c r="G910" s="78">
        <v>12.2791821993924</v>
      </c>
      <c r="H910" s="81">
        <v>12.4974040051922</v>
      </c>
    </row>
    <row r="911" spans="1:8" x14ac:dyDescent="0.3">
      <c r="A911" s="74" t="str">
        <f t="shared" si="14"/>
        <v>内蒙古46284</v>
      </c>
      <c r="B911" s="75" t="s">
        <v>14</v>
      </c>
      <c r="C911" s="45">
        <v>46284</v>
      </c>
      <c r="D911" s="76">
        <v>1443.82448746062</v>
      </c>
      <c r="E911" s="77">
        <v>125</v>
      </c>
      <c r="F911" s="78">
        <v>12.2791821993924</v>
      </c>
      <c r="G911" s="78">
        <v>12.2791821993924</v>
      </c>
      <c r="H911" s="81">
        <v>12.4974040051922</v>
      </c>
    </row>
    <row r="912" spans="1:8" x14ac:dyDescent="0.3">
      <c r="A912" s="74" t="str">
        <f t="shared" si="14"/>
        <v>内蒙古46285</v>
      </c>
      <c r="B912" s="75" t="s">
        <v>14</v>
      </c>
      <c r="C912" s="45">
        <v>46285</v>
      </c>
      <c r="D912" s="76">
        <v>1443.82448746062</v>
      </c>
      <c r="E912" s="77">
        <v>125</v>
      </c>
      <c r="F912" s="78">
        <v>12.2791821993924</v>
      </c>
      <c r="G912" s="78">
        <v>12.2791821993924</v>
      </c>
      <c r="H912" s="81">
        <v>12.4974040051922</v>
      </c>
    </row>
    <row r="913" spans="1:8" x14ac:dyDescent="0.3">
      <c r="A913" s="74" t="str">
        <f t="shared" si="14"/>
        <v>内蒙古46286</v>
      </c>
      <c r="B913" s="75" t="s">
        <v>14</v>
      </c>
      <c r="C913" s="45">
        <v>46286</v>
      </c>
      <c r="D913" s="76">
        <v>1443.82448746062</v>
      </c>
      <c r="E913" s="77">
        <v>125</v>
      </c>
      <c r="F913" s="78">
        <v>12.2791821993924</v>
      </c>
      <c r="G913" s="78">
        <v>12.2791821993924</v>
      </c>
      <c r="H913" s="81">
        <v>12.4974040051922</v>
      </c>
    </row>
    <row r="914" spans="1:8" x14ac:dyDescent="0.3">
      <c r="A914" s="74" t="str">
        <f t="shared" si="14"/>
        <v>内蒙古46287</v>
      </c>
      <c r="B914" s="75" t="s">
        <v>14</v>
      </c>
      <c r="C914" s="45">
        <v>46287</v>
      </c>
      <c r="D914" s="76">
        <v>1443.82448746062</v>
      </c>
      <c r="E914" s="77">
        <v>125</v>
      </c>
      <c r="F914" s="78">
        <v>12.2791821993924</v>
      </c>
      <c r="G914" s="78">
        <v>12.2791821993924</v>
      </c>
      <c r="H914" s="81">
        <v>12.4974040051922</v>
      </c>
    </row>
    <row r="915" spans="1:8" x14ac:dyDescent="0.3">
      <c r="A915" s="74" t="str">
        <f t="shared" si="14"/>
        <v>内蒙古46288</v>
      </c>
      <c r="B915" s="75" t="s">
        <v>14</v>
      </c>
      <c r="C915" s="45">
        <v>46288</v>
      </c>
      <c r="D915" s="76">
        <v>1443.82448746062</v>
      </c>
      <c r="E915" s="77">
        <v>125</v>
      </c>
      <c r="F915" s="78">
        <v>12.2791821993924</v>
      </c>
      <c r="G915" s="78">
        <v>12.2791821993924</v>
      </c>
      <c r="H915" s="81">
        <v>12.4974040051922</v>
      </c>
    </row>
    <row r="916" spans="1:8" x14ac:dyDescent="0.3">
      <c r="A916" s="74" t="str">
        <f t="shared" si="14"/>
        <v>内蒙古46289</v>
      </c>
      <c r="B916" s="75" t="s">
        <v>14</v>
      </c>
      <c r="C916" s="45">
        <v>46289</v>
      </c>
      <c r="D916" s="76">
        <v>1443.82448746062</v>
      </c>
      <c r="E916" s="77">
        <v>125</v>
      </c>
      <c r="F916" s="78">
        <v>12.2791821993924</v>
      </c>
      <c r="G916" s="78">
        <v>12.2791821993924</v>
      </c>
      <c r="H916" s="81">
        <v>12.4974040051922</v>
      </c>
    </row>
    <row r="917" spans="1:8" x14ac:dyDescent="0.3">
      <c r="A917" s="74" t="str">
        <f t="shared" si="14"/>
        <v>内蒙古46290</v>
      </c>
      <c r="B917" s="75" t="s">
        <v>14</v>
      </c>
      <c r="C917" s="45">
        <v>46290</v>
      </c>
      <c r="D917" s="76">
        <v>1443.82448746062</v>
      </c>
      <c r="E917" s="77">
        <v>125</v>
      </c>
      <c r="F917" s="78">
        <v>12.2791821993924</v>
      </c>
      <c r="G917" s="78">
        <v>12.2791821993924</v>
      </c>
      <c r="H917" s="81">
        <v>12.4974040051922</v>
      </c>
    </row>
    <row r="918" spans="1:8" x14ac:dyDescent="0.3">
      <c r="A918" s="74" t="str">
        <f t="shared" si="14"/>
        <v>内蒙古46291</v>
      </c>
      <c r="B918" s="75" t="s">
        <v>14</v>
      </c>
      <c r="C918" s="45">
        <v>46291</v>
      </c>
      <c r="D918" s="76">
        <v>1443.82448746062</v>
      </c>
      <c r="E918" s="77">
        <v>125</v>
      </c>
      <c r="F918" s="78">
        <v>12.2791821993924</v>
      </c>
      <c r="G918" s="78">
        <v>12.2791821993924</v>
      </c>
      <c r="H918" s="81">
        <v>12.4974040051922</v>
      </c>
    </row>
    <row r="919" spans="1:8" x14ac:dyDescent="0.3">
      <c r="A919" s="74" t="str">
        <f t="shared" si="14"/>
        <v>内蒙古46292</v>
      </c>
      <c r="B919" s="75" t="s">
        <v>14</v>
      </c>
      <c r="C919" s="45">
        <v>46292</v>
      </c>
      <c r="D919" s="76">
        <v>1443.82448746062</v>
      </c>
      <c r="E919" s="77">
        <v>125</v>
      </c>
      <c r="F919" s="78">
        <v>12.2791821993924</v>
      </c>
      <c r="G919" s="78">
        <v>12.2791821993924</v>
      </c>
      <c r="H919" s="81">
        <v>12.4974040051922</v>
      </c>
    </row>
    <row r="920" spans="1:8" x14ac:dyDescent="0.3">
      <c r="A920" s="74" t="str">
        <f t="shared" si="14"/>
        <v>内蒙古46293</v>
      </c>
      <c r="B920" s="75" t="s">
        <v>14</v>
      </c>
      <c r="C920" s="45">
        <v>46293</v>
      </c>
      <c r="D920" s="76">
        <v>1443.82448746062</v>
      </c>
      <c r="E920" s="77">
        <v>125</v>
      </c>
      <c r="F920" s="78">
        <v>12.2791821993924</v>
      </c>
      <c r="G920" s="78">
        <v>12.2791821993924</v>
      </c>
      <c r="H920" s="81">
        <v>12.4974040051922</v>
      </c>
    </row>
    <row r="921" spans="1:8" x14ac:dyDescent="0.3">
      <c r="A921" s="74" t="str">
        <f t="shared" si="14"/>
        <v>内蒙古46294</v>
      </c>
      <c r="B921" s="75" t="s">
        <v>14</v>
      </c>
      <c r="C921" s="45">
        <v>46294</v>
      </c>
      <c r="D921" s="76">
        <v>1443.82448746062</v>
      </c>
      <c r="E921" s="77">
        <v>125</v>
      </c>
      <c r="F921" s="78">
        <v>12.2791821993924</v>
      </c>
      <c r="G921" s="78">
        <v>12.2791821993924</v>
      </c>
      <c r="H921" s="81">
        <v>12.4974040051922</v>
      </c>
    </row>
    <row r="922" spans="1:8" x14ac:dyDescent="0.3">
      <c r="A922" s="74" t="str">
        <f t="shared" si="14"/>
        <v>内蒙古46295</v>
      </c>
      <c r="B922" s="75" t="s">
        <v>14</v>
      </c>
      <c r="C922" s="45">
        <v>46295</v>
      </c>
      <c r="D922" s="76">
        <v>1443.82448746062</v>
      </c>
      <c r="E922" s="77">
        <v>125</v>
      </c>
      <c r="F922" s="78">
        <v>12.2791821993924</v>
      </c>
      <c r="G922" s="78">
        <v>12.2791821993924</v>
      </c>
      <c r="H922" s="81">
        <v>12.4974040051922</v>
      </c>
    </row>
    <row r="923" spans="1:8" x14ac:dyDescent="0.3">
      <c r="A923" s="74" t="str">
        <f t="shared" si="14"/>
        <v>内蒙古46296</v>
      </c>
      <c r="B923" s="75" t="s">
        <v>14</v>
      </c>
      <c r="C923" s="45">
        <v>46296</v>
      </c>
      <c r="D923" s="76">
        <v>1042.1019427205899</v>
      </c>
      <c r="E923" s="77">
        <v>125</v>
      </c>
      <c r="F923" s="78">
        <v>12.489250423386601</v>
      </c>
      <c r="G923" s="78">
        <v>12.489250423386601</v>
      </c>
      <c r="H923" s="81">
        <v>12.571941206018399</v>
      </c>
    </row>
    <row r="924" spans="1:8" x14ac:dyDescent="0.3">
      <c r="A924" s="74" t="str">
        <f t="shared" si="14"/>
        <v>内蒙古46297</v>
      </c>
      <c r="B924" s="75" t="s">
        <v>14</v>
      </c>
      <c r="C924" s="45">
        <v>46297</v>
      </c>
      <c r="D924" s="76">
        <v>1042.1019427205899</v>
      </c>
      <c r="E924" s="77">
        <v>125</v>
      </c>
      <c r="F924" s="78">
        <v>12.489250423386601</v>
      </c>
      <c r="G924" s="78">
        <v>12.489250423386601</v>
      </c>
      <c r="H924" s="81">
        <v>12.571941206018399</v>
      </c>
    </row>
    <row r="925" spans="1:8" x14ac:dyDescent="0.3">
      <c r="A925" s="74" t="str">
        <f t="shared" si="14"/>
        <v>内蒙古46298</v>
      </c>
      <c r="B925" s="75" t="s">
        <v>14</v>
      </c>
      <c r="C925" s="45">
        <v>46298</v>
      </c>
      <c r="D925" s="76">
        <v>1042.1019427205899</v>
      </c>
      <c r="E925" s="77">
        <v>125</v>
      </c>
      <c r="F925" s="78">
        <v>12.489250423386601</v>
      </c>
      <c r="G925" s="78">
        <v>12.489250423386601</v>
      </c>
      <c r="H925" s="81">
        <v>12.571941206018399</v>
      </c>
    </row>
    <row r="926" spans="1:8" x14ac:dyDescent="0.3">
      <c r="A926" s="74" t="str">
        <f t="shared" si="14"/>
        <v>内蒙古46299</v>
      </c>
      <c r="B926" s="75" t="s">
        <v>14</v>
      </c>
      <c r="C926" s="45">
        <v>46299</v>
      </c>
      <c r="D926" s="76">
        <v>1042.1019427205899</v>
      </c>
      <c r="E926" s="77">
        <v>125</v>
      </c>
      <c r="F926" s="78">
        <v>12.489250423386601</v>
      </c>
      <c r="G926" s="78">
        <v>12.489250423386601</v>
      </c>
      <c r="H926" s="81">
        <v>12.571941206018399</v>
      </c>
    </row>
    <row r="927" spans="1:8" x14ac:dyDescent="0.3">
      <c r="A927" s="74" t="str">
        <f t="shared" si="14"/>
        <v>内蒙古46300</v>
      </c>
      <c r="B927" s="75" t="s">
        <v>14</v>
      </c>
      <c r="C927" s="45">
        <v>46300</v>
      </c>
      <c r="D927" s="76">
        <v>1042.1019427205899</v>
      </c>
      <c r="E927" s="77">
        <v>125</v>
      </c>
      <c r="F927" s="78">
        <v>12.489250423386601</v>
      </c>
      <c r="G927" s="78">
        <v>12.489250423386601</v>
      </c>
      <c r="H927" s="81">
        <v>12.571941206018399</v>
      </c>
    </row>
    <row r="928" spans="1:8" x14ac:dyDescent="0.3">
      <c r="A928" s="74" t="str">
        <f t="shared" si="14"/>
        <v>内蒙古46301</v>
      </c>
      <c r="B928" s="75" t="s">
        <v>14</v>
      </c>
      <c r="C928" s="45">
        <v>46301</v>
      </c>
      <c r="D928" s="76">
        <v>1042.1019427205899</v>
      </c>
      <c r="E928" s="77">
        <v>125</v>
      </c>
      <c r="F928" s="78">
        <v>12.489250423386601</v>
      </c>
      <c r="G928" s="78">
        <v>12.489250423386601</v>
      </c>
      <c r="H928" s="81">
        <v>12.571941206018399</v>
      </c>
    </row>
    <row r="929" spans="1:8" x14ac:dyDescent="0.3">
      <c r="A929" s="74" t="str">
        <f t="shared" si="14"/>
        <v>内蒙古46302</v>
      </c>
      <c r="B929" s="75" t="s">
        <v>14</v>
      </c>
      <c r="C929" s="45">
        <v>46302</v>
      </c>
      <c r="D929" s="76">
        <v>1042.1019427205899</v>
      </c>
      <c r="E929" s="77">
        <v>125</v>
      </c>
      <c r="F929" s="78">
        <v>12.489250423386601</v>
      </c>
      <c r="G929" s="78">
        <v>12.489250423386601</v>
      </c>
      <c r="H929" s="81">
        <v>12.571941206018399</v>
      </c>
    </row>
    <row r="930" spans="1:8" x14ac:dyDescent="0.3">
      <c r="A930" s="74" t="str">
        <f t="shared" si="14"/>
        <v>内蒙古46303</v>
      </c>
      <c r="B930" s="75" t="s">
        <v>14</v>
      </c>
      <c r="C930" s="45">
        <v>46303</v>
      </c>
      <c r="D930" s="76">
        <v>1042.1019427205899</v>
      </c>
      <c r="E930" s="77">
        <v>125</v>
      </c>
      <c r="F930" s="78">
        <v>12.489250423386601</v>
      </c>
      <c r="G930" s="78">
        <v>12.489250423386601</v>
      </c>
      <c r="H930" s="81">
        <v>12.571941206018399</v>
      </c>
    </row>
    <row r="931" spans="1:8" x14ac:dyDescent="0.3">
      <c r="A931" s="74" t="str">
        <f t="shared" si="14"/>
        <v>内蒙古46304</v>
      </c>
      <c r="B931" s="75" t="s">
        <v>14</v>
      </c>
      <c r="C931" s="45">
        <v>46304</v>
      </c>
      <c r="D931" s="76">
        <v>1042.1019427205899</v>
      </c>
      <c r="E931" s="77">
        <v>125</v>
      </c>
      <c r="F931" s="78">
        <v>12.489250423386601</v>
      </c>
      <c r="G931" s="78">
        <v>12.489250423386601</v>
      </c>
      <c r="H931" s="81">
        <v>12.571941206018399</v>
      </c>
    </row>
    <row r="932" spans="1:8" x14ac:dyDescent="0.3">
      <c r="A932" s="74" t="str">
        <f t="shared" si="14"/>
        <v>内蒙古46305</v>
      </c>
      <c r="B932" s="75" t="s">
        <v>14</v>
      </c>
      <c r="C932" s="45">
        <v>46305</v>
      </c>
      <c r="D932" s="76">
        <v>1042.1019427205899</v>
      </c>
      <c r="E932" s="77">
        <v>125</v>
      </c>
      <c r="F932" s="78">
        <v>12.489250423386601</v>
      </c>
      <c r="G932" s="78">
        <v>12.489250423386601</v>
      </c>
      <c r="H932" s="81">
        <v>12.571941206018399</v>
      </c>
    </row>
    <row r="933" spans="1:8" x14ac:dyDescent="0.3">
      <c r="A933" s="74" t="str">
        <f t="shared" si="14"/>
        <v>内蒙古46306</v>
      </c>
      <c r="B933" s="75" t="s">
        <v>14</v>
      </c>
      <c r="C933" s="45">
        <v>46306</v>
      </c>
      <c r="D933" s="76">
        <v>1042.1019427205899</v>
      </c>
      <c r="E933" s="77">
        <v>125</v>
      </c>
      <c r="F933" s="78">
        <v>12.489250423386601</v>
      </c>
      <c r="G933" s="78">
        <v>12.489250423386601</v>
      </c>
      <c r="H933" s="81">
        <v>12.571941206018399</v>
      </c>
    </row>
    <row r="934" spans="1:8" x14ac:dyDescent="0.3">
      <c r="A934" s="74" t="str">
        <f t="shared" si="14"/>
        <v>内蒙古46307</v>
      </c>
      <c r="B934" s="75" t="s">
        <v>14</v>
      </c>
      <c r="C934" s="45">
        <v>46307</v>
      </c>
      <c r="D934" s="76">
        <v>1042.1019427205899</v>
      </c>
      <c r="E934" s="77">
        <v>125</v>
      </c>
      <c r="F934" s="78">
        <v>12.489250423386601</v>
      </c>
      <c r="G934" s="78">
        <v>12.489250423386601</v>
      </c>
      <c r="H934" s="81">
        <v>12.571941206018399</v>
      </c>
    </row>
    <row r="935" spans="1:8" x14ac:dyDescent="0.3">
      <c r="A935" s="74" t="str">
        <f t="shared" si="14"/>
        <v>内蒙古46308</v>
      </c>
      <c r="B935" s="75" t="s">
        <v>14</v>
      </c>
      <c r="C935" s="45">
        <v>46308</v>
      </c>
      <c r="D935" s="76">
        <v>1042.1019427205899</v>
      </c>
      <c r="E935" s="77">
        <v>125</v>
      </c>
      <c r="F935" s="78">
        <v>12.489250423386601</v>
      </c>
      <c r="G935" s="78">
        <v>12.489250423386601</v>
      </c>
      <c r="H935" s="81">
        <v>12.571941206018399</v>
      </c>
    </row>
    <row r="936" spans="1:8" x14ac:dyDescent="0.3">
      <c r="A936" s="74" t="str">
        <f t="shared" si="14"/>
        <v>内蒙古46309</v>
      </c>
      <c r="B936" s="75" t="s">
        <v>14</v>
      </c>
      <c r="C936" s="45">
        <v>46309</v>
      </c>
      <c r="D936" s="76">
        <v>1042.1019427205899</v>
      </c>
      <c r="E936" s="77">
        <v>125</v>
      </c>
      <c r="F936" s="78">
        <v>12.489250423386601</v>
      </c>
      <c r="G936" s="78">
        <v>12.489250423386601</v>
      </c>
      <c r="H936" s="81">
        <v>12.571941206018399</v>
      </c>
    </row>
    <row r="937" spans="1:8" x14ac:dyDescent="0.3">
      <c r="A937" s="74" t="str">
        <f t="shared" si="14"/>
        <v>内蒙古46310</v>
      </c>
      <c r="B937" s="75" t="s">
        <v>14</v>
      </c>
      <c r="C937" s="45">
        <v>46310</v>
      </c>
      <c r="D937" s="76">
        <v>1042.1019427205899</v>
      </c>
      <c r="E937" s="77">
        <v>125</v>
      </c>
      <c r="F937" s="78">
        <v>12.489250423386601</v>
      </c>
      <c r="G937" s="78">
        <v>12.489250423386601</v>
      </c>
      <c r="H937" s="81">
        <v>12.571941206018399</v>
      </c>
    </row>
    <row r="938" spans="1:8" x14ac:dyDescent="0.3">
      <c r="A938" s="74" t="str">
        <f t="shared" si="14"/>
        <v>内蒙古46311</v>
      </c>
      <c r="B938" s="75" t="s">
        <v>14</v>
      </c>
      <c r="C938" s="45">
        <v>46311</v>
      </c>
      <c r="D938" s="76">
        <v>1042.1019427205899</v>
      </c>
      <c r="E938" s="77">
        <v>125</v>
      </c>
      <c r="F938" s="78">
        <v>12.489250423386601</v>
      </c>
      <c r="G938" s="78">
        <v>12.489250423386601</v>
      </c>
      <c r="H938" s="81">
        <v>12.571941206018399</v>
      </c>
    </row>
    <row r="939" spans="1:8" x14ac:dyDescent="0.3">
      <c r="A939" s="74" t="str">
        <f t="shared" si="14"/>
        <v>内蒙古46312</v>
      </c>
      <c r="B939" s="75" t="s">
        <v>14</v>
      </c>
      <c r="C939" s="45">
        <v>46312</v>
      </c>
      <c r="D939" s="76">
        <v>1042.1019427205899</v>
      </c>
      <c r="E939" s="77">
        <v>125</v>
      </c>
      <c r="F939" s="78">
        <v>12.489250423386601</v>
      </c>
      <c r="G939" s="78">
        <v>12.489250423386601</v>
      </c>
      <c r="H939" s="81">
        <v>12.571941206018399</v>
      </c>
    </row>
    <row r="940" spans="1:8" x14ac:dyDescent="0.3">
      <c r="A940" s="74" t="str">
        <f t="shared" si="14"/>
        <v>内蒙古46313</v>
      </c>
      <c r="B940" s="75" t="s">
        <v>14</v>
      </c>
      <c r="C940" s="45">
        <v>46313</v>
      </c>
      <c r="D940" s="76">
        <v>1042.1019427205899</v>
      </c>
      <c r="E940" s="77">
        <v>125</v>
      </c>
      <c r="F940" s="78">
        <v>12.489250423386601</v>
      </c>
      <c r="G940" s="78">
        <v>12.489250423386601</v>
      </c>
      <c r="H940" s="81">
        <v>12.571941206018399</v>
      </c>
    </row>
    <row r="941" spans="1:8" x14ac:dyDescent="0.3">
      <c r="A941" s="74" t="str">
        <f t="shared" si="14"/>
        <v>内蒙古46314</v>
      </c>
      <c r="B941" s="75" t="s">
        <v>14</v>
      </c>
      <c r="C941" s="45">
        <v>46314</v>
      </c>
      <c r="D941" s="76">
        <v>1042.1019427205899</v>
      </c>
      <c r="E941" s="77">
        <v>125</v>
      </c>
      <c r="F941" s="78">
        <v>12.489250423386601</v>
      </c>
      <c r="G941" s="78">
        <v>12.489250423386601</v>
      </c>
      <c r="H941" s="81">
        <v>12.571941206018399</v>
      </c>
    </row>
    <row r="942" spans="1:8" x14ac:dyDescent="0.3">
      <c r="A942" s="74" t="str">
        <f t="shared" si="14"/>
        <v>内蒙古46315</v>
      </c>
      <c r="B942" s="75" t="s">
        <v>14</v>
      </c>
      <c r="C942" s="45">
        <v>46315</v>
      </c>
      <c r="D942" s="76">
        <v>1042.1019427205899</v>
      </c>
      <c r="E942" s="77">
        <v>125</v>
      </c>
      <c r="F942" s="78">
        <v>12.489250423386601</v>
      </c>
      <c r="G942" s="78">
        <v>12.489250423386601</v>
      </c>
      <c r="H942" s="81">
        <v>12.571941206018399</v>
      </c>
    </row>
    <row r="943" spans="1:8" x14ac:dyDescent="0.3">
      <c r="A943" s="74" t="str">
        <f t="shared" si="14"/>
        <v>内蒙古46316</v>
      </c>
      <c r="B943" s="75" t="s">
        <v>14</v>
      </c>
      <c r="C943" s="45">
        <v>46316</v>
      </c>
      <c r="D943" s="76">
        <v>1042.1019427205899</v>
      </c>
      <c r="E943" s="77">
        <v>125</v>
      </c>
      <c r="F943" s="78">
        <v>12.489250423386601</v>
      </c>
      <c r="G943" s="78">
        <v>12.489250423386601</v>
      </c>
      <c r="H943" s="81">
        <v>12.571941206018399</v>
      </c>
    </row>
    <row r="944" spans="1:8" x14ac:dyDescent="0.3">
      <c r="A944" s="74" t="str">
        <f t="shared" si="14"/>
        <v>内蒙古46317</v>
      </c>
      <c r="B944" s="75" t="s">
        <v>14</v>
      </c>
      <c r="C944" s="45">
        <v>46317</v>
      </c>
      <c r="D944" s="76">
        <v>1042.1019427205899</v>
      </c>
      <c r="E944" s="77">
        <v>125</v>
      </c>
      <c r="F944" s="78">
        <v>12.489250423386601</v>
      </c>
      <c r="G944" s="78">
        <v>12.489250423386601</v>
      </c>
      <c r="H944" s="81">
        <v>12.571941206018399</v>
      </c>
    </row>
    <row r="945" spans="1:8" x14ac:dyDescent="0.3">
      <c r="A945" s="74" t="str">
        <f t="shared" si="14"/>
        <v>内蒙古46318</v>
      </c>
      <c r="B945" s="75" t="s">
        <v>14</v>
      </c>
      <c r="C945" s="45">
        <v>46318</v>
      </c>
      <c r="D945" s="76">
        <v>1042.1019427205899</v>
      </c>
      <c r="E945" s="77">
        <v>125</v>
      </c>
      <c r="F945" s="78">
        <v>12.489250423386601</v>
      </c>
      <c r="G945" s="78">
        <v>12.489250423386601</v>
      </c>
      <c r="H945" s="81">
        <v>12.571941206018399</v>
      </c>
    </row>
    <row r="946" spans="1:8" x14ac:dyDescent="0.3">
      <c r="A946" s="74" t="str">
        <f t="shared" si="14"/>
        <v>内蒙古46319</v>
      </c>
      <c r="B946" s="75" t="s">
        <v>14</v>
      </c>
      <c r="C946" s="45">
        <v>46319</v>
      </c>
      <c r="D946" s="76">
        <v>1042.1019427205899</v>
      </c>
      <c r="E946" s="77">
        <v>125</v>
      </c>
      <c r="F946" s="78">
        <v>12.489250423386601</v>
      </c>
      <c r="G946" s="78">
        <v>12.489250423386601</v>
      </c>
      <c r="H946" s="81">
        <v>12.571941206018399</v>
      </c>
    </row>
    <row r="947" spans="1:8" x14ac:dyDescent="0.3">
      <c r="A947" s="74" t="str">
        <f t="shared" si="14"/>
        <v>内蒙古46320</v>
      </c>
      <c r="B947" s="75" t="s">
        <v>14</v>
      </c>
      <c r="C947" s="45">
        <v>46320</v>
      </c>
      <c r="D947" s="76">
        <v>1042.1019427205899</v>
      </c>
      <c r="E947" s="77">
        <v>125</v>
      </c>
      <c r="F947" s="78">
        <v>12.489250423386601</v>
      </c>
      <c r="G947" s="78">
        <v>12.489250423386601</v>
      </c>
      <c r="H947" s="81">
        <v>12.571941206018399</v>
      </c>
    </row>
    <row r="948" spans="1:8" x14ac:dyDescent="0.3">
      <c r="A948" s="74" t="str">
        <f t="shared" si="14"/>
        <v>内蒙古46321</v>
      </c>
      <c r="B948" s="75" t="s">
        <v>14</v>
      </c>
      <c r="C948" s="45">
        <v>46321</v>
      </c>
      <c r="D948" s="76">
        <v>1042.1019427205899</v>
      </c>
      <c r="E948" s="77">
        <v>125</v>
      </c>
      <c r="F948" s="78">
        <v>12.489250423386601</v>
      </c>
      <c r="G948" s="78">
        <v>12.489250423386601</v>
      </c>
      <c r="H948" s="81">
        <v>12.571941206018399</v>
      </c>
    </row>
    <row r="949" spans="1:8" x14ac:dyDescent="0.3">
      <c r="A949" s="74" t="str">
        <f t="shared" si="14"/>
        <v>内蒙古46322</v>
      </c>
      <c r="B949" s="75" t="s">
        <v>14</v>
      </c>
      <c r="C949" s="45">
        <v>46322</v>
      </c>
      <c r="D949" s="76">
        <v>1042.1019427205899</v>
      </c>
      <c r="E949" s="77">
        <v>125</v>
      </c>
      <c r="F949" s="78">
        <v>12.489250423386601</v>
      </c>
      <c r="G949" s="78">
        <v>12.489250423386601</v>
      </c>
      <c r="H949" s="81">
        <v>12.571941206018399</v>
      </c>
    </row>
    <row r="950" spans="1:8" x14ac:dyDescent="0.3">
      <c r="A950" s="74" t="str">
        <f t="shared" si="14"/>
        <v>内蒙古46323</v>
      </c>
      <c r="B950" s="75" t="s">
        <v>14</v>
      </c>
      <c r="C950" s="45">
        <v>46323</v>
      </c>
      <c r="D950" s="76">
        <v>1042.1019427205899</v>
      </c>
      <c r="E950" s="77">
        <v>125</v>
      </c>
      <c r="F950" s="78">
        <v>12.489250423386601</v>
      </c>
      <c r="G950" s="78">
        <v>12.489250423386601</v>
      </c>
      <c r="H950" s="81">
        <v>12.571941206018399</v>
      </c>
    </row>
    <row r="951" spans="1:8" x14ac:dyDescent="0.3">
      <c r="A951" s="74" t="str">
        <f t="shared" si="14"/>
        <v>内蒙古46324</v>
      </c>
      <c r="B951" s="75" t="s">
        <v>14</v>
      </c>
      <c r="C951" s="45">
        <v>46324</v>
      </c>
      <c r="D951" s="76">
        <v>1042.1019427205899</v>
      </c>
      <c r="E951" s="77">
        <v>125</v>
      </c>
      <c r="F951" s="78">
        <v>12.489250423386601</v>
      </c>
      <c r="G951" s="78">
        <v>12.489250423386601</v>
      </c>
      <c r="H951" s="81">
        <v>12.571941206018399</v>
      </c>
    </row>
    <row r="952" spans="1:8" x14ac:dyDescent="0.3">
      <c r="A952" s="74" t="str">
        <f t="shared" si="14"/>
        <v>内蒙古46325</v>
      </c>
      <c r="B952" s="75" t="s">
        <v>14</v>
      </c>
      <c r="C952" s="45">
        <v>46325</v>
      </c>
      <c r="D952" s="76">
        <v>1042.1019427205899</v>
      </c>
      <c r="E952" s="77">
        <v>125</v>
      </c>
      <c r="F952" s="78">
        <v>12.489250423386601</v>
      </c>
      <c r="G952" s="78">
        <v>12.489250423386601</v>
      </c>
      <c r="H952" s="81">
        <v>12.571941206018399</v>
      </c>
    </row>
    <row r="953" spans="1:8" x14ac:dyDescent="0.3">
      <c r="A953" s="74" t="str">
        <f t="shared" si="14"/>
        <v>内蒙古46326</v>
      </c>
      <c r="B953" s="75" t="s">
        <v>14</v>
      </c>
      <c r="C953" s="45">
        <v>46326</v>
      </c>
      <c r="D953" s="76">
        <v>1042.1019427205899</v>
      </c>
      <c r="E953" s="77">
        <v>125</v>
      </c>
      <c r="F953" s="78">
        <v>12.489250423386601</v>
      </c>
      <c r="G953" s="78">
        <v>12.489250423386601</v>
      </c>
      <c r="H953" s="81">
        <v>12.571941206018399</v>
      </c>
    </row>
    <row r="954" spans="1:8" x14ac:dyDescent="0.3">
      <c r="A954" s="74" t="str">
        <f t="shared" si="14"/>
        <v>内蒙古46327</v>
      </c>
      <c r="B954" s="75" t="s">
        <v>14</v>
      </c>
      <c r="C954" s="45">
        <v>46327</v>
      </c>
      <c r="D954" s="76">
        <v>1591.6156902586999</v>
      </c>
      <c r="E954" s="77">
        <v>125</v>
      </c>
      <c r="F954" s="78">
        <v>12.778830054642199</v>
      </c>
      <c r="G954" s="78">
        <v>12.778830054642199</v>
      </c>
      <c r="H954" s="81">
        <v>12.646478406844601</v>
      </c>
    </row>
    <row r="955" spans="1:8" x14ac:dyDescent="0.3">
      <c r="A955" s="74" t="str">
        <f t="shared" si="14"/>
        <v>内蒙古46328</v>
      </c>
      <c r="B955" s="75" t="s">
        <v>14</v>
      </c>
      <c r="C955" s="45">
        <v>46328</v>
      </c>
      <c r="D955" s="76">
        <v>1591.6156902586999</v>
      </c>
      <c r="E955" s="77">
        <v>125</v>
      </c>
      <c r="F955" s="78">
        <v>12.778830054642199</v>
      </c>
      <c r="G955" s="78">
        <v>12.778830054642199</v>
      </c>
      <c r="H955" s="81">
        <v>12.646478406844601</v>
      </c>
    </row>
    <row r="956" spans="1:8" x14ac:dyDescent="0.3">
      <c r="A956" s="74" t="str">
        <f t="shared" si="14"/>
        <v>内蒙古46329</v>
      </c>
      <c r="B956" s="75" t="s">
        <v>14</v>
      </c>
      <c r="C956" s="45">
        <v>46329</v>
      </c>
      <c r="D956" s="76">
        <v>1591.6156902586999</v>
      </c>
      <c r="E956" s="77">
        <v>125</v>
      </c>
      <c r="F956" s="78">
        <v>12.778830054642199</v>
      </c>
      <c r="G956" s="78">
        <v>12.778830054642199</v>
      </c>
      <c r="H956" s="81">
        <v>12.646478406844601</v>
      </c>
    </row>
    <row r="957" spans="1:8" x14ac:dyDescent="0.3">
      <c r="A957" s="74" t="str">
        <f t="shared" si="14"/>
        <v>内蒙古46330</v>
      </c>
      <c r="B957" s="75" t="s">
        <v>14</v>
      </c>
      <c r="C957" s="45">
        <v>46330</v>
      </c>
      <c r="D957" s="76">
        <v>1591.6156902586999</v>
      </c>
      <c r="E957" s="77">
        <v>125</v>
      </c>
      <c r="F957" s="78">
        <v>12.778830054642199</v>
      </c>
      <c r="G957" s="78">
        <v>12.778830054642199</v>
      </c>
      <c r="H957" s="81">
        <v>12.646478406844601</v>
      </c>
    </row>
    <row r="958" spans="1:8" x14ac:dyDescent="0.3">
      <c r="A958" s="74" t="str">
        <f t="shared" si="14"/>
        <v>内蒙古46331</v>
      </c>
      <c r="B958" s="75" t="s">
        <v>14</v>
      </c>
      <c r="C958" s="45">
        <v>46331</v>
      </c>
      <c r="D958" s="76">
        <v>1591.6156902586999</v>
      </c>
      <c r="E958" s="77">
        <v>125</v>
      </c>
      <c r="F958" s="78">
        <v>12.778830054642199</v>
      </c>
      <c r="G958" s="78">
        <v>12.778830054642199</v>
      </c>
      <c r="H958" s="81">
        <v>12.646478406844601</v>
      </c>
    </row>
    <row r="959" spans="1:8" x14ac:dyDescent="0.3">
      <c r="A959" s="74" t="str">
        <f t="shared" si="14"/>
        <v>内蒙古46332</v>
      </c>
      <c r="B959" s="75" t="s">
        <v>14</v>
      </c>
      <c r="C959" s="45">
        <v>46332</v>
      </c>
      <c r="D959" s="76">
        <v>1591.6156902586999</v>
      </c>
      <c r="E959" s="77">
        <v>125</v>
      </c>
      <c r="F959" s="78">
        <v>12.778830054642199</v>
      </c>
      <c r="G959" s="78">
        <v>12.778830054642199</v>
      </c>
      <c r="H959" s="81">
        <v>12.646478406844601</v>
      </c>
    </row>
    <row r="960" spans="1:8" x14ac:dyDescent="0.3">
      <c r="A960" s="74" t="str">
        <f t="shared" si="14"/>
        <v>内蒙古46333</v>
      </c>
      <c r="B960" s="75" t="s">
        <v>14</v>
      </c>
      <c r="C960" s="45">
        <v>46333</v>
      </c>
      <c r="D960" s="76">
        <v>1591.6156902586999</v>
      </c>
      <c r="E960" s="77">
        <v>125</v>
      </c>
      <c r="F960" s="78">
        <v>12.778830054642199</v>
      </c>
      <c r="G960" s="78">
        <v>12.778830054642199</v>
      </c>
      <c r="H960" s="81">
        <v>12.646478406844601</v>
      </c>
    </row>
    <row r="961" spans="1:8" x14ac:dyDescent="0.3">
      <c r="A961" s="74" t="str">
        <f t="shared" si="14"/>
        <v>内蒙古46334</v>
      </c>
      <c r="B961" s="75" t="s">
        <v>14</v>
      </c>
      <c r="C961" s="45">
        <v>46334</v>
      </c>
      <c r="D961" s="76">
        <v>1591.6156902586999</v>
      </c>
      <c r="E961" s="77">
        <v>125</v>
      </c>
      <c r="F961" s="78">
        <v>12.778830054642199</v>
      </c>
      <c r="G961" s="78">
        <v>12.778830054642199</v>
      </c>
      <c r="H961" s="81">
        <v>12.646478406844601</v>
      </c>
    </row>
    <row r="962" spans="1:8" x14ac:dyDescent="0.3">
      <c r="A962" s="74" t="str">
        <f t="shared" si="14"/>
        <v>内蒙古46335</v>
      </c>
      <c r="B962" s="75" t="s">
        <v>14</v>
      </c>
      <c r="C962" s="45">
        <v>46335</v>
      </c>
      <c r="D962" s="76">
        <v>1591.6156902586999</v>
      </c>
      <c r="E962" s="77">
        <v>125</v>
      </c>
      <c r="F962" s="78">
        <v>12.778830054642199</v>
      </c>
      <c r="G962" s="78">
        <v>12.778830054642199</v>
      </c>
      <c r="H962" s="81">
        <v>12.646478406844601</v>
      </c>
    </row>
    <row r="963" spans="1:8" x14ac:dyDescent="0.3">
      <c r="A963" s="74" t="str">
        <f t="shared" ref="A963:A1026" si="15">B963&amp;C963</f>
        <v>内蒙古46336</v>
      </c>
      <c r="B963" s="75" t="s">
        <v>14</v>
      </c>
      <c r="C963" s="45">
        <v>46336</v>
      </c>
      <c r="D963" s="76">
        <v>1591.6156902586999</v>
      </c>
      <c r="E963" s="77">
        <v>125</v>
      </c>
      <c r="F963" s="78">
        <v>12.778830054642199</v>
      </c>
      <c r="G963" s="78">
        <v>12.778830054642199</v>
      </c>
      <c r="H963" s="81">
        <v>12.646478406844601</v>
      </c>
    </row>
    <row r="964" spans="1:8" x14ac:dyDescent="0.3">
      <c r="A964" s="74" t="str">
        <f t="shared" si="15"/>
        <v>内蒙古46337</v>
      </c>
      <c r="B964" s="75" t="s">
        <v>14</v>
      </c>
      <c r="C964" s="45">
        <v>46337</v>
      </c>
      <c r="D964" s="76">
        <v>1591.6156902586999</v>
      </c>
      <c r="E964" s="77">
        <v>125</v>
      </c>
      <c r="F964" s="78">
        <v>12.778830054642199</v>
      </c>
      <c r="G964" s="78">
        <v>12.778830054642199</v>
      </c>
      <c r="H964" s="81">
        <v>12.646478406844601</v>
      </c>
    </row>
    <row r="965" spans="1:8" x14ac:dyDescent="0.3">
      <c r="A965" s="74" t="str">
        <f t="shared" si="15"/>
        <v>内蒙古46338</v>
      </c>
      <c r="B965" s="75" t="s">
        <v>14</v>
      </c>
      <c r="C965" s="45">
        <v>46338</v>
      </c>
      <c r="D965" s="76">
        <v>1591.6156902586999</v>
      </c>
      <c r="E965" s="77">
        <v>125</v>
      </c>
      <c r="F965" s="78">
        <v>12.778830054642199</v>
      </c>
      <c r="G965" s="78">
        <v>12.778830054642199</v>
      </c>
      <c r="H965" s="81">
        <v>12.646478406844601</v>
      </c>
    </row>
    <row r="966" spans="1:8" x14ac:dyDescent="0.3">
      <c r="A966" s="74" t="str">
        <f t="shared" si="15"/>
        <v>内蒙古46339</v>
      </c>
      <c r="B966" s="75" t="s">
        <v>14</v>
      </c>
      <c r="C966" s="45">
        <v>46339</v>
      </c>
      <c r="D966" s="76">
        <v>1591.6156902586999</v>
      </c>
      <c r="E966" s="77">
        <v>125</v>
      </c>
      <c r="F966" s="78">
        <v>12.778830054642199</v>
      </c>
      <c r="G966" s="78">
        <v>12.778830054642199</v>
      </c>
      <c r="H966" s="81">
        <v>12.646478406844601</v>
      </c>
    </row>
    <row r="967" spans="1:8" x14ac:dyDescent="0.3">
      <c r="A967" s="74" t="str">
        <f t="shared" si="15"/>
        <v>内蒙古46340</v>
      </c>
      <c r="B967" s="75" t="s">
        <v>14</v>
      </c>
      <c r="C967" s="45">
        <v>46340</v>
      </c>
      <c r="D967" s="76">
        <v>1591.6156902586999</v>
      </c>
      <c r="E967" s="77">
        <v>125</v>
      </c>
      <c r="F967" s="78">
        <v>12.778830054642199</v>
      </c>
      <c r="G967" s="78">
        <v>12.778830054642199</v>
      </c>
      <c r="H967" s="81">
        <v>12.646478406844601</v>
      </c>
    </row>
    <row r="968" spans="1:8" x14ac:dyDescent="0.3">
      <c r="A968" s="74" t="str">
        <f t="shared" si="15"/>
        <v>内蒙古46341</v>
      </c>
      <c r="B968" s="75" t="s">
        <v>14</v>
      </c>
      <c r="C968" s="45">
        <v>46341</v>
      </c>
      <c r="D968" s="76">
        <v>1591.6156902586999</v>
      </c>
      <c r="E968" s="77">
        <v>125</v>
      </c>
      <c r="F968" s="78">
        <v>12.778830054642199</v>
      </c>
      <c r="G968" s="78">
        <v>12.778830054642199</v>
      </c>
      <c r="H968" s="81">
        <v>12.646478406844601</v>
      </c>
    </row>
    <row r="969" spans="1:8" x14ac:dyDescent="0.3">
      <c r="A969" s="74" t="str">
        <f t="shared" si="15"/>
        <v>内蒙古46342</v>
      </c>
      <c r="B969" s="75" t="s">
        <v>14</v>
      </c>
      <c r="C969" s="45">
        <v>46342</v>
      </c>
      <c r="D969" s="76">
        <v>1591.6156902586999</v>
      </c>
      <c r="E969" s="77">
        <v>125</v>
      </c>
      <c r="F969" s="78">
        <v>12.778830054642199</v>
      </c>
      <c r="G969" s="78">
        <v>12.778830054642199</v>
      </c>
      <c r="H969" s="81">
        <v>12.646478406844601</v>
      </c>
    </row>
    <row r="970" spans="1:8" x14ac:dyDescent="0.3">
      <c r="A970" s="74" t="str">
        <f t="shared" si="15"/>
        <v>内蒙古46343</v>
      </c>
      <c r="B970" s="75" t="s">
        <v>14</v>
      </c>
      <c r="C970" s="45">
        <v>46343</v>
      </c>
      <c r="D970" s="76">
        <v>1591.6156902586999</v>
      </c>
      <c r="E970" s="77">
        <v>125</v>
      </c>
      <c r="F970" s="78">
        <v>12.778830054642199</v>
      </c>
      <c r="G970" s="78">
        <v>12.778830054642199</v>
      </c>
      <c r="H970" s="81">
        <v>12.646478406844601</v>
      </c>
    </row>
    <row r="971" spans="1:8" x14ac:dyDescent="0.3">
      <c r="A971" s="74" t="str">
        <f t="shared" si="15"/>
        <v>内蒙古46344</v>
      </c>
      <c r="B971" s="75" t="s">
        <v>14</v>
      </c>
      <c r="C971" s="45">
        <v>46344</v>
      </c>
      <c r="D971" s="76">
        <v>1591.6156902586999</v>
      </c>
      <c r="E971" s="77">
        <v>125</v>
      </c>
      <c r="F971" s="78">
        <v>12.778830054642199</v>
      </c>
      <c r="G971" s="78">
        <v>12.778830054642199</v>
      </c>
      <c r="H971" s="81">
        <v>12.646478406844601</v>
      </c>
    </row>
    <row r="972" spans="1:8" x14ac:dyDescent="0.3">
      <c r="A972" s="74" t="str">
        <f t="shared" si="15"/>
        <v>内蒙古46345</v>
      </c>
      <c r="B972" s="75" t="s">
        <v>14</v>
      </c>
      <c r="C972" s="45">
        <v>46345</v>
      </c>
      <c r="D972" s="76">
        <v>1591.6156902586999</v>
      </c>
      <c r="E972" s="77">
        <v>125</v>
      </c>
      <c r="F972" s="78">
        <v>12.778830054642199</v>
      </c>
      <c r="G972" s="78">
        <v>12.778830054642199</v>
      </c>
      <c r="H972" s="81">
        <v>12.646478406844601</v>
      </c>
    </row>
    <row r="973" spans="1:8" x14ac:dyDescent="0.3">
      <c r="A973" s="74" t="str">
        <f t="shared" si="15"/>
        <v>内蒙古46346</v>
      </c>
      <c r="B973" s="75" t="s">
        <v>14</v>
      </c>
      <c r="C973" s="45">
        <v>46346</v>
      </c>
      <c r="D973" s="76">
        <v>1591.6156902586999</v>
      </c>
      <c r="E973" s="77">
        <v>125</v>
      </c>
      <c r="F973" s="78">
        <v>12.778830054642199</v>
      </c>
      <c r="G973" s="78">
        <v>12.778830054642199</v>
      </c>
      <c r="H973" s="81">
        <v>12.646478406844601</v>
      </c>
    </row>
    <row r="974" spans="1:8" x14ac:dyDescent="0.3">
      <c r="A974" s="74" t="str">
        <f t="shared" si="15"/>
        <v>内蒙古46347</v>
      </c>
      <c r="B974" s="75" t="s">
        <v>14</v>
      </c>
      <c r="C974" s="45">
        <v>46347</v>
      </c>
      <c r="D974" s="76">
        <v>1591.6156902586999</v>
      </c>
      <c r="E974" s="77">
        <v>125</v>
      </c>
      <c r="F974" s="78">
        <v>12.778830054642199</v>
      </c>
      <c r="G974" s="78">
        <v>12.778830054642199</v>
      </c>
      <c r="H974" s="81">
        <v>12.646478406844601</v>
      </c>
    </row>
    <row r="975" spans="1:8" x14ac:dyDescent="0.3">
      <c r="A975" s="74" t="str">
        <f t="shared" si="15"/>
        <v>内蒙古46348</v>
      </c>
      <c r="B975" s="75" t="s">
        <v>14</v>
      </c>
      <c r="C975" s="45">
        <v>46348</v>
      </c>
      <c r="D975" s="76">
        <v>1591.6156902586999</v>
      </c>
      <c r="E975" s="77">
        <v>125</v>
      </c>
      <c r="F975" s="78">
        <v>12.778830054642199</v>
      </c>
      <c r="G975" s="78">
        <v>12.778830054642199</v>
      </c>
      <c r="H975" s="81">
        <v>12.646478406844601</v>
      </c>
    </row>
    <row r="976" spans="1:8" x14ac:dyDescent="0.3">
      <c r="A976" s="74" t="str">
        <f t="shared" si="15"/>
        <v>内蒙古46349</v>
      </c>
      <c r="B976" s="75" t="s">
        <v>14</v>
      </c>
      <c r="C976" s="45">
        <v>46349</v>
      </c>
      <c r="D976" s="76">
        <v>1591.6156902586999</v>
      </c>
      <c r="E976" s="77">
        <v>125</v>
      </c>
      <c r="F976" s="78">
        <v>12.778830054642199</v>
      </c>
      <c r="G976" s="78">
        <v>12.778830054642199</v>
      </c>
      <c r="H976" s="81">
        <v>12.646478406844601</v>
      </c>
    </row>
    <row r="977" spans="1:8" x14ac:dyDescent="0.3">
      <c r="A977" s="74" t="str">
        <f t="shared" si="15"/>
        <v>内蒙古46350</v>
      </c>
      <c r="B977" s="75" t="s">
        <v>14</v>
      </c>
      <c r="C977" s="45">
        <v>46350</v>
      </c>
      <c r="D977" s="76">
        <v>1591.6156902586999</v>
      </c>
      <c r="E977" s="77">
        <v>125</v>
      </c>
      <c r="F977" s="78">
        <v>12.778830054642199</v>
      </c>
      <c r="G977" s="78">
        <v>12.778830054642199</v>
      </c>
      <c r="H977" s="81">
        <v>12.646478406844601</v>
      </c>
    </row>
    <row r="978" spans="1:8" x14ac:dyDescent="0.3">
      <c r="A978" s="74" t="str">
        <f t="shared" si="15"/>
        <v>内蒙古46351</v>
      </c>
      <c r="B978" s="75" t="s">
        <v>14</v>
      </c>
      <c r="C978" s="45">
        <v>46351</v>
      </c>
      <c r="D978" s="76">
        <v>1591.6156902586999</v>
      </c>
      <c r="E978" s="77">
        <v>125</v>
      </c>
      <c r="F978" s="78">
        <v>12.778830054642199</v>
      </c>
      <c r="G978" s="78">
        <v>12.778830054642199</v>
      </c>
      <c r="H978" s="81">
        <v>12.646478406844601</v>
      </c>
    </row>
    <row r="979" spans="1:8" x14ac:dyDescent="0.3">
      <c r="A979" s="74" t="str">
        <f t="shared" si="15"/>
        <v>内蒙古46352</v>
      </c>
      <c r="B979" s="75" t="s">
        <v>14</v>
      </c>
      <c r="C979" s="45">
        <v>46352</v>
      </c>
      <c r="D979" s="76">
        <v>1591.6156902586999</v>
      </c>
      <c r="E979" s="77">
        <v>125</v>
      </c>
      <c r="F979" s="78">
        <v>12.778830054642199</v>
      </c>
      <c r="G979" s="78">
        <v>12.778830054642199</v>
      </c>
      <c r="H979" s="81">
        <v>12.646478406844601</v>
      </c>
    </row>
    <row r="980" spans="1:8" x14ac:dyDescent="0.3">
      <c r="A980" s="74" t="str">
        <f t="shared" si="15"/>
        <v>内蒙古46353</v>
      </c>
      <c r="B980" s="75" t="s">
        <v>14</v>
      </c>
      <c r="C980" s="45">
        <v>46353</v>
      </c>
      <c r="D980" s="76">
        <v>1591.6156902586999</v>
      </c>
      <c r="E980" s="77">
        <v>125</v>
      </c>
      <c r="F980" s="78">
        <v>12.778830054642199</v>
      </c>
      <c r="G980" s="78">
        <v>12.778830054642199</v>
      </c>
      <c r="H980" s="81">
        <v>12.646478406844601</v>
      </c>
    </row>
    <row r="981" spans="1:8" x14ac:dyDescent="0.3">
      <c r="A981" s="74" t="str">
        <f t="shared" si="15"/>
        <v>内蒙古46354</v>
      </c>
      <c r="B981" s="75" t="s">
        <v>14</v>
      </c>
      <c r="C981" s="45">
        <v>46354</v>
      </c>
      <c r="D981" s="76">
        <v>1591.6156902586999</v>
      </c>
      <c r="E981" s="77">
        <v>125</v>
      </c>
      <c r="F981" s="78">
        <v>12.778830054642199</v>
      </c>
      <c r="G981" s="78">
        <v>12.778830054642199</v>
      </c>
      <c r="H981" s="81">
        <v>12.646478406844601</v>
      </c>
    </row>
    <row r="982" spans="1:8" x14ac:dyDescent="0.3">
      <c r="A982" s="74" t="str">
        <f t="shared" si="15"/>
        <v>内蒙古46355</v>
      </c>
      <c r="B982" s="75" t="s">
        <v>14</v>
      </c>
      <c r="C982" s="45">
        <v>46355</v>
      </c>
      <c r="D982" s="76">
        <v>1591.6156902586999</v>
      </c>
      <c r="E982" s="77">
        <v>125</v>
      </c>
      <c r="F982" s="78">
        <v>12.778830054642199</v>
      </c>
      <c r="G982" s="78">
        <v>12.778830054642199</v>
      </c>
      <c r="H982" s="81">
        <v>12.646478406844601</v>
      </c>
    </row>
    <row r="983" spans="1:8" x14ac:dyDescent="0.3">
      <c r="A983" s="74" t="str">
        <f t="shared" si="15"/>
        <v>内蒙古46356</v>
      </c>
      <c r="B983" s="75" t="s">
        <v>14</v>
      </c>
      <c r="C983" s="45">
        <v>46356</v>
      </c>
      <c r="D983" s="76">
        <v>1591.6156902586999</v>
      </c>
      <c r="E983" s="77">
        <v>125</v>
      </c>
      <c r="F983" s="78">
        <v>12.778830054642199</v>
      </c>
      <c r="G983" s="78">
        <v>12.778830054642199</v>
      </c>
      <c r="H983" s="81">
        <v>12.646478406844601</v>
      </c>
    </row>
    <row r="984" spans="1:8" x14ac:dyDescent="0.3">
      <c r="A984" s="74" t="str">
        <f t="shared" si="15"/>
        <v>内蒙古46357</v>
      </c>
      <c r="B984" s="75" t="s">
        <v>14</v>
      </c>
      <c r="C984" s="45">
        <v>46357</v>
      </c>
      <c r="D984" s="76">
        <v>1383.5536453964601</v>
      </c>
      <c r="E984" s="77">
        <v>125</v>
      </c>
      <c r="F984" s="78">
        <v>13.4709153340987</v>
      </c>
      <c r="G984" s="78">
        <v>13.4709153340987</v>
      </c>
      <c r="H984" s="81">
        <v>12.8800283027667</v>
      </c>
    </row>
    <row r="985" spans="1:8" x14ac:dyDescent="0.3">
      <c r="A985" s="74" t="str">
        <f t="shared" si="15"/>
        <v>内蒙古46358</v>
      </c>
      <c r="B985" s="75" t="s">
        <v>14</v>
      </c>
      <c r="C985" s="45">
        <v>46358</v>
      </c>
      <c r="D985" s="76">
        <v>1383.5536453964601</v>
      </c>
      <c r="E985" s="77">
        <v>125</v>
      </c>
      <c r="F985" s="78">
        <v>13.4709153340987</v>
      </c>
      <c r="G985" s="78">
        <v>13.4709153340987</v>
      </c>
      <c r="H985" s="81">
        <v>12.8800283027667</v>
      </c>
    </row>
    <row r="986" spans="1:8" x14ac:dyDescent="0.3">
      <c r="A986" s="74" t="str">
        <f t="shared" si="15"/>
        <v>内蒙古46359</v>
      </c>
      <c r="B986" s="75" t="s">
        <v>14</v>
      </c>
      <c r="C986" s="45">
        <v>46359</v>
      </c>
      <c r="D986" s="76">
        <v>1383.5536453964601</v>
      </c>
      <c r="E986" s="77">
        <v>125</v>
      </c>
      <c r="F986" s="78">
        <v>13.4709153340987</v>
      </c>
      <c r="G986" s="78">
        <v>13.4709153340987</v>
      </c>
      <c r="H986" s="81">
        <v>12.8800283027667</v>
      </c>
    </row>
    <row r="987" spans="1:8" x14ac:dyDescent="0.3">
      <c r="A987" s="74" t="str">
        <f t="shared" si="15"/>
        <v>内蒙古46360</v>
      </c>
      <c r="B987" s="75" t="s">
        <v>14</v>
      </c>
      <c r="C987" s="45">
        <v>46360</v>
      </c>
      <c r="D987" s="76">
        <v>1383.5536453964601</v>
      </c>
      <c r="E987" s="77">
        <v>125</v>
      </c>
      <c r="F987" s="78">
        <v>13.4709153340987</v>
      </c>
      <c r="G987" s="78">
        <v>13.4709153340987</v>
      </c>
      <c r="H987" s="81">
        <v>12.8800283027667</v>
      </c>
    </row>
    <row r="988" spans="1:8" x14ac:dyDescent="0.3">
      <c r="A988" s="74" t="str">
        <f t="shared" si="15"/>
        <v>内蒙古46361</v>
      </c>
      <c r="B988" s="75" t="s">
        <v>14</v>
      </c>
      <c r="C988" s="45">
        <v>46361</v>
      </c>
      <c r="D988" s="76">
        <v>1383.5536453964601</v>
      </c>
      <c r="E988" s="77">
        <v>125</v>
      </c>
      <c r="F988" s="78">
        <v>13.4709153340987</v>
      </c>
      <c r="G988" s="78">
        <v>13.4709153340987</v>
      </c>
      <c r="H988" s="81">
        <v>12.8800283027667</v>
      </c>
    </row>
    <row r="989" spans="1:8" x14ac:dyDescent="0.3">
      <c r="A989" s="74" t="str">
        <f t="shared" si="15"/>
        <v>内蒙古46362</v>
      </c>
      <c r="B989" s="75" t="s">
        <v>14</v>
      </c>
      <c r="C989" s="45">
        <v>46362</v>
      </c>
      <c r="D989" s="76">
        <v>1383.5536453964601</v>
      </c>
      <c r="E989" s="77">
        <v>125</v>
      </c>
      <c r="F989" s="78">
        <v>13.4709153340987</v>
      </c>
      <c r="G989" s="78">
        <v>13.4709153340987</v>
      </c>
      <c r="H989" s="81">
        <v>12.8800283027667</v>
      </c>
    </row>
    <row r="990" spans="1:8" x14ac:dyDescent="0.3">
      <c r="A990" s="74" t="str">
        <f t="shared" si="15"/>
        <v>内蒙古46363</v>
      </c>
      <c r="B990" s="75" t="s">
        <v>14</v>
      </c>
      <c r="C990" s="45">
        <v>46363</v>
      </c>
      <c r="D990" s="76">
        <v>1383.5536453964601</v>
      </c>
      <c r="E990" s="77">
        <v>125</v>
      </c>
      <c r="F990" s="78">
        <v>13.4709153340987</v>
      </c>
      <c r="G990" s="78">
        <v>13.4709153340987</v>
      </c>
      <c r="H990" s="81">
        <v>12.8800283027667</v>
      </c>
    </row>
    <row r="991" spans="1:8" x14ac:dyDescent="0.3">
      <c r="A991" s="74" t="str">
        <f t="shared" si="15"/>
        <v>内蒙古46364</v>
      </c>
      <c r="B991" s="75" t="s">
        <v>14</v>
      </c>
      <c r="C991" s="45">
        <v>46364</v>
      </c>
      <c r="D991" s="76">
        <v>1383.5536453964601</v>
      </c>
      <c r="E991" s="77">
        <v>125</v>
      </c>
      <c r="F991" s="78">
        <v>13.4709153340987</v>
      </c>
      <c r="G991" s="78">
        <v>13.4709153340987</v>
      </c>
      <c r="H991" s="81">
        <v>12.8800283027667</v>
      </c>
    </row>
    <row r="992" spans="1:8" x14ac:dyDescent="0.3">
      <c r="A992" s="74" t="str">
        <f t="shared" si="15"/>
        <v>内蒙古46365</v>
      </c>
      <c r="B992" s="75" t="s">
        <v>14</v>
      </c>
      <c r="C992" s="45">
        <v>46365</v>
      </c>
      <c r="D992" s="76">
        <v>1383.5536453964601</v>
      </c>
      <c r="E992" s="77">
        <v>125</v>
      </c>
      <c r="F992" s="78">
        <v>13.4709153340987</v>
      </c>
      <c r="G992" s="78">
        <v>13.4709153340987</v>
      </c>
      <c r="H992" s="81">
        <v>12.8800283027667</v>
      </c>
    </row>
    <row r="993" spans="1:8" x14ac:dyDescent="0.3">
      <c r="A993" s="74" t="str">
        <f t="shared" si="15"/>
        <v>内蒙古46366</v>
      </c>
      <c r="B993" s="75" t="s">
        <v>14</v>
      </c>
      <c r="C993" s="45">
        <v>46366</v>
      </c>
      <c r="D993" s="76">
        <v>1383.5536453964601</v>
      </c>
      <c r="E993" s="77">
        <v>125</v>
      </c>
      <c r="F993" s="78">
        <v>13.4709153340987</v>
      </c>
      <c r="G993" s="78">
        <v>13.4709153340987</v>
      </c>
      <c r="H993" s="81">
        <v>12.8800283027667</v>
      </c>
    </row>
    <row r="994" spans="1:8" x14ac:dyDescent="0.3">
      <c r="A994" s="74" t="str">
        <f t="shared" si="15"/>
        <v>内蒙古46367</v>
      </c>
      <c r="B994" s="75" t="s">
        <v>14</v>
      </c>
      <c r="C994" s="45">
        <v>46367</v>
      </c>
      <c r="D994" s="76">
        <v>1383.5536453964601</v>
      </c>
      <c r="E994" s="77">
        <v>125</v>
      </c>
      <c r="F994" s="78">
        <v>13.4709153340987</v>
      </c>
      <c r="G994" s="78">
        <v>13.4709153340987</v>
      </c>
      <c r="H994" s="81">
        <v>12.8800283027667</v>
      </c>
    </row>
    <row r="995" spans="1:8" x14ac:dyDescent="0.3">
      <c r="A995" s="74" t="str">
        <f t="shared" si="15"/>
        <v>内蒙古46368</v>
      </c>
      <c r="B995" s="75" t="s">
        <v>14</v>
      </c>
      <c r="C995" s="45">
        <v>46368</v>
      </c>
      <c r="D995" s="76">
        <v>1383.5536453964601</v>
      </c>
      <c r="E995" s="77">
        <v>125</v>
      </c>
      <c r="F995" s="78">
        <v>13.4709153340987</v>
      </c>
      <c r="G995" s="78">
        <v>13.4709153340987</v>
      </c>
      <c r="H995" s="81">
        <v>12.8800283027667</v>
      </c>
    </row>
    <row r="996" spans="1:8" x14ac:dyDescent="0.3">
      <c r="A996" s="74" t="str">
        <f t="shared" si="15"/>
        <v>内蒙古46369</v>
      </c>
      <c r="B996" s="75" t="s">
        <v>14</v>
      </c>
      <c r="C996" s="45">
        <v>46369</v>
      </c>
      <c r="D996" s="76">
        <v>1383.5536453964601</v>
      </c>
      <c r="E996" s="77">
        <v>125</v>
      </c>
      <c r="F996" s="78">
        <v>13.4709153340987</v>
      </c>
      <c r="G996" s="78">
        <v>13.4709153340987</v>
      </c>
      <c r="H996" s="81">
        <v>12.8800283027667</v>
      </c>
    </row>
    <row r="997" spans="1:8" x14ac:dyDescent="0.3">
      <c r="A997" s="74" t="str">
        <f t="shared" si="15"/>
        <v>内蒙古46370</v>
      </c>
      <c r="B997" s="75" t="s">
        <v>14</v>
      </c>
      <c r="C997" s="45">
        <v>46370</v>
      </c>
      <c r="D997" s="76">
        <v>1383.5536453964601</v>
      </c>
      <c r="E997" s="77">
        <v>125</v>
      </c>
      <c r="F997" s="78">
        <v>13.4709153340987</v>
      </c>
      <c r="G997" s="78">
        <v>13.4709153340987</v>
      </c>
      <c r="H997" s="81">
        <v>12.8800283027667</v>
      </c>
    </row>
    <row r="998" spans="1:8" x14ac:dyDescent="0.3">
      <c r="A998" s="74" t="str">
        <f t="shared" si="15"/>
        <v>内蒙古46371</v>
      </c>
      <c r="B998" s="75" t="s">
        <v>14</v>
      </c>
      <c r="C998" s="45">
        <v>46371</v>
      </c>
      <c r="D998" s="76">
        <v>1383.5536453964601</v>
      </c>
      <c r="E998" s="77">
        <v>125</v>
      </c>
      <c r="F998" s="78">
        <v>13.4709153340987</v>
      </c>
      <c r="G998" s="78">
        <v>13.4709153340987</v>
      </c>
      <c r="H998" s="81">
        <v>12.8800283027667</v>
      </c>
    </row>
    <row r="999" spans="1:8" x14ac:dyDescent="0.3">
      <c r="A999" s="74" t="str">
        <f t="shared" si="15"/>
        <v>内蒙古46372</v>
      </c>
      <c r="B999" s="75" t="s">
        <v>14</v>
      </c>
      <c r="C999" s="45">
        <v>46372</v>
      </c>
      <c r="D999" s="76">
        <v>1383.5536453964601</v>
      </c>
      <c r="E999" s="77">
        <v>125</v>
      </c>
      <c r="F999" s="78">
        <v>13.4709153340987</v>
      </c>
      <c r="G999" s="78">
        <v>13.4709153340987</v>
      </c>
      <c r="H999" s="81">
        <v>12.8800283027667</v>
      </c>
    </row>
    <row r="1000" spans="1:8" x14ac:dyDescent="0.3">
      <c r="A1000" s="74" t="str">
        <f t="shared" si="15"/>
        <v>内蒙古46373</v>
      </c>
      <c r="B1000" s="75" t="s">
        <v>14</v>
      </c>
      <c r="C1000" s="45">
        <v>46373</v>
      </c>
      <c r="D1000" s="76">
        <v>1383.5536453964601</v>
      </c>
      <c r="E1000" s="77">
        <v>125</v>
      </c>
      <c r="F1000" s="78">
        <v>13.4709153340987</v>
      </c>
      <c r="G1000" s="78">
        <v>13.4709153340987</v>
      </c>
      <c r="H1000" s="81">
        <v>12.8800283027667</v>
      </c>
    </row>
    <row r="1001" spans="1:8" x14ac:dyDescent="0.3">
      <c r="A1001" s="74" t="str">
        <f t="shared" si="15"/>
        <v>内蒙古46374</v>
      </c>
      <c r="B1001" s="75" t="s">
        <v>14</v>
      </c>
      <c r="C1001" s="45">
        <v>46374</v>
      </c>
      <c r="D1001" s="76">
        <v>1383.5536453964601</v>
      </c>
      <c r="E1001" s="77">
        <v>125</v>
      </c>
      <c r="F1001" s="78">
        <v>13.4709153340987</v>
      </c>
      <c r="G1001" s="78">
        <v>13.4709153340987</v>
      </c>
      <c r="H1001" s="81">
        <v>12.8800283027667</v>
      </c>
    </row>
    <row r="1002" spans="1:8" x14ac:dyDescent="0.3">
      <c r="A1002" s="74" t="str">
        <f t="shared" si="15"/>
        <v>内蒙古46375</v>
      </c>
      <c r="B1002" s="75" t="s">
        <v>14</v>
      </c>
      <c r="C1002" s="45">
        <v>46375</v>
      </c>
      <c r="D1002" s="76">
        <v>1383.5536453964601</v>
      </c>
      <c r="E1002" s="77">
        <v>125</v>
      </c>
      <c r="F1002" s="78">
        <v>13.4709153340987</v>
      </c>
      <c r="G1002" s="78">
        <v>13.4709153340987</v>
      </c>
      <c r="H1002" s="81">
        <v>12.8800283027667</v>
      </c>
    </row>
    <row r="1003" spans="1:8" x14ac:dyDescent="0.3">
      <c r="A1003" s="74" t="str">
        <f t="shared" si="15"/>
        <v>内蒙古46376</v>
      </c>
      <c r="B1003" s="75" t="s">
        <v>14</v>
      </c>
      <c r="C1003" s="45">
        <v>46376</v>
      </c>
      <c r="D1003" s="76">
        <v>1383.5536453964601</v>
      </c>
      <c r="E1003" s="77">
        <v>125</v>
      </c>
      <c r="F1003" s="78">
        <v>13.4709153340987</v>
      </c>
      <c r="G1003" s="78">
        <v>13.4709153340987</v>
      </c>
      <c r="H1003" s="81">
        <v>12.8800283027667</v>
      </c>
    </row>
    <row r="1004" spans="1:8" x14ac:dyDescent="0.3">
      <c r="A1004" s="74" t="str">
        <f t="shared" si="15"/>
        <v>内蒙古46377</v>
      </c>
      <c r="B1004" s="75" t="s">
        <v>14</v>
      </c>
      <c r="C1004" s="45">
        <v>46377</v>
      </c>
      <c r="D1004" s="76">
        <v>1383.5536453964601</v>
      </c>
      <c r="E1004" s="77">
        <v>125</v>
      </c>
      <c r="F1004" s="78">
        <v>13.4709153340987</v>
      </c>
      <c r="G1004" s="78">
        <v>13.4709153340987</v>
      </c>
      <c r="H1004" s="81">
        <v>12.8800283027667</v>
      </c>
    </row>
    <row r="1005" spans="1:8" x14ac:dyDescent="0.3">
      <c r="A1005" s="74" t="str">
        <f t="shared" si="15"/>
        <v>内蒙古46378</v>
      </c>
      <c r="B1005" s="75" t="s">
        <v>14</v>
      </c>
      <c r="C1005" s="45">
        <v>46378</v>
      </c>
      <c r="D1005" s="76">
        <v>1383.5536453964601</v>
      </c>
      <c r="E1005" s="77">
        <v>125</v>
      </c>
      <c r="F1005" s="78">
        <v>13.4709153340987</v>
      </c>
      <c r="G1005" s="78">
        <v>13.4709153340987</v>
      </c>
      <c r="H1005" s="81">
        <v>12.8800283027667</v>
      </c>
    </row>
    <row r="1006" spans="1:8" x14ac:dyDescent="0.3">
      <c r="A1006" s="74" t="str">
        <f t="shared" si="15"/>
        <v>内蒙古46379</v>
      </c>
      <c r="B1006" s="75" t="s">
        <v>14</v>
      </c>
      <c r="C1006" s="45">
        <v>46379</v>
      </c>
      <c r="D1006" s="76">
        <v>1383.5536453964601</v>
      </c>
      <c r="E1006" s="77">
        <v>125</v>
      </c>
      <c r="F1006" s="78">
        <v>13.4709153340987</v>
      </c>
      <c r="G1006" s="78">
        <v>13.4709153340987</v>
      </c>
      <c r="H1006" s="81">
        <v>12.8800283027667</v>
      </c>
    </row>
    <row r="1007" spans="1:8" x14ac:dyDescent="0.3">
      <c r="A1007" s="74" t="str">
        <f t="shared" si="15"/>
        <v>内蒙古46380</v>
      </c>
      <c r="B1007" s="75" t="s">
        <v>14</v>
      </c>
      <c r="C1007" s="45">
        <v>46380</v>
      </c>
      <c r="D1007" s="76">
        <v>1383.5536453964601</v>
      </c>
      <c r="E1007" s="77">
        <v>125</v>
      </c>
      <c r="F1007" s="78">
        <v>13.4709153340987</v>
      </c>
      <c r="G1007" s="78">
        <v>13.4709153340987</v>
      </c>
      <c r="H1007" s="81">
        <v>12.8800283027667</v>
      </c>
    </row>
    <row r="1008" spans="1:8" x14ac:dyDescent="0.3">
      <c r="A1008" s="74" t="str">
        <f t="shared" si="15"/>
        <v>内蒙古46381</v>
      </c>
      <c r="B1008" s="75" t="s">
        <v>14</v>
      </c>
      <c r="C1008" s="45">
        <v>46381</v>
      </c>
      <c r="D1008" s="76">
        <v>1383.5536453964601</v>
      </c>
      <c r="E1008" s="77">
        <v>125</v>
      </c>
      <c r="F1008" s="78">
        <v>13.4709153340987</v>
      </c>
      <c r="G1008" s="78">
        <v>13.4709153340987</v>
      </c>
      <c r="H1008" s="81">
        <v>12.8800283027667</v>
      </c>
    </row>
    <row r="1009" spans="1:8" x14ac:dyDescent="0.3">
      <c r="A1009" s="74" t="str">
        <f t="shared" si="15"/>
        <v>内蒙古46382</v>
      </c>
      <c r="B1009" s="75" t="s">
        <v>14</v>
      </c>
      <c r="C1009" s="45">
        <v>46382</v>
      </c>
      <c r="D1009" s="76">
        <v>1383.5536453964601</v>
      </c>
      <c r="E1009" s="77">
        <v>125</v>
      </c>
      <c r="F1009" s="78">
        <v>13.4709153340987</v>
      </c>
      <c r="G1009" s="78">
        <v>13.4709153340987</v>
      </c>
      <c r="H1009" s="81">
        <v>12.8800283027667</v>
      </c>
    </row>
    <row r="1010" spans="1:8" x14ac:dyDescent="0.3">
      <c r="A1010" s="74" t="str">
        <f t="shared" si="15"/>
        <v>内蒙古46383</v>
      </c>
      <c r="B1010" s="75" t="s">
        <v>14</v>
      </c>
      <c r="C1010" s="45">
        <v>46383</v>
      </c>
      <c r="D1010" s="76">
        <v>1383.5536453964601</v>
      </c>
      <c r="E1010" s="77">
        <v>125</v>
      </c>
      <c r="F1010" s="78">
        <v>13.4709153340987</v>
      </c>
      <c r="G1010" s="78">
        <v>13.4709153340987</v>
      </c>
      <c r="H1010" s="81">
        <v>12.8800283027667</v>
      </c>
    </row>
    <row r="1011" spans="1:8" x14ac:dyDescent="0.3">
      <c r="A1011" s="74" t="str">
        <f t="shared" si="15"/>
        <v>内蒙古46384</v>
      </c>
      <c r="B1011" s="75" t="s">
        <v>14</v>
      </c>
      <c r="C1011" s="45">
        <v>46384</v>
      </c>
      <c r="D1011" s="76">
        <v>1383.5536453964601</v>
      </c>
      <c r="E1011" s="77">
        <v>125</v>
      </c>
      <c r="F1011" s="78">
        <v>13.4709153340987</v>
      </c>
      <c r="G1011" s="78">
        <v>13.4709153340987</v>
      </c>
      <c r="H1011" s="81">
        <v>12.8800283027667</v>
      </c>
    </row>
    <row r="1012" spans="1:8" x14ac:dyDescent="0.3">
      <c r="A1012" s="74" t="str">
        <f t="shared" si="15"/>
        <v>内蒙古46385</v>
      </c>
      <c r="B1012" s="75" t="s">
        <v>14</v>
      </c>
      <c r="C1012" s="45">
        <v>46385</v>
      </c>
      <c r="D1012" s="76">
        <v>1383.5536453964601</v>
      </c>
      <c r="E1012" s="77">
        <v>125</v>
      </c>
      <c r="F1012" s="78">
        <v>13.4709153340987</v>
      </c>
      <c r="G1012" s="78">
        <v>13.4709153340987</v>
      </c>
      <c r="H1012" s="81">
        <v>12.8800283027667</v>
      </c>
    </row>
    <row r="1013" spans="1:8" x14ac:dyDescent="0.3">
      <c r="A1013" s="74" t="str">
        <f t="shared" si="15"/>
        <v>内蒙古46386</v>
      </c>
      <c r="B1013" s="75" t="s">
        <v>14</v>
      </c>
      <c r="C1013" s="45">
        <v>46386</v>
      </c>
      <c r="D1013" s="76">
        <v>1383.5536453964601</v>
      </c>
      <c r="E1013" s="77">
        <v>125</v>
      </c>
      <c r="F1013" s="78">
        <v>13.4709153340987</v>
      </c>
      <c r="G1013" s="78">
        <v>13.4709153340987</v>
      </c>
      <c r="H1013" s="81">
        <v>12.8800283027667</v>
      </c>
    </row>
    <row r="1014" spans="1:8" x14ac:dyDescent="0.3">
      <c r="A1014" s="74" t="str">
        <f t="shared" si="15"/>
        <v>内蒙古46387</v>
      </c>
      <c r="B1014" s="82" t="s">
        <v>14</v>
      </c>
      <c r="C1014" s="83">
        <v>46387</v>
      </c>
      <c r="D1014" s="84">
        <v>1383.5536453964601</v>
      </c>
      <c r="E1014" s="85">
        <v>125</v>
      </c>
      <c r="F1014" s="86">
        <v>13.4709153340987</v>
      </c>
      <c r="G1014" s="86">
        <v>13.4709153340987</v>
      </c>
      <c r="H1014" s="87">
        <v>12.8800283027667</v>
      </c>
    </row>
    <row r="1015" spans="1:8" x14ac:dyDescent="0.3">
      <c r="A1015" s="74" t="str">
        <f t="shared" si="15"/>
        <v>山西46135</v>
      </c>
      <c r="B1015" s="75" t="s">
        <v>15</v>
      </c>
      <c r="C1015" s="45">
        <v>46135</v>
      </c>
      <c r="D1015" s="76">
        <v>455.09229469116701</v>
      </c>
      <c r="E1015" s="77">
        <v>125</v>
      </c>
      <c r="F1015" s="78">
        <v>8.7286738785464308</v>
      </c>
      <c r="G1015" s="78">
        <v>8.7286738785464308</v>
      </c>
      <c r="H1015" s="81">
        <v>9.2802239224591503</v>
      </c>
    </row>
    <row r="1016" spans="1:8" x14ac:dyDescent="0.3">
      <c r="A1016" s="74" t="str">
        <f t="shared" si="15"/>
        <v>山西46136</v>
      </c>
      <c r="B1016" s="75" t="s">
        <v>15</v>
      </c>
      <c r="C1016" s="45">
        <v>46136</v>
      </c>
      <c r="D1016" s="76">
        <v>455.09229469116701</v>
      </c>
      <c r="E1016" s="77">
        <v>125</v>
      </c>
      <c r="F1016" s="78">
        <v>8.7286738785464308</v>
      </c>
      <c r="G1016" s="78">
        <v>8.7286738785464308</v>
      </c>
      <c r="H1016" s="81">
        <v>9.2802239224591503</v>
      </c>
    </row>
    <row r="1017" spans="1:8" x14ac:dyDescent="0.3">
      <c r="A1017" s="74" t="str">
        <f t="shared" si="15"/>
        <v>山西46137</v>
      </c>
      <c r="B1017" s="75" t="s">
        <v>15</v>
      </c>
      <c r="C1017" s="45">
        <v>46137</v>
      </c>
      <c r="D1017" s="76">
        <v>455.09229469116701</v>
      </c>
      <c r="E1017" s="77">
        <v>125</v>
      </c>
      <c r="F1017" s="78">
        <v>8.7286738785464308</v>
      </c>
      <c r="G1017" s="78">
        <v>8.7286738785464308</v>
      </c>
      <c r="H1017" s="81">
        <v>9.2802239224591503</v>
      </c>
    </row>
    <row r="1018" spans="1:8" x14ac:dyDescent="0.3">
      <c r="A1018" s="74" t="str">
        <f t="shared" si="15"/>
        <v>山西46138</v>
      </c>
      <c r="B1018" s="75" t="s">
        <v>15</v>
      </c>
      <c r="C1018" s="45">
        <v>46138</v>
      </c>
      <c r="D1018" s="76">
        <v>455.09229469116701</v>
      </c>
      <c r="E1018" s="77">
        <v>125</v>
      </c>
      <c r="F1018" s="78">
        <v>8.7286738785464308</v>
      </c>
      <c r="G1018" s="78">
        <v>8.7286738785464308</v>
      </c>
      <c r="H1018" s="81">
        <v>9.2802239224591503</v>
      </c>
    </row>
    <row r="1019" spans="1:8" x14ac:dyDescent="0.3">
      <c r="A1019" s="74" t="str">
        <f t="shared" si="15"/>
        <v>山西46139</v>
      </c>
      <c r="B1019" s="75" t="s">
        <v>15</v>
      </c>
      <c r="C1019" s="45">
        <v>46139</v>
      </c>
      <c r="D1019" s="76">
        <v>455.09229469116701</v>
      </c>
      <c r="E1019" s="77">
        <v>125</v>
      </c>
      <c r="F1019" s="78">
        <v>8.7286738785464308</v>
      </c>
      <c r="G1019" s="78">
        <v>8.7286738785464308</v>
      </c>
      <c r="H1019" s="81">
        <v>9.2802239224591503</v>
      </c>
    </row>
    <row r="1020" spans="1:8" x14ac:dyDescent="0.3">
      <c r="A1020" s="74" t="str">
        <f t="shared" si="15"/>
        <v>山西46140</v>
      </c>
      <c r="B1020" s="75" t="s">
        <v>15</v>
      </c>
      <c r="C1020" s="45">
        <v>46140</v>
      </c>
      <c r="D1020" s="76">
        <v>455.09229469116701</v>
      </c>
      <c r="E1020" s="77">
        <v>125</v>
      </c>
      <c r="F1020" s="78">
        <v>8.7286738785464308</v>
      </c>
      <c r="G1020" s="78">
        <v>8.7286738785464308</v>
      </c>
      <c r="H1020" s="81">
        <v>9.2802239224591503</v>
      </c>
    </row>
    <row r="1021" spans="1:8" x14ac:dyDescent="0.3">
      <c r="A1021" s="74" t="str">
        <f t="shared" si="15"/>
        <v>山西46141</v>
      </c>
      <c r="B1021" s="75" t="s">
        <v>15</v>
      </c>
      <c r="C1021" s="45">
        <v>46141</v>
      </c>
      <c r="D1021" s="76">
        <v>455.09229469116701</v>
      </c>
      <c r="E1021" s="77">
        <v>125</v>
      </c>
      <c r="F1021" s="78">
        <v>8.7286738785464308</v>
      </c>
      <c r="G1021" s="78">
        <v>8.7286738785464308</v>
      </c>
      <c r="H1021" s="81">
        <v>9.2802239224591503</v>
      </c>
    </row>
    <row r="1022" spans="1:8" x14ac:dyDescent="0.3">
      <c r="A1022" s="74" t="str">
        <f t="shared" si="15"/>
        <v>山西46142</v>
      </c>
      <c r="B1022" s="75" t="s">
        <v>15</v>
      </c>
      <c r="C1022" s="45">
        <v>46142</v>
      </c>
      <c r="D1022" s="76">
        <v>455.09229469116701</v>
      </c>
      <c r="E1022" s="77">
        <v>125</v>
      </c>
      <c r="F1022" s="78">
        <v>8.7286738785464308</v>
      </c>
      <c r="G1022" s="78">
        <v>8.7286738785464308</v>
      </c>
      <c r="H1022" s="81">
        <v>9.2802239224591503</v>
      </c>
    </row>
    <row r="1023" spans="1:8" x14ac:dyDescent="0.3">
      <c r="A1023" s="74" t="str">
        <f t="shared" si="15"/>
        <v>山西46143</v>
      </c>
      <c r="B1023" s="75" t="s">
        <v>15</v>
      </c>
      <c r="C1023" s="45">
        <v>46143</v>
      </c>
      <c r="D1023" s="76">
        <v>469.21584866434102</v>
      </c>
      <c r="E1023" s="77">
        <v>125</v>
      </c>
      <c r="F1023" s="78">
        <v>10.158848601254601</v>
      </c>
      <c r="G1023" s="78">
        <v>10.158848601254601</v>
      </c>
      <c r="H1023" s="81">
        <v>9.4909743367949098</v>
      </c>
    </row>
    <row r="1024" spans="1:8" x14ac:dyDescent="0.3">
      <c r="A1024" s="74" t="str">
        <f t="shared" si="15"/>
        <v>山西46144</v>
      </c>
      <c r="B1024" s="75" t="s">
        <v>15</v>
      </c>
      <c r="C1024" s="45">
        <v>46144</v>
      </c>
      <c r="D1024" s="76">
        <v>469.21584866434102</v>
      </c>
      <c r="E1024" s="77">
        <v>125</v>
      </c>
      <c r="F1024" s="78">
        <v>10.158848601254601</v>
      </c>
      <c r="G1024" s="78">
        <v>10.158848601254601</v>
      </c>
      <c r="H1024" s="81">
        <v>9.4909743367949098</v>
      </c>
    </row>
    <row r="1025" spans="1:8" x14ac:dyDescent="0.3">
      <c r="A1025" s="74" t="str">
        <f t="shared" si="15"/>
        <v>山西46145</v>
      </c>
      <c r="B1025" s="75" t="s">
        <v>15</v>
      </c>
      <c r="C1025" s="45">
        <v>46145</v>
      </c>
      <c r="D1025" s="76">
        <v>469.21584866434102</v>
      </c>
      <c r="E1025" s="77">
        <v>125</v>
      </c>
      <c r="F1025" s="78">
        <v>10.158848601254601</v>
      </c>
      <c r="G1025" s="78">
        <v>10.158848601254601</v>
      </c>
      <c r="H1025" s="81">
        <v>9.4909743367949098</v>
      </c>
    </row>
    <row r="1026" spans="1:8" x14ac:dyDescent="0.3">
      <c r="A1026" s="74" t="str">
        <f t="shared" si="15"/>
        <v>山西46146</v>
      </c>
      <c r="B1026" s="75" t="s">
        <v>15</v>
      </c>
      <c r="C1026" s="45">
        <v>46146</v>
      </c>
      <c r="D1026" s="76">
        <v>469.21584866434102</v>
      </c>
      <c r="E1026" s="77">
        <v>125</v>
      </c>
      <c r="F1026" s="78">
        <v>10.158848601254601</v>
      </c>
      <c r="G1026" s="78">
        <v>10.158848601254601</v>
      </c>
      <c r="H1026" s="81">
        <v>9.4909743367949098</v>
      </c>
    </row>
    <row r="1027" spans="1:8" x14ac:dyDescent="0.3">
      <c r="A1027" s="74" t="str">
        <f t="shared" ref="A1027:A1090" si="16">B1027&amp;C1027</f>
        <v>山西46147</v>
      </c>
      <c r="B1027" s="75" t="s">
        <v>15</v>
      </c>
      <c r="C1027" s="45">
        <v>46147</v>
      </c>
      <c r="D1027" s="76">
        <v>469.21584866434102</v>
      </c>
      <c r="E1027" s="77">
        <v>125</v>
      </c>
      <c r="F1027" s="78">
        <v>10.158848601254601</v>
      </c>
      <c r="G1027" s="78">
        <v>10.158848601254601</v>
      </c>
      <c r="H1027" s="81">
        <v>9.4909743367949098</v>
      </c>
    </row>
    <row r="1028" spans="1:8" x14ac:dyDescent="0.3">
      <c r="A1028" s="74" t="str">
        <f t="shared" si="16"/>
        <v>山西46148</v>
      </c>
      <c r="B1028" s="75" t="s">
        <v>15</v>
      </c>
      <c r="C1028" s="45">
        <v>46148</v>
      </c>
      <c r="D1028" s="76">
        <v>469.21584866434102</v>
      </c>
      <c r="E1028" s="77">
        <v>125</v>
      </c>
      <c r="F1028" s="78">
        <v>10.158848601254601</v>
      </c>
      <c r="G1028" s="78">
        <v>10.158848601254601</v>
      </c>
      <c r="H1028" s="81">
        <v>9.4909743367949098</v>
      </c>
    </row>
    <row r="1029" spans="1:8" x14ac:dyDescent="0.3">
      <c r="A1029" s="74" t="str">
        <f t="shared" si="16"/>
        <v>山西46149</v>
      </c>
      <c r="B1029" s="75" t="s">
        <v>15</v>
      </c>
      <c r="C1029" s="45">
        <v>46149</v>
      </c>
      <c r="D1029" s="76">
        <v>469.21584866434102</v>
      </c>
      <c r="E1029" s="77">
        <v>125</v>
      </c>
      <c r="F1029" s="78">
        <v>10.158848601254601</v>
      </c>
      <c r="G1029" s="78">
        <v>10.158848601254601</v>
      </c>
      <c r="H1029" s="81">
        <v>9.4909743367949098</v>
      </c>
    </row>
    <row r="1030" spans="1:8" x14ac:dyDescent="0.3">
      <c r="A1030" s="74" t="str">
        <f t="shared" si="16"/>
        <v>山西46150</v>
      </c>
      <c r="B1030" s="75" t="s">
        <v>15</v>
      </c>
      <c r="C1030" s="45">
        <v>46150</v>
      </c>
      <c r="D1030" s="76">
        <v>469.21584866434102</v>
      </c>
      <c r="E1030" s="77">
        <v>125</v>
      </c>
      <c r="F1030" s="78">
        <v>10.158848601254601</v>
      </c>
      <c r="G1030" s="78">
        <v>10.158848601254601</v>
      </c>
      <c r="H1030" s="81">
        <v>9.4909743367949098</v>
      </c>
    </row>
    <row r="1031" spans="1:8" x14ac:dyDescent="0.3">
      <c r="A1031" s="74" t="str">
        <f t="shared" si="16"/>
        <v>山西46151</v>
      </c>
      <c r="B1031" s="75" t="s">
        <v>15</v>
      </c>
      <c r="C1031" s="45">
        <v>46151</v>
      </c>
      <c r="D1031" s="76">
        <v>469.21584866434102</v>
      </c>
      <c r="E1031" s="77">
        <v>125</v>
      </c>
      <c r="F1031" s="78">
        <v>10.158848601254601</v>
      </c>
      <c r="G1031" s="78">
        <v>10.158848601254601</v>
      </c>
      <c r="H1031" s="81">
        <v>9.4909743367949098</v>
      </c>
    </row>
    <row r="1032" spans="1:8" x14ac:dyDescent="0.3">
      <c r="A1032" s="74" t="str">
        <f t="shared" si="16"/>
        <v>山西46152</v>
      </c>
      <c r="B1032" s="75" t="s">
        <v>15</v>
      </c>
      <c r="C1032" s="45">
        <v>46152</v>
      </c>
      <c r="D1032" s="76">
        <v>469.21584866434102</v>
      </c>
      <c r="E1032" s="77">
        <v>125</v>
      </c>
      <c r="F1032" s="78">
        <v>10.158848601254601</v>
      </c>
      <c r="G1032" s="78">
        <v>10.158848601254601</v>
      </c>
      <c r="H1032" s="81">
        <v>9.4909743367949098</v>
      </c>
    </row>
    <row r="1033" spans="1:8" x14ac:dyDescent="0.3">
      <c r="A1033" s="74" t="str">
        <f t="shared" si="16"/>
        <v>山西46153</v>
      </c>
      <c r="B1033" s="75" t="s">
        <v>15</v>
      </c>
      <c r="C1033" s="45">
        <v>46153</v>
      </c>
      <c r="D1033" s="76">
        <v>469.21584866434102</v>
      </c>
      <c r="E1033" s="77">
        <v>125</v>
      </c>
      <c r="F1033" s="78">
        <v>10.158848601254601</v>
      </c>
      <c r="G1033" s="78">
        <v>10.158848601254601</v>
      </c>
      <c r="H1033" s="81">
        <v>9.4909743367949098</v>
      </c>
    </row>
    <row r="1034" spans="1:8" x14ac:dyDescent="0.3">
      <c r="A1034" s="74" t="str">
        <f t="shared" si="16"/>
        <v>山西46154</v>
      </c>
      <c r="B1034" s="75" t="s">
        <v>15</v>
      </c>
      <c r="C1034" s="45">
        <v>46154</v>
      </c>
      <c r="D1034" s="76">
        <v>469.21584866434102</v>
      </c>
      <c r="E1034" s="77">
        <v>125</v>
      </c>
      <c r="F1034" s="78">
        <v>10.158848601254601</v>
      </c>
      <c r="G1034" s="78">
        <v>10.158848601254601</v>
      </c>
      <c r="H1034" s="81">
        <v>9.4909743367949098</v>
      </c>
    </row>
    <row r="1035" spans="1:8" x14ac:dyDescent="0.3">
      <c r="A1035" s="74" t="str">
        <f t="shared" si="16"/>
        <v>山西46155</v>
      </c>
      <c r="B1035" s="75" t="s">
        <v>15</v>
      </c>
      <c r="C1035" s="45">
        <v>46155</v>
      </c>
      <c r="D1035" s="76">
        <v>469.21584866434102</v>
      </c>
      <c r="E1035" s="77">
        <v>125</v>
      </c>
      <c r="F1035" s="78">
        <v>10.158848601254601</v>
      </c>
      <c r="G1035" s="78">
        <v>10.158848601254601</v>
      </c>
      <c r="H1035" s="81">
        <v>9.4909743367949098</v>
      </c>
    </row>
    <row r="1036" spans="1:8" x14ac:dyDescent="0.3">
      <c r="A1036" s="74" t="str">
        <f t="shared" si="16"/>
        <v>山西46156</v>
      </c>
      <c r="B1036" s="75" t="s">
        <v>15</v>
      </c>
      <c r="C1036" s="45">
        <v>46156</v>
      </c>
      <c r="D1036" s="76">
        <v>469.21584866434102</v>
      </c>
      <c r="E1036" s="77">
        <v>125</v>
      </c>
      <c r="F1036" s="78">
        <v>10.158848601254601</v>
      </c>
      <c r="G1036" s="78">
        <v>10.158848601254601</v>
      </c>
      <c r="H1036" s="81">
        <v>9.4909743367949098</v>
      </c>
    </row>
    <row r="1037" spans="1:8" x14ac:dyDescent="0.3">
      <c r="A1037" s="74" t="str">
        <f t="shared" si="16"/>
        <v>山西46157</v>
      </c>
      <c r="B1037" s="75" t="s">
        <v>15</v>
      </c>
      <c r="C1037" s="45">
        <v>46157</v>
      </c>
      <c r="D1037" s="76">
        <v>469.21584866434102</v>
      </c>
      <c r="E1037" s="77">
        <v>125</v>
      </c>
      <c r="F1037" s="78">
        <v>10.158848601254601</v>
      </c>
      <c r="G1037" s="78">
        <v>10.158848601254601</v>
      </c>
      <c r="H1037" s="81">
        <v>9.4909743367949098</v>
      </c>
    </row>
    <row r="1038" spans="1:8" x14ac:dyDescent="0.3">
      <c r="A1038" s="74" t="str">
        <f t="shared" si="16"/>
        <v>山西46158</v>
      </c>
      <c r="B1038" s="75" t="s">
        <v>15</v>
      </c>
      <c r="C1038" s="45">
        <v>46158</v>
      </c>
      <c r="D1038" s="76">
        <v>469.21584866434102</v>
      </c>
      <c r="E1038" s="77">
        <v>125</v>
      </c>
      <c r="F1038" s="78">
        <v>10.158848601254601</v>
      </c>
      <c r="G1038" s="78">
        <v>10.158848601254601</v>
      </c>
      <c r="H1038" s="81">
        <v>9.4909743367949098</v>
      </c>
    </row>
    <row r="1039" spans="1:8" x14ac:dyDescent="0.3">
      <c r="A1039" s="74" t="str">
        <f t="shared" si="16"/>
        <v>山西46159</v>
      </c>
      <c r="B1039" s="75" t="s">
        <v>15</v>
      </c>
      <c r="C1039" s="45">
        <v>46159</v>
      </c>
      <c r="D1039" s="76">
        <v>469.21584866434102</v>
      </c>
      <c r="E1039" s="77">
        <v>125</v>
      </c>
      <c r="F1039" s="78">
        <v>10.158848601254601</v>
      </c>
      <c r="G1039" s="78">
        <v>10.158848601254601</v>
      </c>
      <c r="H1039" s="81">
        <v>9.4909743367949098</v>
      </c>
    </row>
    <row r="1040" spans="1:8" x14ac:dyDescent="0.3">
      <c r="A1040" s="74" t="str">
        <f t="shared" si="16"/>
        <v>山西46160</v>
      </c>
      <c r="B1040" s="75" t="s">
        <v>15</v>
      </c>
      <c r="C1040" s="45">
        <v>46160</v>
      </c>
      <c r="D1040" s="76">
        <v>469.21584866434102</v>
      </c>
      <c r="E1040" s="77">
        <v>125</v>
      </c>
      <c r="F1040" s="78">
        <v>10.158848601254601</v>
      </c>
      <c r="G1040" s="78">
        <v>10.158848601254601</v>
      </c>
      <c r="H1040" s="81">
        <v>9.4909743367949098</v>
      </c>
    </row>
    <row r="1041" spans="1:8" x14ac:dyDescent="0.3">
      <c r="A1041" s="74" t="str">
        <f t="shared" si="16"/>
        <v>山西46161</v>
      </c>
      <c r="B1041" s="75" t="s">
        <v>15</v>
      </c>
      <c r="C1041" s="45">
        <v>46161</v>
      </c>
      <c r="D1041" s="76">
        <v>469.21584866434102</v>
      </c>
      <c r="E1041" s="77">
        <v>125</v>
      </c>
      <c r="F1041" s="78">
        <v>10.158848601254601</v>
      </c>
      <c r="G1041" s="78">
        <v>10.158848601254601</v>
      </c>
      <c r="H1041" s="81">
        <v>9.4909743367949098</v>
      </c>
    </row>
    <row r="1042" spans="1:8" x14ac:dyDescent="0.3">
      <c r="A1042" s="74" t="str">
        <f t="shared" si="16"/>
        <v>山西46162</v>
      </c>
      <c r="B1042" s="75" t="s">
        <v>15</v>
      </c>
      <c r="C1042" s="45">
        <v>46162</v>
      </c>
      <c r="D1042" s="76">
        <v>469.21584866434102</v>
      </c>
      <c r="E1042" s="77">
        <v>125</v>
      </c>
      <c r="F1042" s="78">
        <v>10.158848601254601</v>
      </c>
      <c r="G1042" s="78">
        <v>10.158848601254601</v>
      </c>
      <c r="H1042" s="81">
        <v>9.4909743367949098</v>
      </c>
    </row>
    <row r="1043" spans="1:8" x14ac:dyDescent="0.3">
      <c r="A1043" s="74" t="str">
        <f t="shared" si="16"/>
        <v>山西46163</v>
      </c>
      <c r="B1043" s="75" t="s">
        <v>15</v>
      </c>
      <c r="C1043" s="45">
        <v>46163</v>
      </c>
      <c r="D1043" s="76">
        <v>469.21584866434102</v>
      </c>
      <c r="E1043" s="77">
        <v>125</v>
      </c>
      <c r="F1043" s="78">
        <v>10.158848601254601</v>
      </c>
      <c r="G1043" s="78">
        <v>10.158848601254601</v>
      </c>
      <c r="H1043" s="81">
        <v>9.4909743367949098</v>
      </c>
    </row>
    <row r="1044" spans="1:8" x14ac:dyDescent="0.3">
      <c r="A1044" s="74" t="str">
        <f t="shared" si="16"/>
        <v>山西46164</v>
      </c>
      <c r="B1044" s="75" t="s">
        <v>15</v>
      </c>
      <c r="C1044" s="45">
        <v>46164</v>
      </c>
      <c r="D1044" s="76">
        <v>469.21584866434102</v>
      </c>
      <c r="E1044" s="77">
        <v>125</v>
      </c>
      <c r="F1044" s="78">
        <v>10.158848601254601</v>
      </c>
      <c r="G1044" s="78">
        <v>10.158848601254601</v>
      </c>
      <c r="H1044" s="81">
        <v>9.4909743367949098</v>
      </c>
    </row>
    <row r="1045" spans="1:8" x14ac:dyDescent="0.3">
      <c r="A1045" s="74" t="str">
        <f t="shared" si="16"/>
        <v>山西46165</v>
      </c>
      <c r="B1045" s="75" t="s">
        <v>15</v>
      </c>
      <c r="C1045" s="45">
        <v>46165</v>
      </c>
      <c r="D1045" s="76">
        <v>469.21584866434102</v>
      </c>
      <c r="E1045" s="77">
        <v>125</v>
      </c>
      <c r="F1045" s="78">
        <v>10.158848601254601</v>
      </c>
      <c r="G1045" s="78">
        <v>10.158848601254601</v>
      </c>
      <c r="H1045" s="81">
        <v>9.4909743367949098</v>
      </c>
    </row>
    <row r="1046" spans="1:8" x14ac:dyDescent="0.3">
      <c r="A1046" s="74" t="str">
        <f t="shared" si="16"/>
        <v>山西46166</v>
      </c>
      <c r="B1046" s="75" t="s">
        <v>15</v>
      </c>
      <c r="C1046" s="45">
        <v>46166</v>
      </c>
      <c r="D1046" s="76">
        <v>469.21584866434102</v>
      </c>
      <c r="E1046" s="77">
        <v>125</v>
      </c>
      <c r="F1046" s="78">
        <v>10.158848601254601</v>
      </c>
      <c r="G1046" s="78">
        <v>10.158848601254601</v>
      </c>
      <c r="H1046" s="81">
        <v>9.4909743367949098</v>
      </c>
    </row>
    <row r="1047" spans="1:8" x14ac:dyDescent="0.3">
      <c r="A1047" s="74" t="str">
        <f t="shared" si="16"/>
        <v>山西46167</v>
      </c>
      <c r="B1047" s="75" t="s">
        <v>15</v>
      </c>
      <c r="C1047" s="45">
        <v>46167</v>
      </c>
      <c r="D1047" s="76">
        <v>469.21584866434102</v>
      </c>
      <c r="E1047" s="77">
        <v>125</v>
      </c>
      <c r="F1047" s="78">
        <v>10.158848601254601</v>
      </c>
      <c r="G1047" s="78">
        <v>10.158848601254601</v>
      </c>
      <c r="H1047" s="81">
        <v>9.4909743367949098</v>
      </c>
    </row>
    <row r="1048" spans="1:8" x14ac:dyDescent="0.3">
      <c r="A1048" s="74" t="str">
        <f t="shared" si="16"/>
        <v>山西46168</v>
      </c>
      <c r="B1048" s="75" t="s">
        <v>15</v>
      </c>
      <c r="C1048" s="45">
        <v>46168</v>
      </c>
      <c r="D1048" s="76">
        <v>469.21584866434102</v>
      </c>
      <c r="E1048" s="77">
        <v>125</v>
      </c>
      <c r="F1048" s="78">
        <v>10.158848601254601</v>
      </c>
      <c r="G1048" s="78">
        <v>10.158848601254601</v>
      </c>
      <c r="H1048" s="81">
        <v>9.4909743367949098</v>
      </c>
    </row>
    <row r="1049" spans="1:8" x14ac:dyDescent="0.3">
      <c r="A1049" s="74" t="str">
        <f t="shared" si="16"/>
        <v>山西46169</v>
      </c>
      <c r="B1049" s="75" t="s">
        <v>15</v>
      </c>
      <c r="C1049" s="45">
        <v>46169</v>
      </c>
      <c r="D1049" s="76">
        <v>469.21584866434102</v>
      </c>
      <c r="E1049" s="77">
        <v>125</v>
      </c>
      <c r="F1049" s="78">
        <v>10.158848601254601</v>
      </c>
      <c r="G1049" s="78">
        <v>10.158848601254601</v>
      </c>
      <c r="H1049" s="81">
        <v>9.4909743367949098</v>
      </c>
    </row>
    <row r="1050" spans="1:8" x14ac:dyDescent="0.3">
      <c r="A1050" s="74" t="str">
        <f t="shared" si="16"/>
        <v>山西46170</v>
      </c>
      <c r="B1050" s="75" t="s">
        <v>15</v>
      </c>
      <c r="C1050" s="45">
        <v>46170</v>
      </c>
      <c r="D1050" s="76">
        <v>469.21584866434102</v>
      </c>
      <c r="E1050" s="77">
        <v>125</v>
      </c>
      <c r="F1050" s="78">
        <v>10.158848601254601</v>
      </c>
      <c r="G1050" s="78">
        <v>10.158848601254601</v>
      </c>
      <c r="H1050" s="81">
        <v>9.4909743367949098</v>
      </c>
    </row>
    <row r="1051" spans="1:8" x14ac:dyDescent="0.3">
      <c r="A1051" s="74" t="str">
        <f t="shared" si="16"/>
        <v>山西46171</v>
      </c>
      <c r="B1051" s="75" t="s">
        <v>15</v>
      </c>
      <c r="C1051" s="45">
        <v>46171</v>
      </c>
      <c r="D1051" s="76">
        <v>469.21584866434102</v>
      </c>
      <c r="E1051" s="77">
        <v>125</v>
      </c>
      <c r="F1051" s="78">
        <v>10.158848601254601</v>
      </c>
      <c r="G1051" s="78">
        <v>10.158848601254601</v>
      </c>
      <c r="H1051" s="81">
        <v>9.4909743367949098</v>
      </c>
    </row>
    <row r="1052" spans="1:8" x14ac:dyDescent="0.3">
      <c r="A1052" s="74" t="str">
        <f t="shared" si="16"/>
        <v>山西46172</v>
      </c>
      <c r="B1052" s="75" t="s">
        <v>15</v>
      </c>
      <c r="C1052" s="45">
        <v>46172</v>
      </c>
      <c r="D1052" s="76">
        <v>469.21584866434102</v>
      </c>
      <c r="E1052" s="77">
        <v>125</v>
      </c>
      <c r="F1052" s="78">
        <v>10.158848601254601</v>
      </c>
      <c r="G1052" s="78">
        <v>10.158848601254601</v>
      </c>
      <c r="H1052" s="81">
        <v>9.4909743367949098</v>
      </c>
    </row>
    <row r="1053" spans="1:8" x14ac:dyDescent="0.3">
      <c r="A1053" s="74" t="str">
        <f t="shared" si="16"/>
        <v>山西46173</v>
      </c>
      <c r="B1053" s="75" t="s">
        <v>15</v>
      </c>
      <c r="C1053" s="45">
        <v>46173</v>
      </c>
      <c r="D1053" s="76">
        <v>469.21584866434102</v>
      </c>
      <c r="E1053" s="77">
        <v>125</v>
      </c>
      <c r="F1053" s="78">
        <v>10.158848601254601</v>
      </c>
      <c r="G1053" s="78">
        <v>10.158848601254601</v>
      </c>
      <c r="H1053" s="81">
        <v>9.4909743367949098</v>
      </c>
    </row>
    <row r="1054" spans="1:8" x14ac:dyDescent="0.3">
      <c r="A1054" s="74" t="str">
        <f t="shared" si="16"/>
        <v>山西46174</v>
      </c>
      <c r="B1054" s="75" t="s">
        <v>15</v>
      </c>
      <c r="C1054" s="45">
        <v>46174</v>
      </c>
      <c r="D1054" s="76">
        <v>455.09229469116701</v>
      </c>
      <c r="E1054" s="77">
        <v>125</v>
      </c>
      <c r="F1054" s="78">
        <v>11.148187310871</v>
      </c>
      <c r="G1054" s="78">
        <v>11.148187310871</v>
      </c>
      <c r="H1054" s="81">
        <v>10.330840608030501</v>
      </c>
    </row>
    <row r="1055" spans="1:8" x14ac:dyDescent="0.3">
      <c r="A1055" s="74" t="str">
        <f t="shared" si="16"/>
        <v>山西46175</v>
      </c>
      <c r="B1055" s="75" t="s">
        <v>15</v>
      </c>
      <c r="C1055" s="45">
        <v>46175</v>
      </c>
      <c r="D1055" s="76">
        <v>455.09229469116701</v>
      </c>
      <c r="E1055" s="77">
        <v>125</v>
      </c>
      <c r="F1055" s="78">
        <v>11.148187310871</v>
      </c>
      <c r="G1055" s="78">
        <v>11.148187310871</v>
      </c>
      <c r="H1055" s="81">
        <v>10.330840608030501</v>
      </c>
    </row>
    <row r="1056" spans="1:8" x14ac:dyDescent="0.3">
      <c r="A1056" s="74" t="str">
        <f t="shared" si="16"/>
        <v>山西46176</v>
      </c>
      <c r="B1056" s="75" t="s">
        <v>15</v>
      </c>
      <c r="C1056" s="45">
        <v>46176</v>
      </c>
      <c r="D1056" s="76">
        <v>455.09229469116701</v>
      </c>
      <c r="E1056" s="77">
        <v>125</v>
      </c>
      <c r="F1056" s="78">
        <v>11.148187310871</v>
      </c>
      <c r="G1056" s="78">
        <v>11.148187310871</v>
      </c>
      <c r="H1056" s="81">
        <v>10.330840608030501</v>
      </c>
    </row>
    <row r="1057" spans="1:8" x14ac:dyDescent="0.3">
      <c r="A1057" s="74" t="str">
        <f t="shared" si="16"/>
        <v>山西46177</v>
      </c>
      <c r="B1057" s="75" t="s">
        <v>15</v>
      </c>
      <c r="C1057" s="45">
        <v>46177</v>
      </c>
      <c r="D1057" s="76">
        <v>455.09229469116701</v>
      </c>
      <c r="E1057" s="77">
        <v>125</v>
      </c>
      <c r="F1057" s="78">
        <v>11.148187310871</v>
      </c>
      <c r="G1057" s="78">
        <v>11.148187310871</v>
      </c>
      <c r="H1057" s="81">
        <v>10.330840608030501</v>
      </c>
    </row>
    <row r="1058" spans="1:8" x14ac:dyDescent="0.3">
      <c r="A1058" s="74" t="str">
        <f t="shared" si="16"/>
        <v>山西46178</v>
      </c>
      <c r="B1058" s="75" t="s">
        <v>15</v>
      </c>
      <c r="C1058" s="45">
        <v>46178</v>
      </c>
      <c r="D1058" s="76">
        <v>455.09229469116701</v>
      </c>
      <c r="E1058" s="77">
        <v>125</v>
      </c>
      <c r="F1058" s="78">
        <v>11.148187310871</v>
      </c>
      <c r="G1058" s="78">
        <v>11.148187310871</v>
      </c>
      <c r="H1058" s="81">
        <v>10.330840608030501</v>
      </c>
    </row>
    <row r="1059" spans="1:8" x14ac:dyDescent="0.3">
      <c r="A1059" s="74" t="str">
        <f t="shared" si="16"/>
        <v>山西46179</v>
      </c>
      <c r="B1059" s="75" t="s">
        <v>15</v>
      </c>
      <c r="C1059" s="45">
        <v>46179</v>
      </c>
      <c r="D1059" s="76">
        <v>455.09229469116701</v>
      </c>
      <c r="E1059" s="77">
        <v>125</v>
      </c>
      <c r="F1059" s="78">
        <v>11.148187310871</v>
      </c>
      <c r="G1059" s="78">
        <v>11.148187310871</v>
      </c>
      <c r="H1059" s="81">
        <v>10.330840608030501</v>
      </c>
    </row>
    <row r="1060" spans="1:8" x14ac:dyDescent="0.3">
      <c r="A1060" s="74" t="str">
        <f t="shared" si="16"/>
        <v>山西46180</v>
      </c>
      <c r="B1060" s="75" t="s">
        <v>15</v>
      </c>
      <c r="C1060" s="45">
        <v>46180</v>
      </c>
      <c r="D1060" s="76">
        <v>455.09229469116701</v>
      </c>
      <c r="E1060" s="77">
        <v>125</v>
      </c>
      <c r="F1060" s="78">
        <v>11.148187310871</v>
      </c>
      <c r="G1060" s="78">
        <v>11.148187310871</v>
      </c>
      <c r="H1060" s="81">
        <v>10.330840608030501</v>
      </c>
    </row>
    <row r="1061" spans="1:8" x14ac:dyDescent="0.3">
      <c r="A1061" s="74" t="str">
        <f t="shared" si="16"/>
        <v>山西46181</v>
      </c>
      <c r="B1061" s="75" t="s">
        <v>15</v>
      </c>
      <c r="C1061" s="45">
        <v>46181</v>
      </c>
      <c r="D1061" s="76">
        <v>455.09229469116701</v>
      </c>
      <c r="E1061" s="77">
        <v>125</v>
      </c>
      <c r="F1061" s="78">
        <v>11.148187310871</v>
      </c>
      <c r="G1061" s="78">
        <v>11.148187310871</v>
      </c>
      <c r="H1061" s="81">
        <v>10.330840608030501</v>
      </c>
    </row>
    <row r="1062" spans="1:8" x14ac:dyDescent="0.3">
      <c r="A1062" s="74" t="str">
        <f t="shared" si="16"/>
        <v>山西46182</v>
      </c>
      <c r="B1062" s="75" t="s">
        <v>15</v>
      </c>
      <c r="C1062" s="45">
        <v>46182</v>
      </c>
      <c r="D1062" s="76">
        <v>455.09229469116701</v>
      </c>
      <c r="E1062" s="77">
        <v>125</v>
      </c>
      <c r="F1062" s="78">
        <v>11.148187310871</v>
      </c>
      <c r="G1062" s="78">
        <v>11.148187310871</v>
      </c>
      <c r="H1062" s="81">
        <v>10.330840608030501</v>
      </c>
    </row>
    <row r="1063" spans="1:8" x14ac:dyDescent="0.3">
      <c r="A1063" s="74" t="str">
        <f t="shared" si="16"/>
        <v>山西46183</v>
      </c>
      <c r="B1063" s="75" t="s">
        <v>15</v>
      </c>
      <c r="C1063" s="45">
        <v>46183</v>
      </c>
      <c r="D1063" s="76">
        <v>455.09229469116701</v>
      </c>
      <c r="E1063" s="77">
        <v>125</v>
      </c>
      <c r="F1063" s="78">
        <v>11.148187310871</v>
      </c>
      <c r="G1063" s="78">
        <v>11.148187310871</v>
      </c>
      <c r="H1063" s="81">
        <v>10.330840608030501</v>
      </c>
    </row>
    <row r="1064" spans="1:8" x14ac:dyDescent="0.3">
      <c r="A1064" s="74" t="str">
        <f t="shared" si="16"/>
        <v>山西46184</v>
      </c>
      <c r="B1064" s="75" t="s">
        <v>15</v>
      </c>
      <c r="C1064" s="45">
        <v>46184</v>
      </c>
      <c r="D1064" s="76">
        <v>455.09229469116701</v>
      </c>
      <c r="E1064" s="77">
        <v>125</v>
      </c>
      <c r="F1064" s="78">
        <v>11.148187310871</v>
      </c>
      <c r="G1064" s="78">
        <v>11.148187310871</v>
      </c>
      <c r="H1064" s="81">
        <v>10.330840608030501</v>
      </c>
    </row>
    <row r="1065" spans="1:8" x14ac:dyDescent="0.3">
      <c r="A1065" s="74" t="str">
        <f t="shared" si="16"/>
        <v>山西46185</v>
      </c>
      <c r="B1065" s="75" t="s">
        <v>15</v>
      </c>
      <c r="C1065" s="45">
        <v>46185</v>
      </c>
      <c r="D1065" s="76">
        <v>455.09229469116701</v>
      </c>
      <c r="E1065" s="77">
        <v>125</v>
      </c>
      <c r="F1065" s="78">
        <v>11.148187310871</v>
      </c>
      <c r="G1065" s="78">
        <v>11.148187310871</v>
      </c>
      <c r="H1065" s="81">
        <v>10.330840608030501</v>
      </c>
    </row>
    <row r="1066" spans="1:8" x14ac:dyDescent="0.3">
      <c r="A1066" s="74" t="str">
        <f t="shared" si="16"/>
        <v>山西46186</v>
      </c>
      <c r="B1066" s="75" t="s">
        <v>15</v>
      </c>
      <c r="C1066" s="45">
        <v>46186</v>
      </c>
      <c r="D1066" s="76">
        <v>455.09229469116701</v>
      </c>
      <c r="E1066" s="77">
        <v>125</v>
      </c>
      <c r="F1066" s="78">
        <v>11.148187310871</v>
      </c>
      <c r="G1066" s="78">
        <v>11.148187310871</v>
      </c>
      <c r="H1066" s="81">
        <v>10.330840608030501</v>
      </c>
    </row>
    <row r="1067" spans="1:8" x14ac:dyDescent="0.3">
      <c r="A1067" s="74" t="str">
        <f t="shared" si="16"/>
        <v>山西46187</v>
      </c>
      <c r="B1067" s="75" t="s">
        <v>15</v>
      </c>
      <c r="C1067" s="45">
        <v>46187</v>
      </c>
      <c r="D1067" s="76">
        <v>455.09229469116701</v>
      </c>
      <c r="E1067" s="77">
        <v>125</v>
      </c>
      <c r="F1067" s="78">
        <v>11.148187310871</v>
      </c>
      <c r="G1067" s="78">
        <v>11.148187310871</v>
      </c>
      <c r="H1067" s="81">
        <v>10.330840608030501</v>
      </c>
    </row>
    <row r="1068" spans="1:8" x14ac:dyDescent="0.3">
      <c r="A1068" s="74" t="str">
        <f t="shared" si="16"/>
        <v>山西46188</v>
      </c>
      <c r="B1068" s="75" t="s">
        <v>15</v>
      </c>
      <c r="C1068" s="45">
        <v>46188</v>
      </c>
      <c r="D1068" s="76">
        <v>455.09229469116701</v>
      </c>
      <c r="E1068" s="77">
        <v>125</v>
      </c>
      <c r="F1068" s="78">
        <v>11.148187310871</v>
      </c>
      <c r="G1068" s="78">
        <v>11.148187310871</v>
      </c>
      <c r="H1068" s="81">
        <v>10.330840608030501</v>
      </c>
    </row>
    <row r="1069" spans="1:8" x14ac:dyDescent="0.3">
      <c r="A1069" s="74" t="str">
        <f t="shared" si="16"/>
        <v>山西46189</v>
      </c>
      <c r="B1069" s="75" t="s">
        <v>15</v>
      </c>
      <c r="C1069" s="45">
        <v>46189</v>
      </c>
      <c r="D1069" s="76">
        <v>455.09229469116701</v>
      </c>
      <c r="E1069" s="77">
        <v>125</v>
      </c>
      <c r="F1069" s="78">
        <v>11.148187310871</v>
      </c>
      <c r="G1069" s="78">
        <v>11.148187310871</v>
      </c>
      <c r="H1069" s="81">
        <v>10.330840608030501</v>
      </c>
    </row>
    <row r="1070" spans="1:8" x14ac:dyDescent="0.3">
      <c r="A1070" s="74" t="str">
        <f t="shared" si="16"/>
        <v>山西46190</v>
      </c>
      <c r="B1070" s="75" t="s">
        <v>15</v>
      </c>
      <c r="C1070" s="45">
        <v>46190</v>
      </c>
      <c r="D1070" s="76">
        <v>455.09229469116701</v>
      </c>
      <c r="E1070" s="77">
        <v>125</v>
      </c>
      <c r="F1070" s="78">
        <v>11.148187310871</v>
      </c>
      <c r="G1070" s="78">
        <v>11.148187310871</v>
      </c>
      <c r="H1070" s="81">
        <v>10.330840608030501</v>
      </c>
    </row>
    <row r="1071" spans="1:8" x14ac:dyDescent="0.3">
      <c r="A1071" s="74" t="str">
        <f t="shared" si="16"/>
        <v>山西46191</v>
      </c>
      <c r="B1071" s="75" t="s">
        <v>15</v>
      </c>
      <c r="C1071" s="45">
        <v>46191</v>
      </c>
      <c r="D1071" s="76">
        <v>455.09229469116701</v>
      </c>
      <c r="E1071" s="77">
        <v>125</v>
      </c>
      <c r="F1071" s="78">
        <v>11.148187310871</v>
      </c>
      <c r="G1071" s="78">
        <v>11.148187310871</v>
      </c>
      <c r="H1071" s="81">
        <v>10.330840608030501</v>
      </c>
    </row>
    <row r="1072" spans="1:8" x14ac:dyDescent="0.3">
      <c r="A1072" s="74" t="str">
        <f t="shared" si="16"/>
        <v>山西46192</v>
      </c>
      <c r="B1072" s="75" t="s">
        <v>15</v>
      </c>
      <c r="C1072" s="45">
        <v>46192</v>
      </c>
      <c r="D1072" s="76">
        <v>455.09229469116701</v>
      </c>
      <c r="E1072" s="77">
        <v>125</v>
      </c>
      <c r="F1072" s="78">
        <v>11.148187310871</v>
      </c>
      <c r="G1072" s="78">
        <v>11.148187310871</v>
      </c>
      <c r="H1072" s="81">
        <v>10.330840608030501</v>
      </c>
    </row>
    <row r="1073" spans="1:8" x14ac:dyDescent="0.3">
      <c r="A1073" s="74" t="str">
        <f t="shared" si="16"/>
        <v>山西46193</v>
      </c>
      <c r="B1073" s="75" t="s">
        <v>15</v>
      </c>
      <c r="C1073" s="45">
        <v>46193</v>
      </c>
      <c r="D1073" s="76">
        <v>455.09229469116701</v>
      </c>
      <c r="E1073" s="77">
        <v>125</v>
      </c>
      <c r="F1073" s="78">
        <v>11.148187310871</v>
      </c>
      <c r="G1073" s="78">
        <v>11.148187310871</v>
      </c>
      <c r="H1073" s="81">
        <v>10.330840608030501</v>
      </c>
    </row>
    <row r="1074" spans="1:8" x14ac:dyDescent="0.3">
      <c r="A1074" s="74" t="str">
        <f t="shared" si="16"/>
        <v>山西46194</v>
      </c>
      <c r="B1074" s="75" t="s">
        <v>15</v>
      </c>
      <c r="C1074" s="45">
        <v>46194</v>
      </c>
      <c r="D1074" s="76">
        <v>455.09229469116701</v>
      </c>
      <c r="E1074" s="77">
        <v>125</v>
      </c>
      <c r="F1074" s="78">
        <v>11.148187310871</v>
      </c>
      <c r="G1074" s="78">
        <v>11.148187310871</v>
      </c>
      <c r="H1074" s="81">
        <v>10.330840608030501</v>
      </c>
    </row>
    <row r="1075" spans="1:8" x14ac:dyDescent="0.3">
      <c r="A1075" s="74" t="str">
        <f t="shared" si="16"/>
        <v>山西46195</v>
      </c>
      <c r="B1075" s="75" t="s">
        <v>15</v>
      </c>
      <c r="C1075" s="45">
        <v>46195</v>
      </c>
      <c r="D1075" s="76">
        <v>455.09229469116701</v>
      </c>
      <c r="E1075" s="77">
        <v>125</v>
      </c>
      <c r="F1075" s="78">
        <v>11.148187310871</v>
      </c>
      <c r="G1075" s="78">
        <v>11.148187310871</v>
      </c>
      <c r="H1075" s="81">
        <v>10.330840608030501</v>
      </c>
    </row>
    <row r="1076" spans="1:8" x14ac:dyDescent="0.3">
      <c r="A1076" s="74" t="str">
        <f t="shared" si="16"/>
        <v>山西46196</v>
      </c>
      <c r="B1076" s="75" t="s">
        <v>15</v>
      </c>
      <c r="C1076" s="45">
        <v>46196</v>
      </c>
      <c r="D1076" s="76">
        <v>455.09229469116701</v>
      </c>
      <c r="E1076" s="77">
        <v>125</v>
      </c>
      <c r="F1076" s="78">
        <v>11.148187310871</v>
      </c>
      <c r="G1076" s="78">
        <v>11.148187310871</v>
      </c>
      <c r="H1076" s="81">
        <v>10.330840608030501</v>
      </c>
    </row>
    <row r="1077" spans="1:8" x14ac:dyDescent="0.3">
      <c r="A1077" s="74" t="str">
        <f t="shared" si="16"/>
        <v>山西46197</v>
      </c>
      <c r="B1077" s="75" t="s">
        <v>15</v>
      </c>
      <c r="C1077" s="45">
        <v>46197</v>
      </c>
      <c r="D1077" s="76">
        <v>455.09229469116701</v>
      </c>
      <c r="E1077" s="77">
        <v>125</v>
      </c>
      <c r="F1077" s="78">
        <v>11.148187310871</v>
      </c>
      <c r="G1077" s="78">
        <v>11.148187310871</v>
      </c>
      <c r="H1077" s="81">
        <v>10.330840608030501</v>
      </c>
    </row>
    <row r="1078" spans="1:8" x14ac:dyDescent="0.3">
      <c r="A1078" s="74" t="str">
        <f t="shared" si="16"/>
        <v>山西46198</v>
      </c>
      <c r="B1078" s="75" t="s">
        <v>15</v>
      </c>
      <c r="C1078" s="45">
        <v>46198</v>
      </c>
      <c r="D1078" s="76">
        <v>455.09229469116701</v>
      </c>
      <c r="E1078" s="77">
        <v>125</v>
      </c>
      <c r="F1078" s="78">
        <v>11.148187310871</v>
      </c>
      <c r="G1078" s="78">
        <v>11.148187310871</v>
      </c>
      <c r="H1078" s="81">
        <v>10.330840608030501</v>
      </c>
    </row>
    <row r="1079" spans="1:8" x14ac:dyDescent="0.3">
      <c r="A1079" s="74" t="str">
        <f t="shared" si="16"/>
        <v>山西46199</v>
      </c>
      <c r="B1079" s="75" t="s">
        <v>15</v>
      </c>
      <c r="C1079" s="45">
        <v>46199</v>
      </c>
      <c r="D1079" s="76">
        <v>455.09229469116701</v>
      </c>
      <c r="E1079" s="77">
        <v>125</v>
      </c>
      <c r="F1079" s="78">
        <v>11.148187310871</v>
      </c>
      <c r="G1079" s="78">
        <v>11.148187310871</v>
      </c>
      <c r="H1079" s="81">
        <v>10.330840608030501</v>
      </c>
    </row>
    <row r="1080" spans="1:8" x14ac:dyDescent="0.3">
      <c r="A1080" s="74" t="str">
        <f t="shared" si="16"/>
        <v>山西46200</v>
      </c>
      <c r="B1080" s="75" t="s">
        <v>15</v>
      </c>
      <c r="C1080" s="45">
        <v>46200</v>
      </c>
      <c r="D1080" s="76">
        <v>455.09229469116701</v>
      </c>
      <c r="E1080" s="77">
        <v>125</v>
      </c>
      <c r="F1080" s="78">
        <v>11.148187310871</v>
      </c>
      <c r="G1080" s="78">
        <v>11.148187310871</v>
      </c>
      <c r="H1080" s="81">
        <v>10.330840608030501</v>
      </c>
    </row>
    <row r="1081" spans="1:8" x14ac:dyDescent="0.3">
      <c r="A1081" s="74" t="str">
        <f t="shared" si="16"/>
        <v>山西46201</v>
      </c>
      <c r="B1081" s="75" t="s">
        <v>15</v>
      </c>
      <c r="C1081" s="45">
        <v>46201</v>
      </c>
      <c r="D1081" s="76">
        <v>455.09229469116701</v>
      </c>
      <c r="E1081" s="77">
        <v>125</v>
      </c>
      <c r="F1081" s="78">
        <v>11.148187310871</v>
      </c>
      <c r="G1081" s="78">
        <v>11.148187310871</v>
      </c>
      <c r="H1081" s="81">
        <v>10.330840608030501</v>
      </c>
    </row>
    <row r="1082" spans="1:8" x14ac:dyDescent="0.3">
      <c r="A1082" s="74" t="str">
        <f t="shared" si="16"/>
        <v>山西46202</v>
      </c>
      <c r="B1082" s="75" t="s">
        <v>15</v>
      </c>
      <c r="C1082" s="45">
        <v>46202</v>
      </c>
      <c r="D1082" s="76">
        <v>455.09229469116701</v>
      </c>
      <c r="E1082" s="77">
        <v>125</v>
      </c>
      <c r="F1082" s="78">
        <v>11.148187310871</v>
      </c>
      <c r="G1082" s="78">
        <v>11.148187310871</v>
      </c>
      <c r="H1082" s="81">
        <v>10.330840608030501</v>
      </c>
    </row>
    <row r="1083" spans="1:8" x14ac:dyDescent="0.3">
      <c r="A1083" s="74" t="str">
        <f t="shared" si="16"/>
        <v>山西46203</v>
      </c>
      <c r="B1083" s="75" t="s">
        <v>15</v>
      </c>
      <c r="C1083" s="45">
        <v>46203</v>
      </c>
      <c r="D1083" s="76">
        <v>455.09229469116701</v>
      </c>
      <c r="E1083" s="77">
        <v>125</v>
      </c>
      <c r="F1083" s="78">
        <v>11.148187310871</v>
      </c>
      <c r="G1083" s="78">
        <v>11.148187310871</v>
      </c>
      <c r="H1083" s="81">
        <v>10.330840608030501</v>
      </c>
    </row>
    <row r="1084" spans="1:8" x14ac:dyDescent="0.3">
      <c r="A1084" s="74" t="str">
        <f t="shared" si="16"/>
        <v>山西46204</v>
      </c>
      <c r="B1084" s="75" t="s">
        <v>15</v>
      </c>
      <c r="C1084" s="45">
        <v>46204</v>
      </c>
      <c r="D1084" s="76">
        <v>162.27924604672401</v>
      </c>
      <c r="E1084" s="77">
        <v>125</v>
      </c>
      <c r="F1084" s="78">
        <v>11.615332986357901</v>
      </c>
      <c r="G1084" s="78">
        <v>11.615332986357901</v>
      </c>
      <c r="H1084" s="81">
        <v>11.170706879266</v>
      </c>
    </row>
    <row r="1085" spans="1:8" x14ac:dyDescent="0.3">
      <c r="A1085" s="74" t="str">
        <f t="shared" si="16"/>
        <v>山西46205</v>
      </c>
      <c r="B1085" s="75" t="s">
        <v>15</v>
      </c>
      <c r="C1085" s="45">
        <v>46205</v>
      </c>
      <c r="D1085" s="76">
        <v>162.27924604672401</v>
      </c>
      <c r="E1085" s="77">
        <v>125</v>
      </c>
      <c r="F1085" s="78">
        <v>11.615332986357901</v>
      </c>
      <c r="G1085" s="78">
        <v>11.615332986357901</v>
      </c>
      <c r="H1085" s="81">
        <v>11.170706879266</v>
      </c>
    </row>
    <row r="1086" spans="1:8" x14ac:dyDescent="0.3">
      <c r="A1086" s="74" t="str">
        <f t="shared" si="16"/>
        <v>山西46206</v>
      </c>
      <c r="B1086" s="75" t="s">
        <v>15</v>
      </c>
      <c r="C1086" s="45">
        <v>46206</v>
      </c>
      <c r="D1086" s="76">
        <v>162.27924604672401</v>
      </c>
      <c r="E1086" s="77">
        <v>125</v>
      </c>
      <c r="F1086" s="78">
        <v>11.615332986357901</v>
      </c>
      <c r="G1086" s="78">
        <v>11.615332986357901</v>
      </c>
      <c r="H1086" s="81">
        <v>11.170706879266</v>
      </c>
    </row>
    <row r="1087" spans="1:8" x14ac:dyDescent="0.3">
      <c r="A1087" s="74" t="str">
        <f t="shared" si="16"/>
        <v>山西46207</v>
      </c>
      <c r="B1087" s="75" t="s">
        <v>15</v>
      </c>
      <c r="C1087" s="45">
        <v>46207</v>
      </c>
      <c r="D1087" s="76">
        <v>162.27924604672401</v>
      </c>
      <c r="E1087" s="77">
        <v>125</v>
      </c>
      <c r="F1087" s="78">
        <v>11.615332986357901</v>
      </c>
      <c r="G1087" s="78">
        <v>11.615332986357901</v>
      </c>
      <c r="H1087" s="81">
        <v>11.170706879266</v>
      </c>
    </row>
    <row r="1088" spans="1:8" x14ac:dyDescent="0.3">
      <c r="A1088" s="74" t="str">
        <f t="shared" si="16"/>
        <v>山西46208</v>
      </c>
      <c r="B1088" s="75" t="s">
        <v>15</v>
      </c>
      <c r="C1088" s="45">
        <v>46208</v>
      </c>
      <c r="D1088" s="76">
        <v>162.27924604672401</v>
      </c>
      <c r="E1088" s="77">
        <v>125</v>
      </c>
      <c r="F1088" s="78">
        <v>11.615332986357901</v>
      </c>
      <c r="G1088" s="78">
        <v>11.615332986357901</v>
      </c>
      <c r="H1088" s="81">
        <v>11.170706879266</v>
      </c>
    </row>
    <row r="1089" spans="1:8" x14ac:dyDescent="0.3">
      <c r="A1089" s="74" t="str">
        <f t="shared" si="16"/>
        <v>山西46209</v>
      </c>
      <c r="B1089" s="75" t="s">
        <v>15</v>
      </c>
      <c r="C1089" s="45">
        <v>46209</v>
      </c>
      <c r="D1089" s="76">
        <v>162.27924604672401</v>
      </c>
      <c r="E1089" s="77">
        <v>125</v>
      </c>
      <c r="F1089" s="78">
        <v>11.615332986357901</v>
      </c>
      <c r="G1089" s="78">
        <v>11.615332986357901</v>
      </c>
      <c r="H1089" s="81">
        <v>11.170706879266</v>
      </c>
    </row>
    <row r="1090" spans="1:8" x14ac:dyDescent="0.3">
      <c r="A1090" s="74" t="str">
        <f t="shared" si="16"/>
        <v>山西46210</v>
      </c>
      <c r="B1090" s="75" t="s">
        <v>15</v>
      </c>
      <c r="C1090" s="45">
        <v>46210</v>
      </c>
      <c r="D1090" s="76">
        <v>162.27924604672401</v>
      </c>
      <c r="E1090" s="77">
        <v>125</v>
      </c>
      <c r="F1090" s="78">
        <v>11.615332986357901</v>
      </c>
      <c r="G1090" s="78">
        <v>11.615332986357901</v>
      </c>
      <c r="H1090" s="81">
        <v>11.170706879266</v>
      </c>
    </row>
    <row r="1091" spans="1:8" x14ac:dyDescent="0.3">
      <c r="A1091" s="74" t="str">
        <f t="shared" ref="A1091:A1154" si="17">B1091&amp;C1091</f>
        <v>山西46211</v>
      </c>
      <c r="B1091" s="75" t="s">
        <v>15</v>
      </c>
      <c r="C1091" s="45">
        <v>46211</v>
      </c>
      <c r="D1091" s="76">
        <v>162.27924604672401</v>
      </c>
      <c r="E1091" s="77">
        <v>125</v>
      </c>
      <c r="F1091" s="78">
        <v>11.615332986357901</v>
      </c>
      <c r="G1091" s="78">
        <v>11.615332986357901</v>
      </c>
      <c r="H1091" s="81">
        <v>11.170706879266</v>
      </c>
    </row>
    <row r="1092" spans="1:8" x14ac:dyDescent="0.3">
      <c r="A1092" s="74" t="str">
        <f t="shared" si="17"/>
        <v>山西46212</v>
      </c>
      <c r="B1092" s="75" t="s">
        <v>15</v>
      </c>
      <c r="C1092" s="45">
        <v>46212</v>
      </c>
      <c r="D1092" s="76">
        <v>162.27924604672401</v>
      </c>
      <c r="E1092" s="77">
        <v>125</v>
      </c>
      <c r="F1092" s="78">
        <v>11.615332986357901</v>
      </c>
      <c r="G1092" s="78">
        <v>11.615332986357901</v>
      </c>
      <c r="H1092" s="81">
        <v>11.170706879266</v>
      </c>
    </row>
    <row r="1093" spans="1:8" x14ac:dyDescent="0.3">
      <c r="A1093" s="74" t="str">
        <f t="shared" si="17"/>
        <v>山西46213</v>
      </c>
      <c r="B1093" s="75" t="s">
        <v>15</v>
      </c>
      <c r="C1093" s="45">
        <v>46213</v>
      </c>
      <c r="D1093" s="76">
        <v>162.27924604672401</v>
      </c>
      <c r="E1093" s="77">
        <v>125</v>
      </c>
      <c r="F1093" s="78">
        <v>11.615332986357901</v>
      </c>
      <c r="G1093" s="78">
        <v>11.615332986357901</v>
      </c>
      <c r="H1093" s="81">
        <v>11.170706879266</v>
      </c>
    </row>
    <row r="1094" spans="1:8" x14ac:dyDescent="0.3">
      <c r="A1094" s="74" t="str">
        <f t="shared" si="17"/>
        <v>山西46214</v>
      </c>
      <c r="B1094" s="75" t="s">
        <v>15</v>
      </c>
      <c r="C1094" s="45">
        <v>46214</v>
      </c>
      <c r="D1094" s="76">
        <v>162.27924604672401</v>
      </c>
      <c r="E1094" s="77">
        <v>125</v>
      </c>
      <c r="F1094" s="78">
        <v>11.615332986357901</v>
      </c>
      <c r="G1094" s="78">
        <v>11.615332986357901</v>
      </c>
      <c r="H1094" s="81">
        <v>11.170706879266</v>
      </c>
    </row>
    <row r="1095" spans="1:8" x14ac:dyDescent="0.3">
      <c r="A1095" s="74" t="str">
        <f t="shared" si="17"/>
        <v>山西46215</v>
      </c>
      <c r="B1095" s="75" t="s">
        <v>15</v>
      </c>
      <c r="C1095" s="45">
        <v>46215</v>
      </c>
      <c r="D1095" s="76">
        <v>162.27924604672401</v>
      </c>
      <c r="E1095" s="77">
        <v>125</v>
      </c>
      <c r="F1095" s="78">
        <v>11.615332986357901</v>
      </c>
      <c r="G1095" s="78">
        <v>11.615332986357901</v>
      </c>
      <c r="H1095" s="81">
        <v>11.170706879266</v>
      </c>
    </row>
    <row r="1096" spans="1:8" x14ac:dyDescent="0.3">
      <c r="A1096" s="74" t="str">
        <f t="shared" si="17"/>
        <v>山西46216</v>
      </c>
      <c r="B1096" s="75" t="s">
        <v>15</v>
      </c>
      <c r="C1096" s="45">
        <v>46216</v>
      </c>
      <c r="D1096" s="76">
        <v>162.27924604672401</v>
      </c>
      <c r="E1096" s="77">
        <v>125</v>
      </c>
      <c r="F1096" s="78">
        <v>11.615332986357901</v>
      </c>
      <c r="G1096" s="78">
        <v>11.615332986357901</v>
      </c>
      <c r="H1096" s="81">
        <v>11.170706879266</v>
      </c>
    </row>
    <row r="1097" spans="1:8" x14ac:dyDescent="0.3">
      <c r="A1097" s="74" t="str">
        <f t="shared" si="17"/>
        <v>山西46217</v>
      </c>
      <c r="B1097" s="75" t="s">
        <v>15</v>
      </c>
      <c r="C1097" s="45">
        <v>46217</v>
      </c>
      <c r="D1097" s="76">
        <v>162.27924604672401</v>
      </c>
      <c r="E1097" s="77">
        <v>125</v>
      </c>
      <c r="F1097" s="78">
        <v>11.615332986357901</v>
      </c>
      <c r="G1097" s="78">
        <v>11.615332986357901</v>
      </c>
      <c r="H1097" s="81">
        <v>11.170706879266</v>
      </c>
    </row>
    <row r="1098" spans="1:8" x14ac:dyDescent="0.3">
      <c r="A1098" s="74" t="str">
        <f t="shared" si="17"/>
        <v>山西46218</v>
      </c>
      <c r="B1098" s="75" t="s">
        <v>15</v>
      </c>
      <c r="C1098" s="45">
        <v>46218</v>
      </c>
      <c r="D1098" s="76">
        <v>162.27924604672401</v>
      </c>
      <c r="E1098" s="77">
        <v>125</v>
      </c>
      <c r="F1098" s="78">
        <v>11.615332986357901</v>
      </c>
      <c r="G1098" s="78">
        <v>11.615332986357901</v>
      </c>
      <c r="H1098" s="81">
        <v>11.170706879266</v>
      </c>
    </row>
    <row r="1099" spans="1:8" x14ac:dyDescent="0.3">
      <c r="A1099" s="74" t="str">
        <f t="shared" si="17"/>
        <v>山西46219</v>
      </c>
      <c r="B1099" s="75" t="s">
        <v>15</v>
      </c>
      <c r="C1099" s="45">
        <v>46219</v>
      </c>
      <c r="D1099" s="76">
        <v>162.27924604672401</v>
      </c>
      <c r="E1099" s="77">
        <v>125</v>
      </c>
      <c r="F1099" s="78">
        <v>11.615332986357901</v>
      </c>
      <c r="G1099" s="78">
        <v>11.615332986357901</v>
      </c>
      <c r="H1099" s="81">
        <v>11.170706879266</v>
      </c>
    </row>
    <row r="1100" spans="1:8" x14ac:dyDescent="0.3">
      <c r="A1100" s="74" t="str">
        <f t="shared" si="17"/>
        <v>山西46220</v>
      </c>
      <c r="B1100" s="75" t="s">
        <v>15</v>
      </c>
      <c r="C1100" s="45">
        <v>46220</v>
      </c>
      <c r="D1100" s="76">
        <v>162.27924604672401</v>
      </c>
      <c r="E1100" s="77">
        <v>125</v>
      </c>
      <c r="F1100" s="78">
        <v>11.615332986357901</v>
      </c>
      <c r="G1100" s="78">
        <v>11.615332986357901</v>
      </c>
      <c r="H1100" s="81">
        <v>11.170706879266</v>
      </c>
    </row>
    <row r="1101" spans="1:8" x14ac:dyDescent="0.3">
      <c r="A1101" s="74" t="str">
        <f t="shared" si="17"/>
        <v>山西46221</v>
      </c>
      <c r="B1101" s="75" t="s">
        <v>15</v>
      </c>
      <c r="C1101" s="45">
        <v>46221</v>
      </c>
      <c r="D1101" s="76">
        <v>162.27924604672401</v>
      </c>
      <c r="E1101" s="77">
        <v>125</v>
      </c>
      <c r="F1101" s="78">
        <v>11.615332986357901</v>
      </c>
      <c r="G1101" s="78">
        <v>11.615332986357901</v>
      </c>
      <c r="H1101" s="81">
        <v>11.170706879266</v>
      </c>
    </row>
    <row r="1102" spans="1:8" x14ac:dyDescent="0.3">
      <c r="A1102" s="74" t="str">
        <f t="shared" si="17"/>
        <v>山西46222</v>
      </c>
      <c r="B1102" s="75" t="s">
        <v>15</v>
      </c>
      <c r="C1102" s="45">
        <v>46222</v>
      </c>
      <c r="D1102" s="76">
        <v>162.27924604672401</v>
      </c>
      <c r="E1102" s="77">
        <v>125</v>
      </c>
      <c r="F1102" s="78">
        <v>11.615332986357901</v>
      </c>
      <c r="G1102" s="78">
        <v>11.615332986357901</v>
      </c>
      <c r="H1102" s="81">
        <v>11.170706879266</v>
      </c>
    </row>
    <row r="1103" spans="1:8" x14ac:dyDescent="0.3">
      <c r="A1103" s="74" t="str">
        <f t="shared" si="17"/>
        <v>山西46223</v>
      </c>
      <c r="B1103" s="75" t="s">
        <v>15</v>
      </c>
      <c r="C1103" s="45">
        <v>46223</v>
      </c>
      <c r="D1103" s="76">
        <v>162.27924604672401</v>
      </c>
      <c r="E1103" s="77">
        <v>125</v>
      </c>
      <c r="F1103" s="78">
        <v>11.615332986357901</v>
      </c>
      <c r="G1103" s="78">
        <v>11.615332986357901</v>
      </c>
      <c r="H1103" s="81">
        <v>11.170706879266</v>
      </c>
    </row>
    <row r="1104" spans="1:8" x14ac:dyDescent="0.3">
      <c r="A1104" s="74" t="str">
        <f t="shared" si="17"/>
        <v>山西46224</v>
      </c>
      <c r="B1104" s="75" t="s">
        <v>15</v>
      </c>
      <c r="C1104" s="45">
        <v>46224</v>
      </c>
      <c r="D1104" s="76">
        <v>162.27924604672401</v>
      </c>
      <c r="E1104" s="77">
        <v>125</v>
      </c>
      <c r="F1104" s="78">
        <v>11.615332986357901</v>
      </c>
      <c r="G1104" s="78">
        <v>11.615332986357901</v>
      </c>
      <c r="H1104" s="81">
        <v>11.170706879266</v>
      </c>
    </row>
    <row r="1105" spans="1:8" x14ac:dyDescent="0.3">
      <c r="A1105" s="74" t="str">
        <f t="shared" si="17"/>
        <v>山西46225</v>
      </c>
      <c r="B1105" s="75" t="s">
        <v>15</v>
      </c>
      <c r="C1105" s="45">
        <v>46225</v>
      </c>
      <c r="D1105" s="76">
        <v>162.27924604672401</v>
      </c>
      <c r="E1105" s="77">
        <v>125</v>
      </c>
      <c r="F1105" s="78">
        <v>11.615332986357901</v>
      </c>
      <c r="G1105" s="78">
        <v>11.615332986357901</v>
      </c>
      <c r="H1105" s="81">
        <v>11.170706879266</v>
      </c>
    </row>
    <row r="1106" spans="1:8" x14ac:dyDescent="0.3">
      <c r="A1106" s="74" t="str">
        <f t="shared" si="17"/>
        <v>山西46226</v>
      </c>
      <c r="B1106" s="75" t="s">
        <v>15</v>
      </c>
      <c r="C1106" s="45">
        <v>46226</v>
      </c>
      <c r="D1106" s="76">
        <v>162.27924604672401</v>
      </c>
      <c r="E1106" s="77">
        <v>125</v>
      </c>
      <c r="F1106" s="78">
        <v>11.615332986357901</v>
      </c>
      <c r="G1106" s="78">
        <v>11.615332986357901</v>
      </c>
      <c r="H1106" s="81">
        <v>11.170706879266</v>
      </c>
    </row>
    <row r="1107" spans="1:8" x14ac:dyDescent="0.3">
      <c r="A1107" s="74" t="str">
        <f t="shared" si="17"/>
        <v>山西46227</v>
      </c>
      <c r="B1107" s="75" t="s">
        <v>15</v>
      </c>
      <c r="C1107" s="45">
        <v>46227</v>
      </c>
      <c r="D1107" s="76">
        <v>162.27924604672401</v>
      </c>
      <c r="E1107" s="77">
        <v>125</v>
      </c>
      <c r="F1107" s="78">
        <v>11.615332986357901</v>
      </c>
      <c r="G1107" s="78">
        <v>11.615332986357901</v>
      </c>
      <c r="H1107" s="81">
        <v>11.170706879266</v>
      </c>
    </row>
    <row r="1108" spans="1:8" x14ac:dyDescent="0.3">
      <c r="A1108" s="74" t="str">
        <f t="shared" si="17"/>
        <v>山西46228</v>
      </c>
      <c r="B1108" s="75" t="s">
        <v>15</v>
      </c>
      <c r="C1108" s="45">
        <v>46228</v>
      </c>
      <c r="D1108" s="76">
        <v>162.27924604672401</v>
      </c>
      <c r="E1108" s="77">
        <v>125</v>
      </c>
      <c r="F1108" s="78">
        <v>11.615332986357901</v>
      </c>
      <c r="G1108" s="78">
        <v>11.615332986357901</v>
      </c>
      <c r="H1108" s="81">
        <v>11.170706879266</v>
      </c>
    </row>
    <row r="1109" spans="1:8" x14ac:dyDescent="0.3">
      <c r="A1109" s="74" t="str">
        <f t="shared" si="17"/>
        <v>山西46229</v>
      </c>
      <c r="B1109" s="75" t="s">
        <v>15</v>
      </c>
      <c r="C1109" s="45">
        <v>46229</v>
      </c>
      <c r="D1109" s="76">
        <v>162.27924604672401</v>
      </c>
      <c r="E1109" s="77">
        <v>125</v>
      </c>
      <c r="F1109" s="78">
        <v>11.615332986357901</v>
      </c>
      <c r="G1109" s="78">
        <v>11.615332986357901</v>
      </c>
      <c r="H1109" s="81">
        <v>11.170706879266</v>
      </c>
    </row>
    <row r="1110" spans="1:8" x14ac:dyDescent="0.3">
      <c r="A1110" s="74" t="str">
        <f t="shared" si="17"/>
        <v>山西46230</v>
      </c>
      <c r="B1110" s="75" t="s">
        <v>15</v>
      </c>
      <c r="C1110" s="45">
        <v>46230</v>
      </c>
      <c r="D1110" s="76">
        <v>162.27924604672401</v>
      </c>
      <c r="E1110" s="77">
        <v>125</v>
      </c>
      <c r="F1110" s="78">
        <v>11.615332986357901</v>
      </c>
      <c r="G1110" s="78">
        <v>11.615332986357901</v>
      </c>
      <c r="H1110" s="81">
        <v>11.170706879266</v>
      </c>
    </row>
    <row r="1111" spans="1:8" x14ac:dyDescent="0.3">
      <c r="A1111" s="74" t="str">
        <f t="shared" si="17"/>
        <v>山西46231</v>
      </c>
      <c r="B1111" s="75" t="s">
        <v>15</v>
      </c>
      <c r="C1111" s="45">
        <v>46231</v>
      </c>
      <c r="D1111" s="76">
        <v>162.27924604672401</v>
      </c>
      <c r="E1111" s="77">
        <v>125</v>
      </c>
      <c r="F1111" s="78">
        <v>11.615332986357901</v>
      </c>
      <c r="G1111" s="78">
        <v>11.615332986357901</v>
      </c>
      <c r="H1111" s="81">
        <v>11.170706879266</v>
      </c>
    </row>
    <row r="1112" spans="1:8" x14ac:dyDescent="0.3">
      <c r="A1112" s="74" t="str">
        <f t="shared" si="17"/>
        <v>山西46232</v>
      </c>
      <c r="B1112" s="75" t="s">
        <v>15</v>
      </c>
      <c r="C1112" s="45">
        <v>46232</v>
      </c>
      <c r="D1112" s="76">
        <v>162.27924604672401</v>
      </c>
      <c r="E1112" s="77">
        <v>125</v>
      </c>
      <c r="F1112" s="78">
        <v>11.615332986357901</v>
      </c>
      <c r="G1112" s="78">
        <v>11.615332986357901</v>
      </c>
      <c r="H1112" s="81">
        <v>11.170706879266</v>
      </c>
    </row>
    <row r="1113" spans="1:8" x14ac:dyDescent="0.3">
      <c r="A1113" s="74" t="str">
        <f t="shared" si="17"/>
        <v>山西46233</v>
      </c>
      <c r="B1113" s="75" t="s">
        <v>15</v>
      </c>
      <c r="C1113" s="45">
        <v>46233</v>
      </c>
      <c r="D1113" s="76">
        <v>162.27924604672401</v>
      </c>
      <c r="E1113" s="77">
        <v>125</v>
      </c>
      <c r="F1113" s="78">
        <v>11.615332986357901</v>
      </c>
      <c r="G1113" s="78">
        <v>11.615332986357901</v>
      </c>
      <c r="H1113" s="81">
        <v>11.170706879266</v>
      </c>
    </row>
    <row r="1114" spans="1:8" x14ac:dyDescent="0.3">
      <c r="A1114" s="74" t="str">
        <f t="shared" si="17"/>
        <v>山西46234</v>
      </c>
      <c r="B1114" s="75" t="s">
        <v>15</v>
      </c>
      <c r="C1114" s="45">
        <v>46234</v>
      </c>
      <c r="D1114" s="76">
        <v>162.27924604672401</v>
      </c>
      <c r="E1114" s="77">
        <v>125</v>
      </c>
      <c r="F1114" s="78">
        <v>11.615332986357901</v>
      </c>
      <c r="G1114" s="78">
        <v>11.615332986357901</v>
      </c>
      <c r="H1114" s="81">
        <v>11.170706879266</v>
      </c>
    </row>
    <row r="1115" spans="1:8" x14ac:dyDescent="0.3">
      <c r="A1115" s="74" t="str">
        <f t="shared" si="17"/>
        <v>山西46235</v>
      </c>
      <c r="B1115" s="75" t="s">
        <v>15</v>
      </c>
      <c r="C1115" s="45">
        <v>46235</v>
      </c>
      <c r="D1115" s="76">
        <v>457.22358426039602</v>
      </c>
      <c r="E1115" s="77">
        <v>125</v>
      </c>
      <c r="F1115" s="78">
        <v>11.718138525145701</v>
      </c>
      <c r="G1115" s="78">
        <v>11.718138525145701</v>
      </c>
      <c r="H1115" s="81">
        <v>11.690161740666101</v>
      </c>
    </row>
    <row r="1116" spans="1:8" x14ac:dyDescent="0.3">
      <c r="A1116" s="74" t="str">
        <f t="shared" si="17"/>
        <v>山西46236</v>
      </c>
      <c r="B1116" s="75" t="s">
        <v>15</v>
      </c>
      <c r="C1116" s="45">
        <v>46236</v>
      </c>
      <c r="D1116" s="76">
        <v>457.22358426039602</v>
      </c>
      <c r="E1116" s="77">
        <v>125</v>
      </c>
      <c r="F1116" s="78">
        <v>11.718138525145701</v>
      </c>
      <c r="G1116" s="78">
        <v>11.718138525145701</v>
      </c>
      <c r="H1116" s="81">
        <v>11.690161740666101</v>
      </c>
    </row>
    <row r="1117" spans="1:8" x14ac:dyDescent="0.3">
      <c r="A1117" s="74" t="str">
        <f t="shared" si="17"/>
        <v>山西46237</v>
      </c>
      <c r="B1117" s="75" t="s">
        <v>15</v>
      </c>
      <c r="C1117" s="45">
        <v>46237</v>
      </c>
      <c r="D1117" s="76">
        <v>457.22358426039602</v>
      </c>
      <c r="E1117" s="77">
        <v>125</v>
      </c>
      <c r="F1117" s="78">
        <v>11.718138525145701</v>
      </c>
      <c r="G1117" s="78">
        <v>11.718138525145701</v>
      </c>
      <c r="H1117" s="81">
        <v>11.690161740666101</v>
      </c>
    </row>
    <row r="1118" spans="1:8" x14ac:dyDescent="0.3">
      <c r="A1118" s="74" t="str">
        <f t="shared" si="17"/>
        <v>山西46238</v>
      </c>
      <c r="B1118" s="75" t="s">
        <v>15</v>
      </c>
      <c r="C1118" s="45">
        <v>46238</v>
      </c>
      <c r="D1118" s="76">
        <v>457.22358426039602</v>
      </c>
      <c r="E1118" s="77">
        <v>125</v>
      </c>
      <c r="F1118" s="78">
        <v>11.718138525145701</v>
      </c>
      <c r="G1118" s="78">
        <v>11.718138525145701</v>
      </c>
      <c r="H1118" s="81">
        <v>11.690161740666101</v>
      </c>
    </row>
    <row r="1119" spans="1:8" x14ac:dyDescent="0.3">
      <c r="A1119" s="74" t="str">
        <f t="shared" si="17"/>
        <v>山西46239</v>
      </c>
      <c r="B1119" s="75" t="s">
        <v>15</v>
      </c>
      <c r="C1119" s="45">
        <v>46239</v>
      </c>
      <c r="D1119" s="76">
        <v>457.22358426039602</v>
      </c>
      <c r="E1119" s="77">
        <v>125</v>
      </c>
      <c r="F1119" s="78">
        <v>11.718138525145701</v>
      </c>
      <c r="G1119" s="78">
        <v>11.718138525145701</v>
      </c>
      <c r="H1119" s="81">
        <v>11.690161740666101</v>
      </c>
    </row>
    <row r="1120" spans="1:8" x14ac:dyDescent="0.3">
      <c r="A1120" s="74" t="str">
        <f t="shared" si="17"/>
        <v>山西46240</v>
      </c>
      <c r="B1120" s="75" t="s">
        <v>15</v>
      </c>
      <c r="C1120" s="45">
        <v>46240</v>
      </c>
      <c r="D1120" s="76">
        <v>457.22358426039602</v>
      </c>
      <c r="E1120" s="77">
        <v>125</v>
      </c>
      <c r="F1120" s="78">
        <v>11.718138525145701</v>
      </c>
      <c r="G1120" s="78">
        <v>11.718138525145701</v>
      </c>
      <c r="H1120" s="81">
        <v>11.690161740666101</v>
      </c>
    </row>
    <row r="1121" spans="1:8" x14ac:dyDescent="0.3">
      <c r="A1121" s="74" t="str">
        <f t="shared" si="17"/>
        <v>山西46241</v>
      </c>
      <c r="B1121" s="75" t="s">
        <v>15</v>
      </c>
      <c r="C1121" s="45">
        <v>46241</v>
      </c>
      <c r="D1121" s="76">
        <v>457.22358426039602</v>
      </c>
      <c r="E1121" s="77">
        <v>125</v>
      </c>
      <c r="F1121" s="78">
        <v>11.718138525145701</v>
      </c>
      <c r="G1121" s="78">
        <v>11.718138525145701</v>
      </c>
      <c r="H1121" s="81">
        <v>11.690161740666101</v>
      </c>
    </row>
    <row r="1122" spans="1:8" x14ac:dyDescent="0.3">
      <c r="A1122" s="74" t="str">
        <f t="shared" si="17"/>
        <v>山西46242</v>
      </c>
      <c r="B1122" s="75" t="s">
        <v>15</v>
      </c>
      <c r="C1122" s="45">
        <v>46242</v>
      </c>
      <c r="D1122" s="76">
        <v>457.22358426039602</v>
      </c>
      <c r="E1122" s="77">
        <v>125</v>
      </c>
      <c r="F1122" s="78">
        <v>11.718138525145701</v>
      </c>
      <c r="G1122" s="78">
        <v>11.718138525145701</v>
      </c>
      <c r="H1122" s="81">
        <v>11.690161740666101</v>
      </c>
    </row>
    <row r="1123" spans="1:8" x14ac:dyDescent="0.3">
      <c r="A1123" s="74" t="str">
        <f t="shared" si="17"/>
        <v>山西46243</v>
      </c>
      <c r="B1123" s="75" t="s">
        <v>15</v>
      </c>
      <c r="C1123" s="45">
        <v>46243</v>
      </c>
      <c r="D1123" s="76">
        <v>457.22358426039602</v>
      </c>
      <c r="E1123" s="77">
        <v>125</v>
      </c>
      <c r="F1123" s="78">
        <v>11.718138525145701</v>
      </c>
      <c r="G1123" s="78">
        <v>11.718138525145701</v>
      </c>
      <c r="H1123" s="81">
        <v>11.690161740666101</v>
      </c>
    </row>
    <row r="1124" spans="1:8" x14ac:dyDescent="0.3">
      <c r="A1124" s="74" t="str">
        <f t="shared" si="17"/>
        <v>山西46244</v>
      </c>
      <c r="B1124" s="75" t="s">
        <v>15</v>
      </c>
      <c r="C1124" s="45">
        <v>46244</v>
      </c>
      <c r="D1124" s="76">
        <v>457.22358426039602</v>
      </c>
      <c r="E1124" s="77">
        <v>125</v>
      </c>
      <c r="F1124" s="78">
        <v>11.718138525145701</v>
      </c>
      <c r="G1124" s="78">
        <v>11.718138525145701</v>
      </c>
      <c r="H1124" s="81">
        <v>11.690161740666101</v>
      </c>
    </row>
    <row r="1125" spans="1:8" x14ac:dyDescent="0.3">
      <c r="A1125" s="74" t="str">
        <f t="shared" si="17"/>
        <v>山西46245</v>
      </c>
      <c r="B1125" s="75" t="s">
        <v>15</v>
      </c>
      <c r="C1125" s="45">
        <v>46245</v>
      </c>
      <c r="D1125" s="76">
        <v>457.22358426039602</v>
      </c>
      <c r="E1125" s="77">
        <v>125</v>
      </c>
      <c r="F1125" s="78">
        <v>11.718138525145701</v>
      </c>
      <c r="G1125" s="78">
        <v>11.718138525145701</v>
      </c>
      <c r="H1125" s="81">
        <v>11.690161740666101</v>
      </c>
    </row>
    <row r="1126" spans="1:8" x14ac:dyDescent="0.3">
      <c r="A1126" s="74" t="str">
        <f t="shared" si="17"/>
        <v>山西46246</v>
      </c>
      <c r="B1126" s="75" t="s">
        <v>15</v>
      </c>
      <c r="C1126" s="45">
        <v>46246</v>
      </c>
      <c r="D1126" s="76">
        <v>457.22358426039602</v>
      </c>
      <c r="E1126" s="77">
        <v>125</v>
      </c>
      <c r="F1126" s="78">
        <v>11.718138525145701</v>
      </c>
      <c r="G1126" s="78">
        <v>11.718138525145701</v>
      </c>
      <c r="H1126" s="81">
        <v>11.690161740666101</v>
      </c>
    </row>
    <row r="1127" spans="1:8" x14ac:dyDescent="0.3">
      <c r="A1127" s="74" t="str">
        <f t="shared" si="17"/>
        <v>山西46247</v>
      </c>
      <c r="B1127" s="75" t="s">
        <v>15</v>
      </c>
      <c r="C1127" s="45">
        <v>46247</v>
      </c>
      <c r="D1127" s="76">
        <v>457.22358426039602</v>
      </c>
      <c r="E1127" s="77">
        <v>125</v>
      </c>
      <c r="F1127" s="78">
        <v>11.718138525145701</v>
      </c>
      <c r="G1127" s="78">
        <v>11.718138525145701</v>
      </c>
      <c r="H1127" s="81">
        <v>11.690161740666101</v>
      </c>
    </row>
    <row r="1128" spans="1:8" x14ac:dyDescent="0.3">
      <c r="A1128" s="74" t="str">
        <f t="shared" si="17"/>
        <v>山西46248</v>
      </c>
      <c r="B1128" s="75" t="s">
        <v>15</v>
      </c>
      <c r="C1128" s="45">
        <v>46248</v>
      </c>
      <c r="D1128" s="76">
        <v>457.22358426039602</v>
      </c>
      <c r="E1128" s="77">
        <v>125</v>
      </c>
      <c r="F1128" s="78">
        <v>11.718138525145701</v>
      </c>
      <c r="G1128" s="78">
        <v>11.718138525145701</v>
      </c>
      <c r="H1128" s="81">
        <v>11.690161740666101</v>
      </c>
    </row>
    <row r="1129" spans="1:8" x14ac:dyDescent="0.3">
      <c r="A1129" s="74" t="str">
        <f t="shared" si="17"/>
        <v>山西46249</v>
      </c>
      <c r="B1129" s="75" t="s">
        <v>15</v>
      </c>
      <c r="C1129" s="45">
        <v>46249</v>
      </c>
      <c r="D1129" s="76">
        <v>457.22358426039602</v>
      </c>
      <c r="E1129" s="77">
        <v>125</v>
      </c>
      <c r="F1129" s="78">
        <v>11.718138525145701</v>
      </c>
      <c r="G1129" s="78">
        <v>11.718138525145701</v>
      </c>
      <c r="H1129" s="81">
        <v>11.690161740666101</v>
      </c>
    </row>
    <row r="1130" spans="1:8" x14ac:dyDescent="0.3">
      <c r="A1130" s="74" t="str">
        <f t="shared" si="17"/>
        <v>山西46250</v>
      </c>
      <c r="B1130" s="75" t="s">
        <v>15</v>
      </c>
      <c r="C1130" s="45">
        <v>46250</v>
      </c>
      <c r="D1130" s="76">
        <v>457.22358426039602</v>
      </c>
      <c r="E1130" s="77">
        <v>125</v>
      </c>
      <c r="F1130" s="78">
        <v>11.718138525145701</v>
      </c>
      <c r="G1130" s="78">
        <v>11.718138525145701</v>
      </c>
      <c r="H1130" s="81">
        <v>11.690161740666101</v>
      </c>
    </row>
    <row r="1131" spans="1:8" x14ac:dyDescent="0.3">
      <c r="A1131" s="74" t="str">
        <f t="shared" si="17"/>
        <v>山西46251</v>
      </c>
      <c r="B1131" s="75" t="s">
        <v>15</v>
      </c>
      <c r="C1131" s="45">
        <v>46251</v>
      </c>
      <c r="D1131" s="76">
        <v>457.22358426039602</v>
      </c>
      <c r="E1131" s="77">
        <v>125</v>
      </c>
      <c r="F1131" s="78">
        <v>11.718138525145701</v>
      </c>
      <c r="G1131" s="78">
        <v>11.718138525145701</v>
      </c>
      <c r="H1131" s="81">
        <v>11.690161740666101</v>
      </c>
    </row>
    <row r="1132" spans="1:8" x14ac:dyDescent="0.3">
      <c r="A1132" s="74" t="str">
        <f t="shared" si="17"/>
        <v>山西46252</v>
      </c>
      <c r="B1132" s="75" t="s">
        <v>15</v>
      </c>
      <c r="C1132" s="45">
        <v>46252</v>
      </c>
      <c r="D1132" s="76">
        <v>457.22358426039602</v>
      </c>
      <c r="E1132" s="77">
        <v>125</v>
      </c>
      <c r="F1132" s="78">
        <v>11.718138525145701</v>
      </c>
      <c r="G1132" s="78">
        <v>11.718138525145701</v>
      </c>
      <c r="H1132" s="81">
        <v>11.690161740666101</v>
      </c>
    </row>
    <row r="1133" spans="1:8" x14ac:dyDescent="0.3">
      <c r="A1133" s="74" t="str">
        <f t="shared" si="17"/>
        <v>山西46253</v>
      </c>
      <c r="B1133" s="75" t="s">
        <v>15</v>
      </c>
      <c r="C1133" s="45">
        <v>46253</v>
      </c>
      <c r="D1133" s="76">
        <v>457.22358426039602</v>
      </c>
      <c r="E1133" s="77">
        <v>125</v>
      </c>
      <c r="F1133" s="78">
        <v>11.718138525145701</v>
      </c>
      <c r="G1133" s="78">
        <v>11.718138525145701</v>
      </c>
      <c r="H1133" s="81">
        <v>11.690161740666101</v>
      </c>
    </row>
    <row r="1134" spans="1:8" x14ac:dyDescent="0.3">
      <c r="A1134" s="74" t="str">
        <f t="shared" si="17"/>
        <v>山西46254</v>
      </c>
      <c r="B1134" s="75" t="s">
        <v>15</v>
      </c>
      <c r="C1134" s="45">
        <v>46254</v>
      </c>
      <c r="D1134" s="76">
        <v>457.22358426039602</v>
      </c>
      <c r="E1134" s="77">
        <v>125</v>
      </c>
      <c r="F1134" s="78">
        <v>11.718138525145701</v>
      </c>
      <c r="G1134" s="78">
        <v>11.718138525145701</v>
      </c>
      <c r="H1134" s="81">
        <v>11.690161740666101</v>
      </c>
    </row>
    <row r="1135" spans="1:8" x14ac:dyDescent="0.3">
      <c r="A1135" s="74" t="str">
        <f t="shared" si="17"/>
        <v>山西46255</v>
      </c>
      <c r="B1135" s="75" t="s">
        <v>15</v>
      </c>
      <c r="C1135" s="45">
        <v>46255</v>
      </c>
      <c r="D1135" s="76">
        <v>457.22358426039602</v>
      </c>
      <c r="E1135" s="77">
        <v>125</v>
      </c>
      <c r="F1135" s="78">
        <v>11.718138525145701</v>
      </c>
      <c r="G1135" s="78">
        <v>11.718138525145701</v>
      </c>
      <c r="H1135" s="81">
        <v>11.690161740666101</v>
      </c>
    </row>
    <row r="1136" spans="1:8" x14ac:dyDescent="0.3">
      <c r="A1136" s="74" t="str">
        <f t="shared" si="17"/>
        <v>山西46256</v>
      </c>
      <c r="B1136" s="75" t="s">
        <v>15</v>
      </c>
      <c r="C1136" s="45">
        <v>46256</v>
      </c>
      <c r="D1136" s="76">
        <v>457.22358426039602</v>
      </c>
      <c r="E1136" s="77">
        <v>125</v>
      </c>
      <c r="F1136" s="78">
        <v>11.718138525145701</v>
      </c>
      <c r="G1136" s="78">
        <v>11.718138525145701</v>
      </c>
      <c r="H1136" s="81">
        <v>11.690161740666101</v>
      </c>
    </row>
    <row r="1137" spans="1:8" x14ac:dyDescent="0.3">
      <c r="A1137" s="74" t="str">
        <f t="shared" si="17"/>
        <v>山西46257</v>
      </c>
      <c r="B1137" s="75" t="s">
        <v>15</v>
      </c>
      <c r="C1137" s="45">
        <v>46257</v>
      </c>
      <c r="D1137" s="76">
        <v>457.22358426039602</v>
      </c>
      <c r="E1137" s="77">
        <v>125</v>
      </c>
      <c r="F1137" s="78">
        <v>11.718138525145701</v>
      </c>
      <c r="G1137" s="78">
        <v>11.718138525145701</v>
      </c>
      <c r="H1137" s="81">
        <v>11.690161740666101</v>
      </c>
    </row>
    <row r="1138" spans="1:8" x14ac:dyDescent="0.3">
      <c r="A1138" s="74" t="str">
        <f t="shared" si="17"/>
        <v>山西46258</v>
      </c>
      <c r="B1138" s="75" t="s">
        <v>15</v>
      </c>
      <c r="C1138" s="45">
        <v>46258</v>
      </c>
      <c r="D1138" s="76">
        <v>457.22358426039602</v>
      </c>
      <c r="E1138" s="77">
        <v>125</v>
      </c>
      <c r="F1138" s="78">
        <v>11.718138525145701</v>
      </c>
      <c r="G1138" s="78">
        <v>11.718138525145701</v>
      </c>
      <c r="H1138" s="81">
        <v>11.690161740666101</v>
      </c>
    </row>
    <row r="1139" spans="1:8" x14ac:dyDescent="0.3">
      <c r="A1139" s="74" t="str">
        <f t="shared" si="17"/>
        <v>山西46259</v>
      </c>
      <c r="B1139" s="75" t="s">
        <v>15</v>
      </c>
      <c r="C1139" s="45">
        <v>46259</v>
      </c>
      <c r="D1139" s="76">
        <v>457.22358426039602</v>
      </c>
      <c r="E1139" s="77">
        <v>125</v>
      </c>
      <c r="F1139" s="78">
        <v>11.718138525145701</v>
      </c>
      <c r="G1139" s="78">
        <v>11.718138525145701</v>
      </c>
      <c r="H1139" s="81">
        <v>11.690161740666101</v>
      </c>
    </row>
    <row r="1140" spans="1:8" x14ac:dyDescent="0.3">
      <c r="A1140" s="74" t="str">
        <f t="shared" si="17"/>
        <v>山西46260</v>
      </c>
      <c r="B1140" s="75" t="s">
        <v>15</v>
      </c>
      <c r="C1140" s="45">
        <v>46260</v>
      </c>
      <c r="D1140" s="76">
        <v>457.22358426039602</v>
      </c>
      <c r="E1140" s="77">
        <v>125</v>
      </c>
      <c r="F1140" s="78">
        <v>11.718138525145701</v>
      </c>
      <c r="G1140" s="78">
        <v>11.718138525145701</v>
      </c>
      <c r="H1140" s="81">
        <v>11.690161740666101</v>
      </c>
    </row>
    <row r="1141" spans="1:8" x14ac:dyDescent="0.3">
      <c r="A1141" s="74" t="str">
        <f t="shared" si="17"/>
        <v>山西46261</v>
      </c>
      <c r="B1141" s="75" t="s">
        <v>15</v>
      </c>
      <c r="C1141" s="45">
        <v>46261</v>
      </c>
      <c r="D1141" s="76">
        <v>457.22358426039602</v>
      </c>
      <c r="E1141" s="77">
        <v>125</v>
      </c>
      <c r="F1141" s="78">
        <v>11.718138525145701</v>
      </c>
      <c r="G1141" s="78">
        <v>11.718138525145701</v>
      </c>
      <c r="H1141" s="81">
        <v>11.690161740666101</v>
      </c>
    </row>
    <row r="1142" spans="1:8" x14ac:dyDescent="0.3">
      <c r="A1142" s="74" t="str">
        <f t="shared" si="17"/>
        <v>山西46262</v>
      </c>
      <c r="B1142" s="75" t="s">
        <v>15</v>
      </c>
      <c r="C1142" s="45">
        <v>46262</v>
      </c>
      <c r="D1142" s="76">
        <v>457.22358426039602</v>
      </c>
      <c r="E1142" s="77">
        <v>125</v>
      </c>
      <c r="F1142" s="78">
        <v>11.718138525145701</v>
      </c>
      <c r="G1142" s="78">
        <v>11.718138525145701</v>
      </c>
      <c r="H1142" s="81">
        <v>11.690161740666101</v>
      </c>
    </row>
    <row r="1143" spans="1:8" x14ac:dyDescent="0.3">
      <c r="A1143" s="74" t="str">
        <f t="shared" si="17"/>
        <v>山西46263</v>
      </c>
      <c r="B1143" s="75" t="s">
        <v>15</v>
      </c>
      <c r="C1143" s="45">
        <v>46263</v>
      </c>
      <c r="D1143" s="76">
        <v>457.22358426039602</v>
      </c>
      <c r="E1143" s="77">
        <v>125</v>
      </c>
      <c r="F1143" s="78">
        <v>11.718138525145701</v>
      </c>
      <c r="G1143" s="78">
        <v>11.718138525145701</v>
      </c>
      <c r="H1143" s="81">
        <v>11.690161740666101</v>
      </c>
    </row>
    <row r="1144" spans="1:8" x14ac:dyDescent="0.3">
      <c r="A1144" s="74" t="str">
        <f t="shared" si="17"/>
        <v>山西46264</v>
      </c>
      <c r="B1144" s="75" t="s">
        <v>15</v>
      </c>
      <c r="C1144" s="45">
        <v>46264</v>
      </c>
      <c r="D1144" s="76">
        <v>457.22358426039602</v>
      </c>
      <c r="E1144" s="77">
        <v>125</v>
      </c>
      <c r="F1144" s="78">
        <v>11.718138525145701</v>
      </c>
      <c r="G1144" s="78">
        <v>11.718138525145701</v>
      </c>
      <c r="H1144" s="81">
        <v>11.690161740666101</v>
      </c>
    </row>
    <row r="1145" spans="1:8" x14ac:dyDescent="0.3">
      <c r="A1145" s="74" t="str">
        <f t="shared" si="17"/>
        <v>山西46265</v>
      </c>
      <c r="B1145" s="75" t="s">
        <v>15</v>
      </c>
      <c r="C1145" s="45">
        <v>46265</v>
      </c>
      <c r="D1145" s="76">
        <v>457.22358426039602</v>
      </c>
      <c r="E1145" s="77">
        <v>125</v>
      </c>
      <c r="F1145" s="78">
        <v>11.718138525145701</v>
      </c>
      <c r="G1145" s="78">
        <v>11.718138525145701</v>
      </c>
      <c r="H1145" s="81">
        <v>11.690161740666101</v>
      </c>
    </row>
    <row r="1146" spans="1:8" x14ac:dyDescent="0.3">
      <c r="A1146" s="74" t="str">
        <f t="shared" si="17"/>
        <v>山西46266</v>
      </c>
      <c r="B1146" s="75" t="s">
        <v>15</v>
      </c>
      <c r="C1146" s="45">
        <v>46266</v>
      </c>
      <c r="D1146" s="76">
        <v>450.81511874484499</v>
      </c>
      <c r="E1146" s="77">
        <v>125</v>
      </c>
      <c r="F1146" s="78">
        <v>11.9964199588337</v>
      </c>
      <c r="G1146" s="78">
        <v>11.9964199588337</v>
      </c>
      <c r="H1146" s="81">
        <v>12.209616602066101</v>
      </c>
    </row>
    <row r="1147" spans="1:8" x14ac:dyDescent="0.3">
      <c r="A1147" s="74" t="str">
        <f t="shared" si="17"/>
        <v>山西46267</v>
      </c>
      <c r="B1147" s="75" t="s">
        <v>15</v>
      </c>
      <c r="C1147" s="45">
        <v>46267</v>
      </c>
      <c r="D1147" s="76">
        <v>450.81511874484499</v>
      </c>
      <c r="E1147" s="77">
        <v>125</v>
      </c>
      <c r="F1147" s="78">
        <v>11.9964199588337</v>
      </c>
      <c r="G1147" s="78">
        <v>11.9964199588337</v>
      </c>
      <c r="H1147" s="81">
        <v>12.209616602066101</v>
      </c>
    </row>
    <row r="1148" spans="1:8" x14ac:dyDescent="0.3">
      <c r="A1148" s="74" t="str">
        <f t="shared" si="17"/>
        <v>山西46268</v>
      </c>
      <c r="B1148" s="75" t="s">
        <v>15</v>
      </c>
      <c r="C1148" s="45">
        <v>46268</v>
      </c>
      <c r="D1148" s="76">
        <v>450.81511874484499</v>
      </c>
      <c r="E1148" s="77">
        <v>125</v>
      </c>
      <c r="F1148" s="78">
        <v>11.9964199588337</v>
      </c>
      <c r="G1148" s="78">
        <v>11.9964199588337</v>
      </c>
      <c r="H1148" s="81">
        <v>12.209616602066101</v>
      </c>
    </row>
    <row r="1149" spans="1:8" x14ac:dyDescent="0.3">
      <c r="A1149" s="74" t="str">
        <f t="shared" si="17"/>
        <v>山西46269</v>
      </c>
      <c r="B1149" s="75" t="s">
        <v>15</v>
      </c>
      <c r="C1149" s="45">
        <v>46269</v>
      </c>
      <c r="D1149" s="76">
        <v>450.81511874484499</v>
      </c>
      <c r="E1149" s="77">
        <v>125</v>
      </c>
      <c r="F1149" s="78">
        <v>11.9964199588337</v>
      </c>
      <c r="G1149" s="78">
        <v>11.9964199588337</v>
      </c>
      <c r="H1149" s="81">
        <v>12.209616602066101</v>
      </c>
    </row>
    <row r="1150" spans="1:8" x14ac:dyDescent="0.3">
      <c r="A1150" s="74" t="str">
        <f t="shared" si="17"/>
        <v>山西46270</v>
      </c>
      <c r="B1150" s="75" t="s">
        <v>15</v>
      </c>
      <c r="C1150" s="45">
        <v>46270</v>
      </c>
      <c r="D1150" s="76">
        <v>450.81511874484499</v>
      </c>
      <c r="E1150" s="77">
        <v>125</v>
      </c>
      <c r="F1150" s="78">
        <v>11.9964199588337</v>
      </c>
      <c r="G1150" s="78">
        <v>11.9964199588337</v>
      </c>
      <c r="H1150" s="81">
        <v>12.209616602066101</v>
      </c>
    </row>
    <row r="1151" spans="1:8" x14ac:dyDescent="0.3">
      <c r="A1151" s="74" t="str">
        <f t="shared" si="17"/>
        <v>山西46271</v>
      </c>
      <c r="B1151" s="75" t="s">
        <v>15</v>
      </c>
      <c r="C1151" s="45">
        <v>46271</v>
      </c>
      <c r="D1151" s="76">
        <v>450.81511874484499</v>
      </c>
      <c r="E1151" s="77">
        <v>125</v>
      </c>
      <c r="F1151" s="78">
        <v>11.9964199588337</v>
      </c>
      <c r="G1151" s="78">
        <v>11.9964199588337</v>
      </c>
      <c r="H1151" s="81">
        <v>12.209616602066101</v>
      </c>
    </row>
    <row r="1152" spans="1:8" x14ac:dyDescent="0.3">
      <c r="A1152" s="74" t="str">
        <f t="shared" si="17"/>
        <v>山西46272</v>
      </c>
      <c r="B1152" s="75" t="s">
        <v>15</v>
      </c>
      <c r="C1152" s="45">
        <v>46272</v>
      </c>
      <c r="D1152" s="76">
        <v>450.81511874484499</v>
      </c>
      <c r="E1152" s="77">
        <v>125</v>
      </c>
      <c r="F1152" s="78">
        <v>11.9964199588337</v>
      </c>
      <c r="G1152" s="78">
        <v>11.9964199588337</v>
      </c>
      <c r="H1152" s="81">
        <v>12.209616602066101</v>
      </c>
    </row>
    <row r="1153" spans="1:8" x14ac:dyDescent="0.3">
      <c r="A1153" s="74" t="str">
        <f t="shared" si="17"/>
        <v>山西46273</v>
      </c>
      <c r="B1153" s="75" t="s">
        <v>15</v>
      </c>
      <c r="C1153" s="45">
        <v>46273</v>
      </c>
      <c r="D1153" s="76">
        <v>450.81511874484499</v>
      </c>
      <c r="E1153" s="77">
        <v>125</v>
      </c>
      <c r="F1153" s="78">
        <v>11.9964199588337</v>
      </c>
      <c r="G1153" s="78">
        <v>11.9964199588337</v>
      </c>
      <c r="H1153" s="81">
        <v>12.209616602066101</v>
      </c>
    </row>
    <row r="1154" spans="1:8" x14ac:dyDescent="0.3">
      <c r="A1154" s="74" t="str">
        <f t="shared" si="17"/>
        <v>山西46274</v>
      </c>
      <c r="B1154" s="75" t="s">
        <v>15</v>
      </c>
      <c r="C1154" s="45">
        <v>46274</v>
      </c>
      <c r="D1154" s="76">
        <v>450.81511874484499</v>
      </c>
      <c r="E1154" s="77">
        <v>125</v>
      </c>
      <c r="F1154" s="78">
        <v>11.9964199588337</v>
      </c>
      <c r="G1154" s="78">
        <v>11.9964199588337</v>
      </c>
      <c r="H1154" s="81">
        <v>12.209616602066101</v>
      </c>
    </row>
    <row r="1155" spans="1:8" x14ac:dyDescent="0.3">
      <c r="A1155" s="74" t="str">
        <f t="shared" ref="A1155:A1218" si="18">B1155&amp;C1155</f>
        <v>山西46275</v>
      </c>
      <c r="B1155" s="75" t="s">
        <v>15</v>
      </c>
      <c r="C1155" s="45">
        <v>46275</v>
      </c>
      <c r="D1155" s="76">
        <v>450.81511874484499</v>
      </c>
      <c r="E1155" s="77">
        <v>125</v>
      </c>
      <c r="F1155" s="78">
        <v>11.9964199588337</v>
      </c>
      <c r="G1155" s="78">
        <v>11.9964199588337</v>
      </c>
      <c r="H1155" s="81">
        <v>12.209616602066101</v>
      </c>
    </row>
    <row r="1156" spans="1:8" x14ac:dyDescent="0.3">
      <c r="A1156" s="74" t="str">
        <f t="shared" si="18"/>
        <v>山西46276</v>
      </c>
      <c r="B1156" s="75" t="s">
        <v>15</v>
      </c>
      <c r="C1156" s="45">
        <v>46276</v>
      </c>
      <c r="D1156" s="76">
        <v>450.81511874484499</v>
      </c>
      <c r="E1156" s="77">
        <v>125</v>
      </c>
      <c r="F1156" s="78">
        <v>11.9964199588337</v>
      </c>
      <c r="G1156" s="78">
        <v>11.9964199588337</v>
      </c>
      <c r="H1156" s="81">
        <v>12.209616602066101</v>
      </c>
    </row>
    <row r="1157" spans="1:8" x14ac:dyDescent="0.3">
      <c r="A1157" s="74" t="str">
        <f t="shared" si="18"/>
        <v>山西46277</v>
      </c>
      <c r="B1157" s="75" t="s">
        <v>15</v>
      </c>
      <c r="C1157" s="45">
        <v>46277</v>
      </c>
      <c r="D1157" s="76">
        <v>450.81511874484499</v>
      </c>
      <c r="E1157" s="77">
        <v>125</v>
      </c>
      <c r="F1157" s="78">
        <v>11.9964199588337</v>
      </c>
      <c r="G1157" s="78">
        <v>11.9964199588337</v>
      </c>
      <c r="H1157" s="81">
        <v>12.209616602066101</v>
      </c>
    </row>
    <row r="1158" spans="1:8" x14ac:dyDescent="0.3">
      <c r="A1158" s="74" t="str">
        <f t="shared" si="18"/>
        <v>山西46278</v>
      </c>
      <c r="B1158" s="75" t="s">
        <v>15</v>
      </c>
      <c r="C1158" s="45">
        <v>46278</v>
      </c>
      <c r="D1158" s="76">
        <v>450.81511874484499</v>
      </c>
      <c r="E1158" s="77">
        <v>125</v>
      </c>
      <c r="F1158" s="78">
        <v>11.9964199588337</v>
      </c>
      <c r="G1158" s="78">
        <v>11.9964199588337</v>
      </c>
      <c r="H1158" s="81">
        <v>12.209616602066101</v>
      </c>
    </row>
    <row r="1159" spans="1:8" x14ac:dyDescent="0.3">
      <c r="A1159" s="74" t="str">
        <f t="shared" si="18"/>
        <v>山西46279</v>
      </c>
      <c r="B1159" s="75" t="s">
        <v>15</v>
      </c>
      <c r="C1159" s="45">
        <v>46279</v>
      </c>
      <c r="D1159" s="76">
        <v>450.81511874484499</v>
      </c>
      <c r="E1159" s="77">
        <v>125</v>
      </c>
      <c r="F1159" s="78">
        <v>11.9964199588337</v>
      </c>
      <c r="G1159" s="78">
        <v>11.9964199588337</v>
      </c>
      <c r="H1159" s="81">
        <v>12.209616602066101</v>
      </c>
    </row>
    <row r="1160" spans="1:8" x14ac:dyDescent="0.3">
      <c r="A1160" s="74" t="str">
        <f t="shared" si="18"/>
        <v>山西46280</v>
      </c>
      <c r="B1160" s="75" t="s">
        <v>15</v>
      </c>
      <c r="C1160" s="45">
        <v>46280</v>
      </c>
      <c r="D1160" s="76">
        <v>450.81511874484499</v>
      </c>
      <c r="E1160" s="77">
        <v>125</v>
      </c>
      <c r="F1160" s="78">
        <v>11.9964199588337</v>
      </c>
      <c r="G1160" s="78">
        <v>11.9964199588337</v>
      </c>
      <c r="H1160" s="81">
        <v>12.209616602066101</v>
      </c>
    </row>
    <row r="1161" spans="1:8" x14ac:dyDescent="0.3">
      <c r="A1161" s="74" t="str">
        <f t="shared" si="18"/>
        <v>山西46281</v>
      </c>
      <c r="B1161" s="75" t="s">
        <v>15</v>
      </c>
      <c r="C1161" s="45">
        <v>46281</v>
      </c>
      <c r="D1161" s="76">
        <v>450.81511874484499</v>
      </c>
      <c r="E1161" s="77">
        <v>125</v>
      </c>
      <c r="F1161" s="78">
        <v>11.9964199588337</v>
      </c>
      <c r="G1161" s="78">
        <v>11.9964199588337</v>
      </c>
      <c r="H1161" s="81">
        <v>12.209616602066101</v>
      </c>
    </row>
    <row r="1162" spans="1:8" x14ac:dyDescent="0.3">
      <c r="A1162" s="74" t="str">
        <f t="shared" si="18"/>
        <v>山西46282</v>
      </c>
      <c r="B1162" s="75" t="s">
        <v>15</v>
      </c>
      <c r="C1162" s="45">
        <v>46282</v>
      </c>
      <c r="D1162" s="76">
        <v>450.81511874484499</v>
      </c>
      <c r="E1162" s="77">
        <v>125</v>
      </c>
      <c r="F1162" s="78">
        <v>11.9964199588337</v>
      </c>
      <c r="G1162" s="78">
        <v>11.9964199588337</v>
      </c>
      <c r="H1162" s="81">
        <v>12.209616602066101</v>
      </c>
    </row>
    <row r="1163" spans="1:8" x14ac:dyDescent="0.3">
      <c r="A1163" s="74" t="str">
        <f t="shared" si="18"/>
        <v>山西46283</v>
      </c>
      <c r="B1163" s="75" t="s">
        <v>15</v>
      </c>
      <c r="C1163" s="45">
        <v>46283</v>
      </c>
      <c r="D1163" s="76">
        <v>450.81511874484499</v>
      </c>
      <c r="E1163" s="77">
        <v>125</v>
      </c>
      <c r="F1163" s="78">
        <v>11.9964199588337</v>
      </c>
      <c r="G1163" s="78">
        <v>11.9964199588337</v>
      </c>
      <c r="H1163" s="81">
        <v>12.209616602066101</v>
      </c>
    </row>
    <row r="1164" spans="1:8" x14ac:dyDescent="0.3">
      <c r="A1164" s="74" t="str">
        <f t="shared" si="18"/>
        <v>山西46284</v>
      </c>
      <c r="B1164" s="75" t="s">
        <v>15</v>
      </c>
      <c r="C1164" s="45">
        <v>46284</v>
      </c>
      <c r="D1164" s="76">
        <v>450.81511874484499</v>
      </c>
      <c r="E1164" s="77">
        <v>125</v>
      </c>
      <c r="F1164" s="78">
        <v>11.9964199588337</v>
      </c>
      <c r="G1164" s="78">
        <v>11.9964199588337</v>
      </c>
      <c r="H1164" s="81">
        <v>12.209616602066101</v>
      </c>
    </row>
    <row r="1165" spans="1:8" x14ac:dyDescent="0.3">
      <c r="A1165" s="74" t="str">
        <f t="shared" si="18"/>
        <v>山西46285</v>
      </c>
      <c r="B1165" s="75" t="s">
        <v>15</v>
      </c>
      <c r="C1165" s="45">
        <v>46285</v>
      </c>
      <c r="D1165" s="76">
        <v>450.81511874484499</v>
      </c>
      <c r="E1165" s="77">
        <v>125</v>
      </c>
      <c r="F1165" s="78">
        <v>11.9964199588337</v>
      </c>
      <c r="G1165" s="78">
        <v>11.9964199588337</v>
      </c>
      <c r="H1165" s="81">
        <v>12.209616602066101</v>
      </c>
    </row>
    <row r="1166" spans="1:8" x14ac:dyDescent="0.3">
      <c r="A1166" s="74" t="str">
        <f t="shared" si="18"/>
        <v>山西46286</v>
      </c>
      <c r="B1166" s="75" t="s">
        <v>15</v>
      </c>
      <c r="C1166" s="45">
        <v>46286</v>
      </c>
      <c r="D1166" s="76">
        <v>450.81511874484499</v>
      </c>
      <c r="E1166" s="77">
        <v>125</v>
      </c>
      <c r="F1166" s="78">
        <v>11.9964199588337</v>
      </c>
      <c r="G1166" s="78">
        <v>11.9964199588337</v>
      </c>
      <c r="H1166" s="81">
        <v>12.209616602066101</v>
      </c>
    </row>
    <row r="1167" spans="1:8" x14ac:dyDescent="0.3">
      <c r="A1167" s="74" t="str">
        <f t="shared" si="18"/>
        <v>山西46287</v>
      </c>
      <c r="B1167" s="75" t="s">
        <v>15</v>
      </c>
      <c r="C1167" s="45">
        <v>46287</v>
      </c>
      <c r="D1167" s="76">
        <v>450.81511874484499</v>
      </c>
      <c r="E1167" s="77">
        <v>125</v>
      </c>
      <c r="F1167" s="78">
        <v>11.9964199588337</v>
      </c>
      <c r="G1167" s="78">
        <v>11.9964199588337</v>
      </c>
      <c r="H1167" s="81">
        <v>12.209616602066101</v>
      </c>
    </row>
    <row r="1168" spans="1:8" x14ac:dyDescent="0.3">
      <c r="A1168" s="74" t="str">
        <f t="shared" si="18"/>
        <v>山西46288</v>
      </c>
      <c r="B1168" s="75" t="s">
        <v>15</v>
      </c>
      <c r="C1168" s="45">
        <v>46288</v>
      </c>
      <c r="D1168" s="76">
        <v>450.81511874484499</v>
      </c>
      <c r="E1168" s="77">
        <v>125</v>
      </c>
      <c r="F1168" s="78">
        <v>11.9964199588337</v>
      </c>
      <c r="G1168" s="78">
        <v>11.9964199588337</v>
      </c>
      <c r="H1168" s="81">
        <v>12.209616602066101</v>
      </c>
    </row>
    <row r="1169" spans="1:8" x14ac:dyDescent="0.3">
      <c r="A1169" s="74" t="str">
        <f t="shared" si="18"/>
        <v>山西46289</v>
      </c>
      <c r="B1169" s="75" t="s">
        <v>15</v>
      </c>
      <c r="C1169" s="45">
        <v>46289</v>
      </c>
      <c r="D1169" s="76">
        <v>450.81511874484499</v>
      </c>
      <c r="E1169" s="77">
        <v>125</v>
      </c>
      <c r="F1169" s="78">
        <v>11.9964199588337</v>
      </c>
      <c r="G1169" s="78">
        <v>11.9964199588337</v>
      </c>
      <c r="H1169" s="81">
        <v>12.209616602066101</v>
      </c>
    </row>
    <row r="1170" spans="1:8" x14ac:dyDescent="0.3">
      <c r="A1170" s="74" t="str">
        <f t="shared" si="18"/>
        <v>山西46290</v>
      </c>
      <c r="B1170" s="75" t="s">
        <v>15</v>
      </c>
      <c r="C1170" s="45">
        <v>46290</v>
      </c>
      <c r="D1170" s="76">
        <v>450.81511874484499</v>
      </c>
      <c r="E1170" s="77">
        <v>125</v>
      </c>
      <c r="F1170" s="78">
        <v>11.9964199588337</v>
      </c>
      <c r="G1170" s="78">
        <v>11.9964199588337</v>
      </c>
      <c r="H1170" s="81">
        <v>12.209616602066101</v>
      </c>
    </row>
    <row r="1171" spans="1:8" x14ac:dyDescent="0.3">
      <c r="A1171" s="74" t="str">
        <f t="shared" si="18"/>
        <v>山西46291</v>
      </c>
      <c r="B1171" s="75" t="s">
        <v>15</v>
      </c>
      <c r="C1171" s="45">
        <v>46291</v>
      </c>
      <c r="D1171" s="76">
        <v>450.81511874484499</v>
      </c>
      <c r="E1171" s="77">
        <v>125</v>
      </c>
      <c r="F1171" s="78">
        <v>11.9964199588337</v>
      </c>
      <c r="G1171" s="78">
        <v>11.9964199588337</v>
      </c>
      <c r="H1171" s="81">
        <v>12.209616602066101</v>
      </c>
    </row>
    <row r="1172" spans="1:8" x14ac:dyDescent="0.3">
      <c r="A1172" s="74" t="str">
        <f t="shared" si="18"/>
        <v>山西46292</v>
      </c>
      <c r="B1172" s="75" t="s">
        <v>15</v>
      </c>
      <c r="C1172" s="45">
        <v>46292</v>
      </c>
      <c r="D1172" s="76">
        <v>450.81511874484499</v>
      </c>
      <c r="E1172" s="77">
        <v>125</v>
      </c>
      <c r="F1172" s="78">
        <v>11.9964199588337</v>
      </c>
      <c r="G1172" s="78">
        <v>11.9964199588337</v>
      </c>
      <c r="H1172" s="81">
        <v>12.209616602066101</v>
      </c>
    </row>
    <row r="1173" spans="1:8" x14ac:dyDescent="0.3">
      <c r="A1173" s="74" t="str">
        <f t="shared" si="18"/>
        <v>山西46293</v>
      </c>
      <c r="B1173" s="75" t="s">
        <v>15</v>
      </c>
      <c r="C1173" s="45">
        <v>46293</v>
      </c>
      <c r="D1173" s="76">
        <v>450.81511874484499</v>
      </c>
      <c r="E1173" s="77">
        <v>125</v>
      </c>
      <c r="F1173" s="78">
        <v>11.9964199588337</v>
      </c>
      <c r="G1173" s="78">
        <v>11.9964199588337</v>
      </c>
      <c r="H1173" s="81">
        <v>12.209616602066101</v>
      </c>
    </row>
    <row r="1174" spans="1:8" x14ac:dyDescent="0.3">
      <c r="A1174" s="74" t="str">
        <f t="shared" si="18"/>
        <v>山西46294</v>
      </c>
      <c r="B1174" s="75" t="s">
        <v>15</v>
      </c>
      <c r="C1174" s="45">
        <v>46294</v>
      </c>
      <c r="D1174" s="76">
        <v>450.81511874484499</v>
      </c>
      <c r="E1174" s="77">
        <v>125</v>
      </c>
      <c r="F1174" s="78">
        <v>11.9964199588337</v>
      </c>
      <c r="G1174" s="78">
        <v>11.9964199588337</v>
      </c>
      <c r="H1174" s="81">
        <v>12.209616602066101</v>
      </c>
    </row>
    <row r="1175" spans="1:8" x14ac:dyDescent="0.3">
      <c r="A1175" s="74" t="str">
        <f t="shared" si="18"/>
        <v>山西46295</v>
      </c>
      <c r="B1175" s="75" t="s">
        <v>15</v>
      </c>
      <c r="C1175" s="45">
        <v>46295</v>
      </c>
      <c r="D1175" s="76">
        <v>450.81511874484499</v>
      </c>
      <c r="E1175" s="77">
        <v>125</v>
      </c>
      <c r="F1175" s="78">
        <v>11.9964199588337</v>
      </c>
      <c r="G1175" s="78">
        <v>11.9964199588337</v>
      </c>
      <c r="H1175" s="81">
        <v>12.209616602066101</v>
      </c>
    </row>
    <row r="1176" spans="1:8" x14ac:dyDescent="0.3">
      <c r="A1176" s="74" t="str">
        <f t="shared" si="18"/>
        <v>山西46296</v>
      </c>
      <c r="B1176" s="75" t="s">
        <v>15</v>
      </c>
      <c r="C1176" s="45">
        <v>46296</v>
      </c>
      <c r="D1176" s="76">
        <v>463.21009797769199</v>
      </c>
      <c r="E1176" s="77">
        <v>125</v>
      </c>
      <c r="F1176" s="78">
        <v>12.201650779104799</v>
      </c>
      <c r="G1176" s="78">
        <v>12.201650779104799</v>
      </c>
      <c r="H1176" s="81">
        <v>12.2824373770287</v>
      </c>
    </row>
    <row r="1177" spans="1:8" x14ac:dyDescent="0.3">
      <c r="A1177" s="74" t="str">
        <f t="shared" si="18"/>
        <v>山西46297</v>
      </c>
      <c r="B1177" s="75" t="s">
        <v>15</v>
      </c>
      <c r="C1177" s="45">
        <v>46297</v>
      </c>
      <c r="D1177" s="76">
        <v>463.21009797769199</v>
      </c>
      <c r="E1177" s="77">
        <v>125</v>
      </c>
      <c r="F1177" s="78">
        <v>12.201650779104799</v>
      </c>
      <c r="G1177" s="78">
        <v>12.201650779104799</v>
      </c>
      <c r="H1177" s="81">
        <v>12.2824373770287</v>
      </c>
    </row>
    <row r="1178" spans="1:8" x14ac:dyDescent="0.3">
      <c r="A1178" s="74" t="str">
        <f t="shared" si="18"/>
        <v>山西46298</v>
      </c>
      <c r="B1178" s="75" t="s">
        <v>15</v>
      </c>
      <c r="C1178" s="45">
        <v>46298</v>
      </c>
      <c r="D1178" s="76">
        <v>463.21009797769199</v>
      </c>
      <c r="E1178" s="77">
        <v>125</v>
      </c>
      <c r="F1178" s="78">
        <v>12.201650779104799</v>
      </c>
      <c r="G1178" s="78">
        <v>12.201650779104799</v>
      </c>
      <c r="H1178" s="81">
        <v>12.2824373770287</v>
      </c>
    </row>
    <row r="1179" spans="1:8" x14ac:dyDescent="0.3">
      <c r="A1179" s="74" t="str">
        <f t="shared" si="18"/>
        <v>山西46299</v>
      </c>
      <c r="B1179" s="75" t="s">
        <v>15</v>
      </c>
      <c r="C1179" s="45">
        <v>46299</v>
      </c>
      <c r="D1179" s="76">
        <v>463.21009797769199</v>
      </c>
      <c r="E1179" s="77">
        <v>125</v>
      </c>
      <c r="F1179" s="78">
        <v>12.201650779104799</v>
      </c>
      <c r="G1179" s="78">
        <v>12.201650779104799</v>
      </c>
      <c r="H1179" s="81">
        <v>12.2824373770287</v>
      </c>
    </row>
    <row r="1180" spans="1:8" x14ac:dyDescent="0.3">
      <c r="A1180" s="74" t="str">
        <f t="shared" si="18"/>
        <v>山西46300</v>
      </c>
      <c r="B1180" s="75" t="s">
        <v>15</v>
      </c>
      <c r="C1180" s="45">
        <v>46300</v>
      </c>
      <c r="D1180" s="76">
        <v>463.21009797769199</v>
      </c>
      <c r="E1180" s="77">
        <v>125</v>
      </c>
      <c r="F1180" s="78">
        <v>12.201650779104799</v>
      </c>
      <c r="G1180" s="78">
        <v>12.201650779104799</v>
      </c>
      <c r="H1180" s="81">
        <v>12.2824373770287</v>
      </c>
    </row>
    <row r="1181" spans="1:8" x14ac:dyDescent="0.3">
      <c r="A1181" s="74" t="str">
        <f t="shared" si="18"/>
        <v>山西46301</v>
      </c>
      <c r="B1181" s="75" t="s">
        <v>15</v>
      </c>
      <c r="C1181" s="45">
        <v>46301</v>
      </c>
      <c r="D1181" s="76">
        <v>463.21009797769199</v>
      </c>
      <c r="E1181" s="77">
        <v>125</v>
      </c>
      <c r="F1181" s="78">
        <v>12.201650779104799</v>
      </c>
      <c r="G1181" s="78">
        <v>12.201650779104799</v>
      </c>
      <c r="H1181" s="81">
        <v>12.2824373770287</v>
      </c>
    </row>
    <row r="1182" spans="1:8" x14ac:dyDescent="0.3">
      <c r="A1182" s="74" t="str">
        <f t="shared" si="18"/>
        <v>山西46302</v>
      </c>
      <c r="B1182" s="75" t="s">
        <v>15</v>
      </c>
      <c r="C1182" s="45">
        <v>46302</v>
      </c>
      <c r="D1182" s="76">
        <v>463.21009797769199</v>
      </c>
      <c r="E1182" s="77">
        <v>125</v>
      </c>
      <c r="F1182" s="78">
        <v>12.201650779104799</v>
      </c>
      <c r="G1182" s="78">
        <v>12.201650779104799</v>
      </c>
      <c r="H1182" s="81">
        <v>12.2824373770287</v>
      </c>
    </row>
    <row r="1183" spans="1:8" x14ac:dyDescent="0.3">
      <c r="A1183" s="74" t="str">
        <f t="shared" si="18"/>
        <v>山西46303</v>
      </c>
      <c r="B1183" s="75" t="s">
        <v>15</v>
      </c>
      <c r="C1183" s="45">
        <v>46303</v>
      </c>
      <c r="D1183" s="76">
        <v>463.21009797769199</v>
      </c>
      <c r="E1183" s="77">
        <v>125</v>
      </c>
      <c r="F1183" s="78">
        <v>12.201650779104799</v>
      </c>
      <c r="G1183" s="78">
        <v>12.201650779104799</v>
      </c>
      <c r="H1183" s="81">
        <v>12.2824373770287</v>
      </c>
    </row>
    <row r="1184" spans="1:8" x14ac:dyDescent="0.3">
      <c r="A1184" s="74" t="str">
        <f t="shared" si="18"/>
        <v>山西46304</v>
      </c>
      <c r="B1184" s="75" t="s">
        <v>15</v>
      </c>
      <c r="C1184" s="45">
        <v>46304</v>
      </c>
      <c r="D1184" s="76">
        <v>463.21009797769199</v>
      </c>
      <c r="E1184" s="77">
        <v>125</v>
      </c>
      <c r="F1184" s="78">
        <v>12.201650779104799</v>
      </c>
      <c r="G1184" s="78">
        <v>12.201650779104799</v>
      </c>
      <c r="H1184" s="81">
        <v>12.2824373770287</v>
      </c>
    </row>
    <row r="1185" spans="1:8" x14ac:dyDescent="0.3">
      <c r="A1185" s="74" t="str">
        <f t="shared" si="18"/>
        <v>山西46305</v>
      </c>
      <c r="B1185" s="75" t="s">
        <v>15</v>
      </c>
      <c r="C1185" s="45">
        <v>46305</v>
      </c>
      <c r="D1185" s="76">
        <v>463.21009797769199</v>
      </c>
      <c r="E1185" s="77">
        <v>125</v>
      </c>
      <c r="F1185" s="78">
        <v>12.201650779104799</v>
      </c>
      <c r="G1185" s="78">
        <v>12.201650779104799</v>
      </c>
      <c r="H1185" s="81">
        <v>12.2824373770287</v>
      </c>
    </row>
    <row r="1186" spans="1:8" x14ac:dyDescent="0.3">
      <c r="A1186" s="74" t="str">
        <f t="shared" si="18"/>
        <v>山西46306</v>
      </c>
      <c r="B1186" s="75" t="s">
        <v>15</v>
      </c>
      <c r="C1186" s="45">
        <v>46306</v>
      </c>
      <c r="D1186" s="76">
        <v>463.21009797769199</v>
      </c>
      <c r="E1186" s="77">
        <v>125</v>
      </c>
      <c r="F1186" s="78">
        <v>12.201650779104799</v>
      </c>
      <c r="G1186" s="78">
        <v>12.201650779104799</v>
      </c>
      <c r="H1186" s="81">
        <v>12.2824373770287</v>
      </c>
    </row>
    <row r="1187" spans="1:8" x14ac:dyDescent="0.3">
      <c r="A1187" s="74" t="str">
        <f t="shared" si="18"/>
        <v>山西46307</v>
      </c>
      <c r="B1187" s="75" t="s">
        <v>15</v>
      </c>
      <c r="C1187" s="45">
        <v>46307</v>
      </c>
      <c r="D1187" s="76">
        <v>463.21009797769199</v>
      </c>
      <c r="E1187" s="77">
        <v>125</v>
      </c>
      <c r="F1187" s="78">
        <v>12.201650779104799</v>
      </c>
      <c r="G1187" s="78">
        <v>12.201650779104799</v>
      </c>
      <c r="H1187" s="81">
        <v>12.2824373770287</v>
      </c>
    </row>
    <row r="1188" spans="1:8" x14ac:dyDescent="0.3">
      <c r="A1188" s="74" t="str">
        <f t="shared" si="18"/>
        <v>山西46308</v>
      </c>
      <c r="B1188" s="75" t="s">
        <v>15</v>
      </c>
      <c r="C1188" s="45">
        <v>46308</v>
      </c>
      <c r="D1188" s="76">
        <v>463.21009797769199</v>
      </c>
      <c r="E1188" s="77">
        <v>125</v>
      </c>
      <c r="F1188" s="78">
        <v>12.201650779104799</v>
      </c>
      <c r="G1188" s="78">
        <v>12.201650779104799</v>
      </c>
      <c r="H1188" s="81">
        <v>12.2824373770287</v>
      </c>
    </row>
    <row r="1189" spans="1:8" x14ac:dyDescent="0.3">
      <c r="A1189" s="74" t="str">
        <f t="shared" si="18"/>
        <v>山西46309</v>
      </c>
      <c r="B1189" s="75" t="s">
        <v>15</v>
      </c>
      <c r="C1189" s="45">
        <v>46309</v>
      </c>
      <c r="D1189" s="76">
        <v>463.21009797769199</v>
      </c>
      <c r="E1189" s="77">
        <v>125</v>
      </c>
      <c r="F1189" s="78">
        <v>12.201650779104799</v>
      </c>
      <c r="G1189" s="78">
        <v>12.201650779104799</v>
      </c>
      <c r="H1189" s="81">
        <v>12.2824373770287</v>
      </c>
    </row>
    <row r="1190" spans="1:8" x14ac:dyDescent="0.3">
      <c r="A1190" s="74" t="str">
        <f t="shared" si="18"/>
        <v>山西46310</v>
      </c>
      <c r="B1190" s="75" t="s">
        <v>15</v>
      </c>
      <c r="C1190" s="45">
        <v>46310</v>
      </c>
      <c r="D1190" s="76">
        <v>463.21009797769199</v>
      </c>
      <c r="E1190" s="77">
        <v>125</v>
      </c>
      <c r="F1190" s="78">
        <v>12.201650779104799</v>
      </c>
      <c r="G1190" s="78">
        <v>12.201650779104799</v>
      </c>
      <c r="H1190" s="81">
        <v>12.2824373770287</v>
      </c>
    </row>
    <row r="1191" spans="1:8" x14ac:dyDescent="0.3">
      <c r="A1191" s="74" t="str">
        <f t="shared" si="18"/>
        <v>山西46311</v>
      </c>
      <c r="B1191" s="75" t="s">
        <v>15</v>
      </c>
      <c r="C1191" s="45">
        <v>46311</v>
      </c>
      <c r="D1191" s="76">
        <v>463.21009797769199</v>
      </c>
      <c r="E1191" s="77">
        <v>125</v>
      </c>
      <c r="F1191" s="78">
        <v>12.201650779104799</v>
      </c>
      <c r="G1191" s="78">
        <v>12.201650779104799</v>
      </c>
      <c r="H1191" s="81">
        <v>12.2824373770287</v>
      </c>
    </row>
    <row r="1192" spans="1:8" x14ac:dyDescent="0.3">
      <c r="A1192" s="74" t="str">
        <f t="shared" si="18"/>
        <v>山西46312</v>
      </c>
      <c r="B1192" s="75" t="s">
        <v>15</v>
      </c>
      <c r="C1192" s="45">
        <v>46312</v>
      </c>
      <c r="D1192" s="76">
        <v>463.21009797769199</v>
      </c>
      <c r="E1192" s="77">
        <v>125</v>
      </c>
      <c r="F1192" s="78">
        <v>12.201650779104799</v>
      </c>
      <c r="G1192" s="78">
        <v>12.201650779104799</v>
      </c>
      <c r="H1192" s="81">
        <v>12.2824373770287</v>
      </c>
    </row>
    <row r="1193" spans="1:8" x14ac:dyDescent="0.3">
      <c r="A1193" s="74" t="str">
        <f t="shared" si="18"/>
        <v>山西46313</v>
      </c>
      <c r="B1193" s="75" t="s">
        <v>15</v>
      </c>
      <c r="C1193" s="45">
        <v>46313</v>
      </c>
      <c r="D1193" s="76">
        <v>463.21009797769199</v>
      </c>
      <c r="E1193" s="77">
        <v>125</v>
      </c>
      <c r="F1193" s="78">
        <v>12.201650779104799</v>
      </c>
      <c r="G1193" s="78">
        <v>12.201650779104799</v>
      </c>
      <c r="H1193" s="81">
        <v>12.2824373770287</v>
      </c>
    </row>
    <row r="1194" spans="1:8" x14ac:dyDescent="0.3">
      <c r="A1194" s="74" t="str">
        <f t="shared" si="18"/>
        <v>山西46314</v>
      </c>
      <c r="B1194" s="75" t="s">
        <v>15</v>
      </c>
      <c r="C1194" s="45">
        <v>46314</v>
      </c>
      <c r="D1194" s="76">
        <v>463.21009797769199</v>
      </c>
      <c r="E1194" s="77">
        <v>125</v>
      </c>
      <c r="F1194" s="78">
        <v>12.201650779104799</v>
      </c>
      <c r="G1194" s="78">
        <v>12.201650779104799</v>
      </c>
      <c r="H1194" s="81">
        <v>12.2824373770287</v>
      </c>
    </row>
    <row r="1195" spans="1:8" x14ac:dyDescent="0.3">
      <c r="A1195" s="74" t="str">
        <f t="shared" si="18"/>
        <v>山西46315</v>
      </c>
      <c r="B1195" s="75" t="s">
        <v>15</v>
      </c>
      <c r="C1195" s="45">
        <v>46315</v>
      </c>
      <c r="D1195" s="76">
        <v>463.21009797769199</v>
      </c>
      <c r="E1195" s="77">
        <v>125</v>
      </c>
      <c r="F1195" s="78">
        <v>12.201650779104799</v>
      </c>
      <c r="G1195" s="78">
        <v>12.201650779104799</v>
      </c>
      <c r="H1195" s="81">
        <v>12.2824373770287</v>
      </c>
    </row>
    <row r="1196" spans="1:8" x14ac:dyDescent="0.3">
      <c r="A1196" s="74" t="str">
        <f t="shared" si="18"/>
        <v>山西46316</v>
      </c>
      <c r="B1196" s="75" t="s">
        <v>15</v>
      </c>
      <c r="C1196" s="45">
        <v>46316</v>
      </c>
      <c r="D1196" s="76">
        <v>463.21009797769199</v>
      </c>
      <c r="E1196" s="77">
        <v>125</v>
      </c>
      <c r="F1196" s="78">
        <v>12.201650779104799</v>
      </c>
      <c r="G1196" s="78">
        <v>12.201650779104799</v>
      </c>
      <c r="H1196" s="81">
        <v>12.2824373770287</v>
      </c>
    </row>
    <row r="1197" spans="1:8" x14ac:dyDescent="0.3">
      <c r="A1197" s="74" t="str">
        <f t="shared" si="18"/>
        <v>山西46317</v>
      </c>
      <c r="B1197" s="75" t="s">
        <v>15</v>
      </c>
      <c r="C1197" s="45">
        <v>46317</v>
      </c>
      <c r="D1197" s="76">
        <v>463.21009797769199</v>
      </c>
      <c r="E1197" s="77">
        <v>125</v>
      </c>
      <c r="F1197" s="78">
        <v>12.201650779104799</v>
      </c>
      <c r="G1197" s="78">
        <v>12.201650779104799</v>
      </c>
      <c r="H1197" s="81">
        <v>12.2824373770287</v>
      </c>
    </row>
    <row r="1198" spans="1:8" x14ac:dyDescent="0.3">
      <c r="A1198" s="74" t="str">
        <f t="shared" si="18"/>
        <v>山西46318</v>
      </c>
      <c r="B1198" s="75" t="s">
        <v>15</v>
      </c>
      <c r="C1198" s="45">
        <v>46318</v>
      </c>
      <c r="D1198" s="76">
        <v>463.21009797769199</v>
      </c>
      <c r="E1198" s="77">
        <v>125</v>
      </c>
      <c r="F1198" s="78">
        <v>12.201650779104799</v>
      </c>
      <c r="G1198" s="78">
        <v>12.201650779104799</v>
      </c>
      <c r="H1198" s="81">
        <v>12.2824373770287</v>
      </c>
    </row>
    <row r="1199" spans="1:8" x14ac:dyDescent="0.3">
      <c r="A1199" s="74" t="str">
        <f t="shared" si="18"/>
        <v>山西46319</v>
      </c>
      <c r="B1199" s="75" t="s">
        <v>15</v>
      </c>
      <c r="C1199" s="45">
        <v>46319</v>
      </c>
      <c r="D1199" s="76">
        <v>463.21009797769199</v>
      </c>
      <c r="E1199" s="77">
        <v>125</v>
      </c>
      <c r="F1199" s="78">
        <v>12.201650779104799</v>
      </c>
      <c r="G1199" s="78">
        <v>12.201650779104799</v>
      </c>
      <c r="H1199" s="81">
        <v>12.2824373770287</v>
      </c>
    </row>
    <row r="1200" spans="1:8" x14ac:dyDescent="0.3">
      <c r="A1200" s="74" t="str">
        <f t="shared" si="18"/>
        <v>山西46320</v>
      </c>
      <c r="B1200" s="75" t="s">
        <v>15</v>
      </c>
      <c r="C1200" s="45">
        <v>46320</v>
      </c>
      <c r="D1200" s="76">
        <v>463.21009797769199</v>
      </c>
      <c r="E1200" s="77">
        <v>125</v>
      </c>
      <c r="F1200" s="78">
        <v>12.201650779104799</v>
      </c>
      <c r="G1200" s="78">
        <v>12.201650779104799</v>
      </c>
      <c r="H1200" s="81">
        <v>12.2824373770287</v>
      </c>
    </row>
    <row r="1201" spans="1:8" x14ac:dyDescent="0.3">
      <c r="A1201" s="74" t="str">
        <f t="shared" si="18"/>
        <v>山西46321</v>
      </c>
      <c r="B1201" s="75" t="s">
        <v>15</v>
      </c>
      <c r="C1201" s="45">
        <v>46321</v>
      </c>
      <c r="D1201" s="76">
        <v>463.21009797769199</v>
      </c>
      <c r="E1201" s="77">
        <v>125</v>
      </c>
      <c r="F1201" s="78">
        <v>12.201650779104799</v>
      </c>
      <c r="G1201" s="78">
        <v>12.201650779104799</v>
      </c>
      <c r="H1201" s="81">
        <v>12.2824373770287</v>
      </c>
    </row>
    <row r="1202" spans="1:8" x14ac:dyDescent="0.3">
      <c r="A1202" s="74" t="str">
        <f t="shared" si="18"/>
        <v>山西46322</v>
      </c>
      <c r="B1202" s="75" t="s">
        <v>15</v>
      </c>
      <c r="C1202" s="45">
        <v>46322</v>
      </c>
      <c r="D1202" s="76">
        <v>463.21009797769199</v>
      </c>
      <c r="E1202" s="77">
        <v>125</v>
      </c>
      <c r="F1202" s="78">
        <v>12.201650779104799</v>
      </c>
      <c r="G1202" s="78">
        <v>12.201650779104799</v>
      </c>
      <c r="H1202" s="81">
        <v>12.2824373770287</v>
      </c>
    </row>
    <row r="1203" spans="1:8" x14ac:dyDescent="0.3">
      <c r="A1203" s="74" t="str">
        <f t="shared" si="18"/>
        <v>山西46323</v>
      </c>
      <c r="B1203" s="75" t="s">
        <v>15</v>
      </c>
      <c r="C1203" s="45">
        <v>46323</v>
      </c>
      <c r="D1203" s="76">
        <v>463.21009797769199</v>
      </c>
      <c r="E1203" s="77">
        <v>125</v>
      </c>
      <c r="F1203" s="78">
        <v>12.201650779104799</v>
      </c>
      <c r="G1203" s="78">
        <v>12.201650779104799</v>
      </c>
      <c r="H1203" s="81">
        <v>12.2824373770287</v>
      </c>
    </row>
    <row r="1204" spans="1:8" x14ac:dyDescent="0.3">
      <c r="A1204" s="74" t="str">
        <f t="shared" si="18"/>
        <v>山西46324</v>
      </c>
      <c r="B1204" s="75" t="s">
        <v>15</v>
      </c>
      <c r="C1204" s="45">
        <v>46324</v>
      </c>
      <c r="D1204" s="76">
        <v>463.21009797769199</v>
      </c>
      <c r="E1204" s="77">
        <v>125</v>
      </c>
      <c r="F1204" s="78">
        <v>12.201650779104799</v>
      </c>
      <c r="G1204" s="78">
        <v>12.201650779104799</v>
      </c>
      <c r="H1204" s="81">
        <v>12.2824373770287</v>
      </c>
    </row>
    <row r="1205" spans="1:8" x14ac:dyDescent="0.3">
      <c r="A1205" s="74" t="str">
        <f t="shared" si="18"/>
        <v>山西46325</v>
      </c>
      <c r="B1205" s="75" t="s">
        <v>15</v>
      </c>
      <c r="C1205" s="45">
        <v>46325</v>
      </c>
      <c r="D1205" s="76">
        <v>463.21009797769199</v>
      </c>
      <c r="E1205" s="77">
        <v>125</v>
      </c>
      <c r="F1205" s="78">
        <v>12.201650779104799</v>
      </c>
      <c r="G1205" s="78">
        <v>12.201650779104799</v>
      </c>
      <c r="H1205" s="81">
        <v>12.2824373770287</v>
      </c>
    </row>
    <row r="1206" spans="1:8" x14ac:dyDescent="0.3">
      <c r="A1206" s="74" t="str">
        <f t="shared" si="18"/>
        <v>山西46326</v>
      </c>
      <c r="B1206" s="75" t="s">
        <v>15</v>
      </c>
      <c r="C1206" s="45">
        <v>46326</v>
      </c>
      <c r="D1206" s="76">
        <v>463.21009797769199</v>
      </c>
      <c r="E1206" s="77">
        <v>125</v>
      </c>
      <c r="F1206" s="78">
        <v>12.201650779104799</v>
      </c>
      <c r="G1206" s="78">
        <v>12.201650779104799</v>
      </c>
      <c r="H1206" s="81">
        <v>12.2824373770287</v>
      </c>
    </row>
    <row r="1207" spans="1:8" x14ac:dyDescent="0.3">
      <c r="A1207" s="74" t="str">
        <f t="shared" si="18"/>
        <v>山西46327</v>
      </c>
      <c r="B1207" s="75" t="s">
        <v>15</v>
      </c>
      <c r="C1207" s="45">
        <v>46327</v>
      </c>
      <c r="D1207" s="76">
        <v>446.10359891788801</v>
      </c>
      <c r="E1207" s="77">
        <v>125</v>
      </c>
      <c r="F1207" s="78">
        <v>12.484562035869001</v>
      </c>
      <c r="G1207" s="78">
        <v>12.484562035869001</v>
      </c>
      <c r="H1207" s="81">
        <v>12.355258151991301</v>
      </c>
    </row>
    <row r="1208" spans="1:8" x14ac:dyDescent="0.3">
      <c r="A1208" s="74" t="str">
        <f t="shared" si="18"/>
        <v>山西46328</v>
      </c>
      <c r="B1208" s="75" t="s">
        <v>15</v>
      </c>
      <c r="C1208" s="45">
        <v>46328</v>
      </c>
      <c r="D1208" s="76">
        <v>446.10359891788801</v>
      </c>
      <c r="E1208" s="77">
        <v>125</v>
      </c>
      <c r="F1208" s="78">
        <v>12.484562035869001</v>
      </c>
      <c r="G1208" s="78">
        <v>12.484562035869001</v>
      </c>
      <c r="H1208" s="81">
        <v>12.355258151991301</v>
      </c>
    </row>
    <row r="1209" spans="1:8" x14ac:dyDescent="0.3">
      <c r="A1209" s="74" t="str">
        <f t="shared" si="18"/>
        <v>山西46329</v>
      </c>
      <c r="B1209" s="75" t="s">
        <v>15</v>
      </c>
      <c r="C1209" s="45">
        <v>46329</v>
      </c>
      <c r="D1209" s="76">
        <v>446.10359891788801</v>
      </c>
      <c r="E1209" s="77">
        <v>125</v>
      </c>
      <c r="F1209" s="78">
        <v>12.484562035869001</v>
      </c>
      <c r="G1209" s="78">
        <v>12.484562035869001</v>
      </c>
      <c r="H1209" s="81">
        <v>12.355258151991301</v>
      </c>
    </row>
    <row r="1210" spans="1:8" x14ac:dyDescent="0.3">
      <c r="A1210" s="74" t="str">
        <f t="shared" si="18"/>
        <v>山西46330</v>
      </c>
      <c r="B1210" s="75" t="s">
        <v>15</v>
      </c>
      <c r="C1210" s="45">
        <v>46330</v>
      </c>
      <c r="D1210" s="76">
        <v>446.10359891788801</v>
      </c>
      <c r="E1210" s="77">
        <v>125</v>
      </c>
      <c r="F1210" s="78">
        <v>12.484562035869001</v>
      </c>
      <c r="G1210" s="78">
        <v>12.484562035869001</v>
      </c>
      <c r="H1210" s="81">
        <v>12.355258151991301</v>
      </c>
    </row>
    <row r="1211" spans="1:8" x14ac:dyDescent="0.3">
      <c r="A1211" s="74" t="str">
        <f t="shared" si="18"/>
        <v>山西46331</v>
      </c>
      <c r="B1211" s="75" t="s">
        <v>15</v>
      </c>
      <c r="C1211" s="45">
        <v>46331</v>
      </c>
      <c r="D1211" s="76">
        <v>446.10359891788801</v>
      </c>
      <c r="E1211" s="77">
        <v>125</v>
      </c>
      <c r="F1211" s="78">
        <v>12.484562035869001</v>
      </c>
      <c r="G1211" s="78">
        <v>12.484562035869001</v>
      </c>
      <c r="H1211" s="81">
        <v>12.355258151991301</v>
      </c>
    </row>
    <row r="1212" spans="1:8" x14ac:dyDescent="0.3">
      <c r="A1212" s="74" t="str">
        <f t="shared" si="18"/>
        <v>山西46332</v>
      </c>
      <c r="B1212" s="75" t="s">
        <v>15</v>
      </c>
      <c r="C1212" s="45">
        <v>46332</v>
      </c>
      <c r="D1212" s="76">
        <v>446.10359891788801</v>
      </c>
      <c r="E1212" s="77">
        <v>125</v>
      </c>
      <c r="F1212" s="78">
        <v>12.484562035869001</v>
      </c>
      <c r="G1212" s="78">
        <v>12.484562035869001</v>
      </c>
      <c r="H1212" s="81">
        <v>12.355258151991301</v>
      </c>
    </row>
    <row r="1213" spans="1:8" x14ac:dyDescent="0.3">
      <c r="A1213" s="74" t="str">
        <f t="shared" si="18"/>
        <v>山西46333</v>
      </c>
      <c r="B1213" s="75" t="s">
        <v>15</v>
      </c>
      <c r="C1213" s="45">
        <v>46333</v>
      </c>
      <c r="D1213" s="76">
        <v>446.10359891788801</v>
      </c>
      <c r="E1213" s="77">
        <v>125</v>
      </c>
      <c r="F1213" s="78">
        <v>12.484562035869001</v>
      </c>
      <c r="G1213" s="78">
        <v>12.484562035869001</v>
      </c>
      <c r="H1213" s="81">
        <v>12.355258151991301</v>
      </c>
    </row>
    <row r="1214" spans="1:8" x14ac:dyDescent="0.3">
      <c r="A1214" s="74" t="str">
        <f t="shared" si="18"/>
        <v>山西46334</v>
      </c>
      <c r="B1214" s="75" t="s">
        <v>15</v>
      </c>
      <c r="C1214" s="45">
        <v>46334</v>
      </c>
      <c r="D1214" s="76">
        <v>446.10359891788801</v>
      </c>
      <c r="E1214" s="77">
        <v>125</v>
      </c>
      <c r="F1214" s="78">
        <v>12.484562035869001</v>
      </c>
      <c r="G1214" s="78">
        <v>12.484562035869001</v>
      </c>
      <c r="H1214" s="81">
        <v>12.355258151991301</v>
      </c>
    </row>
    <row r="1215" spans="1:8" x14ac:dyDescent="0.3">
      <c r="A1215" s="74" t="str">
        <f t="shared" si="18"/>
        <v>山西46335</v>
      </c>
      <c r="B1215" s="75" t="s">
        <v>15</v>
      </c>
      <c r="C1215" s="45">
        <v>46335</v>
      </c>
      <c r="D1215" s="76">
        <v>446.10359891788801</v>
      </c>
      <c r="E1215" s="77">
        <v>125</v>
      </c>
      <c r="F1215" s="78">
        <v>12.484562035869001</v>
      </c>
      <c r="G1215" s="78">
        <v>12.484562035869001</v>
      </c>
      <c r="H1215" s="81">
        <v>12.355258151991301</v>
      </c>
    </row>
    <row r="1216" spans="1:8" x14ac:dyDescent="0.3">
      <c r="A1216" s="74" t="str">
        <f t="shared" si="18"/>
        <v>山西46336</v>
      </c>
      <c r="B1216" s="75" t="s">
        <v>15</v>
      </c>
      <c r="C1216" s="45">
        <v>46336</v>
      </c>
      <c r="D1216" s="76">
        <v>446.10359891788801</v>
      </c>
      <c r="E1216" s="77">
        <v>125</v>
      </c>
      <c r="F1216" s="78">
        <v>12.484562035869001</v>
      </c>
      <c r="G1216" s="78">
        <v>12.484562035869001</v>
      </c>
      <c r="H1216" s="81">
        <v>12.355258151991301</v>
      </c>
    </row>
    <row r="1217" spans="1:8" x14ac:dyDescent="0.3">
      <c r="A1217" s="74" t="str">
        <f t="shared" si="18"/>
        <v>山西46337</v>
      </c>
      <c r="B1217" s="75" t="s">
        <v>15</v>
      </c>
      <c r="C1217" s="45">
        <v>46337</v>
      </c>
      <c r="D1217" s="76">
        <v>446.10359891788801</v>
      </c>
      <c r="E1217" s="77">
        <v>125</v>
      </c>
      <c r="F1217" s="78">
        <v>12.484562035869001</v>
      </c>
      <c r="G1217" s="78">
        <v>12.484562035869001</v>
      </c>
      <c r="H1217" s="81">
        <v>12.355258151991301</v>
      </c>
    </row>
    <row r="1218" spans="1:8" x14ac:dyDescent="0.3">
      <c r="A1218" s="74" t="str">
        <f t="shared" si="18"/>
        <v>山西46338</v>
      </c>
      <c r="B1218" s="75" t="s">
        <v>15</v>
      </c>
      <c r="C1218" s="45">
        <v>46338</v>
      </c>
      <c r="D1218" s="76">
        <v>446.10359891788801</v>
      </c>
      <c r="E1218" s="77">
        <v>125</v>
      </c>
      <c r="F1218" s="78">
        <v>12.484562035869001</v>
      </c>
      <c r="G1218" s="78">
        <v>12.484562035869001</v>
      </c>
      <c r="H1218" s="81">
        <v>12.355258151991301</v>
      </c>
    </row>
    <row r="1219" spans="1:8" x14ac:dyDescent="0.3">
      <c r="A1219" s="74" t="str">
        <f t="shared" ref="A1219:A1282" si="19">B1219&amp;C1219</f>
        <v>山西46339</v>
      </c>
      <c r="B1219" s="75" t="s">
        <v>15</v>
      </c>
      <c r="C1219" s="45">
        <v>46339</v>
      </c>
      <c r="D1219" s="76">
        <v>446.10359891788801</v>
      </c>
      <c r="E1219" s="77">
        <v>125</v>
      </c>
      <c r="F1219" s="78">
        <v>12.484562035869001</v>
      </c>
      <c r="G1219" s="78">
        <v>12.484562035869001</v>
      </c>
      <c r="H1219" s="81">
        <v>12.355258151991301</v>
      </c>
    </row>
    <row r="1220" spans="1:8" x14ac:dyDescent="0.3">
      <c r="A1220" s="74" t="str">
        <f t="shared" si="19"/>
        <v>山西46340</v>
      </c>
      <c r="B1220" s="75" t="s">
        <v>15</v>
      </c>
      <c r="C1220" s="45">
        <v>46340</v>
      </c>
      <c r="D1220" s="76">
        <v>446.10359891788801</v>
      </c>
      <c r="E1220" s="77">
        <v>125</v>
      </c>
      <c r="F1220" s="78">
        <v>12.484562035869001</v>
      </c>
      <c r="G1220" s="78">
        <v>12.484562035869001</v>
      </c>
      <c r="H1220" s="81">
        <v>12.355258151991301</v>
      </c>
    </row>
    <row r="1221" spans="1:8" x14ac:dyDescent="0.3">
      <c r="A1221" s="74" t="str">
        <f t="shared" si="19"/>
        <v>山西46341</v>
      </c>
      <c r="B1221" s="75" t="s">
        <v>15</v>
      </c>
      <c r="C1221" s="45">
        <v>46341</v>
      </c>
      <c r="D1221" s="76">
        <v>446.10359891788801</v>
      </c>
      <c r="E1221" s="77">
        <v>125</v>
      </c>
      <c r="F1221" s="78">
        <v>12.484562035869001</v>
      </c>
      <c r="G1221" s="78">
        <v>12.484562035869001</v>
      </c>
      <c r="H1221" s="81">
        <v>12.355258151991301</v>
      </c>
    </row>
    <row r="1222" spans="1:8" x14ac:dyDescent="0.3">
      <c r="A1222" s="74" t="str">
        <f t="shared" si="19"/>
        <v>山西46342</v>
      </c>
      <c r="B1222" s="75" t="s">
        <v>15</v>
      </c>
      <c r="C1222" s="45">
        <v>46342</v>
      </c>
      <c r="D1222" s="76">
        <v>446.10359891788801</v>
      </c>
      <c r="E1222" s="77">
        <v>125</v>
      </c>
      <c r="F1222" s="78">
        <v>12.484562035869001</v>
      </c>
      <c r="G1222" s="78">
        <v>12.484562035869001</v>
      </c>
      <c r="H1222" s="81">
        <v>12.355258151991301</v>
      </c>
    </row>
    <row r="1223" spans="1:8" x14ac:dyDescent="0.3">
      <c r="A1223" s="74" t="str">
        <f t="shared" si="19"/>
        <v>山西46343</v>
      </c>
      <c r="B1223" s="75" t="s">
        <v>15</v>
      </c>
      <c r="C1223" s="45">
        <v>46343</v>
      </c>
      <c r="D1223" s="76">
        <v>446.10359891788801</v>
      </c>
      <c r="E1223" s="77">
        <v>125</v>
      </c>
      <c r="F1223" s="78">
        <v>12.484562035869001</v>
      </c>
      <c r="G1223" s="78">
        <v>12.484562035869001</v>
      </c>
      <c r="H1223" s="81">
        <v>12.355258151991301</v>
      </c>
    </row>
    <row r="1224" spans="1:8" x14ac:dyDescent="0.3">
      <c r="A1224" s="74" t="str">
        <f t="shared" si="19"/>
        <v>山西46344</v>
      </c>
      <c r="B1224" s="75" t="s">
        <v>15</v>
      </c>
      <c r="C1224" s="45">
        <v>46344</v>
      </c>
      <c r="D1224" s="76">
        <v>446.10359891788801</v>
      </c>
      <c r="E1224" s="77">
        <v>125</v>
      </c>
      <c r="F1224" s="78">
        <v>12.484562035869001</v>
      </c>
      <c r="G1224" s="78">
        <v>12.484562035869001</v>
      </c>
      <c r="H1224" s="81">
        <v>12.355258151991301</v>
      </c>
    </row>
    <row r="1225" spans="1:8" x14ac:dyDescent="0.3">
      <c r="A1225" s="74" t="str">
        <f t="shared" si="19"/>
        <v>山西46345</v>
      </c>
      <c r="B1225" s="75" t="s">
        <v>15</v>
      </c>
      <c r="C1225" s="45">
        <v>46345</v>
      </c>
      <c r="D1225" s="76">
        <v>446.10359891788801</v>
      </c>
      <c r="E1225" s="77">
        <v>125</v>
      </c>
      <c r="F1225" s="78">
        <v>12.484562035869001</v>
      </c>
      <c r="G1225" s="78">
        <v>12.484562035869001</v>
      </c>
      <c r="H1225" s="81">
        <v>12.355258151991301</v>
      </c>
    </row>
    <row r="1226" spans="1:8" x14ac:dyDescent="0.3">
      <c r="A1226" s="74" t="str">
        <f t="shared" si="19"/>
        <v>山西46346</v>
      </c>
      <c r="B1226" s="75" t="s">
        <v>15</v>
      </c>
      <c r="C1226" s="45">
        <v>46346</v>
      </c>
      <c r="D1226" s="76">
        <v>446.10359891788801</v>
      </c>
      <c r="E1226" s="77">
        <v>125</v>
      </c>
      <c r="F1226" s="78">
        <v>12.484562035869001</v>
      </c>
      <c r="G1226" s="78">
        <v>12.484562035869001</v>
      </c>
      <c r="H1226" s="81">
        <v>12.355258151991301</v>
      </c>
    </row>
    <row r="1227" spans="1:8" x14ac:dyDescent="0.3">
      <c r="A1227" s="74" t="str">
        <f t="shared" si="19"/>
        <v>山西46347</v>
      </c>
      <c r="B1227" s="75" t="s">
        <v>15</v>
      </c>
      <c r="C1227" s="45">
        <v>46347</v>
      </c>
      <c r="D1227" s="76">
        <v>446.10359891788801</v>
      </c>
      <c r="E1227" s="77">
        <v>125</v>
      </c>
      <c r="F1227" s="78">
        <v>12.484562035869001</v>
      </c>
      <c r="G1227" s="78">
        <v>12.484562035869001</v>
      </c>
      <c r="H1227" s="81">
        <v>12.355258151991301</v>
      </c>
    </row>
    <row r="1228" spans="1:8" x14ac:dyDescent="0.3">
      <c r="A1228" s="74" t="str">
        <f t="shared" si="19"/>
        <v>山西46348</v>
      </c>
      <c r="B1228" s="75" t="s">
        <v>15</v>
      </c>
      <c r="C1228" s="45">
        <v>46348</v>
      </c>
      <c r="D1228" s="76">
        <v>446.10359891788801</v>
      </c>
      <c r="E1228" s="77">
        <v>125</v>
      </c>
      <c r="F1228" s="78">
        <v>12.484562035869001</v>
      </c>
      <c r="G1228" s="78">
        <v>12.484562035869001</v>
      </c>
      <c r="H1228" s="81">
        <v>12.355258151991301</v>
      </c>
    </row>
    <row r="1229" spans="1:8" x14ac:dyDescent="0.3">
      <c r="A1229" s="74" t="str">
        <f t="shared" si="19"/>
        <v>山西46349</v>
      </c>
      <c r="B1229" s="75" t="s">
        <v>15</v>
      </c>
      <c r="C1229" s="45">
        <v>46349</v>
      </c>
      <c r="D1229" s="76">
        <v>446.10359891788801</v>
      </c>
      <c r="E1229" s="77">
        <v>125</v>
      </c>
      <c r="F1229" s="78">
        <v>12.484562035869001</v>
      </c>
      <c r="G1229" s="78">
        <v>12.484562035869001</v>
      </c>
      <c r="H1229" s="81">
        <v>12.355258151991301</v>
      </c>
    </row>
    <row r="1230" spans="1:8" x14ac:dyDescent="0.3">
      <c r="A1230" s="74" t="str">
        <f t="shared" si="19"/>
        <v>山西46350</v>
      </c>
      <c r="B1230" s="75" t="s">
        <v>15</v>
      </c>
      <c r="C1230" s="45">
        <v>46350</v>
      </c>
      <c r="D1230" s="76">
        <v>446.10359891788801</v>
      </c>
      <c r="E1230" s="77">
        <v>125</v>
      </c>
      <c r="F1230" s="78">
        <v>12.484562035869001</v>
      </c>
      <c r="G1230" s="78">
        <v>12.484562035869001</v>
      </c>
      <c r="H1230" s="81">
        <v>12.355258151991301</v>
      </c>
    </row>
    <row r="1231" spans="1:8" x14ac:dyDescent="0.3">
      <c r="A1231" s="74" t="str">
        <f t="shared" si="19"/>
        <v>山西46351</v>
      </c>
      <c r="B1231" s="75" t="s">
        <v>15</v>
      </c>
      <c r="C1231" s="45">
        <v>46351</v>
      </c>
      <c r="D1231" s="76">
        <v>446.10359891788801</v>
      </c>
      <c r="E1231" s="77">
        <v>125</v>
      </c>
      <c r="F1231" s="78">
        <v>12.484562035869001</v>
      </c>
      <c r="G1231" s="78">
        <v>12.484562035869001</v>
      </c>
      <c r="H1231" s="81">
        <v>12.355258151991301</v>
      </c>
    </row>
    <row r="1232" spans="1:8" x14ac:dyDescent="0.3">
      <c r="A1232" s="74" t="str">
        <f t="shared" si="19"/>
        <v>山西46352</v>
      </c>
      <c r="B1232" s="75" t="s">
        <v>15</v>
      </c>
      <c r="C1232" s="45">
        <v>46352</v>
      </c>
      <c r="D1232" s="76">
        <v>446.10359891788801</v>
      </c>
      <c r="E1232" s="77">
        <v>125</v>
      </c>
      <c r="F1232" s="78">
        <v>12.484562035869001</v>
      </c>
      <c r="G1232" s="78">
        <v>12.484562035869001</v>
      </c>
      <c r="H1232" s="81">
        <v>12.355258151991301</v>
      </c>
    </row>
    <row r="1233" spans="1:8" x14ac:dyDescent="0.3">
      <c r="A1233" s="74" t="str">
        <f t="shared" si="19"/>
        <v>山西46353</v>
      </c>
      <c r="B1233" s="75" t="s">
        <v>15</v>
      </c>
      <c r="C1233" s="45">
        <v>46353</v>
      </c>
      <c r="D1233" s="76">
        <v>446.10359891788801</v>
      </c>
      <c r="E1233" s="77">
        <v>125</v>
      </c>
      <c r="F1233" s="78">
        <v>12.484562035869001</v>
      </c>
      <c r="G1233" s="78">
        <v>12.484562035869001</v>
      </c>
      <c r="H1233" s="81">
        <v>12.355258151991301</v>
      </c>
    </row>
    <row r="1234" spans="1:8" x14ac:dyDescent="0.3">
      <c r="A1234" s="74" t="str">
        <f t="shared" si="19"/>
        <v>山西46354</v>
      </c>
      <c r="B1234" s="75" t="s">
        <v>15</v>
      </c>
      <c r="C1234" s="45">
        <v>46354</v>
      </c>
      <c r="D1234" s="76">
        <v>446.10359891788801</v>
      </c>
      <c r="E1234" s="77">
        <v>125</v>
      </c>
      <c r="F1234" s="78">
        <v>12.484562035869001</v>
      </c>
      <c r="G1234" s="78">
        <v>12.484562035869001</v>
      </c>
      <c r="H1234" s="81">
        <v>12.355258151991301</v>
      </c>
    </row>
    <row r="1235" spans="1:8" x14ac:dyDescent="0.3">
      <c r="A1235" s="74" t="str">
        <f t="shared" si="19"/>
        <v>山西46355</v>
      </c>
      <c r="B1235" s="75" t="s">
        <v>15</v>
      </c>
      <c r="C1235" s="45">
        <v>46355</v>
      </c>
      <c r="D1235" s="76">
        <v>446.10359891788801</v>
      </c>
      <c r="E1235" s="77">
        <v>125</v>
      </c>
      <c r="F1235" s="78">
        <v>12.484562035869001</v>
      </c>
      <c r="G1235" s="78">
        <v>12.484562035869001</v>
      </c>
      <c r="H1235" s="81">
        <v>12.355258151991301</v>
      </c>
    </row>
    <row r="1236" spans="1:8" x14ac:dyDescent="0.3">
      <c r="A1236" s="74" t="str">
        <f t="shared" si="19"/>
        <v>山西46356</v>
      </c>
      <c r="B1236" s="75" t="s">
        <v>15</v>
      </c>
      <c r="C1236" s="45">
        <v>46356</v>
      </c>
      <c r="D1236" s="76">
        <v>446.10359891788801</v>
      </c>
      <c r="E1236" s="77">
        <v>125</v>
      </c>
      <c r="F1236" s="78">
        <v>12.484562035869001</v>
      </c>
      <c r="G1236" s="78">
        <v>12.484562035869001</v>
      </c>
      <c r="H1236" s="81">
        <v>12.355258151991301</v>
      </c>
    </row>
    <row r="1237" spans="1:8" x14ac:dyDescent="0.3">
      <c r="A1237" s="74" t="str">
        <f t="shared" si="19"/>
        <v>山西46357</v>
      </c>
      <c r="B1237" s="75" t="s">
        <v>15</v>
      </c>
      <c r="C1237" s="45">
        <v>46357</v>
      </c>
      <c r="D1237" s="76">
        <v>446.43406351309699</v>
      </c>
      <c r="E1237" s="77">
        <v>125</v>
      </c>
      <c r="F1237" s="78">
        <v>13.160710131472401</v>
      </c>
      <c r="G1237" s="78">
        <v>13.160710131472401</v>
      </c>
      <c r="H1237" s="81">
        <v>12.5834299135409</v>
      </c>
    </row>
    <row r="1238" spans="1:8" x14ac:dyDescent="0.3">
      <c r="A1238" s="74" t="str">
        <f t="shared" si="19"/>
        <v>山西46358</v>
      </c>
      <c r="B1238" s="75" t="s">
        <v>15</v>
      </c>
      <c r="C1238" s="45">
        <v>46358</v>
      </c>
      <c r="D1238" s="76">
        <v>446.43406351309699</v>
      </c>
      <c r="E1238" s="77">
        <v>125</v>
      </c>
      <c r="F1238" s="78">
        <v>13.160710131472401</v>
      </c>
      <c r="G1238" s="78">
        <v>13.160710131472401</v>
      </c>
      <c r="H1238" s="81">
        <v>12.5834299135409</v>
      </c>
    </row>
    <row r="1239" spans="1:8" x14ac:dyDescent="0.3">
      <c r="A1239" s="74" t="str">
        <f t="shared" si="19"/>
        <v>山西46359</v>
      </c>
      <c r="B1239" s="75" t="s">
        <v>15</v>
      </c>
      <c r="C1239" s="45">
        <v>46359</v>
      </c>
      <c r="D1239" s="76">
        <v>446.43406351309699</v>
      </c>
      <c r="E1239" s="77">
        <v>125</v>
      </c>
      <c r="F1239" s="78">
        <v>13.160710131472401</v>
      </c>
      <c r="G1239" s="78">
        <v>13.160710131472401</v>
      </c>
      <c r="H1239" s="81">
        <v>12.5834299135409</v>
      </c>
    </row>
    <row r="1240" spans="1:8" x14ac:dyDescent="0.3">
      <c r="A1240" s="74" t="str">
        <f t="shared" si="19"/>
        <v>山西46360</v>
      </c>
      <c r="B1240" s="75" t="s">
        <v>15</v>
      </c>
      <c r="C1240" s="45">
        <v>46360</v>
      </c>
      <c r="D1240" s="76">
        <v>446.43406351309699</v>
      </c>
      <c r="E1240" s="77">
        <v>125</v>
      </c>
      <c r="F1240" s="78">
        <v>13.160710131472401</v>
      </c>
      <c r="G1240" s="78">
        <v>13.160710131472401</v>
      </c>
      <c r="H1240" s="81">
        <v>12.5834299135409</v>
      </c>
    </row>
    <row r="1241" spans="1:8" x14ac:dyDescent="0.3">
      <c r="A1241" s="74" t="str">
        <f t="shared" si="19"/>
        <v>山西46361</v>
      </c>
      <c r="B1241" s="75" t="s">
        <v>15</v>
      </c>
      <c r="C1241" s="45">
        <v>46361</v>
      </c>
      <c r="D1241" s="76">
        <v>446.43406351309699</v>
      </c>
      <c r="E1241" s="77">
        <v>125</v>
      </c>
      <c r="F1241" s="78">
        <v>13.160710131472401</v>
      </c>
      <c r="G1241" s="78">
        <v>13.160710131472401</v>
      </c>
      <c r="H1241" s="81">
        <v>12.5834299135409</v>
      </c>
    </row>
    <row r="1242" spans="1:8" x14ac:dyDescent="0.3">
      <c r="A1242" s="74" t="str">
        <f t="shared" si="19"/>
        <v>山西46362</v>
      </c>
      <c r="B1242" s="75" t="s">
        <v>15</v>
      </c>
      <c r="C1242" s="45">
        <v>46362</v>
      </c>
      <c r="D1242" s="76">
        <v>446.43406351309699</v>
      </c>
      <c r="E1242" s="77">
        <v>125</v>
      </c>
      <c r="F1242" s="78">
        <v>13.160710131472401</v>
      </c>
      <c r="G1242" s="78">
        <v>13.160710131472401</v>
      </c>
      <c r="H1242" s="81">
        <v>12.5834299135409</v>
      </c>
    </row>
    <row r="1243" spans="1:8" x14ac:dyDescent="0.3">
      <c r="A1243" s="74" t="str">
        <f t="shared" si="19"/>
        <v>山西46363</v>
      </c>
      <c r="B1243" s="75" t="s">
        <v>15</v>
      </c>
      <c r="C1243" s="45">
        <v>46363</v>
      </c>
      <c r="D1243" s="76">
        <v>446.43406351309699</v>
      </c>
      <c r="E1243" s="77">
        <v>125</v>
      </c>
      <c r="F1243" s="78">
        <v>13.160710131472401</v>
      </c>
      <c r="G1243" s="78">
        <v>13.160710131472401</v>
      </c>
      <c r="H1243" s="81">
        <v>12.5834299135409</v>
      </c>
    </row>
    <row r="1244" spans="1:8" x14ac:dyDescent="0.3">
      <c r="A1244" s="74" t="str">
        <f t="shared" si="19"/>
        <v>山西46364</v>
      </c>
      <c r="B1244" s="75" t="s">
        <v>15</v>
      </c>
      <c r="C1244" s="45">
        <v>46364</v>
      </c>
      <c r="D1244" s="76">
        <v>446.43406351309699</v>
      </c>
      <c r="E1244" s="77">
        <v>125</v>
      </c>
      <c r="F1244" s="78">
        <v>13.160710131472401</v>
      </c>
      <c r="G1244" s="78">
        <v>13.160710131472401</v>
      </c>
      <c r="H1244" s="81">
        <v>12.5834299135409</v>
      </c>
    </row>
    <row r="1245" spans="1:8" x14ac:dyDescent="0.3">
      <c r="A1245" s="74" t="str">
        <f t="shared" si="19"/>
        <v>山西46365</v>
      </c>
      <c r="B1245" s="75" t="s">
        <v>15</v>
      </c>
      <c r="C1245" s="45">
        <v>46365</v>
      </c>
      <c r="D1245" s="76">
        <v>446.43406351309699</v>
      </c>
      <c r="E1245" s="77">
        <v>125</v>
      </c>
      <c r="F1245" s="78">
        <v>13.160710131472401</v>
      </c>
      <c r="G1245" s="78">
        <v>13.160710131472401</v>
      </c>
      <c r="H1245" s="81">
        <v>12.5834299135409</v>
      </c>
    </row>
    <row r="1246" spans="1:8" x14ac:dyDescent="0.3">
      <c r="A1246" s="74" t="str">
        <f t="shared" si="19"/>
        <v>山西46366</v>
      </c>
      <c r="B1246" s="75" t="s">
        <v>15</v>
      </c>
      <c r="C1246" s="45">
        <v>46366</v>
      </c>
      <c r="D1246" s="76">
        <v>446.43406351309699</v>
      </c>
      <c r="E1246" s="77">
        <v>125</v>
      </c>
      <c r="F1246" s="78">
        <v>13.160710131472401</v>
      </c>
      <c r="G1246" s="78">
        <v>13.160710131472401</v>
      </c>
      <c r="H1246" s="81">
        <v>12.5834299135409</v>
      </c>
    </row>
    <row r="1247" spans="1:8" x14ac:dyDescent="0.3">
      <c r="A1247" s="74" t="str">
        <f t="shared" si="19"/>
        <v>山西46367</v>
      </c>
      <c r="B1247" s="75" t="s">
        <v>15</v>
      </c>
      <c r="C1247" s="45">
        <v>46367</v>
      </c>
      <c r="D1247" s="76">
        <v>446.43406351309699</v>
      </c>
      <c r="E1247" s="77">
        <v>125</v>
      </c>
      <c r="F1247" s="78">
        <v>13.160710131472401</v>
      </c>
      <c r="G1247" s="78">
        <v>13.160710131472401</v>
      </c>
      <c r="H1247" s="81">
        <v>12.5834299135409</v>
      </c>
    </row>
    <row r="1248" spans="1:8" x14ac:dyDescent="0.3">
      <c r="A1248" s="74" t="str">
        <f t="shared" si="19"/>
        <v>山西46368</v>
      </c>
      <c r="B1248" s="75" t="s">
        <v>15</v>
      </c>
      <c r="C1248" s="45">
        <v>46368</v>
      </c>
      <c r="D1248" s="76">
        <v>446.43406351309699</v>
      </c>
      <c r="E1248" s="77">
        <v>125</v>
      </c>
      <c r="F1248" s="78">
        <v>13.160710131472401</v>
      </c>
      <c r="G1248" s="78">
        <v>13.160710131472401</v>
      </c>
      <c r="H1248" s="81">
        <v>12.5834299135409</v>
      </c>
    </row>
    <row r="1249" spans="1:8" x14ac:dyDescent="0.3">
      <c r="A1249" s="74" t="str">
        <f t="shared" si="19"/>
        <v>山西46369</v>
      </c>
      <c r="B1249" s="75" t="s">
        <v>15</v>
      </c>
      <c r="C1249" s="45">
        <v>46369</v>
      </c>
      <c r="D1249" s="76">
        <v>446.43406351309699</v>
      </c>
      <c r="E1249" s="77">
        <v>125</v>
      </c>
      <c r="F1249" s="78">
        <v>13.160710131472401</v>
      </c>
      <c r="G1249" s="78">
        <v>13.160710131472401</v>
      </c>
      <c r="H1249" s="81">
        <v>12.5834299135409</v>
      </c>
    </row>
    <row r="1250" spans="1:8" x14ac:dyDescent="0.3">
      <c r="A1250" s="74" t="str">
        <f t="shared" si="19"/>
        <v>山西46370</v>
      </c>
      <c r="B1250" s="75" t="s">
        <v>15</v>
      </c>
      <c r="C1250" s="45">
        <v>46370</v>
      </c>
      <c r="D1250" s="76">
        <v>446.43406351309699</v>
      </c>
      <c r="E1250" s="77">
        <v>125</v>
      </c>
      <c r="F1250" s="78">
        <v>13.160710131472401</v>
      </c>
      <c r="G1250" s="78">
        <v>13.160710131472401</v>
      </c>
      <c r="H1250" s="81">
        <v>12.5834299135409</v>
      </c>
    </row>
    <row r="1251" spans="1:8" x14ac:dyDescent="0.3">
      <c r="A1251" s="74" t="str">
        <f t="shared" si="19"/>
        <v>山西46371</v>
      </c>
      <c r="B1251" s="75" t="s">
        <v>15</v>
      </c>
      <c r="C1251" s="45">
        <v>46371</v>
      </c>
      <c r="D1251" s="76">
        <v>446.43406351309699</v>
      </c>
      <c r="E1251" s="77">
        <v>125</v>
      </c>
      <c r="F1251" s="78">
        <v>13.160710131472401</v>
      </c>
      <c r="G1251" s="78">
        <v>13.160710131472401</v>
      </c>
      <c r="H1251" s="81">
        <v>12.5834299135409</v>
      </c>
    </row>
    <row r="1252" spans="1:8" x14ac:dyDescent="0.3">
      <c r="A1252" s="74" t="str">
        <f t="shared" si="19"/>
        <v>山西46372</v>
      </c>
      <c r="B1252" s="75" t="s">
        <v>15</v>
      </c>
      <c r="C1252" s="45">
        <v>46372</v>
      </c>
      <c r="D1252" s="76">
        <v>446.43406351309699</v>
      </c>
      <c r="E1252" s="77">
        <v>125</v>
      </c>
      <c r="F1252" s="78">
        <v>13.160710131472401</v>
      </c>
      <c r="G1252" s="78">
        <v>13.160710131472401</v>
      </c>
      <c r="H1252" s="81">
        <v>12.5834299135409</v>
      </c>
    </row>
    <row r="1253" spans="1:8" x14ac:dyDescent="0.3">
      <c r="A1253" s="74" t="str">
        <f t="shared" si="19"/>
        <v>山西46373</v>
      </c>
      <c r="B1253" s="75" t="s">
        <v>15</v>
      </c>
      <c r="C1253" s="45">
        <v>46373</v>
      </c>
      <c r="D1253" s="76">
        <v>446.43406351309699</v>
      </c>
      <c r="E1253" s="77">
        <v>125</v>
      </c>
      <c r="F1253" s="78">
        <v>13.160710131472401</v>
      </c>
      <c r="G1253" s="78">
        <v>13.160710131472401</v>
      </c>
      <c r="H1253" s="81">
        <v>12.5834299135409</v>
      </c>
    </row>
    <row r="1254" spans="1:8" x14ac:dyDescent="0.3">
      <c r="A1254" s="74" t="str">
        <f t="shared" si="19"/>
        <v>山西46374</v>
      </c>
      <c r="B1254" s="75" t="s">
        <v>15</v>
      </c>
      <c r="C1254" s="45">
        <v>46374</v>
      </c>
      <c r="D1254" s="76">
        <v>446.43406351309699</v>
      </c>
      <c r="E1254" s="77">
        <v>125</v>
      </c>
      <c r="F1254" s="78">
        <v>13.160710131472401</v>
      </c>
      <c r="G1254" s="78">
        <v>13.160710131472401</v>
      </c>
      <c r="H1254" s="81">
        <v>12.5834299135409</v>
      </c>
    </row>
    <row r="1255" spans="1:8" x14ac:dyDescent="0.3">
      <c r="A1255" s="74" t="str">
        <f t="shared" si="19"/>
        <v>山西46375</v>
      </c>
      <c r="B1255" s="75" t="s">
        <v>15</v>
      </c>
      <c r="C1255" s="45">
        <v>46375</v>
      </c>
      <c r="D1255" s="76">
        <v>446.43406351309699</v>
      </c>
      <c r="E1255" s="77">
        <v>125</v>
      </c>
      <c r="F1255" s="78">
        <v>13.160710131472401</v>
      </c>
      <c r="G1255" s="78">
        <v>13.160710131472401</v>
      </c>
      <c r="H1255" s="81">
        <v>12.5834299135409</v>
      </c>
    </row>
    <row r="1256" spans="1:8" x14ac:dyDescent="0.3">
      <c r="A1256" s="74" t="str">
        <f t="shared" si="19"/>
        <v>山西46376</v>
      </c>
      <c r="B1256" s="75" t="s">
        <v>15</v>
      </c>
      <c r="C1256" s="45">
        <v>46376</v>
      </c>
      <c r="D1256" s="76">
        <v>446.43406351309699</v>
      </c>
      <c r="E1256" s="77">
        <v>125</v>
      </c>
      <c r="F1256" s="78">
        <v>13.160710131472401</v>
      </c>
      <c r="G1256" s="78">
        <v>13.160710131472401</v>
      </c>
      <c r="H1256" s="81">
        <v>12.5834299135409</v>
      </c>
    </row>
    <row r="1257" spans="1:8" x14ac:dyDescent="0.3">
      <c r="A1257" s="74" t="str">
        <f t="shared" si="19"/>
        <v>山西46377</v>
      </c>
      <c r="B1257" s="75" t="s">
        <v>15</v>
      </c>
      <c r="C1257" s="45">
        <v>46377</v>
      </c>
      <c r="D1257" s="76">
        <v>446.43406351309699</v>
      </c>
      <c r="E1257" s="77">
        <v>125</v>
      </c>
      <c r="F1257" s="78">
        <v>13.160710131472401</v>
      </c>
      <c r="G1257" s="78">
        <v>13.160710131472401</v>
      </c>
      <c r="H1257" s="81">
        <v>12.5834299135409</v>
      </c>
    </row>
    <row r="1258" spans="1:8" x14ac:dyDescent="0.3">
      <c r="A1258" s="74" t="str">
        <f t="shared" si="19"/>
        <v>山西46378</v>
      </c>
      <c r="B1258" s="75" t="s">
        <v>15</v>
      </c>
      <c r="C1258" s="45">
        <v>46378</v>
      </c>
      <c r="D1258" s="76">
        <v>446.43406351309699</v>
      </c>
      <c r="E1258" s="77">
        <v>125</v>
      </c>
      <c r="F1258" s="78">
        <v>13.160710131472401</v>
      </c>
      <c r="G1258" s="78">
        <v>13.160710131472401</v>
      </c>
      <c r="H1258" s="81">
        <v>12.5834299135409</v>
      </c>
    </row>
    <row r="1259" spans="1:8" x14ac:dyDescent="0.3">
      <c r="A1259" s="74" t="str">
        <f t="shared" si="19"/>
        <v>山西46379</v>
      </c>
      <c r="B1259" s="75" t="s">
        <v>15</v>
      </c>
      <c r="C1259" s="45">
        <v>46379</v>
      </c>
      <c r="D1259" s="76">
        <v>446.43406351309699</v>
      </c>
      <c r="E1259" s="77">
        <v>125</v>
      </c>
      <c r="F1259" s="78">
        <v>13.160710131472401</v>
      </c>
      <c r="G1259" s="78">
        <v>13.160710131472401</v>
      </c>
      <c r="H1259" s="81">
        <v>12.5834299135409</v>
      </c>
    </row>
    <row r="1260" spans="1:8" x14ac:dyDescent="0.3">
      <c r="A1260" s="74" t="str">
        <f t="shared" si="19"/>
        <v>山西46380</v>
      </c>
      <c r="B1260" s="75" t="s">
        <v>15</v>
      </c>
      <c r="C1260" s="45">
        <v>46380</v>
      </c>
      <c r="D1260" s="76">
        <v>446.43406351309699</v>
      </c>
      <c r="E1260" s="77">
        <v>125</v>
      </c>
      <c r="F1260" s="78">
        <v>13.160710131472401</v>
      </c>
      <c r="G1260" s="78">
        <v>13.160710131472401</v>
      </c>
      <c r="H1260" s="81">
        <v>12.5834299135409</v>
      </c>
    </row>
    <row r="1261" spans="1:8" x14ac:dyDescent="0.3">
      <c r="A1261" s="74" t="str">
        <f t="shared" si="19"/>
        <v>山西46381</v>
      </c>
      <c r="B1261" s="75" t="s">
        <v>15</v>
      </c>
      <c r="C1261" s="45">
        <v>46381</v>
      </c>
      <c r="D1261" s="76">
        <v>446.43406351309699</v>
      </c>
      <c r="E1261" s="77">
        <v>125</v>
      </c>
      <c r="F1261" s="78">
        <v>13.160710131472401</v>
      </c>
      <c r="G1261" s="78">
        <v>13.160710131472401</v>
      </c>
      <c r="H1261" s="81">
        <v>12.5834299135409</v>
      </c>
    </row>
    <row r="1262" spans="1:8" x14ac:dyDescent="0.3">
      <c r="A1262" s="74" t="str">
        <f t="shared" si="19"/>
        <v>山西46382</v>
      </c>
      <c r="B1262" s="75" t="s">
        <v>15</v>
      </c>
      <c r="C1262" s="45">
        <v>46382</v>
      </c>
      <c r="D1262" s="76">
        <v>446.43406351309699</v>
      </c>
      <c r="E1262" s="77">
        <v>125</v>
      </c>
      <c r="F1262" s="78">
        <v>13.160710131472401</v>
      </c>
      <c r="G1262" s="78">
        <v>13.160710131472401</v>
      </c>
      <c r="H1262" s="81">
        <v>12.5834299135409</v>
      </c>
    </row>
    <row r="1263" spans="1:8" x14ac:dyDescent="0.3">
      <c r="A1263" s="74" t="str">
        <f t="shared" si="19"/>
        <v>山西46383</v>
      </c>
      <c r="B1263" s="75" t="s">
        <v>15</v>
      </c>
      <c r="C1263" s="45">
        <v>46383</v>
      </c>
      <c r="D1263" s="76">
        <v>446.43406351309699</v>
      </c>
      <c r="E1263" s="77">
        <v>125</v>
      </c>
      <c r="F1263" s="78">
        <v>13.160710131472401</v>
      </c>
      <c r="G1263" s="78">
        <v>13.160710131472401</v>
      </c>
      <c r="H1263" s="81">
        <v>12.5834299135409</v>
      </c>
    </row>
    <row r="1264" spans="1:8" x14ac:dyDescent="0.3">
      <c r="A1264" s="74" t="str">
        <f t="shared" si="19"/>
        <v>山西46384</v>
      </c>
      <c r="B1264" s="75" t="s">
        <v>15</v>
      </c>
      <c r="C1264" s="45">
        <v>46384</v>
      </c>
      <c r="D1264" s="76">
        <v>446.43406351309699</v>
      </c>
      <c r="E1264" s="77">
        <v>125</v>
      </c>
      <c r="F1264" s="78">
        <v>13.160710131472401</v>
      </c>
      <c r="G1264" s="78">
        <v>13.160710131472401</v>
      </c>
      <c r="H1264" s="81">
        <v>12.5834299135409</v>
      </c>
    </row>
    <row r="1265" spans="1:8" x14ac:dyDescent="0.3">
      <c r="A1265" s="74" t="str">
        <f t="shared" si="19"/>
        <v>山西46385</v>
      </c>
      <c r="B1265" s="75" t="s">
        <v>15</v>
      </c>
      <c r="C1265" s="45">
        <v>46385</v>
      </c>
      <c r="D1265" s="76">
        <v>446.43406351309699</v>
      </c>
      <c r="E1265" s="77">
        <v>125</v>
      </c>
      <c r="F1265" s="78">
        <v>13.160710131472401</v>
      </c>
      <c r="G1265" s="78">
        <v>13.160710131472401</v>
      </c>
      <c r="H1265" s="81">
        <v>12.5834299135409</v>
      </c>
    </row>
    <row r="1266" spans="1:8" x14ac:dyDescent="0.3">
      <c r="A1266" s="74" t="str">
        <f t="shared" si="19"/>
        <v>山西46386</v>
      </c>
      <c r="B1266" s="75" t="s">
        <v>15</v>
      </c>
      <c r="C1266" s="45">
        <v>46386</v>
      </c>
      <c r="D1266" s="76">
        <v>446.43406351309699</v>
      </c>
      <c r="E1266" s="77">
        <v>125</v>
      </c>
      <c r="F1266" s="78">
        <v>13.160710131472401</v>
      </c>
      <c r="G1266" s="78">
        <v>13.160710131472401</v>
      </c>
      <c r="H1266" s="81">
        <v>12.5834299135409</v>
      </c>
    </row>
    <row r="1267" spans="1:8" x14ac:dyDescent="0.3">
      <c r="A1267" s="74" t="str">
        <f t="shared" si="19"/>
        <v>山西46387</v>
      </c>
      <c r="B1267" s="82" t="s">
        <v>15</v>
      </c>
      <c r="C1267" s="83">
        <v>46387</v>
      </c>
      <c r="D1267" s="84">
        <v>446.43406351309699</v>
      </c>
      <c r="E1267" s="85">
        <v>125</v>
      </c>
      <c r="F1267" s="86">
        <v>13.160710131472401</v>
      </c>
      <c r="G1267" s="86">
        <v>13.160710131472401</v>
      </c>
      <c r="H1267" s="87">
        <v>12.5834299135409</v>
      </c>
    </row>
    <row r="1268" spans="1:8" x14ac:dyDescent="0.3">
      <c r="A1268" s="74" t="str">
        <f t="shared" si="19"/>
        <v>陕西46135</v>
      </c>
      <c r="B1268" s="75" t="s">
        <v>16</v>
      </c>
      <c r="C1268" s="45">
        <v>46135</v>
      </c>
      <c r="D1268" s="76">
        <v>1714.1124284852301</v>
      </c>
      <c r="E1268" s="77">
        <v>125</v>
      </c>
      <c r="F1268" s="78">
        <v>8.9638349693954105</v>
      </c>
      <c r="G1268" s="78">
        <v>8.9638349693954105</v>
      </c>
      <c r="H1268" s="81">
        <v>9.5302444423335508</v>
      </c>
    </row>
    <row r="1269" spans="1:8" x14ac:dyDescent="0.3">
      <c r="A1269" s="74" t="str">
        <f t="shared" si="19"/>
        <v>陕西46136</v>
      </c>
      <c r="B1269" s="75" t="s">
        <v>16</v>
      </c>
      <c r="C1269" s="45">
        <v>46136</v>
      </c>
      <c r="D1269" s="76">
        <v>1714.1124284852301</v>
      </c>
      <c r="E1269" s="77">
        <v>125</v>
      </c>
      <c r="F1269" s="78">
        <v>8.9638349693954105</v>
      </c>
      <c r="G1269" s="78">
        <v>8.9638349693954105</v>
      </c>
      <c r="H1269" s="81">
        <v>9.5302444423335508</v>
      </c>
    </row>
    <row r="1270" spans="1:8" x14ac:dyDescent="0.3">
      <c r="A1270" s="74" t="str">
        <f t="shared" si="19"/>
        <v>陕西46137</v>
      </c>
      <c r="B1270" s="75" t="s">
        <v>16</v>
      </c>
      <c r="C1270" s="45">
        <v>46137</v>
      </c>
      <c r="D1270" s="76">
        <v>1714.1124284852301</v>
      </c>
      <c r="E1270" s="77">
        <v>125</v>
      </c>
      <c r="F1270" s="78">
        <v>8.9638349693954105</v>
      </c>
      <c r="G1270" s="78">
        <v>8.9638349693954105</v>
      </c>
      <c r="H1270" s="81">
        <v>9.5302444423335508</v>
      </c>
    </row>
    <row r="1271" spans="1:8" x14ac:dyDescent="0.3">
      <c r="A1271" s="74" t="str">
        <f t="shared" si="19"/>
        <v>陕西46138</v>
      </c>
      <c r="B1271" s="75" t="s">
        <v>16</v>
      </c>
      <c r="C1271" s="45">
        <v>46138</v>
      </c>
      <c r="D1271" s="76">
        <v>1714.1124284852301</v>
      </c>
      <c r="E1271" s="77">
        <v>125</v>
      </c>
      <c r="F1271" s="78">
        <v>8.9638349693954105</v>
      </c>
      <c r="G1271" s="78">
        <v>8.9638349693954105</v>
      </c>
      <c r="H1271" s="81">
        <v>9.5302444423335508</v>
      </c>
    </row>
    <row r="1272" spans="1:8" x14ac:dyDescent="0.3">
      <c r="A1272" s="74" t="str">
        <f t="shared" si="19"/>
        <v>陕西46139</v>
      </c>
      <c r="B1272" s="75" t="s">
        <v>16</v>
      </c>
      <c r="C1272" s="45">
        <v>46139</v>
      </c>
      <c r="D1272" s="76">
        <v>1714.1124284852301</v>
      </c>
      <c r="E1272" s="77">
        <v>125</v>
      </c>
      <c r="F1272" s="78">
        <v>8.9638349693954105</v>
      </c>
      <c r="G1272" s="78">
        <v>8.9638349693954105</v>
      </c>
      <c r="H1272" s="81">
        <v>9.5302444423335508</v>
      </c>
    </row>
    <row r="1273" spans="1:8" x14ac:dyDescent="0.3">
      <c r="A1273" s="74" t="str">
        <f t="shared" si="19"/>
        <v>陕西46140</v>
      </c>
      <c r="B1273" s="75" t="s">
        <v>16</v>
      </c>
      <c r="C1273" s="45">
        <v>46140</v>
      </c>
      <c r="D1273" s="76">
        <v>1714.1124284852301</v>
      </c>
      <c r="E1273" s="77">
        <v>125</v>
      </c>
      <c r="F1273" s="78">
        <v>8.9638349693954105</v>
      </c>
      <c r="G1273" s="78">
        <v>8.9638349693954105</v>
      </c>
      <c r="H1273" s="81">
        <v>9.5302444423335508</v>
      </c>
    </row>
    <row r="1274" spans="1:8" x14ac:dyDescent="0.3">
      <c r="A1274" s="74" t="str">
        <f t="shared" si="19"/>
        <v>陕西46141</v>
      </c>
      <c r="B1274" s="75" t="s">
        <v>16</v>
      </c>
      <c r="C1274" s="45">
        <v>46141</v>
      </c>
      <c r="D1274" s="76">
        <v>1714.1124284852301</v>
      </c>
      <c r="E1274" s="77">
        <v>125</v>
      </c>
      <c r="F1274" s="78">
        <v>8.9638349693954105</v>
      </c>
      <c r="G1274" s="78">
        <v>8.9638349693954105</v>
      </c>
      <c r="H1274" s="81">
        <v>9.5302444423335508</v>
      </c>
    </row>
    <row r="1275" spans="1:8" x14ac:dyDescent="0.3">
      <c r="A1275" s="74" t="str">
        <f t="shared" si="19"/>
        <v>陕西46142</v>
      </c>
      <c r="B1275" s="75" t="s">
        <v>16</v>
      </c>
      <c r="C1275" s="45">
        <v>46142</v>
      </c>
      <c r="D1275" s="76">
        <v>1714.1124284852301</v>
      </c>
      <c r="E1275" s="77">
        <v>125</v>
      </c>
      <c r="F1275" s="78">
        <v>8.9638349693954105</v>
      </c>
      <c r="G1275" s="78">
        <v>8.9638349693954105</v>
      </c>
      <c r="H1275" s="81">
        <v>9.5302444423335508</v>
      </c>
    </row>
    <row r="1276" spans="1:8" x14ac:dyDescent="0.3">
      <c r="A1276" s="74" t="str">
        <f t="shared" si="19"/>
        <v>陕西46143</v>
      </c>
      <c r="B1276" s="75" t="s">
        <v>16</v>
      </c>
      <c r="C1276" s="45">
        <v>46143</v>
      </c>
      <c r="D1276" s="76">
        <v>1885.5768560015699</v>
      </c>
      <c r="E1276" s="77">
        <v>125</v>
      </c>
      <c r="F1276" s="78">
        <v>10.432540338634301</v>
      </c>
      <c r="G1276" s="78">
        <v>10.432540338634301</v>
      </c>
      <c r="H1276" s="81">
        <v>9.7466727291642208</v>
      </c>
    </row>
    <row r="1277" spans="1:8" x14ac:dyDescent="0.3">
      <c r="A1277" s="74" t="str">
        <f t="shared" si="19"/>
        <v>陕西46144</v>
      </c>
      <c r="B1277" s="75" t="s">
        <v>16</v>
      </c>
      <c r="C1277" s="45">
        <v>46144</v>
      </c>
      <c r="D1277" s="76">
        <v>1885.5768560015699</v>
      </c>
      <c r="E1277" s="77">
        <v>125</v>
      </c>
      <c r="F1277" s="78">
        <v>10.432540338634301</v>
      </c>
      <c r="G1277" s="78">
        <v>10.432540338634301</v>
      </c>
      <c r="H1277" s="81">
        <v>9.7466727291642208</v>
      </c>
    </row>
    <row r="1278" spans="1:8" x14ac:dyDescent="0.3">
      <c r="A1278" s="74" t="str">
        <f t="shared" si="19"/>
        <v>陕西46145</v>
      </c>
      <c r="B1278" s="75" t="s">
        <v>16</v>
      </c>
      <c r="C1278" s="45">
        <v>46145</v>
      </c>
      <c r="D1278" s="76">
        <v>1885.5768560015699</v>
      </c>
      <c r="E1278" s="77">
        <v>125</v>
      </c>
      <c r="F1278" s="78">
        <v>10.432540338634301</v>
      </c>
      <c r="G1278" s="78">
        <v>10.432540338634301</v>
      </c>
      <c r="H1278" s="81">
        <v>9.7466727291642208</v>
      </c>
    </row>
    <row r="1279" spans="1:8" x14ac:dyDescent="0.3">
      <c r="A1279" s="74" t="str">
        <f t="shared" si="19"/>
        <v>陕西46146</v>
      </c>
      <c r="B1279" s="75" t="s">
        <v>16</v>
      </c>
      <c r="C1279" s="45">
        <v>46146</v>
      </c>
      <c r="D1279" s="76">
        <v>1885.5768560015699</v>
      </c>
      <c r="E1279" s="77">
        <v>125</v>
      </c>
      <c r="F1279" s="78">
        <v>10.432540338634301</v>
      </c>
      <c r="G1279" s="78">
        <v>10.432540338634301</v>
      </c>
      <c r="H1279" s="81">
        <v>9.7466727291642208</v>
      </c>
    </row>
    <row r="1280" spans="1:8" x14ac:dyDescent="0.3">
      <c r="A1280" s="74" t="str">
        <f t="shared" si="19"/>
        <v>陕西46147</v>
      </c>
      <c r="B1280" s="75" t="s">
        <v>16</v>
      </c>
      <c r="C1280" s="45">
        <v>46147</v>
      </c>
      <c r="D1280" s="76">
        <v>1885.5768560015699</v>
      </c>
      <c r="E1280" s="77">
        <v>125</v>
      </c>
      <c r="F1280" s="78">
        <v>10.432540338634301</v>
      </c>
      <c r="G1280" s="78">
        <v>10.432540338634301</v>
      </c>
      <c r="H1280" s="81">
        <v>9.7466727291642208</v>
      </c>
    </row>
    <row r="1281" spans="1:8" x14ac:dyDescent="0.3">
      <c r="A1281" s="74" t="str">
        <f t="shared" si="19"/>
        <v>陕西46148</v>
      </c>
      <c r="B1281" s="75" t="s">
        <v>16</v>
      </c>
      <c r="C1281" s="45">
        <v>46148</v>
      </c>
      <c r="D1281" s="76">
        <v>1885.5768560015699</v>
      </c>
      <c r="E1281" s="77">
        <v>125</v>
      </c>
      <c r="F1281" s="78">
        <v>10.432540338634301</v>
      </c>
      <c r="G1281" s="78">
        <v>10.432540338634301</v>
      </c>
      <c r="H1281" s="81">
        <v>9.7466727291642208</v>
      </c>
    </row>
    <row r="1282" spans="1:8" x14ac:dyDescent="0.3">
      <c r="A1282" s="74" t="str">
        <f t="shared" si="19"/>
        <v>陕西46149</v>
      </c>
      <c r="B1282" s="75" t="s">
        <v>16</v>
      </c>
      <c r="C1282" s="45">
        <v>46149</v>
      </c>
      <c r="D1282" s="76">
        <v>1885.5768560015699</v>
      </c>
      <c r="E1282" s="77">
        <v>125</v>
      </c>
      <c r="F1282" s="78">
        <v>10.432540338634301</v>
      </c>
      <c r="G1282" s="78">
        <v>10.432540338634301</v>
      </c>
      <c r="H1282" s="81">
        <v>9.7466727291642208</v>
      </c>
    </row>
    <row r="1283" spans="1:8" x14ac:dyDescent="0.3">
      <c r="A1283" s="74" t="str">
        <f t="shared" ref="A1283:A1346" si="20">B1283&amp;C1283</f>
        <v>陕西46150</v>
      </c>
      <c r="B1283" s="75" t="s">
        <v>16</v>
      </c>
      <c r="C1283" s="45">
        <v>46150</v>
      </c>
      <c r="D1283" s="76">
        <v>1885.5768560015699</v>
      </c>
      <c r="E1283" s="77">
        <v>125</v>
      </c>
      <c r="F1283" s="78">
        <v>10.432540338634301</v>
      </c>
      <c r="G1283" s="78">
        <v>10.432540338634301</v>
      </c>
      <c r="H1283" s="81">
        <v>9.7466727291642208</v>
      </c>
    </row>
    <row r="1284" spans="1:8" x14ac:dyDescent="0.3">
      <c r="A1284" s="74" t="str">
        <f t="shared" si="20"/>
        <v>陕西46151</v>
      </c>
      <c r="B1284" s="75" t="s">
        <v>16</v>
      </c>
      <c r="C1284" s="45">
        <v>46151</v>
      </c>
      <c r="D1284" s="76">
        <v>1885.5768560015699</v>
      </c>
      <c r="E1284" s="77">
        <v>125</v>
      </c>
      <c r="F1284" s="78">
        <v>10.432540338634301</v>
      </c>
      <c r="G1284" s="78">
        <v>10.432540338634301</v>
      </c>
      <c r="H1284" s="81">
        <v>9.7466727291642208</v>
      </c>
    </row>
    <row r="1285" spans="1:8" x14ac:dyDescent="0.3">
      <c r="A1285" s="74" t="str">
        <f t="shared" si="20"/>
        <v>陕西46152</v>
      </c>
      <c r="B1285" s="75" t="s">
        <v>16</v>
      </c>
      <c r="C1285" s="45">
        <v>46152</v>
      </c>
      <c r="D1285" s="76">
        <v>1885.5768560015699</v>
      </c>
      <c r="E1285" s="77">
        <v>125</v>
      </c>
      <c r="F1285" s="78">
        <v>10.432540338634301</v>
      </c>
      <c r="G1285" s="78">
        <v>10.432540338634301</v>
      </c>
      <c r="H1285" s="81">
        <v>9.7466727291642208</v>
      </c>
    </row>
    <row r="1286" spans="1:8" x14ac:dyDescent="0.3">
      <c r="A1286" s="74" t="str">
        <f t="shared" si="20"/>
        <v>陕西46153</v>
      </c>
      <c r="B1286" s="75" t="s">
        <v>16</v>
      </c>
      <c r="C1286" s="45">
        <v>46153</v>
      </c>
      <c r="D1286" s="76">
        <v>1885.5768560015699</v>
      </c>
      <c r="E1286" s="77">
        <v>125</v>
      </c>
      <c r="F1286" s="78">
        <v>10.432540338634301</v>
      </c>
      <c r="G1286" s="78">
        <v>10.432540338634301</v>
      </c>
      <c r="H1286" s="81">
        <v>9.7466727291642208</v>
      </c>
    </row>
    <row r="1287" spans="1:8" x14ac:dyDescent="0.3">
      <c r="A1287" s="74" t="str">
        <f t="shared" si="20"/>
        <v>陕西46154</v>
      </c>
      <c r="B1287" s="75" t="s">
        <v>16</v>
      </c>
      <c r="C1287" s="45">
        <v>46154</v>
      </c>
      <c r="D1287" s="76">
        <v>1885.5768560015699</v>
      </c>
      <c r="E1287" s="77">
        <v>125</v>
      </c>
      <c r="F1287" s="78">
        <v>10.432540338634301</v>
      </c>
      <c r="G1287" s="78">
        <v>10.432540338634301</v>
      </c>
      <c r="H1287" s="81">
        <v>9.7466727291642208</v>
      </c>
    </row>
    <row r="1288" spans="1:8" x14ac:dyDescent="0.3">
      <c r="A1288" s="74" t="str">
        <f t="shared" si="20"/>
        <v>陕西46155</v>
      </c>
      <c r="B1288" s="75" t="s">
        <v>16</v>
      </c>
      <c r="C1288" s="45">
        <v>46155</v>
      </c>
      <c r="D1288" s="76">
        <v>1885.5768560015699</v>
      </c>
      <c r="E1288" s="77">
        <v>125</v>
      </c>
      <c r="F1288" s="78">
        <v>10.432540338634301</v>
      </c>
      <c r="G1288" s="78">
        <v>10.432540338634301</v>
      </c>
      <c r="H1288" s="81">
        <v>9.7466727291642208</v>
      </c>
    </row>
    <row r="1289" spans="1:8" x14ac:dyDescent="0.3">
      <c r="A1289" s="74" t="str">
        <f t="shared" si="20"/>
        <v>陕西46156</v>
      </c>
      <c r="B1289" s="75" t="s">
        <v>16</v>
      </c>
      <c r="C1289" s="45">
        <v>46156</v>
      </c>
      <c r="D1289" s="76">
        <v>1885.5768560015699</v>
      </c>
      <c r="E1289" s="77">
        <v>125</v>
      </c>
      <c r="F1289" s="78">
        <v>10.432540338634301</v>
      </c>
      <c r="G1289" s="78">
        <v>10.432540338634301</v>
      </c>
      <c r="H1289" s="81">
        <v>9.7466727291642208</v>
      </c>
    </row>
    <row r="1290" spans="1:8" x14ac:dyDescent="0.3">
      <c r="A1290" s="74" t="str">
        <f t="shared" si="20"/>
        <v>陕西46157</v>
      </c>
      <c r="B1290" s="75" t="s">
        <v>16</v>
      </c>
      <c r="C1290" s="45">
        <v>46157</v>
      </c>
      <c r="D1290" s="76">
        <v>1885.5768560015699</v>
      </c>
      <c r="E1290" s="77">
        <v>125</v>
      </c>
      <c r="F1290" s="78">
        <v>10.432540338634301</v>
      </c>
      <c r="G1290" s="78">
        <v>10.432540338634301</v>
      </c>
      <c r="H1290" s="81">
        <v>9.7466727291642208</v>
      </c>
    </row>
    <row r="1291" spans="1:8" x14ac:dyDescent="0.3">
      <c r="A1291" s="74" t="str">
        <f t="shared" si="20"/>
        <v>陕西46158</v>
      </c>
      <c r="B1291" s="75" t="s">
        <v>16</v>
      </c>
      <c r="C1291" s="45">
        <v>46158</v>
      </c>
      <c r="D1291" s="76">
        <v>1885.5768560015699</v>
      </c>
      <c r="E1291" s="77">
        <v>125</v>
      </c>
      <c r="F1291" s="78">
        <v>10.432540338634301</v>
      </c>
      <c r="G1291" s="78">
        <v>10.432540338634301</v>
      </c>
      <c r="H1291" s="81">
        <v>9.7466727291642208</v>
      </c>
    </row>
    <row r="1292" spans="1:8" x14ac:dyDescent="0.3">
      <c r="A1292" s="74" t="str">
        <f t="shared" si="20"/>
        <v>陕西46159</v>
      </c>
      <c r="B1292" s="75" t="s">
        <v>16</v>
      </c>
      <c r="C1292" s="45">
        <v>46159</v>
      </c>
      <c r="D1292" s="76">
        <v>1885.5768560015699</v>
      </c>
      <c r="E1292" s="77">
        <v>125</v>
      </c>
      <c r="F1292" s="78">
        <v>10.432540338634301</v>
      </c>
      <c r="G1292" s="78">
        <v>10.432540338634301</v>
      </c>
      <c r="H1292" s="81">
        <v>9.7466727291642208</v>
      </c>
    </row>
    <row r="1293" spans="1:8" x14ac:dyDescent="0.3">
      <c r="A1293" s="74" t="str">
        <f t="shared" si="20"/>
        <v>陕西46160</v>
      </c>
      <c r="B1293" s="75" t="s">
        <v>16</v>
      </c>
      <c r="C1293" s="45">
        <v>46160</v>
      </c>
      <c r="D1293" s="76">
        <v>1885.5768560015699</v>
      </c>
      <c r="E1293" s="77">
        <v>125</v>
      </c>
      <c r="F1293" s="78">
        <v>10.432540338634301</v>
      </c>
      <c r="G1293" s="78">
        <v>10.432540338634301</v>
      </c>
      <c r="H1293" s="81">
        <v>9.7466727291642208</v>
      </c>
    </row>
    <row r="1294" spans="1:8" x14ac:dyDescent="0.3">
      <c r="A1294" s="74" t="str">
        <f t="shared" si="20"/>
        <v>陕西46161</v>
      </c>
      <c r="B1294" s="75" t="s">
        <v>16</v>
      </c>
      <c r="C1294" s="45">
        <v>46161</v>
      </c>
      <c r="D1294" s="76">
        <v>1885.5768560015699</v>
      </c>
      <c r="E1294" s="77">
        <v>125</v>
      </c>
      <c r="F1294" s="78">
        <v>10.432540338634301</v>
      </c>
      <c r="G1294" s="78">
        <v>10.432540338634301</v>
      </c>
      <c r="H1294" s="81">
        <v>9.7466727291642208</v>
      </c>
    </row>
    <row r="1295" spans="1:8" x14ac:dyDescent="0.3">
      <c r="A1295" s="74" t="str">
        <f t="shared" si="20"/>
        <v>陕西46162</v>
      </c>
      <c r="B1295" s="75" t="s">
        <v>16</v>
      </c>
      <c r="C1295" s="45">
        <v>46162</v>
      </c>
      <c r="D1295" s="76">
        <v>1885.5768560015699</v>
      </c>
      <c r="E1295" s="77">
        <v>125</v>
      </c>
      <c r="F1295" s="78">
        <v>10.432540338634301</v>
      </c>
      <c r="G1295" s="78">
        <v>10.432540338634301</v>
      </c>
      <c r="H1295" s="81">
        <v>9.7466727291642208</v>
      </c>
    </row>
    <row r="1296" spans="1:8" x14ac:dyDescent="0.3">
      <c r="A1296" s="74" t="str">
        <f t="shared" si="20"/>
        <v>陕西46163</v>
      </c>
      <c r="B1296" s="75" t="s">
        <v>16</v>
      </c>
      <c r="C1296" s="45">
        <v>46163</v>
      </c>
      <c r="D1296" s="76">
        <v>1885.5768560015699</v>
      </c>
      <c r="E1296" s="77">
        <v>125</v>
      </c>
      <c r="F1296" s="78">
        <v>10.432540338634301</v>
      </c>
      <c r="G1296" s="78">
        <v>10.432540338634301</v>
      </c>
      <c r="H1296" s="81">
        <v>9.7466727291642208</v>
      </c>
    </row>
    <row r="1297" spans="1:8" x14ac:dyDescent="0.3">
      <c r="A1297" s="74" t="str">
        <f t="shared" si="20"/>
        <v>陕西46164</v>
      </c>
      <c r="B1297" s="75" t="s">
        <v>16</v>
      </c>
      <c r="C1297" s="45">
        <v>46164</v>
      </c>
      <c r="D1297" s="76">
        <v>1885.5768560015699</v>
      </c>
      <c r="E1297" s="77">
        <v>125</v>
      </c>
      <c r="F1297" s="78">
        <v>10.432540338634301</v>
      </c>
      <c r="G1297" s="78">
        <v>10.432540338634301</v>
      </c>
      <c r="H1297" s="81">
        <v>9.7466727291642208</v>
      </c>
    </row>
    <row r="1298" spans="1:8" x14ac:dyDescent="0.3">
      <c r="A1298" s="74" t="str">
        <f t="shared" si="20"/>
        <v>陕西46165</v>
      </c>
      <c r="B1298" s="75" t="s">
        <v>16</v>
      </c>
      <c r="C1298" s="45">
        <v>46165</v>
      </c>
      <c r="D1298" s="76">
        <v>1885.5768560015699</v>
      </c>
      <c r="E1298" s="77">
        <v>125</v>
      </c>
      <c r="F1298" s="78">
        <v>10.432540338634301</v>
      </c>
      <c r="G1298" s="78">
        <v>10.432540338634301</v>
      </c>
      <c r="H1298" s="81">
        <v>9.7466727291642208</v>
      </c>
    </row>
    <row r="1299" spans="1:8" x14ac:dyDescent="0.3">
      <c r="A1299" s="74" t="str">
        <f t="shared" si="20"/>
        <v>陕西46166</v>
      </c>
      <c r="B1299" s="75" t="s">
        <v>16</v>
      </c>
      <c r="C1299" s="45">
        <v>46166</v>
      </c>
      <c r="D1299" s="76">
        <v>1885.5768560015699</v>
      </c>
      <c r="E1299" s="77">
        <v>125</v>
      </c>
      <c r="F1299" s="78">
        <v>10.432540338634301</v>
      </c>
      <c r="G1299" s="78">
        <v>10.432540338634301</v>
      </c>
      <c r="H1299" s="81">
        <v>9.7466727291642208</v>
      </c>
    </row>
    <row r="1300" spans="1:8" x14ac:dyDescent="0.3">
      <c r="A1300" s="74" t="str">
        <f t="shared" si="20"/>
        <v>陕西46167</v>
      </c>
      <c r="B1300" s="75" t="s">
        <v>16</v>
      </c>
      <c r="C1300" s="45">
        <v>46167</v>
      </c>
      <c r="D1300" s="76">
        <v>1885.5768560015699</v>
      </c>
      <c r="E1300" s="77">
        <v>125</v>
      </c>
      <c r="F1300" s="78">
        <v>10.432540338634301</v>
      </c>
      <c r="G1300" s="78">
        <v>10.432540338634301</v>
      </c>
      <c r="H1300" s="81">
        <v>9.7466727291642208</v>
      </c>
    </row>
    <row r="1301" spans="1:8" x14ac:dyDescent="0.3">
      <c r="A1301" s="74" t="str">
        <f t="shared" si="20"/>
        <v>陕西46168</v>
      </c>
      <c r="B1301" s="75" t="s">
        <v>16</v>
      </c>
      <c r="C1301" s="45">
        <v>46168</v>
      </c>
      <c r="D1301" s="76">
        <v>1885.5768560015699</v>
      </c>
      <c r="E1301" s="77">
        <v>125</v>
      </c>
      <c r="F1301" s="78">
        <v>10.432540338634301</v>
      </c>
      <c r="G1301" s="78">
        <v>10.432540338634301</v>
      </c>
      <c r="H1301" s="81">
        <v>9.7466727291642208</v>
      </c>
    </row>
    <row r="1302" spans="1:8" x14ac:dyDescent="0.3">
      <c r="A1302" s="74" t="str">
        <f t="shared" si="20"/>
        <v>陕西46169</v>
      </c>
      <c r="B1302" s="75" t="s">
        <v>16</v>
      </c>
      <c r="C1302" s="45">
        <v>46169</v>
      </c>
      <c r="D1302" s="76">
        <v>1885.5768560015699</v>
      </c>
      <c r="E1302" s="77">
        <v>125</v>
      </c>
      <c r="F1302" s="78">
        <v>10.432540338634301</v>
      </c>
      <c r="G1302" s="78">
        <v>10.432540338634301</v>
      </c>
      <c r="H1302" s="81">
        <v>9.7466727291642208</v>
      </c>
    </row>
    <row r="1303" spans="1:8" x14ac:dyDescent="0.3">
      <c r="A1303" s="74" t="str">
        <f t="shared" si="20"/>
        <v>陕西46170</v>
      </c>
      <c r="B1303" s="75" t="s">
        <v>16</v>
      </c>
      <c r="C1303" s="45">
        <v>46170</v>
      </c>
      <c r="D1303" s="76">
        <v>1885.5768560015699</v>
      </c>
      <c r="E1303" s="77">
        <v>125</v>
      </c>
      <c r="F1303" s="78">
        <v>10.432540338634301</v>
      </c>
      <c r="G1303" s="78">
        <v>10.432540338634301</v>
      </c>
      <c r="H1303" s="81">
        <v>9.7466727291642208</v>
      </c>
    </row>
    <row r="1304" spans="1:8" x14ac:dyDescent="0.3">
      <c r="A1304" s="74" t="str">
        <f t="shared" si="20"/>
        <v>陕西46171</v>
      </c>
      <c r="B1304" s="75" t="s">
        <v>16</v>
      </c>
      <c r="C1304" s="45">
        <v>46171</v>
      </c>
      <c r="D1304" s="76">
        <v>1885.5768560015699</v>
      </c>
      <c r="E1304" s="77">
        <v>125</v>
      </c>
      <c r="F1304" s="78">
        <v>10.432540338634301</v>
      </c>
      <c r="G1304" s="78">
        <v>10.432540338634301</v>
      </c>
      <c r="H1304" s="81">
        <v>9.7466727291642208</v>
      </c>
    </row>
    <row r="1305" spans="1:8" x14ac:dyDescent="0.3">
      <c r="A1305" s="74" t="str">
        <f t="shared" si="20"/>
        <v>陕西46172</v>
      </c>
      <c r="B1305" s="75" t="s">
        <v>16</v>
      </c>
      <c r="C1305" s="45">
        <v>46172</v>
      </c>
      <c r="D1305" s="76">
        <v>1885.5768560015699</v>
      </c>
      <c r="E1305" s="77">
        <v>125</v>
      </c>
      <c r="F1305" s="78">
        <v>10.432540338634301</v>
      </c>
      <c r="G1305" s="78">
        <v>10.432540338634301</v>
      </c>
      <c r="H1305" s="81">
        <v>9.7466727291642208</v>
      </c>
    </row>
    <row r="1306" spans="1:8" x14ac:dyDescent="0.3">
      <c r="A1306" s="74" t="str">
        <f t="shared" si="20"/>
        <v>陕西46173</v>
      </c>
      <c r="B1306" s="75" t="s">
        <v>16</v>
      </c>
      <c r="C1306" s="45">
        <v>46173</v>
      </c>
      <c r="D1306" s="76">
        <v>1885.5768560015699</v>
      </c>
      <c r="E1306" s="77">
        <v>125</v>
      </c>
      <c r="F1306" s="78">
        <v>10.432540338634301</v>
      </c>
      <c r="G1306" s="78">
        <v>10.432540338634301</v>
      </c>
      <c r="H1306" s="81">
        <v>9.7466727291642208</v>
      </c>
    </row>
    <row r="1307" spans="1:8" x14ac:dyDescent="0.3">
      <c r="A1307" s="74" t="str">
        <f t="shared" si="20"/>
        <v>陕西46174</v>
      </c>
      <c r="B1307" s="75" t="s">
        <v>16</v>
      </c>
      <c r="C1307" s="45">
        <v>46174</v>
      </c>
      <c r="D1307" s="76">
        <v>1697.06068213303</v>
      </c>
      <c r="E1307" s="77">
        <v>125</v>
      </c>
      <c r="F1307" s="78">
        <v>11.4485330364063</v>
      </c>
      <c r="G1307" s="78">
        <v>11.4485330364063</v>
      </c>
      <c r="H1307" s="81">
        <v>10.609166019264199</v>
      </c>
    </row>
    <row r="1308" spans="1:8" x14ac:dyDescent="0.3">
      <c r="A1308" s="74" t="str">
        <f t="shared" si="20"/>
        <v>陕西46175</v>
      </c>
      <c r="B1308" s="75" t="s">
        <v>16</v>
      </c>
      <c r="C1308" s="45">
        <v>46175</v>
      </c>
      <c r="D1308" s="76">
        <v>1697.06068213303</v>
      </c>
      <c r="E1308" s="77">
        <v>125</v>
      </c>
      <c r="F1308" s="78">
        <v>11.4485330364063</v>
      </c>
      <c r="G1308" s="78">
        <v>11.4485330364063</v>
      </c>
      <c r="H1308" s="81">
        <v>10.609166019264199</v>
      </c>
    </row>
    <row r="1309" spans="1:8" x14ac:dyDescent="0.3">
      <c r="A1309" s="74" t="str">
        <f t="shared" si="20"/>
        <v>陕西46176</v>
      </c>
      <c r="B1309" s="75" t="s">
        <v>16</v>
      </c>
      <c r="C1309" s="45">
        <v>46176</v>
      </c>
      <c r="D1309" s="76">
        <v>1697.06068213303</v>
      </c>
      <c r="E1309" s="77">
        <v>125</v>
      </c>
      <c r="F1309" s="78">
        <v>11.4485330364063</v>
      </c>
      <c r="G1309" s="78">
        <v>11.4485330364063</v>
      </c>
      <c r="H1309" s="81">
        <v>10.609166019264199</v>
      </c>
    </row>
    <row r="1310" spans="1:8" x14ac:dyDescent="0.3">
      <c r="A1310" s="74" t="str">
        <f t="shared" si="20"/>
        <v>陕西46177</v>
      </c>
      <c r="B1310" s="75" t="s">
        <v>16</v>
      </c>
      <c r="C1310" s="45">
        <v>46177</v>
      </c>
      <c r="D1310" s="76">
        <v>1697.06068213303</v>
      </c>
      <c r="E1310" s="77">
        <v>125</v>
      </c>
      <c r="F1310" s="78">
        <v>11.4485330364063</v>
      </c>
      <c r="G1310" s="78">
        <v>11.4485330364063</v>
      </c>
      <c r="H1310" s="81">
        <v>10.609166019264199</v>
      </c>
    </row>
    <row r="1311" spans="1:8" x14ac:dyDescent="0.3">
      <c r="A1311" s="74" t="str">
        <f t="shared" si="20"/>
        <v>陕西46178</v>
      </c>
      <c r="B1311" s="75" t="s">
        <v>16</v>
      </c>
      <c r="C1311" s="45">
        <v>46178</v>
      </c>
      <c r="D1311" s="76">
        <v>1697.06068213303</v>
      </c>
      <c r="E1311" s="77">
        <v>125</v>
      </c>
      <c r="F1311" s="78">
        <v>11.4485330364063</v>
      </c>
      <c r="G1311" s="78">
        <v>11.4485330364063</v>
      </c>
      <c r="H1311" s="81">
        <v>10.609166019264199</v>
      </c>
    </row>
    <row r="1312" spans="1:8" x14ac:dyDescent="0.3">
      <c r="A1312" s="74" t="str">
        <f t="shared" si="20"/>
        <v>陕西46179</v>
      </c>
      <c r="B1312" s="75" t="s">
        <v>16</v>
      </c>
      <c r="C1312" s="45">
        <v>46179</v>
      </c>
      <c r="D1312" s="76">
        <v>1697.06068213303</v>
      </c>
      <c r="E1312" s="77">
        <v>125</v>
      </c>
      <c r="F1312" s="78">
        <v>11.4485330364063</v>
      </c>
      <c r="G1312" s="78">
        <v>11.4485330364063</v>
      </c>
      <c r="H1312" s="81">
        <v>10.609166019264199</v>
      </c>
    </row>
    <row r="1313" spans="1:8" x14ac:dyDescent="0.3">
      <c r="A1313" s="74" t="str">
        <f t="shared" si="20"/>
        <v>陕西46180</v>
      </c>
      <c r="B1313" s="75" t="s">
        <v>16</v>
      </c>
      <c r="C1313" s="45">
        <v>46180</v>
      </c>
      <c r="D1313" s="76">
        <v>1697.06068213303</v>
      </c>
      <c r="E1313" s="77">
        <v>125</v>
      </c>
      <c r="F1313" s="78">
        <v>11.4485330364063</v>
      </c>
      <c r="G1313" s="78">
        <v>11.4485330364063</v>
      </c>
      <c r="H1313" s="81">
        <v>10.609166019264199</v>
      </c>
    </row>
    <row r="1314" spans="1:8" x14ac:dyDescent="0.3">
      <c r="A1314" s="74" t="str">
        <f t="shared" si="20"/>
        <v>陕西46181</v>
      </c>
      <c r="B1314" s="75" t="s">
        <v>16</v>
      </c>
      <c r="C1314" s="45">
        <v>46181</v>
      </c>
      <c r="D1314" s="76">
        <v>1697.06068213303</v>
      </c>
      <c r="E1314" s="77">
        <v>125</v>
      </c>
      <c r="F1314" s="78">
        <v>11.4485330364063</v>
      </c>
      <c r="G1314" s="78">
        <v>11.4485330364063</v>
      </c>
      <c r="H1314" s="81">
        <v>10.609166019264199</v>
      </c>
    </row>
    <row r="1315" spans="1:8" x14ac:dyDescent="0.3">
      <c r="A1315" s="74" t="str">
        <f t="shared" si="20"/>
        <v>陕西46182</v>
      </c>
      <c r="B1315" s="75" t="s">
        <v>16</v>
      </c>
      <c r="C1315" s="45">
        <v>46182</v>
      </c>
      <c r="D1315" s="76">
        <v>1697.06068213303</v>
      </c>
      <c r="E1315" s="77">
        <v>125</v>
      </c>
      <c r="F1315" s="78">
        <v>11.4485330364063</v>
      </c>
      <c r="G1315" s="78">
        <v>11.4485330364063</v>
      </c>
      <c r="H1315" s="81">
        <v>10.609166019264199</v>
      </c>
    </row>
    <row r="1316" spans="1:8" x14ac:dyDescent="0.3">
      <c r="A1316" s="74" t="str">
        <f t="shared" si="20"/>
        <v>陕西46183</v>
      </c>
      <c r="B1316" s="75" t="s">
        <v>16</v>
      </c>
      <c r="C1316" s="45">
        <v>46183</v>
      </c>
      <c r="D1316" s="76">
        <v>1697.06068213303</v>
      </c>
      <c r="E1316" s="77">
        <v>125</v>
      </c>
      <c r="F1316" s="78">
        <v>11.4485330364063</v>
      </c>
      <c r="G1316" s="78">
        <v>11.4485330364063</v>
      </c>
      <c r="H1316" s="81">
        <v>10.609166019264199</v>
      </c>
    </row>
    <row r="1317" spans="1:8" x14ac:dyDescent="0.3">
      <c r="A1317" s="74" t="str">
        <f t="shared" si="20"/>
        <v>陕西46184</v>
      </c>
      <c r="B1317" s="75" t="s">
        <v>16</v>
      </c>
      <c r="C1317" s="45">
        <v>46184</v>
      </c>
      <c r="D1317" s="76">
        <v>1697.06068213303</v>
      </c>
      <c r="E1317" s="77">
        <v>125</v>
      </c>
      <c r="F1317" s="78">
        <v>11.4485330364063</v>
      </c>
      <c r="G1317" s="78">
        <v>11.4485330364063</v>
      </c>
      <c r="H1317" s="81">
        <v>10.609166019264199</v>
      </c>
    </row>
    <row r="1318" spans="1:8" x14ac:dyDescent="0.3">
      <c r="A1318" s="74" t="str">
        <f t="shared" si="20"/>
        <v>陕西46185</v>
      </c>
      <c r="B1318" s="75" t="s">
        <v>16</v>
      </c>
      <c r="C1318" s="45">
        <v>46185</v>
      </c>
      <c r="D1318" s="76">
        <v>1697.06068213303</v>
      </c>
      <c r="E1318" s="77">
        <v>125</v>
      </c>
      <c r="F1318" s="78">
        <v>11.4485330364063</v>
      </c>
      <c r="G1318" s="78">
        <v>11.4485330364063</v>
      </c>
      <c r="H1318" s="81">
        <v>10.609166019264199</v>
      </c>
    </row>
    <row r="1319" spans="1:8" x14ac:dyDescent="0.3">
      <c r="A1319" s="74" t="str">
        <f t="shared" si="20"/>
        <v>陕西46186</v>
      </c>
      <c r="B1319" s="75" t="s">
        <v>16</v>
      </c>
      <c r="C1319" s="45">
        <v>46186</v>
      </c>
      <c r="D1319" s="76">
        <v>1697.06068213303</v>
      </c>
      <c r="E1319" s="77">
        <v>125</v>
      </c>
      <c r="F1319" s="78">
        <v>11.4485330364063</v>
      </c>
      <c r="G1319" s="78">
        <v>11.4485330364063</v>
      </c>
      <c r="H1319" s="81">
        <v>10.609166019264199</v>
      </c>
    </row>
    <row r="1320" spans="1:8" x14ac:dyDescent="0.3">
      <c r="A1320" s="74" t="str">
        <f t="shared" si="20"/>
        <v>陕西46187</v>
      </c>
      <c r="B1320" s="75" t="s">
        <v>16</v>
      </c>
      <c r="C1320" s="45">
        <v>46187</v>
      </c>
      <c r="D1320" s="76">
        <v>1697.06068213303</v>
      </c>
      <c r="E1320" s="77">
        <v>125</v>
      </c>
      <c r="F1320" s="78">
        <v>11.4485330364063</v>
      </c>
      <c r="G1320" s="78">
        <v>11.4485330364063</v>
      </c>
      <c r="H1320" s="81">
        <v>10.609166019264199</v>
      </c>
    </row>
    <row r="1321" spans="1:8" x14ac:dyDescent="0.3">
      <c r="A1321" s="74" t="str">
        <f t="shared" si="20"/>
        <v>陕西46188</v>
      </c>
      <c r="B1321" s="75" t="s">
        <v>16</v>
      </c>
      <c r="C1321" s="45">
        <v>46188</v>
      </c>
      <c r="D1321" s="76">
        <v>1697.06068213303</v>
      </c>
      <c r="E1321" s="77">
        <v>125</v>
      </c>
      <c r="F1321" s="78">
        <v>11.4485330364063</v>
      </c>
      <c r="G1321" s="78">
        <v>11.4485330364063</v>
      </c>
      <c r="H1321" s="81">
        <v>10.609166019264199</v>
      </c>
    </row>
    <row r="1322" spans="1:8" x14ac:dyDescent="0.3">
      <c r="A1322" s="74" t="str">
        <f t="shared" si="20"/>
        <v>陕西46189</v>
      </c>
      <c r="B1322" s="75" t="s">
        <v>16</v>
      </c>
      <c r="C1322" s="45">
        <v>46189</v>
      </c>
      <c r="D1322" s="76">
        <v>1697.06068213303</v>
      </c>
      <c r="E1322" s="77">
        <v>125</v>
      </c>
      <c r="F1322" s="78">
        <v>11.4485330364063</v>
      </c>
      <c r="G1322" s="78">
        <v>11.4485330364063</v>
      </c>
      <c r="H1322" s="81">
        <v>10.609166019264199</v>
      </c>
    </row>
    <row r="1323" spans="1:8" x14ac:dyDescent="0.3">
      <c r="A1323" s="74" t="str">
        <f t="shared" si="20"/>
        <v>陕西46190</v>
      </c>
      <c r="B1323" s="75" t="s">
        <v>16</v>
      </c>
      <c r="C1323" s="45">
        <v>46190</v>
      </c>
      <c r="D1323" s="76">
        <v>1697.06068213303</v>
      </c>
      <c r="E1323" s="77">
        <v>125</v>
      </c>
      <c r="F1323" s="78">
        <v>11.4485330364063</v>
      </c>
      <c r="G1323" s="78">
        <v>11.4485330364063</v>
      </c>
      <c r="H1323" s="81">
        <v>10.609166019264199</v>
      </c>
    </row>
    <row r="1324" spans="1:8" x14ac:dyDescent="0.3">
      <c r="A1324" s="74" t="str">
        <f t="shared" si="20"/>
        <v>陕西46191</v>
      </c>
      <c r="B1324" s="75" t="s">
        <v>16</v>
      </c>
      <c r="C1324" s="45">
        <v>46191</v>
      </c>
      <c r="D1324" s="76">
        <v>1697.06068213303</v>
      </c>
      <c r="E1324" s="77">
        <v>125</v>
      </c>
      <c r="F1324" s="78">
        <v>11.4485330364063</v>
      </c>
      <c r="G1324" s="78">
        <v>11.4485330364063</v>
      </c>
      <c r="H1324" s="81">
        <v>10.609166019264199</v>
      </c>
    </row>
    <row r="1325" spans="1:8" x14ac:dyDescent="0.3">
      <c r="A1325" s="74" t="str">
        <f t="shared" si="20"/>
        <v>陕西46192</v>
      </c>
      <c r="B1325" s="75" t="s">
        <v>16</v>
      </c>
      <c r="C1325" s="45">
        <v>46192</v>
      </c>
      <c r="D1325" s="76">
        <v>1697.06068213303</v>
      </c>
      <c r="E1325" s="77">
        <v>125</v>
      </c>
      <c r="F1325" s="78">
        <v>11.4485330364063</v>
      </c>
      <c r="G1325" s="78">
        <v>11.4485330364063</v>
      </c>
      <c r="H1325" s="81">
        <v>10.609166019264199</v>
      </c>
    </row>
    <row r="1326" spans="1:8" x14ac:dyDescent="0.3">
      <c r="A1326" s="74" t="str">
        <f t="shared" si="20"/>
        <v>陕西46193</v>
      </c>
      <c r="B1326" s="75" t="s">
        <v>16</v>
      </c>
      <c r="C1326" s="45">
        <v>46193</v>
      </c>
      <c r="D1326" s="76">
        <v>1697.06068213303</v>
      </c>
      <c r="E1326" s="77">
        <v>125</v>
      </c>
      <c r="F1326" s="78">
        <v>11.4485330364063</v>
      </c>
      <c r="G1326" s="78">
        <v>11.4485330364063</v>
      </c>
      <c r="H1326" s="81">
        <v>10.609166019264199</v>
      </c>
    </row>
    <row r="1327" spans="1:8" x14ac:dyDescent="0.3">
      <c r="A1327" s="74" t="str">
        <f t="shared" si="20"/>
        <v>陕西46194</v>
      </c>
      <c r="B1327" s="75" t="s">
        <v>16</v>
      </c>
      <c r="C1327" s="45">
        <v>46194</v>
      </c>
      <c r="D1327" s="76">
        <v>1697.06068213303</v>
      </c>
      <c r="E1327" s="77">
        <v>125</v>
      </c>
      <c r="F1327" s="78">
        <v>11.4485330364063</v>
      </c>
      <c r="G1327" s="78">
        <v>11.4485330364063</v>
      </c>
      <c r="H1327" s="81">
        <v>10.609166019264199</v>
      </c>
    </row>
    <row r="1328" spans="1:8" x14ac:dyDescent="0.3">
      <c r="A1328" s="74" t="str">
        <f t="shared" si="20"/>
        <v>陕西46195</v>
      </c>
      <c r="B1328" s="75" t="s">
        <v>16</v>
      </c>
      <c r="C1328" s="45">
        <v>46195</v>
      </c>
      <c r="D1328" s="76">
        <v>1697.06068213303</v>
      </c>
      <c r="E1328" s="77">
        <v>125</v>
      </c>
      <c r="F1328" s="78">
        <v>11.4485330364063</v>
      </c>
      <c r="G1328" s="78">
        <v>11.4485330364063</v>
      </c>
      <c r="H1328" s="81">
        <v>10.609166019264199</v>
      </c>
    </row>
    <row r="1329" spans="1:8" x14ac:dyDescent="0.3">
      <c r="A1329" s="74" t="str">
        <f t="shared" si="20"/>
        <v>陕西46196</v>
      </c>
      <c r="B1329" s="75" t="s">
        <v>16</v>
      </c>
      <c r="C1329" s="45">
        <v>46196</v>
      </c>
      <c r="D1329" s="76">
        <v>1697.06068213303</v>
      </c>
      <c r="E1329" s="77">
        <v>125</v>
      </c>
      <c r="F1329" s="78">
        <v>11.4485330364063</v>
      </c>
      <c r="G1329" s="78">
        <v>11.4485330364063</v>
      </c>
      <c r="H1329" s="81">
        <v>10.609166019264199</v>
      </c>
    </row>
    <row r="1330" spans="1:8" x14ac:dyDescent="0.3">
      <c r="A1330" s="74" t="str">
        <f t="shared" si="20"/>
        <v>陕西46197</v>
      </c>
      <c r="B1330" s="75" t="s">
        <v>16</v>
      </c>
      <c r="C1330" s="45">
        <v>46197</v>
      </c>
      <c r="D1330" s="76">
        <v>1697.06068213303</v>
      </c>
      <c r="E1330" s="77">
        <v>125</v>
      </c>
      <c r="F1330" s="78">
        <v>11.4485330364063</v>
      </c>
      <c r="G1330" s="78">
        <v>11.4485330364063</v>
      </c>
      <c r="H1330" s="81">
        <v>10.609166019264199</v>
      </c>
    </row>
    <row r="1331" spans="1:8" x14ac:dyDescent="0.3">
      <c r="A1331" s="74" t="str">
        <f t="shared" si="20"/>
        <v>陕西46198</v>
      </c>
      <c r="B1331" s="75" t="s">
        <v>16</v>
      </c>
      <c r="C1331" s="45">
        <v>46198</v>
      </c>
      <c r="D1331" s="76">
        <v>1697.06068213303</v>
      </c>
      <c r="E1331" s="77">
        <v>125</v>
      </c>
      <c r="F1331" s="78">
        <v>11.4485330364063</v>
      </c>
      <c r="G1331" s="78">
        <v>11.4485330364063</v>
      </c>
      <c r="H1331" s="81">
        <v>10.609166019264199</v>
      </c>
    </row>
    <row r="1332" spans="1:8" x14ac:dyDescent="0.3">
      <c r="A1332" s="74" t="str">
        <f t="shared" si="20"/>
        <v>陕西46199</v>
      </c>
      <c r="B1332" s="75" t="s">
        <v>16</v>
      </c>
      <c r="C1332" s="45">
        <v>46199</v>
      </c>
      <c r="D1332" s="76">
        <v>1697.06068213303</v>
      </c>
      <c r="E1332" s="77">
        <v>125</v>
      </c>
      <c r="F1332" s="78">
        <v>11.4485330364063</v>
      </c>
      <c r="G1332" s="78">
        <v>11.4485330364063</v>
      </c>
      <c r="H1332" s="81">
        <v>10.609166019264199</v>
      </c>
    </row>
    <row r="1333" spans="1:8" x14ac:dyDescent="0.3">
      <c r="A1333" s="74" t="str">
        <f t="shared" si="20"/>
        <v>陕西46200</v>
      </c>
      <c r="B1333" s="75" t="s">
        <v>16</v>
      </c>
      <c r="C1333" s="45">
        <v>46200</v>
      </c>
      <c r="D1333" s="76">
        <v>1697.06068213303</v>
      </c>
      <c r="E1333" s="77">
        <v>125</v>
      </c>
      <c r="F1333" s="78">
        <v>11.4485330364063</v>
      </c>
      <c r="G1333" s="78">
        <v>11.4485330364063</v>
      </c>
      <c r="H1333" s="81">
        <v>10.609166019264199</v>
      </c>
    </row>
    <row r="1334" spans="1:8" x14ac:dyDescent="0.3">
      <c r="A1334" s="74" t="str">
        <f t="shared" si="20"/>
        <v>陕西46201</v>
      </c>
      <c r="B1334" s="75" t="s">
        <v>16</v>
      </c>
      <c r="C1334" s="45">
        <v>46201</v>
      </c>
      <c r="D1334" s="76">
        <v>1697.06068213303</v>
      </c>
      <c r="E1334" s="77">
        <v>125</v>
      </c>
      <c r="F1334" s="78">
        <v>11.4485330364063</v>
      </c>
      <c r="G1334" s="78">
        <v>11.4485330364063</v>
      </c>
      <c r="H1334" s="81">
        <v>10.609166019264199</v>
      </c>
    </row>
    <row r="1335" spans="1:8" x14ac:dyDescent="0.3">
      <c r="A1335" s="74" t="str">
        <f t="shared" si="20"/>
        <v>陕西46202</v>
      </c>
      <c r="B1335" s="75" t="s">
        <v>16</v>
      </c>
      <c r="C1335" s="45">
        <v>46202</v>
      </c>
      <c r="D1335" s="76">
        <v>1697.06068213303</v>
      </c>
      <c r="E1335" s="77">
        <v>125</v>
      </c>
      <c r="F1335" s="78">
        <v>11.4485330364063</v>
      </c>
      <c r="G1335" s="78">
        <v>11.4485330364063</v>
      </c>
      <c r="H1335" s="81">
        <v>10.609166019264199</v>
      </c>
    </row>
    <row r="1336" spans="1:8" x14ac:dyDescent="0.3">
      <c r="A1336" s="74" t="str">
        <f t="shared" si="20"/>
        <v>陕西46203</v>
      </c>
      <c r="B1336" s="75" t="s">
        <v>16</v>
      </c>
      <c r="C1336" s="45">
        <v>46203</v>
      </c>
      <c r="D1336" s="76">
        <v>1697.06068213303</v>
      </c>
      <c r="E1336" s="77">
        <v>125</v>
      </c>
      <c r="F1336" s="78">
        <v>11.4485330364063</v>
      </c>
      <c r="G1336" s="78">
        <v>11.4485330364063</v>
      </c>
      <c r="H1336" s="81">
        <v>10.609166019264199</v>
      </c>
    </row>
    <row r="1337" spans="1:8" x14ac:dyDescent="0.3">
      <c r="A1337" s="74" t="str">
        <f t="shared" si="20"/>
        <v>陕西46204</v>
      </c>
      <c r="B1337" s="75" t="s">
        <v>16</v>
      </c>
      <c r="C1337" s="45">
        <v>46204</v>
      </c>
      <c r="D1337" s="76">
        <v>1656.7084562118</v>
      </c>
      <c r="E1337" s="77">
        <v>125</v>
      </c>
      <c r="F1337" s="78">
        <v>11.928264184573401</v>
      </c>
      <c r="G1337" s="78">
        <v>11.928264184573401</v>
      </c>
      <c r="H1337" s="81">
        <v>11.471659309364099</v>
      </c>
    </row>
    <row r="1338" spans="1:8" x14ac:dyDescent="0.3">
      <c r="A1338" s="74" t="str">
        <f t="shared" si="20"/>
        <v>陕西46205</v>
      </c>
      <c r="B1338" s="75" t="s">
        <v>16</v>
      </c>
      <c r="C1338" s="45">
        <v>46205</v>
      </c>
      <c r="D1338" s="76">
        <v>1656.7084562118</v>
      </c>
      <c r="E1338" s="77">
        <v>125</v>
      </c>
      <c r="F1338" s="78">
        <v>11.928264184573401</v>
      </c>
      <c r="G1338" s="78">
        <v>11.928264184573401</v>
      </c>
      <c r="H1338" s="81">
        <v>11.471659309364099</v>
      </c>
    </row>
    <row r="1339" spans="1:8" x14ac:dyDescent="0.3">
      <c r="A1339" s="74" t="str">
        <f t="shared" si="20"/>
        <v>陕西46206</v>
      </c>
      <c r="B1339" s="75" t="s">
        <v>16</v>
      </c>
      <c r="C1339" s="45">
        <v>46206</v>
      </c>
      <c r="D1339" s="76">
        <v>1656.7084562118</v>
      </c>
      <c r="E1339" s="77">
        <v>125</v>
      </c>
      <c r="F1339" s="78">
        <v>11.928264184573401</v>
      </c>
      <c r="G1339" s="78">
        <v>11.928264184573401</v>
      </c>
      <c r="H1339" s="81">
        <v>11.471659309364099</v>
      </c>
    </row>
    <row r="1340" spans="1:8" x14ac:dyDescent="0.3">
      <c r="A1340" s="74" t="str">
        <f t="shared" si="20"/>
        <v>陕西46207</v>
      </c>
      <c r="B1340" s="75" t="s">
        <v>16</v>
      </c>
      <c r="C1340" s="45">
        <v>46207</v>
      </c>
      <c r="D1340" s="76">
        <v>1656.7084562118</v>
      </c>
      <c r="E1340" s="77">
        <v>125</v>
      </c>
      <c r="F1340" s="78">
        <v>11.928264184573401</v>
      </c>
      <c r="G1340" s="78">
        <v>11.928264184573401</v>
      </c>
      <c r="H1340" s="81">
        <v>11.471659309364099</v>
      </c>
    </row>
    <row r="1341" spans="1:8" x14ac:dyDescent="0.3">
      <c r="A1341" s="74" t="str">
        <f t="shared" si="20"/>
        <v>陕西46208</v>
      </c>
      <c r="B1341" s="75" t="s">
        <v>16</v>
      </c>
      <c r="C1341" s="45">
        <v>46208</v>
      </c>
      <c r="D1341" s="76">
        <v>1656.7084562118</v>
      </c>
      <c r="E1341" s="77">
        <v>125</v>
      </c>
      <c r="F1341" s="78">
        <v>11.928264184573401</v>
      </c>
      <c r="G1341" s="78">
        <v>11.928264184573401</v>
      </c>
      <c r="H1341" s="81">
        <v>11.471659309364099</v>
      </c>
    </row>
    <row r="1342" spans="1:8" x14ac:dyDescent="0.3">
      <c r="A1342" s="74" t="str">
        <f t="shared" si="20"/>
        <v>陕西46209</v>
      </c>
      <c r="B1342" s="75" t="s">
        <v>16</v>
      </c>
      <c r="C1342" s="45">
        <v>46209</v>
      </c>
      <c r="D1342" s="76">
        <v>1656.7084562118</v>
      </c>
      <c r="E1342" s="77">
        <v>125</v>
      </c>
      <c r="F1342" s="78">
        <v>11.928264184573401</v>
      </c>
      <c r="G1342" s="78">
        <v>11.928264184573401</v>
      </c>
      <c r="H1342" s="81">
        <v>11.471659309364099</v>
      </c>
    </row>
    <row r="1343" spans="1:8" x14ac:dyDescent="0.3">
      <c r="A1343" s="74" t="str">
        <f t="shared" si="20"/>
        <v>陕西46210</v>
      </c>
      <c r="B1343" s="75" t="s">
        <v>16</v>
      </c>
      <c r="C1343" s="45">
        <v>46210</v>
      </c>
      <c r="D1343" s="76">
        <v>1656.7084562118</v>
      </c>
      <c r="E1343" s="77">
        <v>125</v>
      </c>
      <c r="F1343" s="78">
        <v>11.928264184573401</v>
      </c>
      <c r="G1343" s="78">
        <v>11.928264184573401</v>
      </c>
      <c r="H1343" s="81">
        <v>11.471659309364099</v>
      </c>
    </row>
    <row r="1344" spans="1:8" x14ac:dyDescent="0.3">
      <c r="A1344" s="74" t="str">
        <f t="shared" si="20"/>
        <v>陕西46211</v>
      </c>
      <c r="B1344" s="75" t="s">
        <v>16</v>
      </c>
      <c r="C1344" s="45">
        <v>46211</v>
      </c>
      <c r="D1344" s="76">
        <v>1656.7084562118</v>
      </c>
      <c r="E1344" s="77">
        <v>125</v>
      </c>
      <c r="F1344" s="78">
        <v>11.928264184573401</v>
      </c>
      <c r="G1344" s="78">
        <v>11.928264184573401</v>
      </c>
      <c r="H1344" s="81">
        <v>11.471659309364099</v>
      </c>
    </row>
    <row r="1345" spans="1:8" x14ac:dyDescent="0.3">
      <c r="A1345" s="74" t="str">
        <f t="shared" si="20"/>
        <v>陕西46212</v>
      </c>
      <c r="B1345" s="75" t="s">
        <v>16</v>
      </c>
      <c r="C1345" s="45">
        <v>46212</v>
      </c>
      <c r="D1345" s="76">
        <v>1656.7084562118</v>
      </c>
      <c r="E1345" s="77">
        <v>125</v>
      </c>
      <c r="F1345" s="78">
        <v>11.928264184573401</v>
      </c>
      <c r="G1345" s="78">
        <v>11.928264184573401</v>
      </c>
      <c r="H1345" s="81">
        <v>11.471659309364099</v>
      </c>
    </row>
    <row r="1346" spans="1:8" x14ac:dyDescent="0.3">
      <c r="A1346" s="74" t="str">
        <f t="shared" si="20"/>
        <v>陕西46213</v>
      </c>
      <c r="B1346" s="75" t="s">
        <v>16</v>
      </c>
      <c r="C1346" s="45">
        <v>46213</v>
      </c>
      <c r="D1346" s="76">
        <v>1656.7084562118</v>
      </c>
      <c r="E1346" s="77">
        <v>125</v>
      </c>
      <c r="F1346" s="78">
        <v>11.928264184573401</v>
      </c>
      <c r="G1346" s="78">
        <v>11.928264184573401</v>
      </c>
      <c r="H1346" s="81">
        <v>11.471659309364099</v>
      </c>
    </row>
    <row r="1347" spans="1:8" x14ac:dyDescent="0.3">
      <c r="A1347" s="74" t="str">
        <f t="shared" ref="A1347:A1410" si="21">B1347&amp;C1347</f>
        <v>陕西46214</v>
      </c>
      <c r="B1347" s="75" t="s">
        <v>16</v>
      </c>
      <c r="C1347" s="45">
        <v>46214</v>
      </c>
      <c r="D1347" s="76">
        <v>1656.7084562118</v>
      </c>
      <c r="E1347" s="77">
        <v>125</v>
      </c>
      <c r="F1347" s="78">
        <v>11.928264184573401</v>
      </c>
      <c r="G1347" s="78">
        <v>11.928264184573401</v>
      </c>
      <c r="H1347" s="81">
        <v>11.471659309364099</v>
      </c>
    </row>
    <row r="1348" spans="1:8" x14ac:dyDescent="0.3">
      <c r="A1348" s="74" t="str">
        <f t="shared" si="21"/>
        <v>陕西46215</v>
      </c>
      <c r="B1348" s="75" t="s">
        <v>16</v>
      </c>
      <c r="C1348" s="45">
        <v>46215</v>
      </c>
      <c r="D1348" s="76">
        <v>1656.7084562118</v>
      </c>
      <c r="E1348" s="77">
        <v>125</v>
      </c>
      <c r="F1348" s="78">
        <v>11.928264184573401</v>
      </c>
      <c r="G1348" s="78">
        <v>11.928264184573401</v>
      </c>
      <c r="H1348" s="81">
        <v>11.471659309364099</v>
      </c>
    </row>
    <row r="1349" spans="1:8" x14ac:dyDescent="0.3">
      <c r="A1349" s="74" t="str">
        <f t="shared" si="21"/>
        <v>陕西46216</v>
      </c>
      <c r="B1349" s="75" t="s">
        <v>16</v>
      </c>
      <c r="C1349" s="45">
        <v>46216</v>
      </c>
      <c r="D1349" s="76">
        <v>1656.7084562118</v>
      </c>
      <c r="E1349" s="77">
        <v>125</v>
      </c>
      <c r="F1349" s="78">
        <v>11.928264184573401</v>
      </c>
      <c r="G1349" s="78">
        <v>11.928264184573401</v>
      </c>
      <c r="H1349" s="81">
        <v>11.471659309364099</v>
      </c>
    </row>
    <row r="1350" spans="1:8" x14ac:dyDescent="0.3">
      <c r="A1350" s="74" t="str">
        <f t="shared" si="21"/>
        <v>陕西46217</v>
      </c>
      <c r="B1350" s="75" t="s">
        <v>16</v>
      </c>
      <c r="C1350" s="45">
        <v>46217</v>
      </c>
      <c r="D1350" s="76">
        <v>1656.7084562118</v>
      </c>
      <c r="E1350" s="77">
        <v>125</v>
      </c>
      <c r="F1350" s="78">
        <v>11.928264184573401</v>
      </c>
      <c r="G1350" s="78">
        <v>11.928264184573401</v>
      </c>
      <c r="H1350" s="81">
        <v>11.471659309364099</v>
      </c>
    </row>
    <row r="1351" spans="1:8" x14ac:dyDescent="0.3">
      <c r="A1351" s="74" t="str">
        <f t="shared" si="21"/>
        <v>陕西46218</v>
      </c>
      <c r="B1351" s="75" t="s">
        <v>16</v>
      </c>
      <c r="C1351" s="45">
        <v>46218</v>
      </c>
      <c r="D1351" s="76">
        <v>1656.7084562118</v>
      </c>
      <c r="E1351" s="77">
        <v>125</v>
      </c>
      <c r="F1351" s="78">
        <v>11.928264184573401</v>
      </c>
      <c r="G1351" s="78">
        <v>11.928264184573401</v>
      </c>
      <c r="H1351" s="81">
        <v>11.471659309364099</v>
      </c>
    </row>
    <row r="1352" spans="1:8" x14ac:dyDescent="0.3">
      <c r="A1352" s="74" t="str">
        <f t="shared" si="21"/>
        <v>陕西46219</v>
      </c>
      <c r="B1352" s="75" t="s">
        <v>16</v>
      </c>
      <c r="C1352" s="45">
        <v>46219</v>
      </c>
      <c r="D1352" s="76">
        <v>1656.7084562118</v>
      </c>
      <c r="E1352" s="77">
        <v>125</v>
      </c>
      <c r="F1352" s="78">
        <v>11.928264184573401</v>
      </c>
      <c r="G1352" s="78">
        <v>11.928264184573401</v>
      </c>
      <c r="H1352" s="81">
        <v>11.471659309364099</v>
      </c>
    </row>
    <row r="1353" spans="1:8" x14ac:dyDescent="0.3">
      <c r="A1353" s="74" t="str">
        <f t="shared" si="21"/>
        <v>陕西46220</v>
      </c>
      <c r="B1353" s="75" t="s">
        <v>16</v>
      </c>
      <c r="C1353" s="45">
        <v>46220</v>
      </c>
      <c r="D1353" s="76">
        <v>1656.7084562118</v>
      </c>
      <c r="E1353" s="77">
        <v>125</v>
      </c>
      <c r="F1353" s="78">
        <v>11.928264184573401</v>
      </c>
      <c r="G1353" s="78">
        <v>11.928264184573401</v>
      </c>
      <c r="H1353" s="81">
        <v>11.471659309364099</v>
      </c>
    </row>
    <row r="1354" spans="1:8" x14ac:dyDescent="0.3">
      <c r="A1354" s="74" t="str">
        <f t="shared" si="21"/>
        <v>陕西46221</v>
      </c>
      <c r="B1354" s="75" t="s">
        <v>16</v>
      </c>
      <c r="C1354" s="45">
        <v>46221</v>
      </c>
      <c r="D1354" s="76">
        <v>1656.7084562118</v>
      </c>
      <c r="E1354" s="77">
        <v>125</v>
      </c>
      <c r="F1354" s="78">
        <v>11.928264184573401</v>
      </c>
      <c r="G1354" s="78">
        <v>11.928264184573401</v>
      </c>
      <c r="H1354" s="81">
        <v>11.471659309364099</v>
      </c>
    </row>
    <row r="1355" spans="1:8" x14ac:dyDescent="0.3">
      <c r="A1355" s="74" t="str">
        <f t="shared" si="21"/>
        <v>陕西46222</v>
      </c>
      <c r="B1355" s="75" t="s">
        <v>16</v>
      </c>
      <c r="C1355" s="45">
        <v>46222</v>
      </c>
      <c r="D1355" s="76">
        <v>1656.7084562118</v>
      </c>
      <c r="E1355" s="77">
        <v>125</v>
      </c>
      <c r="F1355" s="78">
        <v>11.928264184573401</v>
      </c>
      <c r="G1355" s="78">
        <v>11.928264184573401</v>
      </c>
      <c r="H1355" s="81">
        <v>11.471659309364099</v>
      </c>
    </row>
    <row r="1356" spans="1:8" x14ac:dyDescent="0.3">
      <c r="A1356" s="74" t="str">
        <f t="shared" si="21"/>
        <v>陕西46223</v>
      </c>
      <c r="B1356" s="75" t="s">
        <v>16</v>
      </c>
      <c r="C1356" s="45">
        <v>46223</v>
      </c>
      <c r="D1356" s="76">
        <v>1656.7084562118</v>
      </c>
      <c r="E1356" s="77">
        <v>125</v>
      </c>
      <c r="F1356" s="78">
        <v>11.928264184573401</v>
      </c>
      <c r="G1356" s="78">
        <v>11.928264184573401</v>
      </c>
      <c r="H1356" s="81">
        <v>11.471659309364099</v>
      </c>
    </row>
    <row r="1357" spans="1:8" x14ac:dyDescent="0.3">
      <c r="A1357" s="74" t="str">
        <f t="shared" si="21"/>
        <v>陕西46224</v>
      </c>
      <c r="B1357" s="75" t="s">
        <v>16</v>
      </c>
      <c r="C1357" s="45">
        <v>46224</v>
      </c>
      <c r="D1357" s="76">
        <v>1656.7084562118</v>
      </c>
      <c r="E1357" s="77">
        <v>125</v>
      </c>
      <c r="F1357" s="78">
        <v>11.928264184573401</v>
      </c>
      <c r="G1357" s="78">
        <v>11.928264184573401</v>
      </c>
      <c r="H1357" s="81">
        <v>11.471659309364099</v>
      </c>
    </row>
    <row r="1358" spans="1:8" x14ac:dyDescent="0.3">
      <c r="A1358" s="74" t="str">
        <f t="shared" si="21"/>
        <v>陕西46225</v>
      </c>
      <c r="B1358" s="75" t="s">
        <v>16</v>
      </c>
      <c r="C1358" s="45">
        <v>46225</v>
      </c>
      <c r="D1358" s="76">
        <v>1656.7084562118</v>
      </c>
      <c r="E1358" s="77">
        <v>125</v>
      </c>
      <c r="F1358" s="78">
        <v>11.928264184573401</v>
      </c>
      <c r="G1358" s="78">
        <v>11.928264184573401</v>
      </c>
      <c r="H1358" s="81">
        <v>11.471659309364099</v>
      </c>
    </row>
    <row r="1359" spans="1:8" x14ac:dyDescent="0.3">
      <c r="A1359" s="74" t="str">
        <f t="shared" si="21"/>
        <v>陕西46226</v>
      </c>
      <c r="B1359" s="75" t="s">
        <v>16</v>
      </c>
      <c r="C1359" s="45">
        <v>46226</v>
      </c>
      <c r="D1359" s="76">
        <v>1656.7084562118</v>
      </c>
      <c r="E1359" s="77">
        <v>125</v>
      </c>
      <c r="F1359" s="78">
        <v>11.928264184573401</v>
      </c>
      <c r="G1359" s="78">
        <v>11.928264184573401</v>
      </c>
      <c r="H1359" s="81">
        <v>11.471659309364099</v>
      </c>
    </row>
    <row r="1360" spans="1:8" x14ac:dyDescent="0.3">
      <c r="A1360" s="74" t="str">
        <f t="shared" si="21"/>
        <v>陕西46227</v>
      </c>
      <c r="B1360" s="75" t="s">
        <v>16</v>
      </c>
      <c r="C1360" s="45">
        <v>46227</v>
      </c>
      <c r="D1360" s="76">
        <v>1656.7084562118</v>
      </c>
      <c r="E1360" s="77">
        <v>125</v>
      </c>
      <c r="F1360" s="78">
        <v>11.928264184573401</v>
      </c>
      <c r="G1360" s="78">
        <v>11.928264184573401</v>
      </c>
      <c r="H1360" s="81">
        <v>11.471659309364099</v>
      </c>
    </row>
    <row r="1361" spans="1:8" x14ac:dyDescent="0.3">
      <c r="A1361" s="74" t="str">
        <f t="shared" si="21"/>
        <v>陕西46228</v>
      </c>
      <c r="B1361" s="75" t="s">
        <v>16</v>
      </c>
      <c r="C1361" s="45">
        <v>46228</v>
      </c>
      <c r="D1361" s="76">
        <v>1656.7084562118</v>
      </c>
      <c r="E1361" s="77">
        <v>125</v>
      </c>
      <c r="F1361" s="78">
        <v>11.928264184573401</v>
      </c>
      <c r="G1361" s="78">
        <v>11.928264184573401</v>
      </c>
      <c r="H1361" s="81">
        <v>11.471659309364099</v>
      </c>
    </row>
    <row r="1362" spans="1:8" x14ac:dyDescent="0.3">
      <c r="A1362" s="74" t="str">
        <f t="shared" si="21"/>
        <v>陕西46229</v>
      </c>
      <c r="B1362" s="75" t="s">
        <v>16</v>
      </c>
      <c r="C1362" s="45">
        <v>46229</v>
      </c>
      <c r="D1362" s="76">
        <v>1656.7084562118</v>
      </c>
      <c r="E1362" s="77">
        <v>125</v>
      </c>
      <c r="F1362" s="78">
        <v>11.928264184573401</v>
      </c>
      <c r="G1362" s="78">
        <v>11.928264184573401</v>
      </c>
      <c r="H1362" s="81">
        <v>11.471659309364099</v>
      </c>
    </row>
    <row r="1363" spans="1:8" x14ac:dyDescent="0.3">
      <c r="A1363" s="74" t="str">
        <f t="shared" si="21"/>
        <v>陕西46230</v>
      </c>
      <c r="B1363" s="75" t="s">
        <v>16</v>
      </c>
      <c r="C1363" s="45">
        <v>46230</v>
      </c>
      <c r="D1363" s="76">
        <v>1656.7084562118</v>
      </c>
      <c r="E1363" s="77">
        <v>125</v>
      </c>
      <c r="F1363" s="78">
        <v>11.928264184573401</v>
      </c>
      <c r="G1363" s="78">
        <v>11.928264184573401</v>
      </c>
      <c r="H1363" s="81">
        <v>11.471659309364099</v>
      </c>
    </row>
    <row r="1364" spans="1:8" x14ac:dyDescent="0.3">
      <c r="A1364" s="74" t="str">
        <f t="shared" si="21"/>
        <v>陕西46231</v>
      </c>
      <c r="B1364" s="75" t="s">
        <v>16</v>
      </c>
      <c r="C1364" s="45">
        <v>46231</v>
      </c>
      <c r="D1364" s="76">
        <v>1656.7084562118</v>
      </c>
      <c r="E1364" s="77">
        <v>125</v>
      </c>
      <c r="F1364" s="78">
        <v>11.928264184573401</v>
      </c>
      <c r="G1364" s="78">
        <v>11.928264184573401</v>
      </c>
      <c r="H1364" s="81">
        <v>11.471659309364099</v>
      </c>
    </row>
    <row r="1365" spans="1:8" x14ac:dyDescent="0.3">
      <c r="A1365" s="74" t="str">
        <f t="shared" si="21"/>
        <v>陕西46232</v>
      </c>
      <c r="B1365" s="75" t="s">
        <v>16</v>
      </c>
      <c r="C1365" s="45">
        <v>46232</v>
      </c>
      <c r="D1365" s="76">
        <v>1656.7084562118</v>
      </c>
      <c r="E1365" s="77">
        <v>125</v>
      </c>
      <c r="F1365" s="78">
        <v>11.928264184573401</v>
      </c>
      <c r="G1365" s="78">
        <v>11.928264184573401</v>
      </c>
      <c r="H1365" s="81">
        <v>11.471659309364099</v>
      </c>
    </row>
    <row r="1366" spans="1:8" x14ac:dyDescent="0.3">
      <c r="A1366" s="74" t="str">
        <f t="shared" si="21"/>
        <v>陕西46233</v>
      </c>
      <c r="B1366" s="75" t="s">
        <v>16</v>
      </c>
      <c r="C1366" s="45">
        <v>46233</v>
      </c>
      <c r="D1366" s="76">
        <v>1656.7084562118</v>
      </c>
      <c r="E1366" s="77">
        <v>125</v>
      </c>
      <c r="F1366" s="78">
        <v>11.928264184573401</v>
      </c>
      <c r="G1366" s="78">
        <v>11.928264184573401</v>
      </c>
      <c r="H1366" s="81">
        <v>11.471659309364099</v>
      </c>
    </row>
    <row r="1367" spans="1:8" x14ac:dyDescent="0.3">
      <c r="A1367" s="74" t="str">
        <f t="shared" si="21"/>
        <v>陕西46234</v>
      </c>
      <c r="B1367" s="75" t="s">
        <v>16</v>
      </c>
      <c r="C1367" s="45">
        <v>46234</v>
      </c>
      <c r="D1367" s="76">
        <v>1656.7084562118</v>
      </c>
      <c r="E1367" s="77">
        <v>125</v>
      </c>
      <c r="F1367" s="78">
        <v>11.928264184573401</v>
      </c>
      <c r="G1367" s="78">
        <v>11.928264184573401</v>
      </c>
      <c r="H1367" s="81">
        <v>11.471659309364099</v>
      </c>
    </row>
    <row r="1368" spans="1:8" x14ac:dyDescent="0.3">
      <c r="A1368" s="74" t="str">
        <f t="shared" si="21"/>
        <v>陕西46235</v>
      </c>
      <c r="B1368" s="75" t="s">
        <v>16</v>
      </c>
      <c r="C1368" s="45">
        <v>46235</v>
      </c>
      <c r="D1368" s="76">
        <v>1628.18486084808</v>
      </c>
      <c r="E1368" s="77">
        <v>125</v>
      </c>
      <c r="F1368" s="78">
        <v>12.033839429617</v>
      </c>
      <c r="G1368" s="78">
        <v>12.033839429617</v>
      </c>
      <c r="H1368" s="81">
        <v>12.0051089165358</v>
      </c>
    </row>
    <row r="1369" spans="1:8" x14ac:dyDescent="0.3">
      <c r="A1369" s="74" t="str">
        <f t="shared" si="21"/>
        <v>陕西46236</v>
      </c>
      <c r="B1369" s="75" t="s">
        <v>16</v>
      </c>
      <c r="C1369" s="45">
        <v>46236</v>
      </c>
      <c r="D1369" s="76">
        <v>1628.18486084808</v>
      </c>
      <c r="E1369" s="77">
        <v>125</v>
      </c>
      <c r="F1369" s="78">
        <v>12.033839429617</v>
      </c>
      <c r="G1369" s="78">
        <v>12.033839429617</v>
      </c>
      <c r="H1369" s="81">
        <v>12.0051089165358</v>
      </c>
    </row>
    <row r="1370" spans="1:8" x14ac:dyDescent="0.3">
      <c r="A1370" s="74" t="str">
        <f t="shared" si="21"/>
        <v>陕西46237</v>
      </c>
      <c r="B1370" s="75" t="s">
        <v>16</v>
      </c>
      <c r="C1370" s="45">
        <v>46237</v>
      </c>
      <c r="D1370" s="76">
        <v>1628.18486084808</v>
      </c>
      <c r="E1370" s="77">
        <v>125</v>
      </c>
      <c r="F1370" s="78">
        <v>12.033839429617</v>
      </c>
      <c r="G1370" s="78">
        <v>12.033839429617</v>
      </c>
      <c r="H1370" s="81">
        <v>12.0051089165358</v>
      </c>
    </row>
    <row r="1371" spans="1:8" x14ac:dyDescent="0.3">
      <c r="A1371" s="74" t="str">
        <f t="shared" si="21"/>
        <v>陕西46238</v>
      </c>
      <c r="B1371" s="75" t="s">
        <v>16</v>
      </c>
      <c r="C1371" s="45">
        <v>46238</v>
      </c>
      <c r="D1371" s="76">
        <v>1628.18486084808</v>
      </c>
      <c r="E1371" s="77">
        <v>125</v>
      </c>
      <c r="F1371" s="78">
        <v>12.033839429617</v>
      </c>
      <c r="G1371" s="78">
        <v>12.033839429617</v>
      </c>
      <c r="H1371" s="81">
        <v>12.0051089165358</v>
      </c>
    </row>
    <row r="1372" spans="1:8" x14ac:dyDescent="0.3">
      <c r="A1372" s="74" t="str">
        <f t="shared" si="21"/>
        <v>陕西46239</v>
      </c>
      <c r="B1372" s="75" t="s">
        <v>16</v>
      </c>
      <c r="C1372" s="45">
        <v>46239</v>
      </c>
      <c r="D1372" s="76">
        <v>1628.18486084808</v>
      </c>
      <c r="E1372" s="77">
        <v>125</v>
      </c>
      <c r="F1372" s="78">
        <v>12.033839429617</v>
      </c>
      <c r="G1372" s="78">
        <v>12.033839429617</v>
      </c>
      <c r="H1372" s="81">
        <v>12.0051089165358</v>
      </c>
    </row>
    <row r="1373" spans="1:8" x14ac:dyDescent="0.3">
      <c r="A1373" s="74" t="str">
        <f t="shared" si="21"/>
        <v>陕西46240</v>
      </c>
      <c r="B1373" s="75" t="s">
        <v>16</v>
      </c>
      <c r="C1373" s="45">
        <v>46240</v>
      </c>
      <c r="D1373" s="76">
        <v>1628.18486084808</v>
      </c>
      <c r="E1373" s="77">
        <v>125</v>
      </c>
      <c r="F1373" s="78">
        <v>12.033839429617</v>
      </c>
      <c r="G1373" s="78">
        <v>12.033839429617</v>
      </c>
      <c r="H1373" s="81">
        <v>12.0051089165358</v>
      </c>
    </row>
    <row r="1374" spans="1:8" x14ac:dyDescent="0.3">
      <c r="A1374" s="74" t="str">
        <f t="shared" si="21"/>
        <v>陕西46241</v>
      </c>
      <c r="B1374" s="75" t="s">
        <v>16</v>
      </c>
      <c r="C1374" s="45">
        <v>46241</v>
      </c>
      <c r="D1374" s="76">
        <v>1628.18486084808</v>
      </c>
      <c r="E1374" s="77">
        <v>125</v>
      </c>
      <c r="F1374" s="78">
        <v>12.033839429617</v>
      </c>
      <c r="G1374" s="78">
        <v>12.033839429617</v>
      </c>
      <c r="H1374" s="81">
        <v>12.0051089165358</v>
      </c>
    </row>
    <row r="1375" spans="1:8" x14ac:dyDescent="0.3">
      <c r="A1375" s="74" t="str">
        <f t="shared" si="21"/>
        <v>陕西46242</v>
      </c>
      <c r="B1375" s="75" t="s">
        <v>16</v>
      </c>
      <c r="C1375" s="45">
        <v>46242</v>
      </c>
      <c r="D1375" s="76">
        <v>1628.18486084808</v>
      </c>
      <c r="E1375" s="77">
        <v>125</v>
      </c>
      <c r="F1375" s="78">
        <v>12.033839429617</v>
      </c>
      <c r="G1375" s="78">
        <v>12.033839429617</v>
      </c>
      <c r="H1375" s="81">
        <v>12.0051089165358</v>
      </c>
    </row>
    <row r="1376" spans="1:8" x14ac:dyDescent="0.3">
      <c r="A1376" s="74" t="str">
        <f t="shared" si="21"/>
        <v>陕西46243</v>
      </c>
      <c r="B1376" s="75" t="s">
        <v>16</v>
      </c>
      <c r="C1376" s="45">
        <v>46243</v>
      </c>
      <c r="D1376" s="76">
        <v>1628.18486084808</v>
      </c>
      <c r="E1376" s="77">
        <v>125</v>
      </c>
      <c r="F1376" s="78">
        <v>12.033839429617</v>
      </c>
      <c r="G1376" s="78">
        <v>12.033839429617</v>
      </c>
      <c r="H1376" s="81">
        <v>12.0051089165358</v>
      </c>
    </row>
    <row r="1377" spans="1:8" x14ac:dyDescent="0.3">
      <c r="A1377" s="74" t="str">
        <f t="shared" si="21"/>
        <v>陕西46244</v>
      </c>
      <c r="B1377" s="75" t="s">
        <v>16</v>
      </c>
      <c r="C1377" s="45">
        <v>46244</v>
      </c>
      <c r="D1377" s="76">
        <v>1628.18486084808</v>
      </c>
      <c r="E1377" s="77">
        <v>125</v>
      </c>
      <c r="F1377" s="78">
        <v>12.033839429617</v>
      </c>
      <c r="G1377" s="78">
        <v>12.033839429617</v>
      </c>
      <c r="H1377" s="81">
        <v>12.0051089165358</v>
      </c>
    </row>
    <row r="1378" spans="1:8" x14ac:dyDescent="0.3">
      <c r="A1378" s="74" t="str">
        <f t="shared" si="21"/>
        <v>陕西46245</v>
      </c>
      <c r="B1378" s="75" t="s">
        <v>16</v>
      </c>
      <c r="C1378" s="45">
        <v>46245</v>
      </c>
      <c r="D1378" s="76">
        <v>1628.18486084808</v>
      </c>
      <c r="E1378" s="77">
        <v>125</v>
      </c>
      <c r="F1378" s="78">
        <v>12.033839429617</v>
      </c>
      <c r="G1378" s="78">
        <v>12.033839429617</v>
      </c>
      <c r="H1378" s="81">
        <v>12.0051089165358</v>
      </c>
    </row>
    <row r="1379" spans="1:8" x14ac:dyDescent="0.3">
      <c r="A1379" s="74" t="str">
        <f t="shared" si="21"/>
        <v>陕西46246</v>
      </c>
      <c r="B1379" s="75" t="s">
        <v>16</v>
      </c>
      <c r="C1379" s="45">
        <v>46246</v>
      </c>
      <c r="D1379" s="76">
        <v>1628.18486084808</v>
      </c>
      <c r="E1379" s="77">
        <v>125</v>
      </c>
      <c r="F1379" s="78">
        <v>12.033839429617</v>
      </c>
      <c r="G1379" s="78">
        <v>12.033839429617</v>
      </c>
      <c r="H1379" s="81">
        <v>12.0051089165358</v>
      </c>
    </row>
    <row r="1380" spans="1:8" x14ac:dyDescent="0.3">
      <c r="A1380" s="74" t="str">
        <f t="shared" si="21"/>
        <v>陕西46247</v>
      </c>
      <c r="B1380" s="75" t="s">
        <v>16</v>
      </c>
      <c r="C1380" s="45">
        <v>46247</v>
      </c>
      <c r="D1380" s="76">
        <v>1628.18486084808</v>
      </c>
      <c r="E1380" s="77">
        <v>125</v>
      </c>
      <c r="F1380" s="78">
        <v>12.033839429617</v>
      </c>
      <c r="G1380" s="78">
        <v>12.033839429617</v>
      </c>
      <c r="H1380" s="81">
        <v>12.0051089165358</v>
      </c>
    </row>
    <row r="1381" spans="1:8" x14ac:dyDescent="0.3">
      <c r="A1381" s="74" t="str">
        <f t="shared" si="21"/>
        <v>陕西46248</v>
      </c>
      <c r="B1381" s="75" t="s">
        <v>16</v>
      </c>
      <c r="C1381" s="45">
        <v>46248</v>
      </c>
      <c r="D1381" s="76">
        <v>1628.18486084808</v>
      </c>
      <c r="E1381" s="77">
        <v>125</v>
      </c>
      <c r="F1381" s="78">
        <v>12.033839429617</v>
      </c>
      <c r="G1381" s="78">
        <v>12.033839429617</v>
      </c>
      <c r="H1381" s="81">
        <v>12.0051089165358</v>
      </c>
    </row>
    <row r="1382" spans="1:8" x14ac:dyDescent="0.3">
      <c r="A1382" s="74" t="str">
        <f t="shared" si="21"/>
        <v>陕西46249</v>
      </c>
      <c r="B1382" s="75" t="s">
        <v>16</v>
      </c>
      <c r="C1382" s="45">
        <v>46249</v>
      </c>
      <c r="D1382" s="76">
        <v>1628.18486084808</v>
      </c>
      <c r="E1382" s="77">
        <v>125</v>
      </c>
      <c r="F1382" s="78">
        <v>12.033839429617</v>
      </c>
      <c r="G1382" s="78">
        <v>12.033839429617</v>
      </c>
      <c r="H1382" s="81">
        <v>12.0051089165358</v>
      </c>
    </row>
    <row r="1383" spans="1:8" x14ac:dyDescent="0.3">
      <c r="A1383" s="74" t="str">
        <f t="shared" si="21"/>
        <v>陕西46250</v>
      </c>
      <c r="B1383" s="75" t="s">
        <v>16</v>
      </c>
      <c r="C1383" s="45">
        <v>46250</v>
      </c>
      <c r="D1383" s="76">
        <v>1628.18486084808</v>
      </c>
      <c r="E1383" s="77">
        <v>125</v>
      </c>
      <c r="F1383" s="78">
        <v>12.033839429617</v>
      </c>
      <c r="G1383" s="78">
        <v>12.033839429617</v>
      </c>
      <c r="H1383" s="81">
        <v>12.0051089165358</v>
      </c>
    </row>
    <row r="1384" spans="1:8" x14ac:dyDescent="0.3">
      <c r="A1384" s="74" t="str">
        <f t="shared" si="21"/>
        <v>陕西46251</v>
      </c>
      <c r="B1384" s="75" t="s">
        <v>16</v>
      </c>
      <c r="C1384" s="45">
        <v>46251</v>
      </c>
      <c r="D1384" s="76">
        <v>1628.18486084808</v>
      </c>
      <c r="E1384" s="77">
        <v>125</v>
      </c>
      <c r="F1384" s="78">
        <v>12.033839429617</v>
      </c>
      <c r="G1384" s="78">
        <v>12.033839429617</v>
      </c>
      <c r="H1384" s="81">
        <v>12.0051089165358</v>
      </c>
    </row>
    <row r="1385" spans="1:8" x14ac:dyDescent="0.3">
      <c r="A1385" s="74" t="str">
        <f t="shared" si="21"/>
        <v>陕西46252</v>
      </c>
      <c r="B1385" s="75" t="s">
        <v>16</v>
      </c>
      <c r="C1385" s="45">
        <v>46252</v>
      </c>
      <c r="D1385" s="76">
        <v>1628.18486084808</v>
      </c>
      <c r="E1385" s="77">
        <v>125</v>
      </c>
      <c r="F1385" s="78">
        <v>12.033839429617</v>
      </c>
      <c r="G1385" s="78">
        <v>12.033839429617</v>
      </c>
      <c r="H1385" s="81">
        <v>12.0051089165358</v>
      </c>
    </row>
    <row r="1386" spans="1:8" x14ac:dyDescent="0.3">
      <c r="A1386" s="74" t="str">
        <f t="shared" si="21"/>
        <v>陕西46253</v>
      </c>
      <c r="B1386" s="75" t="s">
        <v>16</v>
      </c>
      <c r="C1386" s="45">
        <v>46253</v>
      </c>
      <c r="D1386" s="76">
        <v>1628.18486084808</v>
      </c>
      <c r="E1386" s="77">
        <v>125</v>
      </c>
      <c r="F1386" s="78">
        <v>12.033839429617</v>
      </c>
      <c r="G1386" s="78">
        <v>12.033839429617</v>
      </c>
      <c r="H1386" s="81">
        <v>12.0051089165358</v>
      </c>
    </row>
    <row r="1387" spans="1:8" x14ac:dyDescent="0.3">
      <c r="A1387" s="74" t="str">
        <f t="shared" si="21"/>
        <v>陕西46254</v>
      </c>
      <c r="B1387" s="75" t="s">
        <v>16</v>
      </c>
      <c r="C1387" s="45">
        <v>46254</v>
      </c>
      <c r="D1387" s="76">
        <v>1628.18486084808</v>
      </c>
      <c r="E1387" s="77">
        <v>125</v>
      </c>
      <c r="F1387" s="78">
        <v>12.033839429617</v>
      </c>
      <c r="G1387" s="78">
        <v>12.033839429617</v>
      </c>
      <c r="H1387" s="81">
        <v>12.0051089165358</v>
      </c>
    </row>
    <row r="1388" spans="1:8" x14ac:dyDescent="0.3">
      <c r="A1388" s="74" t="str">
        <f t="shared" si="21"/>
        <v>陕西46255</v>
      </c>
      <c r="B1388" s="75" t="s">
        <v>16</v>
      </c>
      <c r="C1388" s="45">
        <v>46255</v>
      </c>
      <c r="D1388" s="76">
        <v>1628.18486084808</v>
      </c>
      <c r="E1388" s="77">
        <v>125</v>
      </c>
      <c r="F1388" s="78">
        <v>12.033839429617</v>
      </c>
      <c r="G1388" s="78">
        <v>12.033839429617</v>
      </c>
      <c r="H1388" s="81">
        <v>12.0051089165358</v>
      </c>
    </row>
    <row r="1389" spans="1:8" x14ac:dyDescent="0.3">
      <c r="A1389" s="74" t="str">
        <f t="shared" si="21"/>
        <v>陕西46256</v>
      </c>
      <c r="B1389" s="75" t="s">
        <v>16</v>
      </c>
      <c r="C1389" s="45">
        <v>46256</v>
      </c>
      <c r="D1389" s="76">
        <v>1628.18486084808</v>
      </c>
      <c r="E1389" s="77">
        <v>125</v>
      </c>
      <c r="F1389" s="78">
        <v>12.033839429617</v>
      </c>
      <c r="G1389" s="78">
        <v>12.033839429617</v>
      </c>
      <c r="H1389" s="81">
        <v>12.0051089165358</v>
      </c>
    </row>
    <row r="1390" spans="1:8" x14ac:dyDescent="0.3">
      <c r="A1390" s="74" t="str">
        <f t="shared" si="21"/>
        <v>陕西46257</v>
      </c>
      <c r="B1390" s="75" t="s">
        <v>16</v>
      </c>
      <c r="C1390" s="45">
        <v>46257</v>
      </c>
      <c r="D1390" s="76">
        <v>1628.18486084808</v>
      </c>
      <c r="E1390" s="77">
        <v>125</v>
      </c>
      <c r="F1390" s="78">
        <v>12.033839429617</v>
      </c>
      <c r="G1390" s="78">
        <v>12.033839429617</v>
      </c>
      <c r="H1390" s="81">
        <v>12.0051089165358</v>
      </c>
    </row>
    <row r="1391" spans="1:8" x14ac:dyDescent="0.3">
      <c r="A1391" s="74" t="str">
        <f t="shared" si="21"/>
        <v>陕西46258</v>
      </c>
      <c r="B1391" s="75" t="s">
        <v>16</v>
      </c>
      <c r="C1391" s="45">
        <v>46258</v>
      </c>
      <c r="D1391" s="76">
        <v>1628.18486084808</v>
      </c>
      <c r="E1391" s="77">
        <v>125</v>
      </c>
      <c r="F1391" s="78">
        <v>12.033839429617</v>
      </c>
      <c r="G1391" s="78">
        <v>12.033839429617</v>
      </c>
      <c r="H1391" s="81">
        <v>12.0051089165358</v>
      </c>
    </row>
    <row r="1392" spans="1:8" x14ac:dyDescent="0.3">
      <c r="A1392" s="74" t="str">
        <f t="shared" si="21"/>
        <v>陕西46259</v>
      </c>
      <c r="B1392" s="75" t="s">
        <v>16</v>
      </c>
      <c r="C1392" s="45">
        <v>46259</v>
      </c>
      <c r="D1392" s="76">
        <v>1628.18486084808</v>
      </c>
      <c r="E1392" s="77">
        <v>125</v>
      </c>
      <c r="F1392" s="78">
        <v>12.033839429617</v>
      </c>
      <c r="G1392" s="78">
        <v>12.033839429617</v>
      </c>
      <c r="H1392" s="81">
        <v>12.0051089165358</v>
      </c>
    </row>
    <row r="1393" spans="1:8" x14ac:dyDescent="0.3">
      <c r="A1393" s="74" t="str">
        <f t="shared" si="21"/>
        <v>陕西46260</v>
      </c>
      <c r="B1393" s="75" t="s">
        <v>16</v>
      </c>
      <c r="C1393" s="45">
        <v>46260</v>
      </c>
      <c r="D1393" s="76">
        <v>1628.18486084808</v>
      </c>
      <c r="E1393" s="77">
        <v>125</v>
      </c>
      <c r="F1393" s="78">
        <v>12.033839429617</v>
      </c>
      <c r="G1393" s="78">
        <v>12.033839429617</v>
      </c>
      <c r="H1393" s="81">
        <v>12.0051089165358</v>
      </c>
    </row>
    <row r="1394" spans="1:8" x14ac:dyDescent="0.3">
      <c r="A1394" s="74" t="str">
        <f t="shared" si="21"/>
        <v>陕西46261</v>
      </c>
      <c r="B1394" s="75" t="s">
        <v>16</v>
      </c>
      <c r="C1394" s="45">
        <v>46261</v>
      </c>
      <c r="D1394" s="76">
        <v>1628.18486084808</v>
      </c>
      <c r="E1394" s="77">
        <v>125</v>
      </c>
      <c r="F1394" s="78">
        <v>12.033839429617</v>
      </c>
      <c r="G1394" s="78">
        <v>12.033839429617</v>
      </c>
      <c r="H1394" s="81">
        <v>12.0051089165358</v>
      </c>
    </row>
    <row r="1395" spans="1:8" x14ac:dyDescent="0.3">
      <c r="A1395" s="74" t="str">
        <f t="shared" si="21"/>
        <v>陕西46262</v>
      </c>
      <c r="B1395" s="75" t="s">
        <v>16</v>
      </c>
      <c r="C1395" s="45">
        <v>46262</v>
      </c>
      <c r="D1395" s="76">
        <v>1628.18486084808</v>
      </c>
      <c r="E1395" s="77">
        <v>125</v>
      </c>
      <c r="F1395" s="78">
        <v>12.033839429617</v>
      </c>
      <c r="G1395" s="78">
        <v>12.033839429617</v>
      </c>
      <c r="H1395" s="81">
        <v>12.0051089165358</v>
      </c>
    </row>
    <row r="1396" spans="1:8" x14ac:dyDescent="0.3">
      <c r="A1396" s="74" t="str">
        <f t="shared" si="21"/>
        <v>陕西46263</v>
      </c>
      <c r="B1396" s="75" t="s">
        <v>16</v>
      </c>
      <c r="C1396" s="45">
        <v>46263</v>
      </c>
      <c r="D1396" s="76">
        <v>1628.18486084808</v>
      </c>
      <c r="E1396" s="77">
        <v>125</v>
      </c>
      <c r="F1396" s="78">
        <v>12.033839429617</v>
      </c>
      <c r="G1396" s="78">
        <v>12.033839429617</v>
      </c>
      <c r="H1396" s="81">
        <v>12.0051089165358</v>
      </c>
    </row>
    <row r="1397" spans="1:8" x14ac:dyDescent="0.3">
      <c r="A1397" s="74" t="str">
        <f t="shared" si="21"/>
        <v>陕西46264</v>
      </c>
      <c r="B1397" s="75" t="s">
        <v>16</v>
      </c>
      <c r="C1397" s="45">
        <v>46264</v>
      </c>
      <c r="D1397" s="76">
        <v>1628.18486084808</v>
      </c>
      <c r="E1397" s="77">
        <v>125</v>
      </c>
      <c r="F1397" s="78">
        <v>12.033839429617</v>
      </c>
      <c r="G1397" s="78">
        <v>12.033839429617</v>
      </c>
      <c r="H1397" s="81">
        <v>12.0051089165358</v>
      </c>
    </row>
    <row r="1398" spans="1:8" x14ac:dyDescent="0.3">
      <c r="A1398" s="74" t="str">
        <f t="shared" si="21"/>
        <v>陕西46265</v>
      </c>
      <c r="B1398" s="75" t="s">
        <v>16</v>
      </c>
      <c r="C1398" s="45">
        <v>46265</v>
      </c>
      <c r="D1398" s="76">
        <v>1628.18486084808</v>
      </c>
      <c r="E1398" s="77">
        <v>125</v>
      </c>
      <c r="F1398" s="78">
        <v>12.033839429617</v>
      </c>
      <c r="G1398" s="78">
        <v>12.033839429617</v>
      </c>
      <c r="H1398" s="81">
        <v>12.0051089165358</v>
      </c>
    </row>
    <row r="1399" spans="1:8" x14ac:dyDescent="0.3">
      <c r="A1399" s="74" t="str">
        <f t="shared" si="21"/>
        <v>陕西46266</v>
      </c>
      <c r="B1399" s="75" t="s">
        <v>16</v>
      </c>
      <c r="C1399" s="45">
        <v>46266</v>
      </c>
      <c r="D1399" s="76">
        <v>1638.96854216425</v>
      </c>
      <c r="E1399" s="77">
        <v>125</v>
      </c>
      <c r="F1399" s="78">
        <v>12.3196181035983</v>
      </c>
      <c r="G1399" s="78">
        <v>12.3196181035983</v>
      </c>
      <c r="H1399" s="81">
        <v>12.538558523707399</v>
      </c>
    </row>
    <row r="1400" spans="1:8" x14ac:dyDescent="0.3">
      <c r="A1400" s="74" t="str">
        <f t="shared" si="21"/>
        <v>陕西46267</v>
      </c>
      <c r="B1400" s="75" t="s">
        <v>16</v>
      </c>
      <c r="C1400" s="45">
        <v>46267</v>
      </c>
      <c r="D1400" s="76">
        <v>1638.96854216425</v>
      </c>
      <c r="E1400" s="77">
        <v>125</v>
      </c>
      <c r="F1400" s="78">
        <v>12.3196181035983</v>
      </c>
      <c r="G1400" s="78">
        <v>12.3196181035983</v>
      </c>
      <c r="H1400" s="81">
        <v>12.538558523707399</v>
      </c>
    </row>
    <row r="1401" spans="1:8" x14ac:dyDescent="0.3">
      <c r="A1401" s="74" t="str">
        <f t="shared" si="21"/>
        <v>陕西46268</v>
      </c>
      <c r="B1401" s="75" t="s">
        <v>16</v>
      </c>
      <c r="C1401" s="45">
        <v>46268</v>
      </c>
      <c r="D1401" s="76">
        <v>1638.96854216425</v>
      </c>
      <c r="E1401" s="77">
        <v>125</v>
      </c>
      <c r="F1401" s="78">
        <v>12.3196181035983</v>
      </c>
      <c r="G1401" s="78">
        <v>12.3196181035983</v>
      </c>
      <c r="H1401" s="81">
        <v>12.538558523707399</v>
      </c>
    </row>
    <row r="1402" spans="1:8" x14ac:dyDescent="0.3">
      <c r="A1402" s="74" t="str">
        <f t="shared" si="21"/>
        <v>陕西46269</v>
      </c>
      <c r="B1402" s="75" t="s">
        <v>16</v>
      </c>
      <c r="C1402" s="45">
        <v>46269</v>
      </c>
      <c r="D1402" s="76">
        <v>1638.96854216425</v>
      </c>
      <c r="E1402" s="77">
        <v>125</v>
      </c>
      <c r="F1402" s="78">
        <v>12.3196181035983</v>
      </c>
      <c r="G1402" s="78">
        <v>12.3196181035983</v>
      </c>
      <c r="H1402" s="81">
        <v>12.538558523707399</v>
      </c>
    </row>
    <row r="1403" spans="1:8" x14ac:dyDescent="0.3">
      <c r="A1403" s="74" t="str">
        <f t="shared" si="21"/>
        <v>陕西46270</v>
      </c>
      <c r="B1403" s="75" t="s">
        <v>16</v>
      </c>
      <c r="C1403" s="45">
        <v>46270</v>
      </c>
      <c r="D1403" s="76">
        <v>1638.96854216425</v>
      </c>
      <c r="E1403" s="77">
        <v>125</v>
      </c>
      <c r="F1403" s="78">
        <v>12.3196181035983</v>
      </c>
      <c r="G1403" s="78">
        <v>12.3196181035983</v>
      </c>
      <c r="H1403" s="81">
        <v>12.538558523707399</v>
      </c>
    </row>
    <row r="1404" spans="1:8" x14ac:dyDescent="0.3">
      <c r="A1404" s="74" t="str">
        <f t="shared" si="21"/>
        <v>陕西46271</v>
      </c>
      <c r="B1404" s="75" t="s">
        <v>16</v>
      </c>
      <c r="C1404" s="45">
        <v>46271</v>
      </c>
      <c r="D1404" s="76">
        <v>1638.96854216425</v>
      </c>
      <c r="E1404" s="77">
        <v>125</v>
      </c>
      <c r="F1404" s="78">
        <v>12.3196181035983</v>
      </c>
      <c r="G1404" s="78">
        <v>12.3196181035983</v>
      </c>
      <c r="H1404" s="81">
        <v>12.538558523707399</v>
      </c>
    </row>
    <row r="1405" spans="1:8" x14ac:dyDescent="0.3">
      <c r="A1405" s="74" t="str">
        <f t="shared" si="21"/>
        <v>陕西46272</v>
      </c>
      <c r="B1405" s="75" t="s">
        <v>16</v>
      </c>
      <c r="C1405" s="45">
        <v>46272</v>
      </c>
      <c r="D1405" s="76">
        <v>1638.96854216425</v>
      </c>
      <c r="E1405" s="77">
        <v>125</v>
      </c>
      <c r="F1405" s="78">
        <v>12.3196181035983</v>
      </c>
      <c r="G1405" s="78">
        <v>12.3196181035983</v>
      </c>
      <c r="H1405" s="81">
        <v>12.538558523707399</v>
      </c>
    </row>
    <row r="1406" spans="1:8" x14ac:dyDescent="0.3">
      <c r="A1406" s="74" t="str">
        <f t="shared" si="21"/>
        <v>陕西46273</v>
      </c>
      <c r="B1406" s="75" t="s">
        <v>16</v>
      </c>
      <c r="C1406" s="45">
        <v>46273</v>
      </c>
      <c r="D1406" s="76">
        <v>1638.96854216425</v>
      </c>
      <c r="E1406" s="77">
        <v>125</v>
      </c>
      <c r="F1406" s="78">
        <v>12.3196181035983</v>
      </c>
      <c r="G1406" s="78">
        <v>12.3196181035983</v>
      </c>
      <c r="H1406" s="81">
        <v>12.538558523707399</v>
      </c>
    </row>
    <row r="1407" spans="1:8" x14ac:dyDescent="0.3">
      <c r="A1407" s="74" t="str">
        <f t="shared" si="21"/>
        <v>陕西46274</v>
      </c>
      <c r="B1407" s="75" t="s">
        <v>16</v>
      </c>
      <c r="C1407" s="45">
        <v>46274</v>
      </c>
      <c r="D1407" s="76">
        <v>1638.96854216425</v>
      </c>
      <c r="E1407" s="77">
        <v>125</v>
      </c>
      <c r="F1407" s="78">
        <v>12.3196181035983</v>
      </c>
      <c r="G1407" s="78">
        <v>12.3196181035983</v>
      </c>
      <c r="H1407" s="81">
        <v>12.538558523707399</v>
      </c>
    </row>
    <row r="1408" spans="1:8" x14ac:dyDescent="0.3">
      <c r="A1408" s="74" t="str">
        <f t="shared" si="21"/>
        <v>陕西46275</v>
      </c>
      <c r="B1408" s="75" t="s">
        <v>16</v>
      </c>
      <c r="C1408" s="45">
        <v>46275</v>
      </c>
      <c r="D1408" s="76">
        <v>1638.96854216425</v>
      </c>
      <c r="E1408" s="77">
        <v>125</v>
      </c>
      <c r="F1408" s="78">
        <v>12.3196181035983</v>
      </c>
      <c r="G1408" s="78">
        <v>12.3196181035983</v>
      </c>
      <c r="H1408" s="81">
        <v>12.538558523707399</v>
      </c>
    </row>
    <row r="1409" spans="1:8" x14ac:dyDescent="0.3">
      <c r="A1409" s="74" t="str">
        <f t="shared" si="21"/>
        <v>陕西46276</v>
      </c>
      <c r="B1409" s="75" t="s">
        <v>16</v>
      </c>
      <c r="C1409" s="45">
        <v>46276</v>
      </c>
      <c r="D1409" s="76">
        <v>1638.96854216425</v>
      </c>
      <c r="E1409" s="77">
        <v>125</v>
      </c>
      <c r="F1409" s="78">
        <v>12.3196181035983</v>
      </c>
      <c r="G1409" s="78">
        <v>12.3196181035983</v>
      </c>
      <c r="H1409" s="81">
        <v>12.538558523707399</v>
      </c>
    </row>
    <row r="1410" spans="1:8" x14ac:dyDescent="0.3">
      <c r="A1410" s="74" t="str">
        <f t="shared" si="21"/>
        <v>陕西46277</v>
      </c>
      <c r="B1410" s="75" t="s">
        <v>16</v>
      </c>
      <c r="C1410" s="45">
        <v>46277</v>
      </c>
      <c r="D1410" s="76">
        <v>1638.96854216425</v>
      </c>
      <c r="E1410" s="77">
        <v>125</v>
      </c>
      <c r="F1410" s="78">
        <v>12.3196181035983</v>
      </c>
      <c r="G1410" s="78">
        <v>12.3196181035983</v>
      </c>
      <c r="H1410" s="81">
        <v>12.538558523707399</v>
      </c>
    </row>
    <row r="1411" spans="1:8" x14ac:dyDescent="0.3">
      <c r="A1411" s="74" t="str">
        <f t="shared" ref="A1411:A1474" si="22">B1411&amp;C1411</f>
        <v>陕西46278</v>
      </c>
      <c r="B1411" s="75" t="s">
        <v>16</v>
      </c>
      <c r="C1411" s="45">
        <v>46278</v>
      </c>
      <c r="D1411" s="76">
        <v>1638.96854216425</v>
      </c>
      <c r="E1411" s="77">
        <v>125</v>
      </c>
      <c r="F1411" s="78">
        <v>12.3196181035983</v>
      </c>
      <c r="G1411" s="78">
        <v>12.3196181035983</v>
      </c>
      <c r="H1411" s="81">
        <v>12.538558523707399</v>
      </c>
    </row>
    <row r="1412" spans="1:8" x14ac:dyDescent="0.3">
      <c r="A1412" s="74" t="str">
        <f t="shared" si="22"/>
        <v>陕西46279</v>
      </c>
      <c r="B1412" s="75" t="s">
        <v>16</v>
      </c>
      <c r="C1412" s="45">
        <v>46279</v>
      </c>
      <c r="D1412" s="76">
        <v>1638.96854216425</v>
      </c>
      <c r="E1412" s="77">
        <v>125</v>
      </c>
      <c r="F1412" s="78">
        <v>12.3196181035983</v>
      </c>
      <c r="G1412" s="78">
        <v>12.3196181035983</v>
      </c>
      <c r="H1412" s="81">
        <v>12.538558523707399</v>
      </c>
    </row>
    <row r="1413" spans="1:8" x14ac:dyDescent="0.3">
      <c r="A1413" s="74" t="str">
        <f t="shared" si="22"/>
        <v>陕西46280</v>
      </c>
      <c r="B1413" s="75" t="s">
        <v>16</v>
      </c>
      <c r="C1413" s="45">
        <v>46280</v>
      </c>
      <c r="D1413" s="76">
        <v>1638.96854216425</v>
      </c>
      <c r="E1413" s="77">
        <v>125</v>
      </c>
      <c r="F1413" s="78">
        <v>12.3196181035983</v>
      </c>
      <c r="G1413" s="78">
        <v>12.3196181035983</v>
      </c>
      <c r="H1413" s="81">
        <v>12.538558523707399</v>
      </c>
    </row>
    <row r="1414" spans="1:8" x14ac:dyDescent="0.3">
      <c r="A1414" s="74" t="str">
        <f t="shared" si="22"/>
        <v>陕西46281</v>
      </c>
      <c r="B1414" s="75" t="s">
        <v>16</v>
      </c>
      <c r="C1414" s="45">
        <v>46281</v>
      </c>
      <c r="D1414" s="76">
        <v>1638.96854216425</v>
      </c>
      <c r="E1414" s="77">
        <v>125</v>
      </c>
      <c r="F1414" s="78">
        <v>12.3196181035983</v>
      </c>
      <c r="G1414" s="78">
        <v>12.3196181035983</v>
      </c>
      <c r="H1414" s="81">
        <v>12.538558523707399</v>
      </c>
    </row>
    <row r="1415" spans="1:8" x14ac:dyDescent="0.3">
      <c r="A1415" s="74" t="str">
        <f t="shared" si="22"/>
        <v>陕西46282</v>
      </c>
      <c r="B1415" s="75" t="s">
        <v>16</v>
      </c>
      <c r="C1415" s="45">
        <v>46282</v>
      </c>
      <c r="D1415" s="76">
        <v>1638.96854216425</v>
      </c>
      <c r="E1415" s="77">
        <v>125</v>
      </c>
      <c r="F1415" s="78">
        <v>12.3196181035983</v>
      </c>
      <c r="G1415" s="78">
        <v>12.3196181035983</v>
      </c>
      <c r="H1415" s="81">
        <v>12.538558523707399</v>
      </c>
    </row>
    <row r="1416" spans="1:8" x14ac:dyDescent="0.3">
      <c r="A1416" s="74" t="str">
        <f t="shared" si="22"/>
        <v>陕西46283</v>
      </c>
      <c r="B1416" s="75" t="s">
        <v>16</v>
      </c>
      <c r="C1416" s="45">
        <v>46283</v>
      </c>
      <c r="D1416" s="76">
        <v>1638.96854216425</v>
      </c>
      <c r="E1416" s="77">
        <v>125</v>
      </c>
      <c r="F1416" s="78">
        <v>12.3196181035983</v>
      </c>
      <c r="G1416" s="78">
        <v>12.3196181035983</v>
      </c>
      <c r="H1416" s="81">
        <v>12.538558523707399</v>
      </c>
    </row>
    <row r="1417" spans="1:8" x14ac:dyDescent="0.3">
      <c r="A1417" s="74" t="str">
        <f t="shared" si="22"/>
        <v>陕西46284</v>
      </c>
      <c r="B1417" s="75" t="s">
        <v>16</v>
      </c>
      <c r="C1417" s="45">
        <v>46284</v>
      </c>
      <c r="D1417" s="76">
        <v>1638.96854216425</v>
      </c>
      <c r="E1417" s="77">
        <v>125</v>
      </c>
      <c r="F1417" s="78">
        <v>12.3196181035983</v>
      </c>
      <c r="G1417" s="78">
        <v>12.3196181035983</v>
      </c>
      <c r="H1417" s="81">
        <v>12.538558523707399</v>
      </c>
    </row>
    <row r="1418" spans="1:8" x14ac:dyDescent="0.3">
      <c r="A1418" s="74" t="str">
        <f t="shared" si="22"/>
        <v>陕西46285</v>
      </c>
      <c r="B1418" s="75" t="s">
        <v>16</v>
      </c>
      <c r="C1418" s="45">
        <v>46285</v>
      </c>
      <c r="D1418" s="76">
        <v>1638.96854216425</v>
      </c>
      <c r="E1418" s="77">
        <v>125</v>
      </c>
      <c r="F1418" s="78">
        <v>12.3196181035983</v>
      </c>
      <c r="G1418" s="78">
        <v>12.3196181035983</v>
      </c>
      <c r="H1418" s="81">
        <v>12.538558523707399</v>
      </c>
    </row>
    <row r="1419" spans="1:8" x14ac:dyDescent="0.3">
      <c r="A1419" s="74" t="str">
        <f t="shared" si="22"/>
        <v>陕西46286</v>
      </c>
      <c r="B1419" s="75" t="s">
        <v>16</v>
      </c>
      <c r="C1419" s="45">
        <v>46286</v>
      </c>
      <c r="D1419" s="76">
        <v>1638.96854216425</v>
      </c>
      <c r="E1419" s="77">
        <v>125</v>
      </c>
      <c r="F1419" s="78">
        <v>12.3196181035983</v>
      </c>
      <c r="G1419" s="78">
        <v>12.3196181035983</v>
      </c>
      <c r="H1419" s="81">
        <v>12.538558523707399</v>
      </c>
    </row>
    <row r="1420" spans="1:8" x14ac:dyDescent="0.3">
      <c r="A1420" s="74" t="str">
        <f t="shared" si="22"/>
        <v>陕西46287</v>
      </c>
      <c r="B1420" s="75" t="s">
        <v>16</v>
      </c>
      <c r="C1420" s="45">
        <v>46287</v>
      </c>
      <c r="D1420" s="76">
        <v>1638.96854216425</v>
      </c>
      <c r="E1420" s="77">
        <v>125</v>
      </c>
      <c r="F1420" s="78">
        <v>12.3196181035983</v>
      </c>
      <c r="G1420" s="78">
        <v>12.3196181035983</v>
      </c>
      <c r="H1420" s="81">
        <v>12.538558523707399</v>
      </c>
    </row>
    <row r="1421" spans="1:8" x14ac:dyDescent="0.3">
      <c r="A1421" s="74" t="str">
        <f t="shared" si="22"/>
        <v>陕西46288</v>
      </c>
      <c r="B1421" s="75" t="s">
        <v>16</v>
      </c>
      <c r="C1421" s="45">
        <v>46288</v>
      </c>
      <c r="D1421" s="76">
        <v>1638.96854216425</v>
      </c>
      <c r="E1421" s="77">
        <v>125</v>
      </c>
      <c r="F1421" s="78">
        <v>12.3196181035983</v>
      </c>
      <c r="G1421" s="78">
        <v>12.3196181035983</v>
      </c>
      <c r="H1421" s="81">
        <v>12.538558523707399</v>
      </c>
    </row>
    <row r="1422" spans="1:8" x14ac:dyDescent="0.3">
      <c r="A1422" s="74" t="str">
        <f t="shared" si="22"/>
        <v>陕西46289</v>
      </c>
      <c r="B1422" s="75" t="s">
        <v>16</v>
      </c>
      <c r="C1422" s="45">
        <v>46289</v>
      </c>
      <c r="D1422" s="76">
        <v>1638.96854216425</v>
      </c>
      <c r="E1422" s="77">
        <v>125</v>
      </c>
      <c r="F1422" s="78">
        <v>12.3196181035983</v>
      </c>
      <c r="G1422" s="78">
        <v>12.3196181035983</v>
      </c>
      <c r="H1422" s="81">
        <v>12.538558523707399</v>
      </c>
    </row>
    <row r="1423" spans="1:8" x14ac:dyDescent="0.3">
      <c r="A1423" s="74" t="str">
        <f t="shared" si="22"/>
        <v>陕西46290</v>
      </c>
      <c r="B1423" s="75" t="s">
        <v>16</v>
      </c>
      <c r="C1423" s="45">
        <v>46290</v>
      </c>
      <c r="D1423" s="76">
        <v>1638.96854216425</v>
      </c>
      <c r="E1423" s="77">
        <v>125</v>
      </c>
      <c r="F1423" s="78">
        <v>12.3196181035983</v>
      </c>
      <c r="G1423" s="78">
        <v>12.3196181035983</v>
      </c>
      <c r="H1423" s="81">
        <v>12.538558523707399</v>
      </c>
    </row>
    <row r="1424" spans="1:8" x14ac:dyDescent="0.3">
      <c r="A1424" s="74" t="str">
        <f t="shared" si="22"/>
        <v>陕西46291</v>
      </c>
      <c r="B1424" s="75" t="s">
        <v>16</v>
      </c>
      <c r="C1424" s="45">
        <v>46291</v>
      </c>
      <c r="D1424" s="76">
        <v>1638.96854216425</v>
      </c>
      <c r="E1424" s="77">
        <v>125</v>
      </c>
      <c r="F1424" s="78">
        <v>12.3196181035983</v>
      </c>
      <c r="G1424" s="78">
        <v>12.3196181035983</v>
      </c>
      <c r="H1424" s="81">
        <v>12.538558523707399</v>
      </c>
    </row>
    <row r="1425" spans="1:8" x14ac:dyDescent="0.3">
      <c r="A1425" s="74" t="str">
        <f t="shared" si="22"/>
        <v>陕西46292</v>
      </c>
      <c r="B1425" s="75" t="s">
        <v>16</v>
      </c>
      <c r="C1425" s="45">
        <v>46292</v>
      </c>
      <c r="D1425" s="76">
        <v>1638.96854216425</v>
      </c>
      <c r="E1425" s="77">
        <v>125</v>
      </c>
      <c r="F1425" s="78">
        <v>12.3196181035983</v>
      </c>
      <c r="G1425" s="78">
        <v>12.3196181035983</v>
      </c>
      <c r="H1425" s="81">
        <v>12.538558523707399</v>
      </c>
    </row>
    <row r="1426" spans="1:8" x14ac:dyDescent="0.3">
      <c r="A1426" s="74" t="str">
        <f t="shared" si="22"/>
        <v>陕西46293</v>
      </c>
      <c r="B1426" s="75" t="s">
        <v>16</v>
      </c>
      <c r="C1426" s="45">
        <v>46293</v>
      </c>
      <c r="D1426" s="76">
        <v>1638.96854216425</v>
      </c>
      <c r="E1426" s="77">
        <v>125</v>
      </c>
      <c r="F1426" s="78">
        <v>12.3196181035983</v>
      </c>
      <c r="G1426" s="78">
        <v>12.3196181035983</v>
      </c>
      <c r="H1426" s="81">
        <v>12.538558523707399</v>
      </c>
    </row>
    <row r="1427" spans="1:8" x14ac:dyDescent="0.3">
      <c r="A1427" s="74" t="str">
        <f t="shared" si="22"/>
        <v>陕西46294</v>
      </c>
      <c r="B1427" s="75" t="s">
        <v>16</v>
      </c>
      <c r="C1427" s="45">
        <v>46294</v>
      </c>
      <c r="D1427" s="76">
        <v>1638.96854216425</v>
      </c>
      <c r="E1427" s="77">
        <v>125</v>
      </c>
      <c r="F1427" s="78">
        <v>12.3196181035983</v>
      </c>
      <c r="G1427" s="78">
        <v>12.3196181035983</v>
      </c>
      <c r="H1427" s="81">
        <v>12.538558523707399</v>
      </c>
    </row>
    <row r="1428" spans="1:8" x14ac:dyDescent="0.3">
      <c r="A1428" s="74" t="str">
        <f t="shared" si="22"/>
        <v>陕西46295</v>
      </c>
      <c r="B1428" s="75" t="s">
        <v>16</v>
      </c>
      <c r="C1428" s="45">
        <v>46295</v>
      </c>
      <c r="D1428" s="76">
        <v>1638.96854216425</v>
      </c>
      <c r="E1428" s="77">
        <v>125</v>
      </c>
      <c r="F1428" s="78">
        <v>12.3196181035983</v>
      </c>
      <c r="G1428" s="78">
        <v>12.3196181035983</v>
      </c>
      <c r="H1428" s="81">
        <v>12.538558523707399</v>
      </c>
    </row>
    <row r="1429" spans="1:8" x14ac:dyDescent="0.3">
      <c r="A1429" s="74" t="str">
        <f t="shared" si="22"/>
        <v>陕西46296</v>
      </c>
      <c r="B1429" s="75" t="s">
        <v>16</v>
      </c>
      <c r="C1429" s="45">
        <v>46296</v>
      </c>
      <c r="D1429" s="76">
        <v>1678.06530335362</v>
      </c>
      <c r="E1429" s="77">
        <v>125</v>
      </c>
      <c r="F1429" s="78">
        <v>12.530378091786901</v>
      </c>
      <c r="G1429" s="78">
        <v>12.530378091786901</v>
      </c>
      <c r="H1429" s="81">
        <v>12.6133411789184</v>
      </c>
    </row>
    <row r="1430" spans="1:8" x14ac:dyDescent="0.3">
      <c r="A1430" s="74" t="str">
        <f t="shared" si="22"/>
        <v>陕西46297</v>
      </c>
      <c r="B1430" s="75" t="s">
        <v>16</v>
      </c>
      <c r="C1430" s="45">
        <v>46297</v>
      </c>
      <c r="D1430" s="76">
        <v>1678.06530335362</v>
      </c>
      <c r="E1430" s="77">
        <v>125</v>
      </c>
      <c r="F1430" s="78">
        <v>12.530378091786901</v>
      </c>
      <c r="G1430" s="78">
        <v>12.530378091786901</v>
      </c>
      <c r="H1430" s="81">
        <v>12.6133411789184</v>
      </c>
    </row>
    <row r="1431" spans="1:8" x14ac:dyDescent="0.3">
      <c r="A1431" s="74" t="str">
        <f t="shared" si="22"/>
        <v>陕西46298</v>
      </c>
      <c r="B1431" s="75" t="s">
        <v>16</v>
      </c>
      <c r="C1431" s="45">
        <v>46298</v>
      </c>
      <c r="D1431" s="76">
        <v>1678.06530335362</v>
      </c>
      <c r="E1431" s="77">
        <v>125</v>
      </c>
      <c r="F1431" s="78">
        <v>12.530378091786901</v>
      </c>
      <c r="G1431" s="78">
        <v>12.530378091786901</v>
      </c>
      <c r="H1431" s="81">
        <v>12.6133411789184</v>
      </c>
    </row>
    <row r="1432" spans="1:8" x14ac:dyDescent="0.3">
      <c r="A1432" s="74" t="str">
        <f t="shared" si="22"/>
        <v>陕西46299</v>
      </c>
      <c r="B1432" s="75" t="s">
        <v>16</v>
      </c>
      <c r="C1432" s="45">
        <v>46299</v>
      </c>
      <c r="D1432" s="76">
        <v>1678.06530335362</v>
      </c>
      <c r="E1432" s="77">
        <v>125</v>
      </c>
      <c r="F1432" s="78">
        <v>12.530378091786901</v>
      </c>
      <c r="G1432" s="78">
        <v>12.530378091786901</v>
      </c>
      <c r="H1432" s="81">
        <v>12.6133411789184</v>
      </c>
    </row>
    <row r="1433" spans="1:8" x14ac:dyDescent="0.3">
      <c r="A1433" s="74" t="str">
        <f t="shared" si="22"/>
        <v>陕西46300</v>
      </c>
      <c r="B1433" s="75" t="s">
        <v>16</v>
      </c>
      <c r="C1433" s="45">
        <v>46300</v>
      </c>
      <c r="D1433" s="76">
        <v>1678.06530335362</v>
      </c>
      <c r="E1433" s="77">
        <v>125</v>
      </c>
      <c r="F1433" s="78">
        <v>12.530378091786901</v>
      </c>
      <c r="G1433" s="78">
        <v>12.530378091786901</v>
      </c>
      <c r="H1433" s="81">
        <v>12.6133411789184</v>
      </c>
    </row>
    <row r="1434" spans="1:8" x14ac:dyDescent="0.3">
      <c r="A1434" s="74" t="str">
        <f t="shared" si="22"/>
        <v>陕西46301</v>
      </c>
      <c r="B1434" s="75" t="s">
        <v>16</v>
      </c>
      <c r="C1434" s="45">
        <v>46301</v>
      </c>
      <c r="D1434" s="76">
        <v>1678.06530335362</v>
      </c>
      <c r="E1434" s="77">
        <v>125</v>
      </c>
      <c r="F1434" s="78">
        <v>12.530378091786901</v>
      </c>
      <c r="G1434" s="78">
        <v>12.530378091786901</v>
      </c>
      <c r="H1434" s="81">
        <v>12.6133411789184</v>
      </c>
    </row>
    <row r="1435" spans="1:8" x14ac:dyDescent="0.3">
      <c r="A1435" s="74" t="str">
        <f t="shared" si="22"/>
        <v>陕西46302</v>
      </c>
      <c r="B1435" s="75" t="s">
        <v>16</v>
      </c>
      <c r="C1435" s="45">
        <v>46302</v>
      </c>
      <c r="D1435" s="76">
        <v>1678.06530335362</v>
      </c>
      <c r="E1435" s="77">
        <v>125</v>
      </c>
      <c r="F1435" s="78">
        <v>12.530378091786901</v>
      </c>
      <c r="G1435" s="78">
        <v>12.530378091786901</v>
      </c>
      <c r="H1435" s="81">
        <v>12.6133411789184</v>
      </c>
    </row>
    <row r="1436" spans="1:8" x14ac:dyDescent="0.3">
      <c r="A1436" s="74" t="str">
        <f t="shared" si="22"/>
        <v>陕西46303</v>
      </c>
      <c r="B1436" s="75" t="s">
        <v>16</v>
      </c>
      <c r="C1436" s="45">
        <v>46303</v>
      </c>
      <c r="D1436" s="76">
        <v>1678.06530335362</v>
      </c>
      <c r="E1436" s="77">
        <v>125</v>
      </c>
      <c r="F1436" s="78">
        <v>12.530378091786901</v>
      </c>
      <c r="G1436" s="78">
        <v>12.530378091786901</v>
      </c>
      <c r="H1436" s="81">
        <v>12.6133411789184</v>
      </c>
    </row>
    <row r="1437" spans="1:8" x14ac:dyDescent="0.3">
      <c r="A1437" s="74" t="str">
        <f t="shared" si="22"/>
        <v>陕西46304</v>
      </c>
      <c r="B1437" s="75" t="s">
        <v>16</v>
      </c>
      <c r="C1437" s="45">
        <v>46304</v>
      </c>
      <c r="D1437" s="76">
        <v>1678.06530335362</v>
      </c>
      <c r="E1437" s="77">
        <v>125</v>
      </c>
      <c r="F1437" s="78">
        <v>12.530378091786901</v>
      </c>
      <c r="G1437" s="78">
        <v>12.530378091786901</v>
      </c>
      <c r="H1437" s="81">
        <v>12.6133411789184</v>
      </c>
    </row>
    <row r="1438" spans="1:8" x14ac:dyDescent="0.3">
      <c r="A1438" s="74" t="str">
        <f t="shared" si="22"/>
        <v>陕西46305</v>
      </c>
      <c r="B1438" s="75" t="s">
        <v>16</v>
      </c>
      <c r="C1438" s="45">
        <v>46305</v>
      </c>
      <c r="D1438" s="76">
        <v>1678.06530335362</v>
      </c>
      <c r="E1438" s="77">
        <v>125</v>
      </c>
      <c r="F1438" s="78">
        <v>12.530378091786901</v>
      </c>
      <c r="G1438" s="78">
        <v>12.530378091786901</v>
      </c>
      <c r="H1438" s="81">
        <v>12.6133411789184</v>
      </c>
    </row>
    <row r="1439" spans="1:8" x14ac:dyDescent="0.3">
      <c r="A1439" s="74" t="str">
        <f t="shared" si="22"/>
        <v>陕西46306</v>
      </c>
      <c r="B1439" s="75" t="s">
        <v>16</v>
      </c>
      <c r="C1439" s="45">
        <v>46306</v>
      </c>
      <c r="D1439" s="76">
        <v>1678.06530335362</v>
      </c>
      <c r="E1439" s="77">
        <v>125</v>
      </c>
      <c r="F1439" s="78">
        <v>12.530378091786901</v>
      </c>
      <c r="G1439" s="78">
        <v>12.530378091786901</v>
      </c>
      <c r="H1439" s="81">
        <v>12.6133411789184</v>
      </c>
    </row>
    <row r="1440" spans="1:8" x14ac:dyDescent="0.3">
      <c r="A1440" s="74" t="str">
        <f t="shared" si="22"/>
        <v>陕西46307</v>
      </c>
      <c r="B1440" s="75" t="s">
        <v>16</v>
      </c>
      <c r="C1440" s="45">
        <v>46307</v>
      </c>
      <c r="D1440" s="76">
        <v>1678.06530335362</v>
      </c>
      <c r="E1440" s="77">
        <v>125</v>
      </c>
      <c r="F1440" s="78">
        <v>12.530378091786901</v>
      </c>
      <c r="G1440" s="78">
        <v>12.530378091786901</v>
      </c>
      <c r="H1440" s="81">
        <v>12.6133411789184</v>
      </c>
    </row>
    <row r="1441" spans="1:8" x14ac:dyDescent="0.3">
      <c r="A1441" s="74" t="str">
        <f t="shared" si="22"/>
        <v>陕西46308</v>
      </c>
      <c r="B1441" s="75" t="s">
        <v>16</v>
      </c>
      <c r="C1441" s="45">
        <v>46308</v>
      </c>
      <c r="D1441" s="76">
        <v>1678.06530335362</v>
      </c>
      <c r="E1441" s="77">
        <v>125</v>
      </c>
      <c r="F1441" s="78">
        <v>12.530378091786901</v>
      </c>
      <c r="G1441" s="78">
        <v>12.530378091786901</v>
      </c>
      <c r="H1441" s="81">
        <v>12.6133411789184</v>
      </c>
    </row>
    <row r="1442" spans="1:8" x14ac:dyDescent="0.3">
      <c r="A1442" s="74" t="str">
        <f t="shared" si="22"/>
        <v>陕西46309</v>
      </c>
      <c r="B1442" s="75" t="s">
        <v>16</v>
      </c>
      <c r="C1442" s="45">
        <v>46309</v>
      </c>
      <c r="D1442" s="76">
        <v>1678.06530335362</v>
      </c>
      <c r="E1442" s="77">
        <v>125</v>
      </c>
      <c r="F1442" s="78">
        <v>12.530378091786901</v>
      </c>
      <c r="G1442" s="78">
        <v>12.530378091786901</v>
      </c>
      <c r="H1442" s="81">
        <v>12.6133411789184</v>
      </c>
    </row>
    <row r="1443" spans="1:8" x14ac:dyDescent="0.3">
      <c r="A1443" s="74" t="str">
        <f t="shared" si="22"/>
        <v>陕西46310</v>
      </c>
      <c r="B1443" s="75" t="s">
        <v>16</v>
      </c>
      <c r="C1443" s="45">
        <v>46310</v>
      </c>
      <c r="D1443" s="76">
        <v>1678.06530335362</v>
      </c>
      <c r="E1443" s="77">
        <v>125</v>
      </c>
      <c r="F1443" s="78">
        <v>12.530378091786901</v>
      </c>
      <c r="G1443" s="78">
        <v>12.530378091786901</v>
      </c>
      <c r="H1443" s="81">
        <v>12.6133411789184</v>
      </c>
    </row>
    <row r="1444" spans="1:8" x14ac:dyDescent="0.3">
      <c r="A1444" s="74" t="str">
        <f t="shared" si="22"/>
        <v>陕西46311</v>
      </c>
      <c r="B1444" s="75" t="s">
        <v>16</v>
      </c>
      <c r="C1444" s="45">
        <v>46311</v>
      </c>
      <c r="D1444" s="76">
        <v>1678.06530335362</v>
      </c>
      <c r="E1444" s="77">
        <v>125</v>
      </c>
      <c r="F1444" s="78">
        <v>12.530378091786901</v>
      </c>
      <c r="G1444" s="78">
        <v>12.530378091786901</v>
      </c>
      <c r="H1444" s="81">
        <v>12.6133411789184</v>
      </c>
    </row>
    <row r="1445" spans="1:8" x14ac:dyDescent="0.3">
      <c r="A1445" s="74" t="str">
        <f t="shared" si="22"/>
        <v>陕西46312</v>
      </c>
      <c r="B1445" s="75" t="s">
        <v>16</v>
      </c>
      <c r="C1445" s="45">
        <v>46312</v>
      </c>
      <c r="D1445" s="76">
        <v>1678.06530335362</v>
      </c>
      <c r="E1445" s="77">
        <v>125</v>
      </c>
      <c r="F1445" s="78">
        <v>12.530378091786901</v>
      </c>
      <c r="G1445" s="78">
        <v>12.530378091786901</v>
      </c>
      <c r="H1445" s="81">
        <v>12.6133411789184</v>
      </c>
    </row>
    <row r="1446" spans="1:8" x14ac:dyDescent="0.3">
      <c r="A1446" s="74" t="str">
        <f t="shared" si="22"/>
        <v>陕西46313</v>
      </c>
      <c r="B1446" s="75" t="s">
        <v>16</v>
      </c>
      <c r="C1446" s="45">
        <v>46313</v>
      </c>
      <c r="D1446" s="76">
        <v>1678.06530335362</v>
      </c>
      <c r="E1446" s="77">
        <v>125</v>
      </c>
      <c r="F1446" s="78">
        <v>12.530378091786901</v>
      </c>
      <c r="G1446" s="78">
        <v>12.530378091786901</v>
      </c>
      <c r="H1446" s="81">
        <v>12.6133411789184</v>
      </c>
    </row>
    <row r="1447" spans="1:8" x14ac:dyDescent="0.3">
      <c r="A1447" s="74" t="str">
        <f t="shared" si="22"/>
        <v>陕西46314</v>
      </c>
      <c r="B1447" s="75" t="s">
        <v>16</v>
      </c>
      <c r="C1447" s="45">
        <v>46314</v>
      </c>
      <c r="D1447" s="76">
        <v>1678.06530335362</v>
      </c>
      <c r="E1447" s="77">
        <v>125</v>
      </c>
      <c r="F1447" s="78">
        <v>12.530378091786901</v>
      </c>
      <c r="G1447" s="78">
        <v>12.530378091786901</v>
      </c>
      <c r="H1447" s="81">
        <v>12.6133411789184</v>
      </c>
    </row>
    <row r="1448" spans="1:8" x14ac:dyDescent="0.3">
      <c r="A1448" s="74" t="str">
        <f t="shared" si="22"/>
        <v>陕西46315</v>
      </c>
      <c r="B1448" s="75" t="s">
        <v>16</v>
      </c>
      <c r="C1448" s="45">
        <v>46315</v>
      </c>
      <c r="D1448" s="76">
        <v>1678.06530335362</v>
      </c>
      <c r="E1448" s="77">
        <v>125</v>
      </c>
      <c r="F1448" s="78">
        <v>12.530378091786901</v>
      </c>
      <c r="G1448" s="78">
        <v>12.530378091786901</v>
      </c>
      <c r="H1448" s="81">
        <v>12.6133411789184</v>
      </c>
    </row>
    <row r="1449" spans="1:8" x14ac:dyDescent="0.3">
      <c r="A1449" s="74" t="str">
        <f t="shared" si="22"/>
        <v>陕西46316</v>
      </c>
      <c r="B1449" s="75" t="s">
        <v>16</v>
      </c>
      <c r="C1449" s="45">
        <v>46316</v>
      </c>
      <c r="D1449" s="76">
        <v>1678.06530335362</v>
      </c>
      <c r="E1449" s="77">
        <v>125</v>
      </c>
      <c r="F1449" s="78">
        <v>12.530378091786901</v>
      </c>
      <c r="G1449" s="78">
        <v>12.530378091786901</v>
      </c>
      <c r="H1449" s="81">
        <v>12.6133411789184</v>
      </c>
    </row>
    <row r="1450" spans="1:8" x14ac:dyDescent="0.3">
      <c r="A1450" s="74" t="str">
        <f t="shared" si="22"/>
        <v>陕西46317</v>
      </c>
      <c r="B1450" s="75" t="s">
        <v>16</v>
      </c>
      <c r="C1450" s="45">
        <v>46317</v>
      </c>
      <c r="D1450" s="76">
        <v>1678.06530335362</v>
      </c>
      <c r="E1450" s="77">
        <v>125</v>
      </c>
      <c r="F1450" s="78">
        <v>12.530378091786901</v>
      </c>
      <c r="G1450" s="78">
        <v>12.530378091786901</v>
      </c>
      <c r="H1450" s="81">
        <v>12.6133411789184</v>
      </c>
    </row>
    <row r="1451" spans="1:8" x14ac:dyDescent="0.3">
      <c r="A1451" s="74" t="str">
        <f t="shared" si="22"/>
        <v>陕西46318</v>
      </c>
      <c r="B1451" s="75" t="s">
        <v>16</v>
      </c>
      <c r="C1451" s="45">
        <v>46318</v>
      </c>
      <c r="D1451" s="76">
        <v>1678.06530335362</v>
      </c>
      <c r="E1451" s="77">
        <v>125</v>
      </c>
      <c r="F1451" s="78">
        <v>12.530378091786901</v>
      </c>
      <c r="G1451" s="78">
        <v>12.530378091786901</v>
      </c>
      <c r="H1451" s="81">
        <v>12.6133411789184</v>
      </c>
    </row>
    <row r="1452" spans="1:8" x14ac:dyDescent="0.3">
      <c r="A1452" s="74" t="str">
        <f t="shared" si="22"/>
        <v>陕西46319</v>
      </c>
      <c r="B1452" s="75" t="s">
        <v>16</v>
      </c>
      <c r="C1452" s="45">
        <v>46319</v>
      </c>
      <c r="D1452" s="76">
        <v>1678.06530335362</v>
      </c>
      <c r="E1452" s="77">
        <v>125</v>
      </c>
      <c r="F1452" s="78">
        <v>12.530378091786901</v>
      </c>
      <c r="G1452" s="78">
        <v>12.530378091786901</v>
      </c>
      <c r="H1452" s="81">
        <v>12.6133411789184</v>
      </c>
    </row>
    <row r="1453" spans="1:8" x14ac:dyDescent="0.3">
      <c r="A1453" s="74" t="str">
        <f t="shared" si="22"/>
        <v>陕西46320</v>
      </c>
      <c r="B1453" s="75" t="s">
        <v>16</v>
      </c>
      <c r="C1453" s="45">
        <v>46320</v>
      </c>
      <c r="D1453" s="76">
        <v>1678.06530335362</v>
      </c>
      <c r="E1453" s="77">
        <v>125</v>
      </c>
      <c r="F1453" s="78">
        <v>12.530378091786901</v>
      </c>
      <c r="G1453" s="78">
        <v>12.530378091786901</v>
      </c>
      <c r="H1453" s="81">
        <v>12.6133411789184</v>
      </c>
    </row>
    <row r="1454" spans="1:8" x14ac:dyDescent="0.3">
      <c r="A1454" s="74" t="str">
        <f t="shared" si="22"/>
        <v>陕西46321</v>
      </c>
      <c r="B1454" s="75" t="s">
        <v>16</v>
      </c>
      <c r="C1454" s="45">
        <v>46321</v>
      </c>
      <c r="D1454" s="76">
        <v>1678.06530335362</v>
      </c>
      <c r="E1454" s="77">
        <v>125</v>
      </c>
      <c r="F1454" s="78">
        <v>12.530378091786901</v>
      </c>
      <c r="G1454" s="78">
        <v>12.530378091786901</v>
      </c>
      <c r="H1454" s="81">
        <v>12.6133411789184</v>
      </c>
    </row>
    <row r="1455" spans="1:8" x14ac:dyDescent="0.3">
      <c r="A1455" s="74" t="str">
        <f t="shared" si="22"/>
        <v>陕西46322</v>
      </c>
      <c r="B1455" s="75" t="s">
        <v>16</v>
      </c>
      <c r="C1455" s="45">
        <v>46322</v>
      </c>
      <c r="D1455" s="76">
        <v>1678.06530335362</v>
      </c>
      <c r="E1455" s="77">
        <v>125</v>
      </c>
      <c r="F1455" s="78">
        <v>12.530378091786901</v>
      </c>
      <c r="G1455" s="78">
        <v>12.530378091786901</v>
      </c>
      <c r="H1455" s="81">
        <v>12.6133411789184</v>
      </c>
    </row>
    <row r="1456" spans="1:8" x14ac:dyDescent="0.3">
      <c r="A1456" s="74" t="str">
        <f t="shared" si="22"/>
        <v>陕西46323</v>
      </c>
      <c r="B1456" s="75" t="s">
        <v>16</v>
      </c>
      <c r="C1456" s="45">
        <v>46323</v>
      </c>
      <c r="D1456" s="76">
        <v>1678.06530335362</v>
      </c>
      <c r="E1456" s="77">
        <v>125</v>
      </c>
      <c r="F1456" s="78">
        <v>12.530378091786901</v>
      </c>
      <c r="G1456" s="78">
        <v>12.530378091786901</v>
      </c>
      <c r="H1456" s="81">
        <v>12.6133411789184</v>
      </c>
    </row>
    <row r="1457" spans="1:8" x14ac:dyDescent="0.3">
      <c r="A1457" s="74" t="str">
        <f t="shared" si="22"/>
        <v>陕西46324</v>
      </c>
      <c r="B1457" s="75" t="s">
        <v>16</v>
      </c>
      <c r="C1457" s="45">
        <v>46324</v>
      </c>
      <c r="D1457" s="76">
        <v>1678.06530335362</v>
      </c>
      <c r="E1457" s="77">
        <v>125</v>
      </c>
      <c r="F1457" s="78">
        <v>12.530378091786901</v>
      </c>
      <c r="G1457" s="78">
        <v>12.530378091786901</v>
      </c>
      <c r="H1457" s="81">
        <v>12.6133411789184</v>
      </c>
    </row>
    <row r="1458" spans="1:8" x14ac:dyDescent="0.3">
      <c r="A1458" s="74" t="str">
        <f t="shared" si="22"/>
        <v>陕西46325</v>
      </c>
      <c r="B1458" s="75" t="s">
        <v>16</v>
      </c>
      <c r="C1458" s="45">
        <v>46325</v>
      </c>
      <c r="D1458" s="76">
        <v>1678.06530335362</v>
      </c>
      <c r="E1458" s="77">
        <v>125</v>
      </c>
      <c r="F1458" s="78">
        <v>12.530378091786901</v>
      </c>
      <c r="G1458" s="78">
        <v>12.530378091786901</v>
      </c>
      <c r="H1458" s="81">
        <v>12.6133411789184</v>
      </c>
    </row>
    <row r="1459" spans="1:8" x14ac:dyDescent="0.3">
      <c r="A1459" s="74" t="str">
        <f t="shared" si="22"/>
        <v>陕西46326</v>
      </c>
      <c r="B1459" s="75" t="s">
        <v>16</v>
      </c>
      <c r="C1459" s="45">
        <v>46326</v>
      </c>
      <c r="D1459" s="76">
        <v>1678.06530335362</v>
      </c>
      <c r="E1459" s="77">
        <v>125</v>
      </c>
      <c r="F1459" s="78">
        <v>12.530378091786901</v>
      </c>
      <c r="G1459" s="78">
        <v>12.530378091786901</v>
      </c>
      <c r="H1459" s="81">
        <v>12.6133411789184</v>
      </c>
    </row>
    <row r="1460" spans="1:8" x14ac:dyDescent="0.3">
      <c r="A1460" s="74" t="str">
        <f t="shared" si="22"/>
        <v>陕西46327</v>
      </c>
      <c r="B1460" s="75" t="s">
        <v>16</v>
      </c>
      <c r="C1460" s="45">
        <v>46327</v>
      </c>
      <c r="D1460" s="76">
        <v>1633.22624090818</v>
      </c>
      <c r="E1460" s="77">
        <v>125</v>
      </c>
      <c r="F1460" s="78">
        <v>12.8209113219092</v>
      </c>
      <c r="G1460" s="78">
        <v>12.8209113219092</v>
      </c>
      <c r="H1460" s="81">
        <v>12.688123834129399</v>
      </c>
    </row>
    <row r="1461" spans="1:8" x14ac:dyDescent="0.3">
      <c r="A1461" s="74" t="str">
        <f t="shared" si="22"/>
        <v>陕西46328</v>
      </c>
      <c r="B1461" s="75" t="s">
        <v>16</v>
      </c>
      <c r="C1461" s="45">
        <v>46328</v>
      </c>
      <c r="D1461" s="76">
        <v>1633.22624090818</v>
      </c>
      <c r="E1461" s="77">
        <v>125</v>
      </c>
      <c r="F1461" s="78">
        <v>12.8209113219092</v>
      </c>
      <c r="G1461" s="78">
        <v>12.8209113219092</v>
      </c>
      <c r="H1461" s="81">
        <v>12.688123834129399</v>
      </c>
    </row>
    <row r="1462" spans="1:8" x14ac:dyDescent="0.3">
      <c r="A1462" s="74" t="str">
        <f t="shared" si="22"/>
        <v>陕西46329</v>
      </c>
      <c r="B1462" s="75" t="s">
        <v>16</v>
      </c>
      <c r="C1462" s="45">
        <v>46329</v>
      </c>
      <c r="D1462" s="76">
        <v>1633.22624090818</v>
      </c>
      <c r="E1462" s="77">
        <v>125</v>
      </c>
      <c r="F1462" s="78">
        <v>12.8209113219092</v>
      </c>
      <c r="G1462" s="78">
        <v>12.8209113219092</v>
      </c>
      <c r="H1462" s="81">
        <v>12.688123834129399</v>
      </c>
    </row>
    <row r="1463" spans="1:8" x14ac:dyDescent="0.3">
      <c r="A1463" s="74" t="str">
        <f t="shared" si="22"/>
        <v>陕西46330</v>
      </c>
      <c r="B1463" s="75" t="s">
        <v>16</v>
      </c>
      <c r="C1463" s="45">
        <v>46330</v>
      </c>
      <c r="D1463" s="76">
        <v>1633.22624090818</v>
      </c>
      <c r="E1463" s="77">
        <v>125</v>
      </c>
      <c r="F1463" s="78">
        <v>12.8209113219092</v>
      </c>
      <c r="G1463" s="78">
        <v>12.8209113219092</v>
      </c>
      <c r="H1463" s="81">
        <v>12.688123834129399</v>
      </c>
    </row>
    <row r="1464" spans="1:8" x14ac:dyDescent="0.3">
      <c r="A1464" s="74" t="str">
        <f t="shared" si="22"/>
        <v>陕西46331</v>
      </c>
      <c r="B1464" s="75" t="s">
        <v>16</v>
      </c>
      <c r="C1464" s="45">
        <v>46331</v>
      </c>
      <c r="D1464" s="76">
        <v>1633.22624090818</v>
      </c>
      <c r="E1464" s="77">
        <v>125</v>
      </c>
      <c r="F1464" s="78">
        <v>12.8209113219092</v>
      </c>
      <c r="G1464" s="78">
        <v>12.8209113219092</v>
      </c>
      <c r="H1464" s="81">
        <v>12.688123834129399</v>
      </c>
    </row>
    <row r="1465" spans="1:8" x14ac:dyDescent="0.3">
      <c r="A1465" s="74" t="str">
        <f t="shared" si="22"/>
        <v>陕西46332</v>
      </c>
      <c r="B1465" s="75" t="s">
        <v>16</v>
      </c>
      <c r="C1465" s="45">
        <v>46332</v>
      </c>
      <c r="D1465" s="76">
        <v>1633.22624090818</v>
      </c>
      <c r="E1465" s="77">
        <v>125</v>
      </c>
      <c r="F1465" s="78">
        <v>12.8209113219092</v>
      </c>
      <c r="G1465" s="78">
        <v>12.8209113219092</v>
      </c>
      <c r="H1465" s="81">
        <v>12.688123834129399</v>
      </c>
    </row>
    <row r="1466" spans="1:8" x14ac:dyDescent="0.3">
      <c r="A1466" s="74" t="str">
        <f t="shared" si="22"/>
        <v>陕西46333</v>
      </c>
      <c r="B1466" s="75" t="s">
        <v>16</v>
      </c>
      <c r="C1466" s="45">
        <v>46333</v>
      </c>
      <c r="D1466" s="76">
        <v>1633.22624090818</v>
      </c>
      <c r="E1466" s="77">
        <v>125</v>
      </c>
      <c r="F1466" s="78">
        <v>12.8209113219092</v>
      </c>
      <c r="G1466" s="78">
        <v>12.8209113219092</v>
      </c>
      <c r="H1466" s="81">
        <v>12.688123834129399</v>
      </c>
    </row>
    <row r="1467" spans="1:8" x14ac:dyDescent="0.3">
      <c r="A1467" s="74" t="str">
        <f t="shared" si="22"/>
        <v>陕西46334</v>
      </c>
      <c r="B1467" s="75" t="s">
        <v>16</v>
      </c>
      <c r="C1467" s="45">
        <v>46334</v>
      </c>
      <c r="D1467" s="76">
        <v>1633.22624090818</v>
      </c>
      <c r="E1467" s="77">
        <v>125</v>
      </c>
      <c r="F1467" s="78">
        <v>12.8209113219092</v>
      </c>
      <c r="G1467" s="78">
        <v>12.8209113219092</v>
      </c>
      <c r="H1467" s="81">
        <v>12.688123834129399</v>
      </c>
    </row>
    <row r="1468" spans="1:8" x14ac:dyDescent="0.3">
      <c r="A1468" s="74" t="str">
        <f t="shared" si="22"/>
        <v>陕西46335</v>
      </c>
      <c r="B1468" s="75" t="s">
        <v>16</v>
      </c>
      <c r="C1468" s="45">
        <v>46335</v>
      </c>
      <c r="D1468" s="76">
        <v>1633.22624090818</v>
      </c>
      <c r="E1468" s="77">
        <v>125</v>
      </c>
      <c r="F1468" s="78">
        <v>12.8209113219092</v>
      </c>
      <c r="G1468" s="78">
        <v>12.8209113219092</v>
      </c>
      <c r="H1468" s="81">
        <v>12.688123834129399</v>
      </c>
    </row>
    <row r="1469" spans="1:8" x14ac:dyDescent="0.3">
      <c r="A1469" s="74" t="str">
        <f t="shared" si="22"/>
        <v>陕西46336</v>
      </c>
      <c r="B1469" s="75" t="s">
        <v>16</v>
      </c>
      <c r="C1469" s="45">
        <v>46336</v>
      </c>
      <c r="D1469" s="76">
        <v>1633.22624090818</v>
      </c>
      <c r="E1469" s="77">
        <v>125</v>
      </c>
      <c r="F1469" s="78">
        <v>12.8209113219092</v>
      </c>
      <c r="G1469" s="78">
        <v>12.8209113219092</v>
      </c>
      <c r="H1469" s="81">
        <v>12.688123834129399</v>
      </c>
    </row>
    <row r="1470" spans="1:8" x14ac:dyDescent="0.3">
      <c r="A1470" s="74" t="str">
        <f t="shared" si="22"/>
        <v>陕西46337</v>
      </c>
      <c r="B1470" s="75" t="s">
        <v>16</v>
      </c>
      <c r="C1470" s="45">
        <v>46337</v>
      </c>
      <c r="D1470" s="76">
        <v>1633.22624090818</v>
      </c>
      <c r="E1470" s="77">
        <v>125</v>
      </c>
      <c r="F1470" s="78">
        <v>12.8209113219092</v>
      </c>
      <c r="G1470" s="78">
        <v>12.8209113219092</v>
      </c>
      <c r="H1470" s="81">
        <v>12.688123834129399</v>
      </c>
    </row>
    <row r="1471" spans="1:8" x14ac:dyDescent="0.3">
      <c r="A1471" s="74" t="str">
        <f t="shared" si="22"/>
        <v>陕西46338</v>
      </c>
      <c r="B1471" s="75" t="s">
        <v>16</v>
      </c>
      <c r="C1471" s="45">
        <v>46338</v>
      </c>
      <c r="D1471" s="76">
        <v>1633.22624090818</v>
      </c>
      <c r="E1471" s="77">
        <v>125</v>
      </c>
      <c r="F1471" s="78">
        <v>12.8209113219092</v>
      </c>
      <c r="G1471" s="78">
        <v>12.8209113219092</v>
      </c>
      <c r="H1471" s="81">
        <v>12.688123834129399</v>
      </c>
    </row>
    <row r="1472" spans="1:8" x14ac:dyDescent="0.3">
      <c r="A1472" s="74" t="str">
        <f t="shared" si="22"/>
        <v>陕西46339</v>
      </c>
      <c r="B1472" s="75" t="s">
        <v>16</v>
      </c>
      <c r="C1472" s="45">
        <v>46339</v>
      </c>
      <c r="D1472" s="76">
        <v>1633.22624090818</v>
      </c>
      <c r="E1472" s="77">
        <v>125</v>
      </c>
      <c r="F1472" s="78">
        <v>12.8209113219092</v>
      </c>
      <c r="G1472" s="78">
        <v>12.8209113219092</v>
      </c>
      <c r="H1472" s="81">
        <v>12.688123834129399</v>
      </c>
    </row>
    <row r="1473" spans="1:8" x14ac:dyDescent="0.3">
      <c r="A1473" s="74" t="str">
        <f t="shared" si="22"/>
        <v>陕西46340</v>
      </c>
      <c r="B1473" s="75" t="s">
        <v>16</v>
      </c>
      <c r="C1473" s="45">
        <v>46340</v>
      </c>
      <c r="D1473" s="76">
        <v>1633.22624090818</v>
      </c>
      <c r="E1473" s="77">
        <v>125</v>
      </c>
      <c r="F1473" s="78">
        <v>12.8209113219092</v>
      </c>
      <c r="G1473" s="78">
        <v>12.8209113219092</v>
      </c>
      <c r="H1473" s="81">
        <v>12.688123834129399</v>
      </c>
    </row>
    <row r="1474" spans="1:8" x14ac:dyDescent="0.3">
      <c r="A1474" s="74" t="str">
        <f t="shared" si="22"/>
        <v>陕西46341</v>
      </c>
      <c r="B1474" s="75" t="s">
        <v>16</v>
      </c>
      <c r="C1474" s="45">
        <v>46341</v>
      </c>
      <c r="D1474" s="76">
        <v>1633.22624090818</v>
      </c>
      <c r="E1474" s="77">
        <v>125</v>
      </c>
      <c r="F1474" s="78">
        <v>12.8209113219092</v>
      </c>
      <c r="G1474" s="78">
        <v>12.8209113219092</v>
      </c>
      <c r="H1474" s="81">
        <v>12.688123834129399</v>
      </c>
    </row>
    <row r="1475" spans="1:8" x14ac:dyDescent="0.3">
      <c r="A1475" s="74" t="str">
        <f t="shared" ref="A1475:A1538" si="23">B1475&amp;C1475</f>
        <v>陕西46342</v>
      </c>
      <c r="B1475" s="75" t="s">
        <v>16</v>
      </c>
      <c r="C1475" s="45">
        <v>46342</v>
      </c>
      <c r="D1475" s="76">
        <v>1633.22624090818</v>
      </c>
      <c r="E1475" s="77">
        <v>125</v>
      </c>
      <c r="F1475" s="78">
        <v>12.8209113219092</v>
      </c>
      <c r="G1475" s="78">
        <v>12.8209113219092</v>
      </c>
      <c r="H1475" s="81">
        <v>12.688123834129399</v>
      </c>
    </row>
    <row r="1476" spans="1:8" x14ac:dyDescent="0.3">
      <c r="A1476" s="74" t="str">
        <f t="shared" si="23"/>
        <v>陕西46343</v>
      </c>
      <c r="B1476" s="75" t="s">
        <v>16</v>
      </c>
      <c r="C1476" s="45">
        <v>46343</v>
      </c>
      <c r="D1476" s="76">
        <v>1633.22624090818</v>
      </c>
      <c r="E1476" s="77">
        <v>125</v>
      </c>
      <c r="F1476" s="78">
        <v>12.8209113219092</v>
      </c>
      <c r="G1476" s="78">
        <v>12.8209113219092</v>
      </c>
      <c r="H1476" s="81">
        <v>12.688123834129399</v>
      </c>
    </row>
    <row r="1477" spans="1:8" x14ac:dyDescent="0.3">
      <c r="A1477" s="74" t="str">
        <f t="shared" si="23"/>
        <v>陕西46344</v>
      </c>
      <c r="B1477" s="75" t="s">
        <v>16</v>
      </c>
      <c r="C1477" s="45">
        <v>46344</v>
      </c>
      <c r="D1477" s="76">
        <v>1633.22624090818</v>
      </c>
      <c r="E1477" s="77">
        <v>125</v>
      </c>
      <c r="F1477" s="78">
        <v>12.8209113219092</v>
      </c>
      <c r="G1477" s="78">
        <v>12.8209113219092</v>
      </c>
      <c r="H1477" s="81">
        <v>12.688123834129399</v>
      </c>
    </row>
    <row r="1478" spans="1:8" x14ac:dyDescent="0.3">
      <c r="A1478" s="74" t="str">
        <f t="shared" si="23"/>
        <v>陕西46345</v>
      </c>
      <c r="B1478" s="75" t="s">
        <v>16</v>
      </c>
      <c r="C1478" s="45">
        <v>46345</v>
      </c>
      <c r="D1478" s="76">
        <v>1633.22624090818</v>
      </c>
      <c r="E1478" s="77">
        <v>125</v>
      </c>
      <c r="F1478" s="78">
        <v>12.8209113219092</v>
      </c>
      <c r="G1478" s="78">
        <v>12.8209113219092</v>
      </c>
      <c r="H1478" s="81">
        <v>12.688123834129399</v>
      </c>
    </row>
    <row r="1479" spans="1:8" x14ac:dyDescent="0.3">
      <c r="A1479" s="74" t="str">
        <f t="shared" si="23"/>
        <v>陕西46346</v>
      </c>
      <c r="B1479" s="75" t="s">
        <v>16</v>
      </c>
      <c r="C1479" s="45">
        <v>46346</v>
      </c>
      <c r="D1479" s="76">
        <v>1633.22624090818</v>
      </c>
      <c r="E1479" s="77">
        <v>125</v>
      </c>
      <c r="F1479" s="78">
        <v>12.8209113219092</v>
      </c>
      <c r="G1479" s="78">
        <v>12.8209113219092</v>
      </c>
      <c r="H1479" s="81">
        <v>12.688123834129399</v>
      </c>
    </row>
    <row r="1480" spans="1:8" x14ac:dyDescent="0.3">
      <c r="A1480" s="74" t="str">
        <f t="shared" si="23"/>
        <v>陕西46347</v>
      </c>
      <c r="B1480" s="75" t="s">
        <v>16</v>
      </c>
      <c r="C1480" s="45">
        <v>46347</v>
      </c>
      <c r="D1480" s="76">
        <v>1633.22624090818</v>
      </c>
      <c r="E1480" s="77">
        <v>125</v>
      </c>
      <c r="F1480" s="78">
        <v>12.8209113219092</v>
      </c>
      <c r="G1480" s="78">
        <v>12.8209113219092</v>
      </c>
      <c r="H1480" s="81">
        <v>12.688123834129399</v>
      </c>
    </row>
    <row r="1481" spans="1:8" x14ac:dyDescent="0.3">
      <c r="A1481" s="74" t="str">
        <f t="shared" si="23"/>
        <v>陕西46348</v>
      </c>
      <c r="B1481" s="75" t="s">
        <v>16</v>
      </c>
      <c r="C1481" s="45">
        <v>46348</v>
      </c>
      <c r="D1481" s="76">
        <v>1633.22624090818</v>
      </c>
      <c r="E1481" s="77">
        <v>125</v>
      </c>
      <c r="F1481" s="78">
        <v>12.8209113219092</v>
      </c>
      <c r="G1481" s="78">
        <v>12.8209113219092</v>
      </c>
      <c r="H1481" s="81">
        <v>12.688123834129399</v>
      </c>
    </row>
    <row r="1482" spans="1:8" x14ac:dyDescent="0.3">
      <c r="A1482" s="74" t="str">
        <f t="shared" si="23"/>
        <v>陕西46349</v>
      </c>
      <c r="B1482" s="75" t="s">
        <v>16</v>
      </c>
      <c r="C1482" s="45">
        <v>46349</v>
      </c>
      <c r="D1482" s="76">
        <v>1633.22624090818</v>
      </c>
      <c r="E1482" s="77">
        <v>125</v>
      </c>
      <c r="F1482" s="78">
        <v>12.8209113219092</v>
      </c>
      <c r="G1482" s="78">
        <v>12.8209113219092</v>
      </c>
      <c r="H1482" s="81">
        <v>12.688123834129399</v>
      </c>
    </row>
    <row r="1483" spans="1:8" x14ac:dyDescent="0.3">
      <c r="A1483" s="74" t="str">
        <f t="shared" si="23"/>
        <v>陕西46350</v>
      </c>
      <c r="B1483" s="75" t="s">
        <v>16</v>
      </c>
      <c r="C1483" s="45">
        <v>46350</v>
      </c>
      <c r="D1483" s="76">
        <v>1633.22624090818</v>
      </c>
      <c r="E1483" s="77">
        <v>125</v>
      </c>
      <c r="F1483" s="78">
        <v>12.8209113219092</v>
      </c>
      <c r="G1483" s="78">
        <v>12.8209113219092</v>
      </c>
      <c r="H1483" s="81">
        <v>12.688123834129399</v>
      </c>
    </row>
    <row r="1484" spans="1:8" x14ac:dyDescent="0.3">
      <c r="A1484" s="74" t="str">
        <f t="shared" si="23"/>
        <v>陕西46351</v>
      </c>
      <c r="B1484" s="75" t="s">
        <v>16</v>
      </c>
      <c r="C1484" s="45">
        <v>46351</v>
      </c>
      <c r="D1484" s="76">
        <v>1633.22624090818</v>
      </c>
      <c r="E1484" s="77">
        <v>125</v>
      </c>
      <c r="F1484" s="78">
        <v>12.8209113219092</v>
      </c>
      <c r="G1484" s="78">
        <v>12.8209113219092</v>
      </c>
      <c r="H1484" s="81">
        <v>12.688123834129399</v>
      </c>
    </row>
    <row r="1485" spans="1:8" x14ac:dyDescent="0.3">
      <c r="A1485" s="74" t="str">
        <f t="shared" si="23"/>
        <v>陕西46352</v>
      </c>
      <c r="B1485" s="75" t="s">
        <v>16</v>
      </c>
      <c r="C1485" s="45">
        <v>46352</v>
      </c>
      <c r="D1485" s="76">
        <v>1633.22624090818</v>
      </c>
      <c r="E1485" s="77">
        <v>125</v>
      </c>
      <c r="F1485" s="78">
        <v>12.8209113219092</v>
      </c>
      <c r="G1485" s="78">
        <v>12.8209113219092</v>
      </c>
      <c r="H1485" s="81">
        <v>12.688123834129399</v>
      </c>
    </row>
    <row r="1486" spans="1:8" x14ac:dyDescent="0.3">
      <c r="A1486" s="74" t="str">
        <f t="shared" si="23"/>
        <v>陕西46353</v>
      </c>
      <c r="B1486" s="75" t="s">
        <v>16</v>
      </c>
      <c r="C1486" s="45">
        <v>46353</v>
      </c>
      <c r="D1486" s="76">
        <v>1633.22624090818</v>
      </c>
      <c r="E1486" s="77">
        <v>125</v>
      </c>
      <c r="F1486" s="78">
        <v>12.8209113219092</v>
      </c>
      <c r="G1486" s="78">
        <v>12.8209113219092</v>
      </c>
      <c r="H1486" s="81">
        <v>12.688123834129399</v>
      </c>
    </row>
    <row r="1487" spans="1:8" x14ac:dyDescent="0.3">
      <c r="A1487" s="74" t="str">
        <f t="shared" si="23"/>
        <v>陕西46354</v>
      </c>
      <c r="B1487" s="75" t="s">
        <v>16</v>
      </c>
      <c r="C1487" s="45">
        <v>46354</v>
      </c>
      <c r="D1487" s="76">
        <v>1633.22624090818</v>
      </c>
      <c r="E1487" s="77">
        <v>125</v>
      </c>
      <c r="F1487" s="78">
        <v>12.8209113219092</v>
      </c>
      <c r="G1487" s="78">
        <v>12.8209113219092</v>
      </c>
      <c r="H1487" s="81">
        <v>12.688123834129399</v>
      </c>
    </row>
    <row r="1488" spans="1:8" x14ac:dyDescent="0.3">
      <c r="A1488" s="74" t="str">
        <f t="shared" si="23"/>
        <v>陕西46355</v>
      </c>
      <c r="B1488" s="75" t="s">
        <v>16</v>
      </c>
      <c r="C1488" s="45">
        <v>46355</v>
      </c>
      <c r="D1488" s="76">
        <v>1633.22624090818</v>
      </c>
      <c r="E1488" s="77">
        <v>125</v>
      </c>
      <c r="F1488" s="78">
        <v>12.8209113219092</v>
      </c>
      <c r="G1488" s="78">
        <v>12.8209113219092</v>
      </c>
      <c r="H1488" s="81">
        <v>12.688123834129399</v>
      </c>
    </row>
    <row r="1489" spans="1:8" x14ac:dyDescent="0.3">
      <c r="A1489" s="74" t="str">
        <f t="shared" si="23"/>
        <v>陕西46356</v>
      </c>
      <c r="B1489" s="75" t="s">
        <v>16</v>
      </c>
      <c r="C1489" s="45">
        <v>46356</v>
      </c>
      <c r="D1489" s="76">
        <v>1633.22624090818</v>
      </c>
      <c r="E1489" s="77">
        <v>125</v>
      </c>
      <c r="F1489" s="78">
        <v>12.8209113219092</v>
      </c>
      <c r="G1489" s="78">
        <v>12.8209113219092</v>
      </c>
      <c r="H1489" s="81">
        <v>12.688123834129399</v>
      </c>
    </row>
    <row r="1490" spans="1:8" x14ac:dyDescent="0.3">
      <c r="A1490" s="74" t="str">
        <f t="shared" si="23"/>
        <v>陕西46357</v>
      </c>
      <c r="B1490" s="75" t="s">
        <v>16</v>
      </c>
      <c r="C1490" s="45">
        <v>46357</v>
      </c>
      <c r="D1490" s="76">
        <v>1680.8908134410401</v>
      </c>
      <c r="E1490" s="77">
        <v>125</v>
      </c>
      <c r="F1490" s="78">
        <v>13.515275669597401</v>
      </c>
      <c r="G1490" s="78">
        <v>13.515275669597401</v>
      </c>
      <c r="H1490" s="81">
        <v>12.9224428204571</v>
      </c>
    </row>
    <row r="1491" spans="1:8" x14ac:dyDescent="0.3">
      <c r="A1491" s="74" t="str">
        <f t="shared" si="23"/>
        <v>陕西46358</v>
      </c>
      <c r="B1491" s="75" t="s">
        <v>16</v>
      </c>
      <c r="C1491" s="45">
        <v>46358</v>
      </c>
      <c r="D1491" s="76">
        <v>1680.8908134410401</v>
      </c>
      <c r="E1491" s="77">
        <v>125</v>
      </c>
      <c r="F1491" s="78">
        <v>13.515275669597401</v>
      </c>
      <c r="G1491" s="78">
        <v>13.515275669597401</v>
      </c>
      <c r="H1491" s="81">
        <v>12.9224428204571</v>
      </c>
    </row>
    <row r="1492" spans="1:8" x14ac:dyDescent="0.3">
      <c r="A1492" s="74" t="str">
        <f t="shared" si="23"/>
        <v>陕西46359</v>
      </c>
      <c r="B1492" s="75" t="s">
        <v>16</v>
      </c>
      <c r="C1492" s="45">
        <v>46359</v>
      </c>
      <c r="D1492" s="76">
        <v>1680.8908134410401</v>
      </c>
      <c r="E1492" s="77">
        <v>125</v>
      </c>
      <c r="F1492" s="78">
        <v>13.515275669597401</v>
      </c>
      <c r="G1492" s="78">
        <v>13.515275669597401</v>
      </c>
      <c r="H1492" s="81">
        <v>12.9224428204571</v>
      </c>
    </row>
    <row r="1493" spans="1:8" x14ac:dyDescent="0.3">
      <c r="A1493" s="74" t="str">
        <f t="shared" si="23"/>
        <v>陕西46360</v>
      </c>
      <c r="B1493" s="75" t="s">
        <v>16</v>
      </c>
      <c r="C1493" s="45">
        <v>46360</v>
      </c>
      <c r="D1493" s="76">
        <v>1680.8908134410401</v>
      </c>
      <c r="E1493" s="77">
        <v>125</v>
      </c>
      <c r="F1493" s="78">
        <v>13.515275669597401</v>
      </c>
      <c r="G1493" s="78">
        <v>13.515275669597401</v>
      </c>
      <c r="H1493" s="81">
        <v>12.9224428204571</v>
      </c>
    </row>
    <row r="1494" spans="1:8" x14ac:dyDescent="0.3">
      <c r="A1494" s="74" t="str">
        <f t="shared" si="23"/>
        <v>陕西46361</v>
      </c>
      <c r="B1494" s="75" t="s">
        <v>16</v>
      </c>
      <c r="C1494" s="45">
        <v>46361</v>
      </c>
      <c r="D1494" s="76">
        <v>1680.8908134410401</v>
      </c>
      <c r="E1494" s="77">
        <v>125</v>
      </c>
      <c r="F1494" s="78">
        <v>13.515275669597401</v>
      </c>
      <c r="G1494" s="78">
        <v>13.515275669597401</v>
      </c>
      <c r="H1494" s="81">
        <v>12.9224428204571</v>
      </c>
    </row>
    <row r="1495" spans="1:8" x14ac:dyDescent="0.3">
      <c r="A1495" s="74" t="str">
        <f t="shared" si="23"/>
        <v>陕西46362</v>
      </c>
      <c r="B1495" s="75" t="s">
        <v>16</v>
      </c>
      <c r="C1495" s="45">
        <v>46362</v>
      </c>
      <c r="D1495" s="76">
        <v>1680.8908134410401</v>
      </c>
      <c r="E1495" s="77">
        <v>125</v>
      </c>
      <c r="F1495" s="78">
        <v>13.515275669597401</v>
      </c>
      <c r="G1495" s="78">
        <v>13.515275669597401</v>
      </c>
      <c r="H1495" s="81">
        <v>12.9224428204571</v>
      </c>
    </row>
    <row r="1496" spans="1:8" x14ac:dyDescent="0.3">
      <c r="A1496" s="74" t="str">
        <f t="shared" si="23"/>
        <v>陕西46363</v>
      </c>
      <c r="B1496" s="75" t="s">
        <v>16</v>
      </c>
      <c r="C1496" s="45">
        <v>46363</v>
      </c>
      <c r="D1496" s="76">
        <v>1680.8908134410401</v>
      </c>
      <c r="E1496" s="77">
        <v>125</v>
      </c>
      <c r="F1496" s="78">
        <v>13.515275669597401</v>
      </c>
      <c r="G1496" s="78">
        <v>13.515275669597401</v>
      </c>
      <c r="H1496" s="81">
        <v>12.9224428204571</v>
      </c>
    </row>
    <row r="1497" spans="1:8" x14ac:dyDescent="0.3">
      <c r="A1497" s="74" t="str">
        <f t="shared" si="23"/>
        <v>陕西46364</v>
      </c>
      <c r="B1497" s="75" t="s">
        <v>16</v>
      </c>
      <c r="C1497" s="45">
        <v>46364</v>
      </c>
      <c r="D1497" s="76">
        <v>1680.8908134410401</v>
      </c>
      <c r="E1497" s="77">
        <v>125</v>
      </c>
      <c r="F1497" s="78">
        <v>13.515275669597401</v>
      </c>
      <c r="G1497" s="78">
        <v>13.515275669597401</v>
      </c>
      <c r="H1497" s="81">
        <v>12.9224428204571</v>
      </c>
    </row>
    <row r="1498" spans="1:8" x14ac:dyDescent="0.3">
      <c r="A1498" s="74" t="str">
        <f t="shared" si="23"/>
        <v>陕西46365</v>
      </c>
      <c r="B1498" s="75" t="s">
        <v>16</v>
      </c>
      <c r="C1498" s="45">
        <v>46365</v>
      </c>
      <c r="D1498" s="76">
        <v>1680.8908134410401</v>
      </c>
      <c r="E1498" s="77">
        <v>125</v>
      </c>
      <c r="F1498" s="78">
        <v>13.515275669597401</v>
      </c>
      <c r="G1498" s="78">
        <v>13.515275669597401</v>
      </c>
      <c r="H1498" s="81">
        <v>12.9224428204571</v>
      </c>
    </row>
    <row r="1499" spans="1:8" x14ac:dyDescent="0.3">
      <c r="A1499" s="74" t="str">
        <f t="shared" si="23"/>
        <v>陕西46366</v>
      </c>
      <c r="B1499" s="75" t="s">
        <v>16</v>
      </c>
      <c r="C1499" s="45">
        <v>46366</v>
      </c>
      <c r="D1499" s="76">
        <v>1680.8908134410401</v>
      </c>
      <c r="E1499" s="77">
        <v>125</v>
      </c>
      <c r="F1499" s="78">
        <v>13.515275669597401</v>
      </c>
      <c r="G1499" s="78">
        <v>13.515275669597401</v>
      </c>
      <c r="H1499" s="81">
        <v>12.9224428204571</v>
      </c>
    </row>
    <row r="1500" spans="1:8" x14ac:dyDescent="0.3">
      <c r="A1500" s="74" t="str">
        <f t="shared" si="23"/>
        <v>陕西46367</v>
      </c>
      <c r="B1500" s="75" t="s">
        <v>16</v>
      </c>
      <c r="C1500" s="45">
        <v>46367</v>
      </c>
      <c r="D1500" s="76">
        <v>1680.8908134410401</v>
      </c>
      <c r="E1500" s="77">
        <v>125</v>
      </c>
      <c r="F1500" s="78">
        <v>13.515275669597401</v>
      </c>
      <c r="G1500" s="78">
        <v>13.515275669597401</v>
      </c>
      <c r="H1500" s="81">
        <v>12.9224428204571</v>
      </c>
    </row>
    <row r="1501" spans="1:8" x14ac:dyDescent="0.3">
      <c r="A1501" s="74" t="str">
        <f t="shared" si="23"/>
        <v>陕西46368</v>
      </c>
      <c r="B1501" s="75" t="s">
        <v>16</v>
      </c>
      <c r="C1501" s="45">
        <v>46368</v>
      </c>
      <c r="D1501" s="76">
        <v>1680.8908134410401</v>
      </c>
      <c r="E1501" s="77">
        <v>125</v>
      </c>
      <c r="F1501" s="78">
        <v>13.515275669597401</v>
      </c>
      <c r="G1501" s="78">
        <v>13.515275669597401</v>
      </c>
      <c r="H1501" s="81">
        <v>12.9224428204571</v>
      </c>
    </row>
    <row r="1502" spans="1:8" x14ac:dyDescent="0.3">
      <c r="A1502" s="74" t="str">
        <f t="shared" si="23"/>
        <v>陕西46369</v>
      </c>
      <c r="B1502" s="75" t="s">
        <v>16</v>
      </c>
      <c r="C1502" s="45">
        <v>46369</v>
      </c>
      <c r="D1502" s="76">
        <v>1680.8908134410401</v>
      </c>
      <c r="E1502" s="77">
        <v>125</v>
      </c>
      <c r="F1502" s="78">
        <v>13.515275669597401</v>
      </c>
      <c r="G1502" s="78">
        <v>13.515275669597401</v>
      </c>
      <c r="H1502" s="81">
        <v>12.9224428204571</v>
      </c>
    </row>
    <row r="1503" spans="1:8" x14ac:dyDescent="0.3">
      <c r="A1503" s="74" t="str">
        <f t="shared" si="23"/>
        <v>陕西46370</v>
      </c>
      <c r="B1503" s="75" t="s">
        <v>16</v>
      </c>
      <c r="C1503" s="45">
        <v>46370</v>
      </c>
      <c r="D1503" s="76">
        <v>1680.8908134410401</v>
      </c>
      <c r="E1503" s="77">
        <v>125</v>
      </c>
      <c r="F1503" s="78">
        <v>13.515275669597401</v>
      </c>
      <c r="G1503" s="78">
        <v>13.515275669597401</v>
      </c>
      <c r="H1503" s="81">
        <v>12.9224428204571</v>
      </c>
    </row>
    <row r="1504" spans="1:8" x14ac:dyDescent="0.3">
      <c r="A1504" s="74" t="str">
        <f t="shared" si="23"/>
        <v>陕西46371</v>
      </c>
      <c r="B1504" s="75" t="s">
        <v>16</v>
      </c>
      <c r="C1504" s="45">
        <v>46371</v>
      </c>
      <c r="D1504" s="76">
        <v>1680.8908134410401</v>
      </c>
      <c r="E1504" s="77">
        <v>125</v>
      </c>
      <c r="F1504" s="78">
        <v>13.515275669597401</v>
      </c>
      <c r="G1504" s="78">
        <v>13.515275669597401</v>
      </c>
      <c r="H1504" s="81">
        <v>12.9224428204571</v>
      </c>
    </row>
    <row r="1505" spans="1:8" x14ac:dyDescent="0.3">
      <c r="A1505" s="74" t="str">
        <f t="shared" si="23"/>
        <v>陕西46372</v>
      </c>
      <c r="B1505" s="75" t="s">
        <v>16</v>
      </c>
      <c r="C1505" s="45">
        <v>46372</v>
      </c>
      <c r="D1505" s="76">
        <v>1680.8908134410401</v>
      </c>
      <c r="E1505" s="77">
        <v>125</v>
      </c>
      <c r="F1505" s="78">
        <v>13.515275669597401</v>
      </c>
      <c r="G1505" s="78">
        <v>13.515275669597401</v>
      </c>
      <c r="H1505" s="81">
        <v>12.9224428204571</v>
      </c>
    </row>
    <row r="1506" spans="1:8" x14ac:dyDescent="0.3">
      <c r="A1506" s="74" t="str">
        <f t="shared" si="23"/>
        <v>陕西46373</v>
      </c>
      <c r="B1506" s="75" t="s">
        <v>16</v>
      </c>
      <c r="C1506" s="45">
        <v>46373</v>
      </c>
      <c r="D1506" s="76">
        <v>1680.8908134410401</v>
      </c>
      <c r="E1506" s="77">
        <v>125</v>
      </c>
      <c r="F1506" s="78">
        <v>13.515275669597401</v>
      </c>
      <c r="G1506" s="78">
        <v>13.515275669597401</v>
      </c>
      <c r="H1506" s="81">
        <v>12.9224428204571</v>
      </c>
    </row>
    <row r="1507" spans="1:8" x14ac:dyDescent="0.3">
      <c r="A1507" s="74" t="str">
        <f t="shared" si="23"/>
        <v>陕西46374</v>
      </c>
      <c r="B1507" s="75" t="s">
        <v>16</v>
      </c>
      <c r="C1507" s="45">
        <v>46374</v>
      </c>
      <c r="D1507" s="76">
        <v>1680.8908134410401</v>
      </c>
      <c r="E1507" s="77">
        <v>125</v>
      </c>
      <c r="F1507" s="78">
        <v>13.515275669597401</v>
      </c>
      <c r="G1507" s="78">
        <v>13.515275669597401</v>
      </c>
      <c r="H1507" s="81">
        <v>12.9224428204571</v>
      </c>
    </row>
    <row r="1508" spans="1:8" x14ac:dyDescent="0.3">
      <c r="A1508" s="74" t="str">
        <f t="shared" si="23"/>
        <v>陕西46375</v>
      </c>
      <c r="B1508" s="75" t="s">
        <v>16</v>
      </c>
      <c r="C1508" s="45">
        <v>46375</v>
      </c>
      <c r="D1508" s="76">
        <v>1680.8908134410401</v>
      </c>
      <c r="E1508" s="77">
        <v>125</v>
      </c>
      <c r="F1508" s="78">
        <v>13.515275669597401</v>
      </c>
      <c r="G1508" s="78">
        <v>13.515275669597401</v>
      </c>
      <c r="H1508" s="81">
        <v>12.9224428204571</v>
      </c>
    </row>
    <row r="1509" spans="1:8" x14ac:dyDescent="0.3">
      <c r="A1509" s="74" t="str">
        <f t="shared" si="23"/>
        <v>陕西46376</v>
      </c>
      <c r="B1509" s="75" t="s">
        <v>16</v>
      </c>
      <c r="C1509" s="45">
        <v>46376</v>
      </c>
      <c r="D1509" s="76">
        <v>1680.8908134410401</v>
      </c>
      <c r="E1509" s="77">
        <v>125</v>
      </c>
      <c r="F1509" s="78">
        <v>13.515275669597401</v>
      </c>
      <c r="G1509" s="78">
        <v>13.515275669597401</v>
      </c>
      <c r="H1509" s="81">
        <v>12.9224428204571</v>
      </c>
    </row>
    <row r="1510" spans="1:8" x14ac:dyDescent="0.3">
      <c r="A1510" s="74" t="str">
        <f t="shared" si="23"/>
        <v>陕西46377</v>
      </c>
      <c r="B1510" s="75" t="s">
        <v>16</v>
      </c>
      <c r="C1510" s="45">
        <v>46377</v>
      </c>
      <c r="D1510" s="76">
        <v>1680.8908134410401</v>
      </c>
      <c r="E1510" s="77">
        <v>125</v>
      </c>
      <c r="F1510" s="78">
        <v>13.515275669597401</v>
      </c>
      <c r="G1510" s="78">
        <v>13.515275669597401</v>
      </c>
      <c r="H1510" s="81">
        <v>12.9224428204571</v>
      </c>
    </row>
    <row r="1511" spans="1:8" x14ac:dyDescent="0.3">
      <c r="A1511" s="74" t="str">
        <f t="shared" si="23"/>
        <v>陕西46378</v>
      </c>
      <c r="B1511" s="75" t="s">
        <v>16</v>
      </c>
      <c r="C1511" s="45">
        <v>46378</v>
      </c>
      <c r="D1511" s="76">
        <v>1680.8908134410401</v>
      </c>
      <c r="E1511" s="77">
        <v>125</v>
      </c>
      <c r="F1511" s="78">
        <v>13.515275669597401</v>
      </c>
      <c r="G1511" s="78">
        <v>13.515275669597401</v>
      </c>
      <c r="H1511" s="81">
        <v>12.9224428204571</v>
      </c>
    </row>
    <row r="1512" spans="1:8" x14ac:dyDescent="0.3">
      <c r="A1512" s="74" t="str">
        <f t="shared" si="23"/>
        <v>陕西46379</v>
      </c>
      <c r="B1512" s="75" t="s">
        <v>16</v>
      </c>
      <c r="C1512" s="45">
        <v>46379</v>
      </c>
      <c r="D1512" s="76">
        <v>1680.8908134410401</v>
      </c>
      <c r="E1512" s="77">
        <v>125</v>
      </c>
      <c r="F1512" s="78">
        <v>13.515275669597401</v>
      </c>
      <c r="G1512" s="78">
        <v>13.515275669597401</v>
      </c>
      <c r="H1512" s="81">
        <v>12.9224428204571</v>
      </c>
    </row>
    <row r="1513" spans="1:8" x14ac:dyDescent="0.3">
      <c r="A1513" s="74" t="str">
        <f t="shared" si="23"/>
        <v>陕西46380</v>
      </c>
      <c r="B1513" s="75" t="s">
        <v>16</v>
      </c>
      <c r="C1513" s="45">
        <v>46380</v>
      </c>
      <c r="D1513" s="76">
        <v>1680.8908134410401</v>
      </c>
      <c r="E1513" s="77">
        <v>125</v>
      </c>
      <c r="F1513" s="78">
        <v>13.515275669597401</v>
      </c>
      <c r="G1513" s="78">
        <v>13.515275669597401</v>
      </c>
      <c r="H1513" s="81">
        <v>12.9224428204571</v>
      </c>
    </row>
    <row r="1514" spans="1:8" x14ac:dyDescent="0.3">
      <c r="A1514" s="74" t="str">
        <f t="shared" si="23"/>
        <v>陕西46381</v>
      </c>
      <c r="B1514" s="75" t="s">
        <v>16</v>
      </c>
      <c r="C1514" s="45">
        <v>46381</v>
      </c>
      <c r="D1514" s="76">
        <v>1680.8908134410401</v>
      </c>
      <c r="E1514" s="77">
        <v>125</v>
      </c>
      <c r="F1514" s="78">
        <v>13.515275669597401</v>
      </c>
      <c r="G1514" s="78">
        <v>13.515275669597401</v>
      </c>
      <c r="H1514" s="81">
        <v>12.9224428204571</v>
      </c>
    </row>
    <row r="1515" spans="1:8" x14ac:dyDescent="0.3">
      <c r="A1515" s="74" t="str">
        <f t="shared" si="23"/>
        <v>陕西46382</v>
      </c>
      <c r="B1515" s="75" t="s">
        <v>16</v>
      </c>
      <c r="C1515" s="45">
        <v>46382</v>
      </c>
      <c r="D1515" s="76">
        <v>1680.8908134410401</v>
      </c>
      <c r="E1515" s="77">
        <v>125</v>
      </c>
      <c r="F1515" s="78">
        <v>13.515275669597401</v>
      </c>
      <c r="G1515" s="78">
        <v>13.515275669597401</v>
      </c>
      <c r="H1515" s="81">
        <v>12.9224428204571</v>
      </c>
    </row>
    <row r="1516" spans="1:8" x14ac:dyDescent="0.3">
      <c r="A1516" s="74" t="str">
        <f t="shared" si="23"/>
        <v>陕西46383</v>
      </c>
      <c r="B1516" s="75" t="s">
        <v>16</v>
      </c>
      <c r="C1516" s="45">
        <v>46383</v>
      </c>
      <c r="D1516" s="76">
        <v>1680.8908134410401</v>
      </c>
      <c r="E1516" s="77">
        <v>125</v>
      </c>
      <c r="F1516" s="78">
        <v>13.515275669597401</v>
      </c>
      <c r="G1516" s="78">
        <v>13.515275669597401</v>
      </c>
      <c r="H1516" s="81">
        <v>12.9224428204571</v>
      </c>
    </row>
    <row r="1517" spans="1:8" x14ac:dyDescent="0.3">
      <c r="A1517" s="74" t="str">
        <f t="shared" si="23"/>
        <v>陕西46384</v>
      </c>
      <c r="B1517" s="75" t="s">
        <v>16</v>
      </c>
      <c r="C1517" s="45">
        <v>46384</v>
      </c>
      <c r="D1517" s="76">
        <v>1680.8908134410401</v>
      </c>
      <c r="E1517" s="77">
        <v>125</v>
      </c>
      <c r="F1517" s="78">
        <v>13.515275669597401</v>
      </c>
      <c r="G1517" s="78">
        <v>13.515275669597401</v>
      </c>
      <c r="H1517" s="81">
        <v>12.9224428204571</v>
      </c>
    </row>
    <row r="1518" spans="1:8" x14ac:dyDescent="0.3">
      <c r="A1518" s="74" t="str">
        <f t="shared" si="23"/>
        <v>陕西46385</v>
      </c>
      <c r="B1518" s="75" t="s">
        <v>16</v>
      </c>
      <c r="C1518" s="45">
        <v>46385</v>
      </c>
      <c r="D1518" s="76">
        <v>1680.8908134410401</v>
      </c>
      <c r="E1518" s="77">
        <v>125</v>
      </c>
      <c r="F1518" s="78">
        <v>13.515275669597401</v>
      </c>
      <c r="G1518" s="78">
        <v>13.515275669597401</v>
      </c>
      <c r="H1518" s="81">
        <v>12.9224428204571</v>
      </c>
    </row>
    <row r="1519" spans="1:8" x14ac:dyDescent="0.3">
      <c r="A1519" s="74" t="str">
        <f t="shared" si="23"/>
        <v>陕西46386</v>
      </c>
      <c r="B1519" s="75" t="s">
        <v>16</v>
      </c>
      <c r="C1519" s="45">
        <v>46386</v>
      </c>
      <c r="D1519" s="76">
        <v>1680.8908134410401</v>
      </c>
      <c r="E1519" s="77">
        <v>125</v>
      </c>
      <c r="F1519" s="78">
        <v>13.515275669597401</v>
      </c>
      <c r="G1519" s="78">
        <v>13.515275669597401</v>
      </c>
      <c r="H1519" s="81">
        <v>12.9224428204571</v>
      </c>
    </row>
    <row r="1520" spans="1:8" x14ac:dyDescent="0.3">
      <c r="A1520" s="74" t="str">
        <f t="shared" si="23"/>
        <v>陕西46387</v>
      </c>
      <c r="B1520" s="82" t="s">
        <v>16</v>
      </c>
      <c r="C1520" s="83">
        <v>46387</v>
      </c>
      <c r="D1520" s="84">
        <v>1680.8908134410401</v>
      </c>
      <c r="E1520" s="85">
        <v>125</v>
      </c>
      <c r="F1520" s="86">
        <v>13.515275669597401</v>
      </c>
      <c r="G1520" s="86">
        <v>13.515275669597401</v>
      </c>
      <c r="H1520" s="87">
        <v>12.9224428204571</v>
      </c>
    </row>
    <row r="1521" spans="1:8" x14ac:dyDescent="0.3">
      <c r="A1521" s="74" t="str">
        <f t="shared" si="23"/>
        <v>新疆46135</v>
      </c>
      <c r="B1521" s="75" t="s">
        <v>17</v>
      </c>
      <c r="C1521" s="45">
        <v>46135</v>
      </c>
      <c r="D1521" s="76">
        <v>724.96315204374196</v>
      </c>
      <c r="E1521" s="77">
        <v>125</v>
      </c>
      <c r="F1521" s="78">
        <v>8.5403101037358695</v>
      </c>
      <c r="G1521" s="78">
        <v>8.5403101037358695</v>
      </c>
      <c r="H1521" s="81">
        <v>9.07995776136244</v>
      </c>
    </row>
    <row r="1522" spans="1:8" x14ac:dyDescent="0.3">
      <c r="A1522" s="74" t="str">
        <f t="shared" si="23"/>
        <v>新疆46136</v>
      </c>
      <c r="B1522" s="75" t="s">
        <v>17</v>
      </c>
      <c r="C1522" s="45">
        <v>46136</v>
      </c>
      <c r="D1522" s="76">
        <v>724.96315204374196</v>
      </c>
      <c r="E1522" s="77">
        <v>125</v>
      </c>
      <c r="F1522" s="78">
        <v>8.5403101037358695</v>
      </c>
      <c r="G1522" s="78">
        <v>8.5403101037358695</v>
      </c>
      <c r="H1522" s="81">
        <v>9.07995776136244</v>
      </c>
    </row>
    <row r="1523" spans="1:8" x14ac:dyDescent="0.3">
      <c r="A1523" s="74" t="str">
        <f t="shared" si="23"/>
        <v>新疆46137</v>
      </c>
      <c r="B1523" s="75" t="s">
        <v>17</v>
      </c>
      <c r="C1523" s="45">
        <v>46137</v>
      </c>
      <c r="D1523" s="76">
        <v>724.96315204374196</v>
      </c>
      <c r="E1523" s="77">
        <v>125</v>
      </c>
      <c r="F1523" s="78">
        <v>8.5403101037358695</v>
      </c>
      <c r="G1523" s="78">
        <v>8.5403101037358695</v>
      </c>
      <c r="H1523" s="81">
        <v>9.07995776136244</v>
      </c>
    </row>
    <row r="1524" spans="1:8" x14ac:dyDescent="0.3">
      <c r="A1524" s="74" t="str">
        <f t="shared" si="23"/>
        <v>新疆46138</v>
      </c>
      <c r="B1524" s="75" t="s">
        <v>17</v>
      </c>
      <c r="C1524" s="45">
        <v>46138</v>
      </c>
      <c r="D1524" s="76">
        <v>724.96315204374196</v>
      </c>
      <c r="E1524" s="77">
        <v>125</v>
      </c>
      <c r="F1524" s="78">
        <v>8.5403101037358695</v>
      </c>
      <c r="G1524" s="78">
        <v>8.5403101037358695</v>
      </c>
      <c r="H1524" s="81">
        <v>9.07995776136244</v>
      </c>
    </row>
    <row r="1525" spans="1:8" x14ac:dyDescent="0.3">
      <c r="A1525" s="74" t="str">
        <f t="shared" si="23"/>
        <v>新疆46139</v>
      </c>
      <c r="B1525" s="75" t="s">
        <v>17</v>
      </c>
      <c r="C1525" s="45">
        <v>46139</v>
      </c>
      <c r="D1525" s="76">
        <v>724.96315204374196</v>
      </c>
      <c r="E1525" s="77">
        <v>125</v>
      </c>
      <c r="F1525" s="78">
        <v>8.5403101037358695</v>
      </c>
      <c r="G1525" s="78">
        <v>8.5403101037358695</v>
      </c>
      <c r="H1525" s="81">
        <v>9.07995776136244</v>
      </c>
    </row>
    <row r="1526" spans="1:8" x14ac:dyDescent="0.3">
      <c r="A1526" s="74" t="str">
        <f t="shared" si="23"/>
        <v>新疆46140</v>
      </c>
      <c r="B1526" s="75" t="s">
        <v>17</v>
      </c>
      <c r="C1526" s="45">
        <v>46140</v>
      </c>
      <c r="D1526" s="76">
        <v>724.96315204374196</v>
      </c>
      <c r="E1526" s="77">
        <v>125</v>
      </c>
      <c r="F1526" s="78">
        <v>8.5403101037358695</v>
      </c>
      <c r="G1526" s="78">
        <v>8.5403101037358695</v>
      </c>
      <c r="H1526" s="81">
        <v>9.07995776136244</v>
      </c>
    </row>
    <row r="1527" spans="1:8" x14ac:dyDescent="0.3">
      <c r="A1527" s="74" t="str">
        <f t="shared" si="23"/>
        <v>新疆46141</v>
      </c>
      <c r="B1527" s="75" t="s">
        <v>17</v>
      </c>
      <c r="C1527" s="45">
        <v>46141</v>
      </c>
      <c r="D1527" s="76">
        <v>724.96315204374196</v>
      </c>
      <c r="E1527" s="77">
        <v>125</v>
      </c>
      <c r="F1527" s="78">
        <v>8.5403101037358695</v>
      </c>
      <c r="G1527" s="78">
        <v>8.5403101037358695</v>
      </c>
      <c r="H1527" s="81">
        <v>9.07995776136244</v>
      </c>
    </row>
    <row r="1528" spans="1:8" x14ac:dyDescent="0.3">
      <c r="A1528" s="74" t="str">
        <f t="shared" si="23"/>
        <v>新疆46142</v>
      </c>
      <c r="B1528" s="75" t="s">
        <v>17</v>
      </c>
      <c r="C1528" s="45">
        <v>46142</v>
      </c>
      <c r="D1528" s="76">
        <v>724.96315204374196</v>
      </c>
      <c r="E1528" s="77">
        <v>125</v>
      </c>
      <c r="F1528" s="78">
        <v>8.5403101037358695</v>
      </c>
      <c r="G1528" s="78">
        <v>8.5403101037358695</v>
      </c>
      <c r="H1528" s="81">
        <v>9.07995776136244</v>
      </c>
    </row>
    <row r="1529" spans="1:8" x14ac:dyDescent="0.3">
      <c r="A1529" s="74" t="str">
        <f t="shared" si="23"/>
        <v>新疆46143</v>
      </c>
      <c r="B1529" s="75" t="s">
        <v>17</v>
      </c>
      <c r="C1529" s="45">
        <v>46143</v>
      </c>
      <c r="D1529" s="76">
        <v>785.30226825897398</v>
      </c>
      <c r="E1529" s="77">
        <v>125</v>
      </c>
      <c r="F1529" s="78">
        <v>9.9396218210028309</v>
      </c>
      <c r="G1529" s="78">
        <v>9.9396218210028309</v>
      </c>
      <c r="H1529" s="81">
        <v>9.2861602060822399</v>
      </c>
    </row>
    <row r="1530" spans="1:8" x14ac:dyDescent="0.3">
      <c r="A1530" s="74" t="str">
        <f t="shared" si="23"/>
        <v>新疆46144</v>
      </c>
      <c r="B1530" s="75" t="s">
        <v>17</v>
      </c>
      <c r="C1530" s="45">
        <v>46144</v>
      </c>
      <c r="D1530" s="76">
        <v>785.30226825897398</v>
      </c>
      <c r="E1530" s="77">
        <v>125</v>
      </c>
      <c r="F1530" s="78">
        <v>9.9396218210028309</v>
      </c>
      <c r="G1530" s="78">
        <v>9.9396218210028309</v>
      </c>
      <c r="H1530" s="81">
        <v>9.2861602060822399</v>
      </c>
    </row>
    <row r="1531" spans="1:8" x14ac:dyDescent="0.3">
      <c r="A1531" s="74" t="str">
        <f t="shared" si="23"/>
        <v>新疆46145</v>
      </c>
      <c r="B1531" s="75" t="s">
        <v>17</v>
      </c>
      <c r="C1531" s="45">
        <v>46145</v>
      </c>
      <c r="D1531" s="76">
        <v>785.30226825897398</v>
      </c>
      <c r="E1531" s="77">
        <v>125</v>
      </c>
      <c r="F1531" s="78">
        <v>9.9396218210028309</v>
      </c>
      <c r="G1531" s="78">
        <v>9.9396218210028309</v>
      </c>
      <c r="H1531" s="81">
        <v>9.2861602060822399</v>
      </c>
    </row>
    <row r="1532" spans="1:8" x14ac:dyDescent="0.3">
      <c r="A1532" s="74" t="str">
        <f t="shared" si="23"/>
        <v>新疆46146</v>
      </c>
      <c r="B1532" s="75" t="s">
        <v>17</v>
      </c>
      <c r="C1532" s="45">
        <v>46146</v>
      </c>
      <c r="D1532" s="76">
        <v>785.30226825897398</v>
      </c>
      <c r="E1532" s="77">
        <v>125</v>
      </c>
      <c r="F1532" s="78">
        <v>9.9396218210028309</v>
      </c>
      <c r="G1532" s="78">
        <v>9.9396218210028309</v>
      </c>
      <c r="H1532" s="81">
        <v>9.2861602060822399</v>
      </c>
    </row>
    <row r="1533" spans="1:8" x14ac:dyDescent="0.3">
      <c r="A1533" s="74" t="str">
        <f t="shared" si="23"/>
        <v>新疆46147</v>
      </c>
      <c r="B1533" s="75" t="s">
        <v>17</v>
      </c>
      <c r="C1533" s="45">
        <v>46147</v>
      </c>
      <c r="D1533" s="76">
        <v>785.30226825897398</v>
      </c>
      <c r="E1533" s="77">
        <v>125</v>
      </c>
      <c r="F1533" s="78">
        <v>9.9396218210028309</v>
      </c>
      <c r="G1533" s="78">
        <v>9.9396218210028309</v>
      </c>
      <c r="H1533" s="81">
        <v>9.2861602060822399</v>
      </c>
    </row>
    <row r="1534" spans="1:8" x14ac:dyDescent="0.3">
      <c r="A1534" s="74" t="str">
        <f t="shared" si="23"/>
        <v>新疆46148</v>
      </c>
      <c r="B1534" s="75" t="s">
        <v>17</v>
      </c>
      <c r="C1534" s="45">
        <v>46148</v>
      </c>
      <c r="D1534" s="76">
        <v>785.30226825897398</v>
      </c>
      <c r="E1534" s="77">
        <v>125</v>
      </c>
      <c r="F1534" s="78">
        <v>9.9396218210028309</v>
      </c>
      <c r="G1534" s="78">
        <v>9.9396218210028309</v>
      </c>
      <c r="H1534" s="81">
        <v>9.2861602060822399</v>
      </c>
    </row>
    <row r="1535" spans="1:8" x14ac:dyDescent="0.3">
      <c r="A1535" s="74" t="str">
        <f t="shared" si="23"/>
        <v>新疆46149</v>
      </c>
      <c r="B1535" s="75" t="s">
        <v>17</v>
      </c>
      <c r="C1535" s="45">
        <v>46149</v>
      </c>
      <c r="D1535" s="76">
        <v>785.30226825897398</v>
      </c>
      <c r="E1535" s="77">
        <v>125</v>
      </c>
      <c r="F1535" s="78">
        <v>9.9396218210028309</v>
      </c>
      <c r="G1535" s="78">
        <v>9.9396218210028309</v>
      </c>
      <c r="H1535" s="81">
        <v>9.2861602060822399</v>
      </c>
    </row>
    <row r="1536" spans="1:8" x14ac:dyDescent="0.3">
      <c r="A1536" s="74" t="str">
        <f t="shared" si="23"/>
        <v>新疆46150</v>
      </c>
      <c r="B1536" s="75" t="s">
        <v>17</v>
      </c>
      <c r="C1536" s="45">
        <v>46150</v>
      </c>
      <c r="D1536" s="76">
        <v>785.30226825897398</v>
      </c>
      <c r="E1536" s="77">
        <v>125</v>
      </c>
      <c r="F1536" s="78">
        <v>9.9396218210028309</v>
      </c>
      <c r="G1536" s="78">
        <v>9.9396218210028309</v>
      </c>
      <c r="H1536" s="81">
        <v>9.2861602060822399</v>
      </c>
    </row>
    <row r="1537" spans="1:8" x14ac:dyDescent="0.3">
      <c r="A1537" s="74" t="str">
        <f t="shared" si="23"/>
        <v>新疆46151</v>
      </c>
      <c r="B1537" s="75" t="s">
        <v>17</v>
      </c>
      <c r="C1537" s="45">
        <v>46151</v>
      </c>
      <c r="D1537" s="76">
        <v>785.30226825897398</v>
      </c>
      <c r="E1537" s="77">
        <v>125</v>
      </c>
      <c r="F1537" s="78">
        <v>9.9396218210028309</v>
      </c>
      <c r="G1537" s="78">
        <v>9.9396218210028309</v>
      </c>
      <c r="H1537" s="81">
        <v>9.2861602060822399</v>
      </c>
    </row>
    <row r="1538" spans="1:8" x14ac:dyDescent="0.3">
      <c r="A1538" s="74" t="str">
        <f t="shared" si="23"/>
        <v>新疆46152</v>
      </c>
      <c r="B1538" s="75" t="s">
        <v>17</v>
      </c>
      <c r="C1538" s="45">
        <v>46152</v>
      </c>
      <c r="D1538" s="76">
        <v>785.30226825897398</v>
      </c>
      <c r="E1538" s="77">
        <v>125</v>
      </c>
      <c r="F1538" s="78">
        <v>9.9396218210028309</v>
      </c>
      <c r="G1538" s="78">
        <v>9.9396218210028309</v>
      </c>
      <c r="H1538" s="81">
        <v>9.2861602060822399</v>
      </c>
    </row>
    <row r="1539" spans="1:8" x14ac:dyDescent="0.3">
      <c r="A1539" s="74" t="str">
        <f t="shared" ref="A1539:A1602" si="24">B1539&amp;C1539</f>
        <v>新疆46153</v>
      </c>
      <c r="B1539" s="75" t="s">
        <v>17</v>
      </c>
      <c r="C1539" s="45">
        <v>46153</v>
      </c>
      <c r="D1539" s="76">
        <v>785.30226825897398</v>
      </c>
      <c r="E1539" s="77">
        <v>125</v>
      </c>
      <c r="F1539" s="78">
        <v>9.9396218210028309</v>
      </c>
      <c r="G1539" s="78">
        <v>9.9396218210028309</v>
      </c>
      <c r="H1539" s="81">
        <v>9.2861602060822399</v>
      </c>
    </row>
    <row r="1540" spans="1:8" x14ac:dyDescent="0.3">
      <c r="A1540" s="74" t="str">
        <f t="shared" si="24"/>
        <v>新疆46154</v>
      </c>
      <c r="B1540" s="75" t="s">
        <v>17</v>
      </c>
      <c r="C1540" s="45">
        <v>46154</v>
      </c>
      <c r="D1540" s="76">
        <v>785.30226825897398</v>
      </c>
      <c r="E1540" s="77">
        <v>125</v>
      </c>
      <c r="F1540" s="78">
        <v>9.9396218210028309</v>
      </c>
      <c r="G1540" s="78">
        <v>9.9396218210028309</v>
      </c>
      <c r="H1540" s="81">
        <v>9.2861602060822399</v>
      </c>
    </row>
    <row r="1541" spans="1:8" x14ac:dyDescent="0.3">
      <c r="A1541" s="74" t="str">
        <f t="shared" si="24"/>
        <v>新疆46155</v>
      </c>
      <c r="B1541" s="75" t="s">
        <v>17</v>
      </c>
      <c r="C1541" s="45">
        <v>46155</v>
      </c>
      <c r="D1541" s="76">
        <v>785.30226825897398</v>
      </c>
      <c r="E1541" s="77">
        <v>125</v>
      </c>
      <c r="F1541" s="78">
        <v>9.9396218210028309</v>
      </c>
      <c r="G1541" s="78">
        <v>9.9396218210028309</v>
      </c>
      <c r="H1541" s="81">
        <v>9.2861602060822399</v>
      </c>
    </row>
    <row r="1542" spans="1:8" x14ac:dyDescent="0.3">
      <c r="A1542" s="74" t="str">
        <f t="shared" si="24"/>
        <v>新疆46156</v>
      </c>
      <c r="B1542" s="75" t="s">
        <v>17</v>
      </c>
      <c r="C1542" s="45">
        <v>46156</v>
      </c>
      <c r="D1542" s="76">
        <v>785.30226825897398</v>
      </c>
      <c r="E1542" s="77">
        <v>125</v>
      </c>
      <c r="F1542" s="78">
        <v>9.9396218210028309</v>
      </c>
      <c r="G1542" s="78">
        <v>9.9396218210028309</v>
      </c>
      <c r="H1542" s="81">
        <v>9.2861602060822399</v>
      </c>
    </row>
    <row r="1543" spans="1:8" x14ac:dyDescent="0.3">
      <c r="A1543" s="74" t="str">
        <f t="shared" si="24"/>
        <v>新疆46157</v>
      </c>
      <c r="B1543" s="75" t="s">
        <v>17</v>
      </c>
      <c r="C1543" s="45">
        <v>46157</v>
      </c>
      <c r="D1543" s="76">
        <v>785.30226825897398</v>
      </c>
      <c r="E1543" s="77">
        <v>125</v>
      </c>
      <c r="F1543" s="78">
        <v>9.9396218210028309</v>
      </c>
      <c r="G1543" s="78">
        <v>9.9396218210028309</v>
      </c>
      <c r="H1543" s="81">
        <v>9.2861602060822399</v>
      </c>
    </row>
    <row r="1544" spans="1:8" x14ac:dyDescent="0.3">
      <c r="A1544" s="74" t="str">
        <f t="shared" si="24"/>
        <v>新疆46158</v>
      </c>
      <c r="B1544" s="75" t="s">
        <v>17</v>
      </c>
      <c r="C1544" s="45">
        <v>46158</v>
      </c>
      <c r="D1544" s="76">
        <v>785.30226825897398</v>
      </c>
      <c r="E1544" s="77">
        <v>125</v>
      </c>
      <c r="F1544" s="78">
        <v>9.9396218210028309</v>
      </c>
      <c r="G1544" s="78">
        <v>9.9396218210028309</v>
      </c>
      <c r="H1544" s="81">
        <v>9.2861602060822399</v>
      </c>
    </row>
    <row r="1545" spans="1:8" x14ac:dyDescent="0.3">
      <c r="A1545" s="74" t="str">
        <f t="shared" si="24"/>
        <v>新疆46159</v>
      </c>
      <c r="B1545" s="75" t="s">
        <v>17</v>
      </c>
      <c r="C1545" s="45">
        <v>46159</v>
      </c>
      <c r="D1545" s="76">
        <v>785.30226825897398</v>
      </c>
      <c r="E1545" s="77">
        <v>125</v>
      </c>
      <c r="F1545" s="78">
        <v>9.9396218210028309</v>
      </c>
      <c r="G1545" s="78">
        <v>9.9396218210028309</v>
      </c>
      <c r="H1545" s="81">
        <v>9.2861602060822399</v>
      </c>
    </row>
    <row r="1546" spans="1:8" x14ac:dyDescent="0.3">
      <c r="A1546" s="74" t="str">
        <f t="shared" si="24"/>
        <v>新疆46160</v>
      </c>
      <c r="B1546" s="75" t="s">
        <v>17</v>
      </c>
      <c r="C1546" s="45">
        <v>46160</v>
      </c>
      <c r="D1546" s="76">
        <v>785.30226825897398</v>
      </c>
      <c r="E1546" s="77">
        <v>125</v>
      </c>
      <c r="F1546" s="78">
        <v>9.9396218210028309</v>
      </c>
      <c r="G1546" s="78">
        <v>9.9396218210028309</v>
      </c>
      <c r="H1546" s="81">
        <v>9.2861602060822399</v>
      </c>
    </row>
    <row r="1547" spans="1:8" x14ac:dyDescent="0.3">
      <c r="A1547" s="74" t="str">
        <f t="shared" si="24"/>
        <v>新疆46161</v>
      </c>
      <c r="B1547" s="75" t="s">
        <v>17</v>
      </c>
      <c r="C1547" s="45">
        <v>46161</v>
      </c>
      <c r="D1547" s="76">
        <v>785.30226825897398</v>
      </c>
      <c r="E1547" s="77">
        <v>125</v>
      </c>
      <c r="F1547" s="78">
        <v>9.9396218210028309</v>
      </c>
      <c r="G1547" s="78">
        <v>9.9396218210028309</v>
      </c>
      <c r="H1547" s="81">
        <v>9.2861602060822399</v>
      </c>
    </row>
    <row r="1548" spans="1:8" x14ac:dyDescent="0.3">
      <c r="A1548" s="74" t="str">
        <f t="shared" si="24"/>
        <v>新疆46162</v>
      </c>
      <c r="B1548" s="75" t="s">
        <v>17</v>
      </c>
      <c r="C1548" s="45">
        <v>46162</v>
      </c>
      <c r="D1548" s="76">
        <v>785.30226825897398</v>
      </c>
      <c r="E1548" s="77">
        <v>125</v>
      </c>
      <c r="F1548" s="78">
        <v>9.9396218210028309</v>
      </c>
      <c r="G1548" s="78">
        <v>9.9396218210028309</v>
      </c>
      <c r="H1548" s="81">
        <v>9.2861602060822399</v>
      </c>
    </row>
    <row r="1549" spans="1:8" x14ac:dyDescent="0.3">
      <c r="A1549" s="74" t="str">
        <f t="shared" si="24"/>
        <v>新疆46163</v>
      </c>
      <c r="B1549" s="75" t="s">
        <v>17</v>
      </c>
      <c r="C1549" s="45">
        <v>46163</v>
      </c>
      <c r="D1549" s="76">
        <v>785.30226825897398</v>
      </c>
      <c r="E1549" s="77">
        <v>125</v>
      </c>
      <c r="F1549" s="78">
        <v>9.9396218210028309</v>
      </c>
      <c r="G1549" s="78">
        <v>9.9396218210028309</v>
      </c>
      <c r="H1549" s="81">
        <v>9.2861602060822399</v>
      </c>
    </row>
    <row r="1550" spans="1:8" x14ac:dyDescent="0.3">
      <c r="A1550" s="74" t="str">
        <f t="shared" si="24"/>
        <v>新疆46164</v>
      </c>
      <c r="B1550" s="75" t="s">
        <v>17</v>
      </c>
      <c r="C1550" s="45">
        <v>46164</v>
      </c>
      <c r="D1550" s="76">
        <v>785.30226825897398</v>
      </c>
      <c r="E1550" s="77">
        <v>125</v>
      </c>
      <c r="F1550" s="78">
        <v>9.9396218210028309</v>
      </c>
      <c r="G1550" s="78">
        <v>9.9396218210028309</v>
      </c>
      <c r="H1550" s="81">
        <v>9.2861602060822399</v>
      </c>
    </row>
    <row r="1551" spans="1:8" x14ac:dyDescent="0.3">
      <c r="A1551" s="74" t="str">
        <f t="shared" si="24"/>
        <v>新疆46165</v>
      </c>
      <c r="B1551" s="75" t="s">
        <v>17</v>
      </c>
      <c r="C1551" s="45">
        <v>46165</v>
      </c>
      <c r="D1551" s="76">
        <v>785.30226825897398</v>
      </c>
      <c r="E1551" s="77">
        <v>125</v>
      </c>
      <c r="F1551" s="78">
        <v>9.9396218210028309</v>
      </c>
      <c r="G1551" s="78">
        <v>9.9396218210028309</v>
      </c>
      <c r="H1551" s="81">
        <v>9.2861602060822399</v>
      </c>
    </row>
    <row r="1552" spans="1:8" x14ac:dyDescent="0.3">
      <c r="A1552" s="74" t="str">
        <f t="shared" si="24"/>
        <v>新疆46166</v>
      </c>
      <c r="B1552" s="75" t="s">
        <v>17</v>
      </c>
      <c r="C1552" s="45">
        <v>46166</v>
      </c>
      <c r="D1552" s="76">
        <v>785.30226825897398</v>
      </c>
      <c r="E1552" s="77">
        <v>125</v>
      </c>
      <c r="F1552" s="78">
        <v>9.9396218210028309</v>
      </c>
      <c r="G1552" s="78">
        <v>9.9396218210028309</v>
      </c>
      <c r="H1552" s="81">
        <v>9.2861602060822399</v>
      </c>
    </row>
    <row r="1553" spans="1:8" x14ac:dyDescent="0.3">
      <c r="A1553" s="74" t="str">
        <f t="shared" si="24"/>
        <v>新疆46167</v>
      </c>
      <c r="B1553" s="75" t="s">
        <v>17</v>
      </c>
      <c r="C1553" s="45">
        <v>46167</v>
      </c>
      <c r="D1553" s="76">
        <v>785.30226825897398</v>
      </c>
      <c r="E1553" s="77">
        <v>125</v>
      </c>
      <c r="F1553" s="78">
        <v>9.9396218210028309</v>
      </c>
      <c r="G1553" s="78">
        <v>9.9396218210028309</v>
      </c>
      <c r="H1553" s="81">
        <v>9.2861602060822399</v>
      </c>
    </row>
    <row r="1554" spans="1:8" x14ac:dyDescent="0.3">
      <c r="A1554" s="74" t="str">
        <f t="shared" si="24"/>
        <v>新疆46168</v>
      </c>
      <c r="B1554" s="75" t="s">
        <v>17</v>
      </c>
      <c r="C1554" s="45">
        <v>46168</v>
      </c>
      <c r="D1554" s="76">
        <v>785.30226825897398</v>
      </c>
      <c r="E1554" s="77">
        <v>125</v>
      </c>
      <c r="F1554" s="78">
        <v>9.9396218210028309</v>
      </c>
      <c r="G1554" s="78">
        <v>9.9396218210028309</v>
      </c>
      <c r="H1554" s="81">
        <v>9.2861602060822399</v>
      </c>
    </row>
    <row r="1555" spans="1:8" x14ac:dyDescent="0.3">
      <c r="A1555" s="74" t="str">
        <f t="shared" si="24"/>
        <v>新疆46169</v>
      </c>
      <c r="B1555" s="75" t="s">
        <v>17</v>
      </c>
      <c r="C1555" s="45">
        <v>46169</v>
      </c>
      <c r="D1555" s="76">
        <v>785.30226825897398</v>
      </c>
      <c r="E1555" s="77">
        <v>125</v>
      </c>
      <c r="F1555" s="78">
        <v>9.9396218210028309</v>
      </c>
      <c r="G1555" s="78">
        <v>9.9396218210028309</v>
      </c>
      <c r="H1555" s="81">
        <v>9.2861602060822399</v>
      </c>
    </row>
    <row r="1556" spans="1:8" x14ac:dyDescent="0.3">
      <c r="A1556" s="74" t="str">
        <f t="shared" si="24"/>
        <v>新疆46170</v>
      </c>
      <c r="B1556" s="75" t="s">
        <v>17</v>
      </c>
      <c r="C1556" s="45">
        <v>46170</v>
      </c>
      <c r="D1556" s="76">
        <v>785.30226825897398</v>
      </c>
      <c r="E1556" s="77">
        <v>125</v>
      </c>
      <c r="F1556" s="78">
        <v>9.9396218210028309</v>
      </c>
      <c r="G1556" s="78">
        <v>9.9396218210028309</v>
      </c>
      <c r="H1556" s="81">
        <v>9.2861602060822399</v>
      </c>
    </row>
    <row r="1557" spans="1:8" x14ac:dyDescent="0.3">
      <c r="A1557" s="74" t="str">
        <f t="shared" si="24"/>
        <v>新疆46171</v>
      </c>
      <c r="B1557" s="75" t="s">
        <v>17</v>
      </c>
      <c r="C1557" s="45">
        <v>46171</v>
      </c>
      <c r="D1557" s="76">
        <v>785.30226825897398</v>
      </c>
      <c r="E1557" s="77">
        <v>125</v>
      </c>
      <c r="F1557" s="78">
        <v>9.9396218210028309</v>
      </c>
      <c r="G1557" s="78">
        <v>9.9396218210028309</v>
      </c>
      <c r="H1557" s="81">
        <v>9.2861602060822399</v>
      </c>
    </row>
    <row r="1558" spans="1:8" x14ac:dyDescent="0.3">
      <c r="A1558" s="74" t="str">
        <f t="shared" si="24"/>
        <v>新疆46172</v>
      </c>
      <c r="B1558" s="75" t="s">
        <v>17</v>
      </c>
      <c r="C1558" s="45">
        <v>46172</v>
      </c>
      <c r="D1558" s="76">
        <v>785.30226825897398</v>
      </c>
      <c r="E1558" s="77">
        <v>125</v>
      </c>
      <c r="F1558" s="78">
        <v>9.9396218210028309</v>
      </c>
      <c r="G1558" s="78">
        <v>9.9396218210028309</v>
      </c>
      <c r="H1558" s="81">
        <v>9.2861602060822399</v>
      </c>
    </row>
    <row r="1559" spans="1:8" x14ac:dyDescent="0.3">
      <c r="A1559" s="74" t="str">
        <f t="shared" si="24"/>
        <v>新疆46173</v>
      </c>
      <c r="B1559" s="75" t="s">
        <v>17</v>
      </c>
      <c r="C1559" s="45">
        <v>46173</v>
      </c>
      <c r="D1559" s="76">
        <v>785.30226825897398</v>
      </c>
      <c r="E1559" s="77">
        <v>125</v>
      </c>
      <c r="F1559" s="78">
        <v>9.9396218210028309</v>
      </c>
      <c r="G1559" s="78">
        <v>9.9396218210028309</v>
      </c>
      <c r="H1559" s="81">
        <v>9.2861602060822399</v>
      </c>
    </row>
    <row r="1560" spans="1:8" x14ac:dyDescent="0.3">
      <c r="A1560" s="74" t="str">
        <f t="shared" si="24"/>
        <v>新疆46174</v>
      </c>
      <c r="B1560" s="75" t="s">
        <v>17</v>
      </c>
      <c r="C1560" s="45">
        <v>46174</v>
      </c>
      <c r="D1560" s="76">
        <v>723.76279706666799</v>
      </c>
      <c r="E1560" s="77">
        <v>125</v>
      </c>
      <c r="F1560" s="78">
        <v>10.907610715458</v>
      </c>
      <c r="G1560" s="78">
        <v>10.907610715458</v>
      </c>
      <c r="H1560" s="81">
        <v>10.1079022601243</v>
      </c>
    </row>
    <row r="1561" spans="1:8" x14ac:dyDescent="0.3">
      <c r="A1561" s="74" t="str">
        <f t="shared" si="24"/>
        <v>新疆46175</v>
      </c>
      <c r="B1561" s="75" t="s">
        <v>17</v>
      </c>
      <c r="C1561" s="45">
        <v>46175</v>
      </c>
      <c r="D1561" s="76">
        <v>723.76279706666799</v>
      </c>
      <c r="E1561" s="77">
        <v>125</v>
      </c>
      <c r="F1561" s="78">
        <v>10.907610715458</v>
      </c>
      <c r="G1561" s="78">
        <v>10.907610715458</v>
      </c>
      <c r="H1561" s="81">
        <v>10.1079022601243</v>
      </c>
    </row>
    <row r="1562" spans="1:8" x14ac:dyDescent="0.3">
      <c r="A1562" s="74" t="str">
        <f t="shared" si="24"/>
        <v>新疆46176</v>
      </c>
      <c r="B1562" s="75" t="s">
        <v>17</v>
      </c>
      <c r="C1562" s="45">
        <v>46176</v>
      </c>
      <c r="D1562" s="76">
        <v>723.76279706666799</v>
      </c>
      <c r="E1562" s="77">
        <v>125</v>
      </c>
      <c r="F1562" s="78">
        <v>10.907610715458</v>
      </c>
      <c r="G1562" s="78">
        <v>10.907610715458</v>
      </c>
      <c r="H1562" s="81">
        <v>10.1079022601243</v>
      </c>
    </row>
    <row r="1563" spans="1:8" x14ac:dyDescent="0.3">
      <c r="A1563" s="74" t="str">
        <f t="shared" si="24"/>
        <v>新疆46177</v>
      </c>
      <c r="B1563" s="75" t="s">
        <v>17</v>
      </c>
      <c r="C1563" s="45">
        <v>46177</v>
      </c>
      <c r="D1563" s="76">
        <v>723.76279706666799</v>
      </c>
      <c r="E1563" s="77">
        <v>125</v>
      </c>
      <c r="F1563" s="78">
        <v>10.907610715458</v>
      </c>
      <c r="G1563" s="78">
        <v>10.907610715458</v>
      </c>
      <c r="H1563" s="81">
        <v>10.1079022601243</v>
      </c>
    </row>
    <row r="1564" spans="1:8" x14ac:dyDescent="0.3">
      <c r="A1564" s="74" t="str">
        <f t="shared" si="24"/>
        <v>新疆46178</v>
      </c>
      <c r="B1564" s="75" t="s">
        <v>17</v>
      </c>
      <c r="C1564" s="45">
        <v>46178</v>
      </c>
      <c r="D1564" s="76">
        <v>723.76279706666799</v>
      </c>
      <c r="E1564" s="77">
        <v>125</v>
      </c>
      <c r="F1564" s="78">
        <v>10.907610715458</v>
      </c>
      <c r="G1564" s="78">
        <v>10.907610715458</v>
      </c>
      <c r="H1564" s="81">
        <v>10.1079022601243</v>
      </c>
    </row>
    <row r="1565" spans="1:8" x14ac:dyDescent="0.3">
      <c r="A1565" s="74" t="str">
        <f t="shared" si="24"/>
        <v>新疆46179</v>
      </c>
      <c r="B1565" s="75" t="s">
        <v>17</v>
      </c>
      <c r="C1565" s="45">
        <v>46179</v>
      </c>
      <c r="D1565" s="76">
        <v>723.76279706666799</v>
      </c>
      <c r="E1565" s="77">
        <v>125</v>
      </c>
      <c r="F1565" s="78">
        <v>10.907610715458</v>
      </c>
      <c r="G1565" s="78">
        <v>10.907610715458</v>
      </c>
      <c r="H1565" s="81">
        <v>10.1079022601243</v>
      </c>
    </row>
    <row r="1566" spans="1:8" x14ac:dyDescent="0.3">
      <c r="A1566" s="74" t="str">
        <f t="shared" si="24"/>
        <v>新疆46180</v>
      </c>
      <c r="B1566" s="75" t="s">
        <v>17</v>
      </c>
      <c r="C1566" s="45">
        <v>46180</v>
      </c>
      <c r="D1566" s="76">
        <v>723.76279706666799</v>
      </c>
      <c r="E1566" s="77">
        <v>125</v>
      </c>
      <c r="F1566" s="78">
        <v>10.907610715458</v>
      </c>
      <c r="G1566" s="78">
        <v>10.907610715458</v>
      </c>
      <c r="H1566" s="81">
        <v>10.1079022601243</v>
      </c>
    </row>
    <row r="1567" spans="1:8" x14ac:dyDescent="0.3">
      <c r="A1567" s="74" t="str">
        <f t="shared" si="24"/>
        <v>新疆46181</v>
      </c>
      <c r="B1567" s="75" t="s">
        <v>17</v>
      </c>
      <c r="C1567" s="45">
        <v>46181</v>
      </c>
      <c r="D1567" s="76">
        <v>723.76279706666799</v>
      </c>
      <c r="E1567" s="77">
        <v>125</v>
      </c>
      <c r="F1567" s="78">
        <v>10.907610715458</v>
      </c>
      <c r="G1567" s="78">
        <v>10.907610715458</v>
      </c>
      <c r="H1567" s="81">
        <v>10.1079022601243</v>
      </c>
    </row>
    <row r="1568" spans="1:8" x14ac:dyDescent="0.3">
      <c r="A1568" s="74" t="str">
        <f t="shared" si="24"/>
        <v>新疆46182</v>
      </c>
      <c r="B1568" s="75" t="s">
        <v>17</v>
      </c>
      <c r="C1568" s="45">
        <v>46182</v>
      </c>
      <c r="D1568" s="76">
        <v>723.76279706666799</v>
      </c>
      <c r="E1568" s="77">
        <v>125</v>
      </c>
      <c r="F1568" s="78">
        <v>10.907610715458</v>
      </c>
      <c r="G1568" s="78">
        <v>10.907610715458</v>
      </c>
      <c r="H1568" s="81">
        <v>10.1079022601243</v>
      </c>
    </row>
    <row r="1569" spans="1:8" x14ac:dyDescent="0.3">
      <c r="A1569" s="74" t="str">
        <f t="shared" si="24"/>
        <v>新疆46183</v>
      </c>
      <c r="B1569" s="75" t="s">
        <v>17</v>
      </c>
      <c r="C1569" s="45">
        <v>46183</v>
      </c>
      <c r="D1569" s="76">
        <v>723.76279706666799</v>
      </c>
      <c r="E1569" s="77">
        <v>125</v>
      </c>
      <c r="F1569" s="78">
        <v>10.907610715458</v>
      </c>
      <c r="G1569" s="78">
        <v>10.907610715458</v>
      </c>
      <c r="H1569" s="81">
        <v>10.1079022601243</v>
      </c>
    </row>
    <row r="1570" spans="1:8" x14ac:dyDescent="0.3">
      <c r="A1570" s="74" t="str">
        <f t="shared" si="24"/>
        <v>新疆46184</v>
      </c>
      <c r="B1570" s="75" t="s">
        <v>17</v>
      </c>
      <c r="C1570" s="45">
        <v>46184</v>
      </c>
      <c r="D1570" s="76">
        <v>723.76279706666799</v>
      </c>
      <c r="E1570" s="77">
        <v>125</v>
      </c>
      <c r="F1570" s="78">
        <v>10.907610715458</v>
      </c>
      <c r="G1570" s="78">
        <v>10.907610715458</v>
      </c>
      <c r="H1570" s="81">
        <v>10.1079022601243</v>
      </c>
    </row>
    <row r="1571" spans="1:8" x14ac:dyDescent="0.3">
      <c r="A1571" s="74" t="str">
        <f t="shared" si="24"/>
        <v>新疆46185</v>
      </c>
      <c r="B1571" s="75" t="s">
        <v>17</v>
      </c>
      <c r="C1571" s="45">
        <v>46185</v>
      </c>
      <c r="D1571" s="76">
        <v>723.76279706666799</v>
      </c>
      <c r="E1571" s="77">
        <v>125</v>
      </c>
      <c r="F1571" s="78">
        <v>10.907610715458</v>
      </c>
      <c r="G1571" s="78">
        <v>10.907610715458</v>
      </c>
      <c r="H1571" s="81">
        <v>10.1079022601243</v>
      </c>
    </row>
    <row r="1572" spans="1:8" x14ac:dyDescent="0.3">
      <c r="A1572" s="74" t="str">
        <f t="shared" si="24"/>
        <v>新疆46186</v>
      </c>
      <c r="B1572" s="75" t="s">
        <v>17</v>
      </c>
      <c r="C1572" s="45">
        <v>46186</v>
      </c>
      <c r="D1572" s="76">
        <v>723.76279706666799</v>
      </c>
      <c r="E1572" s="77">
        <v>125</v>
      </c>
      <c r="F1572" s="78">
        <v>10.907610715458</v>
      </c>
      <c r="G1572" s="78">
        <v>10.907610715458</v>
      </c>
      <c r="H1572" s="81">
        <v>10.1079022601243</v>
      </c>
    </row>
    <row r="1573" spans="1:8" x14ac:dyDescent="0.3">
      <c r="A1573" s="74" t="str">
        <f t="shared" si="24"/>
        <v>新疆46187</v>
      </c>
      <c r="B1573" s="75" t="s">
        <v>17</v>
      </c>
      <c r="C1573" s="45">
        <v>46187</v>
      </c>
      <c r="D1573" s="76">
        <v>723.76279706666799</v>
      </c>
      <c r="E1573" s="77">
        <v>125</v>
      </c>
      <c r="F1573" s="78">
        <v>10.907610715458</v>
      </c>
      <c r="G1573" s="78">
        <v>10.907610715458</v>
      </c>
      <c r="H1573" s="81">
        <v>10.1079022601243</v>
      </c>
    </row>
    <row r="1574" spans="1:8" x14ac:dyDescent="0.3">
      <c r="A1574" s="74" t="str">
        <f t="shared" si="24"/>
        <v>新疆46188</v>
      </c>
      <c r="B1574" s="75" t="s">
        <v>17</v>
      </c>
      <c r="C1574" s="45">
        <v>46188</v>
      </c>
      <c r="D1574" s="76">
        <v>723.76279706666799</v>
      </c>
      <c r="E1574" s="77">
        <v>125</v>
      </c>
      <c r="F1574" s="78">
        <v>10.907610715458</v>
      </c>
      <c r="G1574" s="78">
        <v>10.907610715458</v>
      </c>
      <c r="H1574" s="81">
        <v>10.1079022601243</v>
      </c>
    </row>
    <row r="1575" spans="1:8" x14ac:dyDescent="0.3">
      <c r="A1575" s="74" t="str">
        <f t="shared" si="24"/>
        <v>新疆46189</v>
      </c>
      <c r="B1575" s="75" t="s">
        <v>17</v>
      </c>
      <c r="C1575" s="45">
        <v>46189</v>
      </c>
      <c r="D1575" s="76">
        <v>723.76279706666799</v>
      </c>
      <c r="E1575" s="77">
        <v>125</v>
      </c>
      <c r="F1575" s="78">
        <v>10.907610715458</v>
      </c>
      <c r="G1575" s="78">
        <v>10.907610715458</v>
      </c>
      <c r="H1575" s="81">
        <v>10.1079022601243</v>
      </c>
    </row>
    <row r="1576" spans="1:8" x14ac:dyDescent="0.3">
      <c r="A1576" s="74" t="str">
        <f t="shared" si="24"/>
        <v>新疆46190</v>
      </c>
      <c r="B1576" s="75" t="s">
        <v>17</v>
      </c>
      <c r="C1576" s="45">
        <v>46190</v>
      </c>
      <c r="D1576" s="76">
        <v>723.76279706666799</v>
      </c>
      <c r="E1576" s="77">
        <v>125</v>
      </c>
      <c r="F1576" s="78">
        <v>10.907610715458</v>
      </c>
      <c r="G1576" s="78">
        <v>10.907610715458</v>
      </c>
      <c r="H1576" s="81">
        <v>10.1079022601243</v>
      </c>
    </row>
    <row r="1577" spans="1:8" x14ac:dyDescent="0.3">
      <c r="A1577" s="74" t="str">
        <f t="shared" si="24"/>
        <v>新疆46191</v>
      </c>
      <c r="B1577" s="75" t="s">
        <v>17</v>
      </c>
      <c r="C1577" s="45">
        <v>46191</v>
      </c>
      <c r="D1577" s="76">
        <v>723.76279706666799</v>
      </c>
      <c r="E1577" s="77">
        <v>125</v>
      </c>
      <c r="F1577" s="78">
        <v>10.907610715458</v>
      </c>
      <c r="G1577" s="78">
        <v>10.907610715458</v>
      </c>
      <c r="H1577" s="81">
        <v>10.1079022601243</v>
      </c>
    </row>
    <row r="1578" spans="1:8" x14ac:dyDescent="0.3">
      <c r="A1578" s="74" t="str">
        <f t="shared" si="24"/>
        <v>新疆46192</v>
      </c>
      <c r="B1578" s="75" t="s">
        <v>17</v>
      </c>
      <c r="C1578" s="45">
        <v>46192</v>
      </c>
      <c r="D1578" s="76">
        <v>723.76279706666799</v>
      </c>
      <c r="E1578" s="77">
        <v>125</v>
      </c>
      <c r="F1578" s="78">
        <v>10.907610715458</v>
      </c>
      <c r="G1578" s="78">
        <v>10.907610715458</v>
      </c>
      <c r="H1578" s="81">
        <v>10.1079022601243</v>
      </c>
    </row>
    <row r="1579" spans="1:8" x14ac:dyDescent="0.3">
      <c r="A1579" s="74" t="str">
        <f t="shared" si="24"/>
        <v>新疆46193</v>
      </c>
      <c r="B1579" s="75" t="s">
        <v>17</v>
      </c>
      <c r="C1579" s="45">
        <v>46193</v>
      </c>
      <c r="D1579" s="76">
        <v>723.76279706666799</v>
      </c>
      <c r="E1579" s="77">
        <v>125</v>
      </c>
      <c r="F1579" s="78">
        <v>10.907610715458</v>
      </c>
      <c r="G1579" s="78">
        <v>10.907610715458</v>
      </c>
      <c r="H1579" s="81">
        <v>10.1079022601243</v>
      </c>
    </row>
    <row r="1580" spans="1:8" x14ac:dyDescent="0.3">
      <c r="A1580" s="74" t="str">
        <f t="shared" si="24"/>
        <v>新疆46194</v>
      </c>
      <c r="B1580" s="75" t="s">
        <v>17</v>
      </c>
      <c r="C1580" s="45">
        <v>46194</v>
      </c>
      <c r="D1580" s="76">
        <v>723.76279706666799</v>
      </c>
      <c r="E1580" s="77">
        <v>125</v>
      </c>
      <c r="F1580" s="78">
        <v>10.907610715458</v>
      </c>
      <c r="G1580" s="78">
        <v>10.907610715458</v>
      </c>
      <c r="H1580" s="81">
        <v>10.1079022601243</v>
      </c>
    </row>
    <row r="1581" spans="1:8" x14ac:dyDescent="0.3">
      <c r="A1581" s="74" t="str">
        <f t="shared" si="24"/>
        <v>新疆46195</v>
      </c>
      <c r="B1581" s="75" t="s">
        <v>17</v>
      </c>
      <c r="C1581" s="45">
        <v>46195</v>
      </c>
      <c r="D1581" s="76">
        <v>723.76279706666799</v>
      </c>
      <c r="E1581" s="77">
        <v>125</v>
      </c>
      <c r="F1581" s="78">
        <v>10.907610715458</v>
      </c>
      <c r="G1581" s="78">
        <v>10.907610715458</v>
      </c>
      <c r="H1581" s="81">
        <v>10.1079022601243</v>
      </c>
    </row>
    <row r="1582" spans="1:8" x14ac:dyDescent="0.3">
      <c r="A1582" s="74" t="str">
        <f t="shared" si="24"/>
        <v>新疆46196</v>
      </c>
      <c r="B1582" s="75" t="s">
        <v>17</v>
      </c>
      <c r="C1582" s="45">
        <v>46196</v>
      </c>
      <c r="D1582" s="76">
        <v>723.76279706666799</v>
      </c>
      <c r="E1582" s="77">
        <v>125</v>
      </c>
      <c r="F1582" s="78">
        <v>10.907610715458</v>
      </c>
      <c r="G1582" s="78">
        <v>10.907610715458</v>
      </c>
      <c r="H1582" s="81">
        <v>10.1079022601243</v>
      </c>
    </row>
    <row r="1583" spans="1:8" x14ac:dyDescent="0.3">
      <c r="A1583" s="74" t="str">
        <f t="shared" si="24"/>
        <v>新疆46197</v>
      </c>
      <c r="B1583" s="75" t="s">
        <v>17</v>
      </c>
      <c r="C1583" s="45">
        <v>46197</v>
      </c>
      <c r="D1583" s="76">
        <v>723.76279706666799</v>
      </c>
      <c r="E1583" s="77">
        <v>125</v>
      </c>
      <c r="F1583" s="78">
        <v>10.907610715458</v>
      </c>
      <c r="G1583" s="78">
        <v>10.907610715458</v>
      </c>
      <c r="H1583" s="81">
        <v>10.1079022601243</v>
      </c>
    </row>
    <row r="1584" spans="1:8" x14ac:dyDescent="0.3">
      <c r="A1584" s="74" t="str">
        <f t="shared" si="24"/>
        <v>新疆46198</v>
      </c>
      <c r="B1584" s="75" t="s">
        <v>17</v>
      </c>
      <c r="C1584" s="45">
        <v>46198</v>
      </c>
      <c r="D1584" s="76">
        <v>723.76279706666799</v>
      </c>
      <c r="E1584" s="77">
        <v>125</v>
      </c>
      <c r="F1584" s="78">
        <v>10.907610715458</v>
      </c>
      <c r="G1584" s="78">
        <v>10.907610715458</v>
      </c>
      <c r="H1584" s="81">
        <v>10.1079022601243</v>
      </c>
    </row>
    <row r="1585" spans="1:8" x14ac:dyDescent="0.3">
      <c r="A1585" s="74" t="str">
        <f t="shared" si="24"/>
        <v>新疆46199</v>
      </c>
      <c r="B1585" s="75" t="s">
        <v>17</v>
      </c>
      <c r="C1585" s="45">
        <v>46199</v>
      </c>
      <c r="D1585" s="76">
        <v>723.76279706666799</v>
      </c>
      <c r="E1585" s="77">
        <v>125</v>
      </c>
      <c r="F1585" s="78">
        <v>10.907610715458</v>
      </c>
      <c r="G1585" s="78">
        <v>10.907610715458</v>
      </c>
      <c r="H1585" s="81">
        <v>10.1079022601243</v>
      </c>
    </row>
    <row r="1586" spans="1:8" x14ac:dyDescent="0.3">
      <c r="A1586" s="74" t="str">
        <f t="shared" si="24"/>
        <v>新疆46200</v>
      </c>
      <c r="B1586" s="75" t="s">
        <v>17</v>
      </c>
      <c r="C1586" s="45">
        <v>46200</v>
      </c>
      <c r="D1586" s="76">
        <v>723.76279706666799</v>
      </c>
      <c r="E1586" s="77">
        <v>125</v>
      </c>
      <c r="F1586" s="78">
        <v>10.907610715458</v>
      </c>
      <c r="G1586" s="78">
        <v>10.907610715458</v>
      </c>
      <c r="H1586" s="81">
        <v>10.1079022601243</v>
      </c>
    </row>
    <row r="1587" spans="1:8" x14ac:dyDescent="0.3">
      <c r="A1587" s="74" t="str">
        <f t="shared" si="24"/>
        <v>新疆46201</v>
      </c>
      <c r="B1587" s="75" t="s">
        <v>17</v>
      </c>
      <c r="C1587" s="45">
        <v>46201</v>
      </c>
      <c r="D1587" s="76">
        <v>723.76279706666799</v>
      </c>
      <c r="E1587" s="77">
        <v>125</v>
      </c>
      <c r="F1587" s="78">
        <v>10.907610715458</v>
      </c>
      <c r="G1587" s="78">
        <v>10.907610715458</v>
      </c>
      <c r="H1587" s="81">
        <v>10.1079022601243</v>
      </c>
    </row>
    <row r="1588" spans="1:8" x14ac:dyDescent="0.3">
      <c r="A1588" s="74" t="str">
        <f t="shared" si="24"/>
        <v>新疆46202</v>
      </c>
      <c r="B1588" s="75" t="s">
        <v>17</v>
      </c>
      <c r="C1588" s="45">
        <v>46202</v>
      </c>
      <c r="D1588" s="76">
        <v>723.76279706666799</v>
      </c>
      <c r="E1588" s="77">
        <v>125</v>
      </c>
      <c r="F1588" s="78">
        <v>10.907610715458</v>
      </c>
      <c r="G1588" s="78">
        <v>10.907610715458</v>
      </c>
      <c r="H1588" s="81">
        <v>10.1079022601243</v>
      </c>
    </row>
    <row r="1589" spans="1:8" x14ac:dyDescent="0.3">
      <c r="A1589" s="74" t="str">
        <f t="shared" si="24"/>
        <v>新疆46203</v>
      </c>
      <c r="B1589" s="75" t="s">
        <v>17</v>
      </c>
      <c r="C1589" s="45">
        <v>46203</v>
      </c>
      <c r="D1589" s="76">
        <v>723.76279706666799</v>
      </c>
      <c r="E1589" s="77">
        <v>125</v>
      </c>
      <c r="F1589" s="78">
        <v>10.907610715458</v>
      </c>
      <c r="G1589" s="78">
        <v>10.907610715458</v>
      </c>
      <c r="H1589" s="81">
        <v>10.1079022601243</v>
      </c>
    </row>
    <row r="1590" spans="1:8" x14ac:dyDescent="0.3">
      <c r="A1590" s="74" t="str">
        <f t="shared" si="24"/>
        <v>新疆46204</v>
      </c>
      <c r="B1590" s="75" t="s">
        <v>17</v>
      </c>
      <c r="C1590" s="45">
        <v>46204</v>
      </c>
      <c r="D1590" s="76">
        <v>755.11882147931499</v>
      </c>
      <c r="E1590" s="77">
        <v>125</v>
      </c>
      <c r="F1590" s="78">
        <v>11.364675441187201</v>
      </c>
      <c r="G1590" s="78">
        <v>11.364675441187201</v>
      </c>
      <c r="H1590" s="81">
        <v>10.929644314166399</v>
      </c>
    </row>
    <row r="1591" spans="1:8" x14ac:dyDescent="0.3">
      <c r="A1591" s="74" t="str">
        <f t="shared" si="24"/>
        <v>新疆46205</v>
      </c>
      <c r="B1591" s="75" t="s">
        <v>17</v>
      </c>
      <c r="C1591" s="45">
        <v>46205</v>
      </c>
      <c r="D1591" s="76">
        <v>755.11882147931499</v>
      </c>
      <c r="E1591" s="77">
        <v>125</v>
      </c>
      <c r="F1591" s="78">
        <v>11.364675441187201</v>
      </c>
      <c r="G1591" s="78">
        <v>11.364675441187201</v>
      </c>
      <c r="H1591" s="81">
        <v>10.929644314166399</v>
      </c>
    </row>
    <row r="1592" spans="1:8" x14ac:dyDescent="0.3">
      <c r="A1592" s="74" t="str">
        <f t="shared" si="24"/>
        <v>新疆46206</v>
      </c>
      <c r="B1592" s="75" t="s">
        <v>17</v>
      </c>
      <c r="C1592" s="45">
        <v>46206</v>
      </c>
      <c r="D1592" s="76">
        <v>755.11882147931499</v>
      </c>
      <c r="E1592" s="77">
        <v>125</v>
      </c>
      <c r="F1592" s="78">
        <v>11.364675441187201</v>
      </c>
      <c r="G1592" s="78">
        <v>11.364675441187201</v>
      </c>
      <c r="H1592" s="81">
        <v>10.929644314166399</v>
      </c>
    </row>
    <row r="1593" spans="1:8" x14ac:dyDescent="0.3">
      <c r="A1593" s="74" t="str">
        <f t="shared" si="24"/>
        <v>新疆46207</v>
      </c>
      <c r="B1593" s="75" t="s">
        <v>17</v>
      </c>
      <c r="C1593" s="45">
        <v>46207</v>
      </c>
      <c r="D1593" s="76">
        <v>755.11882147931499</v>
      </c>
      <c r="E1593" s="77">
        <v>125</v>
      </c>
      <c r="F1593" s="78">
        <v>11.364675441187201</v>
      </c>
      <c r="G1593" s="78">
        <v>11.364675441187201</v>
      </c>
      <c r="H1593" s="81">
        <v>10.929644314166399</v>
      </c>
    </row>
    <row r="1594" spans="1:8" x14ac:dyDescent="0.3">
      <c r="A1594" s="74" t="str">
        <f t="shared" si="24"/>
        <v>新疆46208</v>
      </c>
      <c r="B1594" s="75" t="s">
        <v>17</v>
      </c>
      <c r="C1594" s="45">
        <v>46208</v>
      </c>
      <c r="D1594" s="76">
        <v>755.11882147931499</v>
      </c>
      <c r="E1594" s="77">
        <v>125</v>
      </c>
      <c r="F1594" s="78">
        <v>11.364675441187201</v>
      </c>
      <c r="G1594" s="78">
        <v>11.364675441187201</v>
      </c>
      <c r="H1594" s="81">
        <v>10.929644314166399</v>
      </c>
    </row>
    <row r="1595" spans="1:8" x14ac:dyDescent="0.3">
      <c r="A1595" s="74" t="str">
        <f t="shared" si="24"/>
        <v>新疆46209</v>
      </c>
      <c r="B1595" s="75" t="s">
        <v>17</v>
      </c>
      <c r="C1595" s="45">
        <v>46209</v>
      </c>
      <c r="D1595" s="76">
        <v>755.11882147931499</v>
      </c>
      <c r="E1595" s="77">
        <v>125</v>
      </c>
      <c r="F1595" s="78">
        <v>11.364675441187201</v>
      </c>
      <c r="G1595" s="78">
        <v>11.364675441187201</v>
      </c>
      <c r="H1595" s="81">
        <v>10.929644314166399</v>
      </c>
    </row>
    <row r="1596" spans="1:8" x14ac:dyDescent="0.3">
      <c r="A1596" s="74" t="str">
        <f t="shared" si="24"/>
        <v>新疆46210</v>
      </c>
      <c r="B1596" s="75" t="s">
        <v>17</v>
      </c>
      <c r="C1596" s="45">
        <v>46210</v>
      </c>
      <c r="D1596" s="76">
        <v>755.11882147931499</v>
      </c>
      <c r="E1596" s="77">
        <v>125</v>
      </c>
      <c r="F1596" s="78">
        <v>11.364675441187201</v>
      </c>
      <c r="G1596" s="78">
        <v>11.364675441187201</v>
      </c>
      <c r="H1596" s="81">
        <v>10.929644314166399</v>
      </c>
    </row>
    <row r="1597" spans="1:8" x14ac:dyDescent="0.3">
      <c r="A1597" s="74" t="str">
        <f t="shared" si="24"/>
        <v>新疆46211</v>
      </c>
      <c r="B1597" s="75" t="s">
        <v>17</v>
      </c>
      <c r="C1597" s="45">
        <v>46211</v>
      </c>
      <c r="D1597" s="76">
        <v>755.11882147931499</v>
      </c>
      <c r="E1597" s="77">
        <v>125</v>
      </c>
      <c r="F1597" s="78">
        <v>11.364675441187201</v>
      </c>
      <c r="G1597" s="78">
        <v>11.364675441187201</v>
      </c>
      <c r="H1597" s="81">
        <v>10.929644314166399</v>
      </c>
    </row>
    <row r="1598" spans="1:8" x14ac:dyDescent="0.3">
      <c r="A1598" s="74" t="str">
        <f t="shared" si="24"/>
        <v>新疆46212</v>
      </c>
      <c r="B1598" s="75" t="s">
        <v>17</v>
      </c>
      <c r="C1598" s="45">
        <v>46212</v>
      </c>
      <c r="D1598" s="76">
        <v>755.11882147931499</v>
      </c>
      <c r="E1598" s="77">
        <v>125</v>
      </c>
      <c r="F1598" s="78">
        <v>11.364675441187201</v>
      </c>
      <c r="G1598" s="78">
        <v>11.364675441187201</v>
      </c>
      <c r="H1598" s="81">
        <v>10.929644314166399</v>
      </c>
    </row>
    <row r="1599" spans="1:8" x14ac:dyDescent="0.3">
      <c r="A1599" s="74" t="str">
        <f t="shared" si="24"/>
        <v>新疆46213</v>
      </c>
      <c r="B1599" s="75" t="s">
        <v>17</v>
      </c>
      <c r="C1599" s="45">
        <v>46213</v>
      </c>
      <c r="D1599" s="76">
        <v>755.11882147931499</v>
      </c>
      <c r="E1599" s="77">
        <v>125</v>
      </c>
      <c r="F1599" s="78">
        <v>11.364675441187201</v>
      </c>
      <c r="G1599" s="78">
        <v>11.364675441187201</v>
      </c>
      <c r="H1599" s="81">
        <v>10.929644314166399</v>
      </c>
    </row>
    <row r="1600" spans="1:8" x14ac:dyDescent="0.3">
      <c r="A1600" s="74" t="str">
        <f t="shared" si="24"/>
        <v>新疆46214</v>
      </c>
      <c r="B1600" s="75" t="s">
        <v>17</v>
      </c>
      <c r="C1600" s="45">
        <v>46214</v>
      </c>
      <c r="D1600" s="76">
        <v>755.11882147931499</v>
      </c>
      <c r="E1600" s="77">
        <v>125</v>
      </c>
      <c r="F1600" s="78">
        <v>11.364675441187201</v>
      </c>
      <c r="G1600" s="78">
        <v>11.364675441187201</v>
      </c>
      <c r="H1600" s="81">
        <v>10.929644314166399</v>
      </c>
    </row>
    <row r="1601" spans="1:8" x14ac:dyDescent="0.3">
      <c r="A1601" s="74" t="str">
        <f t="shared" si="24"/>
        <v>新疆46215</v>
      </c>
      <c r="B1601" s="75" t="s">
        <v>17</v>
      </c>
      <c r="C1601" s="45">
        <v>46215</v>
      </c>
      <c r="D1601" s="76">
        <v>755.11882147931499</v>
      </c>
      <c r="E1601" s="77">
        <v>125</v>
      </c>
      <c r="F1601" s="78">
        <v>11.364675441187201</v>
      </c>
      <c r="G1601" s="78">
        <v>11.364675441187201</v>
      </c>
      <c r="H1601" s="81">
        <v>10.929644314166399</v>
      </c>
    </row>
    <row r="1602" spans="1:8" x14ac:dyDescent="0.3">
      <c r="A1602" s="74" t="str">
        <f t="shared" si="24"/>
        <v>新疆46216</v>
      </c>
      <c r="B1602" s="75" t="s">
        <v>17</v>
      </c>
      <c r="C1602" s="45">
        <v>46216</v>
      </c>
      <c r="D1602" s="76">
        <v>755.11882147931499</v>
      </c>
      <c r="E1602" s="77">
        <v>125</v>
      </c>
      <c r="F1602" s="78">
        <v>11.364675441187201</v>
      </c>
      <c r="G1602" s="78">
        <v>11.364675441187201</v>
      </c>
      <c r="H1602" s="81">
        <v>10.929644314166399</v>
      </c>
    </row>
    <row r="1603" spans="1:8" x14ac:dyDescent="0.3">
      <c r="A1603" s="74" t="str">
        <f t="shared" ref="A1603:A1666" si="25">B1603&amp;C1603</f>
        <v>新疆46217</v>
      </c>
      <c r="B1603" s="75" t="s">
        <v>17</v>
      </c>
      <c r="C1603" s="45">
        <v>46217</v>
      </c>
      <c r="D1603" s="76">
        <v>755.11882147931499</v>
      </c>
      <c r="E1603" s="77">
        <v>125</v>
      </c>
      <c r="F1603" s="78">
        <v>11.364675441187201</v>
      </c>
      <c r="G1603" s="78">
        <v>11.364675441187201</v>
      </c>
      <c r="H1603" s="81">
        <v>10.929644314166399</v>
      </c>
    </row>
    <row r="1604" spans="1:8" x14ac:dyDescent="0.3">
      <c r="A1604" s="74" t="str">
        <f t="shared" si="25"/>
        <v>新疆46218</v>
      </c>
      <c r="B1604" s="75" t="s">
        <v>17</v>
      </c>
      <c r="C1604" s="45">
        <v>46218</v>
      </c>
      <c r="D1604" s="76">
        <v>755.11882147931499</v>
      </c>
      <c r="E1604" s="77">
        <v>125</v>
      </c>
      <c r="F1604" s="78">
        <v>11.364675441187201</v>
      </c>
      <c r="G1604" s="78">
        <v>11.364675441187201</v>
      </c>
      <c r="H1604" s="81">
        <v>10.929644314166399</v>
      </c>
    </row>
    <row r="1605" spans="1:8" x14ac:dyDescent="0.3">
      <c r="A1605" s="74" t="str">
        <f t="shared" si="25"/>
        <v>新疆46219</v>
      </c>
      <c r="B1605" s="75" t="s">
        <v>17</v>
      </c>
      <c r="C1605" s="45">
        <v>46219</v>
      </c>
      <c r="D1605" s="76">
        <v>755.11882147931499</v>
      </c>
      <c r="E1605" s="77">
        <v>125</v>
      </c>
      <c r="F1605" s="78">
        <v>11.364675441187201</v>
      </c>
      <c r="G1605" s="78">
        <v>11.364675441187201</v>
      </c>
      <c r="H1605" s="81">
        <v>10.929644314166399</v>
      </c>
    </row>
    <row r="1606" spans="1:8" x14ac:dyDescent="0.3">
      <c r="A1606" s="74" t="str">
        <f t="shared" si="25"/>
        <v>新疆46220</v>
      </c>
      <c r="B1606" s="75" t="s">
        <v>17</v>
      </c>
      <c r="C1606" s="45">
        <v>46220</v>
      </c>
      <c r="D1606" s="76">
        <v>755.11882147931499</v>
      </c>
      <c r="E1606" s="77">
        <v>125</v>
      </c>
      <c r="F1606" s="78">
        <v>11.364675441187201</v>
      </c>
      <c r="G1606" s="78">
        <v>11.364675441187201</v>
      </c>
      <c r="H1606" s="81">
        <v>10.929644314166399</v>
      </c>
    </row>
    <row r="1607" spans="1:8" x14ac:dyDescent="0.3">
      <c r="A1607" s="74" t="str">
        <f t="shared" si="25"/>
        <v>新疆46221</v>
      </c>
      <c r="B1607" s="75" t="s">
        <v>17</v>
      </c>
      <c r="C1607" s="45">
        <v>46221</v>
      </c>
      <c r="D1607" s="76">
        <v>755.11882147931499</v>
      </c>
      <c r="E1607" s="77">
        <v>125</v>
      </c>
      <c r="F1607" s="78">
        <v>11.364675441187201</v>
      </c>
      <c r="G1607" s="78">
        <v>11.364675441187201</v>
      </c>
      <c r="H1607" s="81">
        <v>10.929644314166399</v>
      </c>
    </row>
    <row r="1608" spans="1:8" x14ac:dyDescent="0.3">
      <c r="A1608" s="74" t="str">
        <f t="shared" si="25"/>
        <v>新疆46222</v>
      </c>
      <c r="B1608" s="75" t="s">
        <v>17</v>
      </c>
      <c r="C1608" s="45">
        <v>46222</v>
      </c>
      <c r="D1608" s="76">
        <v>755.11882147931499</v>
      </c>
      <c r="E1608" s="77">
        <v>125</v>
      </c>
      <c r="F1608" s="78">
        <v>11.364675441187201</v>
      </c>
      <c r="G1608" s="78">
        <v>11.364675441187201</v>
      </c>
      <c r="H1608" s="81">
        <v>10.929644314166399</v>
      </c>
    </row>
    <row r="1609" spans="1:8" x14ac:dyDescent="0.3">
      <c r="A1609" s="74" t="str">
        <f t="shared" si="25"/>
        <v>新疆46223</v>
      </c>
      <c r="B1609" s="75" t="s">
        <v>17</v>
      </c>
      <c r="C1609" s="45">
        <v>46223</v>
      </c>
      <c r="D1609" s="76">
        <v>755.11882147931499</v>
      </c>
      <c r="E1609" s="77">
        <v>125</v>
      </c>
      <c r="F1609" s="78">
        <v>11.364675441187201</v>
      </c>
      <c r="G1609" s="78">
        <v>11.364675441187201</v>
      </c>
      <c r="H1609" s="81">
        <v>10.929644314166399</v>
      </c>
    </row>
    <row r="1610" spans="1:8" x14ac:dyDescent="0.3">
      <c r="A1610" s="74" t="str">
        <f t="shared" si="25"/>
        <v>新疆46224</v>
      </c>
      <c r="B1610" s="75" t="s">
        <v>17</v>
      </c>
      <c r="C1610" s="45">
        <v>46224</v>
      </c>
      <c r="D1610" s="76">
        <v>755.11882147931499</v>
      </c>
      <c r="E1610" s="77">
        <v>125</v>
      </c>
      <c r="F1610" s="78">
        <v>11.364675441187201</v>
      </c>
      <c r="G1610" s="78">
        <v>11.364675441187201</v>
      </c>
      <c r="H1610" s="81">
        <v>10.929644314166399</v>
      </c>
    </row>
    <row r="1611" spans="1:8" x14ac:dyDescent="0.3">
      <c r="A1611" s="74" t="str">
        <f t="shared" si="25"/>
        <v>新疆46225</v>
      </c>
      <c r="B1611" s="75" t="s">
        <v>17</v>
      </c>
      <c r="C1611" s="45">
        <v>46225</v>
      </c>
      <c r="D1611" s="76">
        <v>755.11882147931499</v>
      </c>
      <c r="E1611" s="77">
        <v>125</v>
      </c>
      <c r="F1611" s="78">
        <v>11.364675441187201</v>
      </c>
      <c r="G1611" s="78">
        <v>11.364675441187201</v>
      </c>
      <c r="H1611" s="81">
        <v>10.929644314166399</v>
      </c>
    </row>
    <row r="1612" spans="1:8" x14ac:dyDescent="0.3">
      <c r="A1612" s="74" t="str">
        <f t="shared" si="25"/>
        <v>新疆46226</v>
      </c>
      <c r="B1612" s="75" t="s">
        <v>17</v>
      </c>
      <c r="C1612" s="45">
        <v>46226</v>
      </c>
      <c r="D1612" s="76">
        <v>755.11882147931499</v>
      </c>
      <c r="E1612" s="77">
        <v>125</v>
      </c>
      <c r="F1612" s="78">
        <v>11.364675441187201</v>
      </c>
      <c r="G1612" s="78">
        <v>11.364675441187201</v>
      </c>
      <c r="H1612" s="81">
        <v>10.929644314166399</v>
      </c>
    </row>
    <row r="1613" spans="1:8" x14ac:dyDescent="0.3">
      <c r="A1613" s="74" t="str">
        <f t="shared" si="25"/>
        <v>新疆46227</v>
      </c>
      <c r="B1613" s="75" t="s">
        <v>17</v>
      </c>
      <c r="C1613" s="45">
        <v>46227</v>
      </c>
      <c r="D1613" s="76">
        <v>755.11882147931499</v>
      </c>
      <c r="E1613" s="77">
        <v>125</v>
      </c>
      <c r="F1613" s="78">
        <v>11.364675441187201</v>
      </c>
      <c r="G1613" s="78">
        <v>11.364675441187201</v>
      </c>
      <c r="H1613" s="81">
        <v>10.929644314166399</v>
      </c>
    </row>
    <row r="1614" spans="1:8" x14ac:dyDescent="0.3">
      <c r="A1614" s="74" t="str">
        <f t="shared" si="25"/>
        <v>新疆46228</v>
      </c>
      <c r="B1614" s="75" t="s">
        <v>17</v>
      </c>
      <c r="C1614" s="45">
        <v>46228</v>
      </c>
      <c r="D1614" s="76">
        <v>755.11882147931499</v>
      </c>
      <c r="E1614" s="77">
        <v>125</v>
      </c>
      <c r="F1614" s="78">
        <v>11.364675441187201</v>
      </c>
      <c r="G1614" s="78">
        <v>11.364675441187201</v>
      </c>
      <c r="H1614" s="81">
        <v>10.929644314166399</v>
      </c>
    </row>
    <row r="1615" spans="1:8" x14ac:dyDescent="0.3">
      <c r="A1615" s="74" t="str">
        <f t="shared" si="25"/>
        <v>新疆46229</v>
      </c>
      <c r="B1615" s="75" t="s">
        <v>17</v>
      </c>
      <c r="C1615" s="45">
        <v>46229</v>
      </c>
      <c r="D1615" s="76">
        <v>755.11882147931499</v>
      </c>
      <c r="E1615" s="77">
        <v>125</v>
      </c>
      <c r="F1615" s="78">
        <v>11.364675441187201</v>
      </c>
      <c r="G1615" s="78">
        <v>11.364675441187201</v>
      </c>
      <c r="H1615" s="81">
        <v>10.929644314166399</v>
      </c>
    </row>
    <row r="1616" spans="1:8" x14ac:dyDescent="0.3">
      <c r="A1616" s="74" t="str">
        <f t="shared" si="25"/>
        <v>新疆46230</v>
      </c>
      <c r="B1616" s="75" t="s">
        <v>17</v>
      </c>
      <c r="C1616" s="45">
        <v>46230</v>
      </c>
      <c r="D1616" s="76">
        <v>755.11882147931499</v>
      </c>
      <c r="E1616" s="77">
        <v>125</v>
      </c>
      <c r="F1616" s="78">
        <v>11.364675441187201</v>
      </c>
      <c r="G1616" s="78">
        <v>11.364675441187201</v>
      </c>
      <c r="H1616" s="81">
        <v>10.929644314166399</v>
      </c>
    </row>
    <row r="1617" spans="1:8" x14ac:dyDescent="0.3">
      <c r="A1617" s="74" t="str">
        <f t="shared" si="25"/>
        <v>新疆46231</v>
      </c>
      <c r="B1617" s="75" t="s">
        <v>17</v>
      </c>
      <c r="C1617" s="45">
        <v>46231</v>
      </c>
      <c r="D1617" s="76">
        <v>755.11882147931499</v>
      </c>
      <c r="E1617" s="77">
        <v>125</v>
      </c>
      <c r="F1617" s="78">
        <v>11.364675441187201</v>
      </c>
      <c r="G1617" s="78">
        <v>11.364675441187201</v>
      </c>
      <c r="H1617" s="81">
        <v>10.929644314166399</v>
      </c>
    </row>
    <row r="1618" spans="1:8" x14ac:dyDescent="0.3">
      <c r="A1618" s="74" t="str">
        <f t="shared" si="25"/>
        <v>新疆46232</v>
      </c>
      <c r="B1618" s="75" t="s">
        <v>17</v>
      </c>
      <c r="C1618" s="45">
        <v>46232</v>
      </c>
      <c r="D1618" s="76">
        <v>755.11882147931499</v>
      </c>
      <c r="E1618" s="77">
        <v>125</v>
      </c>
      <c r="F1618" s="78">
        <v>11.364675441187201</v>
      </c>
      <c r="G1618" s="78">
        <v>11.364675441187201</v>
      </c>
      <c r="H1618" s="81">
        <v>10.929644314166399</v>
      </c>
    </row>
    <row r="1619" spans="1:8" x14ac:dyDescent="0.3">
      <c r="A1619" s="74" t="str">
        <f t="shared" si="25"/>
        <v>新疆46233</v>
      </c>
      <c r="B1619" s="75" t="s">
        <v>17</v>
      </c>
      <c r="C1619" s="45">
        <v>46233</v>
      </c>
      <c r="D1619" s="76">
        <v>755.11882147931499</v>
      </c>
      <c r="E1619" s="77">
        <v>125</v>
      </c>
      <c r="F1619" s="78">
        <v>11.364675441187201</v>
      </c>
      <c r="G1619" s="78">
        <v>11.364675441187201</v>
      </c>
      <c r="H1619" s="81">
        <v>10.929644314166399</v>
      </c>
    </row>
    <row r="1620" spans="1:8" x14ac:dyDescent="0.3">
      <c r="A1620" s="74" t="str">
        <f t="shared" si="25"/>
        <v>新疆46234</v>
      </c>
      <c r="B1620" s="75" t="s">
        <v>17</v>
      </c>
      <c r="C1620" s="45">
        <v>46234</v>
      </c>
      <c r="D1620" s="76">
        <v>755.11882147931499</v>
      </c>
      <c r="E1620" s="77">
        <v>125</v>
      </c>
      <c r="F1620" s="78">
        <v>11.364675441187201</v>
      </c>
      <c r="G1620" s="78">
        <v>11.364675441187201</v>
      </c>
      <c r="H1620" s="81">
        <v>10.929644314166399</v>
      </c>
    </row>
    <row r="1621" spans="1:8" x14ac:dyDescent="0.3">
      <c r="A1621" s="74" t="str">
        <f t="shared" si="25"/>
        <v>新疆46235</v>
      </c>
      <c r="B1621" s="75" t="s">
        <v>17</v>
      </c>
      <c r="C1621" s="45">
        <v>46235</v>
      </c>
      <c r="D1621" s="76">
        <v>853.02128520669203</v>
      </c>
      <c r="E1621" s="77">
        <v>125</v>
      </c>
      <c r="F1621" s="78">
        <v>11.465262448314</v>
      </c>
      <c r="G1621" s="78">
        <v>11.465262448314</v>
      </c>
      <c r="H1621" s="81">
        <v>11.437889399614299</v>
      </c>
    </row>
    <row r="1622" spans="1:8" x14ac:dyDescent="0.3">
      <c r="A1622" s="74" t="str">
        <f t="shared" si="25"/>
        <v>新疆46236</v>
      </c>
      <c r="B1622" s="75" t="s">
        <v>17</v>
      </c>
      <c r="C1622" s="45">
        <v>46236</v>
      </c>
      <c r="D1622" s="76">
        <v>853.02128520669203</v>
      </c>
      <c r="E1622" s="77">
        <v>125</v>
      </c>
      <c r="F1622" s="78">
        <v>11.465262448314</v>
      </c>
      <c r="G1622" s="78">
        <v>11.465262448314</v>
      </c>
      <c r="H1622" s="81">
        <v>11.437889399614299</v>
      </c>
    </row>
    <row r="1623" spans="1:8" x14ac:dyDescent="0.3">
      <c r="A1623" s="74" t="str">
        <f t="shared" si="25"/>
        <v>新疆46237</v>
      </c>
      <c r="B1623" s="75" t="s">
        <v>17</v>
      </c>
      <c r="C1623" s="45">
        <v>46237</v>
      </c>
      <c r="D1623" s="76">
        <v>853.02128520669203</v>
      </c>
      <c r="E1623" s="77">
        <v>125</v>
      </c>
      <c r="F1623" s="78">
        <v>11.465262448314</v>
      </c>
      <c r="G1623" s="78">
        <v>11.465262448314</v>
      </c>
      <c r="H1623" s="81">
        <v>11.437889399614299</v>
      </c>
    </row>
    <row r="1624" spans="1:8" x14ac:dyDescent="0.3">
      <c r="A1624" s="74" t="str">
        <f t="shared" si="25"/>
        <v>新疆46238</v>
      </c>
      <c r="B1624" s="75" t="s">
        <v>17</v>
      </c>
      <c r="C1624" s="45">
        <v>46238</v>
      </c>
      <c r="D1624" s="76">
        <v>853.02128520669203</v>
      </c>
      <c r="E1624" s="77">
        <v>125</v>
      </c>
      <c r="F1624" s="78">
        <v>11.465262448314</v>
      </c>
      <c r="G1624" s="78">
        <v>11.465262448314</v>
      </c>
      <c r="H1624" s="81">
        <v>11.437889399614299</v>
      </c>
    </row>
    <row r="1625" spans="1:8" x14ac:dyDescent="0.3">
      <c r="A1625" s="74" t="str">
        <f t="shared" si="25"/>
        <v>新疆46239</v>
      </c>
      <c r="B1625" s="75" t="s">
        <v>17</v>
      </c>
      <c r="C1625" s="45">
        <v>46239</v>
      </c>
      <c r="D1625" s="76">
        <v>853.02128520669203</v>
      </c>
      <c r="E1625" s="77">
        <v>125</v>
      </c>
      <c r="F1625" s="78">
        <v>11.465262448314</v>
      </c>
      <c r="G1625" s="78">
        <v>11.465262448314</v>
      </c>
      <c r="H1625" s="81">
        <v>11.437889399614299</v>
      </c>
    </row>
    <row r="1626" spans="1:8" x14ac:dyDescent="0.3">
      <c r="A1626" s="74" t="str">
        <f t="shared" si="25"/>
        <v>新疆46240</v>
      </c>
      <c r="B1626" s="75" t="s">
        <v>17</v>
      </c>
      <c r="C1626" s="45">
        <v>46240</v>
      </c>
      <c r="D1626" s="76">
        <v>853.02128520669203</v>
      </c>
      <c r="E1626" s="77">
        <v>125</v>
      </c>
      <c r="F1626" s="78">
        <v>11.465262448314</v>
      </c>
      <c r="G1626" s="78">
        <v>11.465262448314</v>
      </c>
      <c r="H1626" s="81">
        <v>11.437889399614299</v>
      </c>
    </row>
    <row r="1627" spans="1:8" x14ac:dyDescent="0.3">
      <c r="A1627" s="74" t="str">
        <f t="shared" si="25"/>
        <v>新疆46241</v>
      </c>
      <c r="B1627" s="75" t="s">
        <v>17</v>
      </c>
      <c r="C1627" s="45">
        <v>46241</v>
      </c>
      <c r="D1627" s="76">
        <v>853.02128520669203</v>
      </c>
      <c r="E1627" s="77">
        <v>125</v>
      </c>
      <c r="F1627" s="78">
        <v>11.465262448314</v>
      </c>
      <c r="G1627" s="78">
        <v>11.465262448314</v>
      </c>
      <c r="H1627" s="81">
        <v>11.437889399614299</v>
      </c>
    </row>
    <row r="1628" spans="1:8" x14ac:dyDescent="0.3">
      <c r="A1628" s="74" t="str">
        <f t="shared" si="25"/>
        <v>新疆46242</v>
      </c>
      <c r="B1628" s="75" t="s">
        <v>17</v>
      </c>
      <c r="C1628" s="45">
        <v>46242</v>
      </c>
      <c r="D1628" s="76">
        <v>853.02128520669203</v>
      </c>
      <c r="E1628" s="77">
        <v>125</v>
      </c>
      <c r="F1628" s="78">
        <v>11.465262448314</v>
      </c>
      <c r="G1628" s="78">
        <v>11.465262448314</v>
      </c>
      <c r="H1628" s="81">
        <v>11.437889399614299</v>
      </c>
    </row>
    <row r="1629" spans="1:8" x14ac:dyDescent="0.3">
      <c r="A1629" s="74" t="str">
        <f t="shared" si="25"/>
        <v>新疆46243</v>
      </c>
      <c r="B1629" s="75" t="s">
        <v>17</v>
      </c>
      <c r="C1629" s="45">
        <v>46243</v>
      </c>
      <c r="D1629" s="76">
        <v>853.02128520669203</v>
      </c>
      <c r="E1629" s="77">
        <v>125</v>
      </c>
      <c r="F1629" s="78">
        <v>11.465262448314</v>
      </c>
      <c r="G1629" s="78">
        <v>11.465262448314</v>
      </c>
      <c r="H1629" s="81">
        <v>11.437889399614299</v>
      </c>
    </row>
    <row r="1630" spans="1:8" x14ac:dyDescent="0.3">
      <c r="A1630" s="74" t="str">
        <f t="shared" si="25"/>
        <v>新疆46244</v>
      </c>
      <c r="B1630" s="75" t="s">
        <v>17</v>
      </c>
      <c r="C1630" s="45">
        <v>46244</v>
      </c>
      <c r="D1630" s="76">
        <v>853.02128520669203</v>
      </c>
      <c r="E1630" s="77">
        <v>125</v>
      </c>
      <c r="F1630" s="78">
        <v>11.465262448314</v>
      </c>
      <c r="G1630" s="78">
        <v>11.465262448314</v>
      </c>
      <c r="H1630" s="81">
        <v>11.437889399614299</v>
      </c>
    </row>
    <row r="1631" spans="1:8" x14ac:dyDescent="0.3">
      <c r="A1631" s="74" t="str">
        <f t="shared" si="25"/>
        <v>新疆46245</v>
      </c>
      <c r="B1631" s="75" t="s">
        <v>17</v>
      </c>
      <c r="C1631" s="45">
        <v>46245</v>
      </c>
      <c r="D1631" s="76">
        <v>853.02128520669203</v>
      </c>
      <c r="E1631" s="77">
        <v>125</v>
      </c>
      <c r="F1631" s="78">
        <v>11.465262448314</v>
      </c>
      <c r="G1631" s="78">
        <v>11.465262448314</v>
      </c>
      <c r="H1631" s="81">
        <v>11.437889399614299</v>
      </c>
    </row>
    <row r="1632" spans="1:8" x14ac:dyDescent="0.3">
      <c r="A1632" s="74" t="str">
        <f t="shared" si="25"/>
        <v>新疆46246</v>
      </c>
      <c r="B1632" s="75" t="s">
        <v>17</v>
      </c>
      <c r="C1632" s="45">
        <v>46246</v>
      </c>
      <c r="D1632" s="76">
        <v>853.02128520669203</v>
      </c>
      <c r="E1632" s="77">
        <v>125</v>
      </c>
      <c r="F1632" s="78">
        <v>11.465262448314</v>
      </c>
      <c r="G1632" s="78">
        <v>11.465262448314</v>
      </c>
      <c r="H1632" s="81">
        <v>11.437889399614299</v>
      </c>
    </row>
    <row r="1633" spans="1:8" x14ac:dyDescent="0.3">
      <c r="A1633" s="74" t="str">
        <f t="shared" si="25"/>
        <v>新疆46247</v>
      </c>
      <c r="B1633" s="75" t="s">
        <v>17</v>
      </c>
      <c r="C1633" s="45">
        <v>46247</v>
      </c>
      <c r="D1633" s="76">
        <v>853.02128520669203</v>
      </c>
      <c r="E1633" s="77">
        <v>125</v>
      </c>
      <c r="F1633" s="78">
        <v>11.465262448314</v>
      </c>
      <c r="G1633" s="78">
        <v>11.465262448314</v>
      </c>
      <c r="H1633" s="81">
        <v>11.437889399614299</v>
      </c>
    </row>
    <row r="1634" spans="1:8" x14ac:dyDescent="0.3">
      <c r="A1634" s="74" t="str">
        <f t="shared" si="25"/>
        <v>新疆46248</v>
      </c>
      <c r="B1634" s="75" t="s">
        <v>17</v>
      </c>
      <c r="C1634" s="45">
        <v>46248</v>
      </c>
      <c r="D1634" s="76">
        <v>853.02128520669203</v>
      </c>
      <c r="E1634" s="77">
        <v>125</v>
      </c>
      <c r="F1634" s="78">
        <v>11.465262448314</v>
      </c>
      <c r="G1634" s="78">
        <v>11.465262448314</v>
      </c>
      <c r="H1634" s="81">
        <v>11.437889399614299</v>
      </c>
    </row>
    <row r="1635" spans="1:8" x14ac:dyDescent="0.3">
      <c r="A1635" s="74" t="str">
        <f t="shared" si="25"/>
        <v>新疆46249</v>
      </c>
      <c r="B1635" s="75" t="s">
        <v>17</v>
      </c>
      <c r="C1635" s="45">
        <v>46249</v>
      </c>
      <c r="D1635" s="76">
        <v>853.02128520669203</v>
      </c>
      <c r="E1635" s="77">
        <v>125</v>
      </c>
      <c r="F1635" s="78">
        <v>11.465262448314</v>
      </c>
      <c r="G1635" s="78">
        <v>11.465262448314</v>
      </c>
      <c r="H1635" s="81">
        <v>11.437889399614299</v>
      </c>
    </row>
    <row r="1636" spans="1:8" x14ac:dyDescent="0.3">
      <c r="A1636" s="74" t="str">
        <f t="shared" si="25"/>
        <v>新疆46250</v>
      </c>
      <c r="B1636" s="75" t="s">
        <v>17</v>
      </c>
      <c r="C1636" s="45">
        <v>46250</v>
      </c>
      <c r="D1636" s="76">
        <v>853.02128520669203</v>
      </c>
      <c r="E1636" s="77">
        <v>125</v>
      </c>
      <c r="F1636" s="78">
        <v>11.465262448314</v>
      </c>
      <c r="G1636" s="78">
        <v>11.465262448314</v>
      </c>
      <c r="H1636" s="81">
        <v>11.437889399614299</v>
      </c>
    </row>
    <row r="1637" spans="1:8" x14ac:dyDescent="0.3">
      <c r="A1637" s="74" t="str">
        <f t="shared" si="25"/>
        <v>新疆46251</v>
      </c>
      <c r="B1637" s="75" t="s">
        <v>17</v>
      </c>
      <c r="C1637" s="45">
        <v>46251</v>
      </c>
      <c r="D1637" s="76">
        <v>853.02128520669203</v>
      </c>
      <c r="E1637" s="77">
        <v>125</v>
      </c>
      <c r="F1637" s="78">
        <v>11.465262448314</v>
      </c>
      <c r="G1637" s="78">
        <v>11.465262448314</v>
      </c>
      <c r="H1637" s="81">
        <v>11.437889399614299</v>
      </c>
    </row>
    <row r="1638" spans="1:8" x14ac:dyDescent="0.3">
      <c r="A1638" s="74" t="str">
        <f t="shared" si="25"/>
        <v>新疆46252</v>
      </c>
      <c r="B1638" s="75" t="s">
        <v>17</v>
      </c>
      <c r="C1638" s="45">
        <v>46252</v>
      </c>
      <c r="D1638" s="76">
        <v>853.02128520669203</v>
      </c>
      <c r="E1638" s="77">
        <v>125</v>
      </c>
      <c r="F1638" s="78">
        <v>11.465262448314</v>
      </c>
      <c r="G1638" s="78">
        <v>11.465262448314</v>
      </c>
      <c r="H1638" s="81">
        <v>11.437889399614299</v>
      </c>
    </row>
    <row r="1639" spans="1:8" x14ac:dyDescent="0.3">
      <c r="A1639" s="74" t="str">
        <f t="shared" si="25"/>
        <v>新疆46253</v>
      </c>
      <c r="B1639" s="75" t="s">
        <v>17</v>
      </c>
      <c r="C1639" s="45">
        <v>46253</v>
      </c>
      <c r="D1639" s="76">
        <v>853.02128520669203</v>
      </c>
      <c r="E1639" s="77">
        <v>125</v>
      </c>
      <c r="F1639" s="78">
        <v>11.465262448314</v>
      </c>
      <c r="G1639" s="78">
        <v>11.465262448314</v>
      </c>
      <c r="H1639" s="81">
        <v>11.437889399614299</v>
      </c>
    </row>
    <row r="1640" spans="1:8" x14ac:dyDescent="0.3">
      <c r="A1640" s="74" t="str">
        <f t="shared" si="25"/>
        <v>新疆46254</v>
      </c>
      <c r="B1640" s="75" t="s">
        <v>17</v>
      </c>
      <c r="C1640" s="45">
        <v>46254</v>
      </c>
      <c r="D1640" s="76">
        <v>853.02128520669203</v>
      </c>
      <c r="E1640" s="77">
        <v>125</v>
      </c>
      <c r="F1640" s="78">
        <v>11.465262448314</v>
      </c>
      <c r="G1640" s="78">
        <v>11.465262448314</v>
      </c>
      <c r="H1640" s="81">
        <v>11.437889399614299</v>
      </c>
    </row>
    <row r="1641" spans="1:8" x14ac:dyDescent="0.3">
      <c r="A1641" s="74" t="str">
        <f t="shared" si="25"/>
        <v>新疆46255</v>
      </c>
      <c r="B1641" s="75" t="s">
        <v>17</v>
      </c>
      <c r="C1641" s="45">
        <v>46255</v>
      </c>
      <c r="D1641" s="76">
        <v>853.02128520669203</v>
      </c>
      <c r="E1641" s="77">
        <v>125</v>
      </c>
      <c r="F1641" s="78">
        <v>11.465262448314</v>
      </c>
      <c r="G1641" s="78">
        <v>11.465262448314</v>
      </c>
      <c r="H1641" s="81">
        <v>11.437889399614299</v>
      </c>
    </row>
    <row r="1642" spans="1:8" x14ac:dyDescent="0.3">
      <c r="A1642" s="74" t="str">
        <f t="shared" si="25"/>
        <v>新疆46256</v>
      </c>
      <c r="B1642" s="75" t="s">
        <v>17</v>
      </c>
      <c r="C1642" s="45">
        <v>46256</v>
      </c>
      <c r="D1642" s="76">
        <v>853.02128520669203</v>
      </c>
      <c r="E1642" s="77">
        <v>125</v>
      </c>
      <c r="F1642" s="78">
        <v>11.465262448314</v>
      </c>
      <c r="G1642" s="78">
        <v>11.465262448314</v>
      </c>
      <c r="H1642" s="81">
        <v>11.437889399614299</v>
      </c>
    </row>
    <row r="1643" spans="1:8" x14ac:dyDescent="0.3">
      <c r="A1643" s="74" t="str">
        <f t="shared" si="25"/>
        <v>新疆46257</v>
      </c>
      <c r="B1643" s="75" t="s">
        <v>17</v>
      </c>
      <c r="C1643" s="45">
        <v>46257</v>
      </c>
      <c r="D1643" s="76">
        <v>853.02128520669203</v>
      </c>
      <c r="E1643" s="77">
        <v>125</v>
      </c>
      <c r="F1643" s="78">
        <v>11.465262448314</v>
      </c>
      <c r="G1643" s="78">
        <v>11.465262448314</v>
      </c>
      <c r="H1643" s="81">
        <v>11.437889399614299</v>
      </c>
    </row>
    <row r="1644" spans="1:8" x14ac:dyDescent="0.3">
      <c r="A1644" s="74" t="str">
        <f t="shared" si="25"/>
        <v>新疆46258</v>
      </c>
      <c r="B1644" s="75" t="s">
        <v>17</v>
      </c>
      <c r="C1644" s="45">
        <v>46258</v>
      </c>
      <c r="D1644" s="76">
        <v>853.02128520669203</v>
      </c>
      <c r="E1644" s="77">
        <v>125</v>
      </c>
      <c r="F1644" s="78">
        <v>11.465262448314</v>
      </c>
      <c r="G1644" s="78">
        <v>11.465262448314</v>
      </c>
      <c r="H1644" s="81">
        <v>11.437889399614299</v>
      </c>
    </row>
    <row r="1645" spans="1:8" x14ac:dyDescent="0.3">
      <c r="A1645" s="74" t="str">
        <f t="shared" si="25"/>
        <v>新疆46259</v>
      </c>
      <c r="B1645" s="75" t="s">
        <v>17</v>
      </c>
      <c r="C1645" s="45">
        <v>46259</v>
      </c>
      <c r="D1645" s="76">
        <v>853.02128520669203</v>
      </c>
      <c r="E1645" s="77">
        <v>125</v>
      </c>
      <c r="F1645" s="78">
        <v>11.465262448314</v>
      </c>
      <c r="G1645" s="78">
        <v>11.465262448314</v>
      </c>
      <c r="H1645" s="81">
        <v>11.437889399614299</v>
      </c>
    </row>
    <row r="1646" spans="1:8" x14ac:dyDescent="0.3">
      <c r="A1646" s="74" t="str">
        <f t="shared" si="25"/>
        <v>新疆46260</v>
      </c>
      <c r="B1646" s="75" t="s">
        <v>17</v>
      </c>
      <c r="C1646" s="45">
        <v>46260</v>
      </c>
      <c r="D1646" s="76">
        <v>853.02128520669203</v>
      </c>
      <c r="E1646" s="77">
        <v>125</v>
      </c>
      <c r="F1646" s="78">
        <v>11.465262448314</v>
      </c>
      <c r="G1646" s="78">
        <v>11.465262448314</v>
      </c>
      <c r="H1646" s="81">
        <v>11.437889399614299</v>
      </c>
    </row>
    <row r="1647" spans="1:8" x14ac:dyDescent="0.3">
      <c r="A1647" s="74" t="str">
        <f t="shared" si="25"/>
        <v>新疆46261</v>
      </c>
      <c r="B1647" s="75" t="s">
        <v>17</v>
      </c>
      <c r="C1647" s="45">
        <v>46261</v>
      </c>
      <c r="D1647" s="76">
        <v>853.02128520669203</v>
      </c>
      <c r="E1647" s="77">
        <v>125</v>
      </c>
      <c r="F1647" s="78">
        <v>11.465262448314</v>
      </c>
      <c r="G1647" s="78">
        <v>11.465262448314</v>
      </c>
      <c r="H1647" s="81">
        <v>11.437889399614299</v>
      </c>
    </row>
    <row r="1648" spans="1:8" x14ac:dyDescent="0.3">
      <c r="A1648" s="74" t="str">
        <f t="shared" si="25"/>
        <v>新疆46262</v>
      </c>
      <c r="B1648" s="75" t="s">
        <v>17</v>
      </c>
      <c r="C1648" s="45">
        <v>46262</v>
      </c>
      <c r="D1648" s="76">
        <v>853.02128520669203</v>
      </c>
      <c r="E1648" s="77">
        <v>125</v>
      </c>
      <c r="F1648" s="78">
        <v>11.465262448314</v>
      </c>
      <c r="G1648" s="78">
        <v>11.465262448314</v>
      </c>
      <c r="H1648" s="81">
        <v>11.437889399614299</v>
      </c>
    </row>
    <row r="1649" spans="1:8" x14ac:dyDescent="0.3">
      <c r="A1649" s="74" t="str">
        <f t="shared" si="25"/>
        <v>新疆46263</v>
      </c>
      <c r="B1649" s="75" t="s">
        <v>17</v>
      </c>
      <c r="C1649" s="45">
        <v>46263</v>
      </c>
      <c r="D1649" s="76">
        <v>853.02128520669203</v>
      </c>
      <c r="E1649" s="77">
        <v>125</v>
      </c>
      <c r="F1649" s="78">
        <v>11.465262448314</v>
      </c>
      <c r="G1649" s="78">
        <v>11.465262448314</v>
      </c>
      <c r="H1649" s="81">
        <v>11.437889399614299</v>
      </c>
    </row>
    <row r="1650" spans="1:8" x14ac:dyDescent="0.3">
      <c r="A1650" s="74" t="str">
        <f t="shared" si="25"/>
        <v>新疆46264</v>
      </c>
      <c r="B1650" s="75" t="s">
        <v>17</v>
      </c>
      <c r="C1650" s="45">
        <v>46264</v>
      </c>
      <c r="D1650" s="76">
        <v>853.02128520669203</v>
      </c>
      <c r="E1650" s="77">
        <v>125</v>
      </c>
      <c r="F1650" s="78">
        <v>11.465262448314</v>
      </c>
      <c r="G1650" s="78">
        <v>11.465262448314</v>
      </c>
      <c r="H1650" s="81">
        <v>11.437889399614299</v>
      </c>
    </row>
    <row r="1651" spans="1:8" x14ac:dyDescent="0.3">
      <c r="A1651" s="74" t="str">
        <f t="shared" si="25"/>
        <v>新疆46265</v>
      </c>
      <c r="B1651" s="75" t="s">
        <v>17</v>
      </c>
      <c r="C1651" s="45">
        <v>46265</v>
      </c>
      <c r="D1651" s="76">
        <v>853.02128520669203</v>
      </c>
      <c r="E1651" s="77">
        <v>125</v>
      </c>
      <c r="F1651" s="78">
        <v>11.465262448314</v>
      </c>
      <c r="G1651" s="78">
        <v>11.465262448314</v>
      </c>
      <c r="H1651" s="81">
        <v>11.437889399614299</v>
      </c>
    </row>
    <row r="1652" spans="1:8" x14ac:dyDescent="0.3">
      <c r="A1652" s="74" t="str">
        <f t="shared" si="25"/>
        <v>新疆46266</v>
      </c>
      <c r="B1652" s="75" t="s">
        <v>17</v>
      </c>
      <c r="C1652" s="45">
        <v>46266</v>
      </c>
      <c r="D1652" s="76">
        <v>779.27035842293901</v>
      </c>
      <c r="E1652" s="77">
        <v>125</v>
      </c>
      <c r="F1652" s="78">
        <v>11.7375386007831</v>
      </c>
      <c r="G1652" s="78">
        <v>11.7375386007831</v>
      </c>
      <c r="H1652" s="81">
        <v>11.9461344850623</v>
      </c>
    </row>
    <row r="1653" spans="1:8" x14ac:dyDescent="0.3">
      <c r="A1653" s="74" t="str">
        <f t="shared" si="25"/>
        <v>新疆46267</v>
      </c>
      <c r="B1653" s="75" t="s">
        <v>17</v>
      </c>
      <c r="C1653" s="45">
        <v>46267</v>
      </c>
      <c r="D1653" s="76">
        <v>779.27035842293901</v>
      </c>
      <c r="E1653" s="77">
        <v>125</v>
      </c>
      <c r="F1653" s="78">
        <v>11.7375386007831</v>
      </c>
      <c r="G1653" s="78">
        <v>11.7375386007831</v>
      </c>
      <c r="H1653" s="81">
        <v>11.9461344850623</v>
      </c>
    </row>
    <row r="1654" spans="1:8" x14ac:dyDescent="0.3">
      <c r="A1654" s="74" t="str">
        <f t="shared" si="25"/>
        <v>新疆46268</v>
      </c>
      <c r="B1654" s="75" t="s">
        <v>17</v>
      </c>
      <c r="C1654" s="45">
        <v>46268</v>
      </c>
      <c r="D1654" s="76">
        <v>779.27035842293901</v>
      </c>
      <c r="E1654" s="77">
        <v>125</v>
      </c>
      <c r="F1654" s="78">
        <v>11.7375386007831</v>
      </c>
      <c r="G1654" s="78">
        <v>11.7375386007831</v>
      </c>
      <c r="H1654" s="81">
        <v>11.9461344850623</v>
      </c>
    </row>
    <row r="1655" spans="1:8" x14ac:dyDescent="0.3">
      <c r="A1655" s="74" t="str">
        <f t="shared" si="25"/>
        <v>新疆46269</v>
      </c>
      <c r="B1655" s="75" t="s">
        <v>17</v>
      </c>
      <c r="C1655" s="45">
        <v>46269</v>
      </c>
      <c r="D1655" s="76">
        <v>779.27035842293901</v>
      </c>
      <c r="E1655" s="77">
        <v>125</v>
      </c>
      <c r="F1655" s="78">
        <v>11.7375386007831</v>
      </c>
      <c r="G1655" s="78">
        <v>11.7375386007831</v>
      </c>
      <c r="H1655" s="81">
        <v>11.9461344850623</v>
      </c>
    </row>
    <row r="1656" spans="1:8" x14ac:dyDescent="0.3">
      <c r="A1656" s="74" t="str">
        <f t="shared" si="25"/>
        <v>新疆46270</v>
      </c>
      <c r="B1656" s="75" t="s">
        <v>17</v>
      </c>
      <c r="C1656" s="45">
        <v>46270</v>
      </c>
      <c r="D1656" s="76">
        <v>779.27035842293901</v>
      </c>
      <c r="E1656" s="77">
        <v>125</v>
      </c>
      <c r="F1656" s="78">
        <v>11.7375386007831</v>
      </c>
      <c r="G1656" s="78">
        <v>11.7375386007831</v>
      </c>
      <c r="H1656" s="81">
        <v>11.9461344850623</v>
      </c>
    </row>
    <row r="1657" spans="1:8" x14ac:dyDescent="0.3">
      <c r="A1657" s="74" t="str">
        <f t="shared" si="25"/>
        <v>新疆46271</v>
      </c>
      <c r="B1657" s="75" t="s">
        <v>17</v>
      </c>
      <c r="C1657" s="45">
        <v>46271</v>
      </c>
      <c r="D1657" s="76">
        <v>779.27035842293901</v>
      </c>
      <c r="E1657" s="77">
        <v>125</v>
      </c>
      <c r="F1657" s="78">
        <v>11.7375386007831</v>
      </c>
      <c r="G1657" s="78">
        <v>11.7375386007831</v>
      </c>
      <c r="H1657" s="81">
        <v>11.9461344850623</v>
      </c>
    </row>
    <row r="1658" spans="1:8" x14ac:dyDescent="0.3">
      <c r="A1658" s="74" t="str">
        <f t="shared" si="25"/>
        <v>新疆46272</v>
      </c>
      <c r="B1658" s="75" t="s">
        <v>17</v>
      </c>
      <c r="C1658" s="45">
        <v>46272</v>
      </c>
      <c r="D1658" s="76">
        <v>779.27035842293901</v>
      </c>
      <c r="E1658" s="77">
        <v>125</v>
      </c>
      <c r="F1658" s="78">
        <v>11.7375386007831</v>
      </c>
      <c r="G1658" s="78">
        <v>11.7375386007831</v>
      </c>
      <c r="H1658" s="81">
        <v>11.9461344850623</v>
      </c>
    </row>
    <row r="1659" spans="1:8" x14ac:dyDescent="0.3">
      <c r="A1659" s="74" t="str">
        <f t="shared" si="25"/>
        <v>新疆46273</v>
      </c>
      <c r="B1659" s="75" t="s">
        <v>17</v>
      </c>
      <c r="C1659" s="45">
        <v>46273</v>
      </c>
      <c r="D1659" s="76">
        <v>779.27035842293901</v>
      </c>
      <c r="E1659" s="77">
        <v>125</v>
      </c>
      <c r="F1659" s="78">
        <v>11.7375386007831</v>
      </c>
      <c r="G1659" s="78">
        <v>11.7375386007831</v>
      </c>
      <c r="H1659" s="81">
        <v>11.9461344850623</v>
      </c>
    </row>
    <row r="1660" spans="1:8" x14ac:dyDescent="0.3">
      <c r="A1660" s="74" t="str">
        <f t="shared" si="25"/>
        <v>新疆46274</v>
      </c>
      <c r="B1660" s="75" t="s">
        <v>17</v>
      </c>
      <c r="C1660" s="45">
        <v>46274</v>
      </c>
      <c r="D1660" s="76">
        <v>779.27035842293901</v>
      </c>
      <c r="E1660" s="77">
        <v>125</v>
      </c>
      <c r="F1660" s="78">
        <v>11.7375386007831</v>
      </c>
      <c r="G1660" s="78">
        <v>11.7375386007831</v>
      </c>
      <c r="H1660" s="81">
        <v>11.9461344850623</v>
      </c>
    </row>
    <row r="1661" spans="1:8" x14ac:dyDescent="0.3">
      <c r="A1661" s="74" t="str">
        <f t="shared" si="25"/>
        <v>新疆46275</v>
      </c>
      <c r="B1661" s="75" t="s">
        <v>17</v>
      </c>
      <c r="C1661" s="45">
        <v>46275</v>
      </c>
      <c r="D1661" s="76">
        <v>779.27035842293901</v>
      </c>
      <c r="E1661" s="77">
        <v>125</v>
      </c>
      <c r="F1661" s="78">
        <v>11.7375386007831</v>
      </c>
      <c r="G1661" s="78">
        <v>11.7375386007831</v>
      </c>
      <c r="H1661" s="81">
        <v>11.9461344850623</v>
      </c>
    </row>
    <row r="1662" spans="1:8" x14ac:dyDescent="0.3">
      <c r="A1662" s="74" t="str">
        <f t="shared" si="25"/>
        <v>新疆46276</v>
      </c>
      <c r="B1662" s="75" t="s">
        <v>17</v>
      </c>
      <c r="C1662" s="45">
        <v>46276</v>
      </c>
      <c r="D1662" s="76">
        <v>779.27035842293901</v>
      </c>
      <c r="E1662" s="77">
        <v>125</v>
      </c>
      <c r="F1662" s="78">
        <v>11.7375386007831</v>
      </c>
      <c r="G1662" s="78">
        <v>11.7375386007831</v>
      </c>
      <c r="H1662" s="81">
        <v>11.9461344850623</v>
      </c>
    </row>
    <row r="1663" spans="1:8" x14ac:dyDescent="0.3">
      <c r="A1663" s="74" t="str">
        <f t="shared" si="25"/>
        <v>新疆46277</v>
      </c>
      <c r="B1663" s="75" t="s">
        <v>17</v>
      </c>
      <c r="C1663" s="45">
        <v>46277</v>
      </c>
      <c r="D1663" s="76">
        <v>779.27035842293901</v>
      </c>
      <c r="E1663" s="77">
        <v>125</v>
      </c>
      <c r="F1663" s="78">
        <v>11.7375386007831</v>
      </c>
      <c r="G1663" s="78">
        <v>11.7375386007831</v>
      </c>
      <c r="H1663" s="81">
        <v>11.9461344850623</v>
      </c>
    </row>
    <row r="1664" spans="1:8" x14ac:dyDescent="0.3">
      <c r="A1664" s="74" t="str">
        <f t="shared" si="25"/>
        <v>新疆46278</v>
      </c>
      <c r="B1664" s="75" t="s">
        <v>17</v>
      </c>
      <c r="C1664" s="45">
        <v>46278</v>
      </c>
      <c r="D1664" s="76">
        <v>779.27035842293901</v>
      </c>
      <c r="E1664" s="77">
        <v>125</v>
      </c>
      <c r="F1664" s="78">
        <v>11.7375386007831</v>
      </c>
      <c r="G1664" s="78">
        <v>11.7375386007831</v>
      </c>
      <c r="H1664" s="81">
        <v>11.9461344850623</v>
      </c>
    </row>
    <row r="1665" spans="1:8" x14ac:dyDescent="0.3">
      <c r="A1665" s="74" t="str">
        <f t="shared" si="25"/>
        <v>新疆46279</v>
      </c>
      <c r="B1665" s="75" t="s">
        <v>17</v>
      </c>
      <c r="C1665" s="45">
        <v>46279</v>
      </c>
      <c r="D1665" s="76">
        <v>779.27035842293901</v>
      </c>
      <c r="E1665" s="77">
        <v>125</v>
      </c>
      <c r="F1665" s="78">
        <v>11.7375386007831</v>
      </c>
      <c r="G1665" s="78">
        <v>11.7375386007831</v>
      </c>
      <c r="H1665" s="81">
        <v>11.9461344850623</v>
      </c>
    </row>
    <row r="1666" spans="1:8" x14ac:dyDescent="0.3">
      <c r="A1666" s="74" t="str">
        <f t="shared" si="25"/>
        <v>新疆46280</v>
      </c>
      <c r="B1666" s="75" t="s">
        <v>17</v>
      </c>
      <c r="C1666" s="45">
        <v>46280</v>
      </c>
      <c r="D1666" s="76">
        <v>779.27035842293901</v>
      </c>
      <c r="E1666" s="77">
        <v>125</v>
      </c>
      <c r="F1666" s="78">
        <v>11.7375386007831</v>
      </c>
      <c r="G1666" s="78">
        <v>11.7375386007831</v>
      </c>
      <c r="H1666" s="81">
        <v>11.9461344850623</v>
      </c>
    </row>
    <row r="1667" spans="1:8" x14ac:dyDescent="0.3">
      <c r="A1667" s="74" t="str">
        <f t="shared" ref="A1667:A1730" si="26">B1667&amp;C1667</f>
        <v>新疆46281</v>
      </c>
      <c r="B1667" s="75" t="s">
        <v>17</v>
      </c>
      <c r="C1667" s="45">
        <v>46281</v>
      </c>
      <c r="D1667" s="76">
        <v>779.27035842293901</v>
      </c>
      <c r="E1667" s="77">
        <v>125</v>
      </c>
      <c r="F1667" s="78">
        <v>11.7375386007831</v>
      </c>
      <c r="G1667" s="78">
        <v>11.7375386007831</v>
      </c>
      <c r="H1667" s="81">
        <v>11.9461344850623</v>
      </c>
    </row>
    <row r="1668" spans="1:8" x14ac:dyDescent="0.3">
      <c r="A1668" s="74" t="str">
        <f t="shared" si="26"/>
        <v>新疆46282</v>
      </c>
      <c r="B1668" s="75" t="s">
        <v>17</v>
      </c>
      <c r="C1668" s="45">
        <v>46282</v>
      </c>
      <c r="D1668" s="76">
        <v>779.27035842293901</v>
      </c>
      <c r="E1668" s="77">
        <v>125</v>
      </c>
      <c r="F1668" s="78">
        <v>11.7375386007831</v>
      </c>
      <c r="G1668" s="78">
        <v>11.7375386007831</v>
      </c>
      <c r="H1668" s="81">
        <v>11.9461344850623</v>
      </c>
    </row>
    <row r="1669" spans="1:8" x14ac:dyDescent="0.3">
      <c r="A1669" s="74" t="str">
        <f t="shared" si="26"/>
        <v>新疆46283</v>
      </c>
      <c r="B1669" s="75" t="s">
        <v>17</v>
      </c>
      <c r="C1669" s="45">
        <v>46283</v>
      </c>
      <c r="D1669" s="76">
        <v>779.27035842293901</v>
      </c>
      <c r="E1669" s="77">
        <v>125</v>
      </c>
      <c r="F1669" s="78">
        <v>11.7375386007831</v>
      </c>
      <c r="G1669" s="78">
        <v>11.7375386007831</v>
      </c>
      <c r="H1669" s="81">
        <v>11.9461344850623</v>
      </c>
    </row>
    <row r="1670" spans="1:8" x14ac:dyDescent="0.3">
      <c r="A1670" s="74" t="str">
        <f t="shared" si="26"/>
        <v>新疆46284</v>
      </c>
      <c r="B1670" s="75" t="s">
        <v>17</v>
      </c>
      <c r="C1670" s="45">
        <v>46284</v>
      </c>
      <c r="D1670" s="76">
        <v>779.27035842293901</v>
      </c>
      <c r="E1670" s="77">
        <v>125</v>
      </c>
      <c r="F1670" s="78">
        <v>11.7375386007831</v>
      </c>
      <c r="G1670" s="78">
        <v>11.7375386007831</v>
      </c>
      <c r="H1670" s="81">
        <v>11.9461344850623</v>
      </c>
    </row>
    <row r="1671" spans="1:8" x14ac:dyDescent="0.3">
      <c r="A1671" s="74" t="str">
        <f t="shared" si="26"/>
        <v>新疆46285</v>
      </c>
      <c r="B1671" s="75" t="s">
        <v>17</v>
      </c>
      <c r="C1671" s="45">
        <v>46285</v>
      </c>
      <c r="D1671" s="76">
        <v>779.27035842293901</v>
      </c>
      <c r="E1671" s="77">
        <v>125</v>
      </c>
      <c r="F1671" s="78">
        <v>11.7375386007831</v>
      </c>
      <c r="G1671" s="78">
        <v>11.7375386007831</v>
      </c>
      <c r="H1671" s="81">
        <v>11.9461344850623</v>
      </c>
    </row>
    <row r="1672" spans="1:8" x14ac:dyDescent="0.3">
      <c r="A1672" s="74" t="str">
        <f t="shared" si="26"/>
        <v>新疆46286</v>
      </c>
      <c r="B1672" s="75" t="s">
        <v>17</v>
      </c>
      <c r="C1672" s="45">
        <v>46286</v>
      </c>
      <c r="D1672" s="76">
        <v>779.27035842293901</v>
      </c>
      <c r="E1672" s="77">
        <v>125</v>
      </c>
      <c r="F1672" s="78">
        <v>11.7375386007831</v>
      </c>
      <c r="G1672" s="78">
        <v>11.7375386007831</v>
      </c>
      <c r="H1672" s="81">
        <v>11.9461344850623</v>
      </c>
    </row>
    <row r="1673" spans="1:8" x14ac:dyDescent="0.3">
      <c r="A1673" s="74" t="str">
        <f t="shared" si="26"/>
        <v>新疆46287</v>
      </c>
      <c r="B1673" s="75" t="s">
        <v>17</v>
      </c>
      <c r="C1673" s="45">
        <v>46287</v>
      </c>
      <c r="D1673" s="76">
        <v>779.27035842293901</v>
      </c>
      <c r="E1673" s="77">
        <v>125</v>
      </c>
      <c r="F1673" s="78">
        <v>11.7375386007831</v>
      </c>
      <c r="G1673" s="78">
        <v>11.7375386007831</v>
      </c>
      <c r="H1673" s="81">
        <v>11.9461344850623</v>
      </c>
    </row>
    <row r="1674" spans="1:8" x14ac:dyDescent="0.3">
      <c r="A1674" s="74" t="str">
        <f t="shared" si="26"/>
        <v>新疆46288</v>
      </c>
      <c r="B1674" s="75" t="s">
        <v>17</v>
      </c>
      <c r="C1674" s="45">
        <v>46288</v>
      </c>
      <c r="D1674" s="76">
        <v>779.27035842293901</v>
      </c>
      <c r="E1674" s="77">
        <v>125</v>
      </c>
      <c r="F1674" s="78">
        <v>11.7375386007831</v>
      </c>
      <c r="G1674" s="78">
        <v>11.7375386007831</v>
      </c>
      <c r="H1674" s="81">
        <v>11.9461344850623</v>
      </c>
    </row>
    <row r="1675" spans="1:8" x14ac:dyDescent="0.3">
      <c r="A1675" s="74" t="str">
        <f t="shared" si="26"/>
        <v>新疆46289</v>
      </c>
      <c r="B1675" s="75" t="s">
        <v>17</v>
      </c>
      <c r="C1675" s="45">
        <v>46289</v>
      </c>
      <c r="D1675" s="76">
        <v>779.27035842293901</v>
      </c>
      <c r="E1675" s="77">
        <v>125</v>
      </c>
      <c r="F1675" s="78">
        <v>11.7375386007831</v>
      </c>
      <c r="G1675" s="78">
        <v>11.7375386007831</v>
      </c>
      <c r="H1675" s="81">
        <v>11.9461344850623</v>
      </c>
    </row>
    <row r="1676" spans="1:8" x14ac:dyDescent="0.3">
      <c r="A1676" s="74" t="str">
        <f t="shared" si="26"/>
        <v>新疆46290</v>
      </c>
      <c r="B1676" s="75" t="s">
        <v>17</v>
      </c>
      <c r="C1676" s="45">
        <v>46290</v>
      </c>
      <c r="D1676" s="76">
        <v>779.27035842293901</v>
      </c>
      <c r="E1676" s="77">
        <v>125</v>
      </c>
      <c r="F1676" s="78">
        <v>11.7375386007831</v>
      </c>
      <c r="G1676" s="78">
        <v>11.7375386007831</v>
      </c>
      <c r="H1676" s="81">
        <v>11.9461344850623</v>
      </c>
    </row>
    <row r="1677" spans="1:8" x14ac:dyDescent="0.3">
      <c r="A1677" s="74" t="str">
        <f t="shared" si="26"/>
        <v>新疆46291</v>
      </c>
      <c r="B1677" s="75" t="s">
        <v>17</v>
      </c>
      <c r="C1677" s="45">
        <v>46291</v>
      </c>
      <c r="D1677" s="76">
        <v>779.27035842293901</v>
      </c>
      <c r="E1677" s="77">
        <v>125</v>
      </c>
      <c r="F1677" s="78">
        <v>11.7375386007831</v>
      </c>
      <c r="G1677" s="78">
        <v>11.7375386007831</v>
      </c>
      <c r="H1677" s="81">
        <v>11.9461344850623</v>
      </c>
    </row>
    <row r="1678" spans="1:8" x14ac:dyDescent="0.3">
      <c r="A1678" s="74" t="str">
        <f t="shared" si="26"/>
        <v>新疆46292</v>
      </c>
      <c r="B1678" s="75" t="s">
        <v>17</v>
      </c>
      <c r="C1678" s="45">
        <v>46292</v>
      </c>
      <c r="D1678" s="76">
        <v>779.27035842293901</v>
      </c>
      <c r="E1678" s="77">
        <v>125</v>
      </c>
      <c r="F1678" s="78">
        <v>11.7375386007831</v>
      </c>
      <c r="G1678" s="78">
        <v>11.7375386007831</v>
      </c>
      <c r="H1678" s="81">
        <v>11.9461344850623</v>
      </c>
    </row>
    <row r="1679" spans="1:8" x14ac:dyDescent="0.3">
      <c r="A1679" s="74" t="str">
        <f t="shared" si="26"/>
        <v>新疆46293</v>
      </c>
      <c r="B1679" s="75" t="s">
        <v>17</v>
      </c>
      <c r="C1679" s="45">
        <v>46293</v>
      </c>
      <c r="D1679" s="76">
        <v>779.27035842293901</v>
      </c>
      <c r="E1679" s="77">
        <v>125</v>
      </c>
      <c r="F1679" s="78">
        <v>11.7375386007831</v>
      </c>
      <c r="G1679" s="78">
        <v>11.7375386007831</v>
      </c>
      <c r="H1679" s="81">
        <v>11.9461344850623</v>
      </c>
    </row>
    <row r="1680" spans="1:8" x14ac:dyDescent="0.3">
      <c r="A1680" s="74" t="str">
        <f t="shared" si="26"/>
        <v>新疆46294</v>
      </c>
      <c r="B1680" s="75" t="s">
        <v>17</v>
      </c>
      <c r="C1680" s="45">
        <v>46294</v>
      </c>
      <c r="D1680" s="76">
        <v>779.27035842293901</v>
      </c>
      <c r="E1680" s="77">
        <v>125</v>
      </c>
      <c r="F1680" s="78">
        <v>11.7375386007831</v>
      </c>
      <c r="G1680" s="78">
        <v>11.7375386007831</v>
      </c>
      <c r="H1680" s="81">
        <v>11.9461344850623</v>
      </c>
    </row>
    <row r="1681" spans="1:8" x14ac:dyDescent="0.3">
      <c r="A1681" s="74" t="str">
        <f t="shared" si="26"/>
        <v>新疆46295</v>
      </c>
      <c r="B1681" s="75" t="s">
        <v>17</v>
      </c>
      <c r="C1681" s="45">
        <v>46295</v>
      </c>
      <c r="D1681" s="76">
        <v>779.27035842293901</v>
      </c>
      <c r="E1681" s="77">
        <v>125</v>
      </c>
      <c r="F1681" s="78">
        <v>11.7375386007831</v>
      </c>
      <c r="G1681" s="78">
        <v>11.7375386007831</v>
      </c>
      <c r="H1681" s="81">
        <v>11.9461344850623</v>
      </c>
    </row>
    <row r="1682" spans="1:8" x14ac:dyDescent="0.3">
      <c r="A1682" s="74" t="str">
        <f t="shared" si="26"/>
        <v>新疆46296</v>
      </c>
      <c r="B1682" s="75" t="s">
        <v>17</v>
      </c>
      <c r="C1682" s="45">
        <v>46296</v>
      </c>
      <c r="D1682" s="76">
        <v>802.70706093189995</v>
      </c>
      <c r="E1682" s="77">
        <v>125</v>
      </c>
      <c r="F1682" s="78">
        <v>11.9383405636412</v>
      </c>
      <c r="G1682" s="78">
        <v>11.9383405636412</v>
      </c>
      <c r="H1682" s="81">
        <v>12.017383796106399</v>
      </c>
    </row>
    <row r="1683" spans="1:8" x14ac:dyDescent="0.3">
      <c r="A1683" s="74" t="str">
        <f t="shared" si="26"/>
        <v>新疆46297</v>
      </c>
      <c r="B1683" s="75" t="s">
        <v>17</v>
      </c>
      <c r="C1683" s="45">
        <v>46297</v>
      </c>
      <c r="D1683" s="76">
        <v>802.70706093189995</v>
      </c>
      <c r="E1683" s="77">
        <v>125</v>
      </c>
      <c r="F1683" s="78">
        <v>11.9383405636412</v>
      </c>
      <c r="G1683" s="78">
        <v>11.9383405636412</v>
      </c>
      <c r="H1683" s="81">
        <v>12.017383796106399</v>
      </c>
    </row>
    <row r="1684" spans="1:8" x14ac:dyDescent="0.3">
      <c r="A1684" s="74" t="str">
        <f t="shared" si="26"/>
        <v>新疆46298</v>
      </c>
      <c r="B1684" s="75" t="s">
        <v>17</v>
      </c>
      <c r="C1684" s="45">
        <v>46298</v>
      </c>
      <c r="D1684" s="76">
        <v>802.70706093189995</v>
      </c>
      <c r="E1684" s="77">
        <v>125</v>
      </c>
      <c r="F1684" s="78">
        <v>11.9383405636412</v>
      </c>
      <c r="G1684" s="78">
        <v>11.9383405636412</v>
      </c>
      <c r="H1684" s="81">
        <v>12.017383796106399</v>
      </c>
    </row>
    <row r="1685" spans="1:8" x14ac:dyDescent="0.3">
      <c r="A1685" s="74" t="str">
        <f t="shared" si="26"/>
        <v>新疆46299</v>
      </c>
      <c r="B1685" s="75" t="s">
        <v>17</v>
      </c>
      <c r="C1685" s="45">
        <v>46299</v>
      </c>
      <c r="D1685" s="76">
        <v>802.70706093189995</v>
      </c>
      <c r="E1685" s="77">
        <v>125</v>
      </c>
      <c r="F1685" s="78">
        <v>11.9383405636412</v>
      </c>
      <c r="G1685" s="78">
        <v>11.9383405636412</v>
      </c>
      <c r="H1685" s="81">
        <v>12.017383796106399</v>
      </c>
    </row>
    <row r="1686" spans="1:8" x14ac:dyDescent="0.3">
      <c r="A1686" s="74" t="str">
        <f t="shared" si="26"/>
        <v>新疆46300</v>
      </c>
      <c r="B1686" s="75" t="s">
        <v>17</v>
      </c>
      <c r="C1686" s="45">
        <v>46300</v>
      </c>
      <c r="D1686" s="76">
        <v>802.70706093189995</v>
      </c>
      <c r="E1686" s="77">
        <v>125</v>
      </c>
      <c r="F1686" s="78">
        <v>11.9383405636412</v>
      </c>
      <c r="G1686" s="78">
        <v>11.9383405636412</v>
      </c>
      <c r="H1686" s="81">
        <v>12.017383796106399</v>
      </c>
    </row>
    <row r="1687" spans="1:8" x14ac:dyDescent="0.3">
      <c r="A1687" s="74" t="str">
        <f t="shared" si="26"/>
        <v>新疆46301</v>
      </c>
      <c r="B1687" s="75" t="s">
        <v>17</v>
      </c>
      <c r="C1687" s="45">
        <v>46301</v>
      </c>
      <c r="D1687" s="76">
        <v>802.70706093189995</v>
      </c>
      <c r="E1687" s="77">
        <v>125</v>
      </c>
      <c r="F1687" s="78">
        <v>11.9383405636412</v>
      </c>
      <c r="G1687" s="78">
        <v>11.9383405636412</v>
      </c>
      <c r="H1687" s="81">
        <v>12.017383796106399</v>
      </c>
    </row>
    <row r="1688" spans="1:8" x14ac:dyDescent="0.3">
      <c r="A1688" s="74" t="str">
        <f t="shared" si="26"/>
        <v>新疆46302</v>
      </c>
      <c r="B1688" s="75" t="s">
        <v>17</v>
      </c>
      <c r="C1688" s="45">
        <v>46302</v>
      </c>
      <c r="D1688" s="76">
        <v>802.70706093189995</v>
      </c>
      <c r="E1688" s="77">
        <v>125</v>
      </c>
      <c r="F1688" s="78">
        <v>11.9383405636412</v>
      </c>
      <c r="G1688" s="78">
        <v>11.9383405636412</v>
      </c>
      <c r="H1688" s="81">
        <v>12.017383796106399</v>
      </c>
    </row>
    <row r="1689" spans="1:8" x14ac:dyDescent="0.3">
      <c r="A1689" s="74" t="str">
        <f t="shared" si="26"/>
        <v>新疆46303</v>
      </c>
      <c r="B1689" s="75" t="s">
        <v>17</v>
      </c>
      <c r="C1689" s="45">
        <v>46303</v>
      </c>
      <c r="D1689" s="76">
        <v>802.70706093189995</v>
      </c>
      <c r="E1689" s="77">
        <v>125</v>
      </c>
      <c r="F1689" s="78">
        <v>11.9383405636412</v>
      </c>
      <c r="G1689" s="78">
        <v>11.9383405636412</v>
      </c>
      <c r="H1689" s="81">
        <v>12.017383796106399</v>
      </c>
    </row>
    <row r="1690" spans="1:8" x14ac:dyDescent="0.3">
      <c r="A1690" s="74" t="str">
        <f t="shared" si="26"/>
        <v>新疆46304</v>
      </c>
      <c r="B1690" s="75" t="s">
        <v>17</v>
      </c>
      <c r="C1690" s="45">
        <v>46304</v>
      </c>
      <c r="D1690" s="76">
        <v>802.70706093189995</v>
      </c>
      <c r="E1690" s="77">
        <v>125</v>
      </c>
      <c r="F1690" s="78">
        <v>11.9383405636412</v>
      </c>
      <c r="G1690" s="78">
        <v>11.9383405636412</v>
      </c>
      <c r="H1690" s="81">
        <v>12.017383796106399</v>
      </c>
    </row>
    <row r="1691" spans="1:8" x14ac:dyDescent="0.3">
      <c r="A1691" s="74" t="str">
        <f t="shared" si="26"/>
        <v>新疆46305</v>
      </c>
      <c r="B1691" s="75" t="s">
        <v>17</v>
      </c>
      <c r="C1691" s="45">
        <v>46305</v>
      </c>
      <c r="D1691" s="76">
        <v>802.70706093189995</v>
      </c>
      <c r="E1691" s="77">
        <v>125</v>
      </c>
      <c r="F1691" s="78">
        <v>11.9383405636412</v>
      </c>
      <c r="G1691" s="78">
        <v>11.9383405636412</v>
      </c>
      <c r="H1691" s="81">
        <v>12.017383796106399</v>
      </c>
    </row>
    <row r="1692" spans="1:8" x14ac:dyDescent="0.3">
      <c r="A1692" s="74" t="str">
        <f t="shared" si="26"/>
        <v>新疆46306</v>
      </c>
      <c r="B1692" s="75" t="s">
        <v>17</v>
      </c>
      <c r="C1692" s="45">
        <v>46306</v>
      </c>
      <c r="D1692" s="76">
        <v>802.70706093189995</v>
      </c>
      <c r="E1692" s="77">
        <v>125</v>
      </c>
      <c r="F1692" s="78">
        <v>11.9383405636412</v>
      </c>
      <c r="G1692" s="78">
        <v>11.9383405636412</v>
      </c>
      <c r="H1692" s="81">
        <v>12.017383796106399</v>
      </c>
    </row>
    <row r="1693" spans="1:8" x14ac:dyDescent="0.3">
      <c r="A1693" s="74" t="str">
        <f t="shared" si="26"/>
        <v>新疆46307</v>
      </c>
      <c r="B1693" s="75" t="s">
        <v>17</v>
      </c>
      <c r="C1693" s="45">
        <v>46307</v>
      </c>
      <c r="D1693" s="76">
        <v>802.70706093189995</v>
      </c>
      <c r="E1693" s="77">
        <v>125</v>
      </c>
      <c r="F1693" s="78">
        <v>11.9383405636412</v>
      </c>
      <c r="G1693" s="78">
        <v>11.9383405636412</v>
      </c>
      <c r="H1693" s="81">
        <v>12.017383796106399</v>
      </c>
    </row>
    <row r="1694" spans="1:8" x14ac:dyDescent="0.3">
      <c r="A1694" s="74" t="str">
        <f t="shared" si="26"/>
        <v>新疆46308</v>
      </c>
      <c r="B1694" s="75" t="s">
        <v>17</v>
      </c>
      <c r="C1694" s="45">
        <v>46308</v>
      </c>
      <c r="D1694" s="76">
        <v>802.70706093189995</v>
      </c>
      <c r="E1694" s="77">
        <v>125</v>
      </c>
      <c r="F1694" s="78">
        <v>11.9383405636412</v>
      </c>
      <c r="G1694" s="78">
        <v>11.9383405636412</v>
      </c>
      <c r="H1694" s="81">
        <v>12.017383796106399</v>
      </c>
    </row>
    <row r="1695" spans="1:8" x14ac:dyDescent="0.3">
      <c r="A1695" s="74" t="str">
        <f t="shared" si="26"/>
        <v>新疆46309</v>
      </c>
      <c r="B1695" s="75" t="s">
        <v>17</v>
      </c>
      <c r="C1695" s="45">
        <v>46309</v>
      </c>
      <c r="D1695" s="76">
        <v>802.70706093189995</v>
      </c>
      <c r="E1695" s="77">
        <v>125</v>
      </c>
      <c r="F1695" s="78">
        <v>11.9383405636412</v>
      </c>
      <c r="G1695" s="78">
        <v>11.9383405636412</v>
      </c>
      <c r="H1695" s="81">
        <v>12.017383796106399</v>
      </c>
    </row>
    <row r="1696" spans="1:8" x14ac:dyDescent="0.3">
      <c r="A1696" s="74" t="str">
        <f t="shared" si="26"/>
        <v>新疆46310</v>
      </c>
      <c r="B1696" s="75" t="s">
        <v>17</v>
      </c>
      <c r="C1696" s="45">
        <v>46310</v>
      </c>
      <c r="D1696" s="76">
        <v>802.70706093189995</v>
      </c>
      <c r="E1696" s="77">
        <v>125</v>
      </c>
      <c r="F1696" s="78">
        <v>11.9383405636412</v>
      </c>
      <c r="G1696" s="78">
        <v>11.9383405636412</v>
      </c>
      <c r="H1696" s="81">
        <v>12.017383796106399</v>
      </c>
    </row>
    <row r="1697" spans="1:8" x14ac:dyDescent="0.3">
      <c r="A1697" s="74" t="str">
        <f t="shared" si="26"/>
        <v>新疆46311</v>
      </c>
      <c r="B1697" s="75" t="s">
        <v>17</v>
      </c>
      <c r="C1697" s="45">
        <v>46311</v>
      </c>
      <c r="D1697" s="76">
        <v>802.70706093189995</v>
      </c>
      <c r="E1697" s="77">
        <v>125</v>
      </c>
      <c r="F1697" s="78">
        <v>11.9383405636412</v>
      </c>
      <c r="G1697" s="78">
        <v>11.9383405636412</v>
      </c>
      <c r="H1697" s="81">
        <v>12.017383796106399</v>
      </c>
    </row>
    <row r="1698" spans="1:8" x14ac:dyDescent="0.3">
      <c r="A1698" s="74" t="str">
        <f t="shared" si="26"/>
        <v>新疆46312</v>
      </c>
      <c r="B1698" s="75" t="s">
        <v>17</v>
      </c>
      <c r="C1698" s="45">
        <v>46312</v>
      </c>
      <c r="D1698" s="76">
        <v>802.70706093189995</v>
      </c>
      <c r="E1698" s="77">
        <v>125</v>
      </c>
      <c r="F1698" s="78">
        <v>11.9383405636412</v>
      </c>
      <c r="G1698" s="78">
        <v>11.9383405636412</v>
      </c>
      <c r="H1698" s="81">
        <v>12.017383796106399</v>
      </c>
    </row>
    <row r="1699" spans="1:8" x14ac:dyDescent="0.3">
      <c r="A1699" s="74" t="str">
        <f t="shared" si="26"/>
        <v>新疆46313</v>
      </c>
      <c r="B1699" s="75" t="s">
        <v>17</v>
      </c>
      <c r="C1699" s="45">
        <v>46313</v>
      </c>
      <c r="D1699" s="76">
        <v>802.70706093189995</v>
      </c>
      <c r="E1699" s="77">
        <v>125</v>
      </c>
      <c r="F1699" s="78">
        <v>11.9383405636412</v>
      </c>
      <c r="G1699" s="78">
        <v>11.9383405636412</v>
      </c>
      <c r="H1699" s="81">
        <v>12.017383796106399</v>
      </c>
    </row>
    <row r="1700" spans="1:8" x14ac:dyDescent="0.3">
      <c r="A1700" s="74" t="str">
        <f t="shared" si="26"/>
        <v>新疆46314</v>
      </c>
      <c r="B1700" s="75" t="s">
        <v>17</v>
      </c>
      <c r="C1700" s="45">
        <v>46314</v>
      </c>
      <c r="D1700" s="76">
        <v>802.70706093189995</v>
      </c>
      <c r="E1700" s="77">
        <v>125</v>
      </c>
      <c r="F1700" s="78">
        <v>11.9383405636412</v>
      </c>
      <c r="G1700" s="78">
        <v>11.9383405636412</v>
      </c>
      <c r="H1700" s="81">
        <v>12.017383796106399</v>
      </c>
    </row>
    <row r="1701" spans="1:8" x14ac:dyDescent="0.3">
      <c r="A1701" s="74" t="str">
        <f t="shared" si="26"/>
        <v>新疆46315</v>
      </c>
      <c r="B1701" s="75" t="s">
        <v>17</v>
      </c>
      <c r="C1701" s="45">
        <v>46315</v>
      </c>
      <c r="D1701" s="76">
        <v>802.70706093189995</v>
      </c>
      <c r="E1701" s="77">
        <v>125</v>
      </c>
      <c r="F1701" s="78">
        <v>11.9383405636412</v>
      </c>
      <c r="G1701" s="78">
        <v>11.9383405636412</v>
      </c>
      <c r="H1701" s="81">
        <v>12.017383796106399</v>
      </c>
    </row>
    <row r="1702" spans="1:8" x14ac:dyDescent="0.3">
      <c r="A1702" s="74" t="str">
        <f t="shared" si="26"/>
        <v>新疆46316</v>
      </c>
      <c r="B1702" s="75" t="s">
        <v>17</v>
      </c>
      <c r="C1702" s="45">
        <v>46316</v>
      </c>
      <c r="D1702" s="76">
        <v>802.70706093189995</v>
      </c>
      <c r="E1702" s="77">
        <v>125</v>
      </c>
      <c r="F1702" s="78">
        <v>11.9383405636412</v>
      </c>
      <c r="G1702" s="78">
        <v>11.9383405636412</v>
      </c>
      <c r="H1702" s="81">
        <v>12.017383796106399</v>
      </c>
    </row>
    <row r="1703" spans="1:8" x14ac:dyDescent="0.3">
      <c r="A1703" s="74" t="str">
        <f t="shared" si="26"/>
        <v>新疆46317</v>
      </c>
      <c r="B1703" s="75" t="s">
        <v>17</v>
      </c>
      <c r="C1703" s="45">
        <v>46317</v>
      </c>
      <c r="D1703" s="76">
        <v>802.70706093189995</v>
      </c>
      <c r="E1703" s="77">
        <v>125</v>
      </c>
      <c r="F1703" s="78">
        <v>11.9383405636412</v>
      </c>
      <c r="G1703" s="78">
        <v>11.9383405636412</v>
      </c>
      <c r="H1703" s="81">
        <v>12.017383796106399</v>
      </c>
    </row>
    <row r="1704" spans="1:8" x14ac:dyDescent="0.3">
      <c r="A1704" s="74" t="str">
        <f t="shared" si="26"/>
        <v>新疆46318</v>
      </c>
      <c r="B1704" s="75" t="s">
        <v>17</v>
      </c>
      <c r="C1704" s="45">
        <v>46318</v>
      </c>
      <c r="D1704" s="76">
        <v>802.70706093189995</v>
      </c>
      <c r="E1704" s="77">
        <v>125</v>
      </c>
      <c r="F1704" s="78">
        <v>11.9383405636412</v>
      </c>
      <c r="G1704" s="78">
        <v>11.9383405636412</v>
      </c>
      <c r="H1704" s="81">
        <v>12.017383796106399</v>
      </c>
    </row>
    <row r="1705" spans="1:8" x14ac:dyDescent="0.3">
      <c r="A1705" s="74" t="str">
        <f t="shared" si="26"/>
        <v>新疆46319</v>
      </c>
      <c r="B1705" s="75" t="s">
        <v>17</v>
      </c>
      <c r="C1705" s="45">
        <v>46319</v>
      </c>
      <c r="D1705" s="76">
        <v>802.70706093189995</v>
      </c>
      <c r="E1705" s="77">
        <v>125</v>
      </c>
      <c r="F1705" s="78">
        <v>11.9383405636412</v>
      </c>
      <c r="G1705" s="78">
        <v>11.9383405636412</v>
      </c>
      <c r="H1705" s="81">
        <v>12.017383796106399</v>
      </c>
    </row>
    <row r="1706" spans="1:8" x14ac:dyDescent="0.3">
      <c r="A1706" s="74" t="str">
        <f t="shared" si="26"/>
        <v>新疆46320</v>
      </c>
      <c r="B1706" s="75" t="s">
        <v>17</v>
      </c>
      <c r="C1706" s="45">
        <v>46320</v>
      </c>
      <c r="D1706" s="76">
        <v>802.70706093189995</v>
      </c>
      <c r="E1706" s="77">
        <v>125</v>
      </c>
      <c r="F1706" s="78">
        <v>11.9383405636412</v>
      </c>
      <c r="G1706" s="78">
        <v>11.9383405636412</v>
      </c>
      <c r="H1706" s="81">
        <v>12.017383796106399</v>
      </c>
    </row>
    <row r="1707" spans="1:8" x14ac:dyDescent="0.3">
      <c r="A1707" s="74" t="str">
        <f t="shared" si="26"/>
        <v>新疆46321</v>
      </c>
      <c r="B1707" s="75" t="s">
        <v>17</v>
      </c>
      <c r="C1707" s="45">
        <v>46321</v>
      </c>
      <c r="D1707" s="76">
        <v>802.70706093189995</v>
      </c>
      <c r="E1707" s="77">
        <v>125</v>
      </c>
      <c r="F1707" s="78">
        <v>11.9383405636412</v>
      </c>
      <c r="G1707" s="78">
        <v>11.9383405636412</v>
      </c>
      <c r="H1707" s="81">
        <v>12.017383796106399</v>
      </c>
    </row>
    <row r="1708" spans="1:8" x14ac:dyDescent="0.3">
      <c r="A1708" s="74" t="str">
        <f t="shared" si="26"/>
        <v>新疆46322</v>
      </c>
      <c r="B1708" s="75" t="s">
        <v>17</v>
      </c>
      <c r="C1708" s="45">
        <v>46322</v>
      </c>
      <c r="D1708" s="76">
        <v>802.70706093189995</v>
      </c>
      <c r="E1708" s="77">
        <v>125</v>
      </c>
      <c r="F1708" s="78">
        <v>11.9383405636412</v>
      </c>
      <c r="G1708" s="78">
        <v>11.9383405636412</v>
      </c>
      <c r="H1708" s="81">
        <v>12.017383796106399</v>
      </c>
    </row>
    <row r="1709" spans="1:8" x14ac:dyDescent="0.3">
      <c r="A1709" s="74" t="str">
        <f t="shared" si="26"/>
        <v>新疆46323</v>
      </c>
      <c r="B1709" s="75" t="s">
        <v>17</v>
      </c>
      <c r="C1709" s="45">
        <v>46323</v>
      </c>
      <c r="D1709" s="76">
        <v>802.70706093189995</v>
      </c>
      <c r="E1709" s="77">
        <v>125</v>
      </c>
      <c r="F1709" s="78">
        <v>11.9383405636412</v>
      </c>
      <c r="G1709" s="78">
        <v>11.9383405636412</v>
      </c>
      <c r="H1709" s="81">
        <v>12.017383796106399</v>
      </c>
    </row>
    <row r="1710" spans="1:8" x14ac:dyDescent="0.3">
      <c r="A1710" s="74" t="str">
        <f t="shared" si="26"/>
        <v>新疆46324</v>
      </c>
      <c r="B1710" s="75" t="s">
        <v>17</v>
      </c>
      <c r="C1710" s="45">
        <v>46324</v>
      </c>
      <c r="D1710" s="76">
        <v>802.70706093189995</v>
      </c>
      <c r="E1710" s="77">
        <v>125</v>
      </c>
      <c r="F1710" s="78">
        <v>11.9383405636412</v>
      </c>
      <c r="G1710" s="78">
        <v>11.9383405636412</v>
      </c>
      <c r="H1710" s="81">
        <v>12.017383796106399</v>
      </c>
    </row>
    <row r="1711" spans="1:8" x14ac:dyDescent="0.3">
      <c r="A1711" s="74" t="str">
        <f t="shared" si="26"/>
        <v>新疆46325</v>
      </c>
      <c r="B1711" s="75" t="s">
        <v>17</v>
      </c>
      <c r="C1711" s="45">
        <v>46325</v>
      </c>
      <c r="D1711" s="76">
        <v>802.70706093189995</v>
      </c>
      <c r="E1711" s="77">
        <v>125</v>
      </c>
      <c r="F1711" s="78">
        <v>11.9383405636412</v>
      </c>
      <c r="G1711" s="78">
        <v>11.9383405636412</v>
      </c>
      <c r="H1711" s="81">
        <v>12.017383796106399</v>
      </c>
    </row>
    <row r="1712" spans="1:8" x14ac:dyDescent="0.3">
      <c r="A1712" s="74" t="str">
        <f t="shared" si="26"/>
        <v>新疆46326</v>
      </c>
      <c r="B1712" s="75" t="s">
        <v>17</v>
      </c>
      <c r="C1712" s="45">
        <v>46326</v>
      </c>
      <c r="D1712" s="76">
        <v>802.70706093189995</v>
      </c>
      <c r="E1712" s="77">
        <v>125</v>
      </c>
      <c r="F1712" s="78">
        <v>11.9383405636412</v>
      </c>
      <c r="G1712" s="78">
        <v>11.9383405636412</v>
      </c>
      <c r="H1712" s="81">
        <v>12.017383796106399</v>
      </c>
    </row>
    <row r="1713" spans="1:8" x14ac:dyDescent="0.3">
      <c r="A1713" s="74" t="str">
        <f t="shared" si="26"/>
        <v>新疆46327</v>
      </c>
      <c r="B1713" s="75" t="s">
        <v>17</v>
      </c>
      <c r="C1713" s="45">
        <v>46327</v>
      </c>
      <c r="D1713" s="76">
        <v>754.15960573476696</v>
      </c>
      <c r="E1713" s="77">
        <v>125</v>
      </c>
      <c r="F1713" s="78">
        <v>12.2151466281388</v>
      </c>
      <c r="G1713" s="78">
        <v>12.2151466281388</v>
      </c>
      <c r="H1713" s="81">
        <v>12.0886331071505</v>
      </c>
    </row>
    <row r="1714" spans="1:8" x14ac:dyDescent="0.3">
      <c r="A1714" s="74" t="str">
        <f t="shared" si="26"/>
        <v>新疆46328</v>
      </c>
      <c r="B1714" s="75" t="s">
        <v>17</v>
      </c>
      <c r="C1714" s="45">
        <v>46328</v>
      </c>
      <c r="D1714" s="76">
        <v>754.15960573476696</v>
      </c>
      <c r="E1714" s="77">
        <v>125</v>
      </c>
      <c r="F1714" s="78">
        <v>12.2151466281388</v>
      </c>
      <c r="G1714" s="78">
        <v>12.2151466281388</v>
      </c>
      <c r="H1714" s="81">
        <v>12.0886331071505</v>
      </c>
    </row>
    <row r="1715" spans="1:8" x14ac:dyDescent="0.3">
      <c r="A1715" s="74" t="str">
        <f t="shared" si="26"/>
        <v>新疆46329</v>
      </c>
      <c r="B1715" s="75" t="s">
        <v>17</v>
      </c>
      <c r="C1715" s="45">
        <v>46329</v>
      </c>
      <c r="D1715" s="76">
        <v>754.15960573476696</v>
      </c>
      <c r="E1715" s="77">
        <v>125</v>
      </c>
      <c r="F1715" s="78">
        <v>12.2151466281388</v>
      </c>
      <c r="G1715" s="78">
        <v>12.2151466281388</v>
      </c>
      <c r="H1715" s="81">
        <v>12.0886331071505</v>
      </c>
    </row>
    <row r="1716" spans="1:8" x14ac:dyDescent="0.3">
      <c r="A1716" s="74" t="str">
        <f t="shared" si="26"/>
        <v>新疆46330</v>
      </c>
      <c r="B1716" s="75" t="s">
        <v>17</v>
      </c>
      <c r="C1716" s="45">
        <v>46330</v>
      </c>
      <c r="D1716" s="76">
        <v>754.15960573476696</v>
      </c>
      <c r="E1716" s="77">
        <v>125</v>
      </c>
      <c r="F1716" s="78">
        <v>12.2151466281388</v>
      </c>
      <c r="G1716" s="78">
        <v>12.2151466281388</v>
      </c>
      <c r="H1716" s="81">
        <v>12.0886331071505</v>
      </c>
    </row>
    <row r="1717" spans="1:8" x14ac:dyDescent="0.3">
      <c r="A1717" s="74" t="str">
        <f t="shared" si="26"/>
        <v>新疆46331</v>
      </c>
      <c r="B1717" s="75" t="s">
        <v>17</v>
      </c>
      <c r="C1717" s="45">
        <v>46331</v>
      </c>
      <c r="D1717" s="76">
        <v>754.15960573476696</v>
      </c>
      <c r="E1717" s="77">
        <v>125</v>
      </c>
      <c r="F1717" s="78">
        <v>12.2151466281388</v>
      </c>
      <c r="G1717" s="78">
        <v>12.2151466281388</v>
      </c>
      <c r="H1717" s="81">
        <v>12.0886331071505</v>
      </c>
    </row>
    <row r="1718" spans="1:8" x14ac:dyDescent="0.3">
      <c r="A1718" s="74" t="str">
        <f t="shared" si="26"/>
        <v>新疆46332</v>
      </c>
      <c r="B1718" s="75" t="s">
        <v>17</v>
      </c>
      <c r="C1718" s="45">
        <v>46332</v>
      </c>
      <c r="D1718" s="76">
        <v>754.15960573476696</v>
      </c>
      <c r="E1718" s="77">
        <v>125</v>
      </c>
      <c r="F1718" s="78">
        <v>12.2151466281388</v>
      </c>
      <c r="G1718" s="78">
        <v>12.2151466281388</v>
      </c>
      <c r="H1718" s="81">
        <v>12.0886331071505</v>
      </c>
    </row>
    <row r="1719" spans="1:8" x14ac:dyDescent="0.3">
      <c r="A1719" s="74" t="str">
        <f t="shared" si="26"/>
        <v>新疆46333</v>
      </c>
      <c r="B1719" s="75" t="s">
        <v>17</v>
      </c>
      <c r="C1719" s="45">
        <v>46333</v>
      </c>
      <c r="D1719" s="76">
        <v>754.15960573476696</v>
      </c>
      <c r="E1719" s="77">
        <v>125</v>
      </c>
      <c r="F1719" s="78">
        <v>12.2151466281388</v>
      </c>
      <c r="G1719" s="78">
        <v>12.2151466281388</v>
      </c>
      <c r="H1719" s="81">
        <v>12.0886331071505</v>
      </c>
    </row>
    <row r="1720" spans="1:8" x14ac:dyDescent="0.3">
      <c r="A1720" s="74" t="str">
        <f t="shared" si="26"/>
        <v>新疆46334</v>
      </c>
      <c r="B1720" s="75" t="s">
        <v>17</v>
      </c>
      <c r="C1720" s="45">
        <v>46334</v>
      </c>
      <c r="D1720" s="76">
        <v>754.15960573476696</v>
      </c>
      <c r="E1720" s="77">
        <v>125</v>
      </c>
      <c r="F1720" s="78">
        <v>12.2151466281388</v>
      </c>
      <c r="G1720" s="78">
        <v>12.2151466281388</v>
      </c>
      <c r="H1720" s="81">
        <v>12.0886331071505</v>
      </c>
    </row>
    <row r="1721" spans="1:8" x14ac:dyDescent="0.3">
      <c r="A1721" s="74" t="str">
        <f t="shared" si="26"/>
        <v>新疆46335</v>
      </c>
      <c r="B1721" s="75" t="s">
        <v>17</v>
      </c>
      <c r="C1721" s="45">
        <v>46335</v>
      </c>
      <c r="D1721" s="76">
        <v>754.15960573476696</v>
      </c>
      <c r="E1721" s="77">
        <v>125</v>
      </c>
      <c r="F1721" s="78">
        <v>12.2151466281388</v>
      </c>
      <c r="G1721" s="78">
        <v>12.2151466281388</v>
      </c>
      <c r="H1721" s="81">
        <v>12.0886331071505</v>
      </c>
    </row>
    <row r="1722" spans="1:8" x14ac:dyDescent="0.3">
      <c r="A1722" s="74" t="str">
        <f t="shared" si="26"/>
        <v>新疆46336</v>
      </c>
      <c r="B1722" s="75" t="s">
        <v>17</v>
      </c>
      <c r="C1722" s="45">
        <v>46336</v>
      </c>
      <c r="D1722" s="76">
        <v>754.15960573476696</v>
      </c>
      <c r="E1722" s="77">
        <v>125</v>
      </c>
      <c r="F1722" s="78">
        <v>12.2151466281388</v>
      </c>
      <c r="G1722" s="78">
        <v>12.2151466281388</v>
      </c>
      <c r="H1722" s="81">
        <v>12.0886331071505</v>
      </c>
    </row>
    <row r="1723" spans="1:8" x14ac:dyDescent="0.3">
      <c r="A1723" s="74" t="str">
        <f t="shared" si="26"/>
        <v>新疆46337</v>
      </c>
      <c r="B1723" s="75" t="s">
        <v>17</v>
      </c>
      <c r="C1723" s="45">
        <v>46337</v>
      </c>
      <c r="D1723" s="76">
        <v>754.15960573476696</v>
      </c>
      <c r="E1723" s="77">
        <v>125</v>
      </c>
      <c r="F1723" s="78">
        <v>12.2151466281388</v>
      </c>
      <c r="G1723" s="78">
        <v>12.2151466281388</v>
      </c>
      <c r="H1723" s="81">
        <v>12.0886331071505</v>
      </c>
    </row>
    <row r="1724" spans="1:8" x14ac:dyDescent="0.3">
      <c r="A1724" s="74" t="str">
        <f t="shared" si="26"/>
        <v>新疆46338</v>
      </c>
      <c r="B1724" s="75" t="s">
        <v>17</v>
      </c>
      <c r="C1724" s="45">
        <v>46338</v>
      </c>
      <c r="D1724" s="76">
        <v>754.15960573476696</v>
      </c>
      <c r="E1724" s="77">
        <v>125</v>
      </c>
      <c r="F1724" s="78">
        <v>12.2151466281388</v>
      </c>
      <c r="G1724" s="78">
        <v>12.2151466281388</v>
      </c>
      <c r="H1724" s="81">
        <v>12.0886331071505</v>
      </c>
    </row>
    <row r="1725" spans="1:8" x14ac:dyDescent="0.3">
      <c r="A1725" s="74" t="str">
        <f t="shared" si="26"/>
        <v>新疆46339</v>
      </c>
      <c r="B1725" s="75" t="s">
        <v>17</v>
      </c>
      <c r="C1725" s="45">
        <v>46339</v>
      </c>
      <c r="D1725" s="76">
        <v>754.15960573476696</v>
      </c>
      <c r="E1725" s="77">
        <v>125</v>
      </c>
      <c r="F1725" s="78">
        <v>12.2151466281388</v>
      </c>
      <c r="G1725" s="78">
        <v>12.2151466281388</v>
      </c>
      <c r="H1725" s="81">
        <v>12.0886331071505</v>
      </c>
    </row>
    <row r="1726" spans="1:8" x14ac:dyDescent="0.3">
      <c r="A1726" s="74" t="str">
        <f t="shared" si="26"/>
        <v>新疆46340</v>
      </c>
      <c r="B1726" s="75" t="s">
        <v>17</v>
      </c>
      <c r="C1726" s="45">
        <v>46340</v>
      </c>
      <c r="D1726" s="76">
        <v>754.15960573476696</v>
      </c>
      <c r="E1726" s="77">
        <v>125</v>
      </c>
      <c r="F1726" s="78">
        <v>12.2151466281388</v>
      </c>
      <c r="G1726" s="78">
        <v>12.2151466281388</v>
      </c>
      <c r="H1726" s="81">
        <v>12.0886331071505</v>
      </c>
    </row>
    <row r="1727" spans="1:8" x14ac:dyDescent="0.3">
      <c r="A1727" s="74" t="str">
        <f t="shared" si="26"/>
        <v>新疆46341</v>
      </c>
      <c r="B1727" s="75" t="s">
        <v>17</v>
      </c>
      <c r="C1727" s="45">
        <v>46341</v>
      </c>
      <c r="D1727" s="76">
        <v>754.15960573476696</v>
      </c>
      <c r="E1727" s="77">
        <v>125</v>
      </c>
      <c r="F1727" s="78">
        <v>12.2151466281388</v>
      </c>
      <c r="G1727" s="78">
        <v>12.2151466281388</v>
      </c>
      <c r="H1727" s="81">
        <v>12.0886331071505</v>
      </c>
    </row>
    <row r="1728" spans="1:8" x14ac:dyDescent="0.3">
      <c r="A1728" s="74" t="str">
        <f t="shared" si="26"/>
        <v>新疆46342</v>
      </c>
      <c r="B1728" s="75" t="s">
        <v>17</v>
      </c>
      <c r="C1728" s="45">
        <v>46342</v>
      </c>
      <c r="D1728" s="76">
        <v>754.15960573476696</v>
      </c>
      <c r="E1728" s="77">
        <v>125</v>
      </c>
      <c r="F1728" s="78">
        <v>12.2151466281388</v>
      </c>
      <c r="G1728" s="78">
        <v>12.2151466281388</v>
      </c>
      <c r="H1728" s="81">
        <v>12.0886331071505</v>
      </c>
    </row>
    <row r="1729" spans="1:8" x14ac:dyDescent="0.3">
      <c r="A1729" s="74" t="str">
        <f t="shared" si="26"/>
        <v>新疆46343</v>
      </c>
      <c r="B1729" s="75" t="s">
        <v>17</v>
      </c>
      <c r="C1729" s="45">
        <v>46343</v>
      </c>
      <c r="D1729" s="76">
        <v>754.15960573476696</v>
      </c>
      <c r="E1729" s="77">
        <v>125</v>
      </c>
      <c r="F1729" s="78">
        <v>12.2151466281388</v>
      </c>
      <c r="G1729" s="78">
        <v>12.2151466281388</v>
      </c>
      <c r="H1729" s="81">
        <v>12.0886331071505</v>
      </c>
    </row>
    <row r="1730" spans="1:8" x14ac:dyDescent="0.3">
      <c r="A1730" s="74" t="str">
        <f t="shared" si="26"/>
        <v>新疆46344</v>
      </c>
      <c r="B1730" s="75" t="s">
        <v>17</v>
      </c>
      <c r="C1730" s="45">
        <v>46344</v>
      </c>
      <c r="D1730" s="76">
        <v>754.15960573476696</v>
      </c>
      <c r="E1730" s="77">
        <v>125</v>
      </c>
      <c r="F1730" s="78">
        <v>12.2151466281388</v>
      </c>
      <c r="G1730" s="78">
        <v>12.2151466281388</v>
      </c>
      <c r="H1730" s="81">
        <v>12.0886331071505</v>
      </c>
    </row>
    <row r="1731" spans="1:8" x14ac:dyDescent="0.3">
      <c r="A1731" s="74" t="str">
        <f t="shared" ref="A1731:A1794" si="27">B1731&amp;C1731</f>
        <v>新疆46345</v>
      </c>
      <c r="B1731" s="75" t="s">
        <v>17</v>
      </c>
      <c r="C1731" s="45">
        <v>46345</v>
      </c>
      <c r="D1731" s="76">
        <v>754.15960573476696</v>
      </c>
      <c r="E1731" s="77">
        <v>125</v>
      </c>
      <c r="F1731" s="78">
        <v>12.2151466281388</v>
      </c>
      <c r="G1731" s="78">
        <v>12.2151466281388</v>
      </c>
      <c r="H1731" s="81">
        <v>12.0886331071505</v>
      </c>
    </row>
    <row r="1732" spans="1:8" x14ac:dyDescent="0.3">
      <c r="A1732" s="74" t="str">
        <f t="shared" si="27"/>
        <v>新疆46346</v>
      </c>
      <c r="B1732" s="75" t="s">
        <v>17</v>
      </c>
      <c r="C1732" s="45">
        <v>46346</v>
      </c>
      <c r="D1732" s="76">
        <v>754.15960573476696</v>
      </c>
      <c r="E1732" s="77">
        <v>125</v>
      </c>
      <c r="F1732" s="78">
        <v>12.2151466281388</v>
      </c>
      <c r="G1732" s="78">
        <v>12.2151466281388</v>
      </c>
      <c r="H1732" s="81">
        <v>12.0886331071505</v>
      </c>
    </row>
    <row r="1733" spans="1:8" x14ac:dyDescent="0.3">
      <c r="A1733" s="74" t="str">
        <f t="shared" si="27"/>
        <v>新疆46347</v>
      </c>
      <c r="B1733" s="75" t="s">
        <v>17</v>
      </c>
      <c r="C1733" s="45">
        <v>46347</v>
      </c>
      <c r="D1733" s="76">
        <v>754.15960573476696</v>
      </c>
      <c r="E1733" s="77">
        <v>125</v>
      </c>
      <c r="F1733" s="78">
        <v>12.2151466281388</v>
      </c>
      <c r="G1733" s="78">
        <v>12.2151466281388</v>
      </c>
      <c r="H1733" s="81">
        <v>12.0886331071505</v>
      </c>
    </row>
    <row r="1734" spans="1:8" x14ac:dyDescent="0.3">
      <c r="A1734" s="74" t="str">
        <f t="shared" si="27"/>
        <v>新疆46348</v>
      </c>
      <c r="B1734" s="75" t="s">
        <v>17</v>
      </c>
      <c r="C1734" s="45">
        <v>46348</v>
      </c>
      <c r="D1734" s="76">
        <v>754.15960573476696</v>
      </c>
      <c r="E1734" s="77">
        <v>125</v>
      </c>
      <c r="F1734" s="78">
        <v>12.2151466281388</v>
      </c>
      <c r="G1734" s="78">
        <v>12.2151466281388</v>
      </c>
      <c r="H1734" s="81">
        <v>12.0886331071505</v>
      </c>
    </row>
    <row r="1735" spans="1:8" x14ac:dyDescent="0.3">
      <c r="A1735" s="74" t="str">
        <f t="shared" si="27"/>
        <v>新疆46349</v>
      </c>
      <c r="B1735" s="75" t="s">
        <v>17</v>
      </c>
      <c r="C1735" s="45">
        <v>46349</v>
      </c>
      <c r="D1735" s="76">
        <v>754.15960573476696</v>
      </c>
      <c r="E1735" s="77">
        <v>125</v>
      </c>
      <c r="F1735" s="78">
        <v>12.2151466281388</v>
      </c>
      <c r="G1735" s="78">
        <v>12.2151466281388</v>
      </c>
      <c r="H1735" s="81">
        <v>12.0886331071505</v>
      </c>
    </row>
    <row r="1736" spans="1:8" x14ac:dyDescent="0.3">
      <c r="A1736" s="74" t="str">
        <f t="shared" si="27"/>
        <v>新疆46350</v>
      </c>
      <c r="B1736" s="75" t="s">
        <v>17</v>
      </c>
      <c r="C1736" s="45">
        <v>46350</v>
      </c>
      <c r="D1736" s="76">
        <v>754.15960573476696</v>
      </c>
      <c r="E1736" s="77">
        <v>125</v>
      </c>
      <c r="F1736" s="78">
        <v>12.2151466281388</v>
      </c>
      <c r="G1736" s="78">
        <v>12.2151466281388</v>
      </c>
      <c r="H1736" s="81">
        <v>12.0886331071505</v>
      </c>
    </row>
    <row r="1737" spans="1:8" x14ac:dyDescent="0.3">
      <c r="A1737" s="74" t="str">
        <f t="shared" si="27"/>
        <v>新疆46351</v>
      </c>
      <c r="B1737" s="75" t="s">
        <v>17</v>
      </c>
      <c r="C1737" s="45">
        <v>46351</v>
      </c>
      <c r="D1737" s="76">
        <v>754.15960573476696</v>
      </c>
      <c r="E1737" s="77">
        <v>125</v>
      </c>
      <c r="F1737" s="78">
        <v>12.2151466281388</v>
      </c>
      <c r="G1737" s="78">
        <v>12.2151466281388</v>
      </c>
      <c r="H1737" s="81">
        <v>12.0886331071505</v>
      </c>
    </row>
    <row r="1738" spans="1:8" x14ac:dyDescent="0.3">
      <c r="A1738" s="74" t="str">
        <f t="shared" si="27"/>
        <v>新疆46352</v>
      </c>
      <c r="B1738" s="75" t="s">
        <v>17</v>
      </c>
      <c r="C1738" s="45">
        <v>46352</v>
      </c>
      <c r="D1738" s="76">
        <v>754.15960573476696</v>
      </c>
      <c r="E1738" s="77">
        <v>125</v>
      </c>
      <c r="F1738" s="78">
        <v>12.2151466281388</v>
      </c>
      <c r="G1738" s="78">
        <v>12.2151466281388</v>
      </c>
      <c r="H1738" s="81">
        <v>12.0886331071505</v>
      </c>
    </row>
    <row r="1739" spans="1:8" x14ac:dyDescent="0.3">
      <c r="A1739" s="74" t="str">
        <f t="shared" si="27"/>
        <v>新疆46353</v>
      </c>
      <c r="B1739" s="75" t="s">
        <v>17</v>
      </c>
      <c r="C1739" s="45">
        <v>46353</v>
      </c>
      <c r="D1739" s="76">
        <v>754.15960573476696</v>
      </c>
      <c r="E1739" s="77">
        <v>125</v>
      </c>
      <c r="F1739" s="78">
        <v>12.2151466281388</v>
      </c>
      <c r="G1739" s="78">
        <v>12.2151466281388</v>
      </c>
      <c r="H1739" s="81">
        <v>12.0886331071505</v>
      </c>
    </row>
    <row r="1740" spans="1:8" x14ac:dyDescent="0.3">
      <c r="A1740" s="74" t="str">
        <f t="shared" si="27"/>
        <v>新疆46354</v>
      </c>
      <c r="B1740" s="75" t="s">
        <v>17</v>
      </c>
      <c r="C1740" s="45">
        <v>46354</v>
      </c>
      <c r="D1740" s="76">
        <v>754.15960573476696</v>
      </c>
      <c r="E1740" s="77">
        <v>125</v>
      </c>
      <c r="F1740" s="78">
        <v>12.2151466281388</v>
      </c>
      <c r="G1740" s="78">
        <v>12.2151466281388</v>
      </c>
      <c r="H1740" s="81">
        <v>12.0886331071505</v>
      </c>
    </row>
    <row r="1741" spans="1:8" x14ac:dyDescent="0.3">
      <c r="A1741" s="74" t="str">
        <f t="shared" si="27"/>
        <v>新疆46355</v>
      </c>
      <c r="B1741" s="75" t="s">
        <v>17</v>
      </c>
      <c r="C1741" s="45">
        <v>46355</v>
      </c>
      <c r="D1741" s="76">
        <v>754.15960573476696</v>
      </c>
      <c r="E1741" s="77">
        <v>125</v>
      </c>
      <c r="F1741" s="78">
        <v>12.2151466281388</v>
      </c>
      <c r="G1741" s="78">
        <v>12.2151466281388</v>
      </c>
      <c r="H1741" s="81">
        <v>12.0886331071505</v>
      </c>
    </row>
    <row r="1742" spans="1:8" x14ac:dyDescent="0.3">
      <c r="A1742" s="74" t="str">
        <f t="shared" si="27"/>
        <v>新疆46356</v>
      </c>
      <c r="B1742" s="75" t="s">
        <v>17</v>
      </c>
      <c r="C1742" s="45">
        <v>46356</v>
      </c>
      <c r="D1742" s="76">
        <v>754.15960573476696</v>
      </c>
      <c r="E1742" s="77">
        <v>125</v>
      </c>
      <c r="F1742" s="78">
        <v>12.2151466281388</v>
      </c>
      <c r="G1742" s="78">
        <v>12.2151466281388</v>
      </c>
      <c r="H1742" s="81">
        <v>12.0886331071505</v>
      </c>
    </row>
    <row r="1743" spans="1:8" x14ac:dyDescent="0.3">
      <c r="A1743" s="74" t="str">
        <f t="shared" si="27"/>
        <v>新疆46357</v>
      </c>
      <c r="B1743" s="75" t="s">
        <v>17</v>
      </c>
      <c r="C1743" s="45">
        <v>46357</v>
      </c>
      <c r="D1743" s="76">
        <v>798.97157706093196</v>
      </c>
      <c r="E1743" s="77">
        <v>125</v>
      </c>
      <c r="F1743" s="78">
        <v>12.876703525882</v>
      </c>
      <c r="G1743" s="78">
        <v>12.876703525882</v>
      </c>
      <c r="H1743" s="81">
        <v>12.3118809484221</v>
      </c>
    </row>
    <row r="1744" spans="1:8" x14ac:dyDescent="0.3">
      <c r="A1744" s="74" t="str">
        <f t="shared" si="27"/>
        <v>新疆46358</v>
      </c>
      <c r="B1744" s="75" t="s">
        <v>17</v>
      </c>
      <c r="C1744" s="45">
        <v>46358</v>
      </c>
      <c r="D1744" s="76">
        <v>798.97157706093196</v>
      </c>
      <c r="E1744" s="77">
        <v>125</v>
      </c>
      <c r="F1744" s="78">
        <v>12.876703525882</v>
      </c>
      <c r="G1744" s="78">
        <v>12.876703525882</v>
      </c>
      <c r="H1744" s="81">
        <v>12.3118809484221</v>
      </c>
    </row>
    <row r="1745" spans="1:8" x14ac:dyDescent="0.3">
      <c r="A1745" s="74" t="str">
        <f t="shared" si="27"/>
        <v>新疆46359</v>
      </c>
      <c r="B1745" s="75" t="s">
        <v>17</v>
      </c>
      <c r="C1745" s="45">
        <v>46359</v>
      </c>
      <c r="D1745" s="76">
        <v>798.97157706093196</v>
      </c>
      <c r="E1745" s="77">
        <v>125</v>
      </c>
      <c r="F1745" s="78">
        <v>12.876703525882</v>
      </c>
      <c r="G1745" s="78">
        <v>12.876703525882</v>
      </c>
      <c r="H1745" s="81">
        <v>12.3118809484221</v>
      </c>
    </row>
    <row r="1746" spans="1:8" x14ac:dyDescent="0.3">
      <c r="A1746" s="74" t="str">
        <f t="shared" si="27"/>
        <v>新疆46360</v>
      </c>
      <c r="B1746" s="75" t="s">
        <v>17</v>
      </c>
      <c r="C1746" s="45">
        <v>46360</v>
      </c>
      <c r="D1746" s="76">
        <v>798.97157706093196</v>
      </c>
      <c r="E1746" s="77">
        <v>125</v>
      </c>
      <c r="F1746" s="78">
        <v>12.876703525882</v>
      </c>
      <c r="G1746" s="78">
        <v>12.876703525882</v>
      </c>
      <c r="H1746" s="81">
        <v>12.3118809484221</v>
      </c>
    </row>
    <row r="1747" spans="1:8" x14ac:dyDescent="0.3">
      <c r="A1747" s="74" t="str">
        <f t="shared" si="27"/>
        <v>新疆46361</v>
      </c>
      <c r="B1747" s="75" t="s">
        <v>17</v>
      </c>
      <c r="C1747" s="45">
        <v>46361</v>
      </c>
      <c r="D1747" s="76">
        <v>798.97157706093196</v>
      </c>
      <c r="E1747" s="77">
        <v>125</v>
      </c>
      <c r="F1747" s="78">
        <v>12.876703525882</v>
      </c>
      <c r="G1747" s="78">
        <v>12.876703525882</v>
      </c>
      <c r="H1747" s="81">
        <v>12.3118809484221</v>
      </c>
    </row>
    <row r="1748" spans="1:8" x14ac:dyDescent="0.3">
      <c r="A1748" s="74" t="str">
        <f t="shared" si="27"/>
        <v>新疆46362</v>
      </c>
      <c r="B1748" s="75" t="s">
        <v>17</v>
      </c>
      <c r="C1748" s="45">
        <v>46362</v>
      </c>
      <c r="D1748" s="76">
        <v>798.97157706093196</v>
      </c>
      <c r="E1748" s="77">
        <v>125</v>
      </c>
      <c r="F1748" s="78">
        <v>12.876703525882</v>
      </c>
      <c r="G1748" s="78">
        <v>12.876703525882</v>
      </c>
      <c r="H1748" s="81">
        <v>12.3118809484221</v>
      </c>
    </row>
    <row r="1749" spans="1:8" x14ac:dyDescent="0.3">
      <c r="A1749" s="74" t="str">
        <f t="shared" si="27"/>
        <v>新疆46363</v>
      </c>
      <c r="B1749" s="75" t="s">
        <v>17</v>
      </c>
      <c r="C1749" s="45">
        <v>46363</v>
      </c>
      <c r="D1749" s="76">
        <v>798.97157706093196</v>
      </c>
      <c r="E1749" s="77">
        <v>125</v>
      </c>
      <c r="F1749" s="78">
        <v>12.876703525882</v>
      </c>
      <c r="G1749" s="78">
        <v>12.876703525882</v>
      </c>
      <c r="H1749" s="81">
        <v>12.3118809484221</v>
      </c>
    </row>
    <row r="1750" spans="1:8" x14ac:dyDescent="0.3">
      <c r="A1750" s="74" t="str">
        <f t="shared" si="27"/>
        <v>新疆46364</v>
      </c>
      <c r="B1750" s="75" t="s">
        <v>17</v>
      </c>
      <c r="C1750" s="45">
        <v>46364</v>
      </c>
      <c r="D1750" s="76">
        <v>798.97157706093196</v>
      </c>
      <c r="E1750" s="77">
        <v>125</v>
      </c>
      <c r="F1750" s="78">
        <v>12.876703525882</v>
      </c>
      <c r="G1750" s="78">
        <v>12.876703525882</v>
      </c>
      <c r="H1750" s="81">
        <v>12.3118809484221</v>
      </c>
    </row>
    <row r="1751" spans="1:8" x14ac:dyDescent="0.3">
      <c r="A1751" s="74" t="str">
        <f t="shared" si="27"/>
        <v>新疆46365</v>
      </c>
      <c r="B1751" s="75" t="s">
        <v>17</v>
      </c>
      <c r="C1751" s="45">
        <v>46365</v>
      </c>
      <c r="D1751" s="76">
        <v>798.97157706093196</v>
      </c>
      <c r="E1751" s="77">
        <v>125</v>
      </c>
      <c r="F1751" s="78">
        <v>12.876703525882</v>
      </c>
      <c r="G1751" s="78">
        <v>12.876703525882</v>
      </c>
      <c r="H1751" s="81">
        <v>12.3118809484221</v>
      </c>
    </row>
    <row r="1752" spans="1:8" x14ac:dyDescent="0.3">
      <c r="A1752" s="74" t="str">
        <f t="shared" si="27"/>
        <v>新疆46366</v>
      </c>
      <c r="B1752" s="75" t="s">
        <v>17</v>
      </c>
      <c r="C1752" s="45">
        <v>46366</v>
      </c>
      <c r="D1752" s="76">
        <v>798.97157706093196</v>
      </c>
      <c r="E1752" s="77">
        <v>125</v>
      </c>
      <c r="F1752" s="78">
        <v>12.876703525882</v>
      </c>
      <c r="G1752" s="78">
        <v>12.876703525882</v>
      </c>
      <c r="H1752" s="81">
        <v>12.3118809484221</v>
      </c>
    </row>
    <row r="1753" spans="1:8" x14ac:dyDescent="0.3">
      <c r="A1753" s="74" t="str">
        <f t="shared" si="27"/>
        <v>新疆46367</v>
      </c>
      <c r="B1753" s="75" t="s">
        <v>17</v>
      </c>
      <c r="C1753" s="45">
        <v>46367</v>
      </c>
      <c r="D1753" s="76">
        <v>798.97157706093196</v>
      </c>
      <c r="E1753" s="77">
        <v>125</v>
      </c>
      <c r="F1753" s="78">
        <v>12.876703525882</v>
      </c>
      <c r="G1753" s="78">
        <v>12.876703525882</v>
      </c>
      <c r="H1753" s="81">
        <v>12.3118809484221</v>
      </c>
    </row>
    <row r="1754" spans="1:8" x14ac:dyDescent="0.3">
      <c r="A1754" s="74" t="str">
        <f t="shared" si="27"/>
        <v>新疆46368</v>
      </c>
      <c r="B1754" s="75" t="s">
        <v>17</v>
      </c>
      <c r="C1754" s="45">
        <v>46368</v>
      </c>
      <c r="D1754" s="76">
        <v>798.97157706093196</v>
      </c>
      <c r="E1754" s="77">
        <v>125</v>
      </c>
      <c r="F1754" s="78">
        <v>12.876703525882</v>
      </c>
      <c r="G1754" s="78">
        <v>12.876703525882</v>
      </c>
      <c r="H1754" s="81">
        <v>12.3118809484221</v>
      </c>
    </row>
    <row r="1755" spans="1:8" x14ac:dyDescent="0.3">
      <c r="A1755" s="74" t="str">
        <f t="shared" si="27"/>
        <v>新疆46369</v>
      </c>
      <c r="B1755" s="75" t="s">
        <v>17</v>
      </c>
      <c r="C1755" s="45">
        <v>46369</v>
      </c>
      <c r="D1755" s="76">
        <v>798.97157706093196</v>
      </c>
      <c r="E1755" s="77">
        <v>125</v>
      </c>
      <c r="F1755" s="78">
        <v>12.876703525882</v>
      </c>
      <c r="G1755" s="78">
        <v>12.876703525882</v>
      </c>
      <c r="H1755" s="81">
        <v>12.3118809484221</v>
      </c>
    </row>
    <row r="1756" spans="1:8" x14ac:dyDescent="0.3">
      <c r="A1756" s="74" t="str">
        <f t="shared" si="27"/>
        <v>新疆46370</v>
      </c>
      <c r="B1756" s="75" t="s">
        <v>17</v>
      </c>
      <c r="C1756" s="45">
        <v>46370</v>
      </c>
      <c r="D1756" s="76">
        <v>798.97157706093196</v>
      </c>
      <c r="E1756" s="77">
        <v>125</v>
      </c>
      <c r="F1756" s="78">
        <v>12.876703525882</v>
      </c>
      <c r="G1756" s="78">
        <v>12.876703525882</v>
      </c>
      <c r="H1756" s="81">
        <v>12.3118809484221</v>
      </c>
    </row>
    <row r="1757" spans="1:8" x14ac:dyDescent="0.3">
      <c r="A1757" s="74" t="str">
        <f t="shared" si="27"/>
        <v>新疆46371</v>
      </c>
      <c r="B1757" s="75" t="s">
        <v>17</v>
      </c>
      <c r="C1757" s="45">
        <v>46371</v>
      </c>
      <c r="D1757" s="76">
        <v>798.97157706093196</v>
      </c>
      <c r="E1757" s="77">
        <v>125</v>
      </c>
      <c r="F1757" s="78">
        <v>12.876703525882</v>
      </c>
      <c r="G1757" s="78">
        <v>12.876703525882</v>
      </c>
      <c r="H1757" s="81">
        <v>12.3118809484221</v>
      </c>
    </row>
    <row r="1758" spans="1:8" x14ac:dyDescent="0.3">
      <c r="A1758" s="74" t="str">
        <f t="shared" si="27"/>
        <v>新疆46372</v>
      </c>
      <c r="B1758" s="75" t="s">
        <v>17</v>
      </c>
      <c r="C1758" s="45">
        <v>46372</v>
      </c>
      <c r="D1758" s="76">
        <v>798.97157706093196</v>
      </c>
      <c r="E1758" s="77">
        <v>125</v>
      </c>
      <c r="F1758" s="78">
        <v>12.876703525882</v>
      </c>
      <c r="G1758" s="78">
        <v>12.876703525882</v>
      </c>
      <c r="H1758" s="81">
        <v>12.3118809484221</v>
      </c>
    </row>
    <row r="1759" spans="1:8" x14ac:dyDescent="0.3">
      <c r="A1759" s="74" t="str">
        <f t="shared" si="27"/>
        <v>新疆46373</v>
      </c>
      <c r="B1759" s="75" t="s">
        <v>17</v>
      </c>
      <c r="C1759" s="45">
        <v>46373</v>
      </c>
      <c r="D1759" s="76">
        <v>798.97157706093196</v>
      </c>
      <c r="E1759" s="77">
        <v>125</v>
      </c>
      <c r="F1759" s="78">
        <v>12.876703525882</v>
      </c>
      <c r="G1759" s="78">
        <v>12.876703525882</v>
      </c>
      <c r="H1759" s="81">
        <v>12.3118809484221</v>
      </c>
    </row>
    <row r="1760" spans="1:8" x14ac:dyDescent="0.3">
      <c r="A1760" s="74" t="str">
        <f t="shared" si="27"/>
        <v>新疆46374</v>
      </c>
      <c r="B1760" s="75" t="s">
        <v>17</v>
      </c>
      <c r="C1760" s="45">
        <v>46374</v>
      </c>
      <c r="D1760" s="76">
        <v>798.97157706093196</v>
      </c>
      <c r="E1760" s="77">
        <v>125</v>
      </c>
      <c r="F1760" s="78">
        <v>12.876703525882</v>
      </c>
      <c r="G1760" s="78">
        <v>12.876703525882</v>
      </c>
      <c r="H1760" s="81">
        <v>12.3118809484221</v>
      </c>
    </row>
    <row r="1761" spans="1:8" x14ac:dyDescent="0.3">
      <c r="A1761" s="74" t="str">
        <f t="shared" si="27"/>
        <v>新疆46375</v>
      </c>
      <c r="B1761" s="75" t="s">
        <v>17</v>
      </c>
      <c r="C1761" s="45">
        <v>46375</v>
      </c>
      <c r="D1761" s="76">
        <v>798.97157706093196</v>
      </c>
      <c r="E1761" s="77">
        <v>125</v>
      </c>
      <c r="F1761" s="78">
        <v>12.876703525882</v>
      </c>
      <c r="G1761" s="78">
        <v>12.876703525882</v>
      </c>
      <c r="H1761" s="81">
        <v>12.3118809484221</v>
      </c>
    </row>
    <row r="1762" spans="1:8" x14ac:dyDescent="0.3">
      <c r="A1762" s="74" t="str">
        <f t="shared" si="27"/>
        <v>新疆46376</v>
      </c>
      <c r="B1762" s="75" t="s">
        <v>17</v>
      </c>
      <c r="C1762" s="45">
        <v>46376</v>
      </c>
      <c r="D1762" s="76">
        <v>798.97157706093196</v>
      </c>
      <c r="E1762" s="77">
        <v>125</v>
      </c>
      <c r="F1762" s="78">
        <v>12.876703525882</v>
      </c>
      <c r="G1762" s="78">
        <v>12.876703525882</v>
      </c>
      <c r="H1762" s="81">
        <v>12.3118809484221</v>
      </c>
    </row>
    <row r="1763" spans="1:8" x14ac:dyDescent="0.3">
      <c r="A1763" s="74" t="str">
        <f t="shared" si="27"/>
        <v>新疆46377</v>
      </c>
      <c r="B1763" s="75" t="s">
        <v>17</v>
      </c>
      <c r="C1763" s="45">
        <v>46377</v>
      </c>
      <c r="D1763" s="76">
        <v>798.97157706093196</v>
      </c>
      <c r="E1763" s="77">
        <v>125</v>
      </c>
      <c r="F1763" s="78">
        <v>12.876703525882</v>
      </c>
      <c r="G1763" s="78">
        <v>12.876703525882</v>
      </c>
      <c r="H1763" s="81">
        <v>12.3118809484221</v>
      </c>
    </row>
    <row r="1764" spans="1:8" x14ac:dyDescent="0.3">
      <c r="A1764" s="74" t="str">
        <f t="shared" si="27"/>
        <v>新疆46378</v>
      </c>
      <c r="B1764" s="75" t="s">
        <v>17</v>
      </c>
      <c r="C1764" s="45">
        <v>46378</v>
      </c>
      <c r="D1764" s="76">
        <v>798.97157706093196</v>
      </c>
      <c r="E1764" s="77">
        <v>125</v>
      </c>
      <c r="F1764" s="78">
        <v>12.876703525882</v>
      </c>
      <c r="G1764" s="78">
        <v>12.876703525882</v>
      </c>
      <c r="H1764" s="81">
        <v>12.3118809484221</v>
      </c>
    </row>
    <row r="1765" spans="1:8" x14ac:dyDescent="0.3">
      <c r="A1765" s="74" t="str">
        <f t="shared" si="27"/>
        <v>新疆46379</v>
      </c>
      <c r="B1765" s="75" t="s">
        <v>17</v>
      </c>
      <c r="C1765" s="45">
        <v>46379</v>
      </c>
      <c r="D1765" s="76">
        <v>798.97157706093196</v>
      </c>
      <c r="E1765" s="77">
        <v>125</v>
      </c>
      <c r="F1765" s="78">
        <v>12.876703525882</v>
      </c>
      <c r="G1765" s="78">
        <v>12.876703525882</v>
      </c>
      <c r="H1765" s="81">
        <v>12.3118809484221</v>
      </c>
    </row>
    <row r="1766" spans="1:8" x14ac:dyDescent="0.3">
      <c r="A1766" s="74" t="str">
        <f t="shared" si="27"/>
        <v>新疆46380</v>
      </c>
      <c r="B1766" s="75" t="s">
        <v>17</v>
      </c>
      <c r="C1766" s="45">
        <v>46380</v>
      </c>
      <c r="D1766" s="76">
        <v>798.97157706093196</v>
      </c>
      <c r="E1766" s="77">
        <v>125</v>
      </c>
      <c r="F1766" s="78">
        <v>12.876703525882</v>
      </c>
      <c r="G1766" s="78">
        <v>12.876703525882</v>
      </c>
      <c r="H1766" s="81">
        <v>12.3118809484221</v>
      </c>
    </row>
    <row r="1767" spans="1:8" x14ac:dyDescent="0.3">
      <c r="A1767" s="74" t="str">
        <f t="shared" si="27"/>
        <v>新疆46381</v>
      </c>
      <c r="B1767" s="75" t="s">
        <v>17</v>
      </c>
      <c r="C1767" s="45">
        <v>46381</v>
      </c>
      <c r="D1767" s="76">
        <v>798.97157706093196</v>
      </c>
      <c r="E1767" s="77">
        <v>125</v>
      </c>
      <c r="F1767" s="78">
        <v>12.876703525882</v>
      </c>
      <c r="G1767" s="78">
        <v>12.876703525882</v>
      </c>
      <c r="H1767" s="81">
        <v>12.3118809484221</v>
      </c>
    </row>
    <row r="1768" spans="1:8" x14ac:dyDescent="0.3">
      <c r="A1768" s="74" t="str">
        <f t="shared" si="27"/>
        <v>新疆46382</v>
      </c>
      <c r="B1768" s="75" t="s">
        <v>17</v>
      </c>
      <c r="C1768" s="45">
        <v>46382</v>
      </c>
      <c r="D1768" s="76">
        <v>798.97157706093196</v>
      </c>
      <c r="E1768" s="77">
        <v>125</v>
      </c>
      <c r="F1768" s="78">
        <v>12.876703525882</v>
      </c>
      <c r="G1768" s="78">
        <v>12.876703525882</v>
      </c>
      <c r="H1768" s="81">
        <v>12.3118809484221</v>
      </c>
    </row>
    <row r="1769" spans="1:8" x14ac:dyDescent="0.3">
      <c r="A1769" s="74" t="str">
        <f t="shared" si="27"/>
        <v>新疆46383</v>
      </c>
      <c r="B1769" s="75" t="s">
        <v>17</v>
      </c>
      <c r="C1769" s="45">
        <v>46383</v>
      </c>
      <c r="D1769" s="76">
        <v>798.97157706093196</v>
      </c>
      <c r="E1769" s="77">
        <v>125</v>
      </c>
      <c r="F1769" s="78">
        <v>12.876703525882</v>
      </c>
      <c r="G1769" s="78">
        <v>12.876703525882</v>
      </c>
      <c r="H1769" s="81">
        <v>12.3118809484221</v>
      </c>
    </row>
    <row r="1770" spans="1:8" x14ac:dyDescent="0.3">
      <c r="A1770" s="74" t="str">
        <f t="shared" si="27"/>
        <v>新疆46384</v>
      </c>
      <c r="B1770" s="75" t="s">
        <v>17</v>
      </c>
      <c r="C1770" s="45">
        <v>46384</v>
      </c>
      <c r="D1770" s="76">
        <v>798.97157706093196</v>
      </c>
      <c r="E1770" s="77">
        <v>125</v>
      </c>
      <c r="F1770" s="78">
        <v>12.876703525882</v>
      </c>
      <c r="G1770" s="78">
        <v>12.876703525882</v>
      </c>
      <c r="H1770" s="81">
        <v>12.3118809484221</v>
      </c>
    </row>
    <row r="1771" spans="1:8" x14ac:dyDescent="0.3">
      <c r="A1771" s="74" t="str">
        <f t="shared" si="27"/>
        <v>新疆46385</v>
      </c>
      <c r="B1771" s="75" t="s">
        <v>17</v>
      </c>
      <c r="C1771" s="45">
        <v>46385</v>
      </c>
      <c r="D1771" s="76">
        <v>798.97157706093196</v>
      </c>
      <c r="E1771" s="77">
        <v>125</v>
      </c>
      <c r="F1771" s="78">
        <v>12.876703525882</v>
      </c>
      <c r="G1771" s="78">
        <v>12.876703525882</v>
      </c>
      <c r="H1771" s="81">
        <v>12.3118809484221</v>
      </c>
    </row>
    <row r="1772" spans="1:8" x14ac:dyDescent="0.3">
      <c r="A1772" s="74" t="str">
        <f t="shared" si="27"/>
        <v>新疆46386</v>
      </c>
      <c r="B1772" s="75" t="s">
        <v>17</v>
      </c>
      <c r="C1772" s="45">
        <v>46386</v>
      </c>
      <c r="D1772" s="76">
        <v>798.97157706093196</v>
      </c>
      <c r="E1772" s="77">
        <v>125</v>
      </c>
      <c r="F1772" s="78">
        <v>12.876703525882</v>
      </c>
      <c r="G1772" s="78">
        <v>12.876703525882</v>
      </c>
      <c r="H1772" s="81">
        <v>12.3118809484221</v>
      </c>
    </row>
    <row r="1773" spans="1:8" x14ac:dyDescent="0.3">
      <c r="A1773" s="74" t="str">
        <f t="shared" si="27"/>
        <v>新疆46387</v>
      </c>
      <c r="B1773" s="82" t="s">
        <v>17</v>
      </c>
      <c r="C1773" s="83">
        <v>46387</v>
      </c>
      <c r="D1773" s="84">
        <v>798.97157706093196</v>
      </c>
      <c r="E1773" s="85">
        <v>125</v>
      </c>
      <c r="F1773" s="86">
        <v>12.876703525882</v>
      </c>
      <c r="G1773" s="86">
        <v>12.876703525882</v>
      </c>
      <c r="H1773" s="87">
        <v>12.3118809484221</v>
      </c>
    </row>
    <row r="1774" spans="1:8" x14ac:dyDescent="0.3">
      <c r="A1774" s="74" t="str">
        <f t="shared" si="27"/>
        <v>东营46135</v>
      </c>
      <c r="B1774" s="75" t="s">
        <v>18</v>
      </c>
      <c r="C1774" s="45">
        <v>46135</v>
      </c>
      <c r="D1774" s="76">
        <v>666.90814892375897</v>
      </c>
      <c r="E1774" s="77">
        <v>125</v>
      </c>
      <c r="F1774" s="78">
        <v>9.2220516594717807</v>
      </c>
      <c r="G1774" s="78">
        <v>9.2220516594717807</v>
      </c>
      <c r="H1774" s="81">
        <v>9.8047774055039003</v>
      </c>
    </row>
    <row r="1775" spans="1:8" x14ac:dyDescent="0.3">
      <c r="A1775" s="74" t="str">
        <f t="shared" si="27"/>
        <v>东营46136</v>
      </c>
      <c r="B1775" s="75" t="s">
        <v>18</v>
      </c>
      <c r="C1775" s="45">
        <v>46136</v>
      </c>
      <c r="D1775" s="76">
        <v>666.90814892375897</v>
      </c>
      <c r="E1775" s="77">
        <v>125</v>
      </c>
      <c r="F1775" s="78">
        <v>9.2220516594717807</v>
      </c>
      <c r="G1775" s="78">
        <v>9.2220516594717807</v>
      </c>
      <c r="H1775" s="81">
        <v>9.8047774055039003</v>
      </c>
    </row>
    <row r="1776" spans="1:8" x14ac:dyDescent="0.3">
      <c r="A1776" s="74" t="str">
        <f t="shared" si="27"/>
        <v>东营46137</v>
      </c>
      <c r="B1776" s="75" t="s">
        <v>18</v>
      </c>
      <c r="C1776" s="45">
        <v>46137</v>
      </c>
      <c r="D1776" s="76">
        <v>666.90814892375897</v>
      </c>
      <c r="E1776" s="77">
        <v>125</v>
      </c>
      <c r="F1776" s="78">
        <v>9.2220516594717807</v>
      </c>
      <c r="G1776" s="78">
        <v>9.2220516594717807</v>
      </c>
      <c r="H1776" s="81">
        <v>9.8047774055039003</v>
      </c>
    </row>
    <row r="1777" spans="1:8" x14ac:dyDescent="0.3">
      <c r="A1777" s="74" t="str">
        <f t="shared" si="27"/>
        <v>东营46138</v>
      </c>
      <c r="B1777" s="75" t="s">
        <v>18</v>
      </c>
      <c r="C1777" s="45">
        <v>46138</v>
      </c>
      <c r="D1777" s="76">
        <v>666.90814892375897</v>
      </c>
      <c r="E1777" s="77">
        <v>125</v>
      </c>
      <c r="F1777" s="78">
        <v>9.2220516594717807</v>
      </c>
      <c r="G1777" s="78">
        <v>9.2220516594717807</v>
      </c>
      <c r="H1777" s="81">
        <v>9.8047774055039003</v>
      </c>
    </row>
    <row r="1778" spans="1:8" x14ac:dyDescent="0.3">
      <c r="A1778" s="74" t="str">
        <f t="shared" si="27"/>
        <v>东营46139</v>
      </c>
      <c r="B1778" s="75" t="s">
        <v>18</v>
      </c>
      <c r="C1778" s="45">
        <v>46139</v>
      </c>
      <c r="D1778" s="76">
        <v>666.90814892375897</v>
      </c>
      <c r="E1778" s="77">
        <v>125</v>
      </c>
      <c r="F1778" s="78">
        <v>9.2220516594717807</v>
      </c>
      <c r="G1778" s="78">
        <v>9.2220516594717807</v>
      </c>
      <c r="H1778" s="81">
        <v>9.8047774055039003</v>
      </c>
    </row>
    <row r="1779" spans="1:8" x14ac:dyDescent="0.3">
      <c r="A1779" s="74" t="str">
        <f t="shared" si="27"/>
        <v>东营46140</v>
      </c>
      <c r="B1779" s="75" t="s">
        <v>18</v>
      </c>
      <c r="C1779" s="45">
        <v>46140</v>
      </c>
      <c r="D1779" s="76">
        <v>666.90814892375897</v>
      </c>
      <c r="E1779" s="77">
        <v>125</v>
      </c>
      <c r="F1779" s="78">
        <v>9.2220516594717807</v>
      </c>
      <c r="G1779" s="78">
        <v>9.2220516594717807</v>
      </c>
      <c r="H1779" s="81">
        <v>9.8047774055039003</v>
      </c>
    </row>
    <row r="1780" spans="1:8" x14ac:dyDescent="0.3">
      <c r="A1780" s="74" t="str">
        <f t="shared" si="27"/>
        <v>东营46141</v>
      </c>
      <c r="B1780" s="75" t="s">
        <v>18</v>
      </c>
      <c r="C1780" s="45">
        <v>46141</v>
      </c>
      <c r="D1780" s="76">
        <v>666.90814892375897</v>
      </c>
      <c r="E1780" s="77">
        <v>125</v>
      </c>
      <c r="F1780" s="78">
        <v>9.2220516594717807</v>
      </c>
      <c r="G1780" s="78">
        <v>9.2220516594717807</v>
      </c>
      <c r="H1780" s="81">
        <v>9.8047774055039003</v>
      </c>
    </row>
    <row r="1781" spans="1:8" x14ac:dyDescent="0.3">
      <c r="A1781" s="74" t="str">
        <f t="shared" si="27"/>
        <v>东营46142</v>
      </c>
      <c r="B1781" s="75" t="s">
        <v>18</v>
      </c>
      <c r="C1781" s="45">
        <v>46142</v>
      </c>
      <c r="D1781" s="76">
        <v>666.90814892375897</v>
      </c>
      <c r="E1781" s="77">
        <v>125</v>
      </c>
      <c r="F1781" s="78">
        <v>9.2220516594717807</v>
      </c>
      <c r="G1781" s="78">
        <v>9.2220516594717807</v>
      </c>
      <c r="H1781" s="81">
        <v>9.8047774055039003</v>
      </c>
    </row>
    <row r="1782" spans="1:8" x14ac:dyDescent="0.3">
      <c r="A1782" s="74" t="str">
        <f t="shared" si="27"/>
        <v>东营46143</v>
      </c>
      <c r="B1782" s="75" t="s">
        <v>18</v>
      </c>
      <c r="C1782" s="45">
        <v>46143</v>
      </c>
      <c r="D1782" s="76">
        <v>702.12020940255297</v>
      </c>
      <c r="E1782" s="77">
        <v>125</v>
      </c>
      <c r="F1782" s="78">
        <v>10.73306528633</v>
      </c>
      <c r="G1782" s="78">
        <v>10.73306528633</v>
      </c>
      <c r="H1782" s="81">
        <v>10.027440233248701</v>
      </c>
    </row>
    <row r="1783" spans="1:8" x14ac:dyDescent="0.3">
      <c r="A1783" s="74" t="str">
        <f t="shared" si="27"/>
        <v>东营46144</v>
      </c>
      <c r="B1783" s="75" t="s">
        <v>18</v>
      </c>
      <c r="C1783" s="45">
        <v>46144</v>
      </c>
      <c r="D1783" s="76">
        <v>702.12020940255297</v>
      </c>
      <c r="E1783" s="77">
        <v>125</v>
      </c>
      <c r="F1783" s="78">
        <v>10.73306528633</v>
      </c>
      <c r="G1783" s="78">
        <v>10.73306528633</v>
      </c>
      <c r="H1783" s="81">
        <v>10.027440233248701</v>
      </c>
    </row>
    <row r="1784" spans="1:8" x14ac:dyDescent="0.3">
      <c r="A1784" s="74" t="str">
        <f t="shared" si="27"/>
        <v>东营46145</v>
      </c>
      <c r="B1784" s="75" t="s">
        <v>18</v>
      </c>
      <c r="C1784" s="45">
        <v>46145</v>
      </c>
      <c r="D1784" s="76">
        <v>702.12020940255297</v>
      </c>
      <c r="E1784" s="77">
        <v>125</v>
      </c>
      <c r="F1784" s="78">
        <v>10.73306528633</v>
      </c>
      <c r="G1784" s="78">
        <v>10.73306528633</v>
      </c>
      <c r="H1784" s="81">
        <v>10.027440233248701</v>
      </c>
    </row>
    <row r="1785" spans="1:8" x14ac:dyDescent="0.3">
      <c r="A1785" s="74" t="str">
        <f t="shared" si="27"/>
        <v>东营46146</v>
      </c>
      <c r="B1785" s="75" t="s">
        <v>18</v>
      </c>
      <c r="C1785" s="45">
        <v>46146</v>
      </c>
      <c r="D1785" s="76">
        <v>702.12020940255297</v>
      </c>
      <c r="E1785" s="77">
        <v>125</v>
      </c>
      <c r="F1785" s="78">
        <v>10.73306528633</v>
      </c>
      <c r="G1785" s="78">
        <v>10.73306528633</v>
      </c>
      <c r="H1785" s="81">
        <v>10.027440233248701</v>
      </c>
    </row>
    <row r="1786" spans="1:8" x14ac:dyDescent="0.3">
      <c r="A1786" s="74" t="str">
        <f t="shared" si="27"/>
        <v>东营46147</v>
      </c>
      <c r="B1786" s="75" t="s">
        <v>18</v>
      </c>
      <c r="C1786" s="45">
        <v>46147</v>
      </c>
      <c r="D1786" s="76">
        <v>702.12020940255297</v>
      </c>
      <c r="E1786" s="77">
        <v>125</v>
      </c>
      <c r="F1786" s="78">
        <v>10.73306528633</v>
      </c>
      <c r="G1786" s="78">
        <v>10.73306528633</v>
      </c>
      <c r="H1786" s="81">
        <v>10.027440233248701</v>
      </c>
    </row>
    <row r="1787" spans="1:8" x14ac:dyDescent="0.3">
      <c r="A1787" s="74" t="str">
        <f t="shared" si="27"/>
        <v>东营46148</v>
      </c>
      <c r="B1787" s="75" t="s">
        <v>18</v>
      </c>
      <c r="C1787" s="45">
        <v>46148</v>
      </c>
      <c r="D1787" s="76">
        <v>702.12020940255297</v>
      </c>
      <c r="E1787" s="77">
        <v>125</v>
      </c>
      <c r="F1787" s="78">
        <v>10.73306528633</v>
      </c>
      <c r="G1787" s="78">
        <v>10.73306528633</v>
      </c>
      <c r="H1787" s="81">
        <v>10.027440233248701</v>
      </c>
    </row>
    <row r="1788" spans="1:8" x14ac:dyDescent="0.3">
      <c r="A1788" s="74" t="str">
        <f t="shared" si="27"/>
        <v>东营46149</v>
      </c>
      <c r="B1788" s="75" t="s">
        <v>18</v>
      </c>
      <c r="C1788" s="45">
        <v>46149</v>
      </c>
      <c r="D1788" s="76">
        <v>702.12020940255297</v>
      </c>
      <c r="E1788" s="77">
        <v>125</v>
      </c>
      <c r="F1788" s="78">
        <v>10.73306528633</v>
      </c>
      <c r="G1788" s="78">
        <v>10.73306528633</v>
      </c>
      <c r="H1788" s="81">
        <v>10.027440233248701</v>
      </c>
    </row>
    <row r="1789" spans="1:8" x14ac:dyDescent="0.3">
      <c r="A1789" s="74" t="str">
        <f t="shared" si="27"/>
        <v>东营46150</v>
      </c>
      <c r="B1789" s="75" t="s">
        <v>18</v>
      </c>
      <c r="C1789" s="45">
        <v>46150</v>
      </c>
      <c r="D1789" s="76">
        <v>702.12020940255297</v>
      </c>
      <c r="E1789" s="77">
        <v>125</v>
      </c>
      <c r="F1789" s="78">
        <v>10.73306528633</v>
      </c>
      <c r="G1789" s="78">
        <v>10.73306528633</v>
      </c>
      <c r="H1789" s="81">
        <v>10.027440233248701</v>
      </c>
    </row>
    <row r="1790" spans="1:8" x14ac:dyDescent="0.3">
      <c r="A1790" s="74" t="str">
        <f t="shared" si="27"/>
        <v>东营46151</v>
      </c>
      <c r="B1790" s="75" t="s">
        <v>18</v>
      </c>
      <c r="C1790" s="45">
        <v>46151</v>
      </c>
      <c r="D1790" s="76">
        <v>702.12020940255297</v>
      </c>
      <c r="E1790" s="77">
        <v>125</v>
      </c>
      <c r="F1790" s="78">
        <v>10.73306528633</v>
      </c>
      <c r="G1790" s="78">
        <v>10.73306528633</v>
      </c>
      <c r="H1790" s="81">
        <v>10.027440233248701</v>
      </c>
    </row>
    <row r="1791" spans="1:8" x14ac:dyDescent="0.3">
      <c r="A1791" s="74" t="str">
        <f t="shared" si="27"/>
        <v>东营46152</v>
      </c>
      <c r="B1791" s="75" t="s">
        <v>18</v>
      </c>
      <c r="C1791" s="45">
        <v>46152</v>
      </c>
      <c r="D1791" s="76">
        <v>702.12020940255297</v>
      </c>
      <c r="E1791" s="77">
        <v>125</v>
      </c>
      <c r="F1791" s="78">
        <v>10.73306528633</v>
      </c>
      <c r="G1791" s="78">
        <v>10.73306528633</v>
      </c>
      <c r="H1791" s="81">
        <v>10.027440233248701</v>
      </c>
    </row>
    <row r="1792" spans="1:8" x14ac:dyDescent="0.3">
      <c r="A1792" s="74" t="str">
        <f t="shared" si="27"/>
        <v>东营46153</v>
      </c>
      <c r="B1792" s="75" t="s">
        <v>18</v>
      </c>
      <c r="C1792" s="45">
        <v>46153</v>
      </c>
      <c r="D1792" s="76">
        <v>702.12020940255297</v>
      </c>
      <c r="E1792" s="77">
        <v>125</v>
      </c>
      <c r="F1792" s="78">
        <v>10.73306528633</v>
      </c>
      <c r="G1792" s="78">
        <v>10.73306528633</v>
      </c>
      <c r="H1792" s="81">
        <v>10.027440233248701</v>
      </c>
    </row>
    <row r="1793" spans="1:8" x14ac:dyDescent="0.3">
      <c r="A1793" s="74" t="str">
        <f t="shared" si="27"/>
        <v>东营46154</v>
      </c>
      <c r="B1793" s="75" t="s">
        <v>18</v>
      </c>
      <c r="C1793" s="45">
        <v>46154</v>
      </c>
      <c r="D1793" s="76">
        <v>702.12020940255297</v>
      </c>
      <c r="E1793" s="77">
        <v>125</v>
      </c>
      <c r="F1793" s="78">
        <v>10.73306528633</v>
      </c>
      <c r="G1793" s="78">
        <v>10.73306528633</v>
      </c>
      <c r="H1793" s="81">
        <v>10.027440233248701</v>
      </c>
    </row>
    <row r="1794" spans="1:8" x14ac:dyDescent="0.3">
      <c r="A1794" s="74" t="str">
        <f t="shared" si="27"/>
        <v>东营46155</v>
      </c>
      <c r="B1794" s="75" t="s">
        <v>18</v>
      </c>
      <c r="C1794" s="45">
        <v>46155</v>
      </c>
      <c r="D1794" s="76">
        <v>702.12020940255297</v>
      </c>
      <c r="E1794" s="77">
        <v>125</v>
      </c>
      <c r="F1794" s="78">
        <v>10.73306528633</v>
      </c>
      <c r="G1794" s="78">
        <v>10.73306528633</v>
      </c>
      <c r="H1794" s="81">
        <v>10.027440233248701</v>
      </c>
    </row>
    <row r="1795" spans="1:8" x14ac:dyDescent="0.3">
      <c r="A1795" s="74" t="str">
        <f t="shared" ref="A1795:A1858" si="28">B1795&amp;C1795</f>
        <v>东营46156</v>
      </c>
      <c r="B1795" s="75" t="s">
        <v>18</v>
      </c>
      <c r="C1795" s="45">
        <v>46156</v>
      </c>
      <c r="D1795" s="76">
        <v>702.12020940255297</v>
      </c>
      <c r="E1795" s="77">
        <v>125</v>
      </c>
      <c r="F1795" s="78">
        <v>10.73306528633</v>
      </c>
      <c r="G1795" s="78">
        <v>10.73306528633</v>
      </c>
      <c r="H1795" s="81">
        <v>10.027440233248701</v>
      </c>
    </row>
    <row r="1796" spans="1:8" x14ac:dyDescent="0.3">
      <c r="A1796" s="74" t="str">
        <f t="shared" si="28"/>
        <v>东营46157</v>
      </c>
      <c r="B1796" s="75" t="s">
        <v>18</v>
      </c>
      <c r="C1796" s="45">
        <v>46157</v>
      </c>
      <c r="D1796" s="76">
        <v>702.12020940255297</v>
      </c>
      <c r="E1796" s="77">
        <v>125</v>
      </c>
      <c r="F1796" s="78">
        <v>10.73306528633</v>
      </c>
      <c r="G1796" s="78">
        <v>10.73306528633</v>
      </c>
      <c r="H1796" s="81">
        <v>10.027440233248701</v>
      </c>
    </row>
    <row r="1797" spans="1:8" x14ac:dyDescent="0.3">
      <c r="A1797" s="74" t="str">
        <f t="shared" si="28"/>
        <v>东营46158</v>
      </c>
      <c r="B1797" s="75" t="s">
        <v>18</v>
      </c>
      <c r="C1797" s="45">
        <v>46158</v>
      </c>
      <c r="D1797" s="76">
        <v>702.12020940255297</v>
      </c>
      <c r="E1797" s="77">
        <v>125</v>
      </c>
      <c r="F1797" s="78">
        <v>10.73306528633</v>
      </c>
      <c r="G1797" s="78">
        <v>10.73306528633</v>
      </c>
      <c r="H1797" s="81">
        <v>10.027440233248701</v>
      </c>
    </row>
    <row r="1798" spans="1:8" x14ac:dyDescent="0.3">
      <c r="A1798" s="74" t="str">
        <f t="shared" si="28"/>
        <v>东营46159</v>
      </c>
      <c r="B1798" s="75" t="s">
        <v>18</v>
      </c>
      <c r="C1798" s="45">
        <v>46159</v>
      </c>
      <c r="D1798" s="76">
        <v>702.12020940255297</v>
      </c>
      <c r="E1798" s="77">
        <v>125</v>
      </c>
      <c r="F1798" s="78">
        <v>10.73306528633</v>
      </c>
      <c r="G1798" s="78">
        <v>10.73306528633</v>
      </c>
      <c r="H1798" s="81">
        <v>10.027440233248701</v>
      </c>
    </row>
    <row r="1799" spans="1:8" x14ac:dyDescent="0.3">
      <c r="A1799" s="74" t="str">
        <f t="shared" si="28"/>
        <v>东营46160</v>
      </c>
      <c r="B1799" s="75" t="s">
        <v>18</v>
      </c>
      <c r="C1799" s="45">
        <v>46160</v>
      </c>
      <c r="D1799" s="76">
        <v>702.12020940255297</v>
      </c>
      <c r="E1799" s="77">
        <v>125</v>
      </c>
      <c r="F1799" s="78">
        <v>10.73306528633</v>
      </c>
      <c r="G1799" s="78">
        <v>10.73306528633</v>
      </c>
      <c r="H1799" s="81">
        <v>10.027440233248701</v>
      </c>
    </row>
    <row r="1800" spans="1:8" x14ac:dyDescent="0.3">
      <c r="A1800" s="74" t="str">
        <f t="shared" si="28"/>
        <v>东营46161</v>
      </c>
      <c r="B1800" s="75" t="s">
        <v>18</v>
      </c>
      <c r="C1800" s="45">
        <v>46161</v>
      </c>
      <c r="D1800" s="76">
        <v>702.12020940255297</v>
      </c>
      <c r="E1800" s="77">
        <v>125</v>
      </c>
      <c r="F1800" s="78">
        <v>10.73306528633</v>
      </c>
      <c r="G1800" s="78">
        <v>10.73306528633</v>
      </c>
      <c r="H1800" s="81">
        <v>10.027440233248701</v>
      </c>
    </row>
    <row r="1801" spans="1:8" x14ac:dyDescent="0.3">
      <c r="A1801" s="74" t="str">
        <f t="shared" si="28"/>
        <v>东营46162</v>
      </c>
      <c r="B1801" s="75" t="s">
        <v>18</v>
      </c>
      <c r="C1801" s="45">
        <v>46162</v>
      </c>
      <c r="D1801" s="76">
        <v>702.12020940255297</v>
      </c>
      <c r="E1801" s="77">
        <v>125</v>
      </c>
      <c r="F1801" s="78">
        <v>10.73306528633</v>
      </c>
      <c r="G1801" s="78">
        <v>10.73306528633</v>
      </c>
      <c r="H1801" s="81">
        <v>10.027440233248701</v>
      </c>
    </row>
    <row r="1802" spans="1:8" x14ac:dyDescent="0.3">
      <c r="A1802" s="74" t="str">
        <f t="shared" si="28"/>
        <v>东营46163</v>
      </c>
      <c r="B1802" s="75" t="s">
        <v>18</v>
      </c>
      <c r="C1802" s="45">
        <v>46163</v>
      </c>
      <c r="D1802" s="76">
        <v>702.12020940255297</v>
      </c>
      <c r="E1802" s="77">
        <v>125</v>
      </c>
      <c r="F1802" s="78">
        <v>10.73306528633</v>
      </c>
      <c r="G1802" s="78">
        <v>10.73306528633</v>
      </c>
      <c r="H1802" s="81">
        <v>10.027440233248701</v>
      </c>
    </row>
    <row r="1803" spans="1:8" x14ac:dyDescent="0.3">
      <c r="A1803" s="74" t="str">
        <f t="shared" si="28"/>
        <v>东营46164</v>
      </c>
      <c r="B1803" s="75" t="s">
        <v>18</v>
      </c>
      <c r="C1803" s="45">
        <v>46164</v>
      </c>
      <c r="D1803" s="76">
        <v>702.12020940255297</v>
      </c>
      <c r="E1803" s="77">
        <v>125</v>
      </c>
      <c r="F1803" s="78">
        <v>10.73306528633</v>
      </c>
      <c r="G1803" s="78">
        <v>10.73306528633</v>
      </c>
      <c r="H1803" s="81">
        <v>10.027440233248701</v>
      </c>
    </row>
    <row r="1804" spans="1:8" x14ac:dyDescent="0.3">
      <c r="A1804" s="74" t="str">
        <f t="shared" si="28"/>
        <v>东营46165</v>
      </c>
      <c r="B1804" s="75" t="s">
        <v>18</v>
      </c>
      <c r="C1804" s="45">
        <v>46165</v>
      </c>
      <c r="D1804" s="76">
        <v>702.12020940255297</v>
      </c>
      <c r="E1804" s="77">
        <v>125</v>
      </c>
      <c r="F1804" s="78">
        <v>10.73306528633</v>
      </c>
      <c r="G1804" s="78">
        <v>10.73306528633</v>
      </c>
      <c r="H1804" s="81">
        <v>10.027440233248701</v>
      </c>
    </row>
    <row r="1805" spans="1:8" x14ac:dyDescent="0.3">
      <c r="A1805" s="74" t="str">
        <f t="shared" si="28"/>
        <v>东营46166</v>
      </c>
      <c r="B1805" s="75" t="s">
        <v>18</v>
      </c>
      <c r="C1805" s="45">
        <v>46166</v>
      </c>
      <c r="D1805" s="76">
        <v>702.12020940255297</v>
      </c>
      <c r="E1805" s="77">
        <v>125</v>
      </c>
      <c r="F1805" s="78">
        <v>10.73306528633</v>
      </c>
      <c r="G1805" s="78">
        <v>10.73306528633</v>
      </c>
      <c r="H1805" s="81">
        <v>10.027440233248701</v>
      </c>
    </row>
    <row r="1806" spans="1:8" x14ac:dyDescent="0.3">
      <c r="A1806" s="74" t="str">
        <f t="shared" si="28"/>
        <v>东营46167</v>
      </c>
      <c r="B1806" s="75" t="s">
        <v>18</v>
      </c>
      <c r="C1806" s="45">
        <v>46167</v>
      </c>
      <c r="D1806" s="76">
        <v>702.12020940255297</v>
      </c>
      <c r="E1806" s="77">
        <v>125</v>
      </c>
      <c r="F1806" s="78">
        <v>10.73306528633</v>
      </c>
      <c r="G1806" s="78">
        <v>10.73306528633</v>
      </c>
      <c r="H1806" s="81">
        <v>10.027440233248701</v>
      </c>
    </row>
    <row r="1807" spans="1:8" x14ac:dyDescent="0.3">
      <c r="A1807" s="74" t="str">
        <f t="shared" si="28"/>
        <v>东营46168</v>
      </c>
      <c r="B1807" s="75" t="s">
        <v>18</v>
      </c>
      <c r="C1807" s="45">
        <v>46168</v>
      </c>
      <c r="D1807" s="76">
        <v>702.12020940255297</v>
      </c>
      <c r="E1807" s="77">
        <v>125</v>
      </c>
      <c r="F1807" s="78">
        <v>10.73306528633</v>
      </c>
      <c r="G1807" s="78">
        <v>10.73306528633</v>
      </c>
      <c r="H1807" s="81">
        <v>10.027440233248701</v>
      </c>
    </row>
    <row r="1808" spans="1:8" x14ac:dyDescent="0.3">
      <c r="A1808" s="74" t="str">
        <f t="shared" si="28"/>
        <v>东营46169</v>
      </c>
      <c r="B1808" s="75" t="s">
        <v>18</v>
      </c>
      <c r="C1808" s="45">
        <v>46169</v>
      </c>
      <c r="D1808" s="76">
        <v>702.12020940255297</v>
      </c>
      <c r="E1808" s="77">
        <v>125</v>
      </c>
      <c r="F1808" s="78">
        <v>10.73306528633</v>
      </c>
      <c r="G1808" s="78">
        <v>10.73306528633</v>
      </c>
      <c r="H1808" s="81">
        <v>10.027440233248701</v>
      </c>
    </row>
    <row r="1809" spans="1:8" x14ac:dyDescent="0.3">
      <c r="A1809" s="74" t="str">
        <f t="shared" si="28"/>
        <v>东营46170</v>
      </c>
      <c r="B1809" s="75" t="s">
        <v>18</v>
      </c>
      <c r="C1809" s="45">
        <v>46170</v>
      </c>
      <c r="D1809" s="76">
        <v>702.12020940255297</v>
      </c>
      <c r="E1809" s="77">
        <v>125</v>
      </c>
      <c r="F1809" s="78">
        <v>10.73306528633</v>
      </c>
      <c r="G1809" s="78">
        <v>10.73306528633</v>
      </c>
      <c r="H1809" s="81">
        <v>10.027440233248701</v>
      </c>
    </row>
    <row r="1810" spans="1:8" x14ac:dyDescent="0.3">
      <c r="A1810" s="74" t="str">
        <f t="shared" si="28"/>
        <v>东营46171</v>
      </c>
      <c r="B1810" s="75" t="s">
        <v>18</v>
      </c>
      <c r="C1810" s="45">
        <v>46171</v>
      </c>
      <c r="D1810" s="76">
        <v>702.12020940255297</v>
      </c>
      <c r="E1810" s="77">
        <v>125</v>
      </c>
      <c r="F1810" s="78">
        <v>10.73306528633</v>
      </c>
      <c r="G1810" s="78">
        <v>10.73306528633</v>
      </c>
      <c r="H1810" s="81">
        <v>10.027440233248701</v>
      </c>
    </row>
    <row r="1811" spans="1:8" x14ac:dyDescent="0.3">
      <c r="A1811" s="74" t="str">
        <f t="shared" si="28"/>
        <v>东营46172</v>
      </c>
      <c r="B1811" s="75" t="s">
        <v>18</v>
      </c>
      <c r="C1811" s="45">
        <v>46172</v>
      </c>
      <c r="D1811" s="76">
        <v>702.12020940255297</v>
      </c>
      <c r="E1811" s="77">
        <v>125</v>
      </c>
      <c r="F1811" s="78">
        <v>10.73306528633</v>
      </c>
      <c r="G1811" s="78">
        <v>10.73306528633</v>
      </c>
      <c r="H1811" s="81">
        <v>10.027440233248701</v>
      </c>
    </row>
    <row r="1812" spans="1:8" x14ac:dyDescent="0.3">
      <c r="A1812" s="74" t="str">
        <f t="shared" si="28"/>
        <v>东营46173</v>
      </c>
      <c r="B1812" s="75" t="s">
        <v>18</v>
      </c>
      <c r="C1812" s="45">
        <v>46173</v>
      </c>
      <c r="D1812" s="76">
        <v>702.12020940255297</v>
      </c>
      <c r="E1812" s="77">
        <v>125</v>
      </c>
      <c r="F1812" s="78">
        <v>10.73306528633</v>
      </c>
      <c r="G1812" s="78">
        <v>10.73306528633</v>
      </c>
      <c r="H1812" s="81">
        <v>10.027440233248701</v>
      </c>
    </row>
    <row r="1813" spans="1:8" x14ac:dyDescent="0.3">
      <c r="A1813" s="74" t="str">
        <f t="shared" si="28"/>
        <v>东营46174</v>
      </c>
      <c r="B1813" s="75" t="s">
        <v>18</v>
      </c>
      <c r="C1813" s="45">
        <v>46174</v>
      </c>
      <c r="D1813" s="76">
        <v>651.55829886647302</v>
      </c>
      <c r="E1813" s="77">
        <v>125</v>
      </c>
      <c r="F1813" s="78">
        <v>11.7783251752602</v>
      </c>
      <c r="G1813" s="78">
        <v>11.7783251752602</v>
      </c>
      <c r="H1813" s="81">
        <v>10.914778934196001</v>
      </c>
    </row>
    <row r="1814" spans="1:8" x14ac:dyDescent="0.3">
      <c r="A1814" s="74" t="str">
        <f t="shared" si="28"/>
        <v>东营46175</v>
      </c>
      <c r="B1814" s="75" t="s">
        <v>18</v>
      </c>
      <c r="C1814" s="45">
        <v>46175</v>
      </c>
      <c r="D1814" s="76">
        <v>651.55829886647302</v>
      </c>
      <c r="E1814" s="77">
        <v>125</v>
      </c>
      <c r="F1814" s="78">
        <v>11.7783251752602</v>
      </c>
      <c r="G1814" s="78">
        <v>11.7783251752602</v>
      </c>
      <c r="H1814" s="81">
        <v>10.914778934196001</v>
      </c>
    </row>
    <row r="1815" spans="1:8" x14ac:dyDescent="0.3">
      <c r="A1815" s="74" t="str">
        <f t="shared" si="28"/>
        <v>东营46176</v>
      </c>
      <c r="B1815" s="75" t="s">
        <v>18</v>
      </c>
      <c r="C1815" s="45">
        <v>46176</v>
      </c>
      <c r="D1815" s="76">
        <v>651.55829886647302</v>
      </c>
      <c r="E1815" s="77">
        <v>125</v>
      </c>
      <c r="F1815" s="78">
        <v>11.7783251752602</v>
      </c>
      <c r="G1815" s="78">
        <v>11.7783251752602</v>
      </c>
      <c r="H1815" s="81">
        <v>10.914778934196001</v>
      </c>
    </row>
    <row r="1816" spans="1:8" x14ac:dyDescent="0.3">
      <c r="A1816" s="74" t="str">
        <f t="shared" si="28"/>
        <v>东营46177</v>
      </c>
      <c r="B1816" s="75" t="s">
        <v>18</v>
      </c>
      <c r="C1816" s="45">
        <v>46177</v>
      </c>
      <c r="D1816" s="76">
        <v>651.55829886647302</v>
      </c>
      <c r="E1816" s="77">
        <v>125</v>
      </c>
      <c r="F1816" s="78">
        <v>11.7783251752602</v>
      </c>
      <c r="G1816" s="78">
        <v>11.7783251752602</v>
      </c>
      <c r="H1816" s="81">
        <v>10.914778934196001</v>
      </c>
    </row>
    <row r="1817" spans="1:8" x14ac:dyDescent="0.3">
      <c r="A1817" s="74" t="str">
        <f t="shared" si="28"/>
        <v>东营46178</v>
      </c>
      <c r="B1817" s="75" t="s">
        <v>18</v>
      </c>
      <c r="C1817" s="45">
        <v>46178</v>
      </c>
      <c r="D1817" s="76">
        <v>651.55829886647302</v>
      </c>
      <c r="E1817" s="77">
        <v>125</v>
      </c>
      <c r="F1817" s="78">
        <v>11.7783251752602</v>
      </c>
      <c r="G1817" s="78">
        <v>11.7783251752602</v>
      </c>
      <c r="H1817" s="81">
        <v>10.914778934196001</v>
      </c>
    </row>
    <row r="1818" spans="1:8" x14ac:dyDescent="0.3">
      <c r="A1818" s="74" t="str">
        <f t="shared" si="28"/>
        <v>东营46179</v>
      </c>
      <c r="B1818" s="75" t="s">
        <v>18</v>
      </c>
      <c r="C1818" s="45">
        <v>46179</v>
      </c>
      <c r="D1818" s="76">
        <v>651.55829886647302</v>
      </c>
      <c r="E1818" s="77">
        <v>125</v>
      </c>
      <c r="F1818" s="78">
        <v>11.7783251752602</v>
      </c>
      <c r="G1818" s="78">
        <v>11.7783251752602</v>
      </c>
      <c r="H1818" s="81">
        <v>10.914778934196001</v>
      </c>
    </row>
    <row r="1819" spans="1:8" x14ac:dyDescent="0.3">
      <c r="A1819" s="74" t="str">
        <f t="shared" si="28"/>
        <v>东营46180</v>
      </c>
      <c r="B1819" s="75" t="s">
        <v>18</v>
      </c>
      <c r="C1819" s="45">
        <v>46180</v>
      </c>
      <c r="D1819" s="76">
        <v>651.55829886647302</v>
      </c>
      <c r="E1819" s="77">
        <v>125</v>
      </c>
      <c r="F1819" s="78">
        <v>11.7783251752602</v>
      </c>
      <c r="G1819" s="78">
        <v>11.7783251752602</v>
      </c>
      <c r="H1819" s="81">
        <v>10.914778934196001</v>
      </c>
    </row>
    <row r="1820" spans="1:8" x14ac:dyDescent="0.3">
      <c r="A1820" s="74" t="str">
        <f t="shared" si="28"/>
        <v>东营46181</v>
      </c>
      <c r="B1820" s="75" t="s">
        <v>18</v>
      </c>
      <c r="C1820" s="45">
        <v>46181</v>
      </c>
      <c r="D1820" s="76">
        <v>651.55829886647302</v>
      </c>
      <c r="E1820" s="77">
        <v>125</v>
      </c>
      <c r="F1820" s="78">
        <v>11.7783251752602</v>
      </c>
      <c r="G1820" s="78">
        <v>11.7783251752602</v>
      </c>
      <c r="H1820" s="81">
        <v>10.914778934196001</v>
      </c>
    </row>
    <row r="1821" spans="1:8" x14ac:dyDescent="0.3">
      <c r="A1821" s="74" t="str">
        <f t="shared" si="28"/>
        <v>东营46182</v>
      </c>
      <c r="B1821" s="75" t="s">
        <v>18</v>
      </c>
      <c r="C1821" s="45">
        <v>46182</v>
      </c>
      <c r="D1821" s="76">
        <v>651.55829886647302</v>
      </c>
      <c r="E1821" s="77">
        <v>125</v>
      </c>
      <c r="F1821" s="78">
        <v>11.7783251752602</v>
      </c>
      <c r="G1821" s="78">
        <v>11.7783251752602</v>
      </c>
      <c r="H1821" s="81">
        <v>10.914778934196001</v>
      </c>
    </row>
    <row r="1822" spans="1:8" x14ac:dyDescent="0.3">
      <c r="A1822" s="74" t="str">
        <f t="shared" si="28"/>
        <v>东营46183</v>
      </c>
      <c r="B1822" s="75" t="s">
        <v>18</v>
      </c>
      <c r="C1822" s="45">
        <v>46183</v>
      </c>
      <c r="D1822" s="76">
        <v>651.55829886647302</v>
      </c>
      <c r="E1822" s="77">
        <v>125</v>
      </c>
      <c r="F1822" s="78">
        <v>11.7783251752602</v>
      </c>
      <c r="G1822" s="78">
        <v>11.7783251752602</v>
      </c>
      <c r="H1822" s="81">
        <v>10.914778934196001</v>
      </c>
    </row>
    <row r="1823" spans="1:8" x14ac:dyDescent="0.3">
      <c r="A1823" s="74" t="str">
        <f t="shared" si="28"/>
        <v>东营46184</v>
      </c>
      <c r="B1823" s="75" t="s">
        <v>18</v>
      </c>
      <c r="C1823" s="45">
        <v>46184</v>
      </c>
      <c r="D1823" s="76">
        <v>651.55829886647302</v>
      </c>
      <c r="E1823" s="77">
        <v>125</v>
      </c>
      <c r="F1823" s="78">
        <v>11.7783251752602</v>
      </c>
      <c r="G1823" s="78">
        <v>11.7783251752602</v>
      </c>
      <c r="H1823" s="81">
        <v>10.914778934196001</v>
      </c>
    </row>
    <row r="1824" spans="1:8" x14ac:dyDescent="0.3">
      <c r="A1824" s="74" t="str">
        <f t="shared" si="28"/>
        <v>东营46185</v>
      </c>
      <c r="B1824" s="75" t="s">
        <v>18</v>
      </c>
      <c r="C1824" s="45">
        <v>46185</v>
      </c>
      <c r="D1824" s="76">
        <v>651.55829886647302</v>
      </c>
      <c r="E1824" s="77">
        <v>125</v>
      </c>
      <c r="F1824" s="78">
        <v>11.7783251752602</v>
      </c>
      <c r="G1824" s="78">
        <v>11.7783251752602</v>
      </c>
      <c r="H1824" s="81">
        <v>10.914778934196001</v>
      </c>
    </row>
    <row r="1825" spans="1:8" x14ac:dyDescent="0.3">
      <c r="A1825" s="74" t="str">
        <f t="shared" si="28"/>
        <v>东营46186</v>
      </c>
      <c r="B1825" s="75" t="s">
        <v>18</v>
      </c>
      <c r="C1825" s="45">
        <v>46186</v>
      </c>
      <c r="D1825" s="76">
        <v>651.55829886647302</v>
      </c>
      <c r="E1825" s="77">
        <v>125</v>
      </c>
      <c r="F1825" s="78">
        <v>11.7783251752602</v>
      </c>
      <c r="G1825" s="78">
        <v>11.7783251752602</v>
      </c>
      <c r="H1825" s="81">
        <v>10.914778934196001</v>
      </c>
    </row>
    <row r="1826" spans="1:8" x14ac:dyDescent="0.3">
      <c r="A1826" s="74" t="str">
        <f t="shared" si="28"/>
        <v>东营46187</v>
      </c>
      <c r="B1826" s="75" t="s">
        <v>18</v>
      </c>
      <c r="C1826" s="45">
        <v>46187</v>
      </c>
      <c r="D1826" s="76">
        <v>651.55829886647302</v>
      </c>
      <c r="E1826" s="77">
        <v>125</v>
      </c>
      <c r="F1826" s="78">
        <v>11.7783251752602</v>
      </c>
      <c r="G1826" s="78">
        <v>11.7783251752602</v>
      </c>
      <c r="H1826" s="81">
        <v>10.914778934196001</v>
      </c>
    </row>
    <row r="1827" spans="1:8" x14ac:dyDescent="0.3">
      <c r="A1827" s="74" t="str">
        <f t="shared" si="28"/>
        <v>东营46188</v>
      </c>
      <c r="B1827" s="75" t="s">
        <v>18</v>
      </c>
      <c r="C1827" s="45">
        <v>46188</v>
      </c>
      <c r="D1827" s="76">
        <v>651.55829886647302</v>
      </c>
      <c r="E1827" s="77">
        <v>125</v>
      </c>
      <c r="F1827" s="78">
        <v>11.7783251752602</v>
      </c>
      <c r="G1827" s="78">
        <v>11.7783251752602</v>
      </c>
      <c r="H1827" s="81">
        <v>10.914778934196001</v>
      </c>
    </row>
    <row r="1828" spans="1:8" x14ac:dyDescent="0.3">
      <c r="A1828" s="74" t="str">
        <f t="shared" si="28"/>
        <v>东营46189</v>
      </c>
      <c r="B1828" s="75" t="s">
        <v>18</v>
      </c>
      <c r="C1828" s="45">
        <v>46189</v>
      </c>
      <c r="D1828" s="76">
        <v>651.55829886647302</v>
      </c>
      <c r="E1828" s="77">
        <v>125</v>
      </c>
      <c r="F1828" s="78">
        <v>11.7783251752602</v>
      </c>
      <c r="G1828" s="78">
        <v>11.7783251752602</v>
      </c>
      <c r="H1828" s="81">
        <v>10.914778934196001</v>
      </c>
    </row>
    <row r="1829" spans="1:8" x14ac:dyDescent="0.3">
      <c r="A1829" s="74" t="str">
        <f t="shared" si="28"/>
        <v>东营46190</v>
      </c>
      <c r="B1829" s="75" t="s">
        <v>18</v>
      </c>
      <c r="C1829" s="45">
        <v>46190</v>
      </c>
      <c r="D1829" s="76">
        <v>651.55829886647302</v>
      </c>
      <c r="E1829" s="77">
        <v>125</v>
      </c>
      <c r="F1829" s="78">
        <v>11.7783251752602</v>
      </c>
      <c r="G1829" s="78">
        <v>11.7783251752602</v>
      </c>
      <c r="H1829" s="81">
        <v>10.914778934196001</v>
      </c>
    </row>
    <row r="1830" spans="1:8" x14ac:dyDescent="0.3">
      <c r="A1830" s="74" t="str">
        <f t="shared" si="28"/>
        <v>东营46191</v>
      </c>
      <c r="B1830" s="75" t="s">
        <v>18</v>
      </c>
      <c r="C1830" s="45">
        <v>46191</v>
      </c>
      <c r="D1830" s="76">
        <v>651.55829886647302</v>
      </c>
      <c r="E1830" s="77">
        <v>125</v>
      </c>
      <c r="F1830" s="78">
        <v>11.7783251752602</v>
      </c>
      <c r="G1830" s="78">
        <v>11.7783251752602</v>
      </c>
      <c r="H1830" s="81">
        <v>10.914778934196001</v>
      </c>
    </row>
    <row r="1831" spans="1:8" x14ac:dyDescent="0.3">
      <c r="A1831" s="74" t="str">
        <f t="shared" si="28"/>
        <v>东营46192</v>
      </c>
      <c r="B1831" s="75" t="s">
        <v>18</v>
      </c>
      <c r="C1831" s="45">
        <v>46192</v>
      </c>
      <c r="D1831" s="76">
        <v>651.55829886647302</v>
      </c>
      <c r="E1831" s="77">
        <v>125</v>
      </c>
      <c r="F1831" s="78">
        <v>11.7783251752602</v>
      </c>
      <c r="G1831" s="78">
        <v>11.7783251752602</v>
      </c>
      <c r="H1831" s="81">
        <v>10.914778934196001</v>
      </c>
    </row>
    <row r="1832" spans="1:8" x14ac:dyDescent="0.3">
      <c r="A1832" s="74" t="str">
        <f t="shared" si="28"/>
        <v>东营46193</v>
      </c>
      <c r="B1832" s="75" t="s">
        <v>18</v>
      </c>
      <c r="C1832" s="45">
        <v>46193</v>
      </c>
      <c r="D1832" s="76">
        <v>651.55829886647302</v>
      </c>
      <c r="E1832" s="77">
        <v>125</v>
      </c>
      <c r="F1832" s="78">
        <v>11.7783251752602</v>
      </c>
      <c r="G1832" s="78">
        <v>11.7783251752602</v>
      </c>
      <c r="H1832" s="81">
        <v>10.914778934196001</v>
      </c>
    </row>
    <row r="1833" spans="1:8" x14ac:dyDescent="0.3">
      <c r="A1833" s="74" t="str">
        <f t="shared" si="28"/>
        <v>东营46194</v>
      </c>
      <c r="B1833" s="75" t="s">
        <v>18</v>
      </c>
      <c r="C1833" s="45">
        <v>46194</v>
      </c>
      <c r="D1833" s="76">
        <v>651.55829886647302</v>
      </c>
      <c r="E1833" s="77">
        <v>125</v>
      </c>
      <c r="F1833" s="78">
        <v>11.7783251752602</v>
      </c>
      <c r="G1833" s="78">
        <v>11.7783251752602</v>
      </c>
      <c r="H1833" s="81">
        <v>10.914778934196001</v>
      </c>
    </row>
    <row r="1834" spans="1:8" x14ac:dyDescent="0.3">
      <c r="A1834" s="74" t="str">
        <f t="shared" si="28"/>
        <v>东营46195</v>
      </c>
      <c r="B1834" s="75" t="s">
        <v>18</v>
      </c>
      <c r="C1834" s="45">
        <v>46195</v>
      </c>
      <c r="D1834" s="76">
        <v>651.55829886647302</v>
      </c>
      <c r="E1834" s="77">
        <v>125</v>
      </c>
      <c r="F1834" s="78">
        <v>11.7783251752602</v>
      </c>
      <c r="G1834" s="78">
        <v>11.7783251752602</v>
      </c>
      <c r="H1834" s="81">
        <v>10.914778934196001</v>
      </c>
    </row>
    <row r="1835" spans="1:8" x14ac:dyDescent="0.3">
      <c r="A1835" s="74" t="str">
        <f t="shared" si="28"/>
        <v>东营46196</v>
      </c>
      <c r="B1835" s="75" t="s">
        <v>18</v>
      </c>
      <c r="C1835" s="45">
        <v>46196</v>
      </c>
      <c r="D1835" s="76">
        <v>651.55829886647302</v>
      </c>
      <c r="E1835" s="77">
        <v>125</v>
      </c>
      <c r="F1835" s="78">
        <v>11.7783251752602</v>
      </c>
      <c r="G1835" s="78">
        <v>11.7783251752602</v>
      </c>
      <c r="H1835" s="81">
        <v>10.914778934196001</v>
      </c>
    </row>
    <row r="1836" spans="1:8" x14ac:dyDescent="0.3">
      <c r="A1836" s="74" t="str">
        <f t="shared" si="28"/>
        <v>东营46197</v>
      </c>
      <c r="B1836" s="75" t="s">
        <v>18</v>
      </c>
      <c r="C1836" s="45">
        <v>46197</v>
      </c>
      <c r="D1836" s="76">
        <v>651.55829886647302</v>
      </c>
      <c r="E1836" s="77">
        <v>125</v>
      </c>
      <c r="F1836" s="78">
        <v>11.7783251752602</v>
      </c>
      <c r="G1836" s="78">
        <v>11.7783251752602</v>
      </c>
      <c r="H1836" s="81">
        <v>10.914778934196001</v>
      </c>
    </row>
    <row r="1837" spans="1:8" x14ac:dyDescent="0.3">
      <c r="A1837" s="74" t="str">
        <f t="shared" si="28"/>
        <v>东营46198</v>
      </c>
      <c r="B1837" s="75" t="s">
        <v>18</v>
      </c>
      <c r="C1837" s="45">
        <v>46198</v>
      </c>
      <c r="D1837" s="76">
        <v>651.55829886647302</v>
      </c>
      <c r="E1837" s="77">
        <v>125</v>
      </c>
      <c r="F1837" s="78">
        <v>11.7783251752602</v>
      </c>
      <c r="G1837" s="78">
        <v>11.7783251752602</v>
      </c>
      <c r="H1837" s="81">
        <v>10.914778934196001</v>
      </c>
    </row>
    <row r="1838" spans="1:8" x14ac:dyDescent="0.3">
      <c r="A1838" s="74" t="str">
        <f t="shared" si="28"/>
        <v>东营46199</v>
      </c>
      <c r="B1838" s="75" t="s">
        <v>18</v>
      </c>
      <c r="C1838" s="45">
        <v>46199</v>
      </c>
      <c r="D1838" s="76">
        <v>651.55829886647302</v>
      </c>
      <c r="E1838" s="77">
        <v>125</v>
      </c>
      <c r="F1838" s="78">
        <v>11.7783251752602</v>
      </c>
      <c r="G1838" s="78">
        <v>11.7783251752602</v>
      </c>
      <c r="H1838" s="81">
        <v>10.914778934196001</v>
      </c>
    </row>
    <row r="1839" spans="1:8" x14ac:dyDescent="0.3">
      <c r="A1839" s="74" t="str">
        <f t="shared" si="28"/>
        <v>东营46200</v>
      </c>
      <c r="B1839" s="75" t="s">
        <v>18</v>
      </c>
      <c r="C1839" s="45">
        <v>46200</v>
      </c>
      <c r="D1839" s="76">
        <v>651.55829886647302</v>
      </c>
      <c r="E1839" s="77">
        <v>125</v>
      </c>
      <c r="F1839" s="78">
        <v>11.7783251752602</v>
      </c>
      <c r="G1839" s="78">
        <v>11.7783251752602</v>
      </c>
      <c r="H1839" s="81">
        <v>10.914778934196001</v>
      </c>
    </row>
    <row r="1840" spans="1:8" x14ac:dyDescent="0.3">
      <c r="A1840" s="74" t="str">
        <f t="shared" si="28"/>
        <v>东营46201</v>
      </c>
      <c r="B1840" s="75" t="s">
        <v>18</v>
      </c>
      <c r="C1840" s="45">
        <v>46201</v>
      </c>
      <c r="D1840" s="76">
        <v>651.55829886647302</v>
      </c>
      <c r="E1840" s="77">
        <v>125</v>
      </c>
      <c r="F1840" s="78">
        <v>11.7783251752602</v>
      </c>
      <c r="G1840" s="78">
        <v>11.7783251752602</v>
      </c>
      <c r="H1840" s="81">
        <v>10.914778934196001</v>
      </c>
    </row>
    <row r="1841" spans="1:8" x14ac:dyDescent="0.3">
      <c r="A1841" s="74" t="str">
        <f t="shared" si="28"/>
        <v>东营46202</v>
      </c>
      <c r="B1841" s="75" t="s">
        <v>18</v>
      </c>
      <c r="C1841" s="45">
        <v>46202</v>
      </c>
      <c r="D1841" s="76">
        <v>651.55829886647302</v>
      </c>
      <c r="E1841" s="77">
        <v>125</v>
      </c>
      <c r="F1841" s="78">
        <v>11.7783251752602</v>
      </c>
      <c r="G1841" s="78">
        <v>11.7783251752602</v>
      </c>
      <c r="H1841" s="81">
        <v>10.914778934196001</v>
      </c>
    </row>
    <row r="1842" spans="1:8" x14ac:dyDescent="0.3">
      <c r="A1842" s="74" t="str">
        <f t="shared" si="28"/>
        <v>东营46203</v>
      </c>
      <c r="B1842" s="75" t="s">
        <v>18</v>
      </c>
      <c r="C1842" s="45">
        <v>46203</v>
      </c>
      <c r="D1842" s="76">
        <v>651.55829886647302</v>
      </c>
      <c r="E1842" s="77">
        <v>125</v>
      </c>
      <c r="F1842" s="78">
        <v>11.7783251752602</v>
      </c>
      <c r="G1842" s="78">
        <v>11.7783251752602</v>
      </c>
      <c r="H1842" s="81">
        <v>10.914778934196001</v>
      </c>
    </row>
    <row r="1843" spans="1:8" x14ac:dyDescent="0.3">
      <c r="A1843" s="74" t="str">
        <f t="shared" si="28"/>
        <v>东营46204</v>
      </c>
      <c r="B1843" s="75" t="s">
        <v>18</v>
      </c>
      <c r="C1843" s="45">
        <v>46204</v>
      </c>
      <c r="D1843" s="76">
        <v>742.64828361607499</v>
      </c>
      <c r="E1843" s="77">
        <v>125</v>
      </c>
      <c r="F1843" s="78">
        <v>12.2718756975713</v>
      </c>
      <c r="G1843" s="78">
        <v>12.2718756975713</v>
      </c>
      <c r="H1843" s="81">
        <v>11.8021176351434</v>
      </c>
    </row>
    <row r="1844" spans="1:8" x14ac:dyDescent="0.3">
      <c r="A1844" s="74" t="str">
        <f t="shared" si="28"/>
        <v>东营46205</v>
      </c>
      <c r="B1844" s="75" t="s">
        <v>18</v>
      </c>
      <c r="C1844" s="45">
        <v>46205</v>
      </c>
      <c r="D1844" s="76">
        <v>742.64828361607499</v>
      </c>
      <c r="E1844" s="77">
        <v>125</v>
      </c>
      <c r="F1844" s="78">
        <v>12.2718756975713</v>
      </c>
      <c r="G1844" s="78">
        <v>12.2718756975713</v>
      </c>
      <c r="H1844" s="81">
        <v>11.8021176351434</v>
      </c>
    </row>
    <row r="1845" spans="1:8" x14ac:dyDescent="0.3">
      <c r="A1845" s="74" t="str">
        <f t="shared" si="28"/>
        <v>东营46206</v>
      </c>
      <c r="B1845" s="75" t="s">
        <v>18</v>
      </c>
      <c r="C1845" s="45">
        <v>46206</v>
      </c>
      <c r="D1845" s="76">
        <v>742.64828361607499</v>
      </c>
      <c r="E1845" s="77">
        <v>125</v>
      </c>
      <c r="F1845" s="78">
        <v>12.2718756975713</v>
      </c>
      <c r="G1845" s="78">
        <v>12.2718756975713</v>
      </c>
      <c r="H1845" s="81">
        <v>11.8021176351434</v>
      </c>
    </row>
    <row r="1846" spans="1:8" x14ac:dyDescent="0.3">
      <c r="A1846" s="74" t="str">
        <f t="shared" si="28"/>
        <v>东营46207</v>
      </c>
      <c r="B1846" s="75" t="s">
        <v>18</v>
      </c>
      <c r="C1846" s="45">
        <v>46207</v>
      </c>
      <c r="D1846" s="76">
        <v>742.64828361607499</v>
      </c>
      <c r="E1846" s="77">
        <v>125</v>
      </c>
      <c r="F1846" s="78">
        <v>12.2718756975713</v>
      </c>
      <c r="G1846" s="78">
        <v>12.2718756975713</v>
      </c>
      <c r="H1846" s="81">
        <v>11.8021176351434</v>
      </c>
    </row>
    <row r="1847" spans="1:8" x14ac:dyDescent="0.3">
      <c r="A1847" s="74" t="str">
        <f t="shared" si="28"/>
        <v>东营46208</v>
      </c>
      <c r="B1847" s="75" t="s">
        <v>18</v>
      </c>
      <c r="C1847" s="45">
        <v>46208</v>
      </c>
      <c r="D1847" s="76">
        <v>742.64828361607499</v>
      </c>
      <c r="E1847" s="77">
        <v>125</v>
      </c>
      <c r="F1847" s="78">
        <v>12.2718756975713</v>
      </c>
      <c r="G1847" s="78">
        <v>12.2718756975713</v>
      </c>
      <c r="H1847" s="81">
        <v>11.8021176351434</v>
      </c>
    </row>
    <row r="1848" spans="1:8" x14ac:dyDescent="0.3">
      <c r="A1848" s="74" t="str">
        <f t="shared" si="28"/>
        <v>东营46209</v>
      </c>
      <c r="B1848" s="75" t="s">
        <v>18</v>
      </c>
      <c r="C1848" s="45">
        <v>46209</v>
      </c>
      <c r="D1848" s="76">
        <v>742.64828361607499</v>
      </c>
      <c r="E1848" s="77">
        <v>125</v>
      </c>
      <c r="F1848" s="78">
        <v>12.2718756975713</v>
      </c>
      <c r="G1848" s="78">
        <v>12.2718756975713</v>
      </c>
      <c r="H1848" s="81">
        <v>11.8021176351434</v>
      </c>
    </row>
    <row r="1849" spans="1:8" x14ac:dyDescent="0.3">
      <c r="A1849" s="74" t="str">
        <f t="shared" si="28"/>
        <v>东营46210</v>
      </c>
      <c r="B1849" s="75" t="s">
        <v>18</v>
      </c>
      <c r="C1849" s="45">
        <v>46210</v>
      </c>
      <c r="D1849" s="76">
        <v>742.64828361607499</v>
      </c>
      <c r="E1849" s="77">
        <v>125</v>
      </c>
      <c r="F1849" s="78">
        <v>12.2718756975713</v>
      </c>
      <c r="G1849" s="78">
        <v>12.2718756975713</v>
      </c>
      <c r="H1849" s="81">
        <v>11.8021176351434</v>
      </c>
    </row>
    <row r="1850" spans="1:8" x14ac:dyDescent="0.3">
      <c r="A1850" s="74" t="str">
        <f t="shared" si="28"/>
        <v>东营46211</v>
      </c>
      <c r="B1850" s="75" t="s">
        <v>18</v>
      </c>
      <c r="C1850" s="45">
        <v>46211</v>
      </c>
      <c r="D1850" s="76">
        <v>742.64828361607499</v>
      </c>
      <c r="E1850" s="77">
        <v>125</v>
      </c>
      <c r="F1850" s="78">
        <v>12.2718756975713</v>
      </c>
      <c r="G1850" s="78">
        <v>12.2718756975713</v>
      </c>
      <c r="H1850" s="81">
        <v>11.8021176351434</v>
      </c>
    </row>
    <row r="1851" spans="1:8" x14ac:dyDescent="0.3">
      <c r="A1851" s="74" t="str">
        <f t="shared" si="28"/>
        <v>东营46212</v>
      </c>
      <c r="B1851" s="75" t="s">
        <v>18</v>
      </c>
      <c r="C1851" s="45">
        <v>46212</v>
      </c>
      <c r="D1851" s="76">
        <v>742.64828361607499</v>
      </c>
      <c r="E1851" s="77">
        <v>125</v>
      </c>
      <c r="F1851" s="78">
        <v>12.2718756975713</v>
      </c>
      <c r="G1851" s="78">
        <v>12.2718756975713</v>
      </c>
      <c r="H1851" s="81">
        <v>11.8021176351434</v>
      </c>
    </row>
    <row r="1852" spans="1:8" x14ac:dyDescent="0.3">
      <c r="A1852" s="74" t="str">
        <f t="shared" si="28"/>
        <v>东营46213</v>
      </c>
      <c r="B1852" s="75" t="s">
        <v>18</v>
      </c>
      <c r="C1852" s="45">
        <v>46213</v>
      </c>
      <c r="D1852" s="76">
        <v>742.64828361607499</v>
      </c>
      <c r="E1852" s="77">
        <v>125</v>
      </c>
      <c r="F1852" s="78">
        <v>12.2718756975713</v>
      </c>
      <c r="G1852" s="78">
        <v>12.2718756975713</v>
      </c>
      <c r="H1852" s="81">
        <v>11.8021176351434</v>
      </c>
    </row>
    <row r="1853" spans="1:8" x14ac:dyDescent="0.3">
      <c r="A1853" s="74" t="str">
        <f t="shared" si="28"/>
        <v>东营46214</v>
      </c>
      <c r="B1853" s="75" t="s">
        <v>18</v>
      </c>
      <c r="C1853" s="45">
        <v>46214</v>
      </c>
      <c r="D1853" s="76">
        <v>742.64828361607499</v>
      </c>
      <c r="E1853" s="77">
        <v>125</v>
      </c>
      <c r="F1853" s="78">
        <v>12.2718756975713</v>
      </c>
      <c r="G1853" s="78">
        <v>12.2718756975713</v>
      </c>
      <c r="H1853" s="81">
        <v>11.8021176351434</v>
      </c>
    </row>
    <row r="1854" spans="1:8" x14ac:dyDescent="0.3">
      <c r="A1854" s="74" t="str">
        <f t="shared" si="28"/>
        <v>东营46215</v>
      </c>
      <c r="B1854" s="75" t="s">
        <v>18</v>
      </c>
      <c r="C1854" s="45">
        <v>46215</v>
      </c>
      <c r="D1854" s="76">
        <v>742.64828361607499</v>
      </c>
      <c r="E1854" s="77">
        <v>125</v>
      </c>
      <c r="F1854" s="78">
        <v>12.2718756975713</v>
      </c>
      <c r="G1854" s="78">
        <v>12.2718756975713</v>
      </c>
      <c r="H1854" s="81">
        <v>11.8021176351434</v>
      </c>
    </row>
    <row r="1855" spans="1:8" x14ac:dyDescent="0.3">
      <c r="A1855" s="74" t="str">
        <f t="shared" si="28"/>
        <v>东营46216</v>
      </c>
      <c r="B1855" s="75" t="s">
        <v>18</v>
      </c>
      <c r="C1855" s="45">
        <v>46216</v>
      </c>
      <c r="D1855" s="76">
        <v>742.64828361607499</v>
      </c>
      <c r="E1855" s="77">
        <v>125</v>
      </c>
      <c r="F1855" s="78">
        <v>12.2718756975713</v>
      </c>
      <c r="G1855" s="78">
        <v>12.2718756975713</v>
      </c>
      <c r="H1855" s="81">
        <v>11.8021176351434</v>
      </c>
    </row>
    <row r="1856" spans="1:8" x14ac:dyDescent="0.3">
      <c r="A1856" s="74" t="str">
        <f t="shared" si="28"/>
        <v>东营46217</v>
      </c>
      <c r="B1856" s="75" t="s">
        <v>18</v>
      </c>
      <c r="C1856" s="45">
        <v>46217</v>
      </c>
      <c r="D1856" s="76">
        <v>742.64828361607499</v>
      </c>
      <c r="E1856" s="77">
        <v>125</v>
      </c>
      <c r="F1856" s="78">
        <v>12.2718756975713</v>
      </c>
      <c r="G1856" s="78">
        <v>12.2718756975713</v>
      </c>
      <c r="H1856" s="81">
        <v>11.8021176351434</v>
      </c>
    </row>
    <row r="1857" spans="1:8" x14ac:dyDescent="0.3">
      <c r="A1857" s="74" t="str">
        <f t="shared" si="28"/>
        <v>东营46218</v>
      </c>
      <c r="B1857" s="75" t="s">
        <v>18</v>
      </c>
      <c r="C1857" s="45">
        <v>46218</v>
      </c>
      <c r="D1857" s="76">
        <v>742.64828361607499</v>
      </c>
      <c r="E1857" s="77">
        <v>125</v>
      </c>
      <c r="F1857" s="78">
        <v>12.2718756975713</v>
      </c>
      <c r="G1857" s="78">
        <v>12.2718756975713</v>
      </c>
      <c r="H1857" s="81">
        <v>11.8021176351434</v>
      </c>
    </row>
    <row r="1858" spans="1:8" x14ac:dyDescent="0.3">
      <c r="A1858" s="74" t="str">
        <f t="shared" si="28"/>
        <v>东营46219</v>
      </c>
      <c r="B1858" s="75" t="s">
        <v>18</v>
      </c>
      <c r="C1858" s="45">
        <v>46219</v>
      </c>
      <c r="D1858" s="76">
        <v>742.64828361607499</v>
      </c>
      <c r="E1858" s="77">
        <v>125</v>
      </c>
      <c r="F1858" s="78">
        <v>12.2718756975713</v>
      </c>
      <c r="G1858" s="78">
        <v>12.2718756975713</v>
      </c>
      <c r="H1858" s="81">
        <v>11.8021176351434</v>
      </c>
    </row>
    <row r="1859" spans="1:8" x14ac:dyDescent="0.3">
      <c r="A1859" s="74" t="str">
        <f t="shared" ref="A1859:A1922" si="29">B1859&amp;C1859</f>
        <v>东营46220</v>
      </c>
      <c r="B1859" s="75" t="s">
        <v>18</v>
      </c>
      <c r="C1859" s="45">
        <v>46220</v>
      </c>
      <c r="D1859" s="76">
        <v>742.64828361607499</v>
      </c>
      <c r="E1859" s="77">
        <v>125</v>
      </c>
      <c r="F1859" s="78">
        <v>12.2718756975713</v>
      </c>
      <c r="G1859" s="78">
        <v>12.2718756975713</v>
      </c>
      <c r="H1859" s="81">
        <v>11.8021176351434</v>
      </c>
    </row>
    <row r="1860" spans="1:8" x14ac:dyDescent="0.3">
      <c r="A1860" s="74" t="str">
        <f t="shared" si="29"/>
        <v>东营46221</v>
      </c>
      <c r="B1860" s="75" t="s">
        <v>18</v>
      </c>
      <c r="C1860" s="45">
        <v>46221</v>
      </c>
      <c r="D1860" s="76">
        <v>742.64828361607499</v>
      </c>
      <c r="E1860" s="77">
        <v>125</v>
      </c>
      <c r="F1860" s="78">
        <v>12.2718756975713</v>
      </c>
      <c r="G1860" s="78">
        <v>12.2718756975713</v>
      </c>
      <c r="H1860" s="81">
        <v>11.8021176351434</v>
      </c>
    </row>
    <row r="1861" spans="1:8" x14ac:dyDescent="0.3">
      <c r="A1861" s="74" t="str">
        <f t="shared" si="29"/>
        <v>东营46222</v>
      </c>
      <c r="B1861" s="75" t="s">
        <v>18</v>
      </c>
      <c r="C1861" s="45">
        <v>46222</v>
      </c>
      <c r="D1861" s="76">
        <v>742.64828361607499</v>
      </c>
      <c r="E1861" s="77">
        <v>125</v>
      </c>
      <c r="F1861" s="78">
        <v>12.2718756975713</v>
      </c>
      <c r="G1861" s="78">
        <v>12.2718756975713</v>
      </c>
      <c r="H1861" s="81">
        <v>11.8021176351434</v>
      </c>
    </row>
    <row r="1862" spans="1:8" x14ac:dyDescent="0.3">
      <c r="A1862" s="74" t="str">
        <f t="shared" si="29"/>
        <v>东营46223</v>
      </c>
      <c r="B1862" s="75" t="s">
        <v>18</v>
      </c>
      <c r="C1862" s="45">
        <v>46223</v>
      </c>
      <c r="D1862" s="76">
        <v>742.64828361607499</v>
      </c>
      <c r="E1862" s="77">
        <v>125</v>
      </c>
      <c r="F1862" s="78">
        <v>12.2718756975713</v>
      </c>
      <c r="G1862" s="78">
        <v>12.2718756975713</v>
      </c>
      <c r="H1862" s="81">
        <v>11.8021176351434</v>
      </c>
    </row>
    <row r="1863" spans="1:8" x14ac:dyDescent="0.3">
      <c r="A1863" s="74" t="str">
        <f t="shared" si="29"/>
        <v>东营46224</v>
      </c>
      <c r="B1863" s="75" t="s">
        <v>18</v>
      </c>
      <c r="C1863" s="45">
        <v>46224</v>
      </c>
      <c r="D1863" s="76">
        <v>742.64828361607499</v>
      </c>
      <c r="E1863" s="77">
        <v>125</v>
      </c>
      <c r="F1863" s="78">
        <v>12.2718756975713</v>
      </c>
      <c r="G1863" s="78">
        <v>12.2718756975713</v>
      </c>
      <c r="H1863" s="81">
        <v>11.8021176351434</v>
      </c>
    </row>
    <row r="1864" spans="1:8" x14ac:dyDescent="0.3">
      <c r="A1864" s="74" t="str">
        <f t="shared" si="29"/>
        <v>东营46225</v>
      </c>
      <c r="B1864" s="75" t="s">
        <v>18</v>
      </c>
      <c r="C1864" s="45">
        <v>46225</v>
      </c>
      <c r="D1864" s="76">
        <v>742.64828361607499</v>
      </c>
      <c r="E1864" s="77">
        <v>125</v>
      </c>
      <c r="F1864" s="78">
        <v>12.2718756975713</v>
      </c>
      <c r="G1864" s="78">
        <v>12.2718756975713</v>
      </c>
      <c r="H1864" s="81">
        <v>11.8021176351434</v>
      </c>
    </row>
    <row r="1865" spans="1:8" x14ac:dyDescent="0.3">
      <c r="A1865" s="74" t="str">
        <f t="shared" si="29"/>
        <v>东营46226</v>
      </c>
      <c r="B1865" s="75" t="s">
        <v>18</v>
      </c>
      <c r="C1865" s="45">
        <v>46226</v>
      </c>
      <c r="D1865" s="76">
        <v>742.64828361607499</v>
      </c>
      <c r="E1865" s="77">
        <v>125</v>
      </c>
      <c r="F1865" s="78">
        <v>12.2718756975713</v>
      </c>
      <c r="G1865" s="78">
        <v>12.2718756975713</v>
      </c>
      <c r="H1865" s="81">
        <v>11.8021176351434</v>
      </c>
    </row>
    <row r="1866" spans="1:8" x14ac:dyDescent="0.3">
      <c r="A1866" s="74" t="str">
        <f t="shared" si="29"/>
        <v>东营46227</v>
      </c>
      <c r="B1866" s="75" t="s">
        <v>18</v>
      </c>
      <c r="C1866" s="45">
        <v>46227</v>
      </c>
      <c r="D1866" s="76">
        <v>742.64828361607499</v>
      </c>
      <c r="E1866" s="77">
        <v>125</v>
      </c>
      <c r="F1866" s="78">
        <v>12.2718756975713</v>
      </c>
      <c r="G1866" s="78">
        <v>12.2718756975713</v>
      </c>
      <c r="H1866" s="81">
        <v>11.8021176351434</v>
      </c>
    </row>
    <row r="1867" spans="1:8" x14ac:dyDescent="0.3">
      <c r="A1867" s="74" t="str">
        <f t="shared" si="29"/>
        <v>东营46228</v>
      </c>
      <c r="B1867" s="75" t="s">
        <v>18</v>
      </c>
      <c r="C1867" s="45">
        <v>46228</v>
      </c>
      <c r="D1867" s="76">
        <v>742.64828361607499</v>
      </c>
      <c r="E1867" s="77">
        <v>125</v>
      </c>
      <c r="F1867" s="78">
        <v>12.2718756975713</v>
      </c>
      <c r="G1867" s="78">
        <v>12.2718756975713</v>
      </c>
      <c r="H1867" s="81">
        <v>11.8021176351434</v>
      </c>
    </row>
    <row r="1868" spans="1:8" x14ac:dyDescent="0.3">
      <c r="A1868" s="74" t="str">
        <f t="shared" si="29"/>
        <v>东营46229</v>
      </c>
      <c r="B1868" s="75" t="s">
        <v>18</v>
      </c>
      <c r="C1868" s="45">
        <v>46229</v>
      </c>
      <c r="D1868" s="76">
        <v>742.64828361607499</v>
      </c>
      <c r="E1868" s="77">
        <v>125</v>
      </c>
      <c r="F1868" s="78">
        <v>12.2718756975713</v>
      </c>
      <c r="G1868" s="78">
        <v>12.2718756975713</v>
      </c>
      <c r="H1868" s="81">
        <v>11.8021176351434</v>
      </c>
    </row>
    <row r="1869" spans="1:8" x14ac:dyDescent="0.3">
      <c r="A1869" s="74" t="str">
        <f t="shared" si="29"/>
        <v>东营46230</v>
      </c>
      <c r="B1869" s="75" t="s">
        <v>18</v>
      </c>
      <c r="C1869" s="45">
        <v>46230</v>
      </c>
      <c r="D1869" s="76">
        <v>742.64828361607499</v>
      </c>
      <c r="E1869" s="77">
        <v>125</v>
      </c>
      <c r="F1869" s="78">
        <v>12.2718756975713</v>
      </c>
      <c r="G1869" s="78">
        <v>12.2718756975713</v>
      </c>
      <c r="H1869" s="81">
        <v>11.8021176351434</v>
      </c>
    </row>
    <row r="1870" spans="1:8" x14ac:dyDescent="0.3">
      <c r="A1870" s="74" t="str">
        <f t="shared" si="29"/>
        <v>东营46231</v>
      </c>
      <c r="B1870" s="75" t="s">
        <v>18</v>
      </c>
      <c r="C1870" s="45">
        <v>46231</v>
      </c>
      <c r="D1870" s="76">
        <v>742.64828361607499</v>
      </c>
      <c r="E1870" s="77">
        <v>125</v>
      </c>
      <c r="F1870" s="78">
        <v>12.2718756975713</v>
      </c>
      <c r="G1870" s="78">
        <v>12.2718756975713</v>
      </c>
      <c r="H1870" s="81">
        <v>11.8021176351434</v>
      </c>
    </row>
    <row r="1871" spans="1:8" x14ac:dyDescent="0.3">
      <c r="A1871" s="74" t="str">
        <f t="shared" si="29"/>
        <v>东营46232</v>
      </c>
      <c r="B1871" s="75" t="s">
        <v>18</v>
      </c>
      <c r="C1871" s="45">
        <v>46232</v>
      </c>
      <c r="D1871" s="76">
        <v>742.64828361607499</v>
      </c>
      <c r="E1871" s="77">
        <v>125</v>
      </c>
      <c r="F1871" s="78">
        <v>12.2718756975713</v>
      </c>
      <c r="G1871" s="78">
        <v>12.2718756975713</v>
      </c>
      <c r="H1871" s="81">
        <v>11.8021176351434</v>
      </c>
    </row>
    <row r="1872" spans="1:8" x14ac:dyDescent="0.3">
      <c r="A1872" s="74" t="str">
        <f t="shared" si="29"/>
        <v>东营46233</v>
      </c>
      <c r="B1872" s="75" t="s">
        <v>18</v>
      </c>
      <c r="C1872" s="45">
        <v>46233</v>
      </c>
      <c r="D1872" s="76">
        <v>742.64828361607499</v>
      </c>
      <c r="E1872" s="77">
        <v>125</v>
      </c>
      <c r="F1872" s="78">
        <v>12.2718756975713</v>
      </c>
      <c r="G1872" s="78">
        <v>12.2718756975713</v>
      </c>
      <c r="H1872" s="81">
        <v>11.8021176351434</v>
      </c>
    </row>
    <row r="1873" spans="1:8" x14ac:dyDescent="0.3">
      <c r="A1873" s="74" t="str">
        <f t="shared" si="29"/>
        <v>东营46234</v>
      </c>
      <c r="B1873" s="75" t="s">
        <v>18</v>
      </c>
      <c r="C1873" s="45">
        <v>46234</v>
      </c>
      <c r="D1873" s="76">
        <v>742.64828361607499</v>
      </c>
      <c r="E1873" s="77">
        <v>125</v>
      </c>
      <c r="F1873" s="78">
        <v>12.2718756975713</v>
      </c>
      <c r="G1873" s="78">
        <v>12.2718756975713</v>
      </c>
      <c r="H1873" s="81">
        <v>11.8021176351434</v>
      </c>
    </row>
    <row r="1874" spans="1:8" x14ac:dyDescent="0.3">
      <c r="A1874" s="74" t="str">
        <f t="shared" si="29"/>
        <v>东营46235</v>
      </c>
      <c r="B1874" s="75" t="s">
        <v>18</v>
      </c>
      <c r="C1874" s="45">
        <v>46235</v>
      </c>
      <c r="D1874" s="76">
        <v>748.60283358422703</v>
      </c>
      <c r="E1874" s="77">
        <v>125</v>
      </c>
      <c r="F1874" s="78">
        <v>12.380492195652501</v>
      </c>
      <c r="G1874" s="78">
        <v>12.380492195652501</v>
      </c>
      <c r="H1874" s="81">
        <v>12.3509340571166</v>
      </c>
    </row>
    <row r="1875" spans="1:8" x14ac:dyDescent="0.3">
      <c r="A1875" s="74" t="str">
        <f t="shared" si="29"/>
        <v>东营46236</v>
      </c>
      <c r="B1875" s="75" t="s">
        <v>18</v>
      </c>
      <c r="C1875" s="45">
        <v>46236</v>
      </c>
      <c r="D1875" s="76">
        <v>748.60283358422703</v>
      </c>
      <c r="E1875" s="77">
        <v>125</v>
      </c>
      <c r="F1875" s="78">
        <v>12.380492195652501</v>
      </c>
      <c r="G1875" s="78">
        <v>12.380492195652501</v>
      </c>
      <c r="H1875" s="81">
        <v>12.3509340571166</v>
      </c>
    </row>
    <row r="1876" spans="1:8" x14ac:dyDescent="0.3">
      <c r="A1876" s="74" t="str">
        <f t="shared" si="29"/>
        <v>东营46237</v>
      </c>
      <c r="B1876" s="75" t="s">
        <v>18</v>
      </c>
      <c r="C1876" s="45">
        <v>46237</v>
      </c>
      <c r="D1876" s="76">
        <v>748.60283358422703</v>
      </c>
      <c r="E1876" s="77">
        <v>125</v>
      </c>
      <c r="F1876" s="78">
        <v>12.380492195652501</v>
      </c>
      <c r="G1876" s="78">
        <v>12.380492195652501</v>
      </c>
      <c r="H1876" s="81">
        <v>12.3509340571166</v>
      </c>
    </row>
    <row r="1877" spans="1:8" x14ac:dyDescent="0.3">
      <c r="A1877" s="74" t="str">
        <f t="shared" si="29"/>
        <v>东营46238</v>
      </c>
      <c r="B1877" s="75" t="s">
        <v>18</v>
      </c>
      <c r="C1877" s="45">
        <v>46238</v>
      </c>
      <c r="D1877" s="76">
        <v>748.60283358422703</v>
      </c>
      <c r="E1877" s="77">
        <v>125</v>
      </c>
      <c r="F1877" s="78">
        <v>12.380492195652501</v>
      </c>
      <c r="G1877" s="78">
        <v>12.380492195652501</v>
      </c>
      <c r="H1877" s="81">
        <v>12.3509340571166</v>
      </c>
    </row>
    <row r="1878" spans="1:8" x14ac:dyDescent="0.3">
      <c r="A1878" s="74" t="str">
        <f t="shared" si="29"/>
        <v>东营46239</v>
      </c>
      <c r="B1878" s="75" t="s">
        <v>18</v>
      </c>
      <c r="C1878" s="45">
        <v>46239</v>
      </c>
      <c r="D1878" s="76">
        <v>748.60283358422703</v>
      </c>
      <c r="E1878" s="77">
        <v>125</v>
      </c>
      <c r="F1878" s="78">
        <v>12.380492195652501</v>
      </c>
      <c r="G1878" s="78">
        <v>12.380492195652501</v>
      </c>
      <c r="H1878" s="81">
        <v>12.3509340571166</v>
      </c>
    </row>
    <row r="1879" spans="1:8" x14ac:dyDescent="0.3">
      <c r="A1879" s="74" t="str">
        <f t="shared" si="29"/>
        <v>东营46240</v>
      </c>
      <c r="B1879" s="75" t="s">
        <v>18</v>
      </c>
      <c r="C1879" s="45">
        <v>46240</v>
      </c>
      <c r="D1879" s="76">
        <v>748.60283358422703</v>
      </c>
      <c r="E1879" s="77">
        <v>125</v>
      </c>
      <c r="F1879" s="78">
        <v>12.380492195652501</v>
      </c>
      <c r="G1879" s="78">
        <v>12.380492195652501</v>
      </c>
      <c r="H1879" s="81">
        <v>12.3509340571166</v>
      </c>
    </row>
    <row r="1880" spans="1:8" x14ac:dyDescent="0.3">
      <c r="A1880" s="74" t="str">
        <f t="shared" si="29"/>
        <v>东营46241</v>
      </c>
      <c r="B1880" s="75" t="s">
        <v>18</v>
      </c>
      <c r="C1880" s="45">
        <v>46241</v>
      </c>
      <c r="D1880" s="76">
        <v>748.60283358422703</v>
      </c>
      <c r="E1880" s="77">
        <v>125</v>
      </c>
      <c r="F1880" s="78">
        <v>12.380492195652501</v>
      </c>
      <c r="G1880" s="78">
        <v>12.380492195652501</v>
      </c>
      <c r="H1880" s="81">
        <v>12.3509340571166</v>
      </c>
    </row>
    <row r="1881" spans="1:8" x14ac:dyDescent="0.3">
      <c r="A1881" s="74" t="str">
        <f t="shared" si="29"/>
        <v>东营46242</v>
      </c>
      <c r="B1881" s="75" t="s">
        <v>18</v>
      </c>
      <c r="C1881" s="45">
        <v>46242</v>
      </c>
      <c r="D1881" s="76">
        <v>748.60283358422703</v>
      </c>
      <c r="E1881" s="77">
        <v>125</v>
      </c>
      <c r="F1881" s="78">
        <v>12.380492195652501</v>
      </c>
      <c r="G1881" s="78">
        <v>12.380492195652501</v>
      </c>
      <c r="H1881" s="81">
        <v>12.3509340571166</v>
      </c>
    </row>
    <row r="1882" spans="1:8" x14ac:dyDescent="0.3">
      <c r="A1882" s="74" t="str">
        <f t="shared" si="29"/>
        <v>东营46243</v>
      </c>
      <c r="B1882" s="75" t="s">
        <v>18</v>
      </c>
      <c r="C1882" s="45">
        <v>46243</v>
      </c>
      <c r="D1882" s="76">
        <v>748.60283358422703</v>
      </c>
      <c r="E1882" s="77">
        <v>125</v>
      </c>
      <c r="F1882" s="78">
        <v>12.380492195652501</v>
      </c>
      <c r="G1882" s="78">
        <v>12.380492195652501</v>
      </c>
      <c r="H1882" s="81">
        <v>12.3509340571166</v>
      </c>
    </row>
    <row r="1883" spans="1:8" x14ac:dyDescent="0.3">
      <c r="A1883" s="74" t="str">
        <f t="shared" si="29"/>
        <v>东营46244</v>
      </c>
      <c r="B1883" s="75" t="s">
        <v>18</v>
      </c>
      <c r="C1883" s="45">
        <v>46244</v>
      </c>
      <c r="D1883" s="76">
        <v>748.60283358422703</v>
      </c>
      <c r="E1883" s="77">
        <v>125</v>
      </c>
      <c r="F1883" s="78">
        <v>12.380492195652501</v>
      </c>
      <c r="G1883" s="78">
        <v>12.380492195652501</v>
      </c>
      <c r="H1883" s="81">
        <v>12.3509340571166</v>
      </c>
    </row>
    <row r="1884" spans="1:8" x14ac:dyDescent="0.3">
      <c r="A1884" s="74" t="str">
        <f t="shared" si="29"/>
        <v>东营46245</v>
      </c>
      <c r="B1884" s="75" t="s">
        <v>18</v>
      </c>
      <c r="C1884" s="45">
        <v>46245</v>
      </c>
      <c r="D1884" s="76">
        <v>748.60283358422703</v>
      </c>
      <c r="E1884" s="77">
        <v>125</v>
      </c>
      <c r="F1884" s="78">
        <v>12.380492195652501</v>
      </c>
      <c r="G1884" s="78">
        <v>12.380492195652501</v>
      </c>
      <c r="H1884" s="81">
        <v>12.3509340571166</v>
      </c>
    </row>
    <row r="1885" spans="1:8" x14ac:dyDescent="0.3">
      <c r="A1885" s="74" t="str">
        <f t="shared" si="29"/>
        <v>东营46246</v>
      </c>
      <c r="B1885" s="75" t="s">
        <v>18</v>
      </c>
      <c r="C1885" s="45">
        <v>46246</v>
      </c>
      <c r="D1885" s="76">
        <v>748.60283358422703</v>
      </c>
      <c r="E1885" s="77">
        <v>125</v>
      </c>
      <c r="F1885" s="78">
        <v>12.380492195652501</v>
      </c>
      <c r="G1885" s="78">
        <v>12.380492195652501</v>
      </c>
      <c r="H1885" s="81">
        <v>12.3509340571166</v>
      </c>
    </row>
    <row r="1886" spans="1:8" x14ac:dyDescent="0.3">
      <c r="A1886" s="74" t="str">
        <f t="shared" si="29"/>
        <v>东营46247</v>
      </c>
      <c r="B1886" s="75" t="s">
        <v>18</v>
      </c>
      <c r="C1886" s="45">
        <v>46247</v>
      </c>
      <c r="D1886" s="76">
        <v>748.60283358422703</v>
      </c>
      <c r="E1886" s="77">
        <v>125</v>
      </c>
      <c r="F1886" s="78">
        <v>12.380492195652501</v>
      </c>
      <c r="G1886" s="78">
        <v>12.380492195652501</v>
      </c>
      <c r="H1886" s="81">
        <v>12.3509340571166</v>
      </c>
    </row>
    <row r="1887" spans="1:8" x14ac:dyDescent="0.3">
      <c r="A1887" s="74" t="str">
        <f t="shared" si="29"/>
        <v>东营46248</v>
      </c>
      <c r="B1887" s="75" t="s">
        <v>18</v>
      </c>
      <c r="C1887" s="45">
        <v>46248</v>
      </c>
      <c r="D1887" s="76">
        <v>748.60283358422703</v>
      </c>
      <c r="E1887" s="77">
        <v>125</v>
      </c>
      <c r="F1887" s="78">
        <v>12.380492195652501</v>
      </c>
      <c r="G1887" s="78">
        <v>12.380492195652501</v>
      </c>
      <c r="H1887" s="81">
        <v>12.3509340571166</v>
      </c>
    </row>
    <row r="1888" spans="1:8" x14ac:dyDescent="0.3">
      <c r="A1888" s="74" t="str">
        <f t="shared" si="29"/>
        <v>东营46249</v>
      </c>
      <c r="B1888" s="75" t="s">
        <v>18</v>
      </c>
      <c r="C1888" s="45">
        <v>46249</v>
      </c>
      <c r="D1888" s="76">
        <v>748.60283358422703</v>
      </c>
      <c r="E1888" s="77">
        <v>125</v>
      </c>
      <c r="F1888" s="78">
        <v>12.380492195652501</v>
      </c>
      <c r="G1888" s="78">
        <v>12.380492195652501</v>
      </c>
      <c r="H1888" s="81">
        <v>12.3509340571166</v>
      </c>
    </row>
    <row r="1889" spans="1:8" x14ac:dyDescent="0.3">
      <c r="A1889" s="74" t="str">
        <f t="shared" si="29"/>
        <v>东营46250</v>
      </c>
      <c r="B1889" s="75" t="s">
        <v>18</v>
      </c>
      <c r="C1889" s="45">
        <v>46250</v>
      </c>
      <c r="D1889" s="76">
        <v>748.60283358422703</v>
      </c>
      <c r="E1889" s="77">
        <v>125</v>
      </c>
      <c r="F1889" s="78">
        <v>12.380492195652501</v>
      </c>
      <c r="G1889" s="78">
        <v>12.380492195652501</v>
      </c>
      <c r="H1889" s="81">
        <v>12.3509340571166</v>
      </c>
    </row>
    <row r="1890" spans="1:8" x14ac:dyDescent="0.3">
      <c r="A1890" s="74" t="str">
        <f t="shared" si="29"/>
        <v>东营46251</v>
      </c>
      <c r="B1890" s="75" t="s">
        <v>18</v>
      </c>
      <c r="C1890" s="45">
        <v>46251</v>
      </c>
      <c r="D1890" s="76">
        <v>748.60283358422703</v>
      </c>
      <c r="E1890" s="77">
        <v>125</v>
      </c>
      <c r="F1890" s="78">
        <v>12.380492195652501</v>
      </c>
      <c r="G1890" s="78">
        <v>12.380492195652501</v>
      </c>
      <c r="H1890" s="81">
        <v>12.3509340571166</v>
      </c>
    </row>
    <row r="1891" spans="1:8" x14ac:dyDescent="0.3">
      <c r="A1891" s="74" t="str">
        <f t="shared" si="29"/>
        <v>东营46252</v>
      </c>
      <c r="B1891" s="75" t="s">
        <v>18</v>
      </c>
      <c r="C1891" s="45">
        <v>46252</v>
      </c>
      <c r="D1891" s="76">
        <v>748.60283358422703</v>
      </c>
      <c r="E1891" s="77">
        <v>125</v>
      </c>
      <c r="F1891" s="78">
        <v>12.380492195652501</v>
      </c>
      <c r="G1891" s="78">
        <v>12.380492195652501</v>
      </c>
      <c r="H1891" s="81">
        <v>12.3509340571166</v>
      </c>
    </row>
    <row r="1892" spans="1:8" x14ac:dyDescent="0.3">
      <c r="A1892" s="74" t="str">
        <f t="shared" si="29"/>
        <v>东营46253</v>
      </c>
      <c r="B1892" s="75" t="s">
        <v>18</v>
      </c>
      <c r="C1892" s="45">
        <v>46253</v>
      </c>
      <c r="D1892" s="76">
        <v>748.60283358422703</v>
      </c>
      <c r="E1892" s="77">
        <v>125</v>
      </c>
      <c r="F1892" s="78">
        <v>12.380492195652501</v>
      </c>
      <c r="G1892" s="78">
        <v>12.380492195652501</v>
      </c>
      <c r="H1892" s="81">
        <v>12.3509340571166</v>
      </c>
    </row>
    <row r="1893" spans="1:8" x14ac:dyDescent="0.3">
      <c r="A1893" s="74" t="str">
        <f t="shared" si="29"/>
        <v>东营46254</v>
      </c>
      <c r="B1893" s="75" t="s">
        <v>18</v>
      </c>
      <c r="C1893" s="45">
        <v>46254</v>
      </c>
      <c r="D1893" s="76">
        <v>748.60283358422703</v>
      </c>
      <c r="E1893" s="77">
        <v>125</v>
      </c>
      <c r="F1893" s="78">
        <v>12.380492195652501</v>
      </c>
      <c r="G1893" s="78">
        <v>12.380492195652501</v>
      </c>
      <c r="H1893" s="81">
        <v>12.3509340571166</v>
      </c>
    </row>
    <row r="1894" spans="1:8" x14ac:dyDescent="0.3">
      <c r="A1894" s="74" t="str">
        <f t="shared" si="29"/>
        <v>东营46255</v>
      </c>
      <c r="B1894" s="75" t="s">
        <v>18</v>
      </c>
      <c r="C1894" s="45">
        <v>46255</v>
      </c>
      <c r="D1894" s="76">
        <v>748.60283358422703</v>
      </c>
      <c r="E1894" s="77">
        <v>125</v>
      </c>
      <c r="F1894" s="78">
        <v>12.380492195652501</v>
      </c>
      <c r="G1894" s="78">
        <v>12.380492195652501</v>
      </c>
      <c r="H1894" s="81">
        <v>12.3509340571166</v>
      </c>
    </row>
    <row r="1895" spans="1:8" x14ac:dyDescent="0.3">
      <c r="A1895" s="74" t="str">
        <f t="shared" si="29"/>
        <v>东营46256</v>
      </c>
      <c r="B1895" s="75" t="s">
        <v>18</v>
      </c>
      <c r="C1895" s="45">
        <v>46256</v>
      </c>
      <c r="D1895" s="76">
        <v>748.60283358422703</v>
      </c>
      <c r="E1895" s="77">
        <v>125</v>
      </c>
      <c r="F1895" s="78">
        <v>12.380492195652501</v>
      </c>
      <c r="G1895" s="78">
        <v>12.380492195652501</v>
      </c>
      <c r="H1895" s="81">
        <v>12.3509340571166</v>
      </c>
    </row>
    <row r="1896" spans="1:8" x14ac:dyDescent="0.3">
      <c r="A1896" s="74" t="str">
        <f t="shared" si="29"/>
        <v>东营46257</v>
      </c>
      <c r="B1896" s="75" t="s">
        <v>18</v>
      </c>
      <c r="C1896" s="45">
        <v>46257</v>
      </c>
      <c r="D1896" s="76">
        <v>748.60283358422703</v>
      </c>
      <c r="E1896" s="77">
        <v>125</v>
      </c>
      <c r="F1896" s="78">
        <v>12.380492195652501</v>
      </c>
      <c r="G1896" s="78">
        <v>12.380492195652501</v>
      </c>
      <c r="H1896" s="81">
        <v>12.3509340571166</v>
      </c>
    </row>
    <row r="1897" spans="1:8" x14ac:dyDescent="0.3">
      <c r="A1897" s="74" t="str">
        <f t="shared" si="29"/>
        <v>东营46258</v>
      </c>
      <c r="B1897" s="75" t="s">
        <v>18</v>
      </c>
      <c r="C1897" s="45">
        <v>46258</v>
      </c>
      <c r="D1897" s="76">
        <v>748.60283358422703</v>
      </c>
      <c r="E1897" s="77">
        <v>125</v>
      </c>
      <c r="F1897" s="78">
        <v>12.380492195652501</v>
      </c>
      <c r="G1897" s="78">
        <v>12.380492195652501</v>
      </c>
      <c r="H1897" s="81">
        <v>12.3509340571166</v>
      </c>
    </row>
    <row r="1898" spans="1:8" x14ac:dyDescent="0.3">
      <c r="A1898" s="74" t="str">
        <f t="shared" si="29"/>
        <v>东营46259</v>
      </c>
      <c r="B1898" s="75" t="s">
        <v>18</v>
      </c>
      <c r="C1898" s="45">
        <v>46259</v>
      </c>
      <c r="D1898" s="76">
        <v>748.60283358422703</v>
      </c>
      <c r="E1898" s="77">
        <v>125</v>
      </c>
      <c r="F1898" s="78">
        <v>12.380492195652501</v>
      </c>
      <c r="G1898" s="78">
        <v>12.380492195652501</v>
      </c>
      <c r="H1898" s="81">
        <v>12.3509340571166</v>
      </c>
    </row>
    <row r="1899" spans="1:8" x14ac:dyDescent="0.3">
      <c r="A1899" s="74" t="str">
        <f t="shared" si="29"/>
        <v>东营46260</v>
      </c>
      <c r="B1899" s="75" t="s">
        <v>18</v>
      </c>
      <c r="C1899" s="45">
        <v>46260</v>
      </c>
      <c r="D1899" s="76">
        <v>748.60283358422703</v>
      </c>
      <c r="E1899" s="77">
        <v>125</v>
      </c>
      <c r="F1899" s="78">
        <v>12.380492195652501</v>
      </c>
      <c r="G1899" s="78">
        <v>12.380492195652501</v>
      </c>
      <c r="H1899" s="81">
        <v>12.3509340571166</v>
      </c>
    </row>
    <row r="1900" spans="1:8" x14ac:dyDescent="0.3">
      <c r="A1900" s="74" t="str">
        <f t="shared" si="29"/>
        <v>东营46261</v>
      </c>
      <c r="B1900" s="75" t="s">
        <v>18</v>
      </c>
      <c r="C1900" s="45">
        <v>46261</v>
      </c>
      <c r="D1900" s="76">
        <v>748.60283358422703</v>
      </c>
      <c r="E1900" s="77">
        <v>125</v>
      </c>
      <c r="F1900" s="78">
        <v>12.380492195652501</v>
      </c>
      <c r="G1900" s="78">
        <v>12.380492195652501</v>
      </c>
      <c r="H1900" s="81">
        <v>12.3509340571166</v>
      </c>
    </row>
    <row r="1901" spans="1:8" x14ac:dyDescent="0.3">
      <c r="A1901" s="74" t="str">
        <f t="shared" si="29"/>
        <v>东营46262</v>
      </c>
      <c r="B1901" s="75" t="s">
        <v>18</v>
      </c>
      <c r="C1901" s="45">
        <v>46262</v>
      </c>
      <c r="D1901" s="76">
        <v>748.60283358422703</v>
      </c>
      <c r="E1901" s="77">
        <v>125</v>
      </c>
      <c r="F1901" s="78">
        <v>12.380492195652501</v>
      </c>
      <c r="G1901" s="78">
        <v>12.380492195652501</v>
      </c>
      <c r="H1901" s="81">
        <v>12.3509340571166</v>
      </c>
    </row>
    <row r="1902" spans="1:8" x14ac:dyDescent="0.3">
      <c r="A1902" s="74" t="str">
        <f t="shared" si="29"/>
        <v>东营46263</v>
      </c>
      <c r="B1902" s="75" t="s">
        <v>18</v>
      </c>
      <c r="C1902" s="45">
        <v>46263</v>
      </c>
      <c r="D1902" s="76">
        <v>748.60283358422703</v>
      </c>
      <c r="E1902" s="77">
        <v>125</v>
      </c>
      <c r="F1902" s="78">
        <v>12.380492195652501</v>
      </c>
      <c r="G1902" s="78">
        <v>12.380492195652501</v>
      </c>
      <c r="H1902" s="81">
        <v>12.3509340571166</v>
      </c>
    </row>
    <row r="1903" spans="1:8" x14ac:dyDescent="0.3">
      <c r="A1903" s="74" t="str">
        <f t="shared" si="29"/>
        <v>东营46264</v>
      </c>
      <c r="B1903" s="75" t="s">
        <v>18</v>
      </c>
      <c r="C1903" s="45">
        <v>46264</v>
      </c>
      <c r="D1903" s="76">
        <v>748.60283358422703</v>
      </c>
      <c r="E1903" s="77">
        <v>125</v>
      </c>
      <c r="F1903" s="78">
        <v>12.380492195652501</v>
      </c>
      <c r="G1903" s="78">
        <v>12.380492195652501</v>
      </c>
      <c r="H1903" s="81">
        <v>12.3509340571166</v>
      </c>
    </row>
    <row r="1904" spans="1:8" x14ac:dyDescent="0.3">
      <c r="A1904" s="74" t="str">
        <f t="shared" si="29"/>
        <v>东营46265</v>
      </c>
      <c r="B1904" s="75" t="s">
        <v>18</v>
      </c>
      <c r="C1904" s="45">
        <v>46265</v>
      </c>
      <c r="D1904" s="76">
        <v>748.60283358422703</v>
      </c>
      <c r="E1904" s="77">
        <v>125</v>
      </c>
      <c r="F1904" s="78">
        <v>12.380492195652501</v>
      </c>
      <c r="G1904" s="78">
        <v>12.380492195652501</v>
      </c>
      <c r="H1904" s="81">
        <v>12.3509340571166</v>
      </c>
    </row>
    <row r="1905" spans="1:8" x14ac:dyDescent="0.3">
      <c r="A1905" s="74" t="str">
        <f t="shared" si="29"/>
        <v>东营46266</v>
      </c>
      <c r="B1905" s="75" t="s">
        <v>18</v>
      </c>
      <c r="C1905" s="45">
        <v>46266</v>
      </c>
      <c r="D1905" s="76">
        <v>733.12621078088102</v>
      </c>
      <c r="E1905" s="77">
        <v>125</v>
      </c>
      <c r="F1905" s="78">
        <v>12.6745031523054</v>
      </c>
      <c r="G1905" s="78">
        <v>12.6745031523054</v>
      </c>
      <c r="H1905" s="81">
        <v>12.8997504790898</v>
      </c>
    </row>
    <row r="1906" spans="1:8" x14ac:dyDescent="0.3">
      <c r="A1906" s="74" t="str">
        <f t="shared" si="29"/>
        <v>东营46267</v>
      </c>
      <c r="B1906" s="75" t="s">
        <v>18</v>
      </c>
      <c r="C1906" s="45">
        <v>46267</v>
      </c>
      <c r="D1906" s="76">
        <v>733.12621078088102</v>
      </c>
      <c r="E1906" s="77">
        <v>125</v>
      </c>
      <c r="F1906" s="78">
        <v>12.6745031523054</v>
      </c>
      <c r="G1906" s="78">
        <v>12.6745031523054</v>
      </c>
      <c r="H1906" s="81">
        <v>12.8997504790898</v>
      </c>
    </row>
    <row r="1907" spans="1:8" x14ac:dyDescent="0.3">
      <c r="A1907" s="74" t="str">
        <f t="shared" si="29"/>
        <v>东营46268</v>
      </c>
      <c r="B1907" s="75" t="s">
        <v>18</v>
      </c>
      <c r="C1907" s="45">
        <v>46268</v>
      </c>
      <c r="D1907" s="76">
        <v>733.12621078088102</v>
      </c>
      <c r="E1907" s="77">
        <v>125</v>
      </c>
      <c r="F1907" s="78">
        <v>12.6745031523054</v>
      </c>
      <c r="G1907" s="78">
        <v>12.6745031523054</v>
      </c>
      <c r="H1907" s="81">
        <v>12.8997504790898</v>
      </c>
    </row>
    <row r="1908" spans="1:8" x14ac:dyDescent="0.3">
      <c r="A1908" s="74" t="str">
        <f t="shared" si="29"/>
        <v>东营46269</v>
      </c>
      <c r="B1908" s="75" t="s">
        <v>18</v>
      </c>
      <c r="C1908" s="45">
        <v>46269</v>
      </c>
      <c r="D1908" s="76">
        <v>733.12621078088102</v>
      </c>
      <c r="E1908" s="77">
        <v>125</v>
      </c>
      <c r="F1908" s="78">
        <v>12.6745031523054</v>
      </c>
      <c r="G1908" s="78">
        <v>12.6745031523054</v>
      </c>
      <c r="H1908" s="81">
        <v>12.8997504790898</v>
      </c>
    </row>
    <row r="1909" spans="1:8" x14ac:dyDescent="0.3">
      <c r="A1909" s="74" t="str">
        <f t="shared" si="29"/>
        <v>东营46270</v>
      </c>
      <c r="B1909" s="75" t="s">
        <v>18</v>
      </c>
      <c r="C1909" s="45">
        <v>46270</v>
      </c>
      <c r="D1909" s="76">
        <v>733.12621078088102</v>
      </c>
      <c r="E1909" s="77">
        <v>125</v>
      </c>
      <c r="F1909" s="78">
        <v>12.6745031523054</v>
      </c>
      <c r="G1909" s="78">
        <v>12.6745031523054</v>
      </c>
      <c r="H1909" s="81">
        <v>12.8997504790898</v>
      </c>
    </row>
    <row r="1910" spans="1:8" x14ac:dyDescent="0.3">
      <c r="A1910" s="74" t="str">
        <f t="shared" si="29"/>
        <v>东营46271</v>
      </c>
      <c r="B1910" s="75" t="s">
        <v>18</v>
      </c>
      <c r="C1910" s="45">
        <v>46271</v>
      </c>
      <c r="D1910" s="76">
        <v>733.12621078088102</v>
      </c>
      <c r="E1910" s="77">
        <v>125</v>
      </c>
      <c r="F1910" s="78">
        <v>12.6745031523054</v>
      </c>
      <c r="G1910" s="78">
        <v>12.6745031523054</v>
      </c>
      <c r="H1910" s="81">
        <v>12.8997504790898</v>
      </c>
    </row>
    <row r="1911" spans="1:8" x14ac:dyDescent="0.3">
      <c r="A1911" s="74" t="str">
        <f t="shared" si="29"/>
        <v>东营46272</v>
      </c>
      <c r="B1911" s="75" t="s">
        <v>18</v>
      </c>
      <c r="C1911" s="45">
        <v>46272</v>
      </c>
      <c r="D1911" s="76">
        <v>733.12621078088102</v>
      </c>
      <c r="E1911" s="77">
        <v>125</v>
      </c>
      <c r="F1911" s="78">
        <v>12.6745031523054</v>
      </c>
      <c r="G1911" s="78">
        <v>12.6745031523054</v>
      </c>
      <c r="H1911" s="81">
        <v>12.8997504790898</v>
      </c>
    </row>
    <row r="1912" spans="1:8" x14ac:dyDescent="0.3">
      <c r="A1912" s="74" t="str">
        <f t="shared" si="29"/>
        <v>东营46273</v>
      </c>
      <c r="B1912" s="75" t="s">
        <v>18</v>
      </c>
      <c r="C1912" s="45">
        <v>46273</v>
      </c>
      <c r="D1912" s="76">
        <v>733.12621078088102</v>
      </c>
      <c r="E1912" s="77">
        <v>125</v>
      </c>
      <c r="F1912" s="78">
        <v>12.6745031523054</v>
      </c>
      <c r="G1912" s="78">
        <v>12.6745031523054</v>
      </c>
      <c r="H1912" s="81">
        <v>12.8997504790898</v>
      </c>
    </row>
    <row r="1913" spans="1:8" x14ac:dyDescent="0.3">
      <c r="A1913" s="74" t="str">
        <f t="shared" si="29"/>
        <v>东营46274</v>
      </c>
      <c r="B1913" s="75" t="s">
        <v>18</v>
      </c>
      <c r="C1913" s="45">
        <v>46274</v>
      </c>
      <c r="D1913" s="76">
        <v>733.12621078088102</v>
      </c>
      <c r="E1913" s="77">
        <v>125</v>
      </c>
      <c r="F1913" s="78">
        <v>12.6745031523054</v>
      </c>
      <c r="G1913" s="78">
        <v>12.6745031523054</v>
      </c>
      <c r="H1913" s="81">
        <v>12.8997504790898</v>
      </c>
    </row>
    <row r="1914" spans="1:8" x14ac:dyDescent="0.3">
      <c r="A1914" s="74" t="str">
        <f t="shared" si="29"/>
        <v>东营46275</v>
      </c>
      <c r="B1914" s="75" t="s">
        <v>18</v>
      </c>
      <c r="C1914" s="45">
        <v>46275</v>
      </c>
      <c r="D1914" s="76">
        <v>733.12621078088102</v>
      </c>
      <c r="E1914" s="77">
        <v>125</v>
      </c>
      <c r="F1914" s="78">
        <v>12.6745031523054</v>
      </c>
      <c r="G1914" s="78">
        <v>12.6745031523054</v>
      </c>
      <c r="H1914" s="81">
        <v>12.8997504790898</v>
      </c>
    </row>
    <row r="1915" spans="1:8" x14ac:dyDescent="0.3">
      <c r="A1915" s="74" t="str">
        <f t="shared" si="29"/>
        <v>东营46276</v>
      </c>
      <c r="B1915" s="75" t="s">
        <v>18</v>
      </c>
      <c r="C1915" s="45">
        <v>46276</v>
      </c>
      <c r="D1915" s="76">
        <v>733.12621078088102</v>
      </c>
      <c r="E1915" s="77">
        <v>125</v>
      </c>
      <c r="F1915" s="78">
        <v>12.6745031523054</v>
      </c>
      <c r="G1915" s="78">
        <v>12.6745031523054</v>
      </c>
      <c r="H1915" s="81">
        <v>12.8997504790898</v>
      </c>
    </row>
    <row r="1916" spans="1:8" x14ac:dyDescent="0.3">
      <c r="A1916" s="74" t="str">
        <f t="shared" si="29"/>
        <v>东营46277</v>
      </c>
      <c r="B1916" s="75" t="s">
        <v>18</v>
      </c>
      <c r="C1916" s="45">
        <v>46277</v>
      </c>
      <c r="D1916" s="76">
        <v>733.12621078088102</v>
      </c>
      <c r="E1916" s="77">
        <v>125</v>
      </c>
      <c r="F1916" s="78">
        <v>12.6745031523054</v>
      </c>
      <c r="G1916" s="78">
        <v>12.6745031523054</v>
      </c>
      <c r="H1916" s="81">
        <v>12.8997504790898</v>
      </c>
    </row>
    <row r="1917" spans="1:8" x14ac:dyDescent="0.3">
      <c r="A1917" s="74" t="str">
        <f t="shared" si="29"/>
        <v>东营46278</v>
      </c>
      <c r="B1917" s="75" t="s">
        <v>18</v>
      </c>
      <c r="C1917" s="45">
        <v>46278</v>
      </c>
      <c r="D1917" s="76">
        <v>733.12621078088102</v>
      </c>
      <c r="E1917" s="77">
        <v>125</v>
      </c>
      <c r="F1917" s="78">
        <v>12.6745031523054</v>
      </c>
      <c r="G1917" s="78">
        <v>12.6745031523054</v>
      </c>
      <c r="H1917" s="81">
        <v>12.8997504790898</v>
      </c>
    </row>
    <row r="1918" spans="1:8" x14ac:dyDescent="0.3">
      <c r="A1918" s="74" t="str">
        <f t="shared" si="29"/>
        <v>东营46279</v>
      </c>
      <c r="B1918" s="75" t="s">
        <v>18</v>
      </c>
      <c r="C1918" s="45">
        <v>46279</v>
      </c>
      <c r="D1918" s="76">
        <v>733.12621078088102</v>
      </c>
      <c r="E1918" s="77">
        <v>125</v>
      </c>
      <c r="F1918" s="78">
        <v>12.6745031523054</v>
      </c>
      <c r="G1918" s="78">
        <v>12.6745031523054</v>
      </c>
      <c r="H1918" s="81">
        <v>12.8997504790898</v>
      </c>
    </row>
    <row r="1919" spans="1:8" x14ac:dyDescent="0.3">
      <c r="A1919" s="74" t="str">
        <f t="shared" si="29"/>
        <v>东营46280</v>
      </c>
      <c r="B1919" s="75" t="s">
        <v>18</v>
      </c>
      <c r="C1919" s="45">
        <v>46280</v>
      </c>
      <c r="D1919" s="76">
        <v>733.12621078088102</v>
      </c>
      <c r="E1919" s="77">
        <v>125</v>
      </c>
      <c r="F1919" s="78">
        <v>12.6745031523054</v>
      </c>
      <c r="G1919" s="78">
        <v>12.6745031523054</v>
      </c>
      <c r="H1919" s="81">
        <v>12.8997504790898</v>
      </c>
    </row>
    <row r="1920" spans="1:8" x14ac:dyDescent="0.3">
      <c r="A1920" s="74" t="str">
        <f t="shared" si="29"/>
        <v>东营46281</v>
      </c>
      <c r="B1920" s="75" t="s">
        <v>18</v>
      </c>
      <c r="C1920" s="45">
        <v>46281</v>
      </c>
      <c r="D1920" s="76">
        <v>733.12621078088102</v>
      </c>
      <c r="E1920" s="77">
        <v>125</v>
      </c>
      <c r="F1920" s="78">
        <v>12.6745031523054</v>
      </c>
      <c r="G1920" s="78">
        <v>12.6745031523054</v>
      </c>
      <c r="H1920" s="81">
        <v>12.8997504790898</v>
      </c>
    </row>
    <row r="1921" spans="1:8" x14ac:dyDescent="0.3">
      <c r="A1921" s="74" t="str">
        <f t="shared" si="29"/>
        <v>东营46282</v>
      </c>
      <c r="B1921" s="75" t="s">
        <v>18</v>
      </c>
      <c r="C1921" s="45">
        <v>46282</v>
      </c>
      <c r="D1921" s="76">
        <v>733.12621078088102</v>
      </c>
      <c r="E1921" s="77">
        <v>125</v>
      </c>
      <c r="F1921" s="78">
        <v>12.6745031523054</v>
      </c>
      <c r="G1921" s="78">
        <v>12.6745031523054</v>
      </c>
      <c r="H1921" s="81">
        <v>12.8997504790898</v>
      </c>
    </row>
    <row r="1922" spans="1:8" x14ac:dyDescent="0.3">
      <c r="A1922" s="74" t="str">
        <f t="shared" si="29"/>
        <v>东营46283</v>
      </c>
      <c r="B1922" s="75" t="s">
        <v>18</v>
      </c>
      <c r="C1922" s="45">
        <v>46283</v>
      </c>
      <c r="D1922" s="76">
        <v>733.12621078088102</v>
      </c>
      <c r="E1922" s="77">
        <v>125</v>
      </c>
      <c r="F1922" s="78">
        <v>12.6745031523054</v>
      </c>
      <c r="G1922" s="78">
        <v>12.6745031523054</v>
      </c>
      <c r="H1922" s="81">
        <v>12.8997504790898</v>
      </c>
    </row>
    <row r="1923" spans="1:8" x14ac:dyDescent="0.3">
      <c r="A1923" s="74" t="str">
        <f t="shared" ref="A1923:A1986" si="30">B1923&amp;C1923</f>
        <v>东营46284</v>
      </c>
      <c r="B1923" s="75" t="s">
        <v>18</v>
      </c>
      <c r="C1923" s="45">
        <v>46284</v>
      </c>
      <c r="D1923" s="76">
        <v>733.12621078088102</v>
      </c>
      <c r="E1923" s="77">
        <v>125</v>
      </c>
      <c r="F1923" s="78">
        <v>12.6745031523054</v>
      </c>
      <c r="G1923" s="78">
        <v>12.6745031523054</v>
      </c>
      <c r="H1923" s="81">
        <v>12.8997504790898</v>
      </c>
    </row>
    <row r="1924" spans="1:8" x14ac:dyDescent="0.3">
      <c r="A1924" s="74" t="str">
        <f t="shared" si="30"/>
        <v>东营46285</v>
      </c>
      <c r="B1924" s="75" t="s">
        <v>18</v>
      </c>
      <c r="C1924" s="45">
        <v>46285</v>
      </c>
      <c r="D1924" s="76">
        <v>733.12621078088102</v>
      </c>
      <c r="E1924" s="77">
        <v>125</v>
      </c>
      <c r="F1924" s="78">
        <v>12.6745031523054</v>
      </c>
      <c r="G1924" s="78">
        <v>12.6745031523054</v>
      </c>
      <c r="H1924" s="81">
        <v>12.8997504790898</v>
      </c>
    </row>
    <row r="1925" spans="1:8" x14ac:dyDescent="0.3">
      <c r="A1925" s="74" t="str">
        <f t="shared" si="30"/>
        <v>东营46286</v>
      </c>
      <c r="B1925" s="75" t="s">
        <v>18</v>
      </c>
      <c r="C1925" s="45">
        <v>46286</v>
      </c>
      <c r="D1925" s="76">
        <v>733.12621078088102</v>
      </c>
      <c r="E1925" s="77">
        <v>125</v>
      </c>
      <c r="F1925" s="78">
        <v>12.6745031523054</v>
      </c>
      <c r="G1925" s="78">
        <v>12.6745031523054</v>
      </c>
      <c r="H1925" s="81">
        <v>12.8997504790898</v>
      </c>
    </row>
    <row r="1926" spans="1:8" x14ac:dyDescent="0.3">
      <c r="A1926" s="74" t="str">
        <f t="shared" si="30"/>
        <v>东营46287</v>
      </c>
      <c r="B1926" s="75" t="s">
        <v>18</v>
      </c>
      <c r="C1926" s="45">
        <v>46287</v>
      </c>
      <c r="D1926" s="76">
        <v>733.12621078088102</v>
      </c>
      <c r="E1926" s="77">
        <v>125</v>
      </c>
      <c r="F1926" s="78">
        <v>12.6745031523054</v>
      </c>
      <c r="G1926" s="78">
        <v>12.6745031523054</v>
      </c>
      <c r="H1926" s="81">
        <v>12.8997504790898</v>
      </c>
    </row>
    <row r="1927" spans="1:8" x14ac:dyDescent="0.3">
      <c r="A1927" s="74" t="str">
        <f t="shared" si="30"/>
        <v>东营46288</v>
      </c>
      <c r="B1927" s="75" t="s">
        <v>18</v>
      </c>
      <c r="C1927" s="45">
        <v>46288</v>
      </c>
      <c r="D1927" s="76">
        <v>733.12621078088102</v>
      </c>
      <c r="E1927" s="77">
        <v>125</v>
      </c>
      <c r="F1927" s="78">
        <v>12.6745031523054</v>
      </c>
      <c r="G1927" s="78">
        <v>12.6745031523054</v>
      </c>
      <c r="H1927" s="81">
        <v>12.8997504790898</v>
      </c>
    </row>
    <row r="1928" spans="1:8" x14ac:dyDescent="0.3">
      <c r="A1928" s="74" t="str">
        <f t="shared" si="30"/>
        <v>东营46289</v>
      </c>
      <c r="B1928" s="75" t="s">
        <v>18</v>
      </c>
      <c r="C1928" s="45">
        <v>46289</v>
      </c>
      <c r="D1928" s="76">
        <v>733.12621078088102</v>
      </c>
      <c r="E1928" s="77">
        <v>125</v>
      </c>
      <c r="F1928" s="78">
        <v>12.6745031523054</v>
      </c>
      <c r="G1928" s="78">
        <v>12.6745031523054</v>
      </c>
      <c r="H1928" s="81">
        <v>12.8997504790898</v>
      </c>
    </row>
    <row r="1929" spans="1:8" x14ac:dyDescent="0.3">
      <c r="A1929" s="74" t="str">
        <f t="shared" si="30"/>
        <v>东营46290</v>
      </c>
      <c r="B1929" s="75" t="s">
        <v>18</v>
      </c>
      <c r="C1929" s="45">
        <v>46290</v>
      </c>
      <c r="D1929" s="76">
        <v>733.12621078088102</v>
      </c>
      <c r="E1929" s="77">
        <v>125</v>
      </c>
      <c r="F1929" s="78">
        <v>12.6745031523054</v>
      </c>
      <c r="G1929" s="78">
        <v>12.6745031523054</v>
      </c>
      <c r="H1929" s="81">
        <v>12.8997504790898</v>
      </c>
    </row>
    <row r="1930" spans="1:8" x14ac:dyDescent="0.3">
      <c r="A1930" s="74" t="str">
        <f t="shared" si="30"/>
        <v>东营46291</v>
      </c>
      <c r="B1930" s="75" t="s">
        <v>18</v>
      </c>
      <c r="C1930" s="45">
        <v>46291</v>
      </c>
      <c r="D1930" s="76">
        <v>733.12621078088102</v>
      </c>
      <c r="E1930" s="77">
        <v>125</v>
      </c>
      <c r="F1930" s="78">
        <v>12.6745031523054</v>
      </c>
      <c r="G1930" s="78">
        <v>12.6745031523054</v>
      </c>
      <c r="H1930" s="81">
        <v>12.8997504790898</v>
      </c>
    </row>
    <row r="1931" spans="1:8" x14ac:dyDescent="0.3">
      <c r="A1931" s="74" t="str">
        <f t="shared" si="30"/>
        <v>东营46292</v>
      </c>
      <c r="B1931" s="75" t="s">
        <v>18</v>
      </c>
      <c r="C1931" s="45">
        <v>46292</v>
      </c>
      <c r="D1931" s="76">
        <v>733.12621078088102</v>
      </c>
      <c r="E1931" s="77">
        <v>125</v>
      </c>
      <c r="F1931" s="78">
        <v>12.6745031523054</v>
      </c>
      <c r="G1931" s="78">
        <v>12.6745031523054</v>
      </c>
      <c r="H1931" s="81">
        <v>12.8997504790898</v>
      </c>
    </row>
    <row r="1932" spans="1:8" x14ac:dyDescent="0.3">
      <c r="A1932" s="74" t="str">
        <f t="shared" si="30"/>
        <v>东营46293</v>
      </c>
      <c r="B1932" s="75" t="s">
        <v>18</v>
      </c>
      <c r="C1932" s="45">
        <v>46293</v>
      </c>
      <c r="D1932" s="76">
        <v>733.12621078088102</v>
      </c>
      <c r="E1932" s="77">
        <v>125</v>
      </c>
      <c r="F1932" s="78">
        <v>12.6745031523054</v>
      </c>
      <c r="G1932" s="78">
        <v>12.6745031523054</v>
      </c>
      <c r="H1932" s="81">
        <v>12.8997504790898</v>
      </c>
    </row>
    <row r="1933" spans="1:8" x14ac:dyDescent="0.3">
      <c r="A1933" s="74" t="str">
        <f t="shared" si="30"/>
        <v>东营46294</v>
      </c>
      <c r="B1933" s="75" t="s">
        <v>18</v>
      </c>
      <c r="C1933" s="45">
        <v>46294</v>
      </c>
      <c r="D1933" s="76">
        <v>733.12621078088102</v>
      </c>
      <c r="E1933" s="77">
        <v>125</v>
      </c>
      <c r="F1933" s="78">
        <v>12.6745031523054</v>
      </c>
      <c r="G1933" s="78">
        <v>12.6745031523054</v>
      </c>
      <c r="H1933" s="81">
        <v>12.8997504790898</v>
      </c>
    </row>
    <row r="1934" spans="1:8" x14ac:dyDescent="0.3">
      <c r="A1934" s="74" t="str">
        <f t="shared" si="30"/>
        <v>东营46295</v>
      </c>
      <c r="B1934" s="75" t="s">
        <v>18</v>
      </c>
      <c r="C1934" s="45">
        <v>46295</v>
      </c>
      <c r="D1934" s="76">
        <v>733.12621078088102</v>
      </c>
      <c r="E1934" s="77">
        <v>125</v>
      </c>
      <c r="F1934" s="78">
        <v>12.6745031523054</v>
      </c>
      <c r="G1934" s="78">
        <v>12.6745031523054</v>
      </c>
      <c r="H1934" s="81">
        <v>12.8997504790898</v>
      </c>
    </row>
    <row r="1935" spans="1:8" x14ac:dyDescent="0.3">
      <c r="A1935" s="74" t="str">
        <f t="shared" si="30"/>
        <v>东营46296</v>
      </c>
      <c r="B1935" s="75" t="s">
        <v>18</v>
      </c>
      <c r="C1935" s="45">
        <v>46296</v>
      </c>
      <c r="D1935" s="76">
        <v>753.424007268379</v>
      </c>
      <c r="E1935" s="77">
        <v>125</v>
      </c>
      <c r="F1935" s="78">
        <v>12.8913343975772</v>
      </c>
      <c r="G1935" s="78">
        <v>12.8913343975772</v>
      </c>
      <c r="H1935" s="81">
        <v>12.9766873606748</v>
      </c>
    </row>
    <row r="1936" spans="1:8" x14ac:dyDescent="0.3">
      <c r="A1936" s="74" t="str">
        <f t="shared" si="30"/>
        <v>东营46297</v>
      </c>
      <c r="B1936" s="75" t="s">
        <v>18</v>
      </c>
      <c r="C1936" s="45">
        <v>46297</v>
      </c>
      <c r="D1936" s="76">
        <v>753.424007268379</v>
      </c>
      <c r="E1936" s="77">
        <v>125</v>
      </c>
      <c r="F1936" s="78">
        <v>12.8913343975772</v>
      </c>
      <c r="G1936" s="78">
        <v>12.8913343975772</v>
      </c>
      <c r="H1936" s="81">
        <v>12.9766873606748</v>
      </c>
    </row>
    <row r="1937" spans="1:8" x14ac:dyDescent="0.3">
      <c r="A1937" s="74" t="str">
        <f t="shared" si="30"/>
        <v>东营46298</v>
      </c>
      <c r="B1937" s="75" t="s">
        <v>18</v>
      </c>
      <c r="C1937" s="45">
        <v>46298</v>
      </c>
      <c r="D1937" s="76">
        <v>753.424007268379</v>
      </c>
      <c r="E1937" s="77">
        <v>125</v>
      </c>
      <c r="F1937" s="78">
        <v>12.8913343975772</v>
      </c>
      <c r="G1937" s="78">
        <v>12.8913343975772</v>
      </c>
      <c r="H1937" s="81">
        <v>12.9766873606748</v>
      </c>
    </row>
    <row r="1938" spans="1:8" x14ac:dyDescent="0.3">
      <c r="A1938" s="74" t="str">
        <f t="shared" si="30"/>
        <v>东营46299</v>
      </c>
      <c r="B1938" s="75" t="s">
        <v>18</v>
      </c>
      <c r="C1938" s="45">
        <v>46299</v>
      </c>
      <c r="D1938" s="76">
        <v>753.424007268379</v>
      </c>
      <c r="E1938" s="77">
        <v>125</v>
      </c>
      <c r="F1938" s="78">
        <v>12.8913343975772</v>
      </c>
      <c r="G1938" s="78">
        <v>12.8913343975772</v>
      </c>
      <c r="H1938" s="81">
        <v>12.9766873606748</v>
      </c>
    </row>
    <row r="1939" spans="1:8" x14ac:dyDescent="0.3">
      <c r="A1939" s="74" t="str">
        <f t="shared" si="30"/>
        <v>东营46300</v>
      </c>
      <c r="B1939" s="75" t="s">
        <v>18</v>
      </c>
      <c r="C1939" s="45">
        <v>46300</v>
      </c>
      <c r="D1939" s="76">
        <v>753.424007268379</v>
      </c>
      <c r="E1939" s="77">
        <v>125</v>
      </c>
      <c r="F1939" s="78">
        <v>12.8913343975772</v>
      </c>
      <c r="G1939" s="78">
        <v>12.8913343975772</v>
      </c>
      <c r="H1939" s="81">
        <v>12.9766873606748</v>
      </c>
    </row>
    <row r="1940" spans="1:8" x14ac:dyDescent="0.3">
      <c r="A1940" s="74" t="str">
        <f t="shared" si="30"/>
        <v>东营46301</v>
      </c>
      <c r="B1940" s="75" t="s">
        <v>18</v>
      </c>
      <c r="C1940" s="45">
        <v>46301</v>
      </c>
      <c r="D1940" s="76">
        <v>753.424007268379</v>
      </c>
      <c r="E1940" s="77">
        <v>125</v>
      </c>
      <c r="F1940" s="78">
        <v>12.8913343975772</v>
      </c>
      <c r="G1940" s="78">
        <v>12.8913343975772</v>
      </c>
      <c r="H1940" s="81">
        <v>12.9766873606748</v>
      </c>
    </row>
    <row r="1941" spans="1:8" x14ac:dyDescent="0.3">
      <c r="A1941" s="74" t="str">
        <f t="shared" si="30"/>
        <v>东营46302</v>
      </c>
      <c r="B1941" s="75" t="s">
        <v>18</v>
      </c>
      <c r="C1941" s="45">
        <v>46302</v>
      </c>
      <c r="D1941" s="76">
        <v>753.424007268379</v>
      </c>
      <c r="E1941" s="77">
        <v>125</v>
      </c>
      <c r="F1941" s="78">
        <v>12.8913343975772</v>
      </c>
      <c r="G1941" s="78">
        <v>12.8913343975772</v>
      </c>
      <c r="H1941" s="81">
        <v>12.9766873606748</v>
      </c>
    </row>
    <row r="1942" spans="1:8" x14ac:dyDescent="0.3">
      <c r="A1942" s="74" t="str">
        <f t="shared" si="30"/>
        <v>东营46303</v>
      </c>
      <c r="B1942" s="75" t="s">
        <v>18</v>
      </c>
      <c r="C1942" s="45">
        <v>46303</v>
      </c>
      <c r="D1942" s="76">
        <v>753.424007268379</v>
      </c>
      <c r="E1942" s="77">
        <v>125</v>
      </c>
      <c r="F1942" s="78">
        <v>12.8913343975772</v>
      </c>
      <c r="G1942" s="78">
        <v>12.8913343975772</v>
      </c>
      <c r="H1942" s="81">
        <v>12.9766873606748</v>
      </c>
    </row>
    <row r="1943" spans="1:8" x14ac:dyDescent="0.3">
      <c r="A1943" s="74" t="str">
        <f t="shared" si="30"/>
        <v>东营46304</v>
      </c>
      <c r="B1943" s="75" t="s">
        <v>18</v>
      </c>
      <c r="C1943" s="45">
        <v>46304</v>
      </c>
      <c r="D1943" s="76">
        <v>753.424007268379</v>
      </c>
      <c r="E1943" s="77">
        <v>125</v>
      </c>
      <c r="F1943" s="78">
        <v>12.8913343975772</v>
      </c>
      <c r="G1943" s="78">
        <v>12.8913343975772</v>
      </c>
      <c r="H1943" s="81">
        <v>12.9766873606748</v>
      </c>
    </row>
    <row r="1944" spans="1:8" x14ac:dyDescent="0.3">
      <c r="A1944" s="74" t="str">
        <f t="shared" si="30"/>
        <v>东营46305</v>
      </c>
      <c r="B1944" s="75" t="s">
        <v>18</v>
      </c>
      <c r="C1944" s="45">
        <v>46305</v>
      </c>
      <c r="D1944" s="76">
        <v>753.424007268379</v>
      </c>
      <c r="E1944" s="77">
        <v>125</v>
      </c>
      <c r="F1944" s="78">
        <v>12.8913343975772</v>
      </c>
      <c r="G1944" s="78">
        <v>12.8913343975772</v>
      </c>
      <c r="H1944" s="81">
        <v>12.9766873606748</v>
      </c>
    </row>
    <row r="1945" spans="1:8" x14ac:dyDescent="0.3">
      <c r="A1945" s="74" t="str">
        <f t="shared" si="30"/>
        <v>东营46306</v>
      </c>
      <c r="B1945" s="75" t="s">
        <v>18</v>
      </c>
      <c r="C1945" s="45">
        <v>46306</v>
      </c>
      <c r="D1945" s="76">
        <v>753.424007268379</v>
      </c>
      <c r="E1945" s="77">
        <v>125</v>
      </c>
      <c r="F1945" s="78">
        <v>12.8913343975772</v>
      </c>
      <c r="G1945" s="78">
        <v>12.8913343975772</v>
      </c>
      <c r="H1945" s="81">
        <v>12.9766873606748</v>
      </c>
    </row>
    <row r="1946" spans="1:8" x14ac:dyDescent="0.3">
      <c r="A1946" s="74" t="str">
        <f t="shared" si="30"/>
        <v>东营46307</v>
      </c>
      <c r="B1946" s="75" t="s">
        <v>18</v>
      </c>
      <c r="C1946" s="45">
        <v>46307</v>
      </c>
      <c r="D1946" s="76">
        <v>753.424007268379</v>
      </c>
      <c r="E1946" s="77">
        <v>125</v>
      </c>
      <c r="F1946" s="78">
        <v>12.8913343975772</v>
      </c>
      <c r="G1946" s="78">
        <v>12.8913343975772</v>
      </c>
      <c r="H1946" s="81">
        <v>12.9766873606748</v>
      </c>
    </row>
    <row r="1947" spans="1:8" x14ac:dyDescent="0.3">
      <c r="A1947" s="74" t="str">
        <f t="shared" si="30"/>
        <v>东营46308</v>
      </c>
      <c r="B1947" s="75" t="s">
        <v>18</v>
      </c>
      <c r="C1947" s="45">
        <v>46308</v>
      </c>
      <c r="D1947" s="76">
        <v>753.424007268379</v>
      </c>
      <c r="E1947" s="77">
        <v>125</v>
      </c>
      <c r="F1947" s="78">
        <v>12.8913343975772</v>
      </c>
      <c r="G1947" s="78">
        <v>12.8913343975772</v>
      </c>
      <c r="H1947" s="81">
        <v>12.9766873606748</v>
      </c>
    </row>
    <row r="1948" spans="1:8" x14ac:dyDescent="0.3">
      <c r="A1948" s="74" t="str">
        <f t="shared" si="30"/>
        <v>东营46309</v>
      </c>
      <c r="B1948" s="75" t="s">
        <v>18</v>
      </c>
      <c r="C1948" s="45">
        <v>46309</v>
      </c>
      <c r="D1948" s="76">
        <v>753.424007268379</v>
      </c>
      <c r="E1948" s="77">
        <v>125</v>
      </c>
      <c r="F1948" s="78">
        <v>12.8913343975772</v>
      </c>
      <c r="G1948" s="78">
        <v>12.8913343975772</v>
      </c>
      <c r="H1948" s="81">
        <v>12.9766873606748</v>
      </c>
    </row>
    <row r="1949" spans="1:8" x14ac:dyDescent="0.3">
      <c r="A1949" s="74" t="str">
        <f t="shared" si="30"/>
        <v>东营46310</v>
      </c>
      <c r="B1949" s="75" t="s">
        <v>18</v>
      </c>
      <c r="C1949" s="45">
        <v>46310</v>
      </c>
      <c r="D1949" s="76">
        <v>753.424007268379</v>
      </c>
      <c r="E1949" s="77">
        <v>125</v>
      </c>
      <c r="F1949" s="78">
        <v>12.8913343975772</v>
      </c>
      <c r="G1949" s="78">
        <v>12.8913343975772</v>
      </c>
      <c r="H1949" s="81">
        <v>12.9766873606748</v>
      </c>
    </row>
    <row r="1950" spans="1:8" x14ac:dyDescent="0.3">
      <c r="A1950" s="74" t="str">
        <f t="shared" si="30"/>
        <v>东营46311</v>
      </c>
      <c r="B1950" s="75" t="s">
        <v>18</v>
      </c>
      <c r="C1950" s="45">
        <v>46311</v>
      </c>
      <c r="D1950" s="76">
        <v>753.424007268379</v>
      </c>
      <c r="E1950" s="77">
        <v>125</v>
      </c>
      <c r="F1950" s="78">
        <v>12.8913343975772</v>
      </c>
      <c r="G1950" s="78">
        <v>12.8913343975772</v>
      </c>
      <c r="H1950" s="81">
        <v>12.9766873606748</v>
      </c>
    </row>
    <row r="1951" spans="1:8" x14ac:dyDescent="0.3">
      <c r="A1951" s="74" t="str">
        <f t="shared" si="30"/>
        <v>东营46312</v>
      </c>
      <c r="B1951" s="75" t="s">
        <v>18</v>
      </c>
      <c r="C1951" s="45">
        <v>46312</v>
      </c>
      <c r="D1951" s="76">
        <v>753.424007268379</v>
      </c>
      <c r="E1951" s="77">
        <v>125</v>
      </c>
      <c r="F1951" s="78">
        <v>12.8913343975772</v>
      </c>
      <c r="G1951" s="78">
        <v>12.8913343975772</v>
      </c>
      <c r="H1951" s="81">
        <v>12.9766873606748</v>
      </c>
    </row>
    <row r="1952" spans="1:8" x14ac:dyDescent="0.3">
      <c r="A1952" s="74" t="str">
        <f t="shared" si="30"/>
        <v>东营46313</v>
      </c>
      <c r="B1952" s="75" t="s">
        <v>18</v>
      </c>
      <c r="C1952" s="45">
        <v>46313</v>
      </c>
      <c r="D1952" s="76">
        <v>753.424007268379</v>
      </c>
      <c r="E1952" s="77">
        <v>125</v>
      </c>
      <c r="F1952" s="78">
        <v>12.8913343975772</v>
      </c>
      <c r="G1952" s="78">
        <v>12.8913343975772</v>
      </c>
      <c r="H1952" s="81">
        <v>12.9766873606748</v>
      </c>
    </row>
    <row r="1953" spans="1:8" x14ac:dyDescent="0.3">
      <c r="A1953" s="74" t="str">
        <f t="shared" si="30"/>
        <v>东营46314</v>
      </c>
      <c r="B1953" s="75" t="s">
        <v>18</v>
      </c>
      <c r="C1953" s="45">
        <v>46314</v>
      </c>
      <c r="D1953" s="76">
        <v>753.424007268379</v>
      </c>
      <c r="E1953" s="77">
        <v>125</v>
      </c>
      <c r="F1953" s="78">
        <v>12.8913343975772</v>
      </c>
      <c r="G1953" s="78">
        <v>12.8913343975772</v>
      </c>
      <c r="H1953" s="81">
        <v>12.9766873606748</v>
      </c>
    </row>
    <row r="1954" spans="1:8" x14ac:dyDescent="0.3">
      <c r="A1954" s="74" t="str">
        <f t="shared" si="30"/>
        <v>东营46315</v>
      </c>
      <c r="B1954" s="75" t="s">
        <v>18</v>
      </c>
      <c r="C1954" s="45">
        <v>46315</v>
      </c>
      <c r="D1954" s="76">
        <v>753.424007268379</v>
      </c>
      <c r="E1954" s="77">
        <v>125</v>
      </c>
      <c r="F1954" s="78">
        <v>12.8913343975772</v>
      </c>
      <c r="G1954" s="78">
        <v>12.8913343975772</v>
      </c>
      <c r="H1954" s="81">
        <v>12.9766873606748</v>
      </c>
    </row>
    <row r="1955" spans="1:8" x14ac:dyDescent="0.3">
      <c r="A1955" s="74" t="str">
        <f t="shared" si="30"/>
        <v>东营46316</v>
      </c>
      <c r="B1955" s="75" t="s">
        <v>18</v>
      </c>
      <c r="C1955" s="45">
        <v>46316</v>
      </c>
      <c r="D1955" s="76">
        <v>753.424007268379</v>
      </c>
      <c r="E1955" s="77">
        <v>125</v>
      </c>
      <c r="F1955" s="78">
        <v>12.8913343975772</v>
      </c>
      <c r="G1955" s="78">
        <v>12.8913343975772</v>
      </c>
      <c r="H1955" s="81">
        <v>12.9766873606748</v>
      </c>
    </row>
    <row r="1956" spans="1:8" x14ac:dyDescent="0.3">
      <c r="A1956" s="74" t="str">
        <f t="shared" si="30"/>
        <v>东营46317</v>
      </c>
      <c r="B1956" s="75" t="s">
        <v>18</v>
      </c>
      <c r="C1956" s="45">
        <v>46317</v>
      </c>
      <c r="D1956" s="76">
        <v>753.424007268379</v>
      </c>
      <c r="E1956" s="77">
        <v>125</v>
      </c>
      <c r="F1956" s="78">
        <v>12.8913343975772</v>
      </c>
      <c r="G1956" s="78">
        <v>12.8913343975772</v>
      </c>
      <c r="H1956" s="81">
        <v>12.9766873606748</v>
      </c>
    </row>
    <row r="1957" spans="1:8" x14ac:dyDescent="0.3">
      <c r="A1957" s="74" t="str">
        <f t="shared" si="30"/>
        <v>东营46318</v>
      </c>
      <c r="B1957" s="75" t="s">
        <v>18</v>
      </c>
      <c r="C1957" s="45">
        <v>46318</v>
      </c>
      <c r="D1957" s="76">
        <v>753.424007268379</v>
      </c>
      <c r="E1957" s="77">
        <v>125</v>
      </c>
      <c r="F1957" s="78">
        <v>12.8913343975772</v>
      </c>
      <c r="G1957" s="78">
        <v>12.8913343975772</v>
      </c>
      <c r="H1957" s="81">
        <v>12.9766873606748</v>
      </c>
    </row>
    <row r="1958" spans="1:8" x14ac:dyDescent="0.3">
      <c r="A1958" s="74" t="str">
        <f t="shared" si="30"/>
        <v>东营46319</v>
      </c>
      <c r="B1958" s="75" t="s">
        <v>18</v>
      </c>
      <c r="C1958" s="45">
        <v>46319</v>
      </c>
      <c r="D1958" s="76">
        <v>753.424007268379</v>
      </c>
      <c r="E1958" s="77">
        <v>125</v>
      </c>
      <c r="F1958" s="78">
        <v>12.8913343975772</v>
      </c>
      <c r="G1958" s="78">
        <v>12.8913343975772</v>
      </c>
      <c r="H1958" s="81">
        <v>12.9766873606748</v>
      </c>
    </row>
    <row r="1959" spans="1:8" x14ac:dyDescent="0.3">
      <c r="A1959" s="74" t="str">
        <f t="shared" si="30"/>
        <v>东营46320</v>
      </c>
      <c r="B1959" s="75" t="s">
        <v>18</v>
      </c>
      <c r="C1959" s="45">
        <v>46320</v>
      </c>
      <c r="D1959" s="76">
        <v>753.424007268379</v>
      </c>
      <c r="E1959" s="77">
        <v>125</v>
      </c>
      <c r="F1959" s="78">
        <v>12.8913343975772</v>
      </c>
      <c r="G1959" s="78">
        <v>12.8913343975772</v>
      </c>
      <c r="H1959" s="81">
        <v>12.9766873606748</v>
      </c>
    </row>
    <row r="1960" spans="1:8" x14ac:dyDescent="0.3">
      <c r="A1960" s="74" t="str">
        <f t="shared" si="30"/>
        <v>东营46321</v>
      </c>
      <c r="B1960" s="75" t="s">
        <v>18</v>
      </c>
      <c r="C1960" s="45">
        <v>46321</v>
      </c>
      <c r="D1960" s="76">
        <v>753.424007268379</v>
      </c>
      <c r="E1960" s="77">
        <v>125</v>
      </c>
      <c r="F1960" s="78">
        <v>12.8913343975772</v>
      </c>
      <c r="G1960" s="78">
        <v>12.8913343975772</v>
      </c>
      <c r="H1960" s="81">
        <v>12.9766873606748</v>
      </c>
    </row>
    <row r="1961" spans="1:8" x14ac:dyDescent="0.3">
      <c r="A1961" s="74" t="str">
        <f t="shared" si="30"/>
        <v>东营46322</v>
      </c>
      <c r="B1961" s="75" t="s">
        <v>18</v>
      </c>
      <c r="C1961" s="45">
        <v>46322</v>
      </c>
      <c r="D1961" s="76">
        <v>753.424007268379</v>
      </c>
      <c r="E1961" s="77">
        <v>125</v>
      </c>
      <c r="F1961" s="78">
        <v>12.8913343975772</v>
      </c>
      <c r="G1961" s="78">
        <v>12.8913343975772</v>
      </c>
      <c r="H1961" s="81">
        <v>12.9766873606748</v>
      </c>
    </row>
    <row r="1962" spans="1:8" x14ac:dyDescent="0.3">
      <c r="A1962" s="74" t="str">
        <f t="shared" si="30"/>
        <v>东营46323</v>
      </c>
      <c r="B1962" s="75" t="s">
        <v>18</v>
      </c>
      <c r="C1962" s="45">
        <v>46323</v>
      </c>
      <c r="D1962" s="76">
        <v>753.424007268379</v>
      </c>
      <c r="E1962" s="77">
        <v>125</v>
      </c>
      <c r="F1962" s="78">
        <v>12.8913343975772</v>
      </c>
      <c r="G1962" s="78">
        <v>12.8913343975772</v>
      </c>
      <c r="H1962" s="81">
        <v>12.9766873606748</v>
      </c>
    </row>
    <row r="1963" spans="1:8" x14ac:dyDescent="0.3">
      <c r="A1963" s="74" t="str">
        <f t="shared" si="30"/>
        <v>东营46324</v>
      </c>
      <c r="B1963" s="75" t="s">
        <v>18</v>
      </c>
      <c r="C1963" s="45">
        <v>46324</v>
      </c>
      <c r="D1963" s="76">
        <v>753.424007268379</v>
      </c>
      <c r="E1963" s="77">
        <v>125</v>
      </c>
      <c r="F1963" s="78">
        <v>12.8913343975772</v>
      </c>
      <c r="G1963" s="78">
        <v>12.8913343975772</v>
      </c>
      <c r="H1963" s="81">
        <v>12.9766873606748</v>
      </c>
    </row>
    <row r="1964" spans="1:8" x14ac:dyDescent="0.3">
      <c r="A1964" s="74" t="str">
        <f t="shared" si="30"/>
        <v>东营46325</v>
      </c>
      <c r="B1964" s="75" t="s">
        <v>18</v>
      </c>
      <c r="C1964" s="45">
        <v>46325</v>
      </c>
      <c r="D1964" s="76">
        <v>753.424007268379</v>
      </c>
      <c r="E1964" s="77">
        <v>125</v>
      </c>
      <c r="F1964" s="78">
        <v>12.8913343975772</v>
      </c>
      <c r="G1964" s="78">
        <v>12.8913343975772</v>
      </c>
      <c r="H1964" s="81">
        <v>12.9766873606748</v>
      </c>
    </row>
    <row r="1965" spans="1:8" x14ac:dyDescent="0.3">
      <c r="A1965" s="74" t="str">
        <f t="shared" si="30"/>
        <v>东营46326</v>
      </c>
      <c r="B1965" s="75" t="s">
        <v>18</v>
      </c>
      <c r="C1965" s="45">
        <v>46326</v>
      </c>
      <c r="D1965" s="76">
        <v>753.424007268379</v>
      </c>
      <c r="E1965" s="77">
        <v>125</v>
      </c>
      <c r="F1965" s="78">
        <v>12.8913343975772</v>
      </c>
      <c r="G1965" s="78">
        <v>12.8913343975772</v>
      </c>
      <c r="H1965" s="81">
        <v>12.9766873606748</v>
      </c>
    </row>
    <row r="1966" spans="1:8" x14ac:dyDescent="0.3">
      <c r="A1966" s="74" t="str">
        <f t="shared" si="30"/>
        <v>东营46327</v>
      </c>
      <c r="B1966" s="75" t="s">
        <v>18</v>
      </c>
      <c r="C1966" s="45">
        <v>46327</v>
      </c>
      <c r="D1966" s="76">
        <v>737.86461911883896</v>
      </c>
      <c r="E1966" s="77">
        <v>125</v>
      </c>
      <c r="F1966" s="78">
        <v>13.190236872481</v>
      </c>
      <c r="G1966" s="78">
        <v>13.190236872481</v>
      </c>
      <c r="H1966" s="81">
        <v>13.053624242259801</v>
      </c>
    </row>
    <row r="1967" spans="1:8" x14ac:dyDescent="0.3">
      <c r="A1967" s="74" t="str">
        <f t="shared" si="30"/>
        <v>东营46328</v>
      </c>
      <c r="B1967" s="75" t="s">
        <v>18</v>
      </c>
      <c r="C1967" s="45">
        <v>46328</v>
      </c>
      <c r="D1967" s="76">
        <v>737.86461911883896</v>
      </c>
      <c r="E1967" s="77">
        <v>125</v>
      </c>
      <c r="F1967" s="78">
        <v>13.190236872481</v>
      </c>
      <c r="G1967" s="78">
        <v>13.190236872481</v>
      </c>
      <c r="H1967" s="81">
        <v>13.053624242259801</v>
      </c>
    </row>
    <row r="1968" spans="1:8" x14ac:dyDescent="0.3">
      <c r="A1968" s="74" t="str">
        <f t="shared" si="30"/>
        <v>东营46329</v>
      </c>
      <c r="B1968" s="75" t="s">
        <v>18</v>
      </c>
      <c r="C1968" s="45">
        <v>46329</v>
      </c>
      <c r="D1968" s="76">
        <v>737.86461911883896</v>
      </c>
      <c r="E1968" s="77">
        <v>125</v>
      </c>
      <c r="F1968" s="78">
        <v>13.190236872481</v>
      </c>
      <c r="G1968" s="78">
        <v>13.190236872481</v>
      </c>
      <c r="H1968" s="81">
        <v>13.053624242259801</v>
      </c>
    </row>
    <row r="1969" spans="1:8" x14ac:dyDescent="0.3">
      <c r="A1969" s="74" t="str">
        <f t="shared" si="30"/>
        <v>东营46330</v>
      </c>
      <c r="B1969" s="75" t="s">
        <v>18</v>
      </c>
      <c r="C1969" s="45">
        <v>46330</v>
      </c>
      <c r="D1969" s="76">
        <v>737.86461911883896</v>
      </c>
      <c r="E1969" s="77">
        <v>125</v>
      </c>
      <c r="F1969" s="78">
        <v>13.190236872481</v>
      </c>
      <c r="G1969" s="78">
        <v>13.190236872481</v>
      </c>
      <c r="H1969" s="81">
        <v>13.053624242259801</v>
      </c>
    </row>
    <row r="1970" spans="1:8" x14ac:dyDescent="0.3">
      <c r="A1970" s="74" t="str">
        <f t="shared" si="30"/>
        <v>东营46331</v>
      </c>
      <c r="B1970" s="75" t="s">
        <v>18</v>
      </c>
      <c r="C1970" s="45">
        <v>46331</v>
      </c>
      <c r="D1970" s="76">
        <v>737.86461911883896</v>
      </c>
      <c r="E1970" s="77">
        <v>125</v>
      </c>
      <c r="F1970" s="78">
        <v>13.190236872481</v>
      </c>
      <c r="G1970" s="78">
        <v>13.190236872481</v>
      </c>
      <c r="H1970" s="81">
        <v>13.053624242259801</v>
      </c>
    </row>
    <row r="1971" spans="1:8" x14ac:dyDescent="0.3">
      <c r="A1971" s="74" t="str">
        <f t="shared" si="30"/>
        <v>东营46332</v>
      </c>
      <c r="B1971" s="75" t="s">
        <v>18</v>
      </c>
      <c r="C1971" s="45">
        <v>46332</v>
      </c>
      <c r="D1971" s="76">
        <v>737.86461911883896</v>
      </c>
      <c r="E1971" s="77">
        <v>125</v>
      </c>
      <c r="F1971" s="78">
        <v>13.190236872481</v>
      </c>
      <c r="G1971" s="78">
        <v>13.190236872481</v>
      </c>
      <c r="H1971" s="81">
        <v>13.053624242259801</v>
      </c>
    </row>
    <row r="1972" spans="1:8" x14ac:dyDescent="0.3">
      <c r="A1972" s="74" t="str">
        <f t="shared" si="30"/>
        <v>东营46333</v>
      </c>
      <c r="B1972" s="75" t="s">
        <v>18</v>
      </c>
      <c r="C1972" s="45">
        <v>46333</v>
      </c>
      <c r="D1972" s="76">
        <v>737.86461911883896</v>
      </c>
      <c r="E1972" s="77">
        <v>125</v>
      </c>
      <c r="F1972" s="78">
        <v>13.190236872481</v>
      </c>
      <c r="G1972" s="78">
        <v>13.190236872481</v>
      </c>
      <c r="H1972" s="81">
        <v>13.053624242259801</v>
      </c>
    </row>
    <row r="1973" spans="1:8" x14ac:dyDescent="0.3">
      <c r="A1973" s="74" t="str">
        <f t="shared" si="30"/>
        <v>东营46334</v>
      </c>
      <c r="B1973" s="75" t="s">
        <v>18</v>
      </c>
      <c r="C1973" s="45">
        <v>46334</v>
      </c>
      <c r="D1973" s="76">
        <v>737.86461911883896</v>
      </c>
      <c r="E1973" s="77">
        <v>125</v>
      </c>
      <c r="F1973" s="78">
        <v>13.190236872481</v>
      </c>
      <c r="G1973" s="78">
        <v>13.190236872481</v>
      </c>
      <c r="H1973" s="81">
        <v>13.053624242259801</v>
      </c>
    </row>
    <row r="1974" spans="1:8" x14ac:dyDescent="0.3">
      <c r="A1974" s="74" t="str">
        <f t="shared" si="30"/>
        <v>东营46335</v>
      </c>
      <c r="B1974" s="75" t="s">
        <v>18</v>
      </c>
      <c r="C1974" s="45">
        <v>46335</v>
      </c>
      <c r="D1974" s="76">
        <v>737.86461911883896</v>
      </c>
      <c r="E1974" s="77">
        <v>125</v>
      </c>
      <c r="F1974" s="78">
        <v>13.190236872481</v>
      </c>
      <c r="G1974" s="78">
        <v>13.190236872481</v>
      </c>
      <c r="H1974" s="81">
        <v>13.053624242259801</v>
      </c>
    </row>
    <row r="1975" spans="1:8" x14ac:dyDescent="0.3">
      <c r="A1975" s="74" t="str">
        <f t="shared" si="30"/>
        <v>东营46336</v>
      </c>
      <c r="B1975" s="75" t="s">
        <v>18</v>
      </c>
      <c r="C1975" s="45">
        <v>46336</v>
      </c>
      <c r="D1975" s="76">
        <v>737.86461911883896</v>
      </c>
      <c r="E1975" s="77">
        <v>125</v>
      </c>
      <c r="F1975" s="78">
        <v>13.190236872481</v>
      </c>
      <c r="G1975" s="78">
        <v>13.190236872481</v>
      </c>
      <c r="H1975" s="81">
        <v>13.053624242259801</v>
      </c>
    </row>
    <row r="1976" spans="1:8" x14ac:dyDescent="0.3">
      <c r="A1976" s="74" t="str">
        <f t="shared" si="30"/>
        <v>东营46337</v>
      </c>
      <c r="B1976" s="75" t="s">
        <v>18</v>
      </c>
      <c r="C1976" s="45">
        <v>46337</v>
      </c>
      <c r="D1976" s="76">
        <v>737.86461911883896</v>
      </c>
      <c r="E1976" s="77">
        <v>125</v>
      </c>
      <c r="F1976" s="78">
        <v>13.190236872481</v>
      </c>
      <c r="G1976" s="78">
        <v>13.190236872481</v>
      </c>
      <c r="H1976" s="81">
        <v>13.053624242259801</v>
      </c>
    </row>
    <row r="1977" spans="1:8" x14ac:dyDescent="0.3">
      <c r="A1977" s="74" t="str">
        <f t="shared" si="30"/>
        <v>东营46338</v>
      </c>
      <c r="B1977" s="75" t="s">
        <v>18</v>
      </c>
      <c r="C1977" s="45">
        <v>46338</v>
      </c>
      <c r="D1977" s="76">
        <v>737.86461911883896</v>
      </c>
      <c r="E1977" s="77">
        <v>125</v>
      </c>
      <c r="F1977" s="78">
        <v>13.190236872481</v>
      </c>
      <c r="G1977" s="78">
        <v>13.190236872481</v>
      </c>
      <c r="H1977" s="81">
        <v>13.053624242259801</v>
      </c>
    </row>
    <row r="1978" spans="1:8" x14ac:dyDescent="0.3">
      <c r="A1978" s="74" t="str">
        <f t="shared" si="30"/>
        <v>东营46339</v>
      </c>
      <c r="B1978" s="75" t="s">
        <v>18</v>
      </c>
      <c r="C1978" s="45">
        <v>46339</v>
      </c>
      <c r="D1978" s="76">
        <v>737.86461911883896</v>
      </c>
      <c r="E1978" s="77">
        <v>125</v>
      </c>
      <c r="F1978" s="78">
        <v>13.190236872481</v>
      </c>
      <c r="G1978" s="78">
        <v>13.190236872481</v>
      </c>
      <c r="H1978" s="81">
        <v>13.053624242259801</v>
      </c>
    </row>
    <row r="1979" spans="1:8" x14ac:dyDescent="0.3">
      <c r="A1979" s="74" t="str">
        <f t="shared" si="30"/>
        <v>东营46340</v>
      </c>
      <c r="B1979" s="75" t="s">
        <v>18</v>
      </c>
      <c r="C1979" s="45">
        <v>46340</v>
      </c>
      <c r="D1979" s="76">
        <v>737.86461911883896</v>
      </c>
      <c r="E1979" s="77">
        <v>125</v>
      </c>
      <c r="F1979" s="78">
        <v>13.190236872481</v>
      </c>
      <c r="G1979" s="78">
        <v>13.190236872481</v>
      </c>
      <c r="H1979" s="81">
        <v>13.053624242259801</v>
      </c>
    </row>
    <row r="1980" spans="1:8" x14ac:dyDescent="0.3">
      <c r="A1980" s="74" t="str">
        <f t="shared" si="30"/>
        <v>东营46341</v>
      </c>
      <c r="B1980" s="75" t="s">
        <v>18</v>
      </c>
      <c r="C1980" s="45">
        <v>46341</v>
      </c>
      <c r="D1980" s="76">
        <v>737.86461911883896</v>
      </c>
      <c r="E1980" s="77">
        <v>125</v>
      </c>
      <c r="F1980" s="78">
        <v>13.190236872481</v>
      </c>
      <c r="G1980" s="78">
        <v>13.190236872481</v>
      </c>
      <c r="H1980" s="81">
        <v>13.053624242259801</v>
      </c>
    </row>
    <row r="1981" spans="1:8" x14ac:dyDescent="0.3">
      <c r="A1981" s="74" t="str">
        <f t="shared" si="30"/>
        <v>东营46342</v>
      </c>
      <c r="B1981" s="75" t="s">
        <v>18</v>
      </c>
      <c r="C1981" s="45">
        <v>46342</v>
      </c>
      <c r="D1981" s="76">
        <v>737.86461911883896</v>
      </c>
      <c r="E1981" s="77">
        <v>125</v>
      </c>
      <c r="F1981" s="78">
        <v>13.190236872481</v>
      </c>
      <c r="G1981" s="78">
        <v>13.190236872481</v>
      </c>
      <c r="H1981" s="81">
        <v>13.053624242259801</v>
      </c>
    </row>
    <row r="1982" spans="1:8" x14ac:dyDescent="0.3">
      <c r="A1982" s="74" t="str">
        <f t="shared" si="30"/>
        <v>东营46343</v>
      </c>
      <c r="B1982" s="75" t="s">
        <v>18</v>
      </c>
      <c r="C1982" s="45">
        <v>46343</v>
      </c>
      <c r="D1982" s="76">
        <v>737.86461911883896</v>
      </c>
      <c r="E1982" s="77">
        <v>125</v>
      </c>
      <c r="F1982" s="78">
        <v>13.190236872481</v>
      </c>
      <c r="G1982" s="78">
        <v>13.190236872481</v>
      </c>
      <c r="H1982" s="81">
        <v>13.053624242259801</v>
      </c>
    </row>
    <row r="1983" spans="1:8" x14ac:dyDescent="0.3">
      <c r="A1983" s="74" t="str">
        <f t="shared" si="30"/>
        <v>东营46344</v>
      </c>
      <c r="B1983" s="75" t="s">
        <v>18</v>
      </c>
      <c r="C1983" s="45">
        <v>46344</v>
      </c>
      <c r="D1983" s="76">
        <v>737.86461911883896</v>
      </c>
      <c r="E1983" s="77">
        <v>125</v>
      </c>
      <c r="F1983" s="78">
        <v>13.190236872481</v>
      </c>
      <c r="G1983" s="78">
        <v>13.190236872481</v>
      </c>
      <c r="H1983" s="81">
        <v>13.053624242259801</v>
      </c>
    </row>
    <row r="1984" spans="1:8" x14ac:dyDescent="0.3">
      <c r="A1984" s="74" t="str">
        <f t="shared" si="30"/>
        <v>东营46345</v>
      </c>
      <c r="B1984" s="75" t="s">
        <v>18</v>
      </c>
      <c r="C1984" s="45">
        <v>46345</v>
      </c>
      <c r="D1984" s="76">
        <v>737.86461911883896</v>
      </c>
      <c r="E1984" s="77">
        <v>125</v>
      </c>
      <c r="F1984" s="78">
        <v>13.190236872481</v>
      </c>
      <c r="G1984" s="78">
        <v>13.190236872481</v>
      </c>
      <c r="H1984" s="81">
        <v>13.053624242259801</v>
      </c>
    </row>
    <row r="1985" spans="1:8" x14ac:dyDescent="0.3">
      <c r="A1985" s="74" t="str">
        <f t="shared" si="30"/>
        <v>东营46346</v>
      </c>
      <c r="B1985" s="75" t="s">
        <v>18</v>
      </c>
      <c r="C1985" s="45">
        <v>46346</v>
      </c>
      <c r="D1985" s="76">
        <v>737.86461911883896</v>
      </c>
      <c r="E1985" s="77">
        <v>125</v>
      </c>
      <c r="F1985" s="78">
        <v>13.190236872481</v>
      </c>
      <c r="G1985" s="78">
        <v>13.190236872481</v>
      </c>
      <c r="H1985" s="81">
        <v>13.053624242259801</v>
      </c>
    </row>
    <row r="1986" spans="1:8" x14ac:dyDescent="0.3">
      <c r="A1986" s="74" t="str">
        <f t="shared" si="30"/>
        <v>东营46347</v>
      </c>
      <c r="B1986" s="75" t="s">
        <v>18</v>
      </c>
      <c r="C1986" s="45">
        <v>46347</v>
      </c>
      <c r="D1986" s="76">
        <v>737.86461911883896</v>
      </c>
      <c r="E1986" s="77">
        <v>125</v>
      </c>
      <c r="F1986" s="78">
        <v>13.190236872481</v>
      </c>
      <c r="G1986" s="78">
        <v>13.190236872481</v>
      </c>
      <c r="H1986" s="81">
        <v>13.053624242259801</v>
      </c>
    </row>
    <row r="1987" spans="1:8" x14ac:dyDescent="0.3">
      <c r="A1987" s="74" t="str">
        <f t="shared" ref="A1987:A2050" si="31">B1987&amp;C1987</f>
        <v>东营46348</v>
      </c>
      <c r="B1987" s="75" t="s">
        <v>18</v>
      </c>
      <c r="C1987" s="45">
        <v>46348</v>
      </c>
      <c r="D1987" s="76">
        <v>737.86461911883896</v>
      </c>
      <c r="E1987" s="77">
        <v>125</v>
      </c>
      <c r="F1987" s="78">
        <v>13.190236872481</v>
      </c>
      <c r="G1987" s="78">
        <v>13.190236872481</v>
      </c>
      <c r="H1987" s="81">
        <v>13.053624242259801</v>
      </c>
    </row>
    <row r="1988" spans="1:8" x14ac:dyDescent="0.3">
      <c r="A1988" s="74" t="str">
        <f t="shared" si="31"/>
        <v>东营46349</v>
      </c>
      <c r="B1988" s="75" t="s">
        <v>18</v>
      </c>
      <c r="C1988" s="45">
        <v>46349</v>
      </c>
      <c r="D1988" s="76">
        <v>737.86461911883896</v>
      </c>
      <c r="E1988" s="77">
        <v>125</v>
      </c>
      <c r="F1988" s="78">
        <v>13.190236872481</v>
      </c>
      <c r="G1988" s="78">
        <v>13.190236872481</v>
      </c>
      <c r="H1988" s="81">
        <v>13.053624242259801</v>
      </c>
    </row>
    <row r="1989" spans="1:8" x14ac:dyDescent="0.3">
      <c r="A1989" s="74" t="str">
        <f t="shared" si="31"/>
        <v>东营46350</v>
      </c>
      <c r="B1989" s="75" t="s">
        <v>18</v>
      </c>
      <c r="C1989" s="45">
        <v>46350</v>
      </c>
      <c r="D1989" s="76">
        <v>737.86461911883896</v>
      </c>
      <c r="E1989" s="77">
        <v>125</v>
      </c>
      <c r="F1989" s="78">
        <v>13.190236872481</v>
      </c>
      <c r="G1989" s="78">
        <v>13.190236872481</v>
      </c>
      <c r="H1989" s="81">
        <v>13.053624242259801</v>
      </c>
    </row>
    <row r="1990" spans="1:8" x14ac:dyDescent="0.3">
      <c r="A1990" s="74" t="str">
        <f t="shared" si="31"/>
        <v>东营46351</v>
      </c>
      <c r="B1990" s="75" t="s">
        <v>18</v>
      </c>
      <c r="C1990" s="45">
        <v>46351</v>
      </c>
      <c r="D1990" s="76">
        <v>737.86461911883896</v>
      </c>
      <c r="E1990" s="77">
        <v>125</v>
      </c>
      <c r="F1990" s="78">
        <v>13.190236872481</v>
      </c>
      <c r="G1990" s="78">
        <v>13.190236872481</v>
      </c>
      <c r="H1990" s="81">
        <v>13.053624242259801</v>
      </c>
    </row>
    <row r="1991" spans="1:8" x14ac:dyDescent="0.3">
      <c r="A1991" s="74" t="str">
        <f t="shared" si="31"/>
        <v>东营46352</v>
      </c>
      <c r="B1991" s="75" t="s">
        <v>18</v>
      </c>
      <c r="C1991" s="45">
        <v>46352</v>
      </c>
      <c r="D1991" s="76">
        <v>737.86461911883896</v>
      </c>
      <c r="E1991" s="77">
        <v>125</v>
      </c>
      <c r="F1991" s="78">
        <v>13.190236872481</v>
      </c>
      <c r="G1991" s="78">
        <v>13.190236872481</v>
      </c>
      <c r="H1991" s="81">
        <v>13.053624242259801</v>
      </c>
    </row>
    <row r="1992" spans="1:8" x14ac:dyDescent="0.3">
      <c r="A1992" s="74" t="str">
        <f t="shared" si="31"/>
        <v>东营46353</v>
      </c>
      <c r="B1992" s="75" t="s">
        <v>18</v>
      </c>
      <c r="C1992" s="45">
        <v>46353</v>
      </c>
      <c r="D1992" s="76">
        <v>737.86461911883896</v>
      </c>
      <c r="E1992" s="77">
        <v>125</v>
      </c>
      <c r="F1992" s="78">
        <v>13.190236872481</v>
      </c>
      <c r="G1992" s="78">
        <v>13.190236872481</v>
      </c>
      <c r="H1992" s="81">
        <v>13.053624242259801</v>
      </c>
    </row>
    <row r="1993" spans="1:8" x14ac:dyDescent="0.3">
      <c r="A1993" s="74" t="str">
        <f t="shared" si="31"/>
        <v>东营46354</v>
      </c>
      <c r="B1993" s="75" t="s">
        <v>18</v>
      </c>
      <c r="C1993" s="45">
        <v>46354</v>
      </c>
      <c r="D1993" s="76">
        <v>737.86461911883896</v>
      </c>
      <c r="E1993" s="77">
        <v>125</v>
      </c>
      <c r="F1993" s="78">
        <v>13.190236872481</v>
      </c>
      <c r="G1993" s="78">
        <v>13.190236872481</v>
      </c>
      <c r="H1993" s="81">
        <v>13.053624242259801</v>
      </c>
    </row>
    <row r="1994" spans="1:8" x14ac:dyDescent="0.3">
      <c r="A1994" s="74" t="str">
        <f t="shared" si="31"/>
        <v>东营46355</v>
      </c>
      <c r="B1994" s="75" t="s">
        <v>18</v>
      </c>
      <c r="C1994" s="45">
        <v>46355</v>
      </c>
      <c r="D1994" s="76">
        <v>737.86461911883896</v>
      </c>
      <c r="E1994" s="77">
        <v>125</v>
      </c>
      <c r="F1994" s="78">
        <v>13.190236872481</v>
      </c>
      <c r="G1994" s="78">
        <v>13.190236872481</v>
      </c>
      <c r="H1994" s="81">
        <v>13.053624242259801</v>
      </c>
    </row>
    <row r="1995" spans="1:8" x14ac:dyDescent="0.3">
      <c r="A1995" s="74" t="str">
        <f t="shared" si="31"/>
        <v>东营46356</v>
      </c>
      <c r="B1995" s="75" t="s">
        <v>18</v>
      </c>
      <c r="C1995" s="45">
        <v>46356</v>
      </c>
      <c r="D1995" s="76">
        <v>737.86461911883896</v>
      </c>
      <c r="E1995" s="77">
        <v>125</v>
      </c>
      <c r="F1995" s="78">
        <v>13.190236872481</v>
      </c>
      <c r="G1995" s="78">
        <v>13.190236872481</v>
      </c>
      <c r="H1995" s="81">
        <v>13.053624242259801</v>
      </c>
    </row>
    <row r="1996" spans="1:8" x14ac:dyDescent="0.3">
      <c r="A1996" s="74" t="str">
        <f t="shared" si="31"/>
        <v>东营46357</v>
      </c>
      <c r="B1996" s="75" t="s">
        <v>18</v>
      </c>
      <c r="C1996" s="45">
        <v>46357</v>
      </c>
      <c r="D1996" s="76">
        <v>748.02958444159196</v>
      </c>
      <c r="E1996" s="77">
        <v>125</v>
      </c>
      <c r="F1996" s="78">
        <v>13.904603425049</v>
      </c>
      <c r="G1996" s="78">
        <v>13.904603425049</v>
      </c>
      <c r="H1996" s="81">
        <v>13.294693137892899</v>
      </c>
    </row>
    <row r="1997" spans="1:8" x14ac:dyDescent="0.3">
      <c r="A1997" s="74" t="str">
        <f t="shared" si="31"/>
        <v>东营46358</v>
      </c>
      <c r="B1997" s="75" t="s">
        <v>18</v>
      </c>
      <c r="C1997" s="45">
        <v>46358</v>
      </c>
      <c r="D1997" s="76">
        <v>748.02958444159196</v>
      </c>
      <c r="E1997" s="77">
        <v>125</v>
      </c>
      <c r="F1997" s="78">
        <v>13.904603425049</v>
      </c>
      <c r="G1997" s="78">
        <v>13.904603425049</v>
      </c>
      <c r="H1997" s="81">
        <v>13.294693137892899</v>
      </c>
    </row>
    <row r="1998" spans="1:8" x14ac:dyDescent="0.3">
      <c r="A1998" s="74" t="str">
        <f t="shared" si="31"/>
        <v>东营46359</v>
      </c>
      <c r="B1998" s="75" t="s">
        <v>18</v>
      </c>
      <c r="C1998" s="45">
        <v>46359</v>
      </c>
      <c r="D1998" s="76">
        <v>748.02958444159196</v>
      </c>
      <c r="E1998" s="77">
        <v>125</v>
      </c>
      <c r="F1998" s="78">
        <v>13.904603425049</v>
      </c>
      <c r="G1998" s="78">
        <v>13.904603425049</v>
      </c>
      <c r="H1998" s="81">
        <v>13.294693137892899</v>
      </c>
    </row>
    <row r="1999" spans="1:8" x14ac:dyDescent="0.3">
      <c r="A1999" s="74" t="str">
        <f t="shared" si="31"/>
        <v>东营46360</v>
      </c>
      <c r="B1999" s="75" t="s">
        <v>18</v>
      </c>
      <c r="C1999" s="45">
        <v>46360</v>
      </c>
      <c r="D1999" s="76">
        <v>748.02958444159196</v>
      </c>
      <c r="E1999" s="77">
        <v>125</v>
      </c>
      <c r="F1999" s="78">
        <v>13.904603425049</v>
      </c>
      <c r="G1999" s="78">
        <v>13.904603425049</v>
      </c>
      <c r="H1999" s="81">
        <v>13.294693137892899</v>
      </c>
    </row>
    <row r="2000" spans="1:8" x14ac:dyDescent="0.3">
      <c r="A2000" s="74" t="str">
        <f t="shared" si="31"/>
        <v>东营46361</v>
      </c>
      <c r="B2000" s="75" t="s">
        <v>18</v>
      </c>
      <c r="C2000" s="45">
        <v>46361</v>
      </c>
      <c r="D2000" s="76">
        <v>748.02958444159196</v>
      </c>
      <c r="E2000" s="77">
        <v>125</v>
      </c>
      <c r="F2000" s="78">
        <v>13.904603425049</v>
      </c>
      <c r="G2000" s="78">
        <v>13.904603425049</v>
      </c>
      <c r="H2000" s="81">
        <v>13.294693137892899</v>
      </c>
    </row>
    <row r="2001" spans="1:8" x14ac:dyDescent="0.3">
      <c r="A2001" s="74" t="str">
        <f t="shared" si="31"/>
        <v>东营46362</v>
      </c>
      <c r="B2001" s="75" t="s">
        <v>18</v>
      </c>
      <c r="C2001" s="45">
        <v>46362</v>
      </c>
      <c r="D2001" s="76">
        <v>748.02958444159196</v>
      </c>
      <c r="E2001" s="77">
        <v>125</v>
      </c>
      <c r="F2001" s="78">
        <v>13.904603425049</v>
      </c>
      <c r="G2001" s="78">
        <v>13.904603425049</v>
      </c>
      <c r="H2001" s="81">
        <v>13.294693137892899</v>
      </c>
    </row>
    <row r="2002" spans="1:8" x14ac:dyDescent="0.3">
      <c r="A2002" s="74" t="str">
        <f t="shared" si="31"/>
        <v>东营46363</v>
      </c>
      <c r="B2002" s="75" t="s">
        <v>18</v>
      </c>
      <c r="C2002" s="45">
        <v>46363</v>
      </c>
      <c r="D2002" s="76">
        <v>748.02958444159196</v>
      </c>
      <c r="E2002" s="77">
        <v>125</v>
      </c>
      <c r="F2002" s="78">
        <v>13.904603425049</v>
      </c>
      <c r="G2002" s="78">
        <v>13.904603425049</v>
      </c>
      <c r="H2002" s="81">
        <v>13.294693137892899</v>
      </c>
    </row>
    <row r="2003" spans="1:8" x14ac:dyDescent="0.3">
      <c r="A2003" s="74" t="str">
        <f t="shared" si="31"/>
        <v>东营46364</v>
      </c>
      <c r="B2003" s="75" t="s">
        <v>18</v>
      </c>
      <c r="C2003" s="45">
        <v>46364</v>
      </c>
      <c r="D2003" s="76">
        <v>748.02958444159196</v>
      </c>
      <c r="E2003" s="77">
        <v>125</v>
      </c>
      <c r="F2003" s="78">
        <v>13.904603425049</v>
      </c>
      <c r="G2003" s="78">
        <v>13.904603425049</v>
      </c>
      <c r="H2003" s="81">
        <v>13.294693137892899</v>
      </c>
    </row>
    <row r="2004" spans="1:8" x14ac:dyDescent="0.3">
      <c r="A2004" s="74" t="str">
        <f t="shared" si="31"/>
        <v>东营46365</v>
      </c>
      <c r="B2004" s="75" t="s">
        <v>18</v>
      </c>
      <c r="C2004" s="45">
        <v>46365</v>
      </c>
      <c r="D2004" s="76">
        <v>748.02958444159196</v>
      </c>
      <c r="E2004" s="77">
        <v>125</v>
      </c>
      <c r="F2004" s="78">
        <v>13.904603425049</v>
      </c>
      <c r="G2004" s="78">
        <v>13.904603425049</v>
      </c>
      <c r="H2004" s="81">
        <v>13.294693137892899</v>
      </c>
    </row>
    <row r="2005" spans="1:8" x14ac:dyDescent="0.3">
      <c r="A2005" s="74" t="str">
        <f t="shared" si="31"/>
        <v>东营46366</v>
      </c>
      <c r="B2005" s="75" t="s">
        <v>18</v>
      </c>
      <c r="C2005" s="45">
        <v>46366</v>
      </c>
      <c r="D2005" s="76">
        <v>748.02958444159196</v>
      </c>
      <c r="E2005" s="77">
        <v>125</v>
      </c>
      <c r="F2005" s="78">
        <v>13.904603425049</v>
      </c>
      <c r="G2005" s="78">
        <v>13.904603425049</v>
      </c>
      <c r="H2005" s="81">
        <v>13.294693137892899</v>
      </c>
    </row>
    <row r="2006" spans="1:8" x14ac:dyDescent="0.3">
      <c r="A2006" s="74" t="str">
        <f t="shared" si="31"/>
        <v>东营46367</v>
      </c>
      <c r="B2006" s="75" t="s">
        <v>18</v>
      </c>
      <c r="C2006" s="45">
        <v>46367</v>
      </c>
      <c r="D2006" s="76">
        <v>748.02958444159196</v>
      </c>
      <c r="E2006" s="77">
        <v>125</v>
      </c>
      <c r="F2006" s="78">
        <v>13.904603425049</v>
      </c>
      <c r="G2006" s="78">
        <v>13.904603425049</v>
      </c>
      <c r="H2006" s="81">
        <v>13.294693137892899</v>
      </c>
    </row>
    <row r="2007" spans="1:8" x14ac:dyDescent="0.3">
      <c r="A2007" s="74" t="str">
        <f t="shared" si="31"/>
        <v>东营46368</v>
      </c>
      <c r="B2007" s="75" t="s">
        <v>18</v>
      </c>
      <c r="C2007" s="45">
        <v>46368</v>
      </c>
      <c r="D2007" s="76">
        <v>748.02958444159196</v>
      </c>
      <c r="E2007" s="77">
        <v>125</v>
      </c>
      <c r="F2007" s="78">
        <v>13.904603425049</v>
      </c>
      <c r="G2007" s="78">
        <v>13.904603425049</v>
      </c>
      <c r="H2007" s="81">
        <v>13.294693137892899</v>
      </c>
    </row>
    <row r="2008" spans="1:8" x14ac:dyDescent="0.3">
      <c r="A2008" s="74" t="str">
        <f t="shared" si="31"/>
        <v>东营46369</v>
      </c>
      <c r="B2008" s="75" t="s">
        <v>18</v>
      </c>
      <c r="C2008" s="45">
        <v>46369</v>
      </c>
      <c r="D2008" s="76">
        <v>748.02958444159196</v>
      </c>
      <c r="E2008" s="77">
        <v>125</v>
      </c>
      <c r="F2008" s="78">
        <v>13.904603425049</v>
      </c>
      <c r="G2008" s="78">
        <v>13.904603425049</v>
      </c>
      <c r="H2008" s="81">
        <v>13.294693137892899</v>
      </c>
    </row>
    <row r="2009" spans="1:8" x14ac:dyDescent="0.3">
      <c r="A2009" s="74" t="str">
        <f t="shared" si="31"/>
        <v>东营46370</v>
      </c>
      <c r="B2009" s="75" t="s">
        <v>18</v>
      </c>
      <c r="C2009" s="45">
        <v>46370</v>
      </c>
      <c r="D2009" s="76">
        <v>748.02958444159196</v>
      </c>
      <c r="E2009" s="77">
        <v>125</v>
      </c>
      <c r="F2009" s="78">
        <v>13.904603425049</v>
      </c>
      <c r="G2009" s="78">
        <v>13.904603425049</v>
      </c>
      <c r="H2009" s="81">
        <v>13.294693137892899</v>
      </c>
    </row>
    <row r="2010" spans="1:8" x14ac:dyDescent="0.3">
      <c r="A2010" s="74" t="str">
        <f t="shared" si="31"/>
        <v>东营46371</v>
      </c>
      <c r="B2010" s="75" t="s">
        <v>18</v>
      </c>
      <c r="C2010" s="45">
        <v>46371</v>
      </c>
      <c r="D2010" s="76">
        <v>748.02958444159196</v>
      </c>
      <c r="E2010" s="77">
        <v>125</v>
      </c>
      <c r="F2010" s="78">
        <v>13.904603425049</v>
      </c>
      <c r="G2010" s="78">
        <v>13.904603425049</v>
      </c>
      <c r="H2010" s="81">
        <v>13.294693137892899</v>
      </c>
    </row>
    <row r="2011" spans="1:8" x14ac:dyDescent="0.3">
      <c r="A2011" s="74" t="str">
        <f t="shared" si="31"/>
        <v>东营46372</v>
      </c>
      <c r="B2011" s="75" t="s">
        <v>18</v>
      </c>
      <c r="C2011" s="45">
        <v>46372</v>
      </c>
      <c r="D2011" s="76">
        <v>748.02958444159196</v>
      </c>
      <c r="E2011" s="77">
        <v>125</v>
      </c>
      <c r="F2011" s="78">
        <v>13.904603425049</v>
      </c>
      <c r="G2011" s="78">
        <v>13.904603425049</v>
      </c>
      <c r="H2011" s="81">
        <v>13.294693137892899</v>
      </c>
    </row>
    <row r="2012" spans="1:8" x14ac:dyDescent="0.3">
      <c r="A2012" s="74" t="str">
        <f t="shared" si="31"/>
        <v>东营46373</v>
      </c>
      <c r="B2012" s="75" t="s">
        <v>18</v>
      </c>
      <c r="C2012" s="45">
        <v>46373</v>
      </c>
      <c r="D2012" s="76">
        <v>748.02958444159196</v>
      </c>
      <c r="E2012" s="77">
        <v>125</v>
      </c>
      <c r="F2012" s="78">
        <v>13.904603425049</v>
      </c>
      <c r="G2012" s="78">
        <v>13.904603425049</v>
      </c>
      <c r="H2012" s="81">
        <v>13.294693137892899</v>
      </c>
    </row>
    <row r="2013" spans="1:8" x14ac:dyDescent="0.3">
      <c r="A2013" s="74" t="str">
        <f t="shared" si="31"/>
        <v>东营46374</v>
      </c>
      <c r="B2013" s="75" t="s">
        <v>18</v>
      </c>
      <c r="C2013" s="45">
        <v>46374</v>
      </c>
      <c r="D2013" s="76">
        <v>748.02958444159196</v>
      </c>
      <c r="E2013" s="77">
        <v>125</v>
      </c>
      <c r="F2013" s="78">
        <v>13.904603425049</v>
      </c>
      <c r="G2013" s="78">
        <v>13.904603425049</v>
      </c>
      <c r="H2013" s="81">
        <v>13.294693137892899</v>
      </c>
    </row>
    <row r="2014" spans="1:8" x14ac:dyDescent="0.3">
      <c r="A2014" s="74" t="str">
        <f t="shared" si="31"/>
        <v>东营46375</v>
      </c>
      <c r="B2014" s="75" t="s">
        <v>18</v>
      </c>
      <c r="C2014" s="45">
        <v>46375</v>
      </c>
      <c r="D2014" s="76">
        <v>748.02958444159196</v>
      </c>
      <c r="E2014" s="77">
        <v>125</v>
      </c>
      <c r="F2014" s="78">
        <v>13.904603425049</v>
      </c>
      <c r="G2014" s="78">
        <v>13.904603425049</v>
      </c>
      <c r="H2014" s="81">
        <v>13.294693137892899</v>
      </c>
    </row>
    <row r="2015" spans="1:8" x14ac:dyDescent="0.3">
      <c r="A2015" s="74" t="str">
        <f t="shared" si="31"/>
        <v>东营46376</v>
      </c>
      <c r="B2015" s="75" t="s">
        <v>18</v>
      </c>
      <c r="C2015" s="45">
        <v>46376</v>
      </c>
      <c r="D2015" s="76">
        <v>748.02958444159196</v>
      </c>
      <c r="E2015" s="77">
        <v>125</v>
      </c>
      <c r="F2015" s="78">
        <v>13.904603425049</v>
      </c>
      <c r="G2015" s="78">
        <v>13.904603425049</v>
      </c>
      <c r="H2015" s="81">
        <v>13.294693137892899</v>
      </c>
    </row>
    <row r="2016" spans="1:8" x14ac:dyDescent="0.3">
      <c r="A2016" s="74" t="str">
        <f t="shared" si="31"/>
        <v>东营46377</v>
      </c>
      <c r="B2016" s="75" t="s">
        <v>18</v>
      </c>
      <c r="C2016" s="45">
        <v>46377</v>
      </c>
      <c r="D2016" s="76">
        <v>748.02958444159196</v>
      </c>
      <c r="E2016" s="77">
        <v>125</v>
      </c>
      <c r="F2016" s="78">
        <v>13.904603425049</v>
      </c>
      <c r="G2016" s="78">
        <v>13.904603425049</v>
      </c>
      <c r="H2016" s="81">
        <v>13.294693137892899</v>
      </c>
    </row>
    <row r="2017" spans="1:8" x14ac:dyDescent="0.3">
      <c r="A2017" s="74" t="str">
        <f t="shared" si="31"/>
        <v>东营46378</v>
      </c>
      <c r="B2017" s="75" t="s">
        <v>18</v>
      </c>
      <c r="C2017" s="45">
        <v>46378</v>
      </c>
      <c r="D2017" s="76">
        <v>748.02958444159196</v>
      </c>
      <c r="E2017" s="77">
        <v>125</v>
      </c>
      <c r="F2017" s="78">
        <v>13.904603425049</v>
      </c>
      <c r="G2017" s="78">
        <v>13.904603425049</v>
      </c>
      <c r="H2017" s="81">
        <v>13.294693137892899</v>
      </c>
    </row>
    <row r="2018" spans="1:8" x14ac:dyDescent="0.3">
      <c r="A2018" s="74" t="str">
        <f t="shared" si="31"/>
        <v>东营46379</v>
      </c>
      <c r="B2018" s="75" t="s">
        <v>18</v>
      </c>
      <c r="C2018" s="45">
        <v>46379</v>
      </c>
      <c r="D2018" s="76">
        <v>748.02958444159196</v>
      </c>
      <c r="E2018" s="77">
        <v>125</v>
      </c>
      <c r="F2018" s="78">
        <v>13.904603425049</v>
      </c>
      <c r="G2018" s="78">
        <v>13.904603425049</v>
      </c>
      <c r="H2018" s="81">
        <v>13.294693137892899</v>
      </c>
    </row>
    <row r="2019" spans="1:8" x14ac:dyDescent="0.3">
      <c r="A2019" s="74" t="str">
        <f t="shared" si="31"/>
        <v>东营46380</v>
      </c>
      <c r="B2019" s="75" t="s">
        <v>18</v>
      </c>
      <c r="C2019" s="45">
        <v>46380</v>
      </c>
      <c r="D2019" s="76">
        <v>748.02958444159196</v>
      </c>
      <c r="E2019" s="77">
        <v>125</v>
      </c>
      <c r="F2019" s="78">
        <v>13.904603425049</v>
      </c>
      <c r="G2019" s="78">
        <v>13.904603425049</v>
      </c>
      <c r="H2019" s="81">
        <v>13.294693137892899</v>
      </c>
    </row>
    <row r="2020" spans="1:8" x14ac:dyDescent="0.3">
      <c r="A2020" s="74" t="str">
        <f t="shared" si="31"/>
        <v>东营46381</v>
      </c>
      <c r="B2020" s="75" t="s">
        <v>18</v>
      </c>
      <c r="C2020" s="45">
        <v>46381</v>
      </c>
      <c r="D2020" s="76">
        <v>748.02958444159196</v>
      </c>
      <c r="E2020" s="77">
        <v>125</v>
      </c>
      <c r="F2020" s="78">
        <v>13.904603425049</v>
      </c>
      <c r="G2020" s="78">
        <v>13.904603425049</v>
      </c>
      <c r="H2020" s="81">
        <v>13.294693137892899</v>
      </c>
    </row>
    <row r="2021" spans="1:8" x14ac:dyDescent="0.3">
      <c r="A2021" s="74" t="str">
        <f t="shared" si="31"/>
        <v>东营46382</v>
      </c>
      <c r="B2021" s="75" t="s">
        <v>18</v>
      </c>
      <c r="C2021" s="45">
        <v>46382</v>
      </c>
      <c r="D2021" s="76">
        <v>748.02958444159196</v>
      </c>
      <c r="E2021" s="77">
        <v>125</v>
      </c>
      <c r="F2021" s="78">
        <v>13.904603425049</v>
      </c>
      <c r="G2021" s="78">
        <v>13.904603425049</v>
      </c>
      <c r="H2021" s="81">
        <v>13.294693137892899</v>
      </c>
    </row>
    <row r="2022" spans="1:8" x14ac:dyDescent="0.3">
      <c r="A2022" s="74" t="str">
        <f t="shared" si="31"/>
        <v>东营46383</v>
      </c>
      <c r="B2022" s="75" t="s">
        <v>18</v>
      </c>
      <c r="C2022" s="45">
        <v>46383</v>
      </c>
      <c r="D2022" s="76">
        <v>748.02958444159196</v>
      </c>
      <c r="E2022" s="77">
        <v>125</v>
      </c>
      <c r="F2022" s="78">
        <v>13.904603425049</v>
      </c>
      <c r="G2022" s="78">
        <v>13.904603425049</v>
      </c>
      <c r="H2022" s="81">
        <v>13.294693137892899</v>
      </c>
    </row>
    <row r="2023" spans="1:8" x14ac:dyDescent="0.3">
      <c r="A2023" s="74" t="str">
        <f t="shared" si="31"/>
        <v>东营46384</v>
      </c>
      <c r="B2023" s="75" t="s">
        <v>18</v>
      </c>
      <c r="C2023" s="45">
        <v>46384</v>
      </c>
      <c r="D2023" s="76">
        <v>748.02958444159196</v>
      </c>
      <c r="E2023" s="77">
        <v>125</v>
      </c>
      <c r="F2023" s="78">
        <v>13.904603425049</v>
      </c>
      <c r="G2023" s="78">
        <v>13.904603425049</v>
      </c>
      <c r="H2023" s="81">
        <v>13.294693137892899</v>
      </c>
    </row>
    <row r="2024" spans="1:8" x14ac:dyDescent="0.3">
      <c r="A2024" s="74" t="str">
        <f t="shared" si="31"/>
        <v>东营46385</v>
      </c>
      <c r="B2024" s="75" t="s">
        <v>18</v>
      </c>
      <c r="C2024" s="45">
        <v>46385</v>
      </c>
      <c r="D2024" s="76">
        <v>748.02958444159196</v>
      </c>
      <c r="E2024" s="77">
        <v>125</v>
      </c>
      <c r="F2024" s="78">
        <v>13.904603425049</v>
      </c>
      <c r="G2024" s="78">
        <v>13.904603425049</v>
      </c>
      <c r="H2024" s="81">
        <v>13.294693137892899</v>
      </c>
    </row>
    <row r="2025" spans="1:8" x14ac:dyDescent="0.3">
      <c r="A2025" s="74" t="str">
        <f t="shared" si="31"/>
        <v>东营46386</v>
      </c>
      <c r="B2025" s="75" t="s">
        <v>18</v>
      </c>
      <c r="C2025" s="45">
        <v>46386</v>
      </c>
      <c r="D2025" s="76">
        <v>748.02958444159196</v>
      </c>
      <c r="E2025" s="77">
        <v>125</v>
      </c>
      <c r="F2025" s="78">
        <v>13.904603425049</v>
      </c>
      <c r="G2025" s="78">
        <v>13.904603425049</v>
      </c>
      <c r="H2025" s="81">
        <v>13.294693137892899</v>
      </c>
    </row>
    <row r="2026" spans="1:8" x14ac:dyDescent="0.3">
      <c r="A2026" s="74" t="str">
        <f t="shared" si="31"/>
        <v>东营46387</v>
      </c>
      <c r="B2026" s="82" t="s">
        <v>18</v>
      </c>
      <c r="C2026" s="83">
        <v>46387</v>
      </c>
      <c r="D2026" s="84">
        <v>748.02958444159196</v>
      </c>
      <c r="E2026" s="85">
        <v>125</v>
      </c>
      <c r="F2026" s="86">
        <v>13.904603425049</v>
      </c>
      <c r="G2026" s="86">
        <v>13.904603425049</v>
      </c>
      <c r="H2026" s="87">
        <v>13.294693137892899</v>
      </c>
    </row>
    <row r="2027" spans="1:8" x14ac:dyDescent="0.3">
      <c r="A2027" s="74" t="str">
        <f t="shared" si="31"/>
        <v>福建46135</v>
      </c>
      <c r="B2027" s="75" t="s">
        <v>19</v>
      </c>
      <c r="C2027" s="45">
        <v>46135</v>
      </c>
      <c r="D2027" s="76">
        <v>235.67920021546001</v>
      </c>
      <c r="E2027" s="77">
        <v>125</v>
      </c>
      <c r="F2027" s="78">
        <v>9.1967043141358396</v>
      </c>
      <c r="G2027" s="78">
        <v>9.1967043141358396</v>
      </c>
      <c r="H2027" s="81">
        <v>9.7778284045639605</v>
      </c>
    </row>
    <row r="2028" spans="1:8" x14ac:dyDescent="0.3">
      <c r="A2028" s="74" t="str">
        <f t="shared" si="31"/>
        <v>福建46136</v>
      </c>
      <c r="B2028" s="75" t="s">
        <v>19</v>
      </c>
      <c r="C2028" s="45">
        <v>46136</v>
      </c>
      <c r="D2028" s="76">
        <v>235.67920021546001</v>
      </c>
      <c r="E2028" s="77">
        <v>125</v>
      </c>
      <c r="F2028" s="78">
        <v>9.1967043141358396</v>
      </c>
      <c r="G2028" s="78">
        <v>9.1967043141358396</v>
      </c>
      <c r="H2028" s="81">
        <v>9.7778284045639605</v>
      </c>
    </row>
    <row r="2029" spans="1:8" x14ac:dyDescent="0.3">
      <c r="A2029" s="74" t="str">
        <f t="shared" si="31"/>
        <v>福建46137</v>
      </c>
      <c r="B2029" s="75" t="s">
        <v>19</v>
      </c>
      <c r="C2029" s="45">
        <v>46137</v>
      </c>
      <c r="D2029" s="76">
        <v>235.67920021546001</v>
      </c>
      <c r="E2029" s="77">
        <v>125</v>
      </c>
      <c r="F2029" s="78">
        <v>9.1967043141358396</v>
      </c>
      <c r="G2029" s="78">
        <v>9.1967043141358396</v>
      </c>
      <c r="H2029" s="81">
        <v>9.7778284045639605</v>
      </c>
    </row>
    <row r="2030" spans="1:8" x14ac:dyDescent="0.3">
      <c r="A2030" s="74" t="str">
        <f t="shared" si="31"/>
        <v>福建46138</v>
      </c>
      <c r="B2030" s="75" t="s">
        <v>19</v>
      </c>
      <c r="C2030" s="45">
        <v>46138</v>
      </c>
      <c r="D2030" s="76">
        <v>235.67920021546001</v>
      </c>
      <c r="E2030" s="77">
        <v>125</v>
      </c>
      <c r="F2030" s="78">
        <v>9.1967043141358396</v>
      </c>
      <c r="G2030" s="78">
        <v>9.1967043141358396</v>
      </c>
      <c r="H2030" s="81">
        <v>9.7778284045639605</v>
      </c>
    </row>
    <row r="2031" spans="1:8" x14ac:dyDescent="0.3">
      <c r="A2031" s="74" t="str">
        <f t="shared" si="31"/>
        <v>福建46139</v>
      </c>
      <c r="B2031" s="75" t="s">
        <v>19</v>
      </c>
      <c r="C2031" s="45">
        <v>46139</v>
      </c>
      <c r="D2031" s="76">
        <v>235.67920021546001</v>
      </c>
      <c r="E2031" s="77">
        <v>125</v>
      </c>
      <c r="F2031" s="78">
        <v>9.1967043141358396</v>
      </c>
      <c r="G2031" s="78">
        <v>9.1967043141358396</v>
      </c>
      <c r="H2031" s="81">
        <v>9.7778284045639605</v>
      </c>
    </row>
    <row r="2032" spans="1:8" x14ac:dyDescent="0.3">
      <c r="A2032" s="74" t="str">
        <f t="shared" si="31"/>
        <v>福建46140</v>
      </c>
      <c r="B2032" s="75" t="s">
        <v>19</v>
      </c>
      <c r="C2032" s="45">
        <v>46140</v>
      </c>
      <c r="D2032" s="76">
        <v>235.67920021546001</v>
      </c>
      <c r="E2032" s="77">
        <v>125</v>
      </c>
      <c r="F2032" s="78">
        <v>9.1967043141358396</v>
      </c>
      <c r="G2032" s="78">
        <v>9.1967043141358396</v>
      </c>
      <c r="H2032" s="81">
        <v>9.7778284045639605</v>
      </c>
    </row>
    <row r="2033" spans="1:8" x14ac:dyDescent="0.3">
      <c r="A2033" s="74" t="str">
        <f t="shared" si="31"/>
        <v>福建46141</v>
      </c>
      <c r="B2033" s="75" t="s">
        <v>19</v>
      </c>
      <c r="C2033" s="45">
        <v>46141</v>
      </c>
      <c r="D2033" s="76">
        <v>235.67920021546001</v>
      </c>
      <c r="E2033" s="77">
        <v>125</v>
      </c>
      <c r="F2033" s="78">
        <v>9.1967043141358396</v>
      </c>
      <c r="G2033" s="78">
        <v>9.1967043141358396</v>
      </c>
      <c r="H2033" s="81">
        <v>9.7778284045639605</v>
      </c>
    </row>
    <row r="2034" spans="1:8" x14ac:dyDescent="0.3">
      <c r="A2034" s="74" t="str">
        <f t="shared" si="31"/>
        <v>福建46142</v>
      </c>
      <c r="B2034" s="75" t="s">
        <v>19</v>
      </c>
      <c r="C2034" s="45">
        <v>46142</v>
      </c>
      <c r="D2034" s="76">
        <v>235.67920021546001</v>
      </c>
      <c r="E2034" s="77">
        <v>125</v>
      </c>
      <c r="F2034" s="78">
        <v>9.1967043141358396</v>
      </c>
      <c r="G2034" s="78">
        <v>9.1967043141358396</v>
      </c>
      <c r="H2034" s="81">
        <v>9.7778284045639605</v>
      </c>
    </row>
    <row r="2035" spans="1:8" x14ac:dyDescent="0.3">
      <c r="A2035" s="74" t="str">
        <f t="shared" si="31"/>
        <v>福建46143</v>
      </c>
      <c r="B2035" s="75" t="s">
        <v>19</v>
      </c>
      <c r="C2035" s="45">
        <v>46143</v>
      </c>
      <c r="D2035" s="76">
        <v>597.69342321735996</v>
      </c>
      <c r="E2035" s="77">
        <v>125</v>
      </c>
      <c r="F2035" s="78">
        <v>10.7035648321609</v>
      </c>
      <c r="G2035" s="78">
        <v>10.7035648321609</v>
      </c>
      <c r="H2035" s="81">
        <v>9.9998792305767505</v>
      </c>
    </row>
    <row r="2036" spans="1:8" x14ac:dyDescent="0.3">
      <c r="A2036" s="74" t="str">
        <f t="shared" si="31"/>
        <v>福建46144</v>
      </c>
      <c r="B2036" s="75" t="s">
        <v>19</v>
      </c>
      <c r="C2036" s="45">
        <v>46144</v>
      </c>
      <c r="D2036" s="76">
        <v>597.69342321735996</v>
      </c>
      <c r="E2036" s="77">
        <v>125</v>
      </c>
      <c r="F2036" s="78">
        <v>10.7035648321609</v>
      </c>
      <c r="G2036" s="78">
        <v>10.7035648321609</v>
      </c>
      <c r="H2036" s="81">
        <v>9.9998792305767505</v>
      </c>
    </row>
    <row r="2037" spans="1:8" x14ac:dyDescent="0.3">
      <c r="A2037" s="74" t="str">
        <f t="shared" si="31"/>
        <v>福建46145</v>
      </c>
      <c r="B2037" s="75" t="s">
        <v>19</v>
      </c>
      <c r="C2037" s="45">
        <v>46145</v>
      </c>
      <c r="D2037" s="76">
        <v>597.69342321735996</v>
      </c>
      <c r="E2037" s="77">
        <v>125</v>
      </c>
      <c r="F2037" s="78">
        <v>10.7035648321609</v>
      </c>
      <c r="G2037" s="78">
        <v>10.7035648321609</v>
      </c>
      <c r="H2037" s="81">
        <v>9.9998792305767505</v>
      </c>
    </row>
    <row r="2038" spans="1:8" x14ac:dyDescent="0.3">
      <c r="A2038" s="74" t="str">
        <f t="shared" si="31"/>
        <v>福建46146</v>
      </c>
      <c r="B2038" s="75" t="s">
        <v>19</v>
      </c>
      <c r="C2038" s="45">
        <v>46146</v>
      </c>
      <c r="D2038" s="76">
        <v>597.69342321735996</v>
      </c>
      <c r="E2038" s="77">
        <v>125</v>
      </c>
      <c r="F2038" s="78">
        <v>10.7035648321609</v>
      </c>
      <c r="G2038" s="78">
        <v>10.7035648321609</v>
      </c>
      <c r="H2038" s="81">
        <v>9.9998792305767505</v>
      </c>
    </row>
    <row r="2039" spans="1:8" x14ac:dyDescent="0.3">
      <c r="A2039" s="74" t="str">
        <f t="shared" si="31"/>
        <v>福建46147</v>
      </c>
      <c r="B2039" s="75" t="s">
        <v>19</v>
      </c>
      <c r="C2039" s="45">
        <v>46147</v>
      </c>
      <c r="D2039" s="76">
        <v>597.69342321735996</v>
      </c>
      <c r="E2039" s="77">
        <v>125</v>
      </c>
      <c r="F2039" s="78">
        <v>10.7035648321609</v>
      </c>
      <c r="G2039" s="78">
        <v>10.7035648321609</v>
      </c>
      <c r="H2039" s="81">
        <v>9.9998792305767505</v>
      </c>
    </row>
    <row r="2040" spans="1:8" x14ac:dyDescent="0.3">
      <c r="A2040" s="74" t="str">
        <f t="shared" si="31"/>
        <v>福建46148</v>
      </c>
      <c r="B2040" s="75" t="s">
        <v>19</v>
      </c>
      <c r="C2040" s="45">
        <v>46148</v>
      </c>
      <c r="D2040" s="76">
        <v>597.69342321735996</v>
      </c>
      <c r="E2040" s="77">
        <v>125</v>
      </c>
      <c r="F2040" s="78">
        <v>10.7035648321609</v>
      </c>
      <c r="G2040" s="78">
        <v>10.7035648321609</v>
      </c>
      <c r="H2040" s="81">
        <v>9.9998792305767505</v>
      </c>
    </row>
    <row r="2041" spans="1:8" x14ac:dyDescent="0.3">
      <c r="A2041" s="74" t="str">
        <f t="shared" si="31"/>
        <v>福建46149</v>
      </c>
      <c r="B2041" s="75" t="s">
        <v>19</v>
      </c>
      <c r="C2041" s="45">
        <v>46149</v>
      </c>
      <c r="D2041" s="76">
        <v>597.69342321735996</v>
      </c>
      <c r="E2041" s="77">
        <v>125</v>
      </c>
      <c r="F2041" s="78">
        <v>10.7035648321609</v>
      </c>
      <c r="G2041" s="78">
        <v>10.7035648321609</v>
      </c>
      <c r="H2041" s="81">
        <v>9.9998792305767505</v>
      </c>
    </row>
    <row r="2042" spans="1:8" x14ac:dyDescent="0.3">
      <c r="A2042" s="74" t="str">
        <f t="shared" si="31"/>
        <v>福建46150</v>
      </c>
      <c r="B2042" s="75" t="s">
        <v>19</v>
      </c>
      <c r="C2042" s="45">
        <v>46150</v>
      </c>
      <c r="D2042" s="76">
        <v>597.69342321735996</v>
      </c>
      <c r="E2042" s="77">
        <v>125</v>
      </c>
      <c r="F2042" s="78">
        <v>10.7035648321609</v>
      </c>
      <c r="G2042" s="78">
        <v>10.7035648321609</v>
      </c>
      <c r="H2042" s="81">
        <v>9.9998792305767505</v>
      </c>
    </row>
    <row r="2043" spans="1:8" x14ac:dyDescent="0.3">
      <c r="A2043" s="74" t="str">
        <f t="shared" si="31"/>
        <v>福建46151</v>
      </c>
      <c r="B2043" s="75" t="s">
        <v>19</v>
      </c>
      <c r="C2043" s="45">
        <v>46151</v>
      </c>
      <c r="D2043" s="76">
        <v>597.69342321735996</v>
      </c>
      <c r="E2043" s="77">
        <v>125</v>
      </c>
      <c r="F2043" s="78">
        <v>10.7035648321609</v>
      </c>
      <c r="G2043" s="78">
        <v>10.7035648321609</v>
      </c>
      <c r="H2043" s="81">
        <v>9.9998792305767505</v>
      </c>
    </row>
    <row r="2044" spans="1:8" x14ac:dyDescent="0.3">
      <c r="A2044" s="74" t="str">
        <f t="shared" si="31"/>
        <v>福建46152</v>
      </c>
      <c r="B2044" s="75" t="s">
        <v>19</v>
      </c>
      <c r="C2044" s="45">
        <v>46152</v>
      </c>
      <c r="D2044" s="76">
        <v>597.69342321735996</v>
      </c>
      <c r="E2044" s="77">
        <v>125</v>
      </c>
      <c r="F2044" s="78">
        <v>10.7035648321609</v>
      </c>
      <c r="G2044" s="78">
        <v>10.7035648321609</v>
      </c>
      <c r="H2044" s="81">
        <v>9.9998792305767505</v>
      </c>
    </row>
    <row r="2045" spans="1:8" x14ac:dyDescent="0.3">
      <c r="A2045" s="74" t="str">
        <f t="shared" si="31"/>
        <v>福建46153</v>
      </c>
      <c r="B2045" s="75" t="s">
        <v>19</v>
      </c>
      <c r="C2045" s="45">
        <v>46153</v>
      </c>
      <c r="D2045" s="76">
        <v>597.69342321735996</v>
      </c>
      <c r="E2045" s="77">
        <v>125</v>
      </c>
      <c r="F2045" s="78">
        <v>10.7035648321609</v>
      </c>
      <c r="G2045" s="78">
        <v>10.7035648321609</v>
      </c>
      <c r="H2045" s="81">
        <v>9.9998792305767505</v>
      </c>
    </row>
    <row r="2046" spans="1:8" x14ac:dyDescent="0.3">
      <c r="A2046" s="74" t="str">
        <f t="shared" si="31"/>
        <v>福建46154</v>
      </c>
      <c r="B2046" s="75" t="s">
        <v>19</v>
      </c>
      <c r="C2046" s="45">
        <v>46154</v>
      </c>
      <c r="D2046" s="76">
        <v>597.69342321735996</v>
      </c>
      <c r="E2046" s="77">
        <v>125</v>
      </c>
      <c r="F2046" s="78">
        <v>10.7035648321609</v>
      </c>
      <c r="G2046" s="78">
        <v>10.7035648321609</v>
      </c>
      <c r="H2046" s="81">
        <v>9.9998792305767505</v>
      </c>
    </row>
    <row r="2047" spans="1:8" x14ac:dyDescent="0.3">
      <c r="A2047" s="74" t="str">
        <f t="shared" si="31"/>
        <v>福建46155</v>
      </c>
      <c r="B2047" s="75" t="s">
        <v>19</v>
      </c>
      <c r="C2047" s="45">
        <v>46155</v>
      </c>
      <c r="D2047" s="76">
        <v>597.69342321735996</v>
      </c>
      <c r="E2047" s="77">
        <v>125</v>
      </c>
      <c r="F2047" s="78">
        <v>10.7035648321609</v>
      </c>
      <c r="G2047" s="78">
        <v>10.7035648321609</v>
      </c>
      <c r="H2047" s="81">
        <v>9.9998792305767505</v>
      </c>
    </row>
    <row r="2048" spans="1:8" x14ac:dyDescent="0.3">
      <c r="A2048" s="74" t="str">
        <f t="shared" si="31"/>
        <v>福建46156</v>
      </c>
      <c r="B2048" s="75" t="s">
        <v>19</v>
      </c>
      <c r="C2048" s="45">
        <v>46156</v>
      </c>
      <c r="D2048" s="76">
        <v>597.69342321735996</v>
      </c>
      <c r="E2048" s="77">
        <v>125</v>
      </c>
      <c r="F2048" s="78">
        <v>10.7035648321609</v>
      </c>
      <c r="G2048" s="78">
        <v>10.7035648321609</v>
      </c>
      <c r="H2048" s="81">
        <v>9.9998792305767505</v>
      </c>
    </row>
    <row r="2049" spans="1:8" x14ac:dyDescent="0.3">
      <c r="A2049" s="74" t="str">
        <f t="shared" si="31"/>
        <v>福建46157</v>
      </c>
      <c r="B2049" s="75" t="s">
        <v>19</v>
      </c>
      <c r="C2049" s="45">
        <v>46157</v>
      </c>
      <c r="D2049" s="76">
        <v>597.69342321735996</v>
      </c>
      <c r="E2049" s="77">
        <v>125</v>
      </c>
      <c r="F2049" s="78">
        <v>10.7035648321609</v>
      </c>
      <c r="G2049" s="78">
        <v>10.7035648321609</v>
      </c>
      <c r="H2049" s="81">
        <v>9.9998792305767505</v>
      </c>
    </row>
    <row r="2050" spans="1:8" x14ac:dyDescent="0.3">
      <c r="A2050" s="74" t="str">
        <f t="shared" si="31"/>
        <v>福建46158</v>
      </c>
      <c r="B2050" s="75" t="s">
        <v>19</v>
      </c>
      <c r="C2050" s="45">
        <v>46158</v>
      </c>
      <c r="D2050" s="76">
        <v>597.69342321735996</v>
      </c>
      <c r="E2050" s="77">
        <v>125</v>
      </c>
      <c r="F2050" s="78">
        <v>10.7035648321609</v>
      </c>
      <c r="G2050" s="78">
        <v>10.7035648321609</v>
      </c>
      <c r="H2050" s="81">
        <v>9.9998792305767505</v>
      </c>
    </row>
    <row r="2051" spans="1:8" x14ac:dyDescent="0.3">
      <c r="A2051" s="74" t="str">
        <f t="shared" ref="A2051:A2114" si="32">B2051&amp;C2051</f>
        <v>福建46159</v>
      </c>
      <c r="B2051" s="75" t="s">
        <v>19</v>
      </c>
      <c r="C2051" s="45">
        <v>46159</v>
      </c>
      <c r="D2051" s="76">
        <v>597.69342321735996</v>
      </c>
      <c r="E2051" s="77">
        <v>125</v>
      </c>
      <c r="F2051" s="78">
        <v>10.7035648321609</v>
      </c>
      <c r="G2051" s="78">
        <v>10.7035648321609</v>
      </c>
      <c r="H2051" s="81">
        <v>9.9998792305767505</v>
      </c>
    </row>
    <row r="2052" spans="1:8" x14ac:dyDescent="0.3">
      <c r="A2052" s="74" t="str">
        <f t="shared" si="32"/>
        <v>福建46160</v>
      </c>
      <c r="B2052" s="75" t="s">
        <v>19</v>
      </c>
      <c r="C2052" s="45">
        <v>46160</v>
      </c>
      <c r="D2052" s="76">
        <v>597.69342321735996</v>
      </c>
      <c r="E2052" s="77">
        <v>125</v>
      </c>
      <c r="F2052" s="78">
        <v>10.7035648321609</v>
      </c>
      <c r="G2052" s="78">
        <v>10.7035648321609</v>
      </c>
      <c r="H2052" s="81">
        <v>9.9998792305767505</v>
      </c>
    </row>
    <row r="2053" spans="1:8" x14ac:dyDescent="0.3">
      <c r="A2053" s="74" t="str">
        <f t="shared" si="32"/>
        <v>福建46161</v>
      </c>
      <c r="B2053" s="75" t="s">
        <v>19</v>
      </c>
      <c r="C2053" s="45">
        <v>46161</v>
      </c>
      <c r="D2053" s="76">
        <v>597.69342321735996</v>
      </c>
      <c r="E2053" s="77">
        <v>125</v>
      </c>
      <c r="F2053" s="78">
        <v>10.7035648321609</v>
      </c>
      <c r="G2053" s="78">
        <v>10.7035648321609</v>
      </c>
      <c r="H2053" s="81">
        <v>9.9998792305767505</v>
      </c>
    </row>
    <row r="2054" spans="1:8" x14ac:dyDescent="0.3">
      <c r="A2054" s="74" t="str">
        <f t="shared" si="32"/>
        <v>福建46162</v>
      </c>
      <c r="B2054" s="75" t="s">
        <v>19</v>
      </c>
      <c r="C2054" s="45">
        <v>46162</v>
      </c>
      <c r="D2054" s="76">
        <v>597.69342321735996</v>
      </c>
      <c r="E2054" s="77">
        <v>125</v>
      </c>
      <c r="F2054" s="78">
        <v>10.7035648321609</v>
      </c>
      <c r="G2054" s="78">
        <v>10.7035648321609</v>
      </c>
      <c r="H2054" s="81">
        <v>9.9998792305767505</v>
      </c>
    </row>
    <row r="2055" spans="1:8" x14ac:dyDescent="0.3">
      <c r="A2055" s="74" t="str">
        <f t="shared" si="32"/>
        <v>福建46163</v>
      </c>
      <c r="B2055" s="75" t="s">
        <v>19</v>
      </c>
      <c r="C2055" s="45">
        <v>46163</v>
      </c>
      <c r="D2055" s="76">
        <v>597.69342321735996</v>
      </c>
      <c r="E2055" s="77">
        <v>125</v>
      </c>
      <c r="F2055" s="78">
        <v>10.7035648321609</v>
      </c>
      <c r="G2055" s="78">
        <v>10.7035648321609</v>
      </c>
      <c r="H2055" s="81">
        <v>9.9998792305767505</v>
      </c>
    </row>
    <row r="2056" spans="1:8" x14ac:dyDescent="0.3">
      <c r="A2056" s="74" t="str">
        <f t="shared" si="32"/>
        <v>福建46164</v>
      </c>
      <c r="B2056" s="75" t="s">
        <v>19</v>
      </c>
      <c r="C2056" s="45">
        <v>46164</v>
      </c>
      <c r="D2056" s="76">
        <v>597.69342321735996</v>
      </c>
      <c r="E2056" s="77">
        <v>125</v>
      </c>
      <c r="F2056" s="78">
        <v>10.7035648321609</v>
      </c>
      <c r="G2056" s="78">
        <v>10.7035648321609</v>
      </c>
      <c r="H2056" s="81">
        <v>9.9998792305767505</v>
      </c>
    </row>
    <row r="2057" spans="1:8" x14ac:dyDescent="0.3">
      <c r="A2057" s="74" t="str">
        <f t="shared" si="32"/>
        <v>福建46165</v>
      </c>
      <c r="B2057" s="75" t="s">
        <v>19</v>
      </c>
      <c r="C2057" s="45">
        <v>46165</v>
      </c>
      <c r="D2057" s="76">
        <v>597.69342321735996</v>
      </c>
      <c r="E2057" s="77">
        <v>125</v>
      </c>
      <c r="F2057" s="78">
        <v>10.7035648321609</v>
      </c>
      <c r="G2057" s="78">
        <v>10.7035648321609</v>
      </c>
      <c r="H2057" s="81">
        <v>9.9998792305767505</v>
      </c>
    </row>
    <row r="2058" spans="1:8" x14ac:dyDescent="0.3">
      <c r="A2058" s="74" t="str">
        <f t="shared" si="32"/>
        <v>福建46166</v>
      </c>
      <c r="B2058" s="75" t="s">
        <v>19</v>
      </c>
      <c r="C2058" s="45">
        <v>46166</v>
      </c>
      <c r="D2058" s="76">
        <v>597.69342321735996</v>
      </c>
      <c r="E2058" s="77">
        <v>125</v>
      </c>
      <c r="F2058" s="78">
        <v>10.7035648321609</v>
      </c>
      <c r="G2058" s="78">
        <v>10.7035648321609</v>
      </c>
      <c r="H2058" s="81">
        <v>9.9998792305767505</v>
      </c>
    </row>
    <row r="2059" spans="1:8" x14ac:dyDescent="0.3">
      <c r="A2059" s="74" t="str">
        <f t="shared" si="32"/>
        <v>福建46167</v>
      </c>
      <c r="B2059" s="75" t="s">
        <v>19</v>
      </c>
      <c r="C2059" s="45">
        <v>46167</v>
      </c>
      <c r="D2059" s="76">
        <v>597.69342321735996</v>
      </c>
      <c r="E2059" s="77">
        <v>125</v>
      </c>
      <c r="F2059" s="78">
        <v>10.7035648321609</v>
      </c>
      <c r="G2059" s="78">
        <v>10.7035648321609</v>
      </c>
      <c r="H2059" s="81">
        <v>9.9998792305767505</v>
      </c>
    </row>
    <row r="2060" spans="1:8" x14ac:dyDescent="0.3">
      <c r="A2060" s="74" t="str">
        <f t="shared" si="32"/>
        <v>福建46168</v>
      </c>
      <c r="B2060" s="75" t="s">
        <v>19</v>
      </c>
      <c r="C2060" s="45">
        <v>46168</v>
      </c>
      <c r="D2060" s="76">
        <v>597.69342321735996</v>
      </c>
      <c r="E2060" s="77">
        <v>125</v>
      </c>
      <c r="F2060" s="78">
        <v>10.7035648321609</v>
      </c>
      <c r="G2060" s="78">
        <v>10.7035648321609</v>
      </c>
      <c r="H2060" s="81">
        <v>9.9998792305767505</v>
      </c>
    </row>
    <row r="2061" spans="1:8" x14ac:dyDescent="0.3">
      <c r="A2061" s="74" t="str">
        <f t="shared" si="32"/>
        <v>福建46169</v>
      </c>
      <c r="B2061" s="75" t="s">
        <v>19</v>
      </c>
      <c r="C2061" s="45">
        <v>46169</v>
      </c>
      <c r="D2061" s="76">
        <v>597.69342321735996</v>
      </c>
      <c r="E2061" s="77">
        <v>125</v>
      </c>
      <c r="F2061" s="78">
        <v>10.7035648321609</v>
      </c>
      <c r="G2061" s="78">
        <v>10.7035648321609</v>
      </c>
      <c r="H2061" s="81">
        <v>9.9998792305767505</v>
      </c>
    </row>
    <row r="2062" spans="1:8" x14ac:dyDescent="0.3">
      <c r="A2062" s="74" t="str">
        <f t="shared" si="32"/>
        <v>福建46170</v>
      </c>
      <c r="B2062" s="75" t="s">
        <v>19</v>
      </c>
      <c r="C2062" s="45">
        <v>46170</v>
      </c>
      <c r="D2062" s="76">
        <v>597.69342321735996</v>
      </c>
      <c r="E2062" s="77">
        <v>125</v>
      </c>
      <c r="F2062" s="78">
        <v>10.7035648321609</v>
      </c>
      <c r="G2062" s="78">
        <v>10.7035648321609</v>
      </c>
      <c r="H2062" s="81">
        <v>9.9998792305767505</v>
      </c>
    </row>
    <row r="2063" spans="1:8" x14ac:dyDescent="0.3">
      <c r="A2063" s="74" t="str">
        <f t="shared" si="32"/>
        <v>福建46171</v>
      </c>
      <c r="B2063" s="75" t="s">
        <v>19</v>
      </c>
      <c r="C2063" s="45">
        <v>46171</v>
      </c>
      <c r="D2063" s="76">
        <v>597.69342321735996</v>
      </c>
      <c r="E2063" s="77">
        <v>125</v>
      </c>
      <c r="F2063" s="78">
        <v>10.7035648321609</v>
      </c>
      <c r="G2063" s="78">
        <v>10.7035648321609</v>
      </c>
      <c r="H2063" s="81">
        <v>9.9998792305767505</v>
      </c>
    </row>
    <row r="2064" spans="1:8" x14ac:dyDescent="0.3">
      <c r="A2064" s="74" t="str">
        <f t="shared" si="32"/>
        <v>福建46172</v>
      </c>
      <c r="B2064" s="75" t="s">
        <v>19</v>
      </c>
      <c r="C2064" s="45">
        <v>46172</v>
      </c>
      <c r="D2064" s="76">
        <v>597.69342321735996</v>
      </c>
      <c r="E2064" s="77">
        <v>125</v>
      </c>
      <c r="F2064" s="78">
        <v>10.7035648321609</v>
      </c>
      <c r="G2064" s="78">
        <v>10.7035648321609</v>
      </c>
      <c r="H2064" s="81">
        <v>9.9998792305767505</v>
      </c>
    </row>
    <row r="2065" spans="1:8" x14ac:dyDescent="0.3">
      <c r="A2065" s="74" t="str">
        <f t="shared" si="32"/>
        <v>福建46173</v>
      </c>
      <c r="B2065" s="75" t="s">
        <v>19</v>
      </c>
      <c r="C2065" s="45">
        <v>46173</v>
      </c>
      <c r="D2065" s="76">
        <v>597.69342321735996</v>
      </c>
      <c r="E2065" s="77">
        <v>125</v>
      </c>
      <c r="F2065" s="78">
        <v>10.7035648321609</v>
      </c>
      <c r="G2065" s="78">
        <v>10.7035648321609</v>
      </c>
      <c r="H2065" s="81">
        <v>9.9998792305767505</v>
      </c>
    </row>
    <row r="2066" spans="1:8" x14ac:dyDescent="0.3">
      <c r="A2066" s="74" t="str">
        <f t="shared" si="32"/>
        <v>福建46174</v>
      </c>
      <c r="B2066" s="75" t="s">
        <v>19</v>
      </c>
      <c r="C2066" s="45">
        <v>46174</v>
      </c>
      <c r="D2066" s="76">
        <v>333.89237128649</v>
      </c>
      <c r="E2066" s="77">
        <v>125</v>
      </c>
      <c r="F2066" s="78">
        <v>11.745951763494601</v>
      </c>
      <c r="G2066" s="78">
        <v>11.745951763494601</v>
      </c>
      <c r="H2066" s="81">
        <v>10.8847790294974</v>
      </c>
    </row>
    <row r="2067" spans="1:8" x14ac:dyDescent="0.3">
      <c r="A2067" s="74" t="str">
        <f t="shared" si="32"/>
        <v>福建46175</v>
      </c>
      <c r="B2067" s="75" t="s">
        <v>19</v>
      </c>
      <c r="C2067" s="45">
        <v>46175</v>
      </c>
      <c r="D2067" s="76">
        <v>333.89237128649</v>
      </c>
      <c r="E2067" s="77">
        <v>125</v>
      </c>
      <c r="F2067" s="78">
        <v>11.745951763494601</v>
      </c>
      <c r="G2067" s="78">
        <v>11.745951763494601</v>
      </c>
      <c r="H2067" s="81">
        <v>10.8847790294974</v>
      </c>
    </row>
    <row r="2068" spans="1:8" x14ac:dyDescent="0.3">
      <c r="A2068" s="74" t="str">
        <f t="shared" si="32"/>
        <v>福建46176</v>
      </c>
      <c r="B2068" s="75" t="s">
        <v>19</v>
      </c>
      <c r="C2068" s="45">
        <v>46176</v>
      </c>
      <c r="D2068" s="76">
        <v>333.89237128649</v>
      </c>
      <c r="E2068" s="77">
        <v>125</v>
      </c>
      <c r="F2068" s="78">
        <v>11.745951763494601</v>
      </c>
      <c r="G2068" s="78">
        <v>11.745951763494601</v>
      </c>
      <c r="H2068" s="81">
        <v>10.8847790294974</v>
      </c>
    </row>
    <row r="2069" spans="1:8" x14ac:dyDescent="0.3">
      <c r="A2069" s="74" t="str">
        <f t="shared" si="32"/>
        <v>福建46177</v>
      </c>
      <c r="B2069" s="75" t="s">
        <v>19</v>
      </c>
      <c r="C2069" s="45">
        <v>46177</v>
      </c>
      <c r="D2069" s="76">
        <v>333.89237128649</v>
      </c>
      <c r="E2069" s="77">
        <v>125</v>
      </c>
      <c r="F2069" s="78">
        <v>11.745951763494601</v>
      </c>
      <c r="G2069" s="78">
        <v>11.745951763494601</v>
      </c>
      <c r="H2069" s="81">
        <v>10.8847790294974</v>
      </c>
    </row>
    <row r="2070" spans="1:8" x14ac:dyDescent="0.3">
      <c r="A2070" s="74" t="str">
        <f t="shared" si="32"/>
        <v>福建46178</v>
      </c>
      <c r="B2070" s="75" t="s">
        <v>19</v>
      </c>
      <c r="C2070" s="45">
        <v>46178</v>
      </c>
      <c r="D2070" s="76">
        <v>333.89237128649</v>
      </c>
      <c r="E2070" s="77">
        <v>125</v>
      </c>
      <c r="F2070" s="78">
        <v>11.745951763494601</v>
      </c>
      <c r="G2070" s="78">
        <v>11.745951763494601</v>
      </c>
      <c r="H2070" s="81">
        <v>10.8847790294974</v>
      </c>
    </row>
    <row r="2071" spans="1:8" x14ac:dyDescent="0.3">
      <c r="A2071" s="74" t="str">
        <f t="shared" si="32"/>
        <v>福建46179</v>
      </c>
      <c r="B2071" s="75" t="s">
        <v>19</v>
      </c>
      <c r="C2071" s="45">
        <v>46179</v>
      </c>
      <c r="D2071" s="76">
        <v>333.89237128649</v>
      </c>
      <c r="E2071" s="77">
        <v>125</v>
      </c>
      <c r="F2071" s="78">
        <v>11.745951763494601</v>
      </c>
      <c r="G2071" s="78">
        <v>11.745951763494601</v>
      </c>
      <c r="H2071" s="81">
        <v>10.8847790294974</v>
      </c>
    </row>
    <row r="2072" spans="1:8" x14ac:dyDescent="0.3">
      <c r="A2072" s="74" t="str">
        <f t="shared" si="32"/>
        <v>福建46180</v>
      </c>
      <c r="B2072" s="75" t="s">
        <v>19</v>
      </c>
      <c r="C2072" s="45">
        <v>46180</v>
      </c>
      <c r="D2072" s="76">
        <v>333.89237128649</v>
      </c>
      <c r="E2072" s="77">
        <v>125</v>
      </c>
      <c r="F2072" s="78">
        <v>11.745951763494601</v>
      </c>
      <c r="G2072" s="78">
        <v>11.745951763494601</v>
      </c>
      <c r="H2072" s="81">
        <v>10.8847790294974</v>
      </c>
    </row>
    <row r="2073" spans="1:8" x14ac:dyDescent="0.3">
      <c r="A2073" s="74" t="str">
        <f t="shared" si="32"/>
        <v>福建46181</v>
      </c>
      <c r="B2073" s="75" t="s">
        <v>19</v>
      </c>
      <c r="C2073" s="45">
        <v>46181</v>
      </c>
      <c r="D2073" s="76">
        <v>333.89237128649</v>
      </c>
      <c r="E2073" s="77">
        <v>125</v>
      </c>
      <c r="F2073" s="78">
        <v>11.745951763494601</v>
      </c>
      <c r="G2073" s="78">
        <v>11.745951763494601</v>
      </c>
      <c r="H2073" s="81">
        <v>10.8847790294974</v>
      </c>
    </row>
    <row r="2074" spans="1:8" x14ac:dyDescent="0.3">
      <c r="A2074" s="74" t="str">
        <f t="shared" si="32"/>
        <v>福建46182</v>
      </c>
      <c r="B2074" s="75" t="s">
        <v>19</v>
      </c>
      <c r="C2074" s="45">
        <v>46182</v>
      </c>
      <c r="D2074" s="76">
        <v>333.89237128649</v>
      </c>
      <c r="E2074" s="77">
        <v>125</v>
      </c>
      <c r="F2074" s="78">
        <v>11.745951763494601</v>
      </c>
      <c r="G2074" s="78">
        <v>11.745951763494601</v>
      </c>
      <c r="H2074" s="81">
        <v>10.8847790294974</v>
      </c>
    </row>
    <row r="2075" spans="1:8" x14ac:dyDescent="0.3">
      <c r="A2075" s="74" t="str">
        <f t="shared" si="32"/>
        <v>福建46183</v>
      </c>
      <c r="B2075" s="75" t="s">
        <v>19</v>
      </c>
      <c r="C2075" s="45">
        <v>46183</v>
      </c>
      <c r="D2075" s="76">
        <v>333.89237128649</v>
      </c>
      <c r="E2075" s="77">
        <v>125</v>
      </c>
      <c r="F2075" s="78">
        <v>11.745951763494601</v>
      </c>
      <c r="G2075" s="78">
        <v>11.745951763494601</v>
      </c>
      <c r="H2075" s="81">
        <v>10.8847790294974</v>
      </c>
    </row>
    <row r="2076" spans="1:8" x14ac:dyDescent="0.3">
      <c r="A2076" s="74" t="str">
        <f t="shared" si="32"/>
        <v>福建46184</v>
      </c>
      <c r="B2076" s="75" t="s">
        <v>19</v>
      </c>
      <c r="C2076" s="45">
        <v>46184</v>
      </c>
      <c r="D2076" s="76">
        <v>333.89237128649</v>
      </c>
      <c r="E2076" s="77">
        <v>125</v>
      </c>
      <c r="F2076" s="78">
        <v>11.745951763494601</v>
      </c>
      <c r="G2076" s="78">
        <v>11.745951763494601</v>
      </c>
      <c r="H2076" s="81">
        <v>10.8847790294974</v>
      </c>
    </row>
    <row r="2077" spans="1:8" x14ac:dyDescent="0.3">
      <c r="A2077" s="74" t="str">
        <f t="shared" si="32"/>
        <v>福建46185</v>
      </c>
      <c r="B2077" s="75" t="s">
        <v>19</v>
      </c>
      <c r="C2077" s="45">
        <v>46185</v>
      </c>
      <c r="D2077" s="76">
        <v>333.89237128649</v>
      </c>
      <c r="E2077" s="77">
        <v>125</v>
      </c>
      <c r="F2077" s="78">
        <v>11.745951763494601</v>
      </c>
      <c r="G2077" s="78">
        <v>11.745951763494601</v>
      </c>
      <c r="H2077" s="81">
        <v>10.8847790294974</v>
      </c>
    </row>
    <row r="2078" spans="1:8" x14ac:dyDescent="0.3">
      <c r="A2078" s="74" t="str">
        <f t="shared" si="32"/>
        <v>福建46186</v>
      </c>
      <c r="B2078" s="75" t="s">
        <v>19</v>
      </c>
      <c r="C2078" s="45">
        <v>46186</v>
      </c>
      <c r="D2078" s="76">
        <v>333.89237128649</v>
      </c>
      <c r="E2078" s="77">
        <v>125</v>
      </c>
      <c r="F2078" s="78">
        <v>11.745951763494601</v>
      </c>
      <c r="G2078" s="78">
        <v>11.745951763494601</v>
      </c>
      <c r="H2078" s="81">
        <v>10.8847790294974</v>
      </c>
    </row>
    <row r="2079" spans="1:8" x14ac:dyDescent="0.3">
      <c r="A2079" s="74" t="str">
        <f t="shared" si="32"/>
        <v>福建46187</v>
      </c>
      <c r="B2079" s="75" t="s">
        <v>19</v>
      </c>
      <c r="C2079" s="45">
        <v>46187</v>
      </c>
      <c r="D2079" s="76">
        <v>333.89237128649</v>
      </c>
      <c r="E2079" s="77">
        <v>125</v>
      </c>
      <c r="F2079" s="78">
        <v>11.745951763494601</v>
      </c>
      <c r="G2079" s="78">
        <v>11.745951763494601</v>
      </c>
      <c r="H2079" s="81">
        <v>10.8847790294974</v>
      </c>
    </row>
    <row r="2080" spans="1:8" x14ac:dyDescent="0.3">
      <c r="A2080" s="74" t="str">
        <f t="shared" si="32"/>
        <v>福建46188</v>
      </c>
      <c r="B2080" s="75" t="s">
        <v>19</v>
      </c>
      <c r="C2080" s="45">
        <v>46188</v>
      </c>
      <c r="D2080" s="76">
        <v>333.89237128649</v>
      </c>
      <c r="E2080" s="77">
        <v>125</v>
      </c>
      <c r="F2080" s="78">
        <v>11.745951763494601</v>
      </c>
      <c r="G2080" s="78">
        <v>11.745951763494601</v>
      </c>
      <c r="H2080" s="81">
        <v>10.8847790294974</v>
      </c>
    </row>
    <row r="2081" spans="1:8" x14ac:dyDescent="0.3">
      <c r="A2081" s="74" t="str">
        <f t="shared" si="32"/>
        <v>福建46189</v>
      </c>
      <c r="B2081" s="75" t="s">
        <v>19</v>
      </c>
      <c r="C2081" s="45">
        <v>46189</v>
      </c>
      <c r="D2081" s="76">
        <v>333.89237128649</v>
      </c>
      <c r="E2081" s="77">
        <v>125</v>
      </c>
      <c r="F2081" s="78">
        <v>11.745951763494601</v>
      </c>
      <c r="G2081" s="78">
        <v>11.745951763494601</v>
      </c>
      <c r="H2081" s="81">
        <v>10.8847790294974</v>
      </c>
    </row>
    <row r="2082" spans="1:8" x14ac:dyDescent="0.3">
      <c r="A2082" s="74" t="str">
        <f t="shared" si="32"/>
        <v>福建46190</v>
      </c>
      <c r="B2082" s="75" t="s">
        <v>19</v>
      </c>
      <c r="C2082" s="45">
        <v>46190</v>
      </c>
      <c r="D2082" s="76">
        <v>333.89237128649</v>
      </c>
      <c r="E2082" s="77">
        <v>125</v>
      </c>
      <c r="F2082" s="78">
        <v>11.745951763494601</v>
      </c>
      <c r="G2082" s="78">
        <v>11.745951763494601</v>
      </c>
      <c r="H2082" s="81">
        <v>10.8847790294974</v>
      </c>
    </row>
    <row r="2083" spans="1:8" x14ac:dyDescent="0.3">
      <c r="A2083" s="74" t="str">
        <f t="shared" si="32"/>
        <v>福建46191</v>
      </c>
      <c r="B2083" s="75" t="s">
        <v>19</v>
      </c>
      <c r="C2083" s="45">
        <v>46191</v>
      </c>
      <c r="D2083" s="76">
        <v>333.89237128649</v>
      </c>
      <c r="E2083" s="77">
        <v>125</v>
      </c>
      <c r="F2083" s="78">
        <v>11.745951763494601</v>
      </c>
      <c r="G2083" s="78">
        <v>11.745951763494601</v>
      </c>
      <c r="H2083" s="81">
        <v>10.8847790294974</v>
      </c>
    </row>
    <row r="2084" spans="1:8" x14ac:dyDescent="0.3">
      <c r="A2084" s="74" t="str">
        <f t="shared" si="32"/>
        <v>福建46192</v>
      </c>
      <c r="B2084" s="75" t="s">
        <v>19</v>
      </c>
      <c r="C2084" s="45">
        <v>46192</v>
      </c>
      <c r="D2084" s="76">
        <v>333.89237128649</v>
      </c>
      <c r="E2084" s="77">
        <v>125</v>
      </c>
      <c r="F2084" s="78">
        <v>11.745951763494601</v>
      </c>
      <c r="G2084" s="78">
        <v>11.745951763494601</v>
      </c>
      <c r="H2084" s="81">
        <v>10.8847790294974</v>
      </c>
    </row>
    <row r="2085" spans="1:8" x14ac:dyDescent="0.3">
      <c r="A2085" s="74" t="str">
        <f t="shared" si="32"/>
        <v>福建46193</v>
      </c>
      <c r="B2085" s="75" t="s">
        <v>19</v>
      </c>
      <c r="C2085" s="45">
        <v>46193</v>
      </c>
      <c r="D2085" s="76">
        <v>333.89237128649</v>
      </c>
      <c r="E2085" s="77">
        <v>125</v>
      </c>
      <c r="F2085" s="78">
        <v>11.745951763494601</v>
      </c>
      <c r="G2085" s="78">
        <v>11.745951763494601</v>
      </c>
      <c r="H2085" s="81">
        <v>10.8847790294974</v>
      </c>
    </row>
    <row r="2086" spans="1:8" x14ac:dyDescent="0.3">
      <c r="A2086" s="74" t="str">
        <f t="shared" si="32"/>
        <v>福建46194</v>
      </c>
      <c r="B2086" s="75" t="s">
        <v>19</v>
      </c>
      <c r="C2086" s="45">
        <v>46194</v>
      </c>
      <c r="D2086" s="76">
        <v>333.89237128649</v>
      </c>
      <c r="E2086" s="77">
        <v>125</v>
      </c>
      <c r="F2086" s="78">
        <v>11.745951763494601</v>
      </c>
      <c r="G2086" s="78">
        <v>11.745951763494601</v>
      </c>
      <c r="H2086" s="81">
        <v>10.8847790294974</v>
      </c>
    </row>
    <row r="2087" spans="1:8" x14ac:dyDescent="0.3">
      <c r="A2087" s="74" t="str">
        <f t="shared" si="32"/>
        <v>福建46195</v>
      </c>
      <c r="B2087" s="75" t="s">
        <v>19</v>
      </c>
      <c r="C2087" s="45">
        <v>46195</v>
      </c>
      <c r="D2087" s="76">
        <v>333.89237128649</v>
      </c>
      <c r="E2087" s="77">
        <v>125</v>
      </c>
      <c r="F2087" s="78">
        <v>11.745951763494601</v>
      </c>
      <c r="G2087" s="78">
        <v>11.745951763494601</v>
      </c>
      <c r="H2087" s="81">
        <v>10.8847790294974</v>
      </c>
    </row>
    <row r="2088" spans="1:8" x14ac:dyDescent="0.3">
      <c r="A2088" s="74" t="str">
        <f t="shared" si="32"/>
        <v>福建46196</v>
      </c>
      <c r="B2088" s="75" t="s">
        <v>19</v>
      </c>
      <c r="C2088" s="45">
        <v>46196</v>
      </c>
      <c r="D2088" s="76">
        <v>333.89237128649</v>
      </c>
      <c r="E2088" s="77">
        <v>125</v>
      </c>
      <c r="F2088" s="78">
        <v>11.745951763494601</v>
      </c>
      <c r="G2088" s="78">
        <v>11.745951763494601</v>
      </c>
      <c r="H2088" s="81">
        <v>10.8847790294974</v>
      </c>
    </row>
    <row r="2089" spans="1:8" x14ac:dyDescent="0.3">
      <c r="A2089" s="74" t="str">
        <f t="shared" si="32"/>
        <v>福建46197</v>
      </c>
      <c r="B2089" s="75" t="s">
        <v>19</v>
      </c>
      <c r="C2089" s="45">
        <v>46197</v>
      </c>
      <c r="D2089" s="76">
        <v>333.89237128649</v>
      </c>
      <c r="E2089" s="77">
        <v>125</v>
      </c>
      <c r="F2089" s="78">
        <v>11.745951763494601</v>
      </c>
      <c r="G2089" s="78">
        <v>11.745951763494601</v>
      </c>
      <c r="H2089" s="81">
        <v>10.8847790294974</v>
      </c>
    </row>
    <row r="2090" spans="1:8" x14ac:dyDescent="0.3">
      <c r="A2090" s="74" t="str">
        <f t="shared" si="32"/>
        <v>福建46198</v>
      </c>
      <c r="B2090" s="75" t="s">
        <v>19</v>
      </c>
      <c r="C2090" s="45">
        <v>46198</v>
      </c>
      <c r="D2090" s="76">
        <v>333.89237128649</v>
      </c>
      <c r="E2090" s="77">
        <v>125</v>
      </c>
      <c r="F2090" s="78">
        <v>11.745951763494601</v>
      </c>
      <c r="G2090" s="78">
        <v>11.745951763494601</v>
      </c>
      <c r="H2090" s="81">
        <v>10.8847790294974</v>
      </c>
    </row>
    <row r="2091" spans="1:8" x14ac:dyDescent="0.3">
      <c r="A2091" s="74" t="str">
        <f t="shared" si="32"/>
        <v>福建46199</v>
      </c>
      <c r="B2091" s="75" t="s">
        <v>19</v>
      </c>
      <c r="C2091" s="45">
        <v>46199</v>
      </c>
      <c r="D2091" s="76">
        <v>333.89237128649</v>
      </c>
      <c r="E2091" s="77">
        <v>125</v>
      </c>
      <c r="F2091" s="78">
        <v>11.745951763494601</v>
      </c>
      <c r="G2091" s="78">
        <v>11.745951763494601</v>
      </c>
      <c r="H2091" s="81">
        <v>10.8847790294974</v>
      </c>
    </row>
    <row r="2092" spans="1:8" x14ac:dyDescent="0.3">
      <c r="A2092" s="74" t="str">
        <f t="shared" si="32"/>
        <v>福建46200</v>
      </c>
      <c r="B2092" s="75" t="s">
        <v>19</v>
      </c>
      <c r="C2092" s="45">
        <v>46200</v>
      </c>
      <c r="D2092" s="76">
        <v>333.89237128649</v>
      </c>
      <c r="E2092" s="77">
        <v>125</v>
      </c>
      <c r="F2092" s="78">
        <v>11.745951763494601</v>
      </c>
      <c r="G2092" s="78">
        <v>11.745951763494601</v>
      </c>
      <c r="H2092" s="81">
        <v>10.8847790294974</v>
      </c>
    </row>
    <row r="2093" spans="1:8" x14ac:dyDescent="0.3">
      <c r="A2093" s="74" t="str">
        <f t="shared" si="32"/>
        <v>福建46201</v>
      </c>
      <c r="B2093" s="75" t="s">
        <v>19</v>
      </c>
      <c r="C2093" s="45">
        <v>46201</v>
      </c>
      <c r="D2093" s="76">
        <v>333.89237128649</v>
      </c>
      <c r="E2093" s="77">
        <v>125</v>
      </c>
      <c r="F2093" s="78">
        <v>11.745951763494601</v>
      </c>
      <c r="G2093" s="78">
        <v>11.745951763494601</v>
      </c>
      <c r="H2093" s="81">
        <v>10.8847790294974</v>
      </c>
    </row>
    <row r="2094" spans="1:8" x14ac:dyDescent="0.3">
      <c r="A2094" s="74" t="str">
        <f t="shared" si="32"/>
        <v>福建46202</v>
      </c>
      <c r="B2094" s="75" t="s">
        <v>19</v>
      </c>
      <c r="C2094" s="45">
        <v>46202</v>
      </c>
      <c r="D2094" s="76">
        <v>333.89237128649</v>
      </c>
      <c r="E2094" s="77">
        <v>125</v>
      </c>
      <c r="F2094" s="78">
        <v>11.745951763494601</v>
      </c>
      <c r="G2094" s="78">
        <v>11.745951763494601</v>
      </c>
      <c r="H2094" s="81">
        <v>10.8847790294974</v>
      </c>
    </row>
    <row r="2095" spans="1:8" x14ac:dyDescent="0.3">
      <c r="A2095" s="74" t="str">
        <f t="shared" si="32"/>
        <v>福建46203</v>
      </c>
      <c r="B2095" s="75" t="s">
        <v>19</v>
      </c>
      <c r="C2095" s="45">
        <v>46203</v>
      </c>
      <c r="D2095" s="76">
        <v>333.89237128649</v>
      </c>
      <c r="E2095" s="77">
        <v>125</v>
      </c>
      <c r="F2095" s="78">
        <v>11.745951763494601</v>
      </c>
      <c r="G2095" s="78">
        <v>11.745951763494601</v>
      </c>
      <c r="H2095" s="81">
        <v>10.8847790294974</v>
      </c>
    </row>
    <row r="2096" spans="1:8" x14ac:dyDescent="0.3">
      <c r="A2096" s="74" t="str">
        <f t="shared" si="32"/>
        <v>福建46204</v>
      </c>
      <c r="B2096" s="75" t="s">
        <v>19</v>
      </c>
      <c r="C2096" s="45">
        <v>46204</v>
      </c>
      <c r="D2096" s="76">
        <v>260.57863844780201</v>
      </c>
      <c r="E2096" s="77">
        <v>125</v>
      </c>
      <c r="F2096" s="78">
        <v>12.2381457334904</v>
      </c>
      <c r="G2096" s="78">
        <v>12.2381457334904</v>
      </c>
      <c r="H2096" s="81">
        <v>11.769678828418</v>
      </c>
    </row>
    <row r="2097" spans="1:8" x14ac:dyDescent="0.3">
      <c r="A2097" s="74" t="str">
        <f t="shared" si="32"/>
        <v>福建46205</v>
      </c>
      <c r="B2097" s="75" t="s">
        <v>19</v>
      </c>
      <c r="C2097" s="45">
        <v>46205</v>
      </c>
      <c r="D2097" s="76">
        <v>260.57863844780201</v>
      </c>
      <c r="E2097" s="77">
        <v>125</v>
      </c>
      <c r="F2097" s="78">
        <v>12.2381457334904</v>
      </c>
      <c r="G2097" s="78">
        <v>12.2381457334904</v>
      </c>
      <c r="H2097" s="81">
        <v>11.769678828418</v>
      </c>
    </row>
    <row r="2098" spans="1:8" x14ac:dyDescent="0.3">
      <c r="A2098" s="74" t="str">
        <f t="shared" si="32"/>
        <v>福建46206</v>
      </c>
      <c r="B2098" s="75" t="s">
        <v>19</v>
      </c>
      <c r="C2098" s="45">
        <v>46206</v>
      </c>
      <c r="D2098" s="76">
        <v>260.57863844780201</v>
      </c>
      <c r="E2098" s="77">
        <v>125</v>
      </c>
      <c r="F2098" s="78">
        <v>12.2381457334904</v>
      </c>
      <c r="G2098" s="78">
        <v>12.2381457334904</v>
      </c>
      <c r="H2098" s="81">
        <v>11.769678828418</v>
      </c>
    </row>
    <row r="2099" spans="1:8" x14ac:dyDescent="0.3">
      <c r="A2099" s="74" t="str">
        <f t="shared" si="32"/>
        <v>福建46207</v>
      </c>
      <c r="B2099" s="75" t="s">
        <v>19</v>
      </c>
      <c r="C2099" s="45">
        <v>46207</v>
      </c>
      <c r="D2099" s="76">
        <v>260.57863844780201</v>
      </c>
      <c r="E2099" s="77">
        <v>125</v>
      </c>
      <c r="F2099" s="78">
        <v>12.2381457334904</v>
      </c>
      <c r="G2099" s="78">
        <v>12.2381457334904</v>
      </c>
      <c r="H2099" s="81">
        <v>11.769678828418</v>
      </c>
    </row>
    <row r="2100" spans="1:8" x14ac:dyDescent="0.3">
      <c r="A2100" s="74" t="str">
        <f t="shared" si="32"/>
        <v>福建46208</v>
      </c>
      <c r="B2100" s="75" t="s">
        <v>19</v>
      </c>
      <c r="C2100" s="45">
        <v>46208</v>
      </c>
      <c r="D2100" s="76">
        <v>260.57863844780201</v>
      </c>
      <c r="E2100" s="77">
        <v>125</v>
      </c>
      <c r="F2100" s="78">
        <v>12.2381457334904</v>
      </c>
      <c r="G2100" s="78">
        <v>12.2381457334904</v>
      </c>
      <c r="H2100" s="81">
        <v>11.769678828418</v>
      </c>
    </row>
    <row r="2101" spans="1:8" x14ac:dyDescent="0.3">
      <c r="A2101" s="74" t="str">
        <f t="shared" si="32"/>
        <v>福建46209</v>
      </c>
      <c r="B2101" s="75" t="s">
        <v>19</v>
      </c>
      <c r="C2101" s="45">
        <v>46209</v>
      </c>
      <c r="D2101" s="76">
        <v>260.57863844780201</v>
      </c>
      <c r="E2101" s="77">
        <v>125</v>
      </c>
      <c r="F2101" s="78">
        <v>12.2381457334904</v>
      </c>
      <c r="G2101" s="78">
        <v>12.2381457334904</v>
      </c>
      <c r="H2101" s="81">
        <v>11.769678828418</v>
      </c>
    </row>
    <row r="2102" spans="1:8" x14ac:dyDescent="0.3">
      <c r="A2102" s="74" t="str">
        <f t="shared" si="32"/>
        <v>福建46210</v>
      </c>
      <c r="B2102" s="75" t="s">
        <v>19</v>
      </c>
      <c r="C2102" s="45">
        <v>46210</v>
      </c>
      <c r="D2102" s="76">
        <v>260.57863844780201</v>
      </c>
      <c r="E2102" s="77">
        <v>125</v>
      </c>
      <c r="F2102" s="78">
        <v>12.2381457334904</v>
      </c>
      <c r="G2102" s="78">
        <v>12.2381457334904</v>
      </c>
      <c r="H2102" s="81">
        <v>11.769678828418</v>
      </c>
    </row>
    <row r="2103" spans="1:8" x14ac:dyDescent="0.3">
      <c r="A2103" s="74" t="str">
        <f t="shared" si="32"/>
        <v>福建46211</v>
      </c>
      <c r="B2103" s="75" t="s">
        <v>19</v>
      </c>
      <c r="C2103" s="45">
        <v>46211</v>
      </c>
      <c r="D2103" s="76">
        <v>260.57863844780201</v>
      </c>
      <c r="E2103" s="77">
        <v>125</v>
      </c>
      <c r="F2103" s="78">
        <v>12.2381457334904</v>
      </c>
      <c r="G2103" s="78">
        <v>12.2381457334904</v>
      </c>
      <c r="H2103" s="81">
        <v>11.769678828418</v>
      </c>
    </row>
    <row r="2104" spans="1:8" x14ac:dyDescent="0.3">
      <c r="A2104" s="74" t="str">
        <f t="shared" si="32"/>
        <v>福建46212</v>
      </c>
      <c r="B2104" s="75" t="s">
        <v>19</v>
      </c>
      <c r="C2104" s="45">
        <v>46212</v>
      </c>
      <c r="D2104" s="76">
        <v>260.57863844780201</v>
      </c>
      <c r="E2104" s="77">
        <v>125</v>
      </c>
      <c r="F2104" s="78">
        <v>12.2381457334904</v>
      </c>
      <c r="G2104" s="78">
        <v>12.2381457334904</v>
      </c>
      <c r="H2104" s="81">
        <v>11.769678828418</v>
      </c>
    </row>
    <row r="2105" spans="1:8" x14ac:dyDescent="0.3">
      <c r="A2105" s="74" t="str">
        <f t="shared" si="32"/>
        <v>福建46213</v>
      </c>
      <c r="B2105" s="75" t="s">
        <v>19</v>
      </c>
      <c r="C2105" s="45">
        <v>46213</v>
      </c>
      <c r="D2105" s="76">
        <v>260.57863844780201</v>
      </c>
      <c r="E2105" s="77">
        <v>125</v>
      </c>
      <c r="F2105" s="78">
        <v>12.2381457334904</v>
      </c>
      <c r="G2105" s="78">
        <v>12.2381457334904</v>
      </c>
      <c r="H2105" s="81">
        <v>11.769678828418</v>
      </c>
    </row>
    <row r="2106" spans="1:8" x14ac:dyDescent="0.3">
      <c r="A2106" s="74" t="str">
        <f t="shared" si="32"/>
        <v>福建46214</v>
      </c>
      <c r="B2106" s="75" t="s">
        <v>19</v>
      </c>
      <c r="C2106" s="45">
        <v>46214</v>
      </c>
      <c r="D2106" s="76">
        <v>260.57863844780201</v>
      </c>
      <c r="E2106" s="77">
        <v>125</v>
      </c>
      <c r="F2106" s="78">
        <v>12.2381457334904</v>
      </c>
      <c r="G2106" s="78">
        <v>12.2381457334904</v>
      </c>
      <c r="H2106" s="81">
        <v>11.769678828418</v>
      </c>
    </row>
    <row r="2107" spans="1:8" x14ac:dyDescent="0.3">
      <c r="A2107" s="74" t="str">
        <f t="shared" si="32"/>
        <v>福建46215</v>
      </c>
      <c r="B2107" s="75" t="s">
        <v>19</v>
      </c>
      <c r="C2107" s="45">
        <v>46215</v>
      </c>
      <c r="D2107" s="76">
        <v>260.57863844780201</v>
      </c>
      <c r="E2107" s="77">
        <v>125</v>
      </c>
      <c r="F2107" s="78">
        <v>12.2381457334904</v>
      </c>
      <c r="G2107" s="78">
        <v>12.2381457334904</v>
      </c>
      <c r="H2107" s="81">
        <v>11.769678828418</v>
      </c>
    </row>
    <row r="2108" spans="1:8" x14ac:dyDescent="0.3">
      <c r="A2108" s="74" t="str">
        <f t="shared" si="32"/>
        <v>福建46216</v>
      </c>
      <c r="B2108" s="75" t="s">
        <v>19</v>
      </c>
      <c r="C2108" s="45">
        <v>46216</v>
      </c>
      <c r="D2108" s="76">
        <v>260.57863844780201</v>
      </c>
      <c r="E2108" s="77">
        <v>125</v>
      </c>
      <c r="F2108" s="78">
        <v>12.2381457334904</v>
      </c>
      <c r="G2108" s="78">
        <v>12.2381457334904</v>
      </c>
      <c r="H2108" s="81">
        <v>11.769678828418</v>
      </c>
    </row>
    <row r="2109" spans="1:8" x14ac:dyDescent="0.3">
      <c r="A2109" s="74" t="str">
        <f t="shared" si="32"/>
        <v>福建46217</v>
      </c>
      <c r="B2109" s="75" t="s">
        <v>19</v>
      </c>
      <c r="C2109" s="45">
        <v>46217</v>
      </c>
      <c r="D2109" s="76">
        <v>260.57863844780201</v>
      </c>
      <c r="E2109" s="77">
        <v>125</v>
      </c>
      <c r="F2109" s="78">
        <v>12.2381457334904</v>
      </c>
      <c r="G2109" s="78">
        <v>12.2381457334904</v>
      </c>
      <c r="H2109" s="81">
        <v>11.769678828418</v>
      </c>
    </row>
    <row r="2110" spans="1:8" x14ac:dyDescent="0.3">
      <c r="A2110" s="74" t="str">
        <f t="shared" si="32"/>
        <v>福建46218</v>
      </c>
      <c r="B2110" s="75" t="s">
        <v>19</v>
      </c>
      <c r="C2110" s="45">
        <v>46218</v>
      </c>
      <c r="D2110" s="76">
        <v>260.57863844780201</v>
      </c>
      <c r="E2110" s="77">
        <v>125</v>
      </c>
      <c r="F2110" s="78">
        <v>12.2381457334904</v>
      </c>
      <c r="G2110" s="78">
        <v>12.2381457334904</v>
      </c>
      <c r="H2110" s="81">
        <v>11.769678828418</v>
      </c>
    </row>
    <row r="2111" spans="1:8" x14ac:dyDescent="0.3">
      <c r="A2111" s="74" t="str">
        <f t="shared" si="32"/>
        <v>福建46219</v>
      </c>
      <c r="B2111" s="75" t="s">
        <v>19</v>
      </c>
      <c r="C2111" s="45">
        <v>46219</v>
      </c>
      <c r="D2111" s="76">
        <v>260.57863844780201</v>
      </c>
      <c r="E2111" s="77">
        <v>125</v>
      </c>
      <c r="F2111" s="78">
        <v>12.2381457334904</v>
      </c>
      <c r="G2111" s="78">
        <v>12.2381457334904</v>
      </c>
      <c r="H2111" s="81">
        <v>11.769678828418</v>
      </c>
    </row>
    <row r="2112" spans="1:8" x14ac:dyDescent="0.3">
      <c r="A2112" s="74" t="str">
        <f t="shared" si="32"/>
        <v>福建46220</v>
      </c>
      <c r="B2112" s="75" t="s">
        <v>19</v>
      </c>
      <c r="C2112" s="45">
        <v>46220</v>
      </c>
      <c r="D2112" s="76">
        <v>260.57863844780201</v>
      </c>
      <c r="E2112" s="77">
        <v>125</v>
      </c>
      <c r="F2112" s="78">
        <v>12.2381457334904</v>
      </c>
      <c r="G2112" s="78">
        <v>12.2381457334904</v>
      </c>
      <c r="H2112" s="81">
        <v>11.769678828418</v>
      </c>
    </row>
    <row r="2113" spans="1:8" x14ac:dyDescent="0.3">
      <c r="A2113" s="74" t="str">
        <f t="shared" si="32"/>
        <v>福建46221</v>
      </c>
      <c r="B2113" s="75" t="s">
        <v>19</v>
      </c>
      <c r="C2113" s="45">
        <v>46221</v>
      </c>
      <c r="D2113" s="76">
        <v>260.57863844780201</v>
      </c>
      <c r="E2113" s="77">
        <v>125</v>
      </c>
      <c r="F2113" s="78">
        <v>12.2381457334904</v>
      </c>
      <c r="G2113" s="78">
        <v>12.2381457334904</v>
      </c>
      <c r="H2113" s="81">
        <v>11.769678828418</v>
      </c>
    </row>
    <row r="2114" spans="1:8" x14ac:dyDescent="0.3">
      <c r="A2114" s="74" t="str">
        <f t="shared" si="32"/>
        <v>福建46222</v>
      </c>
      <c r="B2114" s="75" t="s">
        <v>19</v>
      </c>
      <c r="C2114" s="45">
        <v>46222</v>
      </c>
      <c r="D2114" s="76">
        <v>260.57863844780201</v>
      </c>
      <c r="E2114" s="77">
        <v>125</v>
      </c>
      <c r="F2114" s="78">
        <v>12.2381457334904</v>
      </c>
      <c r="G2114" s="78">
        <v>12.2381457334904</v>
      </c>
      <c r="H2114" s="81">
        <v>11.769678828418</v>
      </c>
    </row>
    <row r="2115" spans="1:8" x14ac:dyDescent="0.3">
      <c r="A2115" s="74" t="str">
        <f t="shared" ref="A2115:A2178" si="33">B2115&amp;C2115</f>
        <v>福建46223</v>
      </c>
      <c r="B2115" s="75" t="s">
        <v>19</v>
      </c>
      <c r="C2115" s="45">
        <v>46223</v>
      </c>
      <c r="D2115" s="76">
        <v>260.57863844780201</v>
      </c>
      <c r="E2115" s="77">
        <v>125</v>
      </c>
      <c r="F2115" s="78">
        <v>12.2381457334904</v>
      </c>
      <c r="G2115" s="78">
        <v>12.2381457334904</v>
      </c>
      <c r="H2115" s="81">
        <v>11.769678828418</v>
      </c>
    </row>
    <row r="2116" spans="1:8" x14ac:dyDescent="0.3">
      <c r="A2116" s="74" t="str">
        <f t="shared" si="33"/>
        <v>福建46224</v>
      </c>
      <c r="B2116" s="75" t="s">
        <v>19</v>
      </c>
      <c r="C2116" s="45">
        <v>46224</v>
      </c>
      <c r="D2116" s="76">
        <v>260.57863844780201</v>
      </c>
      <c r="E2116" s="77">
        <v>125</v>
      </c>
      <c r="F2116" s="78">
        <v>12.2381457334904</v>
      </c>
      <c r="G2116" s="78">
        <v>12.2381457334904</v>
      </c>
      <c r="H2116" s="81">
        <v>11.769678828418</v>
      </c>
    </row>
    <row r="2117" spans="1:8" x14ac:dyDescent="0.3">
      <c r="A2117" s="74" t="str">
        <f t="shared" si="33"/>
        <v>福建46225</v>
      </c>
      <c r="B2117" s="75" t="s">
        <v>19</v>
      </c>
      <c r="C2117" s="45">
        <v>46225</v>
      </c>
      <c r="D2117" s="76">
        <v>260.57863844780201</v>
      </c>
      <c r="E2117" s="77">
        <v>125</v>
      </c>
      <c r="F2117" s="78">
        <v>12.2381457334904</v>
      </c>
      <c r="G2117" s="78">
        <v>12.2381457334904</v>
      </c>
      <c r="H2117" s="81">
        <v>11.769678828418</v>
      </c>
    </row>
    <row r="2118" spans="1:8" x14ac:dyDescent="0.3">
      <c r="A2118" s="74" t="str">
        <f t="shared" si="33"/>
        <v>福建46226</v>
      </c>
      <c r="B2118" s="75" t="s">
        <v>19</v>
      </c>
      <c r="C2118" s="45">
        <v>46226</v>
      </c>
      <c r="D2118" s="76">
        <v>260.57863844780201</v>
      </c>
      <c r="E2118" s="77">
        <v>125</v>
      </c>
      <c r="F2118" s="78">
        <v>12.2381457334904</v>
      </c>
      <c r="G2118" s="78">
        <v>12.2381457334904</v>
      </c>
      <c r="H2118" s="81">
        <v>11.769678828418</v>
      </c>
    </row>
    <row r="2119" spans="1:8" x14ac:dyDescent="0.3">
      <c r="A2119" s="74" t="str">
        <f t="shared" si="33"/>
        <v>福建46227</v>
      </c>
      <c r="B2119" s="75" t="s">
        <v>19</v>
      </c>
      <c r="C2119" s="45">
        <v>46227</v>
      </c>
      <c r="D2119" s="76">
        <v>260.57863844780201</v>
      </c>
      <c r="E2119" s="77">
        <v>125</v>
      </c>
      <c r="F2119" s="78">
        <v>12.2381457334904</v>
      </c>
      <c r="G2119" s="78">
        <v>12.2381457334904</v>
      </c>
      <c r="H2119" s="81">
        <v>11.769678828418</v>
      </c>
    </row>
    <row r="2120" spans="1:8" x14ac:dyDescent="0.3">
      <c r="A2120" s="74" t="str">
        <f t="shared" si="33"/>
        <v>福建46228</v>
      </c>
      <c r="B2120" s="75" t="s">
        <v>19</v>
      </c>
      <c r="C2120" s="45">
        <v>46228</v>
      </c>
      <c r="D2120" s="76">
        <v>260.57863844780201</v>
      </c>
      <c r="E2120" s="77">
        <v>125</v>
      </c>
      <c r="F2120" s="78">
        <v>12.2381457334904</v>
      </c>
      <c r="G2120" s="78">
        <v>12.2381457334904</v>
      </c>
      <c r="H2120" s="81">
        <v>11.769678828418</v>
      </c>
    </row>
    <row r="2121" spans="1:8" x14ac:dyDescent="0.3">
      <c r="A2121" s="74" t="str">
        <f t="shared" si="33"/>
        <v>福建46229</v>
      </c>
      <c r="B2121" s="75" t="s">
        <v>19</v>
      </c>
      <c r="C2121" s="45">
        <v>46229</v>
      </c>
      <c r="D2121" s="76">
        <v>260.57863844780201</v>
      </c>
      <c r="E2121" s="77">
        <v>125</v>
      </c>
      <c r="F2121" s="78">
        <v>12.2381457334904</v>
      </c>
      <c r="G2121" s="78">
        <v>12.2381457334904</v>
      </c>
      <c r="H2121" s="81">
        <v>11.769678828418</v>
      </c>
    </row>
    <row r="2122" spans="1:8" x14ac:dyDescent="0.3">
      <c r="A2122" s="74" t="str">
        <f t="shared" si="33"/>
        <v>福建46230</v>
      </c>
      <c r="B2122" s="75" t="s">
        <v>19</v>
      </c>
      <c r="C2122" s="45">
        <v>46230</v>
      </c>
      <c r="D2122" s="76">
        <v>260.57863844780201</v>
      </c>
      <c r="E2122" s="77">
        <v>125</v>
      </c>
      <c r="F2122" s="78">
        <v>12.2381457334904</v>
      </c>
      <c r="G2122" s="78">
        <v>12.2381457334904</v>
      </c>
      <c r="H2122" s="81">
        <v>11.769678828418</v>
      </c>
    </row>
    <row r="2123" spans="1:8" x14ac:dyDescent="0.3">
      <c r="A2123" s="74" t="str">
        <f t="shared" si="33"/>
        <v>福建46231</v>
      </c>
      <c r="B2123" s="75" t="s">
        <v>19</v>
      </c>
      <c r="C2123" s="45">
        <v>46231</v>
      </c>
      <c r="D2123" s="76">
        <v>260.57863844780201</v>
      </c>
      <c r="E2123" s="77">
        <v>125</v>
      </c>
      <c r="F2123" s="78">
        <v>12.2381457334904</v>
      </c>
      <c r="G2123" s="78">
        <v>12.2381457334904</v>
      </c>
      <c r="H2123" s="81">
        <v>11.769678828418</v>
      </c>
    </row>
    <row r="2124" spans="1:8" x14ac:dyDescent="0.3">
      <c r="A2124" s="74" t="str">
        <f t="shared" si="33"/>
        <v>福建46232</v>
      </c>
      <c r="B2124" s="75" t="s">
        <v>19</v>
      </c>
      <c r="C2124" s="45">
        <v>46232</v>
      </c>
      <c r="D2124" s="76">
        <v>260.57863844780201</v>
      </c>
      <c r="E2124" s="77">
        <v>125</v>
      </c>
      <c r="F2124" s="78">
        <v>12.2381457334904</v>
      </c>
      <c r="G2124" s="78">
        <v>12.2381457334904</v>
      </c>
      <c r="H2124" s="81">
        <v>11.769678828418</v>
      </c>
    </row>
    <row r="2125" spans="1:8" x14ac:dyDescent="0.3">
      <c r="A2125" s="74" t="str">
        <f t="shared" si="33"/>
        <v>福建46233</v>
      </c>
      <c r="B2125" s="75" t="s">
        <v>19</v>
      </c>
      <c r="C2125" s="45">
        <v>46233</v>
      </c>
      <c r="D2125" s="76">
        <v>260.57863844780201</v>
      </c>
      <c r="E2125" s="77">
        <v>125</v>
      </c>
      <c r="F2125" s="78">
        <v>12.2381457334904</v>
      </c>
      <c r="G2125" s="78">
        <v>12.2381457334904</v>
      </c>
      <c r="H2125" s="81">
        <v>11.769678828418</v>
      </c>
    </row>
    <row r="2126" spans="1:8" x14ac:dyDescent="0.3">
      <c r="A2126" s="74" t="str">
        <f t="shared" si="33"/>
        <v>福建46234</v>
      </c>
      <c r="B2126" s="75" t="s">
        <v>19</v>
      </c>
      <c r="C2126" s="45">
        <v>46234</v>
      </c>
      <c r="D2126" s="76">
        <v>260.57863844780201</v>
      </c>
      <c r="E2126" s="77">
        <v>125</v>
      </c>
      <c r="F2126" s="78">
        <v>12.2381457334904</v>
      </c>
      <c r="G2126" s="78">
        <v>12.2381457334904</v>
      </c>
      <c r="H2126" s="81">
        <v>11.769678828418</v>
      </c>
    </row>
    <row r="2127" spans="1:8" x14ac:dyDescent="0.3">
      <c r="A2127" s="74" t="str">
        <f t="shared" si="33"/>
        <v>福建46235</v>
      </c>
      <c r="B2127" s="75" t="s">
        <v>19</v>
      </c>
      <c r="C2127" s="45">
        <v>46235</v>
      </c>
      <c r="D2127" s="76">
        <v>446.00849182035</v>
      </c>
      <c r="E2127" s="77">
        <v>125</v>
      </c>
      <c r="F2127" s="78">
        <v>12.3464636928095</v>
      </c>
      <c r="G2127" s="78">
        <v>12.3464636928095</v>
      </c>
      <c r="H2127" s="81">
        <v>12.316986796536501</v>
      </c>
    </row>
    <row r="2128" spans="1:8" x14ac:dyDescent="0.3">
      <c r="A2128" s="74" t="str">
        <f t="shared" si="33"/>
        <v>福建46236</v>
      </c>
      <c r="B2128" s="75" t="s">
        <v>19</v>
      </c>
      <c r="C2128" s="45">
        <v>46236</v>
      </c>
      <c r="D2128" s="76">
        <v>446.00849182035</v>
      </c>
      <c r="E2128" s="77">
        <v>125</v>
      </c>
      <c r="F2128" s="78">
        <v>12.3464636928095</v>
      </c>
      <c r="G2128" s="78">
        <v>12.3464636928095</v>
      </c>
      <c r="H2128" s="81">
        <v>12.316986796536501</v>
      </c>
    </row>
    <row r="2129" spans="1:8" x14ac:dyDescent="0.3">
      <c r="A2129" s="74" t="str">
        <f t="shared" si="33"/>
        <v>福建46237</v>
      </c>
      <c r="B2129" s="75" t="s">
        <v>19</v>
      </c>
      <c r="C2129" s="45">
        <v>46237</v>
      </c>
      <c r="D2129" s="76">
        <v>446.00849182035</v>
      </c>
      <c r="E2129" s="77">
        <v>125</v>
      </c>
      <c r="F2129" s="78">
        <v>12.3464636928095</v>
      </c>
      <c r="G2129" s="78">
        <v>12.3464636928095</v>
      </c>
      <c r="H2129" s="81">
        <v>12.316986796536501</v>
      </c>
    </row>
    <row r="2130" spans="1:8" x14ac:dyDescent="0.3">
      <c r="A2130" s="74" t="str">
        <f t="shared" si="33"/>
        <v>福建46238</v>
      </c>
      <c r="B2130" s="75" t="s">
        <v>19</v>
      </c>
      <c r="C2130" s="45">
        <v>46238</v>
      </c>
      <c r="D2130" s="76">
        <v>446.00849182035</v>
      </c>
      <c r="E2130" s="77">
        <v>125</v>
      </c>
      <c r="F2130" s="78">
        <v>12.3464636928095</v>
      </c>
      <c r="G2130" s="78">
        <v>12.3464636928095</v>
      </c>
      <c r="H2130" s="81">
        <v>12.316986796536501</v>
      </c>
    </row>
    <row r="2131" spans="1:8" x14ac:dyDescent="0.3">
      <c r="A2131" s="74" t="str">
        <f t="shared" si="33"/>
        <v>福建46239</v>
      </c>
      <c r="B2131" s="75" t="s">
        <v>19</v>
      </c>
      <c r="C2131" s="45">
        <v>46239</v>
      </c>
      <c r="D2131" s="76">
        <v>446.00849182035</v>
      </c>
      <c r="E2131" s="77">
        <v>125</v>
      </c>
      <c r="F2131" s="78">
        <v>12.3464636928095</v>
      </c>
      <c r="G2131" s="78">
        <v>12.3464636928095</v>
      </c>
      <c r="H2131" s="81">
        <v>12.316986796536501</v>
      </c>
    </row>
    <row r="2132" spans="1:8" x14ac:dyDescent="0.3">
      <c r="A2132" s="74" t="str">
        <f t="shared" si="33"/>
        <v>福建46240</v>
      </c>
      <c r="B2132" s="75" t="s">
        <v>19</v>
      </c>
      <c r="C2132" s="45">
        <v>46240</v>
      </c>
      <c r="D2132" s="76">
        <v>446.00849182035</v>
      </c>
      <c r="E2132" s="77">
        <v>125</v>
      </c>
      <c r="F2132" s="78">
        <v>12.3464636928095</v>
      </c>
      <c r="G2132" s="78">
        <v>12.3464636928095</v>
      </c>
      <c r="H2132" s="81">
        <v>12.316986796536501</v>
      </c>
    </row>
    <row r="2133" spans="1:8" x14ac:dyDescent="0.3">
      <c r="A2133" s="74" t="str">
        <f t="shared" si="33"/>
        <v>福建46241</v>
      </c>
      <c r="B2133" s="75" t="s">
        <v>19</v>
      </c>
      <c r="C2133" s="45">
        <v>46241</v>
      </c>
      <c r="D2133" s="76">
        <v>446.00849182035</v>
      </c>
      <c r="E2133" s="77">
        <v>125</v>
      </c>
      <c r="F2133" s="78">
        <v>12.3464636928095</v>
      </c>
      <c r="G2133" s="78">
        <v>12.3464636928095</v>
      </c>
      <c r="H2133" s="81">
        <v>12.316986796536501</v>
      </c>
    </row>
    <row r="2134" spans="1:8" x14ac:dyDescent="0.3">
      <c r="A2134" s="74" t="str">
        <f t="shared" si="33"/>
        <v>福建46242</v>
      </c>
      <c r="B2134" s="75" t="s">
        <v>19</v>
      </c>
      <c r="C2134" s="45">
        <v>46242</v>
      </c>
      <c r="D2134" s="76">
        <v>446.00849182035</v>
      </c>
      <c r="E2134" s="77">
        <v>125</v>
      </c>
      <c r="F2134" s="78">
        <v>12.3464636928095</v>
      </c>
      <c r="G2134" s="78">
        <v>12.3464636928095</v>
      </c>
      <c r="H2134" s="81">
        <v>12.316986796536501</v>
      </c>
    </row>
    <row r="2135" spans="1:8" x14ac:dyDescent="0.3">
      <c r="A2135" s="74" t="str">
        <f t="shared" si="33"/>
        <v>福建46243</v>
      </c>
      <c r="B2135" s="75" t="s">
        <v>19</v>
      </c>
      <c r="C2135" s="45">
        <v>46243</v>
      </c>
      <c r="D2135" s="76">
        <v>446.00849182035</v>
      </c>
      <c r="E2135" s="77">
        <v>125</v>
      </c>
      <c r="F2135" s="78">
        <v>12.3464636928095</v>
      </c>
      <c r="G2135" s="78">
        <v>12.3464636928095</v>
      </c>
      <c r="H2135" s="81">
        <v>12.316986796536501</v>
      </c>
    </row>
    <row r="2136" spans="1:8" x14ac:dyDescent="0.3">
      <c r="A2136" s="74" t="str">
        <f t="shared" si="33"/>
        <v>福建46244</v>
      </c>
      <c r="B2136" s="75" t="s">
        <v>19</v>
      </c>
      <c r="C2136" s="45">
        <v>46244</v>
      </c>
      <c r="D2136" s="76">
        <v>446.00849182035</v>
      </c>
      <c r="E2136" s="77">
        <v>125</v>
      </c>
      <c r="F2136" s="78">
        <v>12.3464636928095</v>
      </c>
      <c r="G2136" s="78">
        <v>12.3464636928095</v>
      </c>
      <c r="H2136" s="81">
        <v>12.316986796536501</v>
      </c>
    </row>
    <row r="2137" spans="1:8" x14ac:dyDescent="0.3">
      <c r="A2137" s="74" t="str">
        <f t="shared" si="33"/>
        <v>福建46245</v>
      </c>
      <c r="B2137" s="75" t="s">
        <v>19</v>
      </c>
      <c r="C2137" s="45">
        <v>46245</v>
      </c>
      <c r="D2137" s="76">
        <v>446.00849182035</v>
      </c>
      <c r="E2137" s="77">
        <v>125</v>
      </c>
      <c r="F2137" s="78">
        <v>12.3464636928095</v>
      </c>
      <c r="G2137" s="78">
        <v>12.3464636928095</v>
      </c>
      <c r="H2137" s="81">
        <v>12.316986796536501</v>
      </c>
    </row>
    <row r="2138" spans="1:8" x14ac:dyDescent="0.3">
      <c r="A2138" s="74" t="str">
        <f t="shared" si="33"/>
        <v>福建46246</v>
      </c>
      <c r="B2138" s="75" t="s">
        <v>19</v>
      </c>
      <c r="C2138" s="45">
        <v>46246</v>
      </c>
      <c r="D2138" s="76">
        <v>446.00849182035</v>
      </c>
      <c r="E2138" s="77">
        <v>125</v>
      </c>
      <c r="F2138" s="78">
        <v>12.3464636928095</v>
      </c>
      <c r="G2138" s="78">
        <v>12.3464636928095</v>
      </c>
      <c r="H2138" s="81">
        <v>12.316986796536501</v>
      </c>
    </row>
    <row r="2139" spans="1:8" x14ac:dyDescent="0.3">
      <c r="A2139" s="74" t="str">
        <f t="shared" si="33"/>
        <v>福建46247</v>
      </c>
      <c r="B2139" s="75" t="s">
        <v>19</v>
      </c>
      <c r="C2139" s="45">
        <v>46247</v>
      </c>
      <c r="D2139" s="76">
        <v>446.00849182035</v>
      </c>
      <c r="E2139" s="77">
        <v>125</v>
      </c>
      <c r="F2139" s="78">
        <v>12.3464636928095</v>
      </c>
      <c r="G2139" s="78">
        <v>12.3464636928095</v>
      </c>
      <c r="H2139" s="81">
        <v>12.316986796536501</v>
      </c>
    </row>
    <row r="2140" spans="1:8" x14ac:dyDescent="0.3">
      <c r="A2140" s="74" t="str">
        <f t="shared" si="33"/>
        <v>福建46248</v>
      </c>
      <c r="B2140" s="75" t="s">
        <v>19</v>
      </c>
      <c r="C2140" s="45">
        <v>46248</v>
      </c>
      <c r="D2140" s="76">
        <v>446.00849182035</v>
      </c>
      <c r="E2140" s="77">
        <v>125</v>
      </c>
      <c r="F2140" s="78">
        <v>12.3464636928095</v>
      </c>
      <c r="G2140" s="78">
        <v>12.3464636928095</v>
      </c>
      <c r="H2140" s="81">
        <v>12.316986796536501</v>
      </c>
    </row>
    <row r="2141" spans="1:8" x14ac:dyDescent="0.3">
      <c r="A2141" s="74" t="str">
        <f t="shared" si="33"/>
        <v>福建46249</v>
      </c>
      <c r="B2141" s="75" t="s">
        <v>19</v>
      </c>
      <c r="C2141" s="45">
        <v>46249</v>
      </c>
      <c r="D2141" s="76">
        <v>446.00849182035</v>
      </c>
      <c r="E2141" s="77">
        <v>125</v>
      </c>
      <c r="F2141" s="78">
        <v>12.3464636928095</v>
      </c>
      <c r="G2141" s="78">
        <v>12.3464636928095</v>
      </c>
      <c r="H2141" s="81">
        <v>12.316986796536501</v>
      </c>
    </row>
    <row r="2142" spans="1:8" x14ac:dyDescent="0.3">
      <c r="A2142" s="74" t="str">
        <f t="shared" si="33"/>
        <v>福建46250</v>
      </c>
      <c r="B2142" s="75" t="s">
        <v>19</v>
      </c>
      <c r="C2142" s="45">
        <v>46250</v>
      </c>
      <c r="D2142" s="76">
        <v>446.00849182035</v>
      </c>
      <c r="E2142" s="77">
        <v>125</v>
      </c>
      <c r="F2142" s="78">
        <v>12.3464636928095</v>
      </c>
      <c r="G2142" s="78">
        <v>12.3464636928095</v>
      </c>
      <c r="H2142" s="81">
        <v>12.316986796536501</v>
      </c>
    </row>
    <row r="2143" spans="1:8" x14ac:dyDescent="0.3">
      <c r="A2143" s="74" t="str">
        <f t="shared" si="33"/>
        <v>福建46251</v>
      </c>
      <c r="B2143" s="75" t="s">
        <v>19</v>
      </c>
      <c r="C2143" s="45">
        <v>46251</v>
      </c>
      <c r="D2143" s="76">
        <v>446.00849182035</v>
      </c>
      <c r="E2143" s="77">
        <v>125</v>
      </c>
      <c r="F2143" s="78">
        <v>12.3464636928095</v>
      </c>
      <c r="G2143" s="78">
        <v>12.3464636928095</v>
      </c>
      <c r="H2143" s="81">
        <v>12.316986796536501</v>
      </c>
    </row>
    <row r="2144" spans="1:8" x14ac:dyDescent="0.3">
      <c r="A2144" s="74" t="str">
        <f t="shared" si="33"/>
        <v>福建46252</v>
      </c>
      <c r="B2144" s="75" t="s">
        <v>19</v>
      </c>
      <c r="C2144" s="45">
        <v>46252</v>
      </c>
      <c r="D2144" s="76">
        <v>446.00849182035</v>
      </c>
      <c r="E2144" s="77">
        <v>125</v>
      </c>
      <c r="F2144" s="78">
        <v>12.3464636928095</v>
      </c>
      <c r="G2144" s="78">
        <v>12.3464636928095</v>
      </c>
      <c r="H2144" s="81">
        <v>12.316986796536501</v>
      </c>
    </row>
    <row r="2145" spans="1:8" x14ac:dyDescent="0.3">
      <c r="A2145" s="74" t="str">
        <f t="shared" si="33"/>
        <v>福建46253</v>
      </c>
      <c r="B2145" s="75" t="s">
        <v>19</v>
      </c>
      <c r="C2145" s="45">
        <v>46253</v>
      </c>
      <c r="D2145" s="76">
        <v>446.00849182035</v>
      </c>
      <c r="E2145" s="77">
        <v>125</v>
      </c>
      <c r="F2145" s="78">
        <v>12.3464636928095</v>
      </c>
      <c r="G2145" s="78">
        <v>12.3464636928095</v>
      </c>
      <c r="H2145" s="81">
        <v>12.316986796536501</v>
      </c>
    </row>
    <row r="2146" spans="1:8" x14ac:dyDescent="0.3">
      <c r="A2146" s="74" t="str">
        <f t="shared" si="33"/>
        <v>福建46254</v>
      </c>
      <c r="B2146" s="75" t="s">
        <v>19</v>
      </c>
      <c r="C2146" s="45">
        <v>46254</v>
      </c>
      <c r="D2146" s="76">
        <v>446.00849182035</v>
      </c>
      <c r="E2146" s="77">
        <v>125</v>
      </c>
      <c r="F2146" s="78">
        <v>12.3464636928095</v>
      </c>
      <c r="G2146" s="78">
        <v>12.3464636928095</v>
      </c>
      <c r="H2146" s="81">
        <v>12.316986796536501</v>
      </c>
    </row>
    <row r="2147" spans="1:8" x14ac:dyDescent="0.3">
      <c r="A2147" s="74" t="str">
        <f t="shared" si="33"/>
        <v>福建46255</v>
      </c>
      <c r="B2147" s="75" t="s">
        <v>19</v>
      </c>
      <c r="C2147" s="45">
        <v>46255</v>
      </c>
      <c r="D2147" s="76">
        <v>446.00849182035</v>
      </c>
      <c r="E2147" s="77">
        <v>125</v>
      </c>
      <c r="F2147" s="78">
        <v>12.3464636928095</v>
      </c>
      <c r="G2147" s="78">
        <v>12.3464636928095</v>
      </c>
      <c r="H2147" s="81">
        <v>12.316986796536501</v>
      </c>
    </row>
    <row r="2148" spans="1:8" x14ac:dyDescent="0.3">
      <c r="A2148" s="74" t="str">
        <f t="shared" si="33"/>
        <v>福建46256</v>
      </c>
      <c r="B2148" s="75" t="s">
        <v>19</v>
      </c>
      <c r="C2148" s="45">
        <v>46256</v>
      </c>
      <c r="D2148" s="76">
        <v>446.00849182035</v>
      </c>
      <c r="E2148" s="77">
        <v>125</v>
      </c>
      <c r="F2148" s="78">
        <v>12.3464636928095</v>
      </c>
      <c r="G2148" s="78">
        <v>12.3464636928095</v>
      </c>
      <c r="H2148" s="81">
        <v>12.316986796536501</v>
      </c>
    </row>
    <row r="2149" spans="1:8" x14ac:dyDescent="0.3">
      <c r="A2149" s="74" t="str">
        <f t="shared" si="33"/>
        <v>福建46257</v>
      </c>
      <c r="B2149" s="75" t="s">
        <v>19</v>
      </c>
      <c r="C2149" s="45">
        <v>46257</v>
      </c>
      <c r="D2149" s="76">
        <v>446.00849182035</v>
      </c>
      <c r="E2149" s="77">
        <v>125</v>
      </c>
      <c r="F2149" s="78">
        <v>12.3464636928095</v>
      </c>
      <c r="G2149" s="78">
        <v>12.3464636928095</v>
      </c>
      <c r="H2149" s="81">
        <v>12.316986796536501</v>
      </c>
    </row>
    <row r="2150" spans="1:8" x14ac:dyDescent="0.3">
      <c r="A2150" s="74" t="str">
        <f t="shared" si="33"/>
        <v>福建46258</v>
      </c>
      <c r="B2150" s="75" t="s">
        <v>19</v>
      </c>
      <c r="C2150" s="45">
        <v>46258</v>
      </c>
      <c r="D2150" s="76">
        <v>446.00849182035</v>
      </c>
      <c r="E2150" s="77">
        <v>125</v>
      </c>
      <c r="F2150" s="78">
        <v>12.3464636928095</v>
      </c>
      <c r="G2150" s="78">
        <v>12.3464636928095</v>
      </c>
      <c r="H2150" s="81">
        <v>12.316986796536501</v>
      </c>
    </row>
    <row r="2151" spans="1:8" x14ac:dyDescent="0.3">
      <c r="A2151" s="74" t="str">
        <f t="shared" si="33"/>
        <v>福建46259</v>
      </c>
      <c r="B2151" s="75" t="s">
        <v>19</v>
      </c>
      <c r="C2151" s="45">
        <v>46259</v>
      </c>
      <c r="D2151" s="76">
        <v>446.00849182035</v>
      </c>
      <c r="E2151" s="77">
        <v>125</v>
      </c>
      <c r="F2151" s="78">
        <v>12.3464636928095</v>
      </c>
      <c r="G2151" s="78">
        <v>12.3464636928095</v>
      </c>
      <c r="H2151" s="81">
        <v>12.316986796536501</v>
      </c>
    </row>
    <row r="2152" spans="1:8" x14ac:dyDescent="0.3">
      <c r="A2152" s="74" t="str">
        <f t="shared" si="33"/>
        <v>福建46260</v>
      </c>
      <c r="B2152" s="75" t="s">
        <v>19</v>
      </c>
      <c r="C2152" s="45">
        <v>46260</v>
      </c>
      <c r="D2152" s="76">
        <v>446.00849182035</v>
      </c>
      <c r="E2152" s="77">
        <v>125</v>
      </c>
      <c r="F2152" s="78">
        <v>12.3464636928095</v>
      </c>
      <c r="G2152" s="78">
        <v>12.3464636928095</v>
      </c>
      <c r="H2152" s="81">
        <v>12.316986796536501</v>
      </c>
    </row>
    <row r="2153" spans="1:8" x14ac:dyDescent="0.3">
      <c r="A2153" s="74" t="str">
        <f t="shared" si="33"/>
        <v>福建46261</v>
      </c>
      <c r="B2153" s="75" t="s">
        <v>19</v>
      </c>
      <c r="C2153" s="45">
        <v>46261</v>
      </c>
      <c r="D2153" s="76">
        <v>446.00849182035</v>
      </c>
      <c r="E2153" s="77">
        <v>125</v>
      </c>
      <c r="F2153" s="78">
        <v>12.3464636928095</v>
      </c>
      <c r="G2153" s="78">
        <v>12.3464636928095</v>
      </c>
      <c r="H2153" s="81">
        <v>12.316986796536501</v>
      </c>
    </row>
    <row r="2154" spans="1:8" x14ac:dyDescent="0.3">
      <c r="A2154" s="74" t="str">
        <f t="shared" si="33"/>
        <v>福建46262</v>
      </c>
      <c r="B2154" s="75" t="s">
        <v>19</v>
      </c>
      <c r="C2154" s="45">
        <v>46262</v>
      </c>
      <c r="D2154" s="76">
        <v>446.00849182035</v>
      </c>
      <c r="E2154" s="77">
        <v>125</v>
      </c>
      <c r="F2154" s="78">
        <v>12.3464636928095</v>
      </c>
      <c r="G2154" s="78">
        <v>12.3464636928095</v>
      </c>
      <c r="H2154" s="81">
        <v>12.316986796536501</v>
      </c>
    </row>
    <row r="2155" spans="1:8" x14ac:dyDescent="0.3">
      <c r="A2155" s="74" t="str">
        <f t="shared" si="33"/>
        <v>福建46263</v>
      </c>
      <c r="B2155" s="75" t="s">
        <v>19</v>
      </c>
      <c r="C2155" s="45">
        <v>46263</v>
      </c>
      <c r="D2155" s="76">
        <v>446.00849182035</v>
      </c>
      <c r="E2155" s="77">
        <v>125</v>
      </c>
      <c r="F2155" s="78">
        <v>12.3464636928095</v>
      </c>
      <c r="G2155" s="78">
        <v>12.3464636928095</v>
      </c>
      <c r="H2155" s="81">
        <v>12.316986796536501</v>
      </c>
    </row>
    <row r="2156" spans="1:8" x14ac:dyDescent="0.3">
      <c r="A2156" s="74" t="str">
        <f t="shared" si="33"/>
        <v>福建46264</v>
      </c>
      <c r="B2156" s="75" t="s">
        <v>19</v>
      </c>
      <c r="C2156" s="45">
        <v>46264</v>
      </c>
      <c r="D2156" s="76">
        <v>446.00849182035</v>
      </c>
      <c r="E2156" s="77">
        <v>125</v>
      </c>
      <c r="F2156" s="78">
        <v>12.3464636928095</v>
      </c>
      <c r="G2156" s="78">
        <v>12.3464636928095</v>
      </c>
      <c r="H2156" s="81">
        <v>12.316986796536501</v>
      </c>
    </row>
    <row r="2157" spans="1:8" x14ac:dyDescent="0.3">
      <c r="A2157" s="74" t="str">
        <f t="shared" si="33"/>
        <v>福建46265</v>
      </c>
      <c r="B2157" s="75" t="s">
        <v>19</v>
      </c>
      <c r="C2157" s="45">
        <v>46265</v>
      </c>
      <c r="D2157" s="76">
        <v>446.00849182035</v>
      </c>
      <c r="E2157" s="77">
        <v>125</v>
      </c>
      <c r="F2157" s="78">
        <v>12.3464636928095</v>
      </c>
      <c r="G2157" s="78">
        <v>12.3464636928095</v>
      </c>
      <c r="H2157" s="81">
        <v>12.316986796536501</v>
      </c>
    </row>
    <row r="2158" spans="1:8" x14ac:dyDescent="0.3">
      <c r="A2158" s="74" t="str">
        <f t="shared" si="33"/>
        <v>福建46266</v>
      </c>
      <c r="B2158" s="75" t="s">
        <v>19</v>
      </c>
      <c r="C2158" s="45">
        <v>46266</v>
      </c>
      <c r="D2158" s="76">
        <v>478.73930389701201</v>
      </c>
      <c r="E2158" s="77">
        <v>125</v>
      </c>
      <c r="F2158" s="78">
        <v>12.6396665432486</v>
      </c>
      <c r="G2158" s="78">
        <v>12.6396665432486</v>
      </c>
      <c r="H2158" s="81">
        <v>12.864294764655</v>
      </c>
    </row>
    <row r="2159" spans="1:8" x14ac:dyDescent="0.3">
      <c r="A2159" s="74" t="str">
        <f t="shared" si="33"/>
        <v>福建46267</v>
      </c>
      <c r="B2159" s="75" t="s">
        <v>19</v>
      </c>
      <c r="C2159" s="45">
        <v>46267</v>
      </c>
      <c r="D2159" s="76">
        <v>478.73930389701201</v>
      </c>
      <c r="E2159" s="77">
        <v>125</v>
      </c>
      <c r="F2159" s="78">
        <v>12.6396665432486</v>
      </c>
      <c r="G2159" s="78">
        <v>12.6396665432486</v>
      </c>
      <c r="H2159" s="81">
        <v>12.864294764655</v>
      </c>
    </row>
    <row r="2160" spans="1:8" x14ac:dyDescent="0.3">
      <c r="A2160" s="74" t="str">
        <f t="shared" si="33"/>
        <v>福建46268</v>
      </c>
      <c r="B2160" s="75" t="s">
        <v>19</v>
      </c>
      <c r="C2160" s="45">
        <v>46268</v>
      </c>
      <c r="D2160" s="76">
        <v>478.73930389701201</v>
      </c>
      <c r="E2160" s="77">
        <v>125</v>
      </c>
      <c r="F2160" s="78">
        <v>12.6396665432486</v>
      </c>
      <c r="G2160" s="78">
        <v>12.6396665432486</v>
      </c>
      <c r="H2160" s="81">
        <v>12.864294764655</v>
      </c>
    </row>
    <row r="2161" spans="1:8" x14ac:dyDescent="0.3">
      <c r="A2161" s="74" t="str">
        <f t="shared" si="33"/>
        <v>福建46269</v>
      </c>
      <c r="B2161" s="75" t="s">
        <v>19</v>
      </c>
      <c r="C2161" s="45">
        <v>46269</v>
      </c>
      <c r="D2161" s="76">
        <v>478.73930389701201</v>
      </c>
      <c r="E2161" s="77">
        <v>125</v>
      </c>
      <c r="F2161" s="78">
        <v>12.6396665432486</v>
      </c>
      <c r="G2161" s="78">
        <v>12.6396665432486</v>
      </c>
      <c r="H2161" s="81">
        <v>12.864294764655</v>
      </c>
    </row>
    <row r="2162" spans="1:8" x14ac:dyDescent="0.3">
      <c r="A2162" s="74" t="str">
        <f t="shared" si="33"/>
        <v>福建46270</v>
      </c>
      <c r="B2162" s="75" t="s">
        <v>19</v>
      </c>
      <c r="C2162" s="45">
        <v>46270</v>
      </c>
      <c r="D2162" s="76">
        <v>478.73930389701201</v>
      </c>
      <c r="E2162" s="77">
        <v>125</v>
      </c>
      <c r="F2162" s="78">
        <v>12.6396665432486</v>
      </c>
      <c r="G2162" s="78">
        <v>12.6396665432486</v>
      </c>
      <c r="H2162" s="81">
        <v>12.864294764655</v>
      </c>
    </row>
    <row r="2163" spans="1:8" x14ac:dyDescent="0.3">
      <c r="A2163" s="74" t="str">
        <f t="shared" si="33"/>
        <v>福建46271</v>
      </c>
      <c r="B2163" s="75" t="s">
        <v>19</v>
      </c>
      <c r="C2163" s="45">
        <v>46271</v>
      </c>
      <c r="D2163" s="76">
        <v>478.73930389701201</v>
      </c>
      <c r="E2163" s="77">
        <v>125</v>
      </c>
      <c r="F2163" s="78">
        <v>12.6396665432486</v>
      </c>
      <c r="G2163" s="78">
        <v>12.6396665432486</v>
      </c>
      <c r="H2163" s="81">
        <v>12.864294764655</v>
      </c>
    </row>
    <row r="2164" spans="1:8" x14ac:dyDescent="0.3">
      <c r="A2164" s="74" t="str">
        <f t="shared" si="33"/>
        <v>福建46272</v>
      </c>
      <c r="B2164" s="75" t="s">
        <v>19</v>
      </c>
      <c r="C2164" s="45">
        <v>46272</v>
      </c>
      <c r="D2164" s="76">
        <v>478.73930389701201</v>
      </c>
      <c r="E2164" s="77">
        <v>125</v>
      </c>
      <c r="F2164" s="78">
        <v>12.6396665432486</v>
      </c>
      <c r="G2164" s="78">
        <v>12.6396665432486</v>
      </c>
      <c r="H2164" s="81">
        <v>12.864294764655</v>
      </c>
    </row>
    <row r="2165" spans="1:8" x14ac:dyDescent="0.3">
      <c r="A2165" s="74" t="str">
        <f t="shared" si="33"/>
        <v>福建46273</v>
      </c>
      <c r="B2165" s="75" t="s">
        <v>19</v>
      </c>
      <c r="C2165" s="45">
        <v>46273</v>
      </c>
      <c r="D2165" s="76">
        <v>478.73930389701201</v>
      </c>
      <c r="E2165" s="77">
        <v>125</v>
      </c>
      <c r="F2165" s="78">
        <v>12.6396665432486</v>
      </c>
      <c r="G2165" s="78">
        <v>12.6396665432486</v>
      </c>
      <c r="H2165" s="81">
        <v>12.864294764655</v>
      </c>
    </row>
    <row r="2166" spans="1:8" x14ac:dyDescent="0.3">
      <c r="A2166" s="74" t="str">
        <f t="shared" si="33"/>
        <v>福建46274</v>
      </c>
      <c r="B2166" s="75" t="s">
        <v>19</v>
      </c>
      <c r="C2166" s="45">
        <v>46274</v>
      </c>
      <c r="D2166" s="76">
        <v>478.73930389701201</v>
      </c>
      <c r="E2166" s="77">
        <v>125</v>
      </c>
      <c r="F2166" s="78">
        <v>12.6396665432486</v>
      </c>
      <c r="G2166" s="78">
        <v>12.6396665432486</v>
      </c>
      <c r="H2166" s="81">
        <v>12.864294764655</v>
      </c>
    </row>
    <row r="2167" spans="1:8" x14ac:dyDescent="0.3">
      <c r="A2167" s="74" t="str">
        <f t="shared" si="33"/>
        <v>福建46275</v>
      </c>
      <c r="B2167" s="75" t="s">
        <v>19</v>
      </c>
      <c r="C2167" s="45">
        <v>46275</v>
      </c>
      <c r="D2167" s="76">
        <v>478.73930389701201</v>
      </c>
      <c r="E2167" s="77">
        <v>125</v>
      </c>
      <c r="F2167" s="78">
        <v>12.6396665432486</v>
      </c>
      <c r="G2167" s="78">
        <v>12.6396665432486</v>
      </c>
      <c r="H2167" s="81">
        <v>12.864294764655</v>
      </c>
    </row>
    <row r="2168" spans="1:8" x14ac:dyDescent="0.3">
      <c r="A2168" s="74" t="str">
        <f t="shared" si="33"/>
        <v>福建46276</v>
      </c>
      <c r="B2168" s="75" t="s">
        <v>19</v>
      </c>
      <c r="C2168" s="45">
        <v>46276</v>
      </c>
      <c r="D2168" s="76">
        <v>478.73930389701201</v>
      </c>
      <c r="E2168" s="77">
        <v>125</v>
      </c>
      <c r="F2168" s="78">
        <v>12.6396665432486</v>
      </c>
      <c r="G2168" s="78">
        <v>12.6396665432486</v>
      </c>
      <c r="H2168" s="81">
        <v>12.864294764655</v>
      </c>
    </row>
    <row r="2169" spans="1:8" x14ac:dyDescent="0.3">
      <c r="A2169" s="74" t="str">
        <f t="shared" si="33"/>
        <v>福建46277</v>
      </c>
      <c r="B2169" s="75" t="s">
        <v>19</v>
      </c>
      <c r="C2169" s="45">
        <v>46277</v>
      </c>
      <c r="D2169" s="76">
        <v>478.73930389701201</v>
      </c>
      <c r="E2169" s="77">
        <v>125</v>
      </c>
      <c r="F2169" s="78">
        <v>12.6396665432486</v>
      </c>
      <c r="G2169" s="78">
        <v>12.6396665432486</v>
      </c>
      <c r="H2169" s="81">
        <v>12.864294764655</v>
      </c>
    </row>
    <row r="2170" spans="1:8" x14ac:dyDescent="0.3">
      <c r="A2170" s="74" t="str">
        <f t="shared" si="33"/>
        <v>福建46278</v>
      </c>
      <c r="B2170" s="75" t="s">
        <v>19</v>
      </c>
      <c r="C2170" s="45">
        <v>46278</v>
      </c>
      <c r="D2170" s="76">
        <v>478.73930389701201</v>
      </c>
      <c r="E2170" s="77">
        <v>125</v>
      </c>
      <c r="F2170" s="78">
        <v>12.6396665432486</v>
      </c>
      <c r="G2170" s="78">
        <v>12.6396665432486</v>
      </c>
      <c r="H2170" s="81">
        <v>12.864294764655</v>
      </c>
    </row>
    <row r="2171" spans="1:8" x14ac:dyDescent="0.3">
      <c r="A2171" s="74" t="str">
        <f t="shared" si="33"/>
        <v>福建46279</v>
      </c>
      <c r="B2171" s="75" t="s">
        <v>19</v>
      </c>
      <c r="C2171" s="45">
        <v>46279</v>
      </c>
      <c r="D2171" s="76">
        <v>478.73930389701201</v>
      </c>
      <c r="E2171" s="77">
        <v>125</v>
      </c>
      <c r="F2171" s="78">
        <v>12.6396665432486</v>
      </c>
      <c r="G2171" s="78">
        <v>12.6396665432486</v>
      </c>
      <c r="H2171" s="81">
        <v>12.864294764655</v>
      </c>
    </row>
    <row r="2172" spans="1:8" x14ac:dyDescent="0.3">
      <c r="A2172" s="74" t="str">
        <f t="shared" si="33"/>
        <v>福建46280</v>
      </c>
      <c r="B2172" s="75" t="s">
        <v>19</v>
      </c>
      <c r="C2172" s="45">
        <v>46280</v>
      </c>
      <c r="D2172" s="76">
        <v>478.73930389701201</v>
      </c>
      <c r="E2172" s="77">
        <v>125</v>
      </c>
      <c r="F2172" s="78">
        <v>12.6396665432486</v>
      </c>
      <c r="G2172" s="78">
        <v>12.6396665432486</v>
      </c>
      <c r="H2172" s="81">
        <v>12.864294764655</v>
      </c>
    </row>
    <row r="2173" spans="1:8" x14ac:dyDescent="0.3">
      <c r="A2173" s="74" t="str">
        <f t="shared" si="33"/>
        <v>福建46281</v>
      </c>
      <c r="B2173" s="75" t="s">
        <v>19</v>
      </c>
      <c r="C2173" s="45">
        <v>46281</v>
      </c>
      <c r="D2173" s="76">
        <v>478.73930389701201</v>
      </c>
      <c r="E2173" s="77">
        <v>125</v>
      </c>
      <c r="F2173" s="78">
        <v>12.6396665432486</v>
      </c>
      <c r="G2173" s="78">
        <v>12.6396665432486</v>
      </c>
      <c r="H2173" s="81">
        <v>12.864294764655</v>
      </c>
    </row>
    <row r="2174" spans="1:8" x14ac:dyDescent="0.3">
      <c r="A2174" s="74" t="str">
        <f t="shared" si="33"/>
        <v>福建46282</v>
      </c>
      <c r="B2174" s="75" t="s">
        <v>19</v>
      </c>
      <c r="C2174" s="45">
        <v>46282</v>
      </c>
      <c r="D2174" s="76">
        <v>478.73930389701201</v>
      </c>
      <c r="E2174" s="77">
        <v>125</v>
      </c>
      <c r="F2174" s="78">
        <v>12.6396665432486</v>
      </c>
      <c r="G2174" s="78">
        <v>12.6396665432486</v>
      </c>
      <c r="H2174" s="81">
        <v>12.864294764655</v>
      </c>
    </row>
    <row r="2175" spans="1:8" x14ac:dyDescent="0.3">
      <c r="A2175" s="74" t="str">
        <f t="shared" si="33"/>
        <v>福建46283</v>
      </c>
      <c r="B2175" s="75" t="s">
        <v>19</v>
      </c>
      <c r="C2175" s="45">
        <v>46283</v>
      </c>
      <c r="D2175" s="76">
        <v>478.73930389701201</v>
      </c>
      <c r="E2175" s="77">
        <v>125</v>
      </c>
      <c r="F2175" s="78">
        <v>12.6396665432486</v>
      </c>
      <c r="G2175" s="78">
        <v>12.6396665432486</v>
      </c>
      <c r="H2175" s="81">
        <v>12.864294764655</v>
      </c>
    </row>
    <row r="2176" spans="1:8" x14ac:dyDescent="0.3">
      <c r="A2176" s="74" t="str">
        <f t="shared" si="33"/>
        <v>福建46284</v>
      </c>
      <c r="B2176" s="75" t="s">
        <v>19</v>
      </c>
      <c r="C2176" s="45">
        <v>46284</v>
      </c>
      <c r="D2176" s="76">
        <v>478.73930389701201</v>
      </c>
      <c r="E2176" s="77">
        <v>125</v>
      </c>
      <c r="F2176" s="78">
        <v>12.6396665432486</v>
      </c>
      <c r="G2176" s="78">
        <v>12.6396665432486</v>
      </c>
      <c r="H2176" s="81">
        <v>12.864294764655</v>
      </c>
    </row>
    <row r="2177" spans="1:8" x14ac:dyDescent="0.3">
      <c r="A2177" s="74" t="str">
        <f t="shared" si="33"/>
        <v>福建46285</v>
      </c>
      <c r="B2177" s="75" t="s">
        <v>19</v>
      </c>
      <c r="C2177" s="45">
        <v>46285</v>
      </c>
      <c r="D2177" s="76">
        <v>478.73930389701201</v>
      </c>
      <c r="E2177" s="77">
        <v>125</v>
      </c>
      <c r="F2177" s="78">
        <v>12.6396665432486</v>
      </c>
      <c r="G2177" s="78">
        <v>12.6396665432486</v>
      </c>
      <c r="H2177" s="81">
        <v>12.864294764655</v>
      </c>
    </row>
    <row r="2178" spans="1:8" x14ac:dyDescent="0.3">
      <c r="A2178" s="74" t="str">
        <f t="shared" si="33"/>
        <v>福建46286</v>
      </c>
      <c r="B2178" s="75" t="s">
        <v>19</v>
      </c>
      <c r="C2178" s="45">
        <v>46286</v>
      </c>
      <c r="D2178" s="76">
        <v>478.73930389701201</v>
      </c>
      <c r="E2178" s="77">
        <v>125</v>
      </c>
      <c r="F2178" s="78">
        <v>12.6396665432486</v>
      </c>
      <c r="G2178" s="78">
        <v>12.6396665432486</v>
      </c>
      <c r="H2178" s="81">
        <v>12.864294764655</v>
      </c>
    </row>
    <row r="2179" spans="1:8" x14ac:dyDescent="0.3">
      <c r="A2179" s="74" t="str">
        <f t="shared" ref="A2179:A2242" si="34">B2179&amp;C2179</f>
        <v>福建46287</v>
      </c>
      <c r="B2179" s="75" t="s">
        <v>19</v>
      </c>
      <c r="C2179" s="45">
        <v>46287</v>
      </c>
      <c r="D2179" s="76">
        <v>478.73930389701201</v>
      </c>
      <c r="E2179" s="77">
        <v>125</v>
      </c>
      <c r="F2179" s="78">
        <v>12.6396665432486</v>
      </c>
      <c r="G2179" s="78">
        <v>12.6396665432486</v>
      </c>
      <c r="H2179" s="81">
        <v>12.864294764655</v>
      </c>
    </row>
    <row r="2180" spans="1:8" x14ac:dyDescent="0.3">
      <c r="A2180" s="74" t="str">
        <f t="shared" si="34"/>
        <v>福建46288</v>
      </c>
      <c r="B2180" s="75" t="s">
        <v>19</v>
      </c>
      <c r="C2180" s="45">
        <v>46288</v>
      </c>
      <c r="D2180" s="76">
        <v>478.73930389701201</v>
      </c>
      <c r="E2180" s="77">
        <v>125</v>
      </c>
      <c r="F2180" s="78">
        <v>12.6396665432486</v>
      </c>
      <c r="G2180" s="78">
        <v>12.6396665432486</v>
      </c>
      <c r="H2180" s="81">
        <v>12.864294764655</v>
      </c>
    </row>
    <row r="2181" spans="1:8" x14ac:dyDescent="0.3">
      <c r="A2181" s="74" t="str">
        <f t="shared" si="34"/>
        <v>福建46289</v>
      </c>
      <c r="B2181" s="75" t="s">
        <v>19</v>
      </c>
      <c r="C2181" s="45">
        <v>46289</v>
      </c>
      <c r="D2181" s="76">
        <v>478.73930389701201</v>
      </c>
      <c r="E2181" s="77">
        <v>125</v>
      </c>
      <c r="F2181" s="78">
        <v>12.6396665432486</v>
      </c>
      <c r="G2181" s="78">
        <v>12.6396665432486</v>
      </c>
      <c r="H2181" s="81">
        <v>12.864294764655</v>
      </c>
    </row>
    <row r="2182" spans="1:8" x14ac:dyDescent="0.3">
      <c r="A2182" s="74" t="str">
        <f t="shared" si="34"/>
        <v>福建46290</v>
      </c>
      <c r="B2182" s="75" t="s">
        <v>19</v>
      </c>
      <c r="C2182" s="45">
        <v>46290</v>
      </c>
      <c r="D2182" s="76">
        <v>478.73930389701201</v>
      </c>
      <c r="E2182" s="77">
        <v>125</v>
      </c>
      <c r="F2182" s="78">
        <v>12.6396665432486</v>
      </c>
      <c r="G2182" s="78">
        <v>12.6396665432486</v>
      </c>
      <c r="H2182" s="81">
        <v>12.864294764655</v>
      </c>
    </row>
    <row r="2183" spans="1:8" x14ac:dyDescent="0.3">
      <c r="A2183" s="74" t="str">
        <f t="shared" si="34"/>
        <v>福建46291</v>
      </c>
      <c r="B2183" s="75" t="s">
        <v>19</v>
      </c>
      <c r="C2183" s="45">
        <v>46291</v>
      </c>
      <c r="D2183" s="76">
        <v>478.73930389701201</v>
      </c>
      <c r="E2183" s="77">
        <v>125</v>
      </c>
      <c r="F2183" s="78">
        <v>12.6396665432486</v>
      </c>
      <c r="G2183" s="78">
        <v>12.6396665432486</v>
      </c>
      <c r="H2183" s="81">
        <v>12.864294764655</v>
      </c>
    </row>
    <row r="2184" spans="1:8" x14ac:dyDescent="0.3">
      <c r="A2184" s="74" t="str">
        <f t="shared" si="34"/>
        <v>福建46292</v>
      </c>
      <c r="B2184" s="75" t="s">
        <v>19</v>
      </c>
      <c r="C2184" s="45">
        <v>46292</v>
      </c>
      <c r="D2184" s="76">
        <v>478.73930389701201</v>
      </c>
      <c r="E2184" s="77">
        <v>125</v>
      </c>
      <c r="F2184" s="78">
        <v>12.6396665432486</v>
      </c>
      <c r="G2184" s="78">
        <v>12.6396665432486</v>
      </c>
      <c r="H2184" s="81">
        <v>12.864294764655</v>
      </c>
    </row>
    <row r="2185" spans="1:8" x14ac:dyDescent="0.3">
      <c r="A2185" s="74" t="str">
        <f t="shared" si="34"/>
        <v>福建46293</v>
      </c>
      <c r="B2185" s="75" t="s">
        <v>19</v>
      </c>
      <c r="C2185" s="45">
        <v>46293</v>
      </c>
      <c r="D2185" s="76">
        <v>478.73930389701201</v>
      </c>
      <c r="E2185" s="77">
        <v>125</v>
      </c>
      <c r="F2185" s="78">
        <v>12.6396665432486</v>
      </c>
      <c r="G2185" s="78">
        <v>12.6396665432486</v>
      </c>
      <c r="H2185" s="81">
        <v>12.864294764655</v>
      </c>
    </row>
    <row r="2186" spans="1:8" x14ac:dyDescent="0.3">
      <c r="A2186" s="74" t="str">
        <f t="shared" si="34"/>
        <v>福建46294</v>
      </c>
      <c r="B2186" s="75" t="s">
        <v>19</v>
      </c>
      <c r="C2186" s="45">
        <v>46294</v>
      </c>
      <c r="D2186" s="76">
        <v>478.73930389701201</v>
      </c>
      <c r="E2186" s="77">
        <v>125</v>
      </c>
      <c r="F2186" s="78">
        <v>12.6396665432486</v>
      </c>
      <c r="G2186" s="78">
        <v>12.6396665432486</v>
      </c>
      <c r="H2186" s="81">
        <v>12.864294764655</v>
      </c>
    </row>
    <row r="2187" spans="1:8" x14ac:dyDescent="0.3">
      <c r="A2187" s="74" t="str">
        <f t="shared" si="34"/>
        <v>福建46295</v>
      </c>
      <c r="B2187" s="75" t="s">
        <v>19</v>
      </c>
      <c r="C2187" s="45">
        <v>46295</v>
      </c>
      <c r="D2187" s="76">
        <v>478.73930389701201</v>
      </c>
      <c r="E2187" s="77">
        <v>125</v>
      </c>
      <c r="F2187" s="78">
        <v>12.6396665432486</v>
      </c>
      <c r="G2187" s="78">
        <v>12.6396665432486</v>
      </c>
      <c r="H2187" s="81">
        <v>12.864294764655</v>
      </c>
    </row>
    <row r="2188" spans="1:8" x14ac:dyDescent="0.3">
      <c r="A2188" s="74" t="str">
        <f t="shared" si="34"/>
        <v>福建46296</v>
      </c>
      <c r="B2188" s="75" t="s">
        <v>19</v>
      </c>
      <c r="C2188" s="45">
        <v>46296</v>
      </c>
      <c r="D2188" s="76">
        <v>507.552148578583</v>
      </c>
      <c r="E2188" s="77">
        <v>125</v>
      </c>
      <c r="F2188" s="78">
        <v>12.855901815231899</v>
      </c>
      <c r="G2188" s="78">
        <v>12.855901815231899</v>
      </c>
      <c r="H2188" s="81">
        <v>12.941020180746399</v>
      </c>
    </row>
    <row r="2189" spans="1:8" x14ac:dyDescent="0.3">
      <c r="A2189" s="74" t="str">
        <f t="shared" si="34"/>
        <v>福建46297</v>
      </c>
      <c r="B2189" s="75" t="s">
        <v>19</v>
      </c>
      <c r="C2189" s="45">
        <v>46297</v>
      </c>
      <c r="D2189" s="76">
        <v>507.552148578583</v>
      </c>
      <c r="E2189" s="77">
        <v>125</v>
      </c>
      <c r="F2189" s="78">
        <v>12.855901815231899</v>
      </c>
      <c r="G2189" s="78">
        <v>12.855901815231899</v>
      </c>
      <c r="H2189" s="81">
        <v>12.941020180746399</v>
      </c>
    </row>
    <row r="2190" spans="1:8" x14ac:dyDescent="0.3">
      <c r="A2190" s="74" t="str">
        <f t="shared" si="34"/>
        <v>福建46298</v>
      </c>
      <c r="B2190" s="75" t="s">
        <v>19</v>
      </c>
      <c r="C2190" s="45">
        <v>46298</v>
      </c>
      <c r="D2190" s="76">
        <v>507.552148578583</v>
      </c>
      <c r="E2190" s="77">
        <v>125</v>
      </c>
      <c r="F2190" s="78">
        <v>12.855901815231899</v>
      </c>
      <c r="G2190" s="78">
        <v>12.855901815231899</v>
      </c>
      <c r="H2190" s="81">
        <v>12.941020180746399</v>
      </c>
    </row>
    <row r="2191" spans="1:8" x14ac:dyDescent="0.3">
      <c r="A2191" s="74" t="str">
        <f t="shared" si="34"/>
        <v>福建46299</v>
      </c>
      <c r="B2191" s="75" t="s">
        <v>19</v>
      </c>
      <c r="C2191" s="45">
        <v>46299</v>
      </c>
      <c r="D2191" s="76">
        <v>507.552148578583</v>
      </c>
      <c r="E2191" s="77">
        <v>125</v>
      </c>
      <c r="F2191" s="78">
        <v>12.855901815231899</v>
      </c>
      <c r="G2191" s="78">
        <v>12.855901815231899</v>
      </c>
      <c r="H2191" s="81">
        <v>12.941020180746399</v>
      </c>
    </row>
    <row r="2192" spans="1:8" x14ac:dyDescent="0.3">
      <c r="A2192" s="74" t="str">
        <f t="shared" si="34"/>
        <v>福建46300</v>
      </c>
      <c r="B2192" s="75" t="s">
        <v>19</v>
      </c>
      <c r="C2192" s="45">
        <v>46300</v>
      </c>
      <c r="D2192" s="76">
        <v>507.552148578583</v>
      </c>
      <c r="E2192" s="77">
        <v>125</v>
      </c>
      <c r="F2192" s="78">
        <v>12.855901815231899</v>
      </c>
      <c r="G2192" s="78">
        <v>12.855901815231899</v>
      </c>
      <c r="H2192" s="81">
        <v>12.941020180746399</v>
      </c>
    </row>
    <row r="2193" spans="1:8" x14ac:dyDescent="0.3">
      <c r="A2193" s="74" t="str">
        <f t="shared" si="34"/>
        <v>福建46301</v>
      </c>
      <c r="B2193" s="75" t="s">
        <v>19</v>
      </c>
      <c r="C2193" s="45">
        <v>46301</v>
      </c>
      <c r="D2193" s="76">
        <v>507.552148578583</v>
      </c>
      <c r="E2193" s="77">
        <v>125</v>
      </c>
      <c r="F2193" s="78">
        <v>12.855901815231899</v>
      </c>
      <c r="G2193" s="78">
        <v>12.855901815231899</v>
      </c>
      <c r="H2193" s="81">
        <v>12.941020180746399</v>
      </c>
    </row>
    <row r="2194" spans="1:8" x14ac:dyDescent="0.3">
      <c r="A2194" s="74" t="str">
        <f t="shared" si="34"/>
        <v>福建46302</v>
      </c>
      <c r="B2194" s="75" t="s">
        <v>19</v>
      </c>
      <c r="C2194" s="45">
        <v>46302</v>
      </c>
      <c r="D2194" s="76">
        <v>507.552148578583</v>
      </c>
      <c r="E2194" s="77">
        <v>125</v>
      </c>
      <c r="F2194" s="78">
        <v>12.855901815231899</v>
      </c>
      <c r="G2194" s="78">
        <v>12.855901815231899</v>
      </c>
      <c r="H2194" s="81">
        <v>12.941020180746399</v>
      </c>
    </row>
    <row r="2195" spans="1:8" x14ac:dyDescent="0.3">
      <c r="A2195" s="74" t="str">
        <f t="shared" si="34"/>
        <v>福建46303</v>
      </c>
      <c r="B2195" s="75" t="s">
        <v>19</v>
      </c>
      <c r="C2195" s="45">
        <v>46303</v>
      </c>
      <c r="D2195" s="76">
        <v>507.552148578583</v>
      </c>
      <c r="E2195" s="77">
        <v>125</v>
      </c>
      <c r="F2195" s="78">
        <v>12.855901815231899</v>
      </c>
      <c r="G2195" s="78">
        <v>12.855901815231899</v>
      </c>
      <c r="H2195" s="81">
        <v>12.941020180746399</v>
      </c>
    </row>
    <row r="2196" spans="1:8" x14ac:dyDescent="0.3">
      <c r="A2196" s="74" t="str">
        <f t="shared" si="34"/>
        <v>福建46304</v>
      </c>
      <c r="B2196" s="75" t="s">
        <v>19</v>
      </c>
      <c r="C2196" s="45">
        <v>46304</v>
      </c>
      <c r="D2196" s="76">
        <v>507.552148578583</v>
      </c>
      <c r="E2196" s="77">
        <v>125</v>
      </c>
      <c r="F2196" s="78">
        <v>12.855901815231899</v>
      </c>
      <c r="G2196" s="78">
        <v>12.855901815231899</v>
      </c>
      <c r="H2196" s="81">
        <v>12.941020180746399</v>
      </c>
    </row>
    <row r="2197" spans="1:8" x14ac:dyDescent="0.3">
      <c r="A2197" s="74" t="str">
        <f t="shared" si="34"/>
        <v>福建46305</v>
      </c>
      <c r="B2197" s="75" t="s">
        <v>19</v>
      </c>
      <c r="C2197" s="45">
        <v>46305</v>
      </c>
      <c r="D2197" s="76">
        <v>507.552148578583</v>
      </c>
      <c r="E2197" s="77">
        <v>125</v>
      </c>
      <c r="F2197" s="78">
        <v>12.855901815231899</v>
      </c>
      <c r="G2197" s="78">
        <v>12.855901815231899</v>
      </c>
      <c r="H2197" s="81">
        <v>12.941020180746399</v>
      </c>
    </row>
    <row r="2198" spans="1:8" x14ac:dyDescent="0.3">
      <c r="A2198" s="74" t="str">
        <f t="shared" si="34"/>
        <v>福建46306</v>
      </c>
      <c r="B2198" s="75" t="s">
        <v>19</v>
      </c>
      <c r="C2198" s="45">
        <v>46306</v>
      </c>
      <c r="D2198" s="76">
        <v>507.552148578583</v>
      </c>
      <c r="E2198" s="77">
        <v>125</v>
      </c>
      <c r="F2198" s="78">
        <v>12.855901815231899</v>
      </c>
      <c r="G2198" s="78">
        <v>12.855901815231899</v>
      </c>
      <c r="H2198" s="81">
        <v>12.941020180746399</v>
      </c>
    </row>
    <row r="2199" spans="1:8" x14ac:dyDescent="0.3">
      <c r="A2199" s="74" t="str">
        <f t="shared" si="34"/>
        <v>福建46307</v>
      </c>
      <c r="B2199" s="75" t="s">
        <v>19</v>
      </c>
      <c r="C2199" s="45">
        <v>46307</v>
      </c>
      <c r="D2199" s="76">
        <v>507.552148578583</v>
      </c>
      <c r="E2199" s="77">
        <v>125</v>
      </c>
      <c r="F2199" s="78">
        <v>12.855901815231899</v>
      </c>
      <c r="G2199" s="78">
        <v>12.855901815231899</v>
      </c>
      <c r="H2199" s="81">
        <v>12.941020180746399</v>
      </c>
    </row>
    <row r="2200" spans="1:8" x14ac:dyDescent="0.3">
      <c r="A2200" s="74" t="str">
        <f t="shared" si="34"/>
        <v>福建46308</v>
      </c>
      <c r="B2200" s="75" t="s">
        <v>19</v>
      </c>
      <c r="C2200" s="45">
        <v>46308</v>
      </c>
      <c r="D2200" s="76">
        <v>507.552148578583</v>
      </c>
      <c r="E2200" s="77">
        <v>125</v>
      </c>
      <c r="F2200" s="78">
        <v>12.855901815231899</v>
      </c>
      <c r="G2200" s="78">
        <v>12.855901815231899</v>
      </c>
      <c r="H2200" s="81">
        <v>12.941020180746399</v>
      </c>
    </row>
    <row r="2201" spans="1:8" x14ac:dyDescent="0.3">
      <c r="A2201" s="74" t="str">
        <f t="shared" si="34"/>
        <v>福建46309</v>
      </c>
      <c r="B2201" s="75" t="s">
        <v>19</v>
      </c>
      <c r="C2201" s="45">
        <v>46309</v>
      </c>
      <c r="D2201" s="76">
        <v>507.552148578583</v>
      </c>
      <c r="E2201" s="77">
        <v>125</v>
      </c>
      <c r="F2201" s="78">
        <v>12.855901815231899</v>
      </c>
      <c r="G2201" s="78">
        <v>12.855901815231899</v>
      </c>
      <c r="H2201" s="81">
        <v>12.941020180746399</v>
      </c>
    </row>
    <row r="2202" spans="1:8" x14ac:dyDescent="0.3">
      <c r="A2202" s="74" t="str">
        <f t="shared" si="34"/>
        <v>福建46310</v>
      </c>
      <c r="B2202" s="75" t="s">
        <v>19</v>
      </c>
      <c r="C2202" s="45">
        <v>46310</v>
      </c>
      <c r="D2202" s="76">
        <v>507.552148578583</v>
      </c>
      <c r="E2202" s="77">
        <v>125</v>
      </c>
      <c r="F2202" s="78">
        <v>12.855901815231899</v>
      </c>
      <c r="G2202" s="78">
        <v>12.855901815231899</v>
      </c>
      <c r="H2202" s="81">
        <v>12.941020180746399</v>
      </c>
    </row>
    <row r="2203" spans="1:8" x14ac:dyDescent="0.3">
      <c r="A2203" s="74" t="str">
        <f t="shared" si="34"/>
        <v>福建46311</v>
      </c>
      <c r="B2203" s="75" t="s">
        <v>19</v>
      </c>
      <c r="C2203" s="45">
        <v>46311</v>
      </c>
      <c r="D2203" s="76">
        <v>507.552148578583</v>
      </c>
      <c r="E2203" s="77">
        <v>125</v>
      </c>
      <c r="F2203" s="78">
        <v>12.855901815231899</v>
      </c>
      <c r="G2203" s="78">
        <v>12.855901815231899</v>
      </c>
      <c r="H2203" s="81">
        <v>12.941020180746399</v>
      </c>
    </row>
    <row r="2204" spans="1:8" x14ac:dyDescent="0.3">
      <c r="A2204" s="74" t="str">
        <f t="shared" si="34"/>
        <v>福建46312</v>
      </c>
      <c r="B2204" s="75" t="s">
        <v>19</v>
      </c>
      <c r="C2204" s="45">
        <v>46312</v>
      </c>
      <c r="D2204" s="76">
        <v>507.552148578583</v>
      </c>
      <c r="E2204" s="77">
        <v>125</v>
      </c>
      <c r="F2204" s="78">
        <v>12.855901815231899</v>
      </c>
      <c r="G2204" s="78">
        <v>12.855901815231899</v>
      </c>
      <c r="H2204" s="81">
        <v>12.941020180746399</v>
      </c>
    </row>
    <row r="2205" spans="1:8" x14ac:dyDescent="0.3">
      <c r="A2205" s="74" t="str">
        <f t="shared" si="34"/>
        <v>福建46313</v>
      </c>
      <c r="B2205" s="75" t="s">
        <v>19</v>
      </c>
      <c r="C2205" s="45">
        <v>46313</v>
      </c>
      <c r="D2205" s="76">
        <v>507.552148578583</v>
      </c>
      <c r="E2205" s="77">
        <v>125</v>
      </c>
      <c r="F2205" s="78">
        <v>12.855901815231899</v>
      </c>
      <c r="G2205" s="78">
        <v>12.855901815231899</v>
      </c>
      <c r="H2205" s="81">
        <v>12.941020180746399</v>
      </c>
    </row>
    <row r="2206" spans="1:8" x14ac:dyDescent="0.3">
      <c r="A2206" s="74" t="str">
        <f t="shared" si="34"/>
        <v>福建46314</v>
      </c>
      <c r="B2206" s="75" t="s">
        <v>19</v>
      </c>
      <c r="C2206" s="45">
        <v>46314</v>
      </c>
      <c r="D2206" s="76">
        <v>507.552148578583</v>
      </c>
      <c r="E2206" s="77">
        <v>125</v>
      </c>
      <c r="F2206" s="78">
        <v>12.855901815231899</v>
      </c>
      <c r="G2206" s="78">
        <v>12.855901815231899</v>
      </c>
      <c r="H2206" s="81">
        <v>12.941020180746399</v>
      </c>
    </row>
    <row r="2207" spans="1:8" x14ac:dyDescent="0.3">
      <c r="A2207" s="74" t="str">
        <f t="shared" si="34"/>
        <v>福建46315</v>
      </c>
      <c r="B2207" s="75" t="s">
        <v>19</v>
      </c>
      <c r="C2207" s="45">
        <v>46315</v>
      </c>
      <c r="D2207" s="76">
        <v>507.552148578583</v>
      </c>
      <c r="E2207" s="77">
        <v>125</v>
      </c>
      <c r="F2207" s="78">
        <v>12.855901815231899</v>
      </c>
      <c r="G2207" s="78">
        <v>12.855901815231899</v>
      </c>
      <c r="H2207" s="81">
        <v>12.941020180746399</v>
      </c>
    </row>
    <row r="2208" spans="1:8" x14ac:dyDescent="0.3">
      <c r="A2208" s="74" t="str">
        <f t="shared" si="34"/>
        <v>福建46316</v>
      </c>
      <c r="B2208" s="75" t="s">
        <v>19</v>
      </c>
      <c r="C2208" s="45">
        <v>46316</v>
      </c>
      <c r="D2208" s="76">
        <v>507.552148578583</v>
      </c>
      <c r="E2208" s="77">
        <v>125</v>
      </c>
      <c r="F2208" s="78">
        <v>12.855901815231899</v>
      </c>
      <c r="G2208" s="78">
        <v>12.855901815231899</v>
      </c>
      <c r="H2208" s="81">
        <v>12.941020180746399</v>
      </c>
    </row>
    <row r="2209" spans="1:8" x14ac:dyDescent="0.3">
      <c r="A2209" s="74" t="str">
        <f t="shared" si="34"/>
        <v>福建46317</v>
      </c>
      <c r="B2209" s="75" t="s">
        <v>19</v>
      </c>
      <c r="C2209" s="45">
        <v>46317</v>
      </c>
      <c r="D2209" s="76">
        <v>507.552148578583</v>
      </c>
      <c r="E2209" s="77">
        <v>125</v>
      </c>
      <c r="F2209" s="78">
        <v>12.855901815231899</v>
      </c>
      <c r="G2209" s="78">
        <v>12.855901815231899</v>
      </c>
      <c r="H2209" s="81">
        <v>12.941020180746399</v>
      </c>
    </row>
    <row r="2210" spans="1:8" x14ac:dyDescent="0.3">
      <c r="A2210" s="74" t="str">
        <f t="shared" si="34"/>
        <v>福建46318</v>
      </c>
      <c r="B2210" s="75" t="s">
        <v>19</v>
      </c>
      <c r="C2210" s="45">
        <v>46318</v>
      </c>
      <c r="D2210" s="76">
        <v>507.552148578583</v>
      </c>
      <c r="E2210" s="77">
        <v>125</v>
      </c>
      <c r="F2210" s="78">
        <v>12.855901815231899</v>
      </c>
      <c r="G2210" s="78">
        <v>12.855901815231899</v>
      </c>
      <c r="H2210" s="81">
        <v>12.941020180746399</v>
      </c>
    </row>
    <row r="2211" spans="1:8" x14ac:dyDescent="0.3">
      <c r="A2211" s="74" t="str">
        <f t="shared" si="34"/>
        <v>福建46319</v>
      </c>
      <c r="B2211" s="75" t="s">
        <v>19</v>
      </c>
      <c r="C2211" s="45">
        <v>46319</v>
      </c>
      <c r="D2211" s="76">
        <v>507.552148578583</v>
      </c>
      <c r="E2211" s="77">
        <v>125</v>
      </c>
      <c r="F2211" s="78">
        <v>12.855901815231899</v>
      </c>
      <c r="G2211" s="78">
        <v>12.855901815231899</v>
      </c>
      <c r="H2211" s="81">
        <v>12.941020180746399</v>
      </c>
    </row>
    <row r="2212" spans="1:8" x14ac:dyDescent="0.3">
      <c r="A2212" s="74" t="str">
        <f t="shared" si="34"/>
        <v>福建46320</v>
      </c>
      <c r="B2212" s="75" t="s">
        <v>19</v>
      </c>
      <c r="C2212" s="45">
        <v>46320</v>
      </c>
      <c r="D2212" s="76">
        <v>507.552148578583</v>
      </c>
      <c r="E2212" s="77">
        <v>125</v>
      </c>
      <c r="F2212" s="78">
        <v>12.855901815231899</v>
      </c>
      <c r="G2212" s="78">
        <v>12.855901815231899</v>
      </c>
      <c r="H2212" s="81">
        <v>12.941020180746399</v>
      </c>
    </row>
    <row r="2213" spans="1:8" x14ac:dyDescent="0.3">
      <c r="A2213" s="74" t="str">
        <f t="shared" si="34"/>
        <v>福建46321</v>
      </c>
      <c r="B2213" s="75" t="s">
        <v>19</v>
      </c>
      <c r="C2213" s="45">
        <v>46321</v>
      </c>
      <c r="D2213" s="76">
        <v>507.552148578583</v>
      </c>
      <c r="E2213" s="77">
        <v>125</v>
      </c>
      <c r="F2213" s="78">
        <v>12.855901815231899</v>
      </c>
      <c r="G2213" s="78">
        <v>12.855901815231899</v>
      </c>
      <c r="H2213" s="81">
        <v>12.941020180746399</v>
      </c>
    </row>
    <row r="2214" spans="1:8" x14ac:dyDescent="0.3">
      <c r="A2214" s="74" t="str">
        <f t="shared" si="34"/>
        <v>福建46322</v>
      </c>
      <c r="B2214" s="75" t="s">
        <v>19</v>
      </c>
      <c r="C2214" s="45">
        <v>46322</v>
      </c>
      <c r="D2214" s="76">
        <v>507.552148578583</v>
      </c>
      <c r="E2214" s="77">
        <v>125</v>
      </c>
      <c r="F2214" s="78">
        <v>12.855901815231899</v>
      </c>
      <c r="G2214" s="78">
        <v>12.855901815231899</v>
      </c>
      <c r="H2214" s="81">
        <v>12.941020180746399</v>
      </c>
    </row>
    <row r="2215" spans="1:8" x14ac:dyDescent="0.3">
      <c r="A2215" s="74" t="str">
        <f t="shared" si="34"/>
        <v>福建46323</v>
      </c>
      <c r="B2215" s="75" t="s">
        <v>19</v>
      </c>
      <c r="C2215" s="45">
        <v>46323</v>
      </c>
      <c r="D2215" s="76">
        <v>507.552148578583</v>
      </c>
      <c r="E2215" s="77">
        <v>125</v>
      </c>
      <c r="F2215" s="78">
        <v>12.855901815231899</v>
      </c>
      <c r="G2215" s="78">
        <v>12.855901815231899</v>
      </c>
      <c r="H2215" s="81">
        <v>12.941020180746399</v>
      </c>
    </row>
    <row r="2216" spans="1:8" x14ac:dyDescent="0.3">
      <c r="A2216" s="74" t="str">
        <f t="shared" si="34"/>
        <v>福建46324</v>
      </c>
      <c r="B2216" s="75" t="s">
        <v>19</v>
      </c>
      <c r="C2216" s="45">
        <v>46324</v>
      </c>
      <c r="D2216" s="76">
        <v>507.552148578583</v>
      </c>
      <c r="E2216" s="77">
        <v>125</v>
      </c>
      <c r="F2216" s="78">
        <v>12.855901815231899</v>
      </c>
      <c r="G2216" s="78">
        <v>12.855901815231899</v>
      </c>
      <c r="H2216" s="81">
        <v>12.941020180746399</v>
      </c>
    </row>
    <row r="2217" spans="1:8" x14ac:dyDescent="0.3">
      <c r="A2217" s="74" t="str">
        <f t="shared" si="34"/>
        <v>福建46325</v>
      </c>
      <c r="B2217" s="75" t="s">
        <v>19</v>
      </c>
      <c r="C2217" s="45">
        <v>46325</v>
      </c>
      <c r="D2217" s="76">
        <v>507.552148578583</v>
      </c>
      <c r="E2217" s="77">
        <v>125</v>
      </c>
      <c r="F2217" s="78">
        <v>12.855901815231899</v>
      </c>
      <c r="G2217" s="78">
        <v>12.855901815231899</v>
      </c>
      <c r="H2217" s="81">
        <v>12.941020180746399</v>
      </c>
    </row>
    <row r="2218" spans="1:8" x14ac:dyDescent="0.3">
      <c r="A2218" s="74" t="str">
        <f t="shared" si="34"/>
        <v>福建46326</v>
      </c>
      <c r="B2218" s="75" t="s">
        <v>19</v>
      </c>
      <c r="C2218" s="45">
        <v>46326</v>
      </c>
      <c r="D2218" s="76">
        <v>507.552148578583</v>
      </c>
      <c r="E2218" s="77">
        <v>125</v>
      </c>
      <c r="F2218" s="78">
        <v>12.855901815231899</v>
      </c>
      <c r="G2218" s="78">
        <v>12.855901815231899</v>
      </c>
      <c r="H2218" s="81">
        <v>12.941020180746399</v>
      </c>
    </row>
    <row r="2219" spans="1:8" x14ac:dyDescent="0.3">
      <c r="A2219" s="74" t="str">
        <f t="shared" si="34"/>
        <v>福建46327</v>
      </c>
      <c r="B2219" s="75" t="s">
        <v>19</v>
      </c>
      <c r="C2219" s="45">
        <v>46327</v>
      </c>
      <c r="D2219" s="76">
        <v>770.54536919553095</v>
      </c>
      <c r="E2219" s="77">
        <v>125</v>
      </c>
      <c r="F2219" s="78">
        <v>13.1539827392994</v>
      </c>
      <c r="G2219" s="78">
        <v>13.1539827392994</v>
      </c>
      <c r="H2219" s="81">
        <v>13.0177455968378</v>
      </c>
    </row>
    <row r="2220" spans="1:8" x14ac:dyDescent="0.3">
      <c r="A2220" s="74" t="str">
        <f t="shared" si="34"/>
        <v>福建46328</v>
      </c>
      <c r="B2220" s="75" t="s">
        <v>19</v>
      </c>
      <c r="C2220" s="45">
        <v>46328</v>
      </c>
      <c r="D2220" s="76">
        <v>770.54536919553095</v>
      </c>
      <c r="E2220" s="77">
        <v>125</v>
      </c>
      <c r="F2220" s="78">
        <v>13.1539827392994</v>
      </c>
      <c r="G2220" s="78">
        <v>13.1539827392994</v>
      </c>
      <c r="H2220" s="81">
        <v>13.0177455968378</v>
      </c>
    </row>
    <row r="2221" spans="1:8" x14ac:dyDescent="0.3">
      <c r="A2221" s="74" t="str">
        <f t="shared" si="34"/>
        <v>福建46329</v>
      </c>
      <c r="B2221" s="75" t="s">
        <v>19</v>
      </c>
      <c r="C2221" s="45">
        <v>46329</v>
      </c>
      <c r="D2221" s="76">
        <v>770.54536919553095</v>
      </c>
      <c r="E2221" s="77">
        <v>125</v>
      </c>
      <c r="F2221" s="78">
        <v>13.1539827392994</v>
      </c>
      <c r="G2221" s="78">
        <v>13.1539827392994</v>
      </c>
      <c r="H2221" s="81">
        <v>13.0177455968378</v>
      </c>
    </row>
    <row r="2222" spans="1:8" x14ac:dyDescent="0.3">
      <c r="A2222" s="74" t="str">
        <f t="shared" si="34"/>
        <v>福建46330</v>
      </c>
      <c r="B2222" s="75" t="s">
        <v>19</v>
      </c>
      <c r="C2222" s="45">
        <v>46330</v>
      </c>
      <c r="D2222" s="76">
        <v>770.54536919553095</v>
      </c>
      <c r="E2222" s="77">
        <v>125</v>
      </c>
      <c r="F2222" s="78">
        <v>13.1539827392994</v>
      </c>
      <c r="G2222" s="78">
        <v>13.1539827392994</v>
      </c>
      <c r="H2222" s="81">
        <v>13.0177455968378</v>
      </c>
    </row>
    <row r="2223" spans="1:8" x14ac:dyDescent="0.3">
      <c r="A2223" s="74" t="str">
        <f t="shared" si="34"/>
        <v>福建46331</v>
      </c>
      <c r="B2223" s="75" t="s">
        <v>19</v>
      </c>
      <c r="C2223" s="45">
        <v>46331</v>
      </c>
      <c r="D2223" s="76">
        <v>770.54536919553095</v>
      </c>
      <c r="E2223" s="77">
        <v>125</v>
      </c>
      <c r="F2223" s="78">
        <v>13.1539827392994</v>
      </c>
      <c r="G2223" s="78">
        <v>13.1539827392994</v>
      </c>
      <c r="H2223" s="81">
        <v>13.0177455968378</v>
      </c>
    </row>
    <row r="2224" spans="1:8" x14ac:dyDescent="0.3">
      <c r="A2224" s="74" t="str">
        <f t="shared" si="34"/>
        <v>福建46332</v>
      </c>
      <c r="B2224" s="75" t="s">
        <v>19</v>
      </c>
      <c r="C2224" s="45">
        <v>46332</v>
      </c>
      <c r="D2224" s="76">
        <v>770.54536919553095</v>
      </c>
      <c r="E2224" s="77">
        <v>125</v>
      </c>
      <c r="F2224" s="78">
        <v>13.1539827392994</v>
      </c>
      <c r="G2224" s="78">
        <v>13.1539827392994</v>
      </c>
      <c r="H2224" s="81">
        <v>13.0177455968378</v>
      </c>
    </row>
    <row r="2225" spans="1:8" x14ac:dyDescent="0.3">
      <c r="A2225" s="74" t="str">
        <f t="shared" si="34"/>
        <v>福建46333</v>
      </c>
      <c r="B2225" s="75" t="s">
        <v>19</v>
      </c>
      <c r="C2225" s="45">
        <v>46333</v>
      </c>
      <c r="D2225" s="76">
        <v>770.54536919553095</v>
      </c>
      <c r="E2225" s="77">
        <v>125</v>
      </c>
      <c r="F2225" s="78">
        <v>13.1539827392994</v>
      </c>
      <c r="G2225" s="78">
        <v>13.1539827392994</v>
      </c>
      <c r="H2225" s="81">
        <v>13.0177455968378</v>
      </c>
    </row>
    <row r="2226" spans="1:8" x14ac:dyDescent="0.3">
      <c r="A2226" s="74" t="str">
        <f t="shared" si="34"/>
        <v>福建46334</v>
      </c>
      <c r="B2226" s="75" t="s">
        <v>19</v>
      </c>
      <c r="C2226" s="45">
        <v>46334</v>
      </c>
      <c r="D2226" s="76">
        <v>770.54536919553095</v>
      </c>
      <c r="E2226" s="77">
        <v>125</v>
      </c>
      <c r="F2226" s="78">
        <v>13.1539827392994</v>
      </c>
      <c r="G2226" s="78">
        <v>13.1539827392994</v>
      </c>
      <c r="H2226" s="81">
        <v>13.0177455968378</v>
      </c>
    </row>
    <row r="2227" spans="1:8" x14ac:dyDescent="0.3">
      <c r="A2227" s="74" t="str">
        <f t="shared" si="34"/>
        <v>福建46335</v>
      </c>
      <c r="B2227" s="75" t="s">
        <v>19</v>
      </c>
      <c r="C2227" s="45">
        <v>46335</v>
      </c>
      <c r="D2227" s="76">
        <v>770.54536919553095</v>
      </c>
      <c r="E2227" s="77">
        <v>125</v>
      </c>
      <c r="F2227" s="78">
        <v>13.1539827392994</v>
      </c>
      <c r="G2227" s="78">
        <v>13.1539827392994</v>
      </c>
      <c r="H2227" s="81">
        <v>13.0177455968378</v>
      </c>
    </row>
    <row r="2228" spans="1:8" x14ac:dyDescent="0.3">
      <c r="A2228" s="74" t="str">
        <f t="shared" si="34"/>
        <v>福建46336</v>
      </c>
      <c r="B2228" s="75" t="s">
        <v>19</v>
      </c>
      <c r="C2228" s="45">
        <v>46336</v>
      </c>
      <c r="D2228" s="76">
        <v>770.54536919553095</v>
      </c>
      <c r="E2228" s="77">
        <v>125</v>
      </c>
      <c r="F2228" s="78">
        <v>13.1539827392994</v>
      </c>
      <c r="G2228" s="78">
        <v>13.1539827392994</v>
      </c>
      <c r="H2228" s="81">
        <v>13.0177455968378</v>
      </c>
    </row>
    <row r="2229" spans="1:8" x14ac:dyDescent="0.3">
      <c r="A2229" s="74" t="str">
        <f t="shared" si="34"/>
        <v>福建46337</v>
      </c>
      <c r="B2229" s="75" t="s">
        <v>19</v>
      </c>
      <c r="C2229" s="45">
        <v>46337</v>
      </c>
      <c r="D2229" s="76">
        <v>770.54536919553095</v>
      </c>
      <c r="E2229" s="77">
        <v>125</v>
      </c>
      <c r="F2229" s="78">
        <v>13.1539827392994</v>
      </c>
      <c r="G2229" s="78">
        <v>13.1539827392994</v>
      </c>
      <c r="H2229" s="81">
        <v>13.0177455968378</v>
      </c>
    </row>
    <row r="2230" spans="1:8" x14ac:dyDescent="0.3">
      <c r="A2230" s="74" t="str">
        <f t="shared" si="34"/>
        <v>福建46338</v>
      </c>
      <c r="B2230" s="75" t="s">
        <v>19</v>
      </c>
      <c r="C2230" s="45">
        <v>46338</v>
      </c>
      <c r="D2230" s="76">
        <v>770.54536919553095</v>
      </c>
      <c r="E2230" s="77">
        <v>125</v>
      </c>
      <c r="F2230" s="78">
        <v>13.1539827392994</v>
      </c>
      <c r="G2230" s="78">
        <v>13.1539827392994</v>
      </c>
      <c r="H2230" s="81">
        <v>13.0177455968378</v>
      </c>
    </row>
    <row r="2231" spans="1:8" x14ac:dyDescent="0.3">
      <c r="A2231" s="74" t="str">
        <f t="shared" si="34"/>
        <v>福建46339</v>
      </c>
      <c r="B2231" s="75" t="s">
        <v>19</v>
      </c>
      <c r="C2231" s="45">
        <v>46339</v>
      </c>
      <c r="D2231" s="76">
        <v>770.54536919553095</v>
      </c>
      <c r="E2231" s="77">
        <v>125</v>
      </c>
      <c r="F2231" s="78">
        <v>13.1539827392994</v>
      </c>
      <c r="G2231" s="78">
        <v>13.1539827392994</v>
      </c>
      <c r="H2231" s="81">
        <v>13.0177455968378</v>
      </c>
    </row>
    <row r="2232" spans="1:8" x14ac:dyDescent="0.3">
      <c r="A2232" s="74" t="str">
        <f t="shared" si="34"/>
        <v>福建46340</v>
      </c>
      <c r="B2232" s="75" t="s">
        <v>19</v>
      </c>
      <c r="C2232" s="45">
        <v>46340</v>
      </c>
      <c r="D2232" s="76">
        <v>770.54536919553095</v>
      </c>
      <c r="E2232" s="77">
        <v>125</v>
      </c>
      <c r="F2232" s="78">
        <v>13.1539827392994</v>
      </c>
      <c r="G2232" s="78">
        <v>13.1539827392994</v>
      </c>
      <c r="H2232" s="81">
        <v>13.0177455968378</v>
      </c>
    </row>
    <row r="2233" spans="1:8" x14ac:dyDescent="0.3">
      <c r="A2233" s="74" t="str">
        <f t="shared" si="34"/>
        <v>福建46341</v>
      </c>
      <c r="B2233" s="75" t="s">
        <v>19</v>
      </c>
      <c r="C2233" s="45">
        <v>46341</v>
      </c>
      <c r="D2233" s="76">
        <v>770.54536919553095</v>
      </c>
      <c r="E2233" s="77">
        <v>125</v>
      </c>
      <c r="F2233" s="78">
        <v>13.1539827392994</v>
      </c>
      <c r="G2233" s="78">
        <v>13.1539827392994</v>
      </c>
      <c r="H2233" s="81">
        <v>13.0177455968378</v>
      </c>
    </row>
    <row r="2234" spans="1:8" x14ac:dyDescent="0.3">
      <c r="A2234" s="74" t="str">
        <f t="shared" si="34"/>
        <v>福建46342</v>
      </c>
      <c r="B2234" s="75" t="s">
        <v>19</v>
      </c>
      <c r="C2234" s="45">
        <v>46342</v>
      </c>
      <c r="D2234" s="76">
        <v>770.54536919553095</v>
      </c>
      <c r="E2234" s="77">
        <v>125</v>
      </c>
      <c r="F2234" s="78">
        <v>13.1539827392994</v>
      </c>
      <c r="G2234" s="78">
        <v>13.1539827392994</v>
      </c>
      <c r="H2234" s="81">
        <v>13.0177455968378</v>
      </c>
    </row>
    <row r="2235" spans="1:8" x14ac:dyDescent="0.3">
      <c r="A2235" s="74" t="str">
        <f t="shared" si="34"/>
        <v>福建46343</v>
      </c>
      <c r="B2235" s="75" t="s">
        <v>19</v>
      </c>
      <c r="C2235" s="45">
        <v>46343</v>
      </c>
      <c r="D2235" s="76">
        <v>770.54536919553095</v>
      </c>
      <c r="E2235" s="77">
        <v>125</v>
      </c>
      <c r="F2235" s="78">
        <v>13.1539827392994</v>
      </c>
      <c r="G2235" s="78">
        <v>13.1539827392994</v>
      </c>
      <c r="H2235" s="81">
        <v>13.0177455968378</v>
      </c>
    </row>
    <row r="2236" spans="1:8" x14ac:dyDescent="0.3">
      <c r="A2236" s="74" t="str">
        <f t="shared" si="34"/>
        <v>福建46344</v>
      </c>
      <c r="B2236" s="75" t="s">
        <v>19</v>
      </c>
      <c r="C2236" s="45">
        <v>46344</v>
      </c>
      <c r="D2236" s="76">
        <v>770.54536919553095</v>
      </c>
      <c r="E2236" s="77">
        <v>125</v>
      </c>
      <c r="F2236" s="78">
        <v>13.1539827392994</v>
      </c>
      <c r="G2236" s="78">
        <v>13.1539827392994</v>
      </c>
      <c r="H2236" s="81">
        <v>13.0177455968378</v>
      </c>
    </row>
    <row r="2237" spans="1:8" x14ac:dyDescent="0.3">
      <c r="A2237" s="74" t="str">
        <f t="shared" si="34"/>
        <v>福建46345</v>
      </c>
      <c r="B2237" s="75" t="s">
        <v>19</v>
      </c>
      <c r="C2237" s="45">
        <v>46345</v>
      </c>
      <c r="D2237" s="76">
        <v>770.54536919553095</v>
      </c>
      <c r="E2237" s="77">
        <v>125</v>
      </c>
      <c r="F2237" s="78">
        <v>13.1539827392994</v>
      </c>
      <c r="G2237" s="78">
        <v>13.1539827392994</v>
      </c>
      <c r="H2237" s="81">
        <v>13.0177455968378</v>
      </c>
    </row>
    <row r="2238" spans="1:8" x14ac:dyDescent="0.3">
      <c r="A2238" s="74" t="str">
        <f t="shared" si="34"/>
        <v>福建46346</v>
      </c>
      <c r="B2238" s="75" t="s">
        <v>19</v>
      </c>
      <c r="C2238" s="45">
        <v>46346</v>
      </c>
      <c r="D2238" s="76">
        <v>770.54536919553095</v>
      </c>
      <c r="E2238" s="77">
        <v>125</v>
      </c>
      <c r="F2238" s="78">
        <v>13.1539827392994</v>
      </c>
      <c r="G2238" s="78">
        <v>13.1539827392994</v>
      </c>
      <c r="H2238" s="81">
        <v>13.0177455968378</v>
      </c>
    </row>
    <row r="2239" spans="1:8" x14ac:dyDescent="0.3">
      <c r="A2239" s="74" t="str">
        <f t="shared" si="34"/>
        <v>福建46347</v>
      </c>
      <c r="B2239" s="75" t="s">
        <v>19</v>
      </c>
      <c r="C2239" s="45">
        <v>46347</v>
      </c>
      <c r="D2239" s="76">
        <v>770.54536919553095</v>
      </c>
      <c r="E2239" s="77">
        <v>125</v>
      </c>
      <c r="F2239" s="78">
        <v>13.1539827392994</v>
      </c>
      <c r="G2239" s="78">
        <v>13.1539827392994</v>
      </c>
      <c r="H2239" s="81">
        <v>13.0177455968378</v>
      </c>
    </row>
    <row r="2240" spans="1:8" x14ac:dyDescent="0.3">
      <c r="A2240" s="74" t="str">
        <f t="shared" si="34"/>
        <v>福建46348</v>
      </c>
      <c r="B2240" s="75" t="s">
        <v>19</v>
      </c>
      <c r="C2240" s="45">
        <v>46348</v>
      </c>
      <c r="D2240" s="76">
        <v>770.54536919553095</v>
      </c>
      <c r="E2240" s="77">
        <v>125</v>
      </c>
      <c r="F2240" s="78">
        <v>13.1539827392994</v>
      </c>
      <c r="G2240" s="78">
        <v>13.1539827392994</v>
      </c>
      <c r="H2240" s="81">
        <v>13.0177455968378</v>
      </c>
    </row>
    <row r="2241" spans="1:8" x14ac:dyDescent="0.3">
      <c r="A2241" s="74" t="str">
        <f t="shared" si="34"/>
        <v>福建46349</v>
      </c>
      <c r="B2241" s="75" t="s">
        <v>19</v>
      </c>
      <c r="C2241" s="45">
        <v>46349</v>
      </c>
      <c r="D2241" s="76">
        <v>770.54536919553095</v>
      </c>
      <c r="E2241" s="77">
        <v>125</v>
      </c>
      <c r="F2241" s="78">
        <v>13.1539827392994</v>
      </c>
      <c r="G2241" s="78">
        <v>13.1539827392994</v>
      </c>
      <c r="H2241" s="81">
        <v>13.0177455968378</v>
      </c>
    </row>
    <row r="2242" spans="1:8" x14ac:dyDescent="0.3">
      <c r="A2242" s="74" t="str">
        <f t="shared" si="34"/>
        <v>福建46350</v>
      </c>
      <c r="B2242" s="75" t="s">
        <v>19</v>
      </c>
      <c r="C2242" s="45">
        <v>46350</v>
      </c>
      <c r="D2242" s="76">
        <v>770.54536919553095</v>
      </c>
      <c r="E2242" s="77">
        <v>125</v>
      </c>
      <c r="F2242" s="78">
        <v>13.1539827392994</v>
      </c>
      <c r="G2242" s="78">
        <v>13.1539827392994</v>
      </c>
      <c r="H2242" s="81">
        <v>13.0177455968378</v>
      </c>
    </row>
    <row r="2243" spans="1:8" x14ac:dyDescent="0.3">
      <c r="A2243" s="74" t="str">
        <f t="shared" ref="A2243:A2306" si="35">B2243&amp;C2243</f>
        <v>福建46351</v>
      </c>
      <c r="B2243" s="75" t="s">
        <v>19</v>
      </c>
      <c r="C2243" s="45">
        <v>46351</v>
      </c>
      <c r="D2243" s="76">
        <v>770.54536919553095</v>
      </c>
      <c r="E2243" s="77">
        <v>125</v>
      </c>
      <c r="F2243" s="78">
        <v>13.1539827392994</v>
      </c>
      <c r="G2243" s="78">
        <v>13.1539827392994</v>
      </c>
      <c r="H2243" s="81">
        <v>13.0177455968378</v>
      </c>
    </row>
    <row r="2244" spans="1:8" x14ac:dyDescent="0.3">
      <c r="A2244" s="74" t="str">
        <f t="shared" si="35"/>
        <v>福建46352</v>
      </c>
      <c r="B2244" s="75" t="s">
        <v>19</v>
      </c>
      <c r="C2244" s="45">
        <v>46352</v>
      </c>
      <c r="D2244" s="76">
        <v>770.54536919553095</v>
      </c>
      <c r="E2244" s="77">
        <v>125</v>
      </c>
      <c r="F2244" s="78">
        <v>13.1539827392994</v>
      </c>
      <c r="G2244" s="78">
        <v>13.1539827392994</v>
      </c>
      <c r="H2244" s="81">
        <v>13.0177455968378</v>
      </c>
    </row>
    <row r="2245" spans="1:8" x14ac:dyDescent="0.3">
      <c r="A2245" s="74" t="str">
        <f t="shared" si="35"/>
        <v>福建46353</v>
      </c>
      <c r="B2245" s="75" t="s">
        <v>19</v>
      </c>
      <c r="C2245" s="45">
        <v>46353</v>
      </c>
      <c r="D2245" s="76">
        <v>770.54536919553095</v>
      </c>
      <c r="E2245" s="77">
        <v>125</v>
      </c>
      <c r="F2245" s="78">
        <v>13.1539827392994</v>
      </c>
      <c r="G2245" s="78">
        <v>13.1539827392994</v>
      </c>
      <c r="H2245" s="81">
        <v>13.0177455968378</v>
      </c>
    </row>
    <row r="2246" spans="1:8" x14ac:dyDescent="0.3">
      <c r="A2246" s="74" t="str">
        <f t="shared" si="35"/>
        <v>福建46354</v>
      </c>
      <c r="B2246" s="75" t="s">
        <v>19</v>
      </c>
      <c r="C2246" s="45">
        <v>46354</v>
      </c>
      <c r="D2246" s="76">
        <v>770.54536919553095</v>
      </c>
      <c r="E2246" s="77">
        <v>125</v>
      </c>
      <c r="F2246" s="78">
        <v>13.1539827392994</v>
      </c>
      <c r="G2246" s="78">
        <v>13.1539827392994</v>
      </c>
      <c r="H2246" s="81">
        <v>13.0177455968378</v>
      </c>
    </row>
    <row r="2247" spans="1:8" x14ac:dyDescent="0.3">
      <c r="A2247" s="74" t="str">
        <f t="shared" si="35"/>
        <v>福建46355</v>
      </c>
      <c r="B2247" s="75" t="s">
        <v>19</v>
      </c>
      <c r="C2247" s="45">
        <v>46355</v>
      </c>
      <c r="D2247" s="76">
        <v>770.54536919553095</v>
      </c>
      <c r="E2247" s="77">
        <v>125</v>
      </c>
      <c r="F2247" s="78">
        <v>13.1539827392994</v>
      </c>
      <c r="G2247" s="78">
        <v>13.1539827392994</v>
      </c>
      <c r="H2247" s="81">
        <v>13.0177455968378</v>
      </c>
    </row>
    <row r="2248" spans="1:8" x14ac:dyDescent="0.3">
      <c r="A2248" s="74" t="str">
        <f t="shared" si="35"/>
        <v>福建46356</v>
      </c>
      <c r="B2248" s="75" t="s">
        <v>19</v>
      </c>
      <c r="C2248" s="45">
        <v>46356</v>
      </c>
      <c r="D2248" s="76">
        <v>770.54536919553095</v>
      </c>
      <c r="E2248" s="77">
        <v>125</v>
      </c>
      <c r="F2248" s="78">
        <v>13.1539827392994</v>
      </c>
      <c r="G2248" s="78">
        <v>13.1539827392994</v>
      </c>
      <c r="H2248" s="81">
        <v>13.0177455968378</v>
      </c>
    </row>
    <row r="2249" spans="1:8" x14ac:dyDescent="0.3">
      <c r="A2249" s="74" t="str">
        <f t="shared" si="35"/>
        <v>福建46357</v>
      </c>
      <c r="B2249" s="75" t="s">
        <v>19</v>
      </c>
      <c r="C2249" s="45">
        <v>46357</v>
      </c>
      <c r="D2249" s="76">
        <v>239.734785363388</v>
      </c>
      <c r="E2249" s="77">
        <v>125</v>
      </c>
      <c r="F2249" s="78">
        <v>13.866385813850499</v>
      </c>
      <c r="G2249" s="78">
        <v>13.866385813850499</v>
      </c>
      <c r="H2249" s="81">
        <v>13.2581519005908</v>
      </c>
    </row>
    <row r="2250" spans="1:8" x14ac:dyDescent="0.3">
      <c r="A2250" s="74" t="str">
        <f t="shared" si="35"/>
        <v>福建46358</v>
      </c>
      <c r="B2250" s="75" t="s">
        <v>19</v>
      </c>
      <c r="C2250" s="45">
        <v>46358</v>
      </c>
      <c r="D2250" s="76">
        <v>239.734785363388</v>
      </c>
      <c r="E2250" s="77">
        <v>125</v>
      </c>
      <c r="F2250" s="78">
        <v>13.866385813850499</v>
      </c>
      <c r="G2250" s="78">
        <v>13.866385813850499</v>
      </c>
      <c r="H2250" s="81">
        <v>13.2581519005908</v>
      </c>
    </row>
    <row r="2251" spans="1:8" x14ac:dyDescent="0.3">
      <c r="A2251" s="74" t="str">
        <f t="shared" si="35"/>
        <v>福建46359</v>
      </c>
      <c r="B2251" s="75" t="s">
        <v>19</v>
      </c>
      <c r="C2251" s="45">
        <v>46359</v>
      </c>
      <c r="D2251" s="76">
        <v>239.734785363388</v>
      </c>
      <c r="E2251" s="77">
        <v>125</v>
      </c>
      <c r="F2251" s="78">
        <v>13.866385813850499</v>
      </c>
      <c r="G2251" s="78">
        <v>13.866385813850499</v>
      </c>
      <c r="H2251" s="81">
        <v>13.2581519005908</v>
      </c>
    </row>
    <row r="2252" spans="1:8" x14ac:dyDescent="0.3">
      <c r="A2252" s="74" t="str">
        <f t="shared" si="35"/>
        <v>福建46360</v>
      </c>
      <c r="B2252" s="75" t="s">
        <v>19</v>
      </c>
      <c r="C2252" s="45">
        <v>46360</v>
      </c>
      <c r="D2252" s="76">
        <v>239.734785363388</v>
      </c>
      <c r="E2252" s="77">
        <v>125</v>
      </c>
      <c r="F2252" s="78">
        <v>13.866385813850499</v>
      </c>
      <c r="G2252" s="78">
        <v>13.866385813850499</v>
      </c>
      <c r="H2252" s="81">
        <v>13.2581519005908</v>
      </c>
    </row>
    <row r="2253" spans="1:8" x14ac:dyDescent="0.3">
      <c r="A2253" s="74" t="str">
        <f t="shared" si="35"/>
        <v>福建46361</v>
      </c>
      <c r="B2253" s="75" t="s">
        <v>19</v>
      </c>
      <c r="C2253" s="45">
        <v>46361</v>
      </c>
      <c r="D2253" s="76">
        <v>239.734785363388</v>
      </c>
      <c r="E2253" s="77">
        <v>125</v>
      </c>
      <c r="F2253" s="78">
        <v>13.866385813850499</v>
      </c>
      <c r="G2253" s="78">
        <v>13.866385813850499</v>
      </c>
      <c r="H2253" s="81">
        <v>13.2581519005908</v>
      </c>
    </row>
    <row r="2254" spans="1:8" x14ac:dyDescent="0.3">
      <c r="A2254" s="74" t="str">
        <f t="shared" si="35"/>
        <v>福建46362</v>
      </c>
      <c r="B2254" s="75" t="s">
        <v>19</v>
      </c>
      <c r="C2254" s="45">
        <v>46362</v>
      </c>
      <c r="D2254" s="76">
        <v>239.734785363388</v>
      </c>
      <c r="E2254" s="77">
        <v>125</v>
      </c>
      <c r="F2254" s="78">
        <v>13.866385813850499</v>
      </c>
      <c r="G2254" s="78">
        <v>13.866385813850499</v>
      </c>
      <c r="H2254" s="81">
        <v>13.2581519005908</v>
      </c>
    </row>
    <row r="2255" spans="1:8" x14ac:dyDescent="0.3">
      <c r="A2255" s="74" t="str">
        <f t="shared" si="35"/>
        <v>福建46363</v>
      </c>
      <c r="B2255" s="75" t="s">
        <v>19</v>
      </c>
      <c r="C2255" s="45">
        <v>46363</v>
      </c>
      <c r="D2255" s="76">
        <v>239.734785363388</v>
      </c>
      <c r="E2255" s="77">
        <v>125</v>
      </c>
      <c r="F2255" s="78">
        <v>13.866385813850499</v>
      </c>
      <c r="G2255" s="78">
        <v>13.866385813850499</v>
      </c>
      <c r="H2255" s="81">
        <v>13.2581519005908</v>
      </c>
    </row>
    <row r="2256" spans="1:8" x14ac:dyDescent="0.3">
      <c r="A2256" s="74" t="str">
        <f t="shared" si="35"/>
        <v>福建46364</v>
      </c>
      <c r="B2256" s="75" t="s">
        <v>19</v>
      </c>
      <c r="C2256" s="45">
        <v>46364</v>
      </c>
      <c r="D2256" s="76">
        <v>239.734785363388</v>
      </c>
      <c r="E2256" s="77">
        <v>125</v>
      </c>
      <c r="F2256" s="78">
        <v>13.866385813850499</v>
      </c>
      <c r="G2256" s="78">
        <v>13.866385813850499</v>
      </c>
      <c r="H2256" s="81">
        <v>13.2581519005908</v>
      </c>
    </row>
    <row r="2257" spans="1:8" x14ac:dyDescent="0.3">
      <c r="A2257" s="74" t="str">
        <f t="shared" si="35"/>
        <v>福建46365</v>
      </c>
      <c r="B2257" s="75" t="s">
        <v>19</v>
      </c>
      <c r="C2257" s="45">
        <v>46365</v>
      </c>
      <c r="D2257" s="76">
        <v>239.734785363388</v>
      </c>
      <c r="E2257" s="77">
        <v>125</v>
      </c>
      <c r="F2257" s="78">
        <v>13.866385813850499</v>
      </c>
      <c r="G2257" s="78">
        <v>13.866385813850499</v>
      </c>
      <c r="H2257" s="81">
        <v>13.2581519005908</v>
      </c>
    </row>
    <row r="2258" spans="1:8" x14ac:dyDescent="0.3">
      <c r="A2258" s="74" t="str">
        <f t="shared" si="35"/>
        <v>福建46366</v>
      </c>
      <c r="B2258" s="75" t="s">
        <v>19</v>
      </c>
      <c r="C2258" s="45">
        <v>46366</v>
      </c>
      <c r="D2258" s="76">
        <v>239.734785363388</v>
      </c>
      <c r="E2258" s="77">
        <v>125</v>
      </c>
      <c r="F2258" s="78">
        <v>13.866385813850499</v>
      </c>
      <c r="G2258" s="78">
        <v>13.866385813850499</v>
      </c>
      <c r="H2258" s="81">
        <v>13.2581519005908</v>
      </c>
    </row>
    <row r="2259" spans="1:8" x14ac:dyDescent="0.3">
      <c r="A2259" s="74" t="str">
        <f t="shared" si="35"/>
        <v>福建46367</v>
      </c>
      <c r="B2259" s="75" t="s">
        <v>19</v>
      </c>
      <c r="C2259" s="45">
        <v>46367</v>
      </c>
      <c r="D2259" s="76">
        <v>239.734785363388</v>
      </c>
      <c r="E2259" s="77">
        <v>125</v>
      </c>
      <c r="F2259" s="78">
        <v>13.866385813850499</v>
      </c>
      <c r="G2259" s="78">
        <v>13.866385813850499</v>
      </c>
      <c r="H2259" s="81">
        <v>13.2581519005908</v>
      </c>
    </row>
    <row r="2260" spans="1:8" x14ac:dyDescent="0.3">
      <c r="A2260" s="74" t="str">
        <f t="shared" si="35"/>
        <v>福建46368</v>
      </c>
      <c r="B2260" s="75" t="s">
        <v>19</v>
      </c>
      <c r="C2260" s="45">
        <v>46368</v>
      </c>
      <c r="D2260" s="76">
        <v>239.734785363388</v>
      </c>
      <c r="E2260" s="77">
        <v>125</v>
      </c>
      <c r="F2260" s="78">
        <v>13.866385813850499</v>
      </c>
      <c r="G2260" s="78">
        <v>13.866385813850499</v>
      </c>
      <c r="H2260" s="81">
        <v>13.2581519005908</v>
      </c>
    </row>
    <row r="2261" spans="1:8" x14ac:dyDescent="0.3">
      <c r="A2261" s="74" t="str">
        <f t="shared" si="35"/>
        <v>福建46369</v>
      </c>
      <c r="B2261" s="75" t="s">
        <v>19</v>
      </c>
      <c r="C2261" s="45">
        <v>46369</v>
      </c>
      <c r="D2261" s="76">
        <v>239.734785363388</v>
      </c>
      <c r="E2261" s="77">
        <v>125</v>
      </c>
      <c r="F2261" s="78">
        <v>13.866385813850499</v>
      </c>
      <c r="G2261" s="78">
        <v>13.866385813850499</v>
      </c>
      <c r="H2261" s="81">
        <v>13.2581519005908</v>
      </c>
    </row>
    <row r="2262" spans="1:8" x14ac:dyDescent="0.3">
      <c r="A2262" s="74" t="str">
        <f t="shared" si="35"/>
        <v>福建46370</v>
      </c>
      <c r="B2262" s="75" t="s">
        <v>19</v>
      </c>
      <c r="C2262" s="45">
        <v>46370</v>
      </c>
      <c r="D2262" s="76">
        <v>239.734785363388</v>
      </c>
      <c r="E2262" s="77">
        <v>125</v>
      </c>
      <c r="F2262" s="78">
        <v>13.866385813850499</v>
      </c>
      <c r="G2262" s="78">
        <v>13.866385813850499</v>
      </c>
      <c r="H2262" s="81">
        <v>13.2581519005908</v>
      </c>
    </row>
    <row r="2263" spans="1:8" x14ac:dyDescent="0.3">
      <c r="A2263" s="74" t="str">
        <f t="shared" si="35"/>
        <v>福建46371</v>
      </c>
      <c r="B2263" s="75" t="s">
        <v>19</v>
      </c>
      <c r="C2263" s="45">
        <v>46371</v>
      </c>
      <c r="D2263" s="76">
        <v>239.734785363388</v>
      </c>
      <c r="E2263" s="77">
        <v>125</v>
      </c>
      <c r="F2263" s="78">
        <v>13.866385813850499</v>
      </c>
      <c r="G2263" s="78">
        <v>13.866385813850499</v>
      </c>
      <c r="H2263" s="81">
        <v>13.2581519005908</v>
      </c>
    </row>
    <row r="2264" spans="1:8" x14ac:dyDescent="0.3">
      <c r="A2264" s="74" t="str">
        <f t="shared" si="35"/>
        <v>福建46372</v>
      </c>
      <c r="B2264" s="75" t="s">
        <v>19</v>
      </c>
      <c r="C2264" s="45">
        <v>46372</v>
      </c>
      <c r="D2264" s="76">
        <v>239.734785363388</v>
      </c>
      <c r="E2264" s="77">
        <v>125</v>
      </c>
      <c r="F2264" s="78">
        <v>13.866385813850499</v>
      </c>
      <c r="G2264" s="78">
        <v>13.866385813850499</v>
      </c>
      <c r="H2264" s="81">
        <v>13.2581519005908</v>
      </c>
    </row>
    <row r="2265" spans="1:8" x14ac:dyDescent="0.3">
      <c r="A2265" s="74" t="str">
        <f t="shared" si="35"/>
        <v>福建46373</v>
      </c>
      <c r="B2265" s="75" t="s">
        <v>19</v>
      </c>
      <c r="C2265" s="45">
        <v>46373</v>
      </c>
      <c r="D2265" s="76">
        <v>239.734785363388</v>
      </c>
      <c r="E2265" s="77">
        <v>125</v>
      </c>
      <c r="F2265" s="78">
        <v>13.866385813850499</v>
      </c>
      <c r="G2265" s="78">
        <v>13.866385813850499</v>
      </c>
      <c r="H2265" s="81">
        <v>13.2581519005908</v>
      </c>
    </row>
    <row r="2266" spans="1:8" x14ac:dyDescent="0.3">
      <c r="A2266" s="74" t="str">
        <f t="shared" si="35"/>
        <v>福建46374</v>
      </c>
      <c r="B2266" s="75" t="s">
        <v>19</v>
      </c>
      <c r="C2266" s="45">
        <v>46374</v>
      </c>
      <c r="D2266" s="76">
        <v>239.734785363388</v>
      </c>
      <c r="E2266" s="77">
        <v>125</v>
      </c>
      <c r="F2266" s="78">
        <v>13.866385813850499</v>
      </c>
      <c r="G2266" s="78">
        <v>13.866385813850499</v>
      </c>
      <c r="H2266" s="81">
        <v>13.2581519005908</v>
      </c>
    </row>
    <row r="2267" spans="1:8" x14ac:dyDescent="0.3">
      <c r="A2267" s="74" t="str">
        <f t="shared" si="35"/>
        <v>福建46375</v>
      </c>
      <c r="B2267" s="75" t="s">
        <v>19</v>
      </c>
      <c r="C2267" s="45">
        <v>46375</v>
      </c>
      <c r="D2267" s="76">
        <v>239.734785363388</v>
      </c>
      <c r="E2267" s="77">
        <v>125</v>
      </c>
      <c r="F2267" s="78">
        <v>13.866385813850499</v>
      </c>
      <c r="G2267" s="78">
        <v>13.866385813850499</v>
      </c>
      <c r="H2267" s="81">
        <v>13.2581519005908</v>
      </c>
    </row>
    <row r="2268" spans="1:8" x14ac:dyDescent="0.3">
      <c r="A2268" s="74" t="str">
        <f t="shared" si="35"/>
        <v>福建46376</v>
      </c>
      <c r="B2268" s="75" t="s">
        <v>19</v>
      </c>
      <c r="C2268" s="45">
        <v>46376</v>
      </c>
      <c r="D2268" s="76">
        <v>239.734785363388</v>
      </c>
      <c r="E2268" s="77">
        <v>125</v>
      </c>
      <c r="F2268" s="78">
        <v>13.866385813850499</v>
      </c>
      <c r="G2268" s="78">
        <v>13.866385813850499</v>
      </c>
      <c r="H2268" s="81">
        <v>13.2581519005908</v>
      </c>
    </row>
    <row r="2269" spans="1:8" x14ac:dyDescent="0.3">
      <c r="A2269" s="74" t="str">
        <f t="shared" si="35"/>
        <v>福建46377</v>
      </c>
      <c r="B2269" s="75" t="s">
        <v>19</v>
      </c>
      <c r="C2269" s="45">
        <v>46377</v>
      </c>
      <c r="D2269" s="76">
        <v>239.734785363388</v>
      </c>
      <c r="E2269" s="77">
        <v>125</v>
      </c>
      <c r="F2269" s="78">
        <v>13.866385813850499</v>
      </c>
      <c r="G2269" s="78">
        <v>13.866385813850499</v>
      </c>
      <c r="H2269" s="81">
        <v>13.2581519005908</v>
      </c>
    </row>
    <row r="2270" spans="1:8" x14ac:dyDescent="0.3">
      <c r="A2270" s="74" t="str">
        <f t="shared" si="35"/>
        <v>福建46378</v>
      </c>
      <c r="B2270" s="75" t="s">
        <v>19</v>
      </c>
      <c r="C2270" s="45">
        <v>46378</v>
      </c>
      <c r="D2270" s="76">
        <v>239.734785363388</v>
      </c>
      <c r="E2270" s="77">
        <v>125</v>
      </c>
      <c r="F2270" s="78">
        <v>13.866385813850499</v>
      </c>
      <c r="G2270" s="78">
        <v>13.866385813850499</v>
      </c>
      <c r="H2270" s="81">
        <v>13.2581519005908</v>
      </c>
    </row>
    <row r="2271" spans="1:8" x14ac:dyDescent="0.3">
      <c r="A2271" s="74" t="str">
        <f t="shared" si="35"/>
        <v>福建46379</v>
      </c>
      <c r="B2271" s="75" t="s">
        <v>19</v>
      </c>
      <c r="C2271" s="45">
        <v>46379</v>
      </c>
      <c r="D2271" s="76">
        <v>239.734785363388</v>
      </c>
      <c r="E2271" s="77">
        <v>125</v>
      </c>
      <c r="F2271" s="78">
        <v>13.866385813850499</v>
      </c>
      <c r="G2271" s="78">
        <v>13.866385813850499</v>
      </c>
      <c r="H2271" s="81">
        <v>13.2581519005908</v>
      </c>
    </row>
    <row r="2272" spans="1:8" x14ac:dyDescent="0.3">
      <c r="A2272" s="74" t="str">
        <f t="shared" si="35"/>
        <v>福建46380</v>
      </c>
      <c r="B2272" s="75" t="s">
        <v>19</v>
      </c>
      <c r="C2272" s="45">
        <v>46380</v>
      </c>
      <c r="D2272" s="76">
        <v>239.734785363388</v>
      </c>
      <c r="E2272" s="77">
        <v>125</v>
      </c>
      <c r="F2272" s="78">
        <v>13.866385813850499</v>
      </c>
      <c r="G2272" s="78">
        <v>13.866385813850499</v>
      </c>
      <c r="H2272" s="81">
        <v>13.2581519005908</v>
      </c>
    </row>
    <row r="2273" spans="1:8" x14ac:dyDescent="0.3">
      <c r="A2273" s="74" t="str">
        <f t="shared" si="35"/>
        <v>福建46381</v>
      </c>
      <c r="B2273" s="75" t="s">
        <v>19</v>
      </c>
      <c r="C2273" s="45">
        <v>46381</v>
      </c>
      <c r="D2273" s="76">
        <v>239.734785363388</v>
      </c>
      <c r="E2273" s="77">
        <v>125</v>
      </c>
      <c r="F2273" s="78">
        <v>13.866385813850499</v>
      </c>
      <c r="G2273" s="78">
        <v>13.866385813850499</v>
      </c>
      <c r="H2273" s="81">
        <v>13.2581519005908</v>
      </c>
    </row>
    <row r="2274" spans="1:8" x14ac:dyDescent="0.3">
      <c r="A2274" s="74" t="str">
        <f t="shared" si="35"/>
        <v>福建46382</v>
      </c>
      <c r="B2274" s="75" t="s">
        <v>19</v>
      </c>
      <c r="C2274" s="45">
        <v>46382</v>
      </c>
      <c r="D2274" s="76">
        <v>239.734785363388</v>
      </c>
      <c r="E2274" s="77">
        <v>125</v>
      </c>
      <c r="F2274" s="78">
        <v>13.866385813850499</v>
      </c>
      <c r="G2274" s="78">
        <v>13.866385813850499</v>
      </c>
      <c r="H2274" s="81">
        <v>13.2581519005908</v>
      </c>
    </row>
    <row r="2275" spans="1:8" x14ac:dyDescent="0.3">
      <c r="A2275" s="74" t="str">
        <f t="shared" si="35"/>
        <v>福建46383</v>
      </c>
      <c r="B2275" s="75" t="s">
        <v>19</v>
      </c>
      <c r="C2275" s="45">
        <v>46383</v>
      </c>
      <c r="D2275" s="76">
        <v>239.734785363388</v>
      </c>
      <c r="E2275" s="77">
        <v>125</v>
      </c>
      <c r="F2275" s="78">
        <v>13.866385813850499</v>
      </c>
      <c r="G2275" s="78">
        <v>13.866385813850499</v>
      </c>
      <c r="H2275" s="81">
        <v>13.2581519005908</v>
      </c>
    </row>
    <row r="2276" spans="1:8" x14ac:dyDescent="0.3">
      <c r="A2276" s="74" t="str">
        <f t="shared" si="35"/>
        <v>福建46384</v>
      </c>
      <c r="B2276" s="75" t="s">
        <v>19</v>
      </c>
      <c r="C2276" s="45">
        <v>46384</v>
      </c>
      <c r="D2276" s="76">
        <v>239.734785363388</v>
      </c>
      <c r="E2276" s="77">
        <v>125</v>
      </c>
      <c r="F2276" s="78">
        <v>13.866385813850499</v>
      </c>
      <c r="G2276" s="78">
        <v>13.866385813850499</v>
      </c>
      <c r="H2276" s="81">
        <v>13.2581519005908</v>
      </c>
    </row>
    <row r="2277" spans="1:8" x14ac:dyDescent="0.3">
      <c r="A2277" s="74" t="str">
        <f t="shared" si="35"/>
        <v>福建46385</v>
      </c>
      <c r="B2277" s="75" t="s">
        <v>19</v>
      </c>
      <c r="C2277" s="45">
        <v>46385</v>
      </c>
      <c r="D2277" s="76">
        <v>239.734785363388</v>
      </c>
      <c r="E2277" s="77">
        <v>125</v>
      </c>
      <c r="F2277" s="78">
        <v>13.866385813850499</v>
      </c>
      <c r="G2277" s="78">
        <v>13.866385813850499</v>
      </c>
      <c r="H2277" s="81">
        <v>13.2581519005908</v>
      </c>
    </row>
    <row r="2278" spans="1:8" x14ac:dyDescent="0.3">
      <c r="A2278" s="74" t="str">
        <f t="shared" si="35"/>
        <v>福建46386</v>
      </c>
      <c r="B2278" s="75" t="s">
        <v>19</v>
      </c>
      <c r="C2278" s="45">
        <v>46386</v>
      </c>
      <c r="D2278" s="76">
        <v>239.734785363388</v>
      </c>
      <c r="E2278" s="77">
        <v>125</v>
      </c>
      <c r="F2278" s="78">
        <v>13.866385813850499</v>
      </c>
      <c r="G2278" s="78">
        <v>13.866385813850499</v>
      </c>
      <c r="H2278" s="81">
        <v>13.2581519005908</v>
      </c>
    </row>
    <row r="2279" spans="1:8" x14ac:dyDescent="0.3">
      <c r="A2279" s="74" t="str">
        <f t="shared" si="35"/>
        <v>福建46387</v>
      </c>
      <c r="B2279" s="82" t="s">
        <v>19</v>
      </c>
      <c r="C2279" s="83">
        <v>46387</v>
      </c>
      <c r="D2279" s="84">
        <v>239.734785363388</v>
      </c>
      <c r="E2279" s="85">
        <v>125</v>
      </c>
      <c r="F2279" s="86">
        <v>13.866385813850499</v>
      </c>
      <c r="G2279" s="86">
        <v>13.866385813850499</v>
      </c>
      <c r="H2279" s="87">
        <v>13.2581519005908</v>
      </c>
    </row>
    <row r="2280" spans="1:8" x14ac:dyDescent="0.3">
      <c r="A2280" s="74" t="str">
        <f t="shared" si="35"/>
        <v>江苏46135</v>
      </c>
      <c r="B2280" s="75" t="s">
        <v>20</v>
      </c>
      <c r="C2280" s="45">
        <v>46135</v>
      </c>
      <c r="D2280" s="76">
        <v>1509.77352240305</v>
      </c>
      <c r="E2280" s="77">
        <v>125</v>
      </c>
      <c r="F2280" s="78">
        <v>8.9457064842419101</v>
      </c>
      <c r="G2280" s="78">
        <v>8.9457064842419101</v>
      </c>
      <c r="H2280" s="81">
        <v>9.5109704490626008</v>
      </c>
    </row>
    <row r="2281" spans="1:8" x14ac:dyDescent="0.3">
      <c r="A2281" s="74" t="str">
        <f t="shared" si="35"/>
        <v>江苏46136</v>
      </c>
      <c r="B2281" s="75" t="s">
        <v>20</v>
      </c>
      <c r="C2281" s="45">
        <v>46136</v>
      </c>
      <c r="D2281" s="76">
        <v>1509.77352240305</v>
      </c>
      <c r="E2281" s="77">
        <v>125</v>
      </c>
      <c r="F2281" s="78">
        <v>8.9457064842419101</v>
      </c>
      <c r="G2281" s="78">
        <v>8.9457064842419101</v>
      </c>
      <c r="H2281" s="81">
        <v>9.5109704490626008</v>
      </c>
    </row>
    <row r="2282" spans="1:8" x14ac:dyDescent="0.3">
      <c r="A2282" s="74" t="str">
        <f t="shared" si="35"/>
        <v>江苏46137</v>
      </c>
      <c r="B2282" s="75" t="s">
        <v>20</v>
      </c>
      <c r="C2282" s="45">
        <v>46137</v>
      </c>
      <c r="D2282" s="76">
        <v>1509.77352240305</v>
      </c>
      <c r="E2282" s="77">
        <v>125</v>
      </c>
      <c r="F2282" s="78">
        <v>8.9457064842419101</v>
      </c>
      <c r="G2282" s="78">
        <v>8.9457064842419101</v>
      </c>
      <c r="H2282" s="81">
        <v>9.5109704490626008</v>
      </c>
    </row>
    <row r="2283" spans="1:8" x14ac:dyDescent="0.3">
      <c r="A2283" s="74" t="str">
        <f t="shared" si="35"/>
        <v>江苏46138</v>
      </c>
      <c r="B2283" s="75" t="s">
        <v>20</v>
      </c>
      <c r="C2283" s="45">
        <v>46138</v>
      </c>
      <c r="D2283" s="76">
        <v>1509.77352240305</v>
      </c>
      <c r="E2283" s="77">
        <v>125</v>
      </c>
      <c r="F2283" s="78">
        <v>8.9457064842419101</v>
      </c>
      <c r="G2283" s="78">
        <v>8.9457064842419101</v>
      </c>
      <c r="H2283" s="81">
        <v>9.5109704490626008</v>
      </c>
    </row>
    <row r="2284" spans="1:8" x14ac:dyDescent="0.3">
      <c r="A2284" s="74" t="str">
        <f t="shared" si="35"/>
        <v>江苏46139</v>
      </c>
      <c r="B2284" s="75" t="s">
        <v>20</v>
      </c>
      <c r="C2284" s="45">
        <v>46139</v>
      </c>
      <c r="D2284" s="76">
        <v>1509.77352240305</v>
      </c>
      <c r="E2284" s="77">
        <v>125</v>
      </c>
      <c r="F2284" s="78">
        <v>8.9457064842419101</v>
      </c>
      <c r="G2284" s="78">
        <v>8.9457064842419101</v>
      </c>
      <c r="H2284" s="81">
        <v>9.5109704490626008</v>
      </c>
    </row>
    <row r="2285" spans="1:8" x14ac:dyDescent="0.3">
      <c r="A2285" s="74" t="str">
        <f t="shared" si="35"/>
        <v>江苏46140</v>
      </c>
      <c r="B2285" s="75" t="s">
        <v>20</v>
      </c>
      <c r="C2285" s="45">
        <v>46140</v>
      </c>
      <c r="D2285" s="76">
        <v>1509.77352240305</v>
      </c>
      <c r="E2285" s="77">
        <v>125</v>
      </c>
      <c r="F2285" s="78">
        <v>8.9457064842419101</v>
      </c>
      <c r="G2285" s="78">
        <v>8.9457064842419101</v>
      </c>
      <c r="H2285" s="81">
        <v>9.5109704490626008</v>
      </c>
    </row>
    <row r="2286" spans="1:8" x14ac:dyDescent="0.3">
      <c r="A2286" s="74" t="str">
        <f t="shared" si="35"/>
        <v>江苏46141</v>
      </c>
      <c r="B2286" s="75" t="s">
        <v>20</v>
      </c>
      <c r="C2286" s="45">
        <v>46141</v>
      </c>
      <c r="D2286" s="76">
        <v>1509.77352240305</v>
      </c>
      <c r="E2286" s="77">
        <v>125</v>
      </c>
      <c r="F2286" s="78">
        <v>8.9457064842419101</v>
      </c>
      <c r="G2286" s="78">
        <v>8.9457064842419101</v>
      </c>
      <c r="H2286" s="81">
        <v>9.5109704490626008</v>
      </c>
    </row>
    <row r="2287" spans="1:8" x14ac:dyDescent="0.3">
      <c r="A2287" s="74" t="str">
        <f t="shared" si="35"/>
        <v>江苏46142</v>
      </c>
      <c r="B2287" s="75" t="s">
        <v>20</v>
      </c>
      <c r="C2287" s="45">
        <v>46142</v>
      </c>
      <c r="D2287" s="76">
        <v>1509.77352240305</v>
      </c>
      <c r="E2287" s="77">
        <v>125</v>
      </c>
      <c r="F2287" s="78">
        <v>8.9457064842419101</v>
      </c>
      <c r="G2287" s="78">
        <v>8.9457064842419101</v>
      </c>
      <c r="H2287" s="81">
        <v>9.5109704490626008</v>
      </c>
    </row>
    <row r="2288" spans="1:8" x14ac:dyDescent="0.3">
      <c r="A2288" s="74" t="str">
        <f t="shared" si="35"/>
        <v>江苏46143</v>
      </c>
      <c r="B2288" s="75" t="s">
        <v>20</v>
      </c>
      <c r="C2288" s="45">
        <v>46143</v>
      </c>
      <c r="D2288" s="76">
        <v>1541.0783852690499</v>
      </c>
      <c r="E2288" s="77">
        <v>125</v>
      </c>
      <c r="F2288" s="78">
        <v>10.4114415395949</v>
      </c>
      <c r="G2288" s="78">
        <v>10.4114415395949</v>
      </c>
      <c r="H2288" s="81">
        <v>9.7269610307148504</v>
      </c>
    </row>
    <row r="2289" spans="1:8" x14ac:dyDescent="0.3">
      <c r="A2289" s="74" t="str">
        <f t="shared" si="35"/>
        <v>江苏46144</v>
      </c>
      <c r="B2289" s="75" t="s">
        <v>20</v>
      </c>
      <c r="C2289" s="45">
        <v>46144</v>
      </c>
      <c r="D2289" s="76">
        <v>1541.0783852690499</v>
      </c>
      <c r="E2289" s="77">
        <v>125</v>
      </c>
      <c r="F2289" s="78">
        <v>10.4114415395949</v>
      </c>
      <c r="G2289" s="78">
        <v>10.4114415395949</v>
      </c>
      <c r="H2289" s="81">
        <v>9.7269610307148504</v>
      </c>
    </row>
    <row r="2290" spans="1:8" x14ac:dyDescent="0.3">
      <c r="A2290" s="74" t="str">
        <f t="shared" si="35"/>
        <v>江苏46145</v>
      </c>
      <c r="B2290" s="75" t="s">
        <v>20</v>
      </c>
      <c r="C2290" s="45">
        <v>46145</v>
      </c>
      <c r="D2290" s="76">
        <v>1541.0783852690499</v>
      </c>
      <c r="E2290" s="77">
        <v>125</v>
      </c>
      <c r="F2290" s="78">
        <v>10.4114415395949</v>
      </c>
      <c r="G2290" s="78">
        <v>10.4114415395949</v>
      </c>
      <c r="H2290" s="81">
        <v>9.7269610307148504</v>
      </c>
    </row>
    <row r="2291" spans="1:8" x14ac:dyDescent="0.3">
      <c r="A2291" s="74" t="str">
        <f t="shared" si="35"/>
        <v>江苏46146</v>
      </c>
      <c r="B2291" s="75" t="s">
        <v>20</v>
      </c>
      <c r="C2291" s="45">
        <v>46146</v>
      </c>
      <c r="D2291" s="76">
        <v>1541.0783852690499</v>
      </c>
      <c r="E2291" s="77">
        <v>125</v>
      </c>
      <c r="F2291" s="78">
        <v>10.4114415395949</v>
      </c>
      <c r="G2291" s="78">
        <v>10.4114415395949</v>
      </c>
      <c r="H2291" s="81">
        <v>9.7269610307148504</v>
      </c>
    </row>
    <row r="2292" spans="1:8" x14ac:dyDescent="0.3">
      <c r="A2292" s="74" t="str">
        <f t="shared" si="35"/>
        <v>江苏46147</v>
      </c>
      <c r="B2292" s="75" t="s">
        <v>20</v>
      </c>
      <c r="C2292" s="45">
        <v>46147</v>
      </c>
      <c r="D2292" s="76">
        <v>1541.0783852690499</v>
      </c>
      <c r="E2292" s="77">
        <v>125</v>
      </c>
      <c r="F2292" s="78">
        <v>10.4114415395949</v>
      </c>
      <c r="G2292" s="78">
        <v>10.4114415395949</v>
      </c>
      <c r="H2292" s="81">
        <v>9.7269610307148504</v>
      </c>
    </row>
    <row r="2293" spans="1:8" x14ac:dyDescent="0.3">
      <c r="A2293" s="74" t="str">
        <f t="shared" si="35"/>
        <v>江苏46148</v>
      </c>
      <c r="B2293" s="75" t="s">
        <v>20</v>
      </c>
      <c r="C2293" s="45">
        <v>46148</v>
      </c>
      <c r="D2293" s="76">
        <v>1541.0783852690499</v>
      </c>
      <c r="E2293" s="77">
        <v>125</v>
      </c>
      <c r="F2293" s="78">
        <v>10.4114415395949</v>
      </c>
      <c r="G2293" s="78">
        <v>10.4114415395949</v>
      </c>
      <c r="H2293" s="81">
        <v>9.7269610307148504</v>
      </c>
    </row>
    <row r="2294" spans="1:8" x14ac:dyDescent="0.3">
      <c r="A2294" s="74" t="str">
        <f t="shared" si="35"/>
        <v>江苏46149</v>
      </c>
      <c r="B2294" s="75" t="s">
        <v>20</v>
      </c>
      <c r="C2294" s="45">
        <v>46149</v>
      </c>
      <c r="D2294" s="76">
        <v>1541.0783852690499</v>
      </c>
      <c r="E2294" s="77">
        <v>125</v>
      </c>
      <c r="F2294" s="78">
        <v>10.4114415395949</v>
      </c>
      <c r="G2294" s="78">
        <v>10.4114415395949</v>
      </c>
      <c r="H2294" s="81">
        <v>9.7269610307148504</v>
      </c>
    </row>
    <row r="2295" spans="1:8" x14ac:dyDescent="0.3">
      <c r="A2295" s="74" t="str">
        <f t="shared" si="35"/>
        <v>江苏46150</v>
      </c>
      <c r="B2295" s="75" t="s">
        <v>20</v>
      </c>
      <c r="C2295" s="45">
        <v>46150</v>
      </c>
      <c r="D2295" s="76">
        <v>1541.0783852690499</v>
      </c>
      <c r="E2295" s="77">
        <v>125</v>
      </c>
      <c r="F2295" s="78">
        <v>10.4114415395949</v>
      </c>
      <c r="G2295" s="78">
        <v>10.4114415395949</v>
      </c>
      <c r="H2295" s="81">
        <v>9.7269610307148504</v>
      </c>
    </row>
    <row r="2296" spans="1:8" x14ac:dyDescent="0.3">
      <c r="A2296" s="74" t="str">
        <f t="shared" si="35"/>
        <v>江苏46151</v>
      </c>
      <c r="B2296" s="75" t="s">
        <v>20</v>
      </c>
      <c r="C2296" s="45">
        <v>46151</v>
      </c>
      <c r="D2296" s="76">
        <v>1541.0783852690499</v>
      </c>
      <c r="E2296" s="77">
        <v>125</v>
      </c>
      <c r="F2296" s="78">
        <v>10.4114415395949</v>
      </c>
      <c r="G2296" s="78">
        <v>10.4114415395949</v>
      </c>
      <c r="H2296" s="81">
        <v>9.7269610307148504</v>
      </c>
    </row>
    <row r="2297" spans="1:8" x14ac:dyDescent="0.3">
      <c r="A2297" s="74" t="str">
        <f t="shared" si="35"/>
        <v>江苏46152</v>
      </c>
      <c r="B2297" s="75" t="s">
        <v>20</v>
      </c>
      <c r="C2297" s="45">
        <v>46152</v>
      </c>
      <c r="D2297" s="76">
        <v>1541.0783852690499</v>
      </c>
      <c r="E2297" s="77">
        <v>125</v>
      </c>
      <c r="F2297" s="78">
        <v>10.4114415395949</v>
      </c>
      <c r="G2297" s="78">
        <v>10.4114415395949</v>
      </c>
      <c r="H2297" s="81">
        <v>9.7269610307148504</v>
      </c>
    </row>
    <row r="2298" spans="1:8" x14ac:dyDescent="0.3">
      <c r="A2298" s="74" t="str">
        <f t="shared" si="35"/>
        <v>江苏46153</v>
      </c>
      <c r="B2298" s="75" t="s">
        <v>20</v>
      </c>
      <c r="C2298" s="45">
        <v>46153</v>
      </c>
      <c r="D2298" s="76">
        <v>1541.0783852690499</v>
      </c>
      <c r="E2298" s="77">
        <v>125</v>
      </c>
      <c r="F2298" s="78">
        <v>10.4114415395949</v>
      </c>
      <c r="G2298" s="78">
        <v>10.4114415395949</v>
      </c>
      <c r="H2298" s="81">
        <v>9.7269610307148504</v>
      </c>
    </row>
    <row r="2299" spans="1:8" x14ac:dyDescent="0.3">
      <c r="A2299" s="74" t="str">
        <f t="shared" si="35"/>
        <v>江苏46154</v>
      </c>
      <c r="B2299" s="75" t="s">
        <v>20</v>
      </c>
      <c r="C2299" s="45">
        <v>46154</v>
      </c>
      <c r="D2299" s="76">
        <v>1541.0783852690499</v>
      </c>
      <c r="E2299" s="77">
        <v>125</v>
      </c>
      <c r="F2299" s="78">
        <v>10.4114415395949</v>
      </c>
      <c r="G2299" s="78">
        <v>10.4114415395949</v>
      </c>
      <c r="H2299" s="81">
        <v>9.7269610307148504</v>
      </c>
    </row>
    <row r="2300" spans="1:8" x14ac:dyDescent="0.3">
      <c r="A2300" s="74" t="str">
        <f t="shared" si="35"/>
        <v>江苏46155</v>
      </c>
      <c r="B2300" s="75" t="s">
        <v>20</v>
      </c>
      <c r="C2300" s="45">
        <v>46155</v>
      </c>
      <c r="D2300" s="76">
        <v>1541.0783852690499</v>
      </c>
      <c r="E2300" s="77">
        <v>125</v>
      </c>
      <c r="F2300" s="78">
        <v>10.4114415395949</v>
      </c>
      <c r="G2300" s="78">
        <v>10.4114415395949</v>
      </c>
      <c r="H2300" s="81">
        <v>9.7269610307148504</v>
      </c>
    </row>
    <row r="2301" spans="1:8" x14ac:dyDescent="0.3">
      <c r="A2301" s="74" t="str">
        <f t="shared" si="35"/>
        <v>江苏46156</v>
      </c>
      <c r="B2301" s="75" t="s">
        <v>20</v>
      </c>
      <c r="C2301" s="45">
        <v>46156</v>
      </c>
      <c r="D2301" s="76">
        <v>1541.0783852690499</v>
      </c>
      <c r="E2301" s="77">
        <v>125</v>
      </c>
      <c r="F2301" s="78">
        <v>10.4114415395949</v>
      </c>
      <c r="G2301" s="78">
        <v>10.4114415395949</v>
      </c>
      <c r="H2301" s="81">
        <v>9.7269610307148504</v>
      </c>
    </row>
    <row r="2302" spans="1:8" x14ac:dyDescent="0.3">
      <c r="A2302" s="74" t="str">
        <f t="shared" si="35"/>
        <v>江苏46157</v>
      </c>
      <c r="B2302" s="75" t="s">
        <v>20</v>
      </c>
      <c r="C2302" s="45">
        <v>46157</v>
      </c>
      <c r="D2302" s="76">
        <v>1541.0783852690499</v>
      </c>
      <c r="E2302" s="77">
        <v>125</v>
      </c>
      <c r="F2302" s="78">
        <v>10.4114415395949</v>
      </c>
      <c r="G2302" s="78">
        <v>10.4114415395949</v>
      </c>
      <c r="H2302" s="81">
        <v>9.7269610307148504</v>
      </c>
    </row>
    <row r="2303" spans="1:8" x14ac:dyDescent="0.3">
      <c r="A2303" s="74" t="str">
        <f t="shared" si="35"/>
        <v>江苏46158</v>
      </c>
      <c r="B2303" s="75" t="s">
        <v>20</v>
      </c>
      <c r="C2303" s="45">
        <v>46158</v>
      </c>
      <c r="D2303" s="76">
        <v>1541.0783852690499</v>
      </c>
      <c r="E2303" s="77">
        <v>125</v>
      </c>
      <c r="F2303" s="78">
        <v>10.4114415395949</v>
      </c>
      <c r="G2303" s="78">
        <v>10.4114415395949</v>
      </c>
      <c r="H2303" s="81">
        <v>9.7269610307148504</v>
      </c>
    </row>
    <row r="2304" spans="1:8" x14ac:dyDescent="0.3">
      <c r="A2304" s="74" t="str">
        <f t="shared" si="35"/>
        <v>江苏46159</v>
      </c>
      <c r="B2304" s="75" t="s">
        <v>20</v>
      </c>
      <c r="C2304" s="45">
        <v>46159</v>
      </c>
      <c r="D2304" s="76">
        <v>1541.0783852690499</v>
      </c>
      <c r="E2304" s="77">
        <v>125</v>
      </c>
      <c r="F2304" s="78">
        <v>10.4114415395949</v>
      </c>
      <c r="G2304" s="78">
        <v>10.4114415395949</v>
      </c>
      <c r="H2304" s="81">
        <v>9.7269610307148504</v>
      </c>
    </row>
    <row r="2305" spans="1:8" x14ac:dyDescent="0.3">
      <c r="A2305" s="74" t="str">
        <f t="shared" si="35"/>
        <v>江苏46160</v>
      </c>
      <c r="B2305" s="75" t="s">
        <v>20</v>
      </c>
      <c r="C2305" s="45">
        <v>46160</v>
      </c>
      <c r="D2305" s="76">
        <v>1541.0783852690499</v>
      </c>
      <c r="E2305" s="77">
        <v>125</v>
      </c>
      <c r="F2305" s="78">
        <v>10.4114415395949</v>
      </c>
      <c r="G2305" s="78">
        <v>10.4114415395949</v>
      </c>
      <c r="H2305" s="81">
        <v>9.7269610307148504</v>
      </c>
    </row>
    <row r="2306" spans="1:8" x14ac:dyDescent="0.3">
      <c r="A2306" s="74" t="str">
        <f t="shared" si="35"/>
        <v>江苏46161</v>
      </c>
      <c r="B2306" s="75" t="s">
        <v>20</v>
      </c>
      <c r="C2306" s="45">
        <v>46161</v>
      </c>
      <c r="D2306" s="76">
        <v>1541.0783852690499</v>
      </c>
      <c r="E2306" s="77">
        <v>125</v>
      </c>
      <c r="F2306" s="78">
        <v>10.4114415395949</v>
      </c>
      <c r="G2306" s="78">
        <v>10.4114415395949</v>
      </c>
      <c r="H2306" s="81">
        <v>9.7269610307148504</v>
      </c>
    </row>
    <row r="2307" spans="1:8" x14ac:dyDescent="0.3">
      <c r="A2307" s="74" t="str">
        <f t="shared" ref="A2307:A2370" si="36">B2307&amp;C2307</f>
        <v>江苏46162</v>
      </c>
      <c r="B2307" s="75" t="s">
        <v>20</v>
      </c>
      <c r="C2307" s="45">
        <v>46162</v>
      </c>
      <c r="D2307" s="76">
        <v>1541.0783852690499</v>
      </c>
      <c r="E2307" s="77">
        <v>125</v>
      </c>
      <c r="F2307" s="78">
        <v>10.4114415395949</v>
      </c>
      <c r="G2307" s="78">
        <v>10.4114415395949</v>
      </c>
      <c r="H2307" s="81">
        <v>9.7269610307148504</v>
      </c>
    </row>
    <row r="2308" spans="1:8" x14ac:dyDescent="0.3">
      <c r="A2308" s="74" t="str">
        <f t="shared" si="36"/>
        <v>江苏46163</v>
      </c>
      <c r="B2308" s="75" t="s">
        <v>20</v>
      </c>
      <c r="C2308" s="45">
        <v>46163</v>
      </c>
      <c r="D2308" s="76">
        <v>1541.0783852690499</v>
      </c>
      <c r="E2308" s="77">
        <v>125</v>
      </c>
      <c r="F2308" s="78">
        <v>10.4114415395949</v>
      </c>
      <c r="G2308" s="78">
        <v>10.4114415395949</v>
      </c>
      <c r="H2308" s="81">
        <v>9.7269610307148504</v>
      </c>
    </row>
    <row r="2309" spans="1:8" x14ac:dyDescent="0.3">
      <c r="A2309" s="74" t="str">
        <f t="shared" si="36"/>
        <v>江苏46164</v>
      </c>
      <c r="B2309" s="75" t="s">
        <v>20</v>
      </c>
      <c r="C2309" s="45">
        <v>46164</v>
      </c>
      <c r="D2309" s="76">
        <v>1541.0783852690499</v>
      </c>
      <c r="E2309" s="77">
        <v>125</v>
      </c>
      <c r="F2309" s="78">
        <v>10.4114415395949</v>
      </c>
      <c r="G2309" s="78">
        <v>10.4114415395949</v>
      </c>
      <c r="H2309" s="81">
        <v>9.7269610307148504</v>
      </c>
    </row>
    <row r="2310" spans="1:8" x14ac:dyDescent="0.3">
      <c r="A2310" s="74" t="str">
        <f t="shared" si="36"/>
        <v>江苏46165</v>
      </c>
      <c r="B2310" s="75" t="s">
        <v>20</v>
      </c>
      <c r="C2310" s="45">
        <v>46165</v>
      </c>
      <c r="D2310" s="76">
        <v>1541.0783852690499</v>
      </c>
      <c r="E2310" s="77">
        <v>125</v>
      </c>
      <c r="F2310" s="78">
        <v>10.4114415395949</v>
      </c>
      <c r="G2310" s="78">
        <v>10.4114415395949</v>
      </c>
      <c r="H2310" s="81">
        <v>9.7269610307148504</v>
      </c>
    </row>
    <row r="2311" spans="1:8" x14ac:dyDescent="0.3">
      <c r="A2311" s="74" t="str">
        <f t="shared" si="36"/>
        <v>江苏46166</v>
      </c>
      <c r="B2311" s="75" t="s">
        <v>20</v>
      </c>
      <c r="C2311" s="45">
        <v>46166</v>
      </c>
      <c r="D2311" s="76">
        <v>1541.0783852690499</v>
      </c>
      <c r="E2311" s="77">
        <v>125</v>
      </c>
      <c r="F2311" s="78">
        <v>10.4114415395949</v>
      </c>
      <c r="G2311" s="78">
        <v>10.4114415395949</v>
      </c>
      <c r="H2311" s="81">
        <v>9.7269610307148504</v>
      </c>
    </row>
    <row r="2312" spans="1:8" x14ac:dyDescent="0.3">
      <c r="A2312" s="74" t="str">
        <f t="shared" si="36"/>
        <v>江苏46167</v>
      </c>
      <c r="B2312" s="75" t="s">
        <v>20</v>
      </c>
      <c r="C2312" s="45">
        <v>46167</v>
      </c>
      <c r="D2312" s="76">
        <v>1541.0783852690499</v>
      </c>
      <c r="E2312" s="77">
        <v>125</v>
      </c>
      <c r="F2312" s="78">
        <v>10.4114415395949</v>
      </c>
      <c r="G2312" s="78">
        <v>10.4114415395949</v>
      </c>
      <c r="H2312" s="81">
        <v>9.7269610307148504</v>
      </c>
    </row>
    <row r="2313" spans="1:8" x14ac:dyDescent="0.3">
      <c r="A2313" s="74" t="str">
        <f t="shared" si="36"/>
        <v>江苏46168</v>
      </c>
      <c r="B2313" s="75" t="s">
        <v>20</v>
      </c>
      <c r="C2313" s="45">
        <v>46168</v>
      </c>
      <c r="D2313" s="76">
        <v>1541.0783852690499</v>
      </c>
      <c r="E2313" s="77">
        <v>125</v>
      </c>
      <c r="F2313" s="78">
        <v>10.4114415395949</v>
      </c>
      <c r="G2313" s="78">
        <v>10.4114415395949</v>
      </c>
      <c r="H2313" s="81">
        <v>9.7269610307148504</v>
      </c>
    </row>
    <row r="2314" spans="1:8" x14ac:dyDescent="0.3">
      <c r="A2314" s="74" t="str">
        <f t="shared" si="36"/>
        <v>江苏46169</v>
      </c>
      <c r="B2314" s="75" t="s">
        <v>20</v>
      </c>
      <c r="C2314" s="45">
        <v>46169</v>
      </c>
      <c r="D2314" s="76">
        <v>1541.0783852690499</v>
      </c>
      <c r="E2314" s="77">
        <v>125</v>
      </c>
      <c r="F2314" s="78">
        <v>10.4114415395949</v>
      </c>
      <c r="G2314" s="78">
        <v>10.4114415395949</v>
      </c>
      <c r="H2314" s="81">
        <v>9.7269610307148504</v>
      </c>
    </row>
    <row r="2315" spans="1:8" x14ac:dyDescent="0.3">
      <c r="A2315" s="74" t="str">
        <f t="shared" si="36"/>
        <v>江苏46170</v>
      </c>
      <c r="B2315" s="75" t="s">
        <v>20</v>
      </c>
      <c r="C2315" s="45">
        <v>46170</v>
      </c>
      <c r="D2315" s="76">
        <v>1541.0783852690499</v>
      </c>
      <c r="E2315" s="77">
        <v>125</v>
      </c>
      <c r="F2315" s="78">
        <v>10.4114415395949</v>
      </c>
      <c r="G2315" s="78">
        <v>10.4114415395949</v>
      </c>
      <c r="H2315" s="81">
        <v>9.7269610307148504</v>
      </c>
    </row>
    <row r="2316" spans="1:8" x14ac:dyDescent="0.3">
      <c r="A2316" s="74" t="str">
        <f t="shared" si="36"/>
        <v>江苏46171</v>
      </c>
      <c r="B2316" s="75" t="s">
        <v>20</v>
      </c>
      <c r="C2316" s="45">
        <v>46171</v>
      </c>
      <c r="D2316" s="76">
        <v>1541.0783852690499</v>
      </c>
      <c r="E2316" s="77">
        <v>125</v>
      </c>
      <c r="F2316" s="78">
        <v>10.4114415395949</v>
      </c>
      <c r="G2316" s="78">
        <v>10.4114415395949</v>
      </c>
      <c r="H2316" s="81">
        <v>9.7269610307148504</v>
      </c>
    </row>
    <row r="2317" spans="1:8" x14ac:dyDescent="0.3">
      <c r="A2317" s="74" t="str">
        <f t="shared" si="36"/>
        <v>江苏46172</v>
      </c>
      <c r="B2317" s="75" t="s">
        <v>20</v>
      </c>
      <c r="C2317" s="45">
        <v>46172</v>
      </c>
      <c r="D2317" s="76">
        <v>1541.0783852690499</v>
      </c>
      <c r="E2317" s="77">
        <v>125</v>
      </c>
      <c r="F2317" s="78">
        <v>10.4114415395949</v>
      </c>
      <c r="G2317" s="78">
        <v>10.4114415395949</v>
      </c>
      <c r="H2317" s="81">
        <v>9.7269610307148504</v>
      </c>
    </row>
    <row r="2318" spans="1:8" x14ac:dyDescent="0.3">
      <c r="A2318" s="74" t="str">
        <f t="shared" si="36"/>
        <v>江苏46173</v>
      </c>
      <c r="B2318" s="75" t="s">
        <v>20</v>
      </c>
      <c r="C2318" s="45">
        <v>46173</v>
      </c>
      <c r="D2318" s="76">
        <v>1541.0783852690499</v>
      </c>
      <c r="E2318" s="77">
        <v>125</v>
      </c>
      <c r="F2318" s="78">
        <v>10.4114415395949</v>
      </c>
      <c r="G2318" s="78">
        <v>10.4114415395949</v>
      </c>
      <c r="H2318" s="81">
        <v>9.7269610307148504</v>
      </c>
    </row>
    <row r="2319" spans="1:8" x14ac:dyDescent="0.3">
      <c r="A2319" s="74" t="str">
        <f t="shared" si="36"/>
        <v>江苏46174</v>
      </c>
      <c r="B2319" s="75" t="s">
        <v>20</v>
      </c>
      <c r="C2319" s="45">
        <v>46174</v>
      </c>
      <c r="D2319" s="76">
        <v>1450.1550429645799</v>
      </c>
      <c r="E2319" s="77">
        <v>125</v>
      </c>
      <c r="F2319" s="78">
        <v>11.425379490866</v>
      </c>
      <c r="G2319" s="78">
        <v>11.425379490866</v>
      </c>
      <c r="H2319" s="81">
        <v>10.5877100119495</v>
      </c>
    </row>
    <row r="2320" spans="1:8" x14ac:dyDescent="0.3">
      <c r="A2320" s="74" t="str">
        <f t="shared" si="36"/>
        <v>江苏46175</v>
      </c>
      <c r="B2320" s="75" t="s">
        <v>20</v>
      </c>
      <c r="C2320" s="45">
        <v>46175</v>
      </c>
      <c r="D2320" s="76">
        <v>1450.1550429645799</v>
      </c>
      <c r="E2320" s="77">
        <v>125</v>
      </c>
      <c r="F2320" s="78">
        <v>11.425379490866</v>
      </c>
      <c r="G2320" s="78">
        <v>11.425379490866</v>
      </c>
      <c r="H2320" s="81">
        <v>10.5877100119495</v>
      </c>
    </row>
    <row r="2321" spans="1:8" x14ac:dyDescent="0.3">
      <c r="A2321" s="74" t="str">
        <f t="shared" si="36"/>
        <v>江苏46176</v>
      </c>
      <c r="B2321" s="75" t="s">
        <v>20</v>
      </c>
      <c r="C2321" s="45">
        <v>46176</v>
      </c>
      <c r="D2321" s="76">
        <v>1450.1550429645799</v>
      </c>
      <c r="E2321" s="77">
        <v>125</v>
      </c>
      <c r="F2321" s="78">
        <v>11.425379490866</v>
      </c>
      <c r="G2321" s="78">
        <v>11.425379490866</v>
      </c>
      <c r="H2321" s="81">
        <v>10.5877100119495</v>
      </c>
    </row>
    <row r="2322" spans="1:8" x14ac:dyDescent="0.3">
      <c r="A2322" s="74" t="str">
        <f t="shared" si="36"/>
        <v>江苏46177</v>
      </c>
      <c r="B2322" s="75" t="s">
        <v>20</v>
      </c>
      <c r="C2322" s="45">
        <v>46177</v>
      </c>
      <c r="D2322" s="76">
        <v>1450.1550429645799</v>
      </c>
      <c r="E2322" s="77">
        <v>125</v>
      </c>
      <c r="F2322" s="78">
        <v>11.425379490866</v>
      </c>
      <c r="G2322" s="78">
        <v>11.425379490866</v>
      </c>
      <c r="H2322" s="81">
        <v>10.5877100119495</v>
      </c>
    </row>
    <row r="2323" spans="1:8" x14ac:dyDescent="0.3">
      <c r="A2323" s="74" t="str">
        <f t="shared" si="36"/>
        <v>江苏46178</v>
      </c>
      <c r="B2323" s="75" t="s">
        <v>20</v>
      </c>
      <c r="C2323" s="45">
        <v>46178</v>
      </c>
      <c r="D2323" s="76">
        <v>1450.1550429645799</v>
      </c>
      <c r="E2323" s="77">
        <v>125</v>
      </c>
      <c r="F2323" s="78">
        <v>11.425379490866</v>
      </c>
      <c r="G2323" s="78">
        <v>11.425379490866</v>
      </c>
      <c r="H2323" s="81">
        <v>10.5877100119495</v>
      </c>
    </row>
    <row r="2324" spans="1:8" x14ac:dyDescent="0.3">
      <c r="A2324" s="74" t="str">
        <f t="shared" si="36"/>
        <v>江苏46179</v>
      </c>
      <c r="B2324" s="75" t="s">
        <v>20</v>
      </c>
      <c r="C2324" s="45">
        <v>46179</v>
      </c>
      <c r="D2324" s="76">
        <v>1450.1550429645799</v>
      </c>
      <c r="E2324" s="77">
        <v>125</v>
      </c>
      <c r="F2324" s="78">
        <v>11.425379490866</v>
      </c>
      <c r="G2324" s="78">
        <v>11.425379490866</v>
      </c>
      <c r="H2324" s="81">
        <v>10.5877100119495</v>
      </c>
    </row>
    <row r="2325" spans="1:8" x14ac:dyDescent="0.3">
      <c r="A2325" s="74" t="str">
        <f t="shared" si="36"/>
        <v>江苏46180</v>
      </c>
      <c r="B2325" s="75" t="s">
        <v>20</v>
      </c>
      <c r="C2325" s="45">
        <v>46180</v>
      </c>
      <c r="D2325" s="76">
        <v>1450.1550429645799</v>
      </c>
      <c r="E2325" s="77">
        <v>125</v>
      </c>
      <c r="F2325" s="78">
        <v>11.425379490866</v>
      </c>
      <c r="G2325" s="78">
        <v>11.425379490866</v>
      </c>
      <c r="H2325" s="81">
        <v>10.5877100119495</v>
      </c>
    </row>
    <row r="2326" spans="1:8" x14ac:dyDescent="0.3">
      <c r="A2326" s="74" t="str">
        <f t="shared" si="36"/>
        <v>江苏46181</v>
      </c>
      <c r="B2326" s="75" t="s">
        <v>20</v>
      </c>
      <c r="C2326" s="45">
        <v>46181</v>
      </c>
      <c r="D2326" s="76">
        <v>1450.1550429645799</v>
      </c>
      <c r="E2326" s="77">
        <v>125</v>
      </c>
      <c r="F2326" s="78">
        <v>11.425379490866</v>
      </c>
      <c r="G2326" s="78">
        <v>11.425379490866</v>
      </c>
      <c r="H2326" s="81">
        <v>10.5877100119495</v>
      </c>
    </row>
    <row r="2327" spans="1:8" x14ac:dyDescent="0.3">
      <c r="A2327" s="74" t="str">
        <f t="shared" si="36"/>
        <v>江苏46182</v>
      </c>
      <c r="B2327" s="75" t="s">
        <v>20</v>
      </c>
      <c r="C2327" s="45">
        <v>46182</v>
      </c>
      <c r="D2327" s="76">
        <v>1450.1550429645799</v>
      </c>
      <c r="E2327" s="77">
        <v>125</v>
      </c>
      <c r="F2327" s="78">
        <v>11.425379490866</v>
      </c>
      <c r="G2327" s="78">
        <v>11.425379490866</v>
      </c>
      <c r="H2327" s="81">
        <v>10.5877100119495</v>
      </c>
    </row>
    <row r="2328" spans="1:8" x14ac:dyDescent="0.3">
      <c r="A2328" s="74" t="str">
        <f t="shared" si="36"/>
        <v>江苏46183</v>
      </c>
      <c r="B2328" s="75" t="s">
        <v>20</v>
      </c>
      <c r="C2328" s="45">
        <v>46183</v>
      </c>
      <c r="D2328" s="76">
        <v>1450.1550429645799</v>
      </c>
      <c r="E2328" s="77">
        <v>125</v>
      </c>
      <c r="F2328" s="78">
        <v>11.425379490866</v>
      </c>
      <c r="G2328" s="78">
        <v>11.425379490866</v>
      </c>
      <c r="H2328" s="81">
        <v>10.5877100119495</v>
      </c>
    </row>
    <row r="2329" spans="1:8" x14ac:dyDescent="0.3">
      <c r="A2329" s="74" t="str">
        <f t="shared" si="36"/>
        <v>江苏46184</v>
      </c>
      <c r="B2329" s="75" t="s">
        <v>20</v>
      </c>
      <c r="C2329" s="45">
        <v>46184</v>
      </c>
      <c r="D2329" s="76">
        <v>1450.1550429645799</v>
      </c>
      <c r="E2329" s="77">
        <v>125</v>
      </c>
      <c r="F2329" s="78">
        <v>11.425379490866</v>
      </c>
      <c r="G2329" s="78">
        <v>11.425379490866</v>
      </c>
      <c r="H2329" s="81">
        <v>10.5877100119495</v>
      </c>
    </row>
    <row r="2330" spans="1:8" x14ac:dyDescent="0.3">
      <c r="A2330" s="74" t="str">
        <f t="shared" si="36"/>
        <v>江苏46185</v>
      </c>
      <c r="B2330" s="75" t="s">
        <v>20</v>
      </c>
      <c r="C2330" s="45">
        <v>46185</v>
      </c>
      <c r="D2330" s="76">
        <v>1450.1550429645799</v>
      </c>
      <c r="E2330" s="77">
        <v>125</v>
      </c>
      <c r="F2330" s="78">
        <v>11.425379490866</v>
      </c>
      <c r="G2330" s="78">
        <v>11.425379490866</v>
      </c>
      <c r="H2330" s="81">
        <v>10.5877100119495</v>
      </c>
    </row>
    <row r="2331" spans="1:8" x14ac:dyDescent="0.3">
      <c r="A2331" s="74" t="str">
        <f t="shared" si="36"/>
        <v>江苏46186</v>
      </c>
      <c r="B2331" s="75" t="s">
        <v>20</v>
      </c>
      <c r="C2331" s="45">
        <v>46186</v>
      </c>
      <c r="D2331" s="76">
        <v>1450.1550429645799</v>
      </c>
      <c r="E2331" s="77">
        <v>125</v>
      </c>
      <c r="F2331" s="78">
        <v>11.425379490866</v>
      </c>
      <c r="G2331" s="78">
        <v>11.425379490866</v>
      </c>
      <c r="H2331" s="81">
        <v>10.5877100119495</v>
      </c>
    </row>
    <row r="2332" spans="1:8" x14ac:dyDescent="0.3">
      <c r="A2332" s="74" t="str">
        <f t="shared" si="36"/>
        <v>江苏46187</v>
      </c>
      <c r="B2332" s="75" t="s">
        <v>20</v>
      </c>
      <c r="C2332" s="45">
        <v>46187</v>
      </c>
      <c r="D2332" s="76">
        <v>1450.1550429645799</v>
      </c>
      <c r="E2332" s="77">
        <v>125</v>
      </c>
      <c r="F2332" s="78">
        <v>11.425379490866</v>
      </c>
      <c r="G2332" s="78">
        <v>11.425379490866</v>
      </c>
      <c r="H2332" s="81">
        <v>10.5877100119495</v>
      </c>
    </row>
    <row r="2333" spans="1:8" x14ac:dyDescent="0.3">
      <c r="A2333" s="74" t="str">
        <f t="shared" si="36"/>
        <v>江苏46188</v>
      </c>
      <c r="B2333" s="75" t="s">
        <v>20</v>
      </c>
      <c r="C2333" s="45">
        <v>46188</v>
      </c>
      <c r="D2333" s="76">
        <v>1450.1550429645799</v>
      </c>
      <c r="E2333" s="77">
        <v>125</v>
      </c>
      <c r="F2333" s="78">
        <v>11.425379490866</v>
      </c>
      <c r="G2333" s="78">
        <v>11.425379490866</v>
      </c>
      <c r="H2333" s="81">
        <v>10.5877100119495</v>
      </c>
    </row>
    <row r="2334" spans="1:8" x14ac:dyDescent="0.3">
      <c r="A2334" s="74" t="str">
        <f t="shared" si="36"/>
        <v>江苏46189</v>
      </c>
      <c r="B2334" s="75" t="s">
        <v>20</v>
      </c>
      <c r="C2334" s="45">
        <v>46189</v>
      </c>
      <c r="D2334" s="76">
        <v>1450.1550429645799</v>
      </c>
      <c r="E2334" s="77">
        <v>125</v>
      </c>
      <c r="F2334" s="78">
        <v>11.425379490866</v>
      </c>
      <c r="G2334" s="78">
        <v>11.425379490866</v>
      </c>
      <c r="H2334" s="81">
        <v>10.5877100119495</v>
      </c>
    </row>
    <row r="2335" spans="1:8" x14ac:dyDescent="0.3">
      <c r="A2335" s="74" t="str">
        <f t="shared" si="36"/>
        <v>江苏46190</v>
      </c>
      <c r="B2335" s="75" t="s">
        <v>20</v>
      </c>
      <c r="C2335" s="45">
        <v>46190</v>
      </c>
      <c r="D2335" s="76">
        <v>1450.1550429645799</v>
      </c>
      <c r="E2335" s="77">
        <v>125</v>
      </c>
      <c r="F2335" s="78">
        <v>11.425379490866</v>
      </c>
      <c r="G2335" s="78">
        <v>11.425379490866</v>
      </c>
      <c r="H2335" s="81">
        <v>10.5877100119495</v>
      </c>
    </row>
    <row r="2336" spans="1:8" x14ac:dyDescent="0.3">
      <c r="A2336" s="74" t="str">
        <f t="shared" si="36"/>
        <v>江苏46191</v>
      </c>
      <c r="B2336" s="75" t="s">
        <v>20</v>
      </c>
      <c r="C2336" s="45">
        <v>46191</v>
      </c>
      <c r="D2336" s="76">
        <v>1450.1550429645799</v>
      </c>
      <c r="E2336" s="77">
        <v>125</v>
      </c>
      <c r="F2336" s="78">
        <v>11.425379490866</v>
      </c>
      <c r="G2336" s="78">
        <v>11.425379490866</v>
      </c>
      <c r="H2336" s="81">
        <v>10.5877100119495</v>
      </c>
    </row>
    <row r="2337" spans="1:8" x14ac:dyDescent="0.3">
      <c r="A2337" s="74" t="str">
        <f t="shared" si="36"/>
        <v>江苏46192</v>
      </c>
      <c r="B2337" s="75" t="s">
        <v>20</v>
      </c>
      <c r="C2337" s="45">
        <v>46192</v>
      </c>
      <c r="D2337" s="76">
        <v>1450.1550429645799</v>
      </c>
      <c r="E2337" s="77">
        <v>125</v>
      </c>
      <c r="F2337" s="78">
        <v>11.425379490866</v>
      </c>
      <c r="G2337" s="78">
        <v>11.425379490866</v>
      </c>
      <c r="H2337" s="81">
        <v>10.5877100119495</v>
      </c>
    </row>
    <row r="2338" spans="1:8" x14ac:dyDescent="0.3">
      <c r="A2338" s="74" t="str">
        <f t="shared" si="36"/>
        <v>江苏46193</v>
      </c>
      <c r="B2338" s="75" t="s">
        <v>20</v>
      </c>
      <c r="C2338" s="45">
        <v>46193</v>
      </c>
      <c r="D2338" s="76">
        <v>1450.1550429645799</v>
      </c>
      <c r="E2338" s="77">
        <v>125</v>
      </c>
      <c r="F2338" s="78">
        <v>11.425379490866</v>
      </c>
      <c r="G2338" s="78">
        <v>11.425379490866</v>
      </c>
      <c r="H2338" s="81">
        <v>10.5877100119495</v>
      </c>
    </row>
    <row r="2339" spans="1:8" x14ac:dyDescent="0.3">
      <c r="A2339" s="74" t="str">
        <f t="shared" si="36"/>
        <v>江苏46194</v>
      </c>
      <c r="B2339" s="75" t="s">
        <v>20</v>
      </c>
      <c r="C2339" s="45">
        <v>46194</v>
      </c>
      <c r="D2339" s="76">
        <v>1450.1550429645799</v>
      </c>
      <c r="E2339" s="77">
        <v>125</v>
      </c>
      <c r="F2339" s="78">
        <v>11.425379490866</v>
      </c>
      <c r="G2339" s="78">
        <v>11.425379490866</v>
      </c>
      <c r="H2339" s="81">
        <v>10.5877100119495</v>
      </c>
    </row>
    <row r="2340" spans="1:8" x14ac:dyDescent="0.3">
      <c r="A2340" s="74" t="str">
        <f t="shared" si="36"/>
        <v>江苏46195</v>
      </c>
      <c r="B2340" s="75" t="s">
        <v>20</v>
      </c>
      <c r="C2340" s="45">
        <v>46195</v>
      </c>
      <c r="D2340" s="76">
        <v>1450.1550429645799</v>
      </c>
      <c r="E2340" s="77">
        <v>125</v>
      </c>
      <c r="F2340" s="78">
        <v>11.425379490866</v>
      </c>
      <c r="G2340" s="78">
        <v>11.425379490866</v>
      </c>
      <c r="H2340" s="81">
        <v>10.5877100119495</v>
      </c>
    </row>
    <row r="2341" spans="1:8" x14ac:dyDescent="0.3">
      <c r="A2341" s="74" t="str">
        <f t="shared" si="36"/>
        <v>江苏46196</v>
      </c>
      <c r="B2341" s="75" t="s">
        <v>20</v>
      </c>
      <c r="C2341" s="45">
        <v>46196</v>
      </c>
      <c r="D2341" s="76">
        <v>1450.1550429645799</v>
      </c>
      <c r="E2341" s="77">
        <v>125</v>
      </c>
      <c r="F2341" s="78">
        <v>11.425379490866</v>
      </c>
      <c r="G2341" s="78">
        <v>11.425379490866</v>
      </c>
      <c r="H2341" s="81">
        <v>10.5877100119495</v>
      </c>
    </row>
    <row r="2342" spans="1:8" x14ac:dyDescent="0.3">
      <c r="A2342" s="74" t="str">
        <f t="shared" si="36"/>
        <v>江苏46197</v>
      </c>
      <c r="B2342" s="75" t="s">
        <v>20</v>
      </c>
      <c r="C2342" s="45">
        <v>46197</v>
      </c>
      <c r="D2342" s="76">
        <v>1450.1550429645799</v>
      </c>
      <c r="E2342" s="77">
        <v>125</v>
      </c>
      <c r="F2342" s="78">
        <v>11.425379490866</v>
      </c>
      <c r="G2342" s="78">
        <v>11.425379490866</v>
      </c>
      <c r="H2342" s="81">
        <v>10.5877100119495</v>
      </c>
    </row>
    <row r="2343" spans="1:8" x14ac:dyDescent="0.3">
      <c r="A2343" s="74" t="str">
        <f t="shared" si="36"/>
        <v>江苏46198</v>
      </c>
      <c r="B2343" s="75" t="s">
        <v>20</v>
      </c>
      <c r="C2343" s="45">
        <v>46198</v>
      </c>
      <c r="D2343" s="76">
        <v>1450.1550429645799</v>
      </c>
      <c r="E2343" s="77">
        <v>125</v>
      </c>
      <c r="F2343" s="78">
        <v>11.425379490866</v>
      </c>
      <c r="G2343" s="78">
        <v>11.425379490866</v>
      </c>
      <c r="H2343" s="81">
        <v>10.5877100119495</v>
      </c>
    </row>
    <row r="2344" spans="1:8" x14ac:dyDescent="0.3">
      <c r="A2344" s="74" t="str">
        <f t="shared" si="36"/>
        <v>江苏46199</v>
      </c>
      <c r="B2344" s="75" t="s">
        <v>20</v>
      </c>
      <c r="C2344" s="45">
        <v>46199</v>
      </c>
      <c r="D2344" s="76">
        <v>1450.1550429645799</v>
      </c>
      <c r="E2344" s="77">
        <v>125</v>
      </c>
      <c r="F2344" s="78">
        <v>11.425379490866</v>
      </c>
      <c r="G2344" s="78">
        <v>11.425379490866</v>
      </c>
      <c r="H2344" s="81">
        <v>10.5877100119495</v>
      </c>
    </row>
    <row r="2345" spans="1:8" x14ac:dyDescent="0.3">
      <c r="A2345" s="74" t="str">
        <f t="shared" si="36"/>
        <v>江苏46200</v>
      </c>
      <c r="B2345" s="75" t="s">
        <v>20</v>
      </c>
      <c r="C2345" s="45">
        <v>46200</v>
      </c>
      <c r="D2345" s="76">
        <v>1450.1550429645799</v>
      </c>
      <c r="E2345" s="77">
        <v>125</v>
      </c>
      <c r="F2345" s="78">
        <v>11.425379490866</v>
      </c>
      <c r="G2345" s="78">
        <v>11.425379490866</v>
      </c>
      <c r="H2345" s="81">
        <v>10.5877100119495</v>
      </c>
    </row>
    <row r="2346" spans="1:8" x14ac:dyDescent="0.3">
      <c r="A2346" s="74" t="str">
        <f t="shared" si="36"/>
        <v>江苏46201</v>
      </c>
      <c r="B2346" s="75" t="s">
        <v>20</v>
      </c>
      <c r="C2346" s="45">
        <v>46201</v>
      </c>
      <c r="D2346" s="76">
        <v>1450.1550429645799</v>
      </c>
      <c r="E2346" s="77">
        <v>125</v>
      </c>
      <c r="F2346" s="78">
        <v>11.425379490866</v>
      </c>
      <c r="G2346" s="78">
        <v>11.425379490866</v>
      </c>
      <c r="H2346" s="81">
        <v>10.5877100119495</v>
      </c>
    </row>
    <row r="2347" spans="1:8" x14ac:dyDescent="0.3">
      <c r="A2347" s="74" t="str">
        <f t="shared" si="36"/>
        <v>江苏46202</v>
      </c>
      <c r="B2347" s="75" t="s">
        <v>20</v>
      </c>
      <c r="C2347" s="45">
        <v>46202</v>
      </c>
      <c r="D2347" s="76">
        <v>1450.1550429645799</v>
      </c>
      <c r="E2347" s="77">
        <v>125</v>
      </c>
      <c r="F2347" s="78">
        <v>11.425379490866</v>
      </c>
      <c r="G2347" s="78">
        <v>11.425379490866</v>
      </c>
      <c r="H2347" s="81">
        <v>10.5877100119495</v>
      </c>
    </row>
    <row r="2348" spans="1:8" x14ac:dyDescent="0.3">
      <c r="A2348" s="74" t="str">
        <f t="shared" si="36"/>
        <v>江苏46203</v>
      </c>
      <c r="B2348" s="75" t="s">
        <v>20</v>
      </c>
      <c r="C2348" s="45">
        <v>46203</v>
      </c>
      <c r="D2348" s="76">
        <v>1450.1550429645799</v>
      </c>
      <c r="E2348" s="77">
        <v>125</v>
      </c>
      <c r="F2348" s="78">
        <v>11.425379490866</v>
      </c>
      <c r="G2348" s="78">
        <v>11.425379490866</v>
      </c>
      <c r="H2348" s="81">
        <v>10.5877100119495</v>
      </c>
    </row>
    <row r="2349" spans="1:8" x14ac:dyDescent="0.3">
      <c r="A2349" s="74" t="str">
        <f t="shared" si="36"/>
        <v>江苏46204</v>
      </c>
      <c r="B2349" s="75" t="s">
        <v>20</v>
      </c>
      <c r="C2349" s="45">
        <v>46204</v>
      </c>
      <c r="D2349" s="76">
        <v>1510.07929884596</v>
      </c>
      <c r="E2349" s="77">
        <v>125</v>
      </c>
      <c r="F2349" s="78">
        <v>11.9041404294044</v>
      </c>
      <c r="G2349" s="78">
        <v>11.9041404294044</v>
      </c>
      <c r="H2349" s="81">
        <v>11.448458993184101</v>
      </c>
    </row>
    <row r="2350" spans="1:8" x14ac:dyDescent="0.3">
      <c r="A2350" s="74" t="str">
        <f t="shared" si="36"/>
        <v>江苏46205</v>
      </c>
      <c r="B2350" s="75" t="s">
        <v>20</v>
      </c>
      <c r="C2350" s="45">
        <v>46205</v>
      </c>
      <c r="D2350" s="76">
        <v>1510.07929884596</v>
      </c>
      <c r="E2350" s="77">
        <v>125</v>
      </c>
      <c r="F2350" s="78">
        <v>11.9041404294044</v>
      </c>
      <c r="G2350" s="78">
        <v>11.9041404294044</v>
      </c>
      <c r="H2350" s="81">
        <v>11.448458993184101</v>
      </c>
    </row>
    <row r="2351" spans="1:8" x14ac:dyDescent="0.3">
      <c r="A2351" s="74" t="str">
        <f t="shared" si="36"/>
        <v>江苏46206</v>
      </c>
      <c r="B2351" s="75" t="s">
        <v>20</v>
      </c>
      <c r="C2351" s="45">
        <v>46206</v>
      </c>
      <c r="D2351" s="76">
        <v>1510.07929884596</v>
      </c>
      <c r="E2351" s="77">
        <v>125</v>
      </c>
      <c r="F2351" s="78">
        <v>11.9041404294044</v>
      </c>
      <c r="G2351" s="78">
        <v>11.9041404294044</v>
      </c>
      <c r="H2351" s="81">
        <v>11.448458993184101</v>
      </c>
    </row>
    <row r="2352" spans="1:8" x14ac:dyDescent="0.3">
      <c r="A2352" s="74" t="str">
        <f t="shared" si="36"/>
        <v>江苏46207</v>
      </c>
      <c r="B2352" s="75" t="s">
        <v>20</v>
      </c>
      <c r="C2352" s="45">
        <v>46207</v>
      </c>
      <c r="D2352" s="76">
        <v>1510.07929884596</v>
      </c>
      <c r="E2352" s="77">
        <v>125</v>
      </c>
      <c r="F2352" s="78">
        <v>11.9041404294044</v>
      </c>
      <c r="G2352" s="78">
        <v>11.9041404294044</v>
      </c>
      <c r="H2352" s="81">
        <v>11.448458993184101</v>
      </c>
    </row>
    <row r="2353" spans="1:8" x14ac:dyDescent="0.3">
      <c r="A2353" s="74" t="str">
        <f t="shared" si="36"/>
        <v>江苏46208</v>
      </c>
      <c r="B2353" s="75" t="s">
        <v>20</v>
      </c>
      <c r="C2353" s="45">
        <v>46208</v>
      </c>
      <c r="D2353" s="76">
        <v>1510.07929884596</v>
      </c>
      <c r="E2353" s="77">
        <v>125</v>
      </c>
      <c r="F2353" s="78">
        <v>11.9041404294044</v>
      </c>
      <c r="G2353" s="78">
        <v>11.9041404294044</v>
      </c>
      <c r="H2353" s="81">
        <v>11.448458993184101</v>
      </c>
    </row>
    <row r="2354" spans="1:8" x14ac:dyDescent="0.3">
      <c r="A2354" s="74" t="str">
        <f t="shared" si="36"/>
        <v>江苏46209</v>
      </c>
      <c r="B2354" s="75" t="s">
        <v>20</v>
      </c>
      <c r="C2354" s="45">
        <v>46209</v>
      </c>
      <c r="D2354" s="76">
        <v>1510.07929884596</v>
      </c>
      <c r="E2354" s="77">
        <v>125</v>
      </c>
      <c r="F2354" s="78">
        <v>11.9041404294044</v>
      </c>
      <c r="G2354" s="78">
        <v>11.9041404294044</v>
      </c>
      <c r="H2354" s="81">
        <v>11.448458993184101</v>
      </c>
    </row>
    <row r="2355" spans="1:8" x14ac:dyDescent="0.3">
      <c r="A2355" s="74" t="str">
        <f t="shared" si="36"/>
        <v>江苏46210</v>
      </c>
      <c r="B2355" s="75" t="s">
        <v>20</v>
      </c>
      <c r="C2355" s="45">
        <v>46210</v>
      </c>
      <c r="D2355" s="76">
        <v>1510.07929884596</v>
      </c>
      <c r="E2355" s="77">
        <v>125</v>
      </c>
      <c r="F2355" s="78">
        <v>11.9041404294044</v>
      </c>
      <c r="G2355" s="78">
        <v>11.9041404294044</v>
      </c>
      <c r="H2355" s="81">
        <v>11.448458993184101</v>
      </c>
    </row>
    <row r="2356" spans="1:8" x14ac:dyDescent="0.3">
      <c r="A2356" s="74" t="str">
        <f t="shared" si="36"/>
        <v>江苏46211</v>
      </c>
      <c r="B2356" s="75" t="s">
        <v>20</v>
      </c>
      <c r="C2356" s="45">
        <v>46211</v>
      </c>
      <c r="D2356" s="76">
        <v>1510.07929884596</v>
      </c>
      <c r="E2356" s="77">
        <v>125</v>
      </c>
      <c r="F2356" s="78">
        <v>11.9041404294044</v>
      </c>
      <c r="G2356" s="78">
        <v>11.9041404294044</v>
      </c>
      <c r="H2356" s="81">
        <v>11.448458993184101</v>
      </c>
    </row>
    <row r="2357" spans="1:8" x14ac:dyDescent="0.3">
      <c r="A2357" s="74" t="str">
        <f t="shared" si="36"/>
        <v>江苏46212</v>
      </c>
      <c r="B2357" s="75" t="s">
        <v>20</v>
      </c>
      <c r="C2357" s="45">
        <v>46212</v>
      </c>
      <c r="D2357" s="76">
        <v>1510.07929884596</v>
      </c>
      <c r="E2357" s="77">
        <v>125</v>
      </c>
      <c r="F2357" s="78">
        <v>11.9041404294044</v>
      </c>
      <c r="G2357" s="78">
        <v>11.9041404294044</v>
      </c>
      <c r="H2357" s="81">
        <v>11.448458993184101</v>
      </c>
    </row>
    <row r="2358" spans="1:8" x14ac:dyDescent="0.3">
      <c r="A2358" s="74" t="str">
        <f t="shared" si="36"/>
        <v>江苏46213</v>
      </c>
      <c r="B2358" s="75" t="s">
        <v>20</v>
      </c>
      <c r="C2358" s="45">
        <v>46213</v>
      </c>
      <c r="D2358" s="76">
        <v>1510.07929884596</v>
      </c>
      <c r="E2358" s="77">
        <v>125</v>
      </c>
      <c r="F2358" s="78">
        <v>11.9041404294044</v>
      </c>
      <c r="G2358" s="78">
        <v>11.9041404294044</v>
      </c>
      <c r="H2358" s="81">
        <v>11.448458993184101</v>
      </c>
    </row>
    <row r="2359" spans="1:8" x14ac:dyDescent="0.3">
      <c r="A2359" s="74" t="str">
        <f t="shared" si="36"/>
        <v>江苏46214</v>
      </c>
      <c r="B2359" s="75" t="s">
        <v>20</v>
      </c>
      <c r="C2359" s="45">
        <v>46214</v>
      </c>
      <c r="D2359" s="76">
        <v>1510.07929884596</v>
      </c>
      <c r="E2359" s="77">
        <v>125</v>
      </c>
      <c r="F2359" s="78">
        <v>11.9041404294044</v>
      </c>
      <c r="G2359" s="78">
        <v>11.9041404294044</v>
      </c>
      <c r="H2359" s="81">
        <v>11.448458993184101</v>
      </c>
    </row>
    <row r="2360" spans="1:8" x14ac:dyDescent="0.3">
      <c r="A2360" s="74" t="str">
        <f t="shared" si="36"/>
        <v>江苏46215</v>
      </c>
      <c r="B2360" s="75" t="s">
        <v>20</v>
      </c>
      <c r="C2360" s="45">
        <v>46215</v>
      </c>
      <c r="D2360" s="76">
        <v>1510.07929884596</v>
      </c>
      <c r="E2360" s="77">
        <v>125</v>
      </c>
      <c r="F2360" s="78">
        <v>11.9041404294044</v>
      </c>
      <c r="G2360" s="78">
        <v>11.9041404294044</v>
      </c>
      <c r="H2360" s="81">
        <v>11.448458993184101</v>
      </c>
    </row>
    <row r="2361" spans="1:8" x14ac:dyDescent="0.3">
      <c r="A2361" s="74" t="str">
        <f t="shared" si="36"/>
        <v>江苏46216</v>
      </c>
      <c r="B2361" s="75" t="s">
        <v>20</v>
      </c>
      <c r="C2361" s="45">
        <v>46216</v>
      </c>
      <c r="D2361" s="76">
        <v>1510.07929884596</v>
      </c>
      <c r="E2361" s="77">
        <v>125</v>
      </c>
      <c r="F2361" s="78">
        <v>11.9041404294044</v>
      </c>
      <c r="G2361" s="78">
        <v>11.9041404294044</v>
      </c>
      <c r="H2361" s="81">
        <v>11.448458993184101</v>
      </c>
    </row>
    <row r="2362" spans="1:8" x14ac:dyDescent="0.3">
      <c r="A2362" s="74" t="str">
        <f t="shared" si="36"/>
        <v>江苏46217</v>
      </c>
      <c r="B2362" s="75" t="s">
        <v>20</v>
      </c>
      <c r="C2362" s="45">
        <v>46217</v>
      </c>
      <c r="D2362" s="76">
        <v>1510.07929884596</v>
      </c>
      <c r="E2362" s="77">
        <v>125</v>
      </c>
      <c r="F2362" s="78">
        <v>11.9041404294044</v>
      </c>
      <c r="G2362" s="78">
        <v>11.9041404294044</v>
      </c>
      <c r="H2362" s="81">
        <v>11.448458993184101</v>
      </c>
    </row>
    <row r="2363" spans="1:8" x14ac:dyDescent="0.3">
      <c r="A2363" s="74" t="str">
        <f t="shared" si="36"/>
        <v>江苏46218</v>
      </c>
      <c r="B2363" s="75" t="s">
        <v>20</v>
      </c>
      <c r="C2363" s="45">
        <v>46218</v>
      </c>
      <c r="D2363" s="76">
        <v>1510.07929884596</v>
      </c>
      <c r="E2363" s="77">
        <v>125</v>
      </c>
      <c r="F2363" s="78">
        <v>11.9041404294044</v>
      </c>
      <c r="G2363" s="78">
        <v>11.9041404294044</v>
      </c>
      <c r="H2363" s="81">
        <v>11.448458993184101</v>
      </c>
    </row>
    <row r="2364" spans="1:8" x14ac:dyDescent="0.3">
      <c r="A2364" s="74" t="str">
        <f t="shared" si="36"/>
        <v>江苏46219</v>
      </c>
      <c r="B2364" s="75" t="s">
        <v>20</v>
      </c>
      <c r="C2364" s="45">
        <v>46219</v>
      </c>
      <c r="D2364" s="76">
        <v>1510.07929884596</v>
      </c>
      <c r="E2364" s="77">
        <v>125</v>
      </c>
      <c r="F2364" s="78">
        <v>11.9041404294044</v>
      </c>
      <c r="G2364" s="78">
        <v>11.9041404294044</v>
      </c>
      <c r="H2364" s="81">
        <v>11.448458993184101</v>
      </c>
    </row>
    <row r="2365" spans="1:8" x14ac:dyDescent="0.3">
      <c r="A2365" s="74" t="str">
        <f t="shared" si="36"/>
        <v>江苏46220</v>
      </c>
      <c r="B2365" s="75" t="s">
        <v>20</v>
      </c>
      <c r="C2365" s="45">
        <v>46220</v>
      </c>
      <c r="D2365" s="76">
        <v>1510.07929884596</v>
      </c>
      <c r="E2365" s="77">
        <v>125</v>
      </c>
      <c r="F2365" s="78">
        <v>11.9041404294044</v>
      </c>
      <c r="G2365" s="78">
        <v>11.9041404294044</v>
      </c>
      <c r="H2365" s="81">
        <v>11.448458993184101</v>
      </c>
    </row>
    <row r="2366" spans="1:8" x14ac:dyDescent="0.3">
      <c r="A2366" s="74" t="str">
        <f t="shared" si="36"/>
        <v>江苏46221</v>
      </c>
      <c r="B2366" s="75" t="s">
        <v>20</v>
      </c>
      <c r="C2366" s="45">
        <v>46221</v>
      </c>
      <c r="D2366" s="76">
        <v>1510.07929884596</v>
      </c>
      <c r="E2366" s="77">
        <v>125</v>
      </c>
      <c r="F2366" s="78">
        <v>11.9041404294044</v>
      </c>
      <c r="G2366" s="78">
        <v>11.9041404294044</v>
      </c>
      <c r="H2366" s="81">
        <v>11.448458993184101</v>
      </c>
    </row>
    <row r="2367" spans="1:8" x14ac:dyDescent="0.3">
      <c r="A2367" s="74" t="str">
        <f t="shared" si="36"/>
        <v>江苏46222</v>
      </c>
      <c r="B2367" s="75" t="s">
        <v>20</v>
      </c>
      <c r="C2367" s="45">
        <v>46222</v>
      </c>
      <c r="D2367" s="76">
        <v>1510.07929884596</v>
      </c>
      <c r="E2367" s="77">
        <v>125</v>
      </c>
      <c r="F2367" s="78">
        <v>11.9041404294044</v>
      </c>
      <c r="G2367" s="78">
        <v>11.9041404294044</v>
      </c>
      <c r="H2367" s="81">
        <v>11.448458993184101</v>
      </c>
    </row>
    <row r="2368" spans="1:8" x14ac:dyDescent="0.3">
      <c r="A2368" s="74" t="str">
        <f t="shared" si="36"/>
        <v>江苏46223</v>
      </c>
      <c r="B2368" s="75" t="s">
        <v>20</v>
      </c>
      <c r="C2368" s="45">
        <v>46223</v>
      </c>
      <c r="D2368" s="76">
        <v>1510.07929884596</v>
      </c>
      <c r="E2368" s="77">
        <v>125</v>
      </c>
      <c r="F2368" s="78">
        <v>11.9041404294044</v>
      </c>
      <c r="G2368" s="78">
        <v>11.9041404294044</v>
      </c>
      <c r="H2368" s="81">
        <v>11.448458993184101</v>
      </c>
    </row>
    <row r="2369" spans="1:8" x14ac:dyDescent="0.3">
      <c r="A2369" s="74" t="str">
        <f t="shared" si="36"/>
        <v>江苏46224</v>
      </c>
      <c r="B2369" s="75" t="s">
        <v>20</v>
      </c>
      <c r="C2369" s="45">
        <v>46224</v>
      </c>
      <c r="D2369" s="76">
        <v>1510.07929884596</v>
      </c>
      <c r="E2369" s="77">
        <v>125</v>
      </c>
      <c r="F2369" s="78">
        <v>11.9041404294044</v>
      </c>
      <c r="G2369" s="78">
        <v>11.9041404294044</v>
      </c>
      <c r="H2369" s="81">
        <v>11.448458993184101</v>
      </c>
    </row>
    <row r="2370" spans="1:8" x14ac:dyDescent="0.3">
      <c r="A2370" s="74" t="str">
        <f t="shared" si="36"/>
        <v>江苏46225</v>
      </c>
      <c r="B2370" s="75" t="s">
        <v>20</v>
      </c>
      <c r="C2370" s="45">
        <v>46225</v>
      </c>
      <c r="D2370" s="76">
        <v>1510.07929884596</v>
      </c>
      <c r="E2370" s="77">
        <v>125</v>
      </c>
      <c r="F2370" s="78">
        <v>11.9041404294044</v>
      </c>
      <c r="G2370" s="78">
        <v>11.9041404294044</v>
      </c>
      <c r="H2370" s="81">
        <v>11.448458993184101</v>
      </c>
    </row>
    <row r="2371" spans="1:8" x14ac:dyDescent="0.3">
      <c r="A2371" s="74" t="str">
        <f t="shared" ref="A2371:A2434" si="37">B2371&amp;C2371</f>
        <v>江苏46226</v>
      </c>
      <c r="B2371" s="75" t="s">
        <v>20</v>
      </c>
      <c r="C2371" s="45">
        <v>46226</v>
      </c>
      <c r="D2371" s="76">
        <v>1510.07929884596</v>
      </c>
      <c r="E2371" s="77">
        <v>125</v>
      </c>
      <c r="F2371" s="78">
        <v>11.9041404294044</v>
      </c>
      <c r="G2371" s="78">
        <v>11.9041404294044</v>
      </c>
      <c r="H2371" s="81">
        <v>11.448458993184101</v>
      </c>
    </row>
    <row r="2372" spans="1:8" x14ac:dyDescent="0.3">
      <c r="A2372" s="74" t="str">
        <f t="shared" si="37"/>
        <v>江苏46227</v>
      </c>
      <c r="B2372" s="75" t="s">
        <v>20</v>
      </c>
      <c r="C2372" s="45">
        <v>46227</v>
      </c>
      <c r="D2372" s="76">
        <v>1510.07929884596</v>
      </c>
      <c r="E2372" s="77">
        <v>125</v>
      </c>
      <c r="F2372" s="78">
        <v>11.9041404294044</v>
      </c>
      <c r="G2372" s="78">
        <v>11.9041404294044</v>
      </c>
      <c r="H2372" s="81">
        <v>11.448458993184101</v>
      </c>
    </row>
    <row r="2373" spans="1:8" x14ac:dyDescent="0.3">
      <c r="A2373" s="74" t="str">
        <f t="shared" si="37"/>
        <v>江苏46228</v>
      </c>
      <c r="B2373" s="75" t="s">
        <v>20</v>
      </c>
      <c r="C2373" s="45">
        <v>46228</v>
      </c>
      <c r="D2373" s="76">
        <v>1510.07929884596</v>
      </c>
      <c r="E2373" s="77">
        <v>125</v>
      </c>
      <c r="F2373" s="78">
        <v>11.9041404294044</v>
      </c>
      <c r="G2373" s="78">
        <v>11.9041404294044</v>
      </c>
      <c r="H2373" s="81">
        <v>11.448458993184101</v>
      </c>
    </row>
    <row r="2374" spans="1:8" x14ac:dyDescent="0.3">
      <c r="A2374" s="74" t="str">
        <f t="shared" si="37"/>
        <v>江苏46229</v>
      </c>
      <c r="B2374" s="75" t="s">
        <v>20</v>
      </c>
      <c r="C2374" s="45">
        <v>46229</v>
      </c>
      <c r="D2374" s="76">
        <v>1510.07929884596</v>
      </c>
      <c r="E2374" s="77">
        <v>125</v>
      </c>
      <c r="F2374" s="78">
        <v>11.9041404294044</v>
      </c>
      <c r="G2374" s="78">
        <v>11.9041404294044</v>
      </c>
      <c r="H2374" s="81">
        <v>11.448458993184101</v>
      </c>
    </row>
    <row r="2375" spans="1:8" x14ac:dyDescent="0.3">
      <c r="A2375" s="74" t="str">
        <f t="shared" si="37"/>
        <v>江苏46230</v>
      </c>
      <c r="B2375" s="75" t="s">
        <v>20</v>
      </c>
      <c r="C2375" s="45">
        <v>46230</v>
      </c>
      <c r="D2375" s="76">
        <v>1510.07929884596</v>
      </c>
      <c r="E2375" s="77">
        <v>125</v>
      </c>
      <c r="F2375" s="78">
        <v>11.9041404294044</v>
      </c>
      <c r="G2375" s="78">
        <v>11.9041404294044</v>
      </c>
      <c r="H2375" s="81">
        <v>11.448458993184101</v>
      </c>
    </row>
    <row r="2376" spans="1:8" x14ac:dyDescent="0.3">
      <c r="A2376" s="74" t="str">
        <f t="shared" si="37"/>
        <v>江苏46231</v>
      </c>
      <c r="B2376" s="75" t="s">
        <v>20</v>
      </c>
      <c r="C2376" s="45">
        <v>46231</v>
      </c>
      <c r="D2376" s="76">
        <v>1510.07929884596</v>
      </c>
      <c r="E2376" s="77">
        <v>125</v>
      </c>
      <c r="F2376" s="78">
        <v>11.9041404294044</v>
      </c>
      <c r="G2376" s="78">
        <v>11.9041404294044</v>
      </c>
      <c r="H2376" s="81">
        <v>11.448458993184101</v>
      </c>
    </row>
    <row r="2377" spans="1:8" x14ac:dyDescent="0.3">
      <c r="A2377" s="74" t="str">
        <f t="shared" si="37"/>
        <v>江苏46232</v>
      </c>
      <c r="B2377" s="75" t="s">
        <v>20</v>
      </c>
      <c r="C2377" s="45">
        <v>46232</v>
      </c>
      <c r="D2377" s="76">
        <v>1510.07929884596</v>
      </c>
      <c r="E2377" s="77">
        <v>125</v>
      </c>
      <c r="F2377" s="78">
        <v>11.9041404294044</v>
      </c>
      <c r="G2377" s="78">
        <v>11.9041404294044</v>
      </c>
      <c r="H2377" s="81">
        <v>11.448458993184101</v>
      </c>
    </row>
    <row r="2378" spans="1:8" x14ac:dyDescent="0.3">
      <c r="A2378" s="74" t="str">
        <f t="shared" si="37"/>
        <v>江苏46233</v>
      </c>
      <c r="B2378" s="75" t="s">
        <v>20</v>
      </c>
      <c r="C2378" s="45">
        <v>46233</v>
      </c>
      <c r="D2378" s="76">
        <v>1510.07929884596</v>
      </c>
      <c r="E2378" s="77">
        <v>125</v>
      </c>
      <c r="F2378" s="78">
        <v>11.9041404294044</v>
      </c>
      <c r="G2378" s="78">
        <v>11.9041404294044</v>
      </c>
      <c r="H2378" s="81">
        <v>11.448458993184101</v>
      </c>
    </row>
    <row r="2379" spans="1:8" x14ac:dyDescent="0.3">
      <c r="A2379" s="74" t="str">
        <f t="shared" si="37"/>
        <v>江苏46234</v>
      </c>
      <c r="B2379" s="75" t="s">
        <v>20</v>
      </c>
      <c r="C2379" s="45">
        <v>46234</v>
      </c>
      <c r="D2379" s="76">
        <v>1510.07929884596</v>
      </c>
      <c r="E2379" s="77">
        <v>125</v>
      </c>
      <c r="F2379" s="78">
        <v>11.9041404294044</v>
      </c>
      <c r="G2379" s="78">
        <v>11.9041404294044</v>
      </c>
      <c r="H2379" s="81">
        <v>11.448458993184101</v>
      </c>
    </row>
    <row r="2380" spans="1:8" x14ac:dyDescent="0.3">
      <c r="A2380" s="74" t="str">
        <f t="shared" si="37"/>
        <v>江苏46235</v>
      </c>
      <c r="B2380" s="75" t="s">
        <v>20</v>
      </c>
      <c r="C2380" s="45">
        <v>46235</v>
      </c>
      <c r="D2380" s="76">
        <v>1807.6250615953099</v>
      </c>
      <c r="E2380" s="77">
        <v>125</v>
      </c>
      <c r="F2380" s="78">
        <v>12.0095021587743</v>
      </c>
      <c r="G2380" s="78">
        <v>12.0095021587743</v>
      </c>
      <c r="H2380" s="81">
        <v>11.980829750363901</v>
      </c>
    </row>
    <row r="2381" spans="1:8" x14ac:dyDescent="0.3">
      <c r="A2381" s="74" t="str">
        <f t="shared" si="37"/>
        <v>江苏46236</v>
      </c>
      <c r="B2381" s="75" t="s">
        <v>20</v>
      </c>
      <c r="C2381" s="45">
        <v>46236</v>
      </c>
      <c r="D2381" s="76">
        <v>1807.6250615953099</v>
      </c>
      <c r="E2381" s="77">
        <v>125</v>
      </c>
      <c r="F2381" s="78">
        <v>12.0095021587743</v>
      </c>
      <c r="G2381" s="78">
        <v>12.0095021587743</v>
      </c>
      <c r="H2381" s="81">
        <v>11.980829750363901</v>
      </c>
    </row>
    <row r="2382" spans="1:8" x14ac:dyDescent="0.3">
      <c r="A2382" s="74" t="str">
        <f t="shared" si="37"/>
        <v>江苏46237</v>
      </c>
      <c r="B2382" s="75" t="s">
        <v>20</v>
      </c>
      <c r="C2382" s="45">
        <v>46237</v>
      </c>
      <c r="D2382" s="76">
        <v>1807.6250615953099</v>
      </c>
      <c r="E2382" s="77">
        <v>125</v>
      </c>
      <c r="F2382" s="78">
        <v>12.0095021587743</v>
      </c>
      <c r="G2382" s="78">
        <v>12.0095021587743</v>
      </c>
      <c r="H2382" s="81">
        <v>11.980829750363901</v>
      </c>
    </row>
    <row r="2383" spans="1:8" x14ac:dyDescent="0.3">
      <c r="A2383" s="74" t="str">
        <f t="shared" si="37"/>
        <v>江苏46238</v>
      </c>
      <c r="B2383" s="75" t="s">
        <v>20</v>
      </c>
      <c r="C2383" s="45">
        <v>46238</v>
      </c>
      <c r="D2383" s="76">
        <v>1807.6250615953099</v>
      </c>
      <c r="E2383" s="77">
        <v>125</v>
      </c>
      <c r="F2383" s="78">
        <v>12.0095021587743</v>
      </c>
      <c r="G2383" s="78">
        <v>12.0095021587743</v>
      </c>
      <c r="H2383" s="81">
        <v>11.980829750363901</v>
      </c>
    </row>
    <row r="2384" spans="1:8" x14ac:dyDescent="0.3">
      <c r="A2384" s="74" t="str">
        <f t="shared" si="37"/>
        <v>江苏46239</v>
      </c>
      <c r="B2384" s="75" t="s">
        <v>20</v>
      </c>
      <c r="C2384" s="45">
        <v>46239</v>
      </c>
      <c r="D2384" s="76">
        <v>1807.6250615953099</v>
      </c>
      <c r="E2384" s="77">
        <v>125</v>
      </c>
      <c r="F2384" s="78">
        <v>12.0095021587743</v>
      </c>
      <c r="G2384" s="78">
        <v>12.0095021587743</v>
      </c>
      <c r="H2384" s="81">
        <v>11.980829750363901</v>
      </c>
    </row>
    <row r="2385" spans="1:8" x14ac:dyDescent="0.3">
      <c r="A2385" s="74" t="str">
        <f t="shared" si="37"/>
        <v>江苏46240</v>
      </c>
      <c r="B2385" s="75" t="s">
        <v>20</v>
      </c>
      <c r="C2385" s="45">
        <v>46240</v>
      </c>
      <c r="D2385" s="76">
        <v>1807.6250615953099</v>
      </c>
      <c r="E2385" s="77">
        <v>125</v>
      </c>
      <c r="F2385" s="78">
        <v>12.0095021587743</v>
      </c>
      <c r="G2385" s="78">
        <v>12.0095021587743</v>
      </c>
      <c r="H2385" s="81">
        <v>11.980829750363901</v>
      </c>
    </row>
    <row r="2386" spans="1:8" x14ac:dyDescent="0.3">
      <c r="A2386" s="74" t="str">
        <f t="shared" si="37"/>
        <v>江苏46241</v>
      </c>
      <c r="B2386" s="75" t="s">
        <v>20</v>
      </c>
      <c r="C2386" s="45">
        <v>46241</v>
      </c>
      <c r="D2386" s="76">
        <v>1807.6250615953099</v>
      </c>
      <c r="E2386" s="77">
        <v>125</v>
      </c>
      <c r="F2386" s="78">
        <v>12.0095021587743</v>
      </c>
      <c r="G2386" s="78">
        <v>12.0095021587743</v>
      </c>
      <c r="H2386" s="81">
        <v>11.980829750363901</v>
      </c>
    </row>
    <row r="2387" spans="1:8" x14ac:dyDescent="0.3">
      <c r="A2387" s="74" t="str">
        <f t="shared" si="37"/>
        <v>江苏46242</v>
      </c>
      <c r="B2387" s="75" t="s">
        <v>20</v>
      </c>
      <c r="C2387" s="45">
        <v>46242</v>
      </c>
      <c r="D2387" s="76">
        <v>1807.6250615953099</v>
      </c>
      <c r="E2387" s="77">
        <v>125</v>
      </c>
      <c r="F2387" s="78">
        <v>12.0095021587743</v>
      </c>
      <c r="G2387" s="78">
        <v>12.0095021587743</v>
      </c>
      <c r="H2387" s="81">
        <v>11.980829750363901</v>
      </c>
    </row>
    <row r="2388" spans="1:8" x14ac:dyDescent="0.3">
      <c r="A2388" s="74" t="str">
        <f t="shared" si="37"/>
        <v>江苏46243</v>
      </c>
      <c r="B2388" s="75" t="s">
        <v>20</v>
      </c>
      <c r="C2388" s="45">
        <v>46243</v>
      </c>
      <c r="D2388" s="76">
        <v>1807.6250615953099</v>
      </c>
      <c r="E2388" s="77">
        <v>125</v>
      </c>
      <c r="F2388" s="78">
        <v>12.0095021587743</v>
      </c>
      <c r="G2388" s="78">
        <v>12.0095021587743</v>
      </c>
      <c r="H2388" s="81">
        <v>11.980829750363901</v>
      </c>
    </row>
    <row r="2389" spans="1:8" x14ac:dyDescent="0.3">
      <c r="A2389" s="74" t="str">
        <f t="shared" si="37"/>
        <v>江苏46244</v>
      </c>
      <c r="B2389" s="75" t="s">
        <v>20</v>
      </c>
      <c r="C2389" s="45">
        <v>46244</v>
      </c>
      <c r="D2389" s="76">
        <v>1807.6250615953099</v>
      </c>
      <c r="E2389" s="77">
        <v>125</v>
      </c>
      <c r="F2389" s="78">
        <v>12.0095021587743</v>
      </c>
      <c r="G2389" s="78">
        <v>12.0095021587743</v>
      </c>
      <c r="H2389" s="81">
        <v>11.980829750363901</v>
      </c>
    </row>
    <row r="2390" spans="1:8" x14ac:dyDescent="0.3">
      <c r="A2390" s="74" t="str">
        <f t="shared" si="37"/>
        <v>江苏46245</v>
      </c>
      <c r="B2390" s="75" t="s">
        <v>20</v>
      </c>
      <c r="C2390" s="45">
        <v>46245</v>
      </c>
      <c r="D2390" s="76">
        <v>1807.6250615953099</v>
      </c>
      <c r="E2390" s="77">
        <v>125</v>
      </c>
      <c r="F2390" s="78">
        <v>12.0095021587743</v>
      </c>
      <c r="G2390" s="78">
        <v>12.0095021587743</v>
      </c>
      <c r="H2390" s="81">
        <v>11.980829750363901</v>
      </c>
    </row>
    <row r="2391" spans="1:8" x14ac:dyDescent="0.3">
      <c r="A2391" s="74" t="str">
        <f t="shared" si="37"/>
        <v>江苏46246</v>
      </c>
      <c r="B2391" s="75" t="s">
        <v>20</v>
      </c>
      <c r="C2391" s="45">
        <v>46246</v>
      </c>
      <c r="D2391" s="76">
        <v>1807.6250615953099</v>
      </c>
      <c r="E2391" s="77">
        <v>125</v>
      </c>
      <c r="F2391" s="78">
        <v>12.0095021587743</v>
      </c>
      <c r="G2391" s="78">
        <v>12.0095021587743</v>
      </c>
      <c r="H2391" s="81">
        <v>11.980829750363901</v>
      </c>
    </row>
    <row r="2392" spans="1:8" x14ac:dyDescent="0.3">
      <c r="A2392" s="74" t="str">
        <f t="shared" si="37"/>
        <v>江苏46247</v>
      </c>
      <c r="B2392" s="75" t="s">
        <v>20</v>
      </c>
      <c r="C2392" s="45">
        <v>46247</v>
      </c>
      <c r="D2392" s="76">
        <v>1807.6250615953099</v>
      </c>
      <c r="E2392" s="77">
        <v>125</v>
      </c>
      <c r="F2392" s="78">
        <v>12.0095021587743</v>
      </c>
      <c r="G2392" s="78">
        <v>12.0095021587743</v>
      </c>
      <c r="H2392" s="81">
        <v>11.980829750363901</v>
      </c>
    </row>
    <row r="2393" spans="1:8" x14ac:dyDescent="0.3">
      <c r="A2393" s="74" t="str">
        <f t="shared" si="37"/>
        <v>江苏46248</v>
      </c>
      <c r="B2393" s="75" t="s">
        <v>20</v>
      </c>
      <c r="C2393" s="45">
        <v>46248</v>
      </c>
      <c r="D2393" s="76">
        <v>1807.6250615953099</v>
      </c>
      <c r="E2393" s="77">
        <v>125</v>
      </c>
      <c r="F2393" s="78">
        <v>12.0095021587743</v>
      </c>
      <c r="G2393" s="78">
        <v>12.0095021587743</v>
      </c>
      <c r="H2393" s="81">
        <v>11.980829750363901</v>
      </c>
    </row>
    <row r="2394" spans="1:8" x14ac:dyDescent="0.3">
      <c r="A2394" s="74" t="str">
        <f t="shared" si="37"/>
        <v>江苏46249</v>
      </c>
      <c r="B2394" s="75" t="s">
        <v>20</v>
      </c>
      <c r="C2394" s="45">
        <v>46249</v>
      </c>
      <c r="D2394" s="76">
        <v>1807.6250615953099</v>
      </c>
      <c r="E2394" s="77">
        <v>125</v>
      </c>
      <c r="F2394" s="78">
        <v>12.0095021587743</v>
      </c>
      <c r="G2394" s="78">
        <v>12.0095021587743</v>
      </c>
      <c r="H2394" s="81">
        <v>11.980829750363901</v>
      </c>
    </row>
    <row r="2395" spans="1:8" x14ac:dyDescent="0.3">
      <c r="A2395" s="74" t="str">
        <f t="shared" si="37"/>
        <v>江苏46250</v>
      </c>
      <c r="B2395" s="75" t="s">
        <v>20</v>
      </c>
      <c r="C2395" s="45">
        <v>46250</v>
      </c>
      <c r="D2395" s="76">
        <v>1807.6250615953099</v>
      </c>
      <c r="E2395" s="77">
        <v>125</v>
      </c>
      <c r="F2395" s="78">
        <v>12.0095021587743</v>
      </c>
      <c r="G2395" s="78">
        <v>12.0095021587743</v>
      </c>
      <c r="H2395" s="81">
        <v>11.980829750363901</v>
      </c>
    </row>
    <row r="2396" spans="1:8" x14ac:dyDescent="0.3">
      <c r="A2396" s="74" t="str">
        <f t="shared" si="37"/>
        <v>江苏46251</v>
      </c>
      <c r="B2396" s="75" t="s">
        <v>20</v>
      </c>
      <c r="C2396" s="45">
        <v>46251</v>
      </c>
      <c r="D2396" s="76">
        <v>1807.6250615953099</v>
      </c>
      <c r="E2396" s="77">
        <v>125</v>
      </c>
      <c r="F2396" s="78">
        <v>12.0095021587743</v>
      </c>
      <c r="G2396" s="78">
        <v>12.0095021587743</v>
      </c>
      <c r="H2396" s="81">
        <v>11.980829750363901</v>
      </c>
    </row>
    <row r="2397" spans="1:8" x14ac:dyDescent="0.3">
      <c r="A2397" s="74" t="str">
        <f t="shared" si="37"/>
        <v>江苏46252</v>
      </c>
      <c r="B2397" s="75" t="s">
        <v>20</v>
      </c>
      <c r="C2397" s="45">
        <v>46252</v>
      </c>
      <c r="D2397" s="76">
        <v>1807.6250615953099</v>
      </c>
      <c r="E2397" s="77">
        <v>125</v>
      </c>
      <c r="F2397" s="78">
        <v>12.0095021587743</v>
      </c>
      <c r="G2397" s="78">
        <v>12.0095021587743</v>
      </c>
      <c r="H2397" s="81">
        <v>11.980829750363901</v>
      </c>
    </row>
    <row r="2398" spans="1:8" x14ac:dyDescent="0.3">
      <c r="A2398" s="74" t="str">
        <f t="shared" si="37"/>
        <v>江苏46253</v>
      </c>
      <c r="B2398" s="75" t="s">
        <v>20</v>
      </c>
      <c r="C2398" s="45">
        <v>46253</v>
      </c>
      <c r="D2398" s="76">
        <v>1807.6250615953099</v>
      </c>
      <c r="E2398" s="77">
        <v>125</v>
      </c>
      <c r="F2398" s="78">
        <v>12.0095021587743</v>
      </c>
      <c r="G2398" s="78">
        <v>12.0095021587743</v>
      </c>
      <c r="H2398" s="81">
        <v>11.980829750363901</v>
      </c>
    </row>
    <row r="2399" spans="1:8" x14ac:dyDescent="0.3">
      <c r="A2399" s="74" t="str">
        <f t="shared" si="37"/>
        <v>江苏46254</v>
      </c>
      <c r="B2399" s="75" t="s">
        <v>20</v>
      </c>
      <c r="C2399" s="45">
        <v>46254</v>
      </c>
      <c r="D2399" s="76">
        <v>1807.6250615953099</v>
      </c>
      <c r="E2399" s="77">
        <v>125</v>
      </c>
      <c r="F2399" s="78">
        <v>12.0095021587743</v>
      </c>
      <c r="G2399" s="78">
        <v>12.0095021587743</v>
      </c>
      <c r="H2399" s="81">
        <v>11.980829750363901</v>
      </c>
    </row>
    <row r="2400" spans="1:8" x14ac:dyDescent="0.3">
      <c r="A2400" s="74" t="str">
        <f t="shared" si="37"/>
        <v>江苏46255</v>
      </c>
      <c r="B2400" s="75" t="s">
        <v>20</v>
      </c>
      <c r="C2400" s="45">
        <v>46255</v>
      </c>
      <c r="D2400" s="76">
        <v>1807.6250615953099</v>
      </c>
      <c r="E2400" s="77">
        <v>125</v>
      </c>
      <c r="F2400" s="78">
        <v>12.0095021587743</v>
      </c>
      <c r="G2400" s="78">
        <v>12.0095021587743</v>
      </c>
      <c r="H2400" s="81">
        <v>11.980829750363901</v>
      </c>
    </row>
    <row r="2401" spans="1:8" x14ac:dyDescent="0.3">
      <c r="A2401" s="74" t="str">
        <f t="shared" si="37"/>
        <v>江苏46256</v>
      </c>
      <c r="B2401" s="75" t="s">
        <v>20</v>
      </c>
      <c r="C2401" s="45">
        <v>46256</v>
      </c>
      <c r="D2401" s="76">
        <v>1807.6250615953099</v>
      </c>
      <c r="E2401" s="77">
        <v>125</v>
      </c>
      <c r="F2401" s="78">
        <v>12.0095021587743</v>
      </c>
      <c r="G2401" s="78">
        <v>12.0095021587743</v>
      </c>
      <c r="H2401" s="81">
        <v>11.980829750363901</v>
      </c>
    </row>
    <row r="2402" spans="1:8" x14ac:dyDescent="0.3">
      <c r="A2402" s="74" t="str">
        <f t="shared" si="37"/>
        <v>江苏46257</v>
      </c>
      <c r="B2402" s="75" t="s">
        <v>20</v>
      </c>
      <c r="C2402" s="45">
        <v>46257</v>
      </c>
      <c r="D2402" s="76">
        <v>1807.6250615953099</v>
      </c>
      <c r="E2402" s="77">
        <v>125</v>
      </c>
      <c r="F2402" s="78">
        <v>12.0095021587743</v>
      </c>
      <c r="G2402" s="78">
        <v>12.0095021587743</v>
      </c>
      <c r="H2402" s="81">
        <v>11.980829750363901</v>
      </c>
    </row>
    <row r="2403" spans="1:8" x14ac:dyDescent="0.3">
      <c r="A2403" s="74" t="str">
        <f t="shared" si="37"/>
        <v>江苏46258</v>
      </c>
      <c r="B2403" s="75" t="s">
        <v>20</v>
      </c>
      <c r="C2403" s="45">
        <v>46258</v>
      </c>
      <c r="D2403" s="76">
        <v>1807.6250615953099</v>
      </c>
      <c r="E2403" s="77">
        <v>125</v>
      </c>
      <c r="F2403" s="78">
        <v>12.0095021587743</v>
      </c>
      <c r="G2403" s="78">
        <v>12.0095021587743</v>
      </c>
      <c r="H2403" s="81">
        <v>11.980829750363901</v>
      </c>
    </row>
    <row r="2404" spans="1:8" x14ac:dyDescent="0.3">
      <c r="A2404" s="74" t="str">
        <f t="shared" si="37"/>
        <v>江苏46259</v>
      </c>
      <c r="B2404" s="75" t="s">
        <v>20</v>
      </c>
      <c r="C2404" s="45">
        <v>46259</v>
      </c>
      <c r="D2404" s="76">
        <v>1807.6250615953099</v>
      </c>
      <c r="E2404" s="77">
        <v>125</v>
      </c>
      <c r="F2404" s="78">
        <v>12.0095021587743</v>
      </c>
      <c r="G2404" s="78">
        <v>12.0095021587743</v>
      </c>
      <c r="H2404" s="81">
        <v>11.980829750363901</v>
      </c>
    </row>
    <row r="2405" spans="1:8" x14ac:dyDescent="0.3">
      <c r="A2405" s="74" t="str">
        <f t="shared" si="37"/>
        <v>江苏46260</v>
      </c>
      <c r="B2405" s="75" t="s">
        <v>20</v>
      </c>
      <c r="C2405" s="45">
        <v>46260</v>
      </c>
      <c r="D2405" s="76">
        <v>1807.6250615953099</v>
      </c>
      <c r="E2405" s="77">
        <v>125</v>
      </c>
      <c r="F2405" s="78">
        <v>12.0095021587743</v>
      </c>
      <c r="G2405" s="78">
        <v>12.0095021587743</v>
      </c>
      <c r="H2405" s="81">
        <v>11.980829750363901</v>
      </c>
    </row>
    <row r="2406" spans="1:8" x14ac:dyDescent="0.3">
      <c r="A2406" s="74" t="str">
        <f t="shared" si="37"/>
        <v>江苏46261</v>
      </c>
      <c r="B2406" s="75" t="s">
        <v>20</v>
      </c>
      <c r="C2406" s="45">
        <v>46261</v>
      </c>
      <c r="D2406" s="76">
        <v>1807.6250615953099</v>
      </c>
      <c r="E2406" s="77">
        <v>125</v>
      </c>
      <c r="F2406" s="78">
        <v>12.0095021587743</v>
      </c>
      <c r="G2406" s="78">
        <v>12.0095021587743</v>
      </c>
      <c r="H2406" s="81">
        <v>11.980829750363901</v>
      </c>
    </row>
    <row r="2407" spans="1:8" x14ac:dyDescent="0.3">
      <c r="A2407" s="74" t="str">
        <f t="shared" si="37"/>
        <v>江苏46262</v>
      </c>
      <c r="B2407" s="75" t="s">
        <v>20</v>
      </c>
      <c r="C2407" s="45">
        <v>46262</v>
      </c>
      <c r="D2407" s="76">
        <v>1807.6250615953099</v>
      </c>
      <c r="E2407" s="77">
        <v>125</v>
      </c>
      <c r="F2407" s="78">
        <v>12.0095021587743</v>
      </c>
      <c r="G2407" s="78">
        <v>12.0095021587743</v>
      </c>
      <c r="H2407" s="81">
        <v>11.980829750363901</v>
      </c>
    </row>
    <row r="2408" spans="1:8" x14ac:dyDescent="0.3">
      <c r="A2408" s="74" t="str">
        <f t="shared" si="37"/>
        <v>江苏46263</v>
      </c>
      <c r="B2408" s="75" t="s">
        <v>20</v>
      </c>
      <c r="C2408" s="45">
        <v>46263</v>
      </c>
      <c r="D2408" s="76">
        <v>1807.6250615953099</v>
      </c>
      <c r="E2408" s="77">
        <v>125</v>
      </c>
      <c r="F2408" s="78">
        <v>12.0095021587743</v>
      </c>
      <c r="G2408" s="78">
        <v>12.0095021587743</v>
      </c>
      <c r="H2408" s="81">
        <v>11.980829750363901</v>
      </c>
    </row>
    <row r="2409" spans="1:8" x14ac:dyDescent="0.3">
      <c r="A2409" s="74" t="str">
        <f t="shared" si="37"/>
        <v>江苏46264</v>
      </c>
      <c r="B2409" s="75" t="s">
        <v>20</v>
      </c>
      <c r="C2409" s="45">
        <v>46264</v>
      </c>
      <c r="D2409" s="76">
        <v>1807.6250615953099</v>
      </c>
      <c r="E2409" s="77">
        <v>125</v>
      </c>
      <c r="F2409" s="78">
        <v>12.0095021587743</v>
      </c>
      <c r="G2409" s="78">
        <v>12.0095021587743</v>
      </c>
      <c r="H2409" s="81">
        <v>11.980829750363901</v>
      </c>
    </row>
    <row r="2410" spans="1:8" x14ac:dyDescent="0.3">
      <c r="A2410" s="74" t="str">
        <f t="shared" si="37"/>
        <v>江苏46265</v>
      </c>
      <c r="B2410" s="75" t="s">
        <v>20</v>
      </c>
      <c r="C2410" s="45">
        <v>46265</v>
      </c>
      <c r="D2410" s="76">
        <v>1807.6250615953099</v>
      </c>
      <c r="E2410" s="77">
        <v>125</v>
      </c>
      <c r="F2410" s="78">
        <v>12.0095021587743</v>
      </c>
      <c r="G2410" s="78">
        <v>12.0095021587743</v>
      </c>
      <c r="H2410" s="81">
        <v>11.980829750363901</v>
      </c>
    </row>
    <row r="2411" spans="1:8" x14ac:dyDescent="0.3">
      <c r="A2411" s="74" t="str">
        <f t="shared" si="37"/>
        <v>江苏46266</v>
      </c>
      <c r="B2411" s="75" t="s">
        <v>20</v>
      </c>
      <c r="C2411" s="45">
        <v>46266</v>
      </c>
      <c r="D2411" s="76">
        <v>2095.6686086961599</v>
      </c>
      <c r="E2411" s="77">
        <v>125</v>
      </c>
      <c r="F2411" s="78">
        <v>12.2947028731584</v>
      </c>
      <c r="G2411" s="78">
        <v>12.2947028731584</v>
      </c>
      <c r="H2411" s="81">
        <v>12.513200507543701</v>
      </c>
    </row>
    <row r="2412" spans="1:8" x14ac:dyDescent="0.3">
      <c r="A2412" s="74" t="str">
        <f t="shared" si="37"/>
        <v>江苏46267</v>
      </c>
      <c r="B2412" s="75" t="s">
        <v>20</v>
      </c>
      <c r="C2412" s="45">
        <v>46267</v>
      </c>
      <c r="D2412" s="76">
        <v>2095.6686086961599</v>
      </c>
      <c r="E2412" s="77">
        <v>125</v>
      </c>
      <c r="F2412" s="78">
        <v>12.2947028731584</v>
      </c>
      <c r="G2412" s="78">
        <v>12.2947028731584</v>
      </c>
      <c r="H2412" s="81">
        <v>12.513200507543701</v>
      </c>
    </row>
    <row r="2413" spans="1:8" x14ac:dyDescent="0.3">
      <c r="A2413" s="74" t="str">
        <f t="shared" si="37"/>
        <v>江苏46268</v>
      </c>
      <c r="B2413" s="75" t="s">
        <v>20</v>
      </c>
      <c r="C2413" s="45">
        <v>46268</v>
      </c>
      <c r="D2413" s="76">
        <v>2095.6686086961599</v>
      </c>
      <c r="E2413" s="77">
        <v>125</v>
      </c>
      <c r="F2413" s="78">
        <v>12.2947028731584</v>
      </c>
      <c r="G2413" s="78">
        <v>12.2947028731584</v>
      </c>
      <c r="H2413" s="81">
        <v>12.513200507543701</v>
      </c>
    </row>
    <row r="2414" spans="1:8" x14ac:dyDescent="0.3">
      <c r="A2414" s="74" t="str">
        <f t="shared" si="37"/>
        <v>江苏46269</v>
      </c>
      <c r="B2414" s="75" t="s">
        <v>20</v>
      </c>
      <c r="C2414" s="45">
        <v>46269</v>
      </c>
      <c r="D2414" s="76">
        <v>2095.6686086961599</v>
      </c>
      <c r="E2414" s="77">
        <v>125</v>
      </c>
      <c r="F2414" s="78">
        <v>12.2947028731584</v>
      </c>
      <c r="G2414" s="78">
        <v>12.2947028731584</v>
      </c>
      <c r="H2414" s="81">
        <v>12.513200507543701</v>
      </c>
    </row>
    <row r="2415" spans="1:8" x14ac:dyDescent="0.3">
      <c r="A2415" s="74" t="str">
        <f t="shared" si="37"/>
        <v>江苏46270</v>
      </c>
      <c r="B2415" s="75" t="s">
        <v>20</v>
      </c>
      <c r="C2415" s="45">
        <v>46270</v>
      </c>
      <c r="D2415" s="76">
        <v>2095.6686086961599</v>
      </c>
      <c r="E2415" s="77">
        <v>125</v>
      </c>
      <c r="F2415" s="78">
        <v>12.2947028731584</v>
      </c>
      <c r="G2415" s="78">
        <v>12.2947028731584</v>
      </c>
      <c r="H2415" s="81">
        <v>12.513200507543701</v>
      </c>
    </row>
    <row r="2416" spans="1:8" x14ac:dyDescent="0.3">
      <c r="A2416" s="74" t="str">
        <f t="shared" si="37"/>
        <v>江苏46271</v>
      </c>
      <c r="B2416" s="75" t="s">
        <v>20</v>
      </c>
      <c r="C2416" s="45">
        <v>46271</v>
      </c>
      <c r="D2416" s="76">
        <v>2095.6686086961599</v>
      </c>
      <c r="E2416" s="77">
        <v>125</v>
      </c>
      <c r="F2416" s="78">
        <v>12.2947028731584</v>
      </c>
      <c r="G2416" s="78">
        <v>12.2947028731584</v>
      </c>
      <c r="H2416" s="81">
        <v>12.513200507543701</v>
      </c>
    </row>
    <row r="2417" spans="1:8" x14ac:dyDescent="0.3">
      <c r="A2417" s="74" t="str">
        <f t="shared" si="37"/>
        <v>江苏46272</v>
      </c>
      <c r="B2417" s="75" t="s">
        <v>20</v>
      </c>
      <c r="C2417" s="45">
        <v>46272</v>
      </c>
      <c r="D2417" s="76">
        <v>2095.6686086961599</v>
      </c>
      <c r="E2417" s="77">
        <v>125</v>
      </c>
      <c r="F2417" s="78">
        <v>12.2947028731584</v>
      </c>
      <c r="G2417" s="78">
        <v>12.2947028731584</v>
      </c>
      <c r="H2417" s="81">
        <v>12.513200507543701</v>
      </c>
    </row>
    <row r="2418" spans="1:8" x14ac:dyDescent="0.3">
      <c r="A2418" s="74" t="str">
        <f t="shared" si="37"/>
        <v>江苏46273</v>
      </c>
      <c r="B2418" s="75" t="s">
        <v>20</v>
      </c>
      <c r="C2418" s="45">
        <v>46273</v>
      </c>
      <c r="D2418" s="76">
        <v>2095.6686086961599</v>
      </c>
      <c r="E2418" s="77">
        <v>125</v>
      </c>
      <c r="F2418" s="78">
        <v>12.2947028731584</v>
      </c>
      <c r="G2418" s="78">
        <v>12.2947028731584</v>
      </c>
      <c r="H2418" s="81">
        <v>12.513200507543701</v>
      </c>
    </row>
    <row r="2419" spans="1:8" x14ac:dyDescent="0.3">
      <c r="A2419" s="74" t="str">
        <f t="shared" si="37"/>
        <v>江苏46274</v>
      </c>
      <c r="B2419" s="75" t="s">
        <v>20</v>
      </c>
      <c r="C2419" s="45">
        <v>46274</v>
      </c>
      <c r="D2419" s="76">
        <v>2095.6686086961599</v>
      </c>
      <c r="E2419" s="77">
        <v>125</v>
      </c>
      <c r="F2419" s="78">
        <v>12.2947028731584</v>
      </c>
      <c r="G2419" s="78">
        <v>12.2947028731584</v>
      </c>
      <c r="H2419" s="81">
        <v>12.513200507543701</v>
      </c>
    </row>
    <row r="2420" spans="1:8" x14ac:dyDescent="0.3">
      <c r="A2420" s="74" t="str">
        <f t="shared" si="37"/>
        <v>江苏46275</v>
      </c>
      <c r="B2420" s="75" t="s">
        <v>20</v>
      </c>
      <c r="C2420" s="45">
        <v>46275</v>
      </c>
      <c r="D2420" s="76">
        <v>2095.6686086961599</v>
      </c>
      <c r="E2420" s="77">
        <v>125</v>
      </c>
      <c r="F2420" s="78">
        <v>12.2947028731584</v>
      </c>
      <c r="G2420" s="78">
        <v>12.2947028731584</v>
      </c>
      <c r="H2420" s="81">
        <v>12.513200507543701</v>
      </c>
    </row>
    <row r="2421" spans="1:8" x14ac:dyDescent="0.3">
      <c r="A2421" s="74" t="str">
        <f t="shared" si="37"/>
        <v>江苏46276</v>
      </c>
      <c r="B2421" s="75" t="s">
        <v>20</v>
      </c>
      <c r="C2421" s="45">
        <v>46276</v>
      </c>
      <c r="D2421" s="76">
        <v>2095.6686086961599</v>
      </c>
      <c r="E2421" s="77">
        <v>125</v>
      </c>
      <c r="F2421" s="78">
        <v>12.2947028731584</v>
      </c>
      <c r="G2421" s="78">
        <v>12.2947028731584</v>
      </c>
      <c r="H2421" s="81">
        <v>12.513200507543701</v>
      </c>
    </row>
    <row r="2422" spans="1:8" x14ac:dyDescent="0.3">
      <c r="A2422" s="74" t="str">
        <f t="shared" si="37"/>
        <v>江苏46277</v>
      </c>
      <c r="B2422" s="75" t="s">
        <v>20</v>
      </c>
      <c r="C2422" s="45">
        <v>46277</v>
      </c>
      <c r="D2422" s="76">
        <v>2095.6686086961599</v>
      </c>
      <c r="E2422" s="77">
        <v>125</v>
      </c>
      <c r="F2422" s="78">
        <v>12.2947028731584</v>
      </c>
      <c r="G2422" s="78">
        <v>12.2947028731584</v>
      </c>
      <c r="H2422" s="81">
        <v>12.513200507543701</v>
      </c>
    </row>
    <row r="2423" spans="1:8" x14ac:dyDescent="0.3">
      <c r="A2423" s="74" t="str">
        <f t="shared" si="37"/>
        <v>江苏46278</v>
      </c>
      <c r="B2423" s="75" t="s">
        <v>20</v>
      </c>
      <c r="C2423" s="45">
        <v>46278</v>
      </c>
      <c r="D2423" s="76">
        <v>2095.6686086961599</v>
      </c>
      <c r="E2423" s="77">
        <v>125</v>
      </c>
      <c r="F2423" s="78">
        <v>12.2947028731584</v>
      </c>
      <c r="G2423" s="78">
        <v>12.2947028731584</v>
      </c>
      <c r="H2423" s="81">
        <v>12.513200507543701</v>
      </c>
    </row>
    <row r="2424" spans="1:8" x14ac:dyDescent="0.3">
      <c r="A2424" s="74" t="str">
        <f t="shared" si="37"/>
        <v>江苏46279</v>
      </c>
      <c r="B2424" s="75" t="s">
        <v>20</v>
      </c>
      <c r="C2424" s="45">
        <v>46279</v>
      </c>
      <c r="D2424" s="76">
        <v>2095.6686086961599</v>
      </c>
      <c r="E2424" s="77">
        <v>125</v>
      </c>
      <c r="F2424" s="78">
        <v>12.2947028731584</v>
      </c>
      <c r="G2424" s="78">
        <v>12.2947028731584</v>
      </c>
      <c r="H2424" s="81">
        <v>12.513200507543701</v>
      </c>
    </row>
    <row r="2425" spans="1:8" x14ac:dyDescent="0.3">
      <c r="A2425" s="74" t="str">
        <f t="shared" si="37"/>
        <v>江苏46280</v>
      </c>
      <c r="B2425" s="75" t="s">
        <v>20</v>
      </c>
      <c r="C2425" s="45">
        <v>46280</v>
      </c>
      <c r="D2425" s="76">
        <v>2095.6686086961599</v>
      </c>
      <c r="E2425" s="77">
        <v>125</v>
      </c>
      <c r="F2425" s="78">
        <v>12.2947028731584</v>
      </c>
      <c r="G2425" s="78">
        <v>12.2947028731584</v>
      </c>
      <c r="H2425" s="81">
        <v>12.513200507543701</v>
      </c>
    </row>
    <row r="2426" spans="1:8" x14ac:dyDescent="0.3">
      <c r="A2426" s="74" t="str">
        <f t="shared" si="37"/>
        <v>江苏46281</v>
      </c>
      <c r="B2426" s="75" t="s">
        <v>20</v>
      </c>
      <c r="C2426" s="45">
        <v>46281</v>
      </c>
      <c r="D2426" s="76">
        <v>2095.6686086961599</v>
      </c>
      <c r="E2426" s="77">
        <v>125</v>
      </c>
      <c r="F2426" s="78">
        <v>12.2947028731584</v>
      </c>
      <c r="G2426" s="78">
        <v>12.2947028731584</v>
      </c>
      <c r="H2426" s="81">
        <v>12.513200507543701</v>
      </c>
    </row>
    <row r="2427" spans="1:8" x14ac:dyDescent="0.3">
      <c r="A2427" s="74" t="str">
        <f t="shared" si="37"/>
        <v>江苏46282</v>
      </c>
      <c r="B2427" s="75" t="s">
        <v>20</v>
      </c>
      <c r="C2427" s="45">
        <v>46282</v>
      </c>
      <c r="D2427" s="76">
        <v>2095.6686086961599</v>
      </c>
      <c r="E2427" s="77">
        <v>125</v>
      </c>
      <c r="F2427" s="78">
        <v>12.2947028731584</v>
      </c>
      <c r="G2427" s="78">
        <v>12.2947028731584</v>
      </c>
      <c r="H2427" s="81">
        <v>12.513200507543701</v>
      </c>
    </row>
    <row r="2428" spans="1:8" x14ac:dyDescent="0.3">
      <c r="A2428" s="74" t="str">
        <f t="shared" si="37"/>
        <v>江苏46283</v>
      </c>
      <c r="B2428" s="75" t="s">
        <v>20</v>
      </c>
      <c r="C2428" s="45">
        <v>46283</v>
      </c>
      <c r="D2428" s="76">
        <v>2095.6686086961599</v>
      </c>
      <c r="E2428" s="77">
        <v>125</v>
      </c>
      <c r="F2428" s="78">
        <v>12.2947028731584</v>
      </c>
      <c r="G2428" s="78">
        <v>12.2947028731584</v>
      </c>
      <c r="H2428" s="81">
        <v>12.513200507543701</v>
      </c>
    </row>
    <row r="2429" spans="1:8" x14ac:dyDescent="0.3">
      <c r="A2429" s="74" t="str">
        <f t="shared" si="37"/>
        <v>江苏46284</v>
      </c>
      <c r="B2429" s="75" t="s">
        <v>20</v>
      </c>
      <c r="C2429" s="45">
        <v>46284</v>
      </c>
      <c r="D2429" s="76">
        <v>2095.6686086961599</v>
      </c>
      <c r="E2429" s="77">
        <v>125</v>
      </c>
      <c r="F2429" s="78">
        <v>12.2947028731584</v>
      </c>
      <c r="G2429" s="78">
        <v>12.2947028731584</v>
      </c>
      <c r="H2429" s="81">
        <v>12.513200507543701</v>
      </c>
    </row>
    <row r="2430" spans="1:8" x14ac:dyDescent="0.3">
      <c r="A2430" s="74" t="str">
        <f t="shared" si="37"/>
        <v>江苏46285</v>
      </c>
      <c r="B2430" s="75" t="s">
        <v>20</v>
      </c>
      <c r="C2430" s="45">
        <v>46285</v>
      </c>
      <c r="D2430" s="76">
        <v>2095.6686086961599</v>
      </c>
      <c r="E2430" s="77">
        <v>125</v>
      </c>
      <c r="F2430" s="78">
        <v>12.2947028731584</v>
      </c>
      <c r="G2430" s="78">
        <v>12.2947028731584</v>
      </c>
      <c r="H2430" s="81">
        <v>12.513200507543701</v>
      </c>
    </row>
    <row r="2431" spans="1:8" x14ac:dyDescent="0.3">
      <c r="A2431" s="74" t="str">
        <f t="shared" si="37"/>
        <v>江苏46286</v>
      </c>
      <c r="B2431" s="75" t="s">
        <v>20</v>
      </c>
      <c r="C2431" s="45">
        <v>46286</v>
      </c>
      <c r="D2431" s="76">
        <v>2095.6686086961599</v>
      </c>
      <c r="E2431" s="77">
        <v>125</v>
      </c>
      <c r="F2431" s="78">
        <v>12.2947028731584</v>
      </c>
      <c r="G2431" s="78">
        <v>12.2947028731584</v>
      </c>
      <c r="H2431" s="81">
        <v>12.513200507543701</v>
      </c>
    </row>
    <row r="2432" spans="1:8" x14ac:dyDescent="0.3">
      <c r="A2432" s="74" t="str">
        <f t="shared" si="37"/>
        <v>江苏46287</v>
      </c>
      <c r="B2432" s="75" t="s">
        <v>20</v>
      </c>
      <c r="C2432" s="45">
        <v>46287</v>
      </c>
      <c r="D2432" s="76">
        <v>2095.6686086961599</v>
      </c>
      <c r="E2432" s="77">
        <v>125</v>
      </c>
      <c r="F2432" s="78">
        <v>12.2947028731584</v>
      </c>
      <c r="G2432" s="78">
        <v>12.2947028731584</v>
      </c>
      <c r="H2432" s="81">
        <v>12.513200507543701</v>
      </c>
    </row>
    <row r="2433" spans="1:8" x14ac:dyDescent="0.3">
      <c r="A2433" s="74" t="str">
        <f t="shared" si="37"/>
        <v>江苏46288</v>
      </c>
      <c r="B2433" s="75" t="s">
        <v>20</v>
      </c>
      <c r="C2433" s="45">
        <v>46288</v>
      </c>
      <c r="D2433" s="76">
        <v>2095.6686086961599</v>
      </c>
      <c r="E2433" s="77">
        <v>125</v>
      </c>
      <c r="F2433" s="78">
        <v>12.2947028731584</v>
      </c>
      <c r="G2433" s="78">
        <v>12.2947028731584</v>
      </c>
      <c r="H2433" s="81">
        <v>12.513200507543701</v>
      </c>
    </row>
    <row r="2434" spans="1:8" x14ac:dyDescent="0.3">
      <c r="A2434" s="74" t="str">
        <f t="shared" si="37"/>
        <v>江苏46289</v>
      </c>
      <c r="B2434" s="75" t="s">
        <v>20</v>
      </c>
      <c r="C2434" s="45">
        <v>46289</v>
      </c>
      <c r="D2434" s="76">
        <v>2095.6686086961599</v>
      </c>
      <c r="E2434" s="77">
        <v>125</v>
      </c>
      <c r="F2434" s="78">
        <v>12.2947028731584</v>
      </c>
      <c r="G2434" s="78">
        <v>12.2947028731584</v>
      </c>
      <c r="H2434" s="81">
        <v>12.513200507543701</v>
      </c>
    </row>
    <row r="2435" spans="1:8" x14ac:dyDescent="0.3">
      <c r="A2435" s="74" t="str">
        <f t="shared" ref="A2435:A2498" si="38">B2435&amp;C2435</f>
        <v>江苏46290</v>
      </c>
      <c r="B2435" s="75" t="s">
        <v>20</v>
      </c>
      <c r="C2435" s="45">
        <v>46290</v>
      </c>
      <c r="D2435" s="76">
        <v>2095.6686086961599</v>
      </c>
      <c r="E2435" s="77">
        <v>125</v>
      </c>
      <c r="F2435" s="78">
        <v>12.2947028731584</v>
      </c>
      <c r="G2435" s="78">
        <v>12.2947028731584</v>
      </c>
      <c r="H2435" s="81">
        <v>12.513200507543701</v>
      </c>
    </row>
    <row r="2436" spans="1:8" x14ac:dyDescent="0.3">
      <c r="A2436" s="74" t="str">
        <f t="shared" si="38"/>
        <v>江苏46291</v>
      </c>
      <c r="B2436" s="75" t="s">
        <v>20</v>
      </c>
      <c r="C2436" s="45">
        <v>46291</v>
      </c>
      <c r="D2436" s="76">
        <v>2095.6686086961599</v>
      </c>
      <c r="E2436" s="77">
        <v>125</v>
      </c>
      <c r="F2436" s="78">
        <v>12.2947028731584</v>
      </c>
      <c r="G2436" s="78">
        <v>12.2947028731584</v>
      </c>
      <c r="H2436" s="81">
        <v>12.513200507543701</v>
      </c>
    </row>
    <row r="2437" spans="1:8" x14ac:dyDescent="0.3">
      <c r="A2437" s="74" t="str">
        <f t="shared" si="38"/>
        <v>江苏46292</v>
      </c>
      <c r="B2437" s="75" t="s">
        <v>20</v>
      </c>
      <c r="C2437" s="45">
        <v>46292</v>
      </c>
      <c r="D2437" s="76">
        <v>2095.6686086961599</v>
      </c>
      <c r="E2437" s="77">
        <v>125</v>
      </c>
      <c r="F2437" s="78">
        <v>12.2947028731584</v>
      </c>
      <c r="G2437" s="78">
        <v>12.2947028731584</v>
      </c>
      <c r="H2437" s="81">
        <v>12.513200507543701</v>
      </c>
    </row>
    <row r="2438" spans="1:8" x14ac:dyDescent="0.3">
      <c r="A2438" s="74" t="str">
        <f t="shared" si="38"/>
        <v>江苏46293</v>
      </c>
      <c r="B2438" s="75" t="s">
        <v>20</v>
      </c>
      <c r="C2438" s="45">
        <v>46293</v>
      </c>
      <c r="D2438" s="76">
        <v>2095.6686086961599</v>
      </c>
      <c r="E2438" s="77">
        <v>125</v>
      </c>
      <c r="F2438" s="78">
        <v>12.2947028731584</v>
      </c>
      <c r="G2438" s="78">
        <v>12.2947028731584</v>
      </c>
      <c r="H2438" s="81">
        <v>12.513200507543701</v>
      </c>
    </row>
    <row r="2439" spans="1:8" x14ac:dyDescent="0.3">
      <c r="A2439" s="74" t="str">
        <f t="shared" si="38"/>
        <v>江苏46294</v>
      </c>
      <c r="B2439" s="75" t="s">
        <v>20</v>
      </c>
      <c r="C2439" s="45">
        <v>46294</v>
      </c>
      <c r="D2439" s="76">
        <v>2095.6686086961599</v>
      </c>
      <c r="E2439" s="77">
        <v>125</v>
      </c>
      <c r="F2439" s="78">
        <v>12.2947028731584</v>
      </c>
      <c r="G2439" s="78">
        <v>12.2947028731584</v>
      </c>
      <c r="H2439" s="81">
        <v>12.513200507543701</v>
      </c>
    </row>
    <row r="2440" spans="1:8" x14ac:dyDescent="0.3">
      <c r="A2440" s="74" t="str">
        <f t="shared" si="38"/>
        <v>江苏46295</v>
      </c>
      <c r="B2440" s="75" t="s">
        <v>20</v>
      </c>
      <c r="C2440" s="45">
        <v>46295</v>
      </c>
      <c r="D2440" s="76">
        <v>2095.6686086961599</v>
      </c>
      <c r="E2440" s="77">
        <v>125</v>
      </c>
      <c r="F2440" s="78">
        <v>12.2947028731584</v>
      </c>
      <c r="G2440" s="78">
        <v>12.2947028731584</v>
      </c>
      <c r="H2440" s="81">
        <v>12.513200507543701</v>
      </c>
    </row>
    <row r="2441" spans="1:8" x14ac:dyDescent="0.3">
      <c r="A2441" s="74" t="str">
        <f t="shared" si="38"/>
        <v>江苏46296</v>
      </c>
      <c r="B2441" s="75" t="s">
        <v>20</v>
      </c>
      <c r="C2441" s="45">
        <v>46296</v>
      </c>
      <c r="D2441" s="76">
        <v>1657.25150930921</v>
      </c>
      <c r="E2441" s="77">
        <v>125</v>
      </c>
      <c r="F2441" s="78">
        <v>12.505036619751699</v>
      </c>
      <c r="G2441" s="78">
        <v>12.505036619751699</v>
      </c>
      <c r="H2441" s="81">
        <v>12.5878319221016</v>
      </c>
    </row>
    <row r="2442" spans="1:8" x14ac:dyDescent="0.3">
      <c r="A2442" s="74" t="str">
        <f t="shared" si="38"/>
        <v>江苏46297</v>
      </c>
      <c r="B2442" s="75" t="s">
        <v>20</v>
      </c>
      <c r="C2442" s="45">
        <v>46297</v>
      </c>
      <c r="D2442" s="76">
        <v>1657.25150930921</v>
      </c>
      <c r="E2442" s="77">
        <v>125</v>
      </c>
      <c r="F2442" s="78">
        <v>12.505036619751699</v>
      </c>
      <c r="G2442" s="78">
        <v>12.505036619751699</v>
      </c>
      <c r="H2442" s="81">
        <v>12.5878319221016</v>
      </c>
    </row>
    <row r="2443" spans="1:8" x14ac:dyDescent="0.3">
      <c r="A2443" s="74" t="str">
        <f t="shared" si="38"/>
        <v>江苏46298</v>
      </c>
      <c r="B2443" s="75" t="s">
        <v>20</v>
      </c>
      <c r="C2443" s="45">
        <v>46298</v>
      </c>
      <c r="D2443" s="76">
        <v>1657.25150930921</v>
      </c>
      <c r="E2443" s="77">
        <v>125</v>
      </c>
      <c r="F2443" s="78">
        <v>12.505036619751699</v>
      </c>
      <c r="G2443" s="78">
        <v>12.505036619751699</v>
      </c>
      <c r="H2443" s="81">
        <v>12.5878319221016</v>
      </c>
    </row>
    <row r="2444" spans="1:8" x14ac:dyDescent="0.3">
      <c r="A2444" s="74" t="str">
        <f t="shared" si="38"/>
        <v>江苏46299</v>
      </c>
      <c r="B2444" s="75" t="s">
        <v>20</v>
      </c>
      <c r="C2444" s="45">
        <v>46299</v>
      </c>
      <c r="D2444" s="76">
        <v>1657.25150930921</v>
      </c>
      <c r="E2444" s="77">
        <v>125</v>
      </c>
      <c r="F2444" s="78">
        <v>12.505036619751699</v>
      </c>
      <c r="G2444" s="78">
        <v>12.505036619751699</v>
      </c>
      <c r="H2444" s="81">
        <v>12.5878319221016</v>
      </c>
    </row>
    <row r="2445" spans="1:8" x14ac:dyDescent="0.3">
      <c r="A2445" s="74" t="str">
        <f t="shared" si="38"/>
        <v>江苏46300</v>
      </c>
      <c r="B2445" s="75" t="s">
        <v>20</v>
      </c>
      <c r="C2445" s="45">
        <v>46300</v>
      </c>
      <c r="D2445" s="76">
        <v>1657.25150930921</v>
      </c>
      <c r="E2445" s="77">
        <v>125</v>
      </c>
      <c r="F2445" s="78">
        <v>12.505036619751699</v>
      </c>
      <c r="G2445" s="78">
        <v>12.505036619751699</v>
      </c>
      <c r="H2445" s="81">
        <v>12.5878319221016</v>
      </c>
    </row>
    <row r="2446" spans="1:8" x14ac:dyDescent="0.3">
      <c r="A2446" s="74" t="str">
        <f t="shared" si="38"/>
        <v>江苏46301</v>
      </c>
      <c r="B2446" s="75" t="s">
        <v>20</v>
      </c>
      <c r="C2446" s="45">
        <v>46301</v>
      </c>
      <c r="D2446" s="76">
        <v>1657.25150930921</v>
      </c>
      <c r="E2446" s="77">
        <v>125</v>
      </c>
      <c r="F2446" s="78">
        <v>12.505036619751699</v>
      </c>
      <c r="G2446" s="78">
        <v>12.505036619751699</v>
      </c>
      <c r="H2446" s="81">
        <v>12.5878319221016</v>
      </c>
    </row>
    <row r="2447" spans="1:8" x14ac:dyDescent="0.3">
      <c r="A2447" s="74" t="str">
        <f t="shared" si="38"/>
        <v>江苏46302</v>
      </c>
      <c r="B2447" s="75" t="s">
        <v>20</v>
      </c>
      <c r="C2447" s="45">
        <v>46302</v>
      </c>
      <c r="D2447" s="76">
        <v>1657.25150930921</v>
      </c>
      <c r="E2447" s="77">
        <v>125</v>
      </c>
      <c r="F2447" s="78">
        <v>12.505036619751699</v>
      </c>
      <c r="G2447" s="78">
        <v>12.505036619751699</v>
      </c>
      <c r="H2447" s="81">
        <v>12.5878319221016</v>
      </c>
    </row>
    <row r="2448" spans="1:8" x14ac:dyDescent="0.3">
      <c r="A2448" s="74" t="str">
        <f t="shared" si="38"/>
        <v>江苏46303</v>
      </c>
      <c r="B2448" s="75" t="s">
        <v>20</v>
      </c>
      <c r="C2448" s="45">
        <v>46303</v>
      </c>
      <c r="D2448" s="76">
        <v>1657.25150930921</v>
      </c>
      <c r="E2448" s="77">
        <v>125</v>
      </c>
      <c r="F2448" s="78">
        <v>12.505036619751699</v>
      </c>
      <c r="G2448" s="78">
        <v>12.505036619751699</v>
      </c>
      <c r="H2448" s="81">
        <v>12.5878319221016</v>
      </c>
    </row>
    <row r="2449" spans="1:8" x14ac:dyDescent="0.3">
      <c r="A2449" s="74" t="str">
        <f t="shared" si="38"/>
        <v>江苏46304</v>
      </c>
      <c r="B2449" s="75" t="s">
        <v>20</v>
      </c>
      <c r="C2449" s="45">
        <v>46304</v>
      </c>
      <c r="D2449" s="76">
        <v>1657.25150930921</v>
      </c>
      <c r="E2449" s="77">
        <v>125</v>
      </c>
      <c r="F2449" s="78">
        <v>12.505036619751699</v>
      </c>
      <c r="G2449" s="78">
        <v>12.505036619751699</v>
      </c>
      <c r="H2449" s="81">
        <v>12.5878319221016</v>
      </c>
    </row>
    <row r="2450" spans="1:8" x14ac:dyDescent="0.3">
      <c r="A2450" s="74" t="str">
        <f t="shared" si="38"/>
        <v>江苏46305</v>
      </c>
      <c r="B2450" s="75" t="s">
        <v>20</v>
      </c>
      <c r="C2450" s="45">
        <v>46305</v>
      </c>
      <c r="D2450" s="76">
        <v>1657.25150930921</v>
      </c>
      <c r="E2450" s="77">
        <v>125</v>
      </c>
      <c r="F2450" s="78">
        <v>12.505036619751699</v>
      </c>
      <c r="G2450" s="78">
        <v>12.505036619751699</v>
      </c>
      <c r="H2450" s="81">
        <v>12.5878319221016</v>
      </c>
    </row>
    <row r="2451" spans="1:8" x14ac:dyDescent="0.3">
      <c r="A2451" s="74" t="str">
        <f t="shared" si="38"/>
        <v>江苏46306</v>
      </c>
      <c r="B2451" s="75" t="s">
        <v>20</v>
      </c>
      <c r="C2451" s="45">
        <v>46306</v>
      </c>
      <c r="D2451" s="76">
        <v>1657.25150930921</v>
      </c>
      <c r="E2451" s="77">
        <v>125</v>
      </c>
      <c r="F2451" s="78">
        <v>12.505036619751699</v>
      </c>
      <c r="G2451" s="78">
        <v>12.505036619751699</v>
      </c>
      <c r="H2451" s="81">
        <v>12.5878319221016</v>
      </c>
    </row>
    <row r="2452" spans="1:8" x14ac:dyDescent="0.3">
      <c r="A2452" s="74" t="str">
        <f t="shared" si="38"/>
        <v>江苏46307</v>
      </c>
      <c r="B2452" s="75" t="s">
        <v>20</v>
      </c>
      <c r="C2452" s="45">
        <v>46307</v>
      </c>
      <c r="D2452" s="76">
        <v>1657.25150930921</v>
      </c>
      <c r="E2452" s="77">
        <v>125</v>
      </c>
      <c r="F2452" s="78">
        <v>12.505036619751699</v>
      </c>
      <c r="G2452" s="78">
        <v>12.505036619751699</v>
      </c>
      <c r="H2452" s="81">
        <v>12.5878319221016</v>
      </c>
    </row>
    <row r="2453" spans="1:8" x14ac:dyDescent="0.3">
      <c r="A2453" s="74" t="str">
        <f t="shared" si="38"/>
        <v>江苏46308</v>
      </c>
      <c r="B2453" s="75" t="s">
        <v>20</v>
      </c>
      <c r="C2453" s="45">
        <v>46308</v>
      </c>
      <c r="D2453" s="76">
        <v>1657.25150930921</v>
      </c>
      <c r="E2453" s="77">
        <v>125</v>
      </c>
      <c r="F2453" s="78">
        <v>12.505036619751699</v>
      </c>
      <c r="G2453" s="78">
        <v>12.505036619751699</v>
      </c>
      <c r="H2453" s="81">
        <v>12.5878319221016</v>
      </c>
    </row>
    <row r="2454" spans="1:8" x14ac:dyDescent="0.3">
      <c r="A2454" s="74" t="str">
        <f t="shared" si="38"/>
        <v>江苏46309</v>
      </c>
      <c r="B2454" s="75" t="s">
        <v>20</v>
      </c>
      <c r="C2454" s="45">
        <v>46309</v>
      </c>
      <c r="D2454" s="76">
        <v>1657.25150930921</v>
      </c>
      <c r="E2454" s="77">
        <v>125</v>
      </c>
      <c r="F2454" s="78">
        <v>12.505036619751699</v>
      </c>
      <c r="G2454" s="78">
        <v>12.505036619751699</v>
      </c>
      <c r="H2454" s="81">
        <v>12.5878319221016</v>
      </c>
    </row>
    <row r="2455" spans="1:8" x14ac:dyDescent="0.3">
      <c r="A2455" s="74" t="str">
        <f t="shared" si="38"/>
        <v>江苏46310</v>
      </c>
      <c r="B2455" s="75" t="s">
        <v>20</v>
      </c>
      <c r="C2455" s="45">
        <v>46310</v>
      </c>
      <c r="D2455" s="76">
        <v>1657.25150930921</v>
      </c>
      <c r="E2455" s="77">
        <v>125</v>
      </c>
      <c r="F2455" s="78">
        <v>12.505036619751699</v>
      </c>
      <c r="G2455" s="78">
        <v>12.505036619751699</v>
      </c>
      <c r="H2455" s="81">
        <v>12.5878319221016</v>
      </c>
    </row>
    <row r="2456" spans="1:8" x14ac:dyDescent="0.3">
      <c r="A2456" s="74" t="str">
        <f t="shared" si="38"/>
        <v>江苏46311</v>
      </c>
      <c r="B2456" s="75" t="s">
        <v>20</v>
      </c>
      <c r="C2456" s="45">
        <v>46311</v>
      </c>
      <c r="D2456" s="76">
        <v>1657.25150930921</v>
      </c>
      <c r="E2456" s="77">
        <v>125</v>
      </c>
      <c r="F2456" s="78">
        <v>12.505036619751699</v>
      </c>
      <c r="G2456" s="78">
        <v>12.505036619751699</v>
      </c>
      <c r="H2456" s="81">
        <v>12.5878319221016</v>
      </c>
    </row>
    <row r="2457" spans="1:8" x14ac:dyDescent="0.3">
      <c r="A2457" s="74" t="str">
        <f t="shared" si="38"/>
        <v>江苏46312</v>
      </c>
      <c r="B2457" s="75" t="s">
        <v>20</v>
      </c>
      <c r="C2457" s="45">
        <v>46312</v>
      </c>
      <c r="D2457" s="76">
        <v>1657.25150930921</v>
      </c>
      <c r="E2457" s="77">
        <v>125</v>
      </c>
      <c r="F2457" s="78">
        <v>12.505036619751699</v>
      </c>
      <c r="G2457" s="78">
        <v>12.505036619751699</v>
      </c>
      <c r="H2457" s="81">
        <v>12.5878319221016</v>
      </c>
    </row>
    <row r="2458" spans="1:8" x14ac:dyDescent="0.3">
      <c r="A2458" s="74" t="str">
        <f t="shared" si="38"/>
        <v>江苏46313</v>
      </c>
      <c r="B2458" s="75" t="s">
        <v>20</v>
      </c>
      <c r="C2458" s="45">
        <v>46313</v>
      </c>
      <c r="D2458" s="76">
        <v>1657.25150930921</v>
      </c>
      <c r="E2458" s="77">
        <v>125</v>
      </c>
      <c r="F2458" s="78">
        <v>12.505036619751699</v>
      </c>
      <c r="G2458" s="78">
        <v>12.505036619751699</v>
      </c>
      <c r="H2458" s="81">
        <v>12.5878319221016</v>
      </c>
    </row>
    <row r="2459" spans="1:8" x14ac:dyDescent="0.3">
      <c r="A2459" s="74" t="str">
        <f t="shared" si="38"/>
        <v>江苏46314</v>
      </c>
      <c r="B2459" s="75" t="s">
        <v>20</v>
      </c>
      <c r="C2459" s="45">
        <v>46314</v>
      </c>
      <c r="D2459" s="76">
        <v>1657.25150930921</v>
      </c>
      <c r="E2459" s="77">
        <v>125</v>
      </c>
      <c r="F2459" s="78">
        <v>12.505036619751699</v>
      </c>
      <c r="G2459" s="78">
        <v>12.505036619751699</v>
      </c>
      <c r="H2459" s="81">
        <v>12.5878319221016</v>
      </c>
    </row>
    <row r="2460" spans="1:8" x14ac:dyDescent="0.3">
      <c r="A2460" s="74" t="str">
        <f t="shared" si="38"/>
        <v>江苏46315</v>
      </c>
      <c r="B2460" s="75" t="s">
        <v>20</v>
      </c>
      <c r="C2460" s="45">
        <v>46315</v>
      </c>
      <c r="D2460" s="76">
        <v>1657.25150930921</v>
      </c>
      <c r="E2460" s="77">
        <v>125</v>
      </c>
      <c r="F2460" s="78">
        <v>12.505036619751699</v>
      </c>
      <c r="G2460" s="78">
        <v>12.505036619751699</v>
      </c>
      <c r="H2460" s="81">
        <v>12.5878319221016</v>
      </c>
    </row>
    <row r="2461" spans="1:8" x14ac:dyDescent="0.3">
      <c r="A2461" s="74" t="str">
        <f t="shared" si="38"/>
        <v>江苏46316</v>
      </c>
      <c r="B2461" s="75" t="s">
        <v>20</v>
      </c>
      <c r="C2461" s="45">
        <v>46316</v>
      </c>
      <c r="D2461" s="76">
        <v>1657.25150930921</v>
      </c>
      <c r="E2461" s="77">
        <v>125</v>
      </c>
      <c r="F2461" s="78">
        <v>12.505036619751699</v>
      </c>
      <c r="G2461" s="78">
        <v>12.505036619751699</v>
      </c>
      <c r="H2461" s="81">
        <v>12.5878319221016</v>
      </c>
    </row>
    <row r="2462" spans="1:8" x14ac:dyDescent="0.3">
      <c r="A2462" s="74" t="str">
        <f t="shared" si="38"/>
        <v>江苏46317</v>
      </c>
      <c r="B2462" s="75" t="s">
        <v>20</v>
      </c>
      <c r="C2462" s="45">
        <v>46317</v>
      </c>
      <c r="D2462" s="76">
        <v>1657.25150930921</v>
      </c>
      <c r="E2462" s="77">
        <v>125</v>
      </c>
      <c r="F2462" s="78">
        <v>12.505036619751699</v>
      </c>
      <c r="G2462" s="78">
        <v>12.505036619751699</v>
      </c>
      <c r="H2462" s="81">
        <v>12.5878319221016</v>
      </c>
    </row>
    <row r="2463" spans="1:8" x14ac:dyDescent="0.3">
      <c r="A2463" s="74" t="str">
        <f t="shared" si="38"/>
        <v>江苏46318</v>
      </c>
      <c r="B2463" s="75" t="s">
        <v>20</v>
      </c>
      <c r="C2463" s="45">
        <v>46318</v>
      </c>
      <c r="D2463" s="76">
        <v>1657.25150930921</v>
      </c>
      <c r="E2463" s="77">
        <v>125</v>
      </c>
      <c r="F2463" s="78">
        <v>12.505036619751699</v>
      </c>
      <c r="G2463" s="78">
        <v>12.505036619751699</v>
      </c>
      <c r="H2463" s="81">
        <v>12.5878319221016</v>
      </c>
    </row>
    <row r="2464" spans="1:8" x14ac:dyDescent="0.3">
      <c r="A2464" s="74" t="str">
        <f t="shared" si="38"/>
        <v>江苏46319</v>
      </c>
      <c r="B2464" s="75" t="s">
        <v>20</v>
      </c>
      <c r="C2464" s="45">
        <v>46319</v>
      </c>
      <c r="D2464" s="76">
        <v>1657.25150930921</v>
      </c>
      <c r="E2464" s="77">
        <v>125</v>
      </c>
      <c r="F2464" s="78">
        <v>12.505036619751699</v>
      </c>
      <c r="G2464" s="78">
        <v>12.505036619751699</v>
      </c>
      <c r="H2464" s="81">
        <v>12.5878319221016</v>
      </c>
    </row>
    <row r="2465" spans="1:8" x14ac:dyDescent="0.3">
      <c r="A2465" s="74" t="str">
        <f t="shared" si="38"/>
        <v>江苏46320</v>
      </c>
      <c r="B2465" s="75" t="s">
        <v>20</v>
      </c>
      <c r="C2465" s="45">
        <v>46320</v>
      </c>
      <c r="D2465" s="76">
        <v>1657.25150930921</v>
      </c>
      <c r="E2465" s="77">
        <v>125</v>
      </c>
      <c r="F2465" s="78">
        <v>12.505036619751699</v>
      </c>
      <c r="G2465" s="78">
        <v>12.505036619751699</v>
      </c>
      <c r="H2465" s="81">
        <v>12.5878319221016</v>
      </c>
    </row>
    <row r="2466" spans="1:8" x14ac:dyDescent="0.3">
      <c r="A2466" s="74" t="str">
        <f t="shared" si="38"/>
        <v>江苏46321</v>
      </c>
      <c r="B2466" s="75" t="s">
        <v>20</v>
      </c>
      <c r="C2466" s="45">
        <v>46321</v>
      </c>
      <c r="D2466" s="76">
        <v>1657.25150930921</v>
      </c>
      <c r="E2466" s="77">
        <v>125</v>
      </c>
      <c r="F2466" s="78">
        <v>12.505036619751699</v>
      </c>
      <c r="G2466" s="78">
        <v>12.505036619751699</v>
      </c>
      <c r="H2466" s="81">
        <v>12.5878319221016</v>
      </c>
    </row>
    <row r="2467" spans="1:8" x14ac:dyDescent="0.3">
      <c r="A2467" s="74" t="str">
        <f t="shared" si="38"/>
        <v>江苏46322</v>
      </c>
      <c r="B2467" s="75" t="s">
        <v>20</v>
      </c>
      <c r="C2467" s="45">
        <v>46322</v>
      </c>
      <c r="D2467" s="76">
        <v>1657.25150930921</v>
      </c>
      <c r="E2467" s="77">
        <v>125</v>
      </c>
      <c r="F2467" s="78">
        <v>12.505036619751699</v>
      </c>
      <c r="G2467" s="78">
        <v>12.505036619751699</v>
      </c>
      <c r="H2467" s="81">
        <v>12.5878319221016</v>
      </c>
    </row>
    <row r="2468" spans="1:8" x14ac:dyDescent="0.3">
      <c r="A2468" s="74" t="str">
        <f t="shared" si="38"/>
        <v>江苏46323</v>
      </c>
      <c r="B2468" s="75" t="s">
        <v>20</v>
      </c>
      <c r="C2468" s="45">
        <v>46323</v>
      </c>
      <c r="D2468" s="76">
        <v>1657.25150930921</v>
      </c>
      <c r="E2468" s="77">
        <v>125</v>
      </c>
      <c r="F2468" s="78">
        <v>12.505036619751699</v>
      </c>
      <c r="G2468" s="78">
        <v>12.505036619751699</v>
      </c>
      <c r="H2468" s="81">
        <v>12.5878319221016</v>
      </c>
    </row>
    <row r="2469" spans="1:8" x14ac:dyDescent="0.3">
      <c r="A2469" s="74" t="str">
        <f t="shared" si="38"/>
        <v>江苏46324</v>
      </c>
      <c r="B2469" s="75" t="s">
        <v>20</v>
      </c>
      <c r="C2469" s="45">
        <v>46324</v>
      </c>
      <c r="D2469" s="76">
        <v>1657.25150930921</v>
      </c>
      <c r="E2469" s="77">
        <v>125</v>
      </c>
      <c r="F2469" s="78">
        <v>12.505036619751699</v>
      </c>
      <c r="G2469" s="78">
        <v>12.505036619751699</v>
      </c>
      <c r="H2469" s="81">
        <v>12.5878319221016</v>
      </c>
    </row>
    <row r="2470" spans="1:8" x14ac:dyDescent="0.3">
      <c r="A2470" s="74" t="str">
        <f t="shared" si="38"/>
        <v>江苏46325</v>
      </c>
      <c r="B2470" s="75" t="s">
        <v>20</v>
      </c>
      <c r="C2470" s="45">
        <v>46325</v>
      </c>
      <c r="D2470" s="76">
        <v>1657.25150930921</v>
      </c>
      <c r="E2470" s="77">
        <v>125</v>
      </c>
      <c r="F2470" s="78">
        <v>12.505036619751699</v>
      </c>
      <c r="G2470" s="78">
        <v>12.505036619751699</v>
      </c>
      <c r="H2470" s="81">
        <v>12.5878319221016</v>
      </c>
    </row>
    <row r="2471" spans="1:8" x14ac:dyDescent="0.3">
      <c r="A2471" s="74" t="str">
        <f t="shared" si="38"/>
        <v>江苏46326</v>
      </c>
      <c r="B2471" s="75" t="s">
        <v>20</v>
      </c>
      <c r="C2471" s="45">
        <v>46326</v>
      </c>
      <c r="D2471" s="76">
        <v>1657.25150930921</v>
      </c>
      <c r="E2471" s="77">
        <v>125</v>
      </c>
      <c r="F2471" s="78">
        <v>12.505036619751699</v>
      </c>
      <c r="G2471" s="78">
        <v>12.505036619751699</v>
      </c>
      <c r="H2471" s="81">
        <v>12.5878319221016</v>
      </c>
    </row>
    <row r="2472" spans="1:8" x14ac:dyDescent="0.3">
      <c r="A2472" s="74" t="str">
        <f t="shared" si="38"/>
        <v>江苏46327</v>
      </c>
      <c r="B2472" s="75" t="s">
        <v>20</v>
      </c>
      <c r="C2472" s="45">
        <v>46327</v>
      </c>
      <c r="D2472" s="76">
        <v>1626.3390842526801</v>
      </c>
      <c r="E2472" s="77">
        <v>125</v>
      </c>
      <c r="F2472" s="78">
        <v>12.794982274649101</v>
      </c>
      <c r="G2472" s="78">
        <v>12.794982274649101</v>
      </c>
      <c r="H2472" s="81">
        <v>12.662463336659499</v>
      </c>
    </row>
    <row r="2473" spans="1:8" x14ac:dyDescent="0.3">
      <c r="A2473" s="74" t="str">
        <f t="shared" si="38"/>
        <v>江苏46328</v>
      </c>
      <c r="B2473" s="75" t="s">
        <v>20</v>
      </c>
      <c r="C2473" s="45">
        <v>46328</v>
      </c>
      <c r="D2473" s="76">
        <v>1626.3390842526801</v>
      </c>
      <c r="E2473" s="77">
        <v>125</v>
      </c>
      <c r="F2473" s="78">
        <v>12.794982274649101</v>
      </c>
      <c r="G2473" s="78">
        <v>12.794982274649101</v>
      </c>
      <c r="H2473" s="81">
        <v>12.662463336659499</v>
      </c>
    </row>
    <row r="2474" spans="1:8" x14ac:dyDescent="0.3">
      <c r="A2474" s="74" t="str">
        <f t="shared" si="38"/>
        <v>江苏46329</v>
      </c>
      <c r="B2474" s="75" t="s">
        <v>20</v>
      </c>
      <c r="C2474" s="45">
        <v>46329</v>
      </c>
      <c r="D2474" s="76">
        <v>1626.3390842526801</v>
      </c>
      <c r="E2474" s="77">
        <v>125</v>
      </c>
      <c r="F2474" s="78">
        <v>12.794982274649101</v>
      </c>
      <c r="G2474" s="78">
        <v>12.794982274649101</v>
      </c>
      <c r="H2474" s="81">
        <v>12.662463336659499</v>
      </c>
    </row>
    <row r="2475" spans="1:8" x14ac:dyDescent="0.3">
      <c r="A2475" s="74" t="str">
        <f t="shared" si="38"/>
        <v>江苏46330</v>
      </c>
      <c r="B2475" s="75" t="s">
        <v>20</v>
      </c>
      <c r="C2475" s="45">
        <v>46330</v>
      </c>
      <c r="D2475" s="76">
        <v>1626.3390842526801</v>
      </c>
      <c r="E2475" s="77">
        <v>125</v>
      </c>
      <c r="F2475" s="78">
        <v>12.794982274649101</v>
      </c>
      <c r="G2475" s="78">
        <v>12.794982274649101</v>
      </c>
      <c r="H2475" s="81">
        <v>12.662463336659499</v>
      </c>
    </row>
    <row r="2476" spans="1:8" x14ac:dyDescent="0.3">
      <c r="A2476" s="74" t="str">
        <f t="shared" si="38"/>
        <v>江苏46331</v>
      </c>
      <c r="B2476" s="75" t="s">
        <v>20</v>
      </c>
      <c r="C2476" s="45">
        <v>46331</v>
      </c>
      <c r="D2476" s="76">
        <v>1626.3390842526801</v>
      </c>
      <c r="E2476" s="77">
        <v>125</v>
      </c>
      <c r="F2476" s="78">
        <v>12.794982274649101</v>
      </c>
      <c r="G2476" s="78">
        <v>12.794982274649101</v>
      </c>
      <c r="H2476" s="81">
        <v>12.662463336659499</v>
      </c>
    </row>
    <row r="2477" spans="1:8" x14ac:dyDescent="0.3">
      <c r="A2477" s="74" t="str">
        <f t="shared" si="38"/>
        <v>江苏46332</v>
      </c>
      <c r="B2477" s="75" t="s">
        <v>20</v>
      </c>
      <c r="C2477" s="45">
        <v>46332</v>
      </c>
      <c r="D2477" s="76">
        <v>1626.3390842526801</v>
      </c>
      <c r="E2477" s="77">
        <v>125</v>
      </c>
      <c r="F2477" s="78">
        <v>12.794982274649101</v>
      </c>
      <c r="G2477" s="78">
        <v>12.794982274649101</v>
      </c>
      <c r="H2477" s="81">
        <v>12.662463336659499</v>
      </c>
    </row>
    <row r="2478" spans="1:8" x14ac:dyDescent="0.3">
      <c r="A2478" s="74" t="str">
        <f t="shared" si="38"/>
        <v>江苏46333</v>
      </c>
      <c r="B2478" s="75" t="s">
        <v>20</v>
      </c>
      <c r="C2478" s="45">
        <v>46333</v>
      </c>
      <c r="D2478" s="76">
        <v>1626.3390842526801</v>
      </c>
      <c r="E2478" s="77">
        <v>125</v>
      </c>
      <c r="F2478" s="78">
        <v>12.794982274649101</v>
      </c>
      <c r="G2478" s="78">
        <v>12.794982274649101</v>
      </c>
      <c r="H2478" s="81">
        <v>12.662463336659499</v>
      </c>
    </row>
    <row r="2479" spans="1:8" x14ac:dyDescent="0.3">
      <c r="A2479" s="74" t="str">
        <f t="shared" si="38"/>
        <v>江苏46334</v>
      </c>
      <c r="B2479" s="75" t="s">
        <v>20</v>
      </c>
      <c r="C2479" s="45">
        <v>46334</v>
      </c>
      <c r="D2479" s="76">
        <v>1626.3390842526801</v>
      </c>
      <c r="E2479" s="77">
        <v>125</v>
      </c>
      <c r="F2479" s="78">
        <v>12.794982274649101</v>
      </c>
      <c r="G2479" s="78">
        <v>12.794982274649101</v>
      </c>
      <c r="H2479" s="81">
        <v>12.662463336659499</v>
      </c>
    </row>
    <row r="2480" spans="1:8" x14ac:dyDescent="0.3">
      <c r="A2480" s="74" t="str">
        <f t="shared" si="38"/>
        <v>江苏46335</v>
      </c>
      <c r="B2480" s="75" t="s">
        <v>20</v>
      </c>
      <c r="C2480" s="45">
        <v>46335</v>
      </c>
      <c r="D2480" s="76">
        <v>1626.3390842526801</v>
      </c>
      <c r="E2480" s="77">
        <v>125</v>
      </c>
      <c r="F2480" s="78">
        <v>12.794982274649101</v>
      </c>
      <c r="G2480" s="78">
        <v>12.794982274649101</v>
      </c>
      <c r="H2480" s="81">
        <v>12.662463336659499</v>
      </c>
    </row>
    <row r="2481" spans="1:8" x14ac:dyDescent="0.3">
      <c r="A2481" s="74" t="str">
        <f t="shared" si="38"/>
        <v>江苏46336</v>
      </c>
      <c r="B2481" s="75" t="s">
        <v>20</v>
      </c>
      <c r="C2481" s="45">
        <v>46336</v>
      </c>
      <c r="D2481" s="76">
        <v>1626.3390842526801</v>
      </c>
      <c r="E2481" s="77">
        <v>125</v>
      </c>
      <c r="F2481" s="78">
        <v>12.794982274649101</v>
      </c>
      <c r="G2481" s="78">
        <v>12.794982274649101</v>
      </c>
      <c r="H2481" s="81">
        <v>12.662463336659499</v>
      </c>
    </row>
    <row r="2482" spans="1:8" x14ac:dyDescent="0.3">
      <c r="A2482" s="74" t="str">
        <f t="shared" si="38"/>
        <v>江苏46337</v>
      </c>
      <c r="B2482" s="75" t="s">
        <v>20</v>
      </c>
      <c r="C2482" s="45">
        <v>46337</v>
      </c>
      <c r="D2482" s="76">
        <v>1626.3390842526801</v>
      </c>
      <c r="E2482" s="77">
        <v>125</v>
      </c>
      <c r="F2482" s="78">
        <v>12.794982274649101</v>
      </c>
      <c r="G2482" s="78">
        <v>12.794982274649101</v>
      </c>
      <c r="H2482" s="81">
        <v>12.662463336659499</v>
      </c>
    </row>
    <row r="2483" spans="1:8" x14ac:dyDescent="0.3">
      <c r="A2483" s="74" t="str">
        <f t="shared" si="38"/>
        <v>江苏46338</v>
      </c>
      <c r="B2483" s="75" t="s">
        <v>20</v>
      </c>
      <c r="C2483" s="45">
        <v>46338</v>
      </c>
      <c r="D2483" s="76">
        <v>1626.3390842526801</v>
      </c>
      <c r="E2483" s="77">
        <v>125</v>
      </c>
      <c r="F2483" s="78">
        <v>12.794982274649101</v>
      </c>
      <c r="G2483" s="78">
        <v>12.794982274649101</v>
      </c>
      <c r="H2483" s="81">
        <v>12.662463336659499</v>
      </c>
    </row>
    <row r="2484" spans="1:8" x14ac:dyDescent="0.3">
      <c r="A2484" s="74" t="str">
        <f t="shared" si="38"/>
        <v>江苏46339</v>
      </c>
      <c r="B2484" s="75" t="s">
        <v>20</v>
      </c>
      <c r="C2484" s="45">
        <v>46339</v>
      </c>
      <c r="D2484" s="76">
        <v>1626.3390842526801</v>
      </c>
      <c r="E2484" s="77">
        <v>125</v>
      </c>
      <c r="F2484" s="78">
        <v>12.794982274649101</v>
      </c>
      <c r="G2484" s="78">
        <v>12.794982274649101</v>
      </c>
      <c r="H2484" s="81">
        <v>12.662463336659499</v>
      </c>
    </row>
    <row r="2485" spans="1:8" x14ac:dyDescent="0.3">
      <c r="A2485" s="74" t="str">
        <f t="shared" si="38"/>
        <v>江苏46340</v>
      </c>
      <c r="B2485" s="75" t="s">
        <v>20</v>
      </c>
      <c r="C2485" s="45">
        <v>46340</v>
      </c>
      <c r="D2485" s="76">
        <v>1626.3390842526801</v>
      </c>
      <c r="E2485" s="77">
        <v>125</v>
      </c>
      <c r="F2485" s="78">
        <v>12.794982274649101</v>
      </c>
      <c r="G2485" s="78">
        <v>12.794982274649101</v>
      </c>
      <c r="H2485" s="81">
        <v>12.662463336659499</v>
      </c>
    </row>
    <row r="2486" spans="1:8" x14ac:dyDescent="0.3">
      <c r="A2486" s="74" t="str">
        <f t="shared" si="38"/>
        <v>江苏46341</v>
      </c>
      <c r="B2486" s="75" t="s">
        <v>20</v>
      </c>
      <c r="C2486" s="45">
        <v>46341</v>
      </c>
      <c r="D2486" s="76">
        <v>1626.3390842526801</v>
      </c>
      <c r="E2486" s="77">
        <v>125</v>
      </c>
      <c r="F2486" s="78">
        <v>12.794982274649101</v>
      </c>
      <c r="G2486" s="78">
        <v>12.794982274649101</v>
      </c>
      <c r="H2486" s="81">
        <v>12.662463336659499</v>
      </c>
    </row>
    <row r="2487" spans="1:8" x14ac:dyDescent="0.3">
      <c r="A2487" s="74" t="str">
        <f t="shared" si="38"/>
        <v>江苏46342</v>
      </c>
      <c r="B2487" s="75" t="s">
        <v>20</v>
      </c>
      <c r="C2487" s="45">
        <v>46342</v>
      </c>
      <c r="D2487" s="76">
        <v>1626.3390842526801</v>
      </c>
      <c r="E2487" s="77">
        <v>125</v>
      </c>
      <c r="F2487" s="78">
        <v>12.794982274649101</v>
      </c>
      <c r="G2487" s="78">
        <v>12.794982274649101</v>
      </c>
      <c r="H2487" s="81">
        <v>12.662463336659499</v>
      </c>
    </row>
    <row r="2488" spans="1:8" x14ac:dyDescent="0.3">
      <c r="A2488" s="74" t="str">
        <f t="shared" si="38"/>
        <v>江苏46343</v>
      </c>
      <c r="B2488" s="75" t="s">
        <v>20</v>
      </c>
      <c r="C2488" s="45">
        <v>46343</v>
      </c>
      <c r="D2488" s="76">
        <v>1626.3390842526801</v>
      </c>
      <c r="E2488" s="77">
        <v>125</v>
      </c>
      <c r="F2488" s="78">
        <v>12.794982274649101</v>
      </c>
      <c r="G2488" s="78">
        <v>12.794982274649101</v>
      </c>
      <c r="H2488" s="81">
        <v>12.662463336659499</v>
      </c>
    </row>
    <row r="2489" spans="1:8" x14ac:dyDescent="0.3">
      <c r="A2489" s="74" t="str">
        <f t="shared" si="38"/>
        <v>江苏46344</v>
      </c>
      <c r="B2489" s="75" t="s">
        <v>20</v>
      </c>
      <c r="C2489" s="45">
        <v>46344</v>
      </c>
      <c r="D2489" s="76">
        <v>1626.3390842526801</v>
      </c>
      <c r="E2489" s="77">
        <v>125</v>
      </c>
      <c r="F2489" s="78">
        <v>12.794982274649101</v>
      </c>
      <c r="G2489" s="78">
        <v>12.794982274649101</v>
      </c>
      <c r="H2489" s="81">
        <v>12.662463336659499</v>
      </c>
    </row>
    <row r="2490" spans="1:8" x14ac:dyDescent="0.3">
      <c r="A2490" s="74" t="str">
        <f t="shared" si="38"/>
        <v>江苏46345</v>
      </c>
      <c r="B2490" s="75" t="s">
        <v>20</v>
      </c>
      <c r="C2490" s="45">
        <v>46345</v>
      </c>
      <c r="D2490" s="76">
        <v>1626.3390842526801</v>
      </c>
      <c r="E2490" s="77">
        <v>125</v>
      </c>
      <c r="F2490" s="78">
        <v>12.794982274649101</v>
      </c>
      <c r="G2490" s="78">
        <v>12.794982274649101</v>
      </c>
      <c r="H2490" s="81">
        <v>12.662463336659499</v>
      </c>
    </row>
    <row r="2491" spans="1:8" x14ac:dyDescent="0.3">
      <c r="A2491" s="74" t="str">
        <f t="shared" si="38"/>
        <v>江苏46346</v>
      </c>
      <c r="B2491" s="75" t="s">
        <v>20</v>
      </c>
      <c r="C2491" s="45">
        <v>46346</v>
      </c>
      <c r="D2491" s="76">
        <v>1626.3390842526801</v>
      </c>
      <c r="E2491" s="77">
        <v>125</v>
      </c>
      <c r="F2491" s="78">
        <v>12.794982274649101</v>
      </c>
      <c r="G2491" s="78">
        <v>12.794982274649101</v>
      </c>
      <c r="H2491" s="81">
        <v>12.662463336659499</v>
      </c>
    </row>
    <row r="2492" spans="1:8" x14ac:dyDescent="0.3">
      <c r="A2492" s="74" t="str">
        <f t="shared" si="38"/>
        <v>江苏46347</v>
      </c>
      <c r="B2492" s="75" t="s">
        <v>20</v>
      </c>
      <c r="C2492" s="45">
        <v>46347</v>
      </c>
      <c r="D2492" s="76">
        <v>1626.3390842526801</v>
      </c>
      <c r="E2492" s="77">
        <v>125</v>
      </c>
      <c r="F2492" s="78">
        <v>12.794982274649101</v>
      </c>
      <c r="G2492" s="78">
        <v>12.794982274649101</v>
      </c>
      <c r="H2492" s="81">
        <v>12.662463336659499</v>
      </c>
    </row>
    <row r="2493" spans="1:8" x14ac:dyDescent="0.3">
      <c r="A2493" s="74" t="str">
        <f t="shared" si="38"/>
        <v>江苏46348</v>
      </c>
      <c r="B2493" s="75" t="s">
        <v>20</v>
      </c>
      <c r="C2493" s="45">
        <v>46348</v>
      </c>
      <c r="D2493" s="76">
        <v>1626.3390842526801</v>
      </c>
      <c r="E2493" s="77">
        <v>125</v>
      </c>
      <c r="F2493" s="78">
        <v>12.794982274649101</v>
      </c>
      <c r="G2493" s="78">
        <v>12.794982274649101</v>
      </c>
      <c r="H2493" s="81">
        <v>12.662463336659499</v>
      </c>
    </row>
    <row r="2494" spans="1:8" x14ac:dyDescent="0.3">
      <c r="A2494" s="74" t="str">
        <f t="shared" si="38"/>
        <v>江苏46349</v>
      </c>
      <c r="B2494" s="75" t="s">
        <v>20</v>
      </c>
      <c r="C2494" s="45">
        <v>46349</v>
      </c>
      <c r="D2494" s="76">
        <v>1626.3390842526801</v>
      </c>
      <c r="E2494" s="77">
        <v>125</v>
      </c>
      <c r="F2494" s="78">
        <v>12.794982274649101</v>
      </c>
      <c r="G2494" s="78">
        <v>12.794982274649101</v>
      </c>
      <c r="H2494" s="81">
        <v>12.662463336659499</v>
      </c>
    </row>
    <row r="2495" spans="1:8" x14ac:dyDescent="0.3">
      <c r="A2495" s="74" t="str">
        <f t="shared" si="38"/>
        <v>江苏46350</v>
      </c>
      <c r="B2495" s="75" t="s">
        <v>20</v>
      </c>
      <c r="C2495" s="45">
        <v>46350</v>
      </c>
      <c r="D2495" s="76">
        <v>1626.3390842526801</v>
      </c>
      <c r="E2495" s="77">
        <v>125</v>
      </c>
      <c r="F2495" s="78">
        <v>12.794982274649101</v>
      </c>
      <c r="G2495" s="78">
        <v>12.794982274649101</v>
      </c>
      <c r="H2495" s="81">
        <v>12.662463336659499</v>
      </c>
    </row>
    <row r="2496" spans="1:8" x14ac:dyDescent="0.3">
      <c r="A2496" s="74" t="str">
        <f t="shared" si="38"/>
        <v>江苏46351</v>
      </c>
      <c r="B2496" s="75" t="s">
        <v>20</v>
      </c>
      <c r="C2496" s="45">
        <v>46351</v>
      </c>
      <c r="D2496" s="76">
        <v>1626.3390842526801</v>
      </c>
      <c r="E2496" s="77">
        <v>125</v>
      </c>
      <c r="F2496" s="78">
        <v>12.794982274649101</v>
      </c>
      <c r="G2496" s="78">
        <v>12.794982274649101</v>
      </c>
      <c r="H2496" s="81">
        <v>12.662463336659499</v>
      </c>
    </row>
    <row r="2497" spans="1:8" x14ac:dyDescent="0.3">
      <c r="A2497" s="74" t="str">
        <f t="shared" si="38"/>
        <v>江苏46352</v>
      </c>
      <c r="B2497" s="75" t="s">
        <v>20</v>
      </c>
      <c r="C2497" s="45">
        <v>46352</v>
      </c>
      <c r="D2497" s="76">
        <v>1626.3390842526801</v>
      </c>
      <c r="E2497" s="77">
        <v>125</v>
      </c>
      <c r="F2497" s="78">
        <v>12.794982274649101</v>
      </c>
      <c r="G2497" s="78">
        <v>12.794982274649101</v>
      </c>
      <c r="H2497" s="81">
        <v>12.662463336659499</v>
      </c>
    </row>
    <row r="2498" spans="1:8" x14ac:dyDescent="0.3">
      <c r="A2498" s="74" t="str">
        <f t="shared" si="38"/>
        <v>江苏46353</v>
      </c>
      <c r="B2498" s="75" t="s">
        <v>20</v>
      </c>
      <c r="C2498" s="45">
        <v>46353</v>
      </c>
      <c r="D2498" s="76">
        <v>1626.3390842526801</v>
      </c>
      <c r="E2498" s="77">
        <v>125</v>
      </c>
      <c r="F2498" s="78">
        <v>12.794982274649101</v>
      </c>
      <c r="G2498" s="78">
        <v>12.794982274649101</v>
      </c>
      <c r="H2498" s="81">
        <v>12.662463336659499</v>
      </c>
    </row>
    <row r="2499" spans="1:8" x14ac:dyDescent="0.3">
      <c r="A2499" s="74" t="str">
        <f t="shared" ref="A2499:A2562" si="39">B2499&amp;C2499</f>
        <v>江苏46354</v>
      </c>
      <c r="B2499" s="75" t="s">
        <v>20</v>
      </c>
      <c r="C2499" s="45">
        <v>46354</v>
      </c>
      <c r="D2499" s="76">
        <v>1626.3390842526801</v>
      </c>
      <c r="E2499" s="77">
        <v>125</v>
      </c>
      <c r="F2499" s="78">
        <v>12.794982274649101</v>
      </c>
      <c r="G2499" s="78">
        <v>12.794982274649101</v>
      </c>
      <c r="H2499" s="81">
        <v>12.662463336659499</v>
      </c>
    </row>
    <row r="2500" spans="1:8" x14ac:dyDescent="0.3">
      <c r="A2500" s="74" t="str">
        <f t="shared" si="39"/>
        <v>江苏46355</v>
      </c>
      <c r="B2500" s="75" t="s">
        <v>20</v>
      </c>
      <c r="C2500" s="45">
        <v>46355</v>
      </c>
      <c r="D2500" s="76">
        <v>1626.3390842526801</v>
      </c>
      <c r="E2500" s="77">
        <v>125</v>
      </c>
      <c r="F2500" s="78">
        <v>12.794982274649101</v>
      </c>
      <c r="G2500" s="78">
        <v>12.794982274649101</v>
      </c>
      <c r="H2500" s="81">
        <v>12.662463336659499</v>
      </c>
    </row>
    <row r="2501" spans="1:8" x14ac:dyDescent="0.3">
      <c r="A2501" s="74" t="str">
        <f t="shared" si="39"/>
        <v>江苏46356</v>
      </c>
      <c r="B2501" s="75" t="s">
        <v>20</v>
      </c>
      <c r="C2501" s="45">
        <v>46356</v>
      </c>
      <c r="D2501" s="76">
        <v>1626.3390842526801</v>
      </c>
      <c r="E2501" s="77">
        <v>125</v>
      </c>
      <c r="F2501" s="78">
        <v>12.794982274649101</v>
      </c>
      <c r="G2501" s="78">
        <v>12.794982274649101</v>
      </c>
      <c r="H2501" s="81">
        <v>12.662463336659499</v>
      </c>
    </row>
    <row r="2502" spans="1:8" x14ac:dyDescent="0.3">
      <c r="A2502" s="74" t="str">
        <f t="shared" si="39"/>
        <v>江苏46357</v>
      </c>
      <c r="B2502" s="75" t="s">
        <v>20</v>
      </c>
      <c r="C2502" s="45">
        <v>46357</v>
      </c>
      <c r="D2502" s="76">
        <v>1659.4740997901699</v>
      </c>
      <c r="E2502" s="77">
        <v>125</v>
      </c>
      <c r="F2502" s="78">
        <v>13.487942337919799</v>
      </c>
      <c r="G2502" s="78">
        <v>13.487942337919799</v>
      </c>
      <c r="H2502" s="81">
        <v>12.896308435607599</v>
      </c>
    </row>
    <row r="2503" spans="1:8" x14ac:dyDescent="0.3">
      <c r="A2503" s="74" t="str">
        <f t="shared" si="39"/>
        <v>江苏46358</v>
      </c>
      <c r="B2503" s="75" t="s">
        <v>20</v>
      </c>
      <c r="C2503" s="45">
        <v>46358</v>
      </c>
      <c r="D2503" s="76">
        <v>1659.4740997901699</v>
      </c>
      <c r="E2503" s="77">
        <v>125</v>
      </c>
      <c r="F2503" s="78">
        <v>13.487942337919799</v>
      </c>
      <c r="G2503" s="78">
        <v>13.487942337919799</v>
      </c>
      <c r="H2503" s="81">
        <v>12.896308435607599</v>
      </c>
    </row>
    <row r="2504" spans="1:8" x14ac:dyDescent="0.3">
      <c r="A2504" s="74" t="str">
        <f t="shared" si="39"/>
        <v>江苏46359</v>
      </c>
      <c r="B2504" s="75" t="s">
        <v>20</v>
      </c>
      <c r="C2504" s="45">
        <v>46359</v>
      </c>
      <c r="D2504" s="76">
        <v>1659.4740997901699</v>
      </c>
      <c r="E2504" s="77">
        <v>125</v>
      </c>
      <c r="F2504" s="78">
        <v>13.487942337919799</v>
      </c>
      <c r="G2504" s="78">
        <v>13.487942337919799</v>
      </c>
      <c r="H2504" s="81">
        <v>12.896308435607599</v>
      </c>
    </row>
    <row r="2505" spans="1:8" x14ac:dyDescent="0.3">
      <c r="A2505" s="74" t="str">
        <f t="shared" si="39"/>
        <v>江苏46360</v>
      </c>
      <c r="B2505" s="75" t="s">
        <v>20</v>
      </c>
      <c r="C2505" s="45">
        <v>46360</v>
      </c>
      <c r="D2505" s="76">
        <v>1659.4740997901699</v>
      </c>
      <c r="E2505" s="77">
        <v>125</v>
      </c>
      <c r="F2505" s="78">
        <v>13.487942337919799</v>
      </c>
      <c r="G2505" s="78">
        <v>13.487942337919799</v>
      </c>
      <c r="H2505" s="81">
        <v>12.896308435607599</v>
      </c>
    </row>
    <row r="2506" spans="1:8" x14ac:dyDescent="0.3">
      <c r="A2506" s="74" t="str">
        <f t="shared" si="39"/>
        <v>江苏46361</v>
      </c>
      <c r="B2506" s="75" t="s">
        <v>20</v>
      </c>
      <c r="C2506" s="45">
        <v>46361</v>
      </c>
      <c r="D2506" s="76">
        <v>1659.4740997901699</v>
      </c>
      <c r="E2506" s="77">
        <v>125</v>
      </c>
      <c r="F2506" s="78">
        <v>13.487942337919799</v>
      </c>
      <c r="G2506" s="78">
        <v>13.487942337919799</v>
      </c>
      <c r="H2506" s="81">
        <v>12.896308435607599</v>
      </c>
    </row>
    <row r="2507" spans="1:8" x14ac:dyDescent="0.3">
      <c r="A2507" s="74" t="str">
        <f t="shared" si="39"/>
        <v>江苏46362</v>
      </c>
      <c r="B2507" s="75" t="s">
        <v>20</v>
      </c>
      <c r="C2507" s="45">
        <v>46362</v>
      </c>
      <c r="D2507" s="76">
        <v>1659.4740997901699</v>
      </c>
      <c r="E2507" s="77">
        <v>125</v>
      </c>
      <c r="F2507" s="78">
        <v>13.487942337919799</v>
      </c>
      <c r="G2507" s="78">
        <v>13.487942337919799</v>
      </c>
      <c r="H2507" s="81">
        <v>12.896308435607599</v>
      </c>
    </row>
    <row r="2508" spans="1:8" x14ac:dyDescent="0.3">
      <c r="A2508" s="74" t="str">
        <f t="shared" si="39"/>
        <v>江苏46363</v>
      </c>
      <c r="B2508" s="75" t="s">
        <v>20</v>
      </c>
      <c r="C2508" s="45">
        <v>46363</v>
      </c>
      <c r="D2508" s="76">
        <v>1659.4740997901699</v>
      </c>
      <c r="E2508" s="77">
        <v>125</v>
      </c>
      <c r="F2508" s="78">
        <v>13.487942337919799</v>
      </c>
      <c r="G2508" s="78">
        <v>13.487942337919799</v>
      </c>
      <c r="H2508" s="81">
        <v>12.896308435607599</v>
      </c>
    </row>
    <row r="2509" spans="1:8" x14ac:dyDescent="0.3">
      <c r="A2509" s="74" t="str">
        <f t="shared" si="39"/>
        <v>江苏46364</v>
      </c>
      <c r="B2509" s="75" t="s">
        <v>20</v>
      </c>
      <c r="C2509" s="45">
        <v>46364</v>
      </c>
      <c r="D2509" s="76">
        <v>1659.4740997901699</v>
      </c>
      <c r="E2509" s="77">
        <v>125</v>
      </c>
      <c r="F2509" s="78">
        <v>13.487942337919799</v>
      </c>
      <c r="G2509" s="78">
        <v>13.487942337919799</v>
      </c>
      <c r="H2509" s="81">
        <v>12.896308435607599</v>
      </c>
    </row>
    <row r="2510" spans="1:8" x14ac:dyDescent="0.3">
      <c r="A2510" s="74" t="str">
        <f t="shared" si="39"/>
        <v>江苏46365</v>
      </c>
      <c r="B2510" s="75" t="s">
        <v>20</v>
      </c>
      <c r="C2510" s="45">
        <v>46365</v>
      </c>
      <c r="D2510" s="76">
        <v>1659.4740997901699</v>
      </c>
      <c r="E2510" s="77">
        <v>125</v>
      </c>
      <c r="F2510" s="78">
        <v>13.487942337919799</v>
      </c>
      <c r="G2510" s="78">
        <v>13.487942337919799</v>
      </c>
      <c r="H2510" s="81">
        <v>12.896308435607599</v>
      </c>
    </row>
    <row r="2511" spans="1:8" x14ac:dyDescent="0.3">
      <c r="A2511" s="74" t="str">
        <f t="shared" si="39"/>
        <v>江苏46366</v>
      </c>
      <c r="B2511" s="75" t="s">
        <v>20</v>
      </c>
      <c r="C2511" s="45">
        <v>46366</v>
      </c>
      <c r="D2511" s="76">
        <v>1659.4740997901699</v>
      </c>
      <c r="E2511" s="77">
        <v>125</v>
      </c>
      <c r="F2511" s="78">
        <v>13.487942337919799</v>
      </c>
      <c r="G2511" s="78">
        <v>13.487942337919799</v>
      </c>
      <c r="H2511" s="81">
        <v>12.896308435607599</v>
      </c>
    </row>
    <row r="2512" spans="1:8" x14ac:dyDescent="0.3">
      <c r="A2512" s="74" t="str">
        <f t="shared" si="39"/>
        <v>江苏46367</v>
      </c>
      <c r="B2512" s="75" t="s">
        <v>20</v>
      </c>
      <c r="C2512" s="45">
        <v>46367</v>
      </c>
      <c r="D2512" s="76">
        <v>1659.4740997901699</v>
      </c>
      <c r="E2512" s="77">
        <v>125</v>
      </c>
      <c r="F2512" s="78">
        <v>13.487942337919799</v>
      </c>
      <c r="G2512" s="78">
        <v>13.487942337919799</v>
      </c>
      <c r="H2512" s="81">
        <v>12.896308435607599</v>
      </c>
    </row>
    <row r="2513" spans="1:8" x14ac:dyDescent="0.3">
      <c r="A2513" s="74" t="str">
        <f t="shared" si="39"/>
        <v>江苏46368</v>
      </c>
      <c r="B2513" s="75" t="s">
        <v>20</v>
      </c>
      <c r="C2513" s="45">
        <v>46368</v>
      </c>
      <c r="D2513" s="76">
        <v>1659.4740997901699</v>
      </c>
      <c r="E2513" s="77">
        <v>125</v>
      </c>
      <c r="F2513" s="78">
        <v>13.487942337919799</v>
      </c>
      <c r="G2513" s="78">
        <v>13.487942337919799</v>
      </c>
      <c r="H2513" s="81">
        <v>12.896308435607599</v>
      </c>
    </row>
    <row r="2514" spans="1:8" x14ac:dyDescent="0.3">
      <c r="A2514" s="74" t="str">
        <f t="shared" si="39"/>
        <v>江苏46369</v>
      </c>
      <c r="B2514" s="75" t="s">
        <v>20</v>
      </c>
      <c r="C2514" s="45">
        <v>46369</v>
      </c>
      <c r="D2514" s="76">
        <v>1659.4740997901699</v>
      </c>
      <c r="E2514" s="77">
        <v>125</v>
      </c>
      <c r="F2514" s="78">
        <v>13.487942337919799</v>
      </c>
      <c r="G2514" s="78">
        <v>13.487942337919799</v>
      </c>
      <c r="H2514" s="81">
        <v>12.896308435607599</v>
      </c>
    </row>
    <row r="2515" spans="1:8" x14ac:dyDescent="0.3">
      <c r="A2515" s="74" t="str">
        <f t="shared" si="39"/>
        <v>江苏46370</v>
      </c>
      <c r="B2515" s="75" t="s">
        <v>20</v>
      </c>
      <c r="C2515" s="45">
        <v>46370</v>
      </c>
      <c r="D2515" s="76">
        <v>1659.4740997901699</v>
      </c>
      <c r="E2515" s="77">
        <v>125</v>
      </c>
      <c r="F2515" s="78">
        <v>13.487942337919799</v>
      </c>
      <c r="G2515" s="78">
        <v>13.487942337919799</v>
      </c>
      <c r="H2515" s="81">
        <v>12.896308435607599</v>
      </c>
    </row>
    <row r="2516" spans="1:8" x14ac:dyDescent="0.3">
      <c r="A2516" s="74" t="str">
        <f t="shared" si="39"/>
        <v>江苏46371</v>
      </c>
      <c r="B2516" s="75" t="s">
        <v>20</v>
      </c>
      <c r="C2516" s="45">
        <v>46371</v>
      </c>
      <c r="D2516" s="76">
        <v>1659.4740997901699</v>
      </c>
      <c r="E2516" s="77">
        <v>125</v>
      </c>
      <c r="F2516" s="78">
        <v>13.487942337919799</v>
      </c>
      <c r="G2516" s="78">
        <v>13.487942337919799</v>
      </c>
      <c r="H2516" s="81">
        <v>12.896308435607599</v>
      </c>
    </row>
    <row r="2517" spans="1:8" x14ac:dyDescent="0.3">
      <c r="A2517" s="74" t="str">
        <f t="shared" si="39"/>
        <v>江苏46372</v>
      </c>
      <c r="B2517" s="75" t="s">
        <v>20</v>
      </c>
      <c r="C2517" s="45">
        <v>46372</v>
      </c>
      <c r="D2517" s="76">
        <v>1659.4740997901699</v>
      </c>
      <c r="E2517" s="77">
        <v>125</v>
      </c>
      <c r="F2517" s="78">
        <v>13.487942337919799</v>
      </c>
      <c r="G2517" s="78">
        <v>13.487942337919799</v>
      </c>
      <c r="H2517" s="81">
        <v>12.896308435607599</v>
      </c>
    </row>
    <row r="2518" spans="1:8" x14ac:dyDescent="0.3">
      <c r="A2518" s="74" t="str">
        <f t="shared" si="39"/>
        <v>江苏46373</v>
      </c>
      <c r="B2518" s="75" t="s">
        <v>20</v>
      </c>
      <c r="C2518" s="45">
        <v>46373</v>
      </c>
      <c r="D2518" s="76">
        <v>1659.4740997901699</v>
      </c>
      <c r="E2518" s="77">
        <v>125</v>
      </c>
      <c r="F2518" s="78">
        <v>13.487942337919799</v>
      </c>
      <c r="G2518" s="78">
        <v>13.487942337919799</v>
      </c>
      <c r="H2518" s="81">
        <v>12.896308435607599</v>
      </c>
    </row>
    <row r="2519" spans="1:8" x14ac:dyDescent="0.3">
      <c r="A2519" s="74" t="str">
        <f t="shared" si="39"/>
        <v>江苏46374</v>
      </c>
      <c r="B2519" s="75" t="s">
        <v>20</v>
      </c>
      <c r="C2519" s="45">
        <v>46374</v>
      </c>
      <c r="D2519" s="76">
        <v>1659.4740997901699</v>
      </c>
      <c r="E2519" s="77">
        <v>125</v>
      </c>
      <c r="F2519" s="78">
        <v>13.487942337919799</v>
      </c>
      <c r="G2519" s="78">
        <v>13.487942337919799</v>
      </c>
      <c r="H2519" s="81">
        <v>12.896308435607599</v>
      </c>
    </row>
    <row r="2520" spans="1:8" x14ac:dyDescent="0.3">
      <c r="A2520" s="74" t="str">
        <f t="shared" si="39"/>
        <v>江苏46375</v>
      </c>
      <c r="B2520" s="75" t="s">
        <v>20</v>
      </c>
      <c r="C2520" s="45">
        <v>46375</v>
      </c>
      <c r="D2520" s="76">
        <v>1659.4740997901699</v>
      </c>
      <c r="E2520" s="77">
        <v>125</v>
      </c>
      <c r="F2520" s="78">
        <v>13.487942337919799</v>
      </c>
      <c r="G2520" s="78">
        <v>13.487942337919799</v>
      </c>
      <c r="H2520" s="81">
        <v>12.896308435607599</v>
      </c>
    </row>
    <row r="2521" spans="1:8" x14ac:dyDescent="0.3">
      <c r="A2521" s="74" t="str">
        <f t="shared" si="39"/>
        <v>江苏46376</v>
      </c>
      <c r="B2521" s="75" t="s">
        <v>20</v>
      </c>
      <c r="C2521" s="45">
        <v>46376</v>
      </c>
      <c r="D2521" s="76">
        <v>1659.4740997901699</v>
      </c>
      <c r="E2521" s="77">
        <v>125</v>
      </c>
      <c r="F2521" s="78">
        <v>13.487942337919799</v>
      </c>
      <c r="G2521" s="78">
        <v>13.487942337919799</v>
      </c>
      <c r="H2521" s="81">
        <v>12.896308435607599</v>
      </c>
    </row>
    <row r="2522" spans="1:8" x14ac:dyDescent="0.3">
      <c r="A2522" s="74" t="str">
        <f t="shared" si="39"/>
        <v>江苏46377</v>
      </c>
      <c r="B2522" s="75" t="s">
        <v>20</v>
      </c>
      <c r="C2522" s="45">
        <v>46377</v>
      </c>
      <c r="D2522" s="76">
        <v>1659.4740997901699</v>
      </c>
      <c r="E2522" s="77">
        <v>125</v>
      </c>
      <c r="F2522" s="78">
        <v>13.487942337919799</v>
      </c>
      <c r="G2522" s="78">
        <v>13.487942337919799</v>
      </c>
      <c r="H2522" s="81">
        <v>12.896308435607599</v>
      </c>
    </row>
    <row r="2523" spans="1:8" x14ac:dyDescent="0.3">
      <c r="A2523" s="74" t="str">
        <f t="shared" si="39"/>
        <v>江苏46378</v>
      </c>
      <c r="B2523" s="75" t="s">
        <v>20</v>
      </c>
      <c r="C2523" s="45">
        <v>46378</v>
      </c>
      <c r="D2523" s="76">
        <v>1659.4740997901699</v>
      </c>
      <c r="E2523" s="77">
        <v>125</v>
      </c>
      <c r="F2523" s="78">
        <v>13.487942337919799</v>
      </c>
      <c r="G2523" s="78">
        <v>13.487942337919799</v>
      </c>
      <c r="H2523" s="81">
        <v>12.896308435607599</v>
      </c>
    </row>
    <row r="2524" spans="1:8" x14ac:dyDescent="0.3">
      <c r="A2524" s="74" t="str">
        <f t="shared" si="39"/>
        <v>江苏46379</v>
      </c>
      <c r="B2524" s="75" t="s">
        <v>20</v>
      </c>
      <c r="C2524" s="45">
        <v>46379</v>
      </c>
      <c r="D2524" s="76">
        <v>1659.4740997901699</v>
      </c>
      <c r="E2524" s="77">
        <v>125</v>
      </c>
      <c r="F2524" s="78">
        <v>13.487942337919799</v>
      </c>
      <c r="G2524" s="78">
        <v>13.487942337919799</v>
      </c>
      <c r="H2524" s="81">
        <v>12.896308435607599</v>
      </c>
    </row>
    <row r="2525" spans="1:8" x14ac:dyDescent="0.3">
      <c r="A2525" s="74" t="str">
        <f t="shared" si="39"/>
        <v>江苏46380</v>
      </c>
      <c r="B2525" s="75" t="s">
        <v>20</v>
      </c>
      <c r="C2525" s="45">
        <v>46380</v>
      </c>
      <c r="D2525" s="76">
        <v>1659.4740997901699</v>
      </c>
      <c r="E2525" s="77">
        <v>125</v>
      </c>
      <c r="F2525" s="78">
        <v>13.487942337919799</v>
      </c>
      <c r="G2525" s="78">
        <v>13.487942337919799</v>
      </c>
      <c r="H2525" s="81">
        <v>12.896308435607599</v>
      </c>
    </row>
    <row r="2526" spans="1:8" x14ac:dyDescent="0.3">
      <c r="A2526" s="74" t="str">
        <f t="shared" si="39"/>
        <v>江苏46381</v>
      </c>
      <c r="B2526" s="75" t="s">
        <v>20</v>
      </c>
      <c r="C2526" s="45">
        <v>46381</v>
      </c>
      <c r="D2526" s="76">
        <v>1659.4740997901699</v>
      </c>
      <c r="E2526" s="77">
        <v>125</v>
      </c>
      <c r="F2526" s="78">
        <v>13.487942337919799</v>
      </c>
      <c r="G2526" s="78">
        <v>13.487942337919799</v>
      </c>
      <c r="H2526" s="81">
        <v>12.896308435607599</v>
      </c>
    </row>
    <row r="2527" spans="1:8" x14ac:dyDescent="0.3">
      <c r="A2527" s="74" t="str">
        <f t="shared" si="39"/>
        <v>江苏46382</v>
      </c>
      <c r="B2527" s="75" t="s">
        <v>20</v>
      </c>
      <c r="C2527" s="45">
        <v>46382</v>
      </c>
      <c r="D2527" s="76">
        <v>1659.4740997901699</v>
      </c>
      <c r="E2527" s="77">
        <v>125</v>
      </c>
      <c r="F2527" s="78">
        <v>13.487942337919799</v>
      </c>
      <c r="G2527" s="78">
        <v>13.487942337919799</v>
      </c>
      <c r="H2527" s="81">
        <v>12.896308435607599</v>
      </c>
    </row>
    <row r="2528" spans="1:8" x14ac:dyDescent="0.3">
      <c r="A2528" s="74" t="str">
        <f t="shared" si="39"/>
        <v>江苏46383</v>
      </c>
      <c r="B2528" s="75" t="s">
        <v>20</v>
      </c>
      <c r="C2528" s="45">
        <v>46383</v>
      </c>
      <c r="D2528" s="76">
        <v>1659.4740997901699</v>
      </c>
      <c r="E2528" s="77">
        <v>125</v>
      </c>
      <c r="F2528" s="78">
        <v>13.487942337919799</v>
      </c>
      <c r="G2528" s="78">
        <v>13.487942337919799</v>
      </c>
      <c r="H2528" s="81">
        <v>12.896308435607599</v>
      </c>
    </row>
    <row r="2529" spans="1:8" x14ac:dyDescent="0.3">
      <c r="A2529" s="74" t="str">
        <f t="shared" si="39"/>
        <v>江苏46384</v>
      </c>
      <c r="B2529" s="75" t="s">
        <v>20</v>
      </c>
      <c r="C2529" s="45">
        <v>46384</v>
      </c>
      <c r="D2529" s="76">
        <v>1659.4740997901699</v>
      </c>
      <c r="E2529" s="77">
        <v>125</v>
      </c>
      <c r="F2529" s="78">
        <v>13.487942337919799</v>
      </c>
      <c r="G2529" s="78">
        <v>13.487942337919799</v>
      </c>
      <c r="H2529" s="81">
        <v>12.896308435607599</v>
      </c>
    </row>
    <row r="2530" spans="1:8" x14ac:dyDescent="0.3">
      <c r="A2530" s="74" t="str">
        <f t="shared" si="39"/>
        <v>江苏46385</v>
      </c>
      <c r="B2530" s="75" t="s">
        <v>20</v>
      </c>
      <c r="C2530" s="45">
        <v>46385</v>
      </c>
      <c r="D2530" s="76">
        <v>1659.4740997901699</v>
      </c>
      <c r="E2530" s="77">
        <v>125</v>
      </c>
      <c r="F2530" s="78">
        <v>13.487942337919799</v>
      </c>
      <c r="G2530" s="78">
        <v>13.487942337919799</v>
      </c>
      <c r="H2530" s="81">
        <v>12.896308435607599</v>
      </c>
    </row>
    <row r="2531" spans="1:8" x14ac:dyDescent="0.3">
      <c r="A2531" s="74" t="str">
        <f t="shared" si="39"/>
        <v>江苏46386</v>
      </c>
      <c r="B2531" s="75" t="s">
        <v>20</v>
      </c>
      <c r="C2531" s="45">
        <v>46386</v>
      </c>
      <c r="D2531" s="76">
        <v>1659.4740997901699</v>
      </c>
      <c r="E2531" s="77">
        <v>125</v>
      </c>
      <c r="F2531" s="78">
        <v>13.487942337919799</v>
      </c>
      <c r="G2531" s="78">
        <v>13.487942337919799</v>
      </c>
      <c r="H2531" s="81">
        <v>12.896308435607599</v>
      </c>
    </row>
    <row r="2532" spans="1:8" x14ac:dyDescent="0.3">
      <c r="A2532" s="74" t="str">
        <f t="shared" si="39"/>
        <v>江苏46387</v>
      </c>
      <c r="B2532" s="82" t="s">
        <v>20</v>
      </c>
      <c r="C2532" s="83">
        <v>46387</v>
      </c>
      <c r="D2532" s="84">
        <v>1659.4740997901699</v>
      </c>
      <c r="E2532" s="85">
        <v>125</v>
      </c>
      <c r="F2532" s="86">
        <v>13.487942337919799</v>
      </c>
      <c r="G2532" s="86">
        <v>13.487942337919799</v>
      </c>
      <c r="H2532" s="87">
        <v>12.896308435607599</v>
      </c>
    </row>
    <row r="2533" spans="1:8" x14ac:dyDescent="0.3">
      <c r="A2533" s="74" t="str">
        <f t="shared" si="39"/>
        <v>山东46135</v>
      </c>
      <c r="B2533" s="75" t="s">
        <v>21</v>
      </c>
      <c r="C2533" s="45">
        <v>46135</v>
      </c>
      <c r="D2533" s="76">
        <v>873.19354838709705</v>
      </c>
      <c r="E2533" s="77">
        <v>125</v>
      </c>
      <c r="F2533" s="78">
        <v>9.1680793759124093</v>
      </c>
      <c r="G2533" s="78">
        <v>9.1680793759124093</v>
      </c>
      <c r="H2533" s="81">
        <v>9.7473947052212804</v>
      </c>
    </row>
    <row r="2534" spans="1:8" x14ac:dyDescent="0.3">
      <c r="A2534" s="74" t="str">
        <f t="shared" si="39"/>
        <v>山东46136</v>
      </c>
      <c r="B2534" s="75" t="s">
        <v>21</v>
      </c>
      <c r="C2534" s="45">
        <v>46136</v>
      </c>
      <c r="D2534" s="76">
        <v>873.19354838709705</v>
      </c>
      <c r="E2534" s="77">
        <v>125</v>
      </c>
      <c r="F2534" s="78">
        <v>9.1680793759124093</v>
      </c>
      <c r="G2534" s="78">
        <v>9.1680793759124093</v>
      </c>
      <c r="H2534" s="81">
        <v>9.7473947052212804</v>
      </c>
    </row>
    <row r="2535" spans="1:8" x14ac:dyDescent="0.3">
      <c r="A2535" s="74" t="str">
        <f t="shared" si="39"/>
        <v>山东46137</v>
      </c>
      <c r="B2535" s="75" t="s">
        <v>21</v>
      </c>
      <c r="C2535" s="45">
        <v>46137</v>
      </c>
      <c r="D2535" s="76">
        <v>873.19354838709705</v>
      </c>
      <c r="E2535" s="77">
        <v>125</v>
      </c>
      <c r="F2535" s="78">
        <v>9.1680793759124093</v>
      </c>
      <c r="G2535" s="78">
        <v>9.1680793759124093</v>
      </c>
      <c r="H2535" s="81">
        <v>9.7473947052212804</v>
      </c>
    </row>
    <row r="2536" spans="1:8" x14ac:dyDescent="0.3">
      <c r="A2536" s="74" t="str">
        <f t="shared" si="39"/>
        <v>山东46138</v>
      </c>
      <c r="B2536" s="75" t="s">
        <v>21</v>
      </c>
      <c r="C2536" s="45">
        <v>46138</v>
      </c>
      <c r="D2536" s="76">
        <v>873.19354838709705</v>
      </c>
      <c r="E2536" s="77">
        <v>125</v>
      </c>
      <c r="F2536" s="78">
        <v>9.1680793759124093</v>
      </c>
      <c r="G2536" s="78">
        <v>9.1680793759124093</v>
      </c>
      <c r="H2536" s="81">
        <v>9.7473947052212804</v>
      </c>
    </row>
    <row r="2537" spans="1:8" x14ac:dyDescent="0.3">
      <c r="A2537" s="74" t="str">
        <f t="shared" si="39"/>
        <v>山东46139</v>
      </c>
      <c r="B2537" s="75" t="s">
        <v>21</v>
      </c>
      <c r="C2537" s="45">
        <v>46139</v>
      </c>
      <c r="D2537" s="76">
        <v>873.19354838709705</v>
      </c>
      <c r="E2537" s="77">
        <v>125</v>
      </c>
      <c r="F2537" s="78">
        <v>9.1680793759124093</v>
      </c>
      <c r="G2537" s="78">
        <v>9.1680793759124093</v>
      </c>
      <c r="H2537" s="81">
        <v>9.7473947052212804</v>
      </c>
    </row>
    <row r="2538" spans="1:8" x14ac:dyDescent="0.3">
      <c r="A2538" s="74" t="str">
        <f t="shared" si="39"/>
        <v>山东46140</v>
      </c>
      <c r="B2538" s="75" t="s">
        <v>21</v>
      </c>
      <c r="C2538" s="45">
        <v>46140</v>
      </c>
      <c r="D2538" s="76">
        <v>873.19354838709705</v>
      </c>
      <c r="E2538" s="77">
        <v>125</v>
      </c>
      <c r="F2538" s="78">
        <v>9.1680793759124093</v>
      </c>
      <c r="G2538" s="78">
        <v>9.1680793759124093</v>
      </c>
      <c r="H2538" s="81">
        <v>9.7473947052212804</v>
      </c>
    </row>
    <row r="2539" spans="1:8" x14ac:dyDescent="0.3">
      <c r="A2539" s="74" t="str">
        <f t="shared" si="39"/>
        <v>山东46141</v>
      </c>
      <c r="B2539" s="75" t="s">
        <v>21</v>
      </c>
      <c r="C2539" s="45">
        <v>46141</v>
      </c>
      <c r="D2539" s="76">
        <v>873.19354838709705</v>
      </c>
      <c r="E2539" s="77">
        <v>125</v>
      </c>
      <c r="F2539" s="78">
        <v>9.1680793759124093</v>
      </c>
      <c r="G2539" s="78">
        <v>9.1680793759124093</v>
      </c>
      <c r="H2539" s="81">
        <v>9.7473947052212804</v>
      </c>
    </row>
    <row r="2540" spans="1:8" x14ac:dyDescent="0.3">
      <c r="A2540" s="74" t="str">
        <f t="shared" si="39"/>
        <v>山东46142</v>
      </c>
      <c r="B2540" s="75" t="s">
        <v>21</v>
      </c>
      <c r="C2540" s="45">
        <v>46142</v>
      </c>
      <c r="D2540" s="76">
        <v>873.19354838709705</v>
      </c>
      <c r="E2540" s="77">
        <v>125</v>
      </c>
      <c r="F2540" s="78">
        <v>9.1680793759124093</v>
      </c>
      <c r="G2540" s="78">
        <v>9.1680793759124093</v>
      </c>
      <c r="H2540" s="81">
        <v>9.7473947052212804</v>
      </c>
    </row>
    <row r="2541" spans="1:8" x14ac:dyDescent="0.3">
      <c r="A2541" s="74" t="str">
        <f t="shared" si="39"/>
        <v>山东46143</v>
      </c>
      <c r="B2541" s="75" t="s">
        <v>21</v>
      </c>
      <c r="C2541" s="45">
        <v>46143</v>
      </c>
      <c r="D2541" s="76">
        <v>995.83440860215001</v>
      </c>
      <c r="E2541" s="77">
        <v>125</v>
      </c>
      <c r="F2541" s="78">
        <v>10.6702497584534</v>
      </c>
      <c r="G2541" s="78">
        <v>10.6702497584534</v>
      </c>
      <c r="H2541" s="81">
        <v>9.9687543933046605</v>
      </c>
    </row>
    <row r="2542" spans="1:8" x14ac:dyDescent="0.3">
      <c r="A2542" s="74" t="str">
        <f t="shared" si="39"/>
        <v>山东46144</v>
      </c>
      <c r="B2542" s="75" t="s">
        <v>21</v>
      </c>
      <c r="C2542" s="45">
        <v>46144</v>
      </c>
      <c r="D2542" s="76">
        <v>995.83440860215001</v>
      </c>
      <c r="E2542" s="77">
        <v>125</v>
      </c>
      <c r="F2542" s="78">
        <v>10.6702497584534</v>
      </c>
      <c r="G2542" s="78">
        <v>10.6702497584534</v>
      </c>
      <c r="H2542" s="81">
        <v>9.9687543933046605</v>
      </c>
    </row>
    <row r="2543" spans="1:8" x14ac:dyDescent="0.3">
      <c r="A2543" s="74" t="str">
        <f t="shared" si="39"/>
        <v>山东46145</v>
      </c>
      <c r="B2543" s="75" t="s">
        <v>21</v>
      </c>
      <c r="C2543" s="45">
        <v>46145</v>
      </c>
      <c r="D2543" s="76">
        <v>995.83440860215001</v>
      </c>
      <c r="E2543" s="77">
        <v>125</v>
      </c>
      <c r="F2543" s="78">
        <v>10.6702497584534</v>
      </c>
      <c r="G2543" s="78">
        <v>10.6702497584534</v>
      </c>
      <c r="H2543" s="81">
        <v>9.9687543933046605</v>
      </c>
    </row>
    <row r="2544" spans="1:8" x14ac:dyDescent="0.3">
      <c r="A2544" s="74" t="str">
        <f t="shared" si="39"/>
        <v>山东46146</v>
      </c>
      <c r="B2544" s="75" t="s">
        <v>21</v>
      </c>
      <c r="C2544" s="45">
        <v>46146</v>
      </c>
      <c r="D2544" s="76">
        <v>995.83440860215001</v>
      </c>
      <c r="E2544" s="77">
        <v>125</v>
      </c>
      <c r="F2544" s="78">
        <v>10.6702497584534</v>
      </c>
      <c r="G2544" s="78">
        <v>10.6702497584534</v>
      </c>
      <c r="H2544" s="81">
        <v>9.9687543933046605</v>
      </c>
    </row>
    <row r="2545" spans="1:8" x14ac:dyDescent="0.3">
      <c r="A2545" s="74" t="str">
        <f t="shared" si="39"/>
        <v>山东46147</v>
      </c>
      <c r="B2545" s="75" t="s">
        <v>21</v>
      </c>
      <c r="C2545" s="45">
        <v>46147</v>
      </c>
      <c r="D2545" s="76">
        <v>995.83440860215001</v>
      </c>
      <c r="E2545" s="77">
        <v>125</v>
      </c>
      <c r="F2545" s="78">
        <v>10.6702497584534</v>
      </c>
      <c r="G2545" s="78">
        <v>10.6702497584534</v>
      </c>
      <c r="H2545" s="81">
        <v>9.9687543933046605</v>
      </c>
    </row>
    <row r="2546" spans="1:8" x14ac:dyDescent="0.3">
      <c r="A2546" s="74" t="str">
        <f t="shared" si="39"/>
        <v>山东46148</v>
      </c>
      <c r="B2546" s="75" t="s">
        <v>21</v>
      </c>
      <c r="C2546" s="45">
        <v>46148</v>
      </c>
      <c r="D2546" s="76">
        <v>995.83440860215001</v>
      </c>
      <c r="E2546" s="77">
        <v>125</v>
      </c>
      <c r="F2546" s="78">
        <v>10.6702497584534</v>
      </c>
      <c r="G2546" s="78">
        <v>10.6702497584534</v>
      </c>
      <c r="H2546" s="81">
        <v>9.9687543933046605</v>
      </c>
    </row>
    <row r="2547" spans="1:8" x14ac:dyDescent="0.3">
      <c r="A2547" s="74" t="str">
        <f t="shared" si="39"/>
        <v>山东46149</v>
      </c>
      <c r="B2547" s="75" t="s">
        <v>21</v>
      </c>
      <c r="C2547" s="45">
        <v>46149</v>
      </c>
      <c r="D2547" s="76">
        <v>995.83440860215001</v>
      </c>
      <c r="E2547" s="77">
        <v>125</v>
      </c>
      <c r="F2547" s="78">
        <v>10.6702497584534</v>
      </c>
      <c r="G2547" s="78">
        <v>10.6702497584534</v>
      </c>
      <c r="H2547" s="81">
        <v>9.9687543933046605</v>
      </c>
    </row>
    <row r="2548" spans="1:8" x14ac:dyDescent="0.3">
      <c r="A2548" s="74" t="str">
        <f t="shared" si="39"/>
        <v>山东46150</v>
      </c>
      <c r="B2548" s="75" t="s">
        <v>21</v>
      </c>
      <c r="C2548" s="45">
        <v>46150</v>
      </c>
      <c r="D2548" s="76">
        <v>995.83440860215001</v>
      </c>
      <c r="E2548" s="77">
        <v>125</v>
      </c>
      <c r="F2548" s="78">
        <v>10.6702497584534</v>
      </c>
      <c r="G2548" s="78">
        <v>10.6702497584534</v>
      </c>
      <c r="H2548" s="81">
        <v>9.9687543933046605</v>
      </c>
    </row>
    <row r="2549" spans="1:8" x14ac:dyDescent="0.3">
      <c r="A2549" s="74" t="str">
        <f t="shared" si="39"/>
        <v>山东46151</v>
      </c>
      <c r="B2549" s="75" t="s">
        <v>21</v>
      </c>
      <c r="C2549" s="45">
        <v>46151</v>
      </c>
      <c r="D2549" s="76">
        <v>995.83440860215001</v>
      </c>
      <c r="E2549" s="77">
        <v>125</v>
      </c>
      <c r="F2549" s="78">
        <v>10.6702497584534</v>
      </c>
      <c r="G2549" s="78">
        <v>10.6702497584534</v>
      </c>
      <c r="H2549" s="81">
        <v>9.9687543933046605</v>
      </c>
    </row>
    <row r="2550" spans="1:8" x14ac:dyDescent="0.3">
      <c r="A2550" s="74" t="str">
        <f t="shared" si="39"/>
        <v>山东46152</v>
      </c>
      <c r="B2550" s="75" t="s">
        <v>21</v>
      </c>
      <c r="C2550" s="45">
        <v>46152</v>
      </c>
      <c r="D2550" s="76">
        <v>995.83440860215001</v>
      </c>
      <c r="E2550" s="77">
        <v>125</v>
      </c>
      <c r="F2550" s="78">
        <v>10.6702497584534</v>
      </c>
      <c r="G2550" s="78">
        <v>10.6702497584534</v>
      </c>
      <c r="H2550" s="81">
        <v>9.9687543933046605</v>
      </c>
    </row>
    <row r="2551" spans="1:8" x14ac:dyDescent="0.3">
      <c r="A2551" s="74" t="str">
        <f t="shared" si="39"/>
        <v>山东46153</v>
      </c>
      <c r="B2551" s="75" t="s">
        <v>21</v>
      </c>
      <c r="C2551" s="45">
        <v>46153</v>
      </c>
      <c r="D2551" s="76">
        <v>995.83440860215001</v>
      </c>
      <c r="E2551" s="77">
        <v>125</v>
      </c>
      <c r="F2551" s="78">
        <v>10.6702497584534</v>
      </c>
      <c r="G2551" s="78">
        <v>10.6702497584534</v>
      </c>
      <c r="H2551" s="81">
        <v>9.9687543933046605</v>
      </c>
    </row>
    <row r="2552" spans="1:8" x14ac:dyDescent="0.3">
      <c r="A2552" s="74" t="str">
        <f t="shared" si="39"/>
        <v>山东46154</v>
      </c>
      <c r="B2552" s="75" t="s">
        <v>21</v>
      </c>
      <c r="C2552" s="45">
        <v>46154</v>
      </c>
      <c r="D2552" s="76">
        <v>995.83440860215001</v>
      </c>
      <c r="E2552" s="77">
        <v>125</v>
      </c>
      <c r="F2552" s="78">
        <v>10.6702497584534</v>
      </c>
      <c r="G2552" s="78">
        <v>10.6702497584534</v>
      </c>
      <c r="H2552" s="81">
        <v>9.9687543933046605</v>
      </c>
    </row>
    <row r="2553" spans="1:8" x14ac:dyDescent="0.3">
      <c r="A2553" s="74" t="str">
        <f t="shared" si="39"/>
        <v>山东46155</v>
      </c>
      <c r="B2553" s="75" t="s">
        <v>21</v>
      </c>
      <c r="C2553" s="45">
        <v>46155</v>
      </c>
      <c r="D2553" s="76">
        <v>995.83440860215001</v>
      </c>
      <c r="E2553" s="77">
        <v>125</v>
      </c>
      <c r="F2553" s="78">
        <v>10.6702497584534</v>
      </c>
      <c r="G2553" s="78">
        <v>10.6702497584534</v>
      </c>
      <c r="H2553" s="81">
        <v>9.9687543933046605</v>
      </c>
    </row>
    <row r="2554" spans="1:8" x14ac:dyDescent="0.3">
      <c r="A2554" s="74" t="str">
        <f t="shared" si="39"/>
        <v>山东46156</v>
      </c>
      <c r="B2554" s="75" t="s">
        <v>21</v>
      </c>
      <c r="C2554" s="45">
        <v>46156</v>
      </c>
      <c r="D2554" s="76">
        <v>995.83440860215001</v>
      </c>
      <c r="E2554" s="77">
        <v>125</v>
      </c>
      <c r="F2554" s="78">
        <v>10.6702497584534</v>
      </c>
      <c r="G2554" s="78">
        <v>10.6702497584534</v>
      </c>
      <c r="H2554" s="81">
        <v>9.9687543933046605</v>
      </c>
    </row>
    <row r="2555" spans="1:8" x14ac:dyDescent="0.3">
      <c r="A2555" s="74" t="str">
        <f t="shared" si="39"/>
        <v>山东46157</v>
      </c>
      <c r="B2555" s="75" t="s">
        <v>21</v>
      </c>
      <c r="C2555" s="45">
        <v>46157</v>
      </c>
      <c r="D2555" s="76">
        <v>995.83440860215001</v>
      </c>
      <c r="E2555" s="77">
        <v>125</v>
      </c>
      <c r="F2555" s="78">
        <v>10.6702497584534</v>
      </c>
      <c r="G2555" s="78">
        <v>10.6702497584534</v>
      </c>
      <c r="H2555" s="81">
        <v>9.9687543933046605</v>
      </c>
    </row>
    <row r="2556" spans="1:8" x14ac:dyDescent="0.3">
      <c r="A2556" s="74" t="str">
        <f t="shared" si="39"/>
        <v>山东46158</v>
      </c>
      <c r="B2556" s="75" t="s">
        <v>21</v>
      </c>
      <c r="C2556" s="45">
        <v>46158</v>
      </c>
      <c r="D2556" s="76">
        <v>995.83440860215001</v>
      </c>
      <c r="E2556" s="77">
        <v>125</v>
      </c>
      <c r="F2556" s="78">
        <v>10.6702497584534</v>
      </c>
      <c r="G2556" s="78">
        <v>10.6702497584534</v>
      </c>
      <c r="H2556" s="81">
        <v>9.9687543933046605</v>
      </c>
    </row>
    <row r="2557" spans="1:8" x14ac:dyDescent="0.3">
      <c r="A2557" s="74" t="str">
        <f t="shared" si="39"/>
        <v>山东46159</v>
      </c>
      <c r="B2557" s="75" t="s">
        <v>21</v>
      </c>
      <c r="C2557" s="45">
        <v>46159</v>
      </c>
      <c r="D2557" s="76">
        <v>995.83440860215001</v>
      </c>
      <c r="E2557" s="77">
        <v>125</v>
      </c>
      <c r="F2557" s="78">
        <v>10.6702497584534</v>
      </c>
      <c r="G2557" s="78">
        <v>10.6702497584534</v>
      </c>
      <c r="H2557" s="81">
        <v>9.9687543933046605</v>
      </c>
    </row>
    <row r="2558" spans="1:8" x14ac:dyDescent="0.3">
      <c r="A2558" s="74" t="str">
        <f t="shared" si="39"/>
        <v>山东46160</v>
      </c>
      <c r="B2558" s="75" t="s">
        <v>21</v>
      </c>
      <c r="C2558" s="45">
        <v>46160</v>
      </c>
      <c r="D2558" s="76">
        <v>995.83440860215001</v>
      </c>
      <c r="E2558" s="77">
        <v>125</v>
      </c>
      <c r="F2558" s="78">
        <v>10.6702497584534</v>
      </c>
      <c r="G2558" s="78">
        <v>10.6702497584534</v>
      </c>
      <c r="H2558" s="81">
        <v>9.9687543933046605</v>
      </c>
    </row>
    <row r="2559" spans="1:8" x14ac:dyDescent="0.3">
      <c r="A2559" s="74" t="str">
        <f t="shared" si="39"/>
        <v>山东46161</v>
      </c>
      <c r="B2559" s="75" t="s">
        <v>21</v>
      </c>
      <c r="C2559" s="45">
        <v>46161</v>
      </c>
      <c r="D2559" s="76">
        <v>995.83440860215001</v>
      </c>
      <c r="E2559" s="77">
        <v>125</v>
      </c>
      <c r="F2559" s="78">
        <v>10.6702497584534</v>
      </c>
      <c r="G2559" s="78">
        <v>10.6702497584534</v>
      </c>
      <c r="H2559" s="81">
        <v>9.9687543933046605</v>
      </c>
    </row>
    <row r="2560" spans="1:8" x14ac:dyDescent="0.3">
      <c r="A2560" s="74" t="str">
        <f t="shared" si="39"/>
        <v>山东46162</v>
      </c>
      <c r="B2560" s="75" t="s">
        <v>21</v>
      </c>
      <c r="C2560" s="45">
        <v>46162</v>
      </c>
      <c r="D2560" s="76">
        <v>995.83440860215001</v>
      </c>
      <c r="E2560" s="77">
        <v>125</v>
      </c>
      <c r="F2560" s="78">
        <v>10.6702497584534</v>
      </c>
      <c r="G2560" s="78">
        <v>10.6702497584534</v>
      </c>
      <c r="H2560" s="81">
        <v>9.9687543933046605</v>
      </c>
    </row>
    <row r="2561" spans="1:8" x14ac:dyDescent="0.3">
      <c r="A2561" s="74" t="str">
        <f t="shared" si="39"/>
        <v>山东46163</v>
      </c>
      <c r="B2561" s="75" t="s">
        <v>21</v>
      </c>
      <c r="C2561" s="45">
        <v>46163</v>
      </c>
      <c r="D2561" s="76">
        <v>995.83440860215001</v>
      </c>
      <c r="E2561" s="77">
        <v>125</v>
      </c>
      <c r="F2561" s="78">
        <v>10.6702497584534</v>
      </c>
      <c r="G2561" s="78">
        <v>10.6702497584534</v>
      </c>
      <c r="H2561" s="81">
        <v>9.9687543933046605</v>
      </c>
    </row>
    <row r="2562" spans="1:8" x14ac:dyDescent="0.3">
      <c r="A2562" s="74" t="str">
        <f t="shared" si="39"/>
        <v>山东46164</v>
      </c>
      <c r="B2562" s="75" t="s">
        <v>21</v>
      </c>
      <c r="C2562" s="45">
        <v>46164</v>
      </c>
      <c r="D2562" s="76">
        <v>995.83440860215001</v>
      </c>
      <c r="E2562" s="77">
        <v>125</v>
      </c>
      <c r="F2562" s="78">
        <v>10.6702497584534</v>
      </c>
      <c r="G2562" s="78">
        <v>10.6702497584534</v>
      </c>
      <c r="H2562" s="81">
        <v>9.9687543933046605</v>
      </c>
    </row>
    <row r="2563" spans="1:8" x14ac:dyDescent="0.3">
      <c r="A2563" s="74" t="str">
        <f t="shared" ref="A2563:A2626" si="40">B2563&amp;C2563</f>
        <v>山东46165</v>
      </c>
      <c r="B2563" s="75" t="s">
        <v>21</v>
      </c>
      <c r="C2563" s="45">
        <v>46165</v>
      </c>
      <c r="D2563" s="76">
        <v>995.83440860215001</v>
      </c>
      <c r="E2563" s="77">
        <v>125</v>
      </c>
      <c r="F2563" s="78">
        <v>10.6702497584534</v>
      </c>
      <c r="G2563" s="78">
        <v>10.6702497584534</v>
      </c>
      <c r="H2563" s="81">
        <v>9.9687543933046605</v>
      </c>
    </row>
    <row r="2564" spans="1:8" x14ac:dyDescent="0.3">
      <c r="A2564" s="74" t="str">
        <f t="shared" si="40"/>
        <v>山东46166</v>
      </c>
      <c r="B2564" s="75" t="s">
        <v>21</v>
      </c>
      <c r="C2564" s="45">
        <v>46166</v>
      </c>
      <c r="D2564" s="76">
        <v>995.83440860215001</v>
      </c>
      <c r="E2564" s="77">
        <v>125</v>
      </c>
      <c r="F2564" s="78">
        <v>10.6702497584534</v>
      </c>
      <c r="G2564" s="78">
        <v>10.6702497584534</v>
      </c>
      <c r="H2564" s="81">
        <v>9.9687543933046605</v>
      </c>
    </row>
    <row r="2565" spans="1:8" x14ac:dyDescent="0.3">
      <c r="A2565" s="74" t="str">
        <f t="shared" si="40"/>
        <v>山东46167</v>
      </c>
      <c r="B2565" s="75" t="s">
        <v>21</v>
      </c>
      <c r="C2565" s="45">
        <v>46167</v>
      </c>
      <c r="D2565" s="76">
        <v>995.83440860215001</v>
      </c>
      <c r="E2565" s="77">
        <v>125</v>
      </c>
      <c r="F2565" s="78">
        <v>10.6702497584534</v>
      </c>
      <c r="G2565" s="78">
        <v>10.6702497584534</v>
      </c>
      <c r="H2565" s="81">
        <v>9.9687543933046605</v>
      </c>
    </row>
    <row r="2566" spans="1:8" x14ac:dyDescent="0.3">
      <c r="A2566" s="74" t="str">
        <f t="shared" si="40"/>
        <v>山东46168</v>
      </c>
      <c r="B2566" s="75" t="s">
        <v>21</v>
      </c>
      <c r="C2566" s="45">
        <v>46168</v>
      </c>
      <c r="D2566" s="76">
        <v>995.83440860215001</v>
      </c>
      <c r="E2566" s="77">
        <v>125</v>
      </c>
      <c r="F2566" s="78">
        <v>10.6702497584534</v>
      </c>
      <c r="G2566" s="78">
        <v>10.6702497584534</v>
      </c>
      <c r="H2566" s="81">
        <v>9.9687543933046605</v>
      </c>
    </row>
    <row r="2567" spans="1:8" x14ac:dyDescent="0.3">
      <c r="A2567" s="74" t="str">
        <f t="shared" si="40"/>
        <v>山东46169</v>
      </c>
      <c r="B2567" s="75" t="s">
        <v>21</v>
      </c>
      <c r="C2567" s="45">
        <v>46169</v>
      </c>
      <c r="D2567" s="76">
        <v>995.83440860215001</v>
      </c>
      <c r="E2567" s="77">
        <v>125</v>
      </c>
      <c r="F2567" s="78">
        <v>10.6702497584534</v>
      </c>
      <c r="G2567" s="78">
        <v>10.6702497584534</v>
      </c>
      <c r="H2567" s="81">
        <v>9.9687543933046605</v>
      </c>
    </row>
    <row r="2568" spans="1:8" x14ac:dyDescent="0.3">
      <c r="A2568" s="74" t="str">
        <f t="shared" si="40"/>
        <v>山东46170</v>
      </c>
      <c r="B2568" s="75" t="s">
        <v>21</v>
      </c>
      <c r="C2568" s="45">
        <v>46170</v>
      </c>
      <c r="D2568" s="76">
        <v>995.83440860215001</v>
      </c>
      <c r="E2568" s="77">
        <v>125</v>
      </c>
      <c r="F2568" s="78">
        <v>10.6702497584534</v>
      </c>
      <c r="G2568" s="78">
        <v>10.6702497584534</v>
      </c>
      <c r="H2568" s="81">
        <v>9.9687543933046605</v>
      </c>
    </row>
    <row r="2569" spans="1:8" x14ac:dyDescent="0.3">
      <c r="A2569" s="74" t="str">
        <f t="shared" si="40"/>
        <v>山东46171</v>
      </c>
      <c r="B2569" s="75" t="s">
        <v>21</v>
      </c>
      <c r="C2569" s="45">
        <v>46171</v>
      </c>
      <c r="D2569" s="76">
        <v>995.83440860215001</v>
      </c>
      <c r="E2569" s="77">
        <v>125</v>
      </c>
      <c r="F2569" s="78">
        <v>10.6702497584534</v>
      </c>
      <c r="G2569" s="78">
        <v>10.6702497584534</v>
      </c>
      <c r="H2569" s="81">
        <v>9.9687543933046605</v>
      </c>
    </row>
    <row r="2570" spans="1:8" x14ac:dyDescent="0.3">
      <c r="A2570" s="74" t="str">
        <f t="shared" si="40"/>
        <v>山东46172</v>
      </c>
      <c r="B2570" s="75" t="s">
        <v>21</v>
      </c>
      <c r="C2570" s="45">
        <v>46172</v>
      </c>
      <c r="D2570" s="76">
        <v>995.83440860215001</v>
      </c>
      <c r="E2570" s="77">
        <v>125</v>
      </c>
      <c r="F2570" s="78">
        <v>10.6702497584534</v>
      </c>
      <c r="G2570" s="78">
        <v>10.6702497584534</v>
      </c>
      <c r="H2570" s="81">
        <v>9.9687543933046605</v>
      </c>
    </row>
    <row r="2571" spans="1:8" x14ac:dyDescent="0.3">
      <c r="A2571" s="74" t="str">
        <f t="shared" si="40"/>
        <v>山东46173</v>
      </c>
      <c r="B2571" s="75" t="s">
        <v>21</v>
      </c>
      <c r="C2571" s="45">
        <v>46173</v>
      </c>
      <c r="D2571" s="76">
        <v>995.83440860215001</v>
      </c>
      <c r="E2571" s="77">
        <v>125</v>
      </c>
      <c r="F2571" s="78">
        <v>10.6702497584534</v>
      </c>
      <c r="G2571" s="78">
        <v>10.6702497584534</v>
      </c>
      <c r="H2571" s="81">
        <v>9.9687543933046605</v>
      </c>
    </row>
    <row r="2572" spans="1:8" x14ac:dyDescent="0.3">
      <c r="A2572" s="74" t="str">
        <f t="shared" si="40"/>
        <v>山东46174</v>
      </c>
      <c r="B2572" s="75" t="s">
        <v>21</v>
      </c>
      <c r="C2572" s="45">
        <v>46174</v>
      </c>
      <c r="D2572" s="76">
        <v>1531.38709677419</v>
      </c>
      <c r="E2572" s="77">
        <v>125</v>
      </c>
      <c r="F2572" s="78">
        <v>11.709392238242801</v>
      </c>
      <c r="G2572" s="78">
        <v>11.709392238242801</v>
      </c>
      <c r="H2572" s="81">
        <v>10.850899922737799</v>
      </c>
    </row>
    <row r="2573" spans="1:8" x14ac:dyDescent="0.3">
      <c r="A2573" s="74" t="str">
        <f t="shared" si="40"/>
        <v>山东46175</v>
      </c>
      <c r="B2573" s="75" t="s">
        <v>21</v>
      </c>
      <c r="C2573" s="45">
        <v>46175</v>
      </c>
      <c r="D2573" s="76">
        <v>1531.38709677419</v>
      </c>
      <c r="E2573" s="77">
        <v>125</v>
      </c>
      <c r="F2573" s="78">
        <v>11.709392238242801</v>
      </c>
      <c r="G2573" s="78">
        <v>11.709392238242801</v>
      </c>
      <c r="H2573" s="81">
        <v>10.850899922737799</v>
      </c>
    </row>
    <row r="2574" spans="1:8" x14ac:dyDescent="0.3">
      <c r="A2574" s="74" t="str">
        <f t="shared" si="40"/>
        <v>山东46176</v>
      </c>
      <c r="B2574" s="75" t="s">
        <v>21</v>
      </c>
      <c r="C2574" s="45">
        <v>46176</v>
      </c>
      <c r="D2574" s="76">
        <v>1531.38709677419</v>
      </c>
      <c r="E2574" s="77">
        <v>125</v>
      </c>
      <c r="F2574" s="78">
        <v>11.709392238242801</v>
      </c>
      <c r="G2574" s="78">
        <v>11.709392238242801</v>
      </c>
      <c r="H2574" s="81">
        <v>10.850899922737799</v>
      </c>
    </row>
    <row r="2575" spans="1:8" x14ac:dyDescent="0.3">
      <c r="A2575" s="74" t="str">
        <f t="shared" si="40"/>
        <v>山东46177</v>
      </c>
      <c r="B2575" s="75" t="s">
        <v>21</v>
      </c>
      <c r="C2575" s="45">
        <v>46177</v>
      </c>
      <c r="D2575" s="76">
        <v>1531.38709677419</v>
      </c>
      <c r="E2575" s="77">
        <v>125</v>
      </c>
      <c r="F2575" s="78">
        <v>11.709392238242801</v>
      </c>
      <c r="G2575" s="78">
        <v>11.709392238242801</v>
      </c>
      <c r="H2575" s="81">
        <v>10.850899922737799</v>
      </c>
    </row>
    <row r="2576" spans="1:8" x14ac:dyDescent="0.3">
      <c r="A2576" s="74" t="str">
        <f t="shared" si="40"/>
        <v>山东46178</v>
      </c>
      <c r="B2576" s="75" t="s">
        <v>21</v>
      </c>
      <c r="C2576" s="45">
        <v>46178</v>
      </c>
      <c r="D2576" s="76">
        <v>1531.38709677419</v>
      </c>
      <c r="E2576" s="77">
        <v>125</v>
      </c>
      <c r="F2576" s="78">
        <v>11.709392238242801</v>
      </c>
      <c r="G2576" s="78">
        <v>11.709392238242801</v>
      </c>
      <c r="H2576" s="81">
        <v>10.850899922737799</v>
      </c>
    </row>
    <row r="2577" spans="1:8" x14ac:dyDescent="0.3">
      <c r="A2577" s="74" t="str">
        <f t="shared" si="40"/>
        <v>山东46179</v>
      </c>
      <c r="B2577" s="75" t="s">
        <v>21</v>
      </c>
      <c r="C2577" s="45">
        <v>46179</v>
      </c>
      <c r="D2577" s="76">
        <v>1531.38709677419</v>
      </c>
      <c r="E2577" s="77">
        <v>125</v>
      </c>
      <c r="F2577" s="78">
        <v>11.709392238242801</v>
      </c>
      <c r="G2577" s="78">
        <v>11.709392238242801</v>
      </c>
      <c r="H2577" s="81">
        <v>10.850899922737799</v>
      </c>
    </row>
    <row r="2578" spans="1:8" x14ac:dyDescent="0.3">
      <c r="A2578" s="74" t="str">
        <f t="shared" si="40"/>
        <v>山东46180</v>
      </c>
      <c r="B2578" s="75" t="s">
        <v>21</v>
      </c>
      <c r="C2578" s="45">
        <v>46180</v>
      </c>
      <c r="D2578" s="76">
        <v>1531.38709677419</v>
      </c>
      <c r="E2578" s="77">
        <v>125</v>
      </c>
      <c r="F2578" s="78">
        <v>11.709392238242801</v>
      </c>
      <c r="G2578" s="78">
        <v>11.709392238242801</v>
      </c>
      <c r="H2578" s="81">
        <v>10.850899922737799</v>
      </c>
    </row>
    <row r="2579" spans="1:8" x14ac:dyDescent="0.3">
      <c r="A2579" s="74" t="str">
        <f t="shared" si="40"/>
        <v>山东46181</v>
      </c>
      <c r="B2579" s="75" t="s">
        <v>21</v>
      </c>
      <c r="C2579" s="45">
        <v>46181</v>
      </c>
      <c r="D2579" s="76">
        <v>1531.38709677419</v>
      </c>
      <c r="E2579" s="77">
        <v>125</v>
      </c>
      <c r="F2579" s="78">
        <v>11.709392238242801</v>
      </c>
      <c r="G2579" s="78">
        <v>11.709392238242801</v>
      </c>
      <c r="H2579" s="81">
        <v>10.850899922737799</v>
      </c>
    </row>
    <row r="2580" spans="1:8" x14ac:dyDescent="0.3">
      <c r="A2580" s="74" t="str">
        <f t="shared" si="40"/>
        <v>山东46182</v>
      </c>
      <c r="B2580" s="75" t="s">
        <v>21</v>
      </c>
      <c r="C2580" s="45">
        <v>46182</v>
      </c>
      <c r="D2580" s="76">
        <v>1531.38709677419</v>
      </c>
      <c r="E2580" s="77">
        <v>125</v>
      </c>
      <c r="F2580" s="78">
        <v>11.709392238242801</v>
      </c>
      <c r="G2580" s="78">
        <v>11.709392238242801</v>
      </c>
      <c r="H2580" s="81">
        <v>10.850899922737799</v>
      </c>
    </row>
    <row r="2581" spans="1:8" x14ac:dyDescent="0.3">
      <c r="A2581" s="74" t="str">
        <f t="shared" si="40"/>
        <v>山东46183</v>
      </c>
      <c r="B2581" s="75" t="s">
        <v>21</v>
      </c>
      <c r="C2581" s="45">
        <v>46183</v>
      </c>
      <c r="D2581" s="76">
        <v>1531.38709677419</v>
      </c>
      <c r="E2581" s="77">
        <v>125</v>
      </c>
      <c r="F2581" s="78">
        <v>11.709392238242801</v>
      </c>
      <c r="G2581" s="78">
        <v>11.709392238242801</v>
      </c>
      <c r="H2581" s="81">
        <v>10.850899922737799</v>
      </c>
    </row>
    <row r="2582" spans="1:8" x14ac:dyDescent="0.3">
      <c r="A2582" s="74" t="str">
        <f t="shared" si="40"/>
        <v>山东46184</v>
      </c>
      <c r="B2582" s="75" t="s">
        <v>21</v>
      </c>
      <c r="C2582" s="45">
        <v>46184</v>
      </c>
      <c r="D2582" s="76">
        <v>1531.38709677419</v>
      </c>
      <c r="E2582" s="77">
        <v>125</v>
      </c>
      <c r="F2582" s="78">
        <v>11.709392238242801</v>
      </c>
      <c r="G2582" s="78">
        <v>11.709392238242801</v>
      </c>
      <c r="H2582" s="81">
        <v>10.850899922737799</v>
      </c>
    </row>
    <row r="2583" spans="1:8" x14ac:dyDescent="0.3">
      <c r="A2583" s="74" t="str">
        <f t="shared" si="40"/>
        <v>山东46185</v>
      </c>
      <c r="B2583" s="75" t="s">
        <v>21</v>
      </c>
      <c r="C2583" s="45">
        <v>46185</v>
      </c>
      <c r="D2583" s="76">
        <v>1531.38709677419</v>
      </c>
      <c r="E2583" s="77">
        <v>125</v>
      </c>
      <c r="F2583" s="78">
        <v>11.709392238242801</v>
      </c>
      <c r="G2583" s="78">
        <v>11.709392238242801</v>
      </c>
      <c r="H2583" s="81">
        <v>10.850899922737799</v>
      </c>
    </row>
    <row r="2584" spans="1:8" x14ac:dyDescent="0.3">
      <c r="A2584" s="74" t="str">
        <f t="shared" si="40"/>
        <v>山东46186</v>
      </c>
      <c r="B2584" s="75" t="s">
        <v>21</v>
      </c>
      <c r="C2584" s="45">
        <v>46186</v>
      </c>
      <c r="D2584" s="76">
        <v>1531.38709677419</v>
      </c>
      <c r="E2584" s="77">
        <v>125</v>
      </c>
      <c r="F2584" s="78">
        <v>11.709392238242801</v>
      </c>
      <c r="G2584" s="78">
        <v>11.709392238242801</v>
      </c>
      <c r="H2584" s="81">
        <v>10.850899922737799</v>
      </c>
    </row>
    <row r="2585" spans="1:8" x14ac:dyDescent="0.3">
      <c r="A2585" s="74" t="str">
        <f t="shared" si="40"/>
        <v>山东46187</v>
      </c>
      <c r="B2585" s="75" t="s">
        <v>21</v>
      </c>
      <c r="C2585" s="45">
        <v>46187</v>
      </c>
      <c r="D2585" s="76">
        <v>1531.38709677419</v>
      </c>
      <c r="E2585" s="77">
        <v>125</v>
      </c>
      <c r="F2585" s="78">
        <v>11.709392238242801</v>
      </c>
      <c r="G2585" s="78">
        <v>11.709392238242801</v>
      </c>
      <c r="H2585" s="81">
        <v>10.850899922737799</v>
      </c>
    </row>
    <row r="2586" spans="1:8" x14ac:dyDescent="0.3">
      <c r="A2586" s="74" t="str">
        <f t="shared" si="40"/>
        <v>山东46188</v>
      </c>
      <c r="B2586" s="75" t="s">
        <v>21</v>
      </c>
      <c r="C2586" s="45">
        <v>46188</v>
      </c>
      <c r="D2586" s="76">
        <v>1531.38709677419</v>
      </c>
      <c r="E2586" s="77">
        <v>125</v>
      </c>
      <c r="F2586" s="78">
        <v>11.709392238242801</v>
      </c>
      <c r="G2586" s="78">
        <v>11.709392238242801</v>
      </c>
      <c r="H2586" s="81">
        <v>10.850899922737799</v>
      </c>
    </row>
    <row r="2587" spans="1:8" x14ac:dyDescent="0.3">
      <c r="A2587" s="74" t="str">
        <f t="shared" si="40"/>
        <v>山东46189</v>
      </c>
      <c r="B2587" s="75" t="s">
        <v>21</v>
      </c>
      <c r="C2587" s="45">
        <v>46189</v>
      </c>
      <c r="D2587" s="76">
        <v>1531.38709677419</v>
      </c>
      <c r="E2587" s="77">
        <v>125</v>
      </c>
      <c r="F2587" s="78">
        <v>11.709392238242801</v>
      </c>
      <c r="G2587" s="78">
        <v>11.709392238242801</v>
      </c>
      <c r="H2587" s="81">
        <v>10.850899922737799</v>
      </c>
    </row>
    <row r="2588" spans="1:8" x14ac:dyDescent="0.3">
      <c r="A2588" s="74" t="str">
        <f t="shared" si="40"/>
        <v>山东46190</v>
      </c>
      <c r="B2588" s="75" t="s">
        <v>21</v>
      </c>
      <c r="C2588" s="45">
        <v>46190</v>
      </c>
      <c r="D2588" s="76">
        <v>1531.38709677419</v>
      </c>
      <c r="E2588" s="77">
        <v>125</v>
      </c>
      <c r="F2588" s="78">
        <v>11.709392238242801</v>
      </c>
      <c r="G2588" s="78">
        <v>11.709392238242801</v>
      </c>
      <c r="H2588" s="81">
        <v>10.850899922737799</v>
      </c>
    </row>
    <row r="2589" spans="1:8" x14ac:dyDescent="0.3">
      <c r="A2589" s="74" t="str">
        <f t="shared" si="40"/>
        <v>山东46191</v>
      </c>
      <c r="B2589" s="75" t="s">
        <v>21</v>
      </c>
      <c r="C2589" s="45">
        <v>46191</v>
      </c>
      <c r="D2589" s="76">
        <v>1531.38709677419</v>
      </c>
      <c r="E2589" s="77">
        <v>125</v>
      </c>
      <c r="F2589" s="78">
        <v>11.709392238242801</v>
      </c>
      <c r="G2589" s="78">
        <v>11.709392238242801</v>
      </c>
      <c r="H2589" s="81">
        <v>10.850899922737799</v>
      </c>
    </row>
    <row r="2590" spans="1:8" x14ac:dyDescent="0.3">
      <c r="A2590" s="74" t="str">
        <f t="shared" si="40"/>
        <v>山东46192</v>
      </c>
      <c r="B2590" s="75" t="s">
        <v>21</v>
      </c>
      <c r="C2590" s="45">
        <v>46192</v>
      </c>
      <c r="D2590" s="76">
        <v>1531.38709677419</v>
      </c>
      <c r="E2590" s="77">
        <v>125</v>
      </c>
      <c r="F2590" s="78">
        <v>11.709392238242801</v>
      </c>
      <c r="G2590" s="78">
        <v>11.709392238242801</v>
      </c>
      <c r="H2590" s="81">
        <v>10.850899922737799</v>
      </c>
    </row>
    <row r="2591" spans="1:8" x14ac:dyDescent="0.3">
      <c r="A2591" s="74" t="str">
        <f t="shared" si="40"/>
        <v>山东46193</v>
      </c>
      <c r="B2591" s="75" t="s">
        <v>21</v>
      </c>
      <c r="C2591" s="45">
        <v>46193</v>
      </c>
      <c r="D2591" s="76">
        <v>1531.38709677419</v>
      </c>
      <c r="E2591" s="77">
        <v>125</v>
      </c>
      <c r="F2591" s="78">
        <v>11.709392238242801</v>
      </c>
      <c r="G2591" s="78">
        <v>11.709392238242801</v>
      </c>
      <c r="H2591" s="81">
        <v>10.850899922737799</v>
      </c>
    </row>
    <row r="2592" spans="1:8" x14ac:dyDescent="0.3">
      <c r="A2592" s="74" t="str">
        <f t="shared" si="40"/>
        <v>山东46194</v>
      </c>
      <c r="B2592" s="75" t="s">
        <v>21</v>
      </c>
      <c r="C2592" s="45">
        <v>46194</v>
      </c>
      <c r="D2592" s="76">
        <v>1531.38709677419</v>
      </c>
      <c r="E2592" s="77">
        <v>125</v>
      </c>
      <c r="F2592" s="78">
        <v>11.709392238242801</v>
      </c>
      <c r="G2592" s="78">
        <v>11.709392238242801</v>
      </c>
      <c r="H2592" s="81">
        <v>10.850899922737799</v>
      </c>
    </row>
    <row r="2593" spans="1:8" x14ac:dyDescent="0.3">
      <c r="A2593" s="74" t="str">
        <f t="shared" si="40"/>
        <v>山东46195</v>
      </c>
      <c r="B2593" s="75" t="s">
        <v>21</v>
      </c>
      <c r="C2593" s="45">
        <v>46195</v>
      </c>
      <c r="D2593" s="76">
        <v>1531.38709677419</v>
      </c>
      <c r="E2593" s="77">
        <v>125</v>
      </c>
      <c r="F2593" s="78">
        <v>11.709392238242801</v>
      </c>
      <c r="G2593" s="78">
        <v>11.709392238242801</v>
      </c>
      <c r="H2593" s="81">
        <v>10.850899922737799</v>
      </c>
    </row>
    <row r="2594" spans="1:8" x14ac:dyDescent="0.3">
      <c r="A2594" s="74" t="str">
        <f t="shared" si="40"/>
        <v>山东46196</v>
      </c>
      <c r="B2594" s="75" t="s">
        <v>21</v>
      </c>
      <c r="C2594" s="45">
        <v>46196</v>
      </c>
      <c r="D2594" s="76">
        <v>1531.38709677419</v>
      </c>
      <c r="E2594" s="77">
        <v>125</v>
      </c>
      <c r="F2594" s="78">
        <v>11.709392238242801</v>
      </c>
      <c r="G2594" s="78">
        <v>11.709392238242801</v>
      </c>
      <c r="H2594" s="81">
        <v>10.850899922737799</v>
      </c>
    </row>
    <row r="2595" spans="1:8" x14ac:dyDescent="0.3">
      <c r="A2595" s="74" t="str">
        <f t="shared" si="40"/>
        <v>山东46197</v>
      </c>
      <c r="B2595" s="75" t="s">
        <v>21</v>
      </c>
      <c r="C2595" s="45">
        <v>46197</v>
      </c>
      <c r="D2595" s="76">
        <v>1531.38709677419</v>
      </c>
      <c r="E2595" s="77">
        <v>125</v>
      </c>
      <c r="F2595" s="78">
        <v>11.709392238242801</v>
      </c>
      <c r="G2595" s="78">
        <v>11.709392238242801</v>
      </c>
      <c r="H2595" s="81">
        <v>10.850899922737799</v>
      </c>
    </row>
    <row r="2596" spans="1:8" x14ac:dyDescent="0.3">
      <c r="A2596" s="74" t="str">
        <f t="shared" si="40"/>
        <v>山东46198</v>
      </c>
      <c r="B2596" s="75" t="s">
        <v>21</v>
      </c>
      <c r="C2596" s="45">
        <v>46198</v>
      </c>
      <c r="D2596" s="76">
        <v>1531.38709677419</v>
      </c>
      <c r="E2596" s="77">
        <v>125</v>
      </c>
      <c r="F2596" s="78">
        <v>11.709392238242801</v>
      </c>
      <c r="G2596" s="78">
        <v>11.709392238242801</v>
      </c>
      <c r="H2596" s="81">
        <v>10.850899922737799</v>
      </c>
    </row>
    <row r="2597" spans="1:8" x14ac:dyDescent="0.3">
      <c r="A2597" s="74" t="str">
        <f t="shared" si="40"/>
        <v>山东46199</v>
      </c>
      <c r="B2597" s="75" t="s">
        <v>21</v>
      </c>
      <c r="C2597" s="45">
        <v>46199</v>
      </c>
      <c r="D2597" s="76">
        <v>1531.38709677419</v>
      </c>
      <c r="E2597" s="77">
        <v>125</v>
      </c>
      <c r="F2597" s="78">
        <v>11.709392238242801</v>
      </c>
      <c r="G2597" s="78">
        <v>11.709392238242801</v>
      </c>
      <c r="H2597" s="81">
        <v>10.850899922737799</v>
      </c>
    </row>
    <row r="2598" spans="1:8" x14ac:dyDescent="0.3">
      <c r="A2598" s="74" t="str">
        <f t="shared" si="40"/>
        <v>山东46200</v>
      </c>
      <c r="B2598" s="75" t="s">
        <v>21</v>
      </c>
      <c r="C2598" s="45">
        <v>46200</v>
      </c>
      <c r="D2598" s="76">
        <v>1531.38709677419</v>
      </c>
      <c r="E2598" s="77">
        <v>125</v>
      </c>
      <c r="F2598" s="78">
        <v>11.709392238242801</v>
      </c>
      <c r="G2598" s="78">
        <v>11.709392238242801</v>
      </c>
      <c r="H2598" s="81">
        <v>10.850899922737799</v>
      </c>
    </row>
    <row r="2599" spans="1:8" x14ac:dyDescent="0.3">
      <c r="A2599" s="74" t="str">
        <f t="shared" si="40"/>
        <v>山东46201</v>
      </c>
      <c r="B2599" s="75" t="s">
        <v>21</v>
      </c>
      <c r="C2599" s="45">
        <v>46201</v>
      </c>
      <c r="D2599" s="76">
        <v>1531.38709677419</v>
      </c>
      <c r="E2599" s="77">
        <v>125</v>
      </c>
      <c r="F2599" s="78">
        <v>11.709392238242801</v>
      </c>
      <c r="G2599" s="78">
        <v>11.709392238242801</v>
      </c>
      <c r="H2599" s="81">
        <v>10.850899922737799</v>
      </c>
    </row>
    <row r="2600" spans="1:8" x14ac:dyDescent="0.3">
      <c r="A2600" s="74" t="str">
        <f t="shared" si="40"/>
        <v>山东46202</v>
      </c>
      <c r="B2600" s="75" t="s">
        <v>21</v>
      </c>
      <c r="C2600" s="45">
        <v>46202</v>
      </c>
      <c r="D2600" s="76">
        <v>1531.38709677419</v>
      </c>
      <c r="E2600" s="77">
        <v>125</v>
      </c>
      <c r="F2600" s="78">
        <v>11.709392238242801</v>
      </c>
      <c r="G2600" s="78">
        <v>11.709392238242801</v>
      </c>
      <c r="H2600" s="81">
        <v>10.850899922737799</v>
      </c>
    </row>
    <row r="2601" spans="1:8" x14ac:dyDescent="0.3">
      <c r="A2601" s="74" t="str">
        <f t="shared" si="40"/>
        <v>山东46203</v>
      </c>
      <c r="B2601" s="75" t="s">
        <v>21</v>
      </c>
      <c r="C2601" s="45">
        <v>46203</v>
      </c>
      <c r="D2601" s="76">
        <v>1531.38709677419</v>
      </c>
      <c r="E2601" s="77">
        <v>125</v>
      </c>
      <c r="F2601" s="78">
        <v>11.709392238242801</v>
      </c>
      <c r="G2601" s="78">
        <v>11.709392238242801</v>
      </c>
      <c r="H2601" s="81">
        <v>10.850899922737799</v>
      </c>
    </row>
    <row r="2602" spans="1:8" x14ac:dyDescent="0.3">
      <c r="A2602" s="74" t="str">
        <f t="shared" si="40"/>
        <v>山东46204</v>
      </c>
      <c r="B2602" s="75" t="s">
        <v>21</v>
      </c>
      <c r="C2602" s="45">
        <v>46204</v>
      </c>
      <c r="D2602" s="76">
        <v>963.81925952790903</v>
      </c>
      <c r="E2602" s="77">
        <v>125</v>
      </c>
      <c r="F2602" s="78">
        <v>12.200054244015</v>
      </c>
      <c r="G2602" s="78">
        <v>12.200054244015</v>
      </c>
      <c r="H2602" s="81">
        <v>11.7330454521709</v>
      </c>
    </row>
    <row r="2603" spans="1:8" x14ac:dyDescent="0.3">
      <c r="A2603" s="74" t="str">
        <f t="shared" si="40"/>
        <v>山东46205</v>
      </c>
      <c r="B2603" s="75" t="s">
        <v>21</v>
      </c>
      <c r="C2603" s="45">
        <v>46205</v>
      </c>
      <c r="D2603" s="76">
        <v>963.81925952790903</v>
      </c>
      <c r="E2603" s="77">
        <v>125</v>
      </c>
      <c r="F2603" s="78">
        <v>12.200054244015</v>
      </c>
      <c r="G2603" s="78">
        <v>12.200054244015</v>
      </c>
      <c r="H2603" s="81">
        <v>11.7330454521709</v>
      </c>
    </row>
    <row r="2604" spans="1:8" x14ac:dyDescent="0.3">
      <c r="A2604" s="74" t="str">
        <f t="shared" si="40"/>
        <v>山东46206</v>
      </c>
      <c r="B2604" s="75" t="s">
        <v>21</v>
      </c>
      <c r="C2604" s="45">
        <v>46206</v>
      </c>
      <c r="D2604" s="76">
        <v>963.81925952790903</v>
      </c>
      <c r="E2604" s="77">
        <v>125</v>
      </c>
      <c r="F2604" s="78">
        <v>12.200054244015</v>
      </c>
      <c r="G2604" s="78">
        <v>12.200054244015</v>
      </c>
      <c r="H2604" s="81">
        <v>11.7330454521709</v>
      </c>
    </row>
    <row r="2605" spans="1:8" x14ac:dyDescent="0.3">
      <c r="A2605" s="74" t="str">
        <f t="shared" si="40"/>
        <v>山东46207</v>
      </c>
      <c r="B2605" s="75" t="s">
        <v>21</v>
      </c>
      <c r="C2605" s="45">
        <v>46207</v>
      </c>
      <c r="D2605" s="76">
        <v>963.81925952790903</v>
      </c>
      <c r="E2605" s="77">
        <v>125</v>
      </c>
      <c r="F2605" s="78">
        <v>12.200054244015</v>
      </c>
      <c r="G2605" s="78">
        <v>12.200054244015</v>
      </c>
      <c r="H2605" s="81">
        <v>11.7330454521709</v>
      </c>
    </row>
    <row r="2606" spans="1:8" x14ac:dyDescent="0.3">
      <c r="A2606" s="74" t="str">
        <f t="shared" si="40"/>
        <v>山东46208</v>
      </c>
      <c r="B2606" s="75" t="s">
        <v>21</v>
      </c>
      <c r="C2606" s="45">
        <v>46208</v>
      </c>
      <c r="D2606" s="76">
        <v>963.81925952790903</v>
      </c>
      <c r="E2606" s="77">
        <v>125</v>
      </c>
      <c r="F2606" s="78">
        <v>12.200054244015</v>
      </c>
      <c r="G2606" s="78">
        <v>12.200054244015</v>
      </c>
      <c r="H2606" s="81">
        <v>11.7330454521709</v>
      </c>
    </row>
    <row r="2607" spans="1:8" x14ac:dyDescent="0.3">
      <c r="A2607" s="74" t="str">
        <f t="shared" si="40"/>
        <v>山东46209</v>
      </c>
      <c r="B2607" s="75" t="s">
        <v>21</v>
      </c>
      <c r="C2607" s="45">
        <v>46209</v>
      </c>
      <c r="D2607" s="76">
        <v>963.81925952790903</v>
      </c>
      <c r="E2607" s="77">
        <v>125</v>
      </c>
      <c r="F2607" s="78">
        <v>12.200054244015</v>
      </c>
      <c r="G2607" s="78">
        <v>12.200054244015</v>
      </c>
      <c r="H2607" s="81">
        <v>11.7330454521709</v>
      </c>
    </row>
    <row r="2608" spans="1:8" x14ac:dyDescent="0.3">
      <c r="A2608" s="74" t="str">
        <f t="shared" si="40"/>
        <v>山东46210</v>
      </c>
      <c r="B2608" s="75" t="s">
        <v>21</v>
      </c>
      <c r="C2608" s="45">
        <v>46210</v>
      </c>
      <c r="D2608" s="76">
        <v>963.81925952790903</v>
      </c>
      <c r="E2608" s="77">
        <v>125</v>
      </c>
      <c r="F2608" s="78">
        <v>12.200054244015</v>
      </c>
      <c r="G2608" s="78">
        <v>12.200054244015</v>
      </c>
      <c r="H2608" s="81">
        <v>11.7330454521709</v>
      </c>
    </row>
    <row r="2609" spans="1:8" x14ac:dyDescent="0.3">
      <c r="A2609" s="74" t="str">
        <f t="shared" si="40"/>
        <v>山东46211</v>
      </c>
      <c r="B2609" s="75" t="s">
        <v>21</v>
      </c>
      <c r="C2609" s="45">
        <v>46211</v>
      </c>
      <c r="D2609" s="76">
        <v>963.81925952790903</v>
      </c>
      <c r="E2609" s="77">
        <v>125</v>
      </c>
      <c r="F2609" s="78">
        <v>12.200054244015</v>
      </c>
      <c r="G2609" s="78">
        <v>12.200054244015</v>
      </c>
      <c r="H2609" s="81">
        <v>11.7330454521709</v>
      </c>
    </row>
    <row r="2610" spans="1:8" x14ac:dyDescent="0.3">
      <c r="A2610" s="74" t="str">
        <f t="shared" si="40"/>
        <v>山东46212</v>
      </c>
      <c r="B2610" s="75" t="s">
        <v>21</v>
      </c>
      <c r="C2610" s="45">
        <v>46212</v>
      </c>
      <c r="D2610" s="76">
        <v>963.81925952790903</v>
      </c>
      <c r="E2610" s="77">
        <v>125</v>
      </c>
      <c r="F2610" s="78">
        <v>12.200054244015</v>
      </c>
      <c r="G2610" s="78">
        <v>12.200054244015</v>
      </c>
      <c r="H2610" s="81">
        <v>11.7330454521709</v>
      </c>
    </row>
    <row r="2611" spans="1:8" x14ac:dyDescent="0.3">
      <c r="A2611" s="74" t="str">
        <f t="shared" si="40"/>
        <v>山东46213</v>
      </c>
      <c r="B2611" s="75" t="s">
        <v>21</v>
      </c>
      <c r="C2611" s="45">
        <v>46213</v>
      </c>
      <c r="D2611" s="76">
        <v>963.81925952790903</v>
      </c>
      <c r="E2611" s="77">
        <v>125</v>
      </c>
      <c r="F2611" s="78">
        <v>12.200054244015</v>
      </c>
      <c r="G2611" s="78">
        <v>12.200054244015</v>
      </c>
      <c r="H2611" s="81">
        <v>11.7330454521709</v>
      </c>
    </row>
    <row r="2612" spans="1:8" x14ac:dyDescent="0.3">
      <c r="A2612" s="74" t="str">
        <f t="shared" si="40"/>
        <v>山东46214</v>
      </c>
      <c r="B2612" s="75" t="s">
        <v>21</v>
      </c>
      <c r="C2612" s="45">
        <v>46214</v>
      </c>
      <c r="D2612" s="76">
        <v>963.81925952790903</v>
      </c>
      <c r="E2612" s="77">
        <v>125</v>
      </c>
      <c r="F2612" s="78">
        <v>12.200054244015</v>
      </c>
      <c r="G2612" s="78">
        <v>12.200054244015</v>
      </c>
      <c r="H2612" s="81">
        <v>11.7330454521709</v>
      </c>
    </row>
    <row r="2613" spans="1:8" x14ac:dyDescent="0.3">
      <c r="A2613" s="74" t="str">
        <f t="shared" si="40"/>
        <v>山东46215</v>
      </c>
      <c r="B2613" s="75" t="s">
        <v>21</v>
      </c>
      <c r="C2613" s="45">
        <v>46215</v>
      </c>
      <c r="D2613" s="76">
        <v>963.81925952790903</v>
      </c>
      <c r="E2613" s="77">
        <v>125</v>
      </c>
      <c r="F2613" s="78">
        <v>12.200054244015</v>
      </c>
      <c r="G2613" s="78">
        <v>12.200054244015</v>
      </c>
      <c r="H2613" s="81">
        <v>11.7330454521709</v>
      </c>
    </row>
    <row r="2614" spans="1:8" x14ac:dyDescent="0.3">
      <c r="A2614" s="74" t="str">
        <f t="shared" si="40"/>
        <v>山东46216</v>
      </c>
      <c r="B2614" s="75" t="s">
        <v>21</v>
      </c>
      <c r="C2614" s="45">
        <v>46216</v>
      </c>
      <c r="D2614" s="76">
        <v>963.81925952790903</v>
      </c>
      <c r="E2614" s="77">
        <v>125</v>
      </c>
      <c r="F2614" s="78">
        <v>12.200054244015</v>
      </c>
      <c r="G2614" s="78">
        <v>12.200054244015</v>
      </c>
      <c r="H2614" s="81">
        <v>11.7330454521709</v>
      </c>
    </row>
    <row r="2615" spans="1:8" x14ac:dyDescent="0.3">
      <c r="A2615" s="74" t="str">
        <f t="shared" si="40"/>
        <v>山东46217</v>
      </c>
      <c r="B2615" s="75" t="s">
        <v>21</v>
      </c>
      <c r="C2615" s="45">
        <v>46217</v>
      </c>
      <c r="D2615" s="76">
        <v>963.81925952790903</v>
      </c>
      <c r="E2615" s="77">
        <v>125</v>
      </c>
      <c r="F2615" s="78">
        <v>12.200054244015</v>
      </c>
      <c r="G2615" s="78">
        <v>12.200054244015</v>
      </c>
      <c r="H2615" s="81">
        <v>11.7330454521709</v>
      </c>
    </row>
    <row r="2616" spans="1:8" x14ac:dyDescent="0.3">
      <c r="A2616" s="74" t="str">
        <f t="shared" si="40"/>
        <v>山东46218</v>
      </c>
      <c r="B2616" s="75" t="s">
        <v>21</v>
      </c>
      <c r="C2616" s="45">
        <v>46218</v>
      </c>
      <c r="D2616" s="76">
        <v>963.81925952790903</v>
      </c>
      <c r="E2616" s="77">
        <v>125</v>
      </c>
      <c r="F2616" s="78">
        <v>12.200054244015</v>
      </c>
      <c r="G2616" s="78">
        <v>12.200054244015</v>
      </c>
      <c r="H2616" s="81">
        <v>11.7330454521709</v>
      </c>
    </row>
    <row r="2617" spans="1:8" x14ac:dyDescent="0.3">
      <c r="A2617" s="74" t="str">
        <f t="shared" si="40"/>
        <v>山东46219</v>
      </c>
      <c r="B2617" s="75" t="s">
        <v>21</v>
      </c>
      <c r="C2617" s="45">
        <v>46219</v>
      </c>
      <c r="D2617" s="76">
        <v>963.81925952790903</v>
      </c>
      <c r="E2617" s="77">
        <v>125</v>
      </c>
      <c r="F2617" s="78">
        <v>12.200054244015</v>
      </c>
      <c r="G2617" s="78">
        <v>12.200054244015</v>
      </c>
      <c r="H2617" s="81">
        <v>11.7330454521709</v>
      </c>
    </row>
    <row r="2618" spans="1:8" x14ac:dyDescent="0.3">
      <c r="A2618" s="74" t="str">
        <f t="shared" si="40"/>
        <v>山东46220</v>
      </c>
      <c r="B2618" s="75" t="s">
        <v>21</v>
      </c>
      <c r="C2618" s="45">
        <v>46220</v>
      </c>
      <c r="D2618" s="76">
        <v>963.81925952790903</v>
      </c>
      <c r="E2618" s="77">
        <v>125</v>
      </c>
      <c r="F2618" s="78">
        <v>12.200054244015</v>
      </c>
      <c r="G2618" s="78">
        <v>12.200054244015</v>
      </c>
      <c r="H2618" s="81">
        <v>11.7330454521709</v>
      </c>
    </row>
    <row r="2619" spans="1:8" x14ac:dyDescent="0.3">
      <c r="A2619" s="74" t="str">
        <f t="shared" si="40"/>
        <v>山东46221</v>
      </c>
      <c r="B2619" s="75" t="s">
        <v>21</v>
      </c>
      <c r="C2619" s="45">
        <v>46221</v>
      </c>
      <c r="D2619" s="76">
        <v>963.81925952790903</v>
      </c>
      <c r="E2619" s="77">
        <v>125</v>
      </c>
      <c r="F2619" s="78">
        <v>12.200054244015</v>
      </c>
      <c r="G2619" s="78">
        <v>12.200054244015</v>
      </c>
      <c r="H2619" s="81">
        <v>11.7330454521709</v>
      </c>
    </row>
    <row r="2620" spans="1:8" x14ac:dyDescent="0.3">
      <c r="A2620" s="74" t="str">
        <f t="shared" si="40"/>
        <v>山东46222</v>
      </c>
      <c r="B2620" s="75" t="s">
        <v>21</v>
      </c>
      <c r="C2620" s="45">
        <v>46222</v>
      </c>
      <c r="D2620" s="76">
        <v>963.81925952790903</v>
      </c>
      <c r="E2620" s="77">
        <v>125</v>
      </c>
      <c r="F2620" s="78">
        <v>12.200054244015</v>
      </c>
      <c r="G2620" s="78">
        <v>12.200054244015</v>
      </c>
      <c r="H2620" s="81">
        <v>11.7330454521709</v>
      </c>
    </row>
    <row r="2621" spans="1:8" x14ac:dyDescent="0.3">
      <c r="A2621" s="74" t="str">
        <f t="shared" si="40"/>
        <v>山东46223</v>
      </c>
      <c r="B2621" s="75" t="s">
        <v>21</v>
      </c>
      <c r="C2621" s="45">
        <v>46223</v>
      </c>
      <c r="D2621" s="76">
        <v>963.81925952790903</v>
      </c>
      <c r="E2621" s="77">
        <v>125</v>
      </c>
      <c r="F2621" s="78">
        <v>12.200054244015</v>
      </c>
      <c r="G2621" s="78">
        <v>12.200054244015</v>
      </c>
      <c r="H2621" s="81">
        <v>11.7330454521709</v>
      </c>
    </row>
    <row r="2622" spans="1:8" x14ac:dyDescent="0.3">
      <c r="A2622" s="74" t="str">
        <f t="shared" si="40"/>
        <v>山东46224</v>
      </c>
      <c r="B2622" s="75" t="s">
        <v>21</v>
      </c>
      <c r="C2622" s="45">
        <v>46224</v>
      </c>
      <c r="D2622" s="76">
        <v>963.81925952790903</v>
      </c>
      <c r="E2622" s="77">
        <v>125</v>
      </c>
      <c r="F2622" s="78">
        <v>12.200054244015</v>
      </c>
      <c r="G2622" s="78">
        <v>12.200054244015</v>
      </c>
      <c r="H2622" s="81">
        <v>11.7330454521709</v>
      </c>
    </row>
    <row r="2623" spans="1:8" x14ac:dyDescent="0.3">
      <c r="A2623" s="74" t="str">
        <f t="shared" si="40"/>
        <v>山东46225</v>
      </c>
      <c r="B2623" s="75" t="s">
        <v>21</v>
      </c>
      <c r="C2623" s="45">
        <v>46225</v>
      </c>
      <c r="D2623" s="76">
        <v>963.81925952790903</v>
      </c>
      <c r="E2623" s="77">
        <v>125</v>
      </c>
      <c r="F2623" s="78">
        <v>12.200054244015</v>
      </c>
      <c r="G2623" s="78">
        <v>12.200054244015</v>
      </c>
      <c r="H2623" s="81">
        <v>11.7330454521709</v>
      </c>
    </row>
    <row r="2624" spans="1:8" x14ac:dyDescent="0.3">
      <c r="A2624" s="74" t="str">
        <f t="shared" si="40"/>
        <v>山东46226</v>
      </c>
      <c r="B2624" s="75" t="s">
        <v>21</v>
      </c>
      <c r="C2624" s="45">
        <v>46226</v>
      </c>
      <c r="D2624" s="76">
        <v>963.81925952790903</v>
      </c>
      <c r="E2624" s="77">
        <v>125</v>
      </c>
      <c r="F2624" s="78">
        <v>12.200054244015</v>
      </c>
      <c r="G2624" s="78">
        <v>12.200054244015</v>
      </c>
      <c r="H2624" s="81">
        <v>11.7330454521709</v>
      </c>
    </row>
    <row r="2625" spans="1:8" x14ac:dyDescent="0.3">
      <c r="A2625" s="74" t="str">
        <f t="shared" si="40"/>
        <v>山东46227</v>
      </c>
      <c r="B2625" s="75" t="s">
        <v>21</v>
      </c>
      <c r="C2625" s="45">
        <v>46227</v>
      </c>
      <c r="D2625" s="76">
        <v>963.81925952790903</v>
      </c>
      <c r="E2625" s="77">
        <v>125</v>
      </c>
      <c r="F2625" s="78">
        <v>12.200054244015</v>
      </c>
      <c r="G2625" s="78">
        <v>12.200054244015</v>
      </c>
      <c r="H2625" s="81">
        <v>11.7330454521709</v>
      </c>
    </row>
    <row r="2626" spans="1:8" x14ac:dyDescent="0.3">
      <c r="A2626" s="74" t="str">
        <f t="shared" si="40"/>
        <v>山东46228</v>
      </c>
      <c r="B2626" s="75" t="s">
        <v>21</v>
      </c>
      <c r="C2626" s="45">
        <v>46228</v>
      </c>
      <c r="D2626" s="76">
        <v>963.81925952790903</v>
      </c>
      <c r="E2626" s="77">
        <v>125</v>
      </c>
      <c r="F2626" s="78">
        <v>12.200054244015</v>
      </c>
      <c r="G2626" s="78">
        <v>12.200054244015</v>
      </c>
      <c r="H2626" s="81">
        <v>11.7330454521709</v>
      </c>
    </row>
    <row r="2627" spans="1:8" x14ac:dyDescent="0.3">
      <c r="A2627" s="74" t="str">
        <f t="shared" ref="A2627:A2690" si="41">B2627&amp;C2627</f>
        <v>山东46229</v>
      </c>
      <c r="B2627" s="75" t="s">
        <v>21</v>
      </c>
      <c r="C2627" s="45">
        <v>46229</v>
      </c>
      <c r="D2627" s="76">
        <v>963.81925952790903</v>
      </c>
      <c r="E2627" s="77">
        <v>125</v>
      </c>
      <c r="F2627" s="78">
        <v>12.200054244015</v>
      </c>
      <c r="G2627" s="78">
        <v>12.200054244015</v>
      </c>
      <c r="H2627" s="81">
        <v>11.7330454521709</v>
      </c>
    </row>
    <row r="2628" spans="1:8" x14ac:dyDescent="0.3">
      <c r="A2628" s="74" t="str">
        <f t="shared" si="41"/>
        <v>山东46230</v>
      </c>
      <c r="B2628" s="75" t="s">
        <v>21</v>
      </c>
      <c r="C2628" s="45">
        <v>46230</v>
      </c>
      <c r="D2628" s="76">
        <v>963.81925952790903</v>
      </c>
      <c r="E2628" s="77">
        <v>125</v>
      </c>
      <c r="F2628" s="78">
        <v>12.200054244015</v>
      </c>
      <c r="G2628" s="78">
        <v>12.200054244015</v>
      </c>
      <c r="H2628" s="81">
        <v>11.7330454521709</v>
      </c>
    </row>
    <row r="2629" spans="1:8" x14ac:dyDescent="0.3">
      <c r="A2629" s="74" t="str">
        <f t="shared" si="41"/>
        <v>山东46231</v>
      </c>
      <c r="B2629" s="75" t="s">
        <v>21</v>
      </c>
      <c r="C2629" s="45">
        <v>46231</v>
      </c>
      <c r="D2629" s="76">
        <v>963.81925952790903</v>
      </c>
      <c r="E2629" s="77">
        <v>125</v>
      </c>
      <c r="F2629" s="78">
        <v>12.200054244015</v>
      </c>
      <c r="G2629" s="78">
        <v>12.200054244015</v>
      </c>
      <c r="H2629" s="81">
        <v>11.7330454521709</v>
      </c>
    </row>
    <row r="2630" spans="1:8" x14ac:dyDescent="0.3">
      <c r="A2630" s="74" t="str">
        <f t="shared" si="41"/>
        <v>山东46232</v>
      </c>
      <c r="B2630" s="75" t="s">
        <v>21</v>
      </c>
      <c r="C2630" s="45">
        <v>46232</v>
      </c>
      <c r="D2630" s="76">
        <v>963.81925952790903</v>
      </c>
      <c r="E2630" s="77">
        <v>125</v>
      </c>
      <c r="F2630" s="78">
        <v>12.200054244015</v>
      </c>
      <c r="G2630" s="78">
        <v>12.200054244015</v>
      </c>
      <c r="H2630" s="81">
        <v>11.7330454521709</v>
      </c>
    </row>
    <row r="2631" spans="1:8" x14ac:dyDescent="0.3">
      <c r="A2631" s="74" t="str">
        <f t="shared" si="41"/>
        <v>山东46233</v>
      </c>
      <c r="B2631" s="75" t="s">
        <v>21</v>
      </c>
      <c r="C2631" s="45">
        <v>46233</v>
      </c>
      <c r="D2631" s="76">
        <v>963.81925952790903</v>
      </c>
      <c r="E2631" s="77">
        <v>125</v>
      </c>
      <c r="F2631" s="78">
        <v>12.200054244015</v>
      </c>
      <c r="G2631" s="78">
        <v>12.200054244015</v>
      </c>
      <c r="H2631" s="81">
        <v>11.7330454521709</v>
      </c>
    </row>
    <row r="2632" spans="1:8" x14ac:dyDescent="0.3">
      <c r="A2632" s="74" t="str">
        <f t="shared" si="41"/>
        <v>山东46234</v>
      </c>
      <c r="B2632" s="75" t="s">
        <v>21</v>
      </c>
      <c r="C2632" s="45">
        <v>46234</v>
      </c>
      <c r="D2632" s="76">
        <v>963.81925952790903</v>
      </c>
      <c r="E2632" s="77">
        <v>125</v>
      </c>
      <c r="F2632" s="78">
        <v>12.200054244015</v>
      </c>
      <c r="G2632" s="78">
        <v>12.200054244015</v>
      </c>
      <c r="H2632" s="81">
        <v>11.7330454521709</v>
      </c>
    </row>
    <row r="2633" spans="1:8" x14ac:dyDescent="0.3">
      <c r="A2633" s="74" t="str">
        <f t="shared" si="41"/>
        <v>山东46235</v>
      </c>
      <c r="B2633" s="75" t="s">
        <v>21</v>
      </c>
      <c r="C2633" s="45">
        <v>46235</v>
      </c>
      <c r="D2633" s="76">
        <v>1002.06229905163</v>
      </c>
      <c r="E2633" s="77">
        <v>125</v>
      </c>
      <c r="F2633" s="78">
        <v>12.3080350613767</v>
      </c>
      <c r="G2633" s="78">
        <v>12.3080350613767</v>
      </c>
      <c r="H2633" s="81">
        <v>12.2786499125717</v>
      </c>
    </row>
    <row r="2634" spans="1:8" x14ac:dyDescent="0.3">
      <c r="A2634" s="74" t="str">
        <f t="shared" si="41"/>
        <v>山东46236</v>
      </c>
      <c r="B2634" s="75" t="s">
        <v>21</v>
      </c>
      <c r="C2634" s="45">
        <v>46236</v>
      </c>
      <c r="D2634" s="76">
        <v>1002.06229905163</v>
      </c>
      <c r="E2634" s="77">
        <v>125</v>
      </c>
      <c r="F2634" s="78">
        <v>12.3080350613767</v>
      </c>
      <c r="G2634" s="78">
        <v>12.3080350613767</v>
      </c>
      <c r="H2634" s="81">
        <v>12.2786499125717</v>
      </c>
    </row>
    <row r="2635" spans="1:8" x14ac:dyDescent="0.3">
      <c r="A2635" s="74" t="str">
        <f t="shared" si="41"/>
        <v>山东46237</v>
      </c>
      <c r="B2635" s="75" t="s">
        <v>21</v>
      </c>
      <c r="C2635" s="45">
        <v>46237</v>
      </c>
      <c r="D2635" s="76">
        <v>1002.06229905163</v>
      </c>
      <c r="E2635" s="77">
        <v>125</v>
      </c>
      <c r="F2635" s="78">
        <v>12.3080350613767</v>
      </c>
      <c r="G2635" s="78">
        <v>12.3080350613767</v>
      </c>
      <c r="H2635" s="81">
        <v>12.2786499125717</v>
      </c>
    </row>
    <row r="2636" spans="1:8" x14ac:dyDescent="0.3">
      <c r="A2636" s="74" t="str">
        <f t="shared" si="41"/>
        <v>山东46238</v>
      </c>
      <c r="B2636" s="75" t="s">
        <v>21</v>
      </c>
      <c r="C2636" s="45">
        <v>46238</v>
      </c>
      <c r="D2636" s="76">
        <v>1002.06229905163</v>
      </c>
      <c r="E2636" s="77">
        <v>125</v>
      </c>
      <c r="F2636" s="78">
        <v>12.3080350613767</v>
      </c>
      <c r="G2636" s="78">
        <v>12.3080350613767</v>
      </c>
      <c r="H2636" s="81">
        <v>12.2786499125717</v>
      </c>
    </row>
    <row r="2637" spans="1:8" x14ac:dyDescent="0.3">
      <c r="A2637" s="74" t="str">
        <f t="shared" si="41"/>
        <v>山东46239</v>
      </c>
      <c r="B2637" s="75" t="s">
        <v>21</v>
      </c>
      <c r="C2637" s="45">
        <v>46239</v>
      </c>
      <c r="D2637" s="76">
        <v>1002.06229905163</v>
      </c>
      <c r="E2637" s="77">
        <v>125</v>
      </c>
      <c r="F2637" s="78">
        <v>12.3080350613767</v>
      </c>
      <c r="G2637" s="78">
        <v>12.3080350613767</v>
      </c>
      <c r="H2637" s="81">
        <v>12.2786499125717</v>
      </c>
    </row>
    <row r="2638" spans="1:8" x14ac:dyDescent="0.3">
      <c r="A2638" s="74" t="str">
        <f t="shared" si="41"/>
        <v>山东46240</v>
      </c>
      <c r="B2638" s="75" t="s">
        <v>21</v>
      </c>
      <c r="C2638" s="45">
        <v>46240</v>
      </c>
      <c r="D2638" s="76">
        <v>1002.06229905163</v>
      </c>
      <c r="E2638" s="77">
        <v>125</v>
      </c>
      <c r="F2638" s="78">
        <v>12.3080350613767</v>
      </c>
      <c r="G2638" s="78">
        <v>12.3080350613767</v>
      </c>
      <c r="H2638" s="81">
        <v>12.2786499125717</v>
      </c>
    </row>
    <row r="2639" spans="1:8" x14ac:dyDescent="0.3">
      <c r="A2639" s="74" t="str">
        <f t="shared" si="41"/>
        <v>山东46241</v>
      </c>
      <c r="B2639" s="75" t="s">
        <v>21</v>
      </c>
      <c r="C2639" s="45">
        <v>46241</v>
      </c>
      <c r="D2639" s="76">
        <v>1002.06229905163</v>
      </c>
      <c r="E2639" s="77">
        <v>125</v>
      </c>
      <c r="F2639" s="78">
        <v>12.3080350613767</v>
      </c>
      <c r="G2639" s="78">
        <v>12.3080350613767</v>
      </c>
      <c r="H2639" s="81">
        <v>12.2786499125717</v>
      </c>
    </row>
    <row r="2640" spans="1:8" x14ac:dyDescent="0.3">
      <c r="A2640" s="74" t="str">
        <f t="shared" si="41"/>
        <v>山东46242</v>
      </c>
      <c r="B2640" s="75" t="s">
        <v>21</v>
      </c>
      <c r="C2640" s="45">
        <v>46242</v>
      </c>
      <c r="D2640" s="76">
        <v>1002.06229905163</v>
      </c>
      <c r="E2640" s="77">
        <v>125</v>
      </c>
      <c r="F2640" s="78">
        <v>12.3080350613767</v>
      </c>
      <c r="G2640" s="78">
        <v>12.3080350613767</v>
      </c>
      <c r="H2640" s="81">
        <v>12.2786499125717</v>
      </c>
    </row>
    <row r="2641" spans="1:8" x14ac:dyDescent="0.3">
      <c r="A2641" s="74" t="str">
        <f t="shared" si="41"/>
        <v>山东46243</v>
      </c>
      <c r="B2641" s="75" t="s">
        <v>21</v>
      </c>
      <c r="C2641" s="45">
        <v>46243</v>
      </c>
      <c r="D2641" s="76">
        <v>1002.06229905163</v>
      </c>
      <c r="E2641" s="77">
        <v>125</v>
      </c>
      <c r="F2641" s="78">
        <v>12.3080350613767</v>
      </c>
      <c r="G2641" s="78">
        <v>12.3080350613767</v>
      </c>
      <c r="H2641" s="81">
        <v>12.2786499125717</v>
      </c>
    </row>
    <row r="2642" spans="1:8" x14ac:dyDescent="0.3">
      <c r="A2642" s="74" t="str">
        <f t="shared" si="41"/>
        <v>山东46244</v>
      </c>
      <c r="B2642" s="75" t="s">
        <v>21</v>
      </c>
      <c r="C2642" s="45">
        <v>46244</v>
      </c>
      <c r="D2642" s="76">
        <v>1002.06229905163</v>
      </c>
      <c r="E2642" s="77">
        <v>125</v>
      </c>
      <c r="F2642" s="78">
        <v>12.3080350613767</v>
      </c>
      <c r="G2642" s="78">
        <v>12.3080350613767</v>
      </c>
      <c r="H2642" s="81">
        <v>12.2786499125717</v>
      </c>
    </row>
    <row r="2643" spans="1:8" x14ac:dyDescent="0.3">
      <c r="A2643" s="74" t="str">
        <f t="shared" si="41"/>
        <v>山东46245</v>
      </c>
      <c r="B2643" s="75" t="s">
        <v>21</v>
      </c>
      <c r="C2643" s="45">
        <v>46245</v>
      </c>
      <c r="D2643" s="76">
        <v>1002.06229905163</v>
      </c>
      <c r="E2643" s="77">
        <v>125</v>
      </c>
      <c r="F2643" s="78">
        <v>12.3080350613767</v>
      </c>
      <c r="G2643" s="78">
        <v>12.3080350613767</v>
      </c>
      <c r="H2643" s="81">
        <v>12.2786499125717</v>
      </c>
    </row>
    <row r="2644" spans="1:8" x14ac:dyDescent="0.3">
      <c r="A2644" s="74" t="str">
        <f t="shared" si="41"/>
        <v>山东46246</v>
      </c>
      <c r="B2644" s="75" t="s">
        <v>21</v>
      </c>
      <c r="C2644" s="45">
        <v>46246</v>
      </c>
      <c r="D2644" s="76">
        <v>1002.06229905163</v>
      </c>
      <c r="E2644" s="77">
        <v>125</v>
      </c>
      <c r="F2644" s="78">
        <v>12.3080350613767</v>
      </c>
      <c r="G2644" s="78">
        <v>12.3080350613767</v>
      </c>
      <c r="H2644" s="81">
        <v>12.2786499125717</v>
      </c>
    </row>
    <row r="2645" spans="1:8" x14ac:dyDescent="0.3">
      <c r="A2645" s="74" t="str">
        <f t="shared" si="41"/>
        <v>山东46247</v>
      </c>
      <c r="B2645" s="75" t="s">
        <v>21</v>
      </c>
      <c r="C2645" s="45">
        <v>46247</v>
      </c>
      <c r="D2645" s="76">
        <v>1002.06229905163</v>
      </c>
      <c r="E2645" s="77">
        <v>125</v>
      </c>
      <c r="F2645" s="78">
        <v>12.3080350613767</v>
      </c>
      <c r="G2645" s="78">
        <v>12.3080350613767</v>
      </c>
      <c r="H2645" s="81">
        <v>12.2786499125717</v>
      </c>
    </row>
    <row r="2646" spans="1:8" x14ac:dyDescent="0.3">
      <c r="A2646" s="74" t="str">
        <f t="shared" si="41"/>
        <v>山东46248</v>
      </c>
      <c r="B2646" s="75" t="s">
        <v>21</v>
      </c>
      <c r="C2646" s="45">
        <v>46248</v>
      </c>
      <c r="D2646" s="76">
        <v>1002.06229905163</v>
      </c>
      <c r="E2646" s="77">
        <v>125</v>
      </c>
      <c r="F2646" s="78">
        <v>12.3080350613767</v>
      </c>
      <c r="G2646" s="78">
        <v>12.3080350613767</v>
      </c>
      <c r="H2646" s="81">
        <v>12.2786499125717</v>
      </c>
    </row>
    <row r="2647" spans="1:8" x14ac:dyDescent="0.3">
      <c r="A2647" s="74" t="str">
        <f t="shared" si="41"/>
        <v>山东46249</v>
      </c>
      <c r="B2647" s="75" t="s">
        <v>21</v>
      </c>
      <c r="C2647" s="45">
        <v>46249</v>
      </c>
      <c r="D2647" s="76">
        <v>1002.06229905163</v>
      </c>
      <c r="E2647" s="77">
        <v>125</v>
      </c>
      <c r="F2647" s="78">
        <v>12.3080350613767</v>
      </c>
      <c r="G2647" s="78">
        <v>12.3080350613767</v>
      </c>
      <c r="H2647" s="81">
        <v>12.2786499125717</v>
      </c>
    </row>
    <row r="2648" spans="1:8" x14ac:dyDescent="0.3">
      <c r="A2648" s="74" t="str">
        <f t="shared" si="41"/>
        <v>山东46250</v>
      </c>
      <c r="B2648" s="75" t="s">
        <v>21</v>
      </c>
      <c r="C2648" s="45">
        <v>46250</v>
      </c>
      <c r="D2648" s="76">
        <v>1002.06229905163</v>
      </c>
      <c r="E2648" s="77">
        <v>125</v>
      </c>
      <c r="F2648" s="78">
        <v>12.3080350613767</v>
      </c>
      <c r="G2648" s="78">
        <v>12.3080350613767</v>
      </c>
      <c r="H2648" s="81">
        <v>12.2786499125717</v>
      </c>
    </row>
    <row r="2649" spans="1:8" x14ac:dyDescent="0.3">
      <c r="A2649" s="74" t="str">
        <f t="shared" si="41"/>
        <v>山东46251</v>
      </c>
      <c r="B2649" s="75" t="s">
        <v>21</v>
      </c>
      <c r="C2649" s="45">
        <v>46251</v>
      </c>
      <c r="D2649" s="76">
        <v>1002.06229905163</v>
      </c>
      <c r="E2649" s="77">
        <v>125</v>
      </c>
      <c r="F2649" s="78">
        <v>12.3080350613767</v>
      </c>
      <c r="G2649" s="78">
        <v>12.3080350613767</v>
      </c>
      <c r="H2649" s="81">
        <v>12.2786499125717</v>
      </c>
    </row>
    <row r="2650" spans="1:8" x14ac:dyDescent="0.3">
      <c r="A2650" s="74" t="str">
        <f t="shared" si="41"/>
        <v>山东46252</v>
      </c>
      <c r="B2650" s="75" t="s">
        <v>21</v>
      </c>
      <c r="C2650" s="45">
        <v>46252</v>
      </c>
      <c r="D2650" s="76">
        <v>1002.06229905163</v>
      </c>
      <c r="E2650" s="77">
        <v>125</v>
      </c>
      <c r="F2650" s="78">
        <v>12.3080350613767</v>
      </c>
      <c r="G2650" s="78">
        <v>12.3080350613767</v>
      </c>
      <c r="H2650" s="81">
        <v>12.2786499125717</v>
      </c>
    </row>
    <row r="2651" spans="1:8" x14ac:dyDescent="0.3">
      <c r="A2651" s="74" t="str">
        <f t="shared" si="41"/>
        <v>山东46253</v>
      </c>
      <c r="B2651" s="75" t="s">
        <v>21</v>
      </c>
      <c r="C2651" s="45">
        <v>46253</v>
      </c>
      <c r="D2651" s="76">
        <v>1002.06229905163</v>
      </c>
      <c r="E2651" s="77">
        <v>125</v>
      </c>
      <c r="F2651" s="78">
        <v>12.3080350613767</v>
      </c>
      <c r="G2651" s="78">
        <v>12.3080350613767</v>
      </c>
      <c r="H2651" s="81">
        <v>12.2786499125717</v>
      </c>
    </row>
    <row r="2652" spans="1:8" x14ac:dyDescent="0.3">
      <c r="A2652" s="74" t="str">
        <f t="shared" si="41"/>
        <v>山东46254</v>
      </c>
      <c r="B2652" s="75" t="s">
        <v>21</v>
      </c>
      <c r="C2652" s="45">
        <v>46254</v>
      </c>
      <c r="D2652" s="76">
        <v>1002.06229905163</v>
      </c>
      <c r="E2652" s="77">
        <v>125</v>
      </c>
      <c r="F2652" s="78">
        <v>12.3080350613767</v>
      </c>
      <c r="G2652" s="78">
        <v>12.3080350613767</v>
      </c>
      <c r="H2652" s="81">
        <v>12.2786499125717</v>
      </c>
    </row>
    <row r="2653" spans="1:8" x14ac:dyDescent="0.3">
      <c r="A2653" s="74" t="str">
        <f t="shared" si="41"/>
        <v>山东46255</v>
      </c>
      <c r="B2653" s="75" t="s">
        <v>21</v>
      </c>
      <c r="C2653" s="45">
        <v>46255</v>
      </c>
      <c r="D2653" s="76">
        <v>1002.06229905163</v>
      </c>
      <c r="E2653" s="77">
        <v>125</v>
      </c>
      <c r="F2653" s="78">
        <v>12.3080350613767</v>
      </c>
      <c r="G2653" s="78">
        <v>12.3080350613767</v>
      </c>
      <c r="H2653" s="81">
        <v>12.2786499125717</v>
      </c>
    </row>
    <row r="2654" spans="1:8" x14ac:dyDescent="0.3">
      <c r="A2654" s="74" t="str">
        <f t="shared" si="41"/>
        <v>山东46256</v>
      </c>
      <c r="B2654" s="75" t="s">
        <v>21</v>
      </c>
      <c r="C2654" s="45">
        <v>46256</v>
      </c>
      <c r="D2654" s="76">
        <v>1002.06229905163</v>
      </c>
      <c r="E2654" s="77">
        <v>125</v>
      </c>
      <c r="F2654" s="78">
        <v>12.3080350613767</v>
      </c>
      <c r="G2654" s="78">
        <v>12.3080350613767</v>
      </c>
      <c r="H2654" s="81">
        <v>12.2786499125717</v>
      </c>
    </row>
    <row r="2655" spans="1:8" x14ac:dyDescent="0.3">
      <c r="A2655" s="74" t="str">
        <f t="shared" si="41"/>
        <v>山东46257</v>
      </c>
      <c r="B2655" s="75" t="s">
        <v>21</v>
      </c>
      <c r="C2655" s="45">
        <v>46257</v>
      </c>
      <c r="D2655" s="76">
        <v>1002.06229905163</v>
      </c>
      <c r="E2655" s="77">
        <v>125</v>
      </c>
      <c r="F2655" s="78">
        <v>12.3080350613767</v>
      </c>
      <c r="G2655" s="78">
        <v>12.3080350613767</v>
      </c>
      <c r="H2655" s="81">
        <v>12.2786499125717</v>
      </c>
    </row>
    <row r="2656" spans="1:8" x14ac:dyDescent="0.3">
      <c r="A2656" s="74" t="str">
        <f t="shared" si="41"/>
        <v>山东46258</v>
      </c>
      <c r="B2656" s="75" t="s">
        <v>21</v>
      </c>
      <c r="C2656" s="45">
        <v>46258</v>
      </c>
      <c r="D2656" s="76">
        <v>1002.06229905163</v>
      </c>
      <c r="E2656" s="77">
        <v>125</v>
      </c>
      <c r="F2656" s="78">
        <v>12.3080350613767</v>
      </c>
      <c r="G2656" s="78">
        <v>12.3080350613767</v>
      </c>
      <c r="H2656" s="81">
        <v>12.2786499125717</v>
      </c>
    </row>
    <row r="2657" spans="1:8" x14ac:dyDescent="0.3">
      <c r="A2657" s="74" t="str">
        <f t="shared" si="41"/>
        <v>山东46259</v>
      </c>
      <c r="B2657" s="75" t="s">
        <v>21</v>
      </c>
      <c r="C2657" s="45">
        <v>46259</v>
      </c>
      <c r="D2657" s="76">
        <v>1002.06229905163</v>
      </c>
      <c r="E2657" s="77">
        <v>125</v>
      </c>
      <c r="F2657" s="78">
        <v>12.3080350613767</v>
      </c>
      <c r="G2657" s="78">
        <v>12.3080350613767</v>
      </c>
      <c r="H2657" s="81">
        <v>12.2786499125717</v>
      </c>
    </row>
    <row r="2658" spans="1:8" x14ac:dyDescent="0.3">
      <c r="A2658" s="74" t="str">
        <f t="shared" si="41"/>
        <v>山东46260</v>
      </c>
      <c r="B2658" s="75" t="s">
        <v>21</v>
      </c>
      <c r="C2658" s="45">
        <v>46260</v>
      </c>
      <c r="D2658" s="76">
        <v>1002.06229905163</v>
      </c>
      <c r="E2658" s="77">
        <v>125</v>
      </c>
      <c r="F2658" s="78">
        <v>12.3080350613767</v>
      </c>
      <c r="G2658" s="78">
        <v>12.3080350613767</v>
      </c>
      <c r="H2658" s="81">
        <v>12.2786499125717</v>
      </c>
    </row>
    <row r="2659" spans="1:8" x14ac:dyDescent="0.3">
      <c r="A2659" s="74" t="str">
        <f t="shared" si="41"/>
        <v>山东46261</v>
      </c>
      <c r="B2659" s="75" t="s">
        <v>21</v>
      </c>
      <c r="C2659" s="45">
        <v>46261</v>
      </c>
      <c r="D2659" s="76">
        <v>1002.06229905163</v>
      </c>
      <c r="E2659" s="77">
        <v>125</v>
      </c>
      <c r="F2659" s="78">
        <v>12.3080350613767</v>
      </c>
      <c r="G2659" s="78">
        <v>12.3080350613767</v>
      </c>
      <c r="H2659" s="81">
        <v>12.2786499125717</v>
      </c>
    </row>
    <row r="2660" spans="1:8" x14ac:dyDescent="0.3">
      <c r="A2660" s="74" t="str">
        <f t="shared" si="41"/>
        <v>山东46262</v>
      </c>
      <c r="B2660" s="75" t="s">
        <v>21</v>
      </c>
      <c r="C2660" s="45">
        <v>46262</v>
      </c>
      <c r="D2660" s="76">
        <v>1002.06229905163</v>
      </c>
      <c r="E2660" s="77">
        <v>125</v>
      </c>
      <c r="F2660" s="78">
        <v>12.3080350613767</v>
      </c>
      <c r="G2660" s="78">
        <v>12.3080350613767</v>
      </c>
      <c r="H2660" s="81">
        <v>12.2786499125717</v>
      </c>
    </row>
    <row r="2661" spans="1:8" x14ac:dyDescent="0.3">
      <c r="A2661" s="74" t="str">
        <f t="shared" si="41"/>
        <v>山东46263</v>
      </c>
      <c r="B2661" s="75" t="s">
        <v>21</v>
      </c>
      <c r="C2661" s="45">
        <v>46263</v>
      </c>
      <c r="D2661" s="76">
        <v>1002.06229905163</v>
      </c>
      <c r="E2661" s="77">
        <v>125</v>
      </c>
      <c r="F2661" s="78">
        <v>12.3080350613767</v>
      </c>
      <c r="G2661" s="78">
        <v>12.3080350613767</v>
      </c>
      <c r="H2661" s="81">
        <v>12.2786499125717</v>
      </c>
    </row>
    <row r="2662" spans="1:8" x14ac:dyDescent="0.3">
      <c r="A2662" s="74" t="str">
        <f t="shared" si="41"/>
        <v>山东46264</v>
      </c>
      <c r="B2662" s="75" t="s">
        <v>21</v>
      </c>
      <c r="C2662" s="45">
        <v>46264</v>
      </c>
      <c r="D2662" s="76">
        <v>1002.06229905163</v>
      </c>
      <c r="E2662" s="77">
        <v>125</v>
      </c>
      <c r="F2662" s="78">
        <v>12.3080350613767</v>
      </c>
      <c r="G2662" s="78">
        <v>12.3080350613767</v>
      </c>
      <c r="H2662" s="81">
        <v>12.2786499125717</v>
      </c>
    </row>
    <row r="2663" spans="1:8" x14ac:dyDescent="0.3">
      <c r="A2663" s="74" t="str">
        <f t="shared" si="41"/>
        <v>山东46265</v>
      </c>
      <c r="B2663" s="75" t="s">
        <v>21</v>
      </c>
      <c r="C2663" s="45">
        <v>46265</v>
      </c>
      <c r="D2663" s="76">
        <v>1002.06229905163</v>
      </c>
      <c r="E2663" s="77">
        <v>125</v>
      </c>
      <c r="F2663" s="78">
        <v>12.3080350613767</v>
      </c>
      <c r="G2663" s="78">
        <v>12.3080350613767</v>
      </c>
      <c r="H2663" s="81">
        <v>12.2786499125717</v>
      </c>
    </row>
    <row r="2664" spans="1:8" x14ac:dyDescent="0.3">
      <c r="A2664" s="74" t="str">
        <f t="shared" si="41"/>
        <v>山东46266</v>
      </c>
      <c r="B2664" s="75" t="s">
        <v>21</v>
      </c>
      <c r="C2664" s="45">
        <v>46266</v>
      </c>
      <c r="D2664" s="76">
        <v>992.60568493027802</v>
      </c>
      <c r="E2664" s="77">
        <v>125</v>
      </c>
      <c r="F2664" s="78">
        <v>12.6003253116936</v>
      </c>
      <c r="G2664" s="78">
        <v>12.6003253116936</v>
      </c>
      <c r="H2664" s="81">
        <v>12.824254372972501</v>
      </c>
    </row>
    <row r="2665" spans="1:8" x14ac:dyDescent="0.3">
      <c r="A2665" s="74" t="str">
        <f t="shared" si="41"/>
        <v>山东46267</v>
      </c>
      <c r="B2665" s="75" t="s">
        <v>21</v>
      </c>
      <c r="C2665" s="45">
        <v>46267</v>
      </c>
      <c r="D2665" s="76">
        <v>992.60568493027802</v>
      </c>
      <c r="E2665" s="77">
        <v>125</v>
      </c>
      <c r="F2665" s="78">
        <v>12.6003253116936</v>
      </c>
      <c r="G2665" s="78">
        <v>12.6003253116936</v>
      </c>
      <c r="H2665" s="81">
        <v>12.824254372972501</v>
      </c>
    </row>
    <row r="2666" spans="1:8" x14ac:dyDescent="0.3">
      <c r="A2666" s="74" t="str">
        <f t="shared" si="41"/>
        <v>山东46268</v>
      </c>
      <c r="B2666" s="75" t="s">
        <v>21</v>
      </c>
      <c r="C2666" s="45">
        <v>46268</v>
      </c>
      <c r="D2666" s="76">
        <v>992.60568493027802</v>
      </c>
      <c r="E2666" s="77">
        <v>125</v>
      </c>
      <c r="F2666" s="78">
        <v>12.6003253116936</v>
      </c>
      <c r="G2666" s="78">
        <v>12.6003253116936</v>
      </c>
      <c r="H2666" s="81">
        <v>12.824254372972501</v>
      </c>
    </row>
    <row r="2667" spans="1:8" x14ac:dyDescent="0.3">
      <c r="A2667" s="74" t="str">
        <f t="shared" si="41"/>
        <v>山东46269</v>
      </c>
      <c r="B2667" s="75" t="s">
        <v>21</v>
      </c>
      <c r="C2667" s="45">
        <v>46269</v>
      </c>
      <c r="D2667" s="76">
        <v>992.60568493027802</v>
      </c>
      <c r="E2667" s="77">
        <v>125</v>
      </c>
      <c r="F2667" s="78">
        <v>12.6003253116936</v>
      </c>
      <c r="G2667" s="78">
        <v>12.6003253116936</v>
      </c>
      <c r="H2667" s="81">
        <v>12.824254372972501</v>
      </c>
    </row>
    <row r="2668" spans="1:8" x14ac:dyDescent="0.3">
      <c r="A2668" s="74" t="str">
        <f t="shared" si="41"/>
        <v>山东46270</v>
      </c>
      <c r="B2668" s="75" t="s">
        <v>21</v>
      </c>
      <c r="C2668" s="45">
        <v>46270</v>
      </c>
      <c r="D2668" s="76">
        <v>992.60568493027802</v>
      </c>
      <c r="E2668" s="77">
        <v>125</v>
      </c>
      <c r="F2668" s="78">
        <v>12.6003253116936</v>
      </c>
      <c r="G2668" s="78">
        <v>12.6003253116936</v>
      </c>
      <c r="H2668" s="81">
        <v>12.824254372972501</v>
      </c>
    </row>
    <row r="2669" spans="1:8" x14ac:dyDescent="0.3">
      <c r="A2669" s="74" t="str">
        <f t="shared" si="41"/>
        <v>山东46271</v>
      </c>
      <c r="B2669" s="75" t="s">
        <v>21</v>
      </c>
      <c r="C2669" s="45">
        <v>46271</v>
      </c>
      <c r="D2669" s="76">
        <v>992.60568493027802</v>
      </c>
      <c r="E2669" s="77">
        <v>125</v>
      </c>
      <c r="F2669" s="78">
        <v>12.6003253116936</v>
      </c>
      <c r="G2669" s="78">
        <v>12.6003253116936</v>
      </c>
      <c r="H2669" s="81">
        <v>12.824254372972501</v>
      </c>
    </row>
    <row r="2670" spans="1:8" x14ac:dyDescent="0.3">
      <c r="A2670" s="74" t="str">
        <f t="shared" si="41"/>
        <v>山东46272</v>
      </c>
      <c r="B2670" s="75" t="s">
        <v>21</v>
      </c>
      <c r="C2670" s="45">
        <v>46272</v>
      </c>
      <c r="D2670" s="76">
        <v>992.60568493027802</v>
      </c>
      <c r="E2670" s="77">
        <v>125</v>
      </c>
      <c r="F2670" s="78">
        <v>12.6003253116936</v>
      </c>
      <c r="G2670" s="78">
        <v>12.6003253116936</v>
      </c>
      <c r="H2670" s="81">
        <v>12.824254372972501</v>
      </c>
    </row>
    <row r="2671" spans="1:8" x14ac:dyDescent="0.3">
      <c r="A2671" s="74" t="str">
        <f t="shared" si="41"/>
        <v>山东46273</v>
      </c>
      <c r="B2671" s="75" t="s">
        <v>21</v>
      </c>
      <c r="C2671" s="45">
        <v>46273</v>
      </c>
      <c r="D2671" s="76">
        <v>992.60568493027802</v>
      </c>
      <c r="E2671" s="77">
        <v>125</v>
      </c>
      <c r="F2671" s="78">
        <v>12.6003253116936</v>
      </c>
      <c r="G2671" s="78">
        <v>12.6003253116936</v>
      </c>
      <c r="H2671" s="81">
        <v>12.824254372972501</v>
      </c>
    </row>
    <row r="2672" spans="1:8" x14ac:dyDescent="0.3">
      <c r="A2672" s="74" t="str">
        <f t="shared" si="41"/>
        <v>山东46274</v>
      </c>
      <c r="B2672" s="75" t="s">
        <v>21</v>
      </c>
      <c r="C2672" s="45">
        <v>46274</v>
      </c>
      <c r="D2672" s="76">
        <v>992.60568493027802</v>
      </c>
      <c r="E2672" s="77">
        <v>125</v>
      </c>
      <c r="F2672" s="78">
        <v>12.6003253116936</v>
      </c>
      <c r="G2672" s="78">
        <v>12.6003253116936</v>
      </c>
      <c r="H2672" s="81">
        <v>12.824254372972501</v>
      </c>
    </row>
    <row r="2673" spans="1:8" x14ac:dyDescent="0.3">
      <c r="A2673" s="74" t="str">
        <f t="shared" si="41"/>
        <v>山东46275</v>
      </c>
      <c r="B2673" s="75" t="s">
        <v>21</v>
      </c>
      <c r="C2673" s="45">
        <v>46275</v>
      </c>
      <c r="D2673" s="76">
        <v>992.60568493027802</v>
      </c>
      <c r="E2673" s="77">
        <v>125</v>
      </c>
      <c r="F2673" s="78">
        <v>12.6003253116936</v>
      </c>
      <c r="G2673" s="78">
        <v>12.6003253116936</v>
      </c>
      <c r="H2673" s="81">
        <v>12.824254372972501</v>
      </c>
    </row>
    <row r="2674" spans="1:8" x14ac:dyDescent="0.3">
      <c r="A2674" s="74" t="str">
        <f t="shared" si="41"/>
        <v>山东46276</v>
      </c>
      <c r="B2674" s="75" t="s">
        <v>21</v>
      </c>
      <c r="C2674" s="45">
        <v>46276</v>
      </c>
      <c r="D2674" s="76">
        <v>992.60568493027802</v>
      </c>
      <c r="E2674" s="77">
        <v>125</v>
      </c>
      <c r="F2674" s="78">
        <v>12.6003253116936</v>
      </c>
      <c r="G2674" s="78">
        <v>12.6003253116936</v>
      </c>
      <c r="H2674" s="81">
        <v>12.824254372972501</v>
      </c>
    </row>
    <row r="2675" spans="1:8" x14ac:dyDescent="0.3">
      <c r="A2675" s="74" t="str">
        <f t="shared" si="41"/>
        <v>山东46277</v>
      </c>
      <c r="B2675" s="75" t="s">
        <v>21</v>
      </c>
      <c r="C2675" s="45">
        <v>46277</v>
      </c>
      <c r="D2675" s="76">
        <v>992.60568493027802</v>
      </c>
      <c r="E2675" s="77">
        <v>125</v>
      </c>
      <c r="F2675" s="78">
        <v>12.6003253116936</v>
      </c>
      <c r="G2675" s="78">
        <v>12.6003253116936</v>
      </c>
      <c r="H2675" s="81">
        <v>12.824254372972501</v>
      </c>
    </row>
    <row r="2676" spans="1:8" x14ac:dyDescent="0.3">
      <c r="A2676" s="74" t="str">
        <f t="shared" si="41"/>
        <v>山东46278</v>
      </c>
      <c r="B2676" s="75" t="s">
        <v>21</v>
      </c>
      <c r="C2676" s="45">
        <v>46278</v>
      </c>
      <c r="D2676" s="76">
        <v>992.60568493027802</v>
      </c>
      <c r="E2676" s="77">
        <v>125</v>
      </c>
      <c r="F2676" s="78">
        <v>12.6003253116936</v>
      </c>
      <c r="G2676" s="78">
        <v>12.6003253116936</v>
      </c>
      <c r="H2676" s="81">
        <v>12.824254372972501</v>
      </c>
    </row>
    <row r="2677" spans="1:8" x14ac:dyDescent="0.3">
      <c r="A2677" s="74" t="str">
        <f t="shared" si="41"/>
        <v>山东46279</v>
      </c>
      <c r="B2677" s="75" t="s">
        <v>21</v>
      </c>
      <c r="C2677" s="45">
        <v>46279</v>
      </c>
      <c r="D2677" s="76">
        <v>992.60568493027802</v>
      </c>
      <c r="E2677" s="77">
        <v>125</v>
      </c>
      <c r="F2677" s="78">
        <v>12.6003253116936</v>
      </c>
      <c r="G2677" s="78">
        <v>12.6003253116936</v>
      </c>
      <c r="H2677" s="81">
        <v>12.824254372972501</v>
      </c>
    </row>
    <row r="2678" spans="1:8" x14ac:dyDescent="0.3">
      <c r="A2678" s="74" t="str">
        <f t="shared" si="41"/>
        <v>山东46280</v>
      </c>
      <c r="B2678" s="75" t="s">
        <v>21</v>
      </c>
      <c r="C2678" s="45">
        <v>46280</v>
      </c>
      <c r="D2678" s="76">
        <v>992.60568493027802</v>
      </c>
      <c r="E2678" s="77">
        <v>125</v>
      </c>
      <c r="F2678" s="78">
        <v>12.6003253116936</v>
      </c>
      <c r="G2678" s="78">
        <v>12.6003253116936</v>
      </c>
      <c r="H2678" s="81">
        <v>12.824254372972501</v>
      </c>
    </row>
    <row r="2679" spans="1:8" x14ac:dyDescent="0.3">
      <c r="A2679" s="74" t="str">
        <f t="shared" si="41"/>
        <v>山东46281</v>
      </c>
      <c r="B2679" s="75" t="s">
        <v>21</v>
      </c>
      <c r="C2679" s="45">
        <v>46281</v>
      </c>
      <c r="D2679" s="76">
        <v>992.60568493027802</v>
      </c>
      <c r="E2679" s="77">
        <v>125</v>
      </c>
      <c r="F2679" s="78">
        <v>12.6003253116936</v>
      </c>
      <c r="G2679" s="78">
        <v>12.6003253116936</v>
      </c>
      <c r="H2679" s="81">
        <v>12.824254372972501</v>
      </c>
    </row>
    <row r="2680" spans="1:8" x14ac:dyDescent="0.3">
      <c r="A2680" s="74" t="str">
        <f t="shared" si="41"/>
        <v>山东46282</v>
      </c>
      <c r="B2680" s="75" t="s">
        <v>21</v>
      </c>
      <c r="C2680" s="45">
        <v>46282</v>
      </c>
      <c r="D2680" s="76">
        <v>992.60568493027802</v>
      </c>
      <c r="E2680" s="77">
        <v>125</v>
      </c>
      <c r="F2680" s="78">
        <v>12.6003253116936</v>
      </c>
      <c r="G2680" s="78">
        <v>12.6003253116936</v>
      </c>
      <c r="H2680" s="81">
        <v>12.824254372972501</v>
      </c>
    </row>
    <row r="2681" spans="1:8" x14ac:dyDescent="0.3">
      <c r="A2681" s="74" t="str">
        <f t="shared" si="41"/>
        <v>山东46283</v>
      </c>
      <c r="B2681" s="75" t="s">
        <v>21</v>
      </c>
      <c r="C2681" s="45">
        <v>46283</v>
      </c>
      <c r="D2681" s="76">
        <v>992.60568493027802</v>
      </c>
      <c r="E2681" s="77">
        <v>125</v>
      </c>
      <c r="F2681" s="78">
        <v>12.6003253116936</v>
      </c>
      <c r="G2681" s="78">
        <v>12.6003253116936</v>
      </c>
      <c r="H2681" s="81">
        <v>12.824254372972501</v>
      </c>
    </row>
    <row r="2682" spans="1:8" x14ac:dyDescent="0.3">
      <c r="A2682" s="74" t="str">
        <f t="shared" si="41"/>
        <v>山东46284</v>
      </c>
      <c r="B2682" s="75" t="s">
        <v>21</v>
      </c>
      <c r="C2682" s="45">
        <v>46284</v>
      </c>
      <c r="D2682" s="76">
        <v>992.60568493027802</v>
      </c>
      <c r="E2682" s="77">
        <v>125</v>
      </c>
      <c r="F2682" s="78">
        <v>12.6003253116936</v>
      </c>
      <c r="G2682" s="78">
        <v>12.6003253116936</v>
      </c>
      <c r="H2682" s="81">
        <v>12.824254372972501</v>
      </c>
    </row>
    <row r="2683" spans="1:8" x14ac:dyDescent="0.3">
      <c r="A2683" s="74" t="str">
        <f t="shared" si="41"/>
        <v>山东46285</v>
      </c>
      <c r="B2683" s="75" t="s">
        <v>21</v>
      </c>
      <c r="C2683" s="45">
        <v>46285</v>
      </c>
      <c r="D2683" s="76">
        <v>992.60568493027802</v>
      </c>
      <c r="E2683" s="77">
        <v>125</v>
      </c>
      <c r="F2683" s="78">
        <v>12.6003253116936</v>
      </c>
      <c r="G2683" s="78">
        <v>12.6003253116936</v>
      </c>
      <c r="H2683" s="81">
        <v>12.824254372972501</v>
      </c>
    </row>
    <row r="2684" spans="1:8" x14ac:dyDescent="0.3">
      <c r="A2684" s="74" t="str">
        <f t="shared" si="41"/>
        <v>山东46286</v>
      </c>
      <c r="B2684" s="75" t="s">
        <v>21</v>
      </c>
      <c r="C2684" s="45">
        <v>46286</v>
      </c>
      <c r="D2684" s="76">
        <v>992.60568493027802</v>
      </c>
      <c r="E2684" s="77">
        <v>125</v>
      </c>
      <c r="F2684" s="78">
        <v>12.6003253116936</v>
      </c>
      <c r="G2684" s="78">
        <v>12.6003253116936</v>
      </c>
      <c r="H2684" s="81">
        <v>12.824254372972501</v>
      </c>
    </row>
    <row r="2685" spans="1:8" x14ac:dyDescent="0.3">
      <c r="A2685" s="74" t="str">
        <f t="shared" si="41"/>
        <v>山东46287</v>
      </c>
      <c r="B2685" s="75" t="s">
        <v>21</v>
      </c>
      <c r="C2685" s="45">
        <v>46287</v>
      </c>
      <c r="D2685" s="76">
        <v>992.60568493027802</v>
      </c>
      <c r="E2685" s="77">
        <v>125</v>
      </c>
      <c r="F2685" s="78">
        <v>12.6003253116936</v>
      </c>
      <c r="G2685" s="78">
        <v>12.6003253116936</v>
      </c>
      <c r="H2685" s="81">
        <v>12.824254372972501</v>
      </c>
    </row>
    <row r="2686" spans="1:8" x14ac:dyDescent="0.3">
      <c r="A2686" s="74" t="str">
        <f t="shared" si="41"/>
        <v>山东46288</v>
      </c>
      <c r="B2686" s="75" t="s">
        <v>21</v>
      </c>
      <c r="C2686" s="45">
        <v>46288</v>
      </c>
      <c r="D2686" s="76">
        <v>992.60568493027802</v>
      </c>
      <c r="E2686" s="77">
        <v>125</v>
      </c>
      <c r="F2686" s="78">
        <v>12.6003253116936</v>
      </c>
      <c r="G2686" s="78">
        <v>12.6003253116936</v>
      </c>
      <c r="H2686" s="81">
        <v>12.824254372972501</v>
      </c>
    </row>
    <row r="2687" spans="1:8" x14ac:dyDescent="0.3">
      <c r="A2687" s="74" t="str">
        <f t="shared" si="41"/>
        <v>山东46289</v>
      </c>
      <c r="B2687" s="75" t="s">
        <v>21</v>
      </c>
      <c r="C2687" s="45">
        <v>46289</v>
      </c>
      <c r="D2687" s="76">
        <v>992.60568493027802</v>
      </c>
      <c r="E2687" s="77">
        <v>125</v>
      </c>
      <c r="F2687" s="78">
        <v>12.6003253116936</v>
      </c>
      <c r="G2687" s="78">
        <v>12.6003253116936</v>
      </c>
      <c r="H2687" s="81">
        <v>12.824254372972501</v>
      </c>
    </row>
    <row r="2688" spans="1:8" x14ac:dyDescent="0.3">
      <c r="A2688" s="74" t="str">
        <f t="shared" si="41"/>
        <v>山东46290</v>
      </c>
      <c r="B2688" s="75" t="s">
        <v>21</v>
      </c>
      <c r="C2688" s="45">
        <v>46290</v>
      </c>
      <c r="D2688" s="76">
        <v>992.60568493027802</v>
      </c>
      <c r="E2688" s="77">
        <v>125</v>
      </c>
      <c r="F2688" s="78">
        <v>12.6003253116936</v>
      </c>
      <c r="G2688" s="78">
        <v>12.6003253116936</v>
      </c>
      <c r="H2688" s="81">
        <v>12.824254372972501</v>
      </c>
    </row>
    <row r="2689" spans="1:8" x14ac:dyDescent="0.3">
      <c r="A2689" s="74" t="str">
        <f t="shared" si="41"/>
        <v>山东46291</v>
      </c>
      <c r="B2689" s="75" t="s">
        <v>21</v>
      </c>
      <c r="C2689" s="45">
        <v>46291</v>
      </c>
      <c r="D2689" s="76">
        <v>992.60568493027802</v>
      </c>
      <c r="E2689" s="77">
        <v>125</v>
      </c>
      <c r="F2689" s="78">
        <v>12.6003253116936</v>
      </c>
      <c r="G2689" s="78">
        <v>12.6003253116936</v>
      </c>
      <c r="H2689" s="81">
        <v>12.824254372972501</v>
      </c>
    </row>
    <row r="2690" spans="1:8" x14ac:dyDescent="0.3">
      <c r="A2690" s="74" t="str">
        <f t="shared" si="41"/>
        <v>山东46292</v>
      </c>
      <c r="B2690" s="75" t="s">
        <v>21</v>
      </c>
      <c r="C2690" s="45">
        <v>46292</v>
      </c>
      <c r="D2690" s="76">
        <v>992.60568493027802</v>
      </c>
      <c r="E2690" s="77">
        <v>125</v>
      </c>
      <c r="F2690" s="78">
        <v>12.6003253116936</v>
      </c>
      <c r="G2690" s="78">
        <v>12.6003253116936</v>
      </c>
      <c r="H2690" s="81">
        <v>12.824254372972501</v>
      </c>
    </row>
    <row r="2691" spans="1:8" x14ac:dyDescent="0.3">
      <c r="A2691" s="74" t="str">
        <f t="shared" ref="A2691:A2754" si="42">B2691&amp;C2691</f>
        <v>山东46293</v>
      </c>
      <c r="B2691" s="75" t="s">
        <v>21</v>
      </c>
      <c r="C2691" s="45">
        <v>46293</v>
      </c>
      <c r="D2691" s="76">
        <v>992.60568493027802</v>
      </c>
      <c r="E2691" s="77">
        <v>125</v>
      </c>
      <c r="F2691" s="78">
        <v>12.6003253116936</v>
      </c>
      <c r="G2691" s="78">
        <v>12.6003253116936</v>
      </c>
      <c r="H2691" s="81">
        <v>12.824254372972501</v>
      </c>
    </row>
    <row r="2692" spans="1:8" x14ac:dyDescent="0.3">
      <c r="A2692" s="74" t="str">
        <f t="shared" si="42"/>
        <v>山东46294</v>
      </c>
      <c r="B2692" s="75" t="s">
        <v>21</v>
      </c>
      <c r="C2692" s="45">
        <v>46294</v>
      </c>
      <c r="D2692" s="76">
        <v>992.60568493027802</v>
      </c>
      <c r="E2692" s="77">
        <v>125</v>
      </c>
      <c r="F2692" s="78">
        <v>12.6003253116936</v>
      </c>
      <c r="G2692" s="78">
        <v>12.6003253116936</v>
      </c>
      <c r="H2692" s="81">
        <v>12.824254372972501</v>
      </c>
    </row>
    <row r="2693" spans="1:8" x14ac:dyDescent="0.3">
      <c r="A2693" s="74" t="str">
        <f t="shared" si="42"/>
        <v>山东46295</v>
      </c>
      <c r="B2693" s="75" t="s">
        <v>21</v>
      </c>
      <c r="C2693" s="45">
        <v>46295</v>
      </c>
      <c r="D2693" s="76">
        <v>992.60568493027802</v>
      </c>
      <c r="E2693" s="77">
        <v>125</v>
      </c>
      <c r="F2693" s="78">
        <v>12.6003253116936</v>
      </c>
      <c r="G2693" s="78">
        <v>12.6003253116936</v>
      </c>
      <c r="H2693" s="81">
        <v>12.824254372972501</v>
      </c>
    </row>
    <row r="2694" spans="1:8" x14ac:dyDescent="0.3">
      <c r="A2694" s="74" t="str">
        <f t="shared" si="42"/>
        <v>山东46296</v>
      </c>
      <c r="B2694" s="75" t="s">
        <v>21</v>
      </c>
      <c r="C2694" s="45">
        <v>46296</v>
      </c>
      <c r="D2694" s="76">
        <v>970.986098717093</v>
      </c>
      <c r="E2694" s="77">
        <v>125</v>
      </c>
      <c r="F2694" s="78">
        <v>12.815887546783401</v>
      </c>
      <c r="G2694" s="78">
        <v>12.815887546783401</v>
      </c>
      <c r="H2694" s="81">
        <v>12.900740979570701</v>
      </c>
    </row>
    <row r="2695" spans="1:8" x14ac:dyDescent="0.3">
      <c r="A2695" s="74" t="str">
        <f t="shared" si="42"/>
        <v>山东46297</v>
      </c>
      <c r="B2695" s="75" t="s">
        <v>21</v>
      </c>
      <c r="C2695" s="45">
        <v>46297</v>
      </c>
      <c r="D2695" s="76">
        <v>970.986098717093</v>
      </c>
      <c r="E2695" s="77">
        <v>125</v>
      </c>
      <c r="F2695" s="78">
        <v>12.815887546783401</v>
      </c>
      <c r="G2695" s="78">
        <v>12.815887546783401</v>
      </c>
      <c r="H2695" s="81">
        <v>12.900740979570701</v>
      </c>
    </row>
    <row r="2696" spans="1:8" x14ac:dyDescent="0.3">
      <c r="A2696" s="74" t="str">
        <f t="shared" si="42"/>
        <v>山东46298</v>
      </c>
      <c r="B2696" s="75" t="s">
        <v>21</v>
      </c>
      <c r="C2696" s="45">
        <v>46298</v>
      </c>
      <c r="D2696" s="76">
        <v>970.986098717093</v>
      </c>
      <c r="E2696" s="77">
        <v>125</v>
      </c>
      <c r="F2696" s="78">
        <v>12.815887546783401</v>
      </c>
      <c r="G2696" s="78">
        <v>12.815887546783401</v>
      </c>
      <c r="H2696" s="81">
        <v>12.900740979570701</v>
      </c>
    </row>
    <row r="2697" spans="1:8" x14ac:dyDescent="0.3">
      <c r="A2697" s="74" t="str">
        <f t="shared" si="42"/>
        <v>山东46299</v>
      </c>
      <c r="B2697" s="75" t="s">
        <v>21</v>
      </c>
      <c r="C2697" s="45">
        <v>46299</v>
      </c>
      <c r="D2697" s="76">
        <v>970.986098717093</v>
      </c>
      <c r="E2697" s="77">
        <v>125</v>
      </c>
      <c r="F2697" s="78">
        <v>12.815887546783401</v>
      </c>
      <c r="G2697" s="78">
        <v>12.815887546783401</v>
      </c>
      <c r="H2697" s="81">
        <v>12.900740979570701</v>
      </c>
    </row>
    <row r="2698" spans="1:8" x14ac:dyDescent="0.3">
      <c r="A2698" s="74" t="str">
        <f t="shared" si="42"/>
        <v>山东46300</v>
      </c>
      <c r="B2698" s="75" t="s">
        <v>21</v>
      </c>
      <c r="C2698" s="45">
        <v>46300</v>
      </c>
      <c r="D2698" s="76">
        <v>970.986098717093</v>
      </c>
      <c r="E2698" s="77">
        <v>125</v>
      </c>
      <c r="F2698" s="78">
        <v>12.815887546783401</v>
      </c>
      <c r="G2698" s="78">
        <v>12.815887546783401</v>
      </c>
      <c r="H2698" s="81">
        <v>12.900740979570701</v>
      </c>
    </row>
    <row r="2699" spans="1:8" x14ac:dyDescent="0.3">
      <c r="A2699" s="74" t="str">
        <f t="shared" si="42"/>
        <v>山东46301</v>
      </c>
      <c r="B2699" s="75" t="s">
        <v>21</v>
      </c>
      <c r="C2699" s="45">
        <v>46301</v>
      </c>
      <c r="D2699" s="76">
        <v>970.986098717093</v>
      </c>
      <c r="E2699" s="77">
        <v>125</v>
      </c>
      <c r="F2699" s="78">
        <v>12.815887546783401</v>
      </c>
      <c r="G2699" s="78">
        <v>12.815887546783401</v>
      </c>
      <c r="H2699" s="81">
        <v>12.900740979570701</v>
      </c>
    </row>
    <row r="2700" spans="1:8" x14ac:dyDescent="0.3">
      <c r="A2700" s="74" t="str">
        <f t="shared" si="42"/>
        <v>山东46302</v>
      </c>
      <c r="B2700" s="75" t="s">
        <v>21</v>
      </c>
      <c r="C2700" s="45">
        <v>46302</v>
      </c>
      <c r="D2700" s="76">
        <v>970.986098717093</v>
      </c>
      <c r="E2700" s="77">
        <v>125</v>
      </c>
      <c r="F2700" s="78">
        <v>12.815887546783401</v>
      </c>
      <c r="G2700" s="78">
        <v>12.815887546783401</v>
      </c>
      <c r="H2700" s="81">
        <v>12.900740979570701</v>
      </c>
    </row>
    <row r="2701" spans="1:8" x14ac:dyDescent="0.3">
      <c r="A2701" s="74" t="str">
        <f t="shared" si="42"/>
        <v>山东46303</v>
      </c>
      <c r="B2701" s="75" t="s">
        <v>21</v>
      </c>
      <c r="C2701" s="45">
        <v>46303</v>
      </c>
      <c r="D2701" s="76">
        <v>970.986098717093</v>
      </c>
      <c r="E2701" s="77">
        <v>125</v>
      </c>
      <c r="F2701" s="78">
        <v>12.815887546783401</v>
      </c>
      <c r="G2701" s="78">
        <v>12.815887546783401</v>
      </c>
      <c r="H2701" s="81">
        <v>12.900740979570701</v>
      </c>
    </row>
    <row r="2702" spans="1:8" x14ac:dyDescent="0.3">
      <c r="A2702" s="74" t="str">
        <f t="shared" si="42"/>
        <v>山东46304</v>
      </c>
      <c r="B2702" s="75" t="s">
        <v>21</v>
      </c>
      <c r="C2702" s="45">
        <v>46304</v>
      </c>
      <c r="D2702" s="76">
        <v>970.986098717093</v>
      </c>
      <c r="E2702" s="77">
        <v>125</v>
      </c>
      <c r="F2702" s="78">
        <v>12.815887546783401</v>
      </c>
      <c r="G2702" s="78">
        <v>12.815887546783401</v>
      </c>
      <c r="H2702" s="81">
        <v>12.900740979570701</v>
      </c>
    </row>
    <row r="2703" spans="1:8" x14ac:dyDescent="0.3">
      <c r="A2703" s="74" t="str">
        <f t="shared" si="42"/>
        <v>山东46305</v>
      </c>
      <c r="B2703" s="75" t="s">
        <v>21</v>
      </c>
      <c r="C2703" s="45">
        <v>46305</v>
      </c>
      <c r="D2703" s="76">
        <v>970.986098717093</v>
      </c>
      <c r="E2703" s="77">
        <v>125</v>
      </c>
      <c r="F2703" s="78">
        <v>12.815887546783401</v>
      </c>
      <c r="G2703" s="78">
        <v>12.815887546783401</v>
      </c>
      <c r="H2703" s="81">
        <v>12.900740979570701</v>
      </c>
    </row>
    <row r="2704" spans="1:8" x14ac:dyDescent="0.3">
      <c r="A2704" s="74" t="str">
        <f t="shared" si="42"/>
        <v>山东46306</v>
      </c>
      <c r="B2704" s="75" t="s">
        <v>21</v>
      </c>
      <c r="C2704" s="45">
        <v>46306</v>
      </c>
      <c r="D2704" s="76">
        <v>970.986098717093</v>
      </c>
      <c r="E2704" s="77">
        <v>125</v>
      </c>
      <c r="F2704" s="78">
        <v>12.815887546783401</v>
      </c>
      <c r="G2704" s="78">
        <v>12.815887546783401</v>
      </c>
      <c r="H2704" s="81">
        <v>12.900740979570701</v>
      </c>
    </row>
    <row r="2705" spans="1:8" x14ac:dyDescent="0.3">
      <c r="A2705" s="74" t="str">
        <f t="shared" si="42"/>
        <v>山东46307</v>
      </c>
      <c r="B2705" s="75" t="s">
        <v>21</v>
      </c>
      <c r="C2705" s="45">
        <v>46307</v>
      </c>
      <c r="D2705" s="76">
        <v>970.986098717093</v>
      </c>
      <c r="E2705" s="77">
        <v>125</v>
      </c>
      <c r="F2705" s="78">
        <v>12.815887546783401</v>
      </c>
      <c r="G2705" s="78">
        <v>12.815887546783401</v>
      </c>
      <c r="H2705" s="81">
        <v>12.900740979570701</v>
      </c>
    </row>
    <row r="2706" spans="1:8" x14ac:dyDescent="0.3">
      <c r="A2706" s="74" t="str">
        <f t="shared" si="42"/>
        <v>山东46308</v>
      </c>
      <c r="B2706" s="75" t="s">
        <v>21</v>
      </c>
      <c r="C2706" s="45">
        <v>46308</v>
      </c>
      <c r="D2706" s="76">
        <v>970.986098717093</v>
      </c>
      <c r="E2706" s="77">
        <v>125</v>
      </c>
      <c r="F2706" s="78">
        <v>12.815887546783401</v>
      </c>
      <c r="G2706" s="78">
        <v>12.815887546783401</v>
      </c>
      <c r="H2706" s="81">
        <v>12.900740979570701</v>
      </c>
    </row>
    <row r="2707" spans="1:8" x14ac:dyDescent="0.3">
      <c r="A2707" s="74" t="str">
        <f t="shared" si="42"/>
        <v>山东46309</v>
      </c>
      <c r="B2707" s="75" t="s">
        <v>21</v>
      </c>
      <c r="C2707" s="45">
        <v>46309</v>
      </c>
      <c r="D2707" s="76">
        <v>970.986098717093</v>
      </c>
      <c r="E2707" s="77">
        <v>125</v>
      </c>
      <c r="F2707" s="78">
        <v>12.815887546783401</v>
      </c>
      <c r="G2707" s="78">
        <v>12.815887546783401</v>
      </c>
      <c r="H2707" s="81">
        <v>12.900740979570701</v>
      </c>
    </row>
    <row r="2708" spans="1:8" x14ac:dyDescent="0.3">
      <c r="A2708" s="74" t="str">
        <f t="shared" si="42"/>
        <v>山东46310</v>
      </c>
      <c r="B2708" s="75" t="s">
        <v>21</v>
      </c>
      <c r="C2708" s="45">
        <v>46310</v>
      </c>
      <c r="D2708" s="76">
        <v>970.986098717093</v>
      </c>
      <c r="E2708" s="77">
        <v>125</v>
      </c>
      <c r="F2708" s="78">
        <v>12.815887546783401</v>
      </c>
      <c r="G2708" s="78">
        <v>12.815887546783401</v>
      </c>
      <c r="H2708" s="81">
        <v>12.900740979570701</v>
      </c>
    </row>
    <row r="2709" spans="1:8" x14ac:dyDescent="0.3">
      <c r="A2709" s="74" t="str">
        <f t="shared" si="42"/>
        <v>山东46311</v>
      </c>
      <c r="B2709" s="75" t="s">
        <v>21</v>
      </c>
      <c r="C2709" s="45">
        <v>46311</v>
      </c>
      <c r="D2709" s="76">
        <v>970.986098717093</v>
      </c>
      <c r="E2709" s="77">
        <v>125</v>
      </c>
      <c r="F2709" s="78">
        <v>12.815887546783401</v>
      </c>
      <c r="G2709" s="78">
        <v>12.815887546783401</v>
      </c>
      <c r="H2709" s="81">
        <v>12.900740979570701</v>
      </c>
    </row>
    <row r="2710" spans="1:8" x14ac:dyDescent="0.3">
      <c r="A2710" s="74" t="str">
        <f t="shared" si="42"/>
        <v>山东46312</v>
      </c>
      <c r="B2710" s="75" t="s">
        <v>21</v>
      </c>
      <c r="C2710" s="45">
        <v>46312</v>
      </c>
      <c r="D2710" s="76">
        <v>970.986098717093</v>
      </c>
      <c r="E2710" s="77">
        <v>125</v>
      </c>
      <c r="F2710" s="78">
        <v>12.815887546783401</v>
      </c>
      <c r="G2710" s="78">
        <v>12.815887546783401</v>
      </c>
      <c r="H2710" s="81">
        <v>12.900740979570701</v>
      </c>
    </row>
    <row r="2711" spans="1:8" x14ac:dyDescent="0.3">
      <c r="A2711" s="74" t="str">
        <f t="shared" si="42"/>
        <v>山东46313</v>
      </c>
      <c r="B2711" s="75" t="s">
        <v>21</v>
      </c>
      <c r="C2711" s="45">
        <v>46313</v>
      </c>
      <c r="D2711" s="76">
        <v>970.986098717093</v>
      </c>
      <c r="E2711" s="77">
        <v>125</v>
      </c>
      <c r="F2711" s="78">
        <v>12.815887546783401</v>
      </c>
      <c r="G2711" s="78">
        <v>12.815887546783401</v>
      </c>
      <c r="H2711" s="81">
        <v>12.900740979570701</v>
      </c>
    </row>
    <row r="2712" spans="1:8" x14ac:dyDescent="0.3">
      <c r="A2712" s="74" t="str">
        <f t="shared" si="42"/>
        <v>山东46314</v>
      </c>
      <c r="B2712" s="75" t="s">
        <v>21</v>
      </c>
      <c r="C2712" s="45">
        <v>46314</v>
      </c>
      <c r="D2712" s="76">
        <v>970.986098717093</v>
      </c>
      <c r="E2712" s="77">
        <v>125</v>
      </c>
      <c r="F2712" s="78">
        <v>12.815887546783401</v>
      </c>
      <c r="G2712" s="78">
        <v>12.815887546783401</v>
      </c>
      <c r="H2712" s="81">
        <v>12.900740979570701</v>
      </c>
    </row>
    <row r="2713" spans="1:8" x14ac:dyDescent="0.3">
      <c r="A2713" s="74" t="str">
        <f t="shared" si="42"/>
        <v>山东46315</v>
      </c>
      <c r="B2713" s="75" t="s">
        <v>21</v>
      </c>
      <c r="C2713" s="45">
        <v>46315</v>
      </c>
      <c r="D2713" s="76">
        <v>970.986098717093</v>
      </c>
      <c r="E2713" s="77">
        <v>125</v>
      </c>
      <c r="F2713" s="78">
        <v>12.815887546783401</v>
      </c>
      <c r="G2713" s="78">
        <v>12.815887546783401</v>
      </c>
      <c r="H2713" s="81">
        <v>12.900740979570701</v>
      </c>
    </row>
    <row r="2714" spans="1:8" x14ac:dyDescent="0.3">
      <c r="A2714" s="74" t="str">
        <f t="shared" si="42"/>
        <v>山东46316</v>
      </c>
      <c r="B2714" s="75" t="s">
        <v>21</v>
      </c>
      <c r="C2714" s="45">
        <v>46316</v>
      </c>
      <c r="D2714" s="76">
        <v>970.986098717093</v>
      </c>
      <c r="E2714" s="77">
        <v>125</v>
      </c>
      <c r="F2714" s="78">
        <v>12.815887546783401</v>
      </c>
      <c r="G2714" s="78">
        <v>12.815887546783401</v>
      </c>
      <c r="H2714" s="81">
        <v>12.900740979570701</v>
      </c>
    </row>
    <row r="2715" spans="1:8" x14ac:dyDescent="0.3">
      <c r="A2715" s="74" t="str">
        <f t="shared" si="42"/>
        <v>山东46317</v>
      </c>
      <c r="B2715" s="75" t="s">
        <v>21</v>
      </c>
      <c r="C2715" s="45">
        <v>46317</v>
      </c>
      <c r="D2715" s="76">
        <v>970.986098717093</v>
      </c>
      <c r="E2715" s="77">
        <v>125</v>
      </c>
      <c r="F2715" s="78">
        <v>12.815887546783401</v>
      </c>
      <c r="G2715" s="78">
        <v>12.815887546783401</v>
      </c>
      <c r="H2715" s="81">
        <v>12.900740979570701</v>
      </c>
    </row>
    <row r="2716" spans="1:8" x14ac:dyDescent="0.3">
      <c r="A2716" s="74" t="str">
        <f t="shared" si="42"/>
        <v>山东46318</v>
      </c>
      <c r="B2716" s="75" t="s">
        <v>21</v>
      </c>
      <c r="C2716" s="45">
        <v>46318</v>
      </c>
      <c r="D2716" s="76">
        <v>970.986098717093</v>
      </c>
      <c r="E2716" s="77">
        <v>125</v>
      </c>
      <c r="F2716" s="78">
        <v>12.815887546783401</v>
      </c>
      <c r="G2716" s="78">
        <v>12.815887546783401</v>
      </c>
      <c r="H2716" s="81">
        <v>12.900740979570701</v>
      </c>
    </row>
    <row r="2717" spans="1:8" x14ac:dyDescent="0.3">
      <c r="A2717" s="74" t="str">
        <f t="shared" si="42"/>
        <v>山东46319</v>
      </c>
      <c r="B2717" s="75" t="s">
        <v>21</v>
      </c>
      <c r="C2717" s="45">
        <v>46319</v>
      </c>
      <c r="D2717" s="76">
        <v>970.986098717093</v>
      </c>
      <c r="E2717" s="77">
        <v>125</v>
      </c>
      <c r="F2717" s="78">
        <v>12.815887546783401</v>
      </c>
      <c r="G2717" s="78">
        <v>12.815887546783401</v>
      </c>
      <c r="H2717" s="81">
        <v>12.900740979570701</v>
      </c>
    </row>
    <row r="2718" spans="1:8" x14ac:dyDescent="0.3">
      <c r="A2718" s="74" t="str">
        <f t="shared" si="42"/>
        <v>山东46320</v>
      </c>
      <c r="B2718" s="75" t="s">
        <v>21</v>
      </c>
      <c r="C2718" s="45">
        <v>46320</v>
      </c>
      <c r="D2718" s="76">
        <v>970.986098717093</v>
      </c>
      <c r="E2718" s="77">
        <v>125</v>
      </c>
      <c r="F2718" s="78">
        <v>12.815887546783401</v>
      </c>
      <c r="G2718" s="78">
        <v>12.815887546783401</v>
      </c>
      <c r="H2718" s="81">
        <v>12.900740979570701</v>
      </c>
    </row>
    <row r="2719" spans="1:8" x14ac:dyDescent="0.3">
      <c r="A2719" s="74" t="str">
        <f t="shared" si="42"/>
        <v>山东46321</v>
      </c>
      <c r="B2719" s="75" t="s">
        <v>21</v>
      </c>
      <c r="C2719" s="45">
        <v>46321</v>
      </c>
      <c r="D2719" s="76">
        <v>970.986098717093</v>
      </c>
      <c r="E2719" s="77">
        <v>125</v>
      </c>
      <c r="F2719" s="78">
        <v>12.815887546783401</v>
      </c>
      <c r="G2719" s="78">
        <v>12.815887546783401</v>
      </c>
      <c r="H2719" s="81">
        <v>12.900740979570701</v>
      </c>
    </row>
    <row r="2720" spans="1:8" x14ac:dyDescent="0.3">
      <c r="A2720" s="74" t="str">
        <f t="shared" si="42"/>
        <v>山东46322</v>
      </c>
      <c r="B2720" s="75" t="s">
        <v>21</v>
      </c>
      <c r="C2720" s="45">
        <v>46322</v>
      </c>
      <c r="D2720" s="76">
        <v>970.986098717093</v>
      </c>
      <c r="E2720" s="77">
        <v>125</v>
      </c>
      <c r="F2720" s="78">
        <v>12.815887546783401</v>
      </c>
      <c r="G2720" s="78">
        <v>12.815887546783401</v>
      </c>
      <c r="H2720" s="81">
        <v>12.900740979570701</v>
      </c>
    </row>
    <row r="2721" spans="1:8" x14ac:dyDescent="0.3">
      <c r="A2721" s="74" t="str">
        <f t="shared" si="42"/>
        <v>山东46323</v>
      </c>
      <c r="B2721" s="75" t="s">
        <v>21</v>
      </c>
      <c r="C2721" s="45">
        <v>46323</v>
      </c>
      <c r="D2721" s="76">
        <v>970.986098717093</v>
      </c>
      <c r="E2721" s="77">
        <v>125</v>
      </c>
      <c r="F2721" s="78">
        <v>12.815887546783401</v>
      </c>
      <c r="G2721" s="78">
        <v>12.815887546783401</v>
      </c>
      <c r="H2721" s="81">
        <v>12.900740979570701</v>
      </c>
    </row>
    <row r="2722" spans="1:8" x14ac:dyDescent="0.3">
      <c r="A2722" s="74" t="str">
        <f t="shared" si="42"/>
        <v>山东46324</v>
      </c>
      <c r="B2722" s="75" t="s">
        <v>21</v>
      </c>
      <c r="C2722" s="45">
        <v>46324</v>
      </c>
      <c r="D2722" s="76">
        <v>970.986098717093</v>
      </c>
      <c r="E2722" s="77">
        <v>125</v>
      </c>
      <c r="F2722" s="78">
        <v>12.815887546783401</v>
      </c>
      <c r="G2722" s="78">
        <v>12.815887546783401</v>
      </c>
      <c r="H2722" s="81">
        <v>12.900740979570701</v>
      </c>
    </row>
    <row r="2723" spans="1:8" x14ac:dyDescent="0.3">
      <c r="A2723" s="74" t="str">
        <f t="shared" si="42"/>
        <v>山东46325</v>
      </c>
      <c r="B2723" s="75" t="s">
        <v>21</v>
      </c>
      <c r="C2723" s="45">
        <v>46325</v>
      </c>
      <c r="D2723" s="76">
        <v>970.986098717093</v>
      </c>
      <c r="E2723" s="77">
        <v>125</v>
      </c>
      <c r="F2723" s="78">
        <v>12.815887546783401</v>
      </c>
      <c r="G2723" s="78">
        <v>12.815887546783401</v>
      </c>
      <c r="H2723" s="81">
        <v>12.900740979570701</v>
      </c>
    </row>
    <row r="2724" spans="1:8" x14ac:dyDescent="0.3">
      <c r="A2724" s="74" t="str">
        <f t="shared" si="42"/>
        <v>山东46326</v>
      </c>
      <c r="B2724" s="75" t="s">
        <v>21</v>
      </c>
      <c r="C2724" s="45">
        <v>46326</v>
      </c>
      <c r="D2724" s="76">
        <v>970.986098717093</v>
      </c>
      <c r="E2724" s="77">
        <v>125</v>
      </c>
      <c r="F2724" s="78">
        <v>12.815887546783401</v>
      </c>
      <c r="G2724" s="78">
        <v>12.815887546783401</v>
      </c>
      <c r="H2724" s="81">
        <v>12.900740979570701</v>
      </c>
    </row>
    <row r="2725" spans="1:8" x14ac:dyDescent="0.3">
      <c r="A2725" s="74" t="str">
        <f t="shared" si="42"/>
        <v>山东46327</v>
      </c>
      <c r="B2725" s="75" t="s">
        <v>21</v>
      </c>
      <c r="C2725" s="45">
        <v>46327</v>
      </c>
      <c r="D2725" s="76">
        <v>1011.32569663292</v>
      </c>
      <c r="E2725" s="77">
        <v>125</v>
      </c>
      <c r="F2725" s="78">
        <v>13.113040687620501</v>
      </c>
      <c r="G2725" s="78">
        <v>13.113040687620501</v>
      </c>
      <c r="H2725" s="81">
        <v>12.977227586169001</v>
      </c>
    </row>
    <row r="2726" spans="1:8" x14ac:dyDescent="0.3">
      <c r="A2726" s="74" t="str">
        <f t="shared" si="42"/>
        <v>山东46328</v>
      </c>
      <c r="B2726" s="75" t="s">
        <v>21</v>
      </c>
      <c r="C2726" s="45">
        <v>46328</v>
      </c>
      <c r="D2726" s="76">
        <v>1011.32569663292</v>
      </c>
      <c r="E2726" s="77">
        <v>125</v>
      </c>
      <c r="F2726" s="78">
        <v>13.113040687620501</v>
      </c>
      <c r="G2726" s="78">
        <v>13.113040687620501</v>
      </c>
      <c r="H2726" s="81">
        <v>12.977227586169001</v>
      </c>
    </row>
    <row r="2727" spans="1:8" x14ac:dyDescent="0.3">
      <c r="A2727" s="74" t="str">
        <f t="shared" si="42"/>
        <v>山东46329</v>
      </c>
      <c r="B2727" s="75" t="s">
        <v>21</v>
      </c>
      <c r="C2727" s="45">
        <v>46329</v>
      </c>
      <c r="D2727" s="76">
        <v>1011.32569663292</v>
      </c>
      <c r="E2727" s="77">
        <v>125</v>
      </c>
      <c r="F2727" s="78">
        <v>13.113040687620501</v>
      </c>
      <c r="G2727" s="78">
        <v>13.113040687620501</v>
      </c>
      <c r="H2727" s="81">
        <v>12.977227586169001</v>
      </c>
    </row>
    <row r="2728" spans="1:8" x14ac:dyDescent="0.3">
      <c r="A2728" s="74" t="str">
        <f t="shared" si="42"/>
        <v>山东46330</v>
      </c>
      <c r="B2728" s="75" t="s">
        <v>21</v>
      </c>
      <c r="C2728" s="45">
        <v>46330</v>
      </c>
      <c r="D2728" s="76">
        <v>1011.32569663292</v>
      </c>
      <c r="E2728" s="77">
        <v>125</v>
      </c>
      <c r="F2728" s="78">
        <v>13.113040687620501</v>
      </c>
      <c r="G2728" s="78">
        <v>13.113040687620501</v>
      </c>
      <c r="H2728" s="81">
        <v>12.977227586169001</v>
      </c>
    </row>
    <row r="2729" spans="1:8" x14ac:dyDescent="0.3">
      <c r="A2729" s="74" t="str">
        <f t="shared" si="42"/>
        <v>山东46331</v>
      </c>
      <c r="B2729" s="75" t="s">
        <v>21</v>
      </c>
      <c r="C2729" s="45">
        <v>46331</v>
      </c>
      <c r="D2729" s="76">
        <v>1011.32569663292</v>
      </c>
      <c r="E2729" s="77">
        <v>125</v>
      </c>
      <c r="F2729" s="78">
        <v>13.113040687620501</v>
      </c>
      <c r="G2729" s="78">
        <v>13.113040687620501</v>
      </c>
      <c r="H2729" s="81">
        <v>12.977227586169001</v>
      </c>
    </row>
    <row r="2730" spans="1:8" x14ac:dyDescent="0.3">
      <c r="A2730" s="74" t="str">
        <f t="shared" si="42"/>
        <v>山东46332</v>
      </c>
      <c r="B2730" s="75" t="s">
        <v>21</v>
      </c>
      <c r="C2730" s="45">
        <v>46332</v>
      </c>
      <c r="D2730" s="76">
        <v>1011.32569663292</v>
      </c>
      <c r="E2730" s="77">
        <v>125</v>
      </c>
      <c r="F2730" s="78">
        <v>13.113040687620501</v>
      </c>
      <c r="G2730" s="78">
        <v>13.113040687620501</v>
      </c>
      <c r="H2730" s="81">
        <v>12.977227586169001</v>
      </c>
    </row>
    <row r="2731" spans="1:8" x14ac:dyDescent="0.3">
      <c r="A2731" s="74" t="str">
        <f t="shared" si="42"/>
        <v>山东46333</v>
      </c>
      <c r="B2731" s="75" t="s">
        <v>21</v>
      </c>
      <c r="C2731" s="45">
        <v>46333</v>
      </c>
      <c r="D2731" s="76">
        <v>1011.32569663292</v>
      </c>
      <c r="E2731" s="77">
        <v>125</v>
      </c>
      <c r="F2731" s="78">
        <v>13.113040687620501</v>
      </c>
      <c r="G2731" s="78">
        <v>13.113040687620501</v>
      </c>
      <c r="H2731" s="81">
        <v>12.977227586169001</v>
      </c>
    </row>
    <row r="2732" spans="1:8" x14ac:dyDescent="0.3">
      <c r="A2732" s="74" t="str">
        <f t="shared" si="42"/>
        <v>山东46334</v>
      </c>
      <c r="B2732" s="75" t="s">
        <v>21</v>
      </c>
      <c r="C2732" s="45">
        <v>46334</v>
      </c>
      <c r="D2732" s="76">
        <v>1011.32569663292</v>
      </c>
      <c r="E2732" s="77">
        <v>125</v>
      </c>
      <c r="F2732" s="78">
        <v>13.113040687620501</v>
      </c>
      <c r="G2732" s="78">
        <v>13.113040687620501</v>
      </c>
      <c r="H2732" s="81">
        <v>12.977227586169001</v>
      </c>
    </row>
    <row r="2733" spans="1:8" x14ac:dyDescent="0.3">
      <c r="A2733" s="74" t="str">
        <f t="shared" si="42"/>
        <v>山东46335</v>
      </c>
      <c r="B2733" s="75" t="s">
        <v>21</v>
      </c>
      <c r="C2733" s="45">
        <v>46335</v>
      </c>
      <c r="D2733" s="76">
        <v>1011.32569663292</v>
      </c>
      <c r="E2733" s="77">
        <v>125</v>
      </c>
      <c r="F2733" s="78">
        <v>13.113040687620501</v>
      </c>
      <c r="G2733" s="78">
        <v>13.113040687620501</v>
      </c>
      <c r="H2733" s="81">
        <v>12.977227586169001</v>
      </c>
    </row>
    <row r="2734" spans="1:8" x14ac:dyDescent="0.3">
      <c r="A2734" s="74" t="str">
        <f t="shared" si="42"/>
        <v>山东46336</v>
      </c>
      <c r="B2734" s="75" t="s">
        <v>21</v>
      </c>
      <c r="C2734" s="45">
        <v>46336</v>
      </c>
      <c r="D2734" s="76">
        <v>1011.32569663292</v>
      </c>
      <c r="E2734" s="77">
        <v>125</v>
      </c>
      <c r="F2734" s="78">
        <v>13.113040687620501</v>
      </c>
      <c r="G2734" s="78">
        <v>13.113040687620501</v>
      </c>
      <c r="H2734" s="81">
        <v>12.977227586169001</v>
      </c>
    </row>
    <row r="2735" spans="1:8" x14ac:dyDescent="0.3">
      <c r="A2735" s="74" t="str">
        <f t="shared" si="42"/>
        <v>山东46337</v>
      </c>
      <c r="B2735" s="75" t="s">
        <v>21</v>
      </c>
      <c r="C2735" s="45">
        <v>46337</v>
      </c>
      <c r="D2735" s="76">
        <v>1011.32569663292</v>
      </c>
      <c r="E2735" s="77">
        <v>125</v>
      </c>
      <c r="F2735" s="78">
        <v>13.113040687620501</v>
      </c>
      <c r="G2735" s="78">
        <v>13.113040687620501</v>
      </c>
      <c r="H2735" s="81">
        <v>12.977227586169001</v>
      </c>
    </row>
    <row r="2736" spans="1:8" x14ac:dyDescent="0.3">
      <c r="A2736" s="74" t="str">
        <f t="shared" si="42"/>
        <v>山东46338</v>
      </c>
      <c r="B2736" s="75" t="s">
        <v>21</v>
      </c>
      <c r="C2736" s="45">
        <v>46338</v>
      </c>
      <c r="D2736" s="76">
        <v>1011.32569663292</v>
      </c>
      <c r="E2736" s="77">
        <v>125</v>
      </c>
      <c r="F2736" s="78">
        <v>13.113040687620501</v>
      </c>
      <c r="G2736" s="78">
        <v>13.113040687620501</v>
      </c>
      <c r="H2736" s="81">
        <v>12.977227586169001</v>
      </c>
    </row>
    <row r="2737" spans="1:8" x14ac:dyDescent="0.3">
      <c r="A2737" s="74" t="str">
        <f t="shared" si="42"/>
        <v>山东46339</v>
      </c>
      <c r="B2737" s="75" t="s">
        <v>21</v>
      </c>
      <c r="C2737" s="45">
        <v>46339</v>
      </c>
      <c r="D2737" s="76">
        <v>1011.32569663292</v>
      </c>
      <c r="E2737" s="77">
        <v>125</v>
      </c>
      <c r="F2737" s="78">
        <v>13.113040687620501</v>
      </c>
      <c r="G2737" s="78">
        <v>13.113040687620501</v>
      </c>
      <c r="H2737" s="81">
        <v>12.977227586169001</v>
      </c>
    </row>
    <row r="2738" spans="1:8" x14ac:dyDescent="0.3">
      <c r="A2738" s="74" t="str">
        <f t="shared" si="42"/>
        <v>山东46340</v>
      </c>
      <c r="B2738" s="75" t="s">
        <v>21</v>
      </c>
      <c r="C2738" s="45">
        <v>46340</v>
      </c>
      <c r="D2738" s="76">
        <v>1011.32569663292</v>
      </c>
      <c r="E2738" s="77">
        <v>125</v>
      </c>
      <c r="F2738" s="78">
        <v>13.113040687620501</v>
      </c>
      <c r="G2738" s="78">
        <v>13.113040687620501</v>
      </c>
      <c r="H2738" s="81">
        <v>12.977227586169001</v>
      </c>
    </row>
    <row r="2739" spans="1:8" x14ac:dyDescent="0.3">
      <c r="A2739" s="74" t="str">
        <f t="shared" si="42"/>
        <v>山东46341</v>
      </c>
      <c r="B2739" s="75" t="s">
        <v>21</v>
      </c>
      <c r="C2739" s="45">
        <v>46341</v>
      </c>
      <c r="D2739" s="76">
        <v>1011.32569663292</v>
      </c>
      <c r="E2739" s="77">
        <v>125</v>
      </c>
      <c r="F2739" s="78">
        <v>13.113040687620501</v>
      </c>
      <c r="G2739" s="78">
        <v>13.113040687620501</v>
      </c>
      <c r="H2739" s="81">
        <v>12.977227586169001</v>
      </c>
    </row>
    <row r="2740" spans="1:8" x14ac:dyDescent="0.3">
      <c r="A2740" s="74" t="str">
        <f t="shared" si="42"/>
        <v>山东46342</v>
      </c>
      <c r="B2740" s="75" t="s">
        <v>21</v>
      </c>
      <c r="C2740" s="45">
        <v>46342</v>
      </c>
      <c r="D2740" s="76">
        <v>1011.32569663292</v>
      </c>
      <c r="E2740" s="77">
        <v>125</v>
      </c>
      <c r="F2740" s="78">
        <v>13.113040687620501</v>
      </c>
      <c r="G2740" s="78">
        <v>13.113040687620501</v>
      </c>
      <c r="H2740" s="81">
        <v>12.977227586169001</v>
      </c>
    </row>
    <row r="2741" spans="1:8" x14ac:dyDescent="0.3">
      <c r="A2741" s="74" t="str">
        <f t="shared" si="42"/>
        <v>山东46343</v>
      </c>
      <c r="B2741" s="75" t="s">
        <v>21</v>
      </c>
      <c r="C2741" s="45">
        <v>46343</v>
      </c>
      <c r="D2741" s="76">
        <v>1011.32569663292</v>
      </c>
      <c r="E2741" s="77">
        <v>125</v>
      </c>
      <c r="F2741" s="78">
        <v>13.113040687620501</v>
      </c>
      <c r="G2741" s="78">
        <v>13.113040687620501</v>
      </c>
      <c r="H2741" s="81">
        <v>12.977227586169001</v>
      </c>
    </row>
    <row r="2742" spans="1:8" x14ac:dyDescent="0.3">
      <c r="A2742" s="74" t="str">
        <f t="shared" si="42"/>
        <v>山东46344</v>
      </c>
      <c r="B2742" s="75" t="s">
        <v>21</v>
      </c>
      <c r="C2742" s="45">
        <v>46344</v>
      </c>
      <c r="D2742" s="76">
        <v>1011.32569663292</v>
      </c>
      <c r="E2742" s="77">
        <v>125</v>
      </c>
      <c r="F2742" s="78">
        <v>13.113040687620501</v>
      </c>
      <c r="G2742" s="78">
        <v>13.113040687620501</v>
      </c>
      <c r="H2742" s="81">
        <v>12.977227586169001</v>
      </c>
    </row>
    <row r="2743" spans="1:8" x14ac:dyDescent="0.3">
      <c r="A2743" s="74" t="str">
        <f t="shared" si="42"/>
        <v>山东46345</v>
      </c>
      <c r="B2743" s="75" t="s">
        <v>21</v>
      </c>
      <c r="C2743" s="45">
        <v>46345</v>
      </c>
      <c r="D2743" s="76">
        <v>1011.32569663292</v>
      </c>
      <c r="E2743" s="77">
        <v>125</v>
      </c>
      <c r="F2743" s="78">
        <v>13.113040687620501</v>
      </c>
      <c r="G2743" s="78">
        <v>13.113040687620501</v>
      </c>
      <c r="H2743" s="81">
        <v>12.977227586169001</v>
      </c>
    </row>
    <row r="2744" spans="1:8" x14ac:dyDescent="0.3">
      <c r="A2744" s="74" t="str">
        <f t="shared" si="42"/>
        <v>山东46346</v>
      </c>
      <c r="B2744" s="75" t="s">
        <v>21</v>
      </c>
      <c r="C2744" s="45">
        <v>46346</v>
      </c>
      <c r="D2744" s="76">
        <v>1011.32569663292</v>
      </c>
      <c r="E2744" s="77">
        <v>125</v>
      </c>
      <c r="F2744" s="78">
        <v>13.113040687620501</v>
      </c>
      <c r="G2744" s="78">
        <v>13.113040687620501</v>
      </c>
      <c r="H2744" s="81">
        <v>12.977227586169001</v>
      </c>
    </row>
    <row r="2745" spans="1:8" x14ac:dyDescent="0.3">
      <c r="A2745" s="74" t="str">
        <f t="shared" si="42"/>
        <v>山东46347</v>
      </c>
      <c r="B2745" s="75" t="s">
        <v>21</v>
      </c>
      <c r="C2745" s="45">
        <v>46347</v>
      </c>
      <c r="D2745" s="76">
        <v>1011.32569663292</v>
      </c>
      <c r="E2745" s="77">
        <v>125</v>
      </c>
      <c r="F2745" s="78">
        <v>13.113040687620501</v>
      </c>
      <c r="G2745" s="78">
        <v>13.113040687620501</v>
      </c>
      <c r="H2745" s="81">
        <v>12.977227586169001</v>
      </c>
    </row>
    <row r="2746" spans="1:8" x14ac:dyDescent="0.3">
      <c r="A2746" s="74" t="str">
        <f t="shared" si="42"/>
        <v>山东46348</v>
      </c>
      <c r="B2746" s="75" t="s">
        <v>21</v>
      </c>
      <c r="C2746" s="45">
        <v>46348</v>
      </c>
      <c r="D2746" s="76">
        <v>1011.32569663292</v>
      </c>
      <c r="E2746" s="77">
        <v>125</v>
      </c>
      <c r="F2746" s="78">
        <v>13.113040687620501</v>
      </c>
      <c r="G2746" s="78">
        <v>13.113040687620501</v>
      </c>
      <c r="H2746" s="81">
        <v>12.977227586169001</v>
      </c>
    </row>
    <row r="2747" spans="1:8" x14ac:dyDescent="0.3">
      <c r="A2747" s="74" t="str">
        <f t="shared" si="42"/>
        <v>山东46349</v>
      </c>
      <c r="B2747" s="75" t="s">
        <v>21</v>
      </c>
      <c r="C2747" s="45">
        <v>46349</v>
      </c>
      <c r="D2747" s="76">
        <v>1011.32569663292</v>
      </c>
      <c r="E2747" s="77">
        <v>125</v>
      </c>
      <c r="F2747" s="78">
        <v>13.113040687620501</v>
      </c>
      <c r="G2747" s="78">
        <v>13.113040687620501</v>
      </c>
      <c r="H2747" s="81">
        <v>12.977227586169001</v>
      </c>
    </row>
    <row r="2748" spans="1:8" x14ac:dyDescent="0.3">
      <c r="A2748" s="74" t="str">
        <f t="shared" si="42"/>
        <v>山东46350</v>
      </c>
      <c r="B2748" s="75" t="s">
        <v>21</v>
      </c>
      <c r="C2748" s="45">
        <v>46350</v>
      </c>
      <c r="D2748" s="76">
        <v>1011.32569663292</v>
      </c>
      <c r="E2748" s="77">
        <v>125</v>
      </c>
      <c r="F2748" s="78">
        <v>13.113040687620501</v>
      </c>
      <c r="G2748" s="78">
        <v>13.113040687620501</v>
      </c>
      <c r="H2748" s="81">
        <v>12.977227586169001</v>
      </c>
    </row>
    <row r="2749" spans="1:8" x14ac:dyDescent="0.3">
      <c r="A2749" s="74" t="str">
        <f t="shared" si="42"/>
        <v>山东46351</v>
      </c>
      <c r="B2749" s="75" t="s">
        <v>21</v>
      </c>
      <c r="C2749" s="45">
        <v>46351</v>
      </c>
      <c r="D2749" s="76">
        <v>1011.32569663292</v>
      </c>
      <c r="E2749" s="77">
        <v>125</v>
      </c>
      <c r="F2749" s="78">
        <v>13.113040687620501</v>
      </c>
      <c r="G2749" s="78">
        <v>13.113040687620501</v>
      </c>
      <c r="H2749" s="81">
        <v>12.977227586169001</v>
      </c>
    </row>
    <row r="2750" spans="1:8" x14ac:dyDescent="0.3">
      <c r="A2750" s="74" t="str">
        <f t="shared" si="42"/>
        <v>山东46352</v>
      </c>
      <c r="B2750" s="75" t="s">
        <v>21</v>
      </c>
      <c r="C2750" s="45">
        <v>46352</v>
      </c>
      <c r="D2750" s="76">
        <v>1011.32569663292</v>
      </c>
      <c r="E2750" s="77">
        <v>125</v>
      </c>
      <c r="F2750" s="78">
        <v>13.113040687620501</v>
      </c>
      <c r="G2750" s="78">
        <v>13.113040687620501</v>
      </c>
      <c r="H2750" s="81">
        <v>12.977227586169001</v>
      </c>
    </row>
    <row r="2751" spans="1:8" x14ac:dyDescent="0.3">
      <c r="A2751" s="74" t="str">
        <f t="shared" si="42"/>
        <v>山东46353</v>
      </c>
      <c r="B2751" s="75" t="s">
        <v>21</v>
      </c>
      <c r="C2751" s="45">
        <v>46353</v>
      </c>
      <c r="D2751" s="76">
        <v>1011.32569663292</v>
      </c>
      <c r="E2751" s="77">
        <v>125</v>
      </c>
      <c r="F2751" s="78">
        <v>13.113040687620501</v>
      </c>
      <c r="G2751" s="78">
        <v>13.113040687620501</v>
      </c>
      <c r="H2751" s="81">
        <v>12.977227586169001</v>
      </c>
    </row>
    <row r="2752" spans="1:8" x14ac:dyDescent="0.3">
      <c r="A2752" s="74" t="str">
        <f t="shared" si="42"/>
        <v>山东46354</v>
      </c>
      <c r="B2752" s="75" t="s">
        <v>21</v>
      </c>
      <c r="C2752" s="45">
        <v>46354</v>
      </c>
      <c r="D2752" s="76">
        <v>1011.32569663292</v>
      </c>
      <c r="E2752" s="77">
        <v>125</v>
      </c>
      <c r="F2752" s="78">
        <v>13.113040687620501</v>
      </c>
      <c r="G2752" s="78">
        <v>13.113040687620501</v>
      </c>
      <c r="H2752" s="81">
        <v>12.977227586169001</v>
      </c>
    </row>
    <row r="2753" spans="1:8" x14ac:dyDescent="0.3">
      <c r="A2753" s="74" t="str">
        <f t="shared" si="42"/>
        <v>山东46355</v>
      </c>
      <c r="B2753" s="75" t="s">
        <v>21</v>
      </c>
      <c r="C2753" s="45">
        <v>46355</v>
      </c>
      <c r="D2753" s="76">
        <v>1011.32569663292</v>
      </c>
      <c r="E2753" s="77">
        <v>125</v>
      </c>
      <c r="F2753" s="78">
        <v>13.113040687620501</v>
      </c>
      <c r="G2753" s="78">
        <v>13.113040687620501</v>
      </c>
      <c r="H2753" s="81">
        <v>12.977227586169001</v>
      </c>
    </row>
    <row r="2754" spans="1:8" x14ac:dyDescent="0.3">
      <c r="A2754" s="74" t="str">
        <f t="shared" si="42"/>
        <v>山东46356</v>
      </c>
      <c r="B2754" s="75" t="s">
        <v>21</v>
      </c>
      <c r="C2754" s="45">
        <v>46356</v>
      </c>
      <c r="D2754" s="76">
        <v>1011.32569663292</v>
      </c>
      <c r="E2754" s="77">
        <v>125</v>
      </c>
      <c r="F2754" s="78">
        <v>13.113040687620501</v>
      </c>
      <c r="G2754" s="78">
        <v>13.113040687620501</v>
      </c>
      <c r="H2754" s="81">
        <v>12.977227586169001</v>
      </c>
    </row>
    <row r="2755" spans="1:8" x14ac:dyDescent="0.3">
      <c r="A2755" s="74" t="str">
        <f t="shared" ref="A2755:A2818" si="43">B2755&amp;C2755</f>
        <v>山东46357</v>
      </c>
      <c r="B2755" s="75" t="s">
        <v>21</v>
      </c>
      <c r="C2755" s="45">
        <v>46357</v>
      </c>
      <c r="D2755" s="76">
        <v>1034.8113315268299</v>
      </c>
      <c r="E2755" s="77">
        <v>125</v>
      </c>
      <c r="F2755" s="78">
        <v>13.823226392415901</v>
      </c>
      <c r="G2755" s="78">
        <v>13.823226392415901</v>
      </c>
      <c r="H2755" s="81">
        <v>13.2168856201768</v>
      </c>
    </row>
    <row r="2756" spans="1:8" x14ac:dyDescent="0.3">
      <c r="A2756" s="74" t="str">
        <f t="shared" si="43"/>
        <v>山东46358</v>
      </c>
      <c r="B2756" s="75" t="s">
        <v>21</v>
      </c>
      <c r="C2756" s="45">
        <v>46358</v>
      </c>
      <c r="D2756" s="76">
        <v>1034.8113315268299</v>
      </c>
      <c r="E2756" s="77">
        <v>125</v>
      </c>
      <c r="F2756" s="78">
        <v>13.823226392415901</v>
      </c>
      <c r="G2756" s="78">
        <v>13.823226392415901</v>
      </c>
      <c r="H2756" s="81">
        <v>13.2168856201768</v>
      </c>
    </row>
    <row r="2757" spans="1:8" x14ac:dyDescent="0.3">
      <c r="A2757" s="74" t="str">
        <f t="shared" si="43"/>
        <v>山东46359</v>
      </c>
      <c r="B2757" s="75" t="s">
        <v>21</v>
      </c>
      <c r="C2757" s="45">
        <v>46359</v>
      </c>
      <c r="D2757" s="76">
        <v>1034.8113315268299</v>
      </c>
      <c r="E2757" s="77">
        <v>125</v>
      </c>
      <c r="F2757" s="78">
        <v>13.823226392415901</v>
      </c>
      <c r="G2757" s="78">
        <v>13.823226392415901</v>
      </c>
      <c r="H2757" s="81">
        <v>13.2168856201768</v>
      </c>
    </row>
    <row r="2758" spans="1:8" x14ac:dyDescent="0.3">
      <c r="A2758" s="74" t="str">
        <f t="shared" si="43"/>
        <v>山东46360</v>
      </c>
      <c r="B2758" s="75" t="s">
        <v>21</v>
      </c>
      <c r="C2758" s="45">
        <v>46360</v>
      </c>
      <c r="D2758" s="76">
        <v>1034.8113315268299</v>
      </c>
      <c r="E2758" s="77">
        <v>125</v>
      </c>
      <c r="F2758" s="78">
        <v>13.823226392415901</v>
      </c>
      <c r="G2758" s="78">
        <v>13.823226392415901</v>
      </c>
      <c r="H2758" s="81">
        <v>13.2168856201768</v>
      </c>
    </row>
    <row r="2759" spans="1:8" x14ac:dyDescent="0.3">
      <c r="A2759" s="74" t="str">
        <f t="shared" si="43"/>
        <v>山东46361</v>
      </c>
      <c r="B2759" s="75" t="s">
        <v>21</v>
      </c>
      <c r="C2759" s="45">
        <v>46361</v>
      </c>
      <c r="D2759" s="76">
        <v>1034.8113315268299</v>
      </c>
      <c r="E2759" s="77">
        <v>125</v>
      </c>
      <c r="F2759" s="78">
        <v>13.823226392415901</v>
      </c>
      <c r="G2759" s="78">
        <v>13.823226392415901</v>
      </c>
      <c r="H2759" s="81">
        <v>13.2168856201768</v>
      </c>
    </row>
    <row r="2760" spans="1:8" x14ac:dyDescent="0.3">
      <c r="A2760" s="74" t="str">
        <f t="shared" si="43"/>
        <v>山东46362</v>
      </c>
      <c r="B2760" s="75" t="s">
        <v>21</v>
      </c>
      <c r="C2760" s="45">
        <v>46362</v>
      </c>
      <c r="D2760" s="76">
        <v>1034.8113315268299</v>
      </c>
      <c r="E2760" s="77">
        <v>125</v>
      </c>
      <c r="F2760" s="78">
        <v>13.823226392415901</v>
      </c>
      <c r="G2760" s="78">
        <v>13.823226392415901</v>
      </c>
      <c r="H2760" s="81">
        <v>13.2168856201768</v>
      </c>
    </row>
    <row r="2761" spans="1:8" x14ac:dyDescent="0.3">
      <c r="A2761" s="74" t="str">
        <f t="shared" si="43"/>
        <v>山东46363</v>
      </c>
      <c r="B2761" s="75" t="s">
        <v>21</v>
      </c>
      <c r="C2761" s="45">
        <v>46363</v>
      </c>
      <c r="D2761" s="76">
        <v>1034.8113315268299</v>
      </c>
      <c r="E2761" s="77">
        <v>125</v>
      </c>
      <c r="F2761" s="78">
        <v>13.823226392415901</v>
      </c>
      <c r="G2761" s="78">
        <v>13.823226392415901</v>
      </c>
      <c r="H2761" s="81">
        <v>13.2168856201768</v>
      </c>
    </row>
    <row r="2762" spans="1:8" x14ac:dyDescent="0.3">
      <c r="A2762" s="74" t="str">
        <f t="shared" si="43"/>
        <v>山东46364</v>
      </c>
      <c r="B2762" s="75" t="s">
        <v>21</v>
      </c>
      <c r="C2762" s="45">
        <v>46364</v>
      </c>
      <c r="D2762" s="76">
        <v>1034.8113315268299</v>
      </c>
      <c r="E2762" s="77">
        <v>125</v>
      </c>
      <c r="F2762" s="78">
        <v>13.823226392415901</v>
      </c>
      <c r="G2762" s="78">
        <v>13.823226392415901</v>
      </c>
      <c r="H2762" s="81">
        <v>13.2168856201768</v>
      </c>
    </row>
    <row r="2763" spans="1:8" x14ac:dyDescent="0.3">
      <c r="A2763" s="74" t="str">
        <f t="shared" si="43"/>
        <v>山东46365</v>
      </c>
      <c r="B2763" s="75" t="s">
        <v>21</v>
      </c>
      <c r="C2763" s="45">
        <v>46365</v>
      </c>
      <c r="D2763" s="76">
        <v>1034.8113315268299</v>
      </c>
      <c r="E2763" s="77">
        <v>125</v>
      </c>
      <c r="F2763" s="78">
        <v>13.823226392415901</v>
      </c>
      <c r="G2763" s="78">
        <v>13.823226392415901</v>
      </c>
      <c r="H2763" s="81">
        <v>13.2168856201768</v>
      </c>
    </row>
    <row r="2764" spans="1:8" x14ac:dyDescent="0.3">
      <c r="A2764" s="74" t="str">
        <f t="shared" si="43"/>
        <v>山东46366</v>
      </c>
      <c r="B2764" s="75" t="s">
        <v>21</v>
      </c>
      <c r="C2764" s="45">
        <v>46366</v>
      </c>
      <c r="D2764" s="76">
        <v>1034.8113315268299</v>
      </c>
      <c r="E2764" s="77">
        <v>125</v>
      </c>
      <c r="F2764" s="78">
        <v>13.823226392415901</v>
      </c>
      <c r="G2764" s="78">
        <v>13.823226392415901</v>
      </c>
      <c r="H2764" s="81">
        <v>13.2168856201768</v>
      </c>
    </row>
    <row r="2765" spans="1:8" x14ac:dyDescent="0.3">
      <c r="A2765" s="74" t="str">
        <f t="shared" si="43"/>
        <v>山东46367</v>
      </c>
      <c r="B2765" s="75" t="s">
        <v>21</v>
      </c>
      <c r="C2765" s="45">
        <v>46367</v>
      </c>
      <c r="D2765" s="76">
        <v>1034.8113315268299</v>
      </c>
      <c r="E2765" s="77">
        <v>125</v>
      </c>
      <c r="F2765" s="78">
        <v>13.823226392415901</v>
      </c>
      <c r="G2765" s="78">
        <v>13.823226392415901</v>
      </c>
      <c r="H2765" s="81">
        <v>13.2168856201768</v>
      </c>
    </row>
    <row r="2766" spans="1:8" x14ac:dyDescent="0.3">
      <c r="A2766" s="74" t="str">
        <f t="shared" si="43"/>
        <v>山东46368</v>
      </c>
      <c r="B2766" s="75" t="s">
        <v>21</v>
      </c>
      <c r="C2766" s="45">
        <v>46368</v>
      </c>
      <c r="D2766" s="76">
        <v>1034.8113315268299</v>
      </c>
      <c r="E2766" s="77">
        <v>125</v>
      </c>
      <c r="F2766" s="78">
        <v>13.823226392415901</v>
      </c>
      <c r="G2766" s="78">
        <v>13.823226392415901</v>
      </c>
      <c r="H2766" s="81">
        <v>13.2168856201768</v>
      </c>
    </row>
    <row r="2767" spans="1:8" x14ac:dyDescent="0.3">
      <c r="A2767" s="74" t="str">
        <f t="shared" si="43"/>
        <v>山东46369</v>
      </c>
      <c r="B2767" s="75" t="s">
        <v>21</v>
      </c>
      <c r="C2767" s="45">
        <v>46369</v>
      </c>
      <c r="D2767" s="76">
        <v>1034.8113315268299</v>
      </c>
      <c r="E2767" s="77">
        <v>125</v>
      </c>
      <c r="F2767" s="78">
        <v>13.823226392415901</v>
      </c>
      <c r="G2767" s="78">
        <v>13.823226392415901</v>
      </c>
      <c r="H2767" s="81">
        <v>13.2168856201768</v>
      </c>
    </row>
    <row r="2768" spans="1:8" x14ac:dyDescent="0.3">
      <c r="A2768" s="74" t="str">
        <f t="shared" si="43"/>
        <v>山东46370</v>
      </c>
      <c r="B2768" s="75" t="s">
        <v>21</v>
      </c>
      <c r="C2768" s="45">
        <v>46370</v>
      </c>
      <c r="D2768" s="76">
        <v>1034.8113315268299</v>
      </c>
      <c r="E2768" s="77">
        <v>125</v>
      </c>
      <c r="F2768" s="78">
        <v>13.823226392415901</v>
      </c>
      <c r="G2768" s="78">
        <v>13.823226392415901</v>
      </c>
      <c r="H2768" s="81">
        <v>13.2168856201768</v>
      </c>
    </row>
    <row r="2769" spans="1:8" x14ac:dyDescent="0.3">
      <c r="A2769" s="74" t="str">
        <f t="shared" si="43"/>
        <v>山东46371</v>
      </c>
      <c r="B2769" s="75" t="s">
        <v>21</v>
      </c>
      <c r="C2769" s="45">
        <v>46371</v>
      </c>
      <c r="D2769" s="76">
        <v>1034.8113315268299</v>
      </c>
      <c r="E2769" s="77">
        <v>125</v>
      </c>
      <c r="F2769" s="78">
        <v>13.823226392415901</v>
      </c>
      <c r="G2769" s="78">
        <v>13.823226392415901</v>
      </c>
      <c r="H2769" s="81">
        <v>13.2168856201768</v>
      </c>
    </row>
    <row r="2770" spans="1:8" x14ac:dyDescent="0.3">
      <c r="A2770" s="74" t="str">
        <f t="shared" si="43"/>
        <v>山东46372</v>
      </c>
      <c r="B2770" s="75" t="s">
        <v>21</v>
      </c>
      <c r="C2770" s="45">
        <v>46372</v>
      </c>
      <c r="D2770" s="76">
        <v>1034.8113315268299</v>
      </c>
      <c r="E2770" s="77">
        <v>125</v>
      </c>
      <c r="F2770" s="78">
        <v>13.823226392415901</v>
      </c>
      <c r="G2770" s="78">
        <v>13.823226392415901</v>
      </c>
      <c r="H2770" s="81">
        <v>13.2168856201768</v>
      </c>
    </row>
    <row r="2771" spans="1:8" x14ac:dyDescent="0.3">
      <c r="A2771" s="74" t="str">
        <f t="shared" si="43"/>
        <v>山东46373</v>
      </c>
      <c r="B2771" s="75" t="s">
        <v>21</v>
      </c>
      <c r="C2771" s="45">
        <v>46373</v>
      </c>
      <c r="D2771" s="76">
        <v>1034.8113315268299</v>
      </c>
      <c r="E2771" s="77">
        <v>125</v>
      </c>
      <c r="F2771" s="78">
        <v>13.823226392415901</v>
      </c>
      <c r="G2771" s="78">
        <v>13.823226392415901</v>
      </c>
      <c r="H2771" s="81">
        <v>13.2168856201768</v>
      </c>
    </row>
    <row r="2772" spans="1:8" x14ac:dyDescent="0.3">
      <c r="A2772" s="74" t="str">
        <f t="shared" si="43"/>
        <v>山东46374</v>
      </c>
      <c r="B2772" s="75" t="s">
        <v>21</v>
      </c>
      <c r="C2772" s="45">
        <v>46374</v>
      </c>
      <c r="D2772" s="76">
        <v>1034.8113315268299</v>
      </c>
      <c r="E2772" s="77">
        <v>125</v>
      </c>
      <c r="F2772" s="78">
        <v>13.823226392415901</v>
      </c>
      <c r="G2772" s="78">
        <v>13.823226392415901</v>
      </c>
      <c r="H2772" s="81">
        <v>13.2168856201768</v>
      </c>
    </row>
    <row r="2773" spans="1:8" x14ac:dyDescent="0.3">
      <c r="A2773" s="74" t="str">
        <f t="shared" si="43"/>
        <v>山东46375</v>
      </c>
      <c r="B2773" s="75" t="s">
        <v>21</v>
      </c>
      <c r="C2773" s="45">
        <v>46375</v>
      </c>
      <c r="D2773" s="76">
        <v>1034.8113315268299</v>
      </c>
      <c r="E2773" s="77">
        <v>125</v>
      </c>
      <c r="F2773" s="78">
        <v>13.823226392415901</v>
      </c>
      <c r="G2773" s="78">
        <v>13.823226392415901</v>
      </c>
      <c r="H2773" s="81">
        <v>13.2168856201768</v>
      </c>
    </row>
    <row r="2774" spans="1:8" x14ac:dyDescent="0.3">
      <c r="A2774" s="74" t="str">
        <f t="shared" si="43"/>
        <v>山东46376</v>
      </c>
      <c r="B2774" s="75" t="s">
        <v>21</v>
      </c>
      <c r="C2774" s="45">
        <v>46376</v>
      </c>
      <c r="D2774" s="76">
        <v>1034.8113315268299</v>
      </c>
      <c r="E2774" s="77">
        <v>125</v>
      </c>
      <c r="F2774" s="78">
        <v>13.823226392415901</v>
      </c>
      <c r="G2774" s="78">
        <v>13.823226392415901</v>
      </c>
      <c r="H2774" s="81">
        <v>13.2168856201768</v>
      </c>
    </row>
    <row r="2775" spans="1:8" x14ac:dyDescent="0.3">
      <c r="A2775" s="74" t="str">
        <f t="shared" si="43"/>
        <v>山东46377</v>
      </c>
      <c r="B2775" s="75" t="s">
        <v>21</v>
      </c>
      <c r="C2775" s="45">
        <v>46377</v>
      </c>
      <c r="D2775" s="76">
        <v>1034.8113315268299</v>
      </c>
      <c r="E2775" s="77">
        <v>125</v>
      </c>
      <c r="F2775" s="78">
        <v>13.823226392415901</v>
      </c>
      <c r="G2775" s="78">
        <v>13.823226392415901</v>
      </c>
      <c r="H2775" s="81">
        <v>13.2168856201768</v>
      </c>
    </row>
    <row r="2776" spans="1:8" x14ac:dyDescent="0.3">
      <c r="A2776" s="74" t="str">
        <f t="shared" si="43"/>
        <v>山东46378</v>
      </c>
      <c r="B2776" s="75" t="s">
        <v>21</v>
      </c>
      <c r="C2776" s="45">
        <v>46378</v>
      </c>
      <c r="D2776" s="76">
        <v>1034.8113315268299</v>
      </c>
      <c r="E2776" s="77">
        <v>125</v>
      </c>
      <c r="F2776" s="78">
        <v>13.823226392415901</v>
      </c>
      <c r="G2776" s="78">
        <v>13.823226392415901</v>
      </c>
      <c r="H2776" s="81">
        <v>13.2168856201768</v>
      </c>
    </row>
    <row r="2777" spans="1:8" x14ac:dyDescent="0.3">
      <c r="A2777" s="74" t="str">
        <f t="shared" si="43"/>
        <v>山东46379</v>
      </c>
      <c r="B2777" s="75" t="s">
        <v>21</v>
      </c>
      <c r="C2777" s="45">
        <v>46379</v>
      </c>
      <c r="D2777" s="76">
        <v>1034.8113315268299</v>
      </c>
      <c r="E2777" s="77">
        <v>125</v>
      </c>
      <c r="F2777" s="78">
        <v>13.823226392415901</v>
      </c>
      <c r="G2777" s="78">
        <v>13.823226392415901</v>
      </c>
      <c r="H2777" s="81">
        <v>13.2168856201768</v>
      </c>
    </row>
    <row r="2778" spans="1:8" x14ac:dyDescent="0.3">
      <c r="A2778" s="74" t="str">
        <f t="shared" si="43"/>
        <v>山东46380</v>
      </c>
      <c r="B2778" s="75" t="s">
        <v>21</v>
      </c>
      <c r="C2778" s="45">
        <v>46380</v>
      </c>
      <c r="D2778" s="76">
        <v>1034.8113315268299</v>
      </c>
      <c r="E2778" s="77">
        <v>125</v>
      </c>
      <c r="F2778" s="78">
        <v>13.823226392415901</v>
      </c>
      <c r="G2778" s="78">
        <v>13.823226392415901</v>
      </c>
      <c r="H2778" s="81">
        <v>13.2168856201768</v>
      </c>
    </row>
    <row r="2779" spans="1:8" x14ac:dyDescent="0.3">
      <c r="A2779" s="74" t="str">
        <f t="shared" si="43"/>
        <v>山东46381</v>
      </c>
      <c r="B2779" s="75" t="s">
        <v>21</v>
      </c>
      <c r="C2779" s="45">
        <v>46381</v>
      </c>
      <c r="D2779" s="76">
        <v>1034.8113315268299</v>
      </c>
      <c r="E2779" s="77">
        <v>125</v>
      </c>
      <c r="F2779" s="78">
        <v>13.823226392415901</v>
      </c>
      <c r="G2779" s="78">
        <v>13.823226392415901</v>
      </c>
      <c r="H2779" s="81">
        <v>13.2168856201768</v>
      </c>
    </row>
    <row r="2780" spans="1:8" x14ac:dyDescent="0.3">
      <c r="A2780" s="74" t="str">
        <f t="shared" si="43"/>
        <v>山东46382</v>
      </c>
      <c r="B2780" s="75" t="s">
        <v>21</v>
      </c>
      <c r="C2780" s="45">
        <v>46382</v>
      </c>
      <c r="D2780" s="76">
        <v>1034.8113315268299</v>
      </c>
      <c r="E2780" s="77">
        <v>125</v>
      </c>
      <c r="F2780" s="78">
        <v>13.823226392415901</v>
      </c>
      <c r="G2780" s="78">
        <v>13.823226392415901</v>
      </c>
      <c r="H2780" s="81">
        <v>13.2168856201768</v>
      </c>
    </row>
    <row r="2781" spans="1:8" x14ac:dyDescent="0.3">
      <c r="A2781" s="74" t="str">
        <f t="shared" si="43"/>
        <v>山东46383</v>
      </c>
      <c r="B2781" s="75" t="s">
        <v>21</v>
      </c>
      <c r="C2781" s="45">
        <v>46383</v>
      </c>
      <c r="D2781" s="76">
        <v>1034.8113315268299</v>
      </c>
      <c r="E2781" s="77">
        <v>125</v>
      </c>
      <c r="F2781" s="78">
        <v>13.823226392415901</v>
      </c>
      <c r="G2781" s="78">
        <v>13.823226392415901</v>
      </c>
      <c r="H2781" s="81">
        <v>13.2168856201768</v>
      </c>
    </row>
    <row r="2782" spans="1:8" x14ac:dyDescent="0.3">
      <c r="A2782" s="74" t="str">
        <f t="shared" si="43"/>
        <v>山东46384</v>
      </c>
      <c r="B2782" s="75" t="s">
        <v>21</v>
      </c>
      <c r="C2782" s="45">
        <v>46384</v>
      </c>
      <c r="D2782" s="76">
        <v>1034.8113315268299</v>
      </c>
      <c r="E2782" s="77">
        <v>125</v>
      </c>
      <c r="F2782" s="78">
        <v>13.823226392415901</v>
      </c>
      <c r="G2782" s="78">
        <v>13.823226392415901</v>
      </c>
      <c r="H2782" s="81">
        <v>13.2168856201768</v>
      </c>
    </row>
    <row r="2783" spans="1:8" x14ac:dyDescent="0.3">
      <c r="A2783" s="74" t="str">
        <f t="shared" si="43"/>
        <v>山东46385</v>
      </c>
      <c r="B2783" s="75" t="s">
        <v>21</v>
      </c>
      <c r="C2783" s="45">
        <v>46385</v>
      </c>
      <c r="D2783" s="76">
        <v>1034.8113315268299</v>
      </c>
      <c r="E2783" s="77">
        <v>125</v>
      </c>
      <c r="F2783" s="78">
        <v>13.823226392415901</v>
      </c>
      <c r="G2783" s="78">
        <v>13.823226392415901</v>
      </c>
      <c r="H2783" s="81">
        <v>13.2168856201768</v>
      </c>
    </row>
    <row r="2784" spans="1:8" x14ac:dyDescent="0.3">
      <c r="A2784" s="74" t="str">
        <f t="shared" si="43"/>
        <v>山东46386</v>
      </c>
      <c r="B2784" s="75" t="s">
        <v>21</v>
      </c>
      <c r="C2784" s="45">
        <v>46386</v>
      </c>
      <c r="D2784" s="76">
        <v>1034.8113315268299</v>
      </c>
      <c r="E2784" s="77">
        <v>125</v>
      </c>
      <c r="F2784" s="78">
        <v>13.823226392415901</v>
      </c>
      <c r="G2784" s="78">
        <v>13.823226392415901</v>
      </c>
      <c r="H2784" s="81">
        <v>13.2168856201768</v>
      </c>
    </row>
    <row r="2785" spans="1:8" x14ac:dyDescent="0.3">
      <c r="A2785" s="74" t="str">
        <f t="shared" si="43"/>
        <v>山东46387</v>
      </c>
      <c r="B2785" s="82" t="s">
        <v>21</v>
      </c>
      <c r="C2785" s="83">
        <v>46387</v>
      </c>
      <c r="D2785" s="84">
        <v>1034.8113315268299</v>
      </c>
      <c r="E2785" s="85">
        <v>125</v>
      </c>
      <c r="F2785" s="86">
        <v>13.823226392415901</v>
      </c>
      <c r="G2785" s="86">
        <v>13.823226392415901</v>
      </c>
      <c r="H2785" s="87">
        <v>13.2168856201768</v>
      </c>
    </row>
    <row r="2786" spans="1:8" x14ac:dyDescent="0.3">
      <c r="A2786" s="74" t="str">
        <f t="shared" si="43"/>
        <v>贵州46135</v>
      </c>
      <c r="B2786" s="75" t="s">
        <v>22</v>
      </c>
      <c r="C2786" s="45">
        <v>46135</v>
      </c>
      <c r="D2786" s="76">
        <v>1239.80295019657</v>
      </c>
      <c r="E2786" s="77">
        <v>132</v>
      </c>
      <c r="F2786" s="78">
        <v>9.0266407570292504</v>
      </c>
      <c r="G2786" s="78">
        <v>9.0266407570292504</v>
      </c>
      <c r="H2786" s="81">
        <v>9.5970188207761904</v>
      </c>
    </row>
    <row r="2787" spans="1:8" x14ac:dyDescent="0.3">
      <c r="A2787" s="74" t="str">
        <f t="shared" si="43"/>
        <v>贵州46136</v>
      </c>
      <c r="B2787" s="75" t="s">
        <v>22</v>
      </c>
      <c r="C2787" s="45">
        <v>46136</v>
      </c>
      <c r="D2787" s="76">
        <v>1239.80295019657</v>
      </c>
      <c r="E2787" s="77">
        <v>132</v>
      </c>
      <c r="F2787" s="78">
        <v>9.0266407570292504</v>
      </c>
      <c r="G2787" s="78">
        <v>9.0266407570292504</v>
      </c>
      <c r="H2787" s="81">
        <v>9.5970188207761904</v>
      </c>
    </row>
    <row r="2788" spans="1:8" x14ac:dyDescent="0.3">
      <c r="A2788" s="74" t="str">
        <f t="shared" si="43"/>
        <v>贵州46137</v>
      </c>
      <c r="B2788" s="75" t="s">
        <v>22</v>
      </c>
      <c r="C2788" s="45">
        <v>46137</v>
      </c>
      <c r="D2788" s="76">
        <v>1239.80295019657</v>
      </c>
      <c r="E2788" s="77">
        <v>132</v>
      </c>
      <c r="F2788" s="78">
        <v>9.0266407570292504</v>
      </c>
      <c r="G2788" s="78">
        <v>9.0266407570292504</v>
      </c>
      <c r="H2788" s="81">
        <v>9.5970188207761904</v>
      </c>
    </row>
    <row r="2789" spans="1:8" x14ac:dyDescent="0.3">
      <c r="A2789" s="74" t="str">
        <f t="shared" si="43"/>
        <v>贵州46138</v>
      </c>
      <c r="B2789" s="75" t="s">
        <v>22</v>
      </c>
      <c r="C2789" s="45">
        <v>46138</v>
      </c>
      <c r="D2789" s="76">
        <v>1239.80295019657</v>
      </c>
      <c r="E2789" s="77">
        <v>132</v>
      </c>
      <c r="F2789" s="78">
        <v>9.0266407570292504</v>
      </c>
      <c r="G2789" s="78">
        <v>9.0266407570292504</v>
      </c>
      <c r="H2789" s="81">
        <v>9.5970188207761904</v>
      </c>
    </row>
    <row r="2790" spans="1:8" x14ac:dyDescent="0.3">
      <c r="A2790" s="74" t="str">
        <f t="shared" si="43"/>
        <v>贵州46139</v>
      </c>
      <c r="B2790" s="75" t="s">
        <v>22</v>
      </c>
      <c r="C2790" s="45">
        <v>46139</v>
      </c>
      <c r="D2790" s="76">
        <v>1239.80295019657</v>
      </c>
      <c r="E2790" s="77">
        <v>132</v>
      </c>
      <c r="F2790" s="78">
        <v>9.0266407570292504</v>
      </c>
      <c r="G2790" s="78">
        <v>9.0266407570292504</v>
      </c>
      <c r="H2790" s="81">
        <v>9.5970188207761904</v>
      </c>
    </row>
    <row r="2791" spans="1:8" x14ac:dyDescent="0.3">
      <c r="A2791" s="74" t="str">
        <f t="shared" si="43"/>
        <v>贵州46140</v>
      </c>
      <c r="B2791" s="75" t="s">
        <v>22</v>
      </c>
      <c r="C2791" s="45">
        <v>46140</v>
      </c>
      <c r="D2791" s="76">
        <v>1239.80295019657</v>
      </c>
      <c r="E2791" s="77">
        <v>132</v>
      </c>
      <c r="F2791" s="78">
        <v>9.0266407570292504</v>
      </c>
      <c r="G2791" s="78">
        <v>9.0266407570292504</v>
      </c>
      <c r="H2791" s="81">
        <v>9.5970188207761904</v>
      </c>
    </row>
    <row r="2792" spans="1:8" x14ac:dyDescent="0.3">
      <c r="A2792" s="74" t="str">
        <f t="shared" si="43"/>
        <v>贵州46141</v>
      </c>
      <c r="B2792" s="75" t="s">
        <v>22</v>
      </c>
      <c r="C2792" s="45">
        <v>46141</v>
      </c>
      <c r="D2792" s="76">
        <v>1239.80295019657</v>
      </c>
      <c r="E2792" s="77">
        <v>132</v>
      </c>
      <c r="F2792" s="78">
        <v>9.0266407570292504</v>
      </c>
      <c r="G2792" s="78">
        <v>9.0266407570292504</v>
      </c>
      <c r="H2792" s="81">
        <v>9.5970188207761904</v>
      </c>
    </row>
    <row r="2793" spans="1:8" x14ac:dyDescent="0.3">
      <c r="A2793" s="74" t="str">
        <f t="shared" si="43"/>
        <v>贵州46142</v>
      </c>
      <c r="B2793" s="75" t="s">
        <v>22</v>
      </c>
      <c r="C2793" s="45">
        <v>46142</v>
      </c>
      <c r="D2793" s="76">
        <v>1239.80295019657</v>
      </c>
      <c r="E2793" s="77">
        <v>132</v>
      </c>
      <c r="F2793" s="78">
        <v>9.0266407570292504</v>
      </c>
      <c r="G2793" s="78">
        <v>9.0266407570292504</v>
      </c>
      <c r="H2793" s="81">
        <v>9.5970188207761904</v>
      </c>
    </row>
    <row r="2794" spans="1:8" x14ac:dyDescent="0.3">
      <c r="A2794" s="74" t="str">
        <f t="shared" si="43"/>
        <v>贵州46143</v>
      </c>
      <c r="B2794" s="75" t="s">
        <v>22</v>
      </c>
      <c r="C2794" s="45">
        <v>46143</v>
      </c>
      <c r="D2794" s="76">
        <v>1283.293172078</v>
      </c>
      <c r="E2794" s="77">
        <v>132</v>
      </c>
      <c r="F2794" s="78">
        <v>10.5056367215136</v>
      </c>
      <c r="G2794" s="78">
        <v>10.5056367215136</v>
      </c>
      <c r="H2794" s="81">
        <v>9.8149635287666701</v>
      </c>
    </row>
    <row r="2795" spans="1:8" x14ac:dyDescent="0.3">
      <c r="A2795" s="74" t="str">
        <f t="shared" si="43"/>
        <v>贵州46144</v>
      </c>
      <c r="B2795" s="75" t="s">
        <v>22</v>
      </c>
      <c r="C2795" s="45">
        <v>46144</v>
      </c>
      <c r="D2795" s="76">
        <v>1283.293172078</v>
      </c>
      <c r="E2795" s="77">
        <v>132</v>
      </c>
      <c r="F2795" s="78">
        <v>10.5056367215136</v>
      </c>
      <c r="G2795" s="78">
        <v>10.5056367215136</v>
      </c>
      <c r="H2795" s="81">
        <v>9.8149635287666701</v>
      </c>
    </row>
    <row r="2796" spans="1:8" x14ac:dyDescent="0.3">
      <c r="A2796" s="74" t="str">
        <f t="shared" si="43"/>
        <v>贵州46145</v>
      </c>
      <c r="B2796" s="75" t="s">
        <v>22</v>
      </c>
      <c r="C2796" s="45">
        <v>46145</v>
      </c>
      <c r="D2796" s="76">
        <v>1283.293172078</v>
      </c>
      <c r="E2796" s="77">
        <v>132</v>
      </c>
      <c r="F2796" s="78">
        <v>10.5056367215136</v>
      </c>
      <c r="G2796" s="78">
        <v>10.5056367215136</v>
      </c>
      <c r="H2796" s="81">
        <v>9.8149635287666701</v>
      </c>
    </row>
    <row r="2797" spans="1:8" x14ac:dyDescent="0.3">
      <c r="A2797" s="74" t="str">
        <f t="shared" si="43"/>
        <v>贵州46146</v>
      </c>
      <c r="B2797" s="75" t="s">
        <v>22</v>
      </c>
      <c r="C2797" s="45">
        <v>46146</v>
      </c>
      <c r="D2797" s="76">
        <v>1283.293172078</v>
      </c>
      <c r="E2797" s="77">
        <v>132</v>
      </c>
      <c r="F2797" s="78">
        <v>10.5056367215136</v>
      </c>
      <c r="G2797" s="78">
        <v>10.5056367215136</v>
      </c>
      <c r="H2797" s="81">
        <v>9.8149635287666701</v>
      </c>
    </row>
    <row r="2798" spans="1:8" x14ac:dyDescent="0.3">
      <c r="A2798" s="74" t="str">
        <f t="shared" si="43"/>
        <v>贵州46147</v>
      </c>
      <c r="B2798" s="75" t="s">
        <v>22</v>
      </c>
      <c r="C2798" s="45">
        <v>46147</v>
      </c>
      <c r="D2798" s="76">
        <v>1283.293172078</v>
      </c>
      <c r="E2798" s="77">
        <v>132</v>
      </c>
      <c r="F2798" s="78">
        <v>10.5056367215136</v>
      </c>
      <c r="G2798" s="78">
        <v>10.5056367215136</v>
      </c>
      <c r="H2798" s="81">
        <v>9.8149635287666701</v>
      </c>
    </row>
    <row r="2799" spans="1:8" x14ac:dyDescent="0.3">
      <c r="A2799" s="74" t="str">
        <f t="shared" si="43"/>
        <v>贵州46148</v>
      </c>
      <c r="B2799" s="75" t="s">
        <v>22</v>
      </c>
      <c r="C2799" s="45">
        <v>46148</v>
      </c>
      <c r="D2799" s="76">
        <v>1283.293172078</v>
      </c>
      <c r="E2799" s="77">
        <v>132</v>
      </c>
      <c r="F2799" s="78">
        <v>10.5056367215136</v>
      </c>
      <c r="G2799" s="78">
        <v>10.5056367215136</v>
      </c>
      <c r="H2799" s="81">
        <v>9.8149635287666701</v>
      </c>
    </row>
    <row r="2800" spans="1:8" x14ac:dyDescent="0.3">
      <c r="A2800" s="74" t="str">
        <f t="shared" si="43"/>
        <v>贵州46149</v>
      </c>
      <c r="B2800" s="75" t="s">
        <v>22</v>
      </c>
      <c r="C2800" s="45">
        <v>46149</v>
      </c>
      <c r="D2800" s="76">
        <v>1283.293172078</v>
      </c>
      <c r="E2800" s="77">
        <v>132</v>
      </c>
      <c r="F2800" s="78">
        <v>10.5056367215136</v>
      </c>
      <c r="G2800" s="78">
        <v>10.5056367215136</v>
      </c>
      <c r="H2800" s="81">
        <v>9.8149635287666701</v>
      </c>
    </row>
    <row r="2801" spans="1:8" x14ac:dyDescent="0.3">
      <c r="A2801" s="74" t="str">
        <f t="shared" si="43"/>
        <v>贵州46150</v>
      </c>
      <c r="B2801" s="75" t="s">
        <v>22</v>
      </c>
      <c r="C2801" s="45">
        <v>46150</v>
      </c>
      <c r="D2801" s="76">
        <v>1283.293172078</v>
      </c>
      <c r="E2801" s="77">
        <v>132</v>
      </c>
      <c r="F2801" s="78">
        <v>10.5056367215136</v>
      </c>
      <c r="G2801" s="78">
        <v>10.5056367215136</v>
      </c>
      <c r="H2801" s="81">
        <v>9.8149635287666701</v>
      </c>
    </row>
    <row r="2802" spans="1:8" x14ac:dyDescent="0.3">
      <c r="A2802" s="74" t="str">
        <f t="shared" si="43"/>
        <v>贵州46151</v>
      </c>
      <c r="B2802" s="75" t="s">
        <v>22</v>
      </c>
      <c r="C2802" s="45">
        <v>46151</v>
      </c>
      <c r="D2802" s="76">
        <v>1283.293172078</v>
      </c>
      <c r="E2802" s="77">
        <v>132</v>
      </c>
      <c r="F2802" s="78">
        <v>10.5056367215136</v>
      </c>
      <c r="G2802" s="78">
        <v>10.5056367215136</v>
      </c>
      <c r="H2802" s="81">
        <v>9.8149635287666701</v>
      </c>
    </row>
    <row r="2803" spans="1:8" x14ac:dyDescent="0.3">
      <c r="A2803" s="74" t="str">
        <f t="shared" si="43"/>
        <v>贵州46152</v>
      </c>
      <c r="B2803" s="75" t="s">
        <v>22</v>
      </c>
      <c r="C2803" s="45">
        <v>46152</v>
      </c>
      <c r="D2803" s="76">
        <v>1283.293172078</v>
      </c>
      <c r="E2803" s="77">
        <v>132</v>
      </c>
      <c r="F2803" s="78">
        <v>10.5056367215136</v>
      </c>
      <c r="G2803" s="78">
        <v>10.5056367215136</v>
      </c>
      <c r="H2803" s="81">
        <v>9.8149635287666701</v>
      </c>
    </row>
    <row r="2804" spans="1:8" x14ac:dyDescent="0.3">
      <c r="A2804" s="74" t="str">
        <f t="shared" si="43"/>
        <v>贵州46153</v>
      </c>
      <c r="B2804" s="75" t="s">
        <v>22</v>
      </c>
      <c r="C2804" s="45">
        <v>46153</v>
      </c>
      <c r="D2804" s="76">
        <v>1283.293172078</v>
      </c>
      <c r="E2804" s="77">
        <v>132</v>
      </c>
      <c r="F2804" s="78">
        <v>10.5056367215136</v>
      </c>
      <c r="G2804" s="78">
        <v>10.5056367215136</v>
      </c>
      <c r="H2804" s="81">
        <v>9.8149635287666701</v>
      </c>
    </row>
    <row r="2805" spans="1:8" x14ac:dyDescent="0.3">
      <c r="A2805" s="74" t="str">
        <f t="shared" si="43"/>
        <v>贵州46154</v>
      </c>
      <c r="B2805" s="75" t="s">
        <v>22</v>
      </c>
      <c r="C2805" s="45">
        <v>46154</v>
      </c>
      <c r="D2805" s="76">
        <v>1283.293172078</v>
      </c>
      <c r="E2805" s="77">
        <v>132</v>
      </c>
      <c r="F2805" s="78">
        <v>10.5056367215136</v>
      </c>
      <c r="G2805" s="78">
        <v>10.5056367215136</v>
      </c>
      <c r="H2805" s="81">
        <v>9.8149635287666701</v>
      </c>
    </row>
    <row r="2806" spans="1:8" x14ac:dyDescent="0.3">
      <c r="A2806" s="74" t="str">
        <f t="shared" si="43"/>
        <v>贵州46155</v>
      </c>
      <c r="B2806" s="75" t="s">
        <v>22</v>
      </c>
      <c r="C2806" s="45">
        <v>46155</v>
      </c>
      <c r="D2806" s="76">
        <v>1283.293172078</v>
      </c>
      <c r="E2806" s="77">
        <v>132</v>
      </c>
      <c r="F2806" s="78">
        <v>10.5056367215136</v>
      </c>
      <c r="G2806" s="78">
        <v>10.5056367215136</v>
      </c>
      <c r="H2806" s="81">
        <v>9.8149635287666701</v>
      </c>
    </row>
    <row r="2807" spans="1:8" x14ac:dyDescent="0.3">
      <c r="A2807" s="74" t="str">
        <f t="shared" si="43"/>
        <v>贵州46156</v>
      </c>
      <c r="B2807" s="75" t="s">
        <v>22</v>
      </c>
      <c r="C2807" s="45">
        <v>46156</v>
      </c>
      <c r="D2807" s="76">
        <v>1283.293172078</v>
      </c>
      <c r="E2807" s="77">
        <v>132</v>
      </c>
      <c r="F2807" s="78">
        <v>10.5056367215136</v>
      </c>
      <c r="G2807" s="78">
        <v>10.5056367215136</v>
      </c>
      <c r="H2807" s="81">
        <v>9.8149635287666701</v>
      </c>
    </row>
    <row r="2808" spans="1:8" x14ac:dyDescent="0.3">
      <c r="A2808" s="74" t="str">
        <f t="shared" si="43"/>
        <v>贵州46157</v>
      </c>
      <c r="B2808" s="75" t="s">
        <v>22</v>
      </c>
      <c r="C2808" s="45">
        <v>46157</v>
      </c>
      <c r="D2808" s="76">
        <v>1283.293172078</v>
      </c>
      <c r="E2808" s="77">
        <v>132</v>
      </c>
      <c r="F2808" s="78">
        <v>10.5056367215136</v>
      </c>
      <c r="G2808" s="78">
        <v>10.5056367215136</v>
      </c>
      <c r="H2808" s="81">
        <v>9.8149635287666701</v>
      </c>
    </row>
    <row r="2809" spans="1:8" x14ac:dyDescent="0.3">
      <c r="A2809" s="74" t="str">
        <f t="shared" si="43"/>
        <v>贵州46158</v>
      </c>
      <c r="B2809" s="75" t="s">
        <v>22</v>
      </c>
      <c r="C2809" s="45">
        <v>46158</v>
      </c>
      <c r="D2809" s="76">
        <v>1283.293172078</v>
      </c>
      <c r="E2809" s="77">
        <v>132</v>
      </c>
      <c r="F2809" s="78">
        <v>10.5056367215136</v>
      </c>
      <c r="G2809" s="78">
        <v>10.5056367215136</v>
      </c>
      <c r="H2809" s="81">
        <v>9.8149635287666701</v>
      </c>
    </row>
    <row r="2810" spans="1:8" x14ac:dyDescent="0.3">
      <c r="A2810" s="74" t="str">
        <f t="shared" si="43"/>
        <v>贵州46159</v>
      </c>
      <c r="B2810" s="75" t="s">
        <v>22</v>
      </c>
      <c r="C2810" s="45">
        <v>46159</v>
      </c>
      <c r="D2810" s="76">
        <v>1283.293172078</v>
      </c>
      <c r="E2810" s="77">
        <v>132</v>
      </c>
      <c r="F2810" s="78">
        <v>10.5056367215136</v>
      </c>
      <c r="G2810" s="78">
        <v>10.5056367215136</v>
      </c>
      <c r="H2810" s="81">
        <v>9.8149635287666701</v>
      </c>
    </row>
    <row r="2811" spans="1:8" x14ac:dyDescent="0.3">
      <c r="A2811" s="74" t="str">
        <f t="shared" si="43"/>
        <v>贵州46160</v>
      </c>
      <c r="B2811" s="75" t="s">
        <v>22</v>
      </c>
      <c r="C2811" s="45">
        <v>46160</v>
      </c>
      <c r="D2811" s="76">
        <v>1283.293172078</v>
      </c>
      <c r="E2811" s="77">
        <v>132</v>
      </c>
      <c r="F2811" s="78">
        <v>10.5056367215136</v>
      </c>
      <c r="G2811" s="78">
        <v>10.5056367215136</v>
      </c>
      <c r="H2811" s="81">
        <v>9.8149635287666701</v>
      </c>
    </row>
    <row r="2812" spans="1:8" x14ac:dyDescent="0.3">
      <c r="A2812" s="74" t="str">
        <f t="shared" si="43"/>
        <v>贵州46161</v>
      </c>
      <c r="B2812" s="75" t="s">
        <v>22</v>
      </c>
      <c r="C2812" s="45">
        <v>46161</v>
      </c>
      <c r="D2812" s="76">
        <v>1283.293172078</v>
      </c>
      <c r="E2812" s="77">
        <v>132</v>
      </c>
      <c r="F2812" s="78">
        <v>10.5056367215136</v>
      </c>
      <c r="G2812" s="78">
        <v>10.5056367215136</v>
      </c>
      <c r="H2812" s="81">
        <v>9.8149635287666701</v>
      </c>
    </row>
    <row r="2813" spans="1:8" x14ac:dyDescent="0.3">
      <c r="A2813" s="74" t="str">
        <f t="shared" si="43"/>
        <v>贵州46162</v>
      </c>
      <c r="B2813" s="75" t="s">
        <v>22</v>
      </c>
      <c r="C2813" s="45">
        <v>46162</v>
      </c>
      <c r="D2813" s="76">
        <v>1283.293172078</v>
      </c>
      <c r="E2813" s="77">
        <v>132</v>
      </c>
      <c r="F2813" s="78">
        <v>10.5056367215136</v>
      </c>
      <c r="G2813" s="78">
        <v>10.5056367215136</v>
      </c>
      <c r="H2813" s="81">
        <v>9.8149635287666701</v>
      </c>
    </row>
    <row r="2814" spans="1:8" x14ac:dyDescent="0.3">
      <c r="A2814" s="74" t="str">
        <f t="shared" si="43"/>
        <v>贵州46163</v>
      </c>
      <c r="B2814" s="75" t="s">
        <v>22</v>
      </c>
      <c r="C2814" s="45">
        <v>46163</v>
      </c>
      <c r="D2814" s="76">
        <v>1283.293172078</v>
      </c>
      <c r="E2814" s="77">
        <v>132</v>
      </c>
      <c r="F2814" s="78">
        <v>10.5056367215136</v>
      </c>
      <c r="G2814" s="78">
        <v>10.5056367215136</v>
      </c>
      <c r="H2814" s="81">
        <v>9.8149635287666701</v>
      </c>
    </row>
    <row r="2815" spans="1:8" x14ac:dyDescent="0.3">
      <c r="A2815" s="74" t="str">
        <f t="shared" si="43"/>
        <v>贵州46164</v>
      </c>
      <c r="B2815" s="75" t="s">
        <v>22</v>
      </c>
      <c r="C2815" s="45">
        <v>46164</v>
      </c>
      <c r="D2815" s="76">
        <v>1283.293172078</v>
      </c>
      <c r="E2815" s="77">
        <v>132</v>
      </c>
      <c r="F2815" s="78">
        <v>10.5056367215136</v>
      </c>
      <c r="G2815" s="78">
        <v>10.5056367215136</v>
      </c>
      <c r="H2815" s="81">
        <v>9.8149635287666701</v>
      </c>
    </row>
    <row r="2816" spans="1:8" x14ac:dyDescent="0.3">
      <c r="A2816" s="74" t="str">
        <f t="shared" si="43"/>
        <v>贵州46165</v>
      </c>
      <c r="B2816" s="75" t="s">
        <v>22</v>
      </c>
      <c r="C2816" s="45">
        <v>46165</v>
      </c>
      <c r="D2816" s="76">
        <v>1283.293172078</v>
      </c>
      <c r="E2816" s="77">
        <v>132</v>
      </c>
      <c r="F2816" s="78">
        <v>10.5056367215136</v>
      </c>
      <c r="G2816" s="78">
        <v>10.5056367215136</v>
      </c>
      <c r="H2816" s="81">
        <v>9.8149635287666701</v>
      </c>
    </row>
    <row r="2817" spans="1:8" x14ac:dyDescent="0.3">
      <c r="A2817" s="74" t="str">
        <f t="shared" si="43"/>
        <v>贵州46166</v>
      </c>
      <c r="B2817" s="75" t="s">
        <v>22</v>
      </c>
      <c r="C2817" s="45">
        <v>46166</v>
      </c>
      <c r="D2817" s="76">
        <v>1283.293172078</v>
      </c>
      <c r="E2817" s="77">
        <v>132</v>
      </c>
      <c r="F2817" s="78">
        <v>10.5056367215136</v>
      </c>
      <c r="G2817" s="78">
        <v>10.5056367215136</v>
      </c>
      <c r="H2817" s="81">
        <v>9.8149635287666701</v>
      </c>
    </row>
    <row r="2818" spans="1:8" x14ac:dyDescent="0.3">
      <c r="A2818" s="74" t="str">
        <f t="shared" si="43"/>
        <v>贵州46167</v>
      </c>
      <c r="B2818" s="75" t="s">
        <v>22</v>
      </c>
      <c r="C2818" s="45">
        <v>46167</v>
      </c>
      <c r="D2818" s="76">
        <v>1283.293172078</v>
      </c>
      <c r="E2818" s="77">
        <v>132</v>
      </c>
      <c r="F2818" s="78">
        <v>10.5056367215136</v>
      </c>
      <c r="G2818" s="78">
        <v>10.5056367215136</v>
      </c>
      <c r="H2818" s="81">
        <v>9.8149635287666701</v>
      </c>
    </row>
    <row r="2819" spans="1:8" x14ac:dyDescent="0.3">
      <c r="A2819" s="74" t="str">
        <f t="shared" ref="A2819:A2882" si="44">B2819&amp;C2819</f>
        <v>贵州46168</v>
      </c>
      <c r="B2819" s="75" t="s">
        <v>22</v>
      </c>
      <c r="C2819" s="45">
        <v>46168</v>
      </c>
      <c r="D2819" s="76">
        <v>1283.293172078</v>
      </c>
      <c r="E2819" s="77">
        <v>132</v>
      </c>
      <c r="F2819" s="78">
        <v>10.5056367215136</v>
      </c>
      <c r="G2819" s="78">
        <v>10.5056367215136</v>
      </c>
      <c r="H2819" s="81">
        <v>9.8149635287666701</v>
      </c>
    </row>
    <row r="2820" spans="1:8" x14ac:dyDescent="0.3">
      <c r="A2820" s="74" t="str">
        <f t="shared" si="44"/>
        <v>贵州46169</v>
      </c>
      <c r="B2820" s="75" t="s">
        <v>22</v>
      </c>
      <c r="C2820" s="45">
        <v>46169</v>
      </c>
      <c r="D2820" s="76">
        <v>1283.293172078</v>
      </c>
      <c r="E2820" s="77">
        <v>132</v>
      </c>
      <c r="F2820" s="78">
        <v>10.5056367215136</v>
      </c>
      <c r="G2820" s="78">
        <v>10.5056367215136</v>
      </c>
      <c r="H2820" s="81">
        <v>9.8149635287666701</v>
      </c>
    </row>
    <row r="2821" spans="1:8" x14ac:dyDescent="0.3">
      <c r="A2821" s="74" t="str">
        <f t="shared" si="44"/>
        <v>贵州46170</v>
      </c>
      <c r="B2821" s="75" t="s">
        <v>22</v>
      </c>
      <c r="C2821" s="45">
        <v>46170</v>
      </c>
      <c r="D2821" s="76">
        <v>1283.293172078</v>
      </c>
      <c r="E2821" s="77">
        <v>132</v>
      </c>
      <c r="F2821" s="78">
        <v>10.5056367215136</v>
      </c>
      <c r="G2821" s="78">
        <v>10.5056367215136</v>
      </c>
      <c r="H2821" s="81">
        <v>9.8149635287666701</v>
      </c>
    </row>
    <row r="2822" spans="1:8" x14ac:dyDescent="0.3">
      <c r="A2822" s="74" t="str">
        <f t="shared" si="44"/>
        <v>贵州46171</v>
      </c>
      <c r="B2822" s="75" t="s">
        <v>22</v>
      </c>
      <c r="C2822" s="45">
        <v>46171</v>
      </c>
      <c r="D2822" s="76">
        <v>1283.293172078</v>
      </c>
      <c r="E2822" s="77">
        <v>132</v>
      </c>
      <c r="F2822" s="78">
        <v>10.5056367215136</v>
      </c>
      <c r="G2822" s="78">
        <v>10.5056367215136</v>
      </c>
      <c r="H2822" s="81">
        <v>9.8149635287666701</v>
      </c>
    </row>
    <row r="2823" spans="1:8" x14ac:dyDescent="0.3">
      <c r="A2823" s="74" t="str">
        <f t="shared" si="44"/>
        <v>贵州46172</v>
      </c>
      <c r="B2823" s="75" t="s">
        <v>22</v>
      </c>
      <c r="C2823" s="45">
        <v>46172</v>
      </c>
      <c r="D2823" s="76">
        <v>1283.293172078</v>
      </c>
      <c r="E2823" s="77">
        <v>132</v>
      </c>
      <c r="F2823" s="78">
        <v>10.5056367215136</v>
      </c>
      <c r="G2823" s="78">
        <v>10.5056367215136</v>
      </c>
      <c r="H2823" s="81">
        <v>9.8149635287666701</v>
      </c>
    </row>
    <row r="2824" spans="1:8" x14ac:dyDescent="0.3">
      <c r="A2824" s="74" t="str">
        <f t="shared" si="44"/>
        <v>贵州46173</v>
      </c>
      <c r="B2824" s="75" t="s">
        <v>22</v>
      </c>
      <c r="C2824" s="45">
        <v>46173</v>
      </c>
      <c r="D2824" s="76">
        <v>1283.293172078</v>
      </c>
      <c r="E2824" s="77">
        <v>132</v>
      </c>
      <c r="F2824" s="78">
        <v>10.5056367215136</v>
      </c>
      <c r="G2824" s="78">
        <v>10.5056367215136</v>
      </c>
      <c r="H2824" s="81">
        <v>9.8149635287666701</v>
      </c>
    </row>
    <row r="2825" spans="1:8" x14ac:dyDescent="0.3">
      <c r="A2825" s="74" t="str">
        <f t="shared" si="44"/>
        <v>贵州46174</v>
      </c>
      <c r="B2825" s="75" t="s">
        <v>22</v>
      </c>
      <c r="C2825" s="45">
        <v>46174</v>
      </c>
      <c r="D2825" s="76">
        <v>1207.6390943875399</v>
      </c>
      <c r="E2825" s="77">
        <v>132</v>
      </c>
      <c r="F2825" s="78">
        <v>11.5287480489604</v>
      </c>
      <c r="G2825" s="78">
        <v>11.5287480489604</v>
      </c>
      <c r="H2825" s="81">
        <v>10.6834999433327</v>
      </c>
    </row>
    <row r="2826" spans="1:8" x14ac:dyDescent="0.3">
      <c r="A2826" s="74" t="str">
        <f t="shared" si="44"/>
        <v>贵州46175</v>
      </c>
      <c r="B2826" s="75" t="s">
        <v>22</v>
      </c>
      <c r="C2826" s="45">
        <v>46175</v>
      </c>
      <c r="D2826" s="76">
        <v>1207.6390943875399</v>
      </c>
      <c r="E2826" s="77">
        <v>132</v>
      </c>
      <c r="F2826" s="78">
        <v>11.5287480489604</v>
      </c>
      <c r="G2826" s="78">
        <v>11.5287480489604</v>
      </c>
      <c r="H2826" s="81">
        <v>10.6834999433327</v>
      </c>
    </row>
    <row r="2827" spans="1:8" x14ac:dyDescent="0.3">
      <c r="A2827" s="74" t="str">
        <f t="shared" si="44"/>
        <v>贵州46176</v>
      </c>
      <c r="B2827" s="75" t="s">
        <v>22</v>
      </c>
      <c r="C2827" s="45">
        <v>46176</v>
      </c>
      <c r="D2827" s="76">
        <v>1207.6390943875399</v>
      </c>
      <c r="E2827" s="77">
        <v>132</v>
      </c>
      <c r="F2827" s="78">
        <v>11.5287480489604</v>
      </c>
      <c r="G2827" s="78">
        <v>11.5287480489604</v>
      </c>
      <c r="H2827" s="81">
        <v>10.6834999433327</v>
      </c>
    </row>
    <row r="2828" spans="1:8" x14ac:dyDescent="0.3">
      <c r="A2828" s="74" t="str">
        <f t="shared" si="44"/>
        <v>贵州46177</v>
      </c>
      <c r="B2828" s="75" t="s">
        <v>22</v>
      </c>
      <c r="C2828" s="45">
        <v>46177</v>
      </c>
      <c r="D2828" s="76">
        <v>1207.6390943875399</v>
      </c>
      <c r="E2828" s="77">
        <v>132</v>
      </c>
      <c r="F2828" s="78">
        <v>11.5287480489604</v>
      </c>
      <c r="G2828" s="78">
        <v>11.5287480489604</v>
      </c>
      <c r="H2828" s="81">
        <v>10.6834999433327</v>
      </c>
    </row>
    <row r="2829" spans="1:8" x14ac:dyDescent="0.3">
      <c r="A2829" s="74" t="str">
        <f t="shared" si="44"/>
        <v>贵州46178</v>
      </c>
      <c r="B2829" s="75" t="s">
        <v>22</v>
      </c>
      <c r="C2829" s="45">
        <v>46178</v>
      </c>
      <c r="D2829" s="76">
        <v>1207.6390943875399</v>
      </c>
      <c r="E2829" s="77">
        <v>132</v>
      </c>
      <c r="F2829" s="78">
        <v>11.5287480489604</v>
      </c>
      <c r="G2829" s="78">
        <v>11.5287480489604</v>
      </c>
      <c r="H2829" s="81">
        <v>10.6834999433327</v>
      </c>
    </row>
    <row r="2830" spans="1:8" x14ac:dyDescent="0.3">
      <c r="A2830" s="74" t="str">
        <f t="shared" si="44"/>
        <v>贵州46179</v>
      </c>
      <c r="B2830" s="75" t="s">
        <v>22</v>
      </c>
      <c r="C2830" s="45">
        <v>46179</v>
      </c>
      <c r="D2830" s="76">
        <v>1207.6390943875399</v>
      </c>
      <c r="E2830" s="77">
        <v>132</v>
      </c>
      <c r="F2830" s="78">
        <v>11.5287480489604</v>
      </c>
      <c r="G2830" s="78">
        <v>11.5287480489604</v>
      </c>
      <c r="H2830" s="81">
        <v>10.6834999433327</v>
      </c>
    </row>
    <row r="2831" spans="1:8" x14ac:dyDescent="0.3">
      <c r="A2831" s="74" t="str">
        <f t="shared" si="44"/>
        <v>贵州46180</v>
      </c>
      <c r="B2831" s="75" t="s">
        <v>22</v>
      </c>
      <c r="C2831" s="45">
        <v>46180</v>
      </c>
      <c r="D2831" s="76">
        <v>1207.6390943875399</v>
      </c>
      <c r="E2831" s="77">
        <v>132</v>
      </c>
      <c r="F2831" s="78">
        <v>11.5287480489604</v>
      </c>
      <c r="G2831" s="78">
        <v>11.5287480489604</v>
      </c>
      <c r="H2831" s="81">
        <v>10.6834999433327</v>
      </c>
    </row>
    <row r="2832" spans="1:8" x14ac:dyDescent="0.3">
      <c r="A2832" s="74" t="str">
        <f t="shared" si="44"/>
        <v>贵州46181</v>
      </c>
      <c r="B2832" s="75" t="s">
        <v>22</v>
      </c>
      <c r="C2832" s="45">
        <v>46181</v>
      </c>
      <c r="D2832" s="76">
        <v>1207.6390943875399</v>
      </c>
      <c r="E2832" s="77">
        <v>132</v>
      </c>
      <c r="F2832" s="78">
        <v>11.5287480489604</v>
      </c>
      <c r="G2832" s="78">
        <v>11.5287480489604</v>
      </c>
      <c r="H2832" s="81">
        <v>10.6834999433327</v>
      </c>
    </row>
    <row r="2833" spans="1:8" x14ac:dyDescent="0.3">
      <c r="A2833" s="74" t="str">
        <f t="shared" si="44"/>
        <v>贵州46182</v>
      </c>
      <c r="B2833" s="75" t="s">
        <v>22</v>
      </c>
      <c r="C2833" s="45">
        <v>46182</v>
      </c>
      <c r="D2833" s="76">
        <v>1207.6390943875399</v>
      </c>
      <c r="E2833" s="77">
        <v>132</v>
      </c>
      <c r="F2833" s="78">
        <v>11.5287480489604</v>
      </c>
      <c r="G2833" s="78">
        <v>11.5287480489604</v>
      </c>
      <c r="H2833" s="81">
        <v>10.6834999433327</v>
      </c>
    </row>
    <row r="2834" spans="1:8" x14ac:dyDescent="0.3">
      <c r="A2834" s="74" t="str">
        <f t="shared" si="44"/>
        <v>贵州46183</v>
      </c>
      <c r="B2834" s="75" t="s">
        <v>22</v>
      </c>
      <c r="C2834" s="45">
        <v>46183</v>
      </c>
      <c r="D2834" s="76">
        <v>1207.6390943875399</v>
      </c>
      <c r="E2834" s="77">
        <v>132</v>
      </c>
      <c r="F2834" s="78">
        <v>11.5287480489604</v>
      </c>
      <c r="G2834" s="78">
        <v>11.5287480489604</v>
      </c>
      <c r="H2834" s="81">
        <v>10.6834999433327</v>
      </c>
    </row>
    <row r="2835" spans="1:8" x14ac:dyDescent="0.3">
      <c r="A2835" s="74" t="str">
        <f t="shared" si="44"/>
        <v>贵州46184</v>
      </c>
      <c r="B2835" s="75" t="s">
        <v>22</v>
      </c>
      <c r="C2835" s="45">
        <v>46184</v>
      </c>
      <c r="D2835" s="76">
        <v>1207.6390943875399</v>
      </c>
      <c r="E2835" s="77">
        <v>132</v>
      </c>
      <c r="F2835" s="78">
        <v>11.5287480489604</v>
      </c>
      <c r="G2835" s="78">
        <v>11.5287480489604</v>
      </c>
      <c r="H2835" s="81">
        <v>10.6834999433327</v>
      </c>
    </row>
    <row r="2836" spans="1:8" x14ac:dyDescent="0.3">
      <c r="A2836" s="74" t="str">
        <f t="shared" si="44"/>
        <v>贵州46185</v>
      </c>
      <c r="B2836" s="75" t="s">
        <v>22</v>
      </c>
      <c r="C2836" s="45">
        <v>46185</v>
      </c>
      <c r="D2836" s="76">
        <v>1207.6390943875399</v>
      </c>
      <c r="E2836" s="77">
        <v>132</v>
      </c>
      <c r="F2836" s="78">
        <v>11.5287480489604</v>
      </c>
      <c r="G2836" s="78">
        <v>11.5287480489604</v>
      </c>
      <c r="H2836" s="81">
        <v>10.6834999433327</v>
      </c>
    </row>
    <row r="2837" spans="1:8" x14ac:dyDescent="0.3">
      <c r="A2837" s="74" t="str">
        <f t="shared" si="44"/>
        <v>贵州46186</v>
      </c>
      <c r="B2837" s="75" t="s">
        <v>22</v>
      </c>
      <c r="C2837" s="45">
        <v>46186</v>
      </c>
      <c r="D2837" s="76">
        <v>1207.6390943875399</v>
      </c>
      <c r="E2837" s="77">
        <v>132</v>
      </c>
      <c r="F2837" s="78">
        <v>11.5287480489604</v>
      </c>
      <c r="G2837" s="78">
        <v>11.5287480489604</v>
      </c>
      <c r="H2837" s="81">
        <v>10.6834999433327</v>
      </c>
    </row>
    <row r="2838" spans="1:8" x14ac:dyDescent="0.3">
      <c r="A2838" s="74" t="str">
        <f t="shared" si="44"/>
        <v>贵州46187</v>
      </c>
      <c r="B2838" s="75" t="s">
        <v>22</v>
      </c>
      <c r="C2838" s="45">
        <v>46187</v>
      </c>
      <c r="D2838" s="76">
        <v>1207.6390943875399</v>
      </c>
      <c r="E2838" s="77">
        <v>132</v>
      </c>
      <c r="F2838" s="78">
        <v>11.5287480489604</v>
      </c>
      <c r="G2838" s="78">
        <v>11.5287480489604</v>
      </c>
      <c r="H2838" s="81">
        <v>10.6834999433327</v>
      </c>
    </row>
    <row r="2839" spans="1:8" x14ac:dyDescent="0.3">
      <c r="A2839" s="74" t="str">
        <f t="shared" si="44"/>
        <v>贵州46188</v>
      </c>
      <c r="B2839" s="75" t="s">
        <v>22</v>
      </c>
      <c r="C2839" s="45">
        <v>46188</v>
      </c>
      <c r="D2839" s="76">
        <v>1207.6390943875399</v>
      </c>
      <c r="E2839" s="77">
        <v>132</v>
      </c>
      <c r="F2839" s="78">
        <v>11.5287480489604</v>
      </c>
      <c r="G2839" s="78">
        <v>11.5287480489604</v>
      </c>
      <c r="H2839" s="81">
        <v>10.6834999433327</v>
      </c>
    </row>
    <row r="2840" spans="1:8" x14ac:dyDescent="0.3">
      <c r="A2840" s="74" t="str">
        <f t="shared" si="44"/>
        <v>贵州46189</v>
      </c>
      <c r="B2840" s="75" t="s">
        <v>22</v>
      </c>
      <c r="C2840" s="45">
        <v>46189</v>
      </c>
      <c r="D2840" s="76">
        <v>1207.6390943875399</v>
      </c>
      <c r="E2840" s="77">
        <v>132</v>
      </c>
      <c r="F2840" s="78">
        <v>11.5287480489604</v>
      </c>
      <c r="G2840" s="78">
        <v>11.5287480489604</v>
      </c>
      <c r="H2840" s="81">
        <v>10.6834999433327</v>
      </c>
    </row>
    <row r="2841" spans="1:8" x14ac:dyDescent="0.3">
      <c r="A2841" s="74" t="str">
        <f t="shared" si="44"/>
        <v>贵州46190</v>
      </c>
      <c r="B2841" s="75" t="s">
        <v>22</v>
      </c>
      <c r="C2841" s="45">
        <v>46190</v>
      </c>
      <c r="D2841" s="76">
        <v>1207.6390943875399</v>
      </c>
      <c r="E2841" s="77">
        <v>132</v>
      </c>
      <c r="F2841" s="78">
        <v>11.5287480489604</v>
      </c>
      <c r="G2841" s="78">
        <v>11.5287480489604</v>
      </c>
      <c r="H2841" s="81">
        <v>10.6834999433327</v>
      </c>
    </row>
    <row r="2842" spans="1:8" x14ac:dyDescent="0.3">
      <c r="A2842" s="74" t="str">
        <f t="shared" si="44"/>
        <v>贵州46191</v>
      </c>
      <c r="B2842" s="75" t="s">
        <v>22</v>
      </c>
      <c r="C2842" s="45">
        <v>46191</v>
      </c>
      <c r="D2842" s="76">
        <v>1207.6390943875399</v>
      </c>
      <c r="E2842" s="77">
        <v>132</v>
      </c>
      <c r="F2842" s="78">
        <v>11.5287480489604</v>
      </c>
      <c r="G2842" s="78">
        <v>11.5287480489604</v>
      </c>
      <c r="H2842" s="81">
        <v>10.6834999433327</v>
      </c>
    </row>
    <row r="2843" spans="1:8" x14ac:dyDescent="0.3">
      <c r="A2843" s="74" t="str">
        <f t="shared" si="44"/>
        <v>贵州46192</v>
      </c>
      <c r="B2843" s="75" t="s">
        <v>22</v>
      </c>
      <c r="C2843" s="45">
        <v>46192</v>
      </c>
      <c r="D2843" s="76">
        <v>1207.6390943875399</v>
      </c>
      <c r="E2843" s="77">
        <v>132</v>
      </c>
      <c r="F2843" s="78">
        <v>11.5287480489604</v>
      </c>
      <c r="G2843" s="78">
        <v>11.5287480489604</v>
      </c>
      <c r="H2843" s="81">
        <v>10.6834999433327</v>
      </c>
    </row>
    <row r="2844" spans="1:8" x14ac:dyDescent="0.3">
      <c r="A2844" s="74" t="str">
        <f t="shared" si="44"/>
        <v>贵州46193</v>
      </c>
      <c r="B2844" s="75" t="s">
        <v>22</v>
      </c>
      <c r="C2844" s="45">
        <v>46193</v>
      </c>
      <c r="D2844" s="76">
        <v>1207.6390943875399</v>
      </c>
      <c r="E2844" s="77">
        <v>132</v>
      </c>
      <c r="F2844" s="78">
        <v>11.5287480489604</v>
      </c>
      <c r="G2844" s="78">
        <v>11.5287480489604</v>
      </c>
      <c r="H2844" s="81">
        <v>10.6834999433327</v>
      </c>
    </row>
    <row r="2845" spans="1:8" x14ac:dyDescent="0.3">
      <c r="A2845" s="74" t="str">
        <f t="shared" si="44"/>
        <v>贵州46194</v>
      </c>
      <c r="B2845" s="75" t="s">
        <v>22</v>
      </c>
      <c r="C2845" s="45">
        <v>46194</v>
      </c>
      <c r="D2845" s="76">
        <v>1207.6390943875399</v>
      </c>
      <c r="E2845" s="77">
        <v>132</v>
      </c>
      <c r="F2845" s="78">
        <v>11.5287480489604</v>
      </c>
      <c r="G2845" s="78">
        <v>11.5287480489604</v>
      </c>
      <c r="H2845" s="81">
        <v>10.6834999433327</v>
      </c>
    </row>
    <row r="2846" spans="1:8" x14ac:dyDescent="0.3">
      <c r="A2846" s="74" t="str">
        <f t="shared" si="44"/>
        <v>贵州46195</v>
      </c>
      <c r="B2846" s="75" t="s">
        <v>22</v>
      </c>
      <c r="C2846" s="45">
        <v>46195</v>
      </c>
      <c r="D2846" s="76">
        <v>1207.6390943875399</v>
      </c>
      <c r="E2846" s="77">
        <v>132</v>
      </c>
      <c r="F2846" s="78">
        <v>11.5287480489604</v>
      </c>
      <c r="G2846" s="78">
        <v>11.5287480489604</v>
      </c>
      <c r="H2846" s="81">
        <v>10.6834999433327</v>
      </c>
    </row>
    <row r="2847" spans="1:8" x14ac:dyDescent="0.3">
      <c r="A2847" s="74" t="str">
        <f t="shared" si="44"/>
        <v>贵州46196</v>
      </c>
      <c r="B2847" s="75" t="s">
        <v>22</v>
      </c>
      <c r="C2847" s="45">
        <v>46196</v>
      </c>
      <c r="D2847" s="76">
        <v>1207.6390943875399</v>
      </c>
      <c r="E2847" s="77">
        <v>132</v>
      </c>
      <c r="F2847" s="78">
        <v>11.5287480489604</v>
      </c>
      <c r="G2847" s="78">
        <v>11.5287480489604</v>
      </c>
      <c r="H2847" s="81">
        <v>10.6834999433327</v>
      </c>
    </row>
    <row r="2848" spans="1:8" x14ac:dyDescent="0.3">
      <c r="A2848" s="74" t="str">
        <f t="shared" si="44"/>
        <v>贵州46197</v>
      </c>
      <c r="B2848" s="75" t="s">
        <v>22</v>
      </c>
      <c r="C2848" s="45">
        <v>46197</v>
      </c>
      <c r="D2848" s="76">
        <v>1207.6390943875399</v>
      </c>
      <c r="E2848" s="77">
        <v>132</v>
      </c>
      <c r="F2848" s="78">
        <v>11.5287480489604</v>
      </c>
      <c r="G2848" s="78">
        <v>11.5287480489604</v>
      </c>
      <c r="H2848" s="81">
        <v>10.6834999433327</v>
      </c>
    </row>
    <row r="2849" spans="1:8" x14ac:dyDescent="0.3">
      <c r="A2849" s="74" t="str">
        <f t="shared" si="44"/>
        <v>贵州46198</v>
      </c>
      <c r="B2849" s="75" t="s">
        <v>22</v>
      </c>
      <c r="C2849" s="45">
        <v>46198</v>
      </c>
      <c r="D2849" s="76">
        <v>1207.6390943875399</v>
      </c>
      <c r="E2849" s="77">
        <v>132</v>
      </c>
      <c r="F2849" s="78">
        <v>11.5287480489604</v>
      </c>
      <c r="G2849" s="78">
        <v>11.5287480489604</v>
      </c>
      <c r="H2849" s="81">
        <v>10.6834999433327</v>
      </c>
    </row>
    <row r="2850" spans="1:8" x14ac:dyDescent="0.3">
      <c r="A2850" s="74" t="str">
        <f t="shared" si="44"/>
        <v>贵州46199</v>
      </c>
      <c r="B2850" s="75" t="s">
        <v>22</v>
      </c>
      <c r="C2850" s="45">
        <v>46199</v>
      </c>
      <c r="D2850" s="76">
        <v>1207.6390943875399</v>
      </c>
      <c r="E2850" s="77">
        <v>132</v>
      </c>
      <c r="F2850" s="78">
        <v>11.5287480489604</v>
      </c>
      <c r="G2850" s="78">
        <v>11.5287480489604</v>
      </c>
      <c r="H2850" s="81">
        <v>10.6834999433327</v>
      </c>
    </row>
    <row r="2851" spans="1:8" x14ac:dyDescent="0.3">
      <c r="A2851" s="74" t="str">
        <f t="shared" si="44"/>
        <v>贵州46200</v>
      </c>
      <c r="B2851" s="75" t="s">
        <v>22</v>
      </c>
      <c r="C2851" s="45">
        <v>46200</v>
      </c>
      <c r="D2851" s="76">
        <v>1207.6390943875399</v>
      </c>
      <c r="E2851" s="77">
        <v>132</v>
      </c>
      <c r="F2851" s="78">
        <v>11.5287480489604</v>
      </c>
      <c r="G2851" s="78">
        <v>11.5287480489604</v>
      </c>
      <c r="H2851" s="81">
        <v>10.6834999433327</v>
      </c>
    </row>
    <row r="2852" spans="1:8" x14ac:dyDescent="0.3">
      <c r="A2852" s="74" t="str">
        <f t="shared" si="44"/>
        <v>贵州46201</v>
      </c>
      <c r="B2852" s="75" t="s">
        <v>22</v>
      </c>
      <c r="C2852" s="45">
        <v>46201</v>
      </c>
      <c r="D2852" s="76">
        <v>1207.6390943875399</v>
      </c>
      <c r="E2852" s="77">
        <v>132</v>
      </c>
      <c r="F2852" s="78">
        <v>11.5287480489604</v>
      </c>
      <c r="G2852" s="78">
        <v>11.5287480489604</v>
      </c>
      <c r="H2852" s="81">
        <v>10.6834999433327</v>
      </c>
    </row>
    <row r="2853" spans="1:8" x14ac:dyDescent="0.3">
      <c r="A2853" s="74" t="str">
        <f t="shared" si="44"/>
        <v>贵州46202</v>
      </c>
      <c r="B2853" s="75" t="s">
        <v>22</v>
      </c>
      <c r="C2853" s="45">
        <v>46202</v>
      </c>
      <c r="D2853" s="76">
        <v>1207.6390943875399</v>
      </c>
      <c r="E2853" s="77">
        <v>132</v>
      </c>
      <c r="F2853" s="78">
        <v>11.5287480489604</v>
      </c>
      <c r="G2853" s="78">
        <v>11.5287480489604</v>
      </c>
      <c r="H2853" s="81">
        <v>10.6834999433327</v>
      </c>
    </row>
    <row r="2854" spans="1:8" x14ac:dyDescent="0.3">
      <c r="A2854" s="74" t="str">
        <f t="shared" si="44"/>
        <v>贵州46203</v>
      </c>
      <c r="B2854" s="75" t="s">
        <v>22</v>
      </c>
      <c r="C2854" s="45">
        <v>46203</v>
      </c>
      <c r="D2854" s="76">
        <v>1207.6390943875399</v>
      </c>
      <c r="E2854" s="77">
        <v>132</v>
      </c>
      <c r="F2854" s="78">
        <v>11.5287480489604</v>
      </c>
      <c r="G2854" s="78">
        <v>11.5287480489604</v>
      </c>
      <c r="H2854" s="81">
        <v>10.6834999433327</v>
      </c>
    </row>
    <row r="2855" spans="1:8" x14ac:dyDescent="0.3">
      <c r="A2855" s="74" t="str">
        <f t="shared" si="44"/>
        <v>贵州46204</v>
      </c>
      <c r="B2855" s="75" t="s">
        <v>22</v>
      </c>
      <c r="C2855" s="45">
        <v>46204</v>
      </c>
      <c r="D2855" s="76">
        <v>1180.7642913949201</v>
      </c>
      <c r="E2855" s="77">
        <v>132</v>
      </c>
      <c r="F2855" s="78">
        <v>12.0118404696985</v>
      </c>
      <c r="G2855" s="78">
        <v>12.0118404696985</v>
      </c>
      <c r="H2855" s="81">
        <v>11.5520363578988</v>
      </c>
    </row>
    <row r="2856" spans="1:8" x14ac:dyDescent="0.3">
      <c r="A2856" s="74" t="str">
        <f t="shared" si="44"/>
        <v>贵州46205</v>
      </c>
      <c r="B2856" s="75" t="s">
        <v>22</v>
      </c>
      <c r="C2856" s="45">
        <v>46205</v>
      </c>
      <c r="D2856" s="76">
        <v>1180.7642913949201</v>
      </c>
      <c r="E2856" s="77">
        <v>132</v>
      </c>
      <c r="F2856" s="78">
        <v>12.0118404696985</v>
      </c>
      <c r="G2856" s="78">
        <v>12.0118404696985</v>
      </c>
      <c r="H2856" s="81">
        <v>11.5520363578988</v>
      </c>
    </row>
    <row r="2857" spans="1:8" x14ac:dyDescent="0.3">
      <c r="A2857" s="74" t="str">
        <f t="shared" si="44"/>
        <v>贵州46206</v>
      </c>
      <c r="B2857" s="75" t="s">
        <v>22</v>
      </c>
      <c r="C2857" s="45">
        <v>46206</v>
      </c>
      <c r="D2857" s="76">
        <v>1180.7642913949201</v>
      </c>
      <c r="E2857" s="77">
        <v>132</v>
      </c>
      <c r="F2857" s="78">
        <v>12.0118404696985</v>
      </c>
      <c r="G2857" s="78">
        <v>12.0118404696985</v>
      </c>
      <c r="H2857" s="81">
        <v>11.5520363578988</v>
      </c>
    </row>
    <row r="2858" spans="1:8" x14ac:dyDescent="0.3">
      <c r="A2858" s="74" t="str">
        <f t="shared" si="44"/>
        <v>贵州46207</v>
      </c>
      <c r="B2858" s="75" t="s">
        <v>22</v>
      </c>
      <c r="C2858" s="45">
        <v>46207</v>
      </c>
      <c r="D2858" s="76">
        <v>1180.7642913949201</v>
      </c>
      <c r="E2858" s="77">
        <v>132</v>
      </c>
      <c r="F2858" s="78">
        <v>12.0118404696985</v>
      </c>
      <c r="G2858" s="78">
        <v>12.0118404696985</v>
      </c>
      <c r="H2858" s="81">
        <v>11.5520363578988</v>
      </c>
    </row>
    <row r="2859" spans="1:8" x14ac:dyDescent="0.3">
      <c r="A2859" s="74" t="str">
        <f t="shared" si="44"/>
        <v>贵州46208</v>
      </c>
      <c r="B2859" s="75" t="s">
        <v>22</v>
      </c>
      <c r="C2859" s="45">
        <v>46208</v>
      </c>
      <c r="D2859" s="76">
        <v>1180.7642913949201</v>
      </c>
      <c r="E2859" s="77">
        <v>132</v>
      </c>
      <c r="F2859" s="78">
        <v>12.0118404696985</v>
      </c>
      <c r="G2859" s="78">
        <v>12.0118404696985</v>
      </c>
      <c r="H2859" s="81">
        <v>11.5520363578988</v>
      </c>
    </row>
    <row r="2860" spans="1:8" x14ac:dyDescent="0.3">
      <c r="A2860" s="74" t="str">
        <f t="shared" si="44"/>
        <v>贵州46209</v>
      </c>
      <c r="B2860" s="75" t="s">
        <v>22</v>
      </c>
      <c r="C2860" s="45">
        <v>46209</v>
      </c>
      <c r="D2860" s="76">
        <v>1180.7642913949201</v>
      </c>
      <c r="E2860" s="77">
        <v>132</v>
      </c>
      <c r="F2860" s="78">
        <v>12.0118404696985</v>
      </c>
      <c r="G2860" s="78">
        <v>12.0118404696985</v>
      </c>
      <c r="H2860" s="81">
        <v>11.5520363578988</v>
      </c>
    </row>
    <row r="2861" spans="1:8" x14ac:dyDescent="0.3">
      <c r="A2861" s="74" t="str">
        <f t="shared" si="44"/>
        <v>贵州46210</v>
      </c>
      <c r="B2861" s="75" t="s">
        <v>22</v>
      </c>
      <c r="C2861" s="45">
        <v>46210</v>
      </c>
      <c r="D2861" s="76">
        <v>1180.7642913949201</v>
      </c>
      <c r="E2861" s="77">
        <v>132</v>
      </c>
      <c r="F2861" s="78">
        <v>12.0118404696985</v>
      </c>
      <c r="G2861" s="78">
        <v>12.0118404696985</v>
      </c>
      <c r="H2861" s="81">
        <v>11.5520363578988</v>
      </c>
    </row>
    <row r="2862" spans="1:8" x14ac:dyDescent="0.3">
      <c r="A2862" s="74" t="str">
        <f t="shared" si="44"/>
        <v>贵州46211</v>
      </c>
      <c r="B2862" s="75" t="s">
        <v>22</v>
      </c>
      <c r="C2862" s="45">
        <v>46211</v>
      </c>
      <c r="D2862" s="76">
        <v>1180.7642913949201</v>
      </c>
      <c r="E2862" s="77">
        <v>132</v>
      </c>
      <c r="F2862" s="78">
        <v>12.0118404696985</v>
      </c>
      <c r="G2862" s="78">
        <v>12.0118404696985</v>
      </c>
      <c r="H2862" s="81">
        <v>11.5520363578988</v>
      </c>
    </row>
    <row r="2863" spans="1:8" x14ac:dyDescent="0.3">
      <c r="A2863" s="74" t="str">
        <f t="shared" si="44"/>
        <v>贵州46212</v>
      </c>
      <c r="B2863" s="75" t="s">
        <v>22</v>
      </c>
      <c r="C2863" s="45">
        <v>46212</v>
      </c>
      <c r="D2863" s="76">
        <v>1180.7642913949201</v>
      </c>
      <c r="E2863" s="77">
        <v>132</v>
      </c>
      <c r="F2863" s="78">
        <v>12.0118404696985</v>
      </c>
      <c r="G2863" s="78">
        <v>12.0118404696985</v>
      </c>
      <c r="H2863" s="81">
        <v>11.5520363578988</v>
      </c>
    </row>
    <row r="2864" spans="1:8" x14ac:dyDescent="0.3">
      <c r="A2864" s="74" t="str">
        <f t="shared" si="44"/>
        <v>贵州46213</v>
      </c>
      <c r="B2864" s="75" t="s">
        <v>22</v>
      </c>
      <c r="C2864" s="45">
        <v>46213</v>
      </c>
      <c r="D2864" s="76">
        <v>1180.7642913949201</v>
      </c>
      <c r="E2864" s="77">
        <v>132</v>
      </c>
      <c r="F2864" s="78">
        <v>12.0118404696985</v>
      </c>
      <c r="G2864" s="78">
        <v>12.0118404696985</v>
      </c>
      <c r="H2864" s="81">
        <v>11.5520363578988</v>
      </c>
    </row>
    <row r="2865" spans="1:8" x14ac:dyDescent="0.3">
      <c r="A2865" s="74" t="str">
        <f t="shared" si="44"/>
        <v>贵州46214</v>
      </c>
      <c r="B2865" s="75" t="s">
        <v>22</v>
      </c>
      <c r="C2865" s="45">
        <v>46214</v>
      </c>
      <c r="D2865" s="76">
        <v>1180.7642913949201</v>
      </c>
      <c r="E2865" s="77">
        <v>132</v>
      </c>
      <c r="F2865" s="78">
        <v>12.0118404696985</v>
      </c>
      <c r="G2865" s="78">
        <v>12.0118404696985</v>
      </c>
      <c r="H2865" s="81">
        <v>11.5520363578988</v>
      </c>
    </row>
    <row r="2866" spans="1:8" x14ac:dyDescent="0.3">
      <c r="A2866" s="74" t="str">
        <f t="shared" si="44"/>
        <v>贵州46215</v>
      </c>
      <c r="B2866" s="75" t="s">
        <v>22</v>
      </c>
      <c r="C2866" s="45">
        <v>46215</v>
      </c>
      <c r="D2866" s="76">
        <v>1180.7642913949201</v>
      </c>
      <c r="E2866" s="77">
        <v>132</v>
      </c>
      <c r="F2866" s="78">
        <v>12.0118404696985</v>
      </c>
      <c r="G2866" s="78">
        <v>12.0118404696985</v>
      </c>
      <c r="H2866" s="81">
        <v>11.5520363578988</v>
      </c>
    </row>
    <row r="2867" spans="1:8" x14ac:dyDescent="0.3">
      <c r="A2867" s="74" t="str">
        <f t="shared" si="44"/>
        <v>贵州46216</v>
      </c>
      <c r="B2867" s="75" t="s">
        <v>22</v>
      </c>
      <c r="C2867" s="45">
        <v>46216</v>
      </c>
      <c r="D2867" s="76">
        <v>1180.7642913949201</v>
      </c>
      <c r="E2867" s="77">
        <v>132</v>
      </c>
      <c r="F2867" s="78">
        <v>12.0118404696985</v>
      </c>
      <c r="G2867" s="78">
        <v>12.0118404696985</v>
      </c>
      <c r="H2867" s="81">
        <v>11.5520363578988</v>
      </c>
    </row>
    <row r="2868" spans="1:8" x14ac:dyDescent="0.3">
      <c r="A2868" s="74" t="str">
        <f t="shared" si="44"/>
        <v>贵州46217</v>
      </c>
      <c r="B2868" s="75" t="s">
        <v>22</v>
      </c>
      <c r="C2868" s="45">
        <v>46217</v>
      </c>
      <c r="D2868" s="76">
        <v>1180.7642913949201</v>
      </c>
      <c r="E2868" s="77">
        <v>132</v>
      </c>
      <c r="F2868" s="78">
        <v>12.0118404696985</v>
      </c>
      <c r="G2868" s="78">
        <v>12.0118404696985</v>
      </c>
      <c r="H2868" s="81">
        <v>11.5520363578988</v>
      </c>
    </row>
    <row r="2869" spans="1:8" x14ac:dyDescent="0.3">
      <c r="A2869" s="74" t="str">
        <f t="shared" si="44"/>
        <v>贵州46218</v>
      </c>
      <c r="B2869" s="75" t="s">
        <v>22</v>
      </c>
      <c r="C2869" s="45">
        <v>46218</v>
      </c>
      <c r="D2869" s="76">
        <v>1180.7642913949201</v>
      </c>
      <c r="E2869" s="77">
        <v>132</v>
      </c>
      <c r="F2869" s="78">
        <v>12.0118404696985</v>
      </c>
      <c r="G2869" s="78">
        <v>12.0118404696985</v>
      </c>
      <c r="H2869" s="81">
        <v>11.5520363578988</v>
      </c>
    </row>
    <row r="2870" spans="1:8" x14ac:dyDescent="0.3">
      <c r="A2870" s="74" t="str">
        <f t="shared" si="44"/>
        <v>贵州46219</v>
      </c>
      <c r="B2870" s="75" t="s">
        <v>22</v>
      </c>
      <c r="C2870" s="45">
        <v>46219</v>
      </c>
      <c r="D2870" s="76">
        <v>1180.7642913949201</v>
      </c>
      <c r="E2870" s="77">
        <v>132</v>
      </c>
      <c r="F2870" s="78">
        <v>12.0118404696985</v>
      </c>
      <c r="G2870" s="78">
        <v>12.0118404696985</v>
      </c>
      <c r="H2870" s="81">
        <v>11.5520363578988</v>
      </c>
    </row>
    <row r="2871" spans="1:8" x14ac:dyDescent="0.3">
      <c r="A2871" s="74" t="str">
        <f t="shared" si="44"/>
        <v>贵州46220</v>
      </c>
      <c r="B2871" s="75" t="s">
        <v>22</v>
      </c>
      <c r="C2871" s="45">
        <v>46220</v>
      </c>
      <c r="D2871" s="76">
        <v>1180.7642913949201</v>
      </c>
      <c r="E2871" s="77">
        <v>132</v>
      </c>
      <c r="F2871" s="78">
        <v>12.0118404696985</v>
      </c>
      <c r="G2871" s="78">
        <v>12.0118404696985</v>
      </c>
      <c r="H2871" s="81">
        <v>11.5520363578988</v>
      </c>
    </row>
    <row r="2872" spans="1:8" x14ac:dyDescent="0.3">
      <c r="A2872" s="74" t="str">
        <f t="shared" si="44"/>
        <v>贵州46221</v>
      </c>
      <c r="B2872" s="75" t="s">
        <v>22</v>
      </c>
      <c r="C2872" s="45">
        <v>46221</v>
      </c>
      <c r="D2872" s="76">
        <v>1180.7642913949201</v>
      </c>
      <c r="E2872" s="77">
        <v>132</v>
      </c>
      <c r="F2872" s="78">
        <v>12.0118404696985</v>
      </c>
      <c r="G2872" s="78">
        <v>12.0118404696985</v>
      </c>
      <c r="H2872" s="81">
        <v>11.5520363578988</v>
      </c>
    </row>
    <row r="2873" spans="1:8" x14ac:dyDescent="0.3">
      <c r="A2873" s="74" t="str">
        <f t="shared" si="44"/>
        <v>贵州46222</v>
      </c>
      <c r="B2873" s="75" t="s">
        <v>22</v>
      </c>
      <c r="C2873" s="45">
        <v>46222</v>
      </c>
      <c r="D2873" s="76">
        <v>1180.7642913949201</v>
      </c>
      <c r="E2873" s="77">
        <v>132</v>
      </c>
      <c r="F2873" s="78">
        <v>12.0118404696985</v>
      </c>
      <c r="G2873" s="78">
        <v>12.0118404696985</v>
      </c>
      <c r="H2873" s="81">
        <v>11.5520363578988</v>
      </c>
    </row>
    <row r="2874" spans="1:8" x14ac:dyDescent="0.3">
      <c r="A2874" s="74" t="str">
        <f t="shared" si="44"/>
        <v>贵州46223</v>
      </c>
      <c r="B2874" s="75" t="s">
        <v>22</v>
      </c>
      <c r="C2874" s="45">
        <v>46223</v>
      </c>
      <c r="D2874" s="76">
        <v>1180.7642913949201</v>
      </c>
      <c r="E2874" s="77">
        <v>132</v>
      </c>
      <c r="F2874" s="78">
        <v>12.0118404696985</v>
      </c>
      <c r="G2874" s="78">
        <v>12.0118404696985</v>
      </c>
      <c r="H2874" s="81">
        <v>11.5520363578988</v>
      </c>
    </row>
    <row r="2875" spans="1:8" x14ac:dyDescent="0.3">
      <c r="A2875" s="74" t="str">
        <f t="shared" si="44"/>
        <v>贵州46224</v>
      </c>
      <c r="B2875" s="75" t="s">
        <v>22</v>
      </c>
      <c r="C2875" s="45">
        <v>46224</v>
      </c>
      <c r="D2875" s="76">
        <v>1180.7642913949201</v>
      </c>
      <c r="E2875" s="77">
        <v>132</v>
      </c>
      <c r="F2875" s="78">
        <v>12.0118404696985</v>
      </c>
      <c r="G2875" s="78">
        <v>12.0118404696985</v>
      </c>
      <c r="H2875" s="81">
        <v>11.5520363578988</v>
      </c>
    </row>
    <row r="2876" spans="1:8" x14ac:dyDescent="0.3">
      <c r="A2876" s="74" t="str">
        <f t="shared" si="44"/>
        <v>贵州46225</v>
      </c>
      <c r="B2876" s="75" t="s">
        <v>22</v>
      </c>
      <c r="C2876" s="45">
        <v>46225</v>
      </c>
      <c r="D2876" s="76">
        <v>1180.7642913949201</v>
      </c>
      <c r="E2876" s="77">
        <v>132</v>
      </c>
      <c r="F2876" s="78">
        <v>12.0118404696985</v>
      </c>
      <c r="G2876" s="78">
        <v>12.0118404696985</v>
      </c>
      <c r="H2876" s="81">
        <v>11.5520363578988</v>
      </c>
    </row>
    <row r="2877" spans="1:8" x14ac:dyDescent="0.3">
      <c r="A2877" s="74" t="str">
        <f t="shared" si="44"/>
        <v>贵州46226</v>
      </c>
      <c r="B2877" s="75" t="s">
        <v>22</v>
      </c>
      <c r="C2877" s="45">
        <v>46226</v>
      </c>
      <c r="D2877" s="76">
        <v>1180.7642913949201</v>
      </c>
      <c r="E2877" s="77">
        <v>132</v>
      </c>
      <c r="F2877" s="78">
        <v>12.0118404696985</v>
      </c>
      <c r="G2877" s="78">
        <v>12.0118404696985</v>
      </c>
      <c r="H2877" s="81">
        <v>11.5520363578988</v>
      </c>
    </row>
    <row r="2878" spans="1:8" x14ac:dyDescent="0.3">
      <c r="A2878" s="74" t="str">
        <f t="shared" si="44"/>
        <v>贵州46227</v>
      </c>
      <c r="B2878" s="75" t="s">
        <v>22</v>
      </c>
      <c r="C2878" s="45">
        <v>46227</v>
      </c>
      <c r="D2878" s="76">
        <v>1180.7642913949201</v>
      </c>
      <c r="E2878" s="77">
        <v>132</v>
      </c>
      <c r="F2878" s="78">
        <v>12.0118404696985</v>
      </c>
      <c r="G2878" s="78">
        <v>12.0118404696985</v>
      </c>
      <c r="H2878" s="81">
        <v>11.5520363578988</v>
      </c>
    </row>
    <row r="2879" spans="1:8" x14ac:dyDescent="0.3">
      <c r="A2879" s="74" t="str">
        <f t="shared" si="44"/>
        <v>贵州46228</v>
      </c>
      <c r="B2879" s="75" t="s">
        <v>22</v>
      </c>
      <c r="C2879" s="45">
        <v>46228</v>
      </c>
      <c r="D2879" s="76">
        <v>1180.7642913949201</v>
      </c>
      <c r="E2879" s="77">
        <v>132</v>
      </c>
      <c r="F2879" s="78">
        <v>12.0118404696985</v>
      </c>
      <c r="G2879" s="78">
        <v>12.0118404696985</v>
      </c>
      <c r="H2879" s="81">
        <v>11.5520363578988</v>
      </c>
    </row>
    <row r="2880" spans="1:8" x14ac:dyDescent="0.3">
      <c r="A2880" s="74" t="str">
        <f t="shared" si="44"/>
        <v>贵州46229</v>
      </c>
      <c r="B2880" s="75" t="s">
        <v>22</v>
      </c>
      <c r="C2880" s="45">
        <v>46229</v>
      </c>
      <c r="D2880" s="76">
        <v>1180.7642913949201</v>
      </c>
      <c r="E2880" s="77">
        <v>132</v>
      </c>
      <c r="F2880" s="78">
        <v>12.0118404696985</v>
      </c>
      <c r="G2880" s="78">
        <v>12.0118404696985</v>
      </c>
      <c r="H2880" s="81">
        <v>11.5520363578988</v>
      </c>
    </row>
    <row r="2881" spans="1:8" x14ac:dyDescent="0.3">
      <c r="A2881" s="74" t="str">
        <f t="shared" si="44"/>
        <v>贵州46230</v>
      </c>
      <c r="B2881" s="75" t="s">
        <v>22</v>
      </c>
      <c r="C2881" s="45">
        <v>46230</v>
      </c>
      <c r="D2881" s="76">
        <v>1180.7642913949201</v>
      </c>
      <c r="E2881" s="77">
        <v>132</v>
      </c>
      <c r="F2881" s="78">
        <v>12.0118404696985</v>
      </c>
      <c r="G2881" s="78">
        <v>12.0118404696985</v>
      </c>
      <c r="H2881" s="81">
        <v>11.5520363578988</v>
      </c>
    </row>
    <row r="2882" spans="1:8" x14ac:dyDescent="0.3">
      <c r="A2882" s="74" t="str">
        <f t="shared" si="44"/>
        <v>贵州46231</v>
      </c>
      <c r="B2882" s="75" t="s">
        <v>22</v>
      </c>
      <c r="C2882" s="45">
        <v>46231</v>
      </c>
      <c r="D2882" s="76">
        <v>1180.7642913949201</v>
      </c>
      <c r="E2882" s="77">
        <v>132</v>
      </c>
      <c r="F2882" s="78">
        <v>12.0118404696985</v>
      </c>
      <c r="G2882" s="78">
        <v>12.0118404696985</v>
      </c>
      <c r="H2882" s="81">
        <v>11.5520363578988</v>
      </c>
    </row>
    <row r="2883" spans="1:8" x14ac:dyDescent="0.3">
      <c r="A2883" s="74" t="str">
        <f t="shared" ref="A2883:A2946" si="45">B2883&amp;C2883</f>
        <v>贵州46232</v>
      </c>
      <c r="B2883" s="75" t="s">
        <v>22</v>
      </c>
      <c r="C2883" s="45">
        <v>46232</v>
      </c>
      <c r="D2883" s="76">
        <v>1180.7642913949201</v>
      </c>
      <c r="E2883" s="77">
        <v>132</v>
      </c>
      <c r="F2883" s="78">
        <v>12.0118404696985</v>
      </c>
      <c r="G2883" s="78">
        <v>12.0118404696985</v>
      </c>
      <c r="H2883" s="81">
        <v>11.5520363578988</v>
      </c>
    </row>
    <row r="2884" spans="1:8" x14ac:dyDescent="0.3">
      <c r="A2884" s="74" t="str">
        <f t="shared" si="45"/>
        <v>贵州46233</v>
      </c>
      <c r="B2884" s="75" t="s">
        <v>22</v>
      </c>
      <c r="C2884" s="45">
        <v>46233</v>
      </c>
      <c r="D2884" s="76">
        <v>1180.7642913949201</v>
      </c>
      <c r="E2884" s="77">
        <v>132</v>
      </c>
      <c r="F2884" s="78">
        <v>12.0118404696985</v>
      </c>
      <c r="G2884" s="78">
        <v>12.0118404696985</v>
      </c>
      <c r="H2884" s="81">
        <v>11.5520363578988</v>
      </c>
    </row>
    <row r="2885" spans="1:8" x14ac:dyDescent="0.3">
      <c r="A2885" s="74" t="str">
        <f t="shared" si="45"/>
        <v>贵州46234</v>
      </c>
      <c r="B2885" s="75" t="s">
        <v>22</v>
      </c>
      <c r="C2885" s="45">
        <v>46234</v>
      </c>
      <c r="D2885" s="76">
        <v>1180.7642913949201</v>
      </c>
      <c r="E2885" s="77">
        <v>132</v>
      </c>
      <c r="F2885" s="78">
        <v>12.0118404696985</v>
      </c>
      <c r="G2885" s="78">
        <v>12.0118404696985</v>
      </c>
      <c r="H2885" s="81">
        <v>11.5520363578988</v>
      </c>
    </row>
    <row r="2886" spans="1:8" x14ac:dyDescent="0.3">
      <c r="A2886" s="74" t="str">
        <f t="shared" si="45"/>
        <v>贵州46235</v>
      </c>
      <c r="B2886" s="75" t="s">
        <v>22</v>
      </c>
      <c r="C2886" s="45">
        <v>46235</v>
      </c>
      <c r="D2886" s="76">
        <v>1208.2283742039499</v>
      </c>
      <c r="E2886" s="77">
        <v>132</v>
      </c>
      <c r="F2886" s="78">
        <v>12.118155435681</v>
      </c>
      <c r="G2886" s="78">
        <v>12.118155435681</v>
      </c>
      <c r="H2886" s="81">
        <v>12.089223620086999</v>
      </c>
    </row>
    <row r="2887" spans="1:8" x14ac:dyDescent="0.3">
      <c r="A2887" s="74" t="str">
        <f t="shared" si="45"/>
        <v>贵州46236</v>
      </c>
      <c r="B2887" s="75" t="s">
        <v>22</v>
      </c>
      <c r="C2887" s="45">
        <v>46236</v>
      </c>
      <c r="D2887" s="76">
        <v>1208.2283742039499</v>
      </c>
      <c r="E2887" s="77">
        <v>132</v>
      </c>
      <c r="F2887" s="78">
        <v>12.118155435681</v>
      </c>
      <c r="G2887" s="78">
        <v>12.118155435681</v>
      </c>
      <c r="H2887" s="81">
        <v>12.089223620086999</v>
      </c>
    </row>
    <row r="2888" spans="1:8" x14ac:dyDescent="0.3">
      <c r="A2888" s="74" t="str">
        <f t="shared" si="45"/>
        <v>贵州46237</v>
      </c>
      <c r="B2888" s="75" t="s">
        <v>22</v>
      </c>
      <c r="C2888" s="45">
        <v>46237</v>
      </c>
      <c r="D2888" s="76">
        <v>1208.2283742039499</v>
      </c>
      <c r="E2888" s="77">
        <v>132</v>
      </c>
      <c r="F2888" s="78">
        <v>12.118155435681</v>
      </c>
      <c r="G2888" s="78">
        <v>12.118155435681</v>
      </c>
      <c r="H2888" s="81">
        <v>12.089223620086999</v>
      </c>
    </row>
    <row r="2889" spans="1:8" x14ac:dyDescent="0.3">
      <c r="A2889" s="74" t="str">
        <f t="shared" si="45"/>
        <v>贵州46238</v>
      </c>
      <c r="B2889" s="75" t="s">
        <v>22</v>
      </c>
      <c r="C2889" s="45">
        <v>46238</v>
      </c>
      <c r="D2889" s="76">
        <v>1208.2283742039499</v>
      </c>
      <c r="E2889" s="77">
        <v>132</v>
      </c>
      <c r="F2889" s="78">
        <v>12.118155435681</v>
      </c>
      <c r="G2889" s="78">
        <v>12.118155435681</v>
      </c>
      <c r="H2889" s="81">
        <v>12.089223620086999</v>
      </c>
    </row>
    <row r="2890" spans="1:8" x14ac:dyDescent="0.3">
      <c r="A2890" s="74" t="str">
        <f t="shared" si="45"/>
        <v>贵州46239</v>
      </c>
      <c r="B2890" s="75" t="s">
        <v>22</v>
      </c>
      <c r="C2890" s="45">
        <v>46239</v>
      </c>
      <c r="D2890" s="76">
        <v>1208.2283742039499</v>
      </c>
      <c r="E2890" s="77">
        <v>132</v>
      </c>
      <c r="F2890" s="78">
        <v>12.118155435681</v>
      </c>
      <c r="G2890" s="78">
        <v>12.118155435681</v>
      </c>
      <c r="H2890" s="81">
        <v>12.089223620086999</v>
      </c>
    </row>
    <row r="2891" spans="1:8" x14ac:dyDescent="0.3">
      <c r="A2891" s="74" t="str">
        <f t="shared" si="45"/>
        <v>贵州46240</v>
      </c>
      <c r="B2891" s="75" t="s">
        <v>22</v>
      </c>
      <c r="C2891" s="45">
        <v>46240</v>
      </c>
      <c r="D2891" s="76">
        <v>1208.2283742039499</v>
      </c>
      <c r="E2891" s="77">
        <v>132</v>
      </c>
      <c r="F2891" s="78">
        <v>12.118155435681</v>
      </c>
      <c r="G2891" s="78">
        <v>12.118155435681</v>
      </c>
      <c r="H2891" s="81">
        <v>12.089223620086999</v>
      </c>
    </row>
    <row r="2892" spans="1:8" x14ac:dyDescent="0.3">
      <c r="A2892" s="74" t="str">
        <f t="shared" si="45"/>
        <v>贵州46241</v>
      </c>
      <c r="B2892" s="75" t="s">
        <v>22</v>
      </c>
      <c r="C2892" s="45">
        <v>46241</v>
      </c>
      <c r="D2892" s="76">
        <v>1208.2283742039499</v>
      </c>
      <c r="E2892" s="77">
        <v>132</v>
      </c>
      <c r="F2892" s="78">
        <v>12.118155435681</v>
      </c>
      <c r="G2892" s="78">
        <v>12.118155435681</v>
      </c>
      <c r="H2892" s="81">
        <v>12.089223620086999</v>
      </c>
    </row>
    <row r="2893" spans="1:8" x14ac:dyDescent="0.3">
      <c r="A2893" s="74" t="str">
        <f t="shared" si="45"/>
        <v>贵州46242</v>
      </c>
      <c r="B2893" s="75" t="s">
        <v>22</v>
      </c>
      <c r="C2893" s="45">
        <v>46242</v>
      </c>
      <c r="D2893" s="76">
        <v>1208.2283742039499</v>
      </c>
      <c r="E2893" s="77">
        <v>132</v>
      </c>
      <c r="F2893" s="78">
        <v>12.118155435681</v>
      </c>
      <c r="G2893" s="78">
        <v>12.118155435681</v>
      </c>
      <c r="H2893" s="81">
        <v>12.089223620086999</v>
      </c>
    </row>
    <row r="2894" spans="1:8" x14ac:dyDescent="0.3">
      <c r="A2894" s="74" t="str">
        <f t="shared" si="45"/>
        <v>贵州46243</v>
      </c>
      <c r="B2894" s="75" t="s">
        <v>22</v>
      </c>
      <c r="C2894" s="45">
        <v>46243</v>
      </c>
      <c r="D2894" s="76">
        <v>1208.2283742039499</v>
      </c>
      <c r="E2894" s="77">
        <v>132</v>
      </c>
      <c r="F2894" s="78">
        <v>12.118155435681</v>
      </c>
      <c r="G2894" s="78">
        <v>12.118155435681</v>
      </c>
      <c r="H2894" s="81">
        <v>12.089223620086999</v>
      </c>
    </row>
    <row r="2895" spans="1:8" x14ac:dyDescent="0.3">
      <c r="A2895" s="74" t="str">
        <f t="shared" si="45"/>
        <v>贵州46244</v>
      </c>
      <c r="B2895" s="75" t="s">
        <v>22</v>
      </c>
      <c r="C2895" s="45">
        <v>46244</v>
      </c>
      <c r="D2895" s="76">
        <v>1208.2283742039499</v>
      </c>
      <c r="E2895" s="77">
        <v>132</v>
      </c>
      <c r="F2895" s="78">
        <v>12.118155435681</v>
      </c>
      <c r="G2895" s="78">
        <v>12.118155435681</v>
      </c>
      <c r="H2895" s="81">
        <v>12.089223620086999</v>
      </c>
    </row>
    <row r="2896" spans="1:8" x14ac:dyDescent="0.3">
      <c r="A2896" s="74" t="str">
        <f t="shared" si="45"/>
        <v>贵州46245</v>
      </c>
      <c r="B2896" s="75" t="s">
        <v>22</v>
      </c>
      <c r="C2896" s="45">
        <v>46245</v>
      </c>
      <c r="D2896" s="76">
        <v>1208.2283742039499</v>
      </c>
      <c r="E2896" s="77">
        <v>132</v>
      </c>
      <c r="F2896" s="78">
        <v>12.118155435681</v>
      </c>
      <c r="G2896" s="78">
        <v>12.118155435681</v>
      </c>
      <c r="H2896" s="81">
        <v>12.089223620086999</v>
      </c>
    </row>
    <row r="2897" spans="1:8" x14ac:dyDescent="0.3">
      <c r="A2897" s="74" t="str">
        <f t="shared" si="45"/>
        <v>贵州46246</v>
      </c>
      <c r="B2897" s="75" t="s">
        <v>22</v>
      </c>
      <c r="C2897" s="45">
        <v>46246</v>
      </c>
      <c r="D2897" s="76">
        <v>1208.2283742039499</v>
      </c>
      <c r="E2897" s="77">
        <v>132</v>
      </c>
      <c r="F2897" s="78">
        <v>12.118155435681</v>
      </c>
      <c r="G2897" s="78">
        <v>12.118155435681</v>
      </c>
      <c r="H2897" s="81">
        <v>12.089223620086999</v>
      </c>
    </row>
    <row r="2898" spans="1:8" x14ac:dyDescent="0.3">
      <c r="A2898" s="74" t="str">
        <f t="shared" si="45"/>
        <v>贵州46247</v>
      </c>
      <c r="B2898" s="75" t="s">
        <v>22</v>
      </c>
      <c r="C2898" s="45">
        <v>46247</v>
      </c>
      <c r="D2898" s="76">
        <v>1208.2283742039499</v>
      </c>
      <c r="E2898" s="77">
        <v>132</v>
      </c>
      <c r="F2898" s="78">
        <v>12.118155435681</v>
      </c>
      <c r="G2898" s="78">
        <v>12.118155435681</v>
      </c>
      <c r="H2898" s="81">
        <v>12.089223620086999</v>
      </c>
    </row>
    <row r="2899" spans="1:8" x14ac:dyDescent="0.3">
      <c r="A2899" s="74" t="str">
        <f t="shared" si="45"/>
        <v>贵州46248</v>
      </c>
      <c r="B2899" s="75" t="s">
        <v>22</v>
      </c>
      <c r="C2899" s="45">
        <v>46248</v>
      </c>
      <c r="D2899" s="76">
        <v>1208.2283742039499</v>
      </c>
      <c r="E2899" s="77">
        <v>132</v>
      </c>
      <c r="F2899" s="78">
        <v>12.118155435681</v>
      </c>
      <c r="G2899" s="78">
        <v>12.118155435681</v>
      </c>
      <c r="H2899" s="81">
        <v>12.089223620086999</v>
      </c>
    </row>
    <row r="2900" spans="1:8" x14ac:dyDescent="0.3">
      <c r="A2900" s="74" t="str">
        <f t="shared" si="45"/>
        <v>贵州46249</v>
      </c>
      <c r="B2900" s="75" t="s">
        <v>22</v>
      </c>
      <c r="C2900" s="45">
        <v>46249</v>
      </c>
      <c r="D2900" s="76">
        <v>1208.2283742039499</v>
      </c>
      <c r="E2900" s="77">
        <v>132</v>
      </c>
      <c r="F2900" s="78">
        <v>12.118155435681</v>
      </c>
      <c r="G2900" s="78">
        <v>12.118155435681</v>
      </c>
      <c r="H2900" s="81">
        <v>12.089223620086999</v>
      </c>
    </row>
    <row r="2901" spans="1:8" x14ac:dyDescent="0.3">
      <c r="A2901" s="74" t="str">
        <f t="shared" si="45"/>
        <v>贵州46250</v>
      </c>
      <c r="B2901" s="75" t="s">
        <v>22</v>
      </c>
      <c r="C2901" s="45">
        <v>46250</v>
      </c>
      <c r="D2901" s="76">
        <v>1208.2283742039499</v>
      </c>
      <c r="E2901" s="77">
        <v>132</v>
      </c>
      <c r="F2901" s="78">
        <v>12.118155435681</v>
      </c>
      <c r="G2901" s="78">
        <v>12.118155435681</v>
      </c>
      <c r="H2901" s="81">
        <v>12.089223620086999</v>
      </c>
    </row>
    <row r="2902" spans="1:8" x14ac:dyDescent="0.3">
      <c r="A2902" s="74" t="str">
        <f t="shared" si="45"/>
        <v>贵州46251</v>
      </c>
      <c r="B2902" s="75" t="s">
        <v>22</v>
      </c>
      <c r="C2902" s="45">
        <v>46251</v>
      </c>
      <c r="D2902" s="76">
        <v>1208.2283742039499</v>
      </c>
      <c r="E2902" s="77">
        <v>132</v>
      </c>
      <c r="F2902" s="78">
        <v>12.118155435681</v>
      </c>
      <c r="G2902" s="78">
        <v>12.118155435681</v>
      </c>
      <c r="H2902" s="81">
        <v>12.089223620086999</v>
      </c>
    </row>
    <row r="2903" spans="1:8" x14ac:dyDescent="0.3">
      <c r="A2903" s="74" t="str">
        <f t="shared" si="45"/>
        <v>贵州46252</v>
      </c>
      <c r="B2903" s="75" t="s">
        <v>22</v>
      </c>
      <c r="C2903" s="45">
        <v>46252</v>
      </c>
      <c r="D2903" s="76">
        <v>1208.2283742039499</v>
      </c>
      <c r="E2903" s="77">
        <v>132</v>
      </c>
      <c r="F2903" s="78">
        <v>12.118155435681</v>
      </c>
      <c r="G2903" s="78">
        <v>12.118155435681</v>
      </c>
      <c r="H2903" s="81">
        <v>12.089223620086999</v>
      </c>
    </row>
    <row r="2904" spans="1:8" x14ac:dyDescent="0.3">
      <c r="A2904" s="74" t="str">
        <f t="shared" si="45"/>
        <v>贵州46253</v>
      </c>
      <c r="B2904" s="75" t="s">
        <v>22</v>
      </c>
      <c r="C2904" s="45">
        <v>46253</v>
      </c>
      <c r="D2904" s="76">
        <v>1208.2283742039499</v>
      </c>
      <c r="E2904" s="77">
        <v>132</v>
      </c>
      <c r="F2904" s="78">
        <v>12.118155435681</v>
      </c>
      <c r="G2904" s="78">
        <v>12.118155435681</v>
      </c>
      <c r="H2904" s="81">
        <v>12.089223620086999</v>
      </c>
    </row>
    <row r="2905" spans="1:8" x14ac:dyDescent="0.3">
      <c r="A2905" s="74" t="str">
        <f t="shared" si="45"/>
        <v>贵州46254</v>
      </c>
      <c r="B2905" s="75" t="s">
        <v>22</v>
      </c>
      <c r="C2905" s="45">
        <v>46254</v>
      </c>
      <c r="D2905" s="76">
        <v>1208.2283742039499</v>
      </c>
      <c r="E2905" s="77">
        <v>132</v>
      </c>
      <c r="F2905" s="78">
        <v>12.118155435681</v>
      </c>
      <c r="G2905" s="78">
        <v>12.118155435681</v>
      </c>
      <c r="H2905" s="81">
        <v>12.089223620086999</v>
      </c>
    </row>
    <row r="2906" spans="1:8" x14ac:dyDescent="0.3">
      <c r="A2906" s="74" t="str">
        <f t="shared" si="45"/>
        <v>贵州46255</v>
      </c>
      <c r="B2906" s="75" t="s">
        <v>22</v>
      </c>
      <c r="C2906" s="45">
        <v>46255</v>
      </c>
      <c r="D2906" s="76">
        <v>1208.2283742039499</v>
      </c>
      <c r="E2906" s="77">
        <v>132</v>
      </c>
      <c r="F2906" s="78">
        <v>12.118155435681</v>
      </c>
      <c r="G2906" s="78">
        <v>12.118155435681</v>
      </c>
      <c r="H2906" s="81">
        <v>12.089223620086999</v>
      </c>
    </row>
    <row r="2907" spans="1:8" x14ac:dyDescent="0.3">
      <c r="A2907" s="74" t="str">
        <f t="shared" si="45"/>
        <v>贵州46256</v>
      </c>
      <c r="B2907" s="75" t="s">
        <v>22</v>
      </c>
      <c r="C2907" s="45">
        <v>46256</v>
      </c>
      <c r="D2907" s="76">
        <v>1208.2283742039499</v>
      </c>
      <c r="E2907" s="77">
        <v>132</v>
      </c>
      <c r="F2907" s="78">
        <v>12.118155435681</v>
      </c>
      <c r="G2907" s="78">
        <v>12.118155435681</v>
      </c>
      <c r="H2907" s="81">
        <v>12.089223620086999</v>
      </c>
    </row>
    <row r="2908" spans="1:8" x14ac:dyDescent="0.3">
      <c r="A2908" s="74" t="str">
        <f t="shared" si="45"/>
        <v>贵州46257</v>
      </c>
      <c r="B2908" s="75" t="s">
        <v>22</v>
      </c>
      <c r="C2908" s="45">
        <v>46257</v>
      </c>
      <c r="D2908" s="76">
        <v>1208.2283742039499</v>
      </c>
      <c r="E2908" s="77">
        <v>132</v>
      </c>
      <c r="F2908" s="78">
        <v>12.118155435681</v>
      </c>
      <c r="G2908" s="78">
        <v>12.118155435681</v>
      </c>
      <c r="H2908" s="81">
        <v>12.089223620086999</v>
      </c>
    </row>
    <row r="2909" spans="1:8" x14ac:dyDescent="0.3">
      <c r="A2909" s="74" t="str">
        <f t="shared" si="45"/>
        <v>贵州46258</v>
      </c>
      <c r="B2909" s="75" t="s">
        <v>22</v>
      </c>
      <c r="C2909" s="45">
        <v>46258</v>
      </c>
      <c r="D2909" s="76">
        <v>1208.2283742039499</v>
      </c>
      <c r="E2909" s="77">
        <v>132</v>
      </c>
      <c r="F2909" s="78">
        <v>12.118155435681</v>
      </c>
      <c r="G2909" s="78">
        <v>12.118155435681</v>
      </c>
      <c r="H2909" s="81">
        <v>12.089223620086999</v>
      </c>
    </row>
    <row r="2910" spans="1:8" x14ac:dyDescent="0.3">
      <c r="A2910" s="74" t="str">
        <f t="shared" si="45"/>
        <v>贵州46259</v>
      </c>
      <c r="B2910" s="75" t="s">
        <v>22</v>
      </c>
      <c r="C2910" s="45">
        <v>46259</v>
      </c>
      <c r="D2910" s="76">
        <v>1208.2283742039499</v>
      </c>
      <c r="E2910" s="77">
        <v>132</v>
      </c>
      <c r="F2910" s="78">
        <v>12.118155435681</v>
      </c>
      <c r="G2910" s="78">
        <v>12.118155435681</v>
      </c>
      <c r="H2910" s="81">
        <v>12.089223620086999</v>
      </c>
    </row>
    <row r="2911" spans="1:8" x14ac:dyDescent="0.3">
      <c r="A2911" s="74" t="str">
        <f t="shared" si="45"/>
        <v>贵州46260</v>
      </c>
      <c r="B2911" s="75" t="s">
        <v>22</v>
      </c>
      <c r="C2911" s="45">
        <v>46260</v>
      </c>
      <c r="D2911" s="76">
        <v>1208.2283742039499</v>
      </c>
      <c r="E2911" s="77">
        <v>132</v>
      </c>
      <c r="F2911" s="78">
        <v>12.118155435681</v>
      </c>
      <c r="G2911" s="78">
        <v>12.118155435681</v>
      </c>
      <c r="H2911" s="81">
        <v>12.089223620086999</v>
      </c>
    </row>
    <row r="2912" spans="1:8" x14ac:dyDescent="0.3">
      <c r="A2912" s="74" t="str">
        <f t="shared" si="45"/>
        <v>贵州46261</v>
      </c>
      <c r="B2912" s="75" t="s">
        <v>22</v>
      </c>
      <c r="C2912" s="45">
        <v>46261</v>
      </c>
      <c r="D2912" s="76">
        <v>1208.2283742039499</v>
      </c>
      <c r="E2912" s="77">
        <v>132</v>
      </c>
      <c r="F2912" s="78">
        <v>12.118155435681</v>
      </c>
      <c r="G2912" s="78">
        <v>12.118155435681</v>
      </c>
      <c r="H2912" s="81">
        <v>12.089223620086999</v>
      </c>
    </row>
    <row r="2913" spans="1:8" x14ac:dyDescent="0.3">
      <c r="A2913" s="74" t="str">
        <f t="shared" si="45"/>
        <v>贵州46262</v>
      </c>
      <c r="B2913" s="75" t="s">
        <v>22</v>
      </c>
      <c r="C2913" s="45">
        <v>46262</v>
      </c>
      <c r="D2913" s="76">
        <v>1208.2283742039499</v>
      </c>
      <c r="E2913" s="77">
        <v>132</v>
      </c>
      <c r="F2913" s="78">
        <v>12.118155435681</v>
      </c>
      <c r="G2913" s="78">
        <v>12.118155435681</v>
      </c>
      <c r="H2913" s="81">
        <v>12.089223620086999</v>
      </c>
    </row>
    <row r="2914" spans="1:8" x14ac:dyDescent="0.3">
      <c r="A2914" s="74" t="str">
        <f t="shared" si="45"/>
        <v>贵州46263</v>
      </c>
      <c r="B2914" s="75" t="s">
        <v>22</v>
      </c>
      <c r="C2914" s="45">
        <v>46263</v>
      </c>
      <c r="D2914" s="76">
        <v>1208.2283742039499</v>
      </c>
      <c r="E2914" s="77">
        <v>132</v>
      </c>
      <c r="F2914" s="78">
        <v>12.118155435681</v>
      </c>
      <c r="G2914" s="78">
        <v>12.118155435681</v>
      </c>
      <c r="H2914" s="81">
        <v>12.089223620086999</v>
      </c>
    </row>
    <row r="2915" spans="1:8" x14ac:dyDescent="0.3">
      <c r="A2915" s="74" t="str">
        <f t="shared" si="45"/>
        <v>贵州46264</v>
      </c>
      <c r="B2915" s="75" t="s">
        <v>22</v>
      </c>
      <c r="C2915" s="45">
        <v>46264</v>
      </c>
      <c r="D2915" s="76">
        <v>1208.2283742039499</v>
      </c>
      <c r="E2915" s="77">
        <v>132</v>
      </c>
      <c r="F2915" s="78">
        <v>12.118155435681</v>
      </c>
      <c r="G2915" s="78">
        <v>12.118155435681</v>
      </c>
      <c r="H2915" s="81">
        <v>12.089223620086999</v>
      </c>
    </row>
    <row r="2916" spans="1:8" x14ac:dyDescent="0.3">
      <c r="A2916" s="74" t="str">
        <f t="shared" si="45"/>
        <v>贵州46265</v>
      </c>
      <c r="B2916" s="75" t="s">
        <v>22</v>
      </c>
      <c r="C2916" s="45">
        <v>46265</v>
      </c>
      <c r="D2916" s="76">
        <v>1208.2283742039499</v>
      </c>
      <c r="E2916" s="77">
        <v>132</v>
      </c>
      <c r="F2916" s="78">
        <v>12.118155435681</v>
      </c>
      <c r="G2916" s="78">
        <v>12.118155435681</v>
      </c>
      <c r="H2916" s="81">
        <v>12.089223620086999</v>
      </c>
    </row>
    <row r="2917" spans="1:8" x14ac:dyDescent="0.3">
      <c r="A2917" s="74" t="str">
        <f t="shared" si="45"/>
        <v>贵州46266</v>
      </c>
      <c r="B2917" s="75" t="s">
        <v>22</v>
      </c>
      <c r="C2917" s="45">
        <v>46266</v>
      </c>
      <c r="D2917" s="76">
        <v>1170.7544685943301</v>
      </c>
      <c r="E2917" s="77">
        <v>132</v>
      </c>
      <c r="F2917" s="78">
        <v>12.405936439554599</v>
      </c>
      <c r="G2917" s="78">
        <v>12.405936439554599</v>
      </c>
      <c r="H2917" s="81">
        <v>12.6264108822753</v>
      </c>
    </row>
    <row r="2918" spans="1:8" x14ac:dyDescent="0.3">
      <c r="A2918" s="74" t="str">
        <f t="shared" si="45"/>
        <v>贵州46267</v>
      </c>
      <c r="B2918" s="75" t="s">
        <v>22</v>
      </c>
      <c r="C2918" s="45">
        <v>46267</v>
      </c>
      <c r="D2918" s="76">
        <v>1170.7544685943301</v>
      </c>
      <c r="E2918" s="77">
        <v>132</v>
      </c>
      <c r="F2918" s="78">
        <v>12.405936439554599</v>
      </c>
      <c r="G2918" s="78">
        <v>12.405936439554599</v>
      </c>
      <c r="H2918" s="81">
        <v>12.6264108822753</v>
      </c>
    </row>
    <row r="2919" spans="1:8" x14ac:dyDescent="0.3">
      <c r="A2919" s="74" t="str">
        <f t="shared" si="45"/>
        <v>贵州46268</v>
      </c>
      <c r="B2919" s="75" t="s">
        <v>22</v>
      </c>
      <c r="C2919" s="45">
        <v>46268</v>
      </c>
      <c r="D2919" s="76">
        <v>1170.7544685943301</v>
      </c>
      <c r="E2919" s="77">
        <v>132</v>
      </c>
      <c r="F2919" s="78">
        <v>12.405936439554599</v>
      </c>
      <c r="G2919" s="78">
        <v>12.405936439554599</v>
      </c>
      <c r="H2919" s="81">
        <v>12.6264108822753</v>
      </c>
    </row>
    <row r="2920" spans="1:8" x14ac:dyDescent="0.3">
      <c r="A2920" s="74" t="str">
        <f t="shared" si="45"/>
        <v>贵州46269</v>
      </c>
      <c r="B2920" s="75" t="s">
        <v>22</v>
      </c>
      <c r="C2920" s="45">
        <v>46269</v>
      </c>
      <c r="D2920" s="76">
        <v>1170.7544685943301</v>
      </c>
      <c r="E2920" s="77">
        <v>132</v>
      </c>
      <c r="F2920" s="78">
        <v>12.405936439554599</v>
      </c>
      <c r="G2920" s="78">
        <v>12.405936439554599</v>
      </c>
      <c r="H2920" s="81">
        <v>12.6264108822753</v>
      </c>
    </row>
    <row r="2921" spans="1:8" x14ac:dyDescent="0.3">
      <c r="A2921" s="74" t="str">
        <f t="shared" si="45"/>
        <v>贵州46270</v>
      </c>
      <c r="B2921" s="75" t="s">
        <v>22</v>
      </c>
      <c r="C2921" s="45">
        <v>46270</v>
      </c>
      <c r="D2921" s="76">
        <v>1170.7544685943301</v>
      </c>
      <c r="E2921" s="77">
        <v>132</v>
      </c>
      <c r="F2921" s="78">
        <v>12.405936439554599</v>
      </c>
      <c r="G2921" s="78">
        <v>12.405936439554599</v>
      </c>
      <c r="H2921" s="81">
        <v>12.6264108822753</v>
      </c>
    </row>
    <row r="2922" spans="1:8" x14ac:dyDescent="0.3">
      <c r="A2922" s="74" t="str">
        <f t="shared" si="45"/>
        <v>贵州46271</v>
      </c>
      <c r="B2922" s="75" t="s">
        <v>22</v>
      </c>
      <c r="C2922" s="45">
        <v>46271</v>
      </c>
      <c r="D2922" s="76">
        <v>1170.7544685943301</v>
      </c>
      <c r="E2922" s="77">
        <v>132</v>
      </c>
      <c r="F2922" s="78">
        <v>12.405936439554599</v>
      </c>
      <c r="G2922" s="78">
        <v>12.405936439554599</v>
      </c>
      <c r="H2922" s="81">
        <v>12.6264108822753</v>
      </c>
    </row>
    <row r="2923" spans="1:8" x14ac:dyDescent="0.3">
      <c r="A2923" s="74" t="str">
        <f t="shared" si="45"/>
        <v>贵州46272</v>
      </c>
      <c r="B2923" s="75" t="s">
        <v>22</v>
      </c>
      <c r="C2923" s="45">
        <v>46272</v>
      </c>
      <c r="D2923" s="76">
        <v>1170.7544685943301</v>
      </c>
      <c r="E2923" s="77">
        <v>132</v>
      </c>
      <c r="F2923" s="78">
        <v>12.405936439554599</v>
      </c>
      <c r="G2923" s="78">
        <v>12.405936439554599</v>
      </c>
      <c r="H2923" s="81">
        <v>12.6264108822753</v>
      </c>
    </row>
    <row r="2924" spans="1:8" x14ac:dyDescent="0.3">
      <c r="A2924" s="74" t="str">
        <f t="shared" si="45"/>
        <v>贵州46273</v>
      </c>
      <c r="B2924" s="75" t="s">
        <v>22</v>
      </c>
      <c r="C2924" s="45">
        <v>46273</v>
      </c>
      <c r="D2924" s="76">
        <v>1170.7544685943301</v>
      </c>
      <c r="E2924" s="77">
        <v>132</v>
      </c>
      <c r="F2924" s="78">
        <v>12.405936439554599</v>
      </c>
      <c r="G2924" s="78">
        <v>12.405936439554599</v>
      </c>
      <c r="H2924" s="81">
        <v>12.6264108822753</v>
      </c>
    </row>
    <row r="2925" spans="1:8" x14ac:dyDescent="0.3">
      <c r="A2925" s="74" t="str">
        <f t="shared" si="45"/>
        <v>贵州46274</v>
      </c>
      <c r="B2925" s="75" t="s">
        <v>22</v>
      </c>
      <c r="C2925" s="45">
        <v>46274</v>
      </c>
      <c r="D2925" s="76">
        <v>1170.7544685943301</v>
      </c>
      <c r="E2925" s="77">
        <v>132</v>
      </c>
      <c r="F2925" s="78">
        <v>12.405936439554599</v>
      </c>
      <c r="G2925" s="78">
        <v>12.405936439554599</v>
      </c>
      <c r="H2925" s="81">
        <v>12.6264108822753</v>
      </c>
    </row>
    <row r="2926" spans="1:8" x14ac:dyDescent="0.3">
      <c r="A2926" s="74" t="str">
        <f t="shared" si="45"/>
        <v>贵州46275</v>
      </c>
      <c r="B2926" s="75" t="s">
        <v>22</v>
      </c>
      <c r="C2926" s="45">
        <v>46275</v>
      </c>
      <c r="D2926" s="76">
        <v>1170.7544685943301</v>
      </c>
      <c r="E2926" s="77">
        <v>132</v>
      </c>
      <c r="F2926" s="78">
        <v>12.405936439554599</v>
      </c>
      <c r="G2926" s="78">
        <v>12.405936439554599</v>
      </c>
      <c r="H2926" s="81">
        <v>12.6264108822753</v>
      </c>
    </row>
    <row r="2927" spans="1:8" x14ac:dyDescent="0.3">
      <c r="A2927" s="74" t="str">
        <f t="shared" si="45"/>
        <v>贵州46276</v>
      </c>
      <c r="B2927" s="75" t="s">
        <v>22</v>
      </c>
      <c r="C2927" s="45">
        <v>46276</v>
      </c>
      <c r="D2927" s="76">
        <v>1170.7544685943301</v>
      </c>
      <c r="E2927" s="77">
        <v>132</v>
      </c>
      <c r="F2927" s="78">
        <v>12.405936439554599</v>
      </c>
      <c r="G2927" s="78">
        <v>12.405936439554599</v>
      </c>
      <c r="H2927" s="81">
        <v>12.6264108822753</v>
      </c>
    </row>
    <row r="2928" spans="1:8" x14ac:dyDescent="0.3">
      <c r="A2928" s="74" t="str">
        <f t="shared" si="45"/>
        <v>贵州46277</v>
      </c>
      <c r="B2928" s="75" t="s">
        <v>22</v>
      </c>
      <c r="C2928" s="45">
        <v>46277</v>
      </c>
      <c r="D2928" s="76">
        <v>1170.7544685943301</v>
      </c>
      <c r="E2928" s="77">
        <v>132</v>
      </c>
      <c r="F2928" s="78">
        <v>12.405936439554599</v>
      </c>
      <c r="G2928" s="78">
        <v>12.405936439554599</v>
      </c>
      <c r="H2928" s="81">
        <v>12.6264108822753</v>
      </c>
    </row>
    <row r="2929" spans="1:8" x14ac:dyDescent="0.3">
      <c r="A2929" s="74" t="str">
        <f t="shared" si="45"/>
        <v>贵州46278</v>
      </c>
      <c r="B2929" s="75" t="s">
        <v>22</v>
      </c>
      <c r="C2929" s="45">
        <v>46278</v>
      </c>
      <c r="D2929" s="76">
        <v>1170.7544685943301</v>
      </c>
      <c r="E2929" s="77">
        <v>132</v>
      </c>
      <c r="F2929" s="78">
        <v>12.405936439554599</v>
      </c>
      <c r="G2929" s="78">
        <v>12.405936439554599</v>
      </c>
      <c r="H2929" s="81">
        <v>12.6264108822753</v>
      </c>
    </row>
    <row r="2930" spans="1:8" x14ac:dyDescent="0.3">
      <c r="A2930" s="74" t="str">
        <f t="shared" si="45"/>
        <v>贵州46279</v>
      </c>
      <c r="B2930" s="75" t="s">
        <v>22</v>
      </c>
      <c r="C2930" s="45">
        <v>46279</v>
      </c>
      <c r="D2930" s="76">
        <v>1170.7544685943301</v>
      </c>
      <c r="E2930" s="77">
        <v>132</v>
      </c>
      <c r="F2930" s="78">
        <v>12.405936439554599</v>
      </c>
      <c r="G2930" s="78">
        <v>12.405936439554599</v>
      </c>
      <c r="H2930" s="81">
        <v>12.6264108822753</v>
      </c>
    </row>
    <row r="2931" spans="1:8" x14ac:dyDescent="0.3">
      <c r="A2931" s="74" t="str">
        <f t="shared" si="45"/>
        <v>贵州46280</v>
      </c>
      <c r="B2931" s="75" t="s">
        <v>22</v>
      </c>
      <c r="C2931" s="45">
        <v>46280</v>
      </c>
      <c r="D2931" s="76">
        <v>1170.7544685943301</v>
      </c>
      <c r="E2931" s="77">
        <v>132</v>
      </c>
      <c r="F2931" s="78">
        <v>12.405936439554599</v>
      </c>
      <c r="G2931" s="78">
        <v>12.405936439554599</v>
      </c>
      <c r="H2931" s="81">
        <v>12.6264108822753</v>
      </c>
    </row>
    <row r="2932" spans="1:8" x14ac:dyDescent="0.3">
      <c r="A2932" s="74" t="str">
        <f t="shared" si="45"/>
        <v>贵州46281</v>
      </c>
      <c r="B2932" s="75" t="s">
        <v>22</v>
      </c>
      <c r="C2932" s="45">
        <v>46281</v>
      </c>
      <c r="D2932" s="76">
        <v>1170.7544685943301</v>
      </c>
      <c r="E2932" s="77">
        <v>132</v>
      </c>
      <c r="F2932" s="78">
        <v>12.405936439554599</v>
      </c>
      <c r="G2932" s="78">
        <v>12.405936439554599</v>
      </c>
      <c r="H2932" s="81">
        <v>12.6264108822753</v>
      </c>
    </row>
    <row r="2933" spans="1:8" x14ac:dyDescent="0.3">
      <c r="A2933" s="74" t="str">
        <f t="shared" si="45"/>
        <v>贵州46282</v>
      </c>
      <c r="B2933" s="75" t="s">
        <v>22</v>
      </c>
      <c r="C2933" s="45">
        <v>46282</v>
      </c>
      <c r="D2933" s="76">
        <v>1170.7544685943301</v>
      </c>
      <c r="E2933" s="77">
        <v>132</v>
      </c>
      <c r="F2933" s="78">
        <v>12.405936439554599</v>
      </c>
      <c r="G2933" s="78">
        <v>12.405936439554599</v>
      </c>
      <c r="H2933" s="81">
        <v>12.6264108822753</v>
      </c>
    </row>
    <row r="2934" spans="1:8" x14ac:dyDescent="0.3">
      <c r="A2934" s="74" t="str">
        <f t="shared" si="45"/>
        <v>贵州46283</v>
      </c>
      <c r="B2934" s="75" t="s">
        <v>22</v>
      </c>
      <c r="C2934" s="45">
        <v>46283</v>
      </c>
      <c r="D2934" s="76">
        <v>1170.7544685943301</v>
      </c>
      <c r="E2934" s="77">
        <v>132</v>
      </c>
      <c r="F2934" s="78">
        <v>12.405936439554599</v>
      </c>
      <c r="G2934" s="78">
        <v>12.405936439554599</v>
      </c>
      <c r="H2934" s="81">
        <v>12.6264108822753</v>
      </c>
    </row>
    <row r="2935" spans="1:8" x14ac:dyDescent="0.3">
      <c r="A2935" s="74" t="str">
        <f t="shared" si="45"/>
        <v>贵州46284</v>
      </c>
      <c r="B2935" s="75" t="s">
        <v>22</v>
      </c>
      <c r="C2935" s="45">
        <v>46284</v>
      </c>
      <c r="D2935" s="76">
        <v>1170.7544685943301</v>
      </c>
      <c r="E2935" s="77">
        <v>132</v>
      </c>
      <c r="F2935" s="78">
        <v>12.405936439554599</v>
      </c>
      <c r="G2935" s="78">
        <v>12.405936439554599</v>
      </c>
      <c r="H2935" s="81">
        <v>12.6264108822753</v>
      </c>
    </row>
    <row r="2936" spans="1:8" x14ac:dyDescent="0.3">
      <c r="A2936" s="74" t="str">
        <f t="shared" si="45"/>
        <v>贵州46285</v>
      </c>
      <c r="B2936" s="75" t="s">
        <v>22</v>
      </c>
      <c r="C2936" s="45">
        <v>46285</v>
      </c>
      <c r="D2936" s="76">
        <v>1170.7544685943301</v>
      </c>
      <c r="E2936" s="77">
        <v>132</v>
      </c>
      <c r="F2936" s="78">
        <v>12.405936439554599</v>
      </c>
      <c r="G2936" s="78">
        <v>12.405936439554599</v>
      </c>
      <c r="H2936" s="81">
        <v>12.6264108822753</v>
      </c>
    </row>
    <row r="2937" spans="1:8" x14ac:dyDescent="0.3">
      <c r="A2937" s="74" t="str">
        <f t="shared" si="45"/>
        <v>贵州46286</v>
      </c>
      <c r="B2937" s="75" t="s">
        <v>22</v>
      </c>
      <c r="C2937" s="45">
        <v>46286</v>
      </c>
      <c r="D2937" s="76">
        <v>1170.7544685943301</v>
      </c>
      <c r="E2937" s="77">
        <v>132</v>
      </c>
      <c r="F2937" s="78">
        <v>12.405936439554599</v>
      </c>
      <c r="G2937" s="78">
        <v>12.405936439554599</v>
      </c>
      <c r="H2937" s="81">
        <v>12.6264108822753</v>
      </c>
    </row>
    <row r="2938" spans="1:8" x14ac:dyDescent="0.3">
      <c r="A2938" s="74" t="str">
        <f t="shared" si="45"/>
        <v>贵州46287</v>
      </c>
      <c r="B2938" s="75" t="s">
        <v>22</v>
      </c>
      <c r="C2938" s="45">
        <v>46287</v>
      </c>
      <c r="D2938" s="76">
        <v>1170.7544685943301</v>
      </c>
      <c r="E2938" s="77">
        <v>132</v>
      </c>
      <c r="F2938" s="78">
        <v>12.405936439554599</v>
      </c>
      <c r="G2938" s="78">
        <v>12.405936439554599</v>
      </c>
      <c r="H2938" s="81">
        <v>12.6264108822753</v>
      </c>
    </row>
    <row r="2939" spans="1:8" x14ac:dyDescent="0.3">
      <c r="A2939" s="74" t="str">
        <f t="shared" si="45"/>
        <v>贵州46288</v>
      </c>
      <c r="B2939" s="75" t="s">
        <v>22</v>
      </c>
      <c r="C2939" s="45">
        <v>46288</v>
      </c>
      <c r="D2939" s="76">
        <v>1170.7544685943301</v>
      </c>
      <c r="E2939" s="77">
        <v>132</v>
      </c>
      <c r="F2939" s="78">
        <v>12.405936439554599</v>
      </c>
      <c r="G2939" s="78">
        <v>12.405936439554599</v>
      </c>
      <c r="H2939" s="81">
        <v>12.6264108822753</v>
      </c>
    </row>
    <row r="2940" spans="1:8" x14ac:dyDescent="0.3">
      <c r="A2940" s="74" t="str">
        <f t="shared" si="45"/>
        <v>贵州46289</v>
      </c>
      <c r="B2940" s="75" t="s">
        <v>22</v>
      </c>
      <c r="C2940" s="45">
        <v>46289</v>
      </c>
      <c r="D2940" s="76">
        <v>1170.7544685943301</v>
      </c>
      <c r="E2940" s="77">
        <v>132</v>
      </c>
      <c r="F2940" s="78">
        <v>12.405936439554599</v>
      </c>
      <c r="G2940" s="78">
        <v>12.405936439554599</v>
      </c>
      <c r="H2940" s="81">
        <v>12.6264108822753</v>
      </c>
    </row>
    <row r="2941" spans="1:8" x14ac:dyDescent="0.3">
      <c r="A2941" s="74" t="str">
        <f t="shared" si="45"/>
        <v>贵州46290</v>
      </c>
      <c r="B2941" s="75" t="s">
        <v>22</v>
      </c>
      <c r="C2941" s="45">
        <v>46290</v>
      </c>
      <c r="D2941" s="76">
        <v>1170.7544685943301</v>
      </c>
      <c r="E2941" s="77">
        <v>132</v>
      </c>
      <c r="F2941" s="78">
        <v>12.405936439554599</v>
      </c>
      <c r="G2941" s="78">
        <v>12.405936439554599</v>
      </c>
      <c r="H2941" s="81">
        <v>12.6264108822753</v>
      </c>
    </row>
    <row r="2942" spans="1:8" x14ac:dyDescent="0.3">
      <c r="A2942" s="74" t="str">
        <f t="shared" si="45"/>
        <v>贵州46291</v>
      </c>
      <c r="B2942" s="75" t="s">
        <v>22</v>
      </c>
      <c r="C2942" s="45">
        <v>46291</v>
      </c>
      <c r="D2942" s="76">
        <v>1170.7544685943301</v>
      </c>
      <c r="E2942" s="77">
        <v>132</v>
      </c>
      <c r="F2942" s="78">
        <v>12.405936439554599</v>
      </c>
      <c r="G2942" s="78">
        <v>12.405936439554599</v>
      </c>
      <c r="H2942" s="81">
        <v>12.6264108822753</v>
      </c>
    </row>
    <row r="2943" spans="1:8" x14ac:dyDescent="0.3">
      <c r="A2943" s="74" t="str">
        <f t="shared" si="45"/>
        <v>贵州46292</v>
      </c>
      <c r="B2943" s="75" t="s">
        <v>22</v>
      </c>
      <c r="C2943" s="45">
        <v>46292</v>
      </c>
      <c r="D2943" s="76">
        <v>1170.7544685943301</v>
      </c>
      <c r="E2943" s="77">
        <v>132</v>
      </c>
      <c r="F2943" s="78">
        <v>12.405936439554599</v>
      </c>
      <c r="G2943" s="78">
        <v>12.405936439554599</v>
      </c>
      <c r="H2943" s="81">
        <v>12.6264108822753</v>
      </c>
    </row>
    <row r="2944" spans="1:8" x14ac:dyDescent="0.3">
      <c r="A2944" s="74" t="str">
        <f t="shared" si="45"/>
        <v>贵州46293</v>
      </c>
      <c r="B2944" s="75" t="s">
        <v>22</v>
      </c>
      <c r="C2944" s="45">
        <v>46293</v>
      </c>
      <c r="D2944" s="76">
        <v>1170.7544685943301</v>
      </c>
      <c r="E2944" s="77">
        <v>132</v>
      </c>
      <c r="F2944" s="78">
        <v>12.405936439554599</v>
      </c>
      <c r="G2944" s="78">
        <v>12.405936439554599</v>
      </c>
      <c r="H2944" s="81">
        <v>12.6264108822753</v>
      </c>
    </row>
    <row r="2945" spans="1:8" x14ac:dyDescent="0.3">
      <c r="A2945" s="74" t="str">
        <f t="shared" si="45"/>
        <v>贵州46294</v>
      </c>
      <c r="B2945" s="75" t="s">
        <v>22</v>
      </c>
      <c r="C2945" s="45">
        <v>46294</v>
      </c>
      <c r="D2945" s="76">
        <v>1170.7544685943301</v>
      </c>
      <c r="E2945" s="77">
        <v>132</v>
      </c>
      <c r="F2945" s="78">
        <v>12.405936439554599</v>
      </c>
      <c r="G2945" s="78">
        <v>12.405936439554599</v>
      </c>
      <c r="H2945" s="81">
        <v>12.6264108822753</v>
      </c>
    </row>
    <row r="2946" spans="1:8" x14ac:dyDescent="0.3">
      <c r="A2946" s="74" t="str">
        <f t="shared" si="45"/>
        <v>贵州46295</v>
      </c>
      <c r="B2946" s="75" t="s">
        <v>22</v>
      </c>
      <c r="C2946" s="45">
        <v>46295</v>
      </c>
      <c r="D2946" s="76">
        <v>1170.7544685943301</v>
      </c>
      <c r="E2946" s="77">
        <v>132</v>
      </c>
      <c r="F2946" s="78">
        <v>12.405936439554599</v>
      </c>
      <c r="G2946" s="78">
        <v>12.405936439554599</v>
      </c>
      <c r="H2946" s="81">
        <v>12.6264108822753</v>
      </c>
    </row>
    <row r="2947" spans="1:8" x14ac:dyDescent="0.3">
      <c r="A2947" s="74" t="str">
        <f t="shared" ref="A2947:A3010" si="46">B2947&amp;C2947</f>
        <v>贵州46296</v>
      </c>
      <c r="B2947" s="75" t="s">
        <v>22</v>
      </c>
      <c r="C2947" s="45">
        <v>46296</v>
      </c>
      <c r="D2947" s="76">
        <v>1208.49565727862</v>
      </c>
      <c r="E2947" s="77">
        <v>132</v>
      </c>
      <c r="F2947" s="78">
        <v>12.6181731335398</v>
      </c>
      <c r="G2947" s="78">
        <v>12.6181731335398</v>
      </c>
      <c r="H2947" s="81">
        <v>12.701717507815699</v>
      </c>
    </row>
    <row r="2948" spans="1:8" x14ac:dyDescent="0.3">
      <c r="A2948" s="74" t="str">
        <f t="shared" si="46"/>
        <v>贵州46297</v>
      </c>
      <c r="B2948" s="75" t="s">
        <v>22</v>
      </c>
      <c r="C2948" s="45">
        <v>46297</v>
      </c>
      <c r="D2948" s="76">
        <v>1208.49565727862</v>
      </c>
      <c r="E2948" s="77">
        <v>132</v>
      </c>
      <c r="F2948" s="78">
        <v>12.6181731335398</v>
      </c>
      <c r="G2948" s="78">
        <v>12.6181731335398</v>
      </c>
      <c r="H2948" s="81">
        <v>12.701717507815699</v>
      </c>
    </row>
    <row r="2949" spans="1:8" x14ac:dyDescent="0.3">
      <c r="A2949" s="74" t="str">
        <f t="shared" si="46"/>
        <v>贵州46298</v>
      </c>
      <c r="B2949" s="75" t="s">
        <v>22</v>
      </c>
      <c r="C2949" s="45">
        <v>46298</v>
      </c>
      <c r="D2949" s="76">
        <v>1208.49565727862</v>
      </c>
      <c r="E2949" s="77">
        <v>132</v>
      </c>
      <c r="F2949" s="78">
        <v>12.6181731335398</v>
      </c>
      <c r="G2949" s="78">
        <v>12.6181731335398</v>
      </c>
      <c r="H2949" s="81">
        <v>12.701717507815699</v>
      </c>
    </row>
    <row r="2950" spans="1:8" x14ac:dyDescent="0.3">
      <c r="A2950" s="74" t="str">
        <f t="shared" si="46"/>
        <v>贵州46299</v>
      </c>
      <c r="B2950" s="75" t="s">
        <v>22</v>
      </c>
      <c r="C2950" s="45">
        <v>46299</v>
      </c>
      <c r="D2950" s="76">
        <v>1208.49565727862</v>
      </c>
      <c r="E2950" s="77">
        <v>132</v>
      </c>
      <c r="F2950" s="78">
        <v>12.6181731335398</v>
      </c>
      <c r="G2950" s="78">
        <v>12.6181731335398</v>
      </c>
      <c r="H2950" s="81">
        <v>12.701717507815699</v>
      </c>
    </row>
    <row r="2951" spans="1:8" x14ac:dyDescent="0.3">
      <c r="A2951" s="74" t="str">
        <f t="shared" si="46"/>
        <v>贵州46300</v>
      </c>
      <c r="B2951" s="75" t="s">
        <v>22</v>
      </c>
      <c r="C2951" s="45">
        <v>46300</v>
      </c>
      <c r="D2951" s="76">
        <v>1208.49565727862</v>
      </c>
      <c r="E2951" s="77">
        <v>132</v>
      </c>
      <c r="F2951" s="78">
        <v>12.6181731335398</v>
      </c>
      <c r="G2951" s="78">
        <v>12.6181731335398</v>
      </c>
      <c r="H2951" s="81">
        <v>12.701717507815699</v>
      </c>
    </row>
    <row r="2952" spans="1:8" x14ac:dyDescent="0.3">
      <c r="A2952" s="74" t="str">
        <f t="shared" si="46"/>
        <v>贵州46301</v>
      </c>
      <c r="B2952" s="75" t="s">
        <v>22</v>
      </c>
      <c r="C2952" s="45">
        <v>46301</v>
      </c>
      <c r="D2952" s="76">
        <v>1208.49565727862</v>
      </c>
      <c r="E2952" s="77">
        <v>132</v>
      </c>
      <c r="F2952" s="78">
        <v>12.6181731335398</v>
      </c>
      <c r="G2952" s="78">
        <v>12.6181731335398</v>
      </c>
      <c r="H2952" s="81">
        <v>12.701717507815699</v>
      </c>
    </row>
    <row r="2953" spans="1:8" x14ac:dyDescent="0.3">
      <c r="A2953" s="74" t="str">
        <f t="shared" si="46"/>
        <v>贵州46302</v>
      </c>
      <c r="B2953" s="75" t="s">
        <v>22</v>
      </c>
      <c r="C2953" s="45">
        <v>46302</v>
      </c>
      <c r="D2953" s="76">
        <v>1208.49565727862</v>
      </c>
      <c r="E2953" s="77">
        <v>132</v>
      </c>
      <c r="F2953" s="78">
        <v>12.6181731335398</v>
      </c>
      <c r="G2953" s="78">
        <v>12.6181731335398</v>
      </c>
      <c r="H2953" s="81">
        <v>12.701717507815699</v>
      </c>
    </row>
    <row r="2954" spans="1:8" x14ac:dyDescent="0.3">
      <c r="A2954" s="74" t="str">
        <f t="shared" si="46"/>
        <v>贵州46303</v>
      </c>
      <c r="B2954" s="75" t="s">
        <v>22</v>
      </c>
      <c r="C2954" s="45">
        <v>46303</v>
      </c>
      <c r="D2954" s="76">
        <v>1208.49565727862</v>
      </c>
      <c r="E2954" s="77">
        <v>132</v>
      </c>
      <c r="F2954" s="78">
        <v>12.6181731335398</v>
      </c>
      <c r="G2954" s="78">
        <v>12.6181731335398</v>
      </c>
      <c r="H2954" s="81">
        <v>12.701717507815699</v>
      </c>
    </row>
    <row r="2955" spans="1:8" x14ac:dyDescent="0.3">
      <c r="A2955" s="74" t="str">
        <f t="shared" si="46"/>
        <v>贵州46304</v>
      </c>
      <c r="B2955" s="75" t="s">
        <v>22</v>
      </c>
      <c r="C2955" s="45">
        <v>46304</v>
      </c>
      <c r="D2955" s="76">
        <v>1208.49565727862</v>
      </c>
      <c r="E2955" s="77">
        <v>132</v>
      </c>
      <c r="F2955" s="78">
        <v>12.6181731335398</v>
      </c>
      <c r="G2955" s="78">
        <v>12.6181731335398</v>
      </c>
      <c r="H2955" s="81">
        <v>12.701717507815699</v>
      </c>
    </row>
    <row r="2956" spans="1:8" x14ac:dyDescent="0.3">
      <c r="A2956" s="74" t="str">
        <f t="shared" si="46"/>
        <v>贵州46305</v>
      </c>
      <c r="B2956" s="75" t="s">
        <v>22</v>
      </c>
      <c r="C2956" s="45">
        <v>46305</v>
      </c>
      <c r="D2956" s="76">
        <v>1208.49565727862</v>
      </c>
      <c r="E2956" s="77">
        <v>132</v>
      </c>
      <c r="F2956" s="78">
        <v>12.6181731335398</v>
      </c>
      <c r="G2956" s="78">
        <v>12.6181731335398</v>
      </c>
      <c r="H2956" s="81">
        <v>12.701717507815699</v>
      </c>
    </row>
    <row r="2957" spans="1:8" x14ac:dyDescent="0.3">
      <c r="A2957" s="74" t="str">
        <f t="shared" si="46"/>
        <v>贵州46306</v>
      </c>
      <c r="B2957" s="75" t="s">
        <v>22</v>
      </c>
      <c r="C2957" s="45">
        <v>46306</v>
      </c>
      <c r="D2957" s="76">
        <v>1208.49565727862</v>
      </c>
      <c r="E2957" s="77">
        <v>132</v>
      </c>
      <c r="F2957" s="78">
        <v>12.6181731335398</v>
      </c>
      <c r="G2957" s="78">
        <v>12.6181731335398</v>
      </c>
      <c r="H2957" s="81">
        <v>12.701717507815699</v>
      </c>
    </row>
    <row r="2958" spans="1:8" x14ac:dyDescent="0.3">
      <c r="A2958" s="74" t="str">
        <f t="shared" si="46"/>
        <v>贵州46307</v>
      </c>
      <c r="B2958" s="75" t="s">
        <v>22</v>
      </c>
      <c r="C2958" s="45">
        <v>46307</v>
      </c>
      <c r="D2958" s="76">
        <v>1208.49565727862</v>
      </c>
      <c r="E2958" s="77">
        <v>132</v>
      </c>
      <c r="F2958" s="78">
        <v>12.6181731335398</v>
      </c>
      <c r="G2958" s="78">
        <v>12.6181731335398</v>
      </c>
      <c r="H2958" s="81">
        <v>12.701717507815699</v>
      </c>
    </row>
    <row r="2959" spans="1:8" x14ac:dyDescent="0.3">
      <c r="A2959" s="74" t="str">
        <f t="shared" si="46"/>
        <v>贵州46308</v>
      </c>
      <c r="B2959" s="75" t="s">
        <v>22</v>
      </c>
      <c r="C2959" s="45">
        <v>46308</v>
      </c>
      <c r="D2959" s="76">
        <v>1208.49565727862</v>
      </c>
      <c r="E2959" s="77">
        <v>132</v>
      </c>
      <c r="F2959" s="78">
        <v>12.6181731335398</v>
      </c>
      <c r="G2959" s="78">
        <v>12.6181731335398</v>
      </c>
      <c r="H2959" s="81">
        <v>12.701717507815699</v>
      </c>
    </row>
    <row r="2960" spans="1:8" x14ac:dyDescent="0.3">
      <c r="A2960" s="74" t="str">
        <f t="shared" si="46"/>
        <v>贵州46309</v>
      </c>
      <c r="B2960" s="75" t="s">
        <v>22</v>
      </c>
      <c r="C2960" s="45">
        <v>46309</v>
      </c>
      <c r="D2960" s="76">
        <v>1208.49565727862</v>
      </c>
      <c r="E2960" s="77">
        <v>132</v>
      </c>
      <c r="F2960" s="78">
        <v>12.6181731335398</v>
      </c>
      <c r="G2960" s="78">
        <v>12.6181731335398</v>
      </c>
      <c r="H2960" s="81">
        <v>12.701717507815699</v>
      </c>
    </row>
    <row r="2961" spans="1:8" x14ac:dyDescent="0.3">
      <c r="A2961" s="74" t="str">
        <f t="shared" si="46"/>
        <v>贵州46310</v>
      </c>
      <c r="B2961" s="75" t="s">
        <v>22</v>
      </c>
      <c r="C2961" s="45">
        <v>46310</v>
      </c>
      <c r="D2961" s="76">
        <v>1208.49565727862</v>
      </c>
      <c r="E2961" s="77">
        <v>132</v>
      </c>
      <c r="F2961" s="78">
        <v>12.6181731335398</v>
      </c>
      <c r="G2961" s="78">
        <v>12.6181731335398</v>
      </c>
      <c r="H2961" s="81">
        <v>12.701717507815699</v>
      </c>
    </row>
    <row r="2962" spans="1:8" x14ac:dyDescent="0.3">
      <c r="A2962" s="74" t="str">
        <f t="shared" si="46"/>
        <v>贵州46311</v>
      </c>
      <c r="B2962" s="75" t="s">
        <v>22</v>
      </c>
      <c r="C2962" s="45">
        <v>46311</v>
      </c>
      <c r="D2962" s="76">
        <v>1208.49565727862</v>
      </c>
      <c r="E2962" s="77">
        <v>132</v>
      </c>
      <c r="F2962" s="78">
        <v>12.6181731335398</v>
      </c>
      <c r="G2962" s="78">
        <v>12.6181731335398</v>
      </c>
      <c r="H2962" s="81">
        <v>12.701717507815699</v>
      </c>
    </row>
    <row r="2963" spans="1:8" x14ac:dyDescent="0.3">
      <c r="A2963" s="74" t="str">
        <f t="shared" si="46"/>
        <v>贵州46312</v>
      </c>
      <c r="B2963" s="75" t="s">
        <v>22</v>
      </c>
      <c r="C2963" s="45">
        <v>46312</v>
      </c>
      <c r="D2963" s="76">
        <v>1208.49565727862</v>
      </c>
      <c r="E2963" s="77">
        <v>132</v>
      </c>
      <c r="F2963" s="78">
        <v>12.6181731335398</v>
      </c>
      <c r="G2963" s="78">
        <v>12.6181731335398</v>
      </c>
      <c r="H2963" s="81">
        <v>12.701717507815699</v>
      </c>
    </row>
    <row r="2964" spans="1:8" x14ac:dyDescent="0.3">
      <c r="A2964" s="74" t="str">
        <f t="shared" si="46"/>
        <v>贵州46313</v>
      </c>
      <c r="B2964" s="75" t="s">
        <v>22</v>
      </c>
      <c r="C2964" s="45">
        <v>46313</v>
      </c>
      <c r="D2964" s="76">
        <v>1208.49565727862</v>
      </c>
      <c r="E2964" s="77">
        <v>132</v>
      </c>
      <c r="F2964" s="78">
        <v>12.6181731335398</v>
      </c>
      <c r="G2964" s="78">
        <v>12.6181731335398</v>
      </c>
      <c r="H2964" s="81">
        <v>12.701717507815699</v>
      </c>
    </row>
    <row r="2965" spans="1:8" x14ac:dyDescent="0.3">
      <c r="A2965" s="74" t="str">
        <f t="shared" si="46"/>
        <v>贵州46314</v>
      </c>
      <c r="B2965" s="75" t="s">
        <v>22</v>
      </c>
      <c r="C2965" s="45">
        <v>46314</v>
      </c>
      <c r="D2965" s="76">
        <v>1208.49565727862</v>
      </c>
      <c r="E2965" s="77">
        <v>132</v>
      </c>
      <c r="F2965" s="78">
        <v>12.6181731335398</v>
      </c>
      <c r="G2965" s="78">
        <v>12.6181731335398</v>
      </c>
      <c r="H2965" s="81">
        <v>12.701717507815699</v>
      </c>
    </row>
    <row r="2966" spans="1:8" x14ac:dyDescent="0.3">
      <c r="A2966" s="74" t="str">
        <f t="shared" si="46"/>
        <v>贵州46315</v>
      </c>
      <c r="B2966" s="75" t="s">
        <v>22</v>
      </c>
      <c r="C2966" s="45">
        <v>46315</v>
      </c>
      <c r="D2966" s="76">
        <v>1208.49565727862</v>
      </c>
      <c r="E2966" s="77">
        <v>132</v>
      </c>
      <c r="F2966" s="78">
        <v>12.6181731335398</v>
      </c>
      <c r="G2966" s="78">
        <v>12.6181731335398</v>
      </c>
      <c r="H2966" s="81">
        <v>12.701717507815699</v>
      </c>
    </row>
    <row r="2967" spans="1:8" x14ac:dyDescent="0.3">
      <c r="A2967" s="74" t="str">
        <f t="shared" si="46"/>
        <v>贵州46316</v>
      </c>
      <c r="B2967" s="75" t="s">
        <v>22</v>
      </c>
      <c r="C2967" s="45">
        <v>46316</v>
      </c>
      <c r="D2967" s="76">
        <v>1208.49565727862</v>
      </c>
      <c r="E2967" s="77">
        <v>132</v>
      </c>
      <c r="F2967" s="78">
        <v>12.6181731335398</v>
      </c>
      <c r="G2967" s="78">
        <v>12.6181731335398</v>
      </c>
      <c r="H2967" s="81">
        <v>12.701717507815699</v>
      </c>
    </row>
    <row r="2968" spans="1:8" x14ac:dyDescent="0.3">
      <c r="A2968" s="74" t="str">
        <f t="shared" si="46"/>
        <v>贵州46317</v>
      </c>
      <c r="B2968" s="75" t="s">
        <v>22</v>
      </c>
      <c r="C2968" s="45">
        <v>46317</v>
      </c>
      <c r="D2968" s="76">
        <v>1208.49565727862</v>
      </c>
      <c r="E2968" s="77">
        <v>132</v>
      </c>
      <c r="F2968" s="78">
        <v>12.6181731335398</v>
      </c>
      <c r="G2968" s="78">
        <v>12.6181731335398</v>
      </c>
      <c r="H2968" s="81">
        <v>12.701717507815699</v>
      </c>
    </row>
    <row r="2969" spans="1:8" x14ac:dyDescent="0.3">
      <c r="A2969" s="74" t="str">
        <f t="shared" si="46"/>
        <v>贵州46318</v>
      </c>
      <c r="B2969" s="75" t="s">
        <v>22</v>
      </c>
      <c r="C2969" s="45">
        <v>46318</v>
      </c>
      <c r="D2969" s="76">
        <v>1208.49565727862</v>
      </c>
      <c r="E2969" s="77">
        <v>132</v>
      </c>
      <c r="F2969" s="78">
        <v>12.6181731335398</v>
      </c>
      <c r="G2969" s="78">
        <v>12.6181731335398</v>
      </c>
      <c r="H2969" s="81">
        <v>12.701717507815699</v>
      </c>
    </row>
    <row r="2970" spans="1:8" x14ac:dyDescent="0.3">
      <c r="A2970" s="74" t="str">
        <f t="shared" si="46"/>
        <v>贵州46319</v>
      </c>
      <c r="B2970" s="75" t="s">
        <v>22</v>
      </c>
      <c r="C2970" s="45">
        <v>46319</v>
      </c>
      <c r="D2970" s="76">
        <v>1208.49565727862</v>
      </c>
      <c r="E2970" s="77">
        <v>132</v>
      </c>
      <c r="F2970" s="78">
        <v>12.6181731335398</v>
      </c>
      <c r="G2970" s="78">
        <v>12.6181731335398</v>
      </c>
      <c r="H2970" s="81">
        <v>12.701717507815699</v>
      </c>
    </row>
    <row r="2971" spans="1:8" x14ac:dyDescent="0.3">
      <c r="A2971" s="74" t="str">
        <f t="shared" si="46"/>
        <v>贵州46320</v>
      </c>
      <c r="B2971" s="75" t="s">
        <v>22</v>
      </c>
      <c r="C2971" s="45">
        <v>46320</v>
      </c>
      <c r="D2971" s="76">
        <v>1208.49565727862</v>
      </c>
      <c r="E2971" s="77">
        <v>132</v>
      </c>
      <c r="F2971" s="78">
        <v>12.6181731335398</v>
      </c>
      <c r="G2971" s="78">
        <v>12.6181731335398</v>
      </c>
      <c r="H2971" s="81">
        <v>12.701717507815699</v>
      </c>
    </row>
    <row r="2972" spans="1:8" x14ac:dyDescent="0.3">
      <c r="A2972" s="74" t="str">
        <f t="shared" si="46"/>
        <v>贵州46321</v>
      </c>
      <c r="B2972" s="75" t="s">
        <v>22</v>
      </c>
      <c r="C2972" s="45">
        <v>46321</v>
      </c>
      <c r="D2972" s="76">
        <v>1208.49565727862</v>
      </c>
      <c r="E2972" s="77">
        <v>132</v>
      </c>
      <c r="F2972" s="78">
        <v>12.6181731335398</v>
      </c>
      <c r="G2972" s="78">
        <v>12.6181731335398</v>
      </c>
      <c r="H2972" s="81">
        <v>12.701717507815699</v>
      </c>
    </row>
    <row r="2973" spans="1:8" x14ac:dyDescent="0.3">
      <c r="A2973" s="74" t="str">
        <f t="shared" si="46"/>
        <v>贵州46322</v>
      </c>
      <c r="B2973" s="75" t="s">
        <v>22</v>
      </c>
      <c r="C2973" s="45">
        <v>46322</v>
      </c>
      <c r="D2973" s="76">
        <v>1208.49565727862</v>
      </c>
      <c r="E2973" s="77">
        <v>132</v>
      </c>
      <c r="F2973" s="78">
        <v>12.6181731335398</v>
      </c>
      <c r="G2973" s="78">
        <v>12.6181731335398</v>
      </c>
      <c r="H2973" s="81">
        <v>12.701717507815699</v>
      </c>
    </row>
    <row r="2974" spans="1:8" x14ac:dyDescent="0.3">
      <c r="A2974" s="74" t="str">
        <f t="shared" si="46"/>
        <v>贵州46323</v>
      </c>
      <c r="B2974" s="75" t="s">
        <v>22</v>
      </c>
      <c r="C2974" s="45">
        <v>46323</v>
      </c>
      <c r="D2974" s="76">
        <v>1208.49565727862</v>
      </c>
      <c r="E2974" s="77">
        <v>132</v>
      </c>
      <c r="F2974" s="78">
        <v>12.6181731335398</v>
      </c>
      <c r="G2974" s="78">
        <v>12.6181731335398</v>
      </c>
      <c r="H2974" s="81">
        <v>12.701717507815699</v>
      </c>
    </row>
    <row r="2975" spans="1:8" x14ac:dyDescent="0.3">
      <c r="A2975" s="74" t="str">
        <f t="shared" si="46"/>
        <v>贵州46324</v>
      </c>
      <c r="B2975" s="75" t="s">
        <v>22</v>
      </c>
      <c r="C2975" s="45">
        <v>46324</v>
      </c>
      <c r="D2975" s="76">
        <v>1208.49565727862</v>
      </c>
      <c r="E2975" s="77">
        <v>132</v>
      </c>
      <c r="F2975" s="78">
        <v>12.6181731335398</v>
      </c>
      <c r="G2975" s="78">
        <v>12.6181731335398</v>
      </c>
      <c r="H2975" s="81">
        <v>12.701717507815699</v>
      </c>
    </row>
    <row r="2976" spans="1:8" x14ac:dyDescent="0.3">
      <c r="A2976" s="74" t="str">
        <f t="shared" si="46"/>
        <v>贵州46325</v>
      </c>
      <c r="B2976" s="75" t="s">
        <v>22</v>
      </c>
      <c r="C2976" s="45">
        <v>46325</v>
      </c>
      <c r="D2976" s="76">
        <v>1208.49565727862</v>
      </c>
      <c r="E2976" s="77">
        <v>132</v>
      </c>
      <c r="F2976" s="78">
        <v>12.6181731335398</v>
      </c>
      <c r="G2976" s="78">
        <v>12.6181731335398</v>
      </c>
      <c r="H2976" s="81">
        <v>12.701717507815699</v>
      </c>
    </row>
    <row r="2977" spans="1:8" x14ac:dyDescent="0.3">
      <c r="A2977" s="74" t="str">
        <f t="shared" si="46"/>
        <v>贵州46326</v>
      </c>
      <c r="B2977" s="75" t="s">
        <v>22</v>
      </c>
      <c r="C2977" s="45">
        <v>46326</v>
      </c>
      <c r="D2977" s="76">
        <v>1208.49565727862</v>
      </c>
      <c r="E2977" s="77">
        <v>132</v>
      </c>
      <c r="F2977" s="78">
        <v>12.6181731335398</v>
      </c>
      <c r="G2977" s="78">
        <v>12.6181731335398</v>
      </c>
      <c r="H2977" s="81">
        <v>12.701717507815699</v>
      </c>
    </row>
    <row r="2978" spans="1:8" x14ac:dyDescent="0.3">
      <c r="A2978" s="74" t="str">
        <f t="shared" si="46"/>
        <v>贵州46327</v>
      </c>
      <c r="B2978" s="75" t="s">
        <v>22</v>
      </c>
      <c r="C2978" s="45">
        <v>46327</v>
      </c>
      <c r="D2978" s="76">
        <v>1162.1389764609501</v>
      </c>
      <c r="E2978" s="77">
        <v>132</v>
      </c>
      <c r="F2978" s="78">
        <v>12.910742006711599</v>
      </c>
      <c r="G2978" s="78">
        <v>12.910742006711599</v>
      </c>
      <c r="H2978" s="81">
        <v>12.7770241333561</v>
      </c>
    </row>
    <row r="2979" spans="1:8" x14ac:dyDescent="0.3">
      <c r="A2979" s="74" t="str">
        <f t="shared" si="46"/>
        <v>贵州46328</v>
      </c>
      <c r="B2979" s="75" t="s">
        <v>22</v>
      </c>
      <c r="C2979" s="45">
        <v>46328</v>
      </c>
      <c r="D2979" s="76">
        <v>1162.1389764609501</v>
      </c>
      <c r="E2979" s="77">
        <v>132</v>
      </c>
      <c r="F2979" s="78">
        <v>12.910742006711599</v>
      </c>
      <c r="G2979" s="78">
        <v>12.910742006711599</v>
      </c>
      <c r="H2979" s="81">
        <v>12.7770241333561</v>
      </c>
    </row>
    <row r="2980" spans="1:8" x14ac:dyDescent="0.3">
      <c r="A2980" s="74" t="str">
        <f t="shared" si="46"/>
        <v>贵州46329</v>
      </c>
      <c r="B2980" s="75" t="s">
        <v>22</v>
      </c>
      <c r="C2980" s="45">
        <v>46329</v>
      </c>
      <c r="D2980" s="76">
        <v>1162.1389764609501</v>
      </c>
      <c r="E2980" s="77">
        <v>132</v>
      </c>
      <c r="F2980" s="78">
        <v>12.910742006711599</v>
      </c>
      <c r="G2980" s="78">
        <v>12.910742006711599</v>
      </c>
      <c r="H2980" s="81">
        <v>12.7770241333561</v>
      </c>
    </row>
    <row r="2981" spans="1:8" x14ac:dyDescent="0.3">
      <c r="A2981" s="74" t="str">
        <f t="shared" si="46"/>
        <v>贵州46330</v>
      </c>
      <c r="B2981" s="75" t="s">
        <v>22</v>
      </c>
      <c r="C2981" s="45">
        <v>46330</v>
      </c>
      <c r="D2981" s="76">
        <v>1162.1389764609501</v>
      </c>
      <c r="E2981" s="77">
        <v>132</v>
      </c>
      <c r="F2981" s="78">
        <v>12.910742006711599</v>
      </c>
      <c r="G2981" s="78">
        <v>12.910742006711599</v>
      </c>
      <c r="H2981" s="81">
        <v>12.7770241333561</v>
      </c>
    </row>
    <row r="2982" spans="1:8" x14ac:dyDescent="0.3">
      <c r="A2982" s="74" t="str">
        <f t="shared" si="46"/>
        <v>贵州46331</v>
      </c>
      <c r="B2982" s="75" t="s">
        <v>22</v>
      </c>
      <c r="C2982" s="45">
        <v>46331</v>
      </c>
      <c r="D2982" s="76">
        <v>1162.1389764609501</v>
      </c>
      <c r="E2982" s="77">
        <v>132</v>
      </c>
      <c r="F2982" s="78">
        <v>12.910742006711599</v>
      </c>
      <c r="G2982" s="78">
        <v>12.910742006711599</v>
      </c>
      <c r="H2982" s="81">
        <v>12.7770241333561</v>
      </c>
    </row>
    <row r="2983" spans="1:8" x14ac:dyDescent="0.3">
      <c r="A2983" s="74" t="str">
        <f t="shared" si="46"/>
        <v>贵州46332</v>
      </c>
      <c r="B2983" s="75" t="s">
        <v>22</v>
      </c>
      <c r="C2983" s="45">
        <v>46332</v>
      </c>
      <c r="D2983" s="76">
        <v>1162.1389764609501</v>
      </c>
      <c r="E2983" s="77">
        <v>132</v>
      </c>
      <c r="F2983" s="78">
        <v>12.910742006711599</v>
      </c>
      <c r="G2983" s="78">
        <v>12.910742006711599</v>
      </c>
      <c r="H2983" s="81">
        <v>12.7770241333561</v>
      </c>
    </row>
    <row r="2984" spans="1:8" x14ac:dyDescent="0.3">
      <c r="A2984" s="74" t="str">
        <f t="shared" si="46"/>
        <v>贵州46333</v>
      </c>
      <c r="B2984" s="75" t="s">
        <v>22</v>
      </c>
      <c r="C2984" s="45">
        <v>46333</v>
      </c>
      <c r="D2984" s="76">
        <v>1162.1389764609501</v>
      </c>
      <c r="E2984" s="77">
        <v>132</v>
      </c>
      <c r="F2984" s="78">
        <v>12.910742006711599</v>
      </c>
      <c r="G2984" s="78">
        <v>12.910742006711599</v>
      </c>
      <c r="H2984" s="81">
        <v>12.7770241333561</v>
      </c>
    </row>
    <row r="2985" spans="1:8" x14ac:dyDescent="0.3">
      <c r="A2985" s="74" t="str">
        <f t="shared" si="46"/>
        <v>贵州46334</v>
      </c>
      <c r="B2985" s="75" t="s">
        <v>22</v>
      </c>
      <c r="C2985" s="45">
        <v>46334</v>
      </c>
      <c r="D2985" s="76">
        <v>1162.1389764609501</v>
      </c>
      <c r="E2985" s="77">
        <v>132</v>
      </c>
      <c r="F2985" s="78">
        <v>12.910742006711599</v>
      </c>
      <c r="G2985" s="78">
        <v>12.910742006711599</v>
      </c>
      <c r="H2985" s="81">
        <v>12.7770241333561</v>
      </c>
    </row>
    <row r="2986" spans="1:8" x14ac:dyDescent="0.3">
      <c r="A2986" s="74" t="str">
        <f t="shared" si="46"/>
        <v>贵州46335</v>
      </c>
      <c r="B2986" s="75" t="s">
        <v>22</v>
      </c>
      <c r="C2986" s="45">
        <v>46335</v>
      </c>
      <c r="D2986" s="76">
        <v>1162.1389764609501</v>
      </c>
      <c r="E2986" s="77">
        <v>132</v>
      </c>
      <c r="F2986" s="78">
        <v>12.910742006711599</v>
      </c>
      <c r="G2986" s="78">
        <v>12.910742006711599</v>
      </c>
      <c r="H2986" s="81">
        <v>12.7770241333561</v>
      </c>
    </row>
    <row r="2987" spans="1:8" x14ac:dyDescent="0.3">
      <c r="A2987" s="74" t="str">
        <f t="shared" si="46"/>
        <v>贵州46336</v>
      </c>
      <c r="B2987" s="75" t="s">
        <v>22</v>
      </c>
      <c r="C2987" s="45">
        <v>46336</v>
      </c>
      <c r="D2987" s="76">
        <v>1162.1389764609501</v>
      </c>
      <c r="E2987" s="77">
        <v>132</v>
      </c>
      <c r="F2987" s="78">
        <v>12.910742006711599</v>
      </c>
      <c r="G2987" s="78">
        <v>12.910742006711599</v>
      </c>
      <c r="H2987" s="81">
        <v>12.7770241333561</v>
      </c>
    </row>
    <row r="2988" spans="1:8" x14ac:dyDescent="0.3">
      <c r="A2988" s="74" t="str">
        <f t="shared" si="46"/>
        <v>贵州46337</v>
      </c>
      <c r="B2988" s="75" t="s">
        <v>22</v>
      </c>
      <c r="C2988" s="45">
        <v>46337</v>
      </c>
      <c r="D2988" s="76">
        <v>1162.1389764609501</v>
      </c>
      <c r="E2988" s="77">
        <v>132</v>
      </c>
      <c r="F2988" s="78">
        <v>12.910742006711599</v>
      </c>
      <c r="G2988" s="78">
        <v>12.910742006711599</v>
      </c>
      <c r="H2988" s="81">
        <v>12.7770241333561</v>
      </c>
    </row>
    <row r="2989" spans="1:8" x14ac:dyDescent="0.3">
      <c r="A2989" s="74" t="str">
        <f t="shared" si="46"/>
        <v>贵州46338</v>
      </c>
      <c r="B2989" s="75" t="s">
        <v>22</v>
      </c>
      <c r="C2989" s="45">
        <v>46338</v>
      </c>
      <c r="D2989" s="76">
        <v>1162.1389764609501</v>
      </c>
      <c r="E2989" s="77">
        <v>132</v>
      </c>
      <c r="F2989" s="78">
        <v>12.910742006711599</v>
      </c>
      <c r="G2989" s="78">
        <v>12.910742006711599</v>
      </c>
      <c r="H2989" s="81">
        <v>12.7770241333561</v>
      </c>
    </row>
    <row r="2990" spans="1:8" x14ac:dyDescent="0.3">
      <c r="A2990" s="74" t="str">
        <f t="shared" si="46"/>
        <v>贵州46339</v>
      </c>
      <c r="B2990" s="75" t="s">
        <v>22</v>
      </c>
      <c r="C2990" s="45">
        <v>46339</v>
      </c>
      <c r="D2990" s="76">
        <v>1162.1389764609501</v>
      </c>
      <c r="E2990" s="77">
        <v>132</v>
      </c>
      <c r="F2990" s="78">
        <v>12.910742006711599</v>
      </c>
      <c r="G2990" s="78">
        <v>12.910742006711599</v>
      </c>
      <c r="H2990" s="81">
        <v>12.7770241333561</v>
      </c>
    </row>
    <row r="2991" spans="1:8" x14ac:dyDescent="0.3">
      <c r="A2991" s="74" t="str">
        <f t="shared" si="46"/>
        <v>贵州46340</v>
      </c>
      <c r="B2991" s="75" t="s">
        <v>22</v>
      </c>
      <c r="C2991" s="45">
        <v>46340</v>
      </c>
      <c r="D2991" s="76">
        <v>1162.1389764609501</v>
      </c>
      <c r="E2991" s="77">
        <v>132</v>
      </c>
      <c r="F2991" s="78">
        <v>12.910742006711599</v>
      </c>
      <c r="G2991" s="78">
        <v>12.910742006711599</v>
      </c>
      <c r="H2991" s="81">
        <v>12.7770241333561</v>
      </c>
    </row>
    <row r="2992" spans="1:8" x14ac:dyDescent="0.3">
      <c r="A2992" s="74" t="str">
        <f t="shared" si="46"/>
        <v>贵州46341</v>
      </c>
      <c r="B2992" s="75" t="s">
        <v>22</v>
      </c>
      <c r="C2992" s="45">
        <v>46341</v>
      </c>
      <c r="D2992" s="76">
        <v>1162.1389764609501</v>
      </c>
      <c r="E2992" s="77">
        <v>132</v>
      </c>
      <c r="F2992" s="78">
        <v>12.910742006711599</v>
      </c>
      <c r="G2992" s="78">
        <v>12.910742006711599</v>
      </c>
      <c r="H2992" s="81">
        <v>12.7770241333561</v>
      </c>
    </row>
    <row r="2993" spans="1:8" x14ac:dyDescent="0.3">
      <c r="A2993" s="74" t="str">
        <f t="shared" si="46"/>
        <v>贵州46342</v>
      </c>
      <c r="B2993" s="75" t="s">
        <v>22</v>
      </c>
      <c r="C2993" s="45">
        <v>46342</v>
      </c>
      <c r="D2993" s="76">
        <v>1162.1389764609501</v>
      </c>
      <c r="E2993" s="77">
        <v>132</v>
      </c>
      <c r="F2993" s="78">
        <v>12.910742006711599</v>
      </c>
      <c r="G2993" s="78">
        <v>12.910742006711599</v>
      </c>
      <c r="H2993" s="81">
        <v>12.7770241333561</v>
      </c>
    </row>
    <row r="2994" spans="1:8" x14ac:dyDescent="0.3">
      <c r="A2994" s="74" t="str">
        <f t="shared" si="46"/>
        <v>贵州46343</v>
      </c>
      <c r="B2994" s="75" t="s">
        <v>22</v>
      </c>
      <c r="C2994" s="45">
        <v>46343</v>
      </c>
      <c r="D2994" s="76">
        <v>1162.1389764609501</v>
      </c>
      <c r="E2994" s="77">
        <v>132</v>
      </c>
      <c r="F2994" s="78">
        <v>12.910742006711599</v>
      </c>
      <c r="G2994" s="78">
        <v>12.910742006711599</v>
      </c>
      <c r="H2994" s="81">
        <v>12.7770241333561</v>
      </c>
    </row>
    <row r="2995" spans="1:8" x14ac:dyDescent="0.3">
      <c r="A2995" s="74" t="str">
        <f t="shared" si="46"/>
        <v>贵州46344</v>
      </c>
      <c r="B2995" s="75" t="s">
        <v>22</v>
      </c>
      <c r="C2995" s="45">
        <v>46344</v>
      </c>
      <c r="D2995" s="76">
        <v>1162.1389764609501</v>
      </c>
      <c r="E2995" s="77">
        <v>132</v>
      </c>
      <c r="F2995" s="78">
        <v>12.910742006711599</v>
      </c>
      <c r="G2995" s="78">
        <v>12.910742006711599</v>
      </c>
      <c r="H2995" s="81">
        <v>12.7770241333561</v>
      </c>
    </row>
    <row r="2996" spans="1:8" x14ac:dyDescent="0.3">
      <c r="A2996" s="74" t="str">
        <f t="shared" si="46"/>
        <v>贵州46345</v>
      </c>
      <c r="B2996" s="75" t="s">
        <v>22</v>
      </c>
      <c r="C2996" s="45">
        <v>46345</v>
      </c>
      <c r="D2996" s="76">
        <v>1162.1389764609501</v>
      </c>
      <c r="E2996" s="77">
        <v>132</v>
      </c>
      <c r="F2996" s="78">
        <v>12.910742006711599</v>
      </c>
      <c r="G2996" s="78">
        <v>12.910742006711599</v>
      </c>
      <c r="H2996" s="81">
        <v>12.7770241333561</v>
      </c>
    </row>
    <row r="2997" spans="1:8" x14ac:dyDescent="0.3">
      <c r="A2997" s="74" t="str">
        <f t="shared" si="46"/>
        <v>贵州46346</v>
      </c>
      <c r="B2997" s="75" t="s">
        <v>22</v>
      </c>
      <c r="C2997" s="45">
        <v>46346</v>
      </c>
      <c r="D2997" s="76">
        <v>1162.1389764609501</v>
      </c>
      <c r="E2997" s="77">
        <v>132</v>
      </c>
      <c r="F2997" s="78">
        <v>12.910742006711599</v>
      </c>
      <c r="G2997" s="78">
        <v>12.910742006711599</v>
      </c>
      <c r="H2997" s="81">
        <v>12.7770241333561</v>
      </c>
    </row>
    <row r="2998" spans="1:8" x14ac:dyDescent="0.3">
      <c r="A2998" s="74" t="str">
        <f t="shared" si="46"/>
        <v>贵州46347</v>
      </c>
      <c r="B2998" s="75" t="s">
        <v>22</v>
      </c>
      <c r="C2998" s="45">
        <v>46347</v>
      </c>
      <c r="D2998" s="76">
        <v>1162.1389764609501</v>
      </c>
      <c r="E2998" s="77">
        <v>132</v>
      </c>
      <c r="F2998" s="78">
        <v>12.910742006711599</v>
      </c>
      <c r="G2998" s="78">
        <v>12.910742006711599</v>
      </c>
      <c r="H2998" s="81">
        <v>12.7770241333561</v>
      </c>
    </row>
    <row r="2999" spans="1:8" x14ac:dyDescent="0.3">
      <c r="A2999" s="74" t="str">
        <f t="shared" si="46"/>
        <v>贵州46348</v>
      </c>
      <c r="B2999" s="75" t="s">
        <v>22</v>
      </c>
      <c r="C2999" s="45">
        <v>46348</v>
      </c>
      <c r="D2999" s="76">
        <v>1162.1389764609501</v>
      </c>
      <c r="E2999" s="77">
        <v>132</v>
      </c>
      <c r="F2999" s="78">
        <v>12.910742006711599</v>
      </c>
      <c r="G2999" s="78">
        <v>12.910742006711599</v>
      </c>
      <c r="H2999" s="81">
        <v>12.7770241333561</v>
      </c>
    </row>
    <row r="3000" spans="1:8" x14ac:dyDescent="0.3">
      <c r="A3000" s="74" t="str">
        <f t="shared" si="46"/>
        <v>贵州46349</v>
      </c>
      <c r="B3000" s="75" t="s">
        <v>22</v>
      </c>
      <c r="C3000" s="45">
        <v>46349</v>
      </c>
      <c r="D3000" s="76">
        <v>1162.1389764609501</v>
      </c>
      <c r="E3000" s="77">
        <v>132</v>
      </c>
      <c r="F3000" s="78">
        <v>12.910742006711599</v>
      </c>
      <c r="G3000" s="78">
        <v>12.910742006711599</v>
      </c>
      <c r="H3000" s="81">
        <v>12.7770241333561</v>
      </c>
    </row>
    <row r="3001" spans="1:8" x14ac:dyDescent="0.3">
      <c r="A3001" s="74" t="str">
        <f t="shared" si="46"/>
        <v>贵州46350</v>
      </c>
      <c r="B3001" s="75" t="s">
        <v>22</v>
      </c>
      <c r="C3001" s="45">
        <v>46350</v>
      </c>
      <c r="D3001" s="76">
        <v>1162.1389764609501</v>
      </c>
      <c r="E3001" s="77">
        <v>132</v>
      </c>
      <c r="F3001" s="78">
        <v>12.910742006711599</v>
      </c>
      <c r="G3001" s="78">
        <v>12.910742006711599</v>
      </c>
      <c r="H3001" s="81">
        <v>12.7770241333561</v>
      </c>
    </row>
    <row r="3002" spans="1:8" x14ac:dyDescent="0.3">
      <c r="A3002" s="74" t="str">
        <f t="shared" si="46"/>
        <v>贵州46351</v>
      </c>
      <c r="B3002" s="75" t="s">
        <v>22</v>
      </c>
      <c r="C3002" s="45">
        <v>46351</v>
      </c>
      <c r="D3002" s="76">
        <v>1162.1389764609501</v>
      </c>
      <c r="E3002" s="77">
        <v>132</v>
      </c>
      <c r="F3002" s="78">
        <v>12.910742006711599</v>
      </c>
      <c r="G3002" s="78">
        <v>12.910742006711599</v>
      </c>
      <c r="H3002" s="81">
        <v>12.7770241333561</v>
      </c>
    </row>
    <row r="3003" spans="1:8" x14ac:dyDescent="0.3">
      <c r="A3003" s="74" t="str">
        <f t="shared" si="46"/>
        <v>贵州46352</v>
      </c>
      <c r="B3003" s="75" t="s">
        <v>22</v>
      </c>
      <c r="C3003" s="45">
        <v>46352</v>
      </c>
      <c r="D3003" s="76">
        <v>1162.1389764609501</v>
      </c>
      <c r="E3003" s="77">
        <v>132</v>
      </c>
      <c r="F3003" s="78">
        <v>12.910742006711599</v>
      </c>
      <c r="G3003" s="78">
        <v>12.910742006711599</v>
      </c>
      <c r="H3003" s="81">
        <v>12.7770241333561</v>
      </c>
    </row>
    <row r="3004" spans="1:8" x14ac:dyDescent="0.3">
      <c r="A3004" s="74" t="str">
        <f t="shared" si="46"/>
        <v>贵州46353</v>
      </c>
      <c r="B3004" s="75" t="s">
        <v>22</v>
      </c>
      <c r="C3004" s="45">
        <v>46353</v>
      </c>
      <c r="D3004" s="76">
        <v>1162.1389764609501</v>
      </c>
      <c r="E3004" s="77">
        <v>132</v>
      </c>
      <c r="F3004" s="78">
        <v>12.910742006711599</v>
      </c>
      <c r="G3004" s="78">
        <v>12.910742006711599</v>
      </c>
      <c r="H3004" s="81">
        <v>12.7770241333561</v>
      </c>
    </row>
    <row r="3005" spans="1:8" x14ac:dyDescent="0.3">
      <c r="A3005" s="74" t="str">
        <f t="shared" si="46"/>
        <v>贵州46354</v>
      </c>
      <c r="B3005" s="75" t="s">
        <v>22</v>
      </c>
      <c r="C3005" s="45">
        <v>46354</v>
      </c>
      <c r="D3005" s="76">
        <v>1162.1389764609501</v>
      </c>
      <c r="E3005" s="77">
        <v>132</v>
      </c>
      <c r="F3005" s="78">
        <v>12.910742006711599</v>
      </c>
      <c r="G3005" s="78">
        <v>12.910742006711599</v>
      </c>
      <c r="H3005" s="81">
        <v>12.7770241333561</v>
      </c>
    </row>
    <row r="3006" spans="1:8" x14ac:dyDescent="0.3">
      <c r="A3006" s="74" t="str">
        <f t="shared" si="46"/>
        <v>贵州46355</v>
      </c>
      <c r="B3006" s="75" t="s">
        <v>22</v>
      </c>
      <c r="C3006" s="45">
        <v>46355</v>
      </c>
      <c r="D3006" s="76">
        <v>1162.1389764609501</v>
      </c>
      <c r="E3006" s="77">
        <v>132</v>
      </c>
      <c r="F3006" s="78">
        <v>12.910742006711599</v>
      </c>
      <c r="G3006" s="78">
        <v>12.910742006711599</v>
      </c>
      <c r="H3006" s="81">
        <v>12.7770241333561</v>
      </c>
    </row>
    <row r="3007" spans="1:8" x14ac:dyDescent="0.3">
      <c r="A3007" s="74" t="str">
        <f t="shared" si="46"/>
        <v>贵州46356</v>
      </c>
      <c r="B3007" s="75" t="s">
        <v>22</v>
      </c>
      <c r="C3007" s="45">
        <v>46356</v>
      </c>
      <c r="D3007" s="76">
        <v>1162.1389764609501</v>
      </c>
      <c r="E3007" s="77">
        <v>132</v>
      </c>
      <c r="F3007" s="78">
        <v>12.910742006711599</v>
      </c>
      <c r="G3007" s="78">
        <v>12.910742006711599</v>
      </c>
      <c r="H3007" s="81">
        <v>12.7770241333561</v>
      </c>
    </row>
    <row r="3008" spans="1:8" x14ac:dyDescent="0.3">
      <c r="A3008" s="74" t="str">
        <f t="shared" si="46"/>
        <v>贵州46357</v>
      </c>
      <c r="B3008" s="75" t="s">
        <v>22</v>
      </c>
      <c r="C3008" s="45">
        <v>46357</v>
      </c>
      <c r="D3008" s="76">
        <v>1212.7926463961301</v>
      </c>
      <c r="E3008" s="77">
        <v>132</v>
      </c>
      <c r="F3008" s="78">
        <v>13.6099714707155</v>
      </c>
      <c r="G3008" s="78">
        <v>13.6099714707155</v>
      </c>
      <c r="H3008" s="81">
        <v>13.012984893382701</v>
      </c>
    </row>
    <row r="3009" spans="1:8" x14ac:dyDescent="0.3">
      <c r="A3009" s="74" t="str">
        <f t="shared" si="46"/>
        <v>贵州46358</v>
      </c>
      <c r="B3009" s="75" t="s">
        <v>22</v>
      </c>
      <c r="C3009" s="45">
        <v>46358</v>
      </c>
      <c r="D3009" s="76">
        <v>1212.7926463961301</v>
      </c>
      <c r="E3009" s="77">
        <v>132</v>
      </c>
      <c r="F3009" s="78">
        <v>13.6099714707155</v>
      </c>
      <c r="G3009" s="78">
        <v>13.6099714707155</v>
      </c>
      <c r="H3009" s="81">
        <v>13.012984893382701</v>
      </c>
    </row>
    <row r="3010" spans="1:8" x14ac:dyDescent="0.3">
      <c r="A3010" s="74" t="str">
        <f t="shared" si="46"/>
        <v>贵州46359</v>
      </c>
      <c r="B3010" s="75" t="s">
        <v>22</v>
      </c>
      <c r="C3010" s="45">
        <v>46359</v>
      </c>
      <c r="D3010" s="76">
        <v>1212.7926463961301</v>
      </c>
      <c r="E3010" s="77">
        <v>132</v>
      </c>
      <c r="F3010" s="78">
        <v>13.6099714707155</v>
      </c>
      <c r="G3010" s="78">
        <v>13.6099714707155</v>
      </c>
      <c r="H3010" s="81">
        <v>13.012984893382701</v>
      </c>
    </row>
    <row r="3011" spans="1:8" x14ac:dyDescent="0.3">
      <c r="A3011" s="74" t="str">
        <f t="shared" ref="A3011:A3074" si="47">B3011&amp;C3011</f>
        <v>贵州46360</v>
      </c>
      <c r="B3011" s="75" t="s">
        <v>22</v>
      </c>
      <c r="C3011" s="45">
        <v>46360</v>
      </c>
      <c r="D3011" s="76">
        <v>1212.7926463961301</v>
      </c>
      <c r="E3011" s="77">
        <v>132</v>
      </c>
      <c r="F3011" s="78">
        <v>13.6099714707155</v>
      </c>
      <c r="G3011" s="78">
        <v>13.6099714707155</v>
      </c>
      <c r="H3011" s="81">
        <v>13.012984893382701</v>
      </c>
    </row>
    <row r="3012" spans="1:8" x14ac:dyDescent="0.3">
      <c r="A3012" s="74" t="str">
        <f t="shared" si="47"/>
        <v>贵州46361</v>
      </c>
      <c r="B3012" s="75" t="s">
        <v>22</v>
      </c>
      <c r="C3012" s="45">
        <v>46361</v>
      </c>
      <c r="D3012" s="76">
        <v>1212.7926463961301</v>
      </c>
      <c r="E3012" s="77">
        <v>132</v>
      </c>
      <c r="F3012" s="78">
        <v>13.6099714707155</v>
      </c>
      <c r="G3012" s="78">
        <v>13.6099714707155</v>
      </c>
      <c r="H3012" s="81">
        <v>13.012984893382701</v>
      </c>
    </row>
    <row r="3013" spans="1:8" x14ac:dyDescent="0.3">
      <c r="A3013" s="74" t="str">
        <f t="shared" si="47"/>
        <v>贵州46362</v>
      </c>
      <c r="B3013" s="75" t="s">
        <v>22</v>
      </c>
      <c r="C3013" s="45">
        <v>46362</v>
      </c>
      <c r="D3013" s="76">
        <v>1212.7926463961301</v>
      </c>
      <c r="E3013" s="77">
        <v>132</v>
      </c>
      <c r="F3013" s="78">
        <v>13.6099714707155</v>
      </c>
      <c r="G3013" s="78">
        <v>13.6099714707155</v>
      </c>
      <c r="H3013" s="81">
        <v>13.012984893382701</v>
      </c>
    </row>
    <row r="3014" spans="1:8" x14ac:dyDescent="0.3">
      <c r="A3014" s="74" t="str">
        <f t="shared" si="47"/>
        <v>贵州46363</v>
      </c>
      <c r="B3014" s="75" t="s">
        <v>22</v>
      </c>
      <c r="C3014" s="45">
        <v>46363</v>
      </c>
      <c r="D3014" s="76">
        <v>1212.7926463961301</v>
      </c>
      <c r="E3014" s="77">
        <v>132</v>
      </c>
      <c r="F3014" s="78">
        <v>13.6099714707155</v>
      </c>
      <c r="G3014" s="78">
        <v>13.6099714707155</v>
      </c>
      <c r="H3014" s="81">
        <v>13.012984893382701</v>
      </c>
    </row>
    <row r="3015" spans="1:8" x14ac:dyDescent="0.3">
      <c r="A3015" s="74" t="str">
        <f t="shared" si="47"/>
        <v>贵州46364</v>
      </c>
      <c r="B3015" s="75" t="s">
        <v>22</v>
      </c>
      <c r="C3015" s="45">
        <v>46364</v>
      </c>
      <c r="D3015" s="76">
        <v>1212.7926463961301</v>
      </c>
      <c r="E3015" s="77">
        <v>132</v>
      </c>
      <c r="F3015" s="78">
        <v>13.6099714707155</v>
      </c>
      <c r="G3015" s="78">
        <v>13.6099714707155</v>
      </c>
      <c r="H3015" s="81">
        <v>13.012984893382701</v>
      </c>
    </row>
    <row r="3016" spans="1:8" x14ac:dyDescent="0.3">
      <c r="A3016" s="74" t="str">
        <f t="shared" si="47"/>
        <v>贵州46365</v>
      </c>
      <c r="B3016" s="75" t="s">
        <v>22</v>
      </c>
      <c r="C3016" s="45">
        <v>46365</v>
      </c>
      <c r="D3016" s="76">
        <v>1212.7926463961301</v>
      </c>
      <c r="E3016" s="77">
        <v>132</v>
      </c>
      <c r="F3016" s="78">
        <v>13.6099714707155</v>
      </c>
      <c r="G3016" s="78">
        <v>13.6099714707155</v>
      </c>
      <c r="H3016" s="81">
        <v>13.012984893382701</v>
      </c>
    </row>
    <row r="3017" spans="1:8" x14ac:dyDescent="0.3">
      <c r="A3017" s="74" t="str">
        <f t="shared" si="47"/>
        <v>贵州46366</v>
      </c>
      <c r="B3017" s="75" t="s">
        <v>22</v>
      </c>
      <c r="C3017" s="45">
        <v>46366</v>
      </c>
      <c r="D3017" s="76">
        <v>1212.7926463961301</v>
      </c>
      <c r="E3017" s="77">
        <v>132</v>
      </c>
      <c r="F3017" s="78">
        <v>13.6099714707155</v>
      </c>
      <c r="G3017" s="78">
        <v>13.6099714707155</v>
      </c>
      <c r="H3017" s="81">
        <v>13.012984893382701</v>
      </c>
    </row>
    <row r="3018" spans="1:8" x14ac:dyDescent="0.3">
      <c r="A3018" s="74" t="str">
        <f t="shared" si="47"/>
        <v>贵州46367</v>
      </c>
      <c r="B3018" s="75" t="s">
        <v>22</v>
      </c>
      <c r="C3018" s="45">
        <v>46367</v>
      </c>
      <c r="D3018" s="76">
        <v>1212.7926463961301</v>
      </c>
      <c r="E3018" s="77">
        <v>132</v>
      </c>
      <c r="F3018" s="78">
        <v>13.6099714707155</v>
      </c>
      <c r="G3018" s="78">
        <v>13.6099714707155</v>
      </c>
      <c r="H3018" s="81">
        <v>13.012984893382701</v>
      </c>
    </row>
    <row r="3019" spans="1:8" x14ac:dyDescent="0.3">
      <c r="A3019" s="74" t="str">
        <f t="shared" si="47"/>
        <v>贵州46368</v>
      </c>
      <c r="B3019" s="75" t="s">
        <v>22</v>
      </c>
      <c r="C3019" s="45">
        <v>46368</v>
      </c>
      <c r="D3019" s="76">
        <v>1212.7926463961301</v>
      </c>
      <c r="E3019" s="77">
        <v>132</v>
      </c>
      <c r="F3019" s="78">
        <v>13.6099714707155</v>
      </c>
      <c r="G3019" s="78">
        <v>13.6099714707155</v>
      </c>
      <c r="H3019" s="81">
        <v>13.012984893382701</v>
      </c>
    </row>
    <row r="3020" spans="1:8" x14ac:dyDescent="0.3">
      <c r="A3020" s="74" t="str">
        <f t="shared" si="47"/>
        <v>贵州46369</v>
      </c>
      <c r="B3020" s="75" t="s">
        <v>22</v>
      </c>
      <c r="C3020" s="45">
        <v>46369</v>
      </c>
      <c r="D3020" s="76">
        <v>1212.7926463961301</v>
      </c>
      <c r="E3020" s="77">
        <v>132</v>
      </c>
      <c r="F3020" s="78">
        <v>13.6099714707155</v>
      </c>
      <c r="G3020" s="78">
        <v>13.6099714707155</v>
      </c>
      <c r="H3020" s="81">
        <v>13.012984893382701</v>
      </c>
    </row>
    <row r="3021" spans="1:8" x14ac:dyDescent="0.3">
      <c r="A3021" s="74" t="str">
        <f t="shared" si="47"/>
        <v>贵州46370</v>
      </c>
      <c r="B3021" s="75" t="s">
        <v>22</v>
      </c>
      <c r="C3021" s="45">
        <v>46370</v>
      </c>
      <c r="D3021" s="76">
        <v>1212.7926463961301</v>
      </c>
      <c r="E3021" s="77">
        <v>132</v>
      </c>
      <c r="F3021" s="78">
        <v>13.6099714707155</v>
      </c>
      <c r="G3021" s="78">
        <v>13.6099714707155</v>
      </c>
      <c r="H3021" s="81">
        <v>13.012984893382701</v>
      </c>
    </row>
    <row r="3022" spans="1:8" x14ac:dyDescent="0.3">
      <c r="A3022" s="74" t="str">
        <f t="shared" si="47"/>
        <v>贵州46371</v>
      </c>
      <c r="B3022" s="75" t="s">
        <v>22</v>
      </c>
      <c r="C3022" s="45">
        <v>46371</v>
      </c>
      <c r="D3022" s="76">
        <v>1212.7926463961301</v>
      </c>
      <c r="E3022" s="77">
        <v>132</v>
      </c>
      <c r="F3022" s="78">
        <v>13.6099714707155</v>
      </c>
      <c r="G3022" s="78">
        <v>13.6099714707155</v>
      </c>
      <c r="H3022" s="81">
        <v>13.012984893382701</v>
      </c>
    </row>
    <row r="3023" spans="1:8" x14ac:dyDescent="0.3">
      <c r="A3023" s="74" t="str">
        <f t="shared" si="47"/>
        <v>贵州46372</v>
      </c>
      <c r="B3023" s="75" t="s">
        <v>22</v>
      </c>
      <c r="C3023" s="45">
        <v>46372</v>
      </c>
      <c r="D3023" s="76">
        <v>1212.7926463961301</v>
      </c>
      <c r="E3023" s="77">
        <v>132</v>
      </c>
      <c r="F3023" s="78">
        <v>13.6099714707155</v>
      </c>
      <c r="G3023" s="78">
        <v>13.6099714707155</v>
      </c>
      <c r="H3023" s="81">
        <v>13.012984893382701</v>
      </c>
    </row>
    <row r="3024" spans="1:8" x14ac:dyDescent="0.3">
      <c r="A3024" s="74" t="str">
        <f t="shared" si="47"/>
        <v>贵州46373</v>
      </c>
      <c r="B3024" s="75" t="s">
        <v>22</v>
      </c>
      <c r="C3024" s="45">
        <v>46373</v>
      </c>
      <c r="D3024" s="76">
        <v>1212.7926463961301</v>
      </c>
      <c r="E3024" s="77">
        <v>132</v>
      </c>
      <c r="F3024" s="78">
        <v>13.6099714707155</v>
      </c>
      <c r="G3024" s="78">
        <v>13.6099714707155</v>
      </c>
      <c r="H3024" s="81">
        <v>13.012984893382701</v>
      </c>
    </row>
    <row r="3025" spans="1:8" x14ac:dyDescent="0.3">
      <c r="A3025" s="74" t="str">
        <f t="shared" si="47"/>
        <v>贵州46374</v>
      </c>
      <c r="B3025" s="75" t="s">
        <v>22</v>
      </c>
      <c r="C3025" s="45">
        <v>46374</v>
      </c>
      <c r="D3025" s="76">
        <v>1212.7926463961301</v>
      </c>
      <c r="E3025" s="77">
        <v>132</v>
      </c>
      <c r="F3025" s="78">
        <v>13.6099714707155</v>
      </c>
      <c r="G3025" s="78">
        <v>13.6099714707155</v>
      </c>
      <c r="H3025" s="81">
        <v>13.012984893382701</v>
      </c>
    </row>
    <row r="3026" spans="1:8" x14ac:dyDescent="0.3">
      <c r="A3026" s="74" t="str">
        <f t="shared" si="47"/>
        <v>贵州46375</v>
      </c>
      <c r="B3026" s="75" t="s">
        <v>22</v>
      </c>
      <c r="C3026" s="45">
        <v>46375</v>
      </c>
      <c r="D3026" s="76">
        <v>1212.7926463961301</v>
      </c>
      <c r="E3026" s="77">
        <v>132</v>
      </c>
      <c r="F3026" s="78">
        <v>13.6099714707155</v>
      </c>
      <c r="G3026" s="78">
        <v>13.6099714707155</v>
      </c>
      <c r="H3026" s="81">
        <v>13.012984893382701</v>
      </c>
    </row>
    <row r="3027" spans="1:8" x14ac:dyDescent="0.3">
      <c r="A3027" s="74" t="str">
        <f t="shared" si="47"/>
        <v>贵州46376</v>
      </c>
      <c r="B3027" s="75" t="s">
        <v>22</v>
      </c>
      <c r="C3027" s="45">
        <v>46376</v>
      </c>
      <c r="D3027" s="76">
        <v>1212.7926463961301</v>
      </c>
      <c r="E3027" s="77">
        <v>132</v>
      </c>
      <c r="F3027" s="78">
        <v>13.6099714707155</v>
      </c>
      <c r="G3027" s="78">
        <v>13.6099714707155</v>
      </c>
      <c r="H3027" s="81">
        <v>13.012984893382701</v>
      </c>
    </row>
    <row r="3028" spans="1:8" x14ac:dyDescent="0.3">
      <c r="A3028" s="74" t="str">
        <f t="shared" si="47"/>
        <v>贵州46377</v>
      </c>
      <c r="B3028" s="75" t="s">
        <v>22</v>
      </c>
      <c r="C3028" s="45">
        <v>46377</v>
      </c>
      <c r="D3028" s="76">
        <v>1212.7926463961301</v>
      </c>
      <c r="E3028" s="77">
        <v>132</v>
      </c>
      <c r="F3028" s="78">
        <v>13.6099714707155</v>
      </c>
      <c r="G3028" s="78">
        <v>13.6099714707155</v>
      </c>
      <c r="H3028" s="81">
        <v>13.012984893382701</v>
      </c>
    </row>
    <row r="3029" spans="1:8" x14ac:dyDescent="0.3">
      <c r="A3029" s="74" t="str">
        <f t="shared" si="47"/>
        <v>贵州46378</v>
      </c>
      <c r="B3029" s="75" t="s">
        <v>22</v>
      </c>
      <c r="C3029" s="45">
        <v>46378</v>
      </c>
      <c r="D3029" s="76">
        <v>1212.7926463961301</v>
      </c>
      <c r="E3029" s="77">
        <v>132</v>
      </c>
      <c r="F3029" s="78">
        <v>13.6099714707155</v>
      </c>
      <c r="G3029" s="78">
        <v>13.6099714707155</v>
      </c>
      <c r="H3029" s="81">
        <v>13.012984893382701</v>
      </c>
    </row>
    <row r="3030" spans="1:8" x14ac:dyDescent="0.3">
      <c r="A3030" s="74" t="str">
        <f t="shared" si="47"/>
        <v>贵州46379</v>
      </c>
      <c r="B3030" s="75" t="s">
        <v>22</v>
      </c>
      <c r="C3030" s="45">
        <v>46379</v>
      </c>
      <c r="D3030" s="76">
        <v>1212.7926463961301</v>
      </c>
      <c r="E3030" s="77">
        <v>132</v>
      </c>
      <c r="F3030" s="78">
        <v>13.6099714707155</v>
      </c>
      <c r="G3030" s="78">
        <v>13.6099714707155</v>
      </c>
      <c r="H3030" s="81">
        <v>13.012984893382701</v>
      </c>
    </row>
    <row r="3031" spans="1:8" x14ac:dyDescent="0.3">
      <c r="A3031" s="74" t="str">
        <f t="shared" si="47"/>
        <v>贵州46380</v>
      </c>
      <c r="B3031" s="75" t="s">
        <v>22</v>
      </c>
      <c r="C3031" s="45">
        <v>46380</v>
      </c>
      <c r="D3031" s="76">
        <v>1212.7926463961301</v>
      </c>
      <c r="E3031" s="77">
        <v>132</v>
      </c>
      <c r="F3031" s="78">
        <v>13.6099714707155</v>
      </c>
      <c r="G3031" s="78">
        <v>13.6099714707155</v>
      </c>
      <c r="H3031" s="81">
        <v>13.012984893382701</v>
      </c>
    </row>
    <row r="3032" spans="1:8" x14ac:dyDescent="0.3">
      <c r="A3032" s="74" t="str">
        <f t="shared" si="47"/>
        <v>贵州46381</v>
      </c>
      <c r="B3032" s="75" t="s">
        <v>22</v>
      </c>
      <c r="C3032" s="45">
        <v>46381</v>
      </c>
      <c r="D3032" s="76">
        <v>1212.7926463961301</v>
      </c>
      <c r="E3032" s="77">
        <v>132</v>
      </c>
      <c r="F3032" s="78">
        <v>13.6099714707155</v>
      </c>
      <c r="G3032" s="78">
        <v>13.6099714707155</v>
      </c>
      <c r="H3032" s="81">
        <v>13.012984893382701</v>
      </c>
    </row>
    <row r="3033" spans="1:8" x14ac:dyDescent="0.3">
      <c r="A3033" s="74" t="str">
        <f t="shared" si="47"/>
        <v>贵州46382</v>
      </c>
      <c r="B3033" s="75" t="s">
        <v>22</v>
      </c>
      <c r="C3033" s="45">
        <v>46382</v>
      </c>
      <c r="D3033" s="76">
        <v>1212.7926463961301</v>
      </c>
      <c r="E3033" s="77">
        <v>132</v>
      </c>
      <c r="F3033" s="78">
        <v>13.6099714707155</v>
      </c>
      <c r="G3033" s="78">
        <v>13.6099714707155</v>
      </c>
      <c r="H3033" s="81">
        <v>13.012984893382701</v>
      </c>
    </row>
    <row r="3034" spans="1:8" x14ac:dyDescent="0.3">
      <c r="A3034" s="74" t="str">
        <f t="shared" si="47"/>
        <v>贵州46383</v>
      </c>
      <c r="B3034" s="75" t="s">
        <v>22</v>
      </c>
      <c r="C3034" s="45">
        <v>46383</v>
      </c>
      <c r="D3034" s="76">
        <v>1212.7926463961301</v>
      </c>
      <c r="E3034" s="77">
        <v>132</v>
      </c>
      <c r="F3034" s="78">
        <v>13.6099714707155</v>
      </c>
      <c r="G3034" s="78">
        <v>13.6099714707155</v>
      </c>
      <c r="H3034" s="81">
        <v>13.012984893382701</v>
      </c>
    </row>
    <row r="3035" spans="1:8" x14ac:dyDescent="0.3">
      <c r="A3035" s="74" t="str">
        <f t="shared" si="47"/>
        <v>贵州46384</v>
      </c>
      <c r="B3035" s="75" t="s">
        <v>22</v>
      </c>
      <c r="C3035" s="45">
        <v>46384</v>
      </c>
      <c r="D3035" s="76">
        <v>1212.7926463961301</v>
      </c>
      <c r="E3035" s="77">
        <v>132</v>
      </c>
      <c r="F3035" s="78">
        <v>13.6099714707155</v>
      </c>
      <c r="G3035" s="78">
        <v>13.6099714707155</v>
      </c>
      <c r="H3035" s="81">
        <v>13.012984893382701</v>
      </c>
    </row>
    <row r="3036" spans="1:8" x14ac:dyDescent="0.3">
      <c r="A3036" s="74" t="str">
        <f t="shared" si="47"/>
        <v>贵州46385</v>
      </c>
      <c r="B3036" s="75" t="s">
        <v>22</v>
      </c>
      <c r="C3036" s="45">
        <v>46385</v>
      </c>
      <c r="D3036" s="76">
        <v>1212.7926463961301</v>
      </c>
      <c r="E3036" s="77">
        <v>132</v>
      </c>
      <c r="F3036" s="78">
        <v>13.6099714707155</v>
      </c>
      <c r="G3036" s="78">
        <v>13.6099714707155</v>
      </c>
      <c r="H3036" s="81">
        <v>13.012984893382701</v>
      </c>
    </row>
    <row r="3037" spans="1:8" x14ac:dyDescent="0.3">
      <c r="A3037" s="74" t="str">
        <f t="shared" si="47"/>
        <v>贵州46386</v>
      </c>
      <c r="B3037" s="75" t="s">
        <v>22</v>
      </c>
      <c r="C3037" s="45">
        <v>46386</v>
      </c>
      <c r="D3037" s="76">
        <v>1212.7926463961301</v>
      </c>
      <c r="E3037" s="77">
        <v>132</v>
      </c>
      <c r="F3037" s="78">
        <v>13.6099714707155</v>
      </c>
      <c r="G3037" s="78">
        <v>13.6099714707155</v>
      </c>
      <c r="H3037" s="81">
        <v>13.012984893382701</v>
      </c>
    </row>
    <row r="3038" spans="1:8" x14ac:dyDescent="0.3">
      <c r="A3038" s="74" t="str">
        <f t="shared" si="47"/>
        <v>贵州46387</v>
      </c>
      <c r="B3038" s="82" t="s">
        <v>22</v>
      </c>
      <c r="C3038" s="83">
        <v>46387</v>
      </c>
      <c r="D3038" s="84">
        <v>1212.7926463961301</v>
      </c>
      <c r="E3038" s="85">
        <v>132</v>
      </c>
      <c r="F3038" s="86">
        <v>13.6099714707155</v>
      </c>
      <c r="G3038" s="86">
        <v>13.6099714707155</v>
      </c>
      <c r="H3038" s="87">
        <v>13.012984893382701</v>
      </c>
    </row>
    <row r="3039" spans="1:8" x14ac:dyDescent="0.3">
      <c r="A3039" s="74" t="str">
        <f t="shared" si="47"/>
        <v>四川46135</v>
      </c>
      <c r="B3039" s="75" t="s">
        <v>23</v>
      </c>
      <c r="C3039" s="45">
        <v>46135</v>
      </c>
      <c r="D3039" s="76">
        <v>4897.9796782504</v>
      </c>
      <c r="E3039" s="77">
        <v>130</v>
      </c>
      <c r="F3039" s="78">
        <v>9.0577470531098001</v>
      </c>
      <c r="G3039" s="78">
        <v>9.0577470531098001</v>
      </c>
      <c r="H3039" s="81">
        <v>9.6300906707550702</v>
      </c>
    </row>
    <row r="3040" spans="1:8" x14ac:dyDescent="0.3">
      <c r="A3040" s="74" t="str">
        <f t="shared" si="47"/>
        <v>四川46136</v>
      </c>
      <c r="B3040" s="75" t="s">
        <v>23</v>
      </c>
      <c r="C3040" s="45">
        <v>46136</v>
      </c>
      <c r="D3040" s="76">
        <v>4897.9796782504</v>
      </c>
      <c r="E3040" s="77">
        <v>130</v>
      </c>
      <c r="F3040" s="78">
        <v>9.0577470531098001</v>
      </c>
      <c r="G3040" s="78">
        <v>9.0577470531098001</v>
      </c>
      <c r="H3040" s="81">
        <v>9.6300906707550702</v>
      </c>
    </row>
    <row r="3041" spans="1:8" x14ac:dyDescent="0.3">
      <c r="A3041" s="74" t="str">
        <f t="shared" si="47"/>
        <v>四川46137</v>
      </c>
      <c r="B3041" s="75" t="s">
        <v>23</v>
      </c>
      <c r="C3041" s="45">
        <v>46137</v>
      </c>
      <c r="D3041" s="76">
        <v>4897.9796782504</v>
      </c>
      <c r="E3041" s="77">
        <v>130</v>
      </c>
      <c r="F3041" s="78">
        <v>9.0577470531098001</v>
      </c>
      <c r="G3041" s="78">
        <v>9.0577470531098001</v>
      </c>
      <c r="H3041" s="81">
        <v>9.6300906707550702</v>
      </c>
    </row>
    <row r="3042" spans="1:8" x14ac:dyDescent="0.3">
      <c r="A3042" s="74" t="str">
        <f t="shared" si="47"/>
        <v>四川46138</v>
      </c>
      <c r="B3042" s="75" t="s">
        <v>23</v>
      </c>
      <c r="C3042" s="45">
        <v>46138</v>
      </c>
      <c r="D3042" s="76">
        <v>4897.9796782504</v>
      </c>
      <c r="E3042" s="77">
        <v>130</v>
      </c>
      <c r="F3042" s="78">
        <v>9.0577470531098001</v>
      </c>
      <c r="G3042" s="78">
        <v>9.0577470531098001</v>
      </c>
      <c r="H3042" s="81">
        <v>9.6300906707550702</v>
      </c>
    </row>
    <row r="3043" spans="1:8" x14ac:dyDescent="0.3">
      <c r="A3043" s="74" t="str">
        <f t="shared" si="47"/>
        <v>四川46139</v>
      </c>
      <c r="B3043" s="75" t="s">
        <v>23</v>
      </c>
      <c r="C3043" s="45">
        <v>46139</v>
      </c>
      <c r="D3043" s="76">
        <v>4897.9796782504</v>
      </c>
      <c r="E3043" s="77">
        <v>130</v>
      </c>
      <c r="F3043" s="78">
        <v>9.0577470531098001</v>
      </c>
      <c r="G3043" s="78">
        <v>9.0577470531098001</v>
      </c>
      <c r="H3043" s="81">
        <v>9.6300906707550702</v>
      </c>
    </row>
    <row r="3044" spans="1:8" x14ac:dyDescent="0.3">
      <c r="A3044" s="74" t="str">
        <f t="shared" si="47"/>
        <v>四川46140</v>
      </c>
      <c r="B3044" s="75" t="s">
        <v>23</v>
      </c>
      <c r="C3044" s="45">
        <v>46140</v>
      </c>
      <c r="D3044" s="76">
        <v>4897.9796782504</v>
      </c>
      <c r="E3044" s="77">
        <v>130</v>
      </c>
      <c r="F3044" s="78">
        <v>9.0577470531098001</v>
      </c>
      <c r="G3044" s="78">
        <v>9.0577470531098001</v>
      </c>
      <c r="H3044" s="81">
        <v>9.6300906707550702</v>
      </c>
    </row>
    <row r="3045" spans="1:8" x14ac:dyDescent="0.3">
      <c r="A3045" s="74" t="str">
        <f t="shared" si="47"/>
        <v>四川46141</v>
      </c>
      <c r="B3045" s="75" t="s">
        <v>23</v>
      </c>
      <c r="C3045" s="45">
        <v>46141</v>
      </c>
      <c r="D3045" s="76">
        <v>4897.9796782504</v>
      </c>
      <c r="E3045" s="77">
        <v>130</v>
      </c>
      <c r="F3045" s="78">
        <v>9.0577470531098001</v>
      </c>
      <c r="G3045" s="78">
        <v>9.0577470531098001</v>
      </c>
      <c r="H3045" s="81">
        <v>9.6300906707550702</v>
      </c>
    </row>
    <row r="3046" spans="1:8" x14ac:dyDescent="0.3">
      <c r="A3046" s="74" t="str">
        <f t="shared" si="47"/>
        <v>四川46142</v>
      </c>
      <c r="B3046" s="75" t="s">
        <v>23</v>
      </c>
      <c r="C3046" s="45">
        <v>46142</v>
      </c>
      <c r="D3046" s="76">
        <v>4897.9796782504</v>
      </c>
      <c r="E3046" s="77">
        <v>130</v>
      </c>
      <c r="F3046" s="78">
        <v>9.0577470531098001</v>
      </c>
      <c r="G3046" s="78">
        <v>9.0577470531098001</v>
      </c>
      <c r="H3046" s="81">
        <v>9.6300906707550702</v>
      </c>
    </row>
    <row r="3047" spans="1:8" x14ac:dyDescent="0.3">
      <c r="A3047" s="74" t="str">
        <f t="shared" si="47"/>
        <v>四川46143</v>
      </c>
      <c r="B3047" s="75" t="s">
        <v>23</v>
      </c>
      <c r="C3047" s="45">
        <v>46143</v>
      </c>
      <c r="D3047" s="76">
        <v>4896.0490193232499</v>
      </c>
      <c r="E3047" s="77">
        <v>130</v>
      </c>
      <c r="F3047" s="78">
        <v>10.5418397183062</v>
      </c>
      <c r="G3047" s="78">
        <v>10.5418397183062</v>
      </c>
      <c r="H3047" s="81">
        <v>9.8487864280892001</v>
      </c>
    </row>
    <row r="3048" spans="1:8" x14ac:dyDescent="0.3">
      <c r="A3048" s="74" t="str">
        <f t="shared" si="47"/>
        <v>四川46144</v>
      </c>
      <c r="B3048" s="75" t="s">
        <v>23</v>
      </c>
      <c r="C3048" s="45">
        <v>46144</v>
      </c>
      <c r="D3048" s="76">
        <v>4896.0490193232499</v>
      </c>
      <c r="E3048" s="77">
        <v>130</v>
      </c>
      <c r="F3048" s="78">
        <v>10.5418397183062</v>
      </c>
      <c r="G3048" s="78">
        <v>10.5418397183062</v>
      </c>
      <c r="H3048" s="81">
        <v>9.8487864280892001</v>
      </c>
    </row>
    <row r="3049" spans="1:8" x14ac:dyDescent="0.3">
      <c r="A3049" s="74" t="str">
        <f t="shared" si="47"/>
        <v>四川46145</v>
      </c>
      <c r="B3049" s="75" t="s">
        <v>23</v>
      </c>
      <c r="C3049" s="45">
        <v>46145</v>
      </c>
      <c r="D3049" s="76">
        <v>4896.0490193232499</v>
      </c>
      <c r="E3049" s="77">
        <v>130</v>
      </c>
      <c r="F3049" s="78">
        <v>10.5418397183062</v>
      </c>
      <c r="G3049" s="78">
        <v>10.5418397183062</v>
      </c>
      <c r="H3049" s="81">
        <v>9.8487864280892001</v>
      </c>
    </row>
    <row r="3050" spans="1:8" x14ac:dyDescent="0.3">
      <c r="A3050" s="74" t="str">
        <f t="shared" si="47"/>
        <v>四川46146</v>
      </c>
      <c r="B3050" s="75" t="s">
        <v>23</v>
      </c>
      <c r="C3050" s="45">
        <v>46146</v>
      </c>
      <c r="D3050" s="76">
        <v>4896.0490193232499</v>
      </c>
      <c r="E3050" s="77">
        <v>130</v>
      </c>
      <c r="F3050" s="78">
        <v>10.5418397183062</v>
      </c>
      <c r="G3050" s="78">
        <v>10.5418397183062</v>
      </c>
      <c r="H3050" s="81">
        <v>9.8487864280892001</v>
      </c>
    </row>
    <row r="3051" spans="1:8" x14ac:dyDescent="0.3">
      <c r="A3051" s="74" t="str">
        <f t="shared" si="47"/>
        <v>四川46147</v>
      </c>
      <c r="B3051" s="75" t="s">
        <v>23</v>
      </c>
      <c r="C3051" s="45">
        <v>46147</v>
      </c>
      <c r="D3051" s="76">
        <v>4896.0490193232499</v>
      </c>
      <c r="E3051" s="77">
        <v>130</v>
      </c>
      <c r="F3051" s="78">
        <v>10.5418397183062</v>
      </c>
      <c r="G3051" s="78">
        <v>10.5418397183062</v>
      </c>
      <c r="H3051" s="81">
        <v>9.8487864280892001</v>
      </c>
    </row>
    <row r="3052" spans="1:8" x14ac:dyDescent="0.3">
      <c r="A3052" s="74" t="str">
        <f t="shared" si="47"/>
        <v>四川46148</v>
      </c>
      <c r="B3052" s="75" t="s">
        <v>23</v>
      </c>
      <c r="C3052" s="45">
        <v>46148</v>
      </c>
      <c r="D3052" s="76">
        <v>4896.0490193232499</v>
      </c>
      <c r="E3052" s="77">
        <v>130</v>
      </c>
      <c r="F3052" s="78">
        <v>10.5418397183062</v>
      </c>
      <c r="G3052" s="78">
        <v>10.5418397183062</v>
      </c>
      <c r="H3052" s="81">
        <v>9.8487864280892001</v>
      </c>
    </row>
    <row r="3053" spans="1:8" x14ac:dyDescent="0.3">
      <c r="A3053" s="74" t="str">
        <f t="shared" si="47"/>
        <v>四川46149</v>
      </c>
      <c r="B3053" s="75" t="s">
        <v>23</v>
      </c>
      <c r="C3053" s="45">
        <v>46149</v>
      </c>
      <c r="D3053" s="76">
        <v>4896.0490193232499</v>
      </c>
      <c r="E3053" s="77">
        <v>130</v>
      </c>
      <c r="F3053" s="78">
        <v>10.5418397183062</v>
      </c>
      <c r="G3053" s="78">
        <v>10.5418397183062</v>
      </c>
      <c r="H3053" s="81">
        <v>9.8487864280892001</v>
      </c>
    </row>
    <row r="3054" spans="1:8" x14ac:dyDescent="0.3">
      <c r="A3054" s="74" t="str">
        <f t="shared" si="47"/>
        <v>四川46150</v>
      </c>
      <c r="B3054" s="75" t="s">
        <v>23</v>
      </c>
      <c r="C3054" s="45">
        <v>46150</v>
      </c>
      <c r="D3054" s="76">
        <v>4896.0490193232499</v>
      </c>
      <c r="E3054" s="77">
        <v>130</v>
      </c>
      <c r="F3054" s="78">
        <v>10.5418397183062</v>
      </c>
      <c r="G3054" s="78">
        <v>10.5418397183062</v>
      </c>
      <c r="H3054" s="81">
        <v>9.8487864280892001</v>
      </c>
    </row>
    <row r="3055" spans="1:8" x14ac:dyDescent="0.3">
      <c r="A3055" s="74" t="str">
        <f t="shared" si="47"/>
        <v>四川46151</v>
      </c>
      <c r="B3055" s="75" t="s">
        <v>23</v>
      </c>
      <c r="C3055" s="45">
        <v>46151</v>
      </c>
      <c r="D3055" s="76">
        <v>4896.0490193232499</v>
      </c>
      <c r="E3055" s="77">
        <v>130</v>
      </c>
      <c r="F3055" s="78">
        <v>10.5418397183062</v>
      </c>
      <c r="G3055" s="78">
        <v>10.5418397183062</v>
      </c>
      <c r="H3055" s="81">
        <v>9.8487864280892001</v>
      </c>
    </row>
    <row r="3056" spans="1:8" x14ac:dyDescent="0.3">
      <c r="A3056" s="74" t="str">
        <f t="shared" si="47"/>
        <v>四川46152</v>
      </c>
      <c r="B3056" s="75" t="s">
        <v>23</v>
      </c>
      <c r="C3056" s="45">
        <v>46152</v>
      </c>
      <c r="D3056" s="76">
        <v>4896.0490193232499</v>
      </c>
      <c r="E3056" s="77">
        <v>130</v>
      </c>
      <c r="F3056" s="78">
        <v>10.5418397183062</v>
      </c>
      <c r="G3056" s="78">
        <v>10.5418397183062</v>
      </c>
      <c r="H3056" s="81">
        <v>9.8487864280892001</v>
      </c>
    </row>
    <row r="3057" spans="1:8" x14ac:dyDescent="0.3">
      <c r="A3057" s="74" t="str">
        <f t="shared" si="47"/>
        <v>四川46153</v>
      </c>
      <c r="B3057" s="75" t="s">
        <v>23</v>
      </c>
      <c r="C3057" s="45">
        <v>46153</v>
      </c>
      <c r="D3057" s="76">
        <v>4896.0490193232499</v>
      </c>
      <c r="E3057" s="77">
        <v>130</v>
      </c>
      <c r="F3057" s="78">
        <v>10.5418397183062</v>
      </c>
      <c r="G3057" s="78">
        <v>10.5418397183062</v>
      </c>
      <c r="H3057" s="81">
        <v>9.8487864280892001</v>
      </c>
    </row>
    <row r="3058" spans="1:8" x14ac:dyDescent="0.3">
      <c r="A3058" s="74" t="str">
        <f t="shared" si="47"/>
        <v>四川46154</v>
      </c>
      <c r="B3058" s="75" t="s">
        <v>23</v>
      </c>
      <c r="C3058" s="45">
        <v>46154</v>
      </c>
      <c r="D3058" s="76">
        <v>4896.0490193232499</v>
      </c>
      <c r="E3058" s="77">
        <v>130</v>
      </c>
      <c r="F3058" s="78">
        <v>10.5418397183062</v>
      </c>
      <c r="G3058" s="78">
        <v>10.5418397183062</v>
      </c>
      <c r="H3058" s="81">
        <v>9.8487864280892001</v>
      </c>
    </row>
    <row r="3059" spans="1:8" x14ac:dyDescent="0.3">
      <c r="A3059" s="74" t="str">
        <f t="shared" si="47"/>
        <v>四川46155</v>
      </c>
      <c r="B3059" s="75" t="s">
        <v>23</v>
      </c>
      <c r="C3059" s="45">
        <v>46155</v>
      </c>
      <c r="D3059" s="76">
        <v>4896.0490193232499</v>
      </c>
      <c r="E3059" s="77">
        <v>130</v>
      </c>
      <c r="F3059" s="78">
        <v>10.5418397183062</v>
      </c>
      <c r="G3059" s="78">
        <v>10.5418397183062</v>
      </c>
      <c r="H3059" s="81">
        <v>9.8487864280892001</v>
      </c>
    </row>
    <row r="3060" spans="1:8" x14ac:dyDescent="0.3">
      <c r="A3060" s="74" t="str">
        <f t="shared" si="47"/>
        <v>四川46156</v>
      </c>
      <c r="B3060" s="75" t="s">
        <v>23</v>
      </c>
      <c r="C3060" s="45">
        <v>46156</v>
      </c>
      <c r="D3060" s="76">
        <v>4896.0490193232499</v>
      </c>
      <c r="E3060" s="77">
        <v>130</v>
      </c>
      <c r="F3060" s="78">
        <v>10.5418397183062</v>
      </c>
      <c r="G3060" s="78">
        <v>10.5418397183062</v>
      </c>
      <c r="H3060" s="81">
        <v>9.8487864280892001</v>
      </c>
    </row>
    <row r="3061" spans="1:8" x14ac:dyDescent="0.3">
      <c r="A3061" s="74" t="str">
        <f t="shared" si="47"/>
        <v>四川46157</v>
      </c>
      <c r="B3061" s="75" t="s">
        <v>23</v>
      </c>
      <c r="C3061" s="45">
        <v>46157</v>
      </c>
      <c r="D3061" s="76">
        <v>4896.0490193232499</v>
      </c>
      <c r="E3061" s="77">
        <v>130</v>
      </c>
      <c r="F3061" s="78">
        <v>10.5418397183062</v>
      </c>
      <c r="G3061" s="78">
        <v>10.5418397183062</v>
      </c>
      <c r="H3061" s="81">
        <v>9.8487864280892001</v>
      </c>
    </row>
    <row r="3062" spans="1:8" x14ac:dyDescent="0.3">
      <c r="A3062" s="74" t="str">
        <f t="shared" si="47"/>
        <v>四川46158</v>
      </c>
      <c r="B3062" s="75" t="s">
        <v>23</v>
      </c>
      <c r="C3062" s="45">
        <v>46158</v>
      </c>
      <c r="D3062" s="76">
        <v>4896.0490193232499</v>
      </c>
      <c r="E3062" s="77">
        <v>130</v>
      </c>
      <c r="F3062" s="78">
        <v>10.5418397183062</v>
      </c>
      <c r="G3062" s="78">
        <v>10.5418397183062</v>
      </c>
      <c r="H3062" s="81">
        <v>9.8487864280892001</v>
      </c>
    </row>
    <row r="3063" spans="1:8" x14ac:dyDescent="0.3">
      <c r="A3063" s="74" t="str">
        <f t="shared" si="47"/>
        <v>四川46159</v>
      </c>
      <c r="B3063" s="75" t="s">
        <v>23</v>
      </c>
      <c r="C3063" s="45">
        <v>46159</v>
      </c>
      <c r="D3063" s="76">
        <v>4896.0490193232499</v>
      </c>
      <c r="E3063" s="77">
        <v>130</v>
      </c>
      <c r="F3063" s="78">
        <v>10.5418397183062</v>
      </c>
      <c r="G3063" s="78">
        <v>10.5418397183062</v>
      </c>
      <c r="H3063" s="81">
        <v>9.8487864280892001</v>
      </c>
    </row>
    <row r="3064" spans="1:8" x14ac:dyDescent="0.3">
      <c r="A3064" s="74" t="str">
        <f t="shared" si="47"/>
        <v>四川46160</v>
      </c>
      <c r="B3064" s="75" t="s">
        <v>23</v>
      </c>
      <c r="C3064" s="45">
        <v>46160</v>
      </c>
      <c r="D3064" s="76">
        <v>4896.0490193232499</v>
      </c>
      <c r="E3064" s="77">
        <v>130</v>
      </c>
      <c r="F3064" s="78">
        <v>10.5418397183062</v>
      </c>
      <c r="G3064" s="78">
        <v>10.5418397183062</v>
      </c>
      <c r="H3064" s="81">
        <v>9.8487864280892001</v>
      </c>
    </row>
    <row r="3065" spans="1:8" x14ac:dyDescent="0.3">
      <c r="A3065" s="74" t="str">
        <f t="shared" si="47"/>
        <v>四川46161</v>
      </c>
      <c r="B3065" s="75" t="s">
        <v>23</v>
      </c>
      <c r="C3065" s="45">
        <v>46161</v>
      </c>
      <c r="D3065" s="76">
        <v>4896.0490193232499</v>
      </c>
      <c r="E3065" s="77">
        <v>130</v>
      </c>
      <c r="F3065" s="78">
        <v>10.5418397183062</v>
      </c>
      <c r="G3065" s="78">
        <v>10.5418397183062</v>
      </c>
      <c r="H3065" s="81">
        <v>9.8487864280892001</v>
      </c>
    </row>
    <row r="3066" spans="1:8" x14ac:dyDescent="0.3">
      <c r="A3066" s="74" t="str">
        <f t="shared" si="47"/>
        <v>四川46162</v>
      </c>
      <c r="B3066" s="75" t="s">
        <v>23</v>
      </c>
      <c r="C3066" s="45">
        <v>46162</v>
      </c>
      <c r="D3066" s="76">
        <v>4896.0490193232499</v>
      </c>
      <c r="E3066" s="77">
        <v>130</v>
      </c>
      <c r="F3066" s="78">
        <v>10.5418397183062</v>
      </c>
      <c r="G3066" s="78">
        <v>10.5418397183062</v>
      </c>
      <c r="H3066" s="81">
        <v>9.8487864280892001</v>
      </c>
    </row>
    <row r="3067" spans="1:8" x14ac:dyDescent="0.3">
      <c r="A3067" s="74" t="str">
        <f t="shared" si="47"/>
        <v>四川46163</v>
      </c>
      <c r="B3067" s="75" t="s">
        <v>23</v>
      </c>
      <c r="C3067" s="45">
        <v>46163</v>
      </c>
      <c r="D3067" s="76">
        <v>4896.0490193232499</v>
      </c>
      <c r="E3067" s="77">
        <v>130</v>
      </c>
      <c r="F3067" s="78">
        <v>10.5418397183062</v>
      </c>
      <c r="G3067" s="78">
        <v>10.5418397183062</v>
      </c>
      <c r="H3067" s="81">
        <v>9.8487864280892001</v>
      </c>
    </row>
    <row r="3068" spans="1:8" x14ac:dyDescent="0.3">
      <c r="A3068" s="74" t="str">
        <f t="shared" si="47"/>
        <v>四川46164</v>
      </c>
      <c r="B3068" s="75" t="s">
        <v>23</v>
      </c>
      <c r="C3068" s="45">
        <v>46164</v>
      </c>
      <c r="D3068" s="76">
        <v>4896.0490193232499</v>
      </c>
      <c r="E3068" s="77">
        <v>130</v>
      </c>
      <c r="F3068" s="78">
        <v>10.5418397183062</v>
      </c>
      <c r="G3068" s="78">
        <v>10.5418397183062</v>
      </c>
      <c r="H3068" s="81">
        <v>9.8487864280892001</v>
      </c>
    </row>
    <row r="3069" spans="1:8" x14ac:dyDescent="0.3">
      <c r="A3069" s="74" t="str">
        <f t="shared" si="47"/>
        <v>四川46165</v>
      </c>
      <c r="B3069" s="75" t="s">
        <v>23</v>
      </c>
      <c r="C3069" s="45">
        <v>46165</v>
      </c>
      <c r="D3069" s="76">
        <v>4896.0490193232499</v>
      </c>
      <c r="E3069" s="77">
        <v>130</v>
      </c>
      <c r="F3069" s="78">
        <v>10.5418397183062</v>
      </c>
      <c r="G3069" s="78">
        <v>10.5418397183062</v>
      </c>
      <c r="H3069" s="81">
        <v>9.8487864280892001</v>
      </c>
    </row>
    <row r="3070" spans="1:8" x14ac:dyDescent="0.3">
      <c r="A3070" s="74" t="str">
        <f t="shared" si="47"/>
        <v>四川46166</v>
      </c>
      <c r="B3070" s="75" t="s">
        <v>23</v>
      </c>
      <c r="C3070" s="45">
        <v>46166</v>
      </c>
      <c r="D3070" s="76">
        <v>4896.0490193232499</v>
      </c>
      <c r="E3070" s="77">
        <v>130</v>
      </c>
      <c r="F3070" s="78">
        <v>10.5418397183062</v>
      </c>
      <c r="G3070" s="78">
        <v>10.5418397183062</v>
      </c>
      <c r="H3070" s="81">
        <v>9.8487864280892001</v>
      </c>
    </row>
    <row r="3071" spans="1:8" x14ac:dyDescent="0.3">
      <c r="A3071" s="74" t="str">
        <f t="shared" si="47"/>
        <v>四川46167</v>
      </c>
      <c r="B3071" s="75" t="s">
        <v>23</v>
      </c>
      <c r="C3071" s="45">
        <v>46167</v>
      </c>
      <c r="D3071" s="76">
        <v>4896.0490193232499</v>
      </c>
      <c r="E3071" s="77">
        <v>130</v>
      </c>
      <c r="F3071" s="78">
        <v>10.5418397183062</v>
      </c>
      <c r="G3071" s="78">
        <v>10.5418397183062</v>
      </c>
      <c r="H3071" s="81">
        <v>9.8487864280892001</v>
      </c>
    </row>
    <row r="3072" spans="1:8" x14ac:dyDescent="0.3">
      <c r="A3072" s="74" t="str">
        <f t="shared" si="47"/>
        <v>四川46168</v>
      </c>
      <c r="B3072" s="75" t="s">
        <v>23</v>
      </c>
      <c r="C3072" s="45">
        <v>46168</v>
      </c>
      <c r="D3072" s="76">
        <v>4896.0490193232499</v>
      </c>
      <c r="E3072" s="77">
        <v>130</v>
      </c>
      <c r="F3072" s="78">
        <v>10.5418397183062</v>
      </c>
      <c r="G3072" s="78">
        <v>10.5418397183062</v>
      </c>
      <c r="H3072" s="81">
        <v>9.8487864280892001</v>
      </c>
    </row>
    <row r="3073" spans="1:8" x14ac:dyDescent="0.3">
      <c r="A3073" s="74" t="str">
        <f t="shared" si="47"/>
        <v>四川46169</v>
      </c>
      <c r="B3073" s="75" t="s">
        <v>23</v>
      </c>
      <c r="C3073" s="45">
        <v>46169</v>
      </c>
      <c r="D3073" s="76">
        <v>4896.0490193232499</v>
      </c>
      <c r="E3073" s="77">
        <v>130</v>
      </c>
      <c r="F3073" s="78">
        <v>10.5418397183062</v>
      </c>
      <c r="G3073" s="78">
        <v>10.5418397183062</v>
      </c>
      <c r="H3073" s="81">
        <v>9.8487864280892001</v>
      </c>
    </row>
    <row r="3074" spans="1:8" x14ac:dyDescent="0.3">
      <c r="A3074" s="74" t="str">
        <f t="shared" si="47"/>
        <v>四川46170</v>
      </c>
      <c r="B3074" s="75" t="s">
        <v>23</v>
      </c>
      <c r="C3074" s="45">
        <v>46170</v>
      </c>
      <c r="D3074" s="76">
        <v>4896.0490193232499</v>
      </c>
      <c r="E3074" s="77">
        <v>130</v>
      </c>
      <c r="F3074" s="78">
        <v>10.5418397183062</v>
      </c>
      <c r="G3074" s="78">
        <v>10.5418397183062</v>
      </c>
      <c r="H3074" s="81">
        <v>9.8487864280892001</v>
      </c>
    </row>
    <row r="3075" spans="1:8" x14ac:dyDescent="0.3">
      <c r="A3075" s="74" t="str">
        <f t="shared" ref="A3075:A3138" si="48">B3075&amp;C3075</f>
        <v>四川46171</v>
      </c>
      <c r="B3075" s="75" t="s">
        <v>23</v>
      </c>
      <c r="C3075" s="45">
        <v>46171</v>
      </c>
      <c r="D3075" s="76">
        <v>4896.0490193232499</v>
      </c>
      <c r="E3075" s="77">
        <v>130</v>
      </c>
      <c r="F3075" s="78">
        <v>10.5418397183062</v>
      </c>
      <c r="G3075" s="78">
        <v>10.5418397183062</v>
      </c>
      <c r="H3075" s="81">
        <v>9.8487864280892001</v>
      </c>
    </row>
    <row r="3076" spans="1:8" x14ac:dyDescent="0.3">
      <c r="A3076" s="74" t="str">
        <f t="shared" si="48"/>
        <v>四川46172</v>
      </c>
      <c r="B3076" s="75" t="s">
        <v>23</v>
      </c>
      <c r="C3076" s="45">
        <v>46172</v>
      </c>
      <c r="D3076" s="76">
        <v>4896.0490193232499</v>
      </c>
      <c r="E3076" s="77">
        <v>130</v>
      </c>
      <c r="F3076" s="78">
        <v>10.5418397183062</v>
      </c>
      <c r="G3076" s="78">
        <v>10.5418397183062</v>
      </c>
      <c r="H3076" s="81">
        <v>9.8487864280892001</v>
      </c>
    </row>
    <row r="3077" spans="1:8" x14ac:dyDescent="0.3">
      <c r="A3077" s="74" t="str">
        <f t="shared" si="48"/>
        <v>四川46173</v>
      </c>
      <c r="B3077" s="75" t="s">
        <v>23</v>
      </c>
      <c r="C3077" s="45">
        <v>46173</v>
      </c>
      <c r="D3077" s="76">
        <v>4896.0490193232499</v>
      </c>
      <c r="E3077" s="77">
        <v>130</v>
      </c>
      <c r="F3077" s="78">
        <v>10.5418397183062</v>
      </c>
      <c r="G3077" s="78">
        <v>10.5418397183062</v>
      </c>
      <c r="H3077" s="81">
        <v>9.8487864280892001</v>
      </c>
    </row>
    <row r="3078" spans="1:8" x14ac:dyDescent="0.3">
      <c r="A3078" s="74" t="str">
        <f t="shared" si="48"/>
        <v>四川46174</v>
      </c>
      <c r="B3078" s="75" t="s">
        <v>23</v>
      </c>
      <c r="C3078" s="45">
        <v>46174</v>
      </c>
      <c r="D3078" s="76">
        <v>4564.6801111374998</v>
      </c>
      <c r="E3078" s="77">
        <v>130</v>
      </c>
      <c r="F3078" s="78">
        <v>11.568476743155999</v>
      </c>
      <c r="G3078" s="78">
        <v>11.568476743155999</v>
      </c>
      <c r="H3078" s="81">
        <v>10.7203158664828</v>
      </c>
    </row>
    <row r="3079" spans="1:8" x14ac:dyDescent="0.3">
      <c r="A3079" s="74" t="str">
        <f t="shared" si="48"/>
        <v>四川46175</v>
      </c>
      <c r="B3079" s="75" t="s">
        <v>23</v>
      </c>
      <c r="C3079" s="45">
        <v>46175</v>
      </c>
      <c r="D3079" s="76">
        <v>4564.6801111374998</v>
      </c>
      <c r="E3079" s="77">
        <v>130</v>
      </c>
      <c r="F3079" s="78">
        <v>11.568476743155999</v>
      </c>
      <c r="G3079" s="78">
        <v>11.568476743155999</v>
      </c>
      <c r="H3079" s="81">
        <v>10.7203158664828</v>
      </c>
    </row>
    <row r="3080" spans="1:8" x14ac:dyDescent="0.3">
      <c r="A3080" s="74" t="str">
        <f t="shared" si="48"/>
        <v>四川46176</v>
      </c>
      <c r="B3080" s="75" t="s">
        <v>23</v>
      </c>
      <c r="C3080" s="45">
        <v>46176</v>
      </c>
      <c r="D3080" s="76">
        <v>4564.6801111374998</v>
      </c>
      <c r="E3080" s="77">
        <v>130</v>
      </c>
      <c r="F3080" s="78">
        <v>11.568476743155999</v>
      </c>
      <c r="G3080" s="78">
        <v>11.568476743155999</v>
      </c>
      <c r="H3080" s="81">
        <v>10.7203158664828</v>
      </c>
    </row>
    <row r="3081" spans="1:8" x14ac:dyDescent="0.3">
      <c r="A3081" s="74" t="str">
        <f t="shared" si="48"/>
        <v>四川46177</v>
      </c>
      <c r="B3081" s="75" t="s">
        <v>23</v>
      </c>
      <c r="C3081" s="45">
        <v>46177</v>
      </c>
      <c r="D3081" s="76">
        <v>4564.6801111374998</v>
      </c>
      <c r="E3081" s="77">
        <v>130</v>
      </c>
      <c r="F3081" s="78">
        <v>11.568476743155999</v>
      </c>
      <c r="G3081" s="78">
        <v>11.568476743155999</v>
      </c>
      <c r="H3081" s="81">
        <v>10.7203158664828</v>
      </c>
    </row>
    <row r="3082" spans="1:8" x14ac:dyDescent="0.3">
      <c r="A3082" s="74" t="str">
        <f t="shared" si="48"/>
        <v>四川46178</v>
      </c>
      <c r="B3082" s="75" t="s">
        <v>23</v>
      </c>
      <c r="C3082" s="45">
        <v>46178</v>
      </c>
      <c r="D3082" s="76">
        <v>4564.6801111374998</v>
      </c>
      <c r="E3082" s="77">
        <v>130</v>
      </c>
      <c r="F3082" s="78">
        <v>11.568476743155999</v>
      </c>
      <c r="G3082" s="78">
        <v>11.568476743155999</v>
      </c>
      <c r="H3082" s="81">
        <v>10.7203158664828</v>
      </c>
    </row>
    <row r="3083" spans="1:8" x14ac:dyDescent="0.3">
      <c r="A3083" s="74" t="str">
        <f t="shared" si="48"/>
        <v>四川46179</v>
      </c>
      <c r="B3083" s="75" t="s">
        <v>23</v>
      </c>
      <c r="C3083" s="45">
        <v>46179</v>
      </c>
      <c r="D3083" s="76">
        <v>4564.6801111374998</v>
      </c>
      <c r="E3083" s="77">
        <v>130</v>
      </c>
      <c r="F3083" s="78">
        <v>11.568476743155999</v>
      </c>
      <c r="G3083" s="78">
        <v>11.568476743155999</v>
      </c>
      <c r="H3083" s="81">
        <v>10.7203158664828</v>
      </c>
    </row>
    <row r="3084" spans="1:8" x14ac:dyDescent="0.3">
      <c r="A3084" s="74" t="str">
        <f t="shared" si="48"/>
        <v>四川46180</v>
      </c>
      <c r="B3084" s="75" t="s">
        <v>23</v>
      </c>
      <c r="C3084" s="45">
        <v>46180</v>
      </c>
      <c r="D3084" s="76">
        <v>4564.6801111374998</v>
      </c>
      <c r="E3084" s="77">
        <v>130</v>
      </c>
      <c r="F3084" s="78">
        <v>11.568476743155999</v>
      </c>
      <c r="G3084" s="78">
        <v>11.568476743155999</v>
      </c>
      <c r="H3084" s="81">
        <v>10.7203158664828</v>
      </c>
    </row>
    <row r="3085" spans="1:8" x14ac:dyDescent="0.3">
      <c r="A3085" s="74" t="str">
        <f t="shared" si="48"/>
        <v>四川46181</v>
      </c>
      <c r="B3085" s="75" t="s">
        <v>23</v>
      </c>
      <c r="C3085" s="45">
        <v>46181</v>
      </c>
      <c r="D3085" s="76">
        <v>4564.6801111374998</v>
      </c>
      <c r="E3085" s="77">
        <v>130</v>
      </c>
      <c r="F3085" s="78">
        <v>11.568476743155999</v>
      </c>
      <c r="G3085" s="78">
        <v>11.568476743155999</v>
      </c>
      <c r="H3085" s="81">
        <v>10.7203158664828</v>
      </c>
    </row>
    <row r="3086" spans="1:8" x14ac:dyDescent="0.3">
      <c r="A3086" s="74" t="str">
        <f t="shared" si="48"/>
        <v>四川46182</v>
      </c>
      <c r="B3086" s="75" t="s">
        <v>23</v>
      </c>
      <c r="C3086" s="45">
        <v>46182</v>
      </c>
      <c r="D3086" s="76">
        <v>4564.6801111374998</v>
      </c>
      <c r="E3086" s="77">
        <v>130</v>
      </c>
      <c r="F3086" s="78">
        <v>11.568476743155999</v>
      </c>
      <c r="G3086" s="78">
        <v>11.568476743155999</v>
      </c>
      <c r="H3086" s="81">
        <v>10.7203158664828</v>
      </c>
    </row>
    <row r="3087" spans="1:8" x14ac:dyDescent="0.3">
      <c r="A3087" s="74" t="str">
        <f t="shared" si="48"/>
        <v>四川46183</v>
      </c>
      <c r="B3087" s="75" t="s">
        <v>23</v>
      </c>
      <c r="C3087" s="45">
        <v>46183</v>
      </c>
      <c r="D3087" s="76">
        <v>4564.6801111374998</v>
      </c>
      <c r="E3087" s="77">
        <v>130</v>
      </c>
      <c r="F3087" s="78">
        <v>11.568476743155999</v>
      </c>
      <c r="G3087" s="78">
        <v>11.568476743155999</v>
      </c>
      <c r="H3087" s="81">
        <v>10.7203158664828</v>
      </c>
    </row>
    <row r="3088" spans="1:8" x14ac:dyDescent="0.3">
      <c r="A3088" s="74" t="str">
        <f t="shared" si="48"/>
        <v>四川46184</v>
      </c>
      <c r="B3088" s="75" t="s">
        <v>23</v>
      </c>
      <c r="C3088" s="45">
        <v>46184</v>
      </c>
      <c r="D3088" s="76">
        <v>4564.6801111374998</v>
      </c>
      <c r="E3088" s="77">
        <v>130</v>
      </c>
      <c r="F3088" s="78">
        <v>11.568476743155999</v>
      </c>
      <c r="G3088" s="78">
        <v>11.568476743155999</v>
      </c>
      <c r="H3088" s="81">
        <v>10.7203158664828</v>
      </c>
    </row>
    <row r="3089" spans="1:8" x14ac:dyDescent="0.3">
      <c r="A3089" s="74" t="str">
        <f t="shared" si="48"/>
        <v>四川46185</v>
      </c>
      <c r="B3089" s="75" t="s">
        <v>23</v>
      </c>
      <c r="C3089" s="45">
        <v>46185</v>
      </c>
      <c r="D3089" s="76">
        <v>4564.6801111374998</v>
      </c>
      <c r="E3089" s="77">
        <v>130</v>
      </c>
      <c r="F3089" s="78">
        <v>11.568476743155999</v>
      </c>
      <c r="G3089" s="78">
        <v>11.568476743155999</v>
      </c>
      <c r="H3089" s="81">
        <v>10.7203158664828</v>
      </c>
    </row>
    <row r="3090" spans="1:8" x14ac:dyDescent="0.3">
      <c r="A3090" s="74" t="str">
        <f t="shared" si="48"/>
        <v>四川46186</v>
      </c>
      <c r="B3090" s="75" t="s">
        <v>23</v>
      </c>
      <c r="C3090" s="45">
        <v>46186</v>
      </c>
      <c r="D3090" s="76">
        <v>4564.6801111374998</v>
      </c>
      <c r="E3090" s="77">
        <v>130</v>
      </c>
      <c r="F3090" s="78">
        <v>11.568476743155999</v>
      </c>
      <c r="G3090" s="78">
        <v>11.568476743155999</v>
      </c>
      <c r="H3090" s="81">
        <v>10.7203158664828</v>
      </c>
    </row>
    <row r="3091" spans="1:8" x14ac:dyDescent="0.3">
      <c r="A3091" s="74" t="str">
        <f t="shared" si="48"/>
        <v>四川46187</v>
      </c>
      <c r="B3091" s="75" t="s">
        <v>23</v>
      </c>
      <c r="C3091" s="45">
        <v>46187</v>
      </c>
      <c r="D3091" s="76">
        <v>4564.6801111374998</v>
      </c>
      <c r="E3091" s="77">
        <v>130</v>
      </c>
      <c r="F3091" s="78">
        <v>11.568476743155999</v>
      </c>
      <c r="G3091" s="78">
        <v>11.568476743155999</v>
      </c>
      <c r="H3091" s="81">
        <v>10.7203158664828</v>
      </c>
    </row>
    <row r="3092" spans="1:8" x14ac:dyDescent="0.3">
      <c r="A3092" s="74" t="str">
        <f t="shared" si="48"/>
        <v>四川46188</v>
      </c>
      <c r="B3092" s="75" t="s">
        <v>23</v>
      </c>
      <c r="C3092" s="45">
        <v>46188</v>
      </c>
      <c r="D3092" s="76">
        <v>4564.6801111374998</v>
      </c>
      <c r="E3092" s="77">
        <v>130</v>
      </c>
      <c r="F3092" s="78">
        <v>11.568476743155999</v>
      </c>
      <c r="G3092" s="78">
        <v>11.568476743155999</v>
      </c>
      <c r="H3092" s="81">
        <v>10.7203158664828</v>
      </c>
    </row>
    <row r="3093" spans="1:8" x14ac:dyDescent="0.3">
      <c r="A3093" s="74" t="str">
        <f t="shared" si="48"/>
        <v>四川46189</v>
      </c>
      <c r="B3093" s="75" t="s">
        <v>23</v>
      </c>
      <c r="C3093" s="45">
        <v>46189</v>
      </c>
      <c r="D3093" s="76">
        <v>4564.6801111374998</v>
      </c>
      <c r="E3093" s="77">
        <v>130</v>
      </c>
      <c r="F3093" s="78">
        <v>11.568476743155999</v>
      </c>
      <c r="G3093" s="78">
        <v>11.568476743155999</v>
      </c>
      <c r="H3093" s="81">
        <v>10.7203158664828</v>
      </c>
    </row>
    <row r="3094" spans="1:8" x14ac:dyDescent="0.3">
      <c r="A3094" s="74" t="str">
        <f t="shared" si="48"/>
        <v>四川46190</v>
      </c>
      <c r="B3094" s="75" t="s">
        <v>23</v>
      </c>
      <c r="C3094" s="45">
        <v>46190</v>
      </c>
      <c r="D3094" s="76">
        <v>4564.6801111374998</v>
      </c>
      <c r="E3094" s="77">
        <v>130</v>
      </c>
      <c r="F3094" s="78">
        <v>11.568476743155999</v>
      </c>
      <c r="G3094" s="78">
        <v>11.568476743155999</v>
      </c>
      <c r="H3094" s="81">
        <v>10.7203158664828</v>
      </c>
    </row>
    <row r="3095" spans="1:8" x14ac:dyDescent="0.3">
      <c r="A3095" s="74" t="str">
        <f t="shared" si="48"/>
        <v>四川46191</v>
      </c>
      <c r="B3095" s="75" t="s">
        <v>23</v>
      </c>
      <c r="C3095" s="45">
        <v>46191</v>
      </c>
      <c r="D3095" s="76">
        <v>4564.6801111374998</v>
      </c>
      <c r="E3095" s="77">
        <v>130</v>
      </c>
      <c r="F3095" s="78">
        <v>11.568476743155999</v>
      </c>
      <c r="G3095" s="78">
        <v>11.568476743155999</v>
      </c>
      <c r="H3095" s="81">
        <v>10.7203158664828</v>
      </c>
    </row>
    <row r="3096" spans="1:8" x14ac:dyDescent="0.3">
      <c r="A3096" s="74" t="str">
        <f t="shared" si="48"/>
        <v>四川46192</v>
      </c>
      <c r="B3096" s="75" t="s">
        <v>23</v>
      </c>
      <c r="C3096" s="45">
        <v>46192</v>
      </c>
      <c r="D3096" s="76">
        <v>4564.6801111374998</v>
      </c>
      <c r="E3096" s="77">
        <v>130</v>
      </c>
      <c r="F3096" s="78">
        <v>11.568476743155999</v>
      </c>
      <c r="G3096" s="78">
        <v>11.568476743155999</v>
      </c>
      <c r="H3096" s="81">
        <v>10.7203158664828</v>
      </c>
    </row>
    <row r="3097" spans="1:8" x14ac:dyDescent="0.3">
      <c r="A3097" s="74" t="str">
        <f t="shared" si="48"/>
        <v>四川46193</v>
      </c>
      <c r="B3097" s="75" t="s">
        <v>23</v>
      </c>
      <c r="C3097" s="45">
        <v>46193</v>
      </c>
      <c r="D3097" s="76">
        <v>4564.6801111374998</v>
      </c>
      <c r="E3097" s="77">
        <v>130</v>
      </c>
      <c r="F3097" s="78">
        <v>11.568476743155999</v>
      </c>
      <c r="G3097" s="78">
        <v>11.568476743155999</v>
      </c>
      <c r="H3097" s="81">
        <v>10.7203158664828</v>
      </c>
    </row>
    <row r="3098" spans="1:8" x14ac:dyDescent="0.3">
      <c r="A3098" s="74" t="str">
        <f t="shared" si="48"/>
        <v>四川46194</v>
      </c>
      <c r="B3098" s="75" t="s">
        <v>23</v>
      </c>
      <c r="C3098" s="45">
        <v>46194</v>
      </c>
      <c r="D3098" s="76">
        <v>4564.6801111374998</v>
      </c>
      <c r="E3098" s="77">
        <v>130</v>
      </c>
      <c r="F3098" s="78">
        <v>11.568476743155999</v>
      </c>
      <c r="G3098" s="78">
        <v>11.568476743155999</v>
      </c>
      <c r="H3098" s="81">
        <v>10.7203158664828</v>
      </c>
    </row>
    <row r="3099" spans="1:8" x14ac:dyDescent="0.3">
      <c r="A3099" s="74" t="str">
        <f t="shared" si="48"/>
        <v>四川46195</v>
      </c>
      <c r="B3099" s="75" t="s">
        <v>23</v>
      </c>
      <c r="C3099" s="45">
        <v>46195</v>
      </c>
      <c r="D3099" s="76">
        <v>4564.6801111374998</v>
      </c>
      <c r="E3099" s="77">
        <v>130</v>
      </c>
      <c r="F3099" s="78">
        <v>11.568476743155999</v>
      </c>
      <c r="G3099" s="78">
        <v>11.568476743155999</v>
      </c>
      <c r="H3099" s="81">
        <v>10.7203158664828</v>
      </c>
    </row>
    <row r="3100" spans="1:8" x14ac:dyDescent="0.3">
      <c r="A3100" s="74" t="str">
        <f t="shared" si="48"/>
        <v>四川46196</v>
      </c>
      <c r="B3100" s="75" t="s">
        <v>23</v>
      </c>
      <c r="C3100" s="45">
        <v>46196</v>
      </c>
      <c r="D3100" s="76">
        <v>4564.6801111374998</v>
      </c>
      <c r="E3100" s="77">
        <v>130</v>
      </c>
      <c r="F3100" s="78">
        <v>11.568476743155999</v>
      </c>
      <c r="G3100" s="78">
        <v>11.568476743155999</v>
      </c>
      <c r="H3100" s="81">
        <v>10.7203158664828</v>
      </c>
    </row>
    <row r="3101" spans="1:8" x14ac:dyDescent="0.3">
      <c r="A3101" s="74" t="str">
        <f t="shared" si="48"/>
        <v>四川46197</v>
      </c>
      <c r="B3101" s="75" t="s">
        <v>23</v>
      </c>
      <c r="C3101" s="45">
        <v>46197</v>
      </c>
      <c r="D3101" s="76">
        <v>4564.6801111374998</v>
      </c>
      <c r="E3101" s="77">
        <v>130</v>
      </c>
      <c r="F3101" s="78">
        <v>11.568476743155999</v>
      </c>
      <c r="G3101" s="78">
        <v>11.568476743155999</v>
      </c>
      <c r="H3101" s="81">
        <v>10.7203158664828</v>
      </c>
    </row>
    <row r="3102" spans="1:8" x14ac:dyDescent="0.3">
      <c r="A3102" s="74" t="str">
        <f t="shared" si="48"/>
        <v>四川46198</v>
      </c>
      <c r="B3102" s="75" t="s">
        <v>23</v>
      </c>
      <c r="C3102" s="45">
        <v>46198</v>
      </c>
      <c r="D3102" s="76">
        <v>4564.6801111374998</v>
      </c>
      <c r="E3102" s="77">
        <v>130</v>
      </c>
      <c r="F3102" s="78">
        <v>11.568476743155999</v>
      </c>
      <c r="G3102" s="78">
        <v>11.568476743155999</v>
      </c>
      <c r="H3102" s="81">
        <v>10.7203158664828</v>
      </c>
    </row>
    <row r="3103" spans="1:8" x14ac:dyDescent="0.3">
      <c r="A3103" s="74" t="str">
        <f t="shared" si="48"/>
        <v>四川46199</v>
      </c>
      <c r="B3103" s="75" t="s">
        <v>23</v>
      </c>
      <c r="C3103" s="45">
        <v>46199</v>
      </c>
      <c r="D3103" s="76">
        <v>4564.6801111374998</v>
      </c>
      <c r="E3103" s="77">
        <v>130</v>
      </c>
      <c r="F3103" s="78">
        <v>11.568476743155999</v>
      </c>
      <c r="G3103" s="78">
        <v>11.568476743155999</v>
      </c>
      <c r="H3103" s="81">
        <v>10.7203158664828</v>
      </c>
    </row>
    <row r="3104" spans="1:8" x14ac:dyDescent="0.3">
      <c r="A3104" s="74" t="str">
        <f t="shared" si="48"/>
        <v>四川46200</v>
      </c>
      <c r="B3104" s="75" t="s">
        <v>23</v>
      </c>
      <c r="C3104" s="45">
        <v>46200</v>
      </c>
      <c r="D3104" s="76">
        <v>4564.6801111374998</v>
      </c>
      <c r="E3104" s="77">
        <v>130</v>
      </c>
      <c r="F3104" s="78">
        <v>11.568476743155999</v>
      </c>
      <c r="G3104" s="78">
        <v>11.568476743155999</v>
      </c>
      <c r="H3104" s="81">
        <v>10.7203158664828</v>
      </c>
    </row>
    <row r="3105" spans="1:8" x14ac:dyDescent="0.3">
      <c r="A3105" s="74" t="str">
        <f t="shared" si="48"/>
        <v>四川46201</v>
      </c>
      <c r="B3105" s="75" t="s">
        <v>23</v>
      </c>
      <c r="C3105" s="45">
        <v>46201</v>
      </c>
      <c r="D3105" s="76">
        <v>4564.6801111374998</v>
      </c>
      <c r="E3105" s="77">
        <v>130</v>
      </c>
      <c r="F3105" s="78">
        <v>11.568476743155999</v>
      </c>
      <c r="G3105" s="78">
        <v>11.568476743155999</v>
      </c>
      <c r="H3105" s="81">
        <v>10.7203158664828</v>
      </c>
    </row>
    <row r="3106" spans="1:8" x14ac:dyDescent="0.3">
      <c r="A3106" s="74" t="str">
        <f t="shared" si="48"/>
        <v>四川46202</v>
      </c>
      <c r="B3106" s="75" t="s">
        <v>23</v>
      </c>
      <c r="C3106" s="45">
        <v>46202</v>
      </c>
      <c r="D3106" s="76">
        <v>4564.6801111374998</v>
      </c>
      <c r="E3106" s="77">
        <v>130</v>
      </c>
      <c r="F3106" s="78">
        <v>11.568476743155999</v>
      </c>
      <c r="G3106" s="78">
        <v>11.568476743155999</v>
      </c>
      <c r="H3106" s="81">
        <v>10.7203158664828</v>
      </c>
    </row>
    <row r="3107" spans="1:8" x14ac:dyDescent="0.3">
      <c r="A3107" s="74" t="str">
        <f t="shared" si="48"/>
        <v>四川46203</v>
      </c>
      <c r="B3107" s="75" t="s">
        <v>23</v>
      </c>
      <c r="C3107" s="45">
        <v>46203</v>
      </c>
      <c r="D3107" s="76">
        <v>4564.6801111374998</v>
      </c>
      <c r="E3107" s="77">
        <v>130</v>
      </c>
      <c r="F3107" s="78">
        <v>11.568476743155999</v>
      </c>
      <c r="G3107" s="78">
        <v>11.568476743155999</v>
      </c>
      <c r="H3107" s="81">
        <v>10.7203158664828</v>
      </c>
    </row>
    <row r="3108" spans="1:8" x14ac:dyDescent="0.3">
      <c r="A3108" s="74" t="str">
        <f t="shared" si="48"/>
        <v>四川46204</v>
      </c>
      <c r="B3108" s="75" t="s">
        <v>23</v>
      </c>
      <c r="C3108" s="45">
        <v>46204</v>
      </c>
      <c r="D3108" s="76">
        <v>4511.76797893407</v>
      </c>
      <c r="E3108" s="77">
        <v>130</v>
      </c>
      <c r="F3108" s="78">
        <v>12.0532339267087</v>
      </c>
      <c r="G3108" s="78">
        <v>12.0532339267087</v>
      </c>
      <c r="H3108" s="81">
        <v>11.591845304876299</v>
      </c>
    </row>
    <row r="3109" spans="1:8" x14ac:dyDescent="0.3">
      <c r="A3109" s="74" t="str">
        <f t="shared" si="48"/>
        <v>四川46205</v>
      </c>
      <c r="B3109" s="75" t="s">
        <v>23</v>
      </c>
      <c r="C3109" s="45">
        <v>46205</v>
      </c>
      <c r="D3109" s="76">
        <v>4511.76797893407</v>
      </c>
      <c r="E3109" s="77">
        <v>130</v>
      </c>
      <c r="F3109" s="78">
        <v>12.0532339267087</v>
      </c>
      <c r="G3109" s="78">
        <v>12.0532339267087</v>
      </c>
      <c r="H3109" s="81">
        <v>11.591845304876299</v>
      </c>
    </row>
    <row r="3110" spans="1:8" x14ac:dyDescent="0.3">
      <c r="A3110" s="74" t="str">
        <f t="shared" si="48"/>
        <v>四川46206</v>
      </c>
      <c r="B3110" s="75" t="s">
        <v>23</v>
      </c>
      <c r="C3110" s="45">
        <v>46206</v>
      </c>
      <c r="D3110" s="76">
        <v>4511.76797893407</v>
      </c>
      <c r="E3110" s="77">
        <v>130</v>
      </c>
      <c r="F3110" s="78">
        <v>12.0532339267087</v>
      </c>
      <c r="G3110" s="78">
        <v>12.0532339267087</v>
      </c>
      <c r="H3110" s="81">
        <v>11.591845304876299</v>
      </c>
    </row>
    <row r="3111" spans="1:8" x14ac:dyDescent="0.3">
      <c r="A3111" s="74" t="str">
        <f t="shared" si="48"/>
        <v>四川46207</v>
      </c>
      <c r="B3111" s="75" t="s">
        <v>23</v>
      </c>
      <c r="C3111" s="45">
        <v>46207</v>
      </c>
      <c r="D3111" s="76">
        <v>4511.76797893407</v>
      </c>
      <c r="E3111" s="77">
        <v>130</v>
      </c>
      <c r="F3111" s="78">
        <v>12.0532339267087</v>
      </c>
      <c r="G3111" s="78">
        <v>12.0532339267087</v>
      </c>
      <c r="H3111" s="81">
        <v>11.591845304876299</v>
      </c>
    </row>
    <row r="3112" spans="1:8" x14ac:dyDescent="0.3">
      <c r="A3112" s="74" t="str">
        <f t="shared" si="48"/>
        <v>四川46208</v>
      </c>
      <c r="B3112" s="75" t="s">
        <v>23</v>
      </c>
      <c r="C3112" s="45">
        <v>46208</v>
      </c>
      <c r="D3112" s="76">
        <v>4511.76797893407</v>
      </c>
      <c r="E3112" s="77">
        <v>130</v>
      </c>
      <c r="F3112" s="78">
        <v>12.0532339267087</v>
      </c>
      <c r="G3112" s="78">
        <v>12.0532339267087</v>
      </c>
      <c r="H3112" s="81">
        <v>11.591845304876299</v>
      </c>
    </row>
    <row r="3113" spans="1:8" x14ac:dyDescent="0.3">
      <c r="A3113" s="74" t="str">
        <f t="shared" si="48"/>
        <v>四川46209</v>
      </c>
      <c r="B3113" s="75" t="s">
        <v>23</v>
      </c>
      <c r="C3113" s="45">
        <v>46209</v>
      </c>
      <c r="D3113" s="76">
        <v>4511.76797893407</v>
      </c>
      <c r="E3113" s="77">
        <v>130</v>
      </c>
      <c r="F3113" s="78">
        <v>12.0532339267087</v>
      </c>
      <c r="G3113" s="78">
        <v>12.0532339267087</v>
      </c>
      <c r="H3113" s="81">
        <v>11.591845304876299</v>
      </c>
    </row>
    <row r="3114" spans="1:8" x14ac:dyDescent="0.3">
      <c r="A3114" s="74" t="str">
        <f t="shared" si="48"/>
        <v>四川46210</v>
      </c>
      <c r="B3114" s="75" t="s">
        <v>23</v>
      </c>
      <c r="C3114" s="45">
        <v>46210</v>
      </c>
      <c r="D3114" s="76">
        <v>4511.76797893407</v>
      </c>
      <c r="E3114" s="77">
        <v>130</v>
      </c>
      <c r="F3114" s="78">
        <v>12.0532339267087</v>
      </c>
      <c r="G3114" s="78">
        <v>12.0532339267087</v>
      </c>
      <c r="H3114" s="81">
        <v>11.591845304876299</v>
      </c>
    </row>
    <row r="3115" spans="1:8" x14ac:dyDescent="0.3">
      <c r="A3115" s="74" t="str">
        <f t="shared" si="48"/>
        <v>四川46211</v>
      </c>
      <c r="B3115" s="75" t="s">
        <v>23</v>
      </c>
      <c r="C3115" s="45">
        <v>46211</v>
      </c>
      <c r="D3115" s="76">
        <v>4511.76797893407</v>
      </c>
      <c r="E3115" s="77">
        <v>130</v>
      </c>
      <c r="F3115" s="78">
        <v>12.0532339267087</v>
      </c>
      <c r="G3115" s="78">
        <v>12.0532339267087</v>
      </c>
      <c r="H3115" s="81">
        <v>11.591845304876299</v>
      </c>
    </row>
    <row r="3116" spans="1:8" x14ac:dyDescent="0.3">
      <c r="A3116" s="74" t="str">
        <f t="shared" si="48"/>
        <v>四川46212</v>
      </c>
      <c r="B3116" s="75" t="s">
        <v>23</v>
      </c>
      <c r="C3116" s="45">
        <v>46212</v>
      </c>
      <c r="D3116" s="76">
        <v>4511.76797893407</v>
      </c>
      <c r="E3116" s="77">
        <v>130</v>
      </c>
      <c r="F3116" s="78">
        <v>12.0532339267087</v>
      </c>
      <c r="G3116" s="78">
        <v>12.0532339267087</v>
      </c>
      <c r="H3116" s="81">
        <v>11.591845304876299</v>
      </c>
    </row>
    <row r="3117" spans="1:8" x14ac:dyDescent="0.3">
      <c r="A3117" s="74" t="str">
        <f t="shared" si="48"/>
        <v>四川46213</v>
      </c>
      <c r="B3117" s="75" t="s">
        <v>23</v>
      </c>
      <c r="C3117" s="45">
        <v>46213</v>
      </c>
      <c r="D3117" s="76">
        <v>4511.76797893407</v>
      </c>
      <c r="E3117" s="77">
        <v>130</v>
      </c>
      <c r="F3117" s="78">
        <v>12.0532339267087</v>
      </c>
      <c r="G3117" s="78">
        <v>12.0532339267087</v>
      </c>
      <c r="H3117" s="81">
        <v>11.591845304876299</v>
      </c>
    </row>
    <row r="3118" spans="1:8" x14ac:dyDescent="0.3">
      <c r="A3118" s="74" t="str">
        <f t="shared" si="48"/>
        <v>四川46214</v>
      </c>
      <c r="B3118" s="75" t="s">
        <v>23</v>
      </c>
      <c r="C3118" s="45">
        <v>46214</v>
      </c>
      <c r="D3118" s="76">
        <v>4511.76797893407</v>
      </c>
      <c r="E3118" s="77">
        <v>130</v>
      </c>
      <c r="F3118" s="78">
        <v>12.0532339267087</v>
      </c>
      <c r="G3118" s="78">
        <v>12.0532339267087</v>
      </c>
      <c r="H3118" s="81">
        <v>11.591845304876299</v>
      </c>
    </row>
    <row r="3119" spans="1:8" x14ac:dyDescent="0.3">
      <c r="A3119" s="74" t="str">
        <f t="shared" si="48"/>
        <v>四川46215</v>
      </c>
      <c r="B3119" s="75" t="s">
        <v>23</v>
      </c>
      <c r="C3119" s="45">
        <v>46215</v>
      </c>
      <c r="D3119" s="76">
        <v>4511.76797893407</v>
      </c>
      <c r="E3119" s="77">
        <v>130</v>
      </c>
      <c r="F3119" s="78">
        <v>12.0532339267087</v>
      </c>
      <c r="G3119" s="78">
        <v>12.0532339267087</v>
      </c>
      <c r="H3119" s="81">
        <v>11.591845304876299</v>
      </c>
    </row>
    <row r="3120" spans="1:8" x14ac:dyDescent="0.3">
      <c r="A3120" s="74" t="str">
        <f t="shared" si="48"/>
        <v>四川46216</v>
      </c>
      <c r="B3120" s="75" t="s">
        <v>23</v>
      </c>
      <c r="C3120" s="45">
        <v>46216</v>
      </c>
      <c r="D3120" s="76">
        <v>4511.76797893407</v>
      </c>
      <c r="E3120" s="77">
        <v>130</v>
      </c>
      <c r="F3120" s="78">
        <v>12.0532339267087</v>
      </c>
      <c r="G3120" s="78">
        <v>12.0532339267087</v>
      </c>
      <c r="H3120" s="81">
        <v>11.591845304876299</v>
      </c>
    </row>
    <row r="3121" spans="1:8" x14ac:dyDescent="0.3">
      <c r="A3121" s="74" t="str">
        <f t="shared" si="48"/>
        <v>四川46217</v>
      </c>
      <c r="B3121" s="75" t="s">
        <v>23</v>
      </c>
      <c r="C3121" s="45">
        <v>46217</v>
      </c>
      <c r="D3121" s="76">
        <v>4511.76797893407</v>
      </c>
      <c r="E3121" s="77">
        <v>130</v>
      </c>
      <c r="F3121" s="78">
        <v>12.0532339267087</v>
      </c>
      <c r="G3121" s="78">
        <v>12.0532339267087</v>
      </c>
      <c r="H3121" s="81">
        <v>11.591845304876299</v>
      </c>
    </row>
    <row r="3122" spans="1:8" x14ac:dyDescent="0.3">
      <c r="A3122" s="74" t="str">
        <f t="shared" si="48"/>
        <v>四川46218</v>
      </c>
      <c r="B3122" s="75" t="s">
        <v>23</v>
      </c>
      <c r="C3122" s="45">
        <v>46218</v>
      </c>
      <c r="D3122" s="76">
        <v>4511.76797893407</v>
      </c>
      <c r="E3122" s="77">
        <v>130</v>
      </c>
      <c r="F3122" s="78">
        <v>12.0532339267087</v>
      </c>
      <c r="G3122" s="78">
        <v>12.0532339267087</v>
      </c>
      <c r="H3122" s="81">
        <v>11.591845304876299</v>
      </c>
    </row>
    <row r="3123" spans="1:8" x14ac:dyDescent="0.3">
      <c r="A3123" s="74" t="str">
        <f t="shared" si="48"/>
        <v>四川46219</v>
      </c>
      <c r="B3123" s="75" t="s">
        <v>23</v>
      </c>
      <c r="C3123" s="45">
        <v>46219</v>
      </c>
      <c r="D3123" s="76">
        <v>4511.76797893407</v>
      </c>
      <c r="E3123" s="77">
        <v>130</v>
      </c>
      <c r="F3123" s="78">
        <v>12.0532339267087</v>
      </c>
      <c r="G3123" s="78">
        <v>12.0532339267087</v>
      </c>
      <c r="H3123" s="81">
        <v>11.591845304876299</v>
      </c>
    </row>
    <row r="3124" spans="1:8" x14ac:dyDescent="0.3">
      <c r="A3124" s="74" t="str">
        <f t="shared" si="48"/>
        <v>四川46220</v>
      </c>
      <c r="B3124" s="75" t="s">
        <v>23</v>
      </c>
      <c r="C3124" s="45">
        <v>46220</v>
      </c>
      <c r="D3124" s="76">
        <v>4511.76797893407</v>
      </c>
      <c r="E3124" s="77">
        <v>130</v>
      </c>
      <c r="F3124" s="78">
        <v>12.0532339267087</v>
      </c>
      <c r="G3124" s="78">
        <v>12.0532339267087</v>
      </c>
      <c r="H3124" s="81">
        <v>11.591845304876299</v>
      </c>
    </row>
    <row r="3125" spans="1:8" x14ac:dyDescent="0.3">
      <c r="A3125" s="74" t="str">
        <f t="shared" si="48"/>
        <v>四川46221</v>
      </c>
      <c r="B3125" s="75" t="s">
        <v>23</v>
      </c>
      <c r="C3125" s="45">
        <v>46221</v>
      </c>
      <c r="D3125" s="76">
        <v>4511.76797893407</v>
      </c>
      <c r="E3125" s="77">
        <v>130</v>
      </c>
      <c r="F3125" s="78">
        <v>12.0532339267087</v>
      </c>
      <c r="G3125" s="78">
        <v>12.0532339267087</v>
      </c>
      <c r="H3125" s="81">
        <v>11.591845304876299</v>
      </c>
    </row>
    <row r="3126" spans="1:8" x14ac:dyDescent="0.3">
      <c r="A3126" s="74" t="str">
        <f t="shared" si="48"/>
        <v>四川46222</v>
      </c>
      <c r="B3126" s="75" t="s">
        <v>23</v>
      </c>
      <c r="C3126" s="45">
        <v>46222</v>
      </c>
      <c r="D3126" s="76">
        <v>4511.76797893407</v>
      </c>
      <c r="E3126" s="77">
        <v>130</v>
      </c>
      <c r="F3126" s="78">
        <v>12.0532339267087</v>
      </c>
      <c r="G3126" s="78">
        <v>12.0532339267087</v>
      </c>
      <c r="H3126" s="81">
        <v>11.591845304876299</v>
      </c>
    </row>
    <row r="3127" spans="1:8" x14ac:dyDescent="0.3">
      <c r="A3127" s="74" t="str">
        <f t="shared" si="48"/>
        <v>四川46223</v>
      </c>
      <c r="B3127" s="75" t="s">
        <v>23</v>
      </c>
      <c r="C3127" s="45">
        <v>46223</v>
      </c>
      <c r="D3127" s="76">
        <v>4511.76797893407</v>
      </c>
      <c r="E3127" s="77">
        <v>130</v>
      </c>
      <c r="F3127" s="78">
        <v>12.0532339267087</v>
      </c>
      <c r="G3127" s="78">
        <v>12.0532339267087</v>
      </c>
      <c r="H3127" s="81">
        <v>11.591845304876299</v>
      </c>
    </row>
    <row r="3128" spans="1:8" x14ac:dyDescent="0.3">
      <c r="A3128" s="74" t="str">
        <f t="shared" si="48"/>
        <v>四川46224</v>
      </c>
      <c r="B3128" s="75" t="s">
        <v>23</v>
      </c>
      <c r="C3128" s="45">
        <v>46224</v>
      </c>
      <c r="D3128" s="76">
        <v>4511.76797893407</v>
      </c>
      <c r="E3128" s="77">
        <v>130</v>
      </c>
      <c r="F3128" s="78">
        <v>12.0532339267087</v>
      </c>
      <c r="G3128" s="78">
        <v>12.0532339267087</v>
      </c>
      <c r="H3128" s="81">
        <v>11.591845304876299</v>
      </c>
    </row>
    <row r="3129" spans="1:8" x14ac:dyDescent="0.3">
      <c r="A3129" s="74" t="str">
        <f t="shared" si="48"/>
        <v>四川46225</v>
      </c>
      <c r="B3129" s="75" t="s">
        <v>23</v>
      </c>
      <c r="C3129" s="45">
        <v>46225</v>
      </c>
      <c r="D3129" s="76">
        <v>4511.76797893407</v>
      </c>
      <c r="E3129" s="77">
        <v>130</v>
      </c>
      <c r="F3129" s="78">
        <v>12.0532339267087</v>
      </c>
      <c r="G3129" s="78">
        <v>12.0532339267087</v>
      </c>
      <c r="H3129" s="81">
        <v>11.591845304876299</v>
      </c>
    </row>
    <row r="3130" spans="1:8" x14ac:dyDescent="0.3">
      <c r="A3130" s="74" t="str">
        <f t="shared" si="48"/>
        <v>四川46226</v>
      </c>
      <c r="B3130" s="75" t="s">
        <v>23</v>
      </c>
      <c r="C3130" s="45">
        <v>46226</v>
      </c>
      <c r="D3130" s="76">
        <v>4511.76797893407</v>
      </c>
      <c r="E3130" s="77">
        <v>130</v>
      </c>
      <c r="F3130" s="78">
        <v>12.0532339267087</v>
      </c>
      <c r="G3130" s="78">
        <v>12.0532339267087</v>
      </c>
      <c r="H3130" s="81">
        <v>11.591845304876299</v>
      </c>
    </row>
    <row r="3131" spans="1:8" x14ac:dyDescent="0.3">
      <c r="A3131" s="74" t="str">
        <f t="shared" si="48"/>
        <v>四川46227</v>
      </c>
      <c r="B3131" s="75" t="s">
        <v>23</v>
      </c>
      <c r="C3131" s="45">
        <v>46227</v>
      </c>
      <c r="D3131" s="76">
        <v>4511.76797893407</v>
      </c>
      <c r="E3131" s="77">
        <v>130</v>
      </c>
      <c r="F3131" s="78">
        <v>12.0532339267087</v>
      </c>
      <c r="G3131" s="78">
        <v>12.0532339267087</v>
      </c>
      <c r="H3131" s="81">
        <v>11.591845304876299</v>
      </c>
    </row>
    <row r="3132" spans="1:8" x14ac:dyDescent="0.3">
      <c r="A3132" s="74" t="str">
        <f t="shared" si="48"/>
        <v>四川46228</v>
      </c>
      <c r="B3132" s="75" t="s">
        <v>23</v>
      </c>
      <c r="C3132" s="45">
        <v>46228</v>
      </c>
      <c r="D3132" s="76">
        <v>4511.76797893407</v>
      </c>
      <c r="E3132" s="77">
        <v>130</v>
      </c>
      <c r="F3132" s="78">
        <v>12.0532339267087</v>
      </c>
      <c r="G3132" s="78">
        <v>12.0532339267087</v>
      </c>
      <c r="H3132" s="81">
        <v>11.591845304876299</v>
      </c>
    </row>
    <row r="3133" spans="1:8" x14ac:dyDescent="0.3">
      <c r="A3133" s="74" t="str">
        <f t="shared" si="48"/>
        <v>四川46229</v>
      </c>
      <c r="B3133" s="75" t="s">
        <v>23</v>
      </c>
      <c r="C3133" s="45">
        <v>46229</v>
      </c>
      <c r="D3133" s="76">
        <v>4511.76797893407</v>
      </c>
      <c r="E3133" s="77">
        <v>130</v>
      </c>
      <c r="F3133" s="78">
        <v>12.0532339267087</v>
      </c>
      <c r="G3133" s="78">
        <v>12.0532339267087</v>
      </c>
      <c r="H3133" s="81">
        <v>11.591845304876299</v>
      </c>
    </row>
    <row r="3134" spans="1:8" x14ac:dyDescent="0.3">
      <c r="A3134" s="74" t="str">
        <f t="shared" si="48"/>
        <v>四川46230</v>
      </c>
      <c r="B3134" s="75" t="s">
        <v>23</v>
      </c>
      <c r="C3134" s="45">
        <v>46230</v>
      </c>
      <c r="D3134" s="76">
        <v>4511.76797893407</v>
      </c>
      <c r="E3134" s="77">
        <v>130</v>
      </c>
      <c r="F3134" s="78">
        <v>12.0532339267087</v>
      </c>
      <c r="G3134" s="78">
        <v>12.0532339267087</v>
      </c>
      <c r="H3134" s="81">
        <v>11.591845304876299</v>
      </c>
    </row>
    <row r="3135" spans="1:8" x14ac:dyDescent="0.3">
      <c r="A3135" s="74" t="str">
        <f t="shared" si="48"/>
        <v>四川46231</v>
      </c>
      <c r="B3135" s="75" t="s">
        <v>23</v>
      </c>
      <c r="C3135" s="45">
        <v>46231</v>
      </c>
      <c r="D3135" s="76">
        <v>4511.76797893407</v>
      </c>
      <c r="E3135" s="77">
        <v>130</v>
      </c>
      <c r="F3135" s="78">
        <v>12.0532339267087</v>
      </c>
      <c r="G3135" s="78">
        <v>12.0532339267087</v>
      </c>
      <c r="H3135" s="81">
        <v>11.591845304876299</v>
      </c>
    </row>
    <row r="3136" spans="1:8" x14ac:dyDescent="0.3">
      <c r="A3136" s="74" t="str">
        <f t="shared" si="48"/>
        <v>四川46232</v>
      </c>
      <c r="B3136" s="75" t="s">
        <v>23</v>
      </c>
      <c r="C3136" s="45">
        <v>46232</v>
      </c>
      <c r="D3136" s="76">
        <v>4511.76797893407</v>
      </c>
      <c r="E3136" s="77">
        <v>130</v>
      </c>
      <c r="F3136" s="78">
        <v>12.0532339267087</v>
      </c>
      <c r="G3136" s="78">
        <v>12.0532339267087</v>
      </c>
      <c r="H3136" s="81">
        <v>11.591845304876299</v>
      </c>
    </row>
    <row r="3137" spans="1:8" x14ac:dyDescent="0.3">
      <c r="A3137" s="74" t="str">
        <f t="shared" si="48"/>
        <v>四川46233</v>
      </c>
      <c r="B3137" s="75" t="s">
        <v>23</v>
      </c>
      <c r="C3137" s="45">
        <v>46233</v>
      </c>
      <c r="D3137" s="76">
        <v>4511.76797893407</v>
      </c>
      <c r="E3137" s="77">
        <v>130</v>
      </c>
      <c r="F3137" s="78">
        <v>12.0532339267087</v>
      </c>
      <c r="G3137" s="78">
        <v>12.0532339267087</v>
      </c>
      <c r="H3137" s="81">
        <v>11.591845304876299</v>
      </c>
    </row>
    <row r="3138" spans="1:8" x14ac:dyDescent="0.3">
      <c r="A3138" s="74" t="str">
        <f t="shared" si="48"/>
        <v>四川46234</v>
      </c>
      <c r="B3138" s="75" t="s">
        <v>23</v>
      </c>
      <c r="C3138" s="45">
        <v>46234</v>
      </c>
      <c r="D3138" s="76">
        <v>4511.76797893407</v>
      </c>
      <c r="E3138" s="77">
        <v>130</v>
      </c>
      <c r="F3138" s="78">
        <v>12.0532339267087</v>
      </c>
      <c r="G3138" s="78">
        <v>12.0532339267087</v>
      </c>
      <c r="H3138" s="81">
        <v>11.591845304876299</v>
      </c>
    </row>
    <row r="3139" spans="1:8" x14ac:dyDescent="0.3">
      <c r="A3139" s="74" t="str">
        <f t="shared" ref="A3139:A3202" si="49">B3139&amp;C3139</f>
        <v>四川46235</v>
      </c>
      <c r="B3139" s="75" t="s">
        <v>23</v>
      </c>
      <c r="C3139" s="45">
        <v>46235</v>
      </c>
      <c r="D3139" s="76">
        <v>5011.7663435914301</v>
      </c>
      <c r="E3139" s="77">
        <v>130</v>
      </c>
      <c r="F3139" s="78">
        <v>12.159915259859099</v>
      </c>
      <c r="G3139" s="78">
        <v>12.159915259859099</v>
      </c>
      <c r="H3139" s="81">
        <v>12.1308837436516</v>
      </c>
    </row>
    <row r="3140" spans="1:8" x14ac:dyDescent="0.3">
      <c r="A3140" s="74" t="str">
        <f t="shared" si="49"/>
        <v>四川46236</v>
      </c>
      <c r="B3140" s="75" t="s">
        <v>23</v>
      </c>
      <c r="C3140" s="45">
        <v>46236</v>
      </c>
      <c r="D3140" s="76">
        <v>5011.7663435914301</v>
      </c>
      <c r="E3140" s="77">
        <v>130</v>
      </c>
      <c r="F3140" s="78">
        <v>12.159915259859099</v>
      </c>
      <c r="G3140" s="78">
        <v>12.159915259859099</v>
      </c>
      <c r="H3140" s="81">
        <v>12.1308837436516</v>
      </c>
    </row>
    <row r="3141" spans="1:8" x14ac:dyDescent="0.3">
      <c r="A3141" s="74" t="str">
        <f t="shared" si="49"/>
        <v>四川46237</v>
      </c>
      <c r="B3141" s="75" t="s">
        <v>23</v>
      </c>
      <c r="C3141" s="45">
        <v>46237</v>
      </c>
      <c r="D3141" s="76">
        <v>5011.7663435914301</v>
      </c>
      <c r="E3141" s="77">
        <v>130</v>
      </c>
      <c r="F3141" s="78">
        <v>12.159915259859099</v>
      </c>
      <c r="G3141" s="78">
        <v>12.159915259859099</v>
      </c>
      <c r="H3141" s="81">
        <v>12.1308837436516</v>
      </c>
    </row>
    <row r="3142" spans="1:8" x14ac:dyDescent="0.3">
      <c r="A3142" s="74" t="str">
        <f t="shared" si="49"/>
        <v>四川46238</v>
      </c>
      <c r="B3142" s="75" t="s">
        <v>23</v>
      </c>
      <c r="C3142" s="45">
        <v>46238</v>
      </c>
      <c r="D3142" s="76">
        <v>5011.7663435914301</v>
      </c>
      <c r="E3142" s="77">
        <v>130</v>
      </c>
      <c r="F3142" s="78">
        <v>12.159915259859099</v>
      </c>
      <c r="G3142" s="78">
        <v>12.159915259859099</v>
      </c>
      <c r="H3142" s="81">
        <v>12.1308837436516</v>
      </c>
    </row>
    <row r="3143" spans="1:8" x14ac:dyDescent="0.3">
      <c r="A3143" s="74" t="str">
        <f t="shared" si="49"/>
        <v>四川46239</v>
      </c>
      <c r="B3143" s="75" t="s">
        <v>23</v>
      </c>
      <c r="C3143" s="45">
        <v>46239</v>
      </c>
      <c r="D3143" s="76">
        <v>5011.7663435914301</v>
      </c>
      <c r="E3143" s="77">
        <v>130</v>
      </c>
      <c r="F3143" s="78">
        <v>12.159915259859099</v>
      </c>
      <c r="G3143" s="78">
        <v>12.159915259859099</v>
      </c>
      <c r="H3143" s="81">
        <v>12.1308837436516</v>
      </c>
    </row>
    <row r="3144" spans="1:8" x14ac:dyDescent="0.3">
      <c r="A3144" s="74" t="str">
        <f t="shared" si="49"/>
        <v>四川46240</v>
      </c>
      <c r="B3144" s="75" t="s">
        <v>23</v>
      </c>
      <c r="C3144" s="45">
        <v>46240</v>
      </c>
      <c r="D3144" s="76">
        <v>5011.7663435914301</v>
      </c>
      <c r="E3144" s="77">
        <v>130</v>
      </c>
      <c r="F3144" s="78">
        <v>12.159915259859099</v>
      </c>
      <c r="G3144" s="78">
        <v>12.159915259859099</v>
      </c>
      <c r="H3144" s="81">
        <v>12.1308837436516</v>
      </c>
    </row>
    <row r="3145" spans="1:8" x14ac:dyDescent="0.3">
      <c r="A3145" s="74" t="str">
        <f t="shared" si="49"/>
        <v>四川46241</v>
      </c>
      <c r="B3145" s="75" t="s">
        <v>23</v>
      </c>
      <c r="C3145" s="45">
        <v>46241</v>
      </c>
      <c r="D3145" s="76">
        <v>5011.7663435914301</v>
      </c>
      <c r="E3145" s="77">
        <v>130</v>
      </c>
      <c r="F3145" s="78">
        <v>12.159915259859099</v>
      </c>
      <c r="G3145" s="78">
        <v>12.159915259859099</v>
      </c>
      <c r="H3145" s="81">
        <v>12.1308837436516</v>
      </c>
    </row>
    <row r="3146" spans="1:8" x14ac:dyDescent="0.3">
      <c r="A3146" s="74" t="str">
        <f t="shared" si="49"/>
        <v>四川46242</v>
      </c>
      <c r="B3146" s="75" t="s">
        <v>23</v>
      </c>
      <c r="C3146" s="45">
        <v>46242</v>
      </c>
      <c r="D3146" s="76">
        <v>5011.7663435914301</v>
      </c>
      <c r="E3146" s="77">
        <v>130</v>
      </c>
      <c r="F3146" s="78">
        <v>12.159915259859099</v>
      </c>
      <c r="G3146" s="78">
        <v>12.159915259859099</v>
      </c>
      <c r="H3146" s="81">
        <v>12.1308837436516</v>
      </c>
    </row>
    <row r="3147" spans="1:8" x14ac:dyDescent="0.3">
      <c r="A3147" s="74" t="str">
        <f t="shared" si="49"/>
        <v>四川46243</v>
      </c>
      <c r="B3147" s="75" t="s">
        <v>23</v>
      </c>
      <c r="C3147" s="45">
        <v>46243</v>
      </c>
      <c r="D3147" s="76">
        <v>5011.7663435914301</v>
      </c>
      <c r="E3147" s="77">
        <v>130</v>
      </c>
      <c r="F3147" s="78">
        <v>12.159915259859099</v>
      </c>
      <c r="G3147" s="78">
        <v>12.159915259859099</v>
      </c>
      <c r="H3147" s="81">
        <v>12.1308837436516</v>
      </c>
    </row>
    <row r="3148" spans="1:8" x14ac:dyDescent="0.3">
      <c r="A3148" s="74" t="str">
        <f t="shared" si="49"/>
        <v>四川46244</v>
      </c>
      <c r="B3148" s="75" t="s">
        <v>23</v>
      </c>
      <c r="C3148" s="45">
        <v>46244</v>
      </c>
      <c r="D3148" s="76">
        <v>5011.7663435914301</v>
      </c>
      <c r="E3148" s="77">
        <v>130</v>
      </c>
      <c r="F3148" s="78">
        <v>12.159915259859099</v>
      </c>
      <c r="G3148" s="78">
        <v>12.159915259859099</v>
      </c>
      <c r="H3148" s="81">
        <v>12.1308837436516</v>
      </c>
    </row>
    <row r="3149" spans="1:8" x14ac:dyDescent="0.3">
      <c r="A3149" s="74" t="str">
        <f t="shared" si="49"/>
        <v>四川46245</v>
      </c>
      <c r="B3149" s="75" t="s">
        <v>23</v>
      </c>
      <c r="C3149" s="45">
        <v>46245</v>
      </c>
      <c r="D3149" s="76">
        <v>5011.7663435914301</v>
      </c>
      <c r="E3149" s="77">
        <v>130</v>
      </c>
      <c r="F3149" s="78">
        <v>12.159915259859099</v>
      </c>
      <c r="G3149" s="78">
        <v>12.159915259859099</v>
      </c>
      <c r="H3149" s="81">
        <v>12.1308837436516</v>
      </c>
    </row>
    <row r="3150" spans="1:8" x14ac:dyDescent="0.3">
      <c r="A3150" s="74" t="str">
        <f t="shared" si="49"/>
        <v>四川46246</v>
      </c>
      <c r="B3150" s="75" t="s">
        <v>23</v>
      </c>
      <c r="C3150" s="45">
        <v>46246</v>
      </c>
      <c r="D3150" s="76">
        <v>5011.7663435914301</v>
      </c>
      <c r="E3150" s="77">
        <v>130</v>
      </c>
      <c r="F3150" s="78">
        <v>12.159915259859099</v>
      </c>
      <c r="G3150" s="78">
        <v>12.159915259859099</v>
      </c>
      <c r="H3150" s="81">
        <v>12.1308837436516</v>
      </c>
    </row>
    <row r="3151" spans="1:8" x14ac:dyDescent="0.3">
      <c r="A3151" s="74" t="str">
        <f t="shared" si="49"/>
        <v>四川46247</v>
      </c>
      <c r="B3151" s="75" t="s">
        <v>23</v>
      </c>
      <c r="C3151" s="45">
        <v>46247</v>
      </c>
      <c r="D3151" s="76">
        <v>5011.7663435914301</v>
      </c>
      <c r="E3151" s="77">
        <v>130</v>
      </c>
      <c r="F3151" s="78">
        <v>12.159915259859099</v>
      </c>
      <c r="G3151" s="78">
        <v>12.159915259859099</v>
      </c>
      <c r="H3151" s="81">
        <v>12.1308837436516</v>
      </c>
    </row>
    <row r="3152" spans="1:8" x14ac:dyDescent="0.3">
      <c r="A3152" s="74" t="str">
        <f t="shared" si="49"/>
        <v>四川46248</v>
      </c>
      <c r="B3152" s="75" t="s">
        <v>23</v>
      </c>
      <c r="C3152" s="45">
        <v>46248</v>
      </c>
      <c r="D3152" s="76">
        <v>5011.7663435914301</v>
      </c>
      <c r="E3152" s="77">
        <v>130</v>
      </c>
      <c r="F3152" s="78">
        <v>12.159915259859099</v>
      </c>
      <c r="G3152" s="78">
        <v>12.159915259859099</v>
      </c>
      <c r="H3152" s="81">
        <v>12.1308837436516</v>
      </c>
    </row>
    <row r="3153" spans="1:8" x14ac:dyDescent="0.3">
      <c r="A3153" s="74" t="str">
        <f t="shared" si="49"/>
        <v>四川46249</v>
      </c>
      <c r="B3153" s="75" t="s">
        <v>23</v>
      </c>
      <c r="C3153" s="45">
        <v>46249</v>
      </c>
      <c r="D3153" s="76">
        <v>5011.7663435914301</v>
      </c>
      <c r="E3153" s="77">
        <v>130</v>
      </c>
      <c r="F3153" s="78">
        <v>12.159915259859099</v>
      </c>
      <c r="G3153" s="78">
        <v>12.159915259859099</v>
      </c>
      <c r="H3153" s="81">
        <v>12.1308837436516</v>
      </c>
    </row>
    <row r="3154" spans="1:8" x14ac:dyDescent="0.3">
      <c r="A3154" s="74" t="str">
        <f t="shared" si="49"/>
        <v>四川46250</v>
      </c>
      <c r="B3154" s="75" t="s">
        <v>23</v>
      </c>
      <c r="C3154" s="45">
        <v>46250</v>
      </c>
      <c r="D3154" s="76">
        <v>5011.7663435914301</v>
      </c>
      <c r="E3154" s="77">
        <v>130</v>
      </c>
      <c r="F3154" s="78">
        <v>12.159915259859099</v>
      </c>
      <c r="G3154" s="78">
        <v>12.159915259859099</v>
      </c>
      <c r="H3154" s="81">
        <v>12.1308837436516</v>
      </c>
    </row>
    <row r="3155" spans="1:8" x14ac:dyDescent="0.3">
      <c r="A3155" s="74" t="str">
        <f t="shared" si="49"/>
        <v>四川46251</v>
      </c>
      <c r="B3155" s="75" t="s">
        <v>23</v>
      </c>
      <c r="C3155" s="45">
        <v>46251</v>
      </c>
      <c r="D3155" s="76">
        <v>5011.7663435914301</v>
      </c>
      <c r="E3155" s="77">
        <v>130</v>
      </c>
      <c r="F3155" s="78">
        <v>12.159915259859099</v>
      </c>
      <c r="G3155" s="78">
        <v>12.159915259859099</v>
      </c>
      <c r="H3155" s="81">
        <v>12.1308837436516</v>
      </c>
    </row>
    <row r="3156" spans="1:8" x14ac:dyDescent="0.3">
      <c r="A3156" s="74" t="str">
        <f t="shared" si="49"/>
        <v>四川46252</v>
      </c>
      <c r="B3156" s="75" t="s">
        <v>23</v>
      </c>
      <c r="C3156" s="45">
        <v>46252</v>
      </c>
      <c r="D3156" s="76">
        <v>5011.7663435914301</v>
      </c>
      <c r="E3156" s="77">
        <v>130</v>
      </c>
      <c r="F3156" s="78">
        <v>12.159915259859099</v>
      </c>
      <c r="G3156" s="78">
        <v>12.159915259859099</v>
      </c>
      <c r="H3156" s="81">
        <v>12.1308837436516</v>
      </c>
    </row>
    <row r="3157" spans="1:8" x14ac:dyDescent="0.3">
      <c r="A3157" s="74" t="str">
        <f t="shared" si="49"/>
        <v>四川46253</v>
      </c>
      <c r="B3157" s="75" t="s">
        <v>23</v>
      </c>
      <c r="C3157" s="45">
        <v>46253</v>
      </c>
      <c r="D3157" s="76">
        <v>5011.7663435914301</v>
      </c>
      <c r="E3157" s="77">
        <v>130</v>
      </c>
      <c r="F3157" s="78">
        <v>12.159915259859099</v>
      </c>
      <c r="G3157" s="78">
        <v>12.159915259859099</v>
      </c>
      <c r="H3157" s="81">
        <v>12.1308837436516</v>
      </c>
    </row>
    <row r="3158" spans="1:8" x14ac:dyDescent="0.3">
      <c r="A3158" s="74" t="str">
        <f t="shared" si="49"/>
        <v>四川46254</v>
      </c>
      <c r="B3158" s="75" t="s">
        <v>23</v>
      </c>
      <c r="C3158" s="45">
        <v>46254</v>
      </c>
      <c r="D3158" s="76">
        <v>5011.7663435914301</v>
      </c>
      <c r="E3158" s="77">
        <v>130</v>
      </c>
      <c r="F3158" s="78">
        <v>12.159915259859099</v>
      </c>
      <c r="G3158" s="78">
        <v>12.159915259859099</v>
      </c>
      <c r="H3158" s="81">
        <v>12.1308837436516</v>
      </c>
    </row>
    <row r="3159" spans="1:8" x14ac:dyDescent="0.3">
      <c r="A3159" s="74" t="str">
        <f t="shared" si="49"/>
        <v>四川46255</v>
      </c>
      <c r="B3159" s="75" t="s">
        <v>23</v>
      </c>
      <c r="C3159" s="45">
        <v>46255</v>
      </c>
      <c r="D3159" s="76">
        <v>5011.7663435914301</v>
      </c>
      <c r="E3159" s="77">
        <v>130</v>
      </c>
      <c r="F3159" s="78">
        <v>12.159915259859099</v>
      </c>
      <c r="G3159" s="78">
        <v>12.159915259859099</v>
      </c>
      <c r="H3159" s="81">
        <v>12.1308837436516</v>
      </c>
    </row>
    <row r="3160" spans="1:8" x14ac:dyDescent="0.3">
      <c r="A3160" s="74" t="str">
        <f t="shared" si="49"/>
        <v>四川46256</v>
      </c>
      <c r="B3160" s="75" t="s">
        <v>23</v>
      </c>
      <c r="C3160" s="45">
        <v>46256</v>
      </c>
      <c r="D3160" s="76">
        <v>5011.7663435914301</v>
      </c>
      <c r="E3160" s="77">
        <v>130</v>
      </c>
      <c r="F3160" s="78">
        <v>12.159915259859099</v>
      </c>
      <c r="G3160" s="78">
        <v>12.159915259859099</v>
      </c>
      <c r="H3160" s="81">
        <v>12.1308837436516</v>
      </c>
    </row>
    <row r="3161" spans="1:8" x14ac:dyDescent="0.3">
      <c r="A3161" s="74" t="str">
        <f t="shared" si="49"/>
        <v>四川46257</v>
      </c>
      <c r="B3161" s="75" t="s">
        <v>23</v>
      </c>
      <c r="C3161" s="45">
        <v>46257</v>
      </c>
      <c r="D3161" s="76">
        <v>5011.7663435914301</v>
      </c>
      <c r="E3161" s="77">
        <v>130</v>
      </c>
      <c r="F3161" s="78">
        <v>12.159915259859099</v>
      </c>
      <c r="G3161" s="78">
        <v>12.159915259859099</v>
      </c>
      <c r="H3161" s="81">
        <v>12.1308837436516</v>
      </c>
    </row>
    <row r="3162" spans="1:8" x14ac:dyDescent="0.3">
      <c r="A3162" s="74" t="str">
        <f t="shared" si="49"/>
        <v>四川46258</v>
      </c>
      <c r="B3162" s="75" t="s">
        <v>23</v>
      </c>
      <c r="C3162" s="45">
        <v>46258</v>
      </c>
      <c r="D3162" s="76">
        <v>5011.7663435914301</v>
      </c>
      <c r="E3162" s="77">
        <v>130</v>
      </c>
      <c r="F3162" s="78">
        <v>12.159915259859099</v>
      </c>
      <c r="G3162" s="78">
        <v>12.159915259859099</v>
      </c>
      <c r="H3162" s="81">
        <v>12.1308837436516</v>
      </c>
    </row>
    <row r="3163" spans="1:8" x14ac:dyDescent="0.3">
      <c r="A3163" s="74" t="str">
        <f t="shared" si="49"/>
        <v>四川46259</v>
      </c>
      <c r="B3163" s="75" t="s">
        <v>23</v>
      </c>
      <c r="C3163" s="45">
        <v>46259</v>
      </c>
      <c r="D3163" s="76">
        <v>5011.7663435914301</v>
      </c>
      <c r="E3163" s="77">
        <v>130</v>
      </c>
      <c r="F3163" s="78">
        <v>12.159915259859099</v>
      </c>
      <c r="G3163" s="78">
        <v>12.159915259859099</v>
      </c>
      <c r="H3163" s="81">
        <v>12.1308837436516</v>
      </c>
    </row>
    <row r="3164" spans="1:8" x14ac:dyDescent="0.3">
      <c r="A3164" s="74" t="str">
        <f t="shared" si="49"/>
        <v>四川46260</v>
      </c>
      <c r="B3164" s="75" t="s">
        <v>23</v>
      </c>
      <c r="C3164" s="45">
        <v>46260</v>
      </c>
      <c r="D3164" s="76">
        <v>5011.7663435914301</v>
      </c>
      <c r="E3164" s="77">
        <v>130</v>
      </c>
      <c r="F3164" s="78">
        <v>12.159915259859099</v>
      </c>
      <c r="G3164" s="78">
        <v>12.159915259859099</v>
      </c>
      <c r="H3164" s="81">
        <v>12.1308837436516</v>
      </c>
    </row>
    <row r="3165" spans="1:8" x14ac:dyDescent="0.3">
      <c r="A3165" s="74" t="str">
        <f t="shared" si="49"/>
        <v>四川46261</v>
      </c>
      <c r="B3165" s="75" t="s">
        <v>23</v>
      </c>
      <c r="C3165" s="45">
        <v>46261</v>
      </c>
      <c r="D3165" s="76">
        <v>5011.7663435914301</v>
      </c>
      <c r="E3165" s="77">
        <v>130</v>
      </c>
      <c r="F3165" s="78">
        <v>12.159915259859099</v>
      </c>
      <c r="G3165" s="78">
        <v>12.159915259859099</v>
      </c>
      <c r="H3165" s="81">
        <v>12.1308837436516</v>
      </c>
    </row>
    <row r="3166" spans="1:8" x14ac:dyDescent="0.3">
      <c r="A3166" s="74" t="str">
        <f t="shared" si="49"/>
        <v>四川46262</v>
      </c>
      <c r="B3166" s="75" t="s">
        <v>23</v>
      </c>
      <c r="C3166" s="45">
        <v>46262</v>
      </c>
      <c r="D3166" s="76">
        <v>5011.7663435914301</v>
      </c>
      <c r="E3166" s="77">
        <v>130</v>
      </c>
      <c r="F3166" s="78">
        <v>12.159915259859099</v>
      </c>
      <c r="G3166" s="78">
        <v>12.159915259859099</v>
      </c>
      <c r="H3166" s="81">
        <v>12.1308837436516</v>
      </c>
    </row>
    <row r="3167" spans="1:8" x14ac:dyDescent="0.3">
      <c r="A3167" s="74" t="str">
        <f t="shared" si="49"/>
        <v>四川46263</v>
      </c>
      <c r="B3167" s="75" t="s">
        <v>23</v>
      </c>
      <c r="C3167" s="45">
        <v>46263</v>
      </c>
      <c r="D3167" s="76">
        <v>5011.7663435914301</v>
      </c>
      <c r="E3167" s="77">
        <v>130</v>
      </c>
      <c r="F3167" s="78">
        <v>12.159915259859099</v>
      </c>
      <c r="G3167" s="78">
        <v>12.159915259859099</v>
      </c>
      <c r="H3167" s="81">
        <v>12.1308837436516</v>
      </c>
    </row>
    <row r="3168" spans="1:8" x14ac:dyDescent="0.3">
      <c r="A3168" s="74" t="str">
        <f t="shared" si="49"/>
        <v>四川46264</v>
      </c>
      <c r="B3168" s="75" t="s">
        <v>23</v>
      </c>
      <c r="C3168" s="45">
        <v>46264</v>
      </c>
      <c r="D3168" s="76">
        <v>5011.7663435914301</v>
      </c>
      <c r="E3168" s="77">
        <v>130</v>
      </c>
      <c r="F3168" s="78">
        <v>12.159915259859099</v>
      </c>
      <c r="G3168" s="78">
        <v>12.159915259859099</v>
      </c>
      <c r="H3168" s="81">
        <v>12.1308837436516</v>
      </c>
    </row>
    <row r="3169" spans="1:8" x14ac:dyDescent="0.3">
      <c r="A3169" s="74" t="str">
        <f t="shared" si="49"/>
        <v>四川46265</v>
      </c>
      <c r="B3169" s="75" t="s">
        <v>23</v>
      </c>
      <c r="C3169" s="45">
        <v>46265</v>
      </c>
      <c r="D3169" s="76">
        <v>5011.7663435914301</v>
      </c>
      <c r="E3169" s="77">
        <v>130</v>
      </c>
      <c r="F3169" s="78">
        <v>12.159915259859099</v>
      </c>
      <c r="G3169" s="78">
        <v>12.159915259859099</v>
      </c>
      <c r="H3169" s="81">
        <v>12.1308837436516</v>
      </c>
    </row>
    <row r="3170" spans="1:8" x14ac:dyDescent="0.3">
      <c r="A3170" s="74" t="str">
        <f t="shared" si="49"/>
        <v>四川46266</v>
      </c>
      <c r="B3170" s="75" t="s">
        <v>23</v>
      </c>
      <c r="C3170" s="45">
        <v>46266</v>
      </c>
      <c r="D3170" s="76">
        <v>4806.2529759372201</v>
      </c>
      <c r="E3170" s="77">
        <v>130</v>
      </c>
      <c r="F3170" s="78">
        <v>12.4486879727586</v>
      </c>
      <c r="G3170" s="78">
        <v>12.4486879727586</v>
      </c>
      <c r="H3170" s="81">
        <v>12.6699221824268</v>
      </c>
    </row>
    <row r="3171" spans="1:8" x14ac:dyDescent="0.3">
      <c r="A3171" s="74" t="str">
        <f t="shared" si="49"/>
        <v>四川46267</v>
      </c>
      <c r="B3171" s="75" t="s">
        <v>23</v>
      </c>
      <c r="C3171" s="45">
        <v>46267</v>
      </c>
      <c r="D3171" s="76">
        <v>4806.2529759372201</v>
      </c>
      <c r="E3171" s="77">
        <v>130</v>
      </c>
      <c r="F3171" s="78">
        <v>12.4486879727586</v>
      </c>
      <c r="G3171" s="78">
        <v>12.4486879727586</v>
      </c>
      <c r="H3171" s="81">
        <v>12.6699221824268</v>
      </c>
    </row>
    <row r="3172" spans="1:8" x14ac:dyDescent="0.3">
      <c r="A3172" s="74" t="str">
        <f t="shared" si="49"/>
        <v>四川46268</v>
      </c>
      <c r="B3172" s="75" t="s">
        <v>23</v>
      </c>
      <c r="C3172" s="45">
        <v>46268</v>
      </c>
      <c r="D3172" s="76">
        <v>4806.2529759372201</v>
      </c>
      <c r="E3172" s="77">
        <v>130</v>
      </c>
      <c r="F3172" s="78">
        <v>12.4486879727586</v>
      </c>
      <c r="G3172" s="78">
        <v>12.4486879727586</v>
      </c>
      <c r="H3172" s="81">
        <v>12.6699221824268</v>
      </c>
    </row>
    <row r="3173" spans="1:8" x14ac:dyDescent="0.3">
      <c r="A3173" s="74" t="str">
        <f t="shared" si="49"/>
        <v>四川46269</v>
      </c>
      <c r="B3173" s="75" t="s">
        <v>23</v>
      </c>
      <c r="C3173" s="45">
        <v>46269</v>
      </c>
      <c r="D3173" s="76">
        <v>4806.2529759372201</v>
      </c>
      <c r="E3173" s="77">
        <v>130</v>
      </c>
      <c r="F3173" s="78">
        <v>12.4486879727586</v>
      </c>
      <c r="G3173" s="78">
        <v>12.4486879727586</v>
      </c>
      <c r="H3173" s="81">
        <v>12.6699221824268</v>
      </c>
    </row>
    <row r="3174" spans="1:8" x14ac:dyDescent="0.3">
      <c r="A3174" s="74" t="str">
        <f t="shared" si="49"/>
        <v>四川46270</v>
      </c>
      <c r="B3174" s="75" t="s">
        <v>23</v>
      </c>
      <c r="C3174" s="45">
        <v>46270</v>
      </c>
      <c r="D3174" s="76">
        <v>4806.2529759372201</v>
      </c>
      <c r="E3174" s="77">
        <v>130</v>
      </c>
      <c r="F3174" s="78">
        <v>12.4486879727586</v>
      </c>
      <c r="G3174" s="78">
        <v>12.4486879727586</v>
      </c>
      <c r="H3174" s="81">
        <v>12.6699221824268</v>
      </c>
    </row>
    <row r="3175" spans="1:8" x14ac:dyDescent="0.3">
      <c r="A3175" s="74" t="str">
        <f t="shared" si="49"/>
        <v>四川46271</v>
      </c>
      <c r="B3175" s="75" t="s">
        <v>23</v>
      </c>
      <c r="C3175" s="45">
        <v>46271</v>
      </c>
      <c r="D3175" s="76">
        <v>4806.2529759372201</v>
      </c>
      <c r="E3175" s="77">
        <v>130</v>
      </c>
      <c r="F3175" s="78">
        <v>12.4486879727586</v>
      </c>
      <c r="G3175" s="78">
        <v>12.4486879727586</v>
      </c>
      <c r="H3175" s="81">
        <v>12.6699221824268</v>
      </c>
    </row>
    <row r="3176" spans="1:8" x14ac:dyDescent="0.3">
      <c r="A3176" s="74" t="str">
        <f t="shared" si="49"/>
        <v>四川46272</v>
      </c>
      <c r="B3176" s="75" t="s">
        <v>23</v>
      </c>
      <c r="C3176" s="45">
        <v>46272</v>
      </c>
      <c r="D3176" s="76">
        <v>4806.2529759372201</v>
      </c>
      <c r="E3176" s="77">
        <v>130</v>
      </c>
      <c r="F3176" s="78">
        <v>12.4486879727586</v>
      </c>
      <c r="G3176" s="78">
        <v>12.4486879727586</v>
      </c>
      <c r="H3176" s="81">
        <v>12.6699221824268</v>
      </c>
    </row>
    <row r="3177" spans="1:8" x14ac:dyDescent="0.3">
      <c r="A3177" s="74" t="str">
        <f t="shared" si="49"/>
        <v>四川46273</v>
      </c>
      <c r="B3177" s="75" t="s">
        <v>23</v>
      </c>
      <c r="C3177" s="45">
        <v>46273</v>
      </c>
      <c r="D3177" s="76">
        <v>4806.2529759372201</v>
      </c>
      <c r="E3177" s="77">
        <v>130</v>
      </c>
      <c r="F3177" s="78">
        <v>12.4486879727586</v>
      </c>
      <c r="G3177" s="78">
        <v>12.4486879727586</v>
      </c>
      <c r="H3177" s="81">
        <v>12.6699221824268</v>
      </c>
    </row>
    <row r="3178" spans="1:8" x14ac:dyDescent="0.3">
      <c r="A3178" s="74" t="str">
        <f t="shared" si="49"/>
        <v>四川46274</v>
      </c>
      <c r="B3178" s="75" t="s">
        <v>23</v>
      </c>
      <c r="C3178" s="45">
        <v>46274</v>
      </c>
      <c r="D3178" s="76">
        <v>4806.2529759372201</v>
      </c>
      <c r="E3178" s="77">
        <v>130</v>
      </c>
      <c r="F3178" s="78">
        <v>12.4486879727586</v>
      </c>
      <c r="G3178" s="78">
        <v>12.4486879727586</v>
      </c>
      <c r="H3178" s="81">
        <v>12.6699221824268</v>
      </c>
    </row>
    <row r="3179" spans="1:8" x14ac:dyDescent="0.3">
      <c r="A3179" s="74" t="str">
        <f t="shared" si="49"/>
        <v>四川46275</v>
      </c>
      <c r="B3179" s="75" t="s">
        <v>23</v>
      </c>
      <c r="C3179" s="45">
        <v>46275</v>
      </c>
      <c r="D3179" s="76">
        <v>4806.2529759372201</v>
      </c>
      <c r="E3179" s="77">
        <v>130</v>
      </c>
      <c r="F3179" s="78">
        <v>12.4486879727586</v>
      </c>
      <c r="G3179" s="78">
        <v>12.4486879727586</v>
      </c>
      <c r="H3179" s="81">
        <v>12.6699221824268</v>
      </c>
    </row>
    <row r="3180" spans="1:8" x14ac:dyDescent="0.3">
      <c r="A3180" s="74" t="str">
        <f t="shared" si="49"/>
        <v>四川46276</v>
      </c>
      <c r="B3180" s="75" t="s">
        <v>23</v>
      </c>
      <c r="C3180" s="45">
        <v>46276</v>
      </c>
      <c r="D3180" s="76">
        <v>4806.2529759372201</v>
      </c>
      <c r="E3180" s="77">
        <v>130</v>
      </c>
      <c r="F3180" s="78">
        <v>12.4486879727586</v>
      </c>
      <c r="G3180" s="78">
        <v>12.4486879727586</v>
      </c>
      <c r="H3180" s="81">
        <v>12.6699221824268</v>
      </c>
    </row>
    <row r="3181" spans="1:8" x14ac:dyDescent="0.3">
      <c r="A3181" s="74" t="str">
        <f t="shared" si="49"/>
        <v>四川46277</v>
      </c>
      <c r="B3181" s="75" t="s">
        <v>23</v>
      </c>
      <c r="C3181" s="45">
        <v>46277</v>
      </c>
      <c r="D3181" s="76">
        <v>4806.2529759372201</v>
      </c>
      <c r="E3181" s="77">
        <v>130</v>
      </c>
      <c r="F3181" s="78">
        <v>12.4486879727586</v>
      </c>
      <c r="G3181" s="78">
        <v>12.4486879727586</v>
      </c>
      <c r="H3181" s="81">
        <v>12.6699221824268</v>
      </c>
    </row>
    <row r="3182" spans="1:8" x14ac:dyDescent="0.3">
      <c r="A3182" s="74" t="str">
        <f t="shared" si="49"/>
        <v>四川46278</v>
      </c>
      <c r="B3182" s="75" t="s">
        <v>23</v>
      </c>
      <c r="C3182" s="45">
        <v>46278</v>
      </c>
      <c r="D3182" s="76">
        <v>4806.2529759372201</v>
      </c>
      <c r="E3182" s="77">
        <v>130</v>
      </c>
      <c r="F3182" s="78">
        <v>12.4486879727586</v>
      </c>
      <c r="G3182" s="78">
        <v>12.4486879727586</v>
      </c>
      <c r="H3182" s="81">
        <v>12.6699221824268</v>
      </c>
    </row>
    <row r="3183" spans="1:8" x14ac:dyDescent="0.3">
      <c r="A3183" s="74" t="str">
        <f t="shared" si="49"/>
        <v>四川46279</v>
      </c>
      <c r="B3183" s="75" t="s">
        <v>23</v>
      </c>
      <c r="C3183" s="45">
        <v>46279</v>
      </c>
      <c r="D3183" s="76">
        <v>4806.2529759372201</v>
      </c>
      <c r="E3183" s="77">
        <v>130</v>
      </c>
      <c r="F3183" s="78">
        <v>12.4486879727586</v>
      </c>
      <c r="G3183" s="78">
        <v>12.4486879727586</v>
      </c>
      <c r="H3183" s="81">
        <v>12.6699221824268</v>
      </c>
    </row>
    <row r="3184" spans="1:8" x14ac:dyDescent="0.3">
      <c r="A3184" s="74" t="str">
        <f t="shared" si="49"/>
        <v>四川46280</v>
      </c>
      <c r="B3184" s="75" t="s">
        <v>23</v>
      </c>
      <c r="C3184" s="45">
        <v>46280</v>
      </c>
      <c r="D3184" s="76">
        <v>4806.2529759372201</v>
      </c>
      <c r="E3184" s="77">
        <v>130</v>
      </c>
      <c r="F3184" s="78">
        <v>12.4486879727586</v>
      </c>
      <c r="G3184" s="78">
        <v>12.4486879727586</v>
      </c>
      <c r="H3184" s="81">
        <v>12.6699221824268</v>
      </c>
    </row>
    <row r="3185" spans="1:8" x14ac:dyDescent="0.3">
      <c r="A3185" s="74" t="str">
        <f t="shared" si="49"/>
        <v>四川46281</v>
      </c>
      <c r="B3185" s="75" t="s">
        <v>23</v>
      </c>
      <c r="C3185" s="45">
        <v>46281</v>
      </c>
      <c r="D3185" s="76">
        <v>4806.2529759372201</v>
      </c>
      <c r="E3185" s="77">
        <v>130</v>
      </c>
      <c r="F3185" s="78">
        <v>12.4486879727586</v>
      </c>
      <c r="G3185" s="78">
        <v>12.4486879727586</v>
      </c>
      <c r="H3185" s="81">
        <v>12.6699221824268</v>
      </c>
    </row>
    <row r="3186" spans="1:8" x14ac:dyDescent="0.3">
      <c r="A3186" s="74" t="str">
        <f t="shared" si="49"/>
        <v>四川46282</v>
      </c>
      <c r="B3186" s="75" t="s">
        <v>23</v>
      </c>
      <c r="C3186" s="45">
        <v>46282</v>
      </c>
      <c r="D3186" s="76">
        <v>4806.2529759372201</v>
      </c>
      <c r="E3186" s="77">
        <v>130</v>
      </c>
      <c r="F3186" s="78">
        <v>12.4486879727586</v>
      </c>
      <c r="G3186" s="78">
        <v>12.4486879727586</v>
      </c>
      <c r="H3186" s="81">
        <v>12.6699221824268</v>
      </c>
    </row>
    <row r="3187" spans="1:8" x14ac:dyDescent="0.3">
      <c r="A3187" s="74" t="str">
        <f t="shared" si="49"/>
        <v>四川46283</v>
      </c>
      <c r="B3187" s="75" t="s">
        <v>23</v>
      </c>
      <c r="C3187" s="45">
        <v>46283</v>
      </c>
      <c r="D3187" s="76">
        <v>4806.2529759372201</v>
      </c>
      <c r="E3187" s="77">
        <v>130</v>
      </c>
      <c r="F3187" s="78">
        <v>12.4486879727586</v>
      </c>
      <c r="G3187" s="78">
        <v>12.4486879727586</v>
      </c>
      <c r="H3187" s="81">
        <v>12.6699221824268</v>
      </c>
    </row>
    <row r="3188" spans="1:8" x14ac:dyDescent="0.3">
      <c r="A3188" s="74" t="str">
        <f t="shared" si="49"/>
        <v>四川46284</v>
      </c>
      <c r="B3188" s="75" t="s">
        <v>23</v>
      </c>
      <c r="C3188" s="45">
        <v>46284</v>
      </c>
      <c r="D3188" s="76">
        <v>4806.2529759372201</v>
      </c>
      <c r="E3188" s="77">
        <v>130</v>
      </c>
      <c r="F3188" s="78">
        <v>12.4486879727586</v>
      </c>
      <c r="G3188" s="78">
        <v>12.4486879727586</v>
      </c>
      <c r="H3188" s="81">
        <v>12.6699221824268</v>
      </c>
    </row>
    <row r="3189" spans="1:8" x14ac:dyDescent="0.3">
      <c r="A3189" s="74" t="str">
        <f t="shared" si="49"/>
        <v>四川46285</v>
      </c>
      <c r="B3189" s="75" t="s">
        <v>23</v>
      </c>
      <c r="C3189" s="45">
        <v>46285</v>
      </c>
      <c r="D3189" s="76">
        <v>4806.2529759372201</v>
      </c>
      <c r="E3189" s="77">
        <v>130</v>
      </c>
      <c r="F3189" s="78">
        <v>12.4486879727586</v>
      </c>
      <c r="G3189" s="78">
        <v>12.4486879727586</v>
      </c>
      <c r="H3189" s="81">
        <v>12.6699221824268</v>
      </c>
    </row>
    <row r="3190" spans="1:8" x14ac:dyDescent="0.3">
      <c r="A3190" s="74" t="str">
        <f t="shared" si="49"/>
        <v>四川46286</v>
      </c>
      <c r="B3190" s="75" t="s">
        <v>23</v>
      </c>
      <c r="C3190" s="45">
        <v>46286</v>
      </c>
      <c r="D3190" s="76">
        <v>4806.2529759372201</v>
      </c>
      <c r="E3190" s="77">
        <v>130</v>
      </c>
      <c r="F3190" s="78">
        <v>12.4486879727586</v>
      </c>
      <c r="G3190" s="78">
        <v>12.4486879727586</v>
      </c>
      <c r="H3190" s="81">
        <v>12.6699221824268</v>
      </c>
    </row>
    <row r="3191" spans="1:8" x14ac:dyDescent="0.3">
      <c r="A3191" s="74" t="str">
        <f t="shared" si="49"/>
        <v>四川46287</v>
      </c>
      <c r="B3191" s="75" t="s">
        <v>23</v>
      </c>
      <c r="C3191" s="45">
        <v>46287</v>
      </c>
      <c r="D3191" s="76">
        <v>4806.2529759372201</v>
      </c>
      <c r="E3191" s="77">
        <v>130</v>
      </c>
      <c r="F3191" s="78">
        <v>12.4486879727586</v>
      </c>
      <c r="G3191" s="78">
        <v>12.4486879727586</v>
      </c>
      <c r="H3191" s="81">
        <v>12.6699221824268</v>
      </c>
    </row>
    <row r="3192" spans="1:8" x14ac:dyDescent="0.3">
      <c r="A3192" s="74" t="str">
        <f t="shared" si="49"/>
        <v>四川46288</v>
      </c>
      <c r="B3192" s="75" t="s">
        <v>23</v>
      </c>
      <c r="C3192" s="45">
        <v>46288</v>
      </c>
      <c r="D3192" s="76">
        <v>4806.2529759372201</v>
      </c>
      <c r="E3192" s="77">
        <v>130</v>
      </c>
      <c r="F3192" s="78">
        <v>12.4486879727586</v>
      </c>
      <c r="G3192" s="78">
        <v>12.4486879727586</v>
      </c>
      <c r="H3192" s="81">
        <v>12.6699221824268</v>
      </c>
    </row>
    <row r="3193" spans="1:8" x14ac:dyDescent="0.3">
      <c r="A3193" s="74" t="str">
        <f t="shared" si="49"/>
        <v>四川46289</v>
      </c>
      <c r="B3193" s="75" t="s">
        <v>23</v>
      </c>
      <c r="C3193" s="45">
        <v>46289</v>
      </c>
      <c r="D3193" s="76">
        <v>4806.2529759372201</v>
      </c>
      <c r="E3193" s="77">
        <v>130</v>
      </c>
      <c r="F3193" s="78">
        <v>12.4486879727586</v>
      </c>
      <c r="G3193" s="78">
        <v>12.4486879727586</v>
      </c>
      <c r="H3193" s="81">
        <v>12.6699221824268</v>
      </c>
    </row>
    <row r="3194" spans="1:8" x14ac:dyDescent="0.3">
      <c r="A3194" s="74" t="str">
        <f t="shared" si="49"/>
        <v>四川46290</v>
      </c>
      <c r="B3194" s="75" t="s">
        <v>23</v>
      </c>
      <c r="C3194" s="45">
        <v>46290</v>
      </c>
      <c r="D3194" s="76">
        <v>4806.2529759372201</v>
      </c>
      <c r="E3194" s="77">
        <v>130</v>
      </c>
      <c r="F3194" s="78">
        <v>12.4486879727586</v>
      </c>
      <c r="G3194" s="78">
        <v>12.4486879727586</v>
      </c>
      <c r="H3194" s="81">
        <v>12.6699221824268</v>
      </c>
    </row>
    <row r="3195" spans="1:8" x14ac:dyDescent="0.3">
      <c r="A3195" s="74" t="str">
        <f t="shared" si="49"/>
        <v>四川46291</v>
      </c>
      <c r="B3195" s="75" t="s">
        <v>23</v>
      </c>
      <c r="C3195" s="45">
        <v>46291</v>
      </c>
      <c r="D3195" s="76">
        <v>4806.2529759372201</v>
      </c>
      <c r="E3195" s="77">
        <v>130</v>
      </c>
      <c r="F3195" s="78">
        <v>12.4486879727586</v>
      </c>
      <c r="G3195" s="78">
        <v>12.4486879727586</v>
      </c>
      <c r="H3195" s="81">
        <v>12.6699221824268</v>
      </c>
    </row>
    <row r="3196" spans="1:8" x14ac:dyDescent="0.3">
      <c r="A3196" s="74" t="str">
        <f t="shared" si="49"/>
        <v>四川46292</v>
      </c>
      <c r="B3196" s="75" t="s">
        <v>23</v>
      </c>
      <c r="C3196" s="45">
        <v>46292</v>
      </c>
      <c r="D3196" s="76">
        <v>4806.2529759372201</v>
      </c>
      <c r="E3196" s="77">
        <v>130</v>
      </c>
      <c r="F3196" s="78">
        <v>12.4486879727586</v>
      </c>
      <c r="G3196" s="78">
        <v>12.4486879727586</v>
      </c>
      <c r="H3196" s="81">
        <v>12.6699221824268</v>
      </c>
    </row>
    <row r="3197" spans="1:8" x14ac:dyDescent="0.3">
      <c r="A3197" s="74" t="str">
        <f t="shared" si="49"/>
        <v>四川46293</v>
      </c>
      <c r="B3197" s="75" t="s">
        <v>23</v>
      </c>
      <c r="C3197" s="45">
        <v>46293</v>
      </c>
      <c r="D3197" s="76">
        <v>4806.2529759372201</v>
      </c>
      <c r="E3197" s="77">
        <v>130</v>
      </c>
      <c r="F3197" s="78">
        <v>12.4486879727586</v>
      </c>
      <c r="G3197" s="78">
        <v>12.4486879727586</v>
      </c>
      <c r="H3197" s="81">
        <v>12.6699221824268</v>
      </c>
    </row>
    <row r="3198" spans="1:8" x14ac:dyDescent="0.3">
      <c r="A3198" s="74" t="str">
        <f t="shared" si="49"/>
        <v>四川46294</v>
      </c>
      <c r="B3198" s="75" t="s">
        <v>23</v>
      </c>
      <c r="C3198" s="45">
        <v>46294</v>
      </c>
      <c r="D3198" s="76">
        <v>4806.2529759372201</v>
      </c>
      <c r="E3198" s="77">
        <v>130</v>
      </c>
      <c r="F3198" s="78">
        <v>12.4486879727586</v>
      </c>
      <c r="G3198" s="78">
        <v>12.4486879727586</v>
      </c>
      <c r="H3198" s="81">
        <v>12.6699221824268</v>
      </c>
    </row>
    <row r="3199" spans="1:8" x14ac:dyDescent="0.3">
      <c r="A3199" s="74" t="str">
        <f t="shared" si="49"/>
        <v>四川46295</v>
      </c>
      <c r="B3199" s="75" t="s">
        <v>23</v>
      </c>
      <c r="C3199" s="45">
        <v>46295</v>
      </c>
      <c r="D3199" s="76">
        <v>4806.2529759372201</v>
      </c>
      <c r="E3199" s="77">
        <v>130</v>
      </c>
      <c r="F3199" s="78">
        <v>12.4486879727586</v>
      </c>
      <c r="G3199" s="78">
        <v>12.4486879727586</v>
      </c>
      <c r="H3199" s="81">
        <v>12.6699221824268</v>
      </c>
    </row>
    <row r="3200" spans="1:8" x14ac:dyDescent="0.3">
      <c r="A3200" s="74" t="str">
        <f t="shared" si="49"/>
        <v>四川46296</v>
      </c>
      <c r="B3200" s="75" t="s">
        <v>23</v>
      </c>
      <c r="C3200" s="45">
        <v>46296</v>
      </c>
      <c r="D3200" s="76">
        <v>4953.54193060535</v>
      </c>
      <c r="E3200" s="77">
        <v>130</v>
      </c>
      <c r="F3200" s="78">
        <v>12.6616560459602</v>
      </c>
      <c r="G3200" s="78">
        <v>12.6616560459602</v>
      </c>
      <c r="H3200" s="81">
        <v>12.7454883187037</v>
      </c>
    </row>
    <row r="3201" spans="1:8" x14ac:dyDescent="0.3">
      <c r="A3201" s="74" t="str">
        <f t="shared" si="49"/>
        <v>四川46297</v>
      </c>
      <c r="B3201" s="75" t="s">
        <v>23</v>
      </c>
      <c r="C3201" s="45">
        <v>46297</v>
      </c>
      <c r="D3201" s="76">
        <v>4953.54193060535</v>
      </c>
      <c r="E3201" s="77">
        <v>130</v>
      </c>
      <c r="F3201" s="78">
        <v>12.6616560459602</v>
      </c>
      <c r="G3201" s="78">
        <v>12.6616560459602</v>
      </c>
      <c r="H3201" s="81">
        <v>12.7454883187037</v>
      </c>
    </row>
    <row r="3202" spans="1:8" x14ac:dyDescent="0.3">
      <c r="A3202" s="74" t="str">
        <f t="shared" si="49"/>
        <v>四川46298</v>
      </c>
      <c r="B3202" s="75" t="s">
        <v>23</v>
      </c>
      <c r="C3202" s="45">
        <v>46298</v>
      </c>
      <c r="D3202" s="76">
        <v>4953.54193060535</v>
      </c>
      <c r="E3202" s="77">
        <v>130</v>
      </c>
      <c r="F3202" s="78">
        <v>12.6616560459602</v>
      </c>
      <c r="G3202" s="78">
        <v>12.6616560459602</v>
      </c>
      <c r="H3202" s="81">
        <v>12.7454883187037</v>
      </c>
    </row>
    <row r="3203" spans="1:8" x14ac:dyDescent="0.3">
      <c r="A3203" s="74" t="str">
        <f t="shared" ref="A3203:A3266" si="50">B3203&amp;C3203</f>
        <v>四川46299</v>
      </c>
      <c r="B3203" s="75" t="s">
        <v>23</v>
      </c>
      <c r="C3203" s="45">
        <v>46299</v>
      </c>
      <c r="D3203" s="76">
        <v>4953.54193060535</v>
      </c>
      <c r="E3203" s="77">
        <v>130</v>
      </c>
      <c r="F3203" s="78">
        <v>12.6616560459602</v>
      </c>
      <c r="G3203" s="78">
        <v>12.6616560459602</v>
      </c>
      <c r="H3203" s="81">
        <v>12.7454883187037</v>
      </c>
    </row>
    <row r="3204" spans="1:8" x14ac:dyDescent="0.3">
      <c r="A3204" s="74" t="str">
        <f t="shared" si="50"/>
        <v>四川46300</v>
      </c>
      <c r="B3204" s="75" t="s">
        <v>23</v>
      </c>
      <c r="C3204" s="45">
        <v>46300</v>
      </c>
      <c r="D3204" s="76">
        <v>4953.54193060535</v>
      </c>
      <c r="E3204" s="77">
        <v>130</v>
      </c>
      <c r="F3204" s="78">
        <v>12.6616560459602</v>
      </c>
      <c r="G3204" s="78">
        <v>12.6616560459602</v>
      </c>
      <c r="H3204" s="81">
        <v>12.7454883187037</v>
      </c>
    </row>
    <row r="3205" spans="1:8" x14ac:dyDescent="0.3">
      <c r="A3205" s="74" t="str">
        <f t="shared" si="50"/>
        <v>四川46301</v>
      </c>
      <c r="B3205" s="75" t="s">
        <v>23</v>
      </c>
      <c r="C3205" s="45">
        <v>46301</v>
      </c>
      <c r="D3205" s="76">
        <v>4953.54193060535</v>
      </c>
      <c r="E3205" s="77">
        <v>130</v>
      </c>
      <c r="F3205" s="78">
        <v>12.6616560459602</v>
      </c>
      <c r="G3205" s="78">
        <v>12.6616560459602</v>
      </c>
      <c r="H3205" s="81">
        <v>12.7454883187037</v>
      </c>
    </row>
    <row r="3206" spans="1:8" x14ac:dyDescent="0.3">
      <c r="A3206" s="74" t="str">
        <f t="shared" si="50"/>
        <v>四川46302</v>
      </c>
      <c r="B3206" s="75" t="s">
        <v>23</v>
      </c>
      <c r="C3206" s="45">
        <v>46302</v>
      </c>
      <c r="D3206" s="76">
        <v>4953.54193060535</v>
      </c>
      <c r="E3206" s="77">
        <v>130</v>
      </c>
      <c r="F3206" s="78">
        <v>12.6616560459602</v>
      </c>
      <c r="G3206" s="78">
        <v>12.6616560459602</v>
      </c>
      <c r="H3206" s="81">
        <v>12.7454883187037</v>
      </c>
    </row>
    <row r="3207" spans="1:8" x14ac:dyDescent="0.3">
      <c r="A3207" s="74" t="str">
        <f t="shared" si="50"/>
        <v>四川46303</v>
      </c>
      <c r="B3207" s="75" t="s">
        <v>23</v>
      </c>
      <c r="C3207" s="45">
        <v>46303</v>
      </c>
      <c r="D3207" s="76">
        <v>4953.54193060535</v>
      </c>
      <c r="E3207" s="77">
        <v>130</v>
      </c>
      <c r="F3207" s="78">
        <v>12.6616560459602</v>
      </c>
      <c r="G3207" s="78">
        <v>12.6616560459602</v>
      </c>
      <c r="H3207" s="81">
        <v>12.7454883187037</v>
      </c>
    </row>
    <row r="3208" spans="1:8" x14ac:dyDescent="0.3">
      <c r="A3208" s="74" t="str">
        <f t="shared" si="50"/>
        <v>四川46304</v>
      </c>
      <c r="B3208" s="75" t="s">
        <v>23</v>
      </c>
      <c r="C3208" s="45">
        <v>46304</v>
      </c>
      <c r="D3208" s="76">
        <v>4953.54193060535</v>
      </c>
      <c r="E3208" s="77">
        <v>130</v>
      </c>
      <c r="F3208" s="78">
        <v>12.6616560459602</v>
      </c>
      <c r="G3208" s="78">
        <v>12.6616560459602</v>
      </c>
      <c r="H3208" s="81">
        <v>12.7454883187037</v>
      </c>
    </row>
    <row r="3209" spans="1:8" x14ac:dyDescent="0.3">
      <c r="A3209" s="74" t="str">
        <f t="shared" si="50"/>
        <v>四川46305</v>
      </c>
      <c r="B3209" s="75" t="s">
        <v>23</v>
      </c>
      <c r="C3209" s="45">
        <v>46305</v>
      </c>
      <c r="D3209" s="76">
        <v>4953.54193060535</v>
      </c>
      <c r="E3209" s="77">
        <v>130</v>
      </c>
      <c r="F3209" s="78">
        <v>12.6616560459602</v>
      </c>
      <c r="G3209" s="78">
        <v>12.6616560459602</v>
      </c>
      <c r="H3209" s="81">
        <v>12.7454883187037</v>
      </c>
    </row>
    <row r="3210" spans="1:8" x14ac:dyDescent="0.3">
      <c r="A3210" s="74" t="str">
        <f t="shared" si="50"/>
        <v>四川46306</v>
      </c>
      <c r="B3210" s="75" t="s">
        <v>23</v>
      </c>
      <c r="C3210" s="45">
        <v>46306</v>
      </c>
      <c r="D3210" s="76">
        <v>4953.54193060535</v>
      </c>
      <c r="E3210" s="77">
        <v>130</v>
      </c>
      <c r="F3210" s="78">
        <v>12.6616560459602</v>
      </c>
      <c r="G3210" s="78">
        <v>12.6616560459602</v>
      </c>
      <c r="H3210" s="81">
        <v>12.7454883187037</v>
      </c>
    </row>
    <row r="3211" spans="1:8" x14ac:dyDescent="0.3">
      <c r="A3211" s="74" t="str">
        <f t="shared" si="50"/>
        <v>四川46307</v>
      </c>
      <c r="B3211" s="75" t="s">
        <v>23</v>
      </c>
      <c r="C3211" s="45">
        <v>46307</v>
      </c>
      <c r="D3211" s="76">
        <v>4953.54193060535</v>
      </c>
      <c r="E3211" s="77">
        <v>130</v>
      </c>
      <c r="F3211" s="78">
        <v>12.6616560459602</v>
      </c>
      <c r="G3211" s="78">
        <v>12.6616560459602</v>
      </c>
      <c r="H3211" s="81">
        <v>12.7454883187037</v>
      </c>
    </row>
    <row r="3212" spans="1:8" x14ac:dyDescent="0.3">
      <c r="A3212" s="74" t="str">
        <f t="shared" si="50"/>
        <v>四川46308</v>
      </c>
      <c r="B3212" s="75" t="s">
        <v>23</v>
      </c>
      <c r="C3212" s="45">
        <v>46308</v>
      </c>
      <c r="D3212" s="76">
        <v>4953.54193060535</v>
      </c>
      <c r="E3212" s="77">
        <v>130</v>
      </c>
      <c r="F3212" s="78">
        <v>12.6616560459602</v>
      </c>
      <c r="G3212" s="78">
        <v>12.6616560459602</v>
      </c>
      <c r="H3212" s="81">
        <v>12.7454883187037</v>
      </c>
    </row>
    <row r="3213" spans="1:8" x14ac:dyDescent="0.3">
      <c r="A3213" s="74" t="str">
        <f t="shared" si="50"/>
        <v>四川46309</v>
      </c>
      <c r="B3213" s="75" t="s">
        <v>23</v>
      </c>
      <c r="C3213" s="45">
        <v>46309</v>
      </c>
      <c r="D3213" s="76">
        <v>4953.54193060535</v>
      </c>
      <c r="E3213" s="77">
        <v>130</v>
      </c>
      <c r="F3213" s="78">
        <v>12.6616560459602</v>
      </c>
      <c r="G3213" s="78">
        <v>12.6616560459602</v>
      </c>
      <c r="H3213" s="81">
        <v>12.7454883187037</v>
      </c>
    </row>
    <row r="3214" spans="1:8" x14ac:dyDescent="0.3">
      <c r="A3214" s="74" t="str">
        <f t="shared" si="50"/>
        <v>四川46310</v>
      </c>
      <c r="B3214" s="75" t="s">
        <v>23</v>
      </c>
      <c r="C3214" s="45">
        <v>46310</v>
      </c>
      <c r="D3214" s="76">
        <v>4953.54193060535</v>
      </c>
      <c r="E3214" s="77">
        <v>130</v>
      </c>
      <c r="F3214" s="78">
        <v>12.6616560459602</v>
      </c>
      <c r="G3214" s="78">
        <v>12.6616560459602</v>
      </c>
      <c r="H3214" s="81">
        <v>12.7454883187037</v>
      </c>
    </row>
    <row r="3215" spans="1:8" x14ac:dyDescent="0.3">
      <c r="A3215" s="74" t="str">
        <f t="shared" si="50"/>
        <v>四川46311</v>
      </c>
      <c r="B3215" s="75" t="s">
        <v>23</v>
      </c>
      <c r="C3215" s="45">
        <v>46311</v>
      </c>
      <c r="D3215" s="76">
        <v>4953.54193060535</v>
      </c>
      <c r="E3215" s="77">
        <v>130</v>
      </c>
      <c r="F3215" s="78">
        <v>12.6616560459602</v>
      </c>
      <c r="G3215" s="78">
        <v>12.6616560459602</v>
      </c>
      <c r="H3215" s="81">
        <v>12.7454883187037</v>
      </c>
    </row>
    <row r="3216" spans="1:8" x14ac:dyDescent="0.3">
      <c r="A3216" s="74" t="str">
        <f t="shared" si="50"/>
        <v>四川46312</v>
      </c>
      <c r="B3216" s="75" t="s">
        <v>23</v>
      </c>
      <c r="C3216" s="45">
        <v>46312</v>
      </c>
      <c r="D3216" s="76">
        <v>4953.54193060535</v>
      </c>
      <c r="E3216" s="77">
        <v>130</v>
      </c>
      <c r="F3216" s="78">
        <v>12.6616560459602</v>
      </c>
      <c r="G3216" s="78">
        <v>12.6616560459602</v>
      </c>
      <c r="H3216" s="81">
        <v>12.7454883187037</v>
      </c>
    </row>
    <row r="3217" spans="1:8" x14ac:dyDescent="0.3">
      <c r="A3217" s="74" t="str">
        <f t="shared" si="50"/>
        <v>四川46313</v>
      </c>
      <c r="B3217" s="75" t="s">
        <v>23</v>
      </c>
      <c r="C3217" s="45">
        <v>46313</v>
      </c>
      <c r="D3217" s="76">
        <v>4953.54193060535</v>
      </c>
      <c r="E3217" s="77">
        <v>130</v>
      </c>
      <c r="F3217" s="78">
        <v>12.6616560459602</v>
      </c>
      <c r="G3217" s="78">
        <v>12.6616560459602</v>
      </c>
      <c r="H3217" s="81">
        <v>12.7454883187037</v>
      </c>
    </row>
    <row r="3218" spans="1:8" x14ac:dyDescent="0.3">
      <c r="A3218" s="74" t="str">
        <f t="shared" si="50"/>
        <v>四川46314</v>
      </c>
      <c r="B3218" s="75" t="s">
        <v>23</v>
      </c>
      <c r="C3218" s="45">
        <v>46314</v>
      </c>
      <c r="D3218" s="76">
        <v>4953.54193060535</v>
      </c>
      <c r="E3218" s="77">
        <v>130</v>
      </c>
      <c r="F3218" s="78">
        <v>12.6616560459602</v>
      </c>
      <c r="G3218" s="78">
        <v>12.6616560459602</v>
      </c>
      <c r="H3218" s="81">
        <v>12.7454883187037</v>
      </c>
    </row>
    <row r="3219" spans="1:8" x14ac:dyDescent="0.3">
      <c r="A3219" s="74" t="str">
        <f t="shared" si="50"/>
        <v>四川46315</v>
      </c>
      <c r="B3219" s="75" t="s">
        <v>23</v>
      </c>
      <c r="C3219" s="45">
        <v>46315</v>
      </c>
      <c r="D3219" s="76">
        <v>4953.54193060535</v>
      </c>
      <c r="E3219" s="77">
        <v>130</v>
      </c>
      <c r="F3219" s="78">
        <v>12.6616560459602</v>
      </c>
      <c r="G3219" s="78">
        <v>12.6616560459602</v>
      </c>
      <c r="H3219" s="81">
        <v>12.7454883187037</v>
      </c>
    </row>
    <row r="3220" spans="1:8" x14ac:dyDescent="0.3">
      <c r="A3220" s="74" t="str">
        <f t="shared" si="50"/>
        <v>四川46316</v>
      </c>
      <c r="B3220" s="75" t="s">
        <v>23</v>
      </c>
      <c r="C3220" s="45">
        <v>46316</v>
      </c>
      <c r="D3220" s="76">
        <v>4953.54193060535</v>
      </c>
      <c r="E3220" s="77">
        <v>130</v>
      </c>
      <c r="F3220" s="78">
        <v>12.6616560459602</v>
      </c>
      <c r="G3220" s="78">
        <v>12.6616560459602</v>
      </c>
      <c r="H3220" s="81">
        <v>12.7454883187037</v>
      </c>
    </row>
    <row r="3221" spans="1:8" x14ac:dyDescent="0.3">
      <c r="A3221" s="74" t="str">
        <f t="shared" si="50"/>
        <v>四川46317</v>
      </c>
      <c r="B3221" s="75" t="s">
        <v>23</v>
      </c>
      <c r="C3221" s="45">
        <v>46317</v>
      </c>
      <c r="D3221" s="76">
        <v>4953.54193060535</v>
      </c>
      <c r="E3221" s="77">
        <v>130</v>
      </c>
      <c r="F3221" s="78">
        <v>12.6616560459602</v>
      </c>
      <c r="G3221" s="78">
        <v>12.6616560459602</v>
      </c>
      <c r="H3221" s="81">
        <v>12.7454883187037</v>
      </c>
    </row>
    <row r="3222" spans="1:8" x14ac:dyDescent="0.3">
      <c r="A3222" s="74" t="str">
        <f t="shared" si="50"/>
        <v>四川46318</v>
      </c>
      <c r="B3222" s="75" t="s">
        <v>23</v>
      </c>
      <c r="C3222" s="45">
        <v>46318</v>
      </c>
      <c r="D3222" s="76">
        <v>4953.54193060535</v>
      </c>
      <c r="E3222" s="77">
        <v>130</v>
      </c>
      <c r="F3222" s="78">
        <v>12.6616560459602</v>
      </c>
      <c r="G3222" s="78">
        <v>12.6616560459602</v>
      </c>
      <c r="H3222" s="81">
        <v>12.7454883187037</v>
      </c>
    </row>
    <row r="3223" spans="1:8" x14ac:dyDescent="0.3">
      <c r="A3223" s="74" t="str">
        <f t="shared" si="50"/>
        <v>四川46319</v>
      </c>
      <c r="B3223" s="75" t="s">
        <v>23</v>
      </c>
      <c r="C3223" s="45">
        <v>46319</v>
      </c>
      <c r="D3223" s="76">
        <v>4953.54193060535</v>
      </c>
      <c r="E3223" s="77">
        <v>130</v>
      </c>
      <c r="F3223" s="78">
        <v>12.6616560459602</v>
      </c>
      <c r="G3223" s="78">
        <v>12.6616560459602</v>
      </c>
      <c r="H3223" s="81">
        <v>12.7454883187037</v>
      </c>
    </row>
    <row r="3224" spans="1:8" x14ac:dyDescent="0.3">
      <c r="A3224" s="74" t="str">
        <f t="shared" si="50"/>
        <v>四川46320</v>
      </c>
      <c r="B3224" s="75" t="s">
        <v>23</v>
      </c>
      <c r="C3224" s="45">
        <v>46320</v>
      </c>
      <c r="D3224" s="76">
        <v>4953.54193060535</v>
      </c>
      <c r="E3224" s="77">
        <v>130</v>
      </c>
      <c r="F3224" s="78">
        <v>12.6616560459602</v>
      </c>
      <c r="G3224" s="78">
        <v>12.6616560459602</v>
      </c>
      <c r="H3224" s="81">
        <v>12.7454883187037</v>
      </c>
    </row>
    <row r="3225" spans="1:8" x14ac:dyDescent="0.3">
      <c r="A3225" s="74" t="str">
        <f t="shared" si="50"/>
        <v>四川46321</v>
      </c>
      <c r="B3225" s="75" t="s">
        <v>23</v>
      </c>
      <c r="C3225" s="45">
        <v>46321</v>
      </c>
      <c r="D3225" s="76">
        <v>4953.54193060535</v>
      </c>
      <c r="E3225" s="77">
        <v>130</v>
      </c>
      <c r="F3225" s="78">
        <v>12.6616560459602</v>
      </c>
      <c r="G3225" s="78">
        <v>12.6616560459602</v>
      </c>
      <c r="H3225" s="81">
        <v>12.7454883187037</v>
      </c>
    </row>
    <row r="3226" spans="1:8" x14ac:dyDescent="0.3">
      <c r="A3226" s="74" t="str">
        <f t="shared" si="50"/>
        <v>四川46322</v>
      </c>
      <c r="B3226" s="75" t="s">
        <v>23</v>
      </c>
      <c r="C3226" s="45">
        <v>46322</v>
      </c>
      <c r="D3226" s="76">
        <v>4953.54193060535</v>
      </c>
      <c r="E3226" s="77">
        <v>130</v>
      </c>
      <c r="F3226" s="78">
        <v>12.6616560459602</v>
      </c>
      <c r="G3226" s="78">
        <v>12.6616560459602</v>
      </c>
      <c r="H3226" s="81">
        <v>12.7454883187037</v>
      </c>
    </row>
    <row r="3227" spans="1:8" x14ac:dyDescent="0.3">
      <c r="A3227" s="74" t="str">
        <f t="shared" si="50"/>
        <v>四川46323</v>
      </c>
      <c r="B3227" s="75" t="s">
        <v>23</v>
      </c>
      <c r="C3227" s="45">
        <v>46323</v>
      </c>
      <c r="D3227" s="76">
        <v>4953.54193060535</v>
      </c>
      <c r="E3227" s="77">
        <v>130</v>
      </c>
      <c r="F3227" s="78">
        <v>12.6616560459602</v>
      </c>
      <c r="G3227" s="78">
        <v>12.6616560459602</v>
      </c>
      <c r="H3227" s="81">
        <v>12.7454883187037</v>
      </c>
    </row>
    <row r="3228" spans="1:8" x14ac:dyDescent="0.3">
      <c r="A3228" s="74" t="str">
        <f t="shared" si="50"/>
        <v>四川46324</v>
      </c>
      <c r="B3228" s="75" t="s">
        <v>23</v>
      </c>
      <c r="C3228" s="45">
        <v>46324</v>
      </c>
      <c r="D3228" s="76">
        <v>4953.54193060535</v>
      </c>
      <c r="E3228" s="77">
        <v>130</v>
      </c>
      <c r="F3228" s="78">
        <v>12.6616560459602</v>
      </c>
      <c r="G3228" s="78">
        <v>12.6616560459602</v>
      </c>
      <c r="H3228" s="81">
        <v>12.7454883187037</v>
      </c>
    </row>
    <row r="3229" spans="1:8" x14ac:dyDescent="0.3">
      <c r="A3229" s="74" t="str">
        <f t="shared" si="50"/>
        <v>四川46325</v>
      </c>
      <c r="B3229" s="75" t="s">
        <v>23</v>
      </c>
      <c r="C3229" s="45">
        <v>46325</v>
      </c>
      <c r="D3229" s="76">
        <v>4953.54193060535</v>
      </c>
      <c r="E3229" s="77">
        <v>130</v>
      </c>
      <c r="F3229" s="78">
        <v>12.6616560459602</v>
      </c>
      <c r="G3229" s="78">
        <v>12.6616560459602</v>
      </c>
      <c r="H3229" s="81">
        <v>12.7454883187037</v>
      </c>
    </row>
    <row r="3230" spans="1:8" x14ac:dyDescent="0.3">
      <c r="A3230" s="74" t="str">
        <f t="shared" si="50"/>
        <v>四川46326</v>
      </c>
      <c r="B3230" s="75" t="s">
        <v>23</v>
      </c>
      <c r="C3230" s="45">
        <v>46326</v>
      </c>
      <c r="D3230" s="76">
        <v>4953.54193060535</v>
      </c>
      <c r="E3230" s="77">
        <v>130</v>
      </c>
      <c r="F3230" s="78">
        <v>12.6616560459602</v>
      </c>
      <c r="G3230" s="78">
        <v>12.6616560459602</v>
      </c>
      <c r="H3230" s="81">
        <v>12.7454883187037</v>
      </c>
    </row>
    <row r="3231" spans="1:8" x14ac:dyDescent="0.3">
      <c r="A3231" s="74" t="str">
        <f t="shared" si="50"/>
        <v>四川46327</v>
      </c>
      <c r="B3231" s="75" t="s">
        <v>23</v>
      </c>
      <c r="C3231" s="45">
        <v>46327</v>
      </c>
      <c r="D3231" s="76">
        <v>4785.2065941911696</v>
      </c>
      <c r="E3231" s="77">
        <v>130</v>
      </c>
      <c r="F3231" s="78">
        <v>12.955233127416401</v>
      </c>
      <c r="G3231" s="78">
        <v>12.955233127416401</v>
      </c>
      <c r="H3231" s="81">
        <v>12.821054454980599</v>
      </c>
    </row>
    <row r="3232" spans="1:8" x14ac:dyDescent="0.3">
      <c r="A3232" s="74" t="str">
        <f t="shared" si="50"/>
        <v>四川46328</v>
      </c>
      <c r="B3232" s="75" t="s">
        <v>23</v>
      </c>
      <c r="C3232" s="45">
        <v>46328</v>
      </c>
      <c r="D3232" s="76">
        <v>4785.2065941911696</v>
      </c>
      <c r="E3232" s="77">
        <v>130</v>
      </c>
      <c r="F3232" s="78">
        <v>12.955233127416401</v>
      </c>
      <c r="G3232" s="78">
        <v>12.955233127416401</v>
      </c>
      <c r="H3232" s="81">
        <v>12.821054454980599</v>
      </c>
    </row>
    <row r="3233" spans="1:8" x14ac:dyDescent="0.3">
      <c r="A3233" s="74" t="str">
        <f t="shared" si="50"/>
        <v>四川46329</v>
      </c>
      <c r="B3233" s="75" t="s">
        <v>23</v>
      </c>
      <c r="C3233" s="45">
        <v>46329</v>
      </c>
      <c r="D3233" s="76">
        <v>4785.2065941911696</v>
      </c>
      <c r="E3233" s="77">
        <v>130</v>
      </c>
      <c r="F3233" s="78">
        <v>12.955233127416401</v>
      </c>
      <c r="G3233" s="78">
        <v>12.955233127416401</v>
      </c>
      <c r="H3233" s="81">
        <v>12.821054454980599</v>
      </c>
    </row>
    <row r="3234" spans="1:8" x14ac:dyDescent="0.3">
      <c r="A3234" s="74" t="str">
        <f t="shared" si="50"/>
        <v>四川46330</v>
      </c>
      <c r="B3234" s="75" t="s">
        <v>23</v>
      </c>
      <c r="C3234" s="45">
        <v>46330</v>
      </c>
      <c r="D3234" s="76">
        <v>4785.2065941911696</v>
      </c>
      <c r="E3234" s="77">
        <v>130</v>
      </c>
      <c r="F3234" s="78">
        <v>12.955233127416401</v>
      </c>
      <c r="G3234" s="78">
        <v>12.955233127416401</v>
      </c>
      <c r="H3234" s="81">
        <v>12.821054454980599</v>
      </c>
    </row>
    <row r="3235" spans="1:8" x14ac:dyDescent="0.3">
      <c r="A3235" s="74" t="str">
        <f t="shared" si="50"/>
        <v>四川46331</v>
      </c>
      <c r="B3235" s="75" t="s">
        <v>23</v>
      </c>
      <c r="C3235" s="45">
        <v>46331</v>
      </c>
      <c r="D3235" s="76">
        <v>4785.2065941911696</v>
      </c>
      <c r="E3235" s="77">
        <v>130</v>
      </c>
      <c r="F3235" s="78">
        <v>12.955233127416401</v>
      </c>
      <c r="G3235" s="78">
        <v>12.955233127416401</v>
      </c>
      <c r="H3235" s="81">
        <v>12.821054454980599</v>
      </c>
    </row>
    <row r="3236" spans="1:8" x14ac:dyDescent="0.3">
      <c r="A3236" s="74" t="str">
        <f t="shared" si="50"/>
        <v>四川46332</v>
      </c>
      <c r="B3236" s="75" t="s">
        <v>23</v>
      </c>
      <c r="C3236" s="45">
        <v>46332</v>
      </c>
      <c r="D3236" s="76">
        <v>4785.2065941911696</v>
      </c>
      <c r="E3236" s="77">
        <v>130</v>
      </c>
      <c r="F3236" s="78">
        <v>12.955233127416401</v>
      </c>
      <c r="G3236" s="78">
        <v>12.955233127416401</v>
      </c>
      <c r="H3236" s="81">
        <v>12.821054454980599</v>
      </c>
    </row>
    <row r="3237" spans="1:8" x14ac:dyDescent="0.3">
      <c r="A3237" s="74" t="str">
        <f t="shared" si="50"/>
        <v>四川46333</v>
      </c>
      <c r="B3237" s="75" t="s">
        <v>23</v>
      </c>
      <c r="C3237" s="45">
        <v>46333</v>
      </c>
      <c r="D3237" s="76">
        <v>4785.2065941911696</v>
      </c>
      <c r="E3237" s="77">
        <v>130</v>
      </c>
      <c r="F3237" s="78">
        <v>12.955233127416401</v>
      </c>
      <c r="G3237" s="78">
        <v>12.955233127416401</v>
      </c>
      <c r="H3237" s="81">
        <v>12.821054454980599</v>
      </c>
    </row>
    <row r="3238" spans="1:8" x14ac:dyDescent="0.3">
      <c r="A3238" s="74" t="str">
        <f t="shared" si="50"/>
        <v>四川46334</v>
      </c>
      <c r="B3238" s="75" t="s">
        <v>23</v>
      </c>
      <c r="C3238" s="45">
        <v>46334</v>
      </c>
      <c r="D3238" s="76">
        <v>4785.2065941911696</v>
      </c>
      <c r="E3238" s="77">
        <v>130</v>
      </c>
      <c r="F3238" s="78">
        <v>12.955233127416401</v>
      </c>
      <c r="G3238" s="78">
        <v>12.955233127416401</v>
      </c>
      <c r="H3238" s="81">
        <v>12.821054454980599</v>
      </c>
    </row>
    <row r="3239" spans="1:8" x14ac:dyDescent="0.3">
      <c r="A3239" s="74" t="str">
        <f t="shared" si="50"/>
        <v>四川46335</v>
      </c>
      <c r="B3239" s="75" t="s">
        <v>23</v>
      </c>
      <c r="C3239" s="45">
        <v>46335</v>
      </c>
      <c r="D3239" s="76">
        <v>4785.2065941911696</v>
      </c>
      <c r="E3239" s="77">
        <v>130</v>
      </c>
      <c r="F3239" s="78">
        <v>12.955233127416401</v>
      </c>
      <c r="G3239" s="78">
        <v>12.955233127416401</v>
      </c>
      <c r="H3239" s="81">
        <v>12.821054454980599</v>
      </c>
    </row>
    <row r="3240" spans="1:8" x14ac:dyDescent="0.3">
      <c r="A3240" s="74" t="str">
        <f t="shared" si="50"/>
        <v>四川46336</v>
      </c>
      <c r="B3240" s="75" t="s">
        <v>23</v>
      </c>
      <c r="C3240" s="45">
        <v>46336</v>
      </c>
      <c r="D3240" s="76">
        <v>4785.2065941911696</v>
      </c>
      <c r="E3240" s="77">
        <v>130</v>
      </c>
      <c r="F3240" s="78">
        <v>12.955233127416401</v>
      </c>
      <c r="G3240" s="78">
        <v>12.955233127416401</v>
      </c>
      <c r="H3240" s="81">
        <v>12.821054454980599</v>
      </c>
    </row>
    <row r="3241" spans="1:8" x14ac:dyDescent="0.3">
      <c r="A3241" s="74" t="str">
        <f t="shared" si="50"/>
        <v>四川46337</v>
      </c>
      <c r="B3241" s="75" t="s">
        <v>23</v>
      </c>
      <c r="C3241" s="45">
        <v>46337</v>
      </c>
      <c r="D3241" s="76">
        <v>4785.2065941911696</v>
      </c>
      <c r="E3241" s="77">
        <v>130</v>
      </c>
      <c r="F3241" s="78">
        <v>12.955233127416401</v>
      </c>
      <c r="G3241" s="78">
        <v>12.955233127416401</v>
      </c>
      <c r="H3241" s="81">
        <v>12.821054454980599</v>
      </c>
    </row>
    <row r="3242" spans="1:8" x14ac:dyDescent="0.3">
      <c r="A3242" s="74" t="str">
        <f t="shared" si="50"/>
        <v>四川46338</v>
      </c>
      <c r="B3242" s="75" t="s">
        <v>23</v>
      </c>
      <c r="C3242" s="45">
        <v>46338</v>
      </c>
      <c r="D3242" s="76">
        <v>4785.2065941911696</v>
      </c>
      <c r="E3242" s="77">
        <v>130</v>
      </c>
      <c r="F3242" s="78">
        <v>12.955233127416401</v>
      </c>
      <c r="G3242" s="78">
        <v>12.955233127416401</v>
      </c>
      <c r="H3242" s="81">
        <v>12.821054454980599</v>
      </c>
    </row>
    <row r="3243" spans="1:8" x14ac:dyDescent="0.3">
      <c r="A3243" s="74" t="str">
        <f t="shared" si="50"/>
        <v>四川46339</v>
      </c>
      <c r="B3243" s="75" t="s">
        <v>23</v>
      </c>
      <c r="C3243" s="45">
        <v>46339</v>
      </c>
      <c r="D3243" s="76">
        <v>4785.2065941911696</v>
      </c>
      <c r="E3243" s="77">
        <v>130</v>
      </c>
      <c r="F3243" s="78">
        <v>12.955233127416401</v>
      </c>
      <c r="G3243" s="78">
        <v>12.955233127416401</v>
      </c>
      <c r="H3243" s="81">
        <v>12.821054454980599</v>
      </c>
    </row>
    <row r="3244" spans="1:8" x14ac:dyDescent="0.3">
      <c r="A3244" s="74" t="str">
        <f t="shared" si="50"/>
        <v>四川46340</v>
      </c>
      <c r="B3244" s="75" t="s">
        <v>23</v>
      </c>
      <c r="C3244" s="45">
        <v>46340</v>
      </c>
      <c r="D3244" s="76">
        <v>4785.2065941911696</v>
      </c>
      <c r="E3244" s="77">
        <v>130</v>
      </c>
      <c r="F3244" s="78">
        <v>12.955233127416401</v>
      </c>
      <c r="G3244" s="78">
        <v>12.955233127416401</v>
      </c>
      <c r="H3244" s="81">
        <v>12.821054454980599</v>
      </c>
    </row>
    <row r="3245" spans="1:8" x14ac:dyDescent="0.3">
      <c r="A3245" s="74" t="str">
        <f t="shared" si="50"/>
        <v>四川46341</v>
      </c>
      <c r="B3245" s="75" t="s">
        <v>23</v>
      </c>
      <c r="C3245" s="45">
        <v>46341</v>
      </c>
      <c r="D3245" s="76">
        <v>4785.2065941911696</v>
      </c>
      <c r="E3245" s="77">
        <v>130</v>
      </c>
      <c r="F3245" s="78">
        <v>12.955233127416401</v>
      </c>
      <c r="G3245" s="78">
        <v>12.955233127416401</v>
      </c>
      <c r="H3245" s="81">
        <v>12.821054454980599</v>
      </c>
    </row>
    <row r="3246" spans="1:8" x14ac:dyDescent="0.3">
      <c r="A3246" s="74" t="str">
        <f t="shared" si="50"/>
        <v>四川46342</v>
      </c>
      <c r="B3246" s="75" t="s">
        <v>23</v>
      </c>
      <c r="C3246" s="45">
        <v>46342</v>
      </c>
      <c r="D3246" s="76">
        <v>4785.2065941911696</v>
      </c>
      <c r="E3246" s="77">
        <v>130</v>
      </c>
      <c r="F3246" s="78">
        <v>12.955233127416401</v>
      </c>
      <c r="G3246" s="78">
        <v>12.955233127416401</v>
      </c>
      <c r="H3246" s="81">
        <v>12.821054454980599</v>
      </c>
    </row>
    <row r="3247" spans="1:8" x14ac:dyDescent="0.3">
      <c r="A3247" s="74" t="str">
        <f t="shared" si="50"/>
        <v>四川46343</v>
      </c>
      <c r="B3247" s="75" t="s">
        <v>23</v>
      </c>
      <c r="C3247" s="45">
        <v>46343</v>
      </c>
      <c r="D3247" s="76">
        <v>4785.2065941911696</v>
      </c>
      <c r="E3247" s="77">
        <v>130</v>
      </c>
      <c r="F3247" s="78">
        <v>12.955233127416401</v>
      </c>
      <c r="G3247" s="78">
        <v>12.955233127416401</v>
      </c>
      <c r="H3247" s="81">
        <v>12.821054454980599</v>
      </c>
    </row>
    <row r="3248" spans="1:8" x14ac:dyDescent="0.3">
      <c r="A3248" s="74" t="str">
        <f t="shared" si="50"/>
        <v>四川46344</v>
      </c>
      <c r="B3248" s="75" t="s">
        <v>23</v>
      </c>
      <c r="C3248" s="45">
        <v>46344</v>
      </c>
      <c r="D3248" s="76">
        <v>4785.2065941911696</v>
      </c>
      <c r="E3248" s="77">
        <v>130</v>
      </c>
      <c r="F3248" s="78">
        <v>12.955233127416401</v>
      </c>
      <c r="G3248" s="78">
        <v>12.955233127416401</v>
      </c>
      <c r="H3248" s="81">
        <v>12.821054454980599</v>
      </c>
    </row>
    <row r="3249" spans="1:8" x14ac:dyDescent="0.3">
      <c r="A3249" s="74" t="str">
        <f t="shared" si="50"/>
        <v>四川46345</v>
      </c>
      <c r="B3249" s="75" t="s">
        <v>23</v>
      </c>
      <c r="C3249" s="45">
        <v>46345</v>
      </c>
      <c r="D3249" s="76">
        <v>4785.2065941911696</v>
      </c>
      <c r="E3249" s="77">
        <v>130</v>
      </c>
      <c r="F3249" s="78">
        <v>12.955233127416401</v>
      </c>
      <c r="G3249" s="78">
        <v>12.955233127416401</v>
      </c>
      <c r="H3249" s="81">
        <v>12.821054454980599</v>
      </c>
    </row>
    <row r="3250" spans="1:8" x14ac:dyDescent="0.3">
      <c r="A3250" s="74" t="str">
        <f t="shared" si="50"/>
        <v>四川46346</v>
      </c>
      <c r="B3250" s="75" t="s">
        <v>23</v>
      </c>
      <c r="C3250" s="45">
        <v>46346</v>
      </c>
      <c r="D3250" s="76">
        <v>4785.2065941911696</v>
      </c>
      <c r="E3250" s="77">
        <v>130</v>
      </c>
      <c r="F3250" s="78">
        <v>12.955233127416401</v>
      </c>
      <c r="G3250" s="78">
        <v>12.955233127416401</v>
      </c>
      <c r="H3250" s="81">
        <v>12.821054454980599</v>
      </c>
    </row>
    <row r="3251" spans="1:8" x14ac:dyDescent="0.3">
      <c r="A3251" s="74" t="str">
        <f t="shared" si="50"/>
        <v>四川46347</v>
      </c>
      <c r="B3251" s="75" t="s">
        <v>23</v>
      </c>
      <c r="C3251" s="45">
        <v>46347</v>
      </c>
      <c r="D3251" s="76">
        <v>4785.2065941911696</v>
      </c>
      <c r="E3251" s="77">
        <v>130</v>
      </c>
      <c r="F3251" s="78">
        <v>12.955233127416401</v>
      </c>
      <c r="G3251" s="78">
        <v>12.955233127416401</v>
      </c>
      <c r="H3251" s="81">
        <v>12.821054454980599</v>
      </c>
    </row>
    <row r="3252" spans="1:8" x14ac:dyDescent="0.3">
      <c r="A3252" s="74" t="str">
        <f t="shared" si="50"/>
        <v>四川46348</v>
      </c>
      <c r="B3252" s="75" t="s">
        <v>23</v>
      </c>
      <c r="C3252" s="45">
        <v>46348</v>
      </c>
      <c r="D3252" s="76">
        <v>4785.2065941911696</v>
      </c>
      <c r="E3252" s="77">
        <v>130</v>
      </c>
      <c r="F3252" s="78">
        <v>12.955233127416401</v>
      </c>
      <c r="G3252" s="78">
        <v>12.955233127416401</v>
      </c>
      <c r="H3252" s="81">
        <v>12.821054454980599</v>
      </c>
    </row>
    <row r="3253" spans="1:8" x14ac:dyDescent="0.3">
      <c r="A3253" s="74" t="str">
        <f t="shared" si="50"/>
        <v>四川46349</v>
      </c>
      <c r="B3253" s="75" t="s">
        <v>23</v>
      </c>
      <c r="C3253" s="45">
        <v>46349</v>
      </c>
      <c r="D3253" s="76">
        <v>4785.2065941911696</v>
      </c>
      <c r="E3253" s="77">
        <v>130</v>
      </c>
      <c r="F3253" s="78">
        <v>12.955233127416401</v>
      </c>
      <c r="G3253" s="78">
        <v>12.955233127416401</v>
      </c>
      <c r="H3253" s="81">
        <v>12.821054454980599</v>
      </c>
    </row>
    <row r="3254" spans="1:8" x14ac:dyDescent="0.3">
      <c r="A3254" s="74" t="str">
        <f t="shared" si="50"/>
        <v>四川46350</v>
      </c>
      <c r="B3254" s="75" t="s">
        <v>23</v>
      </c>
      <c r="C3254" s="45">
        <v>46350</v>
      </c>
      <c r="D3254" s="76">
        <v>4785.2065941911696</v>
      </c>
      <c r="E3254" s="77">
        <v>130</v>
      </c>
      <c r="F3254" s="78">
        <v>12.955233127416401</v>
      </c>
      <c r="G3254" s="78">
        <v>12.955233127416401</v>
      </c>
      <c r="H3254" s="81">
        <v>12.821054454980599</v>
      </c>
    </row>
    <row r="3255" spans="1:8" x14ac:dyDescent="0.3">
      <c r="A3255" s="74" t="str">
        <f t="shared" si="50"/>
        <v>四川46351</v>
      </c>
      <c r="B3255" s="75" t="s">
        <v>23</v>
      </c>
      <c r="C3255" s="45">
        <v>46351</v>
      </c>
      <c r="D3255" s="76">
        <v>4785.2065941911696</v>
      </c>
      <c r="E3255" s="77">
        <v>130</v>
      </c>
      <c r="F3255" s="78">
        <v>12.955233127416401</v>
      </c>
      <c r="G3255" s="78">
        <v>12.955233127416401</v>
      </c>
      <c r="H3255" s="81">
        <v>12.821054454980599</v>
      </c>
    </row>
    <row r="3256" spans="1:8" x14ac:dyDescent="0.3">
      <c r="A3256" s="74" t="str">
        <f t="shared" si="50"/>
        <v>四川46352</v>
      </c>
      <c r="B3256" s="75" t="s">
        <v>23</v>
      </c>
      <c r="C3256" s="45">
        <v>46352</v>
      </c>
      <c r="D3256" s="76">
        <v>4785.2065941911696</v>
      </c>
      <c r="E3256" s="77">
        <v>130</v>
      </c>
      <c r="F3256" s="78">
        <v>12.955233127416401</v>
      </c>
      <c r="G3256" s="78">
        <v>12.955233127416401</v>
      </c>
      <c r="H3256" s="81">
        <v>12.821054454980599</v>
      </c>
    </row>
    <row r="3257" spans="1:8" x14ac:dyDescent="0.3">
      <c r="A3257" s="74" t="str">
        <f t="shared" si="50"/>
        <v>四川46353</v>
      </c>
      <c r="B3257" s="75" t="s">
        <v>23</v>
      </c>
      <c r="C3257" s="45">
        <v>46353</v>
      </c>
      <c r="D3257" s="76">
        <v>4785.2065941911696</v>
      </c>
      <c r="E3257" s="77">
        <v>130</v>
      </c>
      <c r="F3257" s="78">
        <v>12.955233127416401</v>
      </c>
      <c r="G3257" s="78">
        <v>12.955233127416401</v>
      </c>
      <c r="H3257" s="81">
        <v>12.821054454980599</v>
      </c>
    </row>
    <row r="3258" spans="1:8" x14ac:dyDescent="0.3">
      <c r="A3258" s="74" t="str">
        <f t="shared" si="50"/>
        <v>四川46354</v>
      </c>
      <c r="B3258" s="75" t="s">
        <v>23</v>
      </c>
      <c r="C3258" s="45">
        <v>46354</v>
      </c>
      <c r="D3258" s="76">
        <v>4785.2065941911696</v>
      </c>
      <c r="E3258" s="77">
        <v>130</v>
      </c>
      <c r="F3258" s="78">
        <v>12.955233127416401</v>
      </c>
      <c r="G3258" s="78">
        <v>12.955233127416401</v>
      </c>
      <c r="H3258" s="81">
        <v>12.821054454980599</v>
      </c>
    </row>
    <row r="3259" spans="1:8" x14ac:dyDescent="0.3">
      <c r="A3259" s="74" t="str">
        <f t="shared" si="50"/>
        <v>四川46355</v>
      </c>
      <c r="B3259" s="75" t="s">
        <v>23</v>
      </c>
      <c r="C3259" s="45">
        <v>46355</v>
      </c>
      <c r="D3259" s="76">
        <v>4785.2065941911696</v>
      </c>
      <c r="E3259" s="77">
        <v>130</v>
      </c>
      <c r="F3259" s="78">
        <v>12.955233127416401</v>
      </c>
      <c r="G3259" s="78">
        <v>12.955233127416401</v>
      </c>
      <c r="H3259" s="81">
        <v>12.821054454980599</v>
      </c>
    </row>
    <row r="3260" spans="1:8" x14ac:dyDescent="0.3">
      <c r="A3260" s="74" t="str">
        <f t="shared" si="50"/>
        <v>四川46356</v>
      </c>
      <c r="B3260" s="75" t="s">
        <v>23</v>
      </c>
      <c r="C3260" s="45">
        <v>46356</v>
      </c>
      <c r="D3260" s="76">
        <v>4785.2065941911696</v>
      </c>
      <c r="E3260" s="77">
        <v>130</v>
      </c>
      <c r="F3260" s="78">
        <v>12.955233127416401</v>
      </c>
      <c r="G3260" s="78">
        <v>12.955233127416401</v>
      </c>
      <c r="H3260" s="81">
        <v>12.821054454980599</v>
      </c>
    </row>
    <row r="3261" spans="1:8" x14ac:dyDescent="0.3">
      <c r="A3261" s="74" t="str">
        <f t="shared" si="50"/>
        <v>四川46357</v>
      </c>
      <c r="B3261" s="75" t="s">
        <v>23</v>
      </c>
      <c r="C3261" s="45">
        <v>46357</v>
      </c>
      <c r="D3261" s="76">
        <v>5099.9833910110201</v>
      </c>
      <c r="E3261" s="77">
        <v>130</v>
      </c>
      <c r="F3261" s="78">
        <v>13.656872174267599</v>
      </c>
      <c r="G3261" s="78">
        <v>13.656872174267599</v>
      </c>
      <c r="H3261" s="81">
        <v>13.057828348648201</v>
      </c>
    </row>
    <row r="3262" spans="1:8" x14ac:dyDescent="0.3">
      <c r="A3262" s="74" t="str">
        <f t="shared" si="50"/>
        <v>四川46358</v>
      </c>
      <c r="B3262" s="75" t="s">
        <v>23</v>
      </c>
      <c r="C3262" s="45">
        <v>46358</v>
      </c>
      <c r="D3262" s="76">
        <v>5099.9833910110201</v>
      </c>
      <c r="E3262" s="77">
        <v>130</v>
      </c>
      <c r="F3262" s="78">
        <v>13.656872174267599</v>
      </c>
      <c r="G3262" s="78">
        <v>13.656872174267599</v>
      </c>
      <c r="H3262" s="81">
        <v>13.057828348648201</v>
      </c>
    </row>
    <row r="3263" spans="1:8" x14ac:dyDescent="0.3">
      <c r="A3263" s="74" t="str">
        <f t="shared" si="50"/>
        <v>四川46359</v>
      </c>
      <c r="B3263" s="75" t="s">
        <v>23</v>
      </c>
      <c r="C3263" s="45">
        <v>46359</v>
      </c>
      <c r="D3263" s="76">
        <v>5099.9833910110201</v>
      </c>
      <c r="E3263" s="77">
        <v>130</v>
      </c>
      <c r="F3263" s="78">
        <v>13.656872174267599</v>
      </c>
      <c r="G3263" s="78">
        <v>13.656872174267599</v>
      </c>
      <c r="H3263" s="81">
        <v>13.057828348648201</v>
      </c>
    </row>
    <row r="3264" spans="1:8" x14ac:dyDescent="0.3">
      <c r="A3264" s="74" t="str">
        <f t="shared" si="50"/>
        <v>四川46360</v>
      </c>
      <c r="B3264" s="75" t="s">
        <v>23</v>
      </c>
      <c r="C3264" s="45">
        <v>46360</v>
      </c>
      <c r="D3264" s="76">
        <v>5099.9833910110201</v>
      </c>
      <c r="E3264" s="77">
        <v>130</v>
      </c>
      <c r="F3264" s="78">
        <v>13.656872174267599</v>
      </c>
      <c r="G3264" s="78">
        <v>13.656872174267599</v>
      </c>
      <c r="H3264" s="81">
        <v>13.057828348648201</v>
      </c>
    </row>
    <row r="3265" spans="1:8" x14ac:dyDescent="0.3">
      <c r="A3265" s="74" t="str">
        <f t="shared" si="50"/>
        <v>四川46361</v>
      </c>
      <c r="B3265" s="75" t="s">
        <v>23</v>
      </c>
      <c r="C3265" s="45">
        <v>46361</v>
      </c>
      <c r="D3265" s="76">
        <v>5099.9833910110201</v>
      </c>
      <c r="E3265" s="77">
        <v>130</v>
      </c>
      <c r="F3265" s="78">
        <v>13.656872174267599</v>
      </c>
      <c r="G3265" s="78">
        <v>13.656872174267599</v>
      </c>
      <c r="H3265" s="81">
        <v>13.057828348648201</v>
      </c>
    </row>
    <row r="3266" spans="1:8" x14ac:dyDescent="0.3">
      <c r="A3266" s="74" t="str">
        <f t="shared" si="50"/>
        <v>四川46362</v>
      </c>
      <c r="B3266" s="75" t="s">
        <v>23</v>
      </c>
      <c r="C3266" s="45">
        <v>46362</v>
      </c>
      <c r="D3266" s="76">
        <v>5099.9833910110201</v>
      </c>
      <c r="E3266" s="77">
        <v>130</v>
      </c>
      <c r="F3266" s="78">
        <v>13.656872174267599</v>
      </c>
      <c r="G3266" s="78">
        <v>13.656872174267599</v>
      </c>
      <c r="H3266" s="81">
        <v>13.057828348648201</v>
      </c>
    </row>
    <row r="3267" spans="1:8" x14ac:dyDescent="0.3">
      <c r="A3267" s="74" t="str">
        <f t="shared" ref="A3267:A3330" si="51">B3267&amp;C3267</f>
        <v>四川46363</v>
      </c>
      <c r="B3267" s="75" t="s">
        <v>23</v>
      </c>
      <c r="C3267" s="45">
        <v>46363</v>
      </c>
      <c r="D3267" s="76">
        <v>5099.9833910110201</v>
      </c>
      <c r="E3267" s="77">
        <v>130</v>
      </c>
      <c r="F3267" s="78">
        <v>13.656872174267599</v>
      </c>
      <c r="G3267" s="78">
        <v>13.656872174267599</v>
      </c>
      <c r="H3267" s="81">
        <v>13.057828348648201</v>
      </c>
    </row>
    <row r="3268" spans="1:8" x14ac:dyDescent="0.3">
      <c r="A3268" s="74" t="str">
        <f t="shared" si="51"/>
        <v>四川46364</v>
      </c>
      <c r="B3268" s="75" t="s">
        <v>23</v>
      </c>
      <c r="C3268" s="45">
        <v>46364</v>
      </c>
      <c r="D3268" s="76">
        <v>5099.9833910110201</v>
      </c>
      <c r="E3268" s="77">
        <v>130</v>
      </c>
      <c r="F3268" s="78">
        <v>13.656872174267599</v>
      </c>
      <c r="G3268" s="78">
        <v>13.656872174267599</v>
      </c>
      <c r="H3268" s="81">
        <v>13.057828348648201</v>
      </c>
    </row>
    <row r="3269" spans="1:8" x14ac:dyDescent="0.3">
      <c r="A3269" s="74" t="str">
        <f t="shared" si="51"/>
        <v>四川46365</v>
      </c>
      <c r="B3269" s="75" t="s">
        <v>23</v>
      </c>
      <c r="C3269" s="45">
        <v>46365</v>
      </c>
      <c r="D3269" s="76">
        <v>5099.9833910110201</v>
      </c>
      <c r="E3269" s="77">
        <v>130</v>
      </c>
      <c r="F3269" s="78">
        <v>13.656872174267599</v>
      </c>
      <c r="G3269" s="78">
        <v>13.656872174267599</v>
      </c>
      <c r="H3269" s="81">
        <v>13.057828348648201</v>
      </c>
    </row>
    <row r="3270" spans="1:8" x14ac:dyDescent="0.3">
      <c r="A3270" s="74" t="str">
        <f t="shared" si="51"/>
        <v>四川46366</v>
      </c>
      <c r="B3270" s="75" t="s">
        <v>23</v>
      </c>
      <c r="C3270" s="45">
        <v>46366</v>
      </c>
      <c r="D3270" s="76">
        <v>5099.9833910110201</v>
      </c>
      <c r="E3270" s="77">
        <v>130</v>
      </c>
      <c r="F3270" s="78">
        <v>13.656872174267599</v>
      </c>
      <c r="G3270" s="78">
        <v>13.656872174267599</v>
      </c>
      <c r="H3270" s="81">
        <v>13.057828348648201</v>
      </c>
    </row>
    <row r="3271" spans="1:8" x14ac:dyDescent="0.3">
      <c r="A3271" s="74" t="str">
        <f t="shared" si="51"/>
        <v>四川46367</v>
      </c>
      <c r="B3271" s="75" t="s">
        <v>23</v>
      </c>
      <c r="C3271" s="45">
        <v>46367</v>
      </c>
      <c r="D3271" s="76">
        <v>5099.9833910110201</v>
      </c>
      <c r="E3271" s="77">
        <v>130</v>
      </c>
      <c r="F3271" s="78">
        <v>13.656872174267599</v>
      </c>
      <c r="G3271" s="78">
        <v>13.656872174267599</v>
      </c>
      <c r="H3271" s="81">
        <v>13.057828348648201</v>
      </c>
    </row>
    <row r="3272" spans="1:8" x14ac:dyDescent="0.3">
      <c r="A3272" s="74" t="str">
        <f t="shared" si="51"/>
        <v>四川46368</v>
      </c>
      <c r="B3272" s="75" t="s">
        <v>23</v>
      </c>
      <c r="C3272" s="45">
        <v>46368</v>
      </c>
      <c r="D3272" s="76">
        <v>5099.9833910110201</v>
      </c>
      <c r="E3272" s="77">
        <v>130</v>
      </c>
      <c r="F3272" s="78">
        <v>13.656872174267599</v>
      </c>
      <c r="G3272" s="78">
        <v>13.656872174267599</v>
      </c>
      <c r="H3272" s="81">
        <v>13.057828348648201</v>
      </c>
    </row>
    <row r="3273" spans="1:8" x14ac:dyDescent="0.3">
      <c r="A3273" s="74" t="str">
        <f t="shared" si="51"/>
        <v>四川46369</v>
      </c>
      <c r="B3273" s="75" t="s">
        <v>23</v>
      </c>
      <c r="C3273" s="45">
        <v>46369</v>
      </c>
      <c r="D3273" s="76">
        <v>5099.9833910110201</v>
      </c>
      <c r="E3273" s="77">
        <v>130</v>
      </c>
      <c r="F3273" s="78">
        <v>13.656872174267599</v>
      </c>
      <c r="G3273" s="78">
        <v>13.656872174267599</v>
      </c>
      <c r="H3273" s="81">
        <v>13.057828348648201</v>
      </c>
    </row>
    <row r="3274" spans="1:8" x14ac:dyDescent="0.3">
      <c r="A3274" s="74" t="str">
        <f t="shared" si="51"/>
        <v>四川46370</v>
      </c>
      <c r="B3274" s="75" t="s">
        <v>23</v>
      </c>
      <c r="C3274" s="45">
        <v>46370</v>
      </c>
      <c r="D3274" s="76">
        <v>5099.9833910110201</v>
      </c>
      <c r="E3274" s="77">
        <v>130</v>
      </c>
      <c r="F3274" s="78">
        <v>13.656872174267599</v>
      </c>
      <c r="G3274" s="78">
        <v>13.656872174267599</v>
      </c>
      <c r="H3274" s="81">
        <v>13.057828348648201</v>
      </c>
    </row>
    <row r="3275" spans="1:8" x14ac:dyDescent="0.3">
      <c r="A3275" s="74" t="str">
        <f t="shared" si="51"/>
        <v>四川46371</v>
      </c>
      <c r="B3275" s="75" t="s">
        <v>23</v>
      </c>
      <c r="C3275" s="45">
        <v>46371</v>
      </c>
      <c r="D3275" s="76">
        <v>5099.9833910110201</v>
      </c>
      <c r="E3275" s="77">
        <v>130</v>
      </c>
      <c r="F3275" s="78">
        <v>13.656872174267599</v>
      </c>
      <c r="G3275" s="78">
        <v>13.656872174267599</v>
      </c>
      <c r="H3275" s="81">
        <v>13.057828348648201</v>
      </c>
    </row>
    <row r="3276" spans="1:8" x14ac:dyDescent="0.3">
      <c r="A3276" s="74" t="str">
        <f t="shared" si="51"/>
        <v>四川46372</v>
      </c>
      <c r="B3276" s="75" t="s">
        <v>23</v>
      </c>
      <c r="C3276" s="45">
        <v>46372</v>
      </c>
      <c r="D3276" s="76">
        <v>5099.9833910110201</v>
      </c>
      <c r="E3276" s="77">
        <v>130</v>
      </c>
      <c r="F3276" s="78">
        <v>13.656872174267599</v>
      </c>
      <c r="G3276" s="78">
        <v>13.656872174267599</v>
      </c>
      <c r="H3276" s="81">
        <v>13.057828348648201</v>
      </c>
    </row>
    <row r="3277" spans="1:8" x14ac:dyDescent="0.3">
      <c r="A3277" s="74" t="str">
        <f t="shared" si="51"/>
        <v>四川46373</v>
      </c>
      <c r="B3277" s="75" t="s">
        <v>23</v>
      </c>
      <c r="C3277" s="45">
        <v>46373</v>
      </c>
      <c r="D3277" s="76">
        <v>5099.9833910110201</v>
      </c>
      <c r="E3277" s="77">
        <v>130</v>
      </c>
      <c r="F3277" s="78">
        <v>13.656872174267599</v>
      </c>
      <c r="G3277" s="78">
        <v>13.656872174267599</v>
      </c>
      <c r="H3277" s="81">
        <v>13.057828348648201</v>
      </c>
    </row>
    <row r="3278" spans="1:8" x14ac:dyDescent="0.3">
      <c r="A3278" s="74" t="str">
        <f t="shared" si="51"/>
        <v>四川46374</v>
      </c>
      <c r="B3278" s="75" t="s">
        <v>23</v>
      </c>
      <c r="C3278" s="45">
        <v>46374</v>
      </c>
      <c r="D3278" s="76">
        <v>5099.9833910110201</v>
      </c>
      <c r="E3278" s="77">
        <v>130</v>
      </c>
      <c r="F3278" s="78">
        <v>13.656872174267599</v>
      </c>
      <c r="G3278" s="78">
        <v>13.656872174267599</v>
      </c>
      <c r="H3278" s="81">
        <v>13.057828348648201</v>
      </c>
    </row>
    <row r="3279" spans="1:8" x14ac:dyDescent="0.3">
      <c r="A3279" s="74" t="str">
        <f t="shared" si="51"/>
        <v>四川46375</v>
      </c>
      <c r="B3279" s="75" t="s">
        <v>23</v>
      </c>
      <c r="C3279" s="45">
        <v>46375</v>
      </c>
      <c r="D3279" s="76">
        <v>5099.9833910110201</v>
      </c>
      <c r="E3279" s="77">
        <v>130</v>
      </c>
      <c r="F3279" s="78">
        <v>13.656872174267599</v>
      </c>
      <c r="G3279" s="78">
        <v>13.656872174267599</v>
      </c>
      <c r="H3279" s="81">
        <v>13.057828348648201</v>
      </c>
    </row>
    <row r="3280" spans="1:8" x14ac:dyDescent="0.3">
      <c r="A3280" s="74" t="str">
        <f t="shared" si="51"/>
        <v>四川46376</v>
      </c>
      <c r="B3280" s="75" t="s">
        <v>23</v>
      </c>
      <c r="C3280" s="45">
        <v>46376</v>
      </c>
      <c r="D3280" s="76">
        <v>5099.9833910110201</v>
      </c>
      <c r="E3280" s="77">
        <v>130</v>
      </c>
      <c r="F3280" s="78">
        <v>13.656872174267599</v>
      </c>
      <c r="G3280" s="78">
        <v>13.656872174267599</v>
      </c>
      <c r="H3280" s="81">
        <v>13.057828348648201</v>
      </c>
    </row>
    <row r="3281" spans="1:8" x14ac:dyDescent="0.3">
      <c r="A3281" s="74" t="str">
        <f t="shared" si="51"/>
        <v>四川46377</v>
      </c>
      <c r="B3281" s="75" t="s">
        <v>23</v>
      </c>
      <c r="C3281" s="45">
        <v>46377</v>
      </c>
      <c r="D3281" s="76">
        <v>5099.9833910110201</v>
      </c>
      <c r="E3281" s="77">
        <v>130</v>
      </c>
      <c r="F3281" s="78">
        <v>13.656872174267599</v>
      </c>
      <c r="G3281" s="78">
        <v>13.656872174267599</v>
      </c>
      <c r="H3281" s="81">
        <v>13.057828348648201</v>
      </c>
    </row>
    <row r="3282" spans="1:8" x14ac:dyDescent="0.3">
      <c r="A3282" s="74" t="str">
        <f t="shared" si="51"/>
        <v>四川46378</v>
      </c>
      <c r="B3282" s="75" t="s">
        <v>23</v>
      </c>
      <c r="C3282" s="45">
        <v>46378</v>
      </c>
      <c r="D3282" s="76">
        <v>5099.9833910110201</v>
      </c>
      <c r="E3282" s="77">
        <v>130</v>
      </c>
      <c r="F3282" s="78">
        <v>13.656872174267599</v>
      </c>
      <c r="G3282" s="78">
        <v>13.656872174267599</v>
      </c>
      <c r="H3282" s="81">
        <v>13.057828348648201</v>
      </c>
    </row>
    <row r="3283" spans="1:8" x14ac:dyDescent="0.3">
      <c r="A3283" s="74" t="str">
        <f t="shared" si="51"/>
        <v>四川46379</v>
      </c>
      <c r="B3283" s="75" t="s">
        <v>23</v>
      </c>
      <c r="C3283" s="45">
        <v>46379</v>
      </c>
      <c r="D3283" s="76">
        <v>5099.9833910110201</v>
      </c>
      <c r="E3283" s="77">
        <v>130</v>
      </c>
      <c r="F3283" s="78">
        <v>13.656872174267599</v>
      </c>
      <c r="G3283" s="78">
        <v>13.656872174267599</v>
      </c>
      <c r="H3283" s="81">
        <v>13.057828348648201</v>
      </c>
    </row>
    <row r="3284" spans="1:8" x14ac:dyDescent="0.3">
      <c r="A3284" s="74" t="str">
        <f t="shared" si="51"/>
        <v>四川46380</v>
      </c>
      <c r="B3284" s="75" t="s">
        <v>23</v>
      </c>
      <c r="C3284" s="45">
        <v>46380</v>
      </c>
      <c r="D3284" s="76">
        <v>5099.9833910110201</v>
      </c>
      <c r="E3284" s="77">
        <v>130</v>
      </c>
      <c r="F3284" s="78">
        <v>13.656872174267599</v>
      </c>
      <c r="G3284" s="78">
        <v>13.656872174267599</v>
      </c>
      <c r="H3284" s="81">
        <v>13.057828348648201</v>
      </c>
    </row>
    <row r="3285" spans="1:8" x14ac:dyDescent="0.3">
      <c r="A3285" s="74" t="str">
        <f t="shared" si="51"/>
        <v>四川46381</v>
      </c>
      <c r="B3285" s="75" t="s">
        <v>23</v>
      </c>
      <c r="C3285" s="45">
        <v>46381</v>
      </c>
      <c r="D3285" s="76">
        <v>5099.9833910110201</v>
      </c>
      <c r="E3285" s="77">
        <v>130</v>
      </c>
      <c r="F3285" s="78">
        <v>13.656872174267599</v>
      </c>
      <c r="G3285" s="78">
        <v>13.656872174267599</v>
      </c>
      <c r="H3285" s="81">
        <v>13.057828348648201</v>
      </c>
    </row>
    <row r="3286" spans="1:8" x14ac:dyDescent="0.3">
      <c r="A3286" s="74" t="str">
        <f t="shared" si="51"/>
        <v>四川46382</v>
      </c>
      <c r="B3286" s="75" t="s">
        <v>23</v>
      </c>
      <c r="C3286" s="45">
        <v>46382</v>
      </c>
      <c r="D3286" s="76">
        <v>5099.9833910110201</v>
      </c>
      <c r="E3286" s="77">
        <v>130</v>
      </c>
      <c r="F3286" s="78">
        <v>13.656872174267599</v>
      </c>
      <c r="G3286" s="78">
        <v>13.656872174267599</v>
      </c>
      <c r="H3286" s="81">
        <v>13.057828348648201</v>
      </c>
    </row>
    <row r="3287" spans="1:8" x14ac:dyDescent="0.3">
      <c r="A3287" s="74" t="str">
        <f t="shared" si="51"/>
        <v>四川46383</v>
      </c>
      <c r="B3287" s="75" t="s">
        <v>23</v>
      </c>
      <c r="C3287" s="45">
        <v>46383</v>
      </c>
      <c r="D3287" s="76">
        <v>5099.9833910110201</v>
      </c>
      <c r="E3287" s="77">
        <v>130</v>
      </c>
      <c r="F3287" s="78">
        <v>13.656872174267599</v>
      </c>
      <c r="G3287" s="78">
        <v>13.656872174267599</v>
      </c>
      <c r="H3287" s="81">
        <v>13.057828348648201</v>
      </c>
    </row>
    <row r="3288" spans="1:8" x14ac:dyDescent="0.3">
      <c r="A3288" s="74" t="str">
        <f t="shared" si="51"/>
        <v>四川46384</v>
      </c>
      <c r="B3288" s="75" t="s">
        <v>23</v>
      </c>
      <c r="C3288" s="45">
        <v>46384</v>
      </c>
      <c r="D3288" s="76">
        <v>5099.9833910110201</v>
      </c>
      <c r="E3288" s="77">
        <v>130</v>
      </c>
      <c r="F3288" s="78">
        <v>13.656872174267599</v>
      </c>
      <c r="G3288" s="78">
        <v>13.656872174267599</v>
      </c>
      <c r="H3288" s="81">
        <v>13.057828348648201</v>
      </c>
    </row>
    <row r="3289" spans="1:8" x14ac:dyDescent="0.3">
      <c r="A3289" s="74" t="str">
        <f t="shared" si="51"/>
        <v>四川46385</v>
      </c>
      <c r="B3289" s="75" t="s">
        <v>23</v>
      </c>
      <c r="C3289" s="45">
        <v>46385</v>
      </c>
      <c r="D3289" s="76">
        <v>5099.9833910110201</v>
      </c>
      <c r="E3289" s="77">
        <v>130</v>
      </c>
      <c r="F3289" s="78">
        <v>13.656872174267599</v>
      </c>
      <c r="G3289" s="78">
        <v>13.656872174267599</v>
      </c>
      <c r="H3289" s="81">
        <v>13.057828348648201</v>
      </c>
    </row>
    <row r="3290" spans="1:8" x14ac:dyDescent="0.3">
      <c r="A3290" s="74" t="str">
        <f t="shared" si="51"/>
        <v>四川46386</v>
      </c>
      <c r="B3290" s="75" t="s">
        <v>23</v>
      </c>
      <c r="C3290" s="45">
        <v>46386</v>
      </c>
      <c r="D3290" s="76">
        <v>5099.9833910110201</v>
      </c>
      <c r="E3290" s="77">
        <v>130</v>
      </c>
      <c r="F3290" s="78">
        <v>13.656872174267599</v>
      </c>
      <c r="G3290" s="78">
        <v>13.656872174267599</v>
      </c>
      <c r="H3290" s="81">
        <v>13.057828348648201</v>
      </c>
    </row>
    <row r="3291" spans="1:8" x14ac:dyDescent="0.3">
      <c r="A3291" s="74" t="str">
        <f t="shared" si="51"/>
        <v>四川46387</v>
      </c>
      <c r="B3291" s="82" t="s">
        <v>23</v>
      </c>
      <c r="C3291" s="83">
        <v>46387</v>
      </c>
      <c r="D3291" s="84">
        <v>5099.9833910110201</v>
      </c>
      <c r="E3291" s="85">
        <v>130</v>
      </c>
      <c r="F3291" s="86">
        <v>13.656872174267599</v>
      </c>
      <c r="G3291" s="86">
        <v>13.656872174267599</v>
      </c>
      <c r="H3291" s="87">
        <v>13.057828348648201</v>
      </c>
    </row>
    <row r="3292" spans="1:8" x14ac:dyDescent="0.3">
      <c r="A3292" s="74" t="str">
        <f t="shared" si="51"/>
        <v>云南46135</v>
      </c>
      <c r="B3292" s="75" t="s">
        <v>24</v>
      </c>
      <c r="C3292" s="45">
        <v>46135</v>
      </c>
      <c r="D3292" s="76">
        <v>1489.105451403</v>
      </c>
      <c r="E3292" s="77">
        <v>125</v>
      </c>
      <c r="F3292" s="78">
        <v>9.0954685999703297</v>
      </c>
      <c r="G3292" s="78">
        <v>9.0954685999703297</v>
      </c>
      <c r="H3292" s="81">
        <v>9.6701957779498393</v>
      </c>
    </row>
    <row r="3293" spans="1:8" x14ac:dyDescent="0.3">
      <c r="A3293" s="74" t="str">
        <f t="shared" si="51"/>
        <v>云南46136</v>
      </c>
      <c r="B3293" s="75" t="s">
        <v>24</v>
      </c>
      <c r="C3293" s="45">
        <v>46136</v>
      </c>
      <c r="D3293" s="76">
        <v>1489.105451403</v>
      </c>
      <c r="E3293" s="77">
        <v>125</v>
      </c>
      <c r="F3293" s="78">
        <v>9.0954685999703297</v>
      </c>
      <c r="G3293" s="78">
        <v>9.0954685999703297</v>
      </c>
      <c r="H3293" s="81">
        <v>9.6701957779498393</v>
      </c>
    </row>
    <row r="3294" spans="1:8" x14ac:dyDescent="0.3">
      <c r="A3294" s="74" t="str">
        <f t="shared" si="51"/>
        <v>云南46137</v>
      </c>
      <c r="B3294" s="75" t="s">
        <v>24</v>
      </c>
      <c r="C3294" s="45">
        <v>46137</v>
      </c>
      <c r="D3294" s="76">
        <v>1489.105451403</v>
      </c>
      <c r="E3294" s="77">
        <v>125</v>
      </c>
      <c r="F3294" s="78">
        <v>9.0954685999703297</v>
      </c>
      <c r="G3294" s="78">
        <v>9.0954685999703297</v>
      </c>
      <c r="H3294" s="81">
        <v>9.6701957779498393</v>
      </c>
    </row>
    <row r="3295" spans="1:8" x14ac:dyDescent="0.3">
      <c r="A3295" s="74" t="str">
        <f t="shared" si="51"/>
        <v>云南46138</v>
      </c>
      <c r="B3295" s="75" t="s">
        <v>24</v>
      </c>
      <c r="C3295" s="45">
        <v>46138</v>
      </c>
      <c r="D3295" s="76">
        <v>1489.105451403</v>
      </c>
      <c r="E3295" s="77">
        <v>125</v>
      </c>
      <c r="F3295" s="78">
        <v>9.0954685999703297</v>
      </c>
      <c r="G3295" s="78">
        <v>9.0954685999703297</v>
      </c>
      <c r="H3295" s="81">
        <v>9.6701957779498393</v>
      </c>
    </row>
    <row r="3296" spans="1:8" x14ac:dyDescent="0.3">
      <c r="A3296" s="74" t="str">
        <f t="shared" si="51"/>
        <v>云南46139</v>
      </c>
      <c r="B3296" s="75" t="s">
        <v>24</v>
      </c>
      <c r="C3296" s="45">
        <v>46139</v>
      </c>
      <c r="D3296" s="76">
        <v>1489.105451403</v>
      </c>
      <c r="E3296" s="77">
        <v>125</v>
      </c>
      <c r="F3296" s="78">
        <v>9.0954685999703297</v>
      </c>
      <c r="G3296" s="78">
        <v>9.0954685999703297</v>
      </c>
      <c r="H3296" s="81">
        <v>9.6701957779498393</v>
      </c>
    </row>
    <row r="3297" spans="1:8" x14ac:dyDescent="0.3">
      <c r="A3297" s="74" t="str">
        <f t="shared" si="51"/>
        <v>云南46140</v>
      </c>
      <c r="B3297" s="75" t="s">
        <v>24</v>
      </c>
      <c r="C3297" s="45">
        <v>46140</v>
      </c>
      <c r="D3297" s="76">
        <v>1489.105451403</v>
      </c>
      <c r="E3297" s="77">
        <v>125</v>
      </c>
      <c r="F3297" s="78">
        <v>9.0954685999703297</v>
      </c>
      <c r="G3297" s="78">
        <v>9.0954685999703297</v>
      </c>
      <c r="H3297" s="81">
        <v>9.6701957779498393</v>
      </c>
    </row>
    <row r="3298" spans="1:8" x14ac:dyDescent="0.3">
      <c r="A3298" s="74" t="str">
        <f t="shared" si="51"/>
        <v>云南46141</v>
      </c>
      <c r="B3298" s="75" t="s">
        <v>24</v>
      </c>
      <c r="C3298" s="45">
        <v>46141</v>
      </c>
      <c r="D3298" s="76">
        <v>1489.105451403</v>
      </c>
      <c r="E3298" s="77">
        <v>125</v>
      </c>
      <c r="F3298" s="78">
        <v>9.0954685999703297</v>
      </c>
      <c r="G3298" s="78">
        <v>9.0954685999703297</v>
      </c>
      <c r="H3298" s="81">
        <v>9.6701957779498393</v>
      </c>
    </row>
    <row r="3299" spans="1:8" x14ac:dyDescent="0.3">
      <c r="A3299" s="74" t="str">
        <f t="shared" si="51"/>
        <v>云南46142</v>
      </c>
      <c r="B3299" s="75" t="s">
        <v>24</v>
      </c>
      <c r="C3299" s="45">
        <v>46142</v>
      </c>
      <c r="D3299" s="76">
        <v>1489.105451403</v>
      </c>
      <c r="E3299" s="77">
        <v>125</v>
      </c>
      <c r="F3299" s="78">
        <v>9.0954685999703297</v>
      </c>
      <c r="G3299" s="78">
        <v>9.0954685999703297</v>
      </c>
      <c r="H3299" s="81">
        <v>9.6701957779498393</v>
      </c>
    </row>
    <row r="3300" spans="1:8" x14ac:dyDescent="0.3">
      <c r="A3300" s="74" t="str">
        <f t="shared" si="51"/>
        <v>云南46143</v>
      </c>
      <c r="B3300" s="75" t="s">
        <v>24</v>
      </c>
      <c r="C3300" s="45">
        <v>46143</v>
      </c>
      <c r="D3300" s="76">
        <v>1655.98886358868</v>
      </c>
      <c r="E3300" s="77">
        <v>125</v>
      </c>
      <c r="F3300" s="78">
        <v>10.585741860704101</v>
      </c>
      <c r="G3300" s="78">
        <v>10.585741860704101</v>
      </c>
      <c r="H3300" s="81">
        <v>9.8898023072684502</v>
      </c>
    </row>
    <row r="3301" spans="1:8" x14ac:dyDescent="0.3">
      <c r="A3301" s="74" t="str">
        <f t="shared" si="51"/>
        <v>云南46144</v>
      </c>
      <c r="B3301" s="75" t="s">
        <v>24</v>
      </c>
      <c r="C3301" s="45">
        <v>46144</v>
      </c>
      <c r="D3301" s="76">
        <v>1655.98886358868</v>
      </c>
      <c r="E3301" s="77">
        <v>125</v>
      </c>
      <c r="F3301" s="78">
        <v>10.585741860704101</v>
      </c>
      <c r="G3301" s="78">
        <v>10.585741860704101</v>
      </c>
      <c r="H3301" s="81">
        <v>9.8898023072684502</v>
      </c>
    </row>
    <row r="3302" spans="1:8" x14ac:dyDescent="0.3">
      <c r="A3302" s="74" t="str">
        <f t="shared" si="51"/>
        <v>云南46145</v>
      </c>
      <c r="B3302" s="75" t="s">
        <v>24</v>
      </c>
      <c r="C3302" s="45">
        <v>46145</v>
      </c>
      <c r="D3302" s="76">
        <v>1655.98886358868</v>
      </c>
      <c r="E3302" s="77">
        <v>125</v>
      </c>
      <c r="F3302" s="78">
        <v>10.585741860704101</v>
      </c>
      <c r="G3302" s="78">
        <v>10.585741860704101</v>
      </c>
      <c r="H3302" s="81">
        <v>9.8898023072684502</v>
      </c>
    </row>
    <row r="3303" spans="1:8" x14ac:dyDescent="0.3">
      <c r="A3303" s="74" t="str">
        <f t="shared" si="51"/>
        <v>云南46146</v>
      </c>
      <c r="B3303" s="75" t="s">
        <v>24</v>
      </c>
      <c r="C3303" s="45">
        <v>46146</v>
      </c>
      <c r="D3303" s="76">
        <v>1655.98886358868</v>
      </c>
      <c r="E3303" s="77">
        <v>125</v>
      </c>
      <c r="F3303" s="78">
        <v>10.585741860704101</v>
      </c>
      <c r="G3303" s="78">
        <v>10.585741860704101</v>
      </c>
      <c r="H3303" s="81">
        <v>9.8898023072684502</v>
      </c>
    </row>
    <row r="3304" spans="1:8" x14ac:dyDescent="0.3">
      <c r="A3304" s="74" t="str">
        <f t="shared" si="51"/>
        <v>云南46147</v>
      </c>
      <c r="B3304" s="75" t="s">
        <v>24</v>
      </c>
      <c r="C3304" s="45">
        <v>46147</v>
      </c>
      <c r="D3304" s="76">
        <v>1655.98886358868</v>
      </c>
      <c r="E3304" s="77">
        <v>125</v>
      </c>
      <c r="F3304" s="78">
        <v>10.585741860704101</v>
      </c>
      <c r="G3304" s="78">
        <v>10.585741860704101</v>
      </c>
      <c r="H3304" s="81">
        <v>9.8898023072684502</v>
      </c>
    </row>
    <row r="3305" spans="1:8" x14ac:dyDescent="0.3">
      <c r="A3305" s="74" t="str">
        <f t="shared" si="51"/>
        <v>云南46148</v>
      </c>
      <c r="B3305" s="75" t="s">
        <v>24</v>
      </c>
      <c r="C3305" s="45">
        <v>46148</v>
      </c>
      <c r="D3305" s="76">
        <v>1655.98886358868</v>
      </c>
      <c r="E3305" s="77">
        <v>125</v>
      </c>
      <c r="F3305" s="78">
        <v>10.585741860704101</v>
      </c>
      <c r="G3305" s="78">
        <v>10.585741860704101</v>
      </c>
      <c r="H3305" s="81">
        <v>9.8898023072684502</v>
      </c>
    </row>
    <row r="3306" spans="1:8" x14ac:dyDescent="0.3">
      <c r="A3306" s="74" t="str">
        <f t="shared" si="51"/>
        <v>云南46149</v>
      </c>
      <c r="B3306" s="75" t="s">
        <v>24</v>
      </c>
      <c r="C3306" s="45">
        <v>46149</v>
      </c>
      <c r="D3306" s="76">
        <v>1655.98886358868</v>
      </c>
      <c r="E3306" s="77">
        <v>125</v>
      </c>
      <c r="F3306" s="78">
        <v>10.585741860704101</v>
      </c>
      <c r="G3306" s="78">
        <v>10.585741860704101</v>
      </c>
      <c r="H3306" s="81">
        <v>9.8898023072684502</v>
      </c>
    </row>
    <row r="3307" spans="1:8" x14ac:dyDescent="0.3">
      <c r="A3307" s="74" t="str">
        <f t="shared" si="51"/>
        <v>云南46150</v>
      </c>
      <c r="B3307" s="75" t="s">
        <v>24</v>
      </c>
      <c r="C3307" s="45">
        <v>46150</v>
      </c>
      <c r="D3307" s="76">
        <v>1655.98886358868</v>
      </c>
      <c r="E3307" s="77">
        <v>125</v>
      </c>
      <c r="F3307" s="78">
        <v>10.585741860704101</v>
      </c>
      <c r="G3307" s="78">
        <v>10.585741860704101</v>
      </c>
      <c r="H3307" s="81">
        <v>9.8898023072684502</v>
      </c>
    </row>
    <row r="3308" spans="1:8" x14ac:dyDescent="0.3">
      <c r="A3308" s="74" t="str">
        <f t="shared" si="51"/>
        <v>云南46151</v>
      </c>
      <c r="B3308" s="75" t="s">
        <v>24</v>
      </c>
      <c r="C3308" s="45">
        <v>46151</v>
      </c>
      <c r="D3308" s="76">
        <v>1655.98886358868</v>
      </c>
      <c r="E3308" s="77">
        <v>125</v>
      </c>
      <c r="F3308" s="78">
        <v>10.585741860704101</v>
      </c>
      <c r="G3308" s="78">
        <v>10.585741860704101</v>
      </c>
      <c r="H3308" s="81">
        <v>9.8898023072684502</v>
      </c>
    </row>
    <row r="3309" spans="1:8" x14ac:dyDescent="0.3">
      <c r="A3309" s="74" t="str">
        <f t="shared" si="51"/>
        <v>云南46152</v>
      </c>
      <c r="B3309" s="75" t="s">
        <v>24</v>
      </c>
      <c r="C3309" s="45">
        <v>46152</v>
      </c>
      <c r="D3309" s="76">
        <v>1655.98886358868</v>
      </c>
      <c r="E3309" s="77">
        <v>125</v>
      </c>
      <c r="F3309" s="78">
        <v>10.585741860704101</v>
      </c>
      <c r="G3309" s="78">
        <v>10.585741860704101</v>
      </c>
      <c r="H3309" s="81">
        <v>9.8898023072684502</v>
      </c>
    </row>
    <row r="3310" spans="1:8" x14ac:dyDescent="0.3">
      <c r="A3310" s="74" t="str">
        <f t="shared" si="51"/>
        <v>云南46153</v>
      </c>
      <c r="B3310" s="75" t="s">
        <v>24</v>
      </c>
      <c r="C3310" s="45">
        <v>46153</v>
      </c>
      <c r="D3310" s="76">
        <v>1655.98886358868</v>
      </c>
      <c r="E3310" s="77">
        <v>125</v>
      </c>
      <c r="F3310" s="78">
        <v>10.585741860704101</v>
      </c>
      <c r="G3310" s="78">
        <v>10.585741860704101</v>
      </c>
      <c r="H3310" s="81">
        <v>9.8898023072684502</v>
      </c>
    </row>
    <row r="3311" spans="1:8" x14ac:dyDescent="0.3">
      <c r="A3311" s="74" t="str">
        <f t="shared" si="51"/>
        <v>云南46154</v>
      </c>
      <c r="B3311" s="75" t="s">
        <v>24</v>
      </c>
      <c r="C3311" s="45">
        <v>46154</v>
      </c>
      <c r="D3311" s="76">
        <v>1655.98886358868</v>
      </c>
      <c r="E3311" s="77">
        <v>125</v>
      </c>
      <c r="F3311" s="78">
        <v>10.585741860704101</v>
      </c>
      <c r="G3311" s="78">
        <v>10.585741860704101</v>
      </c>
      <c r="H3311" s="81">
        <v>9.8898023072684502</v>
      </c>
    </row>
    <row r="3312" spans="1:8" x14ac:dyDescent="0.3">
      <c r="A3312" s="74" t="str">
        <f t="shared" si="51"/>
        <v>云南46155</v>
      </c>
      <c r="B3312" s="75" t="s">
        <v>24</v>
      </c>
      <c r="C3312" s="45">
        <v>46155</v>
      </c>
      <c r="D3312" s="76">
        <v>1655.98886358868</v>
      </c>
      <c r="E3312" s="77">
        <v>125</v>
      </c>
      <c r="F3312" s="78">
        <v>10.585741860704101</v>
      </c>
      <c r="G3312" s="78">
        <v>10.585741860704101</v>
      </c>
      <c r="H3312" s="81">
        <v>9.8898023072684502</v>
      </c>
    </row>
    <row r="3313" spans="1:8" x14ac:dyDescent="0.3">
      <c r="A3313" s="74" t="str">
        <f t="shared" si="51"/>
        <v>云南46156</v>
      </c>
      <c r="B3313" s="75" t="s">
        <v>24</v>
      </c>
      <c r="C3313" s="45">
        <v>46156</v>
      </c>
      <c r="D3313" s="76">
        <v>1655.98886358868</v>
      </c>
      <c r="E3313" s="77">
        <v>125</v>
      </c>
      <c r="F3313" s="78">
        <v>10.585741860704101</v>
      </c>
      <c r="G3313" s="78">
        <v>10.585741860704101</v>
      </c>
      <c r="H3313" s="81">
        <v>9.8898023072684502</v>
      </c>
    </row>
    <row r="3314" spans="1:8" x14ac:dyDescent="0.3">
      <c r="A3314" s="74" t="str">
        <f t="shared" si="51"/>
        <v>云南46157</v>
      </c>
      <c r="B3314" s="75" t="s">
        <v>24</v>
      </c>
      <c r="C3314" s="45">
        <v>46157</v>
      </c>
      <c r="D3314" s="76">
        <v>1655.98886358868</v>
      </c>
      <c r="E3314" s="77">
        <v>125</v>
      </c>
      <c r="F3314" s="78">
        <v>10.585741860704101</v>
      </c>
      <c r="G3314" s="78">
        <v>10.585741860704101</v>
      </c>
      <c r="H3314" s="81">
        <v>9.8898023072684502</v>
      </c>
    </row>
    <row r="3315" spans="1:8" x14ac:dyDescent="0.3">
      <c r="A3315" s="74" t="str">
        <f t="shared" si="51"/>
        <v>云南46158</v>
      </c>
      <c r="B3315" s="75" t="s">
        <v>24</v>
      </c>
      <c r="C3315" s="45">
        <v>46158</v>
      </c>
      <c r="D3315" s="76">
        <v>1655.98886358868</v>
      </c>
      <c r="E3315" s="77">
        <v>125</v>
      </c>
      <c r="F3315" s="78">
        <v>10.585741860704101</v>
      </c>
      <c r="G3315" s="78">
        <v>10.585741860704101</v>
      </c>
      <c r="H3315" s="81">
        <v>9.8898023072684502</v>
      </c>
    </row>
    <row r="3316" spans="1:8" x14ac:dyDescent="0.3">
      <c r="A3316" s="74" t="str">
        <f t="shared" si="51"/>
        <v>云南46159</v>
      </c>
      <c r="B3316" s="75" t="s">
        <v>24</v>
      </c>
      <c r="C3316" s="45">
        <v>46159</v>
      </c>
      <c r="D3316" s="76">
        <v>1655.98886358868</v>
      </c>
      <c r="E3316" s="77">
        <v>125</v>
      </c>
      <c r="F3316" s="78">
        <v>10.585741860704101</v>
      </c>
      <c r="G3316" s="78">
        <v>10.585741860704101</v>
      </c>
      <c r="H3316" s="81">
        <v>9.8898023072684502</v>
      </c>
    </row>
    <row r="3317" spans="1:8" x14ac:dyDescent="0.3">
      <c r="A3317" s="74" t="str">
        <f t="shared" si="51"/>
        <v>云南46160</v>
      </c>
      <c r="B3317" s="75" t="s">
        <v>24</v>
      </c>
      <c r="C3317" s="45">
        <v>46160</v>
      </c>
      <c r="D3317" s="76">
        <v>1655.98886358868</v>
      </c>
      <c r="E3317" s="77">
        <v>125</v>
      </c>
      <c r="F3317" s="78">
        <v>10.585741860704101</v>
      </c>
      <c r="G3317" s="78">
        <v>10.585741860704101</v>
      </c>
      <c r="H3317" s="81">
        <v>9.8898023072684502</v>
      </c>
    </row>
    <row r="3318" spans="1:8" x14ac:dyDescent="0.3">
      <c r="A3318" s="74" t="str">
        <f t="shared" si="51"/>
        <v>云南46161</v>
      </c>
      <c r="B3318" s="75" t="s">
        <v>24</v>
      </c>
      <c r="C3318" s="45">
        <v>46161</v>
      </c>
      <c r="D3318" s="76">
        <v>1655.98886358868</v>
      </c>
      <c r="E3318" s="77">
        <v>125</v>
      </c>
      <c r="F3318" s="78">
        <v>10.585741860704101</v>
      </c>
      <c r="G3318" s="78">
        <v>10.585741860704101</v>
      </c>
      <c r="H3318" s="81">
        <v>9.8898023072684502</v>
      </c>
    </row>
    <row r="3319" spans="1:8" x14ac:dyDescent="0.3">
      <c r="A3319" s="74" t="str">
        <f t="shared" si="51"/>
        <v>云南46162</v>
      </c>
      <c r="B3319" s="75" t="s">
        <v>24</v>
      </c>
      <c r="C3319" s="45">
        <v>46162</v>
      </c>
      <c r="D3319" s="76">
        <v>1655.98886358868</v>
      </c>
      <c r="E3319" s="77">
        <v>125</v>
      </c>
      <c r="F3319" s="78">
        <v>10.585741860704101</v>
      </c>
      <c r="G3319" s="78">
        <v>10.585741860704101</v>
      </c>
      <c r="H3319" s="81">
        <v>9.8898023072684502</v>
      </c>
    </row>
    <row r="3320" spans="1:8" x14ac:dyDescent="0.3">
      <c r="A3320" s="74" t="str">
        <f t="shared" si="51"/>
        <v>云南46163</v>
      </c>
      <c r="B3320" s="75" t="s">
        <v>24</v>
      </c>
      <c r="C3320" s="45">
        <v>46163</v>
      </c>
      <c r="D3320" s="76">
        <v>1655.98886358868</v>
      </c>
      <c r="E3320" s="77">
        <v>125</v>
      </c>
      <c r="F3320" s="78">
        <v>10.585741860704101</v>
      </c>
      <c r="G3320" s="78">
        <v>10.585741860704101</v>
      </c>
      <c r="H3320" s="81">
        <v>9.8898023072684502</v>
      </c>
    </row>
    <row r="3321" spans="1:8" x14ac:dyDescent="0.3">
      <c r="A3321" s="74" t="str">
        <f t="shared" si="51"/>
        <v>云南46164</v>
      </c>
      <c r="B3321" s="75" t="s">
        <v>24</v>
      </c>
      <c r="C3321" s="45">
        <v>46164</v>
      </c>
      <c r="D3321" s="76">
        <v>1655.98886358868</v>
      </c>
      <c r="E3321" s="77">
        <v>125</v>
      </c>
      <c r="F3321" s="78">
        <v>10.585741860704101</v>
      </c>
      <c r="G3321" s="78">
        <v>10.585741860704101</v>
      </c>
      <c r="H3321" s="81">
        <v>9.8898023072684502</v>
      </c>
    </row>
    <row r="3322" spans="1:8" x14ac:dyDescent="0.3">
      <c r="A3322" s="74" t="str">
        <f t="shared" si="51"/>
        <v>云南46165</v>
      </c>
      <c r="B3322" s="75" t="s">
        <v>24</v>
      </c>
      <c r="C3322" s="45">
        <v>46165</v>
      </c>
      <c r="D3322" s="76">
        <v>1655.98886358868</v>
      </c>
      <c r="E3322" s="77">
        <v>125</v>
      </c>
      <c r="F3322" s="78">
        <v>10.585741860704101</v>
      </c>
      <c r="G3322" s="78">
        <v>10.585741860704101</v>
      </c>
      <c r="H3322" s="81">
        <v>9.8898023072684502</v>
      </c>
    </row>
    <row r="3323" spans="1:8" x14ac:dyDescent="0.3">
      <c r="A3323" s="74" t="str">
        <f t="shared" si="51"/>
        <v>云南46166</v>
      </c>
      <c r="B3323" s="75" t="s">
        <v>24</v>
      </c>
      <c r="C3323" s="45">
        <v>46166</v>
      </c>
      <c r="D3323" s="76">
        <v>1655.98886358868</v>
      </c>
      <c r="E3323" s="77">
        <v>125</v>
      </c>
      <c r="F3323" s="78">
        <v>10.585741860704101</v>
      </c>
      <c r="G3323" s="78">
        <v>10.585741860704101</v>
      </c>
      <c r="H3323" s="81">
        <v>9.8898023072684502</v>
      </c>
    </row>
    <row r="3324" spans="1:8" x14ac:dyDescent="0.3">
      <c r="A3324" s="74" t="str">
        <f t="shared" si="51"/>
        <v>云南46167</v>
      </c>
      <c r="B3324" s="75" t="s">
        <v>24</v>
      </c>
      <c r="C3324" s="45">
        <v>46167</v>
      </c>
      <c r="D3324" s="76">
        <v>1655.98886358868</v>
      </c>
      <c r="E3324" s="77">
        <v>125</v>
      </c>
      <c r="F3324" s="78">
        <v>10.585741860704101</v>
      </c>
      <c r="G3324" s="78">
        <v>10.585741860704101</v>
      </c>
      <c r="H3324" s="81">
        <v>9.8898023072684502</v>
      </c>
    </row>
    <row r="3325" spans="1:8" x14ac:dyDescent="0.3">
      <c r="A3325" s="74" t="str">
        <f t="shared" si="51"/>
        <v>云南46168</v>
      </c>
      <c r="B3325" s="75" t="s">
        <v>24</v>
      </c>
      <c r="C3325" s="45">
        <v>46168</v>
      </c>
      <c r="D3325" s="76">
        <v>1655.98886358868</v>
      </c>
      <c r="E3325" s="77">
        <v>125</v>
      </c>
      <c r="F3325" s="78">
        <v>10.585741860704101</v>
      </c>
      <c r="G3325" s="78">
        <v>10.585741860704101</v>
      </c>
      <c r="H3325" s="81">
        <v>9.8898023072684502</v>
      </c>
    </row>
    <row r="3326" spans="1:8" x14ac:dyDescent="0.3">
      <c r="A3326" s="74" t="str">
        <f t="shared" si="51"/>
        <v>云南46169</v>
      </c>
      <c r="B3326" s="75" t="s">
        <v>24</v>
      </c>
      <c r="C3326" s="45">
        <v>46169</v>
      </c>
      <c r="D3326" s="76">
        <v>1655.98886358868</v>
      </c>
      <c r="E3326" s="77">
        <v>125</v>
      </c>
      <c r="F3326" s="78">
        <v>10.585741860704101</v>
      </c>
      <c r="G3326" s="78">
        <v>10.585741860704101</v>
      </c>
      <c r="H3326" s="81">
        <v>9.8898023072684502</v>
      </c>
    </row>
    <row r="3327" spans="1:8" x14ac:dyDescent="0.3">
      <c r="A3327" s="74" t="str">
        <f t="shared" si="51"/>
        <v>云南46170</v>
      </c>
      <c r="B3327" s="75" t="s">
        <v>24</v>
      </c>
      <c r="C3327" s="45">
        <v>46170</v>
      </c>
      <c r="D3327" s="76">
        <v>1655.98886358868</v>
      </c>
      <c r="E3327" s="77">
        <v>125</v>
      </c>
      <c r="F3327" s="78">
        <v>10.585741860704101</v>
      </c>
      <c r="G3327" s="78">
        <v>10.585741860704101</v>
      </c>
      <c r="H3327" s="81">
        <v>9.8898023072684502</v>
      </c>
    </row>
    <row r="3328" spans="1:8" x14ac:dyDescent="0.3">
      <c r="A3328" s="74" t="str">
        <f t="shared" si="51"/>
        <v>云南46171</v>
      </c>
      <c r="B3328" s="75" t="s">
        <v>24</v>
      </c>
      <c r="C3328" s="45">
        <v>46171</v>
      </c>
      <c r="D3328" s="76">
        <v>1655.98886358868</v>
      </c>
      <c r="E3328" s="77">
        <v>125</v>
      </c>
      <c r="F3328" s="78">
        <v>10.585741860704101</v>
      </c>
      <c r="G3328" s="78">
        <v>10.585741860704101</v>
      </c>
      <c r="H3328" s="81">
        <v>9.8898023072684502</v>
      </c>
    </row>
    <row r="3329" spans="1:8" x14ac:dyDescent="0.3">
      <c r="A3329" s="74" t="str">
        <f t="shared" si="51"/>
        <v>云南46172</v>
      </c>
      <c r="B3329" s="75" t="s">
        <v>24</v>
      </c>
      <c r="C3329" s="45">
        <v>46172</v>
      </c>
      <c r="D3329" s="76">
        <v>1655.98886358868</v>
      </c>
      <c r="E3329" s="77">
        <v>125</v>
      </c>
      <c r="F3329" s="78">
        <v>10.585741860704101</v>
      </c>
      <c r="G3329" s="78">
        <v>10.585741860704101</v>
      </c>
      <c r="H3329" s="81">
        <v>9.8898023072684502</v>
      </c>
    </row>
    <row r="3330" spans="1:8" x14ac:dyDescent="0.3">
      <c r="A3330" s="74" t="str">
        <f t="shared" si="51"/>
        <v>云南46173</v>
      </c>
      <c r="B3330" s="75" t="s">
        <v>24</v>
      </c>
      <c r="C3330" s="45">
        <v>46173</v>
      </c>
      <c r="D3330" s="76">
        <v>1655.98886358868</v>
      </c>
      <c r="E3330" s="77">
        <v>125</v>
      </c>
      <c r="F3330" s="78">
        <v>10.585741860704101</v>
      </c>
      <c r="G3330" s="78">
        <v>10.585741860704101</v>
      </c>
      <c r="H3330" s="81">
        <v>9.8898023072684502</v>
      </c>
    </row>
    <row r="3331" spans="1:8" x14ac:dyDescent="0.3">
      <c r="A3331" s="74" t="str">
        <f t="shared" ref="A3331:A3394" si="52">B3331&amp;C3331</f>
        <v>云南46174</v>
      </c>
      <c r="B3331" s="75" t="s">
        <v>24</v>
      </c>
      <c r="C3331" s="45">
        <v>46174</v>
      </c>
      <c r="D3331" s="76">
        <v>1516.4591051565601</v>
      </c>
      <c r="E3331" s="77">
        <v>125</v>
      </c>
      <c r="F3331" s="78">
        <v>11.6166543788322</v>
      </c>
      <c r="G3331" s="78">
        <v>11.6166543788322</v>
      </c>
      <c r="H3331" s="81">
        <v>10.7649612838196</v>
      </c>
    </row>
    <row r="3332" spans="1:8" x14ac:dyDescent="0.3">
      <c r="A3332" s="74" t="str">
        <f t="shared" si="52"/>
        <v>云南46175</v>
      </c>
      <c r="B3332" s="75" t="s">
        <v>24</v>
      </c>
      <c r="C3332" s="45">
        <v>46175</v>
      </c>
      <c r="D3332" s="76">
        <v>1516.4591051565601</v>
      </c>
      <c r="E3332" s="77">
        <v>125</v>
      </c>
      <c r="F3332" s="78">
        <v>11.6166543788322</v>
      </c>
      <c r="G3332" s="78">
        <v>11.6166543788322</v>
      </c>
      <c r="H3332" s="81">
        <v>10.7649612838196</v>
      </c>
    </row>
    <row r="3333" spans="1:8" x14ac:dyDescent="0.3">
      <c r="A3333" s="74" t="str">
        <f t="shared" si="52"/>
        <v>云南46176</v>
      </c>
      <c r="B3333" s="75" t="s">
        <v>24</v>
      </c>
      <c r="C3333" s="45">
        <v>46176</v>
      </c>
      <c r="D3333" s="76">
        <v>1516.4591051565601</v>
      </c>
      <c r="E3333" s="77">
        <v>125</v>
      </c>
      <c r="F3333" s="78">
        <v>11.6166543788322</v>
      </c>
      <c r="G3333" s="78">
        <v>11.6166543788322</v>
      </c>
      <c r="H3333" s="81">
        <v>10.7649612838196</v>
      </c>
    </row>
    <row r="3334" spans="1:8" x14ac:dyDescent="0.3">
      <c r="A3334" s="74" t="str">
        <f t="shared" si="52"/>
        <v>云南46177</v>
      </c>
      <c r="B3334" s="75" t="s">
        <v>24</v>
      </c>
      <c r="C3334" s="45">
        <v>46177</v>
      </c>
      <c r="D3334" s="76">
        <v>1516.4591051565601</v>
      </c>
      <c r="E3334" s="77">
        <v>125</v>
      </c>
      <c r="F3334" s="78">
        <v>11.6166543788322</v>
      </c>
      <c r="G3334" s="78">
        <v>11.6166543788322</v>
      </c>
      <c r="H3334" s="81">
        <v>10.7649612838196</v>
      </c>
    </row>
    <row r="3335" spans="1:8" x14ac:dyDescent="0.3">
      <c r="A3335" s="74" t="str">
        <f t="shared" si="52"/>
        <v>云南46178</v>
      </c>
      <c r="B3335" s="75" t="s">
        <v>24</v>
      </c>
      <c r="C3335" s="45">
        <v>46178</v>
      </c>
      <c r="D3335" s="76">
        <v>1516.4591051565601</v>
      </c>
      <c r="E3335" s="77">
        <v>125</v>
      </c>
      <c r="F3335" s="78">
        <v>11.6166543788322</v>
      </c>
      <c r="G3335" s="78">
        <v>11.6166543788322</v>
      </c>
      <c r="H3335" s="81">
        <v>10.7649612838196</v>
      </c>
    </row>
    <row r="3336" spans="1:8" x14ac:dyDescent="0.3">
      <c r="A3336" s="74" t="str">
        <f t="shared" si="52"/>
        <v>云南46179</v>
      </c>
      <c r="B3336" s="75" t="s">
        <v>24</v>
      </c>
      <c r="C3336" s="45">
        <v>46179</v>
      </c>
      <c r="D3336" s="76">
        <v>1516.4591051565601</v>
      </c>
      <c r="E3336" s="77">
        <v>125</v>
      </c>
      <c r="F3336" s="78">
        <v>11.6166543788322</v>
      </c>
      <c r="G3336" s="78">
        <v>11.6166543788322</v>
      </c>
      <c r="H3336" s="81">
        <v>10.7649612838196</v>
      </c>
    </row>
    <row r="3337" spans="1:8" x14ac:dyDescent="0.3">
      <c r="A3337" s="74" t="str">
        <f t="shared" si="52"/>
        <v>云南46180</v>
      </c>
      <c r="B3337" s="75" t="s">
        <v>24</v>
      </c>
      <c r="C3337" s="45">
        <v>46180</v>
      </c>
      <c r="D3337" s="76">
        <v>1516.4591051565601</v>
      </c>
      <c r="E3337" s="77">
        <v>125</v>
      </c>
      <c r="F3337" s="78">
        <v>11.6166543788322</v>
      </c>
      <c r="G3337" s="78">
        <v>11.6166543788322</v>
      </c>
      <c r="H3337" s="81">
        <v>10.7649612838196</v>
      </c>
    </row>
    <row r="3338" spans="1:8" x14ac:dyDescent="0.3">
      <c r="A3338" s="74" t="str">
        <f t="shared" si="52"/>
        <v>云南46181</v>
      </c>
      <c r="B3338" s="75" t="s">
        <v>24</v>
      </c>
      <c r="C3338" s="45">
        <v>46181</v>
      </c>
      <c r="D3338" s="76">
        <v>1516.4591051565601</v>
      </c>
      <c r="E3338" s="77">
        <v>125</v>
      </c>
      <c r="F3338" s="78">
        <v>11.6166543788322</v>
      </c>
      <c r="G3338" s="78">
        <v>11.6166543788322</v>
      </c>
      <c r="H3338" s="81">
        <v>10.7649612838196</v>
      </c>
    </row>
    <row r="3339" spans="1:8" x14ac:dyDescent="0.3">
      <c r="A3339" s="74" t="str">
        <f t="shared" si="52"/>
        <v>云南46182</v>
      </c>
      <c r="B3339" s="75" t="s">
        <v>24</v>
      </c>
      <c r="C3339" s="45">
        <v>46182</v>
      </c>
      <c r="D3339" s="76">
        <v>1516.4591051565601</v>
      </c>
      <c r="E3339" s="77">
        <v>125</v>
      </c>
      <c r="F3339" s="78">
        <v>11.6166543788322</v>
      </c>
      <c r="G3339" s="78">
        <v>11.6166543788322</v>
      </c>
      <c r="H3339" s="81">
        <v>10.7649612838196</v>
      </c>
    </row>
    <row r="3340" spans="1:8" x14ac:dyDescent="0.3">
      <c r="A3340" s="74" t="str">
        <f t="shared" si="52"/>
        <v>云南46183</v>
      </c>
      <c r="B3340" s="75" t="s">
        <v>24</v>
      </c>
      <c r="C3340" s="45">
        <v>46183</v>
      </c>
      <c r="D3340" s="76">
        <v>1516.4591051565601</v>
      </c>
      <c r="E3340" s="77">
        <v>125</v>
      </c>
      <c r="F3340" s="78">
        <v>11.6166543788322</v>
      </c>
      <c r="G3340" s="78">
        <v>11.6166543788322</v>
      </c>
      <c r="H3340" s="81">
        <v>10.7649612838196</v>
      </c>
    </row>
    <row r="3341" spans="1:8" x14ac:dyDescent="0.3">
      <c r="A3341" s="74" t="str">
        <f t="shared" si="52"/>
        <v>云南46184</v>
      </c>
      <c r="B3341" s="75" t="s">
        <v>24</v>
      </c>
      <c r="C3341" s="45">
        <v>46184</v>
      </c>
      <c r="D3341" s="76">
        <v>1516.4591051565601</v>
      </c>
      <c r="E3341" s="77">
        <v>125</v>
      </c>
      <c r="F3341" s="78">
        <v>11.6166543788322</v>
      </c>
      <c r="G3341" s="78">
        <v>11.6166543788322</v>
      </c>
      <c r="H3341" s="81">
        <v>10.7649612838196</v>
      </c>
    </row>
    <row r="3342" spans="1:8" x14ac:dyDescent="0.3">
      <c r="A3342" s="74" t="str">
        <f t="shared" si="52"/>
        <v>云南46185</v>
      </c>
      <c r="B3342" s="75" t="s">
        <v>24</v>
      </c>
      <c r="C3342" s="45">
        <v>46185</v>
      </c>
      <c r="D3342" s="76">
        <v>1516.4591051565601</v>
      </c>
      <c r="E3342" s="77">
        <v>125</v>
      </c>
      <c r="F3342" s="78">
        <v>11.6166543788322</v>
      </c>
      <c r="G3342" s="78">
        <v>11.6166543788322</v>
      </c>
      <c r="H3342" s="81">
        <v>10.7649612838196</v>
      </c>
    </row>
    <row r="3343" spans="1:8" x14ac:dyDescent="0.3">
      <c r="A3343" s="74" t="str">
        <f t="shared" si="52"/>
        <v>云南46186</v>
      </c>
      <c r="B3343" s="75" t="s">
        <v>24</v>
      </c>
      <c r="C3343" s="45">
        <v>46186</v>
      </c>
      <c r="D3343" s="76">
        <v>1516.4591051565601</v>
      </c>
      <c r="E3343" s="77">
        <v>125</v>
      </c>
      <c r="F3343" s="78">
        <v>11.6166543788322</v>
      </c>
      <c r="G3343" s="78">
        <v>11.6166543788322</v>
      </c>
      <c r="H3343" s="81">
        <v>10.7649612838196</v>
      </c>
    </row>
    <row r="3344" spans="1:8" x14ac:dyDescent="0.3">
      <c r="A3344" s="74" t="str">
        <f t="shared" si="52"/>
        <v>云南46187</v>
      </c>
      <c r="B3344" s="75" t="s">
        <v>24</v>
      </c>
      <c r="C3344" s="45">
        <v>46187</v>
      </c>
      <c r="D3344" s="76">
        <v>1516.4591051565601</v>
      </c>
      <c r="E3344" s="77">
        <v>125</v>
      </c>
      <c r="F3344" s="78">
        <v>11.6166543788322</v>
      </c>
      <c r="G3344" s="78">
        <v>11.6166543788322</v>
      </c>
      <c r="H3344" s="81">
        <v>10.7649612838196</v>
      </c>
    </row>
    <row r="3345" spans="1:8" x14ac:dyDescent="0.3">
      <c r="A3345" s="74" t="str">
        <f t="shared" si="52"/>
        <v>云南46188</v>
      </c>
      <c r="B3345" s="75" t="s">
        <v>24</v>
      </c>
      <c r="C3345" s="45">
        <v>46188</v>
      </c>
      <c r="D3345" s="76">
        <v>1516.4591051565601</v>
      </c>
      <c r="E3345" s="77">
        <v>125</v>
      </c>
      <c r="F3345" s="78">
        <v>11.6166543788322</v>
      </c>
      <c r="G3345" s="78">
        <v>11.6166543788322</v>
      </c>
      <c r="H3345" s="81">
        <v>10.7649612838196</v>
      </c>
    </row>
    <row r="3346" spans="1:8" x14ac:dyDescent="0.3">
      <c r="A3346" s="74" t="str">
        <f t="shared" si="52"/>
        <v>云南46189</v>
      </c>
      <c r="B3346" s="75" t="s">
        <v>24</v>
      </c>
      <c r="C3346" s="45">
        <v>46189</v>
      </c>
      <c r="D3346" s="76">
        <v>1516.4591051565601</v>
      </c>
      <c r="E3346" s="77">
        <v>125</v>
      </c>
      <c r="F3346" s="78">
        <v>11.6166543788322</v>
      </c>
      <c r="G3346" s="78">
        <v>11.6166543788322</v>
      </c>
      <c r="H3346" s="81">
        <v>10.7649612838196</v>
      </c>
    </row>
    <row r="3347" spans="1:8" x14ac:dyDescent="0.3">
      <c r="A3347" s="74" t="str">
        <f t="shared" si="52"/>
        <v>云南46190</v>
      </c>
      <c r="B3347" s="75" t="s">
        <v>24</v>
      </c>
      <c r="C3347" s="45">
        <v>46190</v>
      </c>
      <c r="D3347" s="76">
        <v>1516.4591051565601</v>
      </c>
      <c r="E3347" s="77">
        <v>125</v>
      </c>
      <c r="F3347" s="78">
        <v>11.6166543788322</v>
      </c>
      <c r="G3347" s="78">
        <v>11.6166543788322</v>
      </c>
      <c r="H3347" s="81">
        <v>10.7649612838196</v>
      </c>
    </row>
    <row r="3348" spans="1:8" x14ac:dyDescent="0.3">
      <c r="A3348" s="74" t="str">
        <f t="shared" si="52"/>
        <v>云南46191</v>
      </c>
      <c r="B3348" s="75" t="s">
        <v>24</v>
      </c>
      <c r="C3348" s="45">
        <v>46191</v>
      </c>
      <c r="D3348" s="76">
        <v>1516.4591051565601</v>
      </c>
      <c r="E3348" s="77">
        <v>125</v>
      </c>
      <c r="F3348" s="78">
        <v>11.6166543788322</v>
      </c>
      <c r="G3348" s="78">
        <v>11.6166543788322</v>
      </c>
      <c r="H3348" s="81">
        <v>10.7649612838196</v>
      </c>
    </row>
    <row r="3349" spans="1:8" x14ac:dyDescent="0.3">
      <c r="A3349" s="74" t="str">
        <f t="shared" si="52"/>
        <v>云南46192</v>
      </c>
      <c r="B3349" s="75" t="s">
        <v>24</v>
      </c>
      <c r="C3349" s="45">
        <v>46192</v>
      </c>
      <c r="D3349" s="76">
        <v>1516.4591051565601</v>
      </c>
      <c r="E3349" s="77">
        <v>125</v>
      </c>
      <c r="F3349" s="78">
        <v>11.6166543788322</v>
      </c>
      <c r="G3349" s="78">
        <v>11.6166543788322</v>
      </c>
      <c r="H3349" s="81">
        <v>10.7649612838196</v>
      </c>
    </row>
    <row r="3350" spans="1:8" x14ac:dyDescent="0.3">
      <c r="A3350" s="74" t="str">
        <f t="shared" si="52"/>
        <v>云南46193</v>
      </c>
      <c r="B3350" s="75" t="s">
        <v>24</v>
      </c>
      <c r="C3350" s="45">
        <v>46193</v>
      </c>
      <c r="D3350" s="76">
        <v>1516.4591051565601</v>
      </c>
      <c r="E3350" s="77">
        <v>125</v>
      </c>
      <c r="F3350" s="78">
        <v>11.6166543788322</v>
      </c>
      <c r="G3350" s="78">
        <v>11.6166543788322</v>
      </c>
      <c r="H3350" s="81">
        <v>10.7649612838196</v>
      </c>
    </row>
    <row r="3351" spans="1:8" x14ac:dyDescent="0.3">
      <c r="A3351" s="74" t="str">
        <f t="shared" si="52"/>
        <v>云南46194</v>
      </c>
      <c r="B3351" s="75" t="s">
        <v>24</v>
      </c>
      <c r="C3351" s="45">
        <v>46194</v>
      </c>
      <c r="D3351" s="76">
        <v>1516.4591051565601</v>
      </c>
      <c r="E3351" s="77">
        <v>125</v>
      </c>
      <c r="F3351" s="78">
        <v>11.6166543788322</v>
      </c>
      <c r="G3351" s="78">
        <v>11.6166543788322</v>
      </c>
      <c r="H3351" s="81">
        <v>10.7649612838196</v>
      </c>
    </row>
    <row r="3352" spans="1:8" x14ac:dyDescent="0.3">
      <c r="A3352" s="74" t="str">
        <f t="shared" si="52"/>
        <v>云南46195</v>
      </c>
      <c r="B3352" s="75" t="s">
        <v>24</v>
      </c>
      <c r="C3352" s="45">
        <v>46195</v>
      </c>
      <c r="D3352" s="76">
        <v>1516.4591051565601</v>
      </c>
      <c r="E3352" s="77">
        <v>125</v>
      </c>
      <c r="F3352" s="78">
        <v>11.6166543788322</v>
      </c>
      <c r="G3352" s="78">
        <v>11.6166543788322</v>
      </c>
      <c r="H3352" s="81">
        <v>10.7649612838196</v>
      </c>
    </row>
    <row r="3353" spans="1:8" x14ac:dyDescent="0.3">
      <c r="A3353" s="74" t="str">
        <f t="shared" si="52"/>
        <v>云南46196</v>
      </c>
      <c r="B3353" s="75" t="s">
        <v>24</v>
      </c>
      <c r="C3353" s="45">
        <v>46196</v>
      </c>
      <c r="D3353" s="76">
        <v>1516.4591051565601</v>
      </c>
      <c r="E3353" s="77">
        <v>125</v>
      </c>
      <c r="F3353" s="78">
        <v>11.6166543788322</v>
      </c>
      <c r="G3353" s="78">
        <v>11.6166543788322</v>
      </c>
      <c r="H3353" s="81">
        <v>10.7649612838196</v>
      </c>
    </row>
    <row r="3354" spans="1:8" x14ac:dyDescent="0.3">
      <c r="A3354" s="74" t="str">
        <f t="shared" si="52"/>
        <v>云南46197</v>
      </c>
      <c r="B3354" s="75" t="s">
        <v>24</v>
      </c>
      <c r="C3354" s="45">
        <v>46197</v>
      </c>
      <c r="D3354" s="76">
        <v>1516.4591051565601</v>
      </c>
      <c r="E3354" s="77">
        <v>125</v>
      </c>
      <c r="F3354" s="78">
        <v>11.6166543788322</v>
      </c>
      <c r="G3354" s="78">
        <v>11.6166543788322</v>
      </c>
      <c r="H3354" s="81">
        <v>10.7649612838196</v>
      </c>
    </row>
    <row r="3355" spans="1:8" x14ac:dyDescent="0.3">
      <c r="A3355" s="74" t="str">
        <f t="shared" si="52"/>
        <v>云南46198</v>
      </c>
      <c r="B3355" s="75" t="s">
        <v>24</v>
      </c>
      <c r="C3355" s="45">
        <v>46198</v>
      </c>
      <c r="D3355" s="76">
        <v>1516.4591051565601</v>
      </c>
      <c r="E3355" s="77">
        <v>125</v>
      </c>
      <c r="F3355" s="78">
        <v>11.6166543788322</v>
      </c>
      <c r="G3355" s="78">
        <v>11.6166543788322</v>
      </c>
      <c r="H3355" s="81">
        <v>10.7649612838196</v>
      </c>
    </row>
    <row r="3356" spans="1:8" x14ac:dyDescent="0.3">
      <c r="A3356" s="74" t="str">
        <f t="shared" si="52"/>
        <v>云南46199</v>
      </c>
      <c r="B3356" s="75" t="s">
        <v>24</v>
      </c>
      <c r="C3356" s="45">
        <v>46199</v>
      </c>
      <c r="D3356" s="76">
        <v>1516.4591051565601</v>
      </c>
      <c r="E3356" s="77">
        <v>125</v>
      </c>
      <c r="F3356" s="78">
        <v>11.6166543788322</v>
      </c>
      <c r="G3356" s="78">
        <v>11.6166543788322</v>
      </c>
      <c r="H3356" s="81">
        <v>10.7649612838196</v>
      </c>
    </row>
    <row r="3357" spans="1:8" x14ac:dyDescent="0.3">
      <c r="A3357" s="74" t="str">
        <f t="shared" si="52"/>
        <v>云南46200</v>
      </c>
      <c r="B3357" s="75" t="s">
        <v>24</v>
      </c>
      <c r="C3357" s="45">
        <v>46200</v>
      </c>
      <c r="D3357" s="76">
        <v>1516.4591051565601</v>
      </c>
      <c r="E3357" s="77">
        <v>125</v>
      </c>
      <c r="F3357" s="78">
        <v>11.6166543788322</v>
      </c>
      <c r="G3357" s="78">
        <v>11.6166543788322</v>
      </c>
      <c r="H3357" s="81">
        <v>10.7649612838196</v>
      </c>
    </row>
    <row r="3358" spans="1:8" x14ac:dyDescent="0.3">
      <c r="A3358" s="74" t="str">
        <f t="shared" si="52"/>
        <v>云南46201</v>
      </c>
      <c r="B3358" s="75" t="s">
        <v>24</v>
      </c>
      <c r="C3358" s="45">
        <v>46201</v>
      </c>
      <c r="D3358" s="76">
        <v>1516.4591051565601</v>
      </c>
      <c r="E3358" s="77">
        <v>125</v>
      </c>
      <c r="F3358" s="78">
        <v>11.6166543788322</v>
      </c>
      <c r="G3358" s="78">
        <v>11.6166543788322</v>
      </c>
      <c r="H3358" s="81">
        <v>10.7649612838196</v>
      </c>
    </row>
    <row r="3359" spans="1:8" x14ac:dyDescent="0.3">
      <c r="A3359" s="74" t="str">
        <f t="shared" si="52"/>
        <v>云南46202</v>
      </c>
      <c r="B3359" s="75" t="s">
        <v>24</v>
      </c>
      <c r="C3359" s="45">
        <v>46202</v>
      </c>
      <c r="D3359" s="76">
        <v>1516.4591051565601</v>
      </c>
      <c r="E3359" s="77">
        <v>125</v>
      </c>
      <c r="F3359" s="78">
        <v>11.6166543788322</v>
      </c>
      <c r="G3359" s="78">
        <v>11.6166543788322</v>
      </c>
      <c r="H3359" s="81">
        <v>10.7649612838196</v>
      </c>
    </row>
    <row r="3360" spans="1:8" x14ac:dyDescent="0.3">
      <c r="A3360" s="74" t="str">
        <f t="shared" si="52"/>
        <v>云南46203</v>
      </c>
      <c r="B3360" s="75" t="s">
        <v>24</v>
      </c>
      <c r="C3360" s="45">
        <v>46203</v>
      </c>
      <c r="D3360" s="76">
        <v>1516.4591051565601</v>
      </c>
      <c r="E3360" s="77">
        <v>125</v>
      </c>
      <c r="F3360" s="78">
        <v>11.6166543788322</v>
      </c>
      <c r="G3360" s="78">
        <v>11.6166543788322</v>
      </c>
      <c r="H3360" s="81">
        <v>10.7649612838196</v>
      </c>
    </row>
    <row r="3361" spans="1:8" x14ac:dyDescent="0.3">
      <c r="A3361" s="74" t="str">
        <f t="shared" si="52"/>
        <v>云南46204</v>
      </c>
      <c r="B3361" s="75" t="s">
        <v>24</v>
      </c>
      <c r="C3361" s="45">
        <v>46204</v>
      </c>
      <c r="D3361" s="76">
        <v>1782.64583513398</v>
      </c>
      <c r="E3361" s="77">
        <v>125</v>
      </c>
      <c r="F3361" s="78">
        <v>12.103430363606501</v>
      </c>
      <c r="G3361" s="78">
        <v>12.103430363606501</v>
      </c>
      <c r="H3361" s="81">
        <v>11.640120260370701</v>
      </c>
    </row>
    <row r="3362" spans="1:8" x14ac:dyDescent="0.3">
      <c r="A3362" s="74" t="str">
        <f t="shared" si="52"/>
        <v>云南46205</v>
      </c>
      <c r="B3362" s="75" t="s">
        <v>24</v>
      </c>
      <c r="C3362" s="45">
        <v>46205</v>
      </c>
      <c r="D3362" s="76">
        <v>1782.64583513398</v>
      </c>
      <c r="E3362" s="77">
        <v>125</v>
      </c>
      <c r="F3362" s="78">
        <v>12.103430363606501</v>
      </c>
      <c r="G3362" s="78">
        <v>12.103430363606501</v>
      </c>
      <c r="H3362" s="81">
        <v>11.640120260370701</v>
      </c>
    </row>
    <row r="3363" spans="1:8" x14ac:dyDescent="0.3">
      <c r="A3363" s="74" t="str">
        <f t="shared" si="52"/>
        <v>云南46206</v>
      </c>
      <c r="B3363" s="75" t="s">
        <v>24</v>
      </c>
      <c r="C3363" s="45">
        <v>46206</v>
      </c>
      <c r="D3363" s="76">
        <v>1782.64583513398</v>
      </c>
      <c r="E3363" s="77">
        <v>125</v>
      </c>
      <c r="F3363" s="78">
        <v>12.103430363606501</v>
      </c>
      <c r="G3363" s="78">
        <v>12.103430363606501</v>
      </c>
      <c r="H3363" s="81">
        <v>11.640120260370701</v>
      </c>
    </row>
    <row r="3364" spans="1:8" x14ac:dyDescent="0.3">
      <c r="A3364" s="74" t="str">
        <f t="shared" si="52"/>
        <v>云南46207</v>
      </c>
      <c r="B3364" s="75" t="s">
        <v>24</v>
      </c>
      <c r="C3364" s="45">
        <v>46207</v>
      </c>
      <c r="D3364" s="76">
        <v>1782.64583513398</v>
      </c>
      <c r="E3364" s="77">
        <v>125</v>
      </c>
      <c r="F3364" s="78">
        <v>12.103430363606501</v>
      </c>
      <c r="G3364" s="78">
        <v>12.103430363606501</v>
      </c>
      <c r="H3364" s="81">
        <v>11.640120260370701</v>
      </c>
    </row>
    <row r="3365" spans="1:8" x14ac:dyDescent="0.3">
      <c r="A3365" s="74" t="str">
        <f t="shared" si="52"/>
        <v>云南46208</v>
      </c>
      <c r="B3365" s="75" t="s">
        <v>24</v>
      </c>
      <c r="C3365" s="45">
        <v>46208</v>
      </c>
      <c r="D3365" s="76">
        <v>1782.64583513398</v>
      </c>
      <c r="E3365" s="77">
        <v>125</v>
      </c>
      <c r="F3365" s="78">
        <v>12.103430363606501</v>
      </c>
      <c r="G3365" s="78">
        <v>12.103430363606501</v>
      </c>
      <c r="H3365" s="81">
        <v>11.640120260370701</v>
      </c>
    </row>
    <row r="3366" spans="1:8" x14ac:dyDescent="0.3">
      <c r="A3366" s="74" t="str">
        <f t="shared" si="52"/>
        <v>云南46209</v>
      </c>
      <c r="B3366" s="75" t="s">
        <v>24</v>
      </c>
      <c r="C3366" s="45">
        <v>46209</v>
      </c>
      <c r="D3366" s="76">
        <v>1782.64583513398</v>
      </c>
      <c r="E3366" s="77">
        <v>125</v>
      </c>
      <c r="F3366" s="78">
        <v>12.103430363606501</v>
      </c>
      <c r="G3366" s="78">
        <v>12.103430363606501</v>
      </c>
      <c r="H3366" s="81">
        <v>11.640120260370701</v>
      </c>
    </row>
    <row r="3367" spans="1:8" x14ac:dyDescent="0.3">
      <c r="A3367" s="74" t="str">
        <f t="shared" si="52"/>
        <v>云南46210</v>
      </c>
      <c r="B3367" s="75" t="s">
        <v>24</v>
      </c>
      <c r="C3367" s="45">
        <v>46210</v>
      </c>
      <c r="D3367" s="76">
        <v>1782.64583513398</v>
      </c>
      <c r="E3367" s="77">
        <v>125</v>
      </c>
      <c r="F3367" s="78">
        <v>12.103430363606501</v>
      </c>
      <c r="G3367" s="78">
        <v>12.103430363606501</v>
      </c>
      <c r="H3367" s="81">
        <v>11.640120260370701</v>
      </c>
    </row>
    <row r="3368" spans="1:8" x14ac:dyDescent="0.3">
      <c r="A3368" s="74" t="str">
        <f t="shared" si="52"/>
        <v>云南46211</v>
      </c>
      <c r="B3368" s="75" t="s">
        <v>24</v>
      </c>
      <c r="C3368" s="45">
        <v>46211</v>
      </c>
      <c r="D3368" s="76">
        <v>1782.64583513398</v>
      </c>
      <c r="E3368" s="77">
        <v>125</v>
      </c>
      <c r="F3368" s="78">
        <v>12.103430363606501</v>
      </c>
      <c r="G3368" s="78">
        <v>12.103430363606501</v>
      </c>
      <c r="H3368" s="81">
        <v>11.640120260370701</v>
      </c>
    </row>
    <row r="3369" spans="1:8" x14ac:dyDescent="0.3">
      <c r="A3369" s="74" t="str">
        <f t="shared" si="52"/>
        <v>云南46212</v>
      </c>
      <c r="B3369" s="75" t="s">
        <v>24</v>
      </c>
      <c r="C3369" s="45">
        <v>46212</v>
      </c>
      <c r="D3369" s="76">
        <v>1782.64583513398</v>
      </c>
      <c r="E3369" s="77">
        <v>125</v>
      </c>
      <c r="F3369" s="78">
        <v>12.103430363606501</v>
      </c>
      <c r="G3369" s="78">
        <v>12.103430363606501</v>
      </c>
      <c r="H3369" s="81">
        <v>11.640120260370701</v>
      </c>
    </row>
    <row r="3370" spans="1:8" x14ac:dyDescent="0.3">
      <c r="A3370" s="74" t="str">
        <f t="shared" si="52"/>
        <v>云南46213</v>
      </c>
      <c r="B3370" s="75" t="s">
        <v>24</v>
      </c>
      <c r="C3370" s="45">
        <v>46213</v>
      </c>
      <c r="D3370" s="76">
        <v>1782.64583513398</v>
      </c>
      <c r="E3370" s="77">
        <v>125</v>
      </c>
      <c r="F3370" s="78">
        <v>12.103430363606501</v>
      </c>
      <c r="G3370" s="78">
        <v>12.103430363606501</v>
      </c>
      <c r="H3370" s="81">
        <v>11.640120260370701</v>
      </c>
    </row>
    <row r="3371" spans="1:8" x14ac:dyDescent="0.3">
      <c r="A3371" s="74" t="str">
        <f t="shared" si="52"/>
        <v>云南46214</v>
      </c>
      <c r="B3371" s="75" t="s">
        <v>24</v>
      </c>
      <c r="C3371" s="45">
        <v>46214</v>
      </c>
      <c r="D3371" s="76">
        <v>1782.64583513398</v>
      </c>
      <c r="E3371" s="77">
        <v>125</v>
      </c>
      <c r="F3371" s="78">
        <v>12.103430363606501</v>
      </c>
      <c r="G3371" s="78">
        <v>12.103430363606501</v>
      </c>
      <c r="H3371" s="81">
        <v>11.640120260370701</v>
      </c>
    </row>
    <row r="3372" spans="1:8" x14ac:dyDescent="0.3">
      <c r="A3372" s="74" t="str">
        <f t="shared" si="52"/>
        <v>云南46215</v>
      </c>
      <c r="B3372" s="75" t="s">
        <v>24</v>
      </c>
      <c r="C3372" s="45">
        <v>46215</v>
      </c>
      <c r="D3372" s="76">
        <v>1782.64583513398</v>
      </c>
      <c r="E3372" s="77">
        <v>125</v>
      </c>
      <c r="F3372" s="78">
        <v>12.103430363606501</v>
      </c>
      <c r="G3372" s="78">
        <v>12.103430363606501</v>
      </c>
      <c r="H3372" s="81">
        <v>11.640120260370701</v>
      </c>
    </row>
    <row r="3373" spans="1:8" x14ac:dyDescent="0.3">
      <c r="A3373" s="74" t="str">
        <f t="shared" si="52"/>
        <v>云南46216</v>
      </c>
      <c r="B3373" s="75" t="s">
        <v>24</v>
      </c>
      <c r="C3373" s="45">
        <v>46216</v>
      </c>
      <c r="D3373" s="76">
        <v>1782.64583513398</v>
      </c>
      <c r="E3373" s="77">
        <v>125</v>
      </c>
      <c r="F3373" s="78">
        <v>12.103430363606501</v>
      </c>
      <c r="G3373" s="78">
        <v>12.103430363606501</v>
      </c>
      <c r="H3373" s="81">
        <v>11.640120260370701</v>
      </c>
    </row>
    <row r="3374" spans="1:8" x14ac:dyDescent="0.3">
      <c r="A3374" s="74" t="str">
        <f t="shared" si="52"/>
        <v>云南46217</v>
      </c>
      <c r="B3374" s="75" t="s">
        <v>24</v>
      </c>
      <c r="C3374" s="45">
        <v>46217</v>
      </c>
      <c r="D3374" s="76">
        <v>1782.64583513398</v>
      </c>
      <c r="E3374" s="77">
        <v>125</v>
      </c>
      <c r="F3374" s="78">
        <v>12.103430363606501</v>
      </c>
      <c r="G3374" s="78">
        <v>12.103430363606501</v>
      </c>
      <c r="H3374" s="81">
        <v>11.640120260370701</v>
      </c>
    </row>
    <row r="3375" spans="1:8" x14ac:dyDescent="0.3">
      <c r="A3375" s="74" t="str">
        <f t="shared" si="52"/>
        <v>云南46218</v>
      </c>
      <c r="B3375" s="75" t="s">
        <v>24</v>
      </c>
      <c r="C3375" s="45">
        <v>46218</v>
      </c>
      <c r="D3375" s="76">
        <v>1782.64583513398</v>
      </c>
      <c r="E3375" s="77">
        <v>125</v>
      </c>
      <c r="F3375" s="78">
        <v>12.103430363606501</v>
      </c>
      <c r="G3375" s="78">
        <v>12.103430363606501</v>
      </c>
      <c r="H3375" s="81">
        <v>11.640120260370701</v>
      </c>
    </row>
    <row r="3376" spans="1:8" x14ac:dyDescent="0.3">
      <c r="A3376" s="74" t="str">
        <f t="shared" si="52"/>
        <v>云南46219</v>
      </c>
      <c r="B3376" s="75" t="s">
        <v>24</v>
      </c>
      <c r="C3376" s="45">
        <v>46219</v>
      </c>
      <c r="D3376" s="76">
        <v>1782.64583513398</v>
      </c>
      <c r="E3376" s="77">
        <v>125</v>
      </c>
      <c r="F3376" s="78">
        <v>12.103430363606501</v>
      </c>
      <c r="G3376" s="78">
        <v>12.103430363606501</v>
      </c>
      <c r="H3376" s="81">
        <v>11.640120260370701</v>
      </c>
    </row>
    <row r="3377" spans="1:8" x14ac:dyDescent="0.3">
      <c r="A3377" s="74" t="str">
        <f t="shared" si="52"/>
        <v>云南46220</v>
      </c>
      <c r="B3377" s="75" t="s">
        <v>24</v>
      </c>
      <c r="C3377" s="45">
        <v>46220</v>
      </c>
      <c r="D3377" s="76">
        <v>1782.64583513398</v>
      </c>
      <c r="E3377" s="77">
        <v>125</v>
      </c>
      <c r="F3377" s="78">
        <v>12.103430363606501</v>
      </c>
      <c r="G3377" s="78">
        <v>12.103430363606501</v>
      </c>
      <c r="H3377" s="81">
        <v>11.640120260370701</v>
      </c>
    </row>
    <row r="3378" spans="1:8" x14ac:dyDescent="0.3">
      <c r="A3378" s="74" t="str">
        <f t="shared" si="52"/>
        <v>云南46221</v>
      </c>
      <c r="B3378" s="75" t="s">
        <v>24</v>
      </c>
      <c r="C3378" s="45">
        <v>46221</v>
      </c>
      <c r="D3378" s="76">
        <v>1782.64583513398</v>
      </c>
      <c r="E3378" s="77">
        <v>125</v>
      </c>
      <c r="F3378" s="78">
        <v>12.103430363606501</v>
      </c>
      <c r="G3378" s="78">
        <v>12.103430363606501</v>
      </c>
      <c r="H3378" s="81">
        <v>11.640120260370701</v>
      </c>
    </row>
    <row r="3379" spans="1:8" x14ac:dyDescent="0.3">
      <c r="A3379" s="74" t="str">
        <f t="shared" si="52"/>
        <v>云南46222</v>
      </c>
      <c r="B3379" s="75" t="s">
        <v>24</v>
      </c>
      <c r="C3379" s="45">
        <v>46222</v>
      </c>
      <c r="D3379" s="76">
        <v>1782.64583513398</v>
      </c>
      <c r="E3379" s="77">
        <v>125</v>
      </c>
      <c r="F3379" s="78">
        <v>12.103430363606501</v>
      </c>
      <c r="G3379" s="78">
        <v>12.103430363606501</v>
      </c>
      <c r="H3379" s="81">
        <v>11.640120260370701</v>
      </c>
    </row>
    <row r="3380" spans="1:8" x14ac:dyDescent="0.3">
      <c r="A3380" s="74" t="str">
        <f t="shared" si="52"/>
        <v>云南46223</v>
      </c>
      <c r="B3380" s="75" t="s">
        <v>24</v>
      </c>
      <c r="C3380" s="45">
        <v>46223</v>
      </c>
      <c r="D3380" s="76">
        <v>1782.64583513398</v>
      </c>
      <c r="E3380" s="77">
        <v>125</v>
      </c>
      <c r="F3380" s="78">
        <v>12.103430363606501</v>
      </c>
      <c r="G3380" s="78">
        <v>12.103430363606501</v>
      </c>
      <c r="H3380" s="81">
        <v>11.640120260370701</v>
      </c>
    </row>
    <row r="3381" spans="1:8" x14ac:dyDescent="0.3">
      <c r="A3381" s="74" t="str">
        <f t="shared" si="52"/>
        <v>云南46224</v>
      </c>
      <c r="B3381" s="75" t="s">
        <v>24</v>
      </c>
      <c r="C3381" s="45">
        <v>46224</v>
      </c>
      <c r="D3381" s="76">
        <v>1782.64583513398</v>
      </c>
      <c r="E3381" s="77">
        <v>125</v>
      </c>
      <c r="F3381" s="78">
        <v>12.103430363606501</v>
      </c>
      <c r="G3381" s="78">
        <v>12.103430363606501</v>
      </c>
      <c r="H3381" s="81">
        <v>11.640120260370701</v>
      </c>
    </row>
    <row r="3382" spans="1:8" x14ac:dyDescent="0.3">
      <c r="A3382" s="74" t="str">
        <f t="shared" si="52"/>
        <v>云南46225</v>
      </c>
      <c r="B3382" s="75" t="s">
        <v>24</v>
      </c>
      <c r="C3382" s="45">
        <v>46225</v>
      </c>
      <c r="D3382" s="76">
        <v>1782.64583513398</v>
      </c>
      <c r="E3382" s="77">
        <v>125</v>
      </c>
      <c r="F3382" s="78">
        <v>12.103430363606501</v>
      </c>
      <c r="G3382" s="78">
        <v>12.103430363606501</v>
      </c>
      <c r="H3382" s="81">
        <v>11.640120260370701</v>
      </c>
    </row>
    <row r="3383" spans="1:8" x14ac:dyDescent="0.3">
      <c r="A3383" s="74" t="str">
        <f t="shared" si="52"/>
        <v>云南46226</v>
      </c>
      <c r="B3383" s="75" t="s">
        <v>24</v>
      </c>
      <c r="C3383" s="45">
        <v>46226</v>
      </c>
      <c r="D3383" s="76">
        <v>1782.64583513398</v>
      </c>
      <c r="E3383" s="77">
        <v>125</v>
      </c>
      <c r="F3383" s="78">
        <v>12.103430363606501</v>
      </c>
      <c r="G3383" s="78">
        <v>12.103430363606501</v>
      </c>
      <c r="H3383" s="81">
        <v>11.640120260370701</v>
      </c>
    </row>
    <row r="3384" spans="1:8" x14ac:dyDescent="0.3">
      <c r="A3384" s="74" t="str">
        <f t="shared" si="52"/>
        <v>云南46227</v>
      </c>
      <c r="B3384" s="75" t="s">
        <v>24</v>
      </c>
      <c r="C3384" s="45">
        <v>46227</v>
      </c>
      <c r="D3384" s="76">
        <v>1782.64583513398</v>
      </c>
      <c r="E3384" s="77">
        <v>125</v>
      </c>
      <c r="F3384" s="78">
        <v>12.103430363606501</v>
      </c>
      <c r="G3384" s="78">
        <v>12.103430363606501</v>
      </c>
      <c r="H3384" s="81">
        <v>11.640120260370701</v>
      </c>
    </row>
    <row r="3385" spans="1:8" x14ac:dyDescent="0.3">
      <c r="A3385" s="74" t="str">
        <f t="shared" si="52"/>
        <v>云南46228</v>
      </c>
      <c r="B3385" s="75" t="s">
        <v>24</v>
      </c>
      <c r="C3385" s="45">
        <v>46228</v>
      </c>
      <c r="D3385" s="76">
        <v>1782.64583513398</v>
      </c>
      <c r="E3385" s="77">
        <v>125</v>
      </c>
      <c r="F3385" s="78">
        <v>12.103430363606501</v>
      </c>
      <c r="G3385" s="78">
        <v>12.103430363606501</v>
      </c>
      <c r="H3385" s="81">
        <v>11.640120260370701</v>
      </c>
    </row>
    <row r="3386" spans="1:8" x14ac:dyDescent="0.3">
      <c r="A3386" s="74" t="str">
        <f t="shared" si="52"/>
        <v>云南46229</v>
      </c>
      <c r="B3386" s="75" t="s">
        <v>24</v>
      </c>
      <c r="C3386" s="45">
        <v>46229</v>
      </c>
      <c r="D3386" s="76">
        <v>1782.64583513398</v>
      </c>
      <c r="E3386" s="77">
        <v>125</v>
      </c>
      <c r="F3386" s="78">
        <v>12.103430363606501</v>
      </c>
      <c r="G3386" s="78">
        <v>12.103430363606501</v>
      </c>
      <c r="H3386" s="81">
        <v>11.640120260370701</v>
      </c>
    </row>
    <row r="3387" spans="1:8" x14ac:dyDescent="0.3">
      <c r="A3387" s="74" t="str">
        <f t="shared" si="52"/>
        <v>云南46230</v>
      </c>
      <c r="B3387" s="75" t="s">
        <v>24</v>
      </c>
      <c r="C3387" s="45">
        <v>46230</v>
      </c>
      <c r="D3387" s="76">
        <v>1782.64583513398</v>
      </c>
      <c r="E3387" s="77">
        <v>125</v>
      </c>
      <c r="F3387" s="78">
        <v>12.103430363606501</v>
      </c>
      <c r="G3387" s="78">
        <v>12.103430363606501</v>
      </c>
      <c r="H3387" s="81">
        <v>11.640120260370701</v>
      </c>
    </row>
    <row r="3388" spans="1:8" x14ac:dyDescent="0.3">
      <c r="A3388" s="74" t="str">
        <f t="shared" si="52"/>
        <v>云南46231</v>
      </c>
      <c r="B3388" s="75" t="s">
        <v>24</v>
      </c>
      <c r="C3388" s="45">
        <v>46231</v>
      </c>
      <c r="D3388" s="76">
        <v>1782.64583513398</v>
      </c>
      <c r="E3388" s="77">
        <v>125</v>
      </c>
      <c r="F3388" s="78">
        <v>12.103430363606501</v>
      </c>
      <c r="G3388" s="78">
        <v>12.103430363606501</v>
      </c>
      <c r="H3388" s="81">
        <v>11.640120260370701</v>
      </c>
    </row>
    <row r="3389" spans="1:8" x14ac:dyDescent="0.3">
      <c r="A3389" s="74" t="str">
        <f t="shared" si="52"/>
        <v>云南46232</v>
      </c>
      <c r="B3389" s="75" t="s">
        <v>24</v>
      </c>
      <c r="C3389" s="45">
        <v>46232</v>
      </c>
      <c r="D3389" s="76">
        <v>1782.64583513398</v>
      </c>
      <c r="E3389" s="77">
        <v>125</v>
      </c>
      <c r="F3389" s="78">
        <v>12.103430363606501</v>
      </c>
      <c r="G3389" s="78">
        <v>12.103430363606501</v>
      </c>
      <c r="H3389" s="81">
        <v>11.640120260370701</v>
      </c>
    </row>
    <row r="3390" spans="1:8" x14ac:dyDescent="0.3">
      <c r="A3390" s="74" t="str">
        <f t="shared" si="52"/>
        <v>云南46233</v>
      </c>
      <c r="B3390" s="75" t="s">
        <v>24</v>
      </c>
      <c r="C3390" s="45">
        <v>46233</v>
      </c>
      <c r="D3390" s="76">
        <v>1782.64583513398</v>
      </c>
      <c r="E3390" s="77">
        <v>125</v>
      </c>
      <c r="F3390" s="78">
        <v>12.103430363606501</v>
      </c>
      <c r="G3390" s="78">
        <v>12.103430363606501</v>
      </c>
      <c r="H3390" s="81">
        <v>11.640120260370701</v>
      </c>
    </row>
    <row r="3391" spans="1:8" x14ac:dyDescent="0.3">
      <c r="A3391" s="74" t="str">
        <f t="shared" si="52"/>
        <v>云南46234</v>
      </c>
      <c r="B3391" s="75" t="s">
        <v>24</v>
      </c>
      <c r="C3391" s="45">
        <v>46234</v>
      </c>
      <c r="D3391" s="76">
        <v>1782.64583513398</v>
      </c>
      <c r="E3391" s="77">
        <v>125</v>
      </c>
      <c r="F3391" s="78">
        <v>12.103430363606501</v>
      </c>
      <c r="G3391" s="78">
        <v>12.103430363606501</v>
      </c>
      <c r="H3391" s="81">
        <v>11.640120260370701</v>
      </c>
    </row>
    <row r="3392" spans="1:8" x14ac:dyDescent="0.3">
      <c r="A3392" s="74" t="str">
        <f t="shared" si="52"/>
        <v>云南46235</v>
      </c>
      <c r="B3392" s="75" t="s">
        <v>24</v>
      </c>
      <c r="C3392" s="45">
        <v>46235</v>
      </c>
      <c r="D3392" s="76">
        <v>1865.6888384446099</v>
      </c>
      <c r="E3392" s="77">
        <v>125</v>
      </c>
      <c r="F3392" s="78">
        <v>12.2105559777557</v>
      </c>
      <c r="G3392" s="78">
        <v>12.2105559777557</v>
      </c>
      <c r="H3392" s="81">
        <v>12.1814035580064</v>
      </c>
    </row>
    <row r="3393" spans="1:8" x14ac:dyDescent="0.3">
      <c r="A3393" s="74" t="str">
        <f t="shared" si="52"/>
        <v>云南46236</v>
      </c>
      <c r="B3393" s="75" t="s">
        <v>24</v>
      </c>
      <c r="C3393" s="45">
        <v>46236</v>
      </c>
      <c r="D3393" s="76">
        <v>1865.6888384446099</v>
      </c>
      <c r="E3393" s="77">
        <v>125</v>
      </c>
      <c r="F3393" s="78">
        <v>12.2105559777557</v>
      </c>
      <c r="G3393" s="78">
        <v>12.2105559777557</v>
      </c>
      <c r="H3393" s="81">
        <v>12.1814035580064</v>
      </c>
    </row>
    <row r="3394" spans="1:8" x14ac:dyDescent="0.3">
      <c r="A3394" s="74" t="str">
        <f t="shared" si="52"/>
        <v>云南46237</v>
      </c>
      <c r="B3394" s="75" t="s">
        <v>24</v>
      </c>
      <c r="C3394" s="45">
        <v>46237</v>
      </c>
      <c r="D3394" s="76">
        <v>1865.6888384446099</v>
      </c>
      <c r="E3394" s="77">
        <v>125</v>
      </c>
      <c r="F3394" s="78">
        <v>12.2105559777557</v>
      </c>
      <c r="G3394" s="78">
        <v>12.2105559777557</v>
      </c>
      <c r="H3394" s="81">
        <v>12.1814035580064</v>
      </c>
    </row>
    <row r="3395" spans="1:8" x14ac:dyDescent="0.3">
      <c r="A3395" s="74" t="str">
        <f t="shared" ref="A3395:A3458" si="53">B3395&amp;C3395</f>
        <v>云南46238</v>
      </c>
      <c r="B3395" s="75" t="s">
        <v>24</v>
      </c>
      <c r="C3395" s="45">
        <v>46238</v>
      </c>
      <c r="D3395" s="76">
        <v>1865.6888384446099</v>
      </c>
      <c r="E3395" s="77">
        <v>125</v>
      </c>
      <c r="F3395" s="78">
        <v>12.2105559777557</v>
      </c>
      <c r="G3395" s="78">
        <v>12.2105559777557</v>
      </c>
      <c r="H3395" s="81">
        <v>12.1814035580064</v>
      </c>
    </row>
    <row r="3396" spans="1:8" x14ac:dyDescent="0.3">
      <c r="A3396" s="74" t="str">
        <f t="shared" si="53"/>
        <v>云南46239</v>
      </c>
      <c r="B3396" s="75" t="s">
        <v>24</v>
      </c>
      <c r="C3396" s="45">
        <v>46239</v>
      </c>
      <c r="D3396" s="76">
        <v>1865.6888384446099</v>
      </c>
      <c r="E3396" s="77">
        <v>125</v>
      </c>
      <c r="F3396" s="78">
        <v>12.2105559777557</v>
      </c>
      <c r="G3396" s="78">
        <v>12.2105559777557</v>
      </c>
      <c r="H3396" s="81">
        <v>12.1814035580064</v>
      </c>
    </row>
    <row r="3397" spans="1:8" x14ac:dyDescent="0.3">
      <c r="A3397" s="74" t="str">
        <f t="shared" si="53"/>
        <v>云南46240</v>
      </c>
      <c r="B3397" s="75" t="s">
        <v>24</v>
      </c>
      <c r="C3397" s="45">
        <v>46240</v>
      </c>
      <c r="D3397" s="76">
        <v>1865.6888384446099</v>
      </c>
      <c r="E3397" s="77">
        <v>125</v>
      </c>
      <c r="F3397" s="78">
        <v>12.2105559777557</v>
      </c>
      <c r="G3397" s="78">
        <v>12.2105559777557</v>
      </c>
      <c r="H3397" s="81">
        <v>12.1814035580064</v>
      </c>
    </row>
    <row r="3398" spans="1:8" x14ac:dyDescent="0.3">
      <c r="A3398" s="74" t="str">
        <f t="shared" si="53"/>
        <v>云南46241</v>
      </c>
      <c r="B3398" s="75" t="s">
        <v>24</v>
      </c>
      <c r="C3398" s="45">
        <v>46241</v>
      </c>
      <c r="D3398" s="76">
        <v>1865.6888384446099</v>
      </c>
      <c r="E3398" s="77">
        <v>125</v>
      </c>
      <c r="F3398" s="78">
        <v>12.2105559777557</v>
      </c>
      <c r="G3398" s="78">
        <v>12.2105559777557</v>
      </c>
      <c r="H3398" s="81">
        <v>12.1814035580064</v>
      </c>
    </row>
    <row r="3399" spans="1:8" x14ac:dyDescent="0.3">
      <c r="A3399" s="74" t="str">
        <f t="shared" si="53"/>
        <v>云南46242</v>
      </c>
      <c r="B3399" s="75" t="s">
        <v>24</v>
      </c>
      <c r="C3399" s="45">
        <v>46242</v>
      </c>
      <c r="D3399" s="76">
        <v>1865.6888384446099</v>
      </c>
      <c r="E3399" s="77">
        <v>125</v>
      </c>
      <c r="F3399" s="78">
        <v>12.2105559777557</v>
      </c>
      <c r="G3399" s="78">
        <v>12.2105559777557</v>
      </c>
      <c r="H3399" s="81">
        <v>12.1814035580064</v>
      </c>
    </row>
    <row r="3400" spans="1:8" x14ac:dyDescent="0.3">
      <c r="A3400" s="74" t="str">
        <f t="shared" si="53"/>
        <v>云南46243</v>
      </c>
      <c r="B3400" s="75" t="s">
        <v>24</v>
      </c>
      <c r="C3400" s="45">
        <v>46243</v>
      </c>
      <c r="D3400" s="76">
        <v>1865.6888384446099</v>
      </c>
      <c r="E3400" s="77">
        <v>125</v>
      </c>
      <c r="F3400" s="78">
        <v>12.2105559777557</v>
      </c>
      <c r="G3400" s="78">
        <v>12.2105559777557</v>
      </c>
      <c r="H3400" s="81">
        <v>12.1814035580064</v>
      </c>
    </row>
    <row r="3401" spans="1:8" x14ac:dyDescent="0.3">
      <c r="A3401" s="74" t="str">
        <f t="shared" si="53"/>
        <v>云南46244</v>
      </c>
      <c r="B3401" s="75" t="s">
        <v>24</v>
      </c>
      <c r="C3401" s="45">
        <v>46244</v>
      </c>
      <c r="D3401" s="76">
        <v>1865.6888384446099</v>
      </c>
      <c r="E3401" s="77">
        <v>125</v>
      </c>
      <c r="F3401" s="78">
        <v>12.2105559777557</v>
      </c>
      <c r="G3401" s="78">
        <v>12.2105559777557</v>
      </c>
      <c r="H3401" s="81">
        <v>12.1814035580064</v>
      </c>
    </row>
    <row r="3402" spans="1:8" x14ac:dyDescent="0.3">
      <c r="A3402" s="74" t="str">
        <f t="shared" si="53"/>
        <v>云南46245</v>
      </c>
      <c r="B3402" s="75" t="s">
        <v>24</v>
      </c>
      <c r="C3402" s="45">
        <v>46245</v>
      </c>
      <c r="D3402" s="76">
        <v>1865.6888384446099</v>
      </c>
      <c r="E3402" s="77">
        <v>125</v>
      </c>
      <c r="F3402" s="78">
        <v>12.2105559777557</v>
      </c>
      <c r="G3402" s="78">
        <v>12.2105559777557</v>
      </c>
      <c r="H3402" s="81">
        <v>12.1814035580064</v>
      </c>
    </row>
    <row r="3403" spans="1:8" x14ac:dyDescent="0.3">
      <c r="A3403" s="74" t="str">
        <f t="shared" si="53"/>
        <v>云南46246</v>
      </c>
      <c r="B3403" s="75" t="s">
        <v>24</v>
      </c>
      <c r="C3403" s="45">
        <v>46246</v>
      </c>
      <c r="D3403" s="76">
        <v>1865.6888384446099</v>
      </c>
      <c r="E3403" s="77">
        <v>125</v>
      </c>
      <c r="F3403" s="78">
        <v>12.2105559777557</v>
      </c>
      <c r="G3403" s="78">
        <v>12.2105559777557</v>
      </c>
      <c r="H3403" s="81">
        <v>12.1814035580064</v>
      </c>
    </row>
    <row r="3404" spans="1:8" x14ac:dyDescent="0.3">
      <c r="A3404" s="74" t="str">
        <f t="shared" si="53"/>
        <v>云南46247</v>
      </c>
      <c r="B3404" s="75" t="s">
        <v>24</v>
      </c>
      <c r="C3404" s="45">
        <v>46247</v>
      </c>
      <c r="D3404" s="76">
        <v>1865.6888384446099</v>
      </c>
      <c r="E3404" s="77">
        <v>125</v>
      </c>
      <c r="F3404" s="78">
        <v>12.2105559777557</v>
      </c>
      <c r="G3404" s="78">
        <v>12.2105559777557</v>
      </c>
      <c r="H3404" s="81">
        <v>12.1814035580064</v>
      </c>
    </row>
    <row r="3405" spans="1:8" x14ac:dyDescent="0.3">
      <c r="A3405" s="74" t="str">
        <f t="shared" si="53"/>
        <v>云南46248</v>
      </c>
      <c r="B3405" s="75" t="s">
        <v>24</v>
      </c>
      <c r="C3405" s="45">
        <v>46248</v>
      </c>
      <c r="D3405" s="76">
        <v>1865.6888384446099</v>
      </c>
      <c r="E3405" s="77">
        <v>125</v>
      </c>
      <c r="F3405" s="78">
        <v>12.2105559777557</v>
      </c>
      <c r="G3405" s="78">
        <v>12.2105559777557</v>
      </c>
      <c r="H3405" s="81">
        <v>12.1814035580064</v>
      </c>
    </row>
    <row r="3406" spans="1:8" x14ac:dyDescent="0.3">
      <c r="A3406" s="74" t="str">
        <f t="shared" si="53"/>
        <v>云南46249</v>
      </c>
      <c r="B3406" s="75" t="s">
        <v>24</v>
      </c>
      <c r="C3406" s="45">
        <v>46249</v>
      </c>
      <c r="D3406" s="76">
        <v>1865.6888384446099</v>
      </c>
      <c r="E3406" s="77">
        <v>125</v>
      </c>
      <c r="F3406" s="78">
        <v>12.2105559777557</v>
      </c>
      <c r="G3406" s="78">
        <v>12.2105559777557</v>
      </c>
      <c r="H3406" s="81">
        <v>12.1814035580064</v>
      </c>
    </row>
    <row r="3407" spans="1:8" x14ac:dyDescent="0.3">
      <c r="A3407" s="74" t="str">
        <f t="shared" si="53"/>
        <v>云南46250</v>
      </c>
      <c r="B3407" s="75" t="s">
        <v>24</v>
      </c>
      <c r="C3407" s="45">
        <v>46250</v>
      </c>
      <c r="D3407" s="76">
        <v>1865.6888384446099</v>
      </c>
      <c r="E3407" s="77">
        <v>125</v>
      </c>
      <c r="F3407" s="78">
        <v>12.2105559777557</v>
      </c>
      <c r="G3407" s="78">
        <v>12.2105559777557</v>
      </c>
      <c r="H3407" s="81">
        <v>12.1814035580064</v>
      </c>
    </row>
    <row r="3408" spans="1:8" x14ac:dyDescent="0.3">
      <c r="A3408" s="74" t="str">
        <f t="shared" si="53"/>
        <v>云南46251</v>
      </c>
      <c r="B3408" s="75" t="s">
        <v>24</v>
      </c>
      <c r="C3408" s="45">
        <v>46251</v>
      </c>
      <c r="D3408" s="76">
        <v>1865.6888384446099</v>
      </c>
      <c r="E3408" s="77">
        <v>125</v>
      </c>
      <c r="F3408" s="78">
        <v>12.2105559777557</v>
      </c>
      <c r="G3408" s="78">
        <v>12.2105559777557</v>
      </c>
      <c r="H3408" s="81">
        <v>12.1814035580064</v>
      </c>
    </row>
    <row r="3409" spans="1:8" x14ac:dyDescent="0.3">
      <c r="A3409" s="74" t="str">
        <f t="shared" si="53"/>
        <v>云南46252</v>
      </c>
      <c r="B3409" s="75" t="s">
        <v>24</v>
      </c>
      <c r="C3409" s="45">
        <v>46252</v>
      </c>
      <c r="D3409" s="76">
        <v>1865.6888384446099</v>
      </c>
      <c r="E3409" s="77">
        <v>125</v>
      </c>
      <c r="F3409" s="78">
        <v>12.2105559777557</v>
      </c>
      <c r="G3409" s="78">
        <v>12.2105559777557</v>
      </c>
      <c r="H3409" s="81">
        <v>12.1814035580064</v>
      </c>
    </row>
    <row r="3410" spans="1:8" x14ac:dyDescent="0.3">
      <c r="A3410" s="74" t="str">
        <f t="shared" si="53"/>
        <v>云南46253</v>
      </c>
      <c r="B3410" s="75" t="s">
        <v>24</v>
      </c>
      <c r="C3410" s="45">
        <v>46253</v>
      </c>
      <c r="D3410" s="76">
        <v>1865.6888384446099</v>
      </c>
      <c r="E3410" s="77">
        <v>125</v>
      </c>
      <c r="F3410" s="78">
        <v>12.2105559777557</v>
      </c>
      <c r="G3410" s="78">
        <v>12.2105559777557</v>
      </c>
      <c r="H3410" s="81">
        <v>12.1814035580064</v>
      </c>
    </row>
    <row r="3411" spans="1:8" x14ac:dyDescent="0.3">
      <c r="A3411" s="74" t="str">
        <f t="shared" si="53"/>
        <v>云南46254</v>
      </c>
      <c r="B3411" s="75" t="s">
        <v>24</v>
      </c>
      <c r="C3411" s="45">
        <v>46254</v>
      </c>
      <c r="D3411" s="76">
        <v>1865.6888384446099</v>
      </c>
      <c r="E3411" s="77">
        <v>125</v>
      </c>
      <c r="F3411" s="78">
        <v>12.2105559777557</v>
      </c>
      <c r="G3411" s="78">
        <v>12.2105559777557</v>
      </c>
      <c r="H3411" s="81">
        <v>12.1814035580064</v>
      </c>
    </row>
    <row r="3412" spans="1:8" x14ac:dyDescent="0.3">
      <c r="A3412" s="74" t="str">
        <f t="shared" si="53"/>
        <v>云南46255</v>
      </c>
      <c r="B3412" s="75" t="s">
        <v>24</v>
      </c>
      <c r="C3412" s="45">
        <v>46255</v>
      </c>
      <c r="D3412" s="76">
        <v>1865.6888384446099</v>
      </c>
      <c r="E3412" s="77">
        <v>125</v>
      </c>
      <c r="F3412" s="78">
        <v>12.2105559777557</v>
      </c>
      <c r="G3412" s="78">
        <v>12.2105559777557</v>
      </c>
      <c r="H3412" s="81">
        <v>12.1814035580064</v>
      </c>
    </row>
    <row r="3413" spans="1:8" x14ac:dyDescent="0.3">
      <c r="A3413" s="74" t="str">
        <f t="shared" si="53"/>
        <v>云南46256</v>
      </c>
      <c r="B3413" s="75" t="s">
        <v>24</v>
      </c>
      <c r="C3413" s="45">
        <v>46256</v>
      </c>
      <c r="D3413" s="76">
        <v>1865.6888384446099</v>
      </c>
      <c r="E3413" s="77">
        <v>125</v>
      </c>
      <c r="F3413" s="78">
        <v>12.2105559777557</v>
      </c>
      <c r="G3413" s="78">
        <v>12.2105559777557</v>
      </c>
      <c r="H3413" s="81">
        <v>12.1814035580064</v>
      </c>
    </row>
    <row r="3414" spans="1:8" x14ac:dyDescent="0.3">
      <c r="A3414" s="74" t="str">
        <f t="shared" si="53"/>
        <v>云南46257</v>
      </c>
      <c r="B3414" s="75" t="s">
        <v>24</v>
      </c>
      <c r="C3414" s="45">
        <v>46257</v>
      </c>
      <c r="D3414" s="76">
        <v>1865.6888384446099</v>
      </c>
      <c r="E3414" s="77">
        <v>125</v>
      </c>
      <c r="F3414" s="78">
        <v>12.2105559777557</v>
      </c>
      <c r="G3414" s="78">
        <v>12.2105559777557</v>
      </c>
      <c r="H3414" s="81">
        <v>12.1814035580064</v>
      </c>
    </row>
    <row r="3415" spans="1:8" x14ac:dyDescent="0.3">
      <c r="A3415" s="74" t="str">
        <f t="shared" si="53"/>
        <v>云南46258</v>
      </c>
      <c r="B3415" s="75" t="s">
        <v>24</v>
      </c>
      <c r="C3415" s="45">
        <v>46258</v>
      </c>
      <c r="D3415" s="76">
        <v>1865.6888384446099</v>
      </c>
      <c r="E3415" s="77">
        <v>125</v>
      </c>
      <c r="F3415" s="78">
        <v>12.2105559777557</v>
      </c>
      <c r="G3415" s="78">
        <v>12.2105559777557</v>
      </c>
      <c r="H3415" s="81">
        <v>12.1814035580064</v>
      </c>
    </row>
    <row r="3416" spans="1:8" x14ac:dyDescent="0.3">
      <c r="A3416" s="74" t="str">
        <f t="shared" si="53"/>
        <v>云南46259</v>
      </c>
      <c r="B3416" s="75" t="s">
        <v>24</v>
      </c>
      <c r="C3416" s="45">
        <v>46259</v>
      </c>
      <c r="D3416" s="76">
        <v>1865.6888384446099</v>
      </c>
      <c r="E3416" s="77">
        <v>125</v>
      </c>
      <c r="F3416" s="78">
        <v>12.2105559777557</v>
      </c>
      <c r="G3416" s="78">
        <v>12.2105559777557</v>
      </c>
      <c r="H3416" s="81">
        <v>12.1814035580064</v>
      </c>
    </row>
    <row r="3417" spans="1:8" x14ac:dyDescent="0.3">
      <c r="A3417" s="74" t="str">
        <f t="shared" si="53"/>
        <v>云南46260</v>
      </c>
      <c r="B3417" s="75" t="s">
        <v>24</v>
      </c>
      <c r="C3417" s="45">
        <v>46260</v>
      </c>
      <c r="D3417" s="76">
        <v>1865.6888384446099</v>
      </c>
      <c r="E3417" s="77">
        <v>125</v>
      </c>
      <c r="F3417" s="78">
        <v>12.2105559777557</v>
      </c>
      <c r="G3417" s="78">
        <v>12.2105559777557</v>
      </c>
      <c r="H3417" s="81">
        <v>12.1814035580064</v>
      </c>
    </row>
    <row r="3418" spans="1:8" x14ac:dyDescent="0.3">
      <c r="A3418" s="74" t="str">
        <f t="shared" si="53"/>
        <v>云南46261</v>
      </c>
      <c r="B3418" s="75" t="s">
        <v>24</v>
      </c>
      <c r="C3418" s="45">
        <v>46261</v>
      </c>
      <c r="D3418" s="76">
        <v>1865.6888384446099</v>
      </c>
      <c r="E3418" s="77">
        <v>125</v>
      </c>
      <c r="F3418" s="78">
        <v>12.2105559777557</v>
      </c>
      <c r="G3418" s="78">
        <v>12.2105559777557</v>
      </c>
      <c r="H3418" s="81">
        <v>12.1814035580064</v>
      </c>
    </row>
    <row r="3419" spans="1:8" x14ac:dyDescent="0.3">
      <c r="A3419" s="74" t="str">
        <f t="shared" si="53"/>
        <v>云南46262</v>
      </c>
      <c r="B3419" s="75" t="s">
        <v>24</v>
      </c>
      <c r="C3419" s="45">
        <v>46262</v>
      </c>
      <c r="D3419" s="76">
        <v>1865.6888384446099</v>
      </c>
      <c r="E3419" s="77">
        <v>125</v>
      </c>
      <c r="F3419" s="78">
        <v>12.2105559777557</v>
      </c>
      <c r="G3419" s="78">
        <v>12.2105559777557</v>
      </c>
      <c r="H3419" s="81">
        <v>12.1814035580064</v>
      </c>
    </row>
    <row r="3420" spans="1:8" x14ac:dyDescent="0.3">
      <c r="A3420" s="74" t="str">
        <f t="shared" si="53"/>
        <v>云南46263</v>
      </c>
      <c r="B3420" s="75" t="s">
        <v>24</v>
      </c>
      <c r="C3420" s="45">
        <v>46263</v>
      </c>
      <c r="D3420" s="76">
        <v>1865.6888384446099</v>
      </c>
      <c r="E3420" s="77">
        <v>125</v>
      </c>
      <c r="F3420" s="78">
        <v>12.2105559777557</v>
      </c>
      <c r="G3420" s="78">
        <v>12.2105559777557</v>
      </c>
      <c r="H3420" s="81">
        <v>12.1814035580064</v>
      </c>
    </row>
    <row r="3421" spans="1:8" x14ac:dyDescent="0.3">
      <c r="A3421" s="74" t="str">
        <f t="shared" si="53"/>
        <v>云南46264</v>
      </c>
      <c r="B3421" s="75" t="s">
        <v>24</v>
      </c>
      <c r="C3421" s="45">
        <v>46264</v>
      </c>
      <c r="D3421" s="76">
        <v>1865.6888384446099</v>
      </c>
      <c r="E3421" s="77">
        <v>125</v>
      </c>
      <c r="F3421" s="78">
        <v>12.2105559777557</v>
      </c>
      <c r="G3421" s="78">
        <v>12.2105559777557</v>
      </c>
      <c r="H3421" s="81">
        <v>12.1814035580064</v>
      </c>
    </row>
    <row r="3422" spans="1:8" x14ac:dyDescent="0.3">
      <c r="A3422" s="74" t="str">
        <f t="shared" si="53"/>
        <v>云南46265</v>
      </c>
      <c r="B3422" s="75" t="s">
        <v>24</v>
      </c>
      <c r="C3422" s="45">
        <v>46265</v>
      </c>
      <c r="D3422" s="76">
        <v>1865.6888384446099</v>
      </c>
      <c r="E3422" s="77">
        <v>125</v>
      </c>
      <c r="F3422" s="78">
        <v>12.2105559777557</v>
      </c>
      <c r="G3422" s="78">
        <v>12.2105559777557</v>
      </c>
      <c r="H3422" s="81">
        <v>12.1814035580064</v>
      </c>
    </row>
    <row r="3423" spans="1:8" x14ac:dyDescent="0.3">
      <c r="A3423" s="74" t="str">
        <f t="shared" si="53"/>
        <v>云南46266</v>
      </c>
      <c r="B3423" s="75" t="s">
        <v>24</v>
      </c>
      <c r="C3423" s="45">
        <v>46266</v>
      </c>
      <c r="D3423" s="76">
        <v>1625.5212678430701</v>
      </c>
      <c r="E3423" s="77">
        <v>125</v>
      </c>
      <c r="F3423" s="78">
        <v>12.5005313024479</v>
      </c>
      <c r="G3423" s="78">
        <v>12.5005313024479</v>
      </c>
      <c r="H3423" s="81">
        <v>12.722686855641999</v>
      </c>
    </row>
    <row r="3424" spans="1:8" x14ac:dyDescent="0.3">
      <c r="A3424" s="74" t="str">
        <f t="shared" si="53"/>
        <v>云南46267</v>
      </c>
      <c r="B3424" s="75" t="s">
        <v>24</v>
      </c>
      <c r="C3424" s="45">
        <v>46267</v>
      </c>
      <c r="D3424" s="76">
        <v>1625.5212678430701</v>
      </c>
      <c r="E3424" s="77">
        <v>125</v>
      </c>
      <c r="F3424" s="78">
        <v>12.5005313024479</v>
      </c>
      <c r="G3424" s="78">
        <v>12.5005313024479</v>
      </c>
      <c r="H3424" s="81">
        <v>12.722686855641999</v>
      </c>
    </row>
    <row r="3425" spans="1:8" x14ac:dyDescent="0.3">
      <c r="A3425" s="74" t="str">
        <f t="shared" si="53"/>
        <v>云南46268</v>
      </c>
      <c r="B3425" s="75" t="s">
        <v>24</v>
      </c>
      <c r="C3425" s="45">
        <v>46268</v>
      </c>
      <c r="D3425" s="76">
        <v>1625.5212678430701</v>
      </c>
      <c r="E3425" s="77">
        <v>125</v>
      </c>
      <c r="F3425" s="78">
        <v>12.5005313024479</v>
      </c>
      <c r="G3425" s="78">
        <v>12.5005313024479</v>
      </c>
      <c r="H3425" s="81">
        <v>12.722686855641999</v>
      </c>
    </row>
    <row r="3426" spans="1:8" x14ac:dyDescent="0.3">
      <c r="A3426" s="74" t="str">
        <f t="shared" si="53"/>
        <v>云南46269</v>
      </c>
      <c r="B3426" s="75" t="s">
        <v>24</v>
      </c>
      <c r="C3426" s="45">
        <v>46269</v>
      </c>
      <c r="D3426" s="76">
        <v>1625.5212678430701</v>
      </c>
      <c r="E3426" s="77">
        <v>125</v>
      </c>
      <c r="F3426" s="78">
        <v>12.5005313024479</v>
      </c>
      <c r="G3426" s="78">
        <v>12.5005313024479</v>
      </c>
      <c r="H3426" s="81">
        <v>12.722686855641999</v>
      </c>
    </row>
    <row r="3427" spans="1:8" x14ac:dyDescent="0.3">
      <c r="A3427" s="74" t="str">
        <f t="shared" si="53"/>
        <v>云南46270</v>
      </c>
      <c r="B3427" s="75" t="s">
        <v>24</v>
      </c>
      <c r="C3427" s="45">
        <v>46270</v>
      </c>
      <c r="D3427" s="76">
        <v>1625.5212678430701</v>
      </c>
      <c r="E3427" s="77">
        <v>125</v>
      </c>
      <c r="F3427" s="78">
        <v>12.5005313024479</v>
      </c>
      <c r="G3427" s="78">
        <v>12.5005313024479</v>
      </c>
      <c r="H3427" s="81">
        <v>12.722686855641999</v>
      </c>
    </row>
    <row r="3428" spans="1:8" x14ac:dyDescent="0.3">
      <c r="A3428" s="74" t="str">
        <f t="shared" si="53"/>
        <v>云南46271</v>
      </c>
      <c r="B3428" s="75" t="s">
        <v>24</v>
      </c>
      <c r="C3428" s="45">
        <v>46271</v>
      </c>
      <c r="D3428" s="76">
        <v>1625.5212678430701</v>
      </c>
      <c r="E3428" s="77">
        <v>125</v>
      </c>
      <c r="F3428" s="78">
        <v>12.5005313024479</v>
      </c>
      <c r="G3428" s="78">
        <v>12.5005313024479</v>
      </c>
      <c r="H3428" s="81">
        <v>12.722686855641999</v>
      </c>
    </row>
    <row r="3429" spans="1:8" x14ac:dyDescent="0.3">
      <c r="A3429" s="74" t="str">
        <f t="shared" si="53"/>
        <v>云南46272</v>
      </c>
      <c r="B3429" s="75" t="s">
        <v>24</v>
      </c>
      <c r="C3429" s="45">
        <v>46272</v>
      </c>
      <c r="D3429" s="76">
        <v>1625.5212678430701</v>
      </c>
      <c r="E3429" s="77">
        <v>125</v>
      </c>
      <c r="F3429" s="78">
        <v>12.5005313024479</v>
      </c>
      <c r="G3429" s="78">
        <v>12.5005313024479</v>
      </c>
      <c r="H3429" s="81">
        <v>12.722686855641999</v>
      </c>
    </row>
    <row r="3430" spans="1:8" x14ac:dyDescent="0.3">
      <c r="A3430" s="74" t="str">
        <f t="shared" si="53"/>
        <v>云南46273</v>
      </c>
      <c r="B3430" s="75" t="s">
        <v>24</v>
      </c>
      <c r="C3430" s="45">
        <v>46273</v>
      </c>
      <c r="D3430" s="76">
        <v>1625.5212678430701</v>
      </c>
      <c r="E3430" s="77">
        <v>125</v>
      </c>
      <c r="F3430" s="78">
        <v>12.5005313024479</v>
      </c>
      <c r="G3430" s="78">
        <v>12.5005313024479</v>
      </c>
      <c r="H3430" s="81">
        <v>12.722686855641999</v>
      </c>
    </row>
    <row r="3431" spans="1:8" x14ac:dyDescent="0.3">
      <c r="A3431" s="74" t="str">
        <f t="shared" si="53"/>
        <v>云南46274</v>
      </c>
      <c r="B3431" s="75" t="s">
        <v>24</v>
      </c>
      <c r="C3431" s="45">
        <v>46274</v>
      </c>
      <c r="D3431" s="76">
        <v>1625.5212678430701</v>
      </c>
      <c r="E3431" s="77">
        <v>125</v>
      </c>
      <c r="F3431" s="78">
        <v>12.5005313024479</v>
      </c>
      <c r="G3431" s="78">
        <v>12.5005313024479</v>
      </c>
      <c r="H3431" s="81">
        <v>12.722686855641999</v>
      </c>
    </row>
    <row r="3432" spans="1:8" x14ac:dyDescent="0.3">
      <c r="A3432" s="74" t="str">
        <f t="shared" si="53"/>
        <v>云南46275</v>
      </c>
      <c r="B3432" s="75" t="s">
        <v>24</v>
      </c>
      <c r="C3432" s="45">
        <v>46275</v>
      </c>
      <c r="D3432" s="76">
        <v>1625.5212678430701</v>
      </c>
      <c r="E3432" s="77">
        <v>125</v>
      </c>
      <c r="F3432" s="78">
        <v>12.5005313024479</v>
      </c>
      <c r="G3432" s="78">
        <v>12.5005313024479</v>
      </c>
      <c r="H3432" s="81">
        <v>12.722686855641999</v>
      </c>
    </row>
    <row r="3433" spans="1:8" x14ac:dyDescent="0.3">
      <c r="A3433" s="74" t="str">
        <f t="shared" si="53"/>
        <v>云南46276</v>
      </c>
      <c r="B3433" s="75" t="s">
        <v>24</v>
      </c>
      <c r="C3433" s="45">
        <v>46276</v>
      </c>
      <c r="D3433" s="76">
        <v>1625.5212678430701</v>
      </c>
      <c r="E3433" s="77">
        <v>125</v>
      </c>
      <c r="F3433" s="78">
        <v>12.5005313024479</v>
      </c>
      <c r="G3433" s="78">
        <v>12.5005313024479</v>
      </c>
      <c r="H3433" s="81">
        <v>12.722686855641999</v>
      </c>
    </row>
    <row r="3434" spans="1:8" x14ac:dyDescent="0.3">
      <c r="A3434" s="74" t="str">
        <f t="shared" si="53"/>
        <v>云南46277</v>
      </c>
      <c r="B3434" s="75" t="s">
        <v>24</v>
      </c>
      <c r="C3434" s="45">
        <v>46277</v>
      </c>
      <c r="D3434" s="76">
        <v>1625.5212678430701</v>
      </c>
      <c r="E3434" s="77">
        <v>125</v>
      </c>
      <c r="F3434" s="78">
        <v>12.5005313024479</v>
      </c>
      <c r="G3434" s="78">
        <v>12.5005313024479</v>
      </c>
      <c r="H3434" s="81">
        <v>12.722686855641999</v>
      </c>
    </row>
    <row r="3435" spans="1:8" x14ac:dyDescent="0.3">
      <c r="A3435" s="74" t="str">
        <f t="shared" si="53"/>
        <v>云南46278</v>
      </c>
      <c r="B3435" s="75" t="s">
        <v>24</v>
      </c>
      <c r="C3435" s="45">
        <v>46278</v>
      </c>
      <c r="D3435" s="76">
        <v>1625.5212678430701</v>
      </c>
      <c r="E3435" s="77">
        <v>125</v>
      </c>
      <c r="F3435" s="78">
        <v>12.5005313024479</v>
      </c>
      <c r="G3435" s="78">
        <v>12.5005313024479</v>
      </c>
      <c r="H3435" s="81">
        <v>12.722686855641999</v>
      </c>
    </row>
    <row r="3436" spans="1:8" x14ac:dyDescent="0.3">
      <c r="A3436" s="74" t="str">
        <f t="shared" si="53"/>
        <v>云南46279</v>
      </c>
      <c r="B3436" s="75" t="s">
        <v>24</v>
      </c>
      <c r="C3436" s="45">
        <v>46279</v>
      </c>
      <c r="D3436" s="76">
        <v>1625.5212678430701</v>
      </c>
      <c r="E3436" s="77">
        <v>125</v>
      </c>
      <c r="F3436" s="78">
        <v>12.5005313024479</v>
      </c>
      <c r="G3436" s="78">
        <v>12.5005313024479</v>
      </c>
      <c r="H3436" s="81">
        <v>12.722686855641999</v>
      </c>
    </row>
    <row r="3437" spans="1:8" x14ac:dyDescent="0.3">
      <c r="A3437" s="74" t="str">
        <f t="shared" si="53"/>
        <v>云南46280</v>
      </c>
      <c r="B3437" s="75" t="s">
        <v>24</v>
      </c>
      <c r="C3437" s="45">
        <v>46280</v>
      </c>
      <c r="D3437" s="76">
        <v>1625.5212678430701</v>
      </c>
      <c r="E3437" s="77">
        <v>125</v>
      </c>
      <c r="F3437" s="78">
        <v>12.5005313024479</v>
      </c>
      <c r="G3437" s="78">
        <v>12.5005313024479</v>
      </c>
      <c r="H3437" s="81">
        <v>12.722686855641999</v>
      </c>
    </row>
    <row r="3438" spans="1:8" x14ac:dyDescent="0.3">
      <c r="A3438" s="74" t="str">
        <f t="shared" si="53"/>
        <v>云南46281</v>
      </c>
      <c r="B3438" s="75" t="s">
        <v>24</v>
      </c>
      <c r="C3438" s="45">
        <v>46281</v>
      </c>
      <c r="D3438" s="76">
        <v>1625.5212678430701</v>
      </c>
      <c r="E3438" s="77">
        <v>125</v>
      </c>
      <c r="F3438" s="78">
        <v>12.5005313024479</v>
      </c>
      <c r="G3438" s="78">
        <v>12.5005313024479</v>
      </c>
      <c r="H3438" s="81">
        <v>12.722686855641999</v>
      </c>
    </row>
    <row r="3439" spans="1:8" x14ac:dyDescent="0.3">
      <c r="A3439" s="74" t="str">
        <f t="shared" si="53"/>
        <v>云南46282</v>
      </c>
      <c r="B3439" s="75" t="s">
        <v>24</v>
      </c>
      <c r="C3439" s="45">
        <v>46282</v>
      </c>
      <c r="D3439" s="76">
        <v>1625.5212678430701</v>
      </c>
      <c r="E3439" s="77">
        <v>125</v>
      </c>
      <c r="F3439" s="78">
        <v>12.5005313024479</v>
      </c>
      <c r="G3439" s="78">
        <v>12.5005313024479</v>
      </c>
      <c r="H3439" s="81">
        <v>12.722686855641999</v>
      </c>
    </row>
    <row r="3440" spans="1:8" x14ac:dyDescent="0.3">
      <c r="A3440" s="74" t="str">
        <f t="shared" si="53"/>
        <v>云南46283</v>
      </c>
      <c r="B3440" s="75" t="s">
        <v>24</v>
      </c>
      <c r="C3440" s="45">
        <v>46283</v>
      </c>
      <c r="D3440" s="76">
        <v>1625.5212678430701</v>
      </c>
      <c r="E3440" s="77">
        <v>125</v>
      </c>
      <c r="F3440" s="78">
        <v>12.5005313024479</v>
      </c>
      <c r="G3440" s="78">
        <v>12.5005313024479</v>
      </c>
      <c r="H3440" s="81">
        <v>12.722686855641999</v>
      </c>
    </row>
    <row r="3441" spans="1:8" x14ac:dyDescent="0.3">
      <c r="A3441" s="74" t="str">
        <f t="shared" si="53"/>
        <v>云南46284</v>
      </c>
      <c r="B3441" s="75" t="s">
        <v>24</v>
      </c>
      <c r="C3441" s="45">
        <v>46284</v>
      </c>
      <c r="D3441" s="76">
        <v>1625.5212678430701</v>
      </c>
      <c r="E3441" s="77">
        <v>125</v>
      </c>
      <c r="F3441" s="78">
        <v>12.5005313024479</v>
      </c>
      <c r="G3441" s="78">
        <v>12.5005313024479</v>
      </c>
      <c r="H3441" s="81">
        <v>12.722686855641999</v>
      </c>
    </row>
    <row r="3442" spans="1:8" x14ac:dyDescent="0.3">
      <c r="A3442" s="74" t="str">
        <f t="shared" si="53"/>
        <v>云南46285</v>
      </c>
      <c r="B3442" s="75" t="s">
        <v>24</v>
      </c>
      <c r="C3442" s="45">
        <v>46285</v>
      </c>
      <c r="D3442" s="76">
        <v>1625.5212678430701</v>
      </c>
      <c r="E3442" s="77">
        <v>125</v>
      </c>
      <c r="F3442" s="78">
        <v>12.5005313024479</v>
      </c>
      <c r="G3442" s="78">
        <v>12.5005313024479</v>
      </c>
      <c r="H3442" s="81">
        <v>12.722686855641999</v>
      </c>
    </row>
    <row r="3443" spans="1:8" x14ac:dyDescent="0.3">
      <c r="A3443" s="74" t="str">
        <f t="shared" si="53"/>
        <v>云南46286</v>
      </c>
      <c r="B3443" s="75" t="s">
        <v>24</v>
      </c>
      <c r="C3443" s="45">
        <v>46286</v>
      </c>
      <c r="D3443" s="76">
        <v>1625.5212678430701</v>
      </c>
      <c r="E3443" s="77">
        <v>125</v>
      </c>
      <c r="F3443" s="78">
        <v>12.5005313024479</v>
      </c>
      <c r="G3443" s="78">
        <v>12.5005313024479</v>
      </c>
      <c r="H3443" s="81">
        <v>12.722686855641999</v>
      </c>
    </row>
    <row r="3444" spans="1:8" x14ac:dyDescent="0.3">
      <c r="A3444" s="74" t="str">
        <f t="shared" si="53"/>
        <v>云南46287</v>
      </c>
      <c r="B3444" s="75" t="s">
        <v>24</v>
      </c>
      <c r="C3444" s="45">
        <v>46287</v>
      </c>
      <c r="D3444" s="76">
        <v>1625.5212678430701</v>
      </c>
      <c r="E3444" s="77">
        <v>125</v>
      </c>
      <c r="F3444" s="78">
        <v>12.5005313024479</v>
      </c>
      <c r="G3444" s="78">
        <v>12.5005313024479</v>
      </c>
      <c r="H3444" s="81">
        <v>12.722686855641999</v>
      </c>
    </row>
    <row r="3445" spans="1:8" x14ac:dyDescent="0.3">
      <c r="A3445" s="74" t="str">
        <f t="shared" si="53"/>
        <v>云南46288</v>
      </c>
      <c r="B3445" s="75" t="s">
        <v>24</v>
      </c>
      <c r="C3445" s="45">
        <v>46288</v>
      </c>
      <c r="D3445" s="76">
        <v>1625.5212678430701</v>
      </c>
      <c r="E3445" s="77">
        <v>125</v>
      </c>
      <c r="F3445" s="78">
        <v>12.5005313024479</v>
      </c>
      <c r="G3445" s="78">
        <v>12.5005313024479</v>
      </c>
      <c r="H3445" s="81">
        <v>12.722686855641999</v>
      </c>
    </row>
    <row r="3446" spans="1:8" x14ac:dyDescent="0.3">
      <c r="A3446" s="74" t="str">
        <f t="shared" si="53"/>
        <v>云南46289</v>
      </c>
      <c r="B3446" s="75" t="s">
        <v>24</v>
      </c>
      <c r="C3446" s="45">
        <v>46289</v>
      </c>
      <c r="D3446" s="76">
        <v>1625.5212678430701</v>
      </c>
      <c r="E3446" s="77">
        <v>125</v>
      </c>
      <c r="F3446" s="78">
        <v>12.5005313024479</v>
      </c>
      <c r="G3446" s="78">
        <v>12.5005313024479</v>
      </c>
      <c r="H3446" s="81">
        <v>12.722686855641999</v>
      </c>
    </row>
    <row r="3447" spans="1:8" x14ac:dyDescent="0.3">
      <c r="A3447" s="74" t="str">
        <f t="shared" si="53"/>
        <v>云南46290</v>
      </c>
      <c r="B3447" s="75" t="s">
        <v>24</v>
      </c>
      <c r="C3447" s="45">
        <v>46290</v>
      </c>
      <c r="D3447" s="76">
        <v>1625.5212678430701</v>
      </c>
      <c r="E3447" s="77">
        <v>125</v>
      </c>
      <c r="F3447" s="78">
        <v>12.5005313024479</v>
      </c>
      <c r="G3447" s="78">
        <v>12.5005313024479</v>
      </c>
      <c r="H3447" s="81">
        <v>12.722686855641999</v>
      </c>
    </row>
    <row r="3448" spans="1:8" x14ac:dyDescent="0.3">
      <c r="A3448" s="74" t="str">
        <f t="shared" si="53"/>
        <v>云南46291</v>
      </c>
      <c r="B3448" s="75" t="s">
        <v>24</v>
      </c>
      <c r="C3448" s="45">
        <v>46291</v>
      </c>
      <c r="D3448" s="76">
        <v>1625.5212678430701</v>
      </c>
      <c r="E3448" s="77">
        <v>125</v>
      </c>
      <c r="F3448" s="78">
        <v>12.5005313024479</v>
      </c>
      <c r="G3448" s="78">
        <v>12.5005313024479</v>
      </c>
      <c r="H3448" s="81">
        <v>12.722686855641999</v>
      </c>
    </row>
    <row r="3449" spans="1:8" x14ac:dyDescent="0.3">
      <c r="A3449" s="74" t="str">
        <f t="shared" si="53"/>
        <v>云南46292</v>
      </c>
      <c r="B3449" s="75" t="s">
        <v>24</v>
      </c>
      <c r="C3449" s="45">
        <v>46292</v>
      </c>
      <c r="D3449" s="76">
        <v>1625.5212678430701</v>
      </c>
      <c r="E3449" s="77">
        <v>125</v>
      </c>
      <c r="F3449" s="78">
        <v>12.5005313024479</v>
      </c>
      <c r="G3449" s="78">
        <v>12.5005313024479</v>
      </c>
      <c r="H3449" s="81">
        <v>12.722686855641999</v>
      </c>
    </row>
    <row r="3450" spans="1:8" x14ac:dyDescent="0.3">
      <c r="A3450" s="74" t="str">
        <f t="shared" si="53"/>
        <v>云南46293</v>
      </c>
      <c r="B3450" s="75" t="s">
        <v>24</v>
      </c>
      <c r="C3450" s="45">
        <v>46293</v>
      </c>
      <c r="D3450" s="76">
        <v>1625.5212678430701</v>
      </c>
      <c r="E3450" s="77">
        <v>125</v>
      </c>
      <c r="F3450" s="78">
        <v>12.5005313024479</v>
      </c>
      <c r="G3450" s="78">
        <v>12.5005313024479</v>
      </c>
      <c r="H3450" s="81">
        <v>12.722686855641999</v>
      </c>
    </row>
    <row r="3451" spans="1:8" x14ac:dyDescent="0.3">
      <c r="A3451" s="74" t="str">
        <f t="shared" si="53"/>
        <v>云南46294</v>
      </c>
      <c r="B3451" s="75" t="s">
        <v>24</v>
      </c>
      <c r="C3451" s="45">
        <v>46294</v>
      </c>
      <c r="D3451" s="76">
        <v>1625.5212678430701</v>
      </c>
      <c r="E3451" s="77">
        <v>125</v>
      </c>
      <c r="F3451" s="78">
        <v>12.5005313024479</v>
      </c>
      <c r="G3451" s="78">
        <v>12.5005313024479</v>
      </c>
      <c r="H3451" s="81">
        <v>12.722686855641999</v>
      </c>
    </row>
    <row r="3452" spans="1:8" x14ac:dyDescent="0.3">
      <c r="A3452" s="74" t="str">
        <f t="shared" si="53"/>
        <v>云南46295</v>
      </c>
      <c r="B3452" s="75" t="s">
        <v>24</v>
      </c>
      <c r="C3452" s="45">
        <v>46295</v>
      </c>
      <c r="D3452" s="76">
        <v>1625.5212678430701</v>
      </c>
      <c r="E3452" s="77">
        <v>125</v>
      </c>
      <c r="F3452" s="78">
        <v>12.5005313024479</v>
      </c>
      <c r="G3452" s="78">
        <v>12.5005313024479</v>
      </c>
      <c r="H3452" s="81">
        <v>12.722686855641999</v>
      </c>
    </row>
    <row r="3453" spans="1:8" x14ac:dyDescent="0.3">
      <c r="A3453" s="74" t="str">
        <f t="shared" si="53"/>
        <v>云南46296</v>
      </c>
      <c r="B3453" s="75" t="s">
        <v>24</v>
      </c>
      <c r="C3453" s="45">
        <v>46296</v>
      </c>
      <c r="D3453" s="76">
        <v>1693.3330702045801</v>
      </c>
      <c r="E3453" s="77">
        <v>125</v>
      </c>
      <c r="F3453" s="78">
        <v>12.7143862943397</v>
      </c>
      <c r="G3453" s="78">
        <v>12.7143862943397</v>
      </c>
      <c r="H3453" s="81">
        <v>12.7985676917592</v>
      </c>
    </row>
    <row r="3454" spans="1:8" x14ac:dyDescent="0.3">
      <c r="A3454" s="74" t="str">
        <f t="shared" si="53"/>
        <v>云南46297</v>
      </c>
      <c r="B3454" s="75" t="s">
        <v>24</v>
      </c>
      <c r="C3454" s="45">
        <v>46297</v>
      </c>
      <c r="D3454" s="76">
        <v>1693.3330702045801</v>
      </c>
      <c r="E3454" s="77">
        <v>125</v>
      </c>
      <c r="F3454" s="78">
        <v>12.7143862943397</v>
      </c>
      <c r="G3454" s="78">
        <v>12.7143862943397</v>
      </c>
      <c r="H3454" s="81">
        <v>12.7985676917592</v>
      </c>
    </row>
    <row r="3455" spans="1:8" x14ac:dyDescent="0.3">
      <c r="A3455" s="74" t="str">
        <f t="shared" si="53"/>
        <v>云南46298</v>
      </c>
      <c r="B3455" s="75" t="s">
        <v>24</v>
      </c>
      <c r="C3455" s="45">
        <v>46298</v>
      </c>
      <c r="D3455" s="76">
        <v>1693.3330702045801</v>
      </c>
      <c r="E3455" s="77">
        <v>125</v>
      </c>
      <c r="F3455" s="78">
        <v>12.7143862943397</v>
      </c>
      <c r="G3455" s="78">
        <v>12.7143862943397</v>
      </c>
      <c r="H3455" s="81">
        <v>12.7985676917592</v>
      </c>
    </row>
    <row r="3456" spans="1:8" x14ac:dyDescent="0.3">
      <c r="A3456" s="74" t="str">
        <f t="shared" si="53"/>
        <v>云南46299</v>
      </c>
      <c r="B3456" s="75" t="s">
        <v>24</v>
      </c>
      <c r="C3456" s="45">
        <v>46299</v>
      </c>
      <c r="D3456" s="76">
        <v>1693.3330702045801</v>
      </c>
      <c r="E3456" s="77">
        <v>125</v>
      </c>
      <c r="F3456" s="78">
        <v>12.7143862943397</v>
      </c>
      <c r="G3456" s="78">
        <v>12.7143862943397</v>
      </c>
      <c r="H3456" s="81">
        <v>12.7985676917592</v>
      </c>
    </row>
    <row r="3457" spans="1:8" x14ac:dyDescent="0.3">
      <c r="A3457" s="74" t="str">
        <f t="shared" si="53"/>
        <v>云南46300</v>
      </c>
      <c r="B3457" s="75" t="s">
        <v>24</v>
      </c>
      <c r="C3457" s="45">
        <v>46300</v>
      </c>
      <c r="D3457" s="76">
        <v>1693.3330702045801</v>
      </c>
      <c r="E3457" s="77">
        <v>125</v>
      </c>
      <c r="F3457" s="78">
        <v>12.7143862943397</v>
      </c>
      <c r="G3457" s="78">
        <v>12.7143862943397</v>
      </c>
      <c r="H3457" s="81">
        <v>12.7985676917592</v>
      </c>
    </row>
    <row r="3458" spans="1:8" x14ac:dyDescent="0.3">
      <c r="A3458" s="74" t="str">
        <f t="shared" si="53"/>
        <v>云南46301</v>
      </c>
      <c r="B3458" s="75" t="s">
        <v>24</v>
      </c>
      <c r="C3458" s="45">
        <v>46301</v>
      </c>
      <c r="D3458" s="76">
        <v>1693.3330702045801</v>
      </c>
      <c r="E3458" s="77">
        <v>125</v>
      </c>
      <c r="F3458" s="78">
        <v>12.7143862943397</v>
      </c>
      <c r="G3458" s="78">
        <v>12.7143862943397</v>
      </c>
      <c r="H3458" s="81">
        <v>12.7985676917592</v>
      </c>
    </row>
    <row r="3459" spans="1:8" x14ac:dyDescent="0.3">
      <c r="A3459" s="74" t="str">
        <f t="shared" ref="A3459:A3522" si="54">B3459&amp;C3459</f>
        <v>云南46302</v>
      </c>
      <c r="B3459" s="75" t="s">
        <v>24</v>
      </c>
      <c r="C3459" s="45">
        <v>46302</v>
      </c>
      <c r="D3459" s="76">
        <v>1693.3330702045801</v>
      </c>
      <c r="E3459" s="77">
        <v>125</v>
      </c>
      <c r="F3459" s="78">
        <v>12.7143862943397</v>
      </c>
      <c r="G3459" s="78">
        <v>12.7143862943397</v>
      </c>
      <c r="H3459" s="81">
        <v>12.7985676917592</v>
      </c>
    </row>
    <row r="3460" spans="1:8" x14ac:dyDescent="0.3">
      <c r="A3460" s="74" t="str">
        <f t="shared" si="54"/>
        <v>云南46303</v>
      </c>
      <c r="B3460" s="75" t="s">
        <v>24</v>
      </c>
      <c r="C3460" s="45">
        <v>46303</v>
      </c>
      <c r="D3460" s="76">
        <v>1693.3330702045801</v>
      </c>
      <c r="E3460" s="77">
        <v>125</v>
      </c>
      <c r="F3460" s="78">
        <v>12.7143862943397</v>
      </c>
      <c r="G3460" s="78">
        <v>12.7143862943397</v>
      </c>
      <c r="H3460" s="81">
        <v>12.7985676917592</v>
      </c>
    </row>
    <row r="3461" spans="1:8" x14ac:dyDescent="0.3">
      <c r="A3461" s="74" t="str">
        <f t="shared" si="54"/>
        <v>云南46304</v>
      </c>
      <c r="B3461" s="75" t="s">
        <v>24</v>
      </c>
      <c r="C3461" s="45">
        <v>46304</v>
      </c>
      <c r="D3461" s="76">
        <v>1693.3330702045801</v>
      </c>
      <c r="E3461" s="77">
        <v>125</v>
      </c>
      <c r="F3461" s="78">
        <v>12.7143862943397</v>
      </c>
      <c r="G3461" s="78">
        <v>12.7143862943397</v>
      </c>
      <c r="H3461" s="81">
        <v>12.7985676917592</v>
      </c>
    </row>
    <row r="3462" spans="1:8" x14ac:dyDescent="0.3">
      <c r="A3462" s="74" t="str">
        <f t="shared" si="54"/>
        <v>云南46305</v>
      </c>
      <c r="B3462" s="75" t="s">
        <v>24</v>
      </c>
      <c r="C3462" s="45">
        <v>46305</v>
      </c>
      <c r="D3462" s="76">
        <v>1693.3330702045801</v>
      </c>
      <c r="E3462" s="77">
        <v>125</v>
      </c>
      <c r="F3462" s="78">
        <v>12.7143862943397</v>
      </c>
      <c r="G3462" s="78">
        <v>12.7143862943397</v>
      </c>
      <c r="H3462" s="81">
        <v>12.7985676917592</v>
      </c>
    </row>
    <row r="3463" spans="1:8" x14ac:dyDescent="0.3">
      <c r="A3463" s="74" t="str">
        <f t="shared" si="54"/>
        <v>云南46306</v>
      </c>
      <c r="B3463" s="75" t="s">
        <v>24</v>
      </c>
      <c r="C3463" s="45">
        <v>46306</v>
      </c>
      <c r="D3463" s="76">
        <v>1693.3330702045801</v>
      </c>
      <c r="E3463" s="77">
        <v>125</v>
      </c>
      <c r="F3463" s="78">
        <v>12.7143862943397</v>
      </c>
      <c r="G3463" s="78">
        <v>12.7143862943397</v>
      </c>
      <c r="H3463" s="81">
        <v>12.7985676917592</v>
      </c>
    </row>
    <row r="3464" spans="1:8" x14ac:dyDescent="0.3">
      <c r="A3464" s="74" t="str">
        <f t="shared" si="54"/>
        <v>云南46307</v>
      </c>
      <c r="B3464" s="75" t="s">
        <v>24</v>
      </c>
      <c r="C3464" s="45">
        <v>46307</v>
      </c>
      <c r="D3464" s="76">
        <v>1693.3330702045801</v>
      </c>
      <c r="E3464" s="77">
        <v>125</v>
      </c>
      <c r="F3464" s="78">
        <v>12.7143862943397</v>
      </c>
      <c r="G3464" s="78">
        <v>12.7143862943397</v>
      </c>
      <c r="H3464" s="81">
        <v>12.7985676917592</v>
      </c>
    </row>
    <row r="3465" spans="1:8" x14ac:dyDescent="0.3">
      <c r="A3465" s="74" t="str">
        <f t="shared" si="54"/>
        <v>云南46308</v>
      </c>
      <c r="B3465" s="75" t="s">
        <v>24</v>
      </c>
      <c r="C3465" s="45">
        <v>46308</v>
      </c>
      <c r="D3465" s="76">
        <v>1693.3330702045801</v>
      </c>
      <c r="E3465" s="77">
        <v>125</v>
      </c>
      <c r="F3465" s="78">
        <v>12.7143862943397</v>
      </c>
      <c r="G3465" s="78">
        <v>12.7143862943397</v>
      </c>
      <c r="H3465" s="81">
        <v>12.7985676917592</v>
      </c>
    </row>
    <row r="3466" spans="1:8" x14ac:dyDescent="0.3">
      <c r="A3466" s="74" t="str">
        <f t="shared" si="54"/>
        <v>云南46309</v>
      </c>
      <c r="B3466" s="75" t="s">
        <v>24</v>
      </c>
      <c r="C3466" s="45">
        <v>46309</v>
      </c>
      <c r="D3466" s="76">
        <v>1693.3330702045801</v>
      </c>
      <c r="E3466" s="77">
        <v>125</v>
      </c>
      <c r="F3466" s="78">
        <v>12.7143862943397</v>
      </c>
      <c r="G3466" s="78">
        <v>12.7143862943397</v>
      </c>
      <c r="H3466" s="81">
        <v>12.7985676917592</v>
      </c>
    </row>
    <row r="3467" spans="1:8" x14ac:dyDescent="0.3">
      <c r="A3467" s="74" t="str">
        <f t="shared" si="54"/>
        <v>云南46310</v>
      </c>
      <c r="B3467" s="75" t="s">
        <v>24</v>
      </c>
      <c r="C3467" s="45">
        <v>46310</v>
      </c>
      <c r="D3467" s="76">
        <v>1693.3330702045801</v>
      </c>
      <c r="E3467" s="77">
        <v>125</v>
      </c>
      <c r="F3467" s="78">
        <v>12.7143862943397</v>
      </c>
      <c r="G3467" s="78">
        <v>12.7143862943397</v>
      </c>
      <c r="H3467" s="81">
        <v>12.7985676917592</v>
      </c>
    </row>
    <row r="3468" spans="1:8" x14ac:dyDescent="0.3">
      <c r="A3468" s="74" t="str">
        <f t="shared" si="54"/>
        <v>云南46311</v>
      </c>
      <c r="B3468" s="75" t="s">
        <v>24</v>
      </c>
      <c r="C3468" s="45">
        <v>46311</v>
      </c>
      <c r="D3468" s="76">
        <v>1693.3330702045801</v>
      </c>
      <c r="E3468" s="77">
        <v>125</v>
      </c>
      <c r="F3468" s="78">
        <v>12.7143862943397</v>
      </c>
      <c r="G3468" s="78">
        <v>12.7143862943397</v>
      </c>
      <c r="H3468" s="81">
        <v>12.7985676917592</v>
      </c>
    </row>
    <row r="3469" spans="1:8" x14ac:dyDescent="0.3">
      <c r="A3469" s="74" t="str">
        <f t="shared" si="54"/>
        <v>云南46312</v>
      </c>
      <c r="B3469" s="75" t="s">
        <v>24</v>
      </c>
      <c r="C3469" s="45">
        <v>46312</v>
      </c>
      <c r="D3469" s="76">
        <v>1693.3330702045801</v>
      </c>
      <c r="E3469" s="77">
        <v>125</v>
      </c>
      <c r="F3469" s="78">
        <v>12.7143862943397</v>
      </c>
      <c r="G3469" s="78">
        <v>12.7143862943397</v>
      </c>
      <c r="H3469" s="81">
        <v>12.7985676917592</v>
      </c>
    </row>
    <row r="3470" spans="1:8" x14ac:dyDescent="0.3">
      <c r="A3470" s="74" t="str">
        <f t="shared" si="54"/>
        <v>云南46313</v>
      </c>
      <c r="B3470" s="75" t="s">
        <v>24</v>
      </c>
      <c r="C3470" s="45">
        <v>46313</v>
      </c>
      <c r="D3470" s="76">
        <v>1693.3330702045801</v>
      </c>
      <c r="E3470" s="77">
        <v>125</v>
      </c>
      <c r="F3470" s="78">
        <v>12.7143862943397</v>
      </c>
      <c r="G3470" s="78">
        <v>12.7143862943397</v>
      </c>
      <c r="H3470" s="81">
        <v>12.7985676917592</v>
      </c>
    </row>
    <row r="3471" spans="1:8" x14ac:dyDescent="0.3">
      <c r="A3471" s="74" t="str">
        <f t="shared" si="54"/>
        <v>云南46314</v>
      </c>
      <c r="B3471" s="75" t="s">
        <v>24</v>
      </c>
      <c r="C3471" s="45">
        <v>46314</v>
      </c>
      <c r="D3471" s="76">
        <v>1693.3330702045801</v>
      </c>
      <c r="E3471" s="77">
        <v>125</v>
      </c>
      <c r="F3471" s="78">
        <v>12.7143862943397</v>
      </c>
      <c r="G3471" s="78">
        <v>12.7143862943397</v>
      </c>
      <c r="H3471" s="81">
        <v>12.7985676917592</v>
      </c>
    </row>
    <row r="3472" spans="1:8" x14ac:dyDescent="0.3">
      <c r="A3472" s="74" t="str">
        <f t="shared" si="54"/>
        <v>云南46315</v>
      </c>
      <c r="B3472" s="75" t="s">
        <v>24</v>
      </c>
      <c r="C3472" s="45">
        <v>46315</v>
      </c>
      <c r="D3472" s="76">
        <v>1693.3330702045801</v>
      </c>
      <c r="E3472" s="77">
        <v>125</v>
      </c>
      <c r="F3472" s="78">
        <v>12.7143862943397</v>
      </c>
      <c r="G3472" s="78">
        <v>12.7143862943397</v>
      </c>
      <c r="H3472" s="81">
        <v>12.7985676917592</v>
      </c>
    </row>
    <row r="3473" spans="1:8" x14ac:dyDescent="0.3">
      <c r="A3473" s="74" t="str">
        <f t="shared" si="54"/>
        <v>云南46316</v>
      </c>
      <c r="B3473" s="75" t="s">
        <v>24</v>
      </c>
      <c r="C3473" s="45">
        <v>46316</v>
      </c>
      <c r="D3473" s="76">
        <v>1693.3330702045801</v>
      </c>
      <c r="E3473" s="77">
        <v>125</v>
      </c>
      <c r="F3473" s="78">
        <v>12.7143862943397</v>
      </c>
      <c r="G3473" s="78">
        <v>12.7143862943397</v>
      </c>
      <c r="H3473" s="81">
        <v>12.7985676917592</v>
      </c>
    </row>
    <row r="3474" spans="1:8" x14ac:dyDescent="0.3">
      <c r="A3474" s="74" t="str">
        <f t="shared" si="54"/>
        <v>云南46317</v>
      </c>
      <c r="B3474" s="75" t="s">
        <v>24</v>
      </c>
      <c r="C3474" s="45">
        <v>46317</v>
      </c>
      <c r="D3474" s="76">
        <v>1693.3330702045801</v>
      </c>
      <c r="E3474" s="77">
        <v>125</v>
      </c>
      <c r="F3474" s="78">
        <v>12.7143862943397</v>
      </c>
      <c r="G3474" s="78">
        <v>12.7143862943397</v>
      </c>
      <c r="H3474" s="81">
        <v>12.7985676917592</v>
      </c>
    </row>
    <row r="3475" spans="1:8" x14ac:dyDescent="0.3">
      <c r="A3475" s="74" t="str">
        <f t="shared" si="54"/>
        <v>云南46318</v>
      </c>
      <c r="B3475" s="75" t="s">
        <v>24</v>
      </c>
      <c r="C3475" s="45">
        <v>46318</v>
      </c>
      <c r="D3475" s="76">
        <v>1693.3330702045801</v>
      </c>
      <c r="E3475" s="77">
        <v>125</v>
      </c>
      <c r="F3475" s="78">
        <v>12.7143862943397</v>
      </c>
      <c r="G3475" s="78">
        <v>12.7143862943397</v>
      </c>
      <c r="H3475" s="81">
        <v>12.7985676917592</v>
      </c>
    </row>
    <row r="3476" spans="1:8" x14ac:dyDescent="0.3">
      <c r="A3476" s="74" t="str">
        <f t="shared" si="54"/>
        <v>云南46319</v>
      </c>
      <c r="B3476" s="75" t="s">
        <v>24</v>
      </c>
      <c r="C3476" s="45">
        <v>46319</v>
      </c>
      <c r="D3476" s="76">
        <v>1693.3330702045801</v>
      </c>
      <c r="E3476" s="77">
        <v>125</v>
      </c>
      <c r="F3476" s="78">
        <v>12.7143862943397</v>
      </c>
      <c r="G3476" s="78">
        <v>12.7143862943397</v>
      </c>
      <c r="H3476" s="81">
        <v>12.7985676917592</v>
      </c>
    </row>
    <row r="3477" spans="1:8" x14ac:dyDescent="0.3">
      <c r="A3477" s="74" t="str">
        <f t="shared" si="54"/>
        <v>云南46320</v>
      </c>
      <c r="B3477" s="75" t="s">
        <v>24</v>
      </c>
      <c r="C3477" s="45">
        <v>46320</v>
      </c>
      <c r="D3477" s="76">
        <v>1693.3330702045801</v>
      </c>
      <c r="E3477" s="77">
        <v>125</v>
      </c>
      <c r="F3477" s="78">
        <v>12.7143862943397</v>
      </c>
      <c r="G3477" s="78">
        <v>12.7143862943397</v>
      </c>
      <c r="H3477" s="81">
        <v>12.7985676917592</v>
      </c>
    </row>
    <row r="3478" spans="1:8" x14ac:dyDescent="0.3">
      <c r="A3478" s="74" t="str">
        <f t="shared" si="54"/>
        <v>云南46321</v>
      </c>
      <c r="B3478" s="75" t="s">
        <v>24</v>
      </c>
      <c r="C3478" s="45">
        <v>46321</v>
      </c>
      <c r="D3478" s="76">
        <v>1693.3330702045801</v>
      </c>
      <c r="E3478" s="77">
        <v>125</v>
      </c>
      <c r="F3478" s="78">
        <v>12.7143862943397</v>
      </c>
      <c r="G3478" s="78">
        <v>12.7143862943397</v>
      </c>
      <c r="H3478" s="81">
        <v>12.7985676917592</v>
      </c>
    </row>
    <row r="3479" spans="1:8" x14ac:dyDescent="0.3">
      <c r="A3479" s="74" t="str">
        <f t="shared" si="54"/>
        <v>云南46322</v>
      </c>
      <c r="B3479" s="75" t="s">
        <v>24</v>
      </c>
      <c r="C3479" s="45">
        <v>46322</v>
      </c>
      <c r="D3479" s="76">
        <v>1693.3330702045801</v>
      </c>
      <c r="E3479" s="77">
        <v>125</v>
      </c>
      <c r="F3479" s="78">
        <v>12.7143862943397</v>
      </c>
      <c r="G3479" s="78">
        <v>12.7143862943397</v>
      </c>
      <c r="H3479" s="81">
        <v>12.7985676917592</v>
      </c>
    </row>
    <row r="3480" spans="1:8" x14ac:dyDescent="0.3">
      <c r="A3480" s="74" t="str">
        <f t="shared" si="54"/>
        <v>云南46323</v>
      </c>
      <c r="B3480" s="75" t="s">
        <v>24</v>
      </c>
      <c r="C3480" s="45">
        <v>46323</v>
      </c>
      <c r="D3480" s="76">
        <v>1693.3330702045801</v>
      </c>
      <c r="E3480" s="77">
        <v>125</v>
      </c>
      <c r="F3480" s="78">
        <v>12.7143862943397</v>
      </c>
      <c r="G3480" s="78">
        <v>12.7143862943397</v>
      </c>
      <c r="H3480" s="81">
        <v>12.7985676917592</v>
      </c>
    </row>
    <row r="3481" spans="1:8" x14ac:dyDescent="0.3">
      <c r="A3481" s="74" t="str">
        <f t="shared" si="54"/>
        <v>云南46324</v>
      </c>
      <c r="B3481" s="75" t="s">
        <v>24</v>
      </c>
      <c r="C3481" s="45">
        <v>46324</v>
      </c>
      <c r="D3481" s="76">
        <v>1693.3330702045801</v>
      </c>
      <c r="E3481" s="77">
        <v>125</v>
      </c>
      <c r="F3481" s="78">
        <v>12.7143862943397</v>
      </c>
      <c r="G3481" s="78">
        <v>12.7143862943397</v>
      </c>
      <c r="H3481" s="81">
        <v>12.7985676917592</v>
      </c>
    </row>
    <row r="3482" spans="1:8" x14ac:dyDescent="0.3">
      <c r="A3482" s="74" t="str">
        <f t="shared" si="54"/>
        <v>云南46325</v>
      </c>
      <c r="B3482" s="75" t="s">
        <v>24</v>
      </c>
      <c r="C3482" s="45">
        <v>46325</v>
      </c>
      <c r="D3482" s="76">
        <v>1693.3330702045801</v>
      </c>
      <c r="E3482" s="77">
        <v>125</v>
      </c>
      <c r="F3482" s="78">
        <v>12.7143862943397</v>
      </c>
      <c r="G3482" s="78">
        <v>12.7143862943397</v>
      </c>
      <c r="H3482" s="81">
        <v>12.7985676917592</v>
      </c>
    </row>
    <row r="3483" spans="1:8" x14ac:dyDescent="0.3">
      <c r="A3483" s="74" t="str">
        <f t="shared" si="54"/>
        <v>云南46326</v>
      </c>
      <c r="B3483" s="75" t="s">
        <v>24</v>
      </c>
      <c r="C3483" s="45">
        <v>46326</v>
      </c>
      <c r="D3483" s="76">
        <v>1693.3330702045801</v>
      </c>
      <c r="E3483" s="77">
        <v>125</v>
      </c>
      <c r="F3483" s="78">
        <v>12.7143862943397</v>
      </c>
      <c r="G3483" s="78">
        <v>12.7143862943397</v>
      </c>
      <c r="H3483" s="81">
        <v>12.7985676917592</v>
      </c>
    </row>
    <row r="3484" spans="1:8" x14ac:dyDescent="0.3">
      <c r="A3484" s="74" t="str">
        <f t="shared" si="54"/>
        <v>云南46327</v>
      </c>
      <c r="B3484" s="75" t="s">
        <v>24</v>
      </c>
      <c r="C3484" s="45">
        <v>46327</v>
      </c>
      <c r="D3484" s="76">
        <v>1690.6686881481301</v>
      </c>
      <c r="E3484" s="77">
        <v>125</v>
      </c>
      <c r="F3484" s="78">
        <v>13.0091859956782</v>
      </c>
      <c r="G3484" s="78">
        <v>13.0091859956782</v>
      </c>
      <c r="H3484" s="81">
        <v>12.8744485278763</v>
      </c>
    </row>
    <row r="3485" spans="1:8" x14ac:dyDescent="0.3">
      <c r="A3485" s="74" t="str">
        <f t="shared" si="54"/>
        <v>云南46328</v>
      </c>
      <c r="B3485" s="75" t="s">
        <v>24</v>
      </c>
      <c r="C3485" s="45">
        <v>46328</v>
      </c>
      <c r="D3485" s="76">
        <v>1690.6686881481301</v>
      </c>
      <c r="E3485" s="77">
        <v>125</v>
      </c>
      <c r="F3485" s="78">
        <v>13.0091859956782</v>
      </c>
      <c r="G3485" s="78">
        <v>13.0091859956782</v>
      </c>
      <c r="H3485" s="81">
        <v>12.8744485278763</v>
      </c>
    </row>
    <row r="3486" spans="1:8" x14ac:dyDescent="0.3">
      <c r="A3486" s="74" t="str">
        <f t="shared" si="54"/>
        <v>云南46329</v>
      </c>
      <c r="B3486" s="75" t="s">
        <v>24</v>
      </c>
      <c r="C3486" s="45">
        <v>46329</v>
      </c>
      <c r="D3486" s="76">
        <v>1690.6686881481301</v>
      </c>
      <c r="E3486" s="77">
        <v>125</v>
      </c>
      <c r="F3486" s="78">
        <v>13.0091859956782</v>
      </c>
      <c r="G3486" s="78">
        <v>13.0091859956782</v>
      </c>
      <c r="H3486" s="81">
        <v>12.8744485278763</v>
      </c>
    </row>
    <row r="3487" spans="1:8" x14ac:dyDescent="0.3">
      <c r="A3487" s="74" t="str">
        <f t="shared" si="54"/>
        <v>云南46330</v>
      </c>
      <c r="B3487" s="75" t="s">
        <v>24</v>
      </c>
      <c r="C3487" s="45">
        <v>46330</v>
      </c>
      <c r="D3487" s="76">
        <v>1690.6686881481301</v>
      </c>
      <c r="E3487" s="77">
        <v>125</v>
      </c>
      <c r="F3487" s="78">
        <v>13.0091859956782</v>
      </c>
      <c r="G3487" s="78">
        <v>13.0091859956782</v>
      </c>
      <c r="H3487" s="81">
        <v>12.8744485278763</v>
      </c>
    </row>
    <row r="3488" spans="1:8" x14ac:dyDescent="0.3">
      <c r="A3488" s="74" t="str">
        <f t="shared" si="54"/>
        <v>云南46331</v>
      </c>
      <c r="B3488" s="75" t="s">
        <v>24</v>
      </c>
      <c r="C3488" s="45">
        <v>46331</v>
      </c>
      <c r="D3488" s="76">
        <v>1690.6686881481301</v>
      </c>
      <c r="E3488" s="77">
        <v>125</v>
      </c>
      <c r="F3488" s="78">
        <v>13.0091859956782</v>
      </c>
      <c r="G3488" s="78">
        <v>13.0091859956782</v>
      </c>
      <c r="H3488" s="81">
        <v>12.8744485278763</v>
      </c>
    </row>
    <row r="3489" spans="1:8" x14ac:dyDescent="0.3">
      <c r="A3489" s="74" t="str">
        <f t="shared" si="54"/>
        <v>云南46332</v>
      </c>
      <c r="B3489" s="75" t="s">
        <v>24</v>
      </c>
      <c r="C3489" s="45">
        <v>46332</v>
      </c>
      <c r="D3489" s="76">
        <v>1690.6686881481301</v>
      </c>
      <c r="E3489" s="77">
        <v>125</v>
      </c>
      <c r="F3489" s="78">
        <v>13.0091859956782</v>
      </c>
      <c r="G3489" s="78">
        <v>13.0091859956782</v>
      </c>
      <c r="H3489" s="81">
        <v>12.8744485278763</v>
      </c>
    </row>
    <row r="3490" spans="1:8" x14ac:dyDescent="0.3">
      <c r="A3490" s="74" t="str">
        <f t="shared" si="54"/>
        <v>云南46333</v>
      </c>
      <c r="B3490" s="75" t="s">
        <v>24</v>
      </c>
      <c r="C3490" s="45">
        <v>46333</v>
      </c>
      <c r="D3490" s="76">
        <v>1690.6686881481301</v>
      </c>
      <c r="E3490" s="77">
        <v>125</v>
      </c>
      <c r="F3490" s="78">
        <v>13.0091859956782</v>
      </c>
      <c r="G3490" s="78">
        <v>13.0091859956782</v>
      </c>
      <c r="H3490" s="81">
        <v>12.8744485278763</v>
      </c>
    </row>
    <row r="3491" spans="1:8" x14ac:dyDescent="0.3">
      <c r="A3491" s="74" t="str">
        <f t="shared" si="54"/>
        <v>云南46334</v>
      </c>
      <c r="B3491" s="75" t="s">
        <v>24</v>
      </c>
      <c r="C3491" s="45">
        <v>46334</v>
      </c>
      <c r="D3491" s="76">
        <v>1690.6686881481301</v>
      </c>
      <c r="E3491" s="77">
        <v>125</v>
      </c>
      <c r="F3491" s="78">
        <v>13.0091859956782</v>
      </c>
      <c r="G3491" s="78">
        <v>13.0091859956782</v>
      </c>
      <c r="H3491" s="81">
        <v>12.8744485278763</v>
      </c>
    </row>
    <row r="3492" spans="1:8" x14ac:dyDescent="0.3">
      <c r="A3492" s="74" t="str">
        <f t="shared" si="54"/>
        <v>云南46335</v>
      </c>
      <c r="B3492" s="75" t="s">
        <v>24</v>
      </c>
      <c r="C3492" s="45">
        <v>46335</v>
      </c>
      <c r="D3492" s="76">
        <v>1690.6686881481301</v>
      </c>
      <c r="E3492" s="77">
        <v>125</v>
      </c>
      <c r="F3492" s="78">
        <v>13.0091859956782</v>
      </c>
      <c r="G3492" s="78">
        <v>13.0091859956782</v>
      </c>
      <c r="H3492" s="81">
        <v>12.8744485278763</v>
      </c>
    </row>
    <row r="3493" spans="1:8" x14ac:dyDescent="0.3">
      <c r="A3493" s="74" t="str">
        <f t="shared" si="54"/>
        <v>云南46336</v>
      </c>
      <c r="B3493" s="75" t="s">
        <v>24</v>
      </c>
      <c r="C3493" s="45">
        <v>46336</v>
      </c>
      <c r="D3493" s="76">
        <v>1690.6686881481301</v>
      </c>
      <c r="E3493" s="77">
        <v>125</v>
      </c>
      <c r="F3493" s="78">
        <v>13.0091859956782</v>
      </c>
      <c r="G3493" s="78">
        <v>13.0091859956782</v>
      </c>
      <c r="H3493" s="81">
        <v>12.8744485278763</v>
      </c>
    </row>
    <row r="3494" spans="1:8" x14ac:dyDescent="0.3">
      <c r="A3494" s="74" t="str">
        <f t="shared" si="54"/>
        <v>云南46337</v>
      </c>
      <c r="B3494" s="75" t="s">
        <v>24</v>
      </c>
      <c r="C3494" s="45">
        <v>46337</v>
      </c>
      <c r="D3494" s="76">
        <v>1690.6686881481301</v>
      </c>
      <c r="E3494" s="77">
        <v>125</v>
      </c>
      <c r="F3494" s="78">
        <v>13.0091859956782</v>
      </c>
      <c r="G3494" s="78">
        <v>13.0091859956782</v>
      </c>
      <c r="H3494" s="81">
        <v>12.8744485278763</v>
      </c>
    </row>
    <row r="3495" spans="1:8" x14ac:dyDescent="0.3">
      <c r="A3495" s="74" t="str">
        <f t="shared" si="54"/>
        <v>云南46338</v>
      </c>
      <c r="B3495" s="75" t="s">
        <v>24</v>
      </c>
      <c r="C3495" s="45">
        <v>46338</v>
      </c>
      <c r="D3495" s="76">
        <v>1690.6686881481301</v>
      </c>
      <c r="E3495" s="77">
        <v>125</v>
      </c>
      <c r="F3495" s="78">
        <v>13.0091859956782</v>
      </c>
      <c r="G3495" s="78">
        <v>13.0091859956782</v>
      </c>
      <c r="H3495" s="81">
        <v>12.8744485278763</v>
      </c>
    </row>
    <row r="3496" spans="1:8" x14ac:dyDescent="0.3">
      <c r="A3496" s="74" t="str">
        <f t="shared" si="54"/>
        <v>云南46339</v>
      </c>
      <c r="B3496" s="75" t="s">
        <v>24</v>
      </c>
      <c r="C3496" s="45">
        <v>46339</v>
      </c>
      <c r="D3496" s="76">
        <v>1690.6686881481301</v>
      </c>
      <c r="E3496" s="77">
        <v>125</v>
      </c>
      <c r="F3496" s="78">
        <v>13.0091859956782</v>
      </c>
      <c r="G3496" s="78">
        <v>13.0091859956782</v>
      </c>
      <c r="H3496" s="81">
        <v>12.8744485278763</v>
      </c>
    </row>
    <row r="3497" spans="1:8" x14ac:dyDescent="0.3">
      <c r="A3497" s="74" t="str">
        <f t="shared" si="54"/>
        <v>云南46340</v>
      </c>
      <c r="B3497" s="75" t="s">
        <v>24</v>
      </c>
      <c r="C3497" s="45">
        <v>46340</v>
      </c>
      <c r="D3497" s="76">
        <v>1690.6686881481301</v>
      </c>
      <c r="E3497" s="77">
        <v>125</v>
      </c>
      <c r="F3497" s="78">
        <v>13.0091859956782</v>
      </c>
      <c r="G3497" s="78">
        <v>13.0091859956782</v>
      </c>
      <c r="H3497" s="81">
        <v>12.8744485278763</v>
      </c>
    </row>
    <row r="3498" spans="1:8" x14ac:dyDescent="0.3">
      <c r="A3498" s="74" t="str">
        <f t="shared" si="54"/>
        <v>云南46341</v>
      </c>
      <c r="B3498" s="75" t="s">
        <v>24</v>
      </c>
      <c r="C3498" s="45">
        <v>46341</v>
      </c>
      <c r="D3498" s="76">
        <v>1690.6686881481301</v>
      </c>
      <c r="E3498" s="77">
        <v>125</v>
      </c>
      <c r="F3498" s="78">
        <v>13.0091859956782</v>
      </c>
      <c r="G3498" s="78">
        <v>13.0091859956782</v>
      </c>
      <c r="H3498" s="81">
        <v>12.8744485278763</v>
      </c>
    </row>
    <row r="3499" spans="1:8" x14ac:dyDescent="0.3">
      <c r="A3499" s="74" t="str">
        <f t="shared" si="54"/>
        <v>云南46342</v>
      </c>
      <c r="B3499" s="75" t="s">
        <v>24</v>
      </c>
      <c r="C3499" s="45">
        <v>46342</v>
      </c>
      <c r="D3499" s="76">
        <v>1690.6686881481301</v>
      </c>
      <c r="E3499" s="77">
        <v>125</v>
      </c>
      <c r="F3499" s="78">
        <v>13.0091859956782</v>
      </c>
      <c r="G3499" s="78">
        <v>13.0091859956782</v>
      </c>
      <c r="H3499" s="81">
        <v>12.8744485278763</v>
      </c>
    </row>
    <row r="3500" spans="1:8" x14ac:dyDescent="0.3">
      <c r="A3500" s="74" t="str">
        <f t="shared" si="54"/>
        <v>云南46343</v>
      </c>
      <c r="B3500" s="75" t="s">
        <v>24</v>
      </c>
      <c r="C3500" s="45">
        <v>46343</v>
      </c>
      <c r="D3500" s="76">
        <v>1690.6686881481301</v>
      </c>
      <c r="E3500" s="77">
        <v>125</v>
      </c>
      <c r="F3500" s="78">
        <v>13.0091859956782</v>
      </c>
      <c r="G3500" s="78">
        <v>13.0091859956782</v>
      </c>
      <c r="H3500" s="81">
        <v>12.8744485278763</v>
      </c>
    </row>
    <row r="3501" spans="1:8" x14ac:dyDescent="0.3">
      <c r="A3501" s="74" t="str">
        <f t="shared" si="54"/>
        <v>云南46344</v>
      </c>
      <c r="B3501" s="75" t="s">
        <v>24</v>
      </c>
      <c r="C3501" s="45">
        <v>46344</v>
      </c>
      <c r="D3501" s="76">
        <v>1690.6686881481301</v>
      </c>
      <c r="E3501" s="77">
        <v>125</v>
      </c>
      <c r="F3501" s="78">
        <v>13.0091859956782</v>
      </c>
      <c r="G3501" s="78">
        <v>13.0091859956782</v>
      </c>
      <c r="H3501" s="81">
        <v>12.8744485278763</v>
      </c>
    </row>
    <row r="3502" spans="1:8" x14ac:dyDescent="0.3">
      <c r="A3502" s="74" t="str">
        <f t="shared" si="54"/>
        <v>云南46345</v>
      </c>
      <c r="B3502" s="75" t="s">
        <v>24</v>
      </c>
      <c r="C3502" s="45">
        <v>46345</v>
      </c>
      <c r="D3502" s="76">
        <v>1690.6686881481301</v>
      </c>
      <c r="E3502" s="77">
        <v>125</v>
      </c>
      <c r="F3502" s="78">
        <v>13.0091859956782</v>
      </c>
      <c r="G3502" s="78">
        <v>13.0091859956782</v>
      </c>
      <c r="H3502" s="81">
        <v>12.8744485278763</v>
      </c>
    </row>
    <row r="3503" spans="1:8" x14ac:dyDescent="0.3">
      <c r="A3503" s="74" t="str">
        <f t="shared" si="54"/>
        <v>云南46346</v>
      </c>
      <c r="B3503" s="75" t="s">
        <v>24</v>
      </c>
      <c r="C3503" s="45">
        <v>46346</v>
      </c>
      <c r="D3503" s="76">
        <v>1690.6686881481301</v>
      </c>
      <c r="E3503" s="77">
        <v>125</v>
      </c>
      <c r="F3503" s="78">
        <v>13.0091859956782</v>
      </c>
      <c r="G3503" s="78">
        <v>13.0091859956782</v>
      </c>
      <c r="H3503" s="81">
        <v>12.8744485278763</v>
      </c>
    </row>
    <row r="3504" spans="1:8" x14ac:dyDescent="0.3">
      <c r="A3504" s="74" t="str">
        <f t="shared" si="54"/>
        <v>云南46347</v>
      </c>
      <c r="B3504" s="75" t="s">
        <v>24</v>
      </c>
      <c r="C3504" s="45">
        <v>46347</v>
      </c>
      <c r="D3504" s="76">
        <v>1690.6686881481301</v>
      </c>
      <c r="E3504" s="77">
        <v>125</v>
      </c>
      <c r="F3504" s="78">
        <v>13.0091859956782</v>
      </c>
      <c r="G3504" s="78">
        <v>13.0091859956782</v>
      </c>
      <c r="H3504" s="81">
        <v>12.8744485278763</v>
      </c>
    </row>
    <row r="3505" spans="1:8" x14ac:dyDescent="0.3">
      <c r="A3505" s="74" t="str">
        <f t="shared" si="54"/>
        <v>云南46348</v>
      </c>
      <c r="B3505" s="75" t="s">
        <v>24</v>
      </c>
      <c r="C3505" s="45">
        <v>46348</v>
      </c>
      <c r="D3505" s="76">
        <v>1690.6686881481301</v>
      </c>
      <c r="E3505" s="77">
        <v>125</v>
      </c>
      <c r="F3505" s="78">
        <v>13.0091859956782</v>
      </c>
      <c r="G3505" s="78">
        <v>13.0091859956782</v>
      </c>
      <c r="H3505" s="81">
        <v>12.8744485278763</v>
      </c>
    </row>
    <row r="3506" spans="1:8" x14ac:dyDescent="0.3">
      <c r="A3506" s="74" t="str">
        <f t="shared" si="54"/>
        <v>云南46349</v>
      </c>
      <c r="B3506" s="75" t="s">
        <v>24</v>
      </c>
      <c r="C3506" s="45">
        <v>46349</v>
      </c>
      <c r="D3506" s="76">
        <v>1690.6686881481301</v>
      </c>
      <c r="E3506" s="77">
        <v>125</v>
      </c>
      <c r="F3506" s="78">
        <v>13.0091859956782</v>
      </c>
      <c r="G3506" s="78">
        <v>13.0091859956782</v>
      </c>
      <c r="H3506" s="81">
        <v>12.8744485278763</v>
      </c>
    </row>
    <row r="3507" spans="1:8" x14ac:dyDescent="0.3">
      <c r="A3507" s="74" t="str">
        <f t="shared" si="54"/>
        <v>云南46350</v>
      </c>
      <c r="B3507" s="75" t="s">
        <v>24</v>
      </c>
      <c r="C3507" s="45">
        <v>46350</v>
      </c>
      <c r="D3507" s="76">
        <v>1690.6686881481301</v>
      </c>
      <c r="E3507" s="77">
        <v>125</v>
      </c>
      <c r="F3507" s="78">
        <v>13.0091859956782</v>
      </c>
      <c r="G3507" s="78">
        <v>13.0091859956782</v>
      </c>
      <c r="H3507" s="81">
        <v>12.8744485278763</v>
      </c>
    </row>
    <row r="3508" spans="1:8" x14ac:dyDescent="0.3">
      <c r="A3508" s="74" t="str">
        <f t="shared" si="54"/>
        <v>云南46351</v>
      </c>
      <c r="B3508" s="75" t="s">
        <v>24</v>
      </c>
      <c r="C3508" s="45">
        <v>46351</v>
      </c>
      <c r="D3508" s="76">
        <v>1690.6686881481301</v>
      </c>
      <c r="E3508" s="77">
        <v>125</v>
      </c>
      <c r="F3508" s="78">
        <v>13.0091859956782</v>
      </c>
      <c r="G3508" s="78">
        <v>13.0091859956782</v>
      </c>
      <c r="H3508" s="81">
        <v>12.8744485278763</v>
      </c>
    </row>
    <row r="3509" spans="1:8" x14ac:dyDescent="0.3">
      <c r="A3509" s="74" t="str">
        <f t="shared" si="54"/>
        <v>云南46352</v>
      </c>
      <c r="B3509" s="75" t="s">
        <v>24</v>
      </c>
      <c r="C3509" s="45">
        <v>46352</v>
      </c>
      <c r="D3509" s="76">
        <v>1690.6686881481301</v>
      </c>
      <c r="E3509" s="77">
        <v>125</v>
      </c>
      <c r="F3509" s="78">
        <v>13.0091859956782</v>
      </c>
      <c r="G3509" s="78">
        <v>13.0091859956782</v>
      </c>
      <c r="H3509" s="81">
        <v>12.8744485278763</v>
      </c>
    </row>
    <row r="3510" spans="1:8" x14ac:dyDescent="0.3">
      <c r="A3510" s="74" t="str">
        <f t="shared" si="54"/>
        <v>云南46353</v>
      </c>
      <c r="B3510" s="75" t="s">
        <v>24</v>
      </c>
      <c r="C3510" s="45">
        <v>46353</v>
      </c>
      <c r="D3510" s="76">
        <v>1690.6686881481301</v>
      </c>
      <c r="E3510" s="77">
        <v>125</v>
      </c>
      <c r="F3510" s="78">
        <v>13.0091859956782</v>
      </c>
      <c r="G3510" s="78">
        <v>13.0091859956782</v>
      </c>
      <c r="H3510" s="81">
        <v>12.8744485278763</v>
      </c>
    </row>
    <row r="3511" spans="1:8" x14ac:dyDescent="0.3">
      <c r="A3511" s="74" t="str">
        <f t="shared" si="54"/>
        <v>云南46354</v>
      </c>
      <c r="B3511" s="75" t="s">
        <v>24</v>
      </c>
      <c r="C3511" s="45">
        <v>46354</v>
      </c>
      <c r="D3511" s="76">
        <v>1690.6686881481301</v>
      </c>
      <c r="E3511" s="77">
        <v>125</v>
      </c>
      <c r="F3511" s="78">
        <v>13.0091859956782</v>
      </c>
      <c r="G3511" s="78">
        <v>13.0091859956782</v>
      </c>
      <c r="H3511" s="81">
        <v>12.8744485278763</v>
      </c>
    </row>
    <row r="3512" spans="1:8" x14ac:dyDescent="0.3">
      <c r="A3512" s="74" t="str">
        <f t="shared" si="54"/>
        <v>云南46355</v>
      </c>
      <c r="B3512" s="75" t="s">
        <v>24</v>
      </c>
      <c r="C3512" s="45">
        <v>46355</v>
      </c>
      <c r="D3512" s="76">
        <v>1690.6686881481301</v>
      </c>
      <c r="E3512" s="77">
        <v>125</v>
      </c>
      <c r="F3512" s="78">
        <v>13.0091859956782</v>
      </c>
      <c r="G3512" s="78">
        <v>13.0091859956782</v>
      </c>
      <c r="H3512" s="81">
        <v>12.8744485278763</v>
      </c>
    </row>
    <row r="3513" spans="1:8" x14ac:dyDescent="0.3">
      <c r="A3513" s="74" t="str">
        <f t="shared" si="54"/>
        <v>云南46356</v>
      </c>
      <c r="B3513" s="75" t="s">
        <v>24</v>
      </c>
      <c r="C3513" s="45">
        <v>46356</v>
      </c>
      <c r="D3513" s="76">
        <v>1690.6686881481301</v>
      </c>
      <c r="E3513" s="77">
        <v>125</v>
      </c>
      <c r="F3513" s="78">
        <v>13.0091859956782</v>
      </c>
      <c r="G3513" s="78">
        <v>13.0091859956782</v>
      </c>
      <c r="H3513" s="81">
        <v>12.8744485278763</v>
      </c>
    </row>
    <row r="3514" spans="1:8" x14ac:dyDescent="0.3">
      <c r="A3514" s="74" t="str">
        <f t="shared" si="54"/>
        <v>云南46357</v>
      </c>
      <c r="B3514" s="75" t="s">
        <v>24</v>
      </c>
      <c r="C3514" s="45">
        <v>46357</v>
      </c>
      <c r="D3514" s="76">
        <v>1751.3071436063401</v>
      </c>
      <c r="E3514" s="77">
        <v>125</v>
      </c>
      <c r="F3514" s="78">
        <v>13.713747061661699</v>
      </c>
      <c r="G3514" s="78">
        <v>13.713747061661699</v>
      </c>
      <c r="H3514" s="81">
        <v>13.1122084810434</v>
      </c>
    </row>
    <row r="3515" spans="1:8" x14ac:dyDescent="0.3">
      <c r="A3515" s="74" t="str">
        <f t="shared" si="54"/>
        <v>云南46358</v>
      </c>
      <c r="B3515" s="75" t="s">
        <v>24</v>
      </c>
      <c r="C3515" s="45">
        <v>46358</v>
      </c>
      <c r="D3515" s="76">
        <v>1751.3071436063401</v>
      </c>
      <c r="E3515" s="77">
        <v>125</v>
      </c>
      <c r="F3515" s="78">
        <v>13.713747061661699</v>
      </c>
      <c r="G3515" s="78">
        <v>13.713747061661699</v>
      </c>
      <c r="H3515" s="81">
        <v>13.1122084810434</v>
      </c>
    </row>
    <row r="3516" spans="1:8" x14ac:dyDescent="0.3">
      <c r="A3516" s="74" t="str">
        <f t="shared" si="54"/>
        <v>云南46359</v>
      </c>
      <c r="B3516" s="75" t="s">
        <v>24</v>
      </c>
      <c r="C3516" s="45">
        <v>46359</v>
      </c>
      <c r="D3516" s="76">
        <v>1751.3071436063401</v>
      </c>
      <c r="E3516" s="77">
        <v>125</v>
      </c>
      <c r="F3516" s="78">
        <v>13.713747061661699</v>
      </c>
      <c r="G3516" s="78">
        <v>13.713747061661699</v>
      </c>
      <c r="H3516" s="81">
        <v>13.1122084810434</v>
      </c>
    </row>
    <row r="3517" spans="1:8" x14ac:dyDescent="0.3">
      <c r="A3517" s="74" t="str">
        <f t="shared" si="54"/>
        <v>云南46360</v>
      </c>
      <c r="B3517" s="75" t="s">
        <v>24</v>
      </c>
      <c r="C3517" s="45">
        <v>46360</v>
      </c>
      <c r="D3517" s="76">
        <v>1751.3071436063401</v>
      </c>
      <c r="E3517" s="77">
        <v>125</v>
      </c>
      <c r="F3517" s="78">
        <v>13.713747061661699</v>
      </c>
      <c r="G3517" s="78">
        <v>13.713747061661699</v>
      </c>
      <c r="H3517" s="81">
        <v>13.1122084810434</v>
      </c>
    </row>
    <row r="3518" spans="1:8" x14ac:dyDescent="0.3">
      <c r="A3518" s="74" t="str">
        <f t="shared" si="54"/>
        <v>云南46361</v>
      </c>
      <c r="B3518" s="75" t="s">
        <v>24</v>
      </c>
      <c r="C3518" s="45">
        <v>46361</v>
      </c>
      <c r="D3518" s="76">
        <v>1751.3071436063401</v>
      </c>
      <c r="E3518" s="77">
        <v>125</v>
      </c>
      <c r="F3518" s="78">
        <v>13.713747061661699</v>
      </c>
      <c r="G3518" s="78">
        <v>13.713747061661699</v>
      </c>
      <c r="H3518" s="81">
        <v>13.1122084810434</v>
      </c>
    </row>
    <row r="3519" spans="1:8" x14ac:dyDescent="0.3">
      <c r="A3519" s="74" t="str">
        <f t="shared" si="54"/>
        <v>云南46362</v>
      </c>
      <c r="B3519" s="75" t="s">
        <v>24</v>
      </c>
      <c r="C3519" s="45">
        <v>46362</v>
      </c>
      <c r="D3519" s="76">
        <v>1751.3071436063401</v>
      </c>
      <c r="E3519" s="77">
        <v>125</v>
      </c>
      <c r="F3519" s="78">
        <v>13.713747061661699</v>
      </c>
      <c r="G3519" s="78">
        <v>13.713747061661699</v>
      </c>
      <c r="H3519" s="81">
        <v>13.1122084810434</v>
      </c>
    </row>
    <row r="3520" spans="1:8" x14ac:dyDescent="0.3">
      <c r="A3520" s="74" t="str">
        <f t="shared" si="54"/>
        <v>云南46363</v>
      </c>
      <c r="B3520" s="75" t="s">
        <v>24</v>
      </c>
      <c r="C3520" s="45">
        <v>46363</v>
      </c>
      <c r="D3520" s="76">
        <v>1751.3071436063401</v>
      </c>
      <c r="E3520" s="77">
        <v>125</v>
      </c>
      <c r="F3520" s="78">
        <v>13.713747061661699</v>
      </c>
      <c r="G3520" s="78">
        <v>13.713747061661699</v>
      </c>
      <c r="H3520" s="81">
        <v>13.1122084810434</v>
      </c>
    </row>
    <row r="3521" spans="1:8" x14ac:dyDescent="0.3">
      <c r="A3521" s="74" t="str">
        <f t="shared" si="54"/>
        <v>云南46364</v>
      </c>
      <c r="B3521" s="75" t="s">
        <v>24</v>
      </c>
      <c r="C3521" s="45">
        <v>46364</v>
      </c>
      <c r="D3521" s="76">
        <v>1751.3071436063401</v>
      </c>
      <c r="E3521" s="77">
        <v>125</v>
      </c>
      <c r="F3521" s="78">
        <v>13.713747061661699</v>
      </c>
      <c r="G3521" s="78">
        <v>13.713747061661699</v>
      </c>
      <c r="H3521" s="81">
        <v>13.1122084810434</v>
      </c>
    </row>
    <row r="3522" spans="1:8" x14ac:dyDescent="0.3">
      <c r="A3522" s="74" t="str">
        <f t="shared" si="54"/>
        <v>云南46365</v>
      </c>
      <c r="B3522" s="75" t="s">
        <v>24</v>
      </c>
      <c r="C3522" s="45">
        <v>46365</v>
      </c>
      <c r="D3522" s="76">
        <v>1751.3071436063401</v>
      </c>
      <c r="E3522" s="77">
        <v>125</v>
      </c>
      <c r="F3522" s="78">
        <v>13.713747061661699</v>
      </c>
      <c r="G3522" s="78">
        <v>13.713747061661699</v>
      </c>
      <c r="H3522" s="81">
        <v>13.1122084810434</v>
      </c>
    </row>
    <row r="3523" spans="1:8" x14ac:dyDescent="0.3">
      <c r="A3523" s="74" t="str">
        <f t="shared" ref="A3523:A3586" si="55">B3523&amp;C3523</f>
        <v>云南46366</v>
      </c>
      <c r="B3523" s="75" t="s">
        <v>24</v>
      </c>
      <c r="C3523" s="45">
        <v>46366</v>
      </c>
      <c r="D3523" s="76">
        <v>1751.3071436063401</v>
      </c>
      <c r="E3523" s="77">
        <v>125</v>
      </c>
      <c r="F3523" s="78">
        <v>13.713747061661699</v>
      </c>
      <c r="G3523" s="78">
        <v>13.713747061661699</v>
      </c>
      <c r="H3523" s="81">
        <v>13.1122084810434</v>
      </c>
    </row>
    <row r="3524" spans="1:8" x14ac:dyDescent="0.3">
      <c r="A3524" s="74" t="str">
        <f t="shared" si="55"/>
        <v>云南46367</v>
      </c>
      <c r="B3524" s="75" t="s">
        <v>24</v>
      </c>
      <c r="C3524" s="45">
        <v>46367</v>
      </c>
      <c r="D3524" s="76">
        <v>1751.3071436063401</v>
      </c>
      <c r="E3524" s="77">
        <v>125</v>
      </c>
      <c r="F3524" s="78">
        <v>13.713747061661699</v>
      </c>
      <c r="G3524" s="78">
        <v>13.713747061661699</v>
      </c>
      <c r="H3524" s="81">
        <v>13.1122084810434</v>
      </c>
    </row>
    <row r="3525" spans="1:8" x14ac:dyDescent="0.3">
      <c r="A3525" s="74" t="str">
        <f t="shared" si="55"/>
        <v>云南46368</v>
      </c>
      <c r="B3525" s="75" t="s">
        <v>24</v>
      </c>
      <c r="C3525" s="45">
        <v>46368</v>
      </c>
      <c r="D3525" s="76">
        <v>1751.3071436063401</v>
      </c>
      <c r="E3525" s="77">
        <v>125</v>
      </c>
      <c r="F3525" s="78">
        <v>13.713747061661699</v>
      </c>
      <c r="G3525" s="78">
        <v>13.713747061661699</v>
      </c>
      <c r="H3525" s="81">
        <v>13.1122084810434</v>
      </c>
    </row>
    <row r="3526" spans="1:8" x14ac:dyDescent="0.3">
      <c r="A3526" s="74" t="str">
        <f t="shared" si="55"/>
        <v>云南46369</v>
      </c>
      <c r="B3526" s="75" t="s">
        <v>24</v>
      </c>
      <c r="C3526" s="45">
        <v>46369</v>
      </c>
      <c r="D3526" s="76">
        <v>1751.3071436063401</v>
      </c>
      <c r="E3526" s="77">
        <v>125</v>
      </c>
      <c r="F3526" s="78">
        <v>13.713747061661699</v>
      </c>
      <c r="G3526" s="78">
        <v>13.713747061661699</v>
      </c>
      <c r="H3526" s="81">
        <v>13.1122084810434</v>
      </c>
    </row>
    <row r="3527" spans="1:8" x14ac:dyDescent="0.3">
      <c r="A3527" s="74" t="str">
        <f t="shared" si="55"/>
        <v>云南46370</v>
      </c>
      <c r="B3527" s="75" t="s">
        <v>24</v>
      </c>
      <c r="C3527" s="45">
        <v>46370</v>
      </c>
      <c r="D3527" s="76">
        <v>1751.3071436063401</v>
      </c>
      <c r="E3527" s="77">
        <v>125</v>
      </c>
      <c r="F3527" s="78">
        <v>13.713747061661699</v>
      </c>
      <c r="G3527" s="78">
        <v>13.713747061661699</v>
      </c>
      <c r="H3527" s="81">
        <v>13.1122084810434</v>
      </c>
    </row>
    <row r="3528" spans="1:8" x14ac:dyDescent="0.3">
      <c r="A3528" s="74" t="str">
        <f t="shared" si="55"/>
        <v>云南46371</v>
      </c>
      <c r="B3528" s="75" t="s">
        <v>24</v>
      </c>
      <c r="C3528" s="45">
        <v>46371</v>
      </c>
      <c r="D3528" s="76">
        <v>1751.3071436063401</v>
      </c>
      <c r="E3528" s="77">
        <v>125</v>
      </c>
      <c r="F3528" s="78">
        <v>13.713747061661699</v>
      </c>
      <c r="G3528" s="78">
        <v>13.713747061661699</v>
      </c>
      <c r="H3528" s="81">
        <v>13.1122084810434</v>
      </c>
    </row>
    <row r="3529" spans="1:8" x14ac:dyDescent="0.3">
      <c r="A3529" s="74" t="str">
        <f t="shared" si="55"/>
        <v>云南46372</v>
      </c>
      <c r="B3529" s="75" t="s">
        <v>24</v>
      </c>
      <c r="C3529" s="45">
        <v>46372</v>
      </c>
      <c r="D3529" s="76">
        <v>1751.3071436063401</v>
      </c>
      <c r="E3529" s="77">
        <v>125</v>
      </c>
      <c r="F3529" s="78">
        <v>13.713747061661699</v>
      </c>
      <c r="G3529" s="78">
        <v>13.713747061661699</v>
      </c>
      <c r="H3529" s="81">
        <v>13.1122084810434</v>
      </c>
    </row>
    <row r="3530" spans="1:8" x14ac:dyDescent="0.3">
      <c r="A3530" s="74" t="str">
        <f t="shared" si="55"/>
        <v>云南46373</v>
      </c>
      <c r="B3530" s="75" t="s">
        <v>24</v>
      </c>
      <c r="C3530" s="45">
        <v>46373</v>
      </c>
      <c r="D3530" s="76">
        <v>1751.3071436063401</v>
      </c>
      <c r="E3530" s="77">
        <v>125</v>
      </c>
      <c r="F3530" s="78">
        <v>13.713747061661699</v>
      </c>
      <c r="G3530" s="78">
        <v>13.713747061661699</v>
      </c>
      <c r="H3530" s="81">
        <v>13.1122084810434</v>
      </c>
    </row>
    <row r="3531" spans="1:8" x14ac:dyDescent="0.3">
      <c r="A3531" s="74" t="str">
        <f t="shared" si="55"/>
        <v>云南46374</v>
      </c>
      <c r="B3531" s="75" t="s">
        <v>24</v>
      </c>
      <c r="C3531" s="45">
        <v>46374</v>
      </c>
      <c r="D3531" s="76">
        <v>1751.3071436063401</v>
      </c>
      <c r="E3531" s="77">
        <v>125</v>
      </c>
      <c r="F3531" s="78">
        <v>13.713747061661699</v>
      </c>
      <c r="G3531" s="78">
        <v>13.713747061661699</v>
      </c>
      <c r="H3531" s="81">
        <v>13.1122084810434</v>
      </c>
    </row>
    <row r="3532" spans="1:8" x14ac:dyDescent="0.3">
      <c r="A3532" s="74" t="str">
        <f t="shared" si="55"/>
        <v>云南46375</v>
      </c>
      <c r="B3532" s="75" t="s">
        <v>24</v>
      </c>
      <c r="C3532" s="45">
        <v>46375</v>
      </c>
      <c r="D3532" s="76">
        <v>1751.3071436063401</v>
      </c>
      <c r="E3532" s="77">
        <v>125</v>
      </c>
      <c r="F3532" s="78">
        <v>13.713747061661699</v>
      </c>
      <c r="G3532" s="78">
        <v>13.713747061661699</v>
      </c>
      <c r="H3532" s="81">
        <v>13.1122084810434</v>
      </c>
    </row>
    <row r="3533" spans="1:8" x14ac:dyDescent="0.3">
      <c r="A3533" s="74" t="str">
        <f t="shared" si="55"/>
        <v>云南46376</v>
      </c>
      <c r="B3533" s="75" t="s">
        <v>24</v>
      </c>
      <c r="C3533" s="45">
        <v>46376</v>
      </c>
      <c r="D3533" s="76">
        <v>1751.3071436063401</v>
      </c>
      <c r="E3533" s="77">
        <v>125</v>
      </c>
      <c r="F3533" s="78">
        <v>13.713747061661699</v>
      </c>
      <c r="G3533" s="78">
        <v>13.713747061661699</v>
      </c>
      <c r="H3533" s="81">
        <v>13.1122084810434</v>
      </c>
    </row>
    <row r="3534" spans="1:8" x14ac:dyDescent="0.3">
      <c r="A3534" s="74" t="str">
        <f t="shared" si="55"/>
        <v>云南46377</v>
      </c>
      <c r="B3534" s="75" t="s">
        <v>24</v>
      </c>
      <c r="C3534" s="45">
        <v>46377</v>
      </c>
      <c r="D3534" s="76">
        <v>1751.3071436063401</v>
      </c>
      <c r="E3534" s="77">
        <v>125</v>
      </c>
      <c r="F3534" s="78">
        <v>13.713747061661699</v>
      </c>
      <c r="G3534" s="78">
        <v>13.713747061661699</v>
      </c>
      <c r="H3534" s="81">
        <v>13.1122084810434</v>
      </c>
    </row>
    <row r="3535" spans="1:8" x14ac:dyDescent="0.3">
      <c r="A3535" s="74" t="str">
        <f t="shared" si="55"/>
        <v>云南46378</v>
      </c>
      <c r="B3535" s="75" t="s">
        <v>24</v>
      </c>
      <c r="C3535" s="45">
        <v>46378</v>
      </c>
      <c r="D3535" s="76">
        <v>1751.3071436063401</v>
      </c>
      <c r="E3535" s="77">
        <v>125</v>
      </c>
      <c r="F3535" s="78">
        <v>13.713747061661699</v>
      </c>
      <c r="G3535" s="78">
        <v>13.713747061661699</v>
      </c>
      <c r="H3535" s="81">
        <v>13.1122084810434</v>
      </c>
    </row>
    <row r="3536" spans="1:8" x14ac:dyDescent="0.3">
      <c r="A3536" s="74" t="str">
        <f t="shared" si="55"/>
        <v>云南46379</v>
      </c>
      <c r="B3536" s="75" t="s">
        <v>24</v>
      </c>
      <c r="C3536" s="45">
        <v>46379</v>
      </c>
      <c r="D3536" s="76">
        <v>1751.3071436063401</v>
      </c>
      <c r="E3536" s="77">
        <v>125</v>
      </c>
      <c r="F3536" s="78">
        <v>13.713747061661699</v>
      </c>
      <c r="G3536" s="78">
        <v>13.713747061661699</v>
      </c>
      <c r="H3536" s="81">
        <v>13.1122084810434</v>
      </c>
    </row>
    <row r="3537" spans="1:8" x14ac:dyDescent="0.3">
      <c r="A3537" s="74" t="str">
        <f t="shared" si="55"/>
        <v>云南46380</v>
      </c>
      <c r="B3537" s="75" t="s">
        <v>24</v>
      </c>
      <c r="C3537" s="45">
        <v>46380</v>
      </c>
      <c r="D3537" s="76">
        <v>1751.3071436063401</v>
      </c>
      <c r="E3537" s="77">
        <v>125</v>
      </c>
      <c r="F3537" s="78">
        <v>13.713747061661699</v>
      </c>
      <c r="G3537" s="78">
        <v>13.713747061661699</v>
      </c>
      <c r="H3537" s="81">
        <v>13.1122084810434</v>
      </c>
    </row>
    <row r="3538" spans="1:8" x14ac:dyDescent="0.3">
      <c r="A3538" s="74" t="str">
        <f t="shared" si="55"/>
        <v>云南46381</v>
      </c>
      <c r="B3538" s="75" t="s">
        <v>24</v>
      </c>
      <c r="C3538" s="45">
        <v>46381</v>
      </c>
      <c r="D3538" s="76">
        <v>1751.3071436063401</v>
      </c>
      <c r="E3538" s="77">
        <v>125</v>
      </c>
      <c r="F3538" s="78">
        <v>13.713747061661699</v>
      </c>
      <c r="G3538" s="78">
        <v>13.713747061661699</v>
      </c>
      <c r="H3538" s="81">
        <v>13.1122084810434</v>
      </c>
    </row>
    <row r="3539" spans="1:8" x14ac:dyDescent="0.3">
      <c r="A3539" s="74" t="str">
        <f t="shared" si="55"/>
        <v>云南46382</v>
      </c>
      <c r="B3539" s="75" t="s">
        <v>24</v>
      </c>
      <c r="C3539" s="45">
        <v>46382</v>
      </c>
      <c r="D3539" s="76">
        <v>1751.3071436063401</v>
      </c>
      <c r="E3539" s="77">
        <v>125</v>
      </c>
      <c r="F3539" s="78">
        <v>13.713747061661699</v>
      </c>
      <c r="G3539" s="78">
        <v>13.713747061661699</v>
      </c>
      <c r="H3539" s="81">
        <v>13.1122084810434</v>
      </c>
    </row>
    <row r="3540" spans="1:8" x14ac:dyDescent="0.3">
      <c r="A3540" s="74" t="str">
        <f t="shared" si="55"/>
        <v>云南46383</v>
      </c>
      <c r="B3540" s="75" t="s">
        <v>24</v>
      </c>
      <c r="C3540" s="45">
        <v>46383</v>
      </c>
      <c r="D3540" s="76">
        <v>1751.3071436063401</v>
      </c>
      <c r="E3540" s="77">
        <v>125</v>
      </c>
      <c r="F3540" s="78">
        <v>13.713747061661699</v>
      </c>
      <c r="G3540" s="78">
        <v>13.713747061661699</v>
      </c>
      <c r="H3540" s="81">
        <v>13.1122084810434</v>
      </c>
    </row>
    <row r="3541" spans="1:8" x14ac:dyDescent="0.3">
      <c r="A3541" s="74" t="str">
        <f t="shared" si="55"/>
        <v>云南46384</v>
      </c>
      <c r="B3541" s="75" t="s">
        <v>24</v>
      </c>
      <c r="C3541" s="45">
        <v>46384</v>
      </c>
      <c r="D3541" s="76">
        <v>1751.3071436063401</v>
      </c>
      <c r="E3541" s="77">
        <v>125</v>
      </c>
      <c r="F3541" s="78">
        <v>13.713747061661699</v>
      </c>
      <c r="G3541" s="78">
        <v>13.713747061661699</v>
      </c>
      <c r="H3541" s="81">
        <v>13.1122084810434</v>
      </c>
    </row>
    <row r="3542" spans="1:8" x14ac:dyDescent="0.3">
      <c r="A3542" s="74" t="str">
        <f t="shared" si="55"/>
        <v>云南46385</v>
      </c>
      <c r="B3542" s="75" t="s">
        <v>24</v>
      </c>
      <c r="C3542" s="45">
        <v>46385</v>
      </c>
      <c r="D3542" s="76">
        <v>1751.3071436063401</v>
      </c>
      <c r="E3542" s="77">
        <v>125</v>
      </c>
      <c r="F3542" s="78">
        <v>13.713747061661699</v>
      </c>
      <c r="G3542" s="78">
        <v>13.713747061661699</v>
      </c>
      <c r="H3542" s="81">
        <v>13.1122084810434</v>
      </c>
    </row>
    <row r="3543" spans="1:8" x14ac:dyDescent="0.3">
      <c r="A3543" s="74" t="str">
        <f t="shared" si="55"/>
        <v>云南46386</v>
      </c>
      <c r="B3543" s="75" t="s">
        <v>24</v>
      </c>
      <c r="C3543" s="45">
        <v>46386</v>
      </c>
      <c r="D3543" s="76">
        <v>1751.3071436063401</v>
      </c>
      <c r="E3543" s="77">
        <v>125</v>
      </c>
      <c r="F3543" s="78">
        <v>13.713747061661699</v>
      </c>
      <c r="G3543" s="78">
        <v>13.713747061661699</v>
      </c>
      <c r="H3543" s="81">
        <v>13.1122084810434</v>
      </c>
    </row>
    <row r="3544" spans="1:8" x14ac:dyDescent="0.3">
      <c r="A3544" s="74" t="str">
        <f t="shared" si="55"/>
        <v>云南46387</v>
      </c>
      <c r="B3544" s="82" t="s">
        <v>24</v>
      </c>
      <c r="C3544" s="83">
        <v>46387</v>
      </c>
      <c r="D3544" s="84">
        <v>1751.3071436063401</v>
      </c>
      <c r="E3544" s="85">
        <v>125</v>
      </c>
      <c r="F3544" s="86">
        <v>13.713747061661699</v>
      </c>
      <c r="G3544" s="86">
        <v>13.713747061661699</v>
      </c>
      <c r="H3544" s="87">
        <v>13.1122084810434</v>
      </c>
    </row>
    <row r="3545" spans="1:8" x14ac:dyDescent="0.3">
      <c r="A3545" s="74" t="str">
        <f t="shared" si="55"/>
        <v>重庆46135</v>
      </c>
      <c r="B3545" s="75" t="s">
        <v>25</v>
      </c>
      <c r="C3545" s="45">
        <v>46135</v>
      </c>
      <c r="D3545" s="76">
        <v>1743.6153098985999</v>
      </c>
      <c r="E3545" s="77">
        <v>131.67980806288799</v>
      </c>
      <c r="F3545" s="78">
        <v>9.2995826662828591</v>
      </c>
      <c r="G3545" s="78">
        <v>9.2995826662828591</v>
      </c>
      <c r="H3545" s="81">
        <v>9.8872074646574308</v>
      </c>
    </row>
    <row r="3546" spans="1:8" x14ac:dyDescent="0.3">
      <c r="A3546" s="74" t="str">
        <f t="shared" si="55"/>
        <v>重庆46136</v>
      </c>
      <c r="B3546" s="75" t="s">
        <v>25</v>
      </c>
      <c r="C3546" s="45">
        <v>46136</v>
      </c>
      <c r="D3546" s="76">
        <v>1743.6153098985999</v>
      </c>
      <c r="E3546" s="77">
        <v>131.67980806288799</v>
      </c>
      <c r="F3546" s="78">
        <v>9.2995826662828591</v>
      </c>
      <c r="G3546" s="78">
        <v>9.2995826662828591</v>
      </c>
      <c r="H3546" s="81">
        <v>9.8872074646574308</v>
      </c>
    </row>
    <row r="3547" spans="1:8" x14ac:dyDescent="0.3">
      <c r="A3547" s="74" t="str">
        <f t="shared" si="55"/>
        <v>重庆46137</v>
      </c>
      <c r="B3547" s="75" t="s">
        <v>25</v>
      </c>
      <c r="C3547" s="45">
        <v>46137</v>
      </c>
      <c r="D3547" s="76">
        <v>1743.6153098985999</v>
      </c>
      <c r="E3547" s="77">
        <v>131.67980806288799</v>
      </c>
      <c r="F3547" s="78">
        <v>9.2995826662828591</v>
      </c>
      <c r="G3547" s="78">
        <v>9.2995826662828591</v>
      </c>
      <c r="H3547" s="81">
        <v>9.8872074646574308</v>
      </c>
    </row>
    <row r="3548" spans="1:8" x14ac:dyDescent="0.3">
      <c r="A3548" s="74" t="str">
        <f t="shared" si="55"/>
        <v>重庆46138</v>
      </c>
      <c r="B3548" s="75" t="s">
        <v>25</v>
      </c>
      <c r="C3548" s="45">
        <v>46138</v>
      </c>
      <c r="D3548" s="76">
        <v>1743.6153098985999</v>
      </c>
      <c r="E3548" s="77">
        <v>131.67980806288799</v>
      </c>
      <c r="F3548" s="78">
        <v>9.2995826662828591</v>
      </c>
      <c r="G3548" s="78">
        <v>9.2995826662828591</v>
      </c>
      <c r="H3548" s="81">
        <v>9.8872074646574308</v>
      </c>
    </row>
    <row r="3549" spans="1:8" x14ac:dyDescent="0.3">
      <c r="A3549" s="74" t="str">
        <f t="shared" si="55"/>
        <v>重庆46139</v>
      </c>
      <c r="B3549" s="75" t="s">
        <v>25</v>
      </c>
      <c r="C3549" s="45">
        <v>46139</v>
      </c>
      <c r="D3549" s="76">
        <v>1743.6153098985999</v>
      </c>
      <c r="E3549" s="77">
        <v>131.67980806288799</v>
      </c>
      <c r="F3549" s="78">
        <v>9.2995826662828591</v>
      </c>
      <c r="G3549" s="78">
        <v>9.2995826662828591</v>
      </c>
      <c r="H3549" s="81">
        <v>9.8872074646574308</v>
      </c>
    </row>
    <row r="3550" spans="1:8" x14ac:dyDescent="0.3">
      <c r="A3550" s="74" t="str">
        <f t="shared" si="55"/>
        <v>重庆46140</v>
      </c>
      <c r="B3550" s="75" t="s">
        <v>25</v>
      </c>
      <c r="C3550" s="45">
        <v>46140</v>
      </c>
      <c r="D3550" s="76">
        <v>1743.6153098985999</v>
      </c>
      <c r="E3550" s="77">
        <v>131.67980806288799</v>
      </c>
      <c r="F3550" s="78">
        <v>9.2995826662828591</v>
      </c>
      <c r="G3550" s="78">
        <v>9.2995826662828591</v>
      </c>
      <c r="H3550" s="81">
        <v>9.8872074646574308</v>
      </c>
    </row>
    <row r="3551" spans="1:8" x14ac:dyDescent="0.3">
      <c r="A3551" s="74" t="str">
        <f t="shared" si="55"/>
        <v>重庆46141</v>
      </c>
      <c r="B3551" s="75" t="s">
        <v>25</v>
      </c>
      <c r="C3551" s="45">
        <v>46141</v>
      </c>
      <c r="D3551" s="76">
        <v>1743.6153098985999</v>
      </c>
      <c r="E3551" s="77">
        <v>131.67980806288799</v>
      </c>
      <c r="F3551" s="78">
        <v>9.2995826662828591</v>
      </c>
      <c r="G3551" s="78">
        <v>9.2995826662828591</v>
      </c>
      <c r="H3551" s="81">
        <v>9.8872074646574308</v>
      </c>
    </row>
    <row r="3552" spans="1:8" x14ac:dyDescent="0.3">
      <c r="A3552" s="74" t="str">
        <f t="shared" si="55"/>
        <v>重庆46142</v>
      </c>
      <c r="B3552" s="75" t="s">
        <v>25</v>
      </c>
      <c r="C3552" s="45">
        <v>46142</v>
      </c>
      <c r="D3552" s="76">
        <v>1743.6153098985999</v>
      </c>
      <c r="E3552" s="77">
        <v>131.67980806288799</v>
      </c>
      <c r="F3552" s="78">
        <v>9.2995826662828591</v>
      </c>
      <c r="G3552" s="78">
        <v>9.2995826662828591</v>
      </c>
      <c r="H3552" s="81">
        <v>9.8872074646574308</v>
      </c>
    </row>
    <row r="3553" spans="1:8" x14ac:dyDescent="0.3">
      <c r="A3553" s="74" t="str">
        <f t="shared" si="55"/>
        <v>重庆46143</v>
      </c>
      <c r="B3553" s="75" t="s">
        <v>25</v>
      </c>
      <c r="C3553" s="45">
        <v>46143</v>
      </c>
      <c r="D3553" s="76">
        <v>2084.7274189108198</v>
      </c>
      <c r="E3553" s="77">
        <v>131.78830882192901</v>
      </c>
      <c r="F3553" s="78">
        <v>10.8232995843524</v>
      </c>
      <c r="G3553" s="78">
        <v>10.8232995843524</v>
      </c>
      <c r="H3553" s="81">
        <v>10.111742248215499</v>
      </c>
    </row>
    <row r="3554" spans="1:8" x14ac:dyDescent="0.3">
      <c r="A3554" s="74" t="str">
        <f t="shared" si="55"/>
        <v>重庆46144</v>
      </c>
      <c r="B3554" s="75" t="s">
        <v>25</v>
      </c>
      <c r="C3554" s="45">
        <v>46144</v>
      </c>
      <c r="D3554" s="76">
        <v>2084.7274189108198</v>
      </c>
      <c r="E3554" s="77">
        <v>131.78830882192901</v>
      </c>
      <c r="F3554" s="78">
        <v>10.8232995843524</v>
      </c>
      <c r="G3554" s="78">
        <v>10.8232995843524</v>
      </c>
      <c r="H3554" s="81">
        <v>10.111742248215499</v>
      </c>
    </row>
    <row r="3555" spans="1:8" x14ac:dyDescent="0.3">
      <c r="A3555" s="74" t="str">
        <f t="shared" si="55"/>
        <v>重庆46145</v>
      </c>
      <c r="B3555" s="75" t="s">
        <v>25</v>
      </c>
      <c r="C3555" s="45">
        <v>46145</v>
      </c>
      <c r="D3555" s="76">
        <v>2084.7274189108198</v>
      </c>
      <c r="E3555" s="77">
        <v>131.78830882192901</v>
      </c>
      <c r="F3555" s="78">
        <v>10.8232995843524</v>
      </c>
      <c r="G3555" s="78">
        <v>10.8232995843524</v>
      </c>
      <c r="H3555" s="81">
        <v>10.111742248215499</v>
      </c>
    </row>
    <row r="3556" spans="1:8" x14ac:dyDescent="0.3">
      <c r="A3556" s="74" t="str">
        <f t="shared" si="55"/>
        <v>重庆46146</v>
      </c>
      <c r="B3556" s="75" t="s">
        <v>25</v>
      </c>
      <c r="C3556" s="45">
        <v>46146</v>
      </c>
      <c r="D3556" s="76">
        <v>2084.7274189108198</v>
      </c>
      <c r="E3556" s="77">
        <v>131.78830882192901</v>
      </c>
      <c r="F3556" s="78">
        <v>10.8232995843524</v>
      </c>
      <c r="G3556" s="78">
        <v>10.8232995843524</v>
      </c>
      <c r="H3556" s="81">
        <v>10.111742248215499</v>
      </c>
    </row>
    <row r="3557" spans="1:8" x14ac:dyDescent="0.3">
      <c r="A3557" s="74" t="str">
        <f t="shared" si="55"/>
        <v>重庆46147</v>
      </c>
      <c r="B3557" s="75" t="s">
        <v>25</v>
      </c>
      <c r="C3557" s="45">
        <v>46147</v>
      </c>
      <c r="D3557" s="76">
        <v>2084.7274189108198</v>
      </c>
      <c r="E3557" s="77">
        <v>131.78830882192901</v>
      </c>
      <c r="F3557" s="78">
        <v>10.8232995843524</v>
      </c>
      <c r="G3557" s="78">
        <v>10.8232995843524</v>
      </c>
      <c r="H3557" s="81">
        <v>10.111742248215499</v>
      </c>
    </row>
    <row r="3558" spans="1:8" x14ac:dyDescent="0.3">
      <c r="A3558" s="74" t="str">
        <f t="shared" si="55"/>
        <v>重庆46148</v>
      </c>
      <c r="B3558" s="75" t="s">
        <v>25</v>
      </c>
      <c r="C3558" s="45">
        <v>46148</v>
      </c>
      <c r="D3558" s="76">
        <v>2084.7274189108198</v>
      </c>
      <c r="E3558" s="77">
        <v>131.78830882192901</v>
      </c>
      <c r="F3558" s="78">
        <v>10.8232995843524</v>
      </c>
      <c r="G3558" s="78">
        <v>10.8232995843524</v>
      </c>
      <c r="H3558" s="81">
        <v>10.111742248215499</v>
      </c>
    </row>
    <row r="3559" spans="1:8" x14ac:dyDescent="0.3">
      <c r="A3559" s="74" t="str">
        <f t="shared" si="55"/>
        <v>重庆46149</v>
      </c>
      <c r="B3559" s="75" t="s">
        <v>25</v>
      </c>
      <c r="C3559" s="45">
        <v>46149</v>
      </c>
      <c r="D3559" s="76">
        <v>2084.7274189108198</v>
      </c>
      <c r="E3559" s="77">
        <v>131.78830882192901</v>
      </c>
      <c r="F3559" s="78">
        <v>10.8232995843524</v>
      </c>
      <c r="G3559" s="78">
        <v>10.8232995843524</v>
      </c>
      <c r="H3559" s="81">
        <v>10.111742248215499</v>
      </c>
    </row>
    <row r="3560" spans="1:8" x14ac:dyDescent="0.3">
      <c r="A3560" s="74" t="str">
        <f t="shared" si="55"/>
        <v>重庆46150</v>
      </c>
      <c r="B3560" s="75" t="s">
        <v>25</v>
      </c>
      <c r="C3560" s="45">
        <v>46150</v>
      </c>
      <c r="D3560" s="76">
        <v>2084.7274189108198</v>
      </c>
      <c r="E3560" s="77">
        <v>131.78830882192901</v>
      </c>
      <c r="F3560" s="78">
        <v>10.8232995843524</v>
      </c>
      <c r="G3560" s="78">
        <v>10.8232995843524</v>
      </c>
      <c r="H3560" s="81">
        <v>10.111742248215499</v>
      </c>
    </row>
    <row r="3561" spans="1:8" x14ac:dyDescent="0.3">
      <c r="A3561" s="74" t="str">
        <f t="shared" si="55"/>
        <v>重庆46151</v>
      </c>
      <c r="B3561" s="75" t="s">
        <v>25</v>
      </c>
      <c r="C3561" s="45">
        <v>46151</v>
      </c>
      <c r="D3561" s="76">
        <v>2084.7274189108198</v>
      </c>
      <c r="E3561" s="77">
        <v>131.78830882192901</v>
      </c>
      <c r="F3561" s="78">
        <v>10.8232995843524</v>
      </c>
      <c r="G3561" s="78">
        <v>10.8232995843524</v>
      </c>
      <c r="H3561" s="81">
        <v>10.111742248215499</v>
      </c>
    </row>
    <row r="3562" spans="1:8" x14ac:dyDescent="0.3">
      <c r="A3562" s="74" t="str">
        <f t="shared" si="55"/>
        <v>重庆46152</v>
      </c>
      <c r="B3562" s="75" t="s">
        <v>25</v>
      </c>
      <c r="C3562" s="45">
        <v>46152</v>
      </c>
      <c r="D3562" s="76">
        <v>2084.7274189108198</v>
      </c>
      <c r="E3562" s="77">
        <v>131.78830882192901</v>
      </c>
      <c r="F3562" s="78">
        <v>10.8232995843524</v>
      </c>
      <c r="G3562" s="78">
        <v>10.8232995843524</v>
      </c>
      <c r="H3562" s="81">
        <v>10.111742248215499</v>
      </c>
    </row>
    <row r="3563" spans="1:8" x14ac:dyDescent="0.3">
      <c r="A3563" s="74" t="str">
        <f t="shared" si="55"/>
        <v>重庆46153</v>
      </c>
      <c r="B3563" s="75" t="s">
        <v>25</v>
      </c>
      <c r="C3563" s="45">
        <v>46153</v>
      </c>
      <c r="D3563" s="76">
        <v>2084.7274189108198</v>
      </c>
      <c r="E3563" s="77">
        <v>131.78830882192901</v>
      </c>
      <c r="F3563" s="78">
        <v>10.8232995843524</v>
      </c>
      <c r="G3563" s="78">
        <v>10.8232995843524</v>
      </c>
      <c r="H3563" s="81">
        <v>10.111742248215499</v>
      </c>
    </row>
    <row r="3564" spans="1:8" x14ac:dyDescent="0.3">
      <c r="A3564" s="74" t="str">
        <f t="shared" si="55"/>
        <v>重庆46154</v>
      </c>
      <c r="B3564" s="75" t="s">
        <v>25</v>
      </c>
      <c r="C3564" s="45">
        <v>46154</v>
      </c>
      <c r="D3564" s="76">
        <v>2084.7274189108198</v>
      </c>
      <c r="E3564" s="77">
        <v>131.78830882192901</v>
      </c>
      <c r="F3564" s="78">
        <v>10.8232995843524</v>
      </c>
      <c r="G3564" s="78">
        <v>10.8232995843524</v>
      </c>
      <c r="H3564" s="81">
        <v>10.111742248215499</v>
      </c>
    </row>
    <row r="3565" spans="1:8" x14ac:dyDescent="0.3">
      <c r="A3565" s="74" t="str">
        <f t="shared" si="55"/>
        <v>重庆46155</v>
      </c>
      <c r="B3565" s="75" t="s">
        <v>25</v>
      </c>
      <c r="C3565" s="45">
        <v>46155</v>
      </c>
      <c r="D3565" s="76">
        <v>2084.7274189108198</v>
      </c>
      <c r="E3565" s="77">
        <v>131.78830882192901</v>
      </c>
      <c r="F3565" s="78">
        <v>10.8232995843524</v>
      </c>
      <c r="G3565" s="78">
        <v>10.8232995843524</v>
      </c>
      <c r="H3565" s="81">
        <v>10.111742248215499</v>
      </c>
    </row>
    <row r="3566" spans="1:8" x14ac:dyDescent="0.3">
      <c r="A3566" s="74" t="str">
        <f t="shared" si="55"/>
        <v>重庆46156</v>
      </c>
      <c r="B3566" s="75" t="s">
        <v>25</v>
      </c>
      <c r="C3566" s="45">
        <v>46156</v>
      </c>
      <c r="D3566" s="76">
        <v>2084.7274189108198</v>
      </c>
      <c r="E3566" s="77">
        <v>131.78830882192901</v>
      </c>
      <c r="F3566" s="78">
        <v>10.8232995843524</v>
      </c>
      <c r="G3566" s="78">
        <v>10.8232995843524</v>
      </c>
      <c r="H3566" s="81">
        <v>10.111742248215499</v>
      </c>
    </row>
    <row r="3567" spans="1:8" x14ac:dyDescent="0.3">
      <c r="A3567" s="74" t="str">
        <f t="shared" si="55"/>
        <v>重庆46157</v>
      </c>
      <c r="B3567" s="75" t="s">
        <v>25</v>
      </c>
      <c r="C3567" s="45">
        <v>46157</v>
      </c>
      <c r="D3567" s="76">
        <v>2084.7274189108198</v>
      </c>
      <c r="E3567" s="77">
        <v>131.78830882192901</v>
      </c>
      <c r="F3567" s="78">
        <v>10.8232995843524</v>
      </c>
      <c r="G3567" s="78">
        <v>10.8232995843524</v>
      </c>
      <c r="H3567" s="81">
        <v>10.111742248215499</v>
      </c>
    </row>
    <row r="3568" spans="1:8" x14ac:dyDescent="0.3">
      <c r="A3568" s="74" t="str">
        <f t="shared" si="55"/>
        <v>重庆46158</v>
      </c>
      <c r="B3568" s="75" t="s">
        <v>25</v>
      </c>
      <c r="C3568" s="45">
        <v>46158</v>
      </c>
      <c r="D3568" s="76">
        <v>2084.7274189108198</v>
      </c>
      <c r="E3568" s="77">
        <v>131.78830882192901</v>
      </c>
      <c r="F3568" s="78">
        <v>10.8232995843524</v>
      </c>
      <c r="G3568" s="78">
        <v>10.8232995843524</v>
      </c>
      <c r="H3568" s="81">
        <v>10.111742248215499</v>
      </c>
    </row>
    <row r="3569" spans="1:8" x14ac:dyDescent="0.3">
      <c r="A3569" s="74" t="str">
        <f t="shared" si="55"/>
        <v>重庆46159</v>
      </c>
      <c r="B3569" s="75" t="s">
        <v>25</v>
      </c>
      <c r="C3569" s="45">
        <v>46159</v>
      </c>
      <c r="D3569" s="76">
        <v>2084.7274189108198</v>
      </c>
      <c r="E3569" s="77">
        <v>131.78830882192901</v>
      </c>
      <c r="F3569" s="78">
        <v>10.8232995843524</v>
      </c>
      <c r="G3569" s="78">
        <v>10.8232995843524</v>
      </c>
      <c r="H3569" s="81">
        <v>10.111742248215499</v>
      </c>
    </row>
    <row r="3570" spans="1:8" x14ac:dyDescent="0.3">
      <c r="A3570" s="74" t="str">
        <f t="shared" si="55"/>
        <v>重庆46160</v>
      </c>
      <c r="B3570" s="75" t="s">
        <v>25</v>
      </c>
      <c r="C3570" s="45">
        <v>46160</v>
      </c>
      <c r="D3570" s="76">
        <v>2084.7274189108198</v>
      </c>
      <c r="E3570" s="77">
        <v>131.78830882192901</v>
      </c>
      <c r="F3570" s="78">
        <v>10.8232995843524</v>
      </c>
      <c r="G3570" s="78">
        <v>10.8232995843524</v>
      </c>
      <c r="H3570" s="81">
        <v>10.111742248215499</v>
      </c>
    </row>
    <row r="3571" spans="1:8" x14ac:dyDescent="0.3">
      <c r="A3571" s="74" t="str">
        <f t="shared" si="55"/>
        <v>重庆46161</v>
      </c>
      <c r="B3571" s="75" t="s">
        <v>25</v>
      </c>
      <c r="C3571" s="45">
        <v>46161</v>
      </c>
      <c r="D3571" s="76">
        <v>2084.7274189108198</v>
      </c>
      <c r="E3571" s="77">
        <v>131.78830882192901</v>
      </c>
      <c r="F3571" s="78">
        <v>10.8232995843524</v>
      </c>
      <c r="G3571" s="78">
        <v>10.8232995843524</v>
      </c>
      <c r="H3571" s="81">
        <v>10.111742248215499</v>
      </c>
    </row>
    <row r="3572" spans="1:8" x14ac:dyDescent="0.3">
      <c r="A3572" s="74" t="str">
        <f t="shared" si="55"/>
        <v>重庆46162</v>
      </c>
      <c r="B3572" s="75" t="s">
        <v>25</v>
      </c>
      <c r="C3572" s="45">
        <v>46162</v>
      </c>
      <c r="D3572" s="76">
        <v>2084.7274189108198</v>
      </c>
      <c r="E3572" s="77">
        <v>131.78830882192901</v>
      </c>
      <c r="F3572" s="78">
        <v>10.8232995843524</v>
      </c>
      <c r="G3572" s="78">
        <v>10.8232995843524</v>
      </c>
      <c r="H3572" s="81">
        <v>10.111742248215499</v>
      </c>
    </row>
    <row r="3573" spans="1:8" x14ac:dyDescent="0.3">
      <c r="A3573" s="74" t="str">
        <f t="shared" si="55"/>
        <v>重庆46163</v>
      </c>
      <c r="B3573" s="75" t="s">
        <v>25</v>
      </c>
      <c r="C3573" s="45">
        <v>46163</v>
      </c>
      <c r="D3573" s="76">
        <v>2084.7274189108198</v>
      </c>
      <c r="E3573" s="77">
        <v>131.78830882192901</v>
      </c>
      <c r="F3573" s="78">
        <v>10.8232995843524</v>
      </c>
      <c r="G3573" s="78">
        <v>10.8232995843524</v>
      </c>
      <c r="H3573" s="81">
        <v>10.111742248215499</v>
      </c>
    </row>
    <row r="3574" spans="1:8" x14ac:dyDescent="0.3">
      <c r="A3574" s="74" t="str">
        <f t="shared" si="55"/>
        <v>重庆46164</v>
      </c>
      <c r="B3574" s="75" t="s">
        <v>25</v>
      </c>
      <c r="C3574" s="45">
        <v>46164</v>
      </c>
      <c r="D3574" s="76">
        <v>2084.7274189108198</v>
      </c>
      <c r="E3574" s="77">
        <v>131.78830882192901</v>
      </c>
      <c r="F3574" s="78">
        <v>10.8232995843524</v>
      </c>
      <c r="G3574" s="78">
        <v>10.8232995843524</v>
      </c>
      <c r="H3574" s="81">
        <v>10.111742248215499</v>
      </c>
    </row>
    <row r="3575" spans="1:8" x14ac:dyDescent="0.3">
      <c r="A3575" s="74" t="str">
        <f t="shared" si="55"/>
        <v>重庆46165</v>
      </c>
      <c r="B3575" s="75" t="s">
        <v>25</v>
      </c>
      <c r="C3575" s="45">
        <v>46165</v>
      </c>
      <c r="D3575" s="76">
        <v>2084.7274189108198</v>
      </c>
      <c r="E3575" s="77">
        <v>131.78830882192901</v>
      </c>
      <c r="F3575" s="78">
        <v>10.8232995843524</v>
      </c>
      <c r="G3575" s="78">
        <v>10.8232995843524</v>
      </c>
      <c r="H3575" s="81">
        <v>10.111742248215499</v>
      </c>
    </row>
    <row r="3576" spans="1:8" x14ac:dyDescent="0.3">
      <c r="A3576" s="74" t="str">
        <f t="shared" si="55"/>
        <v>重庆46166</v>
      </c>
      <c r="B3576" s="75" t="s">
        <v>25</v>
      </c>
      <c r="C3576" s="45">
        <v>46166</v>
      </c>
      <c r="D3576" s="76">
        <v>2084.7274189108198</v>
      </c>
      <c r="E3576" s="77">
        <v>131.78830882192901</v>
      </c>
      <c r="F3576" s="78">
        <v>10.8232995843524</v>
      </c>
      <c r="G3576" s="78">
        <v>10.8232995843524</v>
      </c>
      <c r="H3576" s="81">
        <v>10.111742248215499</v>
      </c>
    </row>
    <row r="3577" spans="1:8" x14ac:dyDescent="0.3">
      <c r="A3577" s="74" t="str">
        <f t="shared" si="55"/>
        <v>重庆46167</v>
      </c>
      <c r="B3577" s="75" t="s">
        <v>25</v>
      </c>
      <c r="C3577" s="45">
        <v>46167</v>
      </c>
      <c r="D3577" s="76">
        <v>2084.7274189108198</v>
      </c>
      <c r="E3577" s="77">
        <v>131.78830882192901</v>
      </c>
      <c r="F3577" s="78">
        <v>10.8232995843524</v>
      </c>
      <c r="G3577" s="78">
        <v>10.8232995843524</v>
      </c>
      <c r="H3577" s="81">
        <v>10.111742248215499</v>
      </c>
    </row>
    <row r="3578" spans="1:8" x14ac:dyDescent="0.3">
      <c r="A3578" s="74" t="str">
        <f t="shared" si="55"/>
        <v>重庆46168</v>
      </c>
      <c r="B3578" s="75" t="s">
        <v>25</v>
      </c>
      <c r="C3578" s="45">
        <v>46168</v>
      </c>
      <c r="D3578" s="76">
        <v>2084.7274189108198</v>
      </c>
      <c r="E3578" s="77">
        <v>131.78830882192901</v>
      </c>
      <c r="F3578" s="78">
        <v>10.8232995843524</v>
      </c>
      <c r="G3578" s="78">
        <v>10.8232995843524</v>
      </c>
      <c r="H3578" s="81">
        <v>10.111742248215499</v>
      </c>
    </row>
    <row r="3579" spans="1:8" x14ac:dyDescent="0.3">
      <c r="A3579" s="74" t="str">
        <f t="shared" si="55"/>
        <v>重庆46169</v>
      </c>
      <c r="B3579" s="75" t="s">
        <v>25</v>
      </c>
      <c r="C3579" s="45">
        <v>46169</v>
      </c>
      <c r="D3579" s="76">
        <v>2084.7274189108198</v>
      </c>
      <c r="E3579" s="77">
        <v>131.78830882192901</v>
      </c>
      <c r="F3579" s="78">
        <v>10.8232995843524</v>
      </c>
      <c r="G3579" s="78">
        <v>10.8232995843524</v>
      </c>
      <c r="H3579" s="81">
        <v>10.111742248215499</v>
      </c>
    </row>
    <row r="3580" spans="1:8" x14ac:dyDescent="0.3">
      <c r="A3580" s="74" t="str">
        <f t="shared" si="55"/>
        <v>重庆46170</v>
      </c>
      <c r="B3580" s="75" t="s">
        <v>25</v>
      </c>
      <c r="C3580" s="45">
        <v>46170</v>
      </c>
      <c r="D3580" s="76">
        <v>2084.7274189108198</v>
      </c>
      <c r="E3580" s="77">
        <v>131.78830882192901</v>
      </c>
      <c r="F3580" s="78">
        <v>10.8232995843524</v>
      </c>
      <c r="G3580" s="78">
        <v>10.8232995843524</v>
      </c>
      <c r="H3580" s="81">
        <v>10.111742248215499</v>
      </c>
    </row>
    <row r="3581" spans="1:8" x14ac:dyDescent="0.3">
      <c r="A3581" s="74" t="str">
        <f t="shared" si="55"/>
        <v>重庆46171</v>
      </c>
      <c r="B3581" s="75" t="s">
        <v>25</v>
      </c>
      <c r="C3581" s="45">
        <v>46171</v>
      </c>
      <c r="D3581" s="76">
        <v>2084.7274189108198</v>
      </c>
      <c r="E3581" s="77">
        <v>131.78830882192901</v>
      </c>
      <c r="F3581" s="78">
        <v>10.8232995843524</v>
      </c>
      <c r="G3581" s="78">
        <v>10.8232995843524</v>
      </c>
      <c r="H3581" s="81">
        <v>10.111742248215499</v>
      </c>
    </row>
    <row r="3582" spans="1:8" x14ac:dyDescent="0.3">
      <c r="A3582" s="74" t="str">
        <f t="shared" si="55"/>
        <v>重庆46172</v>
      </c>
      <c r="B3582" s="75" t="s">
        <v>25</v>
      </c>
      <c r="C3582" s="45">
        <v>46172</v>
      </c>
      <c r="D3582" s="76">
        <v>2084.7274189108198</v>
      </c>
      <c r="E3582" s="77">
        <v>131.78830882192901</v>
      </c>
      <c r="F3582" s="78">
        <v>10.8232995843524</v>
      </c>
      <c r="G3582" s="78">
        <v>10.8232995843524</v>
      </c>
      <c r="H3582" s="81">
        <v>10.111742248215499</v>
      </c>
    </row>
    <row r="3583" spans="1:8" x14ac:dyDescent="0.3">
      <c r="A3583" s="74" t="str">
        <f t="shared" si="55"/>
        <v>重庆46173</v>
      </c>
      <c r="B3583" s="75" t="s">
        <v>25</v>
      </c>
      <c r="C3583" s="45">
        <v>46173</v>
      </c>
      <c r="D3583" s="76">
        <v>2084.7274189108198</v>
      </c>
      <c r="E3583" s="77">
        <v>131.78830882192901</v>
      </c>
      <c r="F3583" s="78">
        <v>10.8232995843524</v>
      </c>
      <c r="G3583" s="78">
        <v>10.8232995843524</v>
      </c>
      <c r="H3583" s="81">
        <v>10.111742248215499</v>
      </c>
    </row>
    <row r="3584" spans="1:8" x14ac:dyDescent="0.3">
      <c r="A3584" s="74" t="str">
        <f t="shared" si="55"/>
        <v>重庆46174</v>
      </c>
      <c r="B3584" s="75" t="s">
        <v>25</v>
      </c>
      <c r="C3584" s="45">
        <v>46174</v>
      </c>
      <c r="D3584" s="76">
        <v>1530.27838178042</v>
      </c>
      <c r="E3584" s="77">
        <v>131.42482667559599</v>
      </c>
      <c r="F3584" s="78">
        <v>11.877347111279001</v>
      </c>
      <c r="G3584" s="78">
        <v>11.877347111279001</v>
      </c>
      <c r="H3584" s="81">
        <v>11.006540922865801</v>
      </c>
    </row>
    <row r="3585" spans="1:8" x14ac:dyDescent="0.3">
      <c r="A3585" s="74" t="str">
        <f t="shared" si="55"/>
        <v>重庆46175</v>
      </c>
      <c r="B3585" s="75" t="s">
        <v>25</v>
      </c>
      <c r="C3585" s="45">
        <v>46175</v>
      </c>
      <c r="D3585" s="76">
        <v>1530.27838178042</v>
      </c>
      <c r="E3585" s="77">
        <v>131.42482667559599</v>
      </c>
      <c r="F3585" s="78">
        <v>11.877347111279001</v>
      </c>
      <c r="G3585" s="78">
        <v>11.877347111279001</v>
      </c>
      <c r="H3585" s="81">
        <v>11.006540922865801</v>
      </c>
    </row>
    <row r="3586" spans="1:8" x14ac:dyDescent="0.3">
      <c r="A3586" s="74" t="str">
        <f t="shared" si="55"/>
        <v>重庆46176</v>
      </c>
      <c r="B3586" s="75" t="s">
        <v>25</v>
      </c>
      <c r="C3586" s="45">
        <v>46176</v>
      </c>
      <c r="D3586" s="76">
        <v>1530.27838178042</v>
      </c>
      <c r="E3586" s="77">
        <v>131.42482667559599</v>
      </c>
      <c r="F3586" s="78">
        <v>11.877347111279001</v>
      </c>
      <c r="G3586" s="78">
        <v>11.877347111279001</v>
      </c>
      <c r="H3586" s="81">
        <v>11.006540922865801</v>
      </c>
    </row>
    <row r="3587" spans="1:8" x14ac:dyDescent="0.3">
      <c r="A3587" s="74" t="str">
        <f t="shared" ref="A3587:A3650" si="56">B3587&amp;C3587</f>
        <v>重庆46177</v>
      </c>
      <c r="B3587" s="75" t="s">
        <v>25</v>
      </c>
      <c r="C3587" s="45">
        <v>46177</v>
      </c>
      <c r="D3587" s="76">
        <v>1530.27838178042</v>
      </c>
      <c r="E3587" s="77">
        <v>131.42482667559599</v>
      </c>
      <c r="F3587" s="78">
        <v>11.877347111279001</v>
      </c>
      <c r="G3587" s="78">
        <v>11.877347111279001</v>
      </c>
      <c r="H3587" s="81">
        <v>11.006540922865801</v>
      </c>
    </row>
    <row r="3588" spans="1:8" x14ac:dyDescent="0.3">
      <c r="A3588" s="74" t="str">
        <f t="shared" si="56"/>
        <v>重庆46178</v>
      </c>
      <c r="B3588" s="75" t="s">
        <v>25</v>
      </c>
      <c r="C3588" s="45">
        <v>46178</v>
      </c>
      <c r="D3588" s="76">
        <v>1530.27838178042</v>
      </c>
      <c r="E3588" s="77">
        <v>131.42482667559599</v>
      </c>
      <c r="F3588" s="78">
        <v>11.877347111279001</v>
      </c>
      <c r="G3588" s="78">
        <v>11.877347111279001</v>
      </c>
      <c r="H3588" s="81">
        <v>11.006540922865801</v>
      </c>
    </row>
    <row r="3589" spans="1:8" x14ac:dyDescent="0.3">
      <c r="A3589" s="74" t="str">
        <f t="shared" si="56"/>
        <v>重庆46179</v>
      </c>
      <c r="B3589" s="75" t="s">
        <v>25</v>
      </c>
      <c r="C3589" s="45">
        <v>46179</v>
      </c>
      <c r="D3589" s="76">
        <v>1530.27838178042</v>
      </c>
      <c r="E3589" s="77">
        <v>131.42482667559599</v>
      </c>
      <c r="F3589" s="78">
        <v>11.877347111279001</v>
      </c>
      <c r="G3589" s="78">
        <v>11.877347111279001</v>
      </c>
      <c r="H3589" s="81">
        <v>11.006540922865801</v>
      </c>
    </row>
    <row r="3590" spans="1:8" x14ac:dyDescent="0.3">
      <c r="A3590" s="74" t="str">
        <f t="shared" si="56"/>
        <v>重庆46180</v>
      </c>
      <c r="B3590" s="75" t="s">
        <v>25</v>
      </c>
      <c r="C3590" s="45">
        <v>46180</v>
      </c>
      <c r="D3590" s="76">
        <v>1530.27838178042</v>
      </c>
      <c r="E3590" s="77">
        <v>131.42482667559599</v>
      </c>
      <c r="F3590" s="78">
        <v>11.877347111279001</v>
      </c>
      <c r="G3590" s="78">
        <v>11.877347111279001</v>
      </c>
      <c r="H3590" s="81">
        <v>11.006540922865801</v>
      </c>
    </row>
    <row r="3591" spans="1:8" x14ac:dyDescent="0.3">
      <c r="A3591" s="74" t="str">
        <f t="shared" si="56"/>
        <v>重庆46181</v>
      </c>
      <c r="B3591" s="75" t="s">
        <v>25</v>
      </c>
      <c r="C3591" s="45">
        <v>46181</v>
      </c>
      <c r="D3591" s="76">
        <v>1530.27838178042</v>
      </c>
      <c r="E3591" s="77">
        <v>131.42482667559599</v>
      </c>
      <c r="F3591" s="78">
        <v>11.877347111279001</v>
      </c>
      <c r="G3591" s="78">
        <v>11.877347111279001</v>
      </c>
      <c r="H3591" s="81">
        <v>11.006540922865801</v>
      </c>
    </row>
    <row r="3592" spans="1:8" x14ac:dyDescent="0.3">
      <c r="A3592" s="74" t="str">
        <f t="shared" si="56"/>
        <v>重庆46182</v>
      </c>
      <c r="B3592" s="75" t="s">
        <v>25</v>
      </c>
      <c r="C3592" s="45">
        <v>46182</v>
      </c>
      <c r="D3592" s="76">
        <v>1530.27838178042</v>
      </c>
      <c r="E3592" s="77">
        <v>131.42482667559599</v>
      </c>
      <c r="F3592" s="78">
        <v>11.877347111279001</v>
      </c>
      <c r="G3592" s="78">
        <v>11.877347111279001</v>
      </c>
      <c r="H3592" s="81">
        <v>11.006540922865801</v>
      </c>
    </row>
    <row r="3593" spans="1:8" x14ac:dyDescent="0.3">
      <c r="A3593" s="74" t="str">
        <f t="shared" si="56"/>
        <v>重庆46183</v>
      </c>
      <c r="B3593" s="75" t="s">
        <v>25</v>
      </c>
      <c r="C3593" s="45">
        <v>46183</v>
      </c>
      <c r="D3593" s="76">
        <v>1530.27838178042</v>
      </c>
      <c r="E3593" s="77">
        <v>131.42482667559599</v>
      </c>
      <c r="F3593" s="78">
        <v>11.877347111279001</v>
      </c>
      <c r="G3593" s="78">
        <v>11.877347111279001</v>
      </c>
      <c r="H3593" s="81">
        <v>11.006540922865801</v>
      </c>
    </row>
    <row r="3594" spans="1:8" x14ac:dyDescent="0.3">
      <c r="A3594" s="74" t="str">
        <f t="shared" si="56"/>
        <v>重庆46184</v>
      </c>
      <c r="B3594" s="75" t="s">
        <v>25</v>
      </c>
      <c r="C3594" s="45">
        <v>46184</v>
      </c>
      <c r="D3594" s="76">
        <v>1530.27838178042</v>
      </c>
      <c r="E3594" s="77">
        <v>131.42482667559599</v>
      </c>
      <c r="F3594" s="78">
        <v>11.877347111279001</v>
      </c>
      <c r="G3594" s="78">
        <v>11.877347111279001</v>
      </c>
      <c r="H3594" s="81">
        <v>11.006540922865801</v>
      </c>
    </row>
    <row r="3595" spans="1:8" x14ac:dyDescent="0.3">
      <c r="A3595" s="74" t="str">
        <f t="shared" si="56"/>
        <v>重庆46185</v>
      </c>
      <c r="B3595" s="75" t="s">
        <v>25</v>
      </c>
      <c r="C3595" s="45">
        <v>46185</v>
      </c>
      <c r="D3595" s="76">
        <v>1530.27838178042</v>
      </c>
      <c r="E3595" s="77">
        <v>131.42482667559599</v>
      </c>
      <c r="F3595" s="78">
        <v>11.877347111279001</v>
      </c>
      <c r="G3595" s="78">
        <v>11.877347111279001</v>
      </c>
      <c r="H3595" s="81">
        <v>11.006540922865801</v>
      </c>
    </row>
    <row r="3596" spans="1:8" x14ac:dyDescent="0.3">
      <c r="A3596" s="74" t="str">
        <f t="shared" si="56"/>
        <v>重庆46186</v>
      </c>
      <c r="B3596" s="75" t="s">
        <v>25</v>
      </c>
      <c r="C3596" s="45">
        <v>46186</v>
      </c>
      <c r="D3596" s="76">
        <v>1530.27838178042</v>
      </c>
      <c r="E3596" s="77">
        <v>131.42482667559599</v>
      </c>
      <c r="F3596" s="78">
        <v>11.877347111279001</v>
      </c>
      <c r="G3596" s="78">
        <v>11.877347111279001</v>
      </c>
      <c r="H3596" s="81">
        <v>11.006540922865801</v>
      </c>
    </row>
    <row r="3597" spans="1:8" x14ac:dyDescent="0.3">
      <c r="A3597" s="74" t="str">
        <f t="shared" si="56"/>
        <v>重庆46187</v>
      </c>
      <c r="B3597" s="75" t="s">
        <v>25</v>
      </c>
      <c r="C3597" s="45">
        <v>46187</v>
      </c>
      <c r="D3597" s="76">
        <v>1530.27838178042</v>
      </c>
      <c r="E3597" s="77">
        <v>131.42482667559599</v>
      </c>
      <c r="F3597" s="78">
        <v>11.877347111279001</v>
      </c>
      <c r="G3597" s="78">
        <v>11.877347111279001</v>
      </c>
      <c r="H3597" s="81">
        <v>11.006540922865801</v>
      </c>
    </row>
    <row r="3598" spans="1:8" x14ac:dyDescent="0.3">
      <c r="A3598" s="74" t="str">
        <f t="shared" si="56"/>
        <v>重庆46188</v>
      </c>
      <c r="B3598" s="75" t="s">
        <v>25</v>
      </c>
      <c r="C3598" s="45">
        <v>46188</v>
      </c>
      <c r="D3598" s="76">
        <v>1530.27838178042</v>
      </c>
      <c r="E3598" s="77">
        <v>131.42482667559599</v>
      </c>
      <c r="F3598" s="78">
        <v>11.877347111279001</v>
      </c>
      <c r="G3598" s="78">
        <v>11.877347111279001</v>
      </c>
      <c r="H3598" s="81">
        <v>11.006540922865801</v>
      </c>
    </row>
    <row r="3599" spans="1:8" x14ac:dyDescent="0.3">
      <c r="A3599" s="74" t="str">
        <f t="shared" si="56"/>
        <v>重庆46189</v>
      </c>
      <c r="B3599" s="75" t="s">
        <v>25</v>
      </c>
      <c r="C3599" s="45">
        <v>46189</v>
      </c>
      <c r="D3599" s="76">
        <v>1530.27838178042</v>
      </c>
      <c r="E3599" s="77">
        <v>131.42482667559599</v>
      </c>
      <c r="F3599" s="78">
        <v>11.877347111279001</v>
      </c>
      <c r="G3599" s="78">
        <v>11.877347111279001</v>
      </c>
      <c r="H3599" s="81">
        <v>11.006540922865801</v>
      </c>
    </row>
    <row r="3600" spans="1:8" x14ac:dyDescent="0.3">
      <c r="A3600" s="74" t="str">
        <f t="shared" si="56"/>
        <v>重庆46190</v>
      </c>
      <c r="B3600" s="75" t="s">
        <v>25</v>
      </c>
      <c r="C3600" s="45">
        <v>46190</v>
      </c>
      <c r="D3600" s="76">
        <v>1530.27838178042</v>
      </c>
      <c r="E3600" s="77">
        <v>131.42482667559599</v>
      </c>
      <c r="F3600" s="78">
        <v>11.877347111279001</v>
      </c>
      <c r="G3600" s="78">
        <v>11.877347111279001</v>
      </c>
      <c r="H3600" s="81">
        <v>11.006540922865801</v>
      </c>
    </row>
    <row r="3601" spans="1:8" x14ac:dyDescent="0.3">
      <c r="A3601" s="74" t="str">
        <f t="shared" si="56"/>
        <v>重庆46191</v>
      </c>
      <c r="B3601" s="75" t="s">
        <v>25</v>
      </c>
      <c r="C3601" s="45">
        <v>46191</v>
      </c>
      <c r="D3601" s="76">
        <v>1530.27838178042</v>
      </c>
      <c r="E3601" s="77">
        <v>131.42482667559599</v>
      </c>
      <c r="F3601" s="78">
        <v>11.877347111279001</v>
      </c>
      <c r="G3601" s="78">
        <v>11.877347111279001</v>
      </c>
      <c r="H3601" s="81">
        <v>11.006540922865801</v>
      </c>
    </row>
    <row r="3602" spans="1:8" x14ac:dyDescent="0.3">
      <c r="A3602" s="74" t="str">
        <f t="shared" si="56"/>
        <v>重庆46192</v>
      </c>
      <c r="B3602" s="75" t="s">
        <v>25</v>
      </c>
      <c r="C3602" s="45">
        <v>46192</v>
      </c>
      <c r="D3602" s="76">
        <v>1530.27838178042</v>
      </c>
      <c r="E3602" s="77">
        <v>131.42482667559599</v>
      </c>
      <c r="F3602" s="78">
        <v>11.877347111279001</v>
      </c>
      <c r="G3602" s="78">
        <v>11.877347111279001</v>
      </c>
      <c r="H3602" s="81">
        <v>11.006540922865801</v>
      </c>
    </row>
    <row r="3603" spans="1:8" x14ac:dyDescent="0.3">
      <c r="A3603" s="74" t="str">
        <f t="shared" si="56"/>
        <v>重庆46193</v>
      </c>
      <c r="B3603" s="75" t="s">
        <v>25</v>
      </c>
      <c r="C3603" s="45">
        <v>46193</v>
      </c>
      <c r="D3603" s="76">
        <v>1530.27838178042</v>
      </c>
      <c r="E3603" s="77">
        <v>131.42482667559599</v>
      </c>
      <c r="F3603" s="78">
        <v>11.877347111279001</v>
      </c>
      <c r="G3603" s="78">
        <v>11.877347111279001</v>
      </c>
      <c r="H3603" s="81">
        <v>11.006540922865801</v>
      </c>
    </row>
    <row r="3604" spans="1:8" x14ac:dyDescent="0.3">
      <c r="A3604" s="74" t="str">
        <f t="shared" si="56"/>
        <v>重庆46194</v>
      </c>
      <c r="B3604" s="75" t="s">
        <v>25</v>
      </c>
      <c r="C3604" s="45">
        <v>46194</v>
      </c>
      <c r="D3604" s="76">
        <v>1530.27838178042</v>
      </c>
      <c r="E3604" s="77">
        <v>131.42482667559599</v>
      </c>
      <c r="F3604" s="78">
        <v>11.877347111279001</v>
      </c>
      <c r="G3604" s="78">
        <v>11.877347111279001</v>
      </c>
      <c r="H3604" s="81">
        <v>11.006540922865801</v>
      </c>
    </row>
    <row r="3605" spans="1:8" x14ac:dyDescent="0.3">
      <c r="A3605" s="74" t="str">
        <f t="shared" si="56"/>
        <v>重庆46195</v>
      </c>
      <c r="B3605" s="75" t="s">
        <v>25</v>
      </c>
      <c r="C3605" s="45">
        <v>46195</v>
      </c>
      <c r="D3605" s="76">
        <v>1530.27838178042</v>
      </c>
      <c r="E3605" s="77">
        <v>131.42482667559599</v>
      </c>
      <c r="F3605" s="78">
        <v>11.877347111279001</v>
      </c>
      <c r="G3605" s="78">
        <v>11.877347111279001</v>
      </c>
      <c r="H3605" s="81">
        <v>11.006540922865801</v>
      </c>
    </row>
    <row r="3606" spans="1:8" x14ac:dyDescent="0.3">
      <c r="A3606" s="74" t="str">
        <f t="shared" si="56"/>
        <v>重庆46196</v>
      </c>
      <c r="B3606" s="75" t="s">
        <v>25</v>
      </c>
      <c r="C3606" s="45">
        <v>46196</v>
      </c>
      <c r="D3606" s="76">
        <v>1530.27838178042</v>
      </c>
      <c r="E3606" s="77">
        <v>131.42482667559599</v>
      </c>
      <c r="F3606" s="78">
        <v>11.877347111279001</v>
      </c>
      <c r="G3606" s="78">
        <v>11.877347111279001</v>
      </c>
      <c r="H3606" s="81">
        <v>11.006540922865801</v>
      </c>
    </row>
    <row r="3607" spans="1:8" x14ac:dyDescent="0.3">
      <c r="A3607" s="74" t="str">
        <f t="shared" si="56"/>
        <v>重庆46197</v>
      </c>
      <c r="B3607" s="75" t="s">
        <v>25</v>
      </c>
      <c r="C3607" s="45">
        <v>46197</v>
      </c>
      <c r="D3607" s="76">
        <v>1530.27838178042</v>
      </c>
      <c r="E3607" s="77">
        <v>131.42482667559599</v>
      </c>
      <c r="F3607" s="78">
        <v>11.877347111279001</v>
      </c>
      <c r="G3607" s="78">
        <v>11.877347111279001</v>
      </c>
      <c r="H3607" s="81">
        <v>11.006540922865801</v>
      </c>
    </row>
    <row r="3608" spans="1:8" x14ac:dyDescent="0.3">
      <c r="A3608" s="74" t="str">
        <f t="shared" si="56"/>
        <v>重庆46198</v>
      </c>
      <c r="B3608" s="75" t="s">
        <v>25</v>
      </c>
      <c r="C3608" s="45">
        <v>46198</v>
      </c>
      <c r="D3608" s="76">
        <v>1530.27838178042</v>
      </c>
      <c r="E3608" s="77">
        <v>131.42482667559599</v>
      </c>
      <c r="F3608" s="78">
        <v>11.877347111279001</v>
      </c>
      <c r="G3608" s="78">
        <v>11.877347111279001</v>
      </c>
      <c r="H3608" s="81">
        <v>11.006540922865801</v>
      </c>
    </row>
    <row r="3609" spans="1:8" x14ac:dyDescent="0.3">
      <c r="A3609" s="74" t="str">
        <f t="shared" si="56"/>
        <v>重庆46199</v>
      </c>
      <c r="B3609" s="75" t="s">
        <v>25</v>
      </c>
      <c r="C3609" s="45">
        <v>46199</v>
      </c>
      <c r="D3609" s="76">
        <v>1530.27838178042</v>
      </c>
      <c r="E3609" s="77">
        <v>131.42482667559599</v>
      </c>
      <c r="F3609" s="78">
        <v>11.877347111279001</v>
      </c>
      <c r="G3609" s="78">
        <v>11.877347111279001</v>
      </c>
      <c r="H3609" s="81">
        <v>11.006540922865801</v>
      </c>
    </row>
    <row r="3610" spans="1:8" x14ac:dyDescent="0.3">
      <c r="A3610" s="74" t="str">
        <f t="shared" si="56"/>
        <v>重庆46200</v>
      </c>
      <c r="B3610" s="75" t="s">
        <v>25</v>
      </c>
      <c r="C3610" s="45">
        <v>46200</v>
      </c>
      <c r="D3610" s="76">
        <v>1530.27838178042</v>
      </c>
      <c r="E3610" s="77">
        <v>131.42482667559599</v>
      </c>
      <c r="F3610" s="78">
        <v>11.877347111279001</v>
      </c>
      <c r="G3610" s="78">
        <v>11.877347111279001</v>
      </c>
      <c r="H3610" s="81">
        <v>11.006540922865801</v>
      </c>
    </row>
    <row r="3611" spans="1:8" x14ac:dyDescent="0.3">
      <c r="A3611" s="74" t="str">
        <f t="shared" si="56"/>
        <v>重庆46201</v>
      </c>
      <c r="B3611" s="75" t="s">
        <v>25</v>
      </c>
      <c r="C3611" s="45">
        <v>46201</v>
      </c>
      <c r="D3611" s="76">
        <v>1530.27838178042</v>
      </c>
      <c r="E3611" s="77">
        <v>131.42482667559599</v>
      </c>
      <c r="F3611" s="78">
        <v>11.877347111279001</v>
      </c>
      <c r="G3611" s="78">
        <v>11.877347111279001</v>
      </c>
      <c r="H3611" s="81">
        <v>11.006540922865801</v>
      </c>
    </row>
    <row r="3612" spans="1:8" x14ac:dyDescent="0.3">
      <c r="A3612" s="74" t="str">
        <f t="shared" si="56"/>
        <v>重庆46202</v>
      </c>
      <c r="B3612" s="75" t="s">
        <v>25</v>
      </c>
      <c r="C3612" s="45">
        <v>46202</v>
      </c>
      <c r="D3612" s="76">
        <v>1530.27838178042</v>
      </c>
      <c r="E3612" s="77">
        <v>131.42482667559599</v>
      </c>
      <c r="F3612" s="78">
        <v>11.877347111279001</v>
      </c>
      <c r="G3612" s="78">
        <v>11.877347111279001</v>
      </c>
      <c r="H3612" s="81">
        <v>11.006540922865801</v>
      </c>
    </row>
    <row r="3613" spans="1:8" x14ac:dyDescent="0.3">
      <c r="A3613" s="74" t="str">
        <f t="shared" si="56"/>
        <v>重庆46203</v>
      </c>
      <c r="B3613" s="75" t="s">
        <v>25</v>
      </c>
      <c r="C3613" s="45">
        <v>46203</v>
      </c>
      <c r="D3613" s="76">
        <v>1530.27838178042</v>
      </c>
      <c r="E3613" s="77">
        <v>131.42482667559599</v>
      </c>
      <c r="F3613" s="78">
        <v>11.877347111279001</v>
      </c>
      <c r="G3613" s="78">
        <v>11.877347111279001</v>
      </c>
      <c r="H3613" s="81">
        <v>11.006540922865801</v>
      </c>
    </row>
    <row r="3614" spans="1:8" x14ac:dyDescent="0.3">
      <c r="A3614" s="74" t="str">
        <f t="shared" si="56"/>
        <v>重庆46204</v>
      </c>
      <c r="B3614" s="75" t="s">
        <v>25</v>
      </c>
      <c r="C3614" s="45">
        <v>46204</v>
      </c>
      <c r="D3614" s="76">
        <v>1945.14637875164</v>
      </c>
      <c r="E3614" s="77">
        <v>130.84440344153299</v>
      </c>
      <c r="F3614" s="78">
        <v>12.375046978044001</v>
      </c>
      <c r="G3614" s="78">
        <v>12.375046978044001</v>
      </c>
      <c r="H3614" s="81">
        <v>11.901339597516101</v>
      </c>
    </row>
    <row r="3615" spans="1:8" x14ac:dyDescent="0.3">
      <c r="A3615" s="74" t="str">
        <f t="shared" si="56"/>
        <v>重庆46205</v>
      </c>
      <c r="B3615" s="75" t="s">
        <v>25</v>
      </c>
      <c r="C3615" s="45">
        <v>46205</v>
      </c>
      <c r="D3615" s="76">
        <v>1945.14637875164</v>
      </c>
      <c r="E3615" s="77">
        <v>130.84440344153299</v>
      </c>
      <c r="F3615" s="78">
        <v>12.375046978044001</v>
      </c>
      <c r="G3615" s="78">
        <v>12.375046978044001</v>
      </c>
      <c r="H3615" s="81">
        <v>11.901339597516101</v>
      </c>
    </row>
    <row r="3616" spans="1:8" x14ac:dyDescent="0.3">
      <c r="A3616" s="74" t="str">
        <f t="shared" si="56"/>
        <v>重庆46206</v>
      </c>
      <c r="B3616" s="75" t="s">
        <v>25</v>
      </c>
      <c r="C3616" s="45">
        <v>46206</v>
      </c>
      <c r="D3616" s="76">
        <v>1945.14637875164</v>
      </c>
      <c r="E3616" s="77">
        <v>130.84440344153299</v>
      </c>
      <c r="F3616" s="78">
        <v>12.375046978044001</v>
      </c>
      <c r="G3616" s="78">
        <v>12.375046978044001</v>
      </c>
      <c r="H3616" s="81">
        <v>11.901339597516101</v>
      </c>
    </row>
    <row r="3617" spans="1:8" x14ac:dyDescent="0.3">
      <c r="A3617" s="74" t="str">
        <f t="shared" si="56"/>
        <v>重庆46207</v>
      </c>
      <c r="B3617" s="75" t="s">
        <v>25</v>
      </c>
      <c r="C3617" s="45">
        <v>46207</v>
      </c>
      <c r="D3617" s="76">
        <v>1945.14637875164</v>
      </c>
      <c r="E3617" s="77">
        <v>130.84440344153299</v>
      </c>
      <c r="F3617" s="78">
        <v>12.375046978044001</v>
      </c>
      <c r="G3617" s="78">
        <v>12.375046978044001</v>
      </c>
      <c r="H3617" s="81">
        <v>11.901339597516101</v>
      </c>
    </row>
    <row r="3618" spans="1:8" x14ac:dyDescent="0.3">
      <c r="A3618" s="74" t="str">
        <f t="shared" si="56"/>
        <v>重庆46208</v>
      </c>
      <c r="B3618" s="75" t="s">
        <v>25</v>
      </c>
      <c r="C3618" s="45">
        <v>46208</v>
      </c>
      <c r="D3618" s="76">
        <v>1945.14637875164</v>
      </c>
      <c r="E3618" s="77">
        <v>130.84440344153299</v>
      </c>
      <c r="F3618" s="78">
        <v>12.375046978044001</v>
      </c>
      <c r="G3618" s="78">
        <v>12.375046978044001</v>
      </c>
      <c r="H3618" s="81">
        <v>11.901339597516101</v>
      </c>
    </row>
    <row r="3619" spans="1:8" x14ac:dyDescent="0.3">
      <c r="A3619" s="74" t="str">
        <f t="shared" si="56"/>
        <v>重庆46209</v>
      </c>
      <c r="B3619" s="75" t="s">
        <v>25</v>
      </c>
      <c r="C3619" s="45">
        <v>46209</v>
      </c>
      <c r="D3619" s="76">
        <v>1945.14637875164</v>
      </c>
      <c r="E3619" s="77">
        <v>130.84440344153299</v>
      </c>
      <c r="F3619" s="78">
        <v>12.375046978044001</v>
      </c>
      <c r="G3619" s="78">
        <v>12.375046978044001</v>
      </c>
      <c r="H3619" s="81">
        <v>11.901339597516101</v>
      </c>
    </row>
    <row r="3620" spans="1:8" x14ac:dyDescent="0.3">
      <c r="A3620" s="74" t="str">
        <f t="shared" si="56"/>
        <v>重庆46210</v>
      </c>
      <c r="B3620" s="75" t="s">
        <v>25</v>
      </c>
      <c r="C3620" s="45">
        <v>46210</v>
      </c>
      <c r="D3620" s="76">
        <v>1945.14637875164</v>
      </c>
      <c r="E3620" s="77">
        <v>130.84440344153299</v>
      </c>
      <c r="F3620" s="78">
        <v>12.375046978044001</v>
      </c>
      <c r="G3620" s="78">
        <v>12.375046978044001</v>
      </c>
      <c r="H3620" s="81">
        <v>11.901339597516101</v>
      </c>
    </row>
    <row r="3621" spans="1:8" x14ac:dyDescent="0.3">
      <c r="A3621" s="74" t="str">
        <f t="shared" si="56"/>
        <v>重庆46211</v>
      </c>
      <c r="B3621" s="75" t="s">
        <v>25</v>
      </c>
      <c r="C3621" s="45">
        <v>46211</v>
      </c>
      <c r="D3621" s="76">
        <v>1945.14637875164</v>
      </c>
      <c r="E3621" s="77">
        <v>130.84440344153299</v>
      </c>
      <c r="F3621" s="78">
        <v>12.375046978044001</v>
      </c>
      <c r="G3621" s="78">
        <v>12.375046978044001</v>
      </c>
      <c r="H3621" s="81">
        <v>11.901339597516101</v>
      </c>
    </row>
    <row r="3622" spans="1:8" x14ac:dyDescent="0.3">
      <c r="A3622" s="74" t="str">
        <f t="shared" si="56"/>
        <v>重庆46212</v>
      </c>
      <c r="B3622" s="75" t="s">
        <v>25</v>
      </c>
      <c r="C3622" s="45">
        <v>46212</v>
      </c>
      <c r="D3622" s="76">
        <v>1945.14637875164</v>
      </c>
      <c r="E3622" s="77">
        <v>130.84440344153299</v>
      </c>
      <c r="F3622" s="78">
        <v>12.375046978044001</v>
      </c>
      <c r="G3622" s="78">
        <v>12.375046978044001</v>
      </c>
      <c r="H3622" s="81">
        <v>11.901339597516101</v>
      </c>
    </row>
    <row r="3623" spans="1:8" x14ac:dyDescent="0.3">
      <c r="A3623" s="74" t="str">
        <f t="shared" si="56"/>
        <v>重庆46213</v>
      </c>
      <c r="B3623" s="75" t="s">
        <v>25</v>
      </c>
      <c r="C3623" s="45">
        <v>46213</v>
      </c>
      <c r="D3623" s="76">
        <v>1945.14637875164</v>
      </c>
      <c r="E3623" s="77">
        <v>130.84440344153299</v>
      </c>
      <c r="F3623" s="78">
        <v>12.375046978044001</v>
      </c>
      <c r="G3623" s="78">
        <v>12.375046978044001</v>
      </c>
      <c r="H3623" s="81">
        <v>11.901339597516101</v>
      </c>
    </row>
    <row r="3624" spans="1:8" x14ac:dyDescent="0.3">
      <c r="A3624" s="74" t="str">
        <f t="shared" si="56"/>
        <v>重庆46214</v>
      </c>
      <c r="B3624" s="75" t="s">
        <v>25</v>
      </c>
      <c r="C3624" s="45">
        <v>46214</v>
      </c>
      <c r="D3624" s="76">
        <v>1945.14637875164</v>
      </c>
      <c r="E3624" s="77">
        <v>130.84440344153299</v>
      </c>
      <c r="F3624" s="78">
        <v>12.375046978044001</v>
      </c>
      <c r="G3624" s="78">
        <v>12.375046978044001</v>
      </c>
      <c r="H3624" s="81">
        <v>11.901339597516101</v>
      </c>
    </row>
    <row r="3625" spans="1:8" x14ac:dyDescent="0.3">
      <c r="A3625" s="74" t="str">
        <f t="shared" si="56"/>
        <v>重庆46215</v>
      </c>
      <c r="B3625" s="75" t="s">
        <v>25</v>
      </c>
      <c r="C3625" s="45">
        <v>46215</v>
      </c>
      <c r="D3625" s="76">
        <v>1945.14637875164</v>
      </c>
      <c r="E3625" s="77">
        <v>130.84440344153299</v>
      </c>
      <c r="F3625" s="78">
        <v>12.375046978044001</v>
      </c>
      <c r="G3625" s="78">
        <v>12.375046978044001</v>
      </c>
      <c r="H3625" s="81">
        <v>11.901339597516101</v>
      </c>
    </row>
    <row r="3626" spans="1:8" x14ac:dyDescent="0.3">
      <c r="A3626" s="74" t="str">
        <f t="shared" si="56"/>
        <v>重庆46216</v>
      </c>
      <c r="B3626" s="75" t="s">
        <v>25</v>
      </c>
      <c r="C3626" s="45">
        <v>46216</v>
      </c>
      <c r="D3626" s="76">
        <v>1945.14637875164</v>
      </c>
      <c r="E3626" s="77">
        <v>130.84440344153299</v>
      </c>
      <c r="F3626" s="78">
        <v>12.375046978044001</v>
      </c>
      <c r="G3626" s="78">
        <v>12.375046978044001</v>
      </c>
      <c r="H3626" s="81">
        <v>11.901339597516101</v>
      </c>
    </row>
    <row r="3627" spans="1:8" x14ac:dyDescent="0.3">
      <c r="A3627" s="74" t="str">
        <f t="shared" si="56"/>
        <v>重庆46217</v>
      </c>
      <c r="B3627" s="75" t="s">
        <v>25</v>
      </c>
      <c r="C3627" s="45">
        <v>46217</v>
      </c>
      <c r="D3627" s="76">
        <v>1945.14637875164</v>
      </c>
      <c r="E3627" s="77">
        <v>130.84440344153299</v>
      </c>
      <c r="F3627" s="78">
        <v>12.375046978044001</v>
      </c>
      <c r="G3627" s="78">
        <v>12.375046978044001</v>
      </c>
      <c r="H3627" s="81">
        <v>11.901339597516101</v>
      </c>
    </row>
    <row r="3628" spans="1:8" x14ac:dyDescent="0.3">
      <c r="A3628" s="74" t="str">
        <f t="shared" si="56"/>
        <v>重庆46218</v>
      </c>
      <c r="B3628" s="75" t="s">
        <v>25</v>
      </c>
      <c r="C3628" s="45">
        <v>46218</v>
      </c>
      <c r="D3628" s="76">
        <v>1945.14637875164</v>
      </c>
      <c r="E3628" s="77">
        <v>130.84440344153299</v>
      </c>
      <c r="F3628" s="78">
        <v>12.375046978044001</v>
      </c>
      <c r="G3628" s="78">
        <v>12.375046978044001</v>
      </c>
      <c r="H3628" s="81">
        <v>11.901339597516101</v>
      </c>
    </row>
    <row r="3629" spans="1:8" x14ac:dyDescent="0.3">
      <c r="A3629" s="74" t="str">
        <f t="shared" si="56"/>
        <v>重庆46219</v>
      </c>
      <c r="B3629" s="75" t="s">
        <v>25</v>
      </c>
      <c r="C3629" s="45">
        <v>46219</v>
      </c>
      <c r="D3629" s="76">
        <v>1945.14637875164</v>
      </c>
      <c r="E3629" s="77">
        <v>130.84440344153299</v>
      </c>
      <c r="F3629" s="78">
        <v>12.375046978044001</v>
      </c>
      <c r="G3629" s="78">
        <v>12.375046978044001</v>
      </c>
      <c r="H3629" s="81">
        <v>11.901339597516101</v>
      </c>
    </row>
    <row r="3630" spans="1:8" x14ac:dyDescent="0.3">
      <c r="A3630" s="74" t="str">
        <f t="shared" si="56"/>
        <v>重庆46220</v>
      </c>
      <c r="B3630" s="75" t="s">
        <v>25</v>
      </c>
      <c r="C3630" s="45">
        <v>46220</v>
      </c>
      <c r="D3630" s="76">
        <v>1945.14637875164</v>
      </c>
      <c r="E3630" s="77">
        <v>130.84440344153299</v>
      </c>
      <c r="F3630" s="78">
        <v>12.375046978044001</v>
      </c>
      <c r="G3630" s="78">
        <v>12.375046978044001</v>
      </c>
      <c r="H3630" s="81">
        <v>11.901339597516101</v>
      </c>
    </row>
    <row r="3631" spans="1:8" x14ac:dyDescent="0.3">
      <c r="A3631" s="74" t="str">
        <f t="shared" si="56"/>
        <v>重庆46221</v>
      </c>
      <c r="B3631" s="75" t="s">
        <v>25</v>
      </c>
      <c r="C3631" s="45">
        <v>46221</v>
      </c>
      <c r="D3631" s="76">
        <v>1945.14637875164</v>
      </c>
      <c r="E3631" s="77">
        <v>130.84440344153299</v>
      </c>
      <c r="F3631" s="78">
        <v>12.375046978044001</v>
      </c>
      <c r="G3631" s="78">
        <v>12.375046978044001</v>
      </c>
      <c r="H3631" s="81">
        <v>11.901339597516101</v>
      </c>
    </row>
    <row r="3632" spans="1:8" x14ac:dyDescent="0.3">
      <c r="A3632" s="74" t="str">
        <f t="shared" si="56"/>
        <v>重庆46222</v>
      </c>
      <c r="B3632" s="75" t="s">
        <v>25</v>
      </c>
      <c r="C3632" s="45">
        <v>46222</v>
      </c>
      <c r="D3632" s="76">
        <v>1945.14637875164</v>
      </c>
      <c r="E3632" s="77">
        <v>130.84440344153299</v>
      </c>
      <c r="F3632" s="78">
        <v>12.375046978044001</v>
      </c>
      <c r="G3632" s="78">
        <v>12.375046978044001</v>
      </c>
      <c r="H3632" s="81">
        <v>11.901339597516101</v>
      </c>
    </row>
    <row r="3633" spans="1:8" x14ac:dyDescent="0.3">
      <c r="A3633" s="74" t="str">
        <f t="shared" si="56"/>
        <v>重庆46223</v>
      </c>
      <c r="B3633" s="75" t="s">
        <v>25</v>
      </c>
      <c r="C3633" s="45">
        <v>46223</v>
      </c>
      <c r="D3633" s="76">
        <v>1945.14637875164</v>
      </c>
      <c r="E3633" s="77">
        <v>130.84440344153299</v>
      </c>
      <c r="F3633" s="78">
        <v>12.375046978044001</v>
      </c>
      <c r="G3633" s="78">
        <v>12.375046978044001</v>
      </c>
      <c r="H3633" s="81">
        <v>11.901339597516101</v>
      </c>
    </row>
    <row r="3634" spans="1:8" x14ac:dyDescent="0.3">
      <c r="A3634" s="74" t="str">
        <f t="shared" si="56"/>
        <v>重庆46224</v>
      </c>
      <c r="B3634" s="75" t="s">
        <v>25</v>
      </c>
      <c r="C3634" s="45">
        <v>46224</v>
      </c>
      <c r="D3634" s="76">
        <v>1945.14637875164</v>
      </c>
      <c r="E3634" s="77">
        <v>130.84440344153299</v>
      </c>
      <c r="F3634" s="78">
        <v>12.375046978044001</v>
      </c>
      <c r="G3634" s="78">
        <v>12.375046978044001</v>
      </c>
      <c r="H3634" s="81">
        <v>11.901339597516101</v>
      </c>
    </row>
    <row r="3635" spans="1:8" x14ac:dyDescent="0.3">
      <c r="A3635" s="74" t="str">
        <f t="shared" si="56"/>
        <v>重庆46225</v>
      </c>
      <c r="B3635" s="75" t="s">
        <v>25</v>
      </c>
      <c r="C3635" s="45">
        <v>46225</v>
      </c>
      <c r="D3635" s="76">
        <v>1945.14637875164</v>
      </c>
      <c r="E3635" s="77">
        <v>130.84440344153299</v>
      </c>
      <c r="F3635" s="78">
        <v>12.375046978044001</v>
      </c>
      <c r="G3635" s="78">
        <v>12.375046978044001</v>
      </c>
      <c r="H3635" s="81">
        <v>11.901339597516101</v>
      </c>
    </row>
    <row r="3636" spans="1:8" x14ac:dyDescent="0.3">
      <c r="A3636" s="74" t="str">
        <f t="shared" si="56"/>
        <v>重庆46226</v>
      </c>
      <c r="B3636" s="75" t="s">
        <v>25</v>
      </c>
      <c r="C3636" s="45">
        <v>46226</v>
      </c>
      <c r="D3636" s="76">
        <v>1945.14637875164</v>
      </c>
      <c r="E3636" s="77">
        <v>130.84440344153299</v>
      </c>
      <c r="F3636" s="78">
        <v>12.375046978044001</v>
      </c>
      <c r="G3636" s="78">
        <v>12.375046978044001</v>
      </c>
      <c r="H3636" s="81">
        <v>11.901339597516101</v>
      </c>
    </row>
    <row r="3637" spans="1:8" x14ac:dyDescent="0.3">
      <c r="A3637" s="74" t="str">
        <f t="shared" si="56"/>
        <v>重庆46227</v>
      </c>
      <c r="B3637" s="75" t="s">
        <v>25</v>
      </c>
      <c r="C3637" s="45">
        <v>46227</v>
      </c>
      <c r="D3637" s="76">
        <v>1945.14637875164</v>
      </c>
      <c r="E3637" s="77">
        <v>130.84440344153299</v>
      </c>
      <c r="F3637" s="78">
        <v>12.375046978044001</v>
      </c>
      <c r="G3637" s="78">
        <v>12.375046978044001</v>
      </c>
      <c r="H3637" s="81">
        <v>11.901339597516101</v>
      </c>
    </row>
    <row r="3638" spans="1:8" x14ac:dyDescent="0.3">
      <c r="A3638" s="74" t="str">
        <f t="shared" si="56"/>
        <v>重庆46228</v>
      </c>
      <c r="B3638" s="75" t="s">
        <v>25</v>
      </c>
      <c r="C3638" s="45">
        <v>46228</v>
      </c>
      <c r="D3638" s="76">
        <v>1945.14637875164</v>
      </c>
      <c r="E3638" s="77">
        <v>130.84440344153299</v>
      </c>
      <c r="F3638" s="78">
        <v>12.375046978044001</v>
      </c>
      <c r="G3638" s="78">
        <v>12.375046978044001</v>
      </c>
      <c r="H3638" s="81">
        <v>11.901339597516101</v>
      </c>
    </row>
    <row r="3639" spans="1:8" x14ac:dyDescent="0.3">
      <c r="A3639" s="74" t="str">
        <f t="shared" si="56"/>
        <v>重庆46229</v>
      </c>
      <c r="B3639" s="75" t="s">
        <v>25</v>
      </c>
      <c r="C3639" s="45">
        <v>46229</v>
      </c>
      <c r="D3639" s="76">
        <v>1945.14637875164</v>
      </c>
      <c r="E3639" s="77">
        <v>130.84440344153299</v>
      </c>
      <c r="F3639" s="78">
        <v>12.375046978044001</v>
      </c>
      <c r="G3639" s="78">
        <v>12.375046978044001</v>
      </c>
      <c r="H3639" s="81">
        <v>11.901339597516101</v>
      </c>
    </row>
    <row r="3640" spans="1:8" x14ac:dyDescent="0.3">
      <c r="A3640" s="74" t="str">
        <f t="shared" si="56"/>
        <v>重庆46230</v>
      </c>
      <c r="B3640" s="75" t="s">
        <v>25</v>
      </c>
      <c r="C3640" s="45">
        <v>46230</v>
      </c>
      <c r="D3640" s="76">
        <v>1945.14637875164</v>
      </c>
      <c r="E3640" s="77">
        <v>130.84440344153299</v>
      </c>
      <c r="F3640" s="78">
        <v>12.375046978044001</v>
      </c>
      <c r="G3640" s="78">
        <v>12.375046978044001</v>
      </c>
      <c r="H3640" s="81">
        <v>11.901339597516101</v>
      </c>
    </row>
    <row r="3641" spans="1:8" x14ac:dyDescent="0.3">
      <c r="A3641" s="74" t="str">
        <f t="shared" si="56"/>
        <v>重庆46231</v>
      </c>
      <c r="B3641" s="75" t="s">
        <v>25</v>
      </c>
      <c r="C3641" s="45">
        <v>46231</v>
      </c>
      <c r="D3641" s="76">
        <v>1945.14637875164</v>
      </c>
      <c r="E3641" s="77">
        <v>130.84440344153299</v>
      </c>
      <c r="F3641" s="78">
        <v>12.375046978044001</v>
      </c>
      <c r="G3641" s="78">
        <v>12.375046978044001</v>
      </c>
      <c r="H3641" s="81">
        <v>11.901339597516101</v>
      </c>
    </row>
    <row r="3642" spans="1:8" x14ac:dyDescent="0.3">
      <c r="A3642" s="74" t="str">
        <f t="shared" si="56"/>
        <v>重庆46232</v>
      </c>
      <c r="B3642" s="75" t="s">
        <v>25</v>
      </c>
      <c r="C3642" s="45">
        <v>46232</v>
      </c>
      <c r="D3642" s="76">
        <v>1945.14637875164</v>
      </c>
      <c r="E3642" s="77">
        <v>130.84440344153299</v>
      </c>
      <c r="F3642" s="78">
        <v>12.375046978044001</v>
      </c>
      <c r="G3642" s="78">
        <v>12.375046978044001</v>
      </c>
      <c r="H3642" s="81">
        <v>11.901339597516101</v>
      </c>
    </row>
    <row r="3643" spans="1:8" x14ac:dyDescent="0.3">
      <c r="A3643" s="74" t="str">
        <f t="shared" si="56"/>
        <v>重庆46233</v>
      </c>
      <c r="B3643" s="75" t="s">
        <v>25</v>
      </c>
      <c r="C3643" s="45">
        <v>46233</v>
      </c>
      <c r="D3643" s="76">
        <v>1945.14637875164</v>
      </c>
      <c r="E3643" s="77">
        <v>130.84440344153299</v>
      </c>
      <c r="F3643" s="78">
        <v>12.375046978044001</v>
      </c>
      <c r="G3643" s="78">
        <v>12.375046978044001</v>
      </c>
      <c r="H3643" s="81">
        <v>11.901339597516101</v>
      </c>
    </row>
    <row r="3644" spans="1:8" x14ac:dyDescent="0.3">
      <c r="A3644" s="74" t="str">
        <f t="shared" si="56"/>
        <v>重庆46234</v>
      </c>
      <c r="B3644" s="75" t="s">
        <v>25</v>
      </c>
      <c r="C3644" s="45">
        <v>46234</v>
      </c>
      <c r="D3644" s="76">
        <v>1945.14637875164</v>
      </c>
      <c r="E3644" s="77">
        <v>130.84440344153299</v>
      </c>
      <c r="F3644" s="78">
        <v>12.375046978044001</v>
      </c>
      <c r="G3644" s="78">
        <v>12.375046978044001</v>
      </c>
      <c r="H3644" s="81">
        <v>11.901339597516101</v>
      </c>
    </row>
    <row r="3645" spans="1:8" x14ac:dyDescent="0.3">
      <c r="A3645" s="74" t="str">
        <f t="shared" si="56"/>
        <v>重庆46235</v>
      </c>
      <c r="B3645" s="75" t="s">
        <v>25</v>
      </c>
      <c r="C3645" s="45">
        <v>46235</v>
      </c>
      <c r="D3645" s="76">
        <v>1950.0392663877301</v>
      </c>
      <c r="E3645" s="77">
        <v>131.05751760793501</v>
      </c>
      <c r="F3645" s="78">
        <v>12.4845766293761</v>
      </c>
      <c r="G3645" s="78">
        <v>12.4845766293761</v>
      </c>
      <c r="H3645" s="81">
        <v>12.4547699916639</v>
      </c>
    </row>
    <row r="3646" spans="1:8" x14ac:dyDescent="0.3">
      <c r="A3646" s="74" t="str">
        <f t="shared" si="56"/>
        <v>重庆46236</v>
      </c>
      <c r="B3646" s="75" t="s">
        <v>25</v>
      </c>
      <c r="C3646" s="45">
        <v>46236</v>
      </c>
      <c r="D3646" s="76">
        <v>1950.0392663877301</v>
      </c>
      <c r="E3646" s="77">
        <v>131.05751760793501</v>
      </c>
      <c r="F3646" s="78">
        <v>12.4845766293761</v>
      </c>
      <c r="G3646" s="78">
        <v>12.4845766293761</v>
      </c>
      <c r="H3646" s="81">
        <v>12.4547699916639</v>
      </c>
    </row>
    <row r="3647" spans="1:8" x14ac:dyDescent="0.3">
      <c r="A3647" s="74" t="str">
        <f t="shared" si="56"/>
        <v>重庆46237</v>
      </c>
      <c r="B3647" s="75" t="s">
        <v>25</v>
      </c>
      <c r="C3647" s="45">
        <v>46237</v>
      </c>
      <c r="D3647" s="76">
        <v>1950.0392663877301</v>
      </c>
      <c r="E3647" s="77">
        <v>131.05751760793501</v>
      </c>
      <c r="F3647" s="78">
        <v>12.4845766293761</v>
      </c>
      <c r="G3647" s="78">
        <v>12.4845766293761</v>
      </c>
      <c r="H3647" s="81">
        <v>12.4547699916639</v>
      </c>
    </row>
    <row r="3648" spans="1:8" x14ac:dyDescent="0.3">
      <c r="A3648" s="74" t="str">
        <f t="shared" si="56"/>
        <v>重庆46238</v>
      </c>
      <c r="B3648" s="75" t="s">
        <v>25</v>
      </c>
      <c r="C3648" s="45">
        <v>46238</v>
      </c>
      <c r="D3648" s="76">
        <v>1950.0392663877301</v>
      </c>
      <c r="E3648" s="77">
        <v>131.05751760793501</v>
      </c>
      <c r="F3648" s="78">
        <v>12.4845766293761</v>
      </c>
      <c r="G3648" s="78">
        <v>12.4845766293761</v>
      </c>
      <c r="H3648" s="81">
        <v>12.4547699916639</v>
      </c>
    </row>
    <row r="3649" spans="1:8" x14ac:dyDescent="0.3">
      <c r="A3649" s="74" t="str">
        <f t="shared" si="56"/>
        <v>重庆46239</v>
      </c>
      <c r="B3649" s="75" t="s">
        <v>25</v>
      </c>
      <c r="C3649" s="45">
        <v>46239</v>
      </c>
      <c r="D3649" s="76">
        <v>1950.0392663877301</v>
      </c>
      <c r="E3649" s="77">
        <v>131.05751760793501</v>
      </c>
      <c r="F3649" s="78">
        <v>12.4845766293761</v>
      </c>
      <c r="G3649" s="78">
        <v>12.4845766293761</v>
      </c>
      <c r="H3649" s="81">
        <v>12.4547699916639</v>
      </c>
    </row>
    <row r="3650" spans="1:8" x14ac:dyDescent="0.3">
      <c r="A3650" s="74" t="str">
        <f t="shared" si="56"/>
        <v>重庆46240</v>
      </c>
      <c r="B3650" s="75" t="s">
        <v>25</v>
      </c>
      <c r="C3650" s="45">
        <v>46240</v>
      </c>
      <c r="D3650" s="76">
        <v>1950.0392663877301</v>
      </c>
      <c r="E3650" s="77">
        <v>131.05751760793501</v>
      </c>
      <c r="F3650" s="78">
        <v>12.4845766293761</v>
      </c>
      <c r="G3650" s="78">
        <v>12.4845766293761</v>
      </c>
      <c r="H3650" s="81">
        <v>12.4547699916639</v>
      </c>
    </row>
    <row r="3651" spans="1:8" x14ac:dyDescent="0.3">
      <c r="A3651" s="74" t="str">
        <f t="shared" ref="A3651:A3714" si="57">B3651&amp;C3651</f>
        <v>重庆46241</v>
      </c>
      <c r="B3651" s="75" t="s">
        <v>25</v>
      </c>
      <c r="C3651" s="45">
        <v>46241</v>
      </c>
      <c r="D3651" s="76">
        <v>1950.0392663877301</v>
      </c>
      <c r="E3651" s="77">
        <v>131.05751760793501</v>
      </c>
      <c r="F3651" s="78">
        <v>12.4845766293761</v>
      </c>
      <c r="G3651" s="78">
        <v>12.4845766293761</v>
      </c>
      <c r="H3651" s="81">
        <v>12.4547699916639</v>
      </c>
    </row>
    <row r="3652" spans="1:8" x14ac:dyDescent="0.3">
      <c r="A3652" s="74" t="str">
        <f t="shared" si="57"/>
        <v>重庆46242</v>
      </c>
      <c r="B3652" s="75" t="s">
        <v>25</v>
      </c>
      <c r="C3652" s="45">
        <v>46242</v>
      </c>
      <c r="D3652" s="76">
        <v>1950.0392663877301</v>
      </c>
      <c r="E3652" s="77">
        <v>131.05751760793501</v>
      </c>
      <c r="F3652" s="78">
        <v>12.4845766293761</v>
      </c>
      <c r="G3652" s="78">
        <v>12.4845766293761</v>
      </c>
      <c r="H3652" s="81">
        <v>12.4547699916639</v>
      </c>
    </row>
    <row r="3653" spans="1:8" x14ac:dyDescent="0.3">
      <c r="A3653" s="74" t="str">
        <f t="shared" si="57"/>
        <v>重庆46243</v>
      </c>
      <c r="B3653" s="75" t="s">
        <v>25</v>
      </c>
      <c r="C3653" s="45">
        <v>46243</v>
      </c>
      <c r="D3653" s="76">
        <v>1950.0392663877301</v>
      </c>
      <c r="E3653" s="77">
        <v>131.05751760793501</v>
      </c>
      <c r="F3653" s="78">
        <v>12.4845766293761</v>
      </c>
      <c r="G3653" s="78">
        <v>12.4845766293761</v>
      </c>
      <c r="H3653" s="81">
        <v>12.4547699916639</v>
      </c>
    </row>
    <row r="3654" spans="1:8" x14ac:dyDescent="0.3">
      <c r="A3654" s="74" t="str">
        <f t="shared" si="57"/>
        <v>重庆46244</v>
      </c>
      <c r="B3654" s="75" t="s">
        <v>25</v>
      </c>
      <c r="C3654" s="45">
        <v>46244</v>
      </c>
      <c r="D3654" s="76">
        <v>1950.0392663877301</v>
      </c>
      <c r="E3654" s="77">
        <v>131.05751760793501</v>
      </c>
      <c r="F3654" s="78">
        <v>12.4845766293761</v>
      </c>
      <c r="G3654" s="78">
        <v>12.4845766293761</v>
      </c>
      <c r="H3654" s="81">
        <v>12.4547699916639</v>
      </c>
    </row>
    <row r="3655" spans="1:8" x14ac:dyDescent="0.3">
      <c r="A3655" s="74" t="str">
        <f t="shared" si="57"/>
        <v>重庆46245</v>
      </c>
      <c r="B3655" s="75" t="s">
        <v>25</v>
      </c>
      <c r="C3655" s="45">
        <v>46245</v>
      </c>
      <c r="D3655" s="76">
        <v>1950.0392663877301</v>
      </c>
      <c r="E3655" s="77">
        <v>131.05751760793501</v>
      </c>
      <c r="F3655" s="78">
        <v>12.4845766293761</v>
      </c>
      <c r="G3655" s="78">
        <v>12.4845766293761</v>
      </c>
      <c r="H3655" s="81">
        <v>12.4547699916639</v>
      </c>
    </row>
    <row r="3656" spans="1:8" x14ac:dyDescent="0.3">
      <c r="A3656" s="74" t="str">
        <f t="shared" si="57"/>
        <v>重庆46246</v>
      </c>
      <c r="B3656" s="75" t="s">
        <v>25</v>
      </c>
      <c r="C3656" s="45">
        <v>46246</v>
      </c>
      <c r="D3656" s="76">
        <v>1950.0392663877301</v>
      </c>
      <c r="E3656" s="77">
        <v>131.05751760793501</v>
      </c>
      <c r="F3656" s="78">
        <v>12.4845766293761</v>
      </c>
      <c r="G3656" s="78">
        <v>12.4845766293761</v>
      </c>
      <c r="H3656" s="81">
        <v>12.4547699916639</v>
      </c>
    </row>
    <row r="3657" spans="1:8" x14ac:dyDescent="0.3">
      <c r="A3657" s="74" t="str">
        <f t="shared" si="57"/>
        <v>重庆46247</v>
      </c>
      <c r="B3657" s="75" t="s">
        <v>25</v>
      </c>
      <c r="C3657" s="45">
        <v>46247</v>
      </c>
      <c r="D3657" s="76">
        <v>1950.0392663877301</v>
      </c>
      <c r="E3657" s="77">
        <v>131.05751760793501</v>
      </c>
      <c r="F3657" s="78">
        <v>12.4845766293761</v>
      </c>
      <c r="G3657" s="78">
        <v>12.4845766293761</v>
      </c>
      <c r="H3657" s="81">
        <v>12.4547699916639</v>
      </c>
    </row>
    <row r="3658" spans="1:8" x14ac:dyDescent="0.3">
      <c r="A3658" s="74" t="str">
        <f t="shared" si="57"/>
        <v>重庆46248</v>
      </c>
      <c r="B3658" s="75" t="s">
        <v>25</v>
      </c>
      <c r="C3658" s="45">
        <v>46248</v>
      </c>
      <c r="D3658" s="76">
        <v>1950.0392663877301</v>
      </c>
      <c r="E3658" s="77">
        <v>131.05751760793501</v>
      </c>
      <c r="F3658" s="78">
        <v>12.4845766293761</v>
      </c>
      <c r="G3658" s="78">
        <v>12.4845766293761</v>
      </c>
      <c r="H3658" s="81">
        <v>12.4547699916639</v>
      </c>
    </row>
    <row r="3659" spans="1:8" x14ac:dyDescent="0.3">
      <c r="A3659" s="74" t="str">
        <f t="shared" si="57"/>
        <v>重庆46249</v>
      </c>
      <c r="B3659" s="75" t="s">
        <v>25</v>
      </c>
      <c r="C3659" s="45">
        <v>46249</v>
      </c>
      <c r="D3659" s="76">
        <v>1950.0392663877301</v>
      </c>
      <c r="E3659" s="77">
        <v>131.05751760793501</v>
      </c>
      <c r="F3659" s="78">
        <v>12.4845766293761</v>
      </c>
      <c r="G3659" s="78">
        <v>12.4845766293761</v>
      </c>
      <c r="H3659" s="81">
        <v>12.4547699916639</v>
      </c>
    </row>
    <row r="3660" spans="1:8" x14ac:dyDescent="0.3">
      <c r="A3660" s="74" t="str">
        <f t="shared" si="57"/>
        <v>重庆46250</v>
      </c>
      <c r="B3660" s="75" t="s">
        <v>25</v>
      </c>
      <c r="C3660" s="45">
        <v>46250</v>
      </c>
      <c r="D3660" s="76">
        <v>1950.0392663877301</v>
      </c>
      <c r="E3660" s="77">
        <v>131.05751760793501</v>
      </c>
      <c r="F3660" s="78">
        <v>12.4845766293761</v>
      </c>
      <c r="G3660" s="78">
        <v>12.4845766293761</v>
      </c>
      <c r="H3660" s="81">
        <v>12.4547699916639</v>
      </c>
    </row>
    <row r="3661" spans="1:8" x14ac:dyDescent="0.3">
      <c r="A3661" s="74" t="str">
        <f t="shared" si="57"/>
        <v>重庆46251</v>
      </c>
      <c r="B3661" s="75" t="s">
        <v>25</v>
      </c>
      <c r="C3661" s="45">
        <v>46251</v>
      </c>
      <c r="D3661" s="76">
        <v>1950.0392663877301</v>
      </c>
      <c r="E3661" s="77">
        <v>131.05751760793501</v>
      </c>
      <c r="F3661" s="78">
        <v>12.4845766293761</v>
      </c>
      <c r="G3661" s="78">
        <v>12.4845766293761</v>
      </c>
      <c r="H3661" s="81">
        <v>12.4547699916639</v>
      </c>
    </row>
    <row r="3662" spans="1:8" x14ac:dyDescent="0.3">
      <c r="A3662" s="74" t="str">
        <f t="shared" si="57"/>
        <v>重庆46252</v>
      </c>
      <c r="B3662" s="75" t="s">
        <v>25</v>
      </c>
      <c r="C3662" s="45">
        <v>46252</v>
      </c>
      <c r="D3662" s="76">
        <v>1950.0392663877301</v>
      </c>
      <c r="E3662" s="77">
        <v>131.05751760793501</v>
      </c>
      <c r="F3662" s="78">
        <v>12.4845766293761</v>
      </c>
      <c r="G3662" s="78">
        <v>12.4845766293761</v>
      </c>
      <c r="H3662" s="81">
        <v>12.4547699916639</v>
      </c>
    </row>
    <row r="3663" spans="1:8" x14ac:dyDescent="0.3">
      <c r="A3663" s="74" t="str">
        <f t="shared" si="57"/>
        <v>重庆46253</v>
      </c>
      <c r="B3663" s="75" t="s">
        <v>25</v>
      </c>
      <c r="C3663" s="45">
        <v>46253</v>
      </c>
      <c r="D3663" s="76">
        <v>1950.0392663877301</v>
      </c>
      <c r="E3663" s="77">
        <v>131.05751760793501</v>
      </c>
      <c r="F3663" s="78">
        <v>12.4845766293761</v>
      </c>
      <c r="G3663" s="78">
        <v>12.4845766293761</v>
      </c>
      <c r="H3663" s="81">
        <v>12.4547699916639</v>
      </c>
    </row>
    <row r="3664" spans="1:8" x14ac:dyDescent="0.3">
      <c r="A3664" s="74" t="str">
        <f t="shared" si="57"/>
        <v>重庆46254</v>
      </c>
      <c r="B3664" s="75" t="s">
        <v>25</v>
      </c>
      <c r="C3664" s="45">
        <v>46254</v>
      </c>
      <c r="D3664" s="76">
        <v>1950.0392663877301</v>
      </c>
      <c r="E3664" s="77">
        <v>131.05751760793501</v>
      </c>
      <c r="F3664" s="78">
        <v>12.4845766293761</v>
      </c>
      <c r="G3664" s="78">
        <v>12.4845766293761</v>
      </c>
      <c r="H3664" s="81">
        <v>12.4547699916639</v>
      </c>
    </row>
    <row r="3665" spans="1:8" x14ac:dyDescent="0.3">
      <c r="A3665" s="74" t="str">
        <f t="shared" si="57"/>
        <v>重庆46255</v>
      </c>
      <c r="B3665" s="75" t="s">
        <v>25</v>
      </c>
      <c r="C3665" s="45">
        <v>46255</v>
      </c>
      <c r="D3665" s="76">
        <v>1950.0392663877301</v>
      </c>
      <c r="E3665" s="77">
        <v>131.05751760793501</v>
      </c>
      <c r="F3665" s="78">
        <v>12.4845766293761</v>
      </c>
      <c r="G3665" s="78">
        <v>12.4845766293761</v>
      </c>
      <c r="H3665" s="81">
        <v>12.4547699916639</v>
      </c>
    </row>
    <row r="3666" spans="1:8" x14ac:dyDescent="0.3">
      <c r="A3666" s="74" t="str">
        <f t="shared" si="57"/>
        <v>重庆46256</v>
      </c>
      <c r="B3666" s="75" t="s">
        <v>25</v>
      </c>
      <c r="C3666" s="45">
        <v>46256</v>
      </c>
      <c r="D3666" s="76">
        <v>1950.0392663877301</v>
      </c>
      <c r="E3666" s="77">
        <v>131.05751760793501</v>
      </c>
      <c r="F3666" s="78">
        <v>12.4845766293761</v>
      </c>
      <c r="G3666" s="78">
        <v>12.4845766293761</v>
      </c>
      <c r="H3666" s="81">
        <v>12.4547699916639</v>
      </c>
    </row>
    <row r="3667" spans="1:8" x14ac:dyDescent="0.3">
      <c r="A3667" s="74" t="str">
        <f t="shared" si="57"/>
        <v>重庆46257</v>
      </c>
      <c r="B3667" s="75" t="s">
        <v>25</v>
      </c>
      <c r="C3667" s="45">
        <v>46257</v>
      </c>
      <c r="D3667" s="76">
        <v>1950.0392663877301</v>
      </c>
      <c r="E3667" s="77">
        <v>131.05751760793501</v>
      </c>
      <c r="F3667" s="78">
        <v>12.4845766293761</v>
      </c>
      <c r="G3667" s="78">
        <v>12.4845766293761</v>
      </c>
      <c r="H3667" s="81">
        <v>12.4547699916639</v>
      </c>
    </row>
    <row r="3668" spans="1:8" x14ac:dyDescent="0.3">
      <c r="A3668" s="74" t="str">
        <f t="shared" si="57"/>
        <v>重庆46258</v>
      </c>
      <c r="B3668" s="75" t="s">
        <v>25</v>
      </c>
      <c r="C3668" s="45">
        <v>46258</v>
      </c>
      <c r="D3668" s="76">
        <v>1950.0392663877301</v>
      </c>
      <c r="E3668" s="77">
        <v>131.05751760793501</v>
      </c>
      <c r="F3668" s="78">
        <v>12.4845766293761</v>
      </c>
      <c r="G3668" s="78">
        <v>12.4845766293761</v>
      </c>
      <c r="H3668" s="81">
        <v>12.4547699916639</v>
      </c>
    </row>
    <row r="3669" spans="1:8" x14ac:dyDescent="0.3">
      <c r="A3669" s="74" t="str">
        <f t="shared" si="57"/>
        <v>重庆46259</v>
      </c>
      <c r="B3669" s="75" t="s">
        <v>25</v>
      </c>
      <c r="C3669" s="45">
        <v>46259</v>
      </c>
      <c r="D3669" s="76">
        <v>1950.0392663877301</v>
      </c>
      <c r="E3669" s="77">
        <v>131.05751760793501</v>
      </c>
      <c r="F3669" s="78">
        <v>12.4845766293761</v>
      </c>
      <c r="G3669" s="78">
        <v>12.4845766293761</v>
      </c>
      <c r="H3669" s="81">
        <v>12.4547699916639</v>
      </c>
    </row>
    <row r="3670" spans="1:8" x14ac:dyDescent="0.3">
      <c r="A3670" s="74" t="str">
        <f t="shared" si="57"/>
        <v>重庆46260</v>
      </c>
      <c r="B3670" s="75" t="s">
        <v>25</v>
      </c>
      <c r="C3670" s="45">
        <v>46260</v>
      </c>
      <c r="D3670" s="76">
        <v>1950.0392663877301</v>
      </c>
      <c r="E3670" s="77">
        <v>131.05751760793501</v>
      </c>
      <c r="F3670" s="78">
        <v>12.4845766293761</v>
      </c>
      <c r="G3670" s="78">
        <v>12.4845766293761</v>
      </c>
      <c r="H3670" s="81">
        <v>12.4547699916639</v>
      </c>
    </row>
    <row r="3671" spans="1:8" x14ac:dyDescent="0.3">
      <c r="A3671" s="74" t="str">
        <f t="shared" si="57"/>
        <v>重庆46261</v>
      </c>
      <c r="B3671" s="75" t="s">
        <v>25</v>
      </c>
      <c r="C3671" s="45">
        <v>46261</v>
      </c>
      <c r="D3671" s="76">
        <v>1950.0392663877301</v>
      </c>
      <c r="E3671" s="77">
        <v>131.05751760793501</v>
      </c>
      <c r="F3671" s="78">
        <v>12.4845766293761</v>
      </c>
      <c r="G3671" s="78">
        <v>12.4845766293761</v>
      </c>
      <c r="H3671" s="81">
        <v>12.4547699916639</v>
      </c>
    </row>
    <row r="3672" spans="1:8" x14ac:dyDescent="0.3">
      <c r="A3672" s="74" t="str">
        <f t="shared" si="57"/>
        <v>重庆46262</v>
      </c>
      <c r="B3672" s="75" t="s">
        <v>25</v>
      </c>
      <c r="C3672" s="45">
        <v>46262</v>
      </c>
      <c r="D3672" s="76">
        <v>1950.0392663877301</v>
      </c>
      <c r="E3672" s="77">
        <v>131.05751760793501</v>
      </c>
      <c r="F3672" s="78">
        <v>12.4845766293761</v>
      </c>
      <c r="G3672" s="78">
        <v>12.4845766293761</v>
      </c>
      <c r="H3672" s="81">
        <v>12.4547699916639</v>
      </c>
    </row>
    <row r="3673" spans="1:8" x14ac:dyDescent="0.3">
      <c r="A3673" s="74" t="str">
        <f t="shared" si="57"/>
        <v>重庆46263</v>
      </c>
      <c r="B3673" s="75" t="s">
        <v>25</v>
      </c>
      <c r="C3673" s="45">
        <v>46263</v>
      </c>
      <c r="D3673" s="76">
        <v>1950.0392663877301</v>
      </c>
      <c r="E3673" s="77">
        <v>131.05751760793501</v>
      </c>
      <c r="F3673" s="78">
        <v>12.4845766293761</v>
      </c>
      <c r="G3673" s="78">
        <v>12.4845766293761</v>
      </c>
      <c r="H3673" s="81">
        <v>12.4547699916639</v>
      </c>
    </row>
    <row r="3674" spans="1:8" x14ac:dyDescent="0.3">
      <c r="A3674" s="74" t="str">
        <f t="shared" si="57"/>
        <v>重庆46264</v>
      </c>
      <c r="B3674" s="75" t="s">
        <v>25</v>
      </c>
      <c r="C3674" s="45">
        <v>46264</v>
      </c>
      <c r="D3674" s="76">
        <v>1950.0392663877301</v>
      </c>
      <c r="E3674" s="77">
        <v>131.05751760793501</v>
      </c>
      <c r="F3674" s="78">
        <v>12.4845766293761</v>
      </c>
      <c r="G3674" s="78">
        <v>12.4845766293761</v>
      </c>
      <c r="H3674" s="81">
        <v>12.4547699916639</v>
      </c>
    </row>
    <row r="3675" spans="1:8" x14ac:dyDescent="0.3">
      <c r="A3675" s="74" t="str">
        <f t="shared" si="57"/>
        <v>重庆46265</v>
      </c>
      <c r="B3675" s="75" t="s">
        <v>25</v>
      </c>
      <c r="C3675" s="45">
        <v>46265</v>
      </c>
      <c r="D3675" s="76">
        <v>1950.0392663877301</v>
      </c>
      <c r="E3675" s="77">
        <v>131.05751760793501</v>
      </c>
      <c r="F3675" s="78">
        <v>12.4845766293761</v>
      </c>
      <c r="G3675" s="78">
        <v>12.4845766293761</v>
      </c>
      <c r="H3675" s="81">
        <v>12.4547699916639</v>
      </c>
    </row>
    <row r="3676" spans="1:8" x14ac:dyDescent="0.3">
      <c r="A3676" s="74" t="str">
        <f t="shared" si="57"/>
        <v>重庆46266</v>
      </c>
      <c r="B3676" s="75" t="s">
        <v>25</v>
      </c>
      <c r="C3676" s="45">
        <v>46266</v>
      </c>
      <c r="D3676" s="76">
        <v>1911.3676142220099</v>
      </c>
      <c r="E3676" s="77">
        <v>131.187962284305</v>
      </c>
      <c r="F3676" s="78">
        <v>12.7810593749892</v>
      </c>
      <c r="G3676" s="78">
        <v>12.7810593749892</v>
      </c>
      <c r="H3676" s="81">
        <v>13.008200385811801</v>
      </c>
    </row>
    <row r="3677" spans="1:8" x14ac:dyDescent="0.3">
      <c r="A3677" s="74" t="str">
        <f t="shared" si="57"/>
        <v>重庆46267</v>
      </c>
      <c r="B3677" s="75" t="s">
        <v>25</v>
      </c>
      <c r="C3677" s="45">
        <v>46267</v>
      </c>
      <c r="D3677" s="76">
        <v>1911.3676142220099</v>
      </c>
      <c r="E3677" s="77">
        <v>131.187962284305</v>
      </c>
      <c r="F3677" s="78">
        <v>12.7810593749892</v>
      </c>
      <c r="G3677" s="78">
        <v>12.7810593749892</v>
      </c>
      <c r="H3677" s="81">
        <v>13.008200385811801</v>
      </c>
    </row>
    <row r="3678" spans="1:8" x14ac:dyDescent="0.3">
      <c r="A3678" s="74" t="str">
        <f t="shared" si="57"/>
        <v>重庆46268</v>
      </c>
      <c r="B3678" s="75" t="s">
        <v>25</v>
      </c>
      <c r="C3678" s="45">
        <v>46268</v>
      </c>
      <c r="D3678" s="76">
        <v>1911.3676142220099</v>
      </c>
      <c r="E3678" s="77">
        <v>131.187962284305</v>
      </c>
      <c r="F3678" s="78">
        <v>12.7810593749892</v>
      </c>
      <c r="G3678" s="78">
        <v>12.7810593749892</v>
      </c>
      <c r="H3678" s="81">
        <v>13.008200385811801</v>
      </c>
    </row>
    <row r="3679" spans="1:8" x14ac:dyDescent="0.3">
      <c r="A3679" s="74" t="str">
        <f t="shared" si="57"/>
        <v>重庆46269</v>
      </c>
      <c r="B3679" s="75" t="s">
        <v>25</v>
      </c>
      <c r="C3679" s="45">
        <v>46269</v>
      </c>
      <c r="D3679" s="76">
        <v>1911.3676142220099</v>
      </c>
      <c r="E3679" s="77">
        <v>131.187962284305</v>
      </c>
      <c r="F3679" s="78">
        <v>12.7810593749892</v>
      </c>
      <c r="G3679" s="78">
        <v>12.7810593749892</v>
      </c>
      <c r="H3679" s="81">
        <v>13.008200385811801</v>
      </c>
    </row>
    <row r="3680" spans="1:8" x14ac:dyDescent="0.3">
      <c r="A3680" s="74" t="str">
        <f t="shared" si="57"/>
        <v>重庆46270</v>
      </c>
      <c r="B3680" s="75" t="s">
        <v>25</v>
      </c>
      <c r="C3680" s="45">
        <v>46270</v>
      </c>
      <c r="D3680" s="76">
        <v>1911.3676142220099</v>
      </c>
      <c r="E3680" s="77">
        <v>131.187962284305</v>
      </c>
      <c r="F3680" s="78">
        <v>12.7810593749892</v>
      </c>
      <c r="G3680" s="78">
        <v>12.7810593749892</v>
      </c>
      <c r="H3680" s="81">
        <v>13.008200385811801</v>
      </c>
    </row>
    <row r="3681" spans="1:8" x14ac:dyDescent="0.3">
      <c r="A3681" s="74" t="str">
        <f t="shared" si="57"/>
        <v>重庆46271</v>
      </c>
      <c r="B3681" s="75" t="s">
        <v>25</v>
      </c>
      <c r="C3681" s="45">
        <v>46271</v>
      </c>
      <c r="D3681" s="76">
        <v>1911.3676142220099</v>
      </c>
      <c r="E3681" s="77">
        <v>131.187962284305</v>
      </c>
      <c r="F3681" s="78">
        <v>12.7810593749892</v>
      </c>
      <c r="G3681" s="78">
        <v>12.7810593749892</v>
      </c>
      <c r="H3681" s="81">
        <v>13.008200385811801</v>
      </c>
    </row>
    <row r="3682" spans="1:8" x14ac:dyDescent="0.3">
      <c r="A3682" s="74" t="str">
        <f t="shared" si="57"/>
        <v>重庆46272</v>
      </c>
      <c r="B3682" s="75" t="s">
        <v>25</v>
      </c>
      <c r="C3682" s="45">
        <v>46272</v>
      </c>
      <c r="D3682" s="76">
        <v>1911.3676142220099</v>
      </c>
      <c r="E3682" s="77">
        <v>131.187962284305</v>
      </c>
      <c r="F3682" s="78">
        <v>12.7810593749892</v>
      </c>
      <c r="G3682" s="78">
        <v>12.7810593749892</v>
      </c>
      <c r="H3682" s="81">
        <v>13.008200385811801</v>
      </c>
    </row>
    <row r="3683" spans="1:8" x14ac:dyDescent="0.3">
      <c r="A3683" s="74" t="str">
        <f t="shared" si="57"/>
        <v>重庆46273</v>
      </c>
      <c r="B3683" s="75" t="s">
        <v>25</v>
      </c>
      <c r="C3683" s="45">
        <v>46273</v>
      </c>
      <c r="D3683" s="76">
        <v>1911.3676142220099</v>
      </c>
      <c r="E3683" s="77">
        <v>131.187962284305</v>
      </c>
      <c r="F3683" s="78">
        <v>12.7810593749892</v>
      </c>
      <c r="G3683" s="78">
        <v>12.7810593749892</v>
      </c>
      <c r="H3683" s="81">
        <v>13.008200385811801</v>
      </c>
    </row>
    <row r="3684" spans="1:8" x14ac:dyDescent="0.3">
      <c r="A3684" s="74" t="str">
        <f t="shared" si="57"/>
        <v>重庆46274</v>
      </c>
      <c r="B3684" s="75" t="s">
        <v>25</v>
      </c>
      <c r="C3684" s="45">
        <v>46274</v>
      </c>
      <c r="D3684" s="76">
        <v>1911.3676142220099</v>
      </c>
      <c r="E3684" s="77">
        <v>131.187962284305</v>
      </c>
      <c r="F3684" s="78">
        <v>12.7810593749892</v>
      </c>
      <c r="G3684" s="78">
        <v>12.7810593749892</v>
      </c>
      <c r="H3684" s="81">
        <v>13.008200385811801</v>
      </c>
    </row>
    <row r="3685" spans="1:8" x14ac:dyDescent="0.3">
      <c r="A3685" s="74" t="str">
        <f t="shared" si="57"/>
        <v>重庆46275</v>
      </c>
      <c r="B3685" s="75" t="s">
        <v>25</v>
      </c>
      <c r="C3685" s="45">
        <v>46275</v>
      </c>
      <c r="D3685" s="76">
        <v>1911.3676142220099</v>
      </c>
      <c r="E3685" s="77">
        <v>131.187962284305</v>
      </c>
      <c r="F3685" s="78">
        <v>12.7810593749892</v>
      </c>
      <c r="G3685" s="78">
        <v>12.7810593749892</v>
      </c>
      <c r="H3685" s="81">
        <v>13.008200385811801</v>
      </c>
    </row>
    <row r="3686" spans="1:8" x14ac:dyDescent="0.3">
      <c r="A3686" s="74" t="str">
        <f t="shared" si="57"/>
        <v>重庆46276</v>
      </c>
      <c r="B3686" s="75" t="s">
        <v>25</v>
      </c>
      <c r="C3686" s="45">
        <v>46276</v>
      </c>
      <c r="D3686" s="76">
        <v>1911.3676142220099</v>
      </c>
      <c r="E3686" s="77">
        <v>131.187962284305</v>
      </c>
      <c r="F3686" s="78">
        <v>12.7810593749892</v>
      </c>
      <c r="G3686" s="78">
        <v>12.7810593749892</v>
      </c>
      <c r="H3686" s="81">
        <v>13.008200385811801</v>
      </c>
    </row>
    <row r="3687" spans="1:8" x14ac:dyDescent="0.3">
      <c r="A3687" s="74" t="str">
        <f t="shared" si="57"/>
        <v>重庆46277</v>
      </c>
      <c r="B3687" s="75" t="s">
        <v>25</v>
      </c>
      <c r="C3687" s="45">
        <v>46277</v>
      </c>
      <c r="D3687" s="76">
        <v>1911.3676142220099</v>
      </c>
      <c r="E3687" s="77">
        <v>131.187962284305</v>
      </c>
      <c r="F3687" s="78">
        <v>12.7810593749892</v>
      </c>
      <c r="G3687" s="78">
        <v>12.7810593749892</v>
      </c>
      <c r="H3687" s="81">
        <v>13.008200385811801</v>
      </c>
    </row>
    <row r="3688" spans="1:8" x14ac:dyDescent="0.3">
      <c r="A3688" s="74" t="str">
        <f t="shared" si="57"/>
        <v>重庆46278</v>
      </c>
      <c r="B3688" s="75" t="s">
        <v>25</v>
      </c>
      <c r="C3688" s="45">
        <v>46278</v>
      </c>
      <c r="D3688" s="76">
        <v>1911.3676142220099</v>
      </c>
      <c r="E3688" s="77">
        <v>131.187962284305</v>
      </c>
      <c r="F3688" s="78">
        <v>12.7810593749892</v>
      </c>
      <c r="G3688" s="78">
        <v>12.7810593749892</v>
      </c>
      <c r="H3688" s="81">
        <v>13.008200385811801</v>
      </c>
    </row>
    <row r="3689" spans="1:8" x14ac:dyDescent="0.3">
      <c r="A3689" s="74" t="str">
        <f t="shared" si="57"/>
        <v>重庆46279</v>
      </c>
      <c r="B3689" s="75" t="s">
        <v>25</v>
      </c>
      <c r="C3689" s="45">
        <v>46279</v>
      </c>
      <c r="D3689" s="76">
        <v>1911.3676142220099</v>
      </c>
      <c r="E3689" s="77">
        <v>131.187962284305</v>
      </c>
      <c r="F3689" s="78">
        <v>12.7810593749892</v>
      </c>
      <c r="G3689" s="78">
        <v>12.7810593749892</v>
      </c>
      <c r="H3689" s="81">
        <v>13.008200385811801</v>
      </c>
    </row>
    <row r="3690" spans="1:8" x14ac:dyDescent="0.3">
      <c r="A3690" s="74" t="str">
        <f t="shared" si="57"/>
        <v>重庆46280</v>
      </c>
      <c r="B3690" s="75" t="s">
        <v>25</v>
      </c>
      <c r="C3690" s="45">
        <v>46280</v>
      </c>
      <c r="D3690" s="76">
        <v>1911.3676142220099</v>
      </c>
      <c r="E3690" s="77">
        <v>131.187962284305</v>
      </c>
      <c r="F3690" s="78">
        <v>12.7810593749892</v>
      </c>
      <c r="G3690" s="78">
        <v>12.7810593749892</v>
      </c>
      <c r="H3690" s="81">
        <v>13.008200385811801</v>
      </c>
    </row>
    <row r="3691" spans="1:8" x14ac:dyDescent="0.3">
      <c r="A3691" s="74" t="str">
        <f t="shared" si="57"/>
        <v>重庆46281</v>
      </c>
      <c r="B3691" s="75" t="s">
        <v>25</v>
      </c>
      <c r="C3691" s="45">
        <v>46281</v>
      </c>
      <c r="D3691" s="76">
        <v>1911.3676142220099</v>
      </c>
      <c r="E3691" s="77">
        <v>131.187962284305</v>
      </c>
      <c r="F3691" s="78">
        <v>12.7810593749892</v>
      </c>
      <c r="G3691" s="78">
        <v>12.7810593749892</v>
      </c>
      <c r="H3691" s="81">
        <v>13.008200385811801</v>
      </c>
    </row>
    <row r="3692" spans="1:8" x14ac:dyDescent="0.3">
      <c r="A3692" s="74" t="str">
        <f t="shared" si="57"/>
        <v>重庆46282</v>
      </c>
      <c r="B3692" s="75" t="s">
        <v>25</v>
      </c>
      <c r="C3692" s="45">
        <v>46282</v>
      </c>
      <c r="D3692" s="76">
        <v>1911.3676142220099</v>
      </c>
      <c r="E3692" s="77">
        <v>131.187962284305</v>
      </c>
      <c r="F3692" s="78">
        <v>12.7810593749892</v>
      </c>
      <c r="G3692" s="78">
        <v>12.7810593749892</v>
      </c>
      <c r="H3692" s="81">
        <v>13.008200385811801</v>
      </c>
    </row>
    <row r="3693" spans="1:8" x14ac:dyDescent="0.3">
      <c r="A3693" s="74" t="str">
        <f t="shared" si="57"/>
        <v>重庆46283</v>
      </c>
      <c r="B3693" s="75" t="s">
        <v>25</v>
      </c>
      <c r="C3693" s="45">
        <v>46283</v>
      </c>
      <c r="D3693" s="76">
        <v>1911.3676142220099</v>
      </c>
      <c r="E3693" s="77">
        <v>131.187962284305</v>
      </c>
      <c r="F3693" s="78">
        <v>12.7810593749892</v>
      </c>
      <c r="G3693" s="78">
        <v>12.7810593749892</v>
      </c>
      <c r="H3693" s="81">
        <v>13.008200385811801</v>
      </c>
    </row>
    <row r="3694" spans="1:8" x14ac:dyDescent="0.3">
      <c r="A3694" s="74" t="str">
        <f t="shared" si="57"/>
        <v>重庆46284</v>
      </c>
      <c r="B3694" s="75" t="s">
        <v>25</v>
      </c>
      <c r="C3694" s="45">
        <v>46284</v>
      </c>
      <c r="D3694" s="76">
        <v>1911.3676142220099</v>
      </c>
      <c r="E3694" s="77">
        <v>131.187962284305</v>
      </c>
      <c r="F3694" s="78">
        <v>12.7810593749892</v>
      </c>
      <c r="G3694" s="78">
        <v>12.7810593749892</v>
      </c>
      <c r="H3694" s="81">
        <v>13.008200385811801</v>
      </c>
    </row>
    <row r="3695" spans="1:8" x14ac:dyDescent="0.3">
      <c r="A3695" s="74" t="str">
        <f t="shared" si="57"/>
        <v>重庆46285</v>
      </c>
      <c r="B3695" s="75" t="s">
        <v>25</v>
      </c>
      <c r="C3695" s="45">
        <v>46285</v>
      </c>
      <c r="D3695" s="76">
        <v>1911.3676142220099</v>
      </c>
      <c r="E3695" s="77">
        <v>131.187962284305</v>
      </c>
      <c r="F3695" s="78">
        <v>12.7810593749892</v>
      </c>
      <c r="G3695" s="78">
        <v>12.7810593749892</v>
      </c>
      <c r="H3695" s="81">
        <v>13.008200385811801</v>
      </c>
    </row>
    <row r="3696" spans="1:8" x14ac:dyDescent="0.3">
      <c r="A3696" s="74" t="str">
        <f t="shared" si="57"/>
        <v>重庆46286</v>
      </c>
      <c r="B3696" s="75" t="s">
        <v>25</v>
      </c>
      <c r="C3696" s="45">
        <v>46286</v>
      </c>
      <c r="D3696" s="76">
        <v>1911.3676142220099</v>
      </c>
      <c r="E3696" s="77">
        <v>131.187962284305</v>
      </c>
      <c r="F3696" s="78">
        <v>12.7810593749892</v>
      </c>
      <c r="G3696" s="78">
        <v>12.7810593749892</v>
      </c>
      <c r="H3696" s="81">
        <v>13.008200385811801</v>
      </c>
    </row>
    <row r="3697" spans="1:8" x14ac:dyDescent="0.3">
      <c r="A3697" s="74" t="str">
        <f t="shared" si="57"/>
        <v>重庆46287</v>
      </c>
      <c r="B3697" s="75" t="s">
        <v>25</v>
      </c>
      <c r="C3697" s="45">
        <v>46287</v>
      </c>
      <c r="D3697" s="76">
        <v>1911.3676142220099</v>
      </c>
      <c r="E3697" s="77">
        <v>131.187962284305</v>
      </c>
      <c r="F3697" s="78">
        <v>12.7810593749892</v>
      </c>
      <c r="G3697" s="78">
        <v>12.7810593749892</v>
      </c>
      <c r="H3697" s="81">
        <v>13.008200385811801</v>
      </c>
    </row>
    <row r="3698" spans="1:8" x14ac:dyDescent="0.3">
      <c r="A3698" s="74" t="str">
        <f t="shared" si="57"/>
        <v>重庆46288</v>
      </c>
      <c r="B3698" s="75" t="s">
        <v>25</v>
      </c>
      <c r="C3698" s="45">
        <v>46288</v>
      </c>
      <c r="D3698" s="76">
        <v>1911.3676142220099</v>
      </c>
      <c r="E3698" s="77">
        <v>131.187962284305</v>
      </c>
      <c r="F3698" s="78">
        <v>12.7810593749892</v>
      </c>
      <c r="G3698" s="78">
        <v>12.7810593749892</v>
      </c>
      <c r="H3698" s="81">
        <v>13.008200385811801</v>
      </c>
    </row>
    <row r="3699" spans="1:8" x14ac:dyDescent="0.3">
      <c r="A3699" s="74" t="str">
        <f t="shared" si="57"/>
        <v>重庆46289</v>
      </c>
      <c r="B3699" s="75" t="s">
        <v>25</v>
      </c>
      <c r="C3699" s="45">
        <v>46289</v>
      </c>
      <c r="D3699" s="76">
        <v>1911.3676142220099</v>
      </c>
      <c r="E3699" s="77">
        <v>131.187962284305</v>
      </c>
      <c r="F3699" s="78">
        <v>12.7810593749892</v>
      </c>
      <c r="G3699" s="78">
        <v>12.7810593749892</v>
      </c>
      <c r="H3699" s="81">
        <v>13.008200385811801</v>
      </c>
    </row>
    <row r="3700" spans="1:8" x14ac:dyDescent="0.3">
      <c r="A3700" s="74" t="str">
        <f t="shared" si="57"/>
        <v>重庆46290</v>
      </c>
      <c r="B3700" s="75" t="s">
        <v>25</v>
      </c>
      <c r="C3700" s="45">
        <v>46290</v>
      </c>
      <c r="D3700" s="76">
        <v>1911.3676142220099</v>
      </c>
      <c r="E3700" s="77">
        <v>131.187962284305</v>
      </c>
      <c r="F3700" s="78">
        <v>12.7810593749892</v>
      </c>
      <c r="G3700" s="78">
        <v>12.7810593749892</v>
      </c>
      <c r="H3700" s="81">
        <v>13.008200385811801</v>
      </c>
    </row>
    <row r="3701" spans="1:8" x14ac:dyDescent="0.3">
      <c r="A3701" s="74" t="str">
        <f t="shared" si="57"/>
        <v>重庆46291</v>
      </c>
      <c r="B3701" s="75" t="s">
        <v>25</v>
      </c>
      <c r="C3701" s="45">
        <v>46291</v>
      </c>
      <c r="D3701" s="76">
        <v>1911.3676142220099</v>
      </c>
      <c r="E3701" s="77">
        <v>131.187962284305</v>
      </c>
      <c r="F3701" s="78">
        <v>12.7810593749892</v>
      </c>
      <c r="G3701" s="78">
        <v>12.7810593749892</v>
      </c>
      <c r="H3701" s="81">
        <v>13.008200385811801</v>
      </c>
    </row>
    <row r="3702" spans="1:8" x14ac:dyDescent="0.3">
      <c r="A3702" s="74" t="str">
        <f t="shared" si="57"/>
        <v>重庆46292</v>
      </c>
      <c r="B3702" s="75" t="s">
        <v>25</v>
      </c>
      <c r="C3702" s="45">
        <v>46292</v>
      </c>
      <c r="D3702" s="76">
        <v>1911.3676142220099</v>
      </c>
      <c r="E3702" s="77">
        <v>131.187962284305</v>
      </c>
      <c r="F3702" s="78">
        <v>12.7810593749892</v>
      </c>
      <c r="G3702" s="78">
        <v>12.7810593749892</v>
      </c>
      <c r="H3702" s="81">
        <v>13.008200385811801</v>
      </c>
    </row>
    <row r="3703" spans="1:8" x14ac:dyDescent="0.3">
      <c r="A3703" s="74" t="str">
        <f t="shared" si="57"/>
        <v>重庆46293</v>
      </c>
      <c r="B3703" s="75" t="s">
        <v>25</v>
      </c>
      <c r="C3703" s="45">
        <v>46293</v>
      </c>
      <c r="D3703" s="76">
        <v>1911.3676142220099</v>
      </c>
      <c r="E3703" s="77">
        <v>131.187962284305</v>
      </c>
      <c r="F3703" s="78">
        <v>12.7810593749892</v>
      </c>
      <c r="G3703" s="78">
        <v>12.7810593749892</v>
      </c>
      <c r="H3703" s="81">
        <v>13.008200385811801</v>
      </c>
    </row>
    <row r="3704" spans="1:8" x14ac:dyDescent="0.3">
      <c r="A3704" s="74" t="str">
        <f t="shared" si="57"/>
        <v>重庆46294</v>
      </c>
      <c r="B3704" s="75" t="s">
        <v>25</v>
      </c>
      <c r="C3704" s="45">
        <v>46294</v>
      </c>
      <c r="D3704" s="76">
        <v>1911.3676142220099</v>
      </c>
      <c r="E3704" s="77">
        <v>131.187962284305</v>
      </c>
      <c r="F3704" s="78">
        <v>12.7810593749892</v>
      </c>
      <c r="G3704" s="78">
        <v>12.7810593749892</v>
      </c>
      <c r="H3704" s="81">
        <v>13.008200385811801</v>
      </c>
    </row>
    <row r="3705" spans="1:8" x14ac:dyDescent="0.3">
      <c r="A3705" s="74" t="str">
        <f t="shared" si="57"/>
        <v>重庆46295</v>
      </c>
      <c r="B3705" s="75" t="s">
        <v>25</v>
      </c>
      <c r="C3705" s="45">
        <v>46295</v>
      </c>
      <c r="D3705" s="76">
        <v>1911.3676142220099</v>
      </c>
      <c r="E3705" s="77">
        <v>131.187962284305</v>
      </c>
      <c r="F3705" s="78">
        <v>12.7810593749892</v>
      </c>
      <c r="G3705" s="78">
        <v>12.7810593749892</v>
      </c>
      <c r="H3705" s="81">
        <v>13.008200385811801</v>
      </c>
    </row>
    <row r="3706" spans="1:8" x14ac:dyDescent="0.3">
      <c r="A3706" s="74" t="str">
        <f t="shared" si="57"/>
        <v>重庆46296</v>
      </c>
      <c r="B3706" s="75" t="s">
        <v>25</v>
      </c>
      <c r="C3706" s="45">
        <v>46296</v>
      </c>
      <c r="D3706" s="76">
        <v>2167.9426129815101</v>
      </c>
      <c r="E3706" s="77">
        <v>131.325743457323</v>
      </c>
      <c r="F3706" s="78">
        <v>12.999713549189901</v>
      </c>
      <c r="G3706" s="78">
        <v>12.999713549189901</v>
      </c>
      <c r="H3706" s="81">
        <v>13.085784085926001</v>
      </c>
    </row>
    <row r="3707" spans="1:8" x14ac:dyDescent="0.3">
      <c r="A3707" s="74" t="str">
        <f t="shared" si="57"/>
        <v>重庆46297</v>
      </c>
      <c r="B3707" s="75" t="s">
        <v>25</v>
      </c>
      <c r="C3707" s="45">
        <v>46297</v>
      </c>
      <c r="D3707" s="76">
        <v>2167.9426129815101</v>
      </c>
      <c r="E3707" s="77">
        <v>131.325743457323</v>
      </c>
      <c r="F3707" s="78">
        <v>12.999713549189901</v>
      </c>
      <c r="G3707" s="78">
        <v>12.999713549189901</v>
      </c>
      <c r="H3707" s="81">
        <v>13.085784085926001</v>
      </c>
    </row>
    <row r="3708" spans="1:8" x14ac:dyDescent="0.3">
      <c r="A3708" s="74" t="str">
        <f t="shared" si="57"/>
        <v>重庆46298</v>
      </c>
      <c r="B3708" s="75" t="s">
        <v>25</v>
      </c>
      <c r="C3708" s="45">
        <v>46298</v>
      </c>
      <c r="D3708" s="76">
        <v>2167.9426129815101</v>
      </c>
      <c r="E3708" s="77">
        <v>131.325743457323</v>
      </c>
      <c r="F3708" s="78">
        <v>12.999713549189901</v>
      </c>
      <c r="G3708" s="78">
        <v>12.999713549189901</v>
      </c>
      <c r="H3708" s="81">
        <v>13.085784085926001</v>
      </c>
    </row>
    <row r="3709" spans="1:8" x14ac:dyDescent="0.3">
      <c r="A3709" s="74" t="str">
        <f t="shared" si="57"/>
        <v>重庆46299</v>
      </c>
      <c r="B3709" s="75" t="s">
        <v>25</v>
      </c>
      <c r="C3709" s="45">
        <v>46299</v>
      </c>
      <c r="D3709" s="76">
        <v>2167.9426129815101</v>
      </c>
      <c r="E3709" s="77">
        <v>131.325743457323</v>
      </c>
      <c r="F3709" s="78">
        <v>12.999713549189901</v>
      </c>
      <c r="G3709" s="78">
        <v>12.999713549189901</v>
      </c>
      <c r="H3709" s="81">
        <v>13.085784085926001</v>
      </c>
    </row>
    <row r="3710" spans="1:8" x14ac:dyDescent="0.3">
      <c r="A3710" s="74" t="str">
        <f t="shared" si="57"/>
        <v>重庆46300</v>
      </c>
      <c r="B3710" s="75" t="s">
        <v>25</v>
      </c>
      <c r="C3710" s="45">
        <v>46300</v>
      </c>
      <c r="D3710" s="76">
        <v>2167.9426129815101</v>
      </c>
      <c r="E3710" s="77">
        <v>131.325743457323</v>
      </c>
      <c r="F3710" s="78">
        <v>12.999713549189901</v>
      </c>
      <c r="G3710" s="78">
        <v>12.999713549189901</v>
      </c>
      <c r="H3710" s="81">
        <v>13.085784085926001</v>
      </c>
    </row>
    <row r="3711" spans="1:8" x14ac:dyDescent="0.3">
      <c r="A3711" s="74" t="str">
        <f t="shared" si="57"/>
        <v>重庆46301</v>
      </c>
      <c r="B3711" s="75" t="s">
        <v>25</v>
      </c>
      <c r="C3711" s="45">
        <v>46301</v>
      </c>
      <c r="D3711" s="76">
        <v>2167.9426129815101</v>
      </c>
      <c r="E3711" s="77">
        <v>131.325743457323</v>
      </c>
      <c r="F3711" s="78">
        <v>12.999713549189901</v>
      </c>
      <c r="G3711" s="78">
        <v>12.999713549189901</v>
      </c>
      <c r="H3711" s="81">
        <v>13.085784085926001</v>
      </c>
    </row>
    <row r="3712" spans="1:8" x14ac:dyDescent="0.3">
      <c r="A3712" s="74" t="str">
        <f t="shared" si="57"/>
        <v>重庆46302</v>
      </c>
      <c r="B3712" s="75" t="s">
        <v>25</v>
      </c>
      <c r="C3712" s="45">
        <v>46302</v>
      </c>
      <c r="D3712" s="76">
        <v>2167.9426129815101</v>
      </c>
      <c r="E3712" s="77">
        <v>131.325743457323</v>
      </c>
      <c r="F3712" s="78">
        <v>12.999713549189901</v>
      </c>
      <c r="G3712" s="78">
        <v>12.999713549189901</v>
      </c>
      <c r="H3712" s="81">
        <v>13.085784085926001</v>
      </c>
    </row>
    <row r="3713" spans="1:8" x14ac:dyDescent="0.3">
      <c r="A3713" s="74" t="str">
        <f t="shared" si="57"/>
        <v>重庆46303</v>
      </c>
      <c r="B3713" s="75" t="s">
        <v>25</v>
      </c>
      <c r="C3713" s="45">
        <v>46303</v>
      </c>
      <c r="D3713" s="76">
        <v>2167.9426129815101</v>
      </c>
      <c r="E3713" s="77">
        <v>131.325743457323</v>
      </c>
      <c r="F3713" s="78">
        <v>12.999713549189901</v>
      </c>
      <c r="G3713" s="78">
        <v>12.999713549189901</v>
      </c>
      <c r="H3713" s="81">
        <v>13.085784085926001</v>
      </c>
    </row>
    <row r="3714" spans="1:8" x14ac:dyDescent="0.3">
      <c r="A3714" s="74" t="str">
        <f t="shared" si="57"/>
        <v>重庆46304</v>
      </c>
      <c r="B3714" s="75" t="s">
        <v>25</v>
      </c>
      <c r="C3714" s="45">
        <v>46304</v>
      </c>
      <c r="D3714" s="76">
        <v>2167.9426129815101</v>
      </c>
      <c r="E3714" s="77">
        <v>131.325743457323</v>
      </c>
      <c r="F3714" s="78">
        <v>12.999713549189901</v>
      </c>
      <c r="G3714" s="78">
        <v>12.999713549189901</v>
      </c>
      <c r="H3714" s="81">
        <v>13.085784085926001</v>
      </c>
    </row>
    <row r="3715" spans="1:8" x14ac:dyDescent="0.3">
      <c r="A3715" s="74" t="str">
        <f t="shared" ref="A3715:A3778" si="58">B3715&amp;C3715</f>
        <v>重庆46305</v>
      </c>
      <c r="B3715" s="75" t="s">
        <v>25</v>
      </c>
      <c r="C3715" s="45">
        <v>46305</v>
      </c>
      <c r="D3715" s="76">
        <v>2167.9426129815101</v>
      </c>
      <c r="E3715" s="77">
        <v>131.325743457323</v>
      </c>
      <c r="F3715" s="78">
        <v>12.999713549189901</v>
      </c>
      <c r="G3715" s="78">
        <v>12.999713549189901</v>
      </c>
      <c r="H3715" s="81">
        <v>13.085784085926001</v>
      </c>
    </row>
    <row r="3716" spans="1:8" x14ac:dyDescent="0.3">
      <c r="A3716" s="74" t="str">
        <f t="shared" si="58"/>
        <v>重庆46306</v>
      </c>
      <c r="B3716" s="75" t="s">
        <v>25</v>
      </c>
      <c r="C3716" s="45">
        <v>46306</v>
      </c>
      <c r="D3716" s="76">
        <v>2167.9426129815101</v>
      </c>
      <c r="E3716" s="77">
        <v>131.325743457323</v>
      </c>
      <c r="F3716" s="78">
        <v>12.999713549189901</v>
      </c>
      <c r="G3716" s="78">
        <v>12.999713549189901</v>
      </c>
      <c r="H3716" s="81">
        <v>13.085784085926001</v>
      </c>
    </row>
    <row r="3717" spans="1:8" x14ac:dyDescent="0.3">
      <c r="A3717" s="74" t="str">
        <f t="shared" si="58"/>
        <v>重庆46307</v>
      </c>
      <c r="B3717" s="75" t="s">
        <v>25</v>
      </c>
      <c r="C3717" s="45">
        <v>46307</v>
      </c>
      <c r="D3717" s="76">
        <v>2167.9426129815101</v>
      </c>
      <c r="E3717" s="77">
        <v>131.325743457323</v>
      </c>
      <c r="F3717" s="78">
        <v>12.999713549189901</v>
      </c>
      <c r="G3717" s="78">
        <v>12.999713549189901</v>
      </c>
      <c r="H3717" s="81">
        <v>13.085784085926001</v>
      </c>
    </row>
    <row r="3718" spans="1:8" x14ac:dyDescent="0.3">
      <c r="A3718" s="74" t="str">
        <f t="shared" si="58"/>
        <v>重庆46308</v>
      </c>
      <c r="B3718" s="75" t="s">
        <v>25</v>
      </c>
      <c r="C3718" s="45">
        <v>46308</v>
      </c>
      <c r="D3718" s="76">
        <v>2167.9426129815101</v>
      </c>
      <c r="E3718" s="77">
        <v>131.325743457323</v>
      </c>
      <c r="F3718" s="78">
        <v>12.999713549189901</v>
      </c>
      <c r="G3718" s="78">
        <v>12.999713549189901</v>
      </c>
      <c r="H3718" s="81">
        <v>13.085784085926001</v>
      </c>
    </row>
    <row r="3719" spans="1:8" x14ac:dyDescent="0.3">
      <c r="A3719" s="74" t="str">
        <f t="shared" si="58"/>
        <v>重庆46309</v>
      </c>
      <c r="B3719" s="75" t="s">
        <v>25</v>
      </c>
      <c r="C3719" s="45">
        <v>46309</v>
      </c>
      <c r="D3719" s="76">
        <v>2167.9426129815101</v>
      </c>
      <c r="E3719" s="77">
        <v>131.325743457323</v>
      </c>
      <c r="F3719" s="78">
        <v>12.999713549189901</v>
      </c>
      <c r="G3719" s="78">
        <v>12.999713549189901</v>
      </c>
      <c r="H3719" s="81">
        <v>13.085784085926001</v>
      </c>
    </row>
    <row r="3720" spans="1:8" x14ac:dyDescent="0.3">
      <c r="A3720" s="74" t="str">
        <f t="shared" si="58"/>
        <v>重庆46310</v>
      </c>
      <c r="B3720" s="75" t="s">
        <v>25</v>
      </c>
      <c r="C3720" s="45">
        <v>46310</v>
      </c>
      <c r="D3720" s="76">
        <v>2167.9426129815101</v>
      </c>
      <c r="E3720" s="77">
        <v>131.325743457323</v>
      </c>
      <c r="F3720" s="78">
        <v>12.999713549189901</v>
      </c>
      <c r="G3720" s="78">
        <v>12.999713549189901</v>
      </c>
      <c r="H3720" s="81">
        <v>13.085784085926001</v>
      </c>
    </row>
    <row r="3721" spans="1:8" x14ac:dyDescent="0.3">
      <c r="A3721" s="74" t="str">
        <f t="shared" si="58"/>
        <v>重庆46311</v>
      </c>
      <c r="B3721" s="75" t="s">
        <v>25</v>
      </c>
      <c r="C3721" s="45">
        <v>46311</v>
      </c>
      <c r="D3721" s="76">
        <v>2167.9426129815101</v>
      </c>
      <c r="E3721" s="77">
        <v>131.325743457323</v>
      </c>
      <c r="F3721" s="78">
        <v>12.999713549189901</v>
      </c>
      <c r="G3721" s="78">
        <v>12.999713549189901</v>
      </c>
      <c r="H3721" s="81">
        <v>13.085784085926001</v>
      </c>
    </row>
    <row r="3722" spans="1:8" x14ac:dyDescent="0.3">
      <c r="A3722" s="74" t="str">
        <f t="shared" si="58"/>
        <v>重庆46312</v>
      </c>
      <c r="B3722" s="75" t="s">
        <v>25</v>
      </c>
      <c r="C3722" s="45">
        <v>46312</v>
      </c>
      <c r="D3722" s="76">
        <v>2167.9426129815101</v>
      </c>
      <c r="E3722" s="77">
        <v>131.325743457323</v>
      </c>
      <c r="F3722" s="78">
        <v>12.999713549189901</v>
      </c>
      <c r="G3722" s="78">
        <v>12.999713549189901</v>
      </c>
      <c r="H3722" s="81">
        <v>13.085784085926001</v>
      </c>
    </row>
    <row r="3723" spans="1:8" x14ac:dyDescent="0.3">
      <c r="A3723" s="74" t="str">
        <f t="shared" si="58"/>
        <v>重庆46313</v>
      </c>
      <c r="B3723" s="75" t="s">
        <v>25</v>
      </c>
      <c r="C3723" s="45">
        <v>46313</v>
      </c>
      <c r="D3723" s="76">
        <v>2167.9426129815101</v>
      </c>
      <c r="E3723" s="77">
        <v>131.325743457323</v>
      </c>
      <c r="F3723" s="78">
        <v>12.999713549189901</v>
      </c>
      <c r="G3723" s="78">
        <v>12.999713549189901</v>
      </c>
      <c r="H3723" s="81">
        <v>13.085784085926001</v>
      </c>
    </row>
    <row r="3724" spans="1:8" x14ac:dyDescent="0.3">
      <c r="A3724" s="74" t="str">
        <f t="shared" si="58"/>
        <v>重庆46314</v>
      </c>
      <c r="B3724" s="75" t="s">
        <v>25</v>
      </c>
      <c r="C3724" s="45">
        <v>46314</v>
      </c>
      <c r="D3724" s="76">
        <v>2167.9426129815101</v>
      </c>
      <c r="E3724" s="77">
        <v>131.325743457323</v>
      </c>
      <c r="F3724" s="78">
        <v>12.999713549189901</v>
      </c>
      <c r="G3724" s="78">
        <v>12.999713549189901</v>
      </c>
      <c r="H3724" s="81">
        <v>13.085784085926001</v>
      </c>
    </row>
    <row r="3725" spans="1:8" x14ac:dyDescent="0.3">
      <c r="A3725" s="74" t="str">
        <f t="shared" si="58"/>
        <v>重庆46315</v>
      </c>
      <c r="B3725" s="75" t="s">
        <v>25</v>
      </c>
      <c r="C3725" s="45">
        <v>46315</v>
      </c>
      <c r="D3725" s="76">
        <v>2167.9426129815101</v>
      </c>
      <c r="E3725" s="77">
        <v>131.325743457323</v>
      </c>
      <c r="F3725" s="78">
        <v>12.999713549189901</v>
      </c>
      <c r="G3725" s="78">
        <v>12.999713549189901</v>
      </c>
      <c r="H3725" s="81">
        <v>13.085784085926001</v>
      </c>
    </row>
    <row r="3726" spans="1:8" x14ac:dyDescent="0.3">
      <c r="A3726" s="74" t="str">
        <f t="shared" si="58"/>
        <v>重庆46316</v>
      </c>
      <c r="B3726" s="75" t="s">
        <v>25</v>
      </c>
      <c r="C3726" s="45">
        <v>46316</v>
      </c>
      <c r="D3726" s="76">
        <v>2167.9426129815101</v>
      </c>
      <c r="E3726" s="77">
        <v>131.325743457323</v>
      </c>
      <c r="F3726" s="78">
        <v>12.999713549189901</v>
      </c>
      <c r="G3726" s="78">
        <v>12.999713549189901</v>
      </c>
      <c r="H3726" s="81">
        <v>13.085784085926001</v>
      </c>
    </row>
    <row r="3727" spans="1:8" x14ac:dyDescent="0.3">
      <c r="A3727" s="74" t="str">
        <f t="shared" si="58"/>
        <v>重庆46317</v>
      </c>
      <c r="B3727" s="75" t="s">
        <v>25</v>
      </c>
      <c r="C3727" s="45">
        <v>46317</v>
      </c>
      <c r="D3727" s="76">
        <v>2167.9426129815101</v>
      </c>
      <c r="E3727" s="77">
        <v>131.325743457323</v>
      </c>
      <c r="F3727" s="78">
        <v>12.999713549189901</v>
      </c>
      <c r="G3727" s="78">
        <v>12.999713549189901</v>
      </c>
      <c r="H3727" s="81">
        <v>13.085784085926001</v>
      </c>
    </row>
    <row r="3728" spans="1:8" x14ac:dyDescent="0.3">
      <c r="A3728" s="74" t="str">
        <f t="shared" si="58"/>
        <v>重庆46318</v>
      </c>
      <c r="B3728" s="75" t="s">
        <v>25</v>
      </c>
      <c r="C3728" s="45">
        <v>46318</v>
      </c>
      <c r="D3728" s="76">
        <v>2167.9426129815101</v>
      </c>
      <c r="E3728" s="77">
        <v>131.325743457323</v>
      </c>
      <c r="F3728" s="78">
        <v>12.999713549189901</v>
      </c>
      <c r="G3728" s="78">
        <v>12.999713549189901</v>
      </c>
      <c r="H3728" s="81">
        <v>13.085784085926001</v>
      </c>
    </row>
    <row r="3729" spans="1:8" x14ac:dyDescent="0.3">
      <c r="A3729" s="74" t="str">
        <f t="shared" si="58"/>
        <v>重庆46319</v>
      </c>
      <c r="B3729" s="75" t="s">
        <v>25</v>
      </c>
      <c r="C3729" s="45">
        <v>46319</v>
      </c>
      <c r="D3729" s="76">
        <v>2167.9426129815101</v>
      </c>
      <c r="E3729" s="77">
        <v>131.325743457323</v>
      </c>
      <c r="F3729" s="78">
        <v>12.999713549189901</v>
      </c>
      <c r="G3729" s="78">
        <v>12.999713549189901</v>
      </c>
      <c r="H3729" s="81">
        <v>13.085784085926001</v>
      </c>
    </row>
    <row r="3730" spans="1:8" x14ac:dyDescent="0.3">
      <c r="A3730" s="74" t="str">
        <f t="shared" si="58"/>
        <v>重庆46320</v>
      </c>
      <c r="B3730" s="75" t="s">
        <v>25</v>
      </c>
      <c r="C3730" s="45">
        <v>46320</v>
      </c>
      <c r="D3730" s="76">
        <v>2167.9426129815101</v>
      </c>
      <c r="E3730" s="77">
        <v>131.325743457323</v>
      </c>
      <c r="F3730" s="78">
        <v>12.999713549189901</v>
      </c>
      <c r="G3730" s="78">
        <v>12.999713549189901</v>
      </c>
      <c r="H3730" s="81">
        <v>13.085784085926001</v>
      </c>
    </row>
    <row r="3731" spans="1:8" x14ac:dyDescent="0.3">
      <c r="A3731" s="74" t="str">
        <f t="shared" si="58"/>
        <v>重庆46321</v>
      </c>
      <c r="B3731" s="75" t="s">
        <v>25</v>
      </c>
      <c r="C3731" s="45">
        <v>46321</v>
      </c>
      <c r="D3731" s="76">
        <v>2167.9426129815101</v>
      </c>
      <c r="E3731" s="77">
        <v>131.325743457323</v>
      </c>
      <c r="F3731" s="78">
        <v>12.999713549189901</v>
      </c>
      <c r="G3731" s="78">
        <v>12.999713549189901</v>
      </c>
      <c r="H3731" s="81">
        <v>13.085784085926001</v>
      </c>
    </row>
    <row r="3732" spans="1:8" x14ac:dyDescent="0.3">
      <c r="A3732" s="74" t="str">
        <f t="shared" si="58"/>
        <v>重庆46322</v>
      </c>
      <c r="B3732" s="75" t="s">
        <v>25</v>
      </c>
      <c r="C3732" s="45">
        <v>46322</v>
      </c>
      <c r="D3732" s="76">
        <v>2167.9426129815101</v>
      </c>
      <c r="E3732" s="77">
        <v>131.325743457323</v>
      </c>
      <c r="F3732" s="78">
        <v>12.999713549189901</v>
      </c>
      <c r="G3732" s="78">
        <v>12.999713549189901</v>
      </c>
      <c r="H3732" s="81">
        <v>13.085784085926001</v>
      </c>
    </row>
    <row r="3733" spans="1:8" x14ac:dyDescent="0.3">
      <c r="A3733" s="74" t="str">
        <f t="shared" si="58"/>
        <v>重庆46323</v>
      </c>
      <c r="B3733" s="75" t="s">
        <v>25</v>
      </c>
      <c r="C3733" s="45">
        <v>46323</v>
      </c>
      <c r="D3733" s="76">
        <v>2167.9426129815101</v>
      </c>
      <c r="E3733" s="77">
        <v>131.325743457323</v>
      </c>
      <c r="F3733" s="78">
        <v>12.999713549189901</v>
      </c>
      <c r="G3733" s="78">
        <v>12.999713549189901</v>
      </c>
      <c r="H3733" s="81">
        <v>13.085784085926001</v>
      </c>
    </row>
    <row r="3734" spans="1:8" x14ac:dyDescent="0.3">
      <c r="A3734" s="74" t="str">
        <f t="shared" si="58"/>
        <v>重庆46324</v>
      </c>
      <c r="B3734" s="75" t="s">
        <v>25</v>
      </c>
      <c r="C3734" s="45">
        <v>46324</v>
      </c>
      <c r="D3734" s="76">
        <v>2167.9426129815101</v>
      </c>
      <c r="E3734" s="77">
        <v>131.325743457323</v>
      </c>
      <c r="F3734" s="78">
        <v>12.999713549189901</v>
      </c>
      <c r="G3734" s="78">
        <v>12.999713549189901</v>
      </c>
      <c r="H3734" s="81">
        <v>13.085784085926001</v>
      </c>
    </row>
    <row r="3735" spans="1:8" x14ac:dyDescent="0.3">
      <c r="A3735" s="74" t="str">
        <f t="shared" si="58"/>
        <v>重庆46325</v>
      </c>
      <c r="B3735" s="75" t="s">
        <v>25</v>
      </c>
      <c r="C3735" s="45">
        <v>46325</v>
      </c>
      <c r="D3735" s="76">
        <v>2167.9426129815101</v>
      </c>
      <c r="E3735" s="77">
        <v>131.325743457323</v>
      </c>
      <c r="F3735" s="78">
        <v>12.999713549189901</v>
      </c>
      <c r="G3735" s="78">
        <v>12.999713549189901</v>
      </c>
      <c r="H3735" s="81">
        <v>13.085784085926001</v>
      </c>
    </row>
    <row r="3736" spans="1:8" x14ac:dyDescent="0.3">
      <c r="A3736" s="74" t="str">
        <f t="shared" si="58"/>
        <v>重庆46326</v>
      </c>
      <c r="B3736" s="75" t="s">
        <v>25</v>
      </c>
      <c r="C3736" s="45">
        <v>46326</v>
      </c>
      <c r="D3736" s="76">
        <v>2167.9426129815101</v>
      </c>
      <c r="E3736" s="77">
        <v>131.325743457323</v>
      </c>
      <c r="F3736" s="78">
        <v>12.999713549189901</v>
      </c>
      <c r="G3736" s="78">
        <v>12.999713549189901</v>
      </c>
      <c r="H3736" s="81">
        <v>13.085784085926001</v>
      </c>
    </row>
    <row r="3737" spans="1:8" x14ac:dyDescent="0.3">
      <c r="A3737" s="74" t="str">
        <f t="shared" si="58"/>
        <v>重庆46327</v>
      </c>
      <c r="B3737" s="75" t="s">
        <v>25</v>
      </c>
      <c r="C3737" s="45">
        <v>46327</v>
      </c>
      <c r="D3737" s="76">
        <v>2173.3902953290699</v>
      </c>
      <c r="E3737" s="77">
        <v>131.35001401654199</v>
      </c>
      <c r="F3737" s="78">
        <v>13.3011289366942</v>
      </c>
      <c r="G3737" s="78">
        <v>13.3011289366942</v>
      </c>
      <c r="H3737" s="81">
        <v>13.163367786040199</v>
      </c>
    </row>
    <row r="3738" spans="1:8" x14ac:dyDescent="0.3">
      <c r="A3738" s="74" t="str">
        <f t="shared" si="58"/>
        <v>重庆46328</v>
      </c>
      <c r="B3738" s="75" t="s">
        <v>25</v>
      </c>
      <c r="C3738" s="45">
        <v>46328</v>
      </c>
      <c r="D3738" s="76">
        <v>2173.3902953290699</v>
      </c>
      <c r="E3738" s="77">
        <v>131.35001401654199</v>
      </c>
      <c r="F3738" s="78">
        <v>13.3011289366942</v>
      </c>
      <c r="G3738" s="78">
        <v>13.3011289366942</v>
      </c>
      <c r="H3738" s="81">
        <v>13.163367786040199</v>
      </c>
    </row>
    <row r="3739" spans="1:8" x14ac:dyDescent="0.3">
      <c r="A3739" s="74" t="str">
        <f t="shared" si="58"/>
        <v>重庆46329</v>
      </c>
      <c r="B3739" s="75" t="s">
        <v>25</v>
      </c>
      <c r="C3739" s="45">
        <v>46329</v>
      </c>
      <c r="D3739" s="76">
        <v>2173.3902953290699</v>
      </c>
      <c r="E3739" s="77">
        <v>131.35001401654199</v>
      </c>
      <c r="F3739" s="78">
        <v>13.3011289366942</v>
      </c>
      <c r="G3739" s="78">
        <v>13.3011289366942</v>
      </c>
      <c r="H3739" s="81">
        <v>13.163367786040199</v>
      </c>
    </row>
    <row r="3740" spans="1:8" x14ac:dyDescent="0.3">
      <c r="A3740" s="74" t="str">
        <f t="shared" si="58"/>
        <v>重庆46330</v>
      </c>
      <c r="B3740" s="75" t="s">
        <v>25</v>
      </c>
      <c r="C3740" s="45">
        <v>46330</v>
      </c>
      <c r="D3740" s="76">
        <v>2173.3902953290699</v>
      </c>
      <c r="E3740" s="77">
        <v>131.35001401654199</v>
      </c>
      <c r="F3740" s="78">
        <v>13.3011289366942</v>
      </c>
      <c r="G3740" s="78">
        <v>13.3011289366942</v>
      </c>
      <c r="H3740" s="81">
        <v>13.163367786040199</v>
      </c>
    </row>
    <row r="3741" spans="1:8" x14ac:dyDescent="0.3">
      <c r="A3741" s="74" t="str">
        <f t="shared" si="58"/>
        <v>重庆46331</v>
      </c>
      <c r="B3741" s="75" t="s">
        <v>25</v>
      </c>
      <c r="C3741" s="45">
        <v>46331</v>
      </c>
      <c r="D3741" s="76">
        <v>2173.3902953290699</v>
      </c>
      <c r="E3741" s="77">
        <v>131.35001401654199</v>
      </c>
      <c r="F3741" s="78">
        <v>13.3011289366942</v>
      </c>
      <c r="G3741" s="78">
        <v>13.3011289366942</v>
      </c>
      <c r="H3741" s="81">
        <v>13.163367786040199</v>
      </c>
    </row>
    <row r="3742" spans="1:8" x14ac:dyDescent="0.3">
      <c r="A3742" s="74" t="str">
        <f t="shared" si="58"/>
        <v>重庆46332</v>
      </c>
      <c r="B3742" s="75" t="s">
        <v>25</v>
      </c>
      <c r="C3742" s="45">
        <v>46332</v>
      </c>
      <c r="D3742" s="76">
        <v>2173.3902953290699</v>
      </c>
      <c r="E3742" s="77">
        <v>131.35001401654199</v>
      </c>
      <c r="F3742" s="78">
        <v>13.3011289366942</v>
      </c>
      <c r="G3742" s="78">
        <v>13.3011289366942</v>
      </c>
      <c r="H3742" s="81">
        <v>13.163367786040199</v>
      </c>
    </row>
    <row r="3743" spans="1:8" x14ac:dyDescent="0.3">
      <c r="A3743" s="74" t="str">
        <f t="shared" si="58"/>
        <v>重庆46333</v>
      </c>
      <c r="B3743" s="75" t="s">
        <v>25</v>
      </c>
      <c r="C3743" s="45">
        <v>46333</v>
      </c>
      <c r="D3743" s="76">
        <v>2173.3902953290699</v>
      </c>
      <c r="E3743" s="77">
        <v>131.35001401654199</v>
      </c>
      <c r="F3743" s="78">
        <v>13.3011289366942</v>
      </c>
      <c r="G3743" s="78">
        <v>13.3011289366942</v>
      </c>
      <c r="H3743" s="81">
        <v>13.163367786040199</v>
      </c>
    </row>
    <row r="3744" spans="1:8" x14ac:dyDescent="0.3">
      <c r="A3744" s="74" t="str">
        <f t="shared" si="58"/>
        <v>重庆46334</v>
      </c>
      <c r="B3744" s="75" t="s">
        <v>25</v>
      </c>
      <c r="C3744" s="45">
        <v>46334</v>
      </c>
      <c r="D3744" s="76">
        <v>2173.3902953290699</v>
      </c>
      <c r="E3744" s="77">
        <v>131.35001401654199</v>
      </c>
      <c r="F3744" s="78">
        <v>13.3011289366942</v>
      </c>
      <c r="G3744" s="78">
        <v>13.3011289366942</v>
      </c>
      <c r="H3744" s="81">
        <v>13.163367786040199</v>
      </c>
    </row>
    <row r="3745" spans="1:8" x14ac:dyDescent="0.3">
      <c r="A3745" s="74" t="str">
        <f t="shared" si="58"/>
        <v>重庆46335</v>
      </c>
      <c r="B3745" s="75" t="s">
        <v>25</v>
      </c>
      <c r="C3745" s="45">
        <v>46335</v>
      </c>
      <c r="D3745" s="76">
        <v>2173.3902953290699</v>
      </c>
      <c r="E3745" s="77">
        <v>131.35001401654199</v>
      </c>
      <c r="F3745" s="78">
        <v>13.3011289366942</v>
      </c>
      <c r="G3745" s="78">
        <v>13.3011289366942</v>
      </c>
      <c r="H3745" s="81">
        <v>13.163367786040199</v>
      </c>
    </row>
    <row r="3746" spans="1:8" x14ac:dyDescent="0.3">
      <c r="A3746" s="74" t="str">
        <f t="shared" si="58"/>
        <v>重庆46336</v>
      </c>
      <c r="B3746" s="75" t="s">
        <v>25</v>
      </c>
      <c r="C3746" s="45">
        <v>46336</v>
      </c>
      <c r="D3746" s="76">
        <v>2173.3902953290699</v>
      </c>
      <c r="E3746" s="77">
        <v>131.35001401654199</v>
      </c>
      <c r="F3746" s="78">
        <v>13.3011289366942</v>
      </c>
      <c r="G3746" s="78">
        <v>13.3011289366942</v>
      </c>
      <c r="H3746" s="81">
        <v>13.163367786040199</v>
      </c>
    </row>
    <row r="3747" spans="1:8" x14ac:dyDescent="0.3">
      <c r="A3747" s="74" t="str">
        <f t="shared" si="58"/>
        <v>重庆46337</v>
      </c>
      <c r="B3747" s="75" t="s">
        <v>25</v>
      </c>
      <c r="C3747" s="45">
        <v>46337</v>
      </c>
      <c r="D3747" s="76">
        <v>2173.3902953290699</v>
      </c>
      <c r="E3747" s="77">
        <v>131.35001401654199</v>
      </c>
      <c r="F3747" s="78">
        <v>13.3011289366942</v>
      </c>
      <c r="G3747" s="78">
        <v>13.3011289366942</v>
      </c>
      <c r="H3747" s="81">
        <v>13.163367786040199</v>
      </c>
    </row>
    <row r="3748" spans="1:8" x14ac:dyDescent="0.3">
      <c r="A3748" s="74" t="str">
        <f t="shared" si="58"/>
        <v>重庆46338</v>
      </c>
      <c r="B3748" s="75" t="s">
        <v>25</v>
      </c>
      <c r="C3748" s="45">
        <v>46338</v>
      </c>
      <c r="D3748" s="76">
        <v>2173.3902953290699</v>
      </c>
      <c r="E3748" s="77">
        <v>131.35001401654199</v>
      </c>
      <c r="F3748" s="78">
        <v>13.3011289366942</v>
      </c>
      <c r="G3748" s="78">
        <v>13.3011289366942</v>
      </c>
      <c r="H3748" s="81">
        <v>13.163367786040199</v>
      </c>
    </row>
    <row r="3749" spans="1:8" x14ac:dyDescent="0.3">
      <c r="A3749" s="74" t="str">
        <f t="shared" si="58"/>
        <v>重庆46339</v>
      </c>
      <c r="B3749" s="75" t="s">
        <v>25</v>
      </c>
      <c r="C3749" s="45">
        <v>46339</v>
      </c>
      <c r="D3749" s="76">
        <v>2173.3902953290699</v>
      </c>
      <c r="E3749" s="77">
        <v>131.35001401654199</v>
      </c>
      <c r="F3749" s="78">
        <v>13.3011289366942</v>
      </c>
      <c r="G3749" s="78">
        <v>13.3011289366942</v>
      </c>
      <c r="H3749" s="81">
        <v>13.163367786040199</v>
      </c>
    </row>
    <row r="3750" spans="1:8" x14ac:dyDescent="0.3">
      <c r="A3750" s="74" t="str">
        <f t="shared" si="58"/>
        <v>重庆46340</v>
      </c>
      <c r="B3750" s="75" t="s">
        <v>25</v>
      </c>
      <c r="C3750" s="45">
        <v>46340</v>
      </c>
      <c r="D3750" s="76">
        <v>2173.3902953290699</v>
      </c>
      <c r="E3750" s="77">
        <v>131.35001401654199</v>
      </c>
      <c r="F3750" s="78">
        <v>13.3011289366942</v>
      </c>
      <c r="G3750" s="78">
        <v>13.3011289366942</v>
      </c>
      <c r="H3750" s="81">
        <v>13.163367786040199</v>
      </c>
    </row>
    <row r="3751" spans="1:8" x14ac:dyDescent="0.3">
      <c r="A3751" s="74" t="str">
        <f t="shared" si="58"/>
        <v>重庆46341</v>
      </c>
      <c r="B3751" s="75" t="s">
        <v>25</v>
      </c>
      <c r="C3751" s="45">
        <v>46341</v>
      </c>
      <c r="D3751" s="76">
        <v>2173.3902953290699</v>
      </c>
      <c r="E3751" s="77">
        <v>131.35001401654199</v>
      </c>
      <c r="F3751" s="78">
        <v>13.3011289366942</v>
      </c>
      <c r="G3751" s="78">
        <v>13.3011289366942</v>
      </c>
      <c r="H3751" s="81">
        <v>13.163367786040199</v>
      </c>
    </row>
    <row r="3752" spans="1:8" x14ac:dyDescent="0.3">
      <c r="A3752" s="74" t="str">
        <f t="shared" si="58"/>
        <v>重庆46342</v>
      </c>
      <c r="B3752" s="75" t="s">
        <v>25</v>
      </c>
      <c r="C3752" s="45">
        <v>46342</v>
      </c>
      <c r="D3752" s="76">
        <v>2173.3902953290699</v>
      </c>
      <c r="E3752" s="77">
        <v>131.35001401654199</v>
      </c>
      <c r="F3752" s="78">
        <v>13.3011289366942</v>
      </c>
      <c r="G3752" s="78">
        <v>13.3011289366942</v>
      </c>
      <c r="H3752" s="81">
        <v>13.163367786040199</v>
      </c>
    </row>
    <row r="3753" spans="1:8" x14ac:dyDescent="0.3">
      <c r="A3753" s="74" t="str">
        <f t="shared" si="58"/>
        <v>重庆46343</v>
      </c>
      <c r="B3753" s="75" t="s">
        <v>25</v>
      </c>
      <c r="C3753" s="45">
        <v>46343</v>
      </c>
      <c r="D3753" s="76">
        <v>2173.3902953290699</v>
      </c>
      <c r="E3753" s="77">
        <v>131.35001401654199</v>
      </c>
      <c r="F3753" s="78">
        <v>13.3011289366942</v>
      </c>
      <c r="G3753" s="78">
        <v>13.3011289366942</v>
      </c>
      <c r="H3753" s="81">
        <v>13.163367786040199</v>
      </c>
    </row>
    <row r="3754" spans="1:8" x14ac:dyDescent="0.3">
      <c r="A3754" s="74" t="str">
        <f t="shared" si="58"/>
        <v>重庆46344</v>
      </c>
      <c r="B3754" s="75" t="s">
        <v>25</v>
      </c>
      <c r="C3754" s="45">
        <v>46344</v>
      </c>
      <c r="D3754" s="76">
        <v>2173.3902953290699</v>
      </c>
      <c r="E3754" s="77">
        <v>131.35001401654199</v>
      </c>
      <c r="F3754" s="78">
        <v>13.3011289366942</v>
      </c>
      <c r="G3754" s="78">
        <v>13.3011289366942</v>
      </c>
      <c r="H3754" s="81">
        <v>13.163367786040199</v>
      </c>
    </row>
    <row r="3755" spans="1:8" x14ac:dyDescent="0.3">
      <c r="A3755" s="74" t="str">
        <f t="shared" si="58"/>
        <v>重庆46345</v>
      </c>
      <c r="B3755" s="75" t="s">
        <v>25</v>
      </c>
      <c r="C3755" s="45">
        <v>46345</v>
      </c>
      <c r="D3755" s="76">
        <v>2173.3902953290699</v>
      </c>
      <c r="E3755" s="77">
        <v>131.35001401654199</v>
      </c>
      <c r="F3755" s="78">
        <v>13.3011289366942</v>
      </c>
      <c r="G3755" s="78">
        <v>13.3011289366942</v>
      </c>
      <c r="H3755" s="81">
        <v>13.163367786040199</v>
      </c>
    </row>
    <row r="3756" spans="1:8" x14ac:dyDescent="0.3">
      <c r="A3756" s="74" t="str">
        <f t="shared" si="58"/>
        <v>重庆46346</v>
      </c>
      <c r="B3756" s="75" t="s">
        <v>25</v>
      </c>
      <c r="C3756" s="45">
        <v>46346</v>
      </c>
      <c r="D3756" s="76">
        <v>2173.3902953290699</v>
      </c>
      <c r="E3756" s="77">
        <v>131.35001401654199</v>
      </c>
      <c r="F3756" s="78">
        <v>13.3011289366942</v>
      </c>
      <c r="G3756" s="78">
        <v>13.3011289366942</v>
      </c>
      <c r="H3756" s="81">
        <v>13.163367786040199</v>
      </c>
    </row>
    <row r="3757" spans="1:8" x14ac:dyDescent="0.3">
      <c r="A3757" s="74" t="str">
        <f t="shared" si="58"/>
        <v>重庆46347</v>
      </c>
      <c r="B3757" s="75" t="s">
        <v>25</v>
      </c>
      <c r="C3757" s="45">
        <v>46347</v>
      </c>
      <c r="D3757" s="76">
        <v>2173.3902953290699</v>
      </c>
      <c r="E3757" s="77">
        <v>131.35001401654199</v>
      </c>
      <c r="F3757" s="78">
        <v>13.3011289366942</v>
      </c>
      <c r="G3757" s="78">
        <v>13.3011289366942</v>
      </c>
      <c r="H3757" s="81">
        <v>13.163367786040199</v>
      </c>
    </row>
    <row r="3758" spans="1:8" x14ac:dyDescent="0.3">
      <c r="A3758" s="74" t="str">
        <f t="shared" si="58"/>
        <v>重庆46348</v>
      </c>
      <c r="B3758" s="75" t="s">
        <v>25</v>
      </c>
      <c r="C3758" s="45">
        <v>46348</v>
      </c>
      <c r="D3758" s="76">
        <v>2173.3902953290699</v>
      </c>
      <c r="E3758" s="77">
        <v>131.35001401654199</v>
      </c>
      <c r="F3758" s="78">
        <v>13.3011289366942</v>
      </c>
      <c r="G3758" s="78">
        <v>13.3011289366942</v>
      </c>
      <c r="H3758" s="81">
        <v>13.163367786040199</v>
      </c>
    </row>
    <row r="3759" spans="1:8" x14ac:dyDescent="0.3">
      <c r="A3759" s="74" t="str">
        <f t="shared" si="58"/>
        <v>重庆46349</v>
      </c>
      <c r="B3759" s="75" t="s">
        <v>25</v>
      </c>
      <c r="C3759" s="45">
        <v>46349</v>
      </c>
      <c r="D3759" s="76">
        <v>2173.3902953290699</v>
      </c>
      <c r="E3759" s="77">
        <v>131.35001401654199</v>
      </c>
      <c r="F3759" s="78">
        <v>13.3011289366942</v>
      </c>
      <c r="G3759" s="78">
        <v>13.3011289366942</v>
      </c>
      <c r="H3759" s="81">
        <v>13.163367786040199</v>
      </c>
    </row>
    <row r="3760" spans="1:8" x14ac:dyDescent="0.3">
      <c r="A3760" s="74" t="str">
        <f t="shared" si="58"/>
        <v>重庆46350</v>
      </c>
      <c r="B3760" s="75" t="s">
        <v>25</v>
      </c>
      <c r="C3760" s="45">
        <v>46350</v>
      </c>
      <c r="D3760" s="76">
        <v>2173.3902953290699</v>
      </c>
      <c r="E3760" s="77">
        <v>131.35001401654199</v>
      </c>
      <c r="F3760" s="78">
        <v>13.3011289366942</v>
      </c>
      <c r="G3760" s="78">
        <v>13.3011289366942</v>
      </c>
      <c r="H3760" s="81">
        <v>13.163367786040199</v>
      </c>
    </row>
    <row r="3761" spans="1:8" x14ac:dyDescent="0.3">
      <c r="A3761" s="74" t="str">
        <f t="shared" si="58"/>
        <v>重庆46351</v>
      </c>
      <c r="B3761" s="75" t="s">
        <v>25</v>
      </c>
      <c r="C3761" s="45">
        <v>46351</v>
      </c>
      <c r="D3761" s="76">
        <v>2173.3902953290699</v>
      </c>
      <c r="E3761" s="77">
        <v>131.35001401654199</v>
      </c>
      <c r="F3761" s="78">
        <v>13.3011289366942</v>
      </c>
      <c r="G3761" s="78">
        <v>13.3011289366942</v>
      </c>
      <c r="H3761" s="81">
        <v>13.163367786040199</v>
      </c>
    </row>
    <row r="3762" spans="1:8" x14ac:dyDescent="0.3">
      <c r="A3762" s="74" t="str">
        <f t="shared" si="58"/>
        <v>重庆46352</v>
      </c>
      <c r="B3762" s="75" t="s">
        <v>25</v>
      </c>
      <c r="C3762" s="45">
        <v>46352</v>
      </c>
      <c r="D3762" s="76">
        <v>2173.3902953290699</v>
      </c>
      <c r="E3762" s="77">
        <v>131.35001401654199</v>
      </c>
      <c r="F3762" s="78">
        <v>13.3011289366942</v>
      </c>
      <c r="G3762" s="78">
        <v>13.3011289366942</v>
      </c>
      <c r="H3762" s="81">
        <v>13.163367786040199</v>
      </c>
    </row>
    <row r="3763" spans="1:8" x14ac:dyDescent="0.3">
      <c r="A3763" s="74" t="str">
        <f t="shared" si="58"/>
        <v>重庆46353</v>
      </c>
      <c r="B3763" s="75" t="s">
        <v>25</v>
      </c>
      <c r="C3763" s="45">
        <v>46353</v>
      </c>
      <c r="D3763" s="76">
        <v>2173.3902953290699</v>
      </c>
      <c r="E3763" s="77">
        <v>131.35001401654199</v>
      </c>
      <c r="F3763" s="78">
        <v>13.3011289366942</v>
      </c>
      <c r="G3763" s="78">
        <v>13.3011289366942</v>
      </c>
      <c r="H3763" s="81">
        <v>13.163367786040199</v>
      </c>
    </row>
    <row r="3764" spans="1:8" x14ac:dyDescent="0.3">
      <c r="A3764" s="74" t="str">
        <f t="shared" si="58"/>
        <v>重庆46354</v>
      </c>
      <c r="B3764" s="75" t="s">
        <v>25</v>
      </c>
      <c r="C3764" s="45">
        <v>46354</v>
      </c>
      <c r="D3764" s="76">
        <v>2173.3902953290699</v>
      </c>
      <c r="E3764" s="77">
        <v>131.35001401654199</v>
      </c>
      <c r="F3764" s="78">
        <v>13.3011289366942</v>
      </c>
      <c r="G3764" s="78">
        <v>13.3011289366942</v>
      </c>
      <c r="H3764" s="81">
        <v>13.163367786040199</v>
      </c>
    </row>
    <row r="3765" spans="1:8" x14ac:dyDescent="0.3">
      <c r="A3765" s="74" t="str">
        <f t="shared" si="58"/>
        <v>重庆46355</v>
      </c>
      <c r="B3765" s="75" t="s">
        <v>25</v>
      </c>
      <c r="C3765" s="45">
        <v>46355</v>
      </c>
      <c r="D3765" s="76">
        <v>2173.3902953290699</v>
      </c>
      <c r="E3765" s="77">
        <v>131.35001401654199</v>
      </c>
      <c r="F3765" s="78">
        <v>13.3011289366942</v>
      </c>
      <c r="G3765" s="78">
        <v>13.3011289366942</v>
      </c>
      <c r="H3765" s="81">
        <v>13.163367786040199</v>
      </c>
    </row>
    <row r="3766" spans="1:8" x14ac:dyDescent="0.3">
      <c r="A3766" s="74" t="str">
        <f t="shared" si="58"/>
        <v>重庆46356</v>
      </c>
      <c r="B3766" s="75" t="s">
        <v>25</v>
      </c>
      <c r="C3766" s="45">
        <v>46356</v>
      </c>
      <c r="D3766" s="76">
        <v>2173.3902953290699</v>
      </c>
      <c r="E3766" s="77">
        <v>131.35001401654199</v>
      </c>
      <c r="F3766" s="78">
        <v>13.3011289366942</v>
      </c>
      <c r="G3766" s="78">
        <v>13.3011289366942</v>
      </c>
      <c r="H3766" s="81">
        <v>13.163367786040199</v>
      </c>
    </row>
    <row r="3767" spans="1:8" x14ac:dyDescent="0.3">
      <c r="A3767" s="74" t="str">
        <f t="shared" si="58"/>
        <v>重庆46357</v>
      </c>
      <c r="B3767" s="75" t="s">
        <v>25</v>
      </c>
      <c r="C3767" s="45">
        <v>46357</v>
      </c>
      <c r="D3767" s="76">
        <v>2428.7979190436799</v>
      </c>
      <c r="E3767" s="77">
        <v>131.39945733668</v>
      </c>
      <c r="F3767" s="78">
        <v>14.021501263258999</v>
      </c>
      <c r="G3767" s="78">
        <v>14.021501263258999</v>
      </c>
      <c r="H3767" s="81">
        <v>13.406463379731299</v>
      </c>
    </row>
    <row r="3768" spans="1:8" x14ac:dyDescent="0.3">
      <c r="A3768" s="74" t="str">
        <f t="shared" si="58"/>
        <v>重庆46358</v>
      </c>
      <c r="B3768" s="75" t="s">
        <v>25</v>
      </c>
      <c r="C3768" s="45">
        <v>46358</v>
      </c>
      <c r="D3768" s="76">
        <v>2428.7979190436799</v>
      </c>
      <c r="E3768" s="77">
        <v>131.39945733668</v>
      </c>
      <c r="F3768" s="78">
        <v>14.021501263258999</v>
      </c>
      <c r="G3768" s="78">
        <v>14.021501263258999</v>
      </c>
      <c r="H3768" s="81">
        <v>13.406463379731299</v>
      </c>
    </row>
    <row r="3769" spans="1:8" x14ac:dyDescent="0.3">
      <c r="A3769" s="74" t="str">
        <f t="shared" si="58"/>
        <v>重庆46359</v>
      </c>
      <c r="B3769" s="75" t="s">
        <v>25</v>
      </c>
      <c r="C3769" s="45">
        <v>46359</v>
      </c>
      <c r="D3769" s="76">
        <v>2428.7979190436799</v>
      </c>
      <c r="E3769" s="77">
        <v>131.39945733668</v>
      </c>
      <c r="F3769" s="78">
        <v>14.021501263258999</v>
      </c>
      <c r="G3769" s="78">
        <v>14.021501263258999</v>
      </c>
      <c r="H3769" s="81">
        <v>13.406463379731299</v>
      </c>
    </row>
    <row r="3770" spans="1:8" x14ac:dyDescent="0.3">
      <c r="A3770" s="74" t="str">
        <f t="shared" si="58"/>
        <v>重庆46360</v>
      </c>
      <c r="B3770" s="75" t="s">
        <v>25</v>
      </c>
      <c r="C3770" s="45">
        <v>46360</v>
      </c>
      <c r="D3770" s="76">
        <v>2428.7979190436799</v>
      </c>
      <c r="E3770" s="77">
        <v>131.39945733668</v>
      </c>
      <c r="F3770" s="78">
        <v>14.021501263258999</v>
      </c>
      <c r="G3770" s="78">
        <v>14.021501263258999</v>
      </c>
      <c r="H3770" s="81">
        <v>13.406463379731299</v>
      </c>
    </row>
    <row r="3771" spans="1:8" x14ac:dyDescent="0.3">
      <c r="A3771" s="74" t="str">
        <f t="shared" si="58"/>
        <v>重庆46361</v>
      </c>
      <c r="B3771" s="75" t="s">
        <v>25</v>
      </c>
      <c r="C3771" s="45">
        <v>46361</v>
      </c>
      <c r="D3771" s="76">
        <v>2428.7979190436799</v>
      </c>
      <c r="E3771" s="77">
        <v>131.39945733668</v>
      </c>
      <c r="F3771" s="78">
        <v>14.021501263258999</v>
      </c>
      <c r="G3771" s="78">
        <v>14.021501263258999</v>
      </c>
      <c r="H3771" s="81">
        <v>13.406463379731299</v>
      </c>
    </row>
    <row r="3772" spans="1:8" x14ac:dyDescent="0.3">
      <c r="A3772" s="74" t="str">
        <f t="shared" si="58"/>
        <v>重庆46362</v>
      </c>
      <c r="B3772" s="75" t="s">
        <v>25</v>
      </c>
      <c r="C3772" s="45">
        <v>46362</v>
      </c>
      <c r="D3772" s="76">
        <v>2428.7979190436799</v>
      </c>
      <c r="E3772" s="77">
        <v>131.39945733668</v>
      </c>
      <c r="F3772" s="78">
        <v>14.021501263258999</v>
      </c>
      <c r="G3772" s="78">
        <v>14.021501263258999</v>
      </c>
      <c r="H3772" s="81">
        <v>13.406463379731299</v>
      </c>
    </row>
    <row r="3773" spans="1:8" x14ac:dyDescent="0.3">
      <c r="A3773" s="74" t="str">
        <f t="shared" si="58"/>
        <v>重庆46363</v>
      </c>
      <c r="B3773" s="75" t="s">
        <v>25</v>
      </c>
      <c r="C3773" s="45">
        <v>46363</v>
      </c>
      <c r="D3773" s="76">
        <v>2428.7979190436799</v>
      </c>
      <c r="E3773" s="77">
        <v>131.39945733668</v>
      </c>
      <c r="F3773" s="78">
        <v>14.021501263258999</v>
      </c>
      <c r="G3773" s="78">
        <v>14.021501263258999</v>
      </c>
      <c r="H3773" s="81">
        <v>13.406463379731299</v>
      </c>
    </row>
    <row r="3774" spans="1:8" x14ac:dyDescent="0.3">
      <c r="A3774" s="74" t="str">
        <f t="shared" si="58"/>
        <v>重庆46364</v>
      </c>
      <c r="B3774" s="75" t="s">
        <v>25</v>
      </c>
      <c r="C3774" s="45">
        <v>46364</v>
      </c>
      <c r="D3774" s="76">
        <v>2428.7979190436799</v>
      </c>
      <c r="E3774" s="77">
        <v>131.39945733668</v>
      </c>
      <c r="F3774" s="78">
        <v>14.021501263258999</v>
      </c>
      <c r="G3774" s="78">
        <v>14.021501263258999</v>
      </c>
      <c r="H3774" s="81">
        <v>13.406463379731299</v>
      </c>
    </row>
    <row r="3775" spans="1:8" x14ac:dyDescent="0.3">
      <c r="A3775" s="74" t="str">
        <f t="shared" si="58"/>
        <v>重庆46365</v>
      </c>
      <c r="B3775" s="75" t="s">
        <v>25</v>
      </c>
      <c r="C3775" s="45">
        <v>46365</v>
      </c>
      <c r="D3775" s="76">
        <v>2428.7979190436799</v>
      </c>
      <c r="E3775" s="77">
        <v>131.39945733668</v>
      </c>
      <c r="F3775" s="78">
        <v>14.021501263258999</v>
      </c>
      <c r="G3775" s="78">
        <v>14.021501263258999</v>
      </c>
      <c r="H3775" s="81">
        <v>13.406463379731299</v>
      </c>
    </row>
    <row r="3776" spans="1:8" x14ac:dyDescent="0.3">
      <c r="A3776" s="74" t="str">
        <f t="shared" si="58"/>
        <v>重庆46366</v>
      </c>
      <c r="B3776" s="75" t="s">
        <v>25</v>
      </c>
      <c r="C3776" s="45">
        <v>46366</v>
      </c>
      <c r="D3776" s="76">
        <v>2428.7979190436799</v>
      </c>
      <c r="E3776" s="77">
        <v>131.39945733668</v>
      </c>
      <c r="F3776" s="78">
        <v>14.021501263258999</v>
      </c>
      <c r="G3776" s="78">
        <v>14.021501263258999</v>
      </c>
      <c r="H3776" s="81">
        <v>13.406463379731299</v>
      </c>
    </row>
    <row r="3777" spans="1:8" x14ac:dyDescent="0.3">
      <c r="A3777" s="74" t="str">
        <f t="shared" si="58"/>
        <v>重庆46367</v>
      </c>
      <c r="B3777" s="75" t="s">
        <v>25</v>
      </c>
      <c r="C3777" s="45">
        <v>46367</v>
      </c>
      <c r="D3777" s="76">
        <v>2428.7979190436799</v>
      </c>
      <c r="E3777" s="77">
        <v>131.39945733668</v>
      </c>
      <c r="F3777" s="78">
        <v>14.021501263258999</v>
      </c>
      <c r="G3777" s="78">
        <v>14.021501263258999</v>
      </c>
      <c r="H3777" s="81">
        <v>13.406463379731299</v>
      </c>
    </row>
    <row r="3778" spans="1:8" x14ac:dyDescent="0.3">
      <c r="A3778" s="74" t="str">
        <f t="shared" si="58"/>
        <v>重庆46368</v>
      </c>
      <c r="B3778" s="75" t="s">
        <v>25</v>
      </c>
      <c r="C3778" s="45">
        <v>46368</v>
      </c>
      <c r="D3778" s="76">
        <v>2428.7979190436799</v>
      </c>
      <c r="E3778" s="77">
        <v>131.39945733668</v>
      </c>
      <c r="F3778" s="78">
        <v>14.021501263258999</v>
      </c>
      <c r="G3778" s="78">
        <v>14.021501263258999</v>
      </c>
      <c r="H3778" s="81">
        <v>13.406463379731299</v>
      </c>
    </row>
    <row r="3779" spans="1:8" x14ac:dyDescent="0.3">
      <c r="A3779" s="74" t="str">
        <f t="shared" ref="A3779:A3842" si="59">B3779&amp;C3779</f>
        <v>重庆46369</v>
      </c>
      <c r="B3779" s="75" t="s">
        <v>25</v>
      </c>
      <c r="C3779" s="45">
        <v>46369</v>
      </c>
      <c r="D3779" s="76">
        <v>2428.7979190436799</v>
      </c>
      <c r="E3779" s="77">
        <v>131.39945733668</v>
      </c>
      <c r="F3779" s="78">
        <v>14.021501263258999</v>
      </c>
      <c r="G3779" s="78">
        <v>14.021501263258999</v>
      </c>
      <c r="H3779" s="81">
        <v>13.406463379731299</v>
      </c>
    </row>
    <row r="3780" spans="1:8" x14ac:dyDescent="0.3">
      <c r="A3780" s="74" t="str">
        <f t="shared" si="59"/>
        <v>重庆46370</v>
      </c>
      <c r="B3780" s="75" t="s">
        <v>25</v>
      </c>
      <c r="C3780" s="45">
        <v>46370</v>
      </c>
      <c r="D3780" s="76">
        <v>2428.7979190436799</v>
      </c>
      <c r="E3780" s="77">
        <v>131.39945733668</v>
      </c>
      <c r="F3780" s="78">
        <v>14.021501263258999</v>
      </c>
      <c r="G3780" s="78">
        <v>14.021501263258999</v>
      </c>
      <c r="H3780" s="81">
        <v>13.406463379731299</v>
      </c>
    </row>
    <row r="3781" spans="1:8" x14ac:dyDescent="0.3">
      <c r="A3781" s="74" t="str">
        <f t="shared" si="59"/>
        <v>重庆46371</v>
      </c>
      <c r="B3781" s="75" t="s">
        <v>25</v>
      </c>
      <c r="C3781" s="45">
        <v>46371</v>
      </c>
      <c r="D3781" s="76">
        <v>2428.7979190436799</v>
      </c>
      <c r="E3781" s="77">
        <v>131.39945733668</v>
      </c>
      <c r="F3781" s="78">
        <v>14.021501263258999</v>
      </c>
      <c r="G3781" s="78">
        <v>14.021501263258999</v>
      </c>
      <c r="H3781" s="81">
        <v>13.406463379731299</v>
      </c>
    </row>
    <row r="3782" spans="1:8" x14ac:dyDescent="0.3">
      <c r="A3782" s="74" t="str">
        <f t="shared" si="59"/>
        <v>重庆46372</v>
      </c>
      <c r="B3782" s="75" t="s">
        <v>25</v>
      </c>
      <c r="C3782" s="45">
        <v>46372</v>
      </c>
      <c r="D3782" s="76">
        <v>2428.7979190436799</v>
      </c>
      <c r="E3782" s="77">
        <v>131.39945733668</v>
      </c>
      <c r="F3782" s="78">
        <v>14.021501263258999</v>
      </c>
      <c r="G3782" s="78">
        <v>14.021501263258999</v>
      </c>
      <c r="H3782" s="81">
        <v>13.406463379731299</v>
      </c>
    </row>
    <row r="3783" spans="1:8" x14ac:dyDescent="0.3">
      <c r="A3783" s="74" t="str">
        <f t="shared" si="59"/>
        <v>重庆46373</v>
      </c>
      <c r="B3783" s="75" t="s">
        <v>25</v>
      </c>
      <c r="C3783" s="45">
        <v>46373</v>
      </c>
      <c r="D3783" s="76">
        <v>2428.7979190436799</v>
      </c>
      <c r="E3783" s="77">
        <v>131.39945733668</v>
      </c>
      <c r="F3783" s="78">
        <v>14.021501263258999</v>
      </c>
      <c r="G3783" s="78">
        <v>14.021501263258999</v>
      </c>
      <c r="H3783" s="81">
        <v>13.406463379731299</v>
      </c>
    </row>
    <row r="3784" spans="1:8" x14ac:dyDescent="0.3">
      <c r="A3784" s="74" t="str">
        <f t="shared" si="59"/>
        <v>重庆46374</v>
      </c>
      <c r="B3784" s="75" t="s">
        <v>25</v>
      </c>
      <c r="C3784" s="45">
        <v>46374</v>
      </c>
      <c r="D3784" s="76">
        <v>2428.7979190436799</v>
      </c>
      <c r="E3784" s="77">
        <v>131.39945733668</v>
      </c>
      <c r="F3784" s="78">
        <v>14.021501263258999</v>
      </c>
      <c r="G3784" s="78">
        <v>14.021501263258999</v>
      </c>
      <c r="H3784" s="81">
        <v>13.406463379731299</v>
      </c>
    </row>
    <row r="3785" spans="1:8" x14ac:dyDescent="0.3">
      <c r="A3785" s="74" t="str">
        <f t="shared" si="59"/>
        <v>重庆46375</v>
      </c>
      <c r="B3785" s="75" t="s">
        <v>25</v>
      </c>
      <c r="C3785" s="45">
        <v>46375</v>
      </c>
      <c r="D3785" s="76">
        <v>2428.7979190436799</v>
      </c>
      <c r="E3785" s="77">
        <v>131.39945733668</v>
      </c>
      <c r="F3785" s="78">
        <v>14.021501263258999</v>
      </c>
      <c r="G3785" s="78">
        <v>14.021501263258999</v>
      </c>
      <c r="H3785" s="81">
        <v>13.406463379731299</v>
      </c>
    </row>
    <row r="3786" spans="1:8" x14ac:dyDescent="0.3">
      <c r="A3786" s="74" t="str">
        <f t="shared" si="59"/>
        <v>重庆46376</v>
      </c>
      <c r="B3786" s="75" t="s">
        <v>25</v>
      </c>
      <c r="C3786" s="45">
        <v>46376</v>
      </c>
      <c r="D3786" s="76">
        <v>2428.7979190436799</v>
      </c>
      <c r="E3786" s="77">
        <v>131.39945733668</v>
      </c>
      <c r="F3786" s="78">
        <v>14.021501263258999</v>
      </c>
      <c r="G3786" s="78">
        <v>14.021501263258999</v>
      </c>
      <c r="H3786" s="81">
        <v>13.406463379731299</v>
      </c>
    </row>
    <row r="3787" spans="1:8" x14ac:dyDescent="0.3">
      <c r="A3787" s="74" t="str">
        <f t="shared" si="59"/>
        <v>重庆46377</v>
      </c>
      <c r="B3787" s="75" t="s">
        <v>25</v>
      </c>
      <c r="C3787" s="45">
        <v>46377</v>
      </c>
      <c r="D3787" s="76">
        <v>2428.7979190436799</v>
      </c>
      <c r="E3787" s="77">
        <v>131.39945733668</v>
      </c>
      <c r="F3787" s="78">
        <v>14.021501263258999</v>
      </c>
      <c r="G3787" s="78">
        <v>14.021501263258999</v>
      </c>
      <c r="H3787" s="81">
        <v>13.406463379731299</v>
      </c>
    </row>
    <row r="3788" spans="1:8" x14ac:dyDescent="0.3">
      <c r="A3788" s="74" t="str">
        <f t="shared" si="59"/>
        <v>重庆46378</v>
      </c>
      <c r="B3788" s="75" t="s">
        <v>25</v>
      </c>
      <c r="C3788" s="45">
        <v>46378</v>
      </c>
      <c r="D3788" s="76">
        <v>2428.7979190436799</v>
      </c>
      <c r="E3788" s="77">
        <v>131.39945733668</v>
      </c>
      <c r="F3788" s="78">
        <v>14.021501263258999</v>
      </c>
      <c r="G3788" s="78">
        <v>14.021501263258999</v>
      </c>
      <c r="H3788" s="81">
        <v>13.406463379731299</v>
      </c>
    </row>
    <row r="3789" spans="1:8" x14ac:dyDescent="0.3">
      <c r="A3789" s="74" t="str">
        <f t="shared" si="59"/>
        <v>重庆46379</v>
      </c>
      <c r="B3789" s="75" t="s">
        <v>25</v>
      </c>
      <c r="C3789" s="45">
        <v>46379</v>
      </c>
      <c r="D3789" s="76">
        <v>2428.7979190436799</v>
      </c>
      <c r="E3789" s="77">
        <v>131.39945733668</v>
      </c>
      <c r="F3789" s="78">
        <v>14.021501263258999</v>
      </c>
      <c r="G3789" s="78">
        <v>14.021501263258999</v>
      </c>
      <c r="H3789" s="81">
        <v>13.406463379731299</v>
      </c>
    </row>
    <row r="3790" spans="1:8" x14ac:dyDescent="0.3">
      <c r="A3790" s="74" t="str">
        <f t="shared" si="59"/>
        <v>重庆46380</v>
      </c>
      <c r="B3790" s="75" t="s">
        <v>25</v>
      </c>
      <c r="C3790" s="45">
        <v>46380</v>
      </c>
      <c r="D3790" s="76">
        <v>2428.7979190436799</v>
      </c>
      <c r="E3790" s="77">
        <v>131.39945733668</v>
      </c>
      <c r="F3790" s="78">
        <v>14.021501263258999</v>
      </c>
      <c r="G3790" s="78">
        <v>14.021501263258999</v>
      </c>
      <c r="H3790" s="81">
        <v>13.406463379731299</v>
      </c>
    </row>
    <row r="3791" spans="1:8" x14ac:dyDescent="0.3">
      <c r="A3791" s="74" t="str">
        <f t="shared" si="59"/>
        <v>重庆46381</v>
      </c>
      <c r="B3791" s="75" t="s">
        <v>25</v>
      </c>
      <c r="C3791" s="45">
        <v>46381</v>
      </c>
      <c r="D3791" s="76">
        <v>2428.7979190436799</v>
      </c>
      <c r="E3791" s="77">
        <v>131.39945733668</v>
      </c>
      <c r="F3791" s="78">
        <v>14.021501263258999</v>
      </c>
      <c r="G3791" s="78">
        <v>14.021501263258999</v>
      </c>
      <c r="H3791" s="81">
        <v>13.406463379731299</v>
      </c>
    </row>
    <row r="3792" spans="1:8" x14ac:dyDescent="0.3">
      <c r="A3792" s="74" t="str">
        <f t="shared" si="59"/>
        <v>重庆46382</v>
      </c>
      <c r="B3792" s="75" t="s">
        <v>25</v>
      </c>
      <c r="C3792" s="45">
        <v>46382</v>
      </c>
      <c r="D3792" s="76">
        <v>2428.7979190436799</v>
      </c>
      <c r="E3792" s="77">
        <v>131.39945733668</v>
      </c>
      <c r="F3792" s="78">
        <v>14.021501263258999</v>
      </c>
      <c r="G3792" s="78">
        <v>14.021501263258999</v>
      </c>
      <c r="H3792" s="81">
        <v>13.406463379731299</v>
      </c>
    </row>
    <row r="3793" spans="1:8" x14ac:dyDescent="0.3">
      <c r="A3793" s="74" t="str">
        <f t="shared" si="59"/>
        <v>重庆46383</v>
      </c>
      <c r="B3793" s="75" t="s">
        <v>25</v>
      </c>
      <c r="C3793" s="45">
        <v>46383</v>
      </c>
      <c r="D3793" s="76">
        <v>2428.7979190436799</v>
      </c>
      <c r="E3793" s="77">
        <v>131.39945733668</v>
      </c>
      <c r="F3793" s="78">
        <v>14.021501263258999</v>
      </c>
      <c r="G3793" s="78">
        <v>14.021501263258999</v>
      </c>
      <c r="H3793" s="81">
        <v>13.406463379731299</v>
      </c>
    </row>
    <row r="3794" spans="1:8" x14ac:dyDescent="0.3">
      <c r="A3794" s="74" t="str">
        <f t="shared" si="59"/>
        <v>重庆46384</v>
      </c>
      <c r="B3794" s="75" t="s">
        <v>25</v>
      </c>
      <c r="C3794" s="45">
        <v>46384</v>
      </c>
      <c r="D3794" s="76">
        <v>2428.7979190436799</v>
      </c>
      <c r="E3794" s="77">
        <v>131.39945733668</v>
      </c>
      <c r="F3794" s="78">
        <v>14.021501263258999</v>
      </c>
      <c r="G3794" s="78">
        <v>14.021501263258999</v>
      </c>
      <c r="H3794" s="81">
        <v>13.406463379731299</v>
      </c>
    </row>
    <row r="3795" spans="1:8" x14ac:dyDescent="0.3">
      <c r="A3795" s="74" t="str">
        <f t="shared" si="59"/>
        <v>重庆46385</v>
      </c>
      <c r="B3795" s="75" t="s">
        <v>25</v>
      </c>
      <c r="C3795" s="45">
        <v>46385</v>
      </c>
      <c r="D3795" s="76">
        <v>2428.7979190436799</v>
      </c>
      <c r="E3795" s="77">
        <v>131.39945733668</v>
      </c>
      <c r="F3795" s="78">
        <v>14.021501263258999</v>
      </c>
      <c r="G3795" s="78">
        <v>14.021501263258999</v>
      </c>
      <c r="H3795" s="81">
        <v>13.406463379731299</v>
      </c>
    </row>
    <row r="3796" spans="1:8" x14ac:dyDescent="0.3">
      <c r="A3796" s="74" t="str">
        <f t="shared" si="59"/>
        <v>重庆46386</v>
      </c>
      <c r="B3796" s="75" t="s">
        <v>25</v>
      </c>
      <c r="C3796" s="45">
        <v>46386</v>
      </c>
      <c r="D3796" s="76">
        <v>2428.7979190436799</v>
      </c>
      <c r="E3796" s="77">
        <v>131.39945733668</v>
      </c>
      <c r="F3796" s="78">
        <v>14.021501263258999</v>
      </c>
      <c r="G3796" s="78">
        <v>14.021501263258999</v>
      </c>
      <c r="H3796" s="81">
        <v>13.406463379731299</v>
      </c>
    </row>
    <row r="3797" spans="1:8" x14ac:dyDescent="0.3">
      <c r="A3797" s="74" t="str">
        <f t="shared" si="59"/>
        <v>重庆46387</v>
      </c>
      <c r="B3797" s="82" t="s">
        <v>25</v>
      </c>
      <c r="C3797" s="83">
        <v>46387</v>
      </c>
      <c r="D3797" s="84">
        <v>2428.7979190436799</v>
      </c>
      <c r="E3797" s="85">
        <v>131.39945733668</v>
      </c>
      <c r="F3797" s="86">
        <v>14.021501263258999</v>
      </c>
      <c r="G3797" s="86">
        <v>14.021501263258999</v>
      </c>
      <c r="H3797" s="87">
        <v>13.406463379731299</v>
      </c>
    </row>
    <row r="3798" spans="1:8" x14ac:dyDescent="0.3">
      <c r="A3798" s="74" t="str">
        <f t="shared" si="59"/>
        <v>浙江46135</v>
      </c>
      <c r="B3798" s="75" t="s">
        <v>26</v>
      </c>
      <c r="C3798" s="45">
        <v>46135</v>
      </c>
      <c r="D3798" s="76">
        <v>0</v>
      </c>
      <c r="E3798" s="77">
        <v>0</v>
      </c>
      <c r="F3798" s="78">
        <v>9.1084656642820292</v>
      </c>
      <c r="G3798" s="78">
        <v>9.1084656642820292</v>
      </c>
      <c r="H3798" s="81">
        <v>9.6840141046310109</v>
      </c>
    </row>
    <row r="3799" spans="1:8" x14ac:dyDescent="0.3">
      <c r="A3799" s="74" t="str">
        <f t="shared" si="59"/>
        <v>浙江46136</v>
      </c>
      <c r="B3799" s="75" t="s">
        <v>26</v>
      </c>
      <c r="C3799" s="45">
        <v>46136</v>
      </c>
      <c r="D3799" s="76">
        <v>0</v>
      </c>
      <c r="E3799" s="77">
        <v>0</v>
      </c>
      <c r="F3799" s="78">
        <v>9.1084656642820292</v>
      </c>
      <c r="G3799" s="78">
        <v>9.1084656642820292</v>
      </c>
      <c r="H3799" s="81">
        <v>9.6840141046310109</v>
      </c>
    </row>
    <row r="3800" spans="1:8" x14ac:dyDescent="0.3">
      <c r="A3800" s="74" t="str">
        <f t="shared" si="59"/>
        <v>浙江46137</v>
      </c>
      <c r="B3800" s="75" t="s">
        <v>26</v>
      </c>
      <c r="C3800" s="45">
        <v>46137</v>
      </c>
      <c r="D3800" s="76">
        <v>0</v>
      </c>
      <c r="E3800" s="77">
        <v>0</v>
      </c>
      <c r="F3800" s="78">
        <v>9.1084656642820292</v>
      </c>
      <c r="G3800" s="78">
        <v>9.1084656642820292</v>
      </c>
      <c r="H3800" s="81">
        <v>9.6840141046310109</v>
      </c>
    </row>
    <row r="3801" spans="1:8" x14ac:dyDescent="0.3">
      <c r="A3801" s="74" t="str">
        <f t="shared" si="59"/>
        <v>浙江46138</v>
      </c>
      <c r="B3801" s="75" t="s">
        <v>26</v>
      </c>
      <c r="C3801" s="45">
        <v>46138</v>
      </c>
      <c r="D3801" s="76">
        <v>0</v>
      </c>
      <c r="E3801" s="77">
        <v>0</v>
      </c>
      <c r="F3801" s="78">
        <v>9.1084656642820292</v>
      </c>
      <c r="G3801" s="78">
        <v>9.1084656642820292</v>
      </c>
      <c r="H3801" s="81">
        <v>9.6840141046310109</v>
      </c>
    </row>
    <row r="3802" spans="1:8" x14ac:dyDescent="0.3">
      <c r="A3802" s="74" t="str">
        <f t="shared" si="59"/>
        <v>浙江46139</v>
      </c>
      <c r="B3802" s="75" t="s">
        <v>26</v>
      </c>
      <c r="C3802" s="45">
        <v>46139</v>
      </c>
      <c r="D3802" s="76">
        <v>0</v>
      </c>
      <c r="E3802" s="77">
        <v>0</v>
      </c>
      <c r="F3802" s="78">
        <v>9.1084656642820292</v>
      </c>
      <c r="G3802" s="78">
        <v>9.1084656642820292</v>
      </c>
      <c r="H3802" s="81">
        <v>9.6840141046310109</v>
      </c>
    </row>
    <row r="3803" spans="1:8" x14ac:dyDescent="0.3">
      <c r="A3803" s="74" t="str">
        <f t="shared" si="59"/>
        <v>浙江46140</v>
      </c>
      <c r="B3803" s="75" t="s">
        <v>26</v>
      </c>
      <c r="C3803" s="45">
        <v>46140</v>
      </c>
      <c r="D3803" s="76">
        <v>0</v>
      </c>
      <c r="E3803" s="77">
        <v>0</v>
      </c>
      <c r="F3803" s="78">
        <v>9.1084656642820292</v>
      </c>
      <c r="G3803" s="78">
        <v>9.1084656642820292</v>
      </c>
      <c r="H3803" s="81">
        <v>9.6840141046310109</v>
      </c>
    </row>
    <row r="3804" spans="1:8" x14ac:dyDescent="0.3">
      <c r="A3804" s="74" t="str">
        <f t="shared" si="59"/>
        <v>浙江46141</v>
      </c>
      <c r="B3804" s="75" t="s">
        <v>26</v>
      </c>
      <c r="C3804" s="45">
        <v>46141</v>
      </c>
      <c r="D3804" s="76">
        <v>0</v>
      </c>
      <c r="E3804" s="77">
        <v>0</v>
      </c>
      <c r="F3804" s="78">
        <v>9.1084656642820292</v>
      </c>
      <c r="G3804" s="78">
        <v>9.1084656642820292</v>
      </c>
      <c r="H3804" s="81">
        <v>9.6840141046310109</v>
      </c>
    </row>
    <row r="3805" spans="1:8" x14ac:dyDescent="0.3">
      <c r="A3805" s="74" t="str">
        <f t="shared" si="59"/>
        <v>浙江46142</v>
      </c>
      <c r="B3805" s="75" t="s">
        <v>26</v>
      </c>
      <c r="C3805" s="45">
        <v>46142</v>
      </c>
      <c r="D3805" s="76">
        <v>0</v>
      </c>
      <c r="E3805" s="77">
        <v>0</v>
      </c>
      <c r="F3805" s="78">
        <v>9.1084656642820292</v>
      </c>
      <c r="G3805" s="78">
        <v>9.1084656642820292</v>
      </c>
      <c r="H3805" s="81">
        <v>9.6840141046310109</v>
      </c>
    </row>
    <row r="3806" spans="1:8" x14ac:dyDescent="0.3">
      <c r="A3806" s="74" t="str">
        <f t="shared" si="59"/>
        <v>浙江46143</v>
      </c>
      <c r="B3806" s="75" t="s">
        <v>26</v>
      </c>
      <c r="C3806" s="45">
        <v>46143</v>
      </c>
      <c r="D3806" s="76">
        <v>97.216666666666697</v>
      </c>
      <c r="E3806" s="77">
        <v>125</v>
      </c>
      <c r="F3806" s="78">
        <v>10.6008684664681</v>
      </c>
      <c r="G3806" s="78">
        <v>10.6008684664681</v>
      </c>
      <c r="H3806" s="81">
        <v>9.9039344429802902</v>
      </c>
    </row>
    <row r="3807" spans="1:8" x14ac:dyDescent="0.3">
      <c r="A3807" s="74" t="str">
        <f t="shared" si="59"/>
        <v>浙江46144</v>
      </c>
      <c r="B3807" s="75" t="s">
        <v>26</v>
      </c>
      <c r="C3807" s="45">
        <v>46144</v>
      </c>
      <c r="D3807" s="76">
        <v>97.216666666666697</v>
      </c>
      <c r="E3807" s="77">
        <v>125</v>
      </c>
      <c r="F3807" s="78">
        <v>10.6008684664681</v>
      </c>
      <c r="G3807" s="78">
        <v>10.6008684664681</v>
      </c>
      <c r="H3807" s="81">
        <v>9.9039344429802902</v>
      </c>
    </row>
    <row r="3808" spans="1:8" x14ac:dyDescent="0.3">
      <c r="A3808" s="74" t="str">
        <f t="shared" si="59"/>
        <v>浙江46145</v>
      </c>
      <c r="B3808" s="75" t="s">
        <v>26</v>
      </c>
      <c r="C3808" s="45">
        <v>46145</v>
      </c>
      <c r="D3808" s="76">
        <v>97.216666666666697</v>
      </c>
      <c r="E3808" s="77">
        <v>125</v>
      </c>
      <c r="F3808" s="78">
        <v>10.6008684664681</v>
      </c>
      <c r="G3808" s="78">
        <v>10.6008684664681</v>
      </c>
      <c r="H3808" s="81">
        <v>9.9039344429802902</v>
      </c>
    </row>
    <row r="3809" spans="1:8" x14ac:dyDescent="0.3">
      <c r="A3809" s="74" t="str">
        <f t="shared" si="59"/>
        <v>浙江46146</v>
      </c>
      <c r="B3809" s="75" t="s">
        <v>26</v>
      </c>
      <c r="C3809" s="45">
        <v>46146</v>
      </c>
      <c r="D3809" s="76">
        <v>97.216666666666697</v>
      </c>
      <c r="E3809" s="77">
        <v>125</v>
      </c>
      <c r="F3809" s="78">
        <v>10.6008684664681</v>
      </c>
      <c r="G3809" s="78">
        <v>10.6008684664681</v>
      </c>
      <c r="H3809" s="81">
        <v>9.9039344429802902</v>
      </c>
    </row>
    <row r="3810" spans="1:8" x14ac:dyDescent="0.3">
      <c r="A3810" s="74" t="str">
        <f t="shared" si="59"/>
        <v>浙江46147</v>
      </c>
      <c r="B3810" s="75" t="s">
        <v>26</v>
      </c>
      <c r="C3810" s="45">
        <v>46147</v>
      </c>
      <c r="D3810" s="76">
        <v>97.216666666666697</v>
      </c>
      <c r="E3810" s="77">
        <v>125</v>
      </c>
      <c r="F3810" s="78">
        <v>10.6008684664681</v>
      </c>
      <c r="G3810" s="78">
        <v>10.6008684664681</v>
      </c>
      <c r="H3810" s="81">
        <v>9.9039344429802902</v>
      </c>
    </row>
    <row r="3811" spans="1:8" x14ac:dyDescent="0.3">
      <c r="A3811" s="74" t="str">
        <f t="shared" si="59"/>
        <v>浙江46148</v>
      </c>
      <c r="B3811" s="75" t="s">
        <v>26</v>
      </c>
      <c r="C3811" s="45">
        <v>46148</v>
      </c>
      <c r="D3811" s="76">
        <v>97.216666666666697</v>
      </c>
      <c r="E3811" s="77">
        <v>125</v>
      </c>
      <c r="F3811" s="78">
        <v>10.6008684664681</v>
      </c>
      <c r="G3811" s="78">
        <v>10.6008684664681</v>
      </c>
      <c r="H3811" s="81">
        <v>9.9039344429802902</v>
      </c>
    </row>
    <row r="3812" spans="1:8" x14ac:dyDescent="0.3">
      <c r="A3812" s="74" t="str">
        <f t="shared" si="59"/>
        <v>浙江46149</v>
      </c>
      <c r="B3812" s="75" t="s">
        <v>26</v>
      </c>
      <c r="C3812" s="45">
        <v>46149</v>
      </c>
      <c r="D3812" s="76">
        <v>97.216666666666697</v>
      </c>
      <c r="E3812" s="77">
        <v>125</v>
      </c>
      <c r="F3812" s="78">
        <v>10.6008684664681</v>
      </c>
      <c r="G3812" s="78">
        <v>10.6008684664681</v>
      </c>
      <c r="H3812" s="81">
        <v>9.9039344429802902</v>
      </c>
    </row>
    <row r="3813" spans="1:8" x14ac:dyDescent="0.3">
      <c r="A3813" s="74" t="str">
        <f t="shared" si="59"/>
        <v>浙江46150</v>
      </c>
      <c r="B3813" s="75" t="s">
        <v>26</v>
      </c>
      <c r="C3813" s="45">
        <v>46150</v>
      </c>
      <c r="D3813" s="76">
        <v>97.216666666666697</v>
      </c>
      <c r="E3813" s="77">
        <v>125</v>
      </c>
      <c r="F3813" s="78">
        <v>10.6008684664681</v>
      </c>
      <c r="G3813" s="78">
        <v>10.6008684664681</v>
      </c>
      <c r="H3813" s="81">
        <v>9.9039344429802902</v>
      </c>
    </row>
    <row r="3814" spans="1:8" x14ac:dyDescent="0.3">
      <c r="A3814" s="74" t="str">
        <f t="shared" si="59"/>
        <v>浙江46151</v>
      </c>
      <c r="B3814" s="75" t="s">
        <v>26</v>
      </c>
      <c r="C3814" s="45">
        <v>46151</v>
      </c>
      <c r="D3814" s="76">
        <v>97.216666666666697</v>
      </c>
      <c r="E3814" s="77">
        <v>125</v>
      </c>
      <c r="F3814" s="78">
        <v>10.6008684664681</v>
      </c>
      <c r="G3814" s="78">
        <v>10.6008684664681</v>
      </c>
      <c r="H3814" s="81">
        <v>9.9039344429802902</v>
      </c>
    </row>
    <row r="3815" spans="1:8" x14ac:dyDescent="0.3">
      <c r="A3815" s="74" t="str">
        <f t="shared" si="59"/>
        <v>浙江46152</v>
      </c>
      <c r="B3815" s="75" t="s">
        <v>26</v>
      </c>
      <c r="C3815" s="45">
        <v>46152</v>
      </c>
      <c r="D3815" s="76">
        <v>97.216666666666697</v>
      </c>
      <c r="E3815" s="77">
        <v>125</v>
      </c>
      <c r="F3815" s="78">
        <v>10.6008684664681</v>
      </c>
      <c r="G3815" s="78">
        <v>10.6008684664681</v>
      </c>
      <c r="H3815" s="81">
        <v>9.9039344429802902</v>
      </c>
    </row>
    <row r="3816" spans="1:8" x14ac:dyDescent="0.3">
      <c r="A3816" s="74" t="str">
        <f t="shared" si="59"/>
        <v>浙江46153</v>
      </c>
      <c r="B3816" s="75" t="s">
        <v>26</v>
      </c>
      <c r="C3816" s="45">
        <v>46153</v>
      </c>
      <c r="D3816" s="76">
        <v>97.216666666666697</v>
      </c>
      <c r="E3816" s="77">
        <v>125</v>
      </c>
      <c r="F3816" s="78">
        <v>10.6008684664681</v>
      </c>
      <c r="G3816" s="78">
        <v>10.6008684664681</v>
      </c>
      <c r="H3816" s="81">
        <v>9.9039344429802902</v>
      </c>
    </row>
    <row r="3817" spans="1:8" x14ac:dyDescent="0.3">
      <c r="A3817" s="74" t="str">
        <f t="shared" si="59"/>
        <v>浙江46154</v>
      </c>
      <c r="B3817" s="75" t="s">
        <v>26</v>
      </c>
      <c r="C3817" s="45">
        <v>46154</v>
      </c>
      <c r="D3817" s="76">
        <v>97.216666666666697</v>
      </c>
      <c r="E3817" s="77">
        <v>125</v>
      </c>
      <c r="F3817" s="78">
        <v>10.6008684664681</v>
      </c>
      <c r="G3817" s="78">
        <v>10.6008684664681</v>
      </c>
      <c r="H3817" s="81">
        <v>9.9039344429802902</v>
      </c>
    </row>
    <row r="3818" spans="1:8" x14ac:dyDescent="0.3">
      <c r="A3818" s="74" t="str">
        <f t="shared" si="59"/>
        <v>浙江46155</v>
      </c>
      <c r="B3818" s="75" t="s">
        <v>26</v>
      </c>
      <c r="C3818" s="45">
        <v>46155</v>
      </c>
      <c r="D3818" s="76">
        <v>97.216666666666697</v>
      </c>
      <c r="E3818" s="77">
        <v>125</v>
      </c>
      <c r="F3818" s="78">
        <v>10.6008684664681</v>
      </c>
      <c r="G3818" s="78">
        <v>10.6008684664681</v>
      </c>
      <c r="H3818" s="81">
        <v>9.9039344429802902</v>
      </c>
    </row>
    <row r="3819" spans="1:8" x14ac:dyDescent="0.3">
      <c r="A3819" s="74" t="str">
        <f t="shared" si="59"/>
        <v>浙江46156</v>
      </c>
      <c r="B3819" s="75" t="s">
        <v>26</v>
      </c>
      <c r="C3819" s="45">
        <v>46156</v>
      </c>
      <c r="D3819" s="76">
        <v>97.216666666666697</v>
      </c>
      <c r="E3819" s="77">
        <v>125</v>
      </c>
      <c r="F3819" s="78">
        <v>10.6008684664681</v>
      </c>
      <c r="G3819" s="78">
        <v>10.6008684664681</v>
      </c>
      <c r="H3819" s="81">
        <v>9.9039344429802902</v>
      </c>
    </row>
    <row r="3820" spans="1:8" x14ac:dyDescent="0.3">
      <c r="A3820" s="74" t="str">
        <f t="shared" si="59"/>
        <v>浙江46157</v>
      </c>
      <c r="B3820" s="75" t="s">
        <v>26</v>
      </c>
      <c r="C3820" s="45">
        <v>46157</v>
      </c>
      <c r="D3820" s="76">
        <v>97.216666666666697</v>
      </c>
      <c r="E3820" s="77">
        <v>125</v>
      </c>
      <c r="F3820" s="78">
        <v>10.6008684664681</v>
      </c>
      <c r="G3820" s="78">
        <v>10.6008684664681</v>
      </c>
      <c r="H3820" s="81">
        <v>9.9039344429802902</v>
      </c>
    </row>
    <row r="3821" spans="1:8" x14ac:dyDescent="0.3">
      <c r="A3821" s="74" t="str">
        <f t="shared" si="59"/>
        <v>浙江46158</v>
      </c>
      <c r="B3821" s="75" t="s">
        <v>26</v>
      </c>
      <c r="C3821" s="45">
        <v>46158</v>
      </c>
      <c r="D3821" s="76">
        <v>97.216666666666697</v>
      </c>
      <c r="E3821" s="77">
        <v>125</v>
      </c>
      <c r="F3821" s="78">
        <v>10.6008684664681</v>
      </c>
      <c r="G3821" s="78">
        <v>10.6008684664681</v>
      </c>
      <c r="H3821" s="81">
        <v>9.9039344429802902</v>
      </c>
    </row>
    <row r="3822" spans="1:8" x14ac:dyDescent="0.3">
      <c r="A3822" s="74" t="str">
        <f t="shared" si="59"/>
        <v>浙江46159</v>
      </c>
      <c r="B3822" s="75" t="s">
        <v>26</v>
      </c>
      <c r="C3822" s="45">
        <v>46159</v>
      </c>
      <c r="D3822" s="76">
        <v>97.216666666666697</v>
      </c>
      <c r="E3822" s="77">
        <v>125</v>
      </c>
      <c r="F3822" s="78">
        <v>10.6008684664681</v>
      </c>
      <c r="G3822" s="78">
        <v>10.6008684664681</v>
      </c>
      <c r="H3822" s="81">
        <v>9.9039344429802902</v>
      </c>
    </row>
    <row r="3823" spans="1:8" x14ac:dyDescent="0.3">
      <c r="A3823" s="74" t="str">
        <f t="shared" si="59"/>
        <v>浙江46160</v>
      </c>
      <c r="B3823" s="75" t="s">
        <v>26</v>
      </c>
      <c r="C3823" s="45">
        <v>46160</v>
      </c>
      <c r="D3823" s="76">
        <v>97.216666666666697</v>
      </c>
      <c r="E3823" s="77">
        <v>125</v>
      </c>
      <c r="F3823" s="78">
        <v>10.6008684664681</v>
      </c>
      <c r="G3823" s="78">
        <v>10.6008684664681</v>
      </c>
      <c r="H3823" s="81">
        <v>9.9039344429802902</v>
      </c>
    </row>
    <row r="3824" spans="1:8" x14ac:dyDescent="0.3">
      <c r="A3824" s="74" t="str">
        <f t="shared" si="59"/>
        <v>浙江46161</v>
      </c>
      <c r="B3824" s="75" t="s">
        <v>26</v>
      </c>
      <c r="C3824" s="45">
        <v>46161</v>
      </c>
      <c r="D3824" s="76">
        <v>97.216666666666697</v>
      </c>
      <c r="E3824" s="77">
        <v>125</v>
      </c>
      <c r="F3824" s="78">
        <v>10.6008684664681</v>
      </c>
      <c r="G3824" s="78">
        <v>10.6008684664681</v>
      </c>
      <c r="H3824" s="81">
        <v>9.9039344429802902</v>
      </c>
    </row>
    <row r="3825" spans="1:8" x14ac:dyDescent="0.3">
      <c r="A3825" s="74" t="str">
        <f t="shared" si="59"/>
        <v>浙江46162</v>
      </c>
      <c r="B3825" s="75" t="s">
        <v>26</v>
      </c>
      <c r="C3825" s="45">
        <v>46162</v>
      </c>
      <c r="D3825" s="76">
        <v>97.216666666666697</v>
      </c>
      <c r="E3825" s="77">
        <v>125</v>
      </c>
      <c r="F3825" s="78">
        <v>10.6008684664681</v>
      </c>
      <c r="G3825" s="78">
        <v>10.6008684664681</v>
      </c>
      <c r="H3825" s="81">
        <v>9.9039344429802902</v>
      </c>
    </row>
    <row r="3826" spans="1:8" x14ac:dyDescent="0.3">
      <c r="A3826" s="74" t="str">
        <f t="shared" si="59"/>
        <v>浙江46163</v>
      </c>
      <c r="B3826" s="75" t="s">
        <v>26</v>
      </c>
      <c r="C3826" s="45">
        <v>46163</v>
      </c>
      <c r="D3826" s="76">
        <v>97.216666666666697</v>
      </c>
      <c r="E3826" s="77">
        <v>125</v>
      </c>
      <c r="F3826" s="78">
        <v>10.6008684664681</v>
      </c>
      <c r="G3826" s="78">
        <v>10.6008684664681</v>
      </c>
      <c r="H3826" s="81">
        <v>9.9039344429802902</v>
      </c>
    </row>
    <row r="3827" spans="1:8" x14ac:dyDescent="0.3">
      <c r="A3827" s="74" t="str">
        <f t="shared" si="59"/>
        <v>浙江46164</v>
      </c>
      <c r="B3827" s="75" t="s">
        <v>26</v>
      </c>
      <c r="C3827" s="45">
        <v>46164</v>
      </c>
      <c r="D3827" s="76">
        <v>97.216666666666697</v>
      </c>
      <c r="E3827" s="77">
        <v>125</v>
      </c>
      <c r="F3827" s="78">
        <v>10.6008684664681</v>
      </c>
      <c r="G3827" s="78">
        <v>10.6008684664681</v>
      </c>
      <c r="H3827" s="81">
        <v>9.9039344429802902</v>
      </c>
    </row>
    <row r="3828" spans="1:8" x14ac:dyDescent="0.3">
      <c r="A3828" s="74" t="str">
        <f t="shared" si="59"/>
        <v>浙江46165</v>
      </c>
      <c r="B3828" s="75" t="s">
        <v>26</v>
      </c>
      <c r="C3828" s="45">
        <v>46165</v>
      </c>
      <c r="D3828" s="76">
        <v>97.216666666666697</v>
      </c>
      <c r="E3828" s="77">
        <v>125</v>
      </c>
      <c r="F3828" s="78">
        <v>10.6008684664681</v>
      </c>
      <c r="G3828" s="78">
        <v>10.6008684664681</v>
      </c>
      <c r="H3828" s="81">
        <v>9.9039344429802902</v>
      </c>
    </row>
    <row r="3829" spans="1:8" x14ac:dyDescent="0.3">
      <c r="A3829" s="74" t="str">
        <f t="shared" si="59"/>
        <v>浙江46166</v>
      </c>
      <c r="B3829" s="75" t="s">
        <v>26</v>
      </c>
      <c r="C3829" s="45">
        <v>46166</v>
      </c>
      <c r="D3829" s="76">
        <v>97.216666666666697</v>
      </c>
      <c r="E3829" s="77">
        <v>125</v>
      </c>
      <c r="F3829" s="78">
        <v>10.6008684664681</v>
      </c>
      <c r="G3829" s="78">
        <v>10.6008684664681</v>
      </c>
      <c r="H3829" s="81">
        <v>9.9039344429802902</v>
      </c>
    </row>
    <row r="3830" spans="1:8" x14ac:dyDescent="0.3">
      <c r="A3830" s="74" t="str">
        <f t="shared" si="59"/>
        <v>浙江46167</v>
      </c>
      <c r="B3830" s="75" t="s">
        <v>26</v>
      </c>
      <c r="C3830" s="45">
        <v>46167</v>
      </c>
      <c r="D3830" s="76">
        <v>97.216666666666697</v>
      </c>
      <c r="E3830" s="77">
        <v>125</v>
      </c>
      <c r="F3830" s="78">
        <v>10.6008684664681</v>
      </c>
      <c r="G3830" s="78">
        <v>10.6008684664681</v>
      </c>
      <c r="H3830" s="81">
        <v>9.9039344429802902</v>
      </c>
    </row>
    <row r="3831" spans="1:8" x14ac:dyDescent="0.3">
      <c r="A3831" s="74" t="str">
        <f t="shared" si="59"/>
        <v>浙江46168</v>
      </c>
      <c r="B3831" s="75" t="s">
        <v>26</v>
      </c>
      <c r="C3831" s="45">
        <v>46168</v>
      </c>
      <c r="D3831" s="76">
        <v>97.216666666666697</v>
      </c>
      <c r="E3831" s="77">
        <v>125</v>
      </c>
      <c r="F3831" s="78">
        <v>10.6008684664681</v>
      </c>
      <c r="G3831" s="78">
        <v>10.6008684664681</v>
      </c>
      <c r="H3831" s="81">
        <v>9.9039344429802902</v>
      </c>
    </row>
    <row r="3832" spans="1:8" x14ac:dyDescent="0.3">
      <c r="A3832" s="74" t="str">
        <f t="shared" si="59"/>
        <v>浙江46169</v>
      </c>
      <c r="B3832" s="75" t="s">
        <v>26</v>
      </c>
      <c r="C3832" s="45">
        <v>46169</v>
      </c>
      <c r="D3832" s="76">
        <v>97.216666666666697</v>
      </c>
      <c r="E3832" s="77">
        <v>125</v>
      </c>
      <c r="F3832" s="78">
        <v>10.6008684664681</v>
      </c>
      <c r="G3832" s="78">
        <v>10.6008684664681</v>
      </c>
      <c r="H3832" s="81">
        <v>9.9039344429802902</v>
      </c>
    </row>
    <row r="3833" spans="1:8" x14ac:dyDescent="0.3">
      <c r="A3833" s="74" t="str">
        <f t="shared" si="59"/>
        <v>浙江46170</v>
      </c>
      <c r="B3833" s="75" t="s">
        <v>26</v>
      </c>
      <c r="C3833" s="45">
        <v>46170</v>
      </c>
      <c r="D3833" s="76">
        <v>97.216666666666697</v>
      </c>
      <c r="E3833" s="77">
        <v>125</v>
      </c>
      <c r="F3833" s="78">
        <v>10.6008684664681</v>
      </c>
      <c r="G3833" s="78">
        <v>10.6008684664681</v>
      </c>
      <c r="H3833" s="81">
        <v>9.9039344429802902</v>
      </c>
    </row>
    <row r="3834" spans="1:8" x14ac:dyDescent="0.3">
      <c r="A3834" s="74" t="str">
        <f t="shared" si="59"/>
        <v>浙江46171</v>
      </c>
      <c r="B3834" s="75" t="s">
        <v>26</v>
      </c>
      <c r="C3834" s="45">
        <v>46171</v>
      </c>
      <c r="D3834" s="76">
        <v>97.216666666666697</v>
      </c>
      <c r="E3834" s="77">
        <v>125</v>
      </c>
      <c r="F3834" s="78">
        <v>10.6008684664681</v>
      </c>
      <c r="G3834" s="78">
        <v>10.6008684664681</v>
      </c>
      <c r="H3834" s="81">
        <v>9.9039344429802902</v>
      </c>
    </row>
    <row r="3835" spans="1:8" x14ac:dyDescent="0.3">
      <c r="A3835" s="74" t="str">
        <f t="shared" si="59"/>
        <v>浙江46172</v>
      </c>
      <c r="B3835" s="75" t="s">
        <v>26</v>
      </c>
      <c r="C3835" s="45">
        <v>46172</v>
      </c>
      <c r="D3835" s="76">
        <v>97.216666666666697</v>
      </c>
      <c r="E3835" s="77">
        <v>125</v>
      </c>
      <c r="F3835" s="78">
        <v>10.6008684664681</v>
      </c>
      <c r="G3835" s="78">
        <v>10.6008684664681</v>
      </c>
      <c r="H3835" s="81">
        <v>9.9039344429802902</v>
      </c>
    </row>
    <row r="3836" spans="1:8" x14ac:dyDescent="0.3">
      <c r="A3836" s="74" t="str">
        <f t="shared" si="59"/>
        <v>浙江46173</v>
      </c>
      <c r="B3836" s="75" t="s">
        <v>26</v>
      </c>
      <c r="C3836" s="45">
        <v>46173</v>
      </c>
      <c r="D3836" s="76">
        <v>97.216666666666697</v>
      </c>
      <c r="E3836" s="77">
        <v>125</v>
      </c>
      <c r="F3836" s="78">
        <v>10.6008684664681</v>
      </c>
      <c r="G3836" s="78">
        <v>10.6008684664681</v>
      </c>
      <c r="H3836" s="81">
        <v>9.9039344429802902</v>
      </c>
    </row>
    <row r="3837" spans="1:8" x14ac:dyDescent="0.3">
      <c r="A3837" s="74" t="str">
        <f t="shared" si="59"/>
        <v>浙江46174</v>
      </c>
      <c r="B3837" s="75" t="s">
        <v>26</v>
      </c>
      <c r="C3837" s="45">
        <v>46174</v>
      </c>
      <c r="D3837" s="76">
        <v>0</v>
      </c>
      <c r="E3837" s="77">
        <v>0</v>
      </c>
      <c r="F3837" s="78">
        <v>11.633254117744899</v>
      </c>
      <c r="G3837" s="78">
        <v>11.633254117744899</v>
      </c>
      <c r="H3837" s="81">
        <v>10.7803439870394</v>
      </c>
    </row>
    <row r="3838" spans="1:8" x14ac:dyDescent="0.3">
      <c r="A3838" s="74" t="str">
        <f t="shared" si="59"/>
        <v>浙江46175</v>
      </c>
      <c r="B3838" s="75" t="s">
        <v>26</v>
      </c>
      <c r="C3838" s="45">
        <v>46175</v>
      </c>
      <c r="D3838" s="76">
        <v>0</v>
      </c>
      <c r="E3838" s="77">
        <v>0</v>
      </c>
      <c r="F3838" s="78">
        <v>11.633254117744899</v>
      </c>
      <c r="G3838" s="78">
        <v>11.633254117744899</v>
      </c>
      <c r="H3838" s="81">
        <v>10.7803439870394</v>
      </c>
    </row>
    <row r="3839" spans="1:8" x14ac:dyDescent="0.3">
      <c r="A3839" s="74" t="str">
        <f t="shared" si="59"/>
        <v>浙江46176</v>
      </c>
      <c r="B3839" s="75" t="s">
        <v>26</v>
      </c>
      <c r="C3839" s="45">
        <v>46176</v>
      </c>
      <c r="D3839" s="76">
        <v>0</v>
      </c>
      <c r="E3839" s="77">
        <v>0</v>
      </c>
      <c r="F3839" s="78">
        <v>11.633254117744899</v>
      </c>
      <c r="G3839" s="78">
        <v>11.633254117744899</v>
      </c>
      <c r="H3839" s="81">
        <v>10.7803439870394</v>
      </c>
    </row>
    <row r="3840" spans="1:8" x14ac:dyDescent="0.3">
      <c r="A3840" s="74" t="str">
        <f t="shared" si="59"/>
        <v>浙江46177</v>
      </c>
      <c r="B3840" s="75" t="s">
        <v>26</v>
      </c>
      <c r="C3840" s="45">
        <v>46177</v>
      </c>
      <c r="D3840" s="76">
        <v>0</v>
      </c>
      <c r="E3840" s="77">
        <v>0</v>
      </c>
      <c r="F3840" s="78">
        <v>11.633254117744899</v>
      </c>
      <c r="G3840" s="78">
        <v>11.633254117744899</v>
      </c>
      <c r="H3840" s="81">
        <v>10.7803439870394</v>
      </c>
    </row>
    <row r="3841" spans="1:8" x14ac:dyDescent="0.3">
      <c r="A3841" s="74" t="str">
        <f t="shared" si="59"/>
        <v>浙江46178</v>
      </c>
      <c r="B3841" s="75" t="s">
        <v>26</v>
      </c>
      <c r="C3841" s="45">
        <v>46178</v>
      </c>
      <c r="D3841" s="76">
        <v>0</v>
      </c>
      <c r="E3841" s="77">
        <v>0</v>
      </c>
      <c r="F3841" s="78">
        <v>11.633254117744899</v>
      </c>
      <c r="G3841" s="78">
        <v>11.633254117744899</v>
      </c>
      <c r="H3841" s="81">
        <v>10.7803439870394</v>
      </c>
    </row>
    <row r="3842" spans="1:8" x14ac:dyDescent="0.3">
      <c r="A3842" s="74" t="str">
        <f t="shared" si="59"/>
        <v>浙江46179</v>
      </c>
      <c r="B3842" s="75" t="s">
        <v>26</v>
      </c>
      <c r="C3842" s="45">
        <v>46179</v>
      </c>
      <c r="D3842" s="76">
        <v>0</v>
      </c>
      <c r="E3842" s="77">
        <v>0</v>
      </c>
      <c r="F3842" s="78">
        <v>11.633254117744899</v>
      </c>
      <c r="G3842" s="78">
        <v>11.633254117744899</v>
      </c>
      <c r="H3842" s="81">
        <v>10.7803439870394</v>
      </c>
    </row>
    <row r="3843" spans="1:8" x14ac:dyDescent="0.3">
      <c r="A3843" s="74" t="str">
        <f t="shared" ref="A3843:A3906" si="60">B3843&amp;C3843</f>
        <v>浙江46180</v>
      </c>
      <c r="B3843" s="75" t="s">
        <v>26</v>
      </c>
      <c r="C3843" s="45">
        <v>46180</v>
      </c>
      <c r="D3843" s="76">
        <v>0</v>
      </c>
      <c r="E3843" s="77">
        <v>0</v>
      </c>
      <c r="F3843" s="78">
        <v>11.633254117744899</v>
      </c>
      <c r="G3843" s="78">
        <v>11.633254117744899</v>
      </c>
      <c r="H3843" s="81">
        <v>10.7803439870394</v>
      </c>
    </row>
    <row r="3844" spans="1:8" x14ac:dyDescent="0.3">
      <c r="A3844" s="74" t="str">
        <f t="shared" si="60"/>
        <v>浙江46181</v>
      </c>
      <c r="B3844" s="75" t="s">
        <v>26</v>
      </c>
      <c r="C3844" s="45">
        <v>46181</v>
      </c>
      <c r="D3844" s="76">
        <v>0</v>
      </c>
      <c r="E3844" s="77">
        <v>0</v>
      </c>
      <c r="F3844" s="78">
        <v>11.633254117744899</v>
      </c>
      <c r="G3844" s="78">
        <v>11.633254117744899</v>
      </c>
      <c r="H3844" s="81">
        <v>10.7803439870394</v>
      </c>
    </row>
    <row r="3845" spans="1:8" x14ac:dyDescent="0.3">
      <c r="A3845" s="74" t="str">
        <f t="shared" si="60"/>
        <v>浙江46182</v>
      </c>
      <c r="B3845" s="75" t="s">
        <v>26</v>
      </c>
      <c r="C3845" s="45">
        <v>46182</v>
      </c>
      <c r="D3845" s="76">
        <v>0</v>
      </c>
      <c r="E3845" s="77">
        <v>0</v>
      </c>
      <c r="F3845" s="78">
        <v>11.633254117744899</v>
      </c>
      <c r="G3845" s="78">
        <v>11.633254117744899</v>
      </c>
      <c r="H3845" s="81">
        <v>10.7803439870394</v>
      </c>
    </row>
    <row r="3846" spans="1:8" x14ac:dyDescent="0.3">
      <c r="A3846" s="74" t="str">
        <f t="shared" si="60"/>
        <v>浙江46183</v>
      </c>
      <c r="B3846" s="75" t="s">
        <v>26</v>
      </c>
      <c r="C3846" s="45">
        <v>46183</v>
      </c>
      <c r="D3846" s="76">
        <v>0</v>
      </c>
      <c r="E3846" s="77">
        <v>0</v>
      </c>
      <c r="F3846" s="78">
        <v>11.633254117744899</v>
      </c>
      <c r="G3846" s="78">
        <v>11.633254117744899</v>
      </c>
      <c r="H3846" s="81">
        <v>10.7803439870394</v>
      </c>
    </row>
    <row r="3847" spans="1:8" x14ac:dyDescent="0.3">
      <c r="A3847" s="74" t="str">
        <f t="shared" si="60"/>
        <v>浙江46184</v>
      </c>
      <c r="B3847" s="75" t="s">
        <v>26</v>
      </c>
      <c r="C3847" s="45">
        <v>46184</v>
      </c>
      <c r="D3847" s="76">
        <v>0</v>
      </c>
      <c r="E3847" s="77">
        <v>0</v>
      </c>
      <c r="F3847" s="78">
        <v>11.633254117744899</v>
      </c>
      <c r="G3847" s="78">
        <v>11.633254117744899</v>
      </c>
      <c r="H3847" s="81">
        <v>10.7803439870394</v>
      </c>
    </row>
    <row r="3848" spans="1:8" x14ac:dyDescent="0.3">
      <c r="A3848" s="74" t="str">
        <f t="shared" si="60"/>
        <v>浙江46185</v>
      </c>
      <c r="B3848" s="75" t="s">
        <v>26</v>
      </c>
      <c r="C3848" s="45">
        <v>46185</v>
      </c>
      <c r="D3848" s="76">
        <v>0</v>
      </c>
      <c r="E3848" s="77">
        <v>0</v>
      </c>
      <c r="F3848" s="78">
        <v>11.633254117744899</v>
      </c>
      <c r="G3848" s="78">
        <v>11.633254117744899</v>
      </c>
      <c r="H3848" s="81">
        <v>10.7803439870394</v>
      </c>
    </row>
    <row r="3849" spans="1:8" x14ac:dyDescent="0.3">
      <c r="A3849" s="74" t="str">
        <f t="shared" si="60"/>
        <v>浙江46186</v>
      </c>
      <c r="B3849" s="75" t="s">
        <v>26</v>
      </c>
      <c r="C3849" s="45">
        <v>46186</v>
      </c>
      <c r="D3849" s="76">
        <v>0</v>
      </c>
      <c r="E3849" s="77">
        <v>0</v>
      </c>
      <c r="F3849" s="78">
        <v>11.633254117744899</v>
      </c>
      <c r="G3849" s="78">
        <v>11.633254117744899</v>
      </c>
      <c r="H3849" s="81">
        <v>10.7803439870394</v>
      </c>
    </row>
    <row r="3850" spans="1:8" x14ac:dyDescent="0.3">
      <c r="A3850" s="74" t="str">
        <f t="shared" si="60"/>
        <v>浙江46187</v>
      </c>
      <c r="B3850" s="75" t="s">
        <v>26</v>
      </c>
      <c r="C3850" s="45">
        <v>46187</v>
      </c>
      <c r="D3850" s="76">
        <v>0</v>
      </c>
      <c r="E3850" s="77">
        <v>0</v>
      </c>
      <c r="F3850" s="78">
        <v>11.633254117744899</v>
      </c>
      <c r="G3850" s="78">
        <v>11.633254117744899</v>
      </c>
      <c r="H3850" s="81">
        <v>10.7803439870394</v>
      </c>
    </row>
    <row r="3851" spans="1:8" x14ac:dyDescent="0.3">
      <c r="A3851" s="74" t="str">
        <f t="shared" si="60"/>
        <v>浙江46188</v>
      </c>
      <c r="B3851" s="75" t="s">
        <v>26</v>
      </c>
      <c r="C3851" s="45">
        <v>46188</v>
      </c>
      <c r="D3851" s="76">
        <v>0</v>
      </c>
      <c r="E3851" s="77">
        <v>0</v>
      </c>
      <c r="F3851" s="78">
        <v>11.633254117744899</v>
      </c>
      <c r="G3851" s="78">
        <v>11.633254117744899</v>
      </c>
      <c r="H3851" s="81">
        <v>10.7803439870394</v>
      </c>
    </row>
    <row r="3852" spans="1:8" x14ac:dyDescent="0.3">
      <c r="A3852" s="74" t="str">
        <f t="shared" si="60"/>
        <v>浙江46189</v>
      </c>
      <c r="B3852" s="75" t="s">
        <v>26</v>
      </c>
      <c r="C3852" s="45">
        <v>46189</v>
      </c>
      <c r="D3852" s="76">
        <v>0</v>
      </c>
      <c r="E3852" s="77">
        <v>0</v>
      </c>
      <c r="F3852" s="78">
        <v>11.633254117744899</v>
      </c>
      <c r="G3852" s="78">
        <v>11.633254117744899</v>
      </c>
      <c r="H3852" s="81">
        <v>10.7803439870394</v>
      </c>
    </row>
    <row r="3853" spans="1:8" x14ac:dyDescent="0.3">
      <c r="A3853" s="74" t="str">
        <f t="shared" si="60"/>
        <v>浙江46190</v>
      </c>
      <c r="B3853" s="75" t="s">
        <v>26</v>
      </c>
      <c r="C3853" s="45">
        <v>46190</v>
      </c>
      <c r="D3853" s="76">
        <v>0</v>
      </c>
      <c r="E3853" s="77">
        <v>0</v>
      </c>
      <c r="F3853" s="78">
        <v>11.633254117744899</v>
      </c>
      <c r="G3853" s="78">
        <v>11.633254117744899</v>
      </c>
      <c r="H3853" s="81">
        <v>10.7803439870394</v>
      </c>
    </row>
    <row r="3854" spans="1:8" x14ac:dyDescent="0.3">
      <c r="A3854" s="74" t="str">
        <f t="shared" si="60"/>
        <v>浙江46191</v>
      </c>
      <c r="B3854" s="75" t="s">
        <v>26</v>
      </c>
      <c r="C3854" s="45">
        <v>46191</v>
      </c>
      <c r="D3854" s="76">
        <v>0</v>
      </c>
      <c r="E3854" s="77">
        <v>0</v>
      </c>
      <c r="F3854" s="78">
        <v>11.633254117744899</v>
      </c>
      <c r="G3854" s="78">
        <v>11.633254117744899</v>
      </c>
      <c r="H3854" s="81">
        <v>10.7803439870394</v>
      </c>
    </row>
    <row r="3855" spans="1:8" x14ac:dyDescent="0.3">
      <c r="A3855" s="74" t="str">
        <f t="shared" si="60"/>
        <v>浙江46192</v>
      </c>
      <c r="B3855" s="75" t="s">
        <v>26</v>
      </c>
      <c r="C3855" s="45">
        <v>46192</v>
      </c>
      <c r="D3855" s="76">
        <v>0</v>
      </c>
      <c r="E3855" s="77">
        <v>0</v>
      </c>
      <c r="F3855" s="78">
        <v>11.633254117744899</v>
      </c>
      <c r="G3855" s="78">
        <v>11.633254117744899</v>
      </c>
      <c r="H3855" s="81">
        <v>10.7803439870394</v>
      </c>
    </row>
    <row r="3856" spans="1:8" x14ac:dyDescent="0.3">
      <c r="A3856" s="74" t="str">
        <f t="shared" si="60"/>
        <v>浙江46193</v>
      </c>
      <c r="B3856" s="75" t="s">
        <v>26</v>
      </c>
      <c r="C3856" s="45">
        <v>46193</v>
      </c>
      <c r="D3856" s="76">
        <v>0</v>
      </c>
      <c r="E3856" s="77">
        <v>0</v>
      </c>
      <c r="F3856" s="78">
        <v>11.633254117744899</v>
      </c>
      <c r="G3856" s="78">
        <v>11.633254117744899</v>
      </c>
      <c r="H3856" s="81">
        <v>10.7803439870394</v>
      </c>
    </row>
    <row r="3857" spans="1:8" x14ac:dyDescent="0.3">
      <c r="A3857" s="74" t="str">
        <f t="shared" si="60"/>
        <v>浙江46194</v>
      </c>
      <c r="B3857" s="75" t="s">
        <v>26</v>
      </c>
      <c r="C3857" s="45">
        <v>46194</v>
      </c>
      <c r="D3857" s="76">
        <v>0</v>
      </c>
      <c r="E3857" s="77">
        <v>0</v>
      </c>
      <c r="F3857" s="78">
        <v>11.633254117744899</v>
      </c>
      <c r="G3857" s="78">
        <v>11.633254117744899</v>
      </c>
      <c r="H3857" s="81">
        <v>10.7803439870394</v>
      </c>
    </row>
    <row r="3858" spans="1:8" x14ac:dyDescent="0.3">
      <c r="A3858" s="74" t="str">
        <f t="shared" si="60"/>
        <v>浙江46195</v>
      </c>
      <c r="B3858" s="75" t="s">
        <v>26</v>
      </c>
      <c r="C3858" s="45">
        <v>46195</v>
      </c>
      <c r="D3858" s="76">
        <v>0</v>
      </c>
      <c r="E3858" s="77">
        <v>0</v>
      </c>
      <c r="F3858" s="78">
        <v>11.633254117744899</v>
      </c>
      <c r="G3858" s="78">
        <v>11.633254117744899</v>
      </c>
      <c r="H3858" s="81">
        <v>10.7803439870394</v>
      </c>
    </row>
    <row r="3859" spans="1:8" x14ac:dyDescent="0.3">
      <c r="A3859" s="74" t="str">
        <f t="shared" si="60"/>
        <v>浙江46196</v>
      </c>
      <c r="B3859" s="75" t="s">
        <v>26</v>
      </c>
      <c r="C3859" s="45">
        <v>46196</v>
      </c>
      <c r="D3859" s="76">
        <v>0</v>
      </c>
      <c r="E3859" s="77">
        <v>0</v>
      </c>
      <c r="F3859" s="78">
        <v>11.633254117744899</v>
      </c>
      <c r="G3859" s="78">
        <v>11.633254117744899</v>
      </c>
      <c r="H3859" s="81">
        <v>10.7803439870394</v>
      </c>
    </row>
    <row r="3860" spans="1:8" x14ac:dyDescent="0.3">
      <c r="A3860" s="74" t="str">
        <f t="shared" si="60"/>
        <v>浙江46197</v>
      </c>
      <c r="B3860" s="75" t="s">
        <v>26</v>
      </c>
      <c r="C3860" s="45">
        <v>46197</v>
      </c>
      <c r="D3860" s="76">
        <v>0</v>
      </c>
      <c r="E3860" s="77">
        <v>0</v>
      </c>
      <c r="F3860" s="78">
        <v>11.633254117744899</v>
      </c>
      <c r="G3860" s="78">
        <v>11.633254117744899</v>
      </c>
      <c r="H3860" s="81">
        <v>10.7803439870394</v>
      </c>
    </row>
    <row r="3861" spans="1:8" x14ac:dyDescent="0.3">
      <c r="A3861" s="74" t="str">
        <f t="shared" si="60"/>
        <v>浙江46198</v>
      </c>
      <c r="B3861" s="75" t="s">
        <v>26</v>
      </c>
      <c r="C3861" s="45">
        <v>46198</v>
      </c>
      <c r="D3861" s="76">
        <v>0</v>
      </c>
      <c r="E3861" s="77">
        <v>0</v>
      </c>
      <c r="F3861" s="78">
        <v>11.633254117744899</v>
      </c>
      <c r="G3861" s="78">
        <v>11.633254117744899</v>
      </c>
      <c r="H3861" s="81">
        <v>10.7803439870394</v>
      </c>
    </row>
    <row r="3862" spans="1:8" x14ac:dyDescent="0.3">
      <c r="A3862" s="74" t="str">
        <f t="shared" si="60"/>
        <v>浙江46199</v>
      </c>
      <c r="B3862" s="75" t="s">
        <v>26</v>
      </c>
      <c r="C3862" s="45">
        <v>46199</v>
      </c>
      <c r="D3862" s="76">
        <v>0</v>
      </c>
      <c r="E3862" s="77">
        <v>0</v>
      </c>
      <c r="F3862" s="78">
        <v>11.633254117744899</v>
      </c>
      <c r="G3862" s="78">
        <v>11.633254117744899</v>
      </c>
      <c r="H3862" s="81">
        <v>10.7803439870394</v>
      </c>
    </row>
    <row r="3863" spans="1:8" x14ac:dyDescent="0.3">
      <c r="A3863" s="74" t="str">
        <f t="shared" si="60"/>
        <v>浙江46200</v>
      </c>
      <c r="B3863" s="75" t="s">
        <v>26</v>
      </c>
      <c r="C3863" s="45">
        <v>46200</v>
      </c>
      <c r="D3863" s="76">
        <v>0</v>
      </c>
      <c r="E3863" s="77">
        <v>0</v>
      </c>
      <c r="F3863" s="78">
        <v>11.633254117744899</v>
      </c>
      <c r="G3863" s="78">
        <v>11.633254117744899</v>
      </c>
      <c r="H3863" s="81">
        <v>10.7803439870394</v>
      </c>
    </row>
    <row r="3864" spans="1:8" x14ac:dyDescent="0.3">
      <c r="A3864" s="74" t="str">
        <f t="shared" si="60"/>
        <v>浙江46201</v>
      </c>
      <c r="B3864" s="75" t="s">
        <v>26</v>
      </c>
      <c r="C3864" s="45">
        <v>46201</v>
      </c>
      <c r="D3864" s="76">
        <v>0</v>
      </c>
      <c r="E3864" s="77">
        <v>0</v>
      </c>
      <c r="F3864" s="78">
        <v>11.633254117744899</v>
      </c>
      <c r="G3864" s="78">
        <v>11.633254117744899</v>
      </c>
      <c r="H3864" s="81">
        <v>10.7803439870394</v>
      </c>
    </row>
    <row r="3865" spans="1:8" x14ac:dyDescent="0.3">
      <c r="A3865" s="74" t="str">
        <f t="shared" si="60"/>
        <v>浙江46202</v>
      </c>
      <c r="B3865" s="75" t="s">
        <v>26</v>
      </c>
      <c r="C3865" s="45">
        <v>46202</v>
      </c>
      <c r="D3865" s="76">
        <v>0</v>
      </c>
      <c r="E3865" s="77">
        <v>0</v>
      </c>
      <c r="F3865" s="78">
        <v>11.633254117744899</v>
      </c>
      <c r="G3865" s="78">
        <v>11.633254117744899</v>
      </c>
      <c r="H3865" s="81">
        <v>10.7803439870394</v>
      </c>
    </row>
    <row r="3866" spans="1:8" x14ac:dyDescent="0.3">
      <c r="A3866" s="74" t="str">
        <f t="shared" si="60"/>
        <v>浙江46203</v>
      </c>
      <c r="B3866" s="75" t="s">
        <v>26</v>
      </c>
      <c r="C3866" s="45">
        <v>46203</v>
      </c>
      <c r="D3866" s="76">
        <v>0</v>
      </c>
      <c r="E3866" s="77">
        <v>0</v>
      </c>
      <c r="F3866" s="78">
        <v>11.633254117744899</v>
      </c>
      <c r="G3866" s="78">
        <v>11.633254117744899</v>
      </c>
      <c r="H3866" s="81">
        <v>10.7803439870394</v>
      </c>
    </row>
    <row r="3867" spans="1:8" x14ac:dyDescent="0.3">
      <c r="A3867" s="74" t="str">
        <f t="shared" si="60"/>
        <v>浙江46204</v>
      </c>
      <c r="B3867" s="75" t="s">
        <v>26</v>
      </c>
      <c r="C3867" s="45">
        <v>46204</v>
      </c>
      <c r="D3867" s="76">
        <v>0</v>
      </c>
      <c r="E3867" s="77">
        <v>0</v>
      </c>
      <c r="F3867" s="78">
        <v>12.120725686117799</v>
      </c>
      <c r="G3867" s="78">
        <v>12.120725686117799</v>
      </c>
      <c r="H3867" s="81">
        <v>11.6567535310985</v>
      </c>
    </row>
    <row r="3868" spans="1:8" x14ac:dyDescent="0.3">
      <c r="A3868" s="74" t="str">
        <f t="shared" si="60"/>
        <v>浙江46205</v>
      </c>
      <c r="B3868" s="75" t="s">
        <v>26</v>
      </c>
      <c r="C3868" s="45">
        <v>46205</v>
      </c>
      <c r="D3868" s="76">
        <v>0</v>
      </c>
      <c r="E3868" s="77">
        <v>0</v>
      </c>
      <c r="F3868" s="78">
        <v>12.120725686117799</v>
      </c>
      <c r="G3868" s="78">
        <v>12.120725686117799</v>
      </c>
      <c r="H3868" s="81">
        <v>11.6567535310985</v>
      </c>
    </row>
    <row r="3869" spans="1:8" x14ac:dyDescent="0.3">
      <c r="A3869" s="74" t="str">
        <f t="shared" si="60"/>
        <v>浙江46206</v>
      </c>
      <c r="B3869" s="75" t="s">
        <v>26</v>
      </c>
      <c r="C3869" s="45">
        <v>46206</v>
      </c>
      <c r="D3869" s="76">
        <v>0</v>
      </c>
      <c r="E3869" s="77">
        <v>0</v>
      </c>
      <c r="F3869" s="78">
        <v>12.120725686117799</v>
      </c>
      <c r="G3869" s="78">
        <v>12.120725686117799</v>
      </c>
      <c r="H3869" s="81">
        <v>11.6567535310985</v>
      </c>
    </row>
    <row r="3870" spans="1:8" x14ac:dyDescent="0.3">
      <c r="A3870" s="74" t="str">
        <f t="shared" si="60"/>
        <v>浙江46207</v>
      </c>
      <c r="B3870" s="75" t="s">
        <v>26</v>
      </c>
      <c r="C3870" s="45">
        <v>46207</v>
      </c>
      <c r="D3870" s="76">
        <v>0</v>
      </c>
      <c r="E3870" s="77">
        <v>0</v>
      </c>
      <c r="F3870" s="78">
        <v>12.120725686117799</v>
      </c>
      <c r="G3870" s="78">
        <v>12.120725686117799</v>
      </c>
      <c r="H3870" s="81">
        <v>11.6567535310985</v>
      </c>
    </row>
    <row r="3871" spans="1:8" x14ac:dyDescent="0.3">
      <c r="A3871" s="74" t="str">
        <f t="shared" si="60"/>
        <v>浙江46208</v>
      </c>
      <c r="B3871" s="75" t="s">
        <v>26</v>
      </c>
      <c r="C3871" s="45">
        <v>46208</v>
      </c>
      <c r="D3871" s="76">
        <v>0</v>
      </c>
      <c r="E3871" s="77">
        <v>0</v>
      </c>
      <c r="F3871" s="78">
        <v>12.120725686117799</v>
      </c>
      <c r="G3871" s="78">
        <v>12.120725686117799</v>
      </c>
      <c r="H3871" s="81">
        <v>11.6567535310985</v>
      </c>
    </row>
    <row r="3872" spans="1:8" x14ac:dyDescent="0.3">
      <c r="A3872" s="74" t="str">
        <f t="shared" si="60"/>
        <v>浙江46209</v>
      </c>
      <c r="B3872" s="75" t="s">
        <v>26</v>
      </c>
      <c r="C3872" s="45">
        <v>46209</v>
      </c>
      <c r="D3872" s="76">
        <v>0</v>
      </c>
      <c r="E3872" s="77">
        <v>0</v>
      </c>
      <c r="F3872" s="78">
        <v>12.120725686117799</v>
      </c>
      <c r="G3872" s="78">
        <v>12.120725686117799</v>
      </c>
      <c r="H3872" s="81">
        <v>11.6567535310985</v>
      </c>
    </row>
    <row r="3873" spans="1:8" x14ac:dyDescent="0.3">
      <c r="A3873" s="74" t="str">
        <f t="shared" si="60"/>
        <v>浙江46210</v>
      </c>
      <c r="B3873" s="75" t="s">
        <v>26</v>
      </c>
      <c r="C3873" s="45">
        <v>46210</v>
      </c>
      <c r="D3873" s="76">
        <v>0</v>
      </c>
      <c r="E3873" s="77">
        <v>0</v>
      </c>
      <c r="F3873" s="78">
        <v>12.120725686117799</v>
      </c>
      <c r="G3873" s="78">
        <v>12.120725686117799</v>
      </c>
      <c r="H3873" s="81">
        <v>11.6567535310985</v>
      </c>
    </row>
    <row r="3874" spans="1:8" x14ac:dyDescent="0.3">
      <c r="A3874" s="74" t="str">
        <f t="shared" si="60"/>
        <v>浙江46211</v>
      </c>
      <c r="B3874" s="75" t="s">
        <v>26</v>
      </c>
      <c r="C3874" s="45">
        <v>46211</v>
      </c>
      <c r="D3874" s="76">
        <v>0</v>
      </c>
      <c r="E3874" s="77">
        <v>0</v>
      </c>
      <c r="F3874" s="78">
        <v>12.120725686117799</v>
      </c>
      <c r="G3874" s="78">
        <v>12.120725686117799</v>
      </c>
      <c r="H3874" s="81">
        <v>11.6567535310985</v>
      </c>
    </row>
    <row r="3875" spans="1:8" x14ac:dyDescent="0.3">
      <c r="A3875" s="74" t="str">
        <f t="shared" si="60"/>
        <v>浙江46212</v>
      </c>
      <c r="B3875" s="75" t="s">
        <v>26</v>
      </c>
      <c r="C3875" s="45">
        <v>46212</v>
      </c>
      <c r="D3875" s="76">
        <v>0</v>
      </c>
      <c r="E3875" s="77">
        <v>0</v>
      </c>
      <c r="F3875" s="78">
        <v>12.120725686117799</v>
      </c>
      <c r="G3875" s="78">
        <v>12.120725686117799</v>
      </c>
      <c r="H3875" s="81">
        <v>11.6567535310985</v>
      </c>
    </row>
    <row r="3876" spans="1:8" x14ac:dyDescent="0.3">
      <c r="A3876" s="74" t="str">
        <f t="shared" si="60"/>
        <v>浙江46213</v>
      </c>
      <c r="B3876" s="75" t="s">
        <v>26</v>
      </c>
      <c r="C3876" s="45">
        <v>46213</v>
      </c>
      <c r="D3876" s="76">
        <v>0</v>
      </c>
      <c r="E3876" s="77">
        <v>0</v>
      </c>
      <c r="F3876" s="78">
        <v>12.120725686117799</v>
      </c>
      <c r="G3876" s="78">
        <v>12.120725686117799</v>
      </c>
      <c r="H3876" s="81">
        <v>11.6567535310985</v>
      </c>
    </row>
    <row r="3877" spans="1:8" x14ac:dyDescent="0.3">
      <c r="A3877" s="74" t="str">
        <f t="shared" si="60"/>
        <v>浙江46214</v>
      </c>
      <c r="B3877" s="75" t="s">
        <v>26</v>
      </c>
      <c r="C3877" s="45">
        <v>46214</v>
      </c>
      <c r="D3877" s="76">
        <v>0</v>
      </c>
      <c r="E3877" s="77">
        <v>0</v>
      </c>
      <c r="F3877" s="78">
        <v>12.120725686117799</v>
      </c>
      <c r="G3877" s="78">
        <v>12.120725686117799</v>
      </c>
      <c r="H3877" s="81">
        <v>11.6567535310985</v>
      </c>
    </row>
    <row r="3878" spans="1:8" x14ac:dyDescent="0.3">
      <c r="A3878" s="74" t="str">
        <f t="shared" si="60"/>
        <v>浙江46215</v>
      </c>
      <c r="B3878" s="75" t="s">
        <v>26</v>
      </c>
      <c r="C3878" s="45">
        <v>46215</v>
      </c>
      <c r="D3878" s="76">
        <v>0</v>
      </c>
      <c r="E3878" s="77">
        <v>0</v>
      </c>
      <c r="F3878" s="78">
        <v>12.120725686117799</v>
      </c>
      <c r="G3878" s="78">
        <v>12.120725686117799</v>
      </c>
      <c r="H3878" s="81">
        <v>11.6567535310985</v>
      </c>
    </row>
    <row r="3879" spans="1:8" x14ac:dyDescent="0.3">
      <c r="A3879" s="74" t="str">
        <f t="shared" si="60"/>
        <v>浙江46216</v>
      </c>
      <c r="B3879" s="75" t="s">
        <v>26</v>
      </c>
      <c r="C3879" s="45">
        <v>46216</v>
      </c>
      <c r="D3879" s="76">
        <v>0</v>
      </c>
      <c r="E3879" s="77">
        <v>0</v>
      </c>
      <c r="F3879" s="78">
        <v>12.120725686117799</v>
      </c>
      <c r="G3879" s="78">
        <v>12.120725686117799</v>
      </c>
      <c r="H3879" s="81">
        <v>11.6567535310985</v>
      </c>
    </row>
    <row r="3880" spans="1:8" x14ac:dyDescent="0.3">
      <c r="A3880" s="74" t="str">
        <f t="shared" si="60"/>
        <v>浙江46217</v>
      </c>
      <c r="B3880" s="75" t="s">
        <v>26</v>
      </c>
      <c r="C3880" s="45">
        <v>46217</v>
      </c>
      <c r="D3880" s="76">
        <v>0</v>
      </c>
      <c r="E3880" s="77">
        <v>0</v>
      </c>
      <c r="F3880" s="78">
        <v>12.120725686117799</v>
      </c>
      <c r="G3880" s="78">
        <v>12.120725686117799</v>
      </c>
      <c r="H3880" s="81">
        <v>11.6567535310985</v>
      </c>
    </row>
    <row r="3881" spans="1:8" x14ac:dyDescent="0.3">
      <c r="A3881" s="74" t="str">
        <f t="shared" si="60"/>
        <v>浙江46218</v>
      </c>
      <c r="B3881" s="75" t="s">
        <v>26</v>
      </c>
      <c r="C3881" s="45">
        <v>46218</v>
      </c>
      <c r="D3881" s="76">
        <v>0</v>
      </c>
      <c r="E3881" s="77">
        <v>0</v>
      </c>
      <c r="F3881" s="78">
        <v>12.120725686117799</v>
      </c>
      <c r="G3881" s="78">
        <v>12.120725686117799</v>
      </c>
      <c r="H3881" s="81">
        <v>11.6567535310985</v>
      </c>
    </row>
    <row r="3882" spans="1:8" x14ac:dyDescent="0.3">
      <c r="A3882" s="74" t="str">
        <f t="shared" si="60"/>
        <v>浙江46219</v>
      </c>
      <c r="B3882" s="75" t="s">
        <v>26</v>
      </c>
      <c r="C3882" s="45">
        <v>46219</v>
      </c>
      <c r="D3882" s="76">
        <v>0</v>
      </c>
      <c r="E3882" s="77">
        <v>0</v>
      </c>
      <c r="F3882" s="78">
        <v>12.120725686117799</v>
      </c>
      <c r="G3882" s="78">
        <v>12.120725686117799</v>
      </c>
      <c r="H3882" s="81">
        <v>11.6567535310985</v>
      </c>
    </row>
    <row r="3883" spans="1:8" x14ac:dyDescent="0.3">
      <c r="A3883" s="74" t="str">
        <f t="shared" si="60"/>
        <v>浙江46220</v>
      </c>
      <c r="B3883" s="75" t="s">
        <v>26</v>
      </c>
      <c r="C3883" s="45">
        <v>46220</v>
      </c>
      <c r="D3883" s="76">
        <v>0</v>
      </c>
      <c r="E3883" s="77">
        <v>0</v>
      </c>
      <c r="F3883" s="78">
        <v>12.120725686117799</v>
      </c>
      <c r="G3883" s="78">
        <v>12.120725686117799</v>
      </c>
      <c r="H3883" s="81">
        <v>11.6567535310985</v>
      </c>
    </row>
    <row r="3884" spans="1:8" x14ac:dyDescent="0.3">
      <c r="A3884" s="74" t="str">
        <f t="shared" si="60"/>
        <v>浙江46221</v>
      </c>
      <c r="B3884" s="75" t="s">
        <v>26</v>
      </c>
      <c r="C3884" s="45">
        <v>46221</v>
      </c>
      <c r="D3884" s="76">
        <v>0</v>
      </c>
      <c r="E3884" s="77">
        <v>0</v>
      </c>
      <c r="F3884" s="78">
        <v>12.120725686117799</v>
      </c>
      <c r="G3884" s="78">
        <v>12.120725686117799</v>
      </c>
      <c r="H3884" s="81">
        <v>11.6567535310985</v>
      </c>
    </row>
    <row r="3885" spans="1:8" x14ac:dyDescent="0.3">
      <c r="A3885" s="74" t="str">
        <f t="shared" si="60"/>
        <v>浙江46222</v>
      </c>
      <c r="B3885" s="75" t="s">
        <v>26</v>
      </c>
      <c r="C3885" s="45">
        <v>46222</v>
      </c>
      <c r="D3885" s="76">
        <v>0</v>
      </c>
      <c r="E3885" s="77">
        <v>0</v>
      </c>
      <c r="F3885" s="78">
        <v>12.120725686117799</v>
      </c>
      <c r="G3885" s="78">
        <v>12.120725686117799</v>
      </c>
      <c r="H3885" s="81">
        <v>11.6567535310985</v>
      </c>
    </row>
    <row r="3886" spans="1:8" x14ac:dyDescent="0.3">
      <c r="A3886" s="74" t="str">
        <f t="shared" si="60"/>
        <v>浙江46223</v>
      </c>
      <c r="B3886" s="75" t="s">
        <v>26</v>
      </c>
      <c r="C3886" s="45">
        <v>46223</v>
      </c>
      <c r="D3886" s="76">
        <v>0</v>
      </c>
      <c r="E3886" s="77">
        <v>0</v>
      </c>
      <c r="F3886" s="78">
        <v>12.120725686117799</v>
      </c>
      <c r="G3886" s="78">
        <v>12.120725686117799</v>
      </c>
      <c r="H3886" s="81">
        <v>11.6567535310985</v>
      </c>
    </row>
    <row r="3887" spans="1:8" x14ac:dyDescent="0.3">
      <c r="A3887" s="74" t="str">
        <f t="shared" si="60"/>
        <v>浙江46224</v>
      </c>
      <c r="B3887" s="75" t="s">
        <v>26</v>
      </c>
      <c r="C3887" s="45">
        <v>46224</v>
      </c>
      <c r="D3887" s="76">
        <v>0</v>
      </c>
      <c r="E3887" s="77">
        <v>0</v>
      </c>
      <c r="F3887" s="78">
        <v>12.120725686117799</v>
      </c>
      <c r="G3887" s="78">
        <v>12.120725686117799</v>
      </c>
      <c r="H3887" s="81">
        <v>11.6567535310985</v>
      </c>
    </row>
    <row r="3888" spans="1:8" x14ac:dyDescent="0.3">
      <c r="A3888" s="74" t="str">
        <f t="shared" si="60"/>
        <v>浙江46225</v>
      </c>
      <c r="B3888" s="75" t="s">
        <v>26</v>
      </c>
      <c r="C3888" s="45">
        <v>46225</v>
      </c>
      <c r="D3888" s="76">
        <v>0</v>
      </c>
      <c r="E3888" s="77">
        <v>0</v>
      </c>
      <c r="F3888" s="78">
        <v>12.120725686117799</v>
      </c>
      <c r="G3888" s="78">
        <v>12.120725686117799</v>
      </c>
      <c r="H3888" s="81">
        <v>11.6567535310985</v>
      </c>
    </row>
    <row r="3889" spans="1:8" x14ac:dyDescent="0.3">
      <c r="A3889" s="74" t="str">
        <f t="shared" si="60"/>
        <v>浙江46226</v>
      </c>
      <c r="B3889" s="75" t="s">
        <v>26</v>
      </c>
      <c r="C3889" s="45">
        <v>46226</v>
      </c>
      <c r="D3889" s="76">
        <v>0</v>
      </c>
      <c r="E3889" s="77">
        <v>0</v>
      </c>
      <c r="F3889" s="78">
        <v>12.120725686117799</v>
      </c>
      <c r="G3889" s="78">
        <v>12.120725686117799</v>
      </c>
      <c r="H3889" s="81">
        <v>11.6567535310985</v>
      </c>
    </row>
    <row r="3890" spans="1:8" x14ac:dyDescent="0.3">
      <c r="A3890" s="74" t="str">
        <f t="shared" si="60"/>
        <v>浙江46227</v>
      </c>
      <c r="B3890" s="75" t="s">
        <v>26</v>
      </c>
      <c r="C3890" s="45">
        <v>46227</v>
      </c>
      <c r="D3890" s="76">
        <v>0</v>
      </c>
      <c r="E3890" s="77">
        <v>0</v>
      </c>
      <c r="F3890" s="78">
        <v>12.120725686117799</v>
      </c>
      <c r="G3890" s="78">
        <v>12.120725686117799</v>
      </c>
      <c r="H3890" s="81">
        <v>11.6567535310985</v>
      </c>
    </row>
    <row r="3891" spans="1:8" x14ac:dyDescent="0.3">
      <c r="A3891" s="74" t="str">
        <f t="shared" si="60"/>
        <v>浙江46228</v>
      </c>
      <c r="B3891" s="75" t="s">
        <v>26</v>
      </c>
      <c r="C3891" s="45">
        <v>46228</v>
      </c>
      <c r="D3891" s="76">
        <v>0</v>
      </c>
      <c r="E3891" s="77">
        <v>0</v>
      </c>
      <c r="F3891" s="78">
        <v>12.120725686117799</v>
      </c>
      <c r="G3891" s="78">
        <v>12.120725686117799</v>
      </c>
      <c r="H3891" s="81">
        <v>11.6567535310985</v>
      </c>
    </row>
    <row r="3892" spans="1:8" x14ac:dyDescent="0.3">
      <c r="A3892" s="74" t="str">
        <f t="shared" si="60"/>
        <v>浙江46229</v>
      </c>
      <c r="B3892" s="75" t="s">
        <v>26</v>
      </c>
      <c r="C3892" s="45">
        <v>46229</v>
      </c>
      <c r="D3892" s="76">
        <v>0</v>
      </c>
      <c r="E3892" s="77">
        <v>0</v>
      </c>
      <c r="F3892" s="78">
        <v>12.120725686117799</v>
      </c>
      <c r="G3892" s="78">
        <v>12.120725686117799</v>
      </c>
      <c r="H3892" s="81">
        <v>11.6567535310985</v>
      </c>
    </row>
    <row r="3893" spans="1:8" x14ac:dyDescent="0.3">
      <c r="A3893" s="74" t="str">
        <f t="shared" si="60"/>
        <v>浙江46230</v>
      </c>
      <c r="B3893" s="75" t="s">
        <v>26</v>
      </c>
      <c r="C3893" s="45">
        <v>46230</v>
      </c>
      <c r="D3893" s="76">
        <v>0</v>
      </c>
      <c r="E3893" s="77">
        <v>0</v>
      </c>
      <c r="F3893" s="78">
        <v>12.120725686117799</v>
      </c>
      <c r="G3893" s="78">
        <v>12.120725686117799</v>
      </c>
      <c r="H3893" s="81">
        <v>11.6567535310985</v>
      </c>
    </row>
    <row r="3894" spans="1:8" x14ac:dyDescent="0.3">
      <c r="A3894" s="74" t="str">
        <f t="shared" si="60"/>
        <v>浙江46231</v>
      </c>
      <c r="B3894" s="75" t="s">
        <v>26</v>
      </c>
      <c r="C3894" s="45">
        <v>46231</v>
      </c>
      <c r="D3894" s="76">
        <v>0</v>
      </c>
      <c r="E3894" s="77">
        <v>0</v>
      </c>
      <c r="F3894" s="78">
        <v>12.120725686117799</v>
      </c>
      <c r="G3894" s="78">
        <v>12.120725686117799</v>
      </c>
      <c r="H3894" s="81">
        <v>11.6567535310985</v>
      </c>
    </row>
    <row r="3895" spans="1:8" x14ac:dyDescent="0.3">
      <c r="A3895" s="74" t="str">
        <f t="shared" si="60"/>
        <v>浙江46232</v>
      </c>
      <c r="B3895" s="75" t="s">
        <v>26</v>
      </c>
      <c r="C3895" s="45">
        <v>46232</v>
      </c>
      <c r="D3895" s="76">
        <v>0</v>
      </c>
      <c r="E3895" s="77">
        <v>0</v>
      </c>
      <c r="F3895" s="78">
        <v>12.120725686117799</v>
      </c>
      <c r="G3895" s="78">
        <v>12.120725686117799</v>
      </c>
      <c r="H3895" s="81">
        <v>11.6567535310985</v>
      </c>
    </row>
    <row r="3896" spans="1:8" x14ac:dyDescent="0.3">
      <c r="A3896" s="74" t="str">
        <f t="shared" si="60"/>
        <v>浙江46233</v>
      </c>
      <c r="B3896" s="75" t="s">
        <v>26</v>
      </c>
      <c r="C3896" s="45">
        <v>46233</v>
      </c>
      <c r="D3896" s="76">
        <v>0</v>
      </c>
      <c r="E3896" s="77">
        <v>0</v>
      </c>
      <c r="F3896" s="78">
        <v>12.120725686117799</v>
      </c>
      <c r="G3896" s="78">
        <v>12.120725686117799</v>
      </c>
      <c r="H3896" s="81">
        <v>11.6567535310985</v>
      </c>
    </row>
    <row r="3897" spans="1:8" x14ac:dyDescent="0.3">
      <c r="A3897" s="74" t="str">
        <f t="shared" si="60"/>
        <v>浙江46234</v>
      </c>
      <c r="B3897" s="75" t="s">
        <v>26</v>
      </c>
      <c r="C3897" s="45">
        <v>46234</v>
      </c>
      <c r="D3897" s="76">
        <v>0</v>
      </c>
      <c r="E3897" s="77">
        <v>0</v>
      </c>
      <c r="F3897" s="78">
        <v>12.120725686117799</v>
      </c>
      <c r="G3897" s="78">
        <v>12.120725686117799</v>
      </c>
      <c r="H3897" s="81">
        <v>11.6567535310985</v>
      </c>
    </row>
    <row r="3898" spans="1:8" x14ac:dyDescent="0.3">
      <c r="A3898" s="74" t="str">
        <f t="shared" si="60"/>
        <v>浙江46235</v>
      </c>
      <c r="B3898" s="75" t="s">
        <v>26</v>
      </c>
      <c r="C3898" s="45">
        <v>46235</v>
      </c>
      <c r="D3898" s="76">
        <v>327.89247311828001</v>
      </c>
      <c r="E3898" s="77">
        <v>125</v>
      </c>
      <c r="F3898" s="78">
        <v>12.228004378525799</v>
      </c>
      <c r="G3898" s="78">
        <v>12.228004378525799</v>
      </c>
      <c r="H3898" s="81">
        <v>12.198810301123601</v>
      </c>
    </row>
    <row r="3899" spans="1:8" x14ac:dyDescent="0.3">
      <c r="A3899" s="74" t="str">
        <f t="shared" si="60"/>
        <v>浙江46236</v>
      </c>
      <c r="B3899" s="75" t="s">
        <v>26</v>
      </c>
      <c r="C3899" s="45">
        <v>46236</v>
      </c>
      <c r="D3899" s="76">
        <v>327.89247311828001</v>
      </c>
      <c r="E3899" s="77">
        <v>125</v>
      </c>
      <c r="F3899" s="78">
        <v>12.228004378525799</v>
      </c>
      <c r="G3899" s="78">
        <v>12.228004378525799</v>
      </c>
      <c r="H3899" s="81">
        <v>12.198810301123601</v>
      </c>
    </row>
    <row r="3900" spans="1:8" x14ac:dyDescent="0.3">
      <c r="A3900" s="74" t="str">
        <f t="shared" si="60"/>
        <v>浙江46237</v>
      </c>
      <c r="B3900" s="75" t="s">
        <v>26</v>
      </c>
      <c r="C3900" s="45">
        <v>46237</v>
      </c>
      <c r="D3900" s="76">
        <v>327.89247311828001</v>
      </c>
      <c r="E3900" s="77">
        <v>125</v>
      </c>
      <c r="F3900" s="78">
        <v>12.228004378525799</v>
      </c>
      <c r="G3900" s="78">
        <v>12.228004378525799</v>
      </c>
      <c r="H3900" s="81">
        <v>12.198810301123601</v>
      </c>
    </row>
    <row r="3901" spans="1:8" x14ac:dyDescent="0.3">
      <c r="A3901" s="74" t="str">
        <f t="shared" si="60"/>
        <v>浙江46238</v>
      </c>
      <c r="B3901" s="75" t="s">
        <v>26</v>
      </c>
      <c r="C3901" s="45">
        <v>46238</v>
      </c>
      <c r="D3901" s="76">
        <v>327.89247311828001</v>
      </c>
      <c r="E3901" s="77">
        <v>125</v>
      </c>
      <c r="F3901" s="78">
        <v>12.228004378525799</v>
      </c>
      <c r="G3901" s="78">
        <v>12.228004378525799</v>
      </c>
      <c r="H3901" s="81">
        <v>12.198810301123601</v>
      </c>
    </row>
    <row r="3902" spans="1:8" x14ac:dyDescent="0.3">
      <c r="A3902" s="74" t="str">
        <f t="shared" si="60"/>
        <v>浙江46239</v>
      </c>
      <c r="B3902" s="75" t="s">
        <v>26</v>
      </c>
      <c r="C3902" s="45">
        <v>46239</v>
      </c>
      <c r="D3902" s="76">
        <v>327.89247311828001</v>
      </c>
      <c r="E3902" s="77">
        <v>125</v>
      </c>
      <c r="F3902" s="78">
        <v>12.228004378525799</v>
      </c>
      <c r="G3902" s="78">
        <v>12.228004378525799</v>
      </c>
      <c r="H3902" s="81">
        <v>12.198810301123601</v>
      </c>
    </row>
    <row r="3903" spans="1:8" x14ac:dyDescent="0.3">
      <c r="A3903" s="74" t="str">
        <f t="shared" si="60"/>
        <v>浙江46240</v>
      </c>
      <c r="B3903" s="75" t="s">
        <v>26</v>
      </c>
      <c r="C3903" s="45">
        <v>46240</v>
      </c>
      <c r="D3903" s="76">
        <v>327.89247311828001</v>
      </c>
      <c r="E3903" s="77">
        <v>125</v>
      </c>
      <c r="F3903" s="78">
        <v>12.228004378525799</v>
      </c>
      <c r="G3903" s="78">
        <v>12.228004378525799</v>
      </c>
      <c r="H3903" s="81">
        <v>12.198810301123601</v>
      </c>
    </row>
    <row r="3904" spans="1:8" x14ac:dyDescent="0.3">
      <c r="A3904" s="74" t="str">
        <f t="shared" si="60"/>
        <v>浙江46241</v>
      </c>
      <c r="B3904" s="75" t="s">
        <v>26</v>
      </c>
      <c r="C3904" s="45">
        <v>46241</v>
      </c>
      <c r="D3904" s="76">
        <v>327.89247311828001</v>
      </c>
      <c r="E3904" s="77">
        <v>125</v>
      </c>
      <c r="F3904" s="78">
        <v>12.228004378525799</v>
      </c>
      <c r="G3904" s="78">
        <v>12.228004378525799</v>
      </c>
      <c r="H3904" s="81">
        <v>12.198810301123601</v>
      </c>
    </row>
    <row r="3905" spans="1:8" x14ac:dyDescent="0.3">
      <c r="A3905" s="74" t="str">
        <f t="shared" si="60"/>
        <v>浙江46242</v>
      </c>
      <c r="B3905" s="75" t="s">
        <v>26</v>
      </c>
      <c r="C3905" s="45">
        <v>46242</v>
      </c>
      <c r="D3905" s="76">
        <v>327.89247311828001</v>
      </c>
      <c r="E3905" s="77">
        <v>125</v>
      </c>
      <c r="F3905" s="78">
        <v>12.228004378525799</v>
      </c>
      <c r="G3905" s="78">
        <v>12.228004378525799</v>
      </c>
      <c r="H3905" s="81">
        <v>12.198810301123601</v>
      </c>
    </row>
    <row r="3906" spans="1:8" x14ac:dyDescent="0.3">
      <c r="A3906" s="74" t="str">
        <f t="shared" si="60"/>
        <v>浙江46243</v>
      </c>
      <c r="B3906" s="75" t="s">
        <v>26</v>
      </c>
      <c r="C3906" s="45">
        <v>46243</v>
      </c>
      <c r="D3906" s="76">
        <v>327.89247311828001</v>
      </c>
      <c r="E3906" s="77">
        <v>125</v>
      </c>
      <c r="F3906" s="78">
        <v>12.228004378525799</v>
      </c>
      <c r="G3906" s="78">
        <v>12.228004378525799</v>
      </c>
      <c r="H3906" s="81">
        <v>12.198810301123601</v>
      </c>
    </row>
    <row r="3907" spans="1:8" x14ac:dyDescent="0.3">
      <c r="A3907" s="74" t="str">
        <f t="shared" ref="A3907:A3970" si="61">B3907&amp;C3907</f>
        <v>浙江46244</v>
      </c>
      <c r="B3907" s="75" t="s">
        <v>26</v>
      </c>
      <c r="C3907" s="45">
        <v>46244</v>
      </c>
      <c r="D3907" s="76">
        <v>327.89247311828001</v>
      </c>
      <c r="E3907" s="77">
        <v>125</v>
      </c>
      <c r="F3907" s="78">
        <v>12.228004378525799</v>
      </c>
      <c r="G3907" s="78">
        <v>12.228004378525799</v>
      </c>
      <c r="H3907" s="81">
        <v>12.198810301123601</v>
      </c>
    </row>
    <row r="3908" spans="1:8" x14ac:dyDescent="0.3">
      <c r="A3908" s="74" t="str">
        <f t="shared" si="61"/>
        <v>浙江46245</v>
      </c>
      <c r="B3908" s="75" t="s">
        <v>26</v>
      </c>
      <c r="C3908" s="45">
        <v>46245</v>
      </c>
      <c r="D3908" s="76">
        <v>327.89247311828001</v>
      </c>
      <c r="E3908" s="77">
        <v>125</v>
      </c>
      <c r="F3908" s="78">
        <v>12.228004378525799</v>
      </c>
      <c r="G3908" s="78">
        <v>12.228004378525799</v>
      </c>
      <c r="H3908" s="81">
        <v>12.198810301123601</v>
      </c>
    </row>
    <row r="3909" spans="1:8" x14ac:dyDescent="0.3">
      <c r="A3909" s="74" t="str">
        <f t="shared" si="61"/>
        <v>浙江46246</v>
      </c>
      <c r="B3909" s="75" t="s">
        <v>26</v>
      </c>
      <c r="C3909" s="45">
        <v>46246</v>
      </c>
      <c r="D3909" s="76">
        <v>327.89247311828001</v>
      </c>
      <c r="E3909" s="77">
        <v>125</v>
      </c>
      <c r="F3909" s="78">
        <v>12.228004378525799</v>
      </c>
      <c r="G3909" s="78">
        <v>12.228004378525799</v>
      </c>
      <c r="H3909" s="81">
        <v>12.198810301123601</v>
      </c>
    </row>
    <row r="3910" spans="1:8" x14ac:dyDescent="0.3">
      <c r="A3910" s="74" t="str">
        <f t="shared" si="61"/>
        <v>浙江46247</v>
      </c>
      <c r="B3910" s="75" t="s">
        <v>26</v>
      </c>
      <c r="C3910" s="45">
        <v>46247</v>
      </c>
      <c r="D3910" s="76">
        <v>327.89247311828001</v>
      </c>
      <c r="E3910" s="77">
        <v>125</v>
      </c>
      <c r="F3910" s="78">
        <v>12.228004378525799</v>
      </c>
      <c r="G3910" s="78">
        <v>12.228004378525799</v>
      </c>
      <c r="H3910" s="81">
        <v>12.198810301123601</v>
      </c>
    </row>
    <row r="3911" spans="1:8" x14ac:dyDescent="0.3">
      <c r="A3911" s="74" t="str">
        <f t="shared" si="61"/>
        <v>浙江46248</v>
      </c>
      <c r="B3911" s="75" t="s">
        <v>26</v>
      </c>
      <c r="C3911" s="45">
        <v>46248</v>
      </c>
      <c r="D3911" s="76">
        <v>327.89247311828001</v>
      </c>
      <c r="E3911" s="77">
        <v>125</v>
      </c>
      <c r="F3911" s="78">
        <v>12.228004378525799</v>
      </c>
      <c r="G3911" s="78">
        <v>12.228004378525799</v>
      </c>
      <c r="H3911" s="81">
        <v>12.198810301123601</v>
      </c>
    </row>
    <row r="3912" spans="1:8" x14ac:dyDescent="0.3">
      <c r="A3912" s="74" t="str">
        <f t="shared" si="61"/>
        <v>浙江46249</v>
      </c>
      <c r="B3912" s="75" t="s">
        <v>26</v>
      </c>
      <c r="C3912" s="45">
        <v>46249</v>
      </c>
      <c r="D3912" s="76">
        <v>327.89247311828001</v>
      </c>
      <c r="E3912" s="77">
        <v>125</v>
      </c>
      <c r="F3912" s="78">
        <v>12.228004378525799</v>
      </c>
      <c r="G3912" s="78">
        <v>12.228004378525799</v>
      </c>
      <c r="H3912" s="81">
        <v>12.198810301123601</v>
      </c>
    </row>
    <row r="3913" spans="1:8" x14ac:dyDescent="0.3">
      <c r="A3913" s="74" t="str">
        <f t="shared" si="61"/>
        <v>浙江46250</v>
      </c>
      <c r="B3913" s="75" t="s">
        <v>26</v>
      </c>
      <c r="C3913" s="45">
        <v>46250</v>
      </c>
      <c r="D3913" s="76">
        <v>327.89247311828001</v>
      </c>
      <c r="E3913" s="77">
        <v>125</v>
      </c>
      <c r="F3913" s="78">
        <v>12.228004378525799</v>
      </c>
      <c r="G3913" s="78">
        <v>12.228004378525799</v>
      </c>
      <c r="H3913" s="81">
        <v>12.198810301123601</v>
      </c>
    </row>
    <row r="3914" spans="1:8" x14ac:dyDescent="0.3">
      <c r="A3914" s="74" t="str">
        <f t="shared" si="61"/>
        <v>浙江46251</v>
      </c>
      <c r="B3914" s="75" t="s">
        <v>26</v>
      </c>
      <c r="C3914" s="45">
        <v>46251</v>
      </c>
      <c r="D3914" s="76">
        <v>327.89247311828001</v>
      </c>
      <c r="E3914" s="77">
        <v>125</v>
      </c>
      <c r="F3914" s="78">
        <v>12.228004378525799</v>
      </c>
      <c r="G3914" s="78">
        <v>12.228004378525799</v>
      </c>
      <c r="H3914" s="81">
        <v>12.198810301123601</v>
      </c>
    </row>
    <row r="3915" spans="1:8" x14ac:dyDescent="0.3">
      <c r="A3915" s="74" t="str">
        <f t="shared" si="61"/>
        <v>浙江46252</v>
      </c>
      <c r="B3915" s="75" t="s">
        <v>26</v>
      </c>
      <c r="C3915" s="45">
        <v>46252</v>
      </c>
      <c r="D3915" s="76">
        <v>327.89247311828001</v>
      </c>
      <c r="E3915" s="77">
        <v>125</v>
      </c>
      <c r="F3915" s="78">
        <v>12.228004378525799</v>
      </c>
      <c r="G3915" s="78">
        <v>12.228004378525799</v>
      </c>
      <c r="H3915" s="81">
        <v>12.198810301123601</v>
      </c>
    </row>
    <row r="3916" spans="1:8" x14ac:dyDescent="0.3">
      <c r="A3916" s="74" t="str">
        <f t="shared" si="61"/>
        <v>浙江46253</v>
      </c>
      <c r="B3916" s="75" t="s">
        <v>26</v>
      </c>
      <c r="C3916" s="45">
        <v>46253</v>
      </c>
      <c r="D3916" s="76">
        <v>327.89247311828001</v>
      </c>
      <c r="E3916" s="77">
        <v>125</v>
      </c>
      <c r="F3916" s="78">
        <v>12.228004378525799</v>
      </c>
      <c r="G3916" s="78">
        <v>12.228004378525799</v>
      </c>
      <c r="H3916" s="81">
        <v>12.198810301123601</v>
      </c>
    </row>
    <row r="3917" spans="1:8" x14ac:dyDescent="0.3">
      <c r="A3917" s="74" t="str">
        <f t="shared" si="61"/>
        <v>浙江46254</v>
      </c>
      <c r="B3917" s="75" t="s">
        <v>26</v>
      </c>
      <c r="C3917" s="45">
        <v>46254</v>
      </c>
      <c r="D3917" s="76">
        <v>327.89247311828001</v>
      </c>
      <c r="E3917" s="77">
        <v>125</v>
      </c>
      <c r="F3917" s="78">
        <v>12.228004378525799</v>
      </c>
      <c r="G3917" s="78">
        <v>12.228004378525799</v>
      </c>
      <c r="H3917" s="81">
        <v>12.198810301123601</v>
      </c>
    </row>
    <row r="3918" spans="1:8" x14ac:dyDescent="0.3">
      <c r="A3918" s="74" t="str">
        <f t="shared" si="61"/>
        <v>浙江46255</v>
      </c>
      <c r="B3918" s="75" t="s">
        <v>26</v>
      </c>
      <c r="C3918" s="45">
        <v>46255</v>
      </c>
      <c r="D3918" s="76">
        <v>327.89247311828001</v>
      </c>
      <c r="E3918" s="77">
        <v>125</v>
      </c>
      <c r="F3918" s="78">
        <v>12.228004378525799</v>
      </c>
      <c r="G3918" s="78">
        <v>12.228004378525799</v>
      </c>
      <c r="H3918" s="81">
        <v>12.198810301123601</v>
      </c>
    </row>
    <row r="3919" spans="1:8" x14ac:dyDescent="0.3">
      <c r="A3919" s="74" t="str">
        <f t="shared" si="61"/>
        <v>浙江46256</v>
      </c>
      <c r="B3919" s="75" t="s">
        <v>26</v>
      </c>
      <c r="C3919" s="45">
        <v>46256</v>
      </c>
      <c r="D3919" s="76">
        <v>327.89247311828001</v>
      </c>
      <c r="E3919" s="77">
        <v>125</v>
      </c>
      <c r="F3919" s="78">
        <v>12.228004378525799</v>
      </c>
      <c r="G3919" s="78">
        <v>12.228004378525799</v>
      </c>
      <c r="H3919" s="81">
        <v>12.198810301123601</v>
      </c>
    </row>
    <row r="3920" spans="1:8" x14ac:dyDescent="0.3">
      <c r="A3920" s="74" t="str">
        <f t="shared" si="61"/>
        <v>浙江46257</v>
      </c>
      <c r="B3920" s="75" t="s">
        <v>26</v>
      </c>
      <c r="C3920" s="45">
        <v>46257</v>
      </c>
      <c r="D3920" s="76">
        <v>327.89247311828001</v>
      </c>
      <c r="E3920" s="77">
        <v>125</v>
      </c>
      <c r="F3920" s="78">
        <v>12.228004378525799</v>
      </c>
      <c r="G3920" s="78">
        <v>12.228004378525799</v>
      </c>
      <c r="H3920" s="81">
        <v>12.198810301123601</v>
      </c>
    </row>
    <row r="3921" spans="1:8" x14ac:dyDescent="0.3">
      <c r="A3921" s="74" t="str">
        <f t="shared" si="61"/>
        <v>浙江46258</v>
      </c>
      <c r="B3921" s="75" t="s">
        <v>26</v>
      </c>
      <c r="C3921" s="45">
        <v>46258</v>
      </c>
      <c r="D3921" s="76">
        <v>327.89247311828001</v>
      </c>
      <c r="E3921" s="77">
        <v>125</v>
      </c>
      <c r="F3921" s="78">
        <v>12.228004378525799</v>
      </c>
      <c r="G3921" s="78">
        <v>12.228004378525799</v>
      </c>
      <c r="H3921" s="81">
        <v>12.198810301123601</v>
      </c>
    </row>
    <row r="3922" spans="1:8" x14ac:dyDescent="0.3">
      <c r="A3922" s="74" t="str">
        <f t="shared" si="61"/>
        <v>浙江46259</v>
      </c>
      <c r="B3922" s="75" t="s">
        <v>26</v>
      </c>
      <c r="C3922" s="45">
        <v>46259</v>
      </c>
      <c r="D3922" s="76">
        <v>327.89247311828001</v>
      </c>
      <c r="E3922" s="77">
        <v>125</v>
      </c>
      <c r="F3922" s="78">
        <v>12.228004378525799</v>
      </c>
      <c r="G3922" s="78">
        <v>12.228004378525799</v>
      </c>
      <c r="H3922" s="81">
        <v>12.198810301123601</v>
      </c>
    </row>
    <row r="3923" spans="1:8" x14ac:dyDescent="0.3">
      <c r="A3923" s="74" t="str">
        <f t="shared" si="61"/>
        <v>浙江46260</v>
      </c>
      <c r="B3923" s="75" t="s">
        <v>26</v>
      </c>
      <c r="C3923" s="45">
        <v>46260</v>
      </c>
      <c r="D3923" s="76">
        <v>327.89247311828001</v>
      </c>
      <c r="E3923" s="77">
        <v>125</v>
      </c>
      <c r="F3923" s="78">
        <v>12.228004378525799</v>
      </c>
      <c r="G3923" s="78">
        <v>12.228004378525799</v>
      </c>
      <c r="H3923" s="81">
        <v>12.198810301123601</v>
      </c>
    </row>
    <row r="3924" spans="1:8" x14ac:dyDescent="0.3">
      <c r="A3924" s="74" t="str">
        <f t="shared" si="61"/>
        <v>浙江46261</v>
      </c>
      <c r="B3924" s="75" t="s">
        <v>26</v>
      </c>
      <c r="C3924" s="45">
        <v>46261</v>
      </c>
      <c r="D3924" s="76">
        <v>327.89247311828001</v>
      </c>
      <c r="E3924" s="77">
        <v>125</v>
      </c>
      <c r="F3924" s="78">
        <v>12.228004378525799</v>
      </c>
      <c r="G3924" s="78">
        <v>12.228004378525799</v>
      </c>
      <c r="H3924" s="81">
        <v>12.198810301123601</v>
      </c>
    </row>
    <row r="3925" spans="1:8" x14ac:dyDescent="0.3">
      <c r="A3925" s="74" t="str">
        <f t="shared" si="61"/>
        <v>浙江46262</v>
      </c>
      <c r="B3925" s="75" t="s">
        <v>26</v>
      </c>
      <c r="C3925" s="45">
        <v>46262</v>
      </c>
      <c r="D3925" s="76">
        <v>327.89247311828001</v>
      </c>
      <c r="E3925" s="77">
        <v>125</v>
      </c>
      <c r="F3925" s="78">
        <v>12.228004378525799</v>
      </c>
      <c r="G3925" s="78">
        <v>12.228004378525799</v>
      </c>
      <c r="H3925" s="81">
        <v>12.198810301123601</v>
      </c>
    </row>
    <row r="3926" spans="1:8" x14ac:dyDescent="0.3">
      <c r="A3926" s="74" t="str">
        <f t="shared" si="61"/>
        <v>浙江46263</v>
      </c>
      <c r="B3926" s="75" t="s">
        <v>26</v>
      </c>
      <c r="C3926" s="45">
        <v>46263</v>
      </c>
      <c r="D3926" s="76">
        <v>327.89247311828001</v>
      </c>
      <c r="E3926" s="77">
        <v>125</v>
      </c>
      <c r="F3926" s="78">
        <v>12.228004378525799</v>
      </c>
      <c r="G3926" s="78">
        <v>12.228004378525799</v>
      </c>
      <c r="H3926" s="81">
        <v>12.198810301123601</v>
      </c>
    </row>
    <row r="3927" spans="1:8" x14ac:dyDescent="0.3">
      <c r="A3927" s="74" t="str">
        <f t="shared" si="61"/>
        <v>浙江46264</v>
      </c>
      <c r="B3927" s="75" t="s">
        <v>26</v>
      </c>
      <c r="C3927" s="45">
        <v>46264</v>
      </c>
      <c r="D3927" s="76">
        <v>327.89247311828001</v>
      </c>
      <c r="E3927" s="77">
        <v>125</v>
      </c>
      <c r="F3927" s="78">
        <v>12.228004378525799</v>
      </c>
      <c r="G3927" s="78">
        <v>12.228004378525799</v>
      </c>
      <c r="H3927" s="81">
        <v>12.198810301123601</v>
      </c>
    </row>
    <row r="3928" spans="1:8" x14ac:dyDescent="0.3">
      <c r="A3928" s="74" t="str">
        <f t="shared" si="61"/>
        <v>浙江46265</v>
      </c>
      <c r="B3928" s="75" t="s">
        <v>26</v>
      </c>
      <c r="C3928" s="45">
        <v>46265</v>
      </c>
      <c r="D3928" s="76">
        <v>327.89247311828001</v>
      </c>
      <c r="E3928" s="77">
        <v>125</v>
      </c>
      <c r="F3928" s="78">
        <v>12.228004378525799</v>
      </c>
      <c r="G3928" s="78">
        <v>12.228004378525799</v>
      </c>
      <c r="H3928" s="81">
        <v>12.198810301123601</v>
      </c>
    </row>
    <row r="3929" spans="1:8" x14ac:dyDescent="0.3">
      <c r="A3929" s="74" t="str">
        <f t="shared" si="61"/>
        <v>浙江46266</v>
      </c>
      <c r="B3929" s="75" t="s">
        <v>26</v>
      </c>
      <c r="C3929" s="45">
        <v>46266</v>
      </c>
      <c r="D3929" s="76">
        <v>0</v>
      </c>
      <c r="E3929" s="77">
        <v>0</v>
      </c>
      <c r="F3929" s="78">
        <v>12.5183940664696</v>
      </c>
      <c r="G3929" s="78">
        <v>12.5183940664696</v>
      </c>
      <c r="H3929" s="81">
        <v>12.7408670711486</v>
      </c>
    </row>
    <row r="3930" spans="1:8" x14ac:dyDescent="0.3">
      <c r="A3930" s="74" t="str">
        <f t="shared" si="61"/>
        <v>浙江46267</v>
      </c>
      <c r="B3930" s="75" t="s">
        <v>26</v>
      </c>
      <c r="C3930" s="45">
        <v>46267</v>
      </c>
      <c r="D3930" s="76">
        <v>0</v>
      </c>
      <c r="E3930" s="77">
        <v>0</v>
      </c>
      <c r="F3930" s="78">
        <v>12.5183940664696</v>
      </c>
      <c r="G3930" s="78">
        <v>12.5183940664696</v>
      </c>
      <c r="H3930" s="81">
        <v>12.7408670711486</v>
      </c>
    </row>
    <row r="3931" spans="1:8" x14ac:dyDescent="0.3">
      <c r="A3931" s="74" t="str">
        <f t="shared" si="61"/>
        <v>浙江46268</v>
      </c>
      <c r="B3931" s="75" t="s">
        <v>26</v>
      </c>
      <c r="C3931" s="45">
        <v>46268</v>
      </c>
      <c r="D3931" s="76">
        <v>0</v>
      </c>
      <c r="E3931" s="77">
        <v>0</v>
      </c>
      <c r="F3931" s="78">
        <v>12.5183940664696</v>
      </c>
      <c r="G3931" s="78">
        <v>12.5183940664696</v>
      </c>
      <c r="H3931" s="81">
        <v>12.7408670711486</v>
      </c>
    </row>
    <row r="3932" spans="1:8" x14ac:dyDescent="0.3">
      <c r="A3932" s="74" t="str">
        <f t="shared" si="61"/>
        <v>浙江46269</v>
      </c>
      <c r="B3932" s="75" t="s">
        <v>26</v>
      </c>
      <c r="C3932" s="45">
        <v>46269</v>
      </c>
      <c r="D3932" s="76">
        <v>0</v>
      </c>
      <c r="E3932" s="77">
        <v>0</v>
      </c>
      <c r="F3932" s="78">
        <v>12.5183940664696</v>
      </c>
      <c r="G3932" s="78">
        <v>12.5183940664696</v>
      </c>
      <c r="H3932" s="81">
        <v>12.7408670711486</v>
      </c>
    </row>
    <row r="3933" spans="1:8" x14ac:dyDescent="0.3">
      <c r="A3933" s="74" t="str">
        <f t="shared" si="61"/>
        <v>浙江46270</v>
      </c>
      <c r="B3933" s="75" t="s">
        <v>26</v>
      </c>
      <c r="C3933" s="45">
        <v>46270</v>
      </c>
      <c r="D3933" s="76">
        <v>0</v>
      </c>
      <c r="E3933" s="77">
        <v>0</v>
      </c>
      <c r="F3933" s="78">
        <v>12.5183940664696</v>
      </c>
      <c r="G3933" s="78">
        <v>12.5183940664696</v>
      </c>
      <c r="H3933" s="81">
        <v>12.7408670711486</v>
      </c>
    </row>
    <row r="3934" spans="1:8" x14ac:dyDescent="0.3">
      <c r="A3934" s="74" t="str">
        <f t="shared" si="61"/>
        <v>浙江46271</v>
      </c>
      <c r="B3934" s="75" t="s">
        <v>26</v>
      </c>
      <c r="C3934" s="45">
        <v>46271</v>
      </c>
      <c r="D3934" s="76">
        <v>0</v>
      </c>
      <c r="E3934" s="77">
        <v>0</v>
      </c>
      <c r="F3934" s="78">
        <v>12.5183940664696</v>
      </c>
      <c r="G3934" s="78">
        <v>12.5183940664696</v>
      </c>
      <c r="H3934" s="81">
        <v>12.7408670711486</v>
      </c>
    </row>
    <row r="3935" spans="1:8" x14ac:dyDescent="0.3">
      <c r="A3935" s="74" t="str">
        <f t="shared" si="61"/>
        <v>浙江46272</v>
      </c>
      <c r="B3935" s="75" t="s">
        <v>26</v>
      </c>
      <c r="C3935" s="45">
        <v>46272</v>
      </c>
      <c r="D3935" s="76">
        <v>0</v>
      </c>
      <c r="E3935" s="77">
        <v>0</v>
      </c>
      <c r="F3935" s="78">
        <v>12.5183940664696</v>
      </c>
      <c r="G3935" s="78">
        <v>12.5183940664696</v>
      </c>
      <c r="H3935" s="81">
        <v>12.7408670711486</v>
      </c>
    </row>
    <row r="3936" spans="1:8" x14ac:dyDescent="0.3">
      <c r="A3936" s="74" t="str">
        <f t="shared" si="61"/>
        <v>浙江46273</v>
      </c>
      <c r="B3936" s="75" t="s">
        <v>26</v>
      </c>
      <c r="C3936" s="45">
        <v>46273</v>
      </c>
      <c r="D3936" s="76">
        <v>0</v>
      </c>
      <c r="E3936" s="77">
        <v>0</v>
      </c>
      <c r="F3936" s="78">
        <v>12.5183940664696</v>
      </c>
      <c r="G3936" s="78">
        <v>12.5183940664696</v>
      </c>
      <c r="H3936" s="81">
        <v>12.7408670711486</v>
      </c>
    </row>
    <row r="3937" spans="1:8" x14ac:dyDescent="0.3">
      <c r="A3937" s="74" t="str">
        <f t="shared" si="61"/>
        <v>浙江46274</v>
      </c>
      <c r="B3937" s="75" t="s">
        <v>26</v>
      </c>
      <c r="C3937" s="45">
        <v>46274</v>
      </c>
      <c r="D3937" s="76">
        <v>0</v>
      </c>
      <c r="E3937" s="77">
        <v>0</v>
      </c>
      <c r="F3937" s="78">
        <v>12.5183940664696</v>
      </c>
      <c r="G3937" s="78">
        <v>12.5183940664696</v>
      </c>
      <c r="H3937" s="81">
        <v>12.7408670711486</v>
      </c>
    </row>
    <row r="3938" spans="1:8" x14ac:dyDescent="0.3">
      <c r="A3938" s="74" t="str">
        <f t="shared" si="61"/>
        <v>浙江46275</v>
      </c>
      <c r="B3938" s="75" t="s">
        <v>26</v>
      </c>
      <c r="C3938" s="45">
        <v>46275</v>
      </c>
      <c r="D3938" s="76">
        <v>0</v>
      </c>
      <c r="E3938" s="77">
        <v>0</v>
      </c>
      <c r="F3938" s="78">
        <v>12.5183940664696</v>
      </c>
      <c r="G3938" s="78">
        <v>12.5183940664696</v>
      </c>
      <c r="H3938" s="81">
        <v>12.7408670711486</v>
      </c>
    </row>
    <row r="3939" spans="1:8" x14ac:dyDescent="0.3">
      <c r="A3939" s="74" t="str">
        <f t="shared" si="61"/>
        <v>浙江46276</v>
      </c>
      <c r="B3939" s="75" t="s">
        <v>26</v>
      </c>
      <c r="C3939" s="45">
        <v>46276</v>
      </c>
      <c r="D3939" s="76">
        <v>0</v>
      </c>
      <c r="E3939" s="77">
        <v>0</v>
      </c>
      <c r="F3939" s="78">
        <v>12.5183940664696</v>
      </c>
      <c r="G3939" s="78">
        <v>12.5183940664696</v>
      </c>
      <c r="H3939" s="81">
        <v>12.7408670711486</v>
      </c>
    </row>
    <row r="3940" spans="1:8" x14ac:dyDescent="0.3">
      <c r="A3940" s="74" t="str">
        <f t="shared" si="61"/>
        <v>浙江46277</v>
      </c>
      <c r="B3940" s="75" t="s">
        <v>26</v>
      </c>
      <c r="C3940" s="45">
        <v>46277</v>
      </c>
      <c r="D3940" s="76">
        <v>0</v>
      </c>
      <c r="E3940" s="77">
        <v>0</v>
      </c>
      <c r="F3940" s="78">
        <v>12.5183940664696</v>
      </c>
      <c r="G3940" s="78">
        <v>12.5183940664696</v>
      </c>
      <c r="H3940" s="81">
        <v>12.7408670711486</v>
      </c>
    </row>
    <row r="3941" spans="1:8" x14ac:dyDescent="0.3">
      <c r="A3941" s="74" t="str">
        <f t="shared" si="61"/>
        <v>浙江46278</v>
      </c>
      <c r="B3941" s="75" t="s">
        <v>26</v>
      </c>
      <c r="C3941" s="45">
        <v>46278</v>
      </c>
      <c r="D3941" s="76">
        <v>0</v>
      </c>
      <c r="E3941" s="77">
        <v>0</v>
      </c>
      <c r="F3941" s="78">
        <v>12.5183940664696</v>
      </c>
      <c r="G3941" s="78">
        <v>12.5183940664696</v>
      </c>
      <c r="H3941" s="81">
        <v>12.7408670711486</v>
      </c>
    </row>
    <row r="3942" spans="1:8" x14ac:dyDescent="0.3">
      <c r="A3942" s="74" t="str">
        <f t="shared" si="61"/>
        <v>浙江46279</v>
      </c>
      <c r="B3942" s="75" t="s">
        <v>26</v>
      </c>
      <c r="C3942" s="45">
        <v>46279</v>
      </c>
      <c r="D3942" s="76">
        <v>0</v>
      </c>
      <c r="E3942" s="77">
        <v>0</v>
      </c>
      <c r="F3942" s="78">
        <v>12.5183940664696</v>
      </c>
      <c r="G3942" s="78">
        <v>12.5183940664696</v>
      </c>
      <c r="H3942" s="81">
        <v>12.7408670711486</v>
      </c>
    </row>
    <row r="3943" spans="1:8" x14ac:dyDescent="0.3">
      <c r="A3943" s="74" t="str">
        <f t="shared" si="61"/>
        <v>浙江46280</v>
      </c>
      <c r="B3943" s="75" t="s">
        <v>26</v>
      </c>
      <c r="C3943" s="45">
        <v>46280</v>
      </c>
      <c r="D3943" s="76">
        <v>0</v>
      </c>
      <c r="E3943" s="77">
        <v>0</v>
      </c>
      <c r="F3943" s="78">
        <v>12.5183940664696</v>
      </c>
      <c r="G3943" s="78">
        <v>12.5183940664696</v>
      </c>
      <c r="H3943" s="81">
        <v>12.7408670711486</v>
      </c>
    </row>
    <row r="3944" spans="1:8" x14ac:dyDescent="0.3">
      <c r="A3944" s="74" t="str">
        <f t="shared" si="61"/>
        <v>浙江46281</v>
      </c>
      <c r="B3944" s="75" t="s">
        <v>26</v>
      </c>
      <c r="C3944" s="45">
        <v>46281</v>
      </c>
      <c r="D3944" s="76">
        <v>0</v>
      </c>
      <c r="E3944" s="77">
        <v>0</v>
      </c>
      <c r="F3944" s="78">
        <v>12.5183940664696</v>
      </c>
      <c r="G3944" s="78">
        <v>12.5183940664696</v>
      </c>
      <c r="H3944" s="81">
        <v>12.7408670711486</v>
      </c>
    </row>
    <row r="3945" spans="1:8" x14ac:dyDescent="0.3">
      <c r="A3945" s="74" t="str">
        <f t="shared" si="61"/>
        <v>浙江46282</v>
      </c>
      <c r="B3945" s="75" t="s">
        <v>26</v>
      </c>
      <c r="C3945" s="45">
        <v>46282</v>
      </c>
      <c r="D3945" s="76">
        <v>0</v>
      </c>
      <c r="E3945" s="77">
        <v>0</v>
      </c>
      <c r="F3945" s="78">
        <v>12.5183940664696</v>
      </c>
      <c r="G3945" s="78">
        <v>12.5183940664696</v>
      </c>
      <c r="H3945" s="81">
        <v>12.7408670711486</v>
      </c>
    </row>
    <row r="3946" spans="1:8" x14ac:dyDescent="0.3">
      <c r="A3946" s="74" t="str">
        <f t="shared" si="61"/>
        <v>浙江46283</v>
      </c>
      <c r="B3946" s="75" t="s">
        <v>26</v>
      </c>
      <c r="C3946" s="45">
        <v>46283</v>
      </c>
      <c r="D3946" s="76">
        <v>0</v>
      </c>
      <c r="E3946" s="77">
        <v>0</v>
      </c>
      <c r="F3946" s="78">
        <v>12.5183940664696</v>
      </c>
      <c r="G3946" s="78">
        <v>12.5183940664696</v>
      </c>
      <c r="H3946" s="81">
        <v>12.7408670711486</v>
      </c>
    </row>
    <row r="3947" spans="1:8" x14ac:dyDescent="0.3">
      <c r="A3947" s="74" t="str">
        <f t="shared" si="61"/>
        <v>浙江46284</v>
      </c>
      <c r="B3947" s="75" t="s">
        <v>26</v>
      </c>
      <c r="C3947" s="45">
        <v>46284</v>
      </c>
      <c r="D3947" s="76">
        <v>0</v>
      </c>
      <c r="E3947" s="77">
        <v>0</v>
      </c>
      <c r="F3947" s="78">
        <v>12.5183940664696</v>
      </c>
      <c r="G3947" s="78">
        <v>12.5183940664696</v>
      </c>
      <c r="H3947" s="81">
        <v>12.7408670711486</v>
      </c>
    </row>
    <row r="3948" spans="1:8" x14ac:dyDescent="0.3">
      <c r="A3948" s="74" t="str">
        <f t="shared" si="61"/>
        <v>浙江46285</v>
      </c>
      <c r="B3948" s="75" t="s">
        <v>26</v>
      </c>
      <c r="C3948" s="45">
        <v>46285</v>
      </c>
      <c r="D3948" s="76">
        <v>0</v>
      </c>
      <c r="E3948" s="77">
        <v>0</v>
      </c>
      <c r="F3948" s="78">
        <v>12.5183940664696</v>
      </c>
      <c r="G3948" s="78">
        <v>12.5183940664696</v>
      </c>
      <c r="H3948" s="81">
        <v>12.7408670711486</v>
      </c>
    </row>
    <row r="3949" spans="1:8" x14ac:dyDescent="0.3">
      <c r="A3949" s="74" t="str">
        <f t="shared" si="61"/>
        <v>浙江46286</v>
      </c>
      <c r="B3949" s="75" t="s">
        <v>26</v>
      </c>
      <c r="C3949" s="45">
        <v>46286</v>
      </c>
      <c r="D3949" s="76">
        <v>0</v>
      </c>
      <c r="E3949" s="77">
        <v>0</v>
      </c>
      <c r="F3949" s="78">
        <v>12.5183940664696</v>
      </c>
      <c r="G3949" s="78">
        <v>12.5183940664696</v>
      </c>
      <c r="H3949" s="81">
        <v>12.7408670711486</v>
      </c>
    </row>
    <row r="3950" spans="1:8" x14ac:dyDescent="0.3">
      <c r="A3950" s="74" t="str">
        <f t="shared" si="61"/>
        <v>浙江46287</v>
      </c>
      <c r="B3950" s="75" t="s">
        <v>26</v>
      </c>
      <c r="C3950" s="45">
        <v>46287</v>
      </c>
      <c r="D3950" s="76">
        <v>0</v>
      </c>
      <c r="E3950" s="77">
        <v>0</v>
      </c>
      <c r="F3950" s="78">
        <v>12.5183940664696</v>
      </c>
      <c r="G3950" s="78">
        <v>12.5183940664696</v>
      </c>
      <c r="H3950" s="81">
        <v>12.7408670711486</v>
      </c>
    </row>
    <row r="3951" spans="1:8" x14ac:dyDescent="0.3">
      <c r="A3951" s="74" t="str">
        <f t="shared" si="61"/>
        <v>浙江46288</v>
      </c>
      <c r="B3951" s="75" t="s">
        <v>26</v>
      </c>
      <c r="C3951" s="45">
        <v>46288</v>
      </c>
      <c r="D3951" s="76">
        <v>0</v>
      </c>
      <c r="E3951" s="77">
        <v>0</v>
      </c>
      <c r="F3951" s="78">
        <v>12.5183940664696</v>
      </c>
      <c r="G3951" s="78">
        <v>12.5183940664696</v>
      </c>
      <c r="H3951" s="81">
        <v>12.7408670711486</v>
      </c>
    </row>
    <row r="3952" spans="1:8" x14ac:dyDescent="0.3">
      <c r="A3952" s="74" t="str">
        <f t="shared" si="61"/>
        <v>浙江46289</v>
      </c>
      <c r="B3952" s="75" t="s">
        <v>26</v>
      </c>
      <c r="C3952" s="45">
        <v>46289</v>
      </c>
      <c r="D3952" s="76">
        <v>0</v>
      </c>
      <c r="E3952" s="77">
        <v>0</v>
      </c>
      <c r="F3952" s="78">
        <v>12.5183940664696</v>
      </c>
      <c r="G3952" s="78">
        <v>12.5183940664696</v>
      </c>
      <c r="H3952" s="81">
        <v>12.7408670711486</v>
      </c>
    </row>
    <row r="3953" spans="1:8" x14ac:dyDescent="0.3">
      <c r="A3953" s="74" t="str">
        <f t="shared" si="61"/>
        <v>浙江46290</v>
      </c>
      <c r="B3953" s="75" t="s">
        <v>26</v>
      </c>
      <c r="C3953" s="45">
        <v>46290</v>
      </c>
      <c r="D3953" s="76">
        <v>0</v>
      </c>
      <c r="E3953" s="77">
        <v>0</v>
      </c>
      <c r="F3953" s="78">
        <v>12.5183940664696</v>
      </c>
      <c r="G3953" s="78">
        <v>12.5183940664696</v>
      </c>
      <c r="H3953" s="81">
        <v>12.7408670711486</v>
      </c>
    </row>
    <row r="3954" spans="1:8" x14ac:dyDescent="0.3">
      <c r="A3954" s="74" t="str">
        <f t="shared" si="61"/>
        <v>浙江46291</v>
      </c>
      <c r="B3954" s="75" t="s">
        <v>26</v>
      </c>
      <c r="C3954" s="45">
        <v>46291</v>
      </c>
      <c r="D3954" s="76">
        <v>0</v>
      </c>
      <c r="E3954" s="77">
        <v>0</v>
      </c>
      <c r="F3954" s="78">
        <v>12.5183940664696</v>
      </c>
      <c r="G3954" s="78">
        <v>12.5183940664696</v>
      </c>
      <c r="H3954" s="81">
        <v>12.7408670711486</v>
      </c>
    </row>
    <row r="3955" spans="1:8" x14ac:dyDescent="0.3">
      <c r="A3955" s="74" t="str">
        <f t="shared" si="61"/>
        <v>浙江46292</v>
      </c>
      <c r="B3955" s="75" t="s">
        <v>26</v>
      </c>
      <c r="C3955" s="45">
        <v>46292</v>
      </c>
      <c r="D3955" s="76">
        <v>0</v>
      </c>
      <c r="E3955" s="77">
        <v>0</v>
      </c>
      <c r="F3955" s="78">
        <v>12.5183940664696</v>
      </c>
      <c r="G3955" s="78">
        <v>12.5183940664696</v>
      </c>
      <c r="H3955" s="81">
        <v>12.7408670711486</v>
      </c>
    </row>
    <row r="3956" spans="1:8" x14ac:dyDescent="0.3">
      <c r="A3956" s="74" t="str">
        <f t="shared" si="61"/>
        <v>浙江46293</v>
      </c>
      <c r="B3956" s="75" t="s">
        <v>26</v>
      </c>
      <c r="C3956" s="45">
        <v>46293</v>
      </c>
      <c r="D3956" s="76">
        <v>0</v>
      </c>
      <c r="E3956" s="77">
        <v>0</v>
      </c>
      <c r="F3956" s="78">
        <v>12.5183940664696</v>
      </c>
      <c r="G3956" s="78">
        <v>12.5183940664696</v>
      </c>
      <c r="H3956" s="81">
        <v>12.7408670711486</v>
      </c>
    </row>
    <row r="3957" spans="1:8" x14ac:dyDescent="0.3">
      <c r="A3957" s="74" t="str">
        <f t="shared" si="61"/>
        <v>浙江46294</v>
      </c>
      <c r="B3957" s="75" t="s">
        <v>26</v>
      </c>
      <c r="C3957" s="45">
        <v>46294</v>
      </c>
      <c r="D3957" s="76">
        <v>0</v>
      </c>
      <c r="E3957" s="77">
        <v>0</v>
      </c>
      <c r="F3957" s="78">
        <v>12.5183940664696</v>
      </c>
      <c r="G3957" s="78">
        <v>12.5183940664696</v>
      </c>
      <c r="H3957" s="81">
        <v>12.7408670711486</v>
      </c>
    </row>
    <row r="3958" spans="1:8" x14ac:dyDescent="0.3">
      <c r="A3958" s="74" t="str">
        <f t="shared" si="61"/>
        <v>浙江46295</v>
      </c>
      <c r="B3958" s="75" t="s">
        <v>26</v>
      </c>
      <c r="C3958" s="45">
        <v>46295</v>
      </c>
      <c r="D3958" s="76">
        <v>0</v>
      </c>
      <c r="E3958" s="77">
        <v>0</v>
      </c>
      <c r="F3958" s="78">
        <v>12.5183940664696</v>
      </c>
      <c r="G3958" s="78">
        <v>12.5183940664696</v>
      </c>
      <c r="H3958" s="81">
        <v>12.7408670711486</v>
      </c>
    </row>
    <row r="3959" spans="1:8" x14ac:dyDescent="0.3">
      <c r="A3959" s="74" t="str">
        <f t="shared" si="61"/>
        <v>浙江46296</v>
      </c>
      <c r="B3959" s="75" t="s">
        <v>26</v>
      </c>
      <c r="C3959" s="45">
        <v>46296</v>
      </c>
      <c r="D3959" s="76">
        <v>0</v>
      </c>
      <c r="E3959" s="77">
        <v>0</v>
      </c>
      <c r="F3959" s="78">
        <v>12.732554648673</v>
      </c>
      <c r="G3959" s="78">
        <v>12.732554648673</v>
      </c>
      <c r="H3959" s="81">
        <v>12.8168563379745</v>
      </c>
    </row>
    <row r="3960" spans="1:8" x14ac:dyDescent="0.3">
      <c r="A3960" s="74" t="str">
        <f t="shared" si="61"/>
        <v>浙江46297</v>
      </c>
      <c r="B3960" s="75" t="s">
        <v>26</v>
      </c>
      <c r="C3960" s="45">
        <v>46297</v>
      </c>
      <c r="D3960" s="76">
        <v>0</v>
      </c>
      <c r="E3960" s="77">
        <v>0</v>
      </c>
      <c r="F3960" s="78">
        <v>12.732554648673</v>
      </c>
      <c r="G3960" s="78">
        <v>12.732554648673</v>
      </c>
      <c r="H3960" s="81">
        <v>12.8168563379745</v>
      </c>
    </row>
    <row r="3961" spans="1:8" x14ac:dyDescent="0.3">
      <c r="A3961" s="74" t="str">
        <f t="shared" si="61"/>
        <v>浙江46298</v>
      </c>
      <c r="B3961" s="75" t="s">
        <v>26</v>
      </c>
      <c r="C3961" s="45">
        <v>46298</v>
      </c>
      <c r="D3961" s="76">
        <v>0</v>
      </c>
      <c r="E3961" s="77">
        <v>0</v>
      </c>
      <c r="F3961" s="78">
        <v>12.732554648673</v>
      </c>
      <c r="G3961" s="78">
        <v>12.732554648673</v>
      </c>
      <c r="H3961" s="81">
        <v>12.8168563379745</v>
      </c>
    </row>
    <row r="3962" spans="1:8" x14ac:dyDescent="0.3">
      <c r="A3962" s="74" t="str">
        <f t="shared" si="61"/>
        <v>浙江46299</v>
      </c>
      <c r="B3962" s="75" t="s">
        <v>26</v>
      </c>
      <c r="C3962" s="45">
        <v>46299</v>
      </c>
      <c r="D3962" s="76">
        <v>0</v>
      </c>
      <c r="E3962" s="77">
        <v>0</v>
      </c>
      <c r="F3962" s="78">
        <v>12.732554648673</v>
      </c>
      <c r="G3962" s="78">
        <v>12.732554648673</v>
      </c>
      <c r="H3962" s="81">
        <v>12.8168563379745</v>
      </c>
    </row>
    <row r="3963" spans="1:8" x14ac:dyDescent="0.3">
      <c r="A3963" s="74" t="str">
        <f t="shared" si="61"/>
        <v>浙江46300</v>
      </c>
      <c r="B3963" s="75" t="s">
        <v>26</v>
      </c>
      <c r="C3963" s="45">
        <v>46300</v>
      </c>
      <c r="D3963" s="76">
        <v>0</v>
      </c>
      <c r="E3963" s="77">
        <v>0</v>
      </c>
      <c r="F3963" s="78">
        <v>12.732554648673</v>
      </c>
      <c r="G3963" s="78">
        <v>12.732554648673</v>
      </c>
      <c r="H3963" s="81">
        <v>12.8168563379745</v>
      </c>
    </row>
    <row r="3964" spans="1:8" x14ac:dyDescent="0.3">
      <c r="A3964" s="74" t="str">
        <f t="shared" si="61"/>
        <v>浙江46301</v>
      </c>
      <c r="B3964" s="75" t="s">
        <v>26</v>
      </c>
      <c r="C3964" s="45">
        <v>46301</v>
      </c>
      <c r="D3964" s="76">
        <v>0</v>
      </c>
      <c r="E3964" s="77">
        <v>0</v>
      </c>
      <c r="F3964" s="78">
        <v>12.732554648673</v>
      </c>
      <c r="G3964" s="78">
        <v>12.732554648673</v>
      </c>
      <c r="H3964" s="81">
        <v>12.8168563379745</v>
      </c>
    </row>
    <row r="3965" spans="1:8" x14ac:dyDescent="0.3">
      <c r="A3965" s="74" t="str">
        <f t="shared" si="61"/>
        <v>浙江46302</v>
      </c>
      <c r="B3965" s="75" t="s">
        <v>26</v>
      </c>
      <c r="C3965" s="45">
        <v>46302</v>
      </c>
      <c r="D3965" s="76">
        <v>0</v>
      </c>
      <c r="E3965" s="77">
        <v>0</v>
      </c>
      <c r="F3965" s="78">
        <v>12.732554648673</v>
      </c>
      <c r="G3965" s="78">
        <v>12.732554648673</v>
      </c>
      <c r="H3965" s="81">
        <v>12.8168563379745</v>
      </c>
    </row>
    <row r="3966" spans="1:8" x14ac:dyDescent="0.3">
      <c r="A3966" s="74" t="str">
        <f t="shared" si="61"/>
        <v>浙江46303</v>
      </c>
      <c r="B3966" s="75" t="s">
        <v>26</v>
      </c>
      <c r="C3966" s="45">
        <v>46303</v>
      </c>
      <c r="D3966" s="76">
        <v>0</v>
      </c>
      <c r="E3966" s="77">
        <v>0</v>
      </c>
      <c r="F3966" s="78">
        <v>12.732554648673</v>
      </c>
      <c r="G3966" s="78">
        <v>12.732554648673</v>
      </c>
      <c r="H3966" s="81">
        <v>12.8168563379745</v>
      </c>
    </row>
    <row r="3967" spans="1:8" x14ac:dyDescent="0.3">
      <c r="A3967" s="74" t="str">
        <f t="shared" si="61"/>
        <v>浙江46304</v>
      </c>
      <c r="B3967" s="75" t="s">
        <v>26</v>
      </c>
      <c r="C3967" s="45">
        <v>46304</v>
      </c>
      <c r="D3967" s="76">
        <v>0</v>
      </c>
      <c r="E3967" s="77">
        <v>0</v>
      </c>
      <c r="F3967" s="78">
        <v>12.732554648673</v>
      </c>
      <c r="G3967" s="78">
        <v>12.732554648673</v>
      </c>
      <c r="H3967" s="81">
        <v>12.8168563379745</v>
      </c>
    </row>
    <row r="3968" spans="1:8" x14ac:dyDescent="0.3">
      <c r="A3968" s="74" t="str">
        <f t="shared" si="61"/>
        <v>浙江46305</v>
      </c>
      <c r="B3968" s="75" t="s">
        <v>26</v>
      </c>
      <c r="C3968" s="45">
        <v>46305</v>
      </c>
      <c r="D3968" s="76">
        <v>0</v>
      </c>
      <c r="E3968" s="77">
        <v>0</v>
      </c>
      <c r="F3968" s="78">
        <v>12.732554648673</v>
      </c>
      <c r="G3968" s="78">
        <v>12.732554648673</v>
      </c>
      <c r="H3968" s="81">
        <v>12.8168563379745</v>
      </c>
    </row>
    <row r="3969" spans="1:8" x14ac:dyDescent="0.3">
      <c r="A3969" s="74" t="str">
        <f t="shared" si="61"/>
        <v>浙江46306</v>
      </c>
      <c r="B3969" s="75" t="s">
        <v>26</v>
      </c>
      <c r="C3969" s="45">
        <v>46306</v>
      </c>
      <c r="D3969" s="76">
        <v>0</v>
      </c>
      <c r="E3969" s="77">
        <v>0</v>
      </c>
      <c r="F3969" s="78">
        <v>12.732554648673</v>
      </c>
      <c r="G3969" s="78">
        <v>12.732554648673</v>
      </c>
      <c r="H3969" s="81">
        <v>12.8168563379745</v>
      </c>
    </row>
    <row r="3970" spans="1:8" x14ac:dyDescent="0.3">
      <c r="A3970" s="74" t="str">
        <f t="shared" si="61"/>
        <v>浙江46307</v>
      </c>
      <c r="B3970" s="75" t="s">
        <v>26</v>
      </c>
      <c r="C3970" s="45">
        <v>46307</v>
      </c>
      <c r="D3970" s="76">
        <v>0</v>
      </c>
      <c r="E3970" s="77">
        <v>0</v>
      </c>
      <c r="F3970" s="78">
        <v>12.732554648673</v>
      </c>
      <c r="G3970" s="78">
        <v>12.732554648673</v>
      </c>
      <c r="H3970" s="81">
        <v>12.8168563379745</v>
      </c>
    </row>
    <row r="3971" spans="1:8" x14ac:dyDescent="0.3">
      <c r="A3971" s="74" t="str">
        <f t="shared" ref="A3971:A4034" si="62">B3971&amp;C3971</f>
        <v>浙江46308</v>
      </c>
      <c r="B3971" s="75" t="s">
        <v>26</v>
      </c>
      <c r="C3971" s="45">
        <v>46308</v>
      </c>
      <c r="D3971" s="76">
        <v>0</v>
      </c>
      <c r="E3971" s="77">
        <v>0</v>
      </c>
      <c r="F3971" s="78">
        <v>12.732554648673</v>
      </c>
      <c r="G3971" s="78">
        <v>12.732554648673</v>
      </c>
      <c r="H3971" s="81">
        <v>12.8168563379745</v>
      </c>
    </row>
    <row r="3972" spans="1:8" x14ac:dyDescent="0.3">
      <c r="A3972" s="74" t="str">
        <f t="shared" si="62"/>
        <v>浙江46309</v>
      </c>
      <c r="B3972" s="75" t="s">
        <v>26</v>
      </c>
      <c r="C3972" s="45">
        <v>46309</v>
      </c>
      <c r="D3972" s="76">
        <v>0</v>
      </c>
      <c r="E3972" s="77">
        <v>0</v>
      </c>
      <c r="F3972" s="78">
        <v>12.732554648673</v>
      </c>
      <c r="G3972" s="78">
        <v>12.732554648673</v>
      </c>
      <c r="H3972" s="81">
        <v>12.8168563379745</v>
      </c>
    </row>
    <row r="3973" spans="1:8" x14ac:dyDescent="0.3">
      <c r="A3973" s="74" t="str">
        <f t="shared" si="62"/>
        <v>浙江46310</v>
      </c>
      <c r="B3973" s="75" t="s">
        <v>26</v>
      </c>
      <c r="C3973" s="45">
        <v>46310</v>
      </c>
      <c r="D3973" s="76">
        <v>0</v>
      </c>
      <c r="E3973" s="77">
        <v>0</v>
      </c>
      <c r="F3973" s="78">
        <v>12.732554648673</v>
      </c>
      <c r="G3973" s="78">
        <v>12.732554648673</v>
      </c>
      <c r="H3973" s="81">
        <v>12.8168563379745</v>
      </c>
    </row>
    <row r="3974" spans="1:8" x14ac:dyDescent="0.3">
      <c r="A3974" s="74" t="str">
        <f t="shared" si="62"/>
        <v>浙江46311</v>
      </c>
      <c r="B3974" s="75" t="s">
        <v>26</v>
      </c>
      <c r="C3974" s="45">
        <v>46311</v>
      </c>
      <c r="D3974" s="76">
        <v>0</v>
      </c>
      <c r="E3974" s="77">
        <v>0</v>
      </c>
      <c r="F3974" s="78">
        <v>12.732554648673</v>
      </c>
      <c r="G3974" s="78">
        <v>12.732554648673</v>
      </c>
      <c r="H3974" s="81">
        <v>12.8168563379745</v>
      </c>
    </row>
    <row r="3975" spans="1:8" x14ac:dyDescent="0.3">
      <c r="A3975" s="74" t="str">
        <f t="shared" si="62"/>
        <v>浙江46312</v>
      </c>
      <c r="B3975" s="75" t="s">
        <v>26</v>
      </c>
      <c r="C3975" s="45">
        <v>46312</v>
      </c>
      <c r="D3975" s="76">
        <v>0</v>
      </c>
      <c r="E3975" s="77">
        <v>0</v>
      </c>
      <c r="F3975" s="78">
        <v>12.732554648673</v>
      </c>
      <c r="G3975" s="78">
        <v>12.732554648673</v>
      </c>
      <c r="H3975" s="81">
        <v>12.8168563379745</v>
      </c>
    </row>
    <row r="3976" spans="1:8" x14ac:dyDescent="0.3">
      <c r="A3976" s="74" t="str">
        <f t="shared" si="62"/>
        <v>浙江46313</v>
      </c>
      <c r="B3976" s="75" t="s">
        <v>26</v>
      </c>
      <c r="C3976" s="45">
        <v>46313</v>
      </c>
      <c r="D3976" s="76">
        <v>0</v>
      </c>
      <c r="E3976" s="77">
        <v>0</v>
      </c>
      <c r="F3976" s="78">
        <v>12.732554648673</v>
      </c>
      <c r="G3976" s="78">
        <v>12.732554648673</v>
      </c>
      <c r="H3976" s="81">
        <v>12.8168563379745</v>
      </c>
    </row>
    <row r="3977" spans="1:8" x14ac:dyDescent="0.3">
      <c r="A3977" s="74" t="str">
        <f t="shared" si="62"/>
        <v>浙江46314</v>
      </c>
      <c r="B3977" s="75" t="s">
        <v>26</v>
      </c>
      <c r="C3977" s="45">
        <v>46314</v>
      </c>
      <c r="D3977" s="76">
        <v>0</v>
      </c>
      <c r="E3977" s="77">
        <v>0</v>
      </c>
      <c r="F3977" s="78">
        <v>12.732554648673</v>
      </c>
      <c r="G3977" s="78">
        <v>12.732554648673</v>
      </c>
      <c r="H3977" s="81">
        <v>12.8168563379745</v>
      </c>
    </row>
    <row r="3978" spans="1:8" x14ac:dyDescent="0.3">
      <c r="A3978" s="74" t="str">
        <f t="shared" si="62"/>
        <v>浙江46315</v>
      </c>
      <c r="B3978" s="75" t="s">
        <v>26</v>
      </c>
      <c r="C3978" s="45">
        <v>46315</v>
      </c>
      <c r="D3978" s="76">
        <v>0</v>
      </c>
      <c r="E3978" s="77">
        <v>0</v>
      </c>
      <c r="F3978" s="78">
        <v>12.732554648673</v>
      </c>
      <c r="G3978" s="78">
        <v>12.732554648673</v>
      </c>
      <c r="H3978" s="81">
        <v>12.8168563379745</v>
      </c>
    </row>
    <row r="3979" spans="1:8" x14ac:dyDescent="0.3">
      <c r="A3979" s="74" t="str">
        <f t="shared" si="62"/>
        <v>浙江46316</v>
      </c>
      <c r="B3979" s="75" t="s">
        <v>26</v>
      </c>
      <c r="C3979" s="45">
        <v>46316</v>
      </c>
      <c r="D3979" s="76">
        <v>0</v>
      </c>
      <c r="E3979" s="77">
        <v>0</v>
      </c>
      <c r="F3979" s="78">
        <v>12.732554648673</v>
      </c>
      <c r="G3979" s="78">
        <v>12.732554648673</v>
      </c>
      <c r="H3979" s="81">
        <v>12.8168563379745</v>
      </c>
    </row>
    <row r="3980" spans="1:8" x14ac:dyDescent="0.3">
      <c r="A3980" s="74" t="str">
        <f t="shared" si="62"/>
        <v>浙江46317</v>
      </c>
      <c r="B3980" s="75" t="s">
        <v>26</v>
      </c>
      <c r="C3980" s="45">
        <v>46317</v>
      </c>
      <c r="D3980" s="76">
        <v>0</v>
      </c>
      <c r="E3980" s="77">
        <v>0</v>
      </c>
      <c r="F3980" s="78">
        <v>12.732554648673</v>
      </c>
      <c r="G3980" s="78">
        <v>12.732554648673</v>
      </c>
      <c r="H3980" s="81">
        <v>12.8168563379745</v>
      </c>
    </row>
    <row r="3981" spans="1:8" x14ac:dyDescent="0.3">
      <c r="A3981" s="74" t="str">
        <f t="shared" si="62"/>
        <v>浙江46318</v>
      </c>
      <c r="B3981" s="75" t="s">
        <v>26</v>
      </c>
      <c r="C3981" s="45">
        <v>46318</v>
      </c>
      <c r="D3981" s="76">
        <v>0</v>
      </c>
      <c r="E3981" s="77">
        <v>0</v>
      </c>
      <c r="F3981" s="78">
        <v>12.732554648673</v>
      </c>
      <c r="G3981" s="78">
        <v>12.732554648673</v>
      </c>
      <c r="H3981" s="81">
        <v>12.8168563379745</v>
      </c>
    </row>
    <row r="3982" spans="1:8" x14ac:dyDescent="0.3">
      <c r="A3982" s="74" t="str">
        <f t="shared" si="62"/>
        <v>浙江46319</v>
      </c>
      <c r="B3982" s="75" t="s">
        <v>26</v>
      </c>
      <c r="C3982" s="45">
        <v>46319</v>
      </c>
      <c r="D3982" s="76">
        <v>0</v>
      </c>
      <c r="E3982" s="77">
        <v>0</v>
      </c>
      <c r="F3982" s="78">
        <v>12.732554648673</v>
      </c>
      <c r="G3982" s="78">
        <v>12.732554648673</v>
      </c>
      <c r="H3982" s="81">
        <v>12.8168563379745</v>
      </c>
    </row>
    <row r="3983" spans="1:8" x14ac:dyDescent="0.3">
      <c r="A3983" s="74" t="str">
        <f t="shared" si="62"/>
        <v>浙江46320</v>
      </c>
      <c r="B3983" s="75" t="s">
        <v>26</v>
      </c>
      <c r="C3983" s="45">
        <v>46320</v>
      </c>
      <c r="D3983" s="76">
        <v>0</v>
      </c>
      <c r="E3983" s="77">
        <v>0</v>
      </c>
      <c r="F3983" s="78">
        <v>12.732554648673</v>
      </c>
      <c r="G3983" s="78">
        <v>12.732554648673</v>
      </c>
      <c r="H3983" s="81">
        <v>12.8168563379745</v>
      </c>
    </row>
    <row r="3984" spans="1:8" x14ac:dyDescent="0.3">
      <c r="A3984" s="74" t="str">
        <f t="shared" si="62"/>
        <v>浙江46321</v>
      </c>
      <c r="B3984" s="75" t="s">
        <v>26</v>
      </c>
      <c r="C3984" s="45">
        <v>46321</v>
      </c>
      <c r="D3984" s="76">
        <v>0</v>
      </c>
      <c r="E3984" s="77">
        <v>0</v>
      </c>
      <c r="F3984" s="78">
        <v>12.732554648673</v>
      </c>
      <c r="G3984" s="78">
        <v>12.732554648673</v>
      </c>
      <c r="H3984" s="81">
        <v>12.8168563379745</v>
      </c>
    </row>
    <row r="3985" spans="1:8" x14ac:dyDescent="0.3">
      <c r="A3985" s="74" t="str">
        <f t="shared" si="62"/>
        <v>浙江46322</v>
      </c>
      <c r="B3985" s="75" t="s">
        <v>26</v>
      </c>
      <c r="C3985" s="45">
        <v>46322</v>
      </c>
      <c r="D3985" s="76">
        <v>0</v>
      </c>
      <c r="E3985" s="77">
        <v>0</v>
      </c>
      <c r="F3985" s="78">
        <v>12.732554648673</v>
      </c>
      <c r="G3985" s="78">
        <v>12.732554648673</v>
      </c>
      <c r="H3985" s="81">
        <v>12.8168563379745</v>
      </c>
    </row>
    <row r="3986" spans="1:8" x14ac:dyDescent="0.3">
      <c r="A3986" s="74" t="str">
        <f t="shared" si="62"/>
        <v>浙江46323</v>
      </c>
      <c r="B3986" s="75" t="s">
        <v>26</v>
      </c>
      <c r="C3986" s="45">
        <v>46323</v>
      </c>
      <c r="D3986" s="76">
        <v>0</v>
      </c>
      <c r="E3986" s="77">
        <v>0</v>
      </c>
      <c r="F3986" s="78">
        <v>12.732554648673</v>
      </c>
      <c r="G3986" s="78">
        <v>12.732554648673</v>
      </c>
      <c r="H3986" s="81">
        <v>12.8168563379745</v>
      </c>
    </row>
    <row r="3987" spans="1:8" x14ac:dyDescent="0.3">
      <c r="A3987" s="74" t="str">
        <f t="shared" si="62"/>
        <v>浙江46324</v>
      </c>
      <c r="B3987" s="75" t="s">
        <v>26</v>
      </c>
      <c r="C3987" s="45">
        <v>46324</v>
      </c>
      <c r="D3987" s="76">
        <v>0</v>
      </c>
      <c r="E3987" s="77">
        <v>0</v>
      </c>
      <c r="F3987" s="78">
        <v>12.732554648673</v>
      </c>
      <c r="G3987" s="78">
        <v>12.732554648673</v>
      </c>
      <c r="H3987" s="81">
        <v>12.8168563379745</v>
      </c>
    </row>
    <row r="3988" spans="1:8" x14ac:dyDescent="0.3">
      <c r="A3988" s="74" t="str">
        <f t="shared" si="62"/>
        <v>浙江46325</v>
      </c>
      <c r="B3988" s="75" t="s">
        <v>26</v>
      </c>
      <c r="C3988" s="45">
        <v>46325</v>
      </c>
      <c r="D3988" s="76">
        <v>0</v>
      </c>
      <c r="E3988" s="77">
        <v>0</v>
      </c>
      <c r="F3988" s="78">
        <v>12.732554648673</v>
      </c>
      <c r="G3988" s="78">
        <v>12.732554648673</v>
      </c>
      <c r="H3988" s="81">
        <v>12.8168563379745</v>
      </c>
    </row>
    <row r="3989" spans="1:8" x14ac:dyDescent="0.3">
      <c r="A3989" s="74" t="str">
        <f t="shared" si="62"/>
        <v>浙江46326</v>
      </c>
      <c r="B3989" s="75" t="s">
        <v>26</v>
      </c>
      <c r="C3989" s="45">
        <v>46326</v>
      </c>
      <c r="D3989" s="76">
        <v>0</v>
      </c>
      <c r="E3989" s="77">
        <v>0</v>
      </c>
      <c r="F3989" s="78">
        <v>12.732554648673</v>
      </c>
      <c r="G3989" s="78">
        <v>12.732554648673</v>
      </c>
      <c r="H3989" s="81">
        <v>12.8168563379745</v>
      </c>
    </row>
    <row r="3990" spans="1:8" x14ac:dyDescent="0.3">
      <c r="A3990" s="74" t="str">
        <f t="shared" si="62"/>
        <v>浙江46327</v>
      </c>
      <c r="B3990" s="75" t="s">
        <v>26</v>
      </c>
      <c r="C3990" s="45">
        <v>46327</v>
      </c>
      <c r="D3990" s="76">
        <v>86.846774193548399</v>
      </c>
      <c r="E3990" s="77">
        <v>125</v>
      </c>
      <c r="F3990" s="78">
        <v>13.0277756071062</v>
      </c>
      <c r="G3990" s="78">
        <v>13.0277756071062</v>
      </c>
      <c r="H3990" s="81">
        <v>12.892845604800399</v>
      </c>
    </row>
    <row r="3991" spans="1:8" x14ac:dyDescent="0.3">
      <c r="A3991" s="74" t="str">
        <f t="shared" si="62"/>
        <v>浙江46328</v>
      </c>
      <c r="B3991" s="75" t="s">
        <v>26</v>
      </c>
      <c r="C3991" s="45">
        <v>46328</v>
      </c>
      <c r="D3991" s="76">
        <v>86.846774193548399</v>
      </c>
      <c r="E3991" s="77">
        <v>125</v>
      </c>
      <c r="F3991" s="78">
        <v>13.0277756071062</v>
      </c>
      <c r="G3991" s="78">
        <v>13.0277756071062</v>
      </c>
      <c r="H3991" s="81">
        <v>12.892845604800399</v>
      </c>
    </row>
    <row r="3992" spans="1:8" x14ac:dyDescent="0.3">
      <c r="A3992" s="74" t="str">
        <f t="shared" si="62"/>
        <v>浙江46329</v>
      </c>
      <c r="B3992" s="75" t="s">
        <v>26</v>
      </c>
      <c r="C3992" s="45">
        <v>46329</v>
      </c>
      <c r="D3992" s="76">
        <v>86.846774193548399</v>
      </c>
      <c r="E3992" s="77">
        <v>125</v>
      </c>
      <c r="F3992" s="78">
        <v>13.0277756071062</v>
      </c>
      <c r="G3992" s="78">
        <v>13.0277756071062</v>
      </c>
      <c r="H3992" s="81">
        <v>12.892845604800399</v>
      </c>
    </row>
    <row r="3993" spans="1:8" x14ac:dyDescent="0.3">
      <c r="A3993" s="74" t="str">
        <f t="shared" si="62"/>
        <v>浙江46330</v>
      </c>
      <c r="B3993" s="75" t="s">
        <v>26</v>
      </c>
      <c r="C3993" s="45">
        <v>46330</v>
      </c>
      <c r="D3993" s="76">
        <v>86.846774193548399</v>
      </c>
      <c r="E3993" s="77">
        <v>125</v>
      </c>
      <c r="F3993" s="78">
        <v>13.0277756071062</v>
      </c>
      <c r="G3993" s="78">
        <v>13.0277756071062</v>
      </c>
      <c r="H3993" s="81">
        <v>12.892845604800399</v>
      </c>
    </row>
    <row r="3994" spans="1:8" x14ac:dyDescent="0.3">
      <c r="A3994" s="74" t="str">
        <f t="shared" si="62"/>
        <v>浙江46331</v>
      </c>
      <c r="B3994" s="75" t="s">
        <v>26</v>
      </c>
      <c r="C3994" s="45">
        <v>46331</v>
      </c>
      <c r="D3994" s="76">
        <v>86.846774193548399</v>
      </c>
      <c r="E3994" s="77">
        <v>125</v>
      </c>
      <c r="F3994" s="78">
        <v>13.0277756071062</v>
      </c>
      <c r="G3994" s="78">
        <v>13.0277756071062</v>
      </c>
      <c r="H3994" s="81">
        <v>12.892845604800399</v>
      </c>
    </row>
    <row r="3995" spans="1:8" x14ac:dyDescent="0.3">
      <c r="A3995" s="74" t="str">
        <f t="shared" si="62"/>
        <v>浙江46332</v>
      </c>
      <c r="B3995" s="75" t="s">
        <v>26</v>
      </c>
      <c r="C3995" s="45">
        <v>46332</v>
      </c>
      <c r="D3995" s="76">
        <v>86.846774193548399</v>
      </c>
      <c r="E3995" s="77">
        <v>125</v>
      </c>
      <c r="F3995" s="78">
        <v>13.0277756071062</v>
      </c>
      <c r="G3995" s="78">
        <v>13.0277756071062</v>
      </c>
      <c r="H3995" s="81">
        <v>12.892845604800399</v>
      </c>
    </row>
    <row r="3996" spans="1:8" x14ac:dyDescent="0.3">
      <c r="A3996" s="74" t="str">
        <f t="shared" si="62"/>
        <v>浙江46333</v>
      </c>
      <c r="B3996" s="75" t="s">
        <v>26</v>
      </c>
      <c r="C3996" s="45">
        <v>46333</v>
      </c>
      <c r="D3996" s="76">
        <v>86.846774193548399</v>
      </c>
      <c r="E3996" s="77">
        <v>125</v>
      </c>
      <c r="F3996" s="78">
        <v>13.0277756071062</v>
      </c>
      <c r="G3996" s="78">
        <v>13.0277756071062</v>
      </c>
      <c r="H3996" s="81">
        <v>12.892845604800399</v>
      </c>
    </row>
    <row r="3997" spans="1:8" x14ac:dyDescent="0.3">
      <c r="A3997" s="74" t="str">
        <f t="shared" si="62"/>
        <v>浙江46334</v>
      </c>
      <c r="B3997" s="75" t="s">
        <v>26</v>
      </c>
      <c r="C3997" s="45">
        <v>46334</v>
      </c>
      <c r="D3997" s="76">
        <v>86.846774193548399</v>
      </c>
      <c r="E3997" s="77">
        <v>125</v>
      </c>
      <c r="F3997" s="78">
        <v>13.0277756071062</v>
      </c>
      <c r="G3997" s="78">
        <v>13.0277756071062</v>
      </c>
      <c r="H3997" s="81">
        <v>12.892845604800399</v>
      </c>
    </row>
    <row r="3998" spans="1:8" x14ac:dyDescent="0.3">
      <c r="A3998" s="74" t="str">
        <f t="shared" si="62"/>
        <v>浙江46335</v>
      </c>
      <c r="B3998" s="75" t="s">
        <v>26</v>
      </c>
      <c r="C3998" s="45">
        <v>46335</v>
      </c>
      <c r="D3998" s="76">
        <v>86.846774193548399</v>
      </c>
      <c r="E3998" s="77">
        <v>125</v>
      </c>
      <c r="F3998" s="78">
        <v>13.0277756071062</v>
      </c>
      <c r="G3998" s="78">
        <v>13.0277756071062</v>
      </c>
      <c r="H3998" s="81">
        <v>12.892845604800399</v>
      </c>
    </row>
    <row r="3999" spans="1:8" x14ac:dyDescent="0.3">
      <c r="A3999" s="74" t="str">
        <f t="shared" si="62"/>
        <v>浙江46336</v>
      </c>
      <c r="B3999" s="75" t="s">
        <v>26</v>
      </c>
      <c r="C3999" s="45">
        <v>46336</v>
      </c>
      <c r="D3999" s="76">
        <v>86.846774193548399</v>
      </c>
      <c r="E3999" s="77">
        <v>125</v>
      </c>
      <c r="F3999" s="78">
        <v>13.0277756071062</v>
      </c>
      <c r="G3999" s="78">
        <v>13.0277756071062</v>
      </c>
      <c r="H3999" s="81">
        <v>12.892845604800399</v>
      </c>
    </row>
    <row r="4000" spans="1:8" x14ac:dyDescent="0.3">
      <c r="A4000" s="74" t="str">
        <f t="shared" si="62"/>
        <v>浙江46337</v>
      </c>
      <c r="B4000" s="75" t="s">
        <v>26</v>
      </c>
      <c r="C4000" s="45">
        <v>46337</v>
      </c>
      <c r="D4000" s="76">
        <v>86.846774193548399</v>
      </c>
      <c r="E4000" s="77">
        <v>125</v>
      </c>
      <c r="F4000" s="78">
        <v>13.0277756071062</v>
      </c>
      <c r="G4000" s="78">
        <v>13.0277756071062</v>
      </c>
      <c r="H4000" s="81">
        <v>12.892845604800399</v>
      </c>
    </row>
    <row r="4001" spans="1:8" x14ac:dyDescent="0.3">
      <c r="A4001" s="74" t="str">
        <f t="shared" si="62"/>
        <v>浙江46338</v>
      </c>
      <c r="B4001" s="75" t="s">
        <v>26</v>
      </c>
      <c r="C4001" s="45">
        <v>46338</v>
      </c>
      <c r="D4001" s="76">
        <v>86.846774193548399</v>
      </c>
      <c r="E4001" s="77">
        <v>125</v>
      </c>
      <c r="F4001" s="78">
        <v>13.0277756071062</v>
      </c>
      <c r="G4001" s="78">
        <v>13.0277756071062</v>
      </c>
      <c r="H4001" s="81">
        <v>12.892845604800399</v>
      </c>
    </row>
    <row r="4002" spans="1:8" x14ac:dyDescent="0.3">
      <c r="A4002" s="74" t="str">
        <f t="shared" si="62"/>
        <v>浙江46339</v>
      </c>
      <c r="B4002" s="75" t="s">
        <v>26</v>
      </c>
      <c r="C4002" s="45">
        <v>46339</v>
      </c>
      <c r="D4002" s="76">
        <v>86.846774193548399</v>
      </c>
      <c r="E4002" s="77">
        <v>125</v>
      </c>
      <c r="F4002" s="78">
        <v>13.0277756071062</v>
      </c>
      <c r="G4002" s="78">
        <v>13.0277756071062</v>
      </c>
      <c r="H4002" s="81">
        <v>12.892845604800399</v>
      </c>
    </row>
    <row r="4003" spans="1:8" x14ac:dyDescent="0.3">
      <c r="A4003" s="74" t="str">
        <f t="shared" si="62"/>
        <v>浙江46340</v>
      </c>
      <c r="B4003" s="75" t="s">
        <v>26</v>
      </c>
      <c r="C4003" s="45">
        <v>46340</v>
      </c>
      <c r="D4003" s="76">
        <v>86.846774193548399</v>
      </c>
      <c r="E4003" s="77">
        <v>125</v>
      </c>
      <c r="F4003" s="78">
        <v>13.0277756071062</v>
      </c>
      <c r="G4003" s="78">
        <v>13.0277756071062</v>
      </c>
      <c r="H4003" s="81">
        <v>12.892845604800399</v>
      </c>
    </row>
    <row r="4004" spans="1:8" x14ac:dyDescent="0.3">
      <c r="A4004" s="74" t="str">
        <f t="shared" si="62"/>
        <v>浙江46341</v>
      </c>
      <c r="B4004" s="75" t="s">
        <v>26</v>
      </c>
      <c r="C4004" s="45">
        <v>46341</v>
      </c>
      <c r="D4004" s="76">
        <v>86.846774193548399</v>
      </c>
      <c r="E4004" s="77">
        <v>125</v>
      </c>
      <c r="F4004" s="78">
        <v>13.0277756071062</v>
      </c>
      <c r="G4004" s="78">
        <v>13.0277756071062</v>
      </c>
      <c r="H4004" s="81">
        <v>12.892845604800399</v>
      </c>
    </row>
    <row r="4005" spans="1:8" x14ac:dyDescent="0.3">
      <c r="A4005" s="74" t="str">
        <f t="shared" si="62"/>
        <v>浙江46342</v>
      </c>
      <c r="B4005" s="75" t="s">
        <v>26</v>
      </c>
      <c r="C4005" s="45">
        <v>46342</v>
      </c>
      <c r="D4005" s="76">
        <v>86.846774193548399</v>
      </c>
      <c r="E4005" s="77">
        <v>125</v>
      </c>
      <c r="F4005" s="78">
        <v>13.0277756071062</v>
      </c>
      <c r="G4005" s="78">
        <v>13.0277756071062</v>
      </c>
      <c r="H4005" s="81">
        <v>12.892845604800399</v>
      </c>
    </row>
    <row r="4006" spans="1:8" x14ac:dyDescent="0.3">
      <c r="A4006" s="74" t="str">
        <f t="shared" si="62"/>
        <v>浙江46343</v>
      </c>
      <c r="B4006" s="75" t="s">
        <v>26</v>
      </c>
      <c r="C4006" s="45">
        <v>46343</v>
      </c>
      <c r="D4006" s="76">
        <v>86.846774193548399</v>
      </c>
      <c r="E4006" s="77">
        <v>125</v>
      </c>
      <c r="F4006" s="78">
        <v>13.0277756071062</v>
      </c>
      <c r="G4006" s="78">
        <v>13.0277756071062</v>
      </c>
      <c r="H4006" s="81">
        <v>12.892845604800399</v>
      </c>
    </row>
    <row r="4007" spans="1:8" x14ac:dyDescent="0.3">
      <c r="A4007" s="74" t="str">
        <f t="shared" si="62"/>
        <v>浙江46344</v>
      </c>
      <c r="B4007" s="75" t="s">
        <v>26</v>
      </c>
      <c r="C4007" s="45">
        <v>46344</v>
      </c>
      <c r="D4007" s="76">
        <v>86.846774193548399</v>
      </c>
      <c r="E4007" s="77">
        <v>125</v>
      </c>
      <c r="F4007" s="78">
        <v>13.0277756071062</v>
      </c>
      <c r="G4007" s="78">
        <v>13.0277756071062</v>
      </c>
      <c r="H4007" s="81">
        <v>12.892845604800399</v>
      </c>
    </row>
    <row r="4008" spans="1:8" x14ac:dyDescent="0.3">
      <c r="A4008" s="74" t="str">
        <f t="shared" si="62"/>
        <v>浙江46345</v>
      </c>
      <c r="B4008" s="75" t="s">
        <v>26</v>
      </c>
      <c r="C4008" s="45">
        <v>46345</v>
      </c>
      <c r="D4008" s="76">
        <v>86.846774193548399</v>
      </c>
      <c r="E4008" s="77">
        <v>125</v>
      </c>
      <c r="F4008" s="78">
        <v>13.0277756071062</v>
      </c>
      <c r="G4008" s="78">
        <v>13.0277756071062</v>
      </c>
      <c r="H4008" s="81">
        <v>12.892845604800399</v>
      </c>
    </row>
    <row r="4009" spans="1:8" x14ac:dyDescent="0.3">
      <c r="A4009" s="74" t="str">
        <f t="shared" si="62"/>
        <v>浙江46346</v>
      </c>
      <c r="B4009" s="75" t="s">
        <v>26</v>
      </c>
      <c r="C4009" s="45">
        <v>46346</v>
      </c>
      <c r="D4009" s="76">
        <v>86.846774193548399</v>
      </c>
      <c r="E4009" s="77">
        <v>125</v>
      </c>
      <c r="F4009" s="78">
        <v>13.0277756071062</v>
      </c>
      <c r="G4009" s="78">
        <v>13.0277756071062</v>
      </c>
      <c r="H4009" s="81">
        <v>12.892845604800399</v>
      </c>
    </row>
    <row r="4010" spans="1:8" x14ac:dyDescent="0.3">
      <c r="A4010" s="74" t="str">
        <f t="shared" si="62"/>
        <v>浙江46347</v>
      </c>
      <c r="B4010" s="75" t="s">
        <v>26</v>
      </c>
      <c r="C4010" s="45">
        <v>46347</v>
      </c>
      <c r="D4010" s="76">
        <v>86.846774193548399</v>
      </c>
      <c r="E4010" s="77">
        <v>125</v>
      </c>
      <c r="F4010" s="78">
        <v>13.0277756071062</v>
      </c>
      <c r="G4010" s="78">
        <v>13.0277756071062</v>
      </c>
      <c r="H4010" s="81">
        <v>12.892845604800399</v>
      </c>
    </row>
    <row r="4011" spans="1:8" x14ac:dyDescent="0.3">
      <c r="A4011" s="74" t="str">
        <f t="shared" si="62"/>
        <v>浙江46348</v>
      </c>
      <c r="B4011" s="75" t="s">
        <v>26</v>
      </c>
      <c r="C4011" s="45">
        <v>46348</v>
      </c>
      <c r="D4011" s="76">
        <v>86.846774193548399</v>
      </c>
      <c r="E4011" s="77">
        <v>125</v>
      </c>
      <c r="F4011" s="78">
        <v>13.0277756071062</v>
      </c>
      <c r="G4011" s="78">
        <v>13.0277756071062</v>
      </c>
      <c r="H4011" s="81">
        <v>12.892845604800399</v>
      </c>
    </row>
    <row r="4012" spans="1:8" x14ac:dyDescent="0.3">
      <c r="A4012" s="74" t="str">
        <f t="shared" si="62"/>
        <v>浙江46349</v>
      </c>
      <c r="B4012" s="75" t="s">
        <v>26</v>
      </c>
      <c r="C4012" s="45">
        <v>46349</v>
      </c>
      <c r="D4012" s="76">
        <v>86.846774193548399</v>
      </c>
      <c r="E4012" s="77">
        <v>125</v>
      </c>
      <c r="F4012" s="78">
        <v>13.0277756071062</v>
      </c>
      <c r="G4012" s="78">
        <v>13.0277756071062</v>
      </c>
      <c r="H4012" s="81">
        <v>12.892845604800399</v>
      </c>
    </row>
    <row r="4013" spans="1:8" x14ac:dyDescent="0.3">
      <c r="A4013" s="74" t="str">
        <f t="shared" si="62"/>
        <v>浙江46350</v>
      </c>
      <c r="B4013" s="75" t="s">
        <v>26</v>
      </c>
      <c r="C4013" s="45">
        <v>46350</v>
      </c>
      <c r="D4013" s="76">
        <v>86.846774193548399</v>
      </c>
      <c r="E4013" s="77">
        <v>125</v>
      </c>
      <c r="F4013" s="78">
        <v>13.0277756071062</v>
      </c>
      <c r="G4013" s="78">
        <v>13.0277756071062</v>
      </c>
      <c r="H4013" s="81">
        <v>12.892845604800399</v>
      </c>
    </row>
    <row r="4014" spans="1:8" x14ac:dyDescent="0.3">
      <c r="A4014" s="74" t="str">
        <f t="shared" si="62"/>
        <v>浙江46351</v>
      </c>
      <c r="B4014" s="75" t="s">
        <v>26</v>
      </c>
      <c r="C4014" s="45">
        <v>46351</v>
      </c>
      <c r="D4014" s="76">
        <v>86.846774193548399</v>
      </c>
      <c r="E4014" s="77">
        <v>125</v>
      </c>
      <c r="F4014" s="78">
        <v>13.0277756071062</v>
      </c>
      <c r="G4014" s="78">
        <v>13.0277756071062</v>
      </c>
      <c r="H4014" s="81">
        <v>12.892845604800399</v>
      </c>
    </row>
    <row r="4015" spans="1:8" x14ac:dyDescent="0.3">
      <c r="A4015" s="74" t="str">
        <f t="shared" si="62"/>
        <v>浙江46352</v>
      </c>
      <c r="B4015" s="75" t="s">
        <v>26</v>
      </c>
      <c r="C4015" s="45">
        <v>46352</v>
      </c>
      <c r="D4015" s="76">
        <v>86.846774193548399</v>
      </c>
      <c r="E4015" s="77">
        <v>125</v>
      </c>
      <c r="F4015" s="78">
        <v>13.0277756071062</v>
      </c>
      <c r="G4015" s="78">
        <v>13.0277756071062</v>
      </c>
      <c r="H4015" s="81">
        <v>12.892845604800399</v>
      </c>
    </row>
    <row r="4016" spans="1:8" x14ac:dyDescent="0.3">
      <c r="A4016" s="74" t="str">
        <f t="shared" si="62"/>
        <v>浙江46353</v>
      </c>
      <c r="B4016" s="75" t="s">
        <v>26</v>
      </c>
      <c r="C4016" s="45">
        <v>46353</v>
      </c>
      <c r="D4016" s="76">
        <v>86.846774193548399</v>
      </c>
      <c r="E4016" s="77">
        <v>125</v>
      </c>
      <c r="F4016" s="78">
        <v>13.0277756071062</v>
      </c>
      <c r="G4016" s="78">
        <v>13.0277756071062</v>
      </c>
      <c r="H4016" s="81">
        <v>12.892845604800399</v>
      </c>
    </row>
    <row r="4017" spans="1:8" x14ac:dyDescent="0.3">
      <c r="A4017" s="74" t="str">
        <f t="shared" si="62"/>
        <v>浙江46354</v>
      </c>
      <c r="B4017" s="75" t="s">
        <v>26</v>
      </c>
      <c r="C4017" s="45">
        <v>46354</v>
      </c>
      <c r="D4017" s="76">
        <v>86.846774193548399</v>
      </c>
      <c r="E4017" s="77">
        <v>125</v>
      </c>
      <c r="F4017" s="78">
        <v>13.0277756071062</v>
      </c>
      <c r="G4017" s="78">
        <v>13.0277756071062</v>
      </c>
      <c r="H4017" s="81">
        <v>12.892845604800399</v>
      </c>
    </row>
    <row r="4018" spans="1:8" x14ac:dyDescent="0.3">
      <c r="A4018" s="74" t="str">
        <f t="shared" si="62"/>
        <v>浙江46355</v>
      </c>
      <c r="B4018" s="75" t="s">
        <v>26</v>
      </c>
      <c r="C4018" s="45">
        <v>46355</v>
      </c>
      <c r="D4018" s="76">
        <v>86.846774193548399</v>
      </c>
      <c r="E4018" s="77">
        <v>125</v>
      </c>
      <c r="F4018" s="78">
        <v>13.0277756071062</v>
      </c>
      <c r="G4018" s="78">
        <v>13.0277756071062</v>
      </c>
      <c r="H4018" s="81">
        <v>12.892845604800399</v>
      </c>
    </row>
    <row r="4019" spans="1:8" x14ac:dyDescent="0.3">
      <c r="A4019" s="74" t="str">
        <f t="shared" si="62"/>
        <v>浙江46356</v>
      </c>
      <c r="B4019" s="75" t="s">
        <v>26</v>
      </c>
      <c r="C4019" s="45">
        <v>46356</v>
      </c>
      <c r="D4019" s="76">
        <v>86.846774193548399</v>
      </c>
      <c r="E4019" s="77">
        <v>125</v>
      </c>
      <c r="F4019" s="78">
        <v>13.0277756071062</v>
      </c>
      <c r="G4019" s="78">
        <v>13.0277756071062</v>
      </c>
      <c r="H4019" s="81">
        <v>12.892845604800399</v>
      </c>
    </row>
    <row r="4020" spans="1:8" x14ac:dyDescent="0.3">
      <c r="A4020" s="74" t="str">
        <f t="shared" si="62"/>
        <v>浙江46357</v>
      </c>
      <c r="B4020" s="75" t="s">
        <v>26</v>
      </c>
      <c r="C4020" s="45">
        <v>46357</v>
      </c>
      <c r="D4020" s="76">
        <v>0</v>
      </c>
      <c r="E4020" s="77">
        <v>0</v>
      </c>
      <c r="F4020" s="78">
        <v>13.733343462941701</v>
      </c>
      <c r="G4020" s="78">
        <v>13.733343462941701</v>
      </c>
      <c r="H4020" s="81">
        <v>13.130945307521699</v>
      </c>
    </row>
    <row r="4021" spans="1:8" x14ac:dyDescent="0.3">
      <c r="A4021" s="74" t="str">
        <f t="shared" si="62"/>
        <v>浙江46358</v>
      </c>
      <c r="B4021" s="75" t="s">
        <v>26</v>
      </c>
      <c r="C4021" s="45">
        <v>46358</v>
      </c>
      <c r="D4021" s="76">
        <v>0</v>
      </c>
      <c r="E4021" s="77">
        <v>0</v>
      </c>
      <c r="F4021" s="78">
        <v>13.733343462941701</v>
      </c>
      <c r="G4021" s="78">
        <v>13.733343462941701</v>
      </c>
      <c r="H4021" s="81">
        <v>13.130945307521699</v>
      </c>
    </row>
    <row r="4022" spans="1:8" x14ac:dyDescent="0.3">
      <c r="A4022" s="74" t="str">
        <f t="shared" si="62"/>
        <v>浙江46359</v>
      </c>
      <c r="B4022" s="75" t="s">
        <v>26</v>
      </c>
      <c r="C4022" s="45">
        <v>46359</v>
      </c>
      <c r="D4022" s="76">
        <v>0</v>
      </c>
      <c r="E4022" s="77">
        <v>0</v>
      </c>
      <c r="F4022" s="78">
        <v>13.733343462941701</v>
      </c>
      <c r="G4022" s="78">
        <v>13.733343462941701</v>
      </c>
      <c r="H4022" s="81">
        <v>13.130945307521699</v>
      </c>
    </row>
    <row r="4023" spans="1:8" x14ac:dyDescent="0.3">
      <c r="A4023" s="74" t="str">
        <f t="shared" si="62"/>
        <v>浙江46360</v>
      </c>
      <c r="B4023" s="75" t="s">
        <v>26</v>
      </c>
      <c r="C4023" s="45">
        <v>46360</v>
      </c>
      <c r="D4023" s="76">
        <v>0</v>
      </c>
      <c r="E4023" s="77">
        <v>0</v>
      </c>
      <c r="F4023" s="78">
        <v>13.733343462941701</v>
      </c>
      <c r="G4023" s="78">
        <v>13.733343462941701</v>
      </c>
      <c r="H4023" s="81">
        <v>13.130945307521699</v>
      </c>
    </row>
    <row r="4024" spans="1:8" x14ac:dyDescent="0.3">
      <c r="A4024" s="74" t="str">
        <f t="shared" si="62"/>
        <v>浙江46361</v>
      </c>
      <c r="B4024" s="75" t="s">
        <v>26</v>
      </c>
      <c r="C4024" s="45">
        <v>46361</v>
      </c>
      <c r="D4024" s="76">
        <v>0</v>
      </c>
      <c r="E4024" s="77">
        <v>0</v>
      </c>
      <c r="F4024" s="78">
        <v>13.733343462941701</v>
      </c>
      <c r="G4024" s="78">
        <v>13.733343462941701</v>
      </c>
      <c r="H4024" s="81">
        <v>13.130945307521699</v>
      </c>
    </row>
    <row r="4025" spans="1:8" x14ac:dyDescent="0.3">
      <c r="A4025" s="74" t="str">
        <f t="shared" si="62"/>
        <v>浙江46362</v>
      </c>
      <c r="B4025" s="75" t="s">
        <v>26</v>
      </c>
      <c r="C4025" s="45">
        <v>46362</v>
      </c>
      <c r="D4025" s="76">
        <v>0</v>
      </c>
      <c r="E4025" s="77">
        <v>0</v>
      </c>
      <c r="F4025" s="78">
        <v>13.733343462941701</v>
      </c>
      <c r="G4025" s="78">
        <v>13.733343462941701</v>
      </c>
      <c r="H4025" s="81">
        <v>13.130945307521699</v>
      </c>
    </row>
    <row r="4026" spans="1:8" x14ac:dyDescent="0.3">
      <c r="A4026" s="74" t="str">
        <f t="shared" si="62"/>
        <v>浙江46363</v>
      </c>
      <c r="B4026" s="75" t="s">
        <v>26</v>
      </c>
      <c r="C4026" s="45">
        <v>46363</v>
      </c>
      <c r="D4026" s="76">
        <v>0</v>
      </c>
      <c r="E4026" s="77">
        <v>0</v>
      </c>
      <c r="F4026" s="78">
        <v>13.733343462941701</v>
      </c>
      <c r="G4026" s="78">
        <v>13.733343462941701</v>
      </c>
      <c r="H4026" s="81">
        <v>13.130945307521699</v>
      </c>
    </row>
    <row r="4027" spans="1:8" x14ac:dyDescent="0.3">
      <c r="A4027" s="74" t="str">
        <f t="shared" si="62"/>
        <v>浙江46364</v>
      </c>
      <c r="B4027" s="75" t="s">
        <v>26</v>
      </c>
      <c r="C4027" s="45">
        <v>46364</v>
      </c>
      <c r="D4027" s="76">
        <v>0</v>
      </c>
      <c r="E4027" s="77">
        <v>0</v>
      </c>
      <c r="F4027" s="78">
        <v>13.733343462941701</v>
      </c>
      <c r="G4027" s="78">
        <v>13.733343462941701</v>
      </c>
      <c r="H4027" s="81">
        <v>13.130945307521699</v>
      </c>
    </row>
    <row r="4028" spans="1:8" x14ac:dyDescent="0.3">
      <c r="A4028" s="74" t="str">
        <f t="shared" si="62"/>
        <v>浙江46365</v>
      </c>
      <c r="B4028" s="75" t="s">
        <v>26</v>
      </c>
      <c r="C4028" s="45">
        <v>46365</v>
      </c>
      <c r="D4028" s="76">
        <v>0</v>
      </c>
      <c r="E4028" s="77">
        <v>0</v>
      </c>
      <c r="F4028" s="78">
        <v>13.733343462941701</v>
      </c>
      <c r="G4028" s="78">
        <v>13.733343462941701</v>
      </c>
      <c r="H4028" s="81">
        <v>13.130945307521699</v>
      </c>
    </row>
    <row r="4029" spans="1:8" x14ac:dyDescent="0.3">
      <c r="A4029" s="74" t="str">
        <f t="shared" si="62"/>
        <v>浙江46366</v>
      </c>
      <c r="B4029" s="75" t="s">
        <v>26</v>
      </c>
      <c r="C4029" s="45">
        <v>46366</v>
      </c>
      <c r="D4029" s="76">
        <v>0</v>
      </c>
      <c r="E4029" s="77">
        <v>0</v>
      </c>
      <c r="F4029" s="78">
        <v>13.733343462941701</v>
      </c>
      <c r="G4029" s="78">
        <v>13.733343462941701</v>
      </c>
      <c r="H4029" s="81">
        <v>13.130945307521699</v>
      </c>
    </row>
    <row r="4030" spans="1:8" x14ac:dyDescent="0.3">
      <c r="A4030" s="74" t="str">
        <f t="shared" si="62"/>
        <v>浙江46367</v>
      </c>
      <c r="B4030" s="75" t="s">
        <v>26</v>
      </c>
      <c r="C4030" s="45">
        <v>46367</v>
      </c>
      <c r="D4030" s="76">
        <v>0</v>
      </c>
      <c r="E4030" s="77">
        <v>0</v>
      </c>
      <c r="F4030" s="78">
        <v>13.733343462941701</v>
      </c>
      <c r="G4030" s="78">
        <v>13.733343462941701</v>
      </c>
      <c r="H4030" s="81">
        <v>13.130945307521699</v>
      </c>
    </row>
    <row r="4031" spans="1:8" x14ac:dyDescent="0.3">
      <c r="A4031" s="74" t="str">
        <f t="shared" si="62"/>
        <v>浙江46368</v>
      </c>
      <c r="B4031" s="75" t="s">
        <v>26</v>
      </c>
      <c r="C4031" s="45">
        <v>46368</v>
      </c>
      <c r="D4031" s="76">
        <v>0</v>
      </c>
      <c r="E4031" s="77">
        <v>0</v>
      </c>
      <c r="F4031" s="78">
        <v>13.733343462941701</v>
      </c>
      <c r="G4031" s="78">
        <v>13.733343462941701</v>
      </c>
      <c r="H4031" s="81">
        <v>13.130945307521699</v>
      </c>
    </row>
    <row r="4032" spans="1:8" x14ac:dyDescent="0.3">
      <c r="A4032" s="74" t="str">
        <f t="shared" si="62"/>
        <v>浙江46369</v>
      </c>
      <c r="B4032" s="75" t="s">
        <v>26</v>
      </c>
      <c r="C4032" s="45">
        <v>46369</v>
      </c>
      <c r="D4032" s="76">
        <v>0</v>
      </c>
      <c r="E4032" s="77">
        <v>0</v>
      </c>
      <c r="F4032" s="78">
        <v>13.733343462941701</v>
      </c>
      <c r="G4032" s="78">
        <v>13.733343462941701</v>
      </c>
      <c r="H4032" s="81">
        <v>13.130945307521699</v>
      </c>
    </row>
    <row r="4033" spans="1:8" x14ac:dyDescent="0.3">
      <c r="A4033" s="74" t="str">
        <f t="shared" si="62"/>
        <v>浙江46370</v>
      </c>
      <c r="B4033" s="75" t="s">
        <v>26</v>
      </c>
      <c r="C4033" s="45">
        <v>46370</v>
      </c>
      <c r="D4033" s="76">
        <v>0</v>
      </c>
      <c r="E4033" s="77">
        <v>0</v>
      </c>
      <c r="F4033" s="78">
        <v>13.733343462941701</v>
      </c>
      <c r="G4033" s="78">
        <v>13.733343462941701</v>
      </c>
      <c r="H4033" s="81">
        <v>13.130945307521699</v>
      </c>
    </row>
    <row r="4034" spans="1:8" x14ac:dyDescent="0.3">
      <c r="A4034" s="74" t="str">
        <f t="shared" si="62"/>
        <v>浙江46371</v>
      </c>
      <c r="B4034" s="75" t="s">
        <v>26</v>
      </c>
      <c r="C4034" s="45">
        <v>46371</v>
      </c>
      <c r="D4034" s="76">
        <v>0</v>
      </c>
      <c r="E4034" s="77">
        <v>0</v>
      </c>
      <c r="F4034" s="78">
        <v>13.733343462941701</v>
      </c>
      <c r="G4034" s="78">
        <v>13.733343462941701</v>
      </c>
      <c r="H4034" s="81">
        <v>13.130945307521699</v>
      </c>
    </row>
    <row r="4035" spans="1:8" x14ac:dyDescent="0.3">
      <c r="A4035" s="74" t="str">
        <f t="shared" ref="A4035:A4098" si="63">B4035&amp;C4035</f>
        <v>浙江46372</v>
      </c>
      <c r="B4035" s="75" t="s">
        <v>26</v>
      </c>
      <c r="C4035" s="45">
        <v>46372</v>
      </c>
      <c r="D4035" s="76">
        <v>0</v>
      </c>
      <c r="E4035" s="77">
        <v>0</v>
      </c>
      <c r="F4035" s="78">
        <v>13.733343462941701</v>
      </c>
      <c r="G4035" s="78">
        <v>13.733343462941701</v>
      </c>
      <c r="H4035" s="81">
        <v>13.130945307521699</v>
      </c>
    </row>
    <row r="4036" spans="1:8" x14ac:dyDescent="0.3">
      <c r="A4036" s="74" t="str">
        <f t="shared" si="63"/>
        <v>浙江46373</v>
      </c>
      <c r="B4036" s="75" t="s">
        <v>26</v>
      </c>
      <c r="C4036" s="45">
        <v>46373</v>
      </c>
      <c r="D4036" s="76">
        <v>0</v>
      </c>
      <c r="E4036" s="77">
        <v>0</v>
      </c>
      <c r="F4036" s="78">
        <v>13.733343462941701</v>
      </c>
      <c r="G4036" s="78">
        <v>13.733343462941701</v>
      </c>
      <c r="H4036" s="81">
        <v>13.130945307521699</v>
      </c>
    </row>
    <row r="4037" spans="1:8" x14ac:dyDescent="0.3">
      <c r="A4037" s="74" t="str">
        <f t="shared" si="63"/>
        <v>浙江46374</v>
      </c>
      <c r="B4037" s="75" t="s">
        <v>26</v>
      </c>
      <c r="C4037" s="45">
        <v>46374</v>
      </c>
      <c r="D4037" s="76">
        <v>0</v>
      </c>
      <c r="E4037" s="77">
        <v>0</v>
      </c>
      <c r="F4037" s="78">
        <v>13.733343462941701</v>
      </c>
      <c r="G4037" s="78">
        <v>13.733343462941701</v>
      </c>
      <c r="H4037" s="81">
        <v>13.130945307521699</v>
      </c>
    </row>
    <row r="4038" spans="1:8" x14ac:dyDescent="0.3">
      <c r="A4038" s="74" t="str">
        <f t="shared" si="63"/>
        <v>浙江46375</v>
      </c>
      <c r="B4038" s="75" t="s">
        <v>26</v>
      </c>
      <c r="C4038" s="45">
        <v>46375</v>
      </c>
      <c r="D4038" s="76">
        <v>0</v>
      </c>
      <c r="E4038" s="77">
        <v>0</v>
      </c>
      <c r="F4038" s="78">
        <v>13.733343462941701</v>
      </c>
      <c r="G4038" s="78">
        <v>13.733343462941701</v>
      </c>
      <c r="H4038" s="81">
        <v>13.130945307521699</v>
      </c>
    </row>
    <row r="4039" spans="1:8" x14ac:dyDescent="0.3">
      <c r="A4039" s="74" t="str">
        <f t="shared" si="63"/>
        <v>浙江46376</v>
      </c>
      <c r="B4039" s="75" t="s">
        <v>26</v>
      </c>
      <c r="C4039" s="45">
        <v>46376</v>
      </c>
      <c r="D4039" s="76">
        <v>0</v>
      </c>
      <c r="E4039" s="77">
        <v>0</v>
      </c>
      <c r="F4039" s="78">
        <v>13.733343462941701</v>
      </c>
      <c r="G4039" s="78">
        <v>13.733343462941701</v>
      </c>
      <c r="H4039" s="81">
        <v>13.130945307521699</v>
      </c>
    </row>
    <row r="4040" spans="1:8" x14ac:dyDescent="0.3">
      <c r="A4040" s="74" t="str">
        <f t="shared" si="63"/>
        <v>浙江46377</v>
      </c>
      <c r="B4040" s="75" t="s">
        <v>26</v>
      </c>
      <c r="C4040" s="45">
        <v>46377</v>
      </c>
      <c r="D4040" s="76">
        <v>0</v>
      </c>
      <c r="E4040" s="77">
        <v>0</v>
      </c>
      <c r="F4040" s="78">
        <v>13.733343462941701</v>
      </c>
      <c r="G4040" s="78">
        <v>13.733343462941701</v>
      </c>
      <c r="H4040" s="81">
        <v>13.130945307521699</v>
      </c>
    </row>
    <row r="4041" spans="1:8" x14ac:dyDescent="0.3">
      <c r="A4041" s="74" t="str">
        <f t="shared" si="63"/>
        <v>浙江46378</v>
      </c>
      <c r="B4041" s="75" t="s">
        <v>26</v>
      </c>
      <c r="C4041" s="45">
        <v>46378</v>
      </c>
      <c r="D4041" s="76">
        <v>0</v>
      </c>
      <c r="E4041" s="77">
        <v>0</v>
      </c>
      <c r="F4041" s="78">
        <v>13.733343462941701</v>
      </c>
      <c r="G4041" s="78">
        <v>13.733343462941701</v>
      </c>
      <c r="H4041" s="81">
        <v>13.130945307521699</v>
      </c>
    </row>
    <row r="4042" spans="1:8" x14ac:dyDescent="0.3">
      <c r="A4042" s="74" t="str">
        <f t="shared" si="63"/>
        <v>浙江46379</v>
      </c>
      <c r="B4042" s="75" t="s">
        <v>26</v>
      </c>
      <c r="C4042" s="45">
        <v>46379</v>
      </c>
      <c r="D4042" s="76">
        <v>0</v>
      </c>
      <c r="E4042" s="77">
        <v>0</v>
      </c>
      <c r="F4042" s="78">
        <v>13.733343462941701</v>
      </c>
      <c r="G4042" s="78">
        <v>13.733343462941701</v>
      </c>
      <c r="H4042" s="81">
        <v>13.130945307521699</v>
      </c>
    </row>
    <row r="4043" spans="1:8" x14ac:dyDescent="0.3">
      <c r="A4043" s="74" t="str">
        <f t="shared" si="63"/>
        <v>浙江46380</v>
      </c>
      <c r="B4043" s="75" t="s">
        <v>26</v>
      </c>
      <c r="C4043" s="45">
        <v>46380</v>
      </c>
      <c r="D4043" s="76">
        <v>0</v>
      </c>
      <c r="E4043" s="77">
        <v>0</v>
      </c>
      <c r="F4043" s="78">
        <v>13.733343462941701</v>
      </c>
      <c r="G4043" s="78">
        <v>13.733343462941701</v>
      </c>
      <c r="H4043" s="81">
        <v>13.130945307521699</v>
      </c>
    </row>
    <row r="4044" spans="1:8" x14ac:dyDescent="0.3">
      <c r="A4044" s="74" t="str">
        <f t="shared" si="63"/>
        <v>浙江46381</v>
      </c>
      <c r="B4044" s="75" t="s">
        <v>26</v>
      </c>
      <c r="C4044" s="45">
        <v>46381</v>
      </c>
      <c r="D4044" s="76">
        <v>0</v>
      </c>
      <c r="E4044" s="77">
        <v>0</v>
      </c>
      <c r="F4044" s="78">
        <v>13.733343462941701</v>
      </c>
      <c r="G4044" s="78">
        <v>13.733343462941701</v>
      </c>
      <c r="H4044" s="81">
        <v>13.130945307521699</v>
      </c>
    </row>
    <row r="4045" spans="1:8" x14ac:dyDescent="0.3">
      <c r="A4045" s="74" t="str">
        <f t="shared" si="63"/>
        <v>浙江46382</v>
      </c>
      <c r="B4045" s="75" t="s">
        <v>26</v>
      </c>
      <c r="C4045" s="45">
        <v>46382</v>
      </c>
      <c r="D4045" s="76">
        <v>0</v>
      </c>
      <c r="E4045" s="77">
        <v>0</v>
      </c>
      <c r="F4045" s="78">
        <v>13.733343462941701</v>
      </c>
      <c r="G4045" s="78">
        <v>13.733343462941701</v>
      </c>
      <c r="H4045" s="81">
        <v>13.130945307521699</v>
      </c>
    </row>
    <row r="4046" spans="1:8" x14ac:dyDescent="0.3">
      <c r="A4046" s="74" t="str">
        <f t="shared" si="63"/>
        <v>浙江46383</v>
      </c>
      <c r="B4046" s="75" t="s">
        <v>26</v>
      </c>
      <c r="C4046" s="45">
        <v>46383</v>
      </c>
      <c r="D4046" s="76">
        <v>0</v>
      </c>
      <c r="E4046" s="77">
        <v>0</v>
      </c>
      <c r="F4046" s="78">
        <v>13.733343462941701</v>
      </c>
      <c r="G4046" s="78">
        <v>13.733343462941701</v>
      </c>
      <c r="H4046" s="81">
        <v>13.130945307521699</v>
      </c>
    </row>
    <row r="4047" spans="1:8" x14ac:dyDescent="0.3">
      <c r="A4047" s="74" t="str">
        <f t="shared" si="63"/>
        <v>浙江46384</v>
      </c>
      <c r="B4047" s="75" t="s">
        <v>26</v>
      </c>
      <c r="C4047" s="45">
        <v>46384</v>
      </c>
      <c r="D4047" s="76">
        <v>0</v>
      </c>
      <c r="E4047" s="77">
        <v>0</v>
      </c>
      <c r="F4047" s="78">
        <v>13.733343462941701</v>
      </c>
      <c r="G4047" s="78">
        <v>13.733343462941701</v>
      </c>
      <c r="H4047" s="81">
        <v>13.130945307521699</v>
      </c>
    </row>
    <row r="4048" spans="1:8" x14ac:dyDescent="0.3">
      <c r="A4048" s="74" t="str">
        <f t="shared" si="63"/>
        <v>浙江46385</v>
      </c>
      <c r="B4048" s="75" t="s">
        <v>26</v>
      </c>
      <c r="C4048" s="45">
        <v>46385</v>
      </c>
      <c r="D4048" s="76">
        <v>0</v>
      </c>
      <c r="E4048" s="77">
        <v>0</v>
      </c>
      <c r="F4048" s="78">
        <v>13.733343462941701</v>
      </c>
      <c r="G4048" s="78">
        <v>13.733343462941701</v>
      </c>
      <c r="H4048" s="81">
        <v>13.130945307521699</v>
      </c>
    </row>
    <row r="4049" spans="1:8" x14ac:dyDescent="0.3">
      <c r="A4049" s="74" t="str">
        <f t="shared" si="63"/>
        <v>浙江46386</v>
      </c>
      <c r="B4049" s="75" t="s">
        <v>26</v>
      </c>
      <c r="C4049" s="45">
        <v>46386</v>
      </c>
      <c r="D4049" s="76">
        <v>0</v>
      </c>
      <c r="E4049" s="77">
        <v>0</v>
      </c>
      <c r="F4049" s="78">
        <v>13.733343462941701</v>
      </c>
      <c r="G4049" s="78">
        <v>13.733343462941701</v>
      </c>
      <c r="H4049" s="81">
        <v>13.130945307521699</v>
      </c>
    </row>
    <row r="4050" spans="1:8" x14ac:dyDescent="0.3">
      <c r="A4050" s="74" t="str">
        <f t="shared" si="63"/>
        <v>浙江46387</v>
      </c>
      <c r="B4050" s="82" t="s">
        <v>26</v>
      </c>
      <c r="C4050" s="83">
        <v>46387</v>
      </c>
      <c r="D4050" s="84">
        <v>0</v>
      </c>
      <c r="E4050" s="85">
        <v>0</v>
      </c>
      <c r="F4050" s="86">
        <v>13.733343462941701</v>
      </c>
      <c r="G4050" s="86">
        <v>13.733343462941701</v>
      </c>
      <c r="H4050" s="87">
        <v>13.130945307521699</v>
      </c>
    </row>
    <row r="4051" spans="1:8" x14ac:dyDescent="0.3">
      <c r="A4051" s="74" t="str">
        <f t="shared" si="63"/>
        <v>河南46135</v>
      </c>
      <c r="B4051" s="75" t="s">
        <v>27</v>
      </c>
      <c r="C4051" s="45">
        <v>46135</v>
      </c>
      <c r="D4051" s="76">
        <v>2395.5816808388699</v>
      </c>
      <c r="E4051" s="77">
        <v>125</v>
      </c>
      <c r="F4051" s="78">
        <v>8.9840020698590806</v>
      </c>
      <c r="G4051" s="78">
        <v>8.9840020698590806</v>
      </c>
      <c r="H4051" s="81">
        <v>9.5516858675458796</v>
      </c>
    </row>
    <row r="4052" spans="1:8" x14ac:dyDescent="0.3">
      <c r="A4052" s="74" t="str">
        <f t="shared" si="63"/>
        <v>河南46136</v>
      </c>
      <c r="B4052" s="75" t="s">
        <v>27</v>
      </c>
      <c r="C4052" s="45">
        <v>46136</v>
      </c>
      <c r="D4052" s="76">
        <v>2395.5816808388699</v>
      </c>
      <c r="E4052" s="77">
        <v>125</v>
      </c>
      <c r="F4052" s="78">
        <v>8.9840020698590806</v>
      </c>
      <c r="G4052" s="78">
        <v>8.9840020698590806</v>
      </c>
      <c r="H4052" s="81">
        <v>9.5516858675458796</v>
      </c>
    </row>
    <row r="4053" spans="1:8" x14ac:dyDescent="0.3">
      <c r="A4053" s="74" t="str">
        <f t="shared" si="63"/>
        <v>河南46137</v>
      </c>
      <c r="B4053" s="75" t="s">
        <v>27</v>
      </c>
      <c r="C4053" s="45">
        <v>46137</v>
      </c>
      <c r="D4053" s="76">
        <v>2395.5816808388699</v>
      </c>
      <c r="E4053" s="77">
        <v>125</v>
      </c>
      <c r="F4053" s="78">
        <v>8.9840020698590806</v>
      </c>
      <c r="G4053" s="78">
        <v>8.9840020698590806</v>
      </c>
      <c r="H4053" s="81">
        <v>9.5516858675458796</v>
      </c>
    </row>
    <row r="4054" spans="1:8" x14ac:dyDescent="0.3">
      <c r="A4054" s="74" t="str">
        <f t="shared" si="63"/>
        <v>河南46138</v>
      </c>
      <c r="B4054" s="75" t="s">
        <v>27</v>
      </c>
      <c r="C4054" s="45">
        <v>46138</v>
      </c>
      <c r="D4054" s="76">
        <v>2395.5816808388699</v>
      </c>
      <c r="E4054" s="77">
        <v>125</v>
      </c>
      <c r="F4054" s="78">
        <v>8.9840020698590806</v>
      </c>
      <c r="G4054" s="78">
        <v>8.9840020698590806</v>
      </c>
      <c r="H4054" s="81">
        <v>9.5516858675458796</v>
      </c>
    </row>
    <row r="4055" spans="1:8" x14ac:dyDescent="0.3">
      <c r="A4055" s="74" t="str">
        <f t="shared" si="63"/>
        <v>河南46139</v>
      </c>
      <c r="B4055" s="75" t="s">
        <v>27</v>
      </c>
      <c r="C4055" s="45">
        <v>46139</v>
      </c>
      <c r="D4055" s="76">
        <v>2395.5816808388699</v>
      </c>
      <c r="E4055" s="77">
        <v>125</v>
      </c>
      <c r="F4055" s="78">
        <v>8.9840020698590806</v>
      </c>
      <c r="G4055" s="78">
        <v>8.9840020698590806</v>
      </c>
      <c r="H4055" s="81">
        <v>9.5516858675458796</v>
      </c>
    </row>
    <row r="4056" spans="1:8" x14ac:dyDescent="0.3">
      <c r="A4056" s="74" t="str">
        <f t="shared" si="63"/>
        <v>河南46140</v>
      </c>
      <c r="B4056" s="75" t="s">
        <v>27</v>
      </c>
      <c r="C4056" s="45">
        <v>46140</v>
      </c>
      <c r="D4056" s="76">
        <v>2395.5816808388699</v>
      </c>
      <c r="E4056" s="77">
        <v>125</v>
      </c>
      <c r="F4056" s="78">
        <v>8.9840020698590806</v>
      </c>
      <c r="G4056" s="78">
        <v>8.9840020698590806</v>
      </c>
      <c r="H4056" s="81">
        <v>9.5516858675458796</v>
      </c>
    </row>
    <row r="4057" spans="1:8" x14ac:dyDescent="0.3">
      <c r="A4057" s="74" t="str">
        <f t="shared" si="63"/>
        <v>河南46141</v>
      </c>
      <c r="B4057" s="75" t="s">
        <v>27</v>
      </c>
      <c r="C4057" s="45">
        <v>46141</v>
      </c>
      <c r="D4057" s="76">
        <v>2395.5816808388699</v>
      </c>
      <c r="E4057" s="77">
        <v>125</v>
      </c>
      <c r="F4057" s="78">
        <v>8.9840020698590806</v>
      </c>
      <c r="G4057" s="78">
        <v>8.9840020698590806</v>
      </c>
      <c r="H4057" s="81">
        <v>9.5516858675458796</v>
      </c>
    </row>
    <row r="4058" spans="1:8" x14ac:dyDescent="0.3">
      <c r="A4058" s="74" t="str">
        <f t="shared" si="63"/>
        <v>河南46142</v>
      </c>
      <c r="B4058" s="75" t="s">
        <v>27</v>
      </c>
      <c r="C4058" s="45">
        <v>46142</v>
      </c>
      <c r="D4058" s="76">
        <v>2395.5816808388699</v>
      </c>
      <c r="E4058" s="77">
        <v>125</v>
      </c>
      <c r="F4058" s="78">
        <v>8.9840020698590806</v>
      </c>
      <c r="G4058" s="78">
        <v>8.9840020698590806</v>
      </c>
      <c r="H4058" s="81">
        <v>9.5516858675458796</v>
      </c>
    </row>
    <row r="4059" spans="1:8" x14ac:dyDescent="0.3">
      <c r="A4059" s="74" t="str">
        <f t="shared" si="63"/>
        <v>河南46143</v>
      </c>
      <c r="B4059" s="75" t="s">
        <v>27</v>
      </c>
      <c r="C4059" s="45">
        <v>46143</v>
      </c>
      <c r="D4059" s="76">
        <v>2406.8527964699101</v>
      </c>
      <c r="E4059" s="77">
        <v>125</v>
      </c>
      <c r="F4059" s="78">
        <v>10.456011775783599</v>
      </c>
      <c r="G4059" s="78">
        <v>10.456011775783599</v>
      </c>
      <c r="H4059" s="81">
        <v>9.7686010811237107</v>
      </c>
    </row>
    <row r="4060" spans="1:8" x14ac:dyDescent="0.3">
      <c r="A4060" s="74" t="str">
        <f t="shared" si="63"/>
        <v>河南46144</v>
      </c>
      <c r="B4060" s="75" t="s">
        <v>27</v>
      </c>
      <c r="C4060" s="45">
        <v>46144</v>
      </c>
      <c r="D4060" s="76">
        <v>2406.8527964699101</v>
      </c>
      <c r="E4060" s="77">
        <v>125</v>
      </c>
      <c r="F4060" s="78">
        <v>10.456011775783599</v>
      </c>
      <c r="G4060" s="78">
        <v>10.456011775783599</v>
      </c>
      <c r="H4060" s="81">
        <v>9.7686010811237107</v>
      </c>
    </row>
    <row r="4061" spans="1:8" x14ac:dyDescent="0.3">
      <c r="A4061" s="74" t="str">
        <f t="shared" si="63"/>
        <v>河南46145</v>
      </c>
      <c r="B4061" s="75" t="s">
        <v>27</v>
      </c>
      <c r="C4061" s="45">
        <v>46145</v>
      </c>
      <c r="D4061" s="76">
        <v>2406.8527964699101</v>
      </c>
      <c r="E4061" s="77">
        <v>125</v>
      </c>
      <c r="F4061" s="78">
        <v>10.456011775783599</v>
      </c>
      <c r="G4061" s="78">
        <v>10.456011775783599</v>
      </c>
      <c r="H4061" s="81">
        <v>9.7686010811237107</v>
      </c>
    </row>
    <row r="4062" spans="1:8" x14ac:dyDescent="0.3">
      <c r="A4062" s="74" t="str">
        <f t="shared" si="63"/>
        <v>河南46146</v>
      </c>
      <c r="B4062" s="75" t="s">
        <v>27</v>
      </c>
      <c r="C4062" s="45">
        <v>46146</v>
      </c>
      <c r="D4062" s="76">
        <v>2406.8527964699101</v>
      </c>
      <c r="E4062" s="77">
        <v>125</v>
      </c>
      <c r="F4062" s="78">
        <v>10.456011775783599</v>
      </c>
      <c r="G4062" s="78">
        <v>10.456011775783599</v>
      </c>
      <c r="H4062" s="81">
        <v>9.7686010811237107</v>
      </c>
    </row>
    <row r="4063" spans="1:8" x14ac:dyDescent="0.3">
      <c r="A4063" s="74" t="str">
        <f t="shared" si="63"/>
        <v>河南46147</v>
      </c>
      <c r="B4063" s="75" t="s">
        <v>27</v>
      </c>
      <c r="C4063" s="45">
        <v>46147</v>
      </c>
      <c r="D4063" s="76">
        <v>2406.8527964699101</v>
      </c>
      <c r="E4063" s="77">
        <v>125</v>
      </c>
      <c r="F4063" s="78">
        <v>10.456011775783599</v>
      </c>
      <c r="G4063" s="78">
        <v>10.456011775783599</v>
      </c>
      <c r="H4063" s="81">
        <v>9.7686010811237107</v>
      </c>
    </row>
    <row r="4064" spans="1:8" x14ac:dyDescent="0.3">
      <c r="A4064" s="74" t="str">
        <f t="shared" si="63"/>
        <v>河南46148</v>
      </c>
      <c r="B4064" s="75" t="s">
        <v>27</v>
      </c>
      <c r="C4064" s="45">
        <v>46148</v>
      </c>
      <c r="D4064" s="76">
        <v>2406.8527964699101</v>
      </c>
      <c r="E4064" s="77">
        <v>125</v>
      </c>
      <c r="F4064" s="78">
        <v>10.456011775783599</v>
      </c>
      <c r="G4064" s="78">
        <v>10.456011775783599</v>
      </c>
      <c r="H4064" s="81">
        <v>9.7686010811237107</v>
      </c>
    </row>
    <row r="4065" spans="1:8" x14ac:dyDescent="0.3">
      <c r="A4065" s="74" t="str">
        <f t="shared" si="63"/>
        <v>河南46149</v>
      </c>
      <c r="B4065" s="75" t="s">
        <v>27</v>
      </c>
      <c r="C4065" s="45">
        <v>46149</v>
      </c>
      <c r="D4065" s="76">
        <v>2406.8527964699101</v>
      </c>
      <c r="E4065" s="77">
        <v>125</v>
      </c>
      <c r="F4065" s="78">
        <v>10.456011775783599</v>
      </c>
      <c r="G4065" s="78">
        <v>10.456011775783599</v>
      </c>
      <c r="H4065" s="81">
        <v>9.7686010811237107</v>
      </c>
    </row>
    <row r="4066" spans="1:8" x14ac:dyDescent="0.3">
      <c r="A4066" s="74" t="str">
        <f t="shared" si="63"/>
        <v>河南46150</v>
      </c>
      <c r="B4066" s="75" t="s">
        <v>27</v>
      </c>
      <c r="C4066" s="45">
        <v>46150</v>
      </c>
      <c r="D4066" s="76">
        <v>2406.8527964699101</v>
      </c>
      <c r="E4066" s="77">
        <v>125</v>
      </c>
      <c r="F4066" s="78">
        <v>10.456011775783599</v>
      </c>
      <c r="G4066" s="78">
        <v>10.456011775783599</v>
      </c>
      <c r="H4066" s="81">
        <v>9.7686010811237107</v>
      </c>
    </row>
    <row r="4067" spans="1:8" x14ac:dyDescent="0.3">
      <c r="A4067" s="74" t="str">
        <f t="shared" si="63"/>
        <v>河南46151</v>
      </c>
      <c r="B4067" s="75" t="s">
        <v>27</v>
      </c>
      <c r="C4067" s="45">
        <v>46151</v>
      </c>
      <c r="D4067" s="76">
        <v>2406.8527964699101</v>
      </c>
      <c r="E4067" s="77">
        <v>125</v>
      </c>
      <c r="F4067" s="78">
        <v>10.456011775783599</v>
      </c>
      <c r="G4067" s="78">
        <v>10.456011775783599</v>
      </c>
      <c r="H4067" s="81">
        <v>9.7686010811237107</v>
      </c>
    </row>
    <row r="4068" spans="1:8" x14ac:dyDescent="0.3">
      <c r="A4068" s="74" t="str">
        <f t="shared" si="63"/>
        <v>河南46152</v>
      </c>
      <c r="B4068" s="75" t="s">
        <v>27</v>
      </c>
      <c r="C4068" s="45">
        <v>46152</v>
      </c>
      <c r="D4068" s="76">
        <v>2406.8527964699101</v>
      </c>
      <c r="E4068" s="77">
        <v>125</v>
      </c>
      <c r="F4068" s="78">
        <v>10.456011775783599</v>
      </c>
      <c r="G4068" s="78">
        <v>10.456011775783599</v>
      </c>
      <c r="H4068" s="81">
        <v>9.7686010811237107</v>
      </c>
    </row>
    <row r="4069" spans="1:8" x14ac:dyDescent="0.3">
      <c r="A4069" s="74" t="str">
        <f t="shared" si="63"/>
        <v>河南46153</v>
      </c>
      <c r="B4069" s="75" t="s">
        <v>27</v>
      </c>
      <c r="C4069" s="45">
        <v>46153</v>
      </c>
      <c r="D4069" s="76">
        <v>2406.8527964699101</v>
      </c>
      <c r="E4069" s="77">
        <v>125</v>
      </c>
      <c r="F4069" s="78">
        <v>10.456011775783599</v>
      </c>
      <c r="G4069" s="78">
        <v>10.456011775783599</v>
      </c>
      <c r="H4069" s="81">
        <v>9.7686010811237107</v>
      </c>
    </row>
    <row r="4070" spans="1:8" x14ac:dyDescent="0.3">
      <c r="A4070" s="74" t="str">
        <f t="shared" si="63"/>
        <v>河南46154</v>
      </c>
      <c r="B4070" s="75" t="s">
        <v>27</v>
      </c>
      <c r="C4070" s="45">
        <v>46154</v>
      </c>
      <c r="D4070" s="76">
        <v>2406.8527964699101</v>
      </c>
      <c r="E4070" s="77">
        <v>125</v>
      </c>
      <c r="F4070" s="78">
        <v>10.456011775783599</v>
      </c>
      <c r="G4070" s="78">
        <v>10.456011775783599</v>
      </c>
      <c r="H4070" s="81">
        <v>9.7686010811237107</v>
      </c>
    </row>
    <row r="4071" spans="1:8" x14ac:dyDescent="0.3">
      <c r="A4071" s="74" t="str">
        <f t="shared" si="63"/>
        <v>河南46155</v>
      </c>
      <c r="B4071" s="75" t="s">
        <v>27</v>
      </c>
      <c r="C4071" s="45">
        <v>46155</v>
      </c>
      <c r="D4071" s="76">
        <v>2406.8527964699101</v>
      </c>
      <c r="E4071" s="77">
        <v>125</v>
      </c>
      <c r="F4071" s="78">
        <v>10.456011775783599</v>
      </c>
      <c r="G4071" s="78">
        <v>10.456011775783599</v>
      </c>
      <c r="H4071" s="81">
        <v>9.7686010811237107</v>
      </c>
    </row>
    <row r="4072" spans="1:8" x14ac:dyDescent="0.3">
      <c r="A4072" s="74" t="str">
        <f t="shared" si="63"/>
        <v>河南46156</v>
      </c>
      <c r="B4072" s="75" t="s">
        <v>27</v>
      </c>
      <c r="C4072" s="45">
        <v>46156</v>
      </c>
      <c r="D4072" s="76">
        <v>2406.8527964699101</v>
      </c>
      <c r="E4072" s="77">
        <v>125</v>
      </c>
      <c r="F4072" s="78">
        <v>10.456011775783599</v>
      </c>
      <c r="G4072" s="78">
        <v>10.456011775783599</v>
      </c>
      <c r="H4072" s="81">
        <v>9.7686010811237107</v>
      </c>
    </row>
    <row r="4073" spans="1:8" x14ac:dyDescent="0.3">
      <c r="A4073" s="74" t="str">
        <f t="shared" si="63"/>
        <v>河南46157</v>
      </c>
      <c r="B4073" s="75" t="s">
        <v>27</v>
      </c>
      <c r="C4073" s="45">
        <v>46157</v>
      </c>
      <c r="D4073" s="76">
        <v>2406.8527964699101</v>
      </c>
      <c r="E4073" s="77">
        <v>125</v>
      </c>
      <c r="F4073" s="78">
        <v>10.456011775783599</v>
      </c>
      <c r="G4073" s="78">
        <v>10.456011775783599</v>
      </c>
      <c r="H4073" s="81">
        <v>9.7686010811237107</v>
      </c>
    </row>
    <row r="4074" spans="1:8" x14ac:dyDescent="0.3">
      <c r="A4074" s="74" t="str">
        <f t="shared" si="63"/>
        <v>河南46158</v>
      </c>
      <c r="B4074" s="75" t="s">
        <v>27</v>
      </c>
      <c r="C4074" s="45">
        <v>46158</v>
      </c>
      <c r="D4074" s="76">
        <v>2406.8527964699101</v>
      </c>
      <c r="E4074" s="77">
        <v>125</v>
      </c>
      <c r="F4074" s="78">
        <v>10.456011775783599</v>
      </c>
      <c r="G4074" s="78">
        <v>10.456011775783599</v>
      </c>
      <c r="H4074" s="81">
        <v>9.7686010811237107</v>
      </c>
    </row>
    <row r="4075" spans="1:8" x14ac:dyDescent="0.3">
      <c r="A4075" s="74" t="str">
        <f t="shared" si="63"/>
        <v>河南46159</v>
      </c>
      <c r="B4075" s="75" t="s">
        <v>27</v>
      </c>
      <c r="C4075" s="45">
        <v>46159</v>
      </c>
      <c r="D4075" s="76">
        <v>2406.8527964699101</v>
      </c>
      <c r="E4075" s="77">
        <v>125</v>
      </c>
      <c r="F4075" s="78">
        <v>10.456011775783599</v>
      </c>
      <c r="G4075" s="78">
        <v>10.456011775783599</v>
      </c>
      <c r="H4075" s="81">
        <v>9.7686010811237107</v>
      </c>
    </row>
    <row r="4076" spans="1:8" x14ac:dyDescent="0.3">
      <c r="A4076" s="74" t="str">
        <f t="shared" si="63"/>
        <v>河南46160</v>
      </c>
      <c r="B4076" s="75" t="s">
        <v>27</v>
      </c>
      <c r="C4076" s="45">
        <v>46160</v>
      </c>
      <c r="D4076" s="76">
        <v>2406.8527964699101</v>
      </c>
      <c r="E4076" s="77">
        <v>125</v>
      </c>
      <c r="F4076" s="78">
        <v>10.456011775783599</v>
      </c>
      <c r="G4076" s="78">
        <v>10.456011775783599</v>
      </c>
      <c r="H4076" s="81">
        <v>9.7686010811237107</v>
      </c>
    </row>
    <row r="4077" spans="1:8" x14ac:dyDescent="0.3">
      <c r="A4077" s="74" t="str">
        <f t="shared" si="63"/>
        <v>河南46161</v>
      </c>
      <c r="B4077" s="75" t="s">
        <v>27</v>
      </c>
      <c r="C4077" s="45">
        <v>46161</v>
      </c>
      <c r="D4077" s="76">
        <v>2406.8527964699101</v>
      </c>
      <c r="E4077" s="77">
        <v>125</v>
      </c>
      <c r="F4077" s="78">
        <v>10.456011775783599</v>
      </c>
      <c r="G4077" s="78">
        <v>10.456011775783599</v>
      </c>
      <c r="H4077" s="81">
        <v>9.7686010811237107</v>
      </c>
    </row>
    <row r="4078" spans="1:8" x14ac:dyDescent="0.3">
      <c r="A4078" s="74" t="str">
        <f t="shared" si="63"/>
        <v>河南46162</v>
      </c>
      <c r="B4078" s="75" t="s">
        <v>27</v>
      </c>
      <c r="C4078" s="45">
        <v>46162</v>
      </c>
      <c r="D4078" s="76">
        <v>2406.8527964699101</v>
      </c>
      <c r="E4078" s="77">
        <v>125</v>
      </c>
      <c r="F4078" s="78">
        <v>10.456011775783599</v>
      </c>
      <c r="G4078" s="78">
        <v>10.456011775783599</v>
      </c>
      <c r="H4078" s="81">
        <v>9.7686010811237107</v>
      </c>
    </row>
    <row r="4079" spans="1:8" x14ac:dyDescent="0.3">
      <c r="A4079" s="74" t="str">
        <f t="shared" si="63"/>
        <v>河南46163</v>
      </c>
      <c r="B4079" s="75" t="s">
        <v>27</v>
      </c>
      <c r="C4079" s="45">
        <v>46163</v>
      </c>
      <c r="D4079" s="76">
        <v>2406.8527964699101</v>
      </c>
      <c r="E4079" s="77">
        <v>125</v>
      </c>
      <c r="F4079" s="78">
        <v>10.456011775783599</v>
      </c>
      <c r="G4079" s="78">
        <v>10.456011775783599</v>
      </c>
      <c r="H4079" s="81">
        <v>9.7686010811237107</v>
      </c>
    </row>
    <row r="4080" spans="1:8" x14ac:dyDescent="0.3">
      <c r="A4080" s="74" t="str">
        <f t="shared" si="63"/>
        <v>河南46164</v>
      </c>
      <c r="B4080" s="75" t="s">
        <v>27</v>
      </c>
      <c r="C4080" s="45">
        <v>46164</v>
      </c>
      <c r="D4080" s="76">
        <v>2406.8527964699101</v>
      </c>
      <c r="E4080" s="77">
        <v>125</v>
      </c>
      <c r="F4080" s="78">
        <v>10.456011775783599</v>
      </c>
      <c r="G4080" s="78">
        <v>10.456011775783599</v>
      </c>
      <c r="H4080" s="81">
        <v>9.7686010811237107</v>
      </c>
    </row>
    <row r="4081" spans="1:8" x14ac:dyDescent="0.3">
      <c r="A4081" s="74" t="str">
        <f t="shared" si="63"/>
        <v>河南46165</v>
      </c>
      <c r="B4081" s="75" t="s">
        <v>27</v>
      </c>
      <c r="C4081" s="45">
        <v>46165</v>
      </c>
      <c r="D4081" s="76">
        <v>2406.8527964699101</v>
      </c>
      <c r="E4081" s="77">
        <v>125</v>
      </c>
      <c r="F4081" s="78">
        <v>10.456011775783599</v>
      </c>
      <c r="G4081" s="78">
        <v>10.456011775783599</v>
      </c>
      <c r="H4081" s="81">
        <v>9.7686010811237107</v>
      </c>
    </row>
    <row r="4082" spans="1:8" x14ac:dyDescent="0.3">
      <c r="A4082" s="74" t="str">
        <f t="shared" si="63"/>
        <v>河南46166</v>
      </c>
      <c r="B4082" s="75" t="s">
        <v>27</v>
      </c>
      <c r="C4082" s="45">
        <v>46166</v>
      </c>
      <c r="D4082" s="76">
        <v>2406.8527964699101</v>
      </c>
      <c r="E4082" s="77">
        <v>125</v>
      </c>
      <c r="F4082" s="78">
        <v>10.456011775783599</v>
      </c>
      <c r="G4082" s="78">
        <v>10.456011775783599</v>
      </c>
      <c r="H4082" s="81">
        <v>9.7686010811237107</v>
      </c>
    </row>
    <row r="4083" spans="1:8" x14ac:dyDescent="0.3">
      <c r="A4083" s="74" t="str">
        <f t="shared" si="63"/>
        <v>河南46167</v>
      </c>
      <c r="B4083" s="75" t="s">
        <v>27</v>
      </c>
      <c r="C4083" s="45">
        <v>46167</v>
      </c>
      <c r="D4083" s="76">
        <v>2406.8527964699101</v>
      </c>
      <c r="E4083" s="77">
        <v>125</v>
      </c>
      <c r="F4083" s="78">
        <v>10.456011775783599</v>
      </c>
      <c r="G4083" s="78">
        <v>10.456011775783599</v>
      </c>
      <c r="H4083" s="81">
        <v>9.7686010811237107</v>
      </c>
    </row>
    <row r="4084" spans="1:8" x14ac:dyDescent="0.3">
      <c r="A4084" s="74" t="str">
        <f t="shared" si="63"/>
        <v>河南46168</v>
      </c>
      <c r="B4084" s="75" t="s">
        <v>27</v>
      </c>
      <c r="C4084" s="45">
        <v>46168</v>
      </c>
      <c r="D4084" s="76">
        <v>2406.8527964699101</v>
      </c>
      <c r="E4084" s="77">
        <v>125</v>
      </c>
      <c r="F4084" s="78">
        <v>10.456011775783599</v>
      </c>
      <c r="G4084" s="78">
        <v>10.456011775783599</v>
      </c>
      <c r="H4084" s="81">
        <v>9.7686010811237107</v>
      </c>
    </row>
    <row r="4085" spans="1:8" x14ac:dyDescent="0.3">
      <c r="A4085" s="74" t="str">
        <f t="shared" si="63"/>
        <v>河南46169</v>
      </c>
      <c r="B4085" s="75" t="s">
        <v>27</v>
      </c>
      <c r="C4085" s="45">
        <v>46169</v>
      </c>
      <c r="D4085" s="76">
        <v>2406.8527964699101</v>
      </c>
      <c r="E4085" s="77">
        <v>125</v>
      </c>
      <c r="F4085" s="78">
        <v>10.456011775783599</v>
      </c>
      <c r="G4085" s="78">
        <v>10.456011775783599</v>
      </c>
      <c r="H4085" s="81">
        <v>9.7686010811237107</v>
      </c>
    </row>
    <row r="4086" spans="1:8" x14ac:dyDescent="0.3">
      <c r="A4086" s="74" t="str">
        <f t="shared" si="63"/>
        <v>河南46170</v>
      </c>
      <c r="B4086" s="75" t="s">
        <v>27</v>
      </c>
      <c r="C4086" s="45">
        <v>46170</v>
      </c>
      <c r="D4086" s="76">
        <v>2406.8527964699101</v>
      </c>
      <c r="E4086" s="77">
        <v>125</v>
      </c>
      <c r="F4086" s="78">
        <v>10.456011775783599</v>
      </c>
      <c r="G4086" s="78">
        <v>10.456011775783599</v>
      </c>
      <c r="H4086" s="81">
        <v>9.7686010811237107</v>
      </c>
    </row>
    <row r="4087" spans="1:8" x14ac:dyDescent="0.3">
      <c r="A4087" s="74" t="str">
        <f t="shared" si="63"/>
        <v>河南46171</v>
      </c>
      <c r="B4087" s="75" t="s">
        <v>27</v>
      </c>
      <c r="C4087" s="45">
        <v>46171</v>
      </c>
      <c r="D4087" s="76">
        <v>2406.8527964699101</v>
      </c>
      <c r="E4087" s="77">
        <v>125</v>
      </c>
      <c r="F4087" s="78">
        <v>10.456011775783599</v>
      </c>
      <c r="G4087" s="78">
        <v>10.456011775783599</v>
      </c>
      <c r="H4087" s="81">
        <v>9.7686010811237107</v>
      </c>
    </row>
    <row r="4088" spans="1:8" x14ac:dyDescent="0.3">
      <c r="A4088" s="74" t="str">
        <f t="shared" si="63"/>
        <v>河南46172</v>
      </c>
      <c r="B4088" s="75" t="s">
        <v>27</v>
      </c>
      <c r="C4088" s="45">
        <v>46172</v>
      </c>
      <c r="D4088" s="76">
        <v>2406.8527964699101</v>
      </c>
      <c r="E4088" s="77">
        <v>125</v>
      </c>
      <c r="F4088" s="78">
        <v>10.456011775783599</v>
      </c>
      <c r="G4088" s="78">
        <v>10.456011775783599</v>
      </c>
      <c r="H4088" s="81">
        <v>9.7686010811237107</v>
      </c>
    </row>
    <row r="4089" spans="1:8" x14ac:dyDescent="0.3">
      <c r="A4089" s="74" t="str">
        <f t="shared" si="63"/>
        <v>河南46173</v>
      </c>
      <c r="B4089" s="75" t="s">
        <v>27</v>
      </c>
      <c r="C4089" s="45">
        <v>46173</v>
      </c>
      <c r="D4089" s="76">
        <v>2406.8527964699101</v>
      </c>
      <c r="E4089" s="77">
        <v>125</v>
      </c>
      <c r="F4089" s="78">
        <v>10.456011775783599</v>
      </c>
      <c r="G4089" s="78">
        <v>10.456011775783599</v>
      </c>
      <c r="H4089" s="81">
        <v>9.7686010811237107</v>
      </c>
    </row>
    <row r="4090" spans="1:8" x14ac:dyDescent="0.3">
      <c r="A4090" s="74" t="str">
        <f t="shared" si="63"/>
        <v>河南46174</v>
      </c>
      <c r="B4090" s="75" t="s">
        <v>27</v>
      </c>
      <c r="C4090" s="45">
        <v>46174</v>
      </c>
      <c r="D4090" s="76">
        <v>2099.0804179807801</v>
      </c>
      <c r="E4090" s="77">
        <v>125</v>
      </c>
      <c r="F4090" s="78">
        <v>11.474290283912</v>
      </c>
      <c r="G4090" s="78">
        <v>11.474290283912</v>
      </c>
      <c r="H4090" s="81">
        <v>10.633034834082499</v>
      </c>
    </row>
    <row r="4091" spans="1:8" x14ac:dyDescent="0.3">
      <c r="A4091" s="74" t="str">
        <f t="shared" si="63"/>
        <v>河南46175</v>
      </c>
      <c r="B4091" s="75" t="s">
        <v>27</v>
      </c>
      <c r="C4091" s="45">
        <v>46175</v>
      </c>
      <c r="D4091" s="76">
        <v>2099.0804179807801</v>
      </c>
      <c r="E4091" s="77">
        <v>125</v>
      </c>
      <c r="F4091" s="78">
        <v>11.474290283912</v>
      </c>
      <c r="G4091" s="78">
        <v>11.474290283912</v>
      </c>
      <c r="H4091" s="81">
        <v>10.633034834082499</v>
      </c>
    </row>
    <row r="4092" spans="1:8" x14ac:dyDescent="0.3">
      <c r="A4092" s="74" t="str">
        <f t="shared" si="63"/>
        <v>河南46176</v>
      </c>
      <c r="B4092" s="75" t="s">
        <v>27</v>
      </c>
      <c r="C4092" s="45">
        <v>46176</v>
      </c>
      <c r="D4092" s="76">
        <v>2099.0804179807801</v>
      </c>
      <c r="E4092" s="77">
        <v>125</v>
      </c>
      <c r="F4092" s="78">
        <v>11.474290283912</v>
      </c>
      <c r="G4092" s="78">
        <v>11.474290283912</v>
      </c>
      <c r="H4092" s="81">
        <v>10.633034834082499</v>
      </c>
    </row>
    <row r="4093" spans="1:8" x14ac:dyDescent="0.3">
      <c r="A4093" s="74" t="str">
        <f t="shared" si="63"/>
        <v>河南46177</v>
      </c>
      <c r="B4093" s="75" t="s">
        <v>27</v>
      </c>
      <c r="C4093" s="45">
        <v>46177</v>
      </c>
      <c r="D4093" s="76">
        <v>2099.0804179807801</v>
      </c>
      <c r="E4093" s="77">
        <v>125</v>
      </c>
      <c r="F4093" s="78">
        <v>11.474290283912</v>
      </c>
      <c r="G4093" s="78">
        <v>11.474290283912</v>
      </c>
      <c r="H4093" s="81">
        <v>10.633034834082499</v>
      </c>
    </row>
    <row r="4094" spans="1:8" x14ac:dyDescent="0.3">
      <c r="A4094" s="74" t="str">
        <f t="shared" si="63"/>
        <v>河南46178</v>
      </c>
      <c r="B4094" s="75" t="s">
        <v>27</v>
      </c>
      <c r="C4094" s="45">
        <v>46178</v>
      </c>
      <c r="D4094" s="76">
        <v>2099.0804179807801</v>
      </c>
      <c r="E4094" s="77">
        <v>125</v>
      </c>
      <c r="F4094" s="78">
        <v>11.474290283912</v>
      </c>
      <c r="G4094" s="78">
        <v>11.474290283912</v>
      </c>
      <c r="H4094" s="81">
        <v>10.633034834082499</v>
      </c>
    </row>
    <row r="4095" spans="1:8" x14ac:dyDescent="0.3">
      <c r="A4095" s="74" t="str">
        <f t="shared" si="63"/>
        <v>河南46179</v>
      </c>
      <c r="B4095" s="75" t="s">
        <v>27</v>
      </c>
      <c r="C4095" s="45">
        <v>46179</v>
      </c>
      <c r="D4095" s="76">
        <v>2099.0804179807801</v>
      </c>
      <c r="E4095" s="77">
        <v>125</v>
      </c>
      <c r="F4095" s="78">
        <v>11.474290283912</v>
      </c>
      <c r="G4095" s="78">
        <v>11.474290283912</v>
      </c>
      <c r="H4095" s="81">
        <v>10.633034834082499</v>
      </c>
    </row>
    <row r="4096" spans="1:8" x14ac:dyDescent="0.3">
      <c r="A4096" s="74" t="str">
        <f t="shared" si="63"/>
        <v>河南46180</v>
      </c>
      <c r="B4096" s="75" t="s">
        <v>27</v>
      </c>
      <c r="C4096" s="45">
        <v>46180</v>
      </c>
      <c r="D4096" s="76">
        <v>2099.0804179807801</v>
      </c>
      <c r="E4096" s="77">
        <v>125</v>
      </c>
      <c r="F4096" s="78">
        <v>11.474290283912</v>
      </c>
      <c r="G4096" s="78">
        <v>11.474290283912</v>
      </c>
      <c r="H4096" s="81">
        <v>10.633034834082499</v>
      </c>
    </row>
    <row r="4097" spans="1:8" x14ac:dyDescent="0.3">
      <c r="A4097" s="74" t="str">
        <f t="shared" si="63"/>
        <v>河南46181</v>
      </c>
      <c r="B4097" s="75" t="s">
        <v>27</v>
      </c>
      <c r="C4097" s="45">
        <v>46181</v>
      </c>
      <c r="D4097" s="76">
        <v>2099.0804179807801</v>
      </c>
      <c r="E4097" s="77">
        <v>125</v>
      </c>
      <c r="F4097" s="78">
        <v>11.474290283912</v>
      </c>
      <c r="G4097" s="78">
        <v>11.474290283912</v>
      </c>
      <c r="H4097" s="81">
        <v>10.633034834082499</v>
      </c>
    </row>
    <row r="4098" spans="1:8" x14ac:dyDescent="0.3">
      <c r="A4098" s="74" t="str">
        <f t="shared" si="63"/>
        <v>河南46182</v>
      </c>
      <c r="B4098" s="75" t="s">
        <v>27</v>
      </c>
      <c r="C4098" s="45">
        <v>46182</v>
      </c>
      <c r="D4098" s="76">
        <v>2099.0804179807801</v>
      </c>
      <c r="E4098" s="77">
        <v>125</v>
      </c>
      <c r="F4098" s="78">
        <v>11.474290283912</v>
      </c>
      <c r="G4098" s="78">
        <v>11.474290283912</v>
      </c>
      <c r="H4098" s="81">
        <v>10.633034834082499</v>
      </c>
    </row>
    <row r="4099" spans="1:8" x14ac:dyDescent="0.3">
      <c r="A4099" s="74" t="str">
        <f t="shared" ref="A4099:A4162" si="64">B4099&amp;C4099</f>
        <v>河南46183</v>
      </c>
      <c r="B4099" s="75" t="s">
        <v>27</v>
      </c>
      <c r="C4099" s="45">
        <v>46183</v>
      </c>
      <c r="D4099" s="76">
        <v>2099.0804179807801</v>
      </c>
      <c r="E4099" s="77">
        <v>125</v>
      </c>
      <c r="F4099" s="78">
        <v>11.474290283912</v>
      </c>
      <c r="G4099" s="78">
        <v>11.474290283912</v>
      </c>
      <c r="H4099" s="81">
        <v>10.633034834082499</v>
      </c>
    </row>
    <row r="4100" spans="1:8" x14ac:dyDescent="0.3">
      <c r="A4100" s="74" t="str">
        <f t="shared" si="64"/>
        <v>河南46184</v>
      </c>
      <c r="B4100" s="75" t="s">
        <v>27</v>
      </c>
      <c r="C4100" s="45">
        <v>46184</v>
      </c>
      <c r="D4100" s="76">
        <v>2099.0804179807801</v>
      </c>
      <c r="E4100" s="77">
        <v>125</v>
      </c>
      <c r="F4100" s="78">
        <v>11.474290283912</v>
      </c>
      <c r="G4100" s="78">
        <v>11.474290283912</v>
      </c>
      <c r="H4100" s="81">
        <v>10.633034834082499</v>
      </c>
    </row>
    <row r="4101" spans="1:8" x14ac:dyDescent="0.3">
      <c r="A4101" s="74" t="str">
        <f t="shared" si="64"/>
        <v>河南46185</v>
      </c>
      <c r="B4101" s="75" t="s">
        <v>27</v>
      </c>
      <c r="C4101" s="45">
        <v>46185</v>
      </c>
      <c r="D4101" s="76">
        <v>2099.0804179807801</v>
      </c>
      <c r="E4101" s="77">
        <v>125</v>
      </c>
      <c r="F4101" s="78">
        <v>11.474290283912</v>
      </c>
      <c r="G4101" s="78">
        <v>11.474290283912</v>
      </c>
      <c r="H4101" s="81">
        <v>10.633034834082499</v>
      </c>
    </row>
    <row r="4102" spans="1:8" x14ac:dyDescent="0.3">
      <c r="A4102" s="74" t="str">
        <f t="shared" si="64"/>
        <v>河南46186</v>
      </c>
      <c r="B4102" s="75" t="s">
        <v>27</v>
      </c>
      <c r="C4102" s="45">
        <v>46186</v>
      </c>
      <c r="D4102" s="76">
        <v>2099.0804179807801</v>
      </c>
      <c r="E4102" s="77">
        <v>125</v>
      </c>
      <c r="F4102" s="78">
        <v>11.474290283912</v>
      </c>
      <c r="G4102" s="78">
        <v>11.474290283912</v>
      </c>
      <c r="H4102" s="81">
        <v>10.633034834082499</v>
      </c>
    </row>
    <row r="4103" spans="1:8" x14ac:dyDescent="0.3">
      <c r="A4103" s="74" t="str">
        <f t="shared" si="64"/>
        <v>河南46187</v>
      </c>
      <c r="B4103" s="75" t="s">
        <v>27</v>
      </c>
      <c r="C4103" s="45">
        <v>46187</v>
      </c>
      <c r="D4103" s="76">
        <v>2099.0804179807801</v>
      </c>
      <c r="E4103" s="77">
        <v>125</v>
      </c>
      <c r="F4103" s="78">
        <v>11.474290283912</v>
      </c>
      <c r="G4103" s="78">
        <v>11.474290283912</v>
      </c>
      <c r="H4103" s="81">
        <v>10.633034834082499</v>
      </c>
    </row>
    <row r="4104" spans="1:8" x14ac:dyDescent="0.3">
      <c r="A4104" s="74" t="str">
        <f t="shared" si="64"/>
        <v>河南46188</v>
      </c>
      <c r="B4104" s="75" t="s">
        <v>27</v>
      </c>
      <c r="C4104" s="45">
        <v>46188</v>
      </c>
      <c r="D4104" s="76">
        <v>2099.0804179807801</v>
      </c>
      <c r="E4104" s="77">
        <v>125</v>
      </c>
      <c r="F4104" s="78">
        <v>11.474290283912</v>
      </c>
      <c r="G4104" s="78">
        <v>11.474290283912</v>
      </c>
      <c r="H4104" s="81">
        <v>10.633034834082499</v>
      </c>
    </row>
    <row r="4105" spans="1:8" x14ac:dyDescent="0.3">
      <c r="A4105" s="74" t="str">
        <f t="shared" si="64"/>
        <v>河南46189</v>
      </c>
      <c r="B4105" s="75" t="s">
        <v>27</v>
      </c>
      <c r="C4105" s="45">
        <v>46189</v>
      </c>
      <c r="D4105" s="76">
        <v>2099.0804179807801</v>
      </c>
      <c r="E4105" s="77">
        <v>125</v>
      </c>
      <c r="F4105" s="78">
        <v>11.474290283912</v>
      </c>
      <c r="G4105" s="78">
        <v>11.474290283912</v>
      </c>
      <c r="H4105" s="81">
        <v>10.633034834082499</v>
      </c>
    </row>
    <row r="4106" spans="1:8" x14ac:dyDescent="0.3">
      <c r="A4106" s="74" t="str">
        <f t="shared" si="64"/>
        <v>河南46190</v>
      </c>
      <c r="B4106" s="75" t="s">
        <v>27</v>
      </c>
      <c r="C4106" s="45">
        <v>46190</v>
      </c>
      <c r="D4106" s="76">
        <v>2099.0804179807801</v>
      </c>
      <c r="E4106" s="77">
        <v>125</v>
      </c>
      <c r="F4106" s="78">
        <v>11.474290283912</v>
      </c>
      <c r="G4106" s="78">
        <v>11.474290283912</v>
      </c>
      <c r="H4106" s="81">
        <v>10.633034834082499</v>
      </c>
    </row>
    <row r="4107" spans="1:8" x14ac:dyDescent="0.3">
      <c r="A4107" s="74" t="str">
        <f t="shared" si="64"/>
        <v>河南46191</v>
      </c>
      <c r="B4107" s="75" t="s">
        <v>27</v>
      </c>
      <c r="C4107" s="45">
        <v>46191</v>
      </c>
      <c r="D4107" s="76">
        <v>2099.0804179807801</v>
      </c>
      <c r="E4107" s="77">
        <v>125</v>
      </c>
      <c r="F4107" s="78">
        <v>11.474290283912</v>
      </c>
      <c r="G4107" s="78">
        <v>11.474290283912</v>
      </c>
      <c r="H4107" s="81">
        <v>10.633034834082499</v>
      </c>
    </row>
    <row r="4108" spans="1:8" x14ac:dyDescent="0.3">
      <c r="A4108" s="74" t="str">
        <f t="shared" si="64"/>
        <v>河南46192</v>
      </c>
      <c r="B4108" s="75" t="s">
        <v>27</v>
      </c>
      <c r="C4108" s="45">
        <v>46192</v>
      </c>
      <c r="D4108" s="76">
        <v>2099.0804179807801</v>
      </c>
      <c r="E4108" s="77">
        <v>125</v>
      </c>
      <c r="F4108" s="78">
        <v>11.474290283912</v>
      </c>
      <c r="G4108" s="78">
        <v>11.474290283912</v>
      </c>
      <c r="H4108" s="81">
        <v>10.633034834082499</v>
      </c>
    </row>
    <row r="4109" spans="1:8" x14ac:dyDescent="0.3">
      <c r="A4109" s="74" t="str">
        <f t="shared" si="64"/>
        <v>河南46193</v>
      </c>
      <c r="B4109" s="75" t="s">
        <v>27</v>
      </c>
      <c r="C4109" s="45">
        <v>46193</v>
      </c>
      <c r="D4109" s="76">
        <v>2099.0804179807801</v>
      </c>
      <c r="E4109" s="77">
        <v>125</v>
      </c>
      <c r="F4109" s="78">
        <v>11.474290283912</v>
      </c>
      <c r="G4109" s="78">
        <v>11.474290283912</v>
      </c>
      <c r="H4109" s="81">
        <v>10.633034834082499</v>
      </c>
    </row>
    <row r="4110" spans="1:8" x14ac:dyDescent="0.3">
      <c r="A4110" s="74" t="str">
        <f t="shared" si="64"/>
        <v>河南46194</v>
      </c>
      <c r="B4110" s="75" t="s">
        <v>27</v>
      </c>
      <c r="C4110" s="45">
        <v>46194</v>
      </c>
      <c r="D4110" s="76">
        <v>2099.0804179807801</v>
      </c>
      <c r="E4110" s="77">
        <v>125</v>
      </c>
      <c r="F4110" s="78">
        <v>11.474290283912</v>
      </c>
      <c r="G4110" s="78">
        <v>11.474290283912</v>
      </c>
      <c r="H4110" s="81">
        <v>10.633034834082499</v>
      </c>
    </row>
    <row r="4111" spans="1:8" x14ac:dyDescent="0.3">
      <c r="A4111" s="74" t="str">
        <f t="shared" si="64"/>
        <v>河南46195</v>
      </c>
      <c r="B4111" s="75" t="s">
        <v>27</v>
      </c>
      <c r="C4111" s="45">
        <v>46195</v>
      </c>
      <c r="D4111" s="76">
        <v>2099.0804179807801</v>
      </c>
      <c r="E4111" s="77">
        <v>125</v>
      </c>
      <c r="F4111" s="78">
        <v>11.474290283912</v>
      </c>
      <c r="G4111" s="78">
        <v>11.474290283912</v>
      </c>
      <c r="H4111" s="81">
        <v>10.633034834082499</v>
      </c>
    </row>
    <row r="4112" spans="1:8" x14ac:dyDescent="0.3">
      <c r="A4112" s="74" t="str">
        <f t="shared" si="64"/>
        <v>河南46196</v>
      </c>
      <c r="B4112" s="75" t="s">
        <v>27</v>
      </c>
      <c r="C4112" s="45">
        <v>46196</v>
      </c>
      <c r="D4112" s="76">
        <v>2099.0804179807801</v>
      </c>
      <c r="E4112" s="77">
        <v>125</v>
      </c>
      <c r="F4112" s="78">
        <v>11.474290283912</v>
      </c>
      <c r="G4112" s="78">
        <v>11.474290283912</v>
      </c>
      <c r="H4112" s="81">
        <v>10.633034834082499</v>
      </c>
    </row>
    <row r="4113" spans="1:8" x14ac:dyDescent="0.3">
      <c r="A4113" s="74" t="str">
        <f t="shared" si="64"/>
        <v>河南46197</v>
      </c>
      <c r="B4113" s="75" t="s">
        <v>27</v>
      </c>
      <c r="C4113" s="45">
        <v>46197</v>
      </c>
      <c r="D4113" s="76">
        <v>2099.0804179807801</v>
      </c>
      <c r="E4113" s="77">
        <v>125</v>
      </c>
      <c r="F4113" s="78">
        <v>11.474290283912</v>
      </c>
      <c r="G4113" s="78">
        <v>11.474290283912</v>
      </c>
      <c r="H4113" s="81">
        <v>10.633034834082499</v>
      </c>
    </row>
    <row r="4114" spans="1:8" x14ac:dyDescent="0.3">
      <c r="A4114" s="74" t="str">
        <f t="shared" si="64"/>
        <v>河南46198</v>
      </c>
      <c r="B4114" s="75" t="s">
        <v>27</v>
      </c>
      <c r="C4114" s="45">
        <v>46198</v>
      </c>
      <c r="D4114" s="76">
        <v>2099.0804179807801</v>
      </c>
      <c r="E4114" s="77">
        <v>125</v>
      </c>
      <c r="F4114" s="78">
        <v>11.474290283912</v>
      </c>
      <c r="G4114" s="78">
        <v>11.474290283912</v>
      </c>
      <c r="H4114" s="81">
        <v>10.633034834082499</v>
      </c>
    </row>
    <row r="4115" spans="1:8" x14ac:dyDescent="0.3">
      <c r="A4115" s="74" t="str">
        <f t="shared" si="64"/>
        <v>河南46199</v>
      </c>
      <c r="B4115" s="75" t="s">
        <v>27</v>
      </c>
      <c r="C4115" s="45">
        <v>46199</v>
      </c>
      <c r="D4115" s="76">
        <v>2099.0804179807801</v>
      </c>
      <c r="E4115" s="77">
        <v>125</v>
      </c>
      <c r="F4115" s="78">
        <v>11.474290283912</v>
      </c>
      <c r="G4115" s="78">
        <v>11.474290283912</v>
      </c>
      <c r="H4115" s="81">
        <v>10.633034834082499</v>
      </c>
    </row>
    <row r="4116" spans="1:8" x14ac:dyDescent="0.3">
      <c r="A4116" s="74" t="str">
        <f t="shared" si="64"/>
        <v>河南46200</v>
      </c>
      <c r="B4116" s="75" t="s">
        <v>27</v>
      </c>
      <c r="C4116" s="45">
        <v>46200</v>
      </c>
      <c r="D4116" s="76">
        <v>2099.0804179807801</v>
      </c>
      <c r="E4116" s="77">
        <v>125</v>
      </c>
      <c r="F4116" s="78">
        <v>11.474290283912</v>
      </c>
      <c r="G4116" s="78">
        <v>11.474290283912</v>
      </c>
      <c r="H4116" s="81">
        <v>10.633034834082499</v>
      </c>
    </row>
    <row r="4117" spans="1:8" x14ac:dyDescent="0.3">
      <c r="A4117" s="74" t="str">
        <f t="shared" si="64"/>
        <v>河南46201</v>
      </c>
      <c r="B4117" s="75" t="s">
        <v>27</v>
      </c>
      <c r="C4117" s="45">
        <v>46201</v>
      </c>
      <c r="D4117" s="76">
        <v>2099.0804179807801</v>
      </c>
      <c r="E4117" s="77">
        <v>125</v>
      </c>
      <c r="F4117" s="78">
        <v>11.474290283912</v>
      </c>
      <c r="G4117" s="78">
        <v>11.474290283912</v>
      </c>
      <c r="H4117" s="81">
        <v>10.633034834082499</v>
      </c>
    </row>
    <row r="4118" spans="1:8" x14ac:dyDescent="0.3">
      <c r="A4118" s="74" t="str">
        <f t="shared" si="64"/>
        <v>河南46202</v>
      </c>
      <c r="B4118" s="75" t="s">
        <v>27</v>
      </c>
      <c r="C4118" s="45">
        <v>46202</v>
      </c>
      <c r="D4118" s="76">
        <v>2099.0804179807801</v>
      </c>
      <c r="E4118" s="77">
        <v>125</v>
      </c>
      <c r="F4118" s="78">
        <v>11.474290283912</v>
      </c>
      <c r="G4118" s="78">
        <v>11.474290283912</v>
      </c>
      <c r="H4118" s="81">
        <v>10.633034834082499</v>
      </c>
    </row>
    <row r="4119" spans="1:8" x14ac:dyDescent="0.3">
      <c r="A4119" s="74" t="str">
        <f t="shared" si="64"/>
        <v>河南46203</v>
      </c>
      <c r="B4119" s="75" t="s">
        <v>27</v>
      </c>
      <c r="C4119" s="45">
        <v>46203</v>
      </c>
      <c r="D4119" s="76">
        <v>2099.0804179807801</v>
      </c>
      <c r="E4119" s="77">
        <v>125</v>
      </c>
      <c r="F4119" s="78">
        <v>11.474290283912</v>
      </c>
      <c r="G4119" s="78">
        <v>11.474290283912</v>
      </c>
      <c r="H4119" s="81">
        <v>10.633034834082499</v>
      </c>
    </row>
    <row r="4120" spans="1:8" x14ac:dyDescent="0.3">
      <c r="A4120" s="74" t="str">
        <f t="shared" si="64"/>
        <v>河南46204</v>
      </c>
      <c r="B4120" s="75" t="s">
        <v>27</v>
      </c>
      <c r="C4120" s="45">
        <v>46204</v>
      </c>
      <c r="D4120" s="76">
        <v>2131.8839924269801</v>
      </c>
      <c r="E4120" s="77">
        <v>125</v>
      </c>
      <c r="F4120" s="78">
        <v>11.9551007453745</v>
      </c>
      <c r="G4120" s="78">
        <v>11.9551007453745</v>
      </c>
      <c r="H4120" s="81">
        <v>11.4974685870413</v>
      </c>
    </row>
    <row r="4121" spans="1:8" x14ac:dyDescent="0.3">
      <c r="A4121" s="74" t="str">
        <f t="shared" si="64"/>
        <v>河南46205</v>
      </c>
      <c r="B4121" s="75" t="s">
        <v>27</v>
      </c>
      <c r="C4121" s="45">
        <v>46205</v>
      </c>
      <c r="D4121" s="76">
        <v>2131.8839924269801</v>
      </c>
      <c r="E4121" s="77">
        <v>125</v>
      </c>
      <c r="F4121" s="78">
        <v>11.9551007453745</v>
      </c>
      <c r="G4121" s="78">
        <v>11.9551007453745</v>
      </c>
      <c r="H4121" s="81">
        <v>11.4974685870413</v>
      </c>
    </row>
    <row r="4122" spans="1:8" x14ac:dyDescent="0.3">
      <c r="A4122" s="74" t="str">
        <f t="shared" si="64"/>
        <v>河南46206</v>
      </c>
      <c r="B4122" s="75" t="s">
        <v>27</v>
      </c>
      <c r="C4122" s="45">
        <v>46206</v>
      </c>
      <c r="D4122" s="76">
        <v>2131.8839924269801</v>
      </c>
      <c r="E4122" s="77">
        <v>125</v>
      </c>
      <c r="F4122" s="78">
        <v>11.9551007453745</v>
      </c>
      <c r="G4122" s="78">
        <v>11.9551007453745</v>
      </c>
      <c r="H4122" s="81">
        <v>11.4974685870413</v>
      </c>
    </row>
    <row r="4123" spans="1:8" x14ac:dyDescent="0.3">
      <c r="A4123" s="74" t="str">
        <f t="shared" si="64"/>
        <v>河南46207</v>
      </c>
      <c r="B4123" s="75" t="s">
        <v>27</v>
      </c>
      <c r="C4123" s="45">
        <v>46207</v>
      </c>
      <c r="D4123" s="76">
        <v>2131.8839924269801</v>
      </c>
      <c r="E4123" s="77">
        <v>125</v>
      </c>
      <c r="F4123" s="78">
        <v>11.9551007453745</v>
      </c>
      <c r="G4123" s="78">
        <v>11.9551007453745</v>
      </c>
      <c r="H4123" s="81">
        <v>11.4974685870413</v>
      </c>
    </row>
    <row r="4124" spans="1:8" x14ac:dyDescent="0.3">
      <c r="A4124" s="74" t="str">
        <f t="shared" si="64"/>
        <v>河南46208</v>
      </c>
      <c r="B4124" s="75" t="s">
        <v>27</v>
      </c>
      <c r="C4124" s="45">
        <v>46208</v>
      </c>
      <c r="D4124" s="76">
        <v>2131.8839924269801</v>
      </c>
      <c r="E4124" s="77">
        <v>125</v>
      </c>
      <c r="F4124" s="78">
        <v>11.9551007453745</v>
      </c>
      <c r="G4124" s="78">
        <v>11.9551007453745</v>
      </c>
      <c r="H4124" s="81">
        <v>11.4974685870413</v>
      </c>
    </row>
    <row r="4125" spans="1:8" x14ac:dyDescent="0.3">
      <c r="A4125" s="74" t="str">
        <f t="shared" si="64"/>
        <v>河南46209</v>
      </c>
      <c r="B4125" s="75" t="s">
        <v>27</v>
      </c>
      <c r="C4125" s="45">
        <v>46209</v>
      </c>
      <c r="D4125" s="76">
        <v>2131.8839924269801</v>
      </c>
      <c r="E4125" s="77">
        <v>125</v>
      </c>
      <c r="F4125" s="78">
        <v>11.9551007453745</v>
      </c>
      <c r="G4125" s="78">
        <v>11.9551007453745</v>
      </c>
      <c r="H4125" s="81">
        <v>11.4974685870413</v>
      </c>
    </row>
    <row r="4126" spans="1:8" x14ac:dyDescent="0.3">
      <c r="A4126" s="74" t="str">
        <f t="shared" si="64"/>
        <v>河南46210</v>
      </c>
      <c r="B4126" s="75" t="s">
        <v>27</v>
      </c>
      <c r="C4126" s="45">
        <v>46210</v>
      </c>
      <c r="D4126" s="76">
        <v>2131.8839924269801</v>
      </c>
      <c r="E4126" s="77">
        <v>125</v>
      </c>
      <c r="F4126" s="78">
        <v>11.9551007453745</v>
      </c>
      <c r="G4126" s="78">
        <v>11.9551007453745</v>
      </c>
      <c r="H4126" s="81">
        <v>11.4974685870413</v>
      </c>
    </row>
    <row r="4127" spans="1:8" x14ac:dyDescent="0.3">
      <c r="A4127" s="74" t="str">
        <f t="shared" si="64"/>
        <v>河南46211</v>
      </c>
      <c r="B4127" s="75" t="s">
        <v>27</v>
      </c>
      <c r="C4127" s="45">
        <v>46211</v>
      </c>
      <c r="D4127" s="76">
        <v>2131.8839924269801</v>
      </c>
      <c r="E4127" s="77">
        <v>125</v>
      </c>
      <c r="F4127" s="78">
        <v>11.9551007453745</v>
      </c>
      <c r="G4127" s="78">
        <v>11.9551007453745</v>
      </c>
      <c r="H4127" s="81">
        <v>11.4974685870413</v>
      </c>
    </row>
    <row r="4128" spans="1:8" x14ac:dyDescent="0.3">
      <c r="A4128" s="74" t="str">
        <f t="shared" si="64"/>
        <v>河南46212</v>
      </c>
      <c r="B4128" s="75" t="s">
        <v>27</v>
      </c>
      <c r="C4128" s="45">
        <v>46212</v>
      </c>
      <c r="D4128" s="76">
        <v>2131.8839924269801</v>
      </c>
      <c r="E4128" s="77">
        <v>125</v>
      </c>
      <c r="F4128" s="78">
        <v>11.9551007453745</v>
      </c>
      <c r="G4128" s="78">
        <v>11.9551007453745</v>
      </c>
      <c r="H4128" s="81">
        <v>11.4974685870413</v>
      </c>
    </row>
    <row r="4129" spans="1:8" x14ac:dyDescent="0.3">
      <c r="A4129" s="74" t="str">
        <f t="shared" si="64"/>
        <v>河南46213</v>
      </c>
      <c r="B4129" s="75" t="s">
        <v>27</v>
      </c>
      <c r="C4129" s="45">
        <v>46213</v>
      </c>
      <c r="D4129" s="76">
        <v>2131.8839924269801</v>
      </c>
      <c r="E4129" s="77">
        <v>125</v>
      </c>
      <c r="F4129" s="78">
        <v>11.9551007453745</v>
      </c>
      <c r="G4129" s="78">
        <v>11.9551007453745</v>
      </c>
      <c r="H4129" s="81">
        <v>11.4974685870413</v>
      </c>
    </row>
    <row r="4130" spans="1:8" x14ac:dyDescent="0.3">
      <c r="A4130" s="74" t="str">
        <f t="shared" si="64"/>
        <v>河南46214</v>
      </c>
      <c r="B4130" s="75" t="s">
        <v>27</v>
      </c>
      <c r="C4130" s="45">
        <v>46214</v>
      </c>
      <c r="D4130" s="76">
        <v>2131.8839924269801</v>
      </c>
      <c r="E4130" s="77">
        <v>125</v>
      </c>
      <c r="F4130" s="78">
        <v>11.9551007453745</v>
      </c>
      <c r="G4130" s="78">
        <v>11.9551007453745</v>
      </c>
      <c r="H4130" s="81">
        <v>11.4974685870413</v>
      </c>
    </row>
    <row r="4131" spans="1:8" x14ac:dyDescent="0.3">
      <c r="A4131" s="74" t="str">
        <f t="shared" si="64"/>
        <v>河南46215</v>
      </c>
      <c r="B4131" s="75" t="s">
        <v>27</v>
      </c>
      <c r="C4131" s="45">
        <v>46215</v>
      </c>
      <c r="D4131" s="76">
        <v>2131.8839924269801</v>
      </c>
      <c r="E4131" s="77">
        <v>125</v>
      </c>
      <c r="F4131" s="78">
        <v>11.9551007453745</v>
      </c>
      <c r="G4131" s="78">
        <v>11.9551007453745</v>
      </c>
      <c r="H4131" s="81">
        <v>11.4974685870413</v>
      </c>
    </row>
    <row r="4132" spans="1:8" x14ac:dyDescent="0.3">
      <c r="A4132" s="74" t="str">
        <f t="shared" si="64"/>
        <v>河南46216</v>
      </c>
      <c r="B4132" s="75" t="s">
        <v>27</v>
      </c>
      <c r="C4132" s="45">
        <v>46216</v>
      </c>
      <c r="D4132" s="76">
        <v>2131.8839924269801</v>
      </c>
      <c r="E4132" s="77">
        <v>125</v>
      </c>
      <c r="F4132" s="78">
        <v>11.9551007453745</v>
      </c>
      <c r="G4132" s="78">
        <v>11.9551007453745</v>
      </c>
      <c r="H4132" s="81">
        <v>11.4974685870413</v>
      </c>
    </row>
    <row r="4133" spans="1:8" x14ac:dyDescent="0.3">
      <c r="A4133" s="74" t="str">
        <f t="shared" si="64"/>
        <v>河南46217</v>
      </c>
      <c r="B4133" s="75" t="s">
        <v>27</v>
      </c>
      <c r="C4133" s="45">
        <v>46217</v>
      </c>
      <c r="D4133" s="76">
        <v>2131.8839924269801</v>
      </c>
      <c r="E4133" s="77">
        <v>125</v>
      </c>
      <c r="F4133" s="78">
        <v>11.9551007453745</v>
      </c>
      <c r="G4133" s="78">
        <v>11.9551007453745</v>
      </c>
      <c r="H4133" s="81">
        <v>11.4974685870413</v>
      </c>
    </row>
    <row r="4134" spans="1:8" x14ac:dyDescent="0.3">
      <c r="A4134" s="74" t="str">
        <f t="shared" si="64"/>
        <v>河南46218</v>
      </c>
      <c r="B4134" s="75" t="s">
        <v>27</v>
      </c>
      <c r="C4134" s="45">
        <v>46218</v>
      </c>
      <c r="D4134" s="76">
        <v>2131.8839924269801</v>
      </c>
      <c r="E4134" s="77">
        <v>125</v>
      </c>
      <c r="F4134" s="78">
        <v>11.9551007453745</v>
      </c>
      <c r="G4134" s="78">
        <v>11.9551007453745</v>
      </c>
      <c r="H4134" s="81">
        <v>11.4974685870413</v>
      </c>
    </row>
    <row r="4135" spans="1:8" x14ac:dyDescent="0.3">
      <c r="A4135" s="74" t="str">
        <f t="shared" si="64"/>
        <v>河南46219</v>
      </c>
      <c r="B4135" s="75" t="s">
        <v>27</v>
      </c>
      <c r="C4135" s="45">
        <v>46219</v>
      </c>
      <c r="D4135" s="76">
        <v>2131.8839924269801</v>
      </c>
      <c r="E4135" s="77">
        <v>125</v>
      </c>
      <c r="F4135" s="78">
        <v>11.9551007453745</v>
      </c>
      <c r="G4135" s="78">
        <v>11.9551007453745</v>
      </c>
      <c r="H4135" s="81">
        <v>11.4974685870413</v>
      </c>
    </row>
    <row r="4136" spans="1:8" x14ac:dyDescent="0.3">
      <c r="A4136" s="74" t="str">
        <f t="shared" si="64"/>
        <v>河南46220</v>
      </c>
      <c r="B4136" s="75" t="s">
        <v>27</v>
      </c>
      <c r="C4136" s="45">
        <v>46220</v>
      </c>
      <c r="D4136" s="76">
        <v>2131.8839924269801</v>
      </c>
      <c r="E4136" s="77">
        <v>125</v>
      </c>
      <c r="F4136" s="78">
        <v>11.9551007453745</v>
      </c>
      <c r="G4136" s="78">
        <v>11.9551007453745</v>
      </c>
      <c r="H4136" s="81">
        <v>11.4974685870413</v>
      </c>
    </row>
    <row r="4137" spans="1:8" x14ac:dyDescent="0.3">
      <c r="A4137" s="74" t="str">
        <f t="shared" si="64"/>
        <v>河南46221</v>
      </c>
      <c r="B4137" s="75" t="s">
        <v>27</v>
      </c>
      <c r="C4137" s="45">
        <v>46221</v>
      </c>
      <c r="D4137" s="76">
        <v>2131.8839924269801</v>
      </c>
      <c r="E4137" s="77">
        <v>125</v>
      </c>
      <c r="F4137" s="78">
        <v>11.9551007453745</v>
      </c>
      <c r="G4137" s="78">
        <v>11.9551007453745</v>
      </c>
      <c r="H4137" s="81">
        <v>11.4974685870413</v>
      </c>
    </row>
    <row r="4138" spans="1:8" x14ac:dyDescent="0.3">
      <c r="A4138" s="74" t="str">
        <f t="shared" si="64"/>
        <v>河南46222</v>
      </c>
      <c r="B4138" s="75" t="s">
        <v>27</v>
      </c>
      <c r="C4138" s="45">
        <v>46222</v>
      </c>
      <c r="D4138" s="76">
        <v>2131.8839924269801</v>
      </c>
      <c r="E4138" s="77">
        <v>125</v>
      </c>
      <c r="F4138" s="78">
        <v>11.9551007453745</v>
      </c>
      <c r="G4138" s="78">
        <v>11.9551007453745</v>
      </c>
      <c r="H4138" s="81">
        <v>11.4974685870413</v>
      </c>
    </row>
    <row r="4139" spans="1:8" x14ac:dyDescent="0.3">
      <c r="A4139" s="74" t="str">
        <f t="shared" si="64"/>
        <v>河南46223</v>
      </c>
      <c r="B4139" s="75" t="s">
        <v>27</v>
      </c>
      <c r="C4139" s="45">
        <v>46223</v>
      </c>
      <c r="D4139" s="76">
        <v>2131.8839924269801</v>
      </c>
      <c r="E4139" s="77">
        <v>125</v>
      </c>
      <c r="F4139" s="78">
        <v>11.9551007453745</v>
      </c>
      <c r="G4139" s="78">
        <v>11.9551007453745</v>
      </c>
      <c r="H4139" s="81">
        <v>11.4974685870413</v>
      </c>
    </row>
    <row r="4140" spans="1:8" x14ac:dyDescent="0.3">
      <c r="A4140" s="74" t="str">
        <f t="shared" si="64"/>
        <v>河南46224</v>
      </c>
      <c r="B4140" s="75" t="s">
        <v>27</v>
      </c>
      <c r="C4140" s="45">
        <v>46224</v>
      </c>
      <c r="D4140" s="76">
        <v>2131.8839924269801</v>
      </c>
      <c r="E4140" s="77">
        <v>125</v>
      </c>
      <c r="F4140" s="78">
        <v>11.9551007453745</v>
      </c>
      <c r="G4140" s="78">
        <v>11.9551007453745</v>
      </c>
      <c r="H4140" s="81">
        <v>11.4974685870413</v>
      </c>
    </row>
    <row r="4141" spans="1:8" x14ac:dyDescent="0.3">
      <c r="A4141" s="74" t="str">
        <f t="shared" si="64"/>
        <v>河南46225</v>
      </c>
      <c r="B4141" s="75" t="s">
        <v>27</v>
      </c>
      <c r="C4141" s="45">
        <v>46225</v>
      </c>
      <c r="D4141" s="76">
        <v>2131.8839924269801</v>
      </c>
      <c r="E4141" s="77">
        <v>125</v>
      </c>
      <c r="F4141" s="78">
        <v>11.9551007453745</v>
      </c>
      <c r="G4141" s="78">
        <v>11.9551007453745</v>
      </c>
      <c r="H4141" s="81">
        <v>11.4974685870413</v>
      </c>
    </row>
    <row r="4142" spans="1:8" x14ac:dyDescent="0.3">
      <c r="A4142" s="74" t="str">
        <f t="shared" si="64"/>
        <v>河南46226</v>
      </c>
      <c r="B4142" s="75" t="s">
        <v>27</v>
      </c>
      <c r="C4142" s="45">
        <v>46226</v>
      </c>
      <c r="D4142" s="76">
        <v>2131.8839924269801</v>
      </c>
      <c r="E4142" s="77">
        <v>125</v>
      </c>
      <c r="F4142" s="78">
        <v>11.9551007453745</v>
      </c>
      <c r="G4142" s="78">
        <v>11.9551007453745</v>
      </c>
      <c r="H4142" s="81">
        <v>11.4974685870413</v>
      </c>
    </row>
    <row r="4143" spans="1:8" x14ac:dyDescent="0.3">
      <c r="A4143" s="74" t="str">
        <f t="shared" si="64"/>
        <v>河南46227</v>
      </c>
      <c r="B4143" s="75" t="s">
        <v>27</v>
      </c>
      <c r="C4143" s="45">
        <v>46227</v>
      </c>
      <c r="D4143" s="76">
        <v>2131.8839924269801</v>
      </c>
      <c r="E4143" s="77">
        <v>125</v>
      </c>
      <c r="F4143" s="78">
        <v>11.9551007453745</v>
      </c>
      <c r="G4143" s="78">
        <v>11.9551007453745</v>
      </c>
      <c r="H4143" s="81">
        <v>11.4974685870413</v>
      </c>
    </row>
    <row r="4144" spans="1:8" x14ac:dyDescent="0.3">
      <c r="A4144" s="74" t="str">
        <f t="shared" si="64"/>
        <v>河南46228</v>
      </c>
      <c r="B4144" s="75" t="s">
        <v>27</v>
      </c>
      <c r="C4144" s="45">
        <v>46228</v>
      </c>
      <c r="D4144" s="76">
        <v>2131.8839924269801</v>
      </c>
      <c r="E4144" s="77">
        <v>125</v>
      </c>
      <c r="F4144" s="78">
        <v>11.9551007453745</v>
      </c>
      <c r="G4144" s="78">
        <v>11.9551007453745</v>
      </c>
      <c r="H4144" s="81">
        <v>11.4974685870413</v>
      </c>
    </row>
    <row r="4145" spans="1:8" x14ac:dyDescent="0.3">
      <c r="A4145" s="74" t="str">
        <f t="shared" si="64"/>
        <v>河南46229</v>
      </c>
      <c r="B4145" s="75" t="s">
        <v>27</v>
      </c>
      <c r="C4145" s="45">
        <v>46229</v>
      </c>
      <c r="D4145" s="76">
        <v>2131.8839924269801</v>
      </c>
      <c r="E4145" s="77">
        <v>125</v>
      </c>
      <c r="F4145" s="78">
        <v>11.9551007453745</v>
      </c>
      <c r="G4145" s="78">
        <v>11.9551007453745</v>
      </c>
      <c r="H4145" s="81">
        <v>11.4974685870413</v>
      </c>
    </row>
    <row r="4146" spans="1:8" x14ac:dyDescent="0.3">
      <c r="A4146" s="74" t="str">
        <f t="shared" si="64"/>
        <v>河南46230</v>
      </c>
      <c r="B4146" s="75" t="s">
        <v>27</v>
      </c>
      <c r="C4146" s="45">
        <v>46230</v>
      </c>
      <c r="D4146" s="76">
        <v>2131.8839924269801</v>
      </c>
      <c r="E4146" s="77">
        <v>125</v>
      </c>
      <c r="F4146" s="78">
        <v>11.9551007453745</v>
      </c>
      <c r="G4146" s="78">
        <v>11.9551007453745</v>
      </c>
      <c r="H4146" s="81">
        <v>11.4974685870413</v>
      </c>
    </row>
    <row r="4147" spans="1:8" x14ac:dyDescent="0.3">
      <c r="A4147" s="74" t="str">
        <f t="shared" si="64"/>
        <v>河南46231</v>
      </c>
      <c r="B4147" s="75" t="s">
        <v>27</v>
      </c>
      <c r="C4147" s="45">
        <v>46231</v>
      </c>
      <c r="D4147" s="76">
        <v>2131.8839924269801</v>
      </c>
      <c r="E4147" s="77">
        <v>125</v>
      </c>
      <c r="F4147" s="78">
        <v>11.9551007453745</v>
      </c>
      <c r="G4147" s="78">
        <v>11.9551007453745</v>
      </c>
      <c r="H4147" s="81">
        <v>11.4974685870413</v>
      </c>
    </row>
    <row r="4148" spans="1:8" x14ac:dyDescent="0.3">
      <c r="A4148" s="74" t="str">
        <f t="shared" si="64"/>
        <v>河南46232</v>
      </c>
      <c r="B4148" s="75" t="s">
        <v>27</v>
      </c>
      <c r="C4148" s="45">
        <v>46232</v>
      </c>
      <c r="D4148" s="76">
        <v>2131.8839924269801</v>
      </c>
      <c r="E4148" s="77">
        <v>125</v>
      </c>
      <c r="F4148" s="78">
        <v>11.9551007453745</v>
      </c>
      <c r="G4148" s="78">
        <v>11.9551007453745</v>
      </c>
      <c r="H4148" s="81">
        <v>11.4974685870413</v>
      </c>
    </row>
    <row r="4149" spans="1:8" x14ac:dyDescent="0.3">
      <c r="A4149" s="74" t="str">
        <f t="shared" si="64"/>
        <v>河南46233</v>
      </c>
      <c r="B4149" s="75" t="s">
        <v>27</v>
      </c>
      <c r="C4149" s="45">
        <v>46233</v>
      </c>
      <c r="D4149" s="76">
        <v>2131.8839924269801</v>
      </c>
      <c r="E4149" s="77">
        <v>125</v>
      </c>
      <c r="F4149" s="78">
        <v>11.9551007453745</v>
      </c>
      <c r="G4149" s="78">
        <v>11.9551007453745</v>
      </c>
      <c r="H4149" s="81">
        <v>11.4974685870413</v>
      </c>
    </row>
    <row r="4150" spans="1:8" x14ac:dyDescent="0.3">
      <c r="A4150" s="74" t="str">
        <f t="shared" si="64"/>
        <v>河南46234</v>
      </c>
      <c r="B4150" s="75" t="s">
        <v>27</v>
      </c>
      <c r="C4150" s="45">
        <v>46234</v>
      </c>
      <c r="D4150" s="76">
        <v>2131.8839924269801</v>
      </c>
      <c r="E4150" s="77">
        <v>125</v>
      </c>
      <c r="F4150" s="78">
        <v>11.9551007453745</v>
      </c>
      <c r="G4150" s="78">
        <v>11.9551007453745</v>
      </c>
      <c r="H4150" s="81">
        <v>11.4974685870413</v>
      </c>
    </row>
    <row r="4151" spans="1:8" x14ac:dyDescent="0.3">
      <c r="A4151" s="74" t="str">
        <f t="shared" si="64"/>
        <v>河南46235</v>
      </c>
      <c r="B4151" s="75" t="s">
        <v>27</v>
      </c>
      <c r="C4151" s="45">
        <v>46235</v>
      </c>
      <c r="D4151" s="76">
        <v>2471.7244855861099</v>
      </c>
      <c r="E4151" s="77">
        <v>125</v>
      </c>
      <c r="F4151" s="78">
        <v>12.0609135167203</v>
      </c>
      <c r="G4151" s="78">
        <v>12.0609135167203</v>
      </c>
      <c r="H4151" s="81">
        <v>12.0321183648828</v>
      </c>
    </row>
    <row r="4152" spans="1:8" x14ac:dyDescent="0.3">
      <c r="A4152" s="74" t="str">
        <f t="shared" si="64"/>
        <v>河南46236</v>
      </c>
      <c r="B4152" s="75" t="s">
        <v>27</v>
      </c>
      <c r="C4152" s="45">
        <v>46236</v>
      </c>
      <c r="D4152" s="76">
        <v>2471.7244855861099</v>
      </c>
      <c r="E4152" s="77">
        <v>125</v>
      </c>
      <c r="F4152" s="78">
        <v>12.0609135167203</v>
      </c>
      <c r="G4152" s="78">
        <v>12.0609135167203</v>
      </c>
      <c r="H4152" s="81">
        <v>12.0321183648828</v>
      </c>
    </row>
    <row r="4153" spans="1:8" x14ac:dyDescent="0.3">
      <c r="A4153" s="74" t="str">
        <f t="shared" si="64"/>
        <v>河南46237</v>
      </c>
      <c r="B4153" s="75" t="s">
        <v>27</v>
      </c>
      <c r="C4153" s="45">
        <v>46237</v>
      </c>
      <c r="D4153" s="76">
        <v>2471.7244855861099</v>
      </c>
      <c r="E4153" s="77">
        <v>125</v>
      </c>
      <c r="F4153" s="78">
        <v>12.0609135167203</v>
      </c>
      <c r="G4153" s="78">
        <v>12.0609135167203</v>
      </c>
      <c r="H4153" s="81">
        <v>12.0321183648828</v>
      </c>
    </row>
    <row r="4154" spans="1:8" x14ac:dyDescent="0.3">
      <c r="A4154" s="74" t="str">
        <f t="shared" si="64"/>
        <v>河南46238</v>
      </c>
      <c r="B4154" s="75" t="s">
        <v>27</v>
      </c>
      <c r="C4154" s="45">
        <v>46238</v>
      </c>
      <c r="D4154" s="76">
        <v>2471.7244855861099</v>
      </c>
      <c r="E4154" s="77">
        <v>125</v>
      </c>
      <c r="F4154" s="78">
        <v>12.0609135167203</v>
      </c>
      <c r="G4154" s="78">
        <v>12.0609135167203</v>
      </c>
      <c r="H4154" s="81">
        <v>12.0321183648828</v>
      </c>
    </row>
    <row r="4155" spans="1:8" x14ac:dyDescent="0.3">
      <c r="A4155" s="74" t="str">
        <f t="shared" si="64"/>
        <v>河南46239</v>
      </c>
      <c r="B4155" s="75" t="s">
        <v>27</v>
      </c>
      <c r="C4155" s="45">
        <v>46239</v>
      </c>
      <c r="D4155" s="76">
        <v>2471.7244855861099</v>
      </c>
      <c r="E4155" s="77">
        <v>125</v>
      </c>
      <c r="F4155" s="78">
        <v>12.0609135167203</v>
      </c>
      <c r="G4155" s="78">
        <v>12.0609135167203</v>
      </c>
      <c r="H4155" s="81">
        <v>12.0321183648828</v>
      </c>
    </row>
    <row r="4156" spans="1:8" x14ac:dyDescent="0.3">
      <c r="A4156" s="74" t="str">
        <f t="shared" si="64"/>
        <v>河南46240</v>
      </c>
      <c r="B4156" s="75" t="s">
        <v>27</v>
      </c>
      <c r="C4156" s="45">
        <v>46240</v>
      </c>
      <c r="D4156" s="76">
        <v>2471.7244855861099</v>
      </c>
      <c r="E4156" s="77">
        <v>125</v>
      </c>
      <c r="F4156" s="78">
        <v>12.0609135167203</v>
      </c>
      <c r="G4156" s="78">
        <v>12.0609135167203</v>
      </c>
      <c r="H4156" s="81">
        <v>12.0321183648828</v>
      </c>
    </row>
    <row r="4157" spans="1:8" x14ac:dyDescent="0.3">
      <c r="A4157" s="74" t="str">
        <f t="shared" si="64"/>
        <v>河南46241</v>
      </c>
      <c r="B4157" s="75" t="s">
        <v>27</v>
      </c>
      <c r="C4157" s="45">
        <v>46241</v>
      </c>
      <c r="D4157" s="76">
        <v>2471.7244855861099</v>
      </c>
      <c r="E4157" s="77">
        <v>125</v>
      </c>
      <c r="F4157" s="78">
        <v>12.0609135167203</v>
      </c>
      <c r="G4157" s="78">
        <v>12.0609135167203</v>
      </c>
      <c r="H4157" s="81">
        <v>12.0321183648828</v>
      </c>
    </row>
    <row r="4158" spans="1:8" x14ac:dyDescent="0.3">
      <c r="A4158" s="74" t="str">
        <f t="shared" si="64"/>
        <v>河南46242</v>
      </c>
      <c r="B4158" s="75" t="s">
        <v>27</v>
      </c>
      <c r="C4158" s="45">
        <v>46242</v>
      </c>
      <c r="D4158" s="76">
        <v>2471.7244855861099</v>
      </c>
      <c r="E4158" s="77">
        <v>125</v>
      </c>
      <c r="F4158" s="78">
        <v>12.0609135167203</v>
      </c>
      <c r="G4158" s="78">
        <v>12.0609135167203</v>
      </c>
      <c r="H4158" s="81">
        <v>12.0321183648828</v>
      </c>
    </row>
    <row r="4159" spans="1:8" x14ac:dyDescent="0.3">
      <c r="A4159" s="74" t="str">
        <f t="shared" si="64"/>
        <v>河南46243</v>
      </c>
      <c r="B4159" s="75" t="s">
        <v>27</v>
      </c>
      <c r="C4159" s="45">
        <v>46243</v>
      </c>
      <c r="D4159" s="76">
        <v>2471.7244855861099</v>
      </c>
      <c r="E4159" s="77">
        <v>125</v>
      </c>
      <c r="F4159" s="78">
        <v>12.0609135167203</v>
      </c>
      <c r="G4159" s="78">
        <v>12.0609135167203</v>
      </c>
      <c r="H4159" s="81">
        <v>12.0321183648828</v>
      </c>
    </row>
    <row r="4160" spans="1:8" x14ac:dyDescent="0.3">
      <c r="A4160" s="74" t="str">
        <f t="shared" si="64"/>
        <v>河南46244</v>
      </c>
      <c r="B4160" s="75" t="s">
        <v>27</v>
      </c>
      <c r="C4160" s="45">
        <v>46244</v>
      </c>
      <c r="D4160" s="76">
        <v>2471.7244855861099</v>
      </c>
      <c r="E4160" s="77">
        <v>125</v>
      </c>
      <c r="F4160" s="78">
        <v>12.0609135167203</v>
      </c>
      <c r="G4160" s="78">
        <v>12.0609135167203</v>
      </c>
      <c r="H4160" s="81">
        <v>12.0321183648828</v>
      </c>
    </row>
    <row r="4161" spans="1:8" x14ac:dyDescent="0.3">
      <c r="A4161" s="74" t="str">
        <f t="shared" si="64"/>
        <v>河南46245</v>
      </c>
      <c r="B4161" s="75" t="s">
        <v>27</v>
      </c>
      <c r="C4161" s="45">
        <v>46245</v>
      </c>
      <c r="D4161" s="76">
        <v>2471.7244855861099</v>
      </c>
      <c r="E4161" s="77">
        <v>125</v>
      </c>
      <c r="F4161" s="78">
        <v>12.0609135167203</v>
      </c>
      <c r="G4161" s="78">
        <v>12.0609135167203</v>
      </c>
      <c r="H4161" s="81">
        <v>12.0321183648828</v>
      </c>
    </row>
    <row r="4162" spans="1:8" x14ac:dyDescent="0.3">
      <c r="A4162" s="74" t="str">
        <f t="shared" si="64"/>
        <v>河南46246</v>
      </c>
      <c r="B4162" s="75" t="s">
        <v>27</v>
      </c>
      <c r="C4162" s="45">
        <v>46246</v>
      </c>
      <c r="D4162" s="76">
        <v>2471.7244855861099</v>
      </c>
      <c r="E4162" s="77">
        <v>125</v>
      </c>
      <c r="F4162" s="78">
        <v>12.0609135167203</v>
      </c>
      <c r="G4162" s="78">
        <v>12.0609135167203</v>
      </c>
      <c r="H4162" s="81">
        <v>12.0321183648828</v>
      </c>
    </row>
    <row r="4163" spans="1:8" x14ac:dyDescent="0.3">
      <c r="A4163" s="74" t="str">
        <f t="shared" ref="A4163:A4226" si="65">B4163&amp;C4163</f>
        <v>河南46247</v>
      </c>
      <c r="B4163" s="75" t="s">
        <v>27</v>
      </c>
      <c r="C4163" s="45">
        <v>46247</v>
      </c>
      <c r="D4163" s="76">
        <v>2471.7244855861099</v>
      </c>
      <c r="E4163" s="77">
        <v>125</v>
      </c>
      <c r="F4163" s="78">
        <v>12.0609135167203</v>
      </c>
      <c r="G4163" s="78">
        <v>12.0609135167203</v>
      </c>
      <c r="H4163" s="81">
        <v>12.0321183648828</v>
      </c>
    </row>
    <row r="4164" spans="1:8" x14ac:dyDescent="0.3">
      <c r="A4164" s="74" t="str">
        <f t="shared" si="65"/>
        <v>河南46248</v>
      </c>
      <c r="B4164" s="75" t="s">
        <v>27</v>
      </c>
      <c r="C4164" s="45">
        <v>46248</v>
      </c>
      <c r="D4164" s="76">
        <v>2471.7244855861099</v>
      </c>
      <c r="E4164" s="77">
        <v>125</v>
      </c>
      <c r="F4164" s="78">
        <v>12.0609135167203</v>
      </c>
      <c r="G4164" s="78">
        <v>12.0609135167203</v>
      </c>
      <c r="H4164" s="81">
        <v>12.0321183648828</v>
      </c>
    </row>
    <row r="4165" spans="1:8" x14ac:dyDescent="0.3">
      <c r="A4165" s="74" t="str">
        <f t="shared" si="65"/>
        <v>河南46249</v>
      </c>
      <c r="B4165" s="75" t="s">
        <v>27</v>
      </c>
      <c r="C4165" s="45">
        <v>46249</v>
      </c>
      <c r="D4165" s="76">
        <v>2471.7244855861099</v>
      </c>
      <c r="E4165" s="77">
        <v>125</v>
      </c>
      <c r="F4165" s="78">
        <v>12.0609135167203</v>
      </c>
      <c r="G4165" s="78">
        <v>12.0609135167203</v>
      </c>
      <c r="H4165" s="81">
        <v>12.0321183648828</v>
      </c>
    </row>
    <row r="4166" spans="1:8" x14ac:dyDescent="0.3">
      <c r="A4166" s="74" t="str">
        <f t="shared" si="65"/>
        <v>河南46250</v>
      </c>
      <c r="B4166" s="75" t="s">
        <v>27</v>
      </c>
      <c r="C4166" s="45">
        <v>46250</v>
      </c>
      <c r="D4166" s="76">
        <v>2471.7244855861099</v>
      </c>
      <c r="E4166" s="77">
        <v>125</v>
      </c>
      <c r="F4166" s="78">
        <v>12.0609135167203</v>
      </c>
      <c r="G4166" s="78">
        <v>12.0609135167203</v>
      </c>
      <c r="H4166" s="81">
        <v>12.0321183648828</v>
      </c>
    </row>
    <row r="4167" spans="1:8" x14ac:dyDescent="0.3">
      <c r="A4167" s="74" t="str">
        <f t="shared" si="65"/>
        <v>河南46251</v>
      </c>
      <c r="B4167" s="75" t="s">
        <v>27</v>
      </c>
      <c r="C4167" s="45">
        <v>46251</v>
      </c>
      <c r="D4167" s="76">
        <v>2471.7244855861099</v>
      </c>
      <c r="E4167" s="77">
        <v>125</v>
      </c>
      <c r="F4167" s="78">
        <v>12.0609135167203</v>
      </c>
      <c r="G4167" s="78">
        <v>12.0609135167203</v>
      </c>
      <c r="H4167" s="81">
        <v>12.0321183648828</v>
      </c>
    </row>
    <row r="4168" spans="1:8" x14ac:dyDescent="0.3">
      <c r="A4168" s="74" t="str">
        <f t="shared" si="65"/>
        <v>河南46252</v>
      </c>
      <c r="B4168" s="75" t="s">
        <v>27</v>
      </c>
      <c r="C4168" s="45">
        <v>46252</v>
      </c>
      <c r="D4168" s="76">
        <v>2471.7244855861099</v>
      </c>
      <c r="E4168" s="77">
        <v>125</v>
      </c>
      <c r="F4168" s="78">
        <v>12.0609135167203</v>
      </c>
      <c r="G4168" s="78">
        <v>12.0609135167203</v>
      </c>
      <c r="H4168" s="81">
        <v>12.0321183648828</v>
      </c>
    </row>
    <row r="4169" spans="1:8" x14ac:dyDescent="0.3">
      <c r="A4169" s="74" t="str">
        <f t="shared" si="65"/>
        <v>河南46253</v>
      </c>
      <c r="B4169" s="75" t="s">
        <v>27</v>
      </c>
      <c r="C4169" s="45">
        <v>46253</v>
      </c>
      <c r="D4169" s="76">
        <v>2471.7244855861099</v>
      </c>
      <c r="E4169" s="77">
        <v>125</v>
      </c>
      <c r="F4169" s="78">
        <v>12.0609135167203</v>
      </c>
      <c r="G4169" s="78">
        <v>12.0609135167203</v>
      </c>
      <c r="H4169" s="81">
        <v>12.0321183648828</v>
      </c>
    </row>
    <row r="4170" spans="1:8" x14ac:dyDescent="0.3">
      <c r="A4170" s="74" t="str">
        <f t="shared" si="65"/>
        <v>河南46254</v>
      </c>
      <c r="B4170" s="75" t="s">
        <v>27</v>
      </c>
      <c r="C4170" s="45">
        <v>46254</v>
      </c>
      <c r="D4170" s="76">
        <v>2471.7244855861099</v>
      </c>
      <c r="E4170" s="77">
        <v>125</v>
      </c>
      <c r="F4170" s="78">
        <v>12.0609135167203</v>
      </c>
      <c r="G4170" s="78">
        <v>12.0609135167203</v>
      </c>
      <c r="H4170" s="81">
        <v>12.0321183648828</v>
      </c>
    </row>
    <row r="4171" spans="1:8" x14ac:dyDescent="0.3">
      <c r="A4171" s="74" t="str">
        <f t="shared" si="65"/>
        <v>河南46255</v>
      </c>
      <c r="B4171" s="75" t="s">
        <v>27</v>
      </c>
      <c r="C4171" s="45">
        <v>46255</v>
      </c>
      <c r="D4171" s="76">
        <v>2471.7244855861099</v>
      </c>
      <c r="E4171" s="77">
        <v>125</v>
      </c>
      <c r="F4171" s="78">
        <v>12.0609135167203</v>
      </c>
      <c r="G4171" s="78">
        <v>12.0609135167203</v>
      </c>
      <c r="H4171" s="81">
        <v>12.0321183648828</v>
      </c>
    </row>
    <row r="4172" spans="1:8" x14ac:dyDescent="0.3">
      <c r="A4172" s="74" t="str">
        <f t="shared" si="65"/>
        <v>河南46256</v>
      </c>
      <c r="B4172" s="75" t="s">
        <v>27</v>
      </c>
      <c r="C4172" s="45">
        <v>46256</v>
      </c>
      <c r="D4172" s="76">
        <v>2471.7244855861099</v>
      </c>
      <c r="E4172" s="77">
        <v>125</v>
      </c>
      <c r="F4172" s="78">
        <v>12.0609135167203</v>
      </c>
      <c r="G4172" s="78">
        <v>12.0609135167203</v>
      </c>
      <c r="H4172" s="81">
        <v>12.0321183648828</v>
      </c>
    </row>
    <row r="4173" spans="1:8" x14ac:dyDescent="0.3">
      <c r="A4173" s="74" t="str">
        <f t="shared" si="65"/>
        <v>河南46257</v>
      </c>
      <c r="B4173" s="75" t="s">
        <v>27</v>
      </c>
      <c r="C4173" s="45">
        <v>46257</v>
      </c>
      <c r="D4173" s="76">
        <v>2471.7244855861099</v>
      </c>
      <c r="E4173" s="77">
        <v>125</v>
      </c>
      <c r="F4173" s="78">
        <v>12.0609135167203</v>
      </c>
      <c r="G4173" s="78">
        <v>12.0609135167203</v>
      </c>
      <c r="H4173" s="81">
        <v>12.0321183648828</v>
      </c>
    </row>
    <row r="4174" spans="1:8" x14ac:dyDescent="0.3">
      <c r="A4174" s="74" t="str">
        <f t="shared" si="65"/>
        <v>河南46258</v>
      </c>
      <c r="B4174" s="75" t="s">
        <v>27</v>
      </c>
      <c r="C4174" s="45">
        <v>46258</v>
      </c>
      <c r="D4174" s="76">
        <v>2471.7244855861099</v>
      </c>
      <c r="E4174" s="77">
        <v>125</v>
      </c>
      <c r="F4174" s="78">
        <v>12.0609135167203</v>
      </c>
      <c r="G4174" s="78">
        <v>12.0609135167203</v>
      </c>
      <c r="H4174" s="81">
        <v>12.0321183648828</v>
      </c>
    </row>
    <row r="4175" spans="1:8" x14ac:dyDescent="0.3">
      <c r="A4175" s="74" t="str">
        <f t="shared" si="65"/>
        <v>河南46259</v>
      </c>
      <c r="B4175" s="75" t="s">
        <v>27</v>
      </c>
      <c r="C4175" s="45">
        <v>46259</v>
      </c>
      <c r="D4175" s="76">
        <v>2471.7244855861099</v>
      </c>
      <c r="E4175" s="77">
        <v>125</v>
      </c>
      <c r="F4175" s="78">
        <v>12.0609135167203</v>
      </c>
      <c r="G4175" s="78">
        <v>12.0609135167203</v>
      </c>
      <c r="H4175" s="81">
        <v>12.0321183648828</v>
      </c>
    </row>
    <row r="4176" spans="1:8" x14ac:dyDescent="0.3">
      <c r="A4176" s="74" t="str">
        <f t="shared" si="65"/>
        <v>河南46260</v>
      </c>
      <c r="B4176" s="75" t="s">
        <v>27</v>
      </c>
      <c r="C4176" s="45">
        <v>46260</v>
      </c>
      <c r="D4176" s="76">
        <v>2471.7244855861099</v>
      </c>
      <c r="E4176" s="77">
        <v>125</v>
      </c>
      <c r="F4176" s="78">
        <v>12.0609135167203</v>
      </c>
      <c r="G4176" s="78">
        <v>12.0609135167203</v>
      </c>
      <c r="H4176" s="81">
        <v>12.0321183648828</v>
      </c>
    </row>
    <row r="4177" spans="1:8" x14ac:dyDescent="0.3">
      <c r="A4177" s="74" t="str">
        <f t="shared" si="65"/>
        <v>河南46261</v>
      </c>
      <c r="B4177" s="75" t="s">
        <v>27</v>
      </c>
      <c r="C4177" s="45">
        <v>46261</v>
      </c>
      <c r="D4177" s="76">
        <v>2471.7244855861099</v>
      </c>
      <c r="E4177" s="77">
        <v>125</v>
      </c>
      <c r="F4177" s="78">
        <v>12.0609135167203</v>
      </c>
      <c r="G4177" s="78">
        <v>12.0609135167203</v>
      </c>
      <c r="H4177" s="81">
        <v>12.0321183648828</v>
      </c>
    </row>
    <row r="4178" spans="1:8" x14ac:dyDescent="0.3">
      <c r="A4178" s="74" t="str">
        <f t="shared" si="65"/>
        <v>河南46262</v>
      </c>
      <c r="B4178" s="75" t="s">
        <v>27</v>
      </c>
      <c r="C4178" s="45">
        <v>46262</v>
      </c>
      <c r="D4178" s="76">
        <v>2471.7244855861099</v>
      </c>
      <c r="E4178" s="77">
        <v>125</v>
      </c>
      <c r="F4178" s="78">
        <v>12.0609135167203</v>
      </c>
      <c r="G4178" s="78">
        <v>12.0609135167203</v>
      </c>
      <c r="H4178" s="81">
        <v>12.0321183648828</v>
      </c>
    </row>
    <row r="4179" spans="1:8" x14ac:dyDescent="0.3">
      <c r="A4179" s="74" t="str">
        <f t="shared" si="65"/>
        <v>河南46263</v>
      </c>
      <c r="B4179" s="75" t="s">
        <v>27</v>
      </c>
      <c r="C4179" s="45">
        <v>46263</v>
      </c>
      <c r="D4179" s="76">
        <v>2471.7244855861099</v>
      </c>
      <c r="E4179" s="77">
        <v>125</v>
      </c>
      <c r="F4179" s="78">
        <v>12.0609135167203</v>
      </c>
      <c r="G4179" s="78">
        <v>12.0609135167203</v>
      </c>
      <c r="H4179" s="81">
        <v>12.0321183648828</v>
      </c>
    </row>
    <row r="4180" spans="1:8" x14ac:dyDescent="0.3">
      <c r="A4180" s="74" t="str">
        <f t="shared" si="65"/>
        <v>河南46264</v>
      </c>
      <c r="B4180" s="75" t="s">
        <v>27</v>
      </c>
      <c r="C4180" s="45">
        <v>46264</v>
      </c>
      <c r="D4180" s="76">
        <v>2471.7244855861099</v>
      </c>
      <c r="E4180" s="77">
        <v>125</v>
      </c>
      <c r="F4180" s="78">
        <v>12.0609135167203</v>
      </c>
      <c r="G4180" s="78">
        <v>12.0609135167203</v>
      </c>
      <c r="H4180" s="81">
        <v>12.0321183648828</v>
      </c>
    </row>
    <row r="4181" spans="1:8" x14ac:dyDescent="0.3">
      <c r="A4181" s="74" t="str">
        <f t="shared" si="65"/>
        <v>河南46265</v>
      </c>
      <c r="B4181" s="75" t="s">
        <v>27</v>
      </c>
      <c r="C4181" s="45">
        <v>46265</v>
      </c>
      <c r="D4181" s="76">
        <v>2471.7244855861099</v>
      </c>
      <c r="E4181" s="77">
        <v>125</v>
      </c>
      <c r="F4181" s="78">
        <v>12.0609135167203</v>
      </c>
      <c r="G4181" s="78">
        <v>12.0609135167203</v>
      </c>
      <c r="H4181" s="81">
        <v>12.0321183648828</v>
      </c>
    </row>
    <row r="4182" spans="1:8" x14ac:dyDescent="0.3">
      <c r="A4182" s="74" t="str">
        <f t="shared" si="65"/>
        <v>河南46266</v>
      </c>
      <c r="B4182" s="75" t="s">
        <v>27</v>
      </c>
      <c r="C4182" s="45">
        <v>46266</v>
      </c>
      <c r="D4182" s="76">
        <v>2317.4221068236702</v>
      </c>
      <c r="E4182" s="77">
        <v>125</v>
      </c>
      <c r="F4182" s="78">
        <v>12.347335143996499</v>
      </c>
      <c r="G4182" s="78">
        <v>12.347335143996499</v>
      </c>
      <c r="H4182" s="81">
        <v>12.566768142724399</v>
      </c>
    </row>
    <row r="4183" spans="1:8" x14ac:dyDescent="0.3">
      <c r="A4183" s="74" t="str">
        <f t="shared" si="65"/>
        <v>河南46267</v>
      </c>
      <c r="B4183" s="75" t="s">
        <v>27</v>
      </c>
      <c r="C4183" s="45">
        <v>46267</v>
      </c>
      <c r="D4183" s="76">
        <v>2317.4221068236702</v>
      </c>
      <c r="E4183" s="77">
        <v>125</v>
      </c>
      <c r="F4183" s="78">
        <v>12.347335143996499</v>
      </c>
      <c r="G4183" s="78">
        <v>12.347335143996499</v>
      </c>
      <c r="H4183" s="81">
        <v>12.566768142724399</v>
      </c>
    </row>
    <row r="4184" spans="1:8" x14ac:dyDescent="0.3">
      <c r="A4184" s="74" t="str">
        <f t="shared" si="65"/>
        <v>河南46268</v>
      </c>
      <c r="B4184" s="75" t="s">
        <v>27</v>
      </c>
      <c r="C4184" s="45">
        <v>46268</v>
      </c>
      <c r="D4184" s="76">
        <v>2317.4221068236702</v>
      </c>
      <c r="E4184" s="77">
        <v>125</v>
      </c>
      <c r="F4184" s="78">
        <v>12.347335143996499</v>
      </c>
      <c r="G4184" s="78">
        <v>12.347335143996499</v>
      </c>
      <c r="H4184" s="81">
        <v>12.566768142724399</v>
      </c>
    </row>
    <row r="4185" spans="1:8" x14ac:dyDescent="0.3">
      <c r="A4185" s="74" t="str">
        <f t="shared" si="65"/>
        <v>河南46269</v>
      </c>
      <c r="B4185" s="75" t="s">
        <v>27</v>
      </c>
      <c r="C4185" s="45">
        <v>46269</v>
      </c>
      <c r="D4185" s="76">
        <v>2317.4221068236702</v>
      </c>
      <c r="E4185" s="77">
        <v>125</v>
      </c>
      <c r="F4185" s="78">
        <v>12.347335143996499</v>
      </c>
      <c r="G4185" s="78">
        <v>12.347335143996499</v>
      </c>
      <c r="H4185" s="81">
        <v>12.566768142724399</v>
      </c>
    </row>
    <row r="4186" spans="1:8" x14ac:dyDescent="0.3">
      <c r="A4186" s="74" t="str">
        <f t="shared" si="65"/>
        <v>河南46270</v>
      </c>
      <c r="B4186" s="75" t="s">
        <v>27</v>
      </c>
      <c r="C4186" s="45">
        <v>46270</v>
      </c>
      <c r="D4186" s="76">
        <v>2317.4221068236702</v>
      </c>
      <c r="E4186" s="77">
        <v>125</v>
      </c>
      <c r="F4186" s="78">
        <v>12.347335143996499</v>
      </c>
      <c r="G4186" s="78">
        <v>12.347335143996499</v>
      </c>
      <c r="H4186" s="81">
        <v>12.566768142724399</v>
      </c>
    </row>
    <row r="4187" spans="1:8" x14ac:dyDescent="0.3">
      <c r="A4187" s="74" t="str">
        <f t="shared" si="65"/>
        <v>河南46271</v>
      </c>
      <c r="B4187" s="75" t="s">
        <v>27</v>
      </c>
      <c r="C4187" s="45">
        <v>46271</v>
      </c>
      <c r="D4187" s="76">
        <v>2317.4221068236702</v>
      </c>
      <c r="E4187" s="77">
        <v>125</v>
      </c>
      <c r="F4187" s="78">
        <v>12.347335143996499</v>
      </c>
      <c r="G4187" s="78">
        <v>12.347335143996499</v>
      </c>
      <c r="H4187" s="81">
        <v>12.566768142724399</v>
      </c>
    </row>
    <row r="4188" spans="1:8" x14ac:dyDescent="0.3">
      <c r="A4188" s="74" t="str">
        <f t="shared" si="65"/>
        <v>河南46272</v>
      </c>
      <c r="B4188" s="75" t="s">
        <v>27</v>
      </c>
      <c r="C4188" s="45">
        <v>46272</v>
      </c>
      <c r="D4188" s="76">
        <v>2317.4221068236702</v>
      </c>
      <c r="E4188" s="77">
        <v>125</v>
      </c>
      <c r="F4188" s="78">
        <v>12.347335143996499</v>
      </c>
      <c r="G4188" s="78">
        <v>12.347335143996499</v>
      </c>
      <c r="H4188" s="81">
        <v>12.566768142724399</v>
      </c>
    </row>
    <row r="4189" spans="1:8" x14ac:dyDescent="0.3">
      <c r="A4189" s="74" t="str">
        <f t="shared" si="65"/>
        <v>河南46273</v>
      </c>
      <c r="B4189" s="75" t="s">
        <v>27</v>
      </c>
      <c r="C4189" s="45">
        <v>46273</v>
      </c>
      <c r="D4189" s="76">
        <v>2317.4221068236702</v>
      </c>
      <c r="E4189" s="77">
        <v>125</v>
      </c>
      <c r="F4189" s="78">
        <v>12.347335143996499</v>
      </c>
      <c r="G4189" s="78">
        <v>12.347335143996499</v>
      </c>
      <c r="H4189" s="81">
        <v>12.566768142724399</v>
      </c>
    </row>
    <row r="4190" spans="1:8" x14ac:dyDescent="0.3">
      <c r="A4190" s="74" t="str">
        <f t="shared" si="65"/>
        <v>河南46274</v>
      </c>
      <c r="B4190" s="75" t="s">
        <v>27</v>
      </c>
      <c r="C4190" s="45">
        <v>46274</v>
      </c>
      <c r="D4190" s="76">
        <v>2317.4221068236702</v>
      </c>
      <c r="E4190" s="77">
        <v>125</v>
      </c>
      <c r="F4190" s="78">
        <v>12.347335143996499</v>
      </c>
      <c r="G4190" s="78">
        <v>12.347335143996499</v>
      </c>
      <c r="H4190" s="81">
        <v>12.566768142724399</v>
      </c>
    </row>
    <row r="4191" spans="1:8" x14ac:dyDescent="0.3">
      <c r="A4191" s="74" t="str">
        <f t="shared" si="65"/>
        <v>河南46275</v>
      </c>
      <c r="B4191" s="75" t="s">
        <v>27</v>
      </c>
      <c r="C4191" s="45">
        <v>46275</v>
      </c>
      <c r="D4191" s="76">
        <v>2317.4221068236702</v>
      </c>
      <c r="E4191" s="77">
        <v>125</v>
      </c>
      <c r="F4191" s="78">
        <v>12.347335143996499</v>
      </c>
      <c r="G4191" s="78">
        <v>12.347335143996499</v>
      </c>
      <c r="H4191" s="81">
        <v>12.566768142724399</v>
      </c>
    </row>
    <row r="4192" spans="1:8" x14ac:dyDescent="0.3">
      <c r="A4192" s="74" t="str">
        <f t="shared" si="65"/>
        <v>河南46276</v>
      </c>
      <c r="B4192" s="75" t="s">
        <v>27</v>
      </c>
      <c r="C4192" s="45">
        <v>46276</v>
      </c>
      <c r="D4192" s="76">
        <v>2317.4221068236702</v>
      </c>
      <c r="E4192" s="77">
        <v>125</v>
      </c>
      <c r="F4192" s="78">
        <v>12.347335143996499</v>
      </c>
      <c r="G4192" s="78">
        <v>12.347335143996499</v>
      </c>
      <c r="H4192" s="81">
        <v>12.566768142724399</v>
      </c>
    </row>
    <row r="4193" spans="1:8" x14ac:dyDescent="0.3">
      <c r="A4193" s="74" t="str">
        <f t="shared" si="65"/>
        <v>河南46277</v>
      </c>
      <c r="B4193" s="75" t="s">
        <v>27</v>
      </c>
      <c r="C4193" s="45">
        <v>46277</v>
      </c>
      <c r="D4193" s="76">
        <v>2317.4221068236702</v>
      </c>
      <c r="E4193" s="77">
        <v>125</v>
      </c>
      <c r="F4193" s="78">
        <v>12.347335143996499</v>
      </c>
      <c r="G4193" s="78">
        <v>12.347335143996499</v>
      </c>
      <c r="H4193" s="81">
        <v>12.566768142724399</v>
      </c>
    </row>
    <row r="4194" spans="1:8" x14ac:dyDescent="0.3">
      <c r="A4194" s="74" t="str">
        <f t="shared" si="65"/>
        <v>河南46278</v>
      </c>
      <c r="B4194" s="75" t="s">
        <v>27</v>
      </c>
      <c r="C4194" s="45">
        <v>46278</v>
      </c>
      <c r="D4194" s="76">
        <v>2317.4221068236702</v>
      </c>
      <c r="E4194" s="77">
        <v>125</v>
      </c>
      <c r="F4194" s="78">
        <v>12.347335143996499</v>
      </c>
      <c r="G4194" s="78">
        <v>12.347335143996499</v>
      </c>
      <c r="H4194" s="81">
        <v>12.566768142724399</v>
      </c>
    </row>
    <row r="4195" spans="1:8" x14ac:dyDescent="0.3">
      <c r="A4195" s="74" t="str">
        <f t="shared" si="65"/>
        <v>河南46279</v>
      </c>
      <c r="B4195" s="75" t="s">
        <v>27</v>
      </c>
      <c r="C4195" s="45">
        <v>46279</v>
      </c>
      <c r="D4195" s="76">
        <v>2317.4221068236702</v>
      </c>
      <c r="E4195" s="77">
        <v>125</v>
      </c>
      <c r="F4195" s="78">
        <v>12.347335143996499</v>
      </c>
      <c r="G4195" s="78">
        <v>12.347335143996499</v>
      </c>
      <c r="H4195" s="81">
        <v>12.566768142724399</v>
      </c>
    </row>
    <row r="4196" spans="1:8" x14ac:dyDescent="0.3">
      <c r="A4196" s="74" t="str">
        <f t="shared" si="65"/>
        <v>河南46280</v>
      </c>
      <c r="B4196" s="75" t="s">
        <v>27</v>
      </c>
      <c r="C4196" s="45">
        <v>46280</v>
      </c>
      <c r="D4196" s="76">
        <v>2317.4221068236702</v>
      </c>
      <c r="E4196" s="77">
        <v>125</v>
      </c>
      <c r="F4196" s="78">
        <v>12.347335143996499</v>
      </c>
      <c r="G4196" s="78">
        <v>12.347335143996499</v>
      </c>
      <c r="H4196" s="81">
        <v>12.566768142724399</v>
      </c>
    </row>
    <row r="4197" spans="1:8" x14ac:dyDescent="0.3">
      <c r="A4197" s="74" t="str">
        <f t="shared" si="65"/>
        <v>河南46281</v>
      </c>
      <c r="B4197" s="75" t="s">
        <v>27</v>
      </c>
      <c r="C4197" s="45">
        <v>46281</v>
      </c>
      <c r="D4197" s="76">
        <v>2317.4221068236702</v>
      </c>
      <c r="E4197" s="77">
        <v>125</v>
      </c>
      <c r="F4197" s="78">
        <v>12.347335143996499</v>
      </c>
      <c r="G4197" s="78">
        <v>12.347335143996499</v>
      </c>
      <c r="H4197" s="81">
        <v>12.566768142724399</v>
      </c>
    </row>
    <row r="4198" spans="1:8" x14ac:dyDescent="0.3">
      <c r="A4198" s="74" t="str">
        <f t="shared" si="65"/>
        <v>河南46282</v>
      </c>
      <c r="B4198" s="75" t="s">
        <v>27</v>
      </c>
      <c r="C4198" s="45">
        <v>46282</v>
      </c>
      <c r="D4198" s="76">
        <v>2317.4221068236702</v>
      </c>
      <c r="E4198" s="77">
        <v>125</v>
      </c>
      <c r="F4198" s="78">
        <v>12.347335143996499</v>
      </c>
      <c r="G4198" s="78">
        <v>12.347335143996499</v>
      </c>
      <c r="H4198" s="81">
        <v>12.566768142724399</v>
      </c>
    </row>
    <row r="4199" spans="1:8" x14ac:dyDescent="0.3">
      <c r="A4199" s="74" t="str">
        <f t="shared" si="65"/>
        <v>河南46283</v>
      </c>
      <c r="B4199" s="75" t="s">
        <v>27</v>
      </c>
      <c r="C4199" s="45">
        <v>46283</v>
      </c>
      <c r="D4199" s="76">
        <v>2317.4221068236702</v>
      </c>
      <c r="E4199" s="77">
        <v>125</v>
      </c>
      <c r="F4199" s="78">
        <v>12.347335143996499</v>
      </c>
      <c r="G4199" s="78">
        <v>12.347335143996499</v>
      </c>
      <c r="H4199" s="81">
        <v>12.566768142724399</v>
      </c>
    </row>
    <row r="4200" spans="1:8" x14ac:dyDescent="0.3">
      <c r="A4200" s="74" t="str">
        <f t="shared" si="65"/>
        <v>河南46284</v>
      </c>
      <c r="B4200" s="75" t="s">
        <v>27</v>
      </c>
      <c r="C4200" s="45">
        <v>46284</v>
      </c>
      <c r="D4200" s="76">
        <v>2317.4221068236702</v>
      </c>
      <c r="E4200" s="77">
        <v>125</v>
      </c>
      <c r="F4200" s="78">
        <v>12.347335143996499</v>
      </c>
      <c r="G4200" s="78">
        <v>12.347335143996499</v>
      </c>
      <c r="H4200" s="81">
        <v>12.566768142724399</v>
      </c>
    </row>
    <row r="4201" spans="1:8" x14ac:dyDescent="0.3">
      <c r="A4201" s="74" t="str">
        <f t="shared" si="65"/>
        <v>河南46285</v>
      </c>
      <c r="B4201" s="75" t="s">
        <v>27</v>
      </c>
      <c r="C4201" s="45">
        <v>46285</v>
      </c>
      <c r="D4201" s="76">
        <v>2317.4221068236702</v>
      </c>
      <c r="E4201" s="77">
        <v>125</v>
      </c>
      <c r="F4201" s="78">
        <v>12.347335143996499</v>
      </c>
      <c r="G4201" s="78">
        <v>12.347335143996499</v>
      </c>
      <c r="H4201" s="81">
        <v>12.566768142724399</v>
      </c>
    </row>
    <row r="4202" spans="1:8" x14ac:dyDescent="0.3">
      <c r="A4202" s="74" t="str">
        <f t="shared" si="65"/>
        <v>河南46286</v>
      </c>
      <c r="B4202" s="75" t="s">
        <v>27</v>
      </c>
      <c r="C4202" s="45">
        <v>46286</v>
      </c>
      <c r="D4202" s="76">
        <v>2317.4221068236702</v>
      </c>
      <c r="E4202" s="77">
        <v>125</v>
      </c>
      <c r="F4202" s="78">
        <v>12.347335143996499</v>
      </c>
      <c r="G4202" s="78">
        <v>12.347335143996499</v>
      </c>
      <c r="H4202" s="81">
        <v>12.566768142724399</v>
      </c>
    </row>
    <row r="4203" spans="1:8" x14ac:dyDescent="0.3">
      <c r="A4203" s="74" t="str">
        <f t="shared" si="65"/>
        <v>河南46287</v>
      </c>
      <c r="B4203" s="75" t="s">
        <v>27</v>
      </c>
      <c r="C4203" s="45">
        <v>46287</v>
      </c>
      <c r="D4203" s="76">
        <v>2317.4221068236702</v>
      </c>
      <c r="E4203" s="77">
        <v>125</v>
      </c>
      <c r="F4203" s="78">
        <v>12.347335143996499</v>
      </c>
      <c r="G4203" s="78">
        <v>12.347335143996499</v>
      </c>
      <c r="H4203" s="81">
        <v>12.566768142724399</v>
      </c>
    </row>
    <row r="4204" spans="1:8" x14ac:dyDescent="0.3">
      <c r="A4204" s="74" t="str">
        <f t="shared" si="65"/>
        <v>河南46288</v>
      </c>
      <c r="B4204" s="75" t="s">
        <v>27</v>
      </c>
      <c r="C4204" s="45">
        <v>46288</v>
      </c>
      <c r="D4204" s="76">
        <v>2317.4221068236702</v>
      </c>
      <c r="E4204" s="77">
        <v>125</v>
      </c>
      <c r="F4204" s="78">
        <v>12.347335143996499</v>
      </c>
      <c r="G4204" s="78">
        <v>12.347335143996499</v>
      </c>
      <c r="H4204" s="81">
        <v>12.566768142724399</v>
      </c>
    </row>
    <row r="4205" spans="1:8" x14ac:dyDescent="0.3">
      <c r="A4205" s="74" t="str">
        <f t="shared" si="65"/>
        <v>河南46289</v>
      </c>
      <c r="B4205" s="75" t="s">
        <v>27</v>
      </c>
      <c r="C4205" s="45">
        <v>46289</v>
      </c>
      <c r="D4205" s="76">
        <v>2317.4221068236702</v>
      </c>
      <c r="E4205" s="77">
        <v>125</v>
      </c>
      <c r="F4205" s="78">
        <v>12.347335143996499</v>
      </c>
      <c r="G4205" s="78">
        <v>12.347335143996499</v>
      </c>
      <c r="H4205" s="81">
        <v>12.566768142724399</v>
      </c>
    </row>
    <row r="4206" spans="1:8" x14ac:dyDescent="0.3">
      <c r="A4206" s="74" t="str">
        <f t="shared" si="65"/>
        <v>河南46290</v>
      </c>
      <c r="B4206" s="75" t="s">
        <v>27</v>
      </c>
      <c r="C4206" s="45">
        <v>46290</v>
      </c>
      <c r="D4206" s="76">
        <v>2317.4221068236702</v>
      </c>
      <c r="E4206" s="77">
        <v>125</v>
      </c>
      <c r="F4206" s="78">
        <v>12.347335143996499</v>
      </c>
      <c r="G4206" s="78">
        <v>12.347335143996499</v>
      </c>
      <c r="H4206" s="81">
        <v>12.566768142724399</v>
      </c>
    </row>
    <row r="4207" spans="1:8" x14ac:dyDescent="0.3">
      <c r="A4207" s="74" t="str">
        <f t="shared" si="65"/>
        <v>河南46291</v>
      </c>
      <c r="B4207" s="75" t="s">
        <v>27</v>
      </c>
      <c r="C4207" s="45">
        <v>46291</v>
      </c>
      <c r="D4207" s="76">
        <v>2317.4221068236702</v>
      </c>
      <c r="E4207" s="77">
        <v>125</v>
      </c>
      <c r="F4207" s="78">
        <v>12.347335143996499</v>
      </c>
      <c r="G4207" s="78">
        <v>12.347335143996499</v>
      </c>
      <c r="H4207" s="81">
        <v>12.566768142724399</v>
      </c>
    </row>
    <row r="4208" spans="1:8" x14ac:dyDescent="0.3">
      <c r="A4208" s="74" t="str">
        <f t="shared" si="65"/>
        <v>河南46292</v>
      </c>
      <c r="B4208" s="75" t="s">
        <v>27</v>
      </c>
      <c r="C4208" s="45">
        <v>46292</v>
      </c>
      <c r="D4208" s="76">
        <v>2317.4221068236702</v>
      </c>
      <c r="E4208" s="77">
        <v>125</v>
      </c>
      <c r="F4208" s="78">
        <v>12.347335143996499</v>
      </c>
      <c r="G4208" s="78">
        <v>12.347335143996499</v>
      </c>
      <c r="H4208" s="81">
        <v>12.566768142724399</v>
      </c>
    </row>
    <row r="4209" spans="1:8" x14ac:dyDescent="0.3">
      <c r="A4209" s="74" t="str">
        <f t="shared" si="65"/>
        <v>河南46293</v>
      </c>
      <c r="B4209" s="75" t="s">
        <v>27</v>
      </c>
      <c r="C4209" s="45">
        <v>46293</v>
      </c>
      <c r="D4209" s="76">
        <v>2317.4221068236702</v>
      </c>
      <c r="E4209" s="77">
        <v>125</v>
      </c>
      <c r="F4209" s="78">
        <v>12.347335143996499</v>
      </c>
      <c r="G4209" s="78">
        <v>12.347335143996499</v>
      </c>
      <c r="H4209" s="81">
        <v>12.566768142724399</v>
      </c>
    </row>
    <row r="4210" spans="1:8" x14ac:dyDescent="0.3">
      <c r="A4210" s="74" t="str">
        <f t="shared" si="65"/>
        <v>河南46294</v>
      </c>
      <c r="B4210" s="75" t="s">
        <v>27</v>
      </c>
      <c r="C4210" s="45">
        <v>46294</v>
      </c>
      <c r="D4210" s="76">
        <v>2317.4221068236702</v>
      </c>
      <c r="E4210" s="77">
        <v>125</v>
      </c>
      <c r="F4210" s="78">
        <v>12.347335143996499</v>
      </c>
      <c r="G4210" s="78">
        <v>12.347335143996499</v>
      </c>
      <c r="H4210" s="81">
        <v>12.566768142724399</v>
      </c>
    </row>
    <row r="4211" spans="1:8" x14ac:dyDescent="0.3">
      <c r="A4211" s="74" t="str">
        <f t="shared" si="65"/>
        <v>河南46295</v>
      </c>
      <c r="B4211" s="75" t="s">
        <v>27</v>
      </c>
      <c r="C4211" s="45">
        <v>46295</v>
      </c>
      <c r="D4211" s="76">
        <v>2317.4221068236702</v>
      </c>
      <c r="E4211" s="77">
        <v>125</v>
      </c>
      <c r="F4211" s="78">
        <v>12.347335143996499</v>
      </c>
      <c r="G4211" s="78">
        <v>12.347335143996499</v>
      </c>
      <c r="H4211" s="81">
        <v>12.566768142724399</v>
      </c>
    </row>
    <row r="4212" spans="1:8" x14ac:dyDescent="0.3">
      <c r="A4212" s="74" t="str">
        <f t="shared" si="65"/>
        <v>河南46296</v>
      </c>
      <c r="B4212" s="75" t="s">
        <v>27</v>
      </c>
      <c r="C4212" s="45">
        <v>46296</v>
      </c>
      <c r="D4212" s="76">
        <v>2692.9028794999499</v>
      </c>
      <c r="E4212" s="77">
        <v>125</v>
      </c>
      <c r="F4212" s="78">
        <v>12.558569306226699</v>
      </c>
      <c r="G4212" s="78">
        <v>12.558569306226699</v>
      </c>
      <c r="H4212" s="81">
        <v>12.6417190461601</v>
      </c>
    </row>
    <row r="4213" spans="1:8" x14ac:dyDescent="0.3">
      <c r="A4213" s="74" t="str">
        <f t="shared" si="65"/>
        <v>河南46297</v>
      </c>
      <c r="B4213" s="75" t="s">
        <v>27</v>
      </c>
      <c r="C4213" s="45">
        <v>46297</v>
      </c>
      <c r="D4213" s="76">
        <v>2692.9028794999499</v>
      </c>
      <c r="E4213" s="77">
        <v>125</v>
      </c>
      <c r="F4213" s="78">
        <v>12.558569306226699</v>
      </c>
      <c r="G4213" s="78">
        <v>12.558569306226699</v>
      </c>
      <c r="H4213" s="81">
        <v>12.6417190461601</v>
      </c>
    </row>
    <row r="4214" spans="1:8" x14ac:dyDescent="0.3">
      <c r="A4214" s="74" t="str">
        <f t="shared" si="65"/>
        <v>河南46298</v>
      </c>
      <c r="B4214" s="75" t="s">
        <v>27</v>
      </c>
      <c r="C4214" s="45">
        <v>46298</v>
      </c>
      <c r="D4214" s="76">
        <v>2692.9028794999499</v>
      </c>
      <c r="E4214" s="77">
        <v>125</v>
      </c>
      <c r="F4214" s="78">
        <v>12.558569306226699</v>
      </c>
      <c r="G4214" s="78">
        <v>12.558569306226699</v>
      </c>
      <c r="H4214" s="81">
        <v>12.6417190461601</v>
      </c>
    </row>
    <row r="4215" spans="1:8" x14ac:dyDescent="0.3">
      <c r="A4215" s="74" t="str">
        <f t="shared" si="65"/>
        <v>河南46299</v>
      </c>
      <c r="B4215" s="75" t="s">
        <v>27</v>
      </c>
      <c r="C4215" s="45">
        <v>46299</v>
      </c>
      <c r="D4215" s="76">
        <v>2692.9028794999499</v>
      </c>
      <c r="E4215" s="77">
        <v>125</v>
      </c>
      <c r="F4215" s="78">
        <v>12.558569306226699</v>
      </c>
      <c r="G4215" s="78">
        <v>12.558569306226699</v>
      </c>
      <c r="H4215" s="81">
        <v>12.6417190461601</v>
      </c>
    </row>
    <row r="4216" spans="1:8" x14ac:dyDescent="0.3">
      <c r="A4216" s="74" t="str">
        <f t="shared" si="65"/>
        <v>河南46300</v>
      </c>
      <c r="B4216" s="75" t="s">
        <v>27</v>
      </c>
      <c r="C4216" s="45">
        <v>46300</v>
      </c>
      <c r="D4216" s="76">
        <v>2692.9028794999499</v>
      </c>
      <c r="E4216" s="77">
        <v>125</v>
      </c>
      <c r="F4216" s="78">
        <v>12.558569306226699</v>
      </c>
      <c r="G4216" s="78">
        <v>12.558569306226699</v>
      </c>
      <c r="H4216" s="81">
        <v>12.6417190461601</v>
      </c>
    </row>
    <row r="4217" spans="1:8" x14ac:dyDescent="0.3">
      <c r="A4217" s="74" t="str">
        <f t="shared" si="65"/>
        <v>河南46301</v>
      </c>
      <c r="B4217" s="75" t="s">
        <v>27</v>
      </c>
      <c r="C4217" s="45">
        <v>46301</v>
      </c>
      <c r="D4217" s="76">
        <v>2692.9028794999499</v>
      </c>
      <c r="E4217" s="77">
        <v>125</v>
      </c>
      <c r="F4217" s="78">
        <v>12.558569306226699</v>
      </c>
      <c r="G4217" s="78">
        <v>12.558569306226699</v>
      </c>
      <c r="H4217" s="81">
        <v>12.6417190461601</v>
      </c>
    </row>
    <row r="4218" spans="1:8" x14ac:dyDescent="0.3">
      <c r="A4218" s="74" t="str">
        <f t="shared" si="65"/>
        <v>河南46302</v>
      </c>
      <c r="B4218" s="75" t="s">
        <v>27</v>
      </c>
      <c r="C4218" s="45">
        <v>46302</v>
      </c>
      <c r="D4218" s="76">
        <v>2692.9028794999499</v>
      </c>
      <c r="E4218" s="77">
        <v>125</v>
      </c>
      <c r="F4218" s="78">
        <v>12.558569306226699</v>
      </c>
      <c r="G4218" s="78">
        <v>12.558569306226699</v>
      </c>
      <c r="H4218" s="81">
        <v>12.6417190461601</v>
      </c>
    </row>
    <row r="4219" spans="1:8" x14ac:dyDescent="0.3">
      <c r="A4219" s="74" t="str">
        <f t="shared" si="65"/>
        <v>河南46303</v>
      </c>
      <c r="B4219" s="75" t="s">
        <v>27</v>
      </c>
      <c r="C4219" s="45">
        <v>46303</v>
      </c>
      <c r="D4219" s="76">
        <v>2692.9028794999499</v>
      </c>
      <c r="E4219" s="77">
        <v>125</v>
      </c>
      <c r="F4219" s="78">
        <v>12.558569306226699</v>
      </c>
      <c r="G4219" s="78">
        <v>12.558569306226699</v>
      </c>
      <c r="H4219" s="81">
        <v>12.6417190461601</v>
      </c>
    </row>
    <row r="4220" spans="1:8" x14ac:dyDescent="0.3">
      <c r="A4220" s="74" t="str">
        <f t="shared" si="65"/>
        <v>河南46304</v>
      </c>
      <c r="B4220" s="75" t="s">
        <v>27</v>
      </c>
      <c r="C4220" s="45">
        <v>46304</v>
      </c>
      <c r="D4220" s="76">
        <v>2692.9028794999499</v>
      </c>
      <c r="E4220" s="77">
        <v>125</v>
      </c>
      <c r="F4220" s="78">
        <v>12.558569306226699</v>
      </c>
      <c r="G4220" s="78">
        <v>12.558569306226699</v>
      </c>
      <c r="H4220" s="81">
        <v>12.6417190461601</v>
      </c>
    </row>
    <row r="4221" spans="1:8" x14ac:dyDescent="0.3">
      <c r="A4221" s="74" t="str">
        <f t="shared" si="65"/>
        <v>河南46305</v>
      </c>
      <c r="B4221" s="75" t="s">
        <v>27</v>
      </c>
      <c r="C4221" s="45">
        <v>46305</v>
      </c>
      <c r="D4221" s="76">
        <v>2692.9028794999499</v>
      </c>
      <c r="E4221" s="77">
        <v>125</v>
      </c>
      <c r="F4221" s="78">
        <v>12.558569306226699</v>
      </c>
      <c r="G4221" s="78">
        <v>12.558569306226699</v>
      </c>
      <c r="H4221" s="81">
        <v>12.6417190461601</v>
      </c>
    </row>
    <row r="4222" spans="1:8" x14ac:dyDescent="0.3">
      <c r="A4222" s="74" t="str">
        <f t="shared" si="65"/>
        <v>河南46306</v>
      </c>
      <c r="B4222" s="75" t="s">
        <v>27</v>
      </c>
      <c r="C4222" s="45">
        <v>46306</v>
      </c>
      <c r="D4222" s="76">
        <v>2692.9028794999499</v>
      </c>
      <c r="E4222" s="77">
        <v>125</v>
      </c>
      <c r="F4222" s="78">
        <v>12.558569306226699</v>
      </c>
      <c r="G4222" s="78">
        <v>12.558569306226699</v>
      </c>
      <c r="H4222" s="81">
        <v>12.6417190461601</v>
      </c>
    </row>
    <row r="4223" spans="1:8" x14ac:dyDescent="0.3">
      <c r="A4223" s="74" t="str">
        <f t="shared" si="65"/>
        <v>河南46307</v>
      </c>
      <c r="B4223" s="75" t="s">
        <v>27</v>
      </c>
      <c r="C4223" s="45">
        <v>46307</v>
      </c>
      <c r="D4223" s="76">
        <v>2692.9028794999499</v>
      </c>
      <c r="E4223" s="77">
        <v>125</v>
      </c>
      <c r="F4223" s="78">
        <v>12.558569306226699</v>
      </c>
      <c r="G4223" s="78">
        <v>12.558569306226699</v>
      </c>
      <c r="H4223" s="81">
        <v>12.6417190461601</v>
      </c>
    </row>
    <row r="4224" spans="1:8" x14ac:dyDescent="0.3">
      <c r="A4224" s="74" t="str">
        <f t="shared" si="65"/>
        <v>河南46308</v>
      </c>
      <c r="B4224" s="75" t="s">
        <v>27</v>
      </c>
      <c r="C4224" s="45">
        <v>46308</v>
      </c>
      <c r="D4224" s="76">
        <v>2692.9028794999499</v>
      </c>
      <c r="E4224" s="77">
        <v>125</v>
      </c>
      <c r="F4224" s="78">
        <v>12.558569306226699</v>
      </c>
      <c r="G4224" s="78">
        <v>12.558569306226699</v>
      </c>
      <c r="H4224" s="81">
        <v>12.6417190461601</v>
      </c>
    </row>
    <row r="4225" spans="1:8" x14ac:dyDescent="0.3">
      <c r="A4225" s="74" t="str">
        <f t="shared" si="65"/>
        <v>河南46309</v>
      </c>
      <c r="B4225" s="75" t="s">
        <v>27</v>
      </c>
      <c r="C4225" s="45">
        <v>46309</v>
      </c>
      <c r="D4225" s="76">
        <v>2692.9028794999499</v>
      </c>
      <c r="E4225" s="77">
        <v>125</v>
      </c>
      <c r="F4225" s="78">
        <v>12.558569306226699</v>
      </c>
      <c r="G4225" s="78">
        <v>12.558569306226699</v>
      </c>
      <c r="H4225" s="81">
        <v>12.6417190461601</v>
      </c>
    </row>
    <row r="4226" spans="1:8" x14ac:dyDescent="0.3">
      <c r="A4226" s="74" t="str">
        <f t="shared" si="65"/>
        <v>河南46310</v>
      </c>
      <c r="B4226" s="75" t="s">
        <v>27</v>
      </c>
      <c r="C4226" s="45">
        <v>46310</v>
      </c>
      <c r="D4226" s="76">
        <v>2692.9028794999499</v>
      </c>
      <c r="E4226" s="77">
        <v>125</v>
      </c>
      <c r="F4226" s="78">
        <v>12.558569306226699</v>
      </c>
      <c r="G4226" s="78">
        <v>12.558569306226699</v>
      </c>
      <c r="H4226" s="81">
        <v>12.6417190461601</v>
      </c>
    </row>
    <row r="4227" spans="1:8" x14ac:dyDescent="0.3">
      <c r="A4227" s="74" t="str">
        <f t="shared" ref="A4227:A4290" si="66">B4227&amp;C4227</f>
        <v>河南46311</v>
      </c>
      <c r="B4227" s="75" t="s">
        <v>27</v>
      </c>
      <c r="C4227" s="45">
        <v>46311</v>
      </c>
      <c r="D4227" s="76">
        <v>2692.9028794999499</v>
      </c>
      <c r="E4227" s="77">
        <v>125</v>
      </c>
      <c r="F4227" s="78">
        <v>12.558569306226699</v>
      </c>
      <c r="G4227" s="78">
        <v>12.558569306226699</v>
      </c>
      <c r="H4227" s="81">
        <v>12.6417190461601</v>
      </c>
    </row>
    <row r="4228" spans="1:8" x14ac:dyDescent="0.3">
      <c r="A4228" s="74" t="str">
        <f t="shared" si="66"/>
        <v>河南46312</v>
      </c>
      <c r="B4228" s="75" t="s">
        <v>27</v>
      </c>
      <c r="C4228" s="45">
        <v>46312</v>
      </c>
      <c r="D4228" s="76">
        <v>2692.9028794999499</v>
      </c>
      <c r="E4228" s="77">
        <v>125</v>
      </c>
      <c r="F4228" s="78">
        <v>12.558569306226699</v>
      </c>
      <c r="G4228" s="78">
        <v>12.558569306226699</v>
      </c>
      <c r="H4228" s="81">
        <v>12.6417190461601</v>
      </c>
    </row>
    <row r="4229" spans="1:8" x14ac:dyDescent="0.3">
      <c r="A4229" s="74" t="str">
        <f t="shared" si="66"/>
        <v>河南46313</v>
      </c>
      <c r="B4229" s="75" t="s">
        <v>27</v>
      </c>
      <c r="C4229" s="45">
        <v>46313</v>
      </c>
      <c r="D4229" s="76">
        <v>2692.9028794999499</v>
      </c>
      <c r="E4229" s="77">
        <v>125</v>
      </c>
      <c r="F4229" s="78">
        <v>12.558569306226699</v>
      </c>
      <c r="G4229" s="78">
        <v>12.558569306226699</v>
      </c>
      <c r="H4229" s="81">
        <v>12.6417190461601</v>
      </c>
    </row>
    <row r="4230" spans="1:8" x14ac:dyDescent="0.3">
      <c r="A4230" s="74" t="str">
        <f t="shared" si="66"/>
        <v>河南46314</v>
      </c>
      <c r="B4230" s="75" t="s">
        <v>27</v>
      </c>
      <c r="C4230" s="45">
        <v>46314</v>
      </c>
      <c r="D4230" s="76">
        <v>2692.9028794999499</v>
      </c>
      <c r="E4230" s="77">
        <v>125</v>
      </c>
      <c r="F4230" s="78">
        <v>12.558569306226699</v>
      </c>
      <c r="G4230" s="78">
        <v>12.558569306226699</v>
      </c>
      <c r="H4230" s="81">
        <v>12.6417190461601</v>
      </c>
    </row>
    <row r="4231" spans="1:8" x14ac:dyDescent="0.3">
      <c r="A4231" s="74" t="str">
        <f t="shared" si="66"/>
        <v>河南46315</v>
      </c>
      <c r="B4231" s="75" t="s">
        <v>27</v>
      </c>
      <c r="C4231" s="45">
        <v>46315</v>
      </c>
      <c r="D4231" s="76">
        <v>2692.9028794999499</v>
      </c>
      <c r="E4231" s="77">
        <v>125</v>
      </c>
      <c r="F4231" s="78">
        <v>12.558569306226699</v>
      </c>
      <c r="G4231" s="78">
        <v>12.558569306226699</v>
      </c>
      <c r="H4231" s="81">
        <v>12.6417190461601</v>
      </c>
    </row>
    <row r="4232" spans="1:8" x14ac:dyDescent="0.3">
      <c r="A4232" s="74" t="str">
        <f t="shared" si="66"/>
        <v>河南46316</v>
      </c>
      <c r="B4232" s="75" t="s">
        <v>27</v>
      </c>
      <c r="C4232" s="45">
        <v>46316</v>
      </c>
      <c r="D4232" s="76">
        <v>2692.9028794999499</v>
      </c>
      <c r="E4232" s="77">
        <v>125</v>
      </c>
      <c r="F4232" s="78">
        <v>12.558569306226699</v>
      </c>
      <c r="G4232" s="78">
        <v>12.558569306226699</v>
      </c>
      <c r="H4232" s="81">
        <v>12.6417190461601</v>
      </c>
    </row>
    <row r="4233" spans="1:8" x14ac:dyDescent="0.3">
      <c r="A4233" s="74" t="str">
        <f t="shared" si="66"/>
        <v>河南46317</v>
      </c>
      <c r="B4233" s="75" t="s">
        <v>27</v>
      </c>
      <c r="C4233" s="45">
        <v>46317</v>
      </c>
      <c r="D4233" s="76">
        <v>2692.9028794999499</v>
      </c>
      <c r="E4233" s="77">
        <v>125</v>
      </c>
      <c r="F4233" s="78">
        <v>12.558569306226699</v>
      </c>
      <c r="G4233" s="78">
        <v>12.558569306226699</v>
      </c>
      <c r="H4233" s="81">
        <v>12.6417190461601</v>
      </c>
    </row>
    <row r="4234" spans="1:8" x14ac:dyDescent="0.3">
      <c r="A4234" s="74" t="str">
        <f t="shared" si="66"/>
        <v>河南46318</v>
      </c>
      <c r="B4234" s="75" t="s">
        <v>27</v>
      </c>
      <c r="C4234" s="45">
        <v>46318</v>
      </c>
      <c r="D4234" s="76">
        <v>2692.9028794999499</v>
      </c>
      <c r="E4234" s="77">
        <v>125</v>
      </c>
      <c r="F4234" s="78">
        <v>12.558569306226699</v>
      </c>
      <c r="G4234" s="78">
        <v>12.558569306226699</v>
      </c>
      <c r="H4234" s="81">
        <v>12.6417190461601</v>
      </c>
    </row>
    <row r="4235" spans="1:8" x14ac:dyDescent="0.3">
      <c r="A4235" s="74" t="str">
        <f t="shared" si="66"/>
        <v>河南46319</v>
      </c>
      <c r="B4235" s="75" t="s">
        <v>27</v>
      </c>
      <c r="C4235" s="45">
        <v>46319</v>
      </c>
      <c r="D4235" s="76">
        <v>2692.9028794999499</v>
      </c>
      <c r="E4235" s="77">
        <v>125</v>
      </c>
      <c r="F4235" s="78">
        <v>12.558569306226699</v>
      </c>
      <c r="G4235" s="78">
        <v>12.558569306226699</v>
      </c>
      <c r="H4235" s="81">
        <v>12.6417190461601</v>
      </c>
    </row>
    <row r="4236" spans="1:8" x14ac:dyDescent="0.3">
      <c r="A4236" s="74" t="str">
        <f t="shared" si="66"/>
        <v>河南46320</v>
      </c>
      <c r="B4236" s="75" t="s">
        <v>27</v>
      </c>
      <c r="C4236" s="45">
        <v>46320</v>
      </c>
      <c r="D4236" s="76">
        <v>2692.9028794999499</v>
      </c>
      <c r="E4236" s="77">
        <v>125</v>
      </c>
      <c r="F4236" s="78">
        <v>12.558569306226699</v>
      </c>
      <c r="G4236" s="78">
        <v>12.558569306226699</v>
      </c>
      <c r="H4236" s="81">
        <v>12.6417190461601</v>
      </c>
    </row>
    <row r="4237" spans="1:8" x14ac:dyDescent="0.3">
      <c r="A4237" s="74" t="str">
        <f t="shared" si="66"/>
        <v>河南46321</v>
      </c>
      <c r="B4237" s="75" t="s">
        <v>27</v>
      </c>
      <c r="C4237" s="45">
        <v>46321</v>
      </c>
      <c r="D4237" s="76">
        <v>2692.9028794999499</v>
      </c>
      <c r="E4237" s="77">
        <v>125</v>
      </c>
      <c r="F4237" s="78">
        <v>12.558569306226699</v>
      </c>
      <c r="G4237" s="78">
        <v>12.558569306226699</v>
      </c>
      <c r="H4237" s="81">
        <v>12.6417190461601</v>
      </c>
    </row>
    <row r="4238" spans="1:8" x14ac:dyDescent="0.3">
      <c r="A4238" s="74" t="str">
        <f t="shared" si="66"/>
        <v>河南46322</v>
      </c>
      <c r="B4238" s="75" t="s">
        <v>27</v>
      </c>
      <c r="C4238" s="45">
        <v>46322</v>
      </c>
      <c r="D4238" s="76">
        <v>2692.9028794999499</v>
      </c>
      <c r="E4238" s="77">
        <v>125</v>
      </c>
      <c r="F4238" s="78">
        <v>12.558569306226699</v>
      </c>
      <c r="G4238" s="78">
        <v>12.558569306226699</v>
      </c>
      <c r="H4238" s="81">
        <v>12.6417190461601</v>
      </c>
    </row>
    <row r="4239" spans="1:8" x14ac:dyDescent="0.3">
      <c r="A4239" s="74" t="str">
        <f t="shared" si="66"/>
        <v>河南46323</v>
      </c>
      <c r="B4239" s="75" t="s">
        <v>27</v>
      </c>
      <c r="C4239" s="45">
        <v>46323</v>
      </c>
      <c r="D4239" s="76">
        <v>2692.9028794999499</v>
      </c>
      <c r="E4239" s="77">
        <v>125</v>
      </c>
      <c r="F4239" s="78">
        <v>12.558569306226699</v>
      </c>
      <c r="G4239" s="78">
        <v>12.558569306226699</v>
      </c>
      <c r="H4239" s="81">
        <v>12.6417190461601</v>
      </c>
    </row>
    <row r="4240" spans="1:8" x14ac:dyDescent="0.3">
      <c r="A4240" s="74" t="str">
        <f t="shared" si="66"/>
        <v>河南46324</v>
      </c>
      <c r="B4240" s="75" t="s">
        <v>27</v>
      </c>
      <c r="C4240" s="45">
        <v>46324</v>
      </c>
      <c r="D4240" s="76">
        <v>2692.9028794999499</v>
      </c>
      <c r="E4240" s="77">
        <v>125</v>
      </c>
      <c r="F4240" s="78">
        <v>12.558569306226699</v>
      </c>
      <c r="G4240" s="78">
        <v>12.558569306226699</v>
      </c>
      <c r="H4240" s="81">
        <v>12.6417190461601</v>
      </c>
    </row>
    <row r="4241" spans="1:8" x14ac:dyDescent="0.3">
      <c r="A4241" s="74" t="str">
        <f t="shared" si="66"/>
        <v>河南46325</v>
      </c>
      <c r="B4241" s="75" t="s">
        <v>27</v>
      </c>
      <c r="C4241" s="45">
        <v>46325</v>
      </c>
      <c r="D4241" s="76">
        <v>2692.9028794999499</v>
      </c>
      <c r="E4241" s="77">
        <v>125</v>
      </c>
      <c r="F4241" s="78">
        <v>12.558569306226699</v>
      </c>
      <c r="G4241" s="78">
        <v>12.558569306226699</v>
      </c>
      <c r="H4241" s="81">
        <v>12.6417190461601</v>
      </c>
    </row>
    <row r="4242" spans="1:8" x14ac:dyDescent="0.3">
      <c r="A4242" s="74" t="str">
        <f t="shared" si="66"/>
        <v>河南46326</v>
      </c>
      <c r="B4242" s="75" t="s">
        <v>27</v>
      </c>
      <c r="C4242" s="45">
        <v>46326</v>
      </c>
      <c r="D4242" s="76">
        <v>2692.9028794999499</v>
      </c>
      <c r="E4242" s="77">
        <v>125</v>
      </c>
      <c r="F4242" s="78">
        <v>12.558569306226699</v>
      </c>
      <c r="G4242" s="78">
        <v>12.558569306226699</v>
      </c>
      <c r="H4242" s="81">
        <v>12.6417190461601</v>
      </c>
    </row>
    <row r="4243" spans="1:8" x14ac:dyDescent="0.3">
      <c r="A4243" s="74" t="str">
        <f t="shared" si="66"/>
        <v>河南46327</v>
      </c>
      <c r="B4243" s="75" t="s">
        <v>27</v>
      </c>
      <c r="C4243" s="45">
        <v>46327</v>
      </c>
      <c r="D4243" s="76">
        <v>2162.2653032262501</v>
      </c>
      <c r="E4243" s="77">
        <v>125</v>
      </c>
      <c r="F4243" s="78">
        <v>12.8497561865846</v>
      </c>
      <c r="G4243" s="78">
        <v>12.8497561865846</v>
      </c>
      <c r="H4243" s="81">
        <v>12.716669949595801</v>
      </c>
    </row>
    <row r="4244" spans="1:8" x14ac:dyDescent="0.3">
      <c r="A4244" s="74" t="str">
        <f t="shared" si="66"/>
        <v>河南46328</v>
      </c>
      <c r="B4244" s="75" t="s">
        <v>27</v>
      </c>
      <c r="C4244" s="45">
        <v>46328</v>
      </c>
      <c r="D4244" s="76">
        <v>2162.2653032262501</v>
      </c>
      <c r="E4244" s="77">
        <v>125</v>
      </c>
      <c r="F4244" s="78">
        <v>12.8497561865846</v>
      </c>
      <c r="G4244" s="78">
        <v>12.8497561865846</v>
      </c>
      <c r="H4244" s="81">
        <v>12.716669949595801</v>
      </c>
    </row>
    <row r="4245" spans="1:8" x14ac:dyDescent="0.3">
      <c r="A4245" s="74" t="str">
        <f t="shared" si="66"/>
        <v>河南46329</v>
      </c>
      <c r="B4245" s="75" t="s">
        <v>27</v>
      </c>
      <c r="C4245" s="45">
        <v>46329</v>
      </c>
      <c r="D4245" s="76">
        <v>2162.2653032262501</v>
      </c>
      <c r="E4245" s="77">
        <v>125</v>
      </c>
      <c r="F4245" s="78">
        <v>12.8497561865846</v>
      </c>
      <c r="G4245" s="78">
        <v>12.8497561865846</v>
      </c>
      <c r="H4245" s="81">
        <v>12.716669949595801</v>
      </c>
    </row>
    <row r="4246" spans="1:8" x14ac:dyDescent="0.3">
      <c r="A4246" s="74" t="str">
        <f t="shared" si="66"/>
        <v>河南46330</v>
      </c>
      <c r="B4246" s="75" t="s">
        <v>27</v>
      </c>
      <c r="C4246" s="45">
        <v>46330</v>
      </c>
      <c r="D4246" s="76">
        <v>2162.2653032262501</v>
      </c>
      <c r="E4246" s="77">
        <v>125</v>
      </c>
      <c r="F4246" s="78">
        <v>12.8497561865846</v>
      </c>
      <c r="G4246" s="78">
        <v>12.8497561865846</v>
      </c>
      <c r="H4246" s="81">
        <v>12.716669949595801</v>
      </c>
    </row>
    <row r="4247" spans="1:8" x14ac:dyDescent="0.3">
      <c r="A4247" s="74" t="str">
        <f t="shared" si="66"/>
        <v>河南46331</v>
      </c>
      <c r="B4247" s="75" t="s">
        <v>27</v>
      </c>
      <c r="C4247" s="45">
        <v>46331</v>
      </c>
      <c r="D4247" s="76">
        <v>2162.2653032262501</v>
      </c>
      <c r="E4247" s="77">
        <v>125</v>
      </c>
      <c r="F4247" s="78">
        <v>12.8497561865846</v>
      </c>
      <c r="G4247" s="78">
        <v>12.8497561865846</v>
      </c>
      <c r="H4247" s="81">
        <v>12.716669949595801</v>
      </c>
    </row>
    <row r="4248" spans="1:8" x14ac:dyDescent="0.3">
      <c r="A4248" s="74" t="str">
        <f t="shared" si="66"/>
        <v>河南46332</v>
      </c>
      <c r="B4248" s="75" t="s">
        <v>27</v>
      </c>
      <c r="C4248" s="45">
        <v>46332</v>
      </c>
      <c r="D4248" s="76">
        <v>2162.2653032262501</v>
      </c>
      <c r="E4248" s="77">
        <v>125</v>
      </c>
      <c r="F4248" s="78">
        <v>12.8497561865846</v>
      </c>
      <c r="G4248" s="78">
        <v>12.8497561865846</v>
      </c>
      <c r="H4248" s="81">
        <v>12.716669949595801</v>
      </c>
    </row>
    <row r="4249" spans="1:8" x14ac:dyDescent="0.3">
      <c r="A4249" s="74" t="str">
        <f t="shared" si="66"/>
        <v>河南46333</v>
      </c>
      <c r="B4249" s="75" t="s">
        <v>27</v>
      </c>
      <c r="C4249" s="45">
        <v>46333</v>
      </c>
      <c r="D4249" s="76">
        <v>2162.2653032262501</v>
      </c>
      <c r="E4249" s="77">
        <v>125</v>
      </c>
      <c r="F4249" s="78">
        <v>12.8497561865846</v>
      </c>
      <c r="G4249" s="78">
        <v>12.8497561865846</v>
      </c>
      <c r="H4249" s="81">
        <v>12.716669949595801</v>
      </c>
    </row>
    <row r="4250" spans="1:8" x14ac:dyDescent="0.3">
      <c r="A4250" s="74" t="str">
        <f t="shared" si="66"/>
        <v>河南46334</v>
      </c>
      <c r="B4250" s="75" t="s">
        <v>27</v>
      </c>
      <c r="C4250" s="45">
        <v>46334</v>
      </c>
      <c r="D4250" s="76">
        <v>2162.2653032262501</v>
      </c>
      <c r="E4250" s="77">
        <v>125</v>
      </c>
      <c r="F4250" s="78">
        <v>12.8497561865846</v>
      </c>
      <c r="G4250" s="78">
        <v>12.8497561865846</v>
      </c>
      <c r="H4250" s="81">
        <v>12.716669949595801</v>
      </c>
    </row>
    <row r="4251" spans="1:8" x14ac:dyDescent="0.3">
      <c r="A4251" s="74" t="str">
        <f t="shared" si="66"/>
        <v>河南46335</v>
      </c>
      <c r="B4251" s="75" t="s">
        <v>27</v>
      </c>
      <c r="C4251" s="45">
        <v>46335</v>
      </c>
      <c r="D4251" s="76">
        <v>2162.2653032262501</v>
      </c>
      <c r="E4251" s="77">
        <v>125</v>
      </c>
      <c r="F4251" s="78">
        <v>12.8497561865846</v>
      </c>
      <c r="G4251" s="78">
        <v>12.8497561865846</v>
      </c>
      <c r="H4251" s="81">
        <v>12.716669949595801</v>
      </c>
    </row>
    <row r="4252" spans="1:8" x14ac:dyDescent="0.3">
      <c r="A4252" s="74" t="str">
        <f t="shared" si="66"/>
        <v>河南46336</v>
      </c>
      <c r="B4252" s="75" t="s">
        <v>27</v>
      </c>
      <c r="C4252" s="45">
        <v>46336</v>
      </c>
      <c r="D4252" s="76">
        <v>2162.2653032262501</v>
      </c>
      <c r="E4252" s="77">
        <v>125</v>
      </c>
      <c r="F4252" s="78">
        <v>12.8497561865846</v>
      </c>
      <c r="G4252" s="78">
        <v>12.8497561865846</v>
      </c>
      <c r="H4252" s="81">
        <v>12.716669949595801</v>
      </c>
    </row>
    <row r="4253" spans="1:8" x14ac:dyDescent="0.3">
      <c r="A4253" s="74" t="str">
        <f t="shared" si="66"/>
        <v>河南46337</v>
      </c>
      <c r="B4253" s="75" t="s">
        <v>27</v>
      </c>
      <c r="C4253" s="45">
        <v>46337</v>
      </c>
      <c r="D4253" s="76">
        <v>2162.2653032262501</v>
      </c>
      <c r="E4253" s="77">
        <v>125</v>
      </c>
      <c r="F4253" s="78">
        <v>12.8497561865846</v>
      </c>
      <c r="G4253" s="78">
        <v>12.8497561865846</v>
      </c>
      <c r="H4253" s="81">
        <v>12.716669949595801</v>
      </c>
    </row>
    <row r="4254" spans="1:8" x14ac:dyDescent="0.3">
      <c r="A4254" s="74" t="str">
        <f t="shared" si="66"/>
        <v>河南46338</v>
      </c>
      <c r="B4254" s="75" t="s">
        <v>27</v>
      </c>
      <c r="C4254" s="45">
        <v>46338</v>
      </c>
      <c r="D4254" s="76">
        <v>2162.2653032262501</v>
      </c>
      <c r="E4254" s="77">
        <v>125</v>
      </c>
      <c r="F4254" s="78">
        <v>12.8497561865846</v>
      </c>
      <c r="G4254" s="78">
        <v>12.8497561865846</v>
      </c>
      <c r="H4254" s="81">
        <v>12.716669949595801</v>
      </c>
    </row>
    <row r="4255" spans="1:8" x14ac:dyDescent="0.3">
      <c r="A4255" s="74" t="str">
        <f t="shared" si="66"/>
        <v>河南46339</v>
      </c>
      <c r="B4255" s="75" t="s">
        <v>27</v>
      </c>
      <c r="C4255" s="45">
        <v>46339</v>
      </c>
      <c r="D4255" s="76">
        <v>2162.2653032262501</v>
      </c>
      <c r="E4255" s="77">
        <v>125</v>
      </c>
      <c r="F4255" s="78">
        <v>12.8497561865846</v>
      </c>
      <c r="G4255" s="78">
        <v>12.8497561865846</v>
      </c>
      <c r="H4255" s="81">
        <v>12.716669949595801</v>
      </c>
    </row>
    <row r="4256" spans="1:8" x14ac:dyDescent="0.3">
      <c r="A4256" s="74" t="str">
        <f t="shared" si="66"/>
        <v>河南46340</v>
      </c>
      <c r="B4256" s="75" t="s">
        <v>27</v>
      </c>
      <c r="C4256" s="45">
        <v>46340</v>
      </c>
      <c r="D4256" s="76">
        <v>2162.2653032262501</v>
      </c>
      <c r="E4256" s="77">
        <v>125</v>
      </c>
      <c r="F4256" s="78">
        <v>12.8497561865846</v>
      </c>
      <c r="G4256" s="78">
        <v>12.8497561865846</v>
      </c>
      <c r="H4256" s="81">
        <v>12.716669949595801</v>
      </c>
    </row>
    <row r="4257" spans="1:8" x14ac:dyDescent="0.3">
      <c r="A4257" s="74" t="str">
        <f t="shared" si="66"/>
        <v>河南46341</v>
      </c>
      <c r="B4257" s="75" t="s">
        <v>27</v>
      </c>
      <c r="C4257" s="45">
        <v>46341</v>
      </c>
      <c r="D4257" s="76">
        <v>2162.2653032262501</v>
      </c>
      <c r="E4257" s="77">
        <v>125</v>
      </c>
      <c r="F4257" s="78">
        <v>12.8497561865846</v>
      </c>
      <c r="G4257" s="78">
        <v>12.8497561865846</v>
      </c>
      <c r="H4257" s="81">
        <v>12.716669949595801</v>
      </c>
    </row>
    <row r="4258" spans="1:8" x14ac:dyDescent="0.3">
      <c r="A4258" s="74" t="str">
        <f t="shared" si="66"/>
        <v>河南46342</v>
      </c>
      <c r="B4258" s="75" t="s">
        <v>27</v>
      </c>
      <c r="C4258" s="45">
        <v>46342</v>
      </c>
      <c r="D4258" s="76">
        <v>2162.2653032262501</v>
      </c>
      <c r="E4258" s="77">
        <v>125</v>
      </c>
      <c r="F4258" s="78">
        <v>12.8497561865846</v>
      </c>
      <c r="G4258" s="78">
        <v>12.8497561865846</v>
      </c>
      <c r="H4258" s="81">
        <v>12.716669949595801</v>
      </c>
    </row>
    <row r="4259" spans="1:8" x14ac:dyDescent="0.3">
      <c r="A4259" s="74" t="str">
        <f t="shared" si="66"/>
        <v>河南46343</v>
      </c>
      <c r="B4259" s="75" t="s">
        <v>27</v>
      </c>
      <c r="C4259" s="45">
        <v>46343</v>
      </c>
      <c r="D4259" s="76">
        <v>2162.2653032262501</v>
      </c>
      <c r="E4259" s="77">
        <v>125</v>
      </c>
      <c r="F4259" s="78">
        <v>12.8497561865846</v>
      </c>
      <c r="G4259" s="78">
        <v>12.8497561865846</v>
      </c>
      <c r="H4259" s="81">
        <v>12.716669949595801</v>
      </c>
    </row>
    <row r="4260" spans="1:8" x14ac:dyDescent="0.3">
      <c r="A4260" s="74" t="str">
        <f t="shared" si="66"/>
        <v>河南46344</v>
      </c>
      <c r="B4260" s="75" t="s">
        <v>27</v>
      </c>
      <c r="C4260" s="45">
        <v>46344</v>
      </c>
      <c r="D4260" s="76">
        <v>2162.2653032262501</v>
      </c>
      <c r="E4260" s="77">
        <v>125</v>
      </c>
      <c r="F4260" s="78">
        <v>12.8497561865846</v>
      </c>
      <c r="G4260" s="78">
        <v>12.8497561865846</v>
      </c>
      <c r="H4260" s="81">
        <v>12.716669949595801</v>
      </c>
    </row>
    <row r="4261" spans="1:8" x14ac:dyDescent="0.3">
      <c r="A4261" s="74" t="str">
        <f t="shared" si="66"/>
        <v>河南46345</v>
      </c>
      <c r="B4261" s="75" t="s">
        <v>27</v>
      </c>
      <c r="C4261" s="45">
        <v>46345</v>
      </c>
      <c r="D4261" s="76">
        <v>2162.2653032262501</v>
      </c>
      <c r="E4261" s="77">
        <v>125</v>
      </c>
      <c r="F4261" s="78">
        <v>12.8497561865846</v>
      </c>
      <c r="G4261" s="78">
        <v>12.8497561865846</v>
      </c>
      <c r="H4261" s="81">
        <v>12.716669949595801</v>
      </c>
    </row>
    <row r="4262" spans="1:8" x14ac:dyDescent="0.3">
      <c r="A4262" s="74" t="str">
        <f t="shared" si="66"/>
        <v>河南46346</v>
      </c>
      <c r="B4262" s="75" t="s">
        <v>27</v>
      </c>
      <c r="C4262" s="45">
        <v>46346</v>
      </c>
      <c r="D4262" s="76">
        <v>2162.2653032262501</v>
      </c>
      <c r="E4262" s="77">
        <v>125</v>
      </c>
      <c r="F4262" s="78">
        <v>12.8497561865846</v>
      </c>
      <c r="G4262" s="78">
        <v>12.8497561865846</v>
      </c>
      <c r="H4262" s="81">
        <v>12.716669949595801</v>
      </c>
    </row>
    <row r="4263" spans="1:8" x14ac:dyDescent="0.3">
      <c r="A4263" s="74" t="str">
        <f t="shared" si="66"/>
        <v>河南46347</v>
      </c>
      <c r="B4263" s="75" t="s">
        <v>27</v>
      </c>
      <c r="C4263" s="45">
        <v>46347</v>
      </c>
      <c r="D4263" s="76">
        <v>2162.2653032262501</v>
      </c>
      <c r="E4263" s="77">
        <v>125</v>
      </c>
      <c r="F4263" s="78">
        <v>12.8497561865846</v>
      </c>
      <c r="G4263" s="78">
        <v>12.8497561865846</v>
      </c>
      <c r="H4263" s="81">
        <v>12.716669949595801</v>
      </c>
    </row>
    <row r="4264" spans="1:8" x14ac:dyDescent="0.3">
      <c r="A4264" s="74" t="str">
        <f t="shared" si="66"/>
        <v>河南46348</v>
      </c>
      <c r="B4264" s="75" t="s">
        <v>27</v>
      </c>
      <c r="C4264" s="45">
        <v>46348</v>
      </c>
      <c r="D4264" s="76">
        <v>2162.2653032262501</v>
      </c>
      <c r="E4264" s="77">
        <v>125</v>
      </c>
      <c r="F4264" s="78">
        <v>12.8497561865846</v>
      </c>
      <c r="G4264" s="78">
        <v>12.8497561865846</v>
      </c>
      <c r="H4264" s="81">
        <v>12.716669949595801</v>
      </c>
    </row>
    <row r="4265" spans="1:8" x14ac:dyDescent="0.3">
      <c r="A4265" s="74" t="str">
        <f t="shared" si="66"/>
        <v>河南46349</v>
      </c>
      <c r="B4265" s="75" t="s">
        <v>27</v>
      </c>
      <c r="C4265" s="45">
        <v>46349</v>
      </c>
      <c r="D4265" s="76">
        <v>2162.2653032262501</v>
      </c>
      <c r="E4265" s="77">
        <v>125</v>
      </c>
      <c r="F4265" s="78">
        <v>12.8497561865846</v>
      </c>
      <c r="G4265" s="78">
        <v>12.8497561865846</v>
      </c>
      <c r="H4265" s="81">
        <v>12.716669949595801</v>
      </c>
    </row>
    <row r="4266" spans="1:8" x14ac:dyDescent="0.3">
      <c r="A4266" s="74" t="str">
        <f t="shared" si="66"/>
        <v>河南46350</v>
      </c>
      <c r="B4266" s="75" t="s">
        <v>27</v>
      </c>
      <c r="C4266" s="45">
        <v>46350</v>
      </c>
      <c r="D4266" s="76">
        <v>2162.2653032262501</v>
      </c>
      <c r="E4266" s="77">
        <v>125</v>
      </c>
      <c r="F4266" s="78">
        <v>12.8497561865846</v>
      </c>
      <c r="G4266" s="78">
        <v>12.8497561865846</v>
      </c>
      <c r="H4266" s="81">
        <v>12.716669949595801</v>
      </c>
    </row>
    <row r="4267" spans="1:8" x14ac:dyDescent="0.3">
      <c r="A4267" s="74" t="str">
        <f t="shared" si="66"/>
        <v>河南46351</v>
      </c>
      <c r="B4267" s="75" t="s">
        <v>27</v>
      </c>
      <c r="C4267" s="45">
        <v>46351</v>
      </c>
      <c r="D4267" s="76">
        <v>2162.2653032262501</v>
      </c>
      <c r="E4267" s="77">
        <v>125</v>
      </c>
      <c r="F4267" s="78">
        <v>12.8497561865846</v>
      </c>
      <c r="G4267" s="78">
        <v>12.8497561865846</v>
      </c>
      <c r="H4267" s="81">
        <v>12.716669949595801</v>
      </c>
    </row>
    <row r="4268" spans="1:8" x14ac:dyDescent="0.3">
      <c r="A4268" s="74" t="str">
        <f t="shared" si="66"/>
        <v>河南46352</v>
      </c>
      <c r="B4268" s="75" t="s">
        <v>27</v>
      </c>
      <c r="C4268" s="45">
        <v>46352</v>
      </c>
      <c r="D4268" s="76">
        <v>2162.2653032262501</v>
      </c>
      <c r="E4268" s="77">
        <v>125</v>
      </c>
      <c r="F4268" s="78">
        <v>12.8497561865846</v>
      </c>
      <c r="G4268" s="78">
        <v>12.8497561865846</v>
      </c>
      <c r="H4268" s="81">
        <v>12.716669949595801</v>
      </c>
    </row>
    <row r="4269" spans="1:8" x14ac:dyDescent="0.3">
      <c r="A4269" s="74" t="str">
        <f t="shared" si="66"/>
        <v>河南46353</v>
      </c>
      <c r="B4269" s="75" t="s">
        <v>27</v>
      </c>
      <c r="C4269" s="45">
        <v>46353</v>
      </c>
      <c r="D4269" s="76">
        <v>2162.2653032262501</v>
      </c>
      <c r="E4269" s="77">
        <v>125</v>
      </c>
      <c r="F4269" s="78">
        <v>12.8497561865846</v>
      </c>
      <c r="G4269" s="78">
        <v>12.8497561865846</v>
      </c>
      <c r="H4269" s="81">
        <v>12.716669949595801</v>
      </c>
    </row>
    <row r="4270" spans="1:8" x14ac:dyDescent="0.3">
      <c r="A4270" s="74" t="str">
        <f t="shared" si="66"/>
        <v>河南46354</v>
      </c>
      <c r="B4270" s="75" t="s">
        <v>27</v>
      </c>
      <c r="C4270" s="45">
        <v>46354</v>
      </c>
      <c r="D4270" s="76">
        <v>2162.2653032262501</v>
      </c>
      <c r="E4270" s="77">
        <v>125</v>
      </c>
      <c r="F4270" s="78">
        <v>12.8497561865846</v>
      </c>
      <c r="G4270" s="78">
        <v>12.8497561865846</v>
      </c>
      <c r="H4270" s="81">
        <v>12.716669949595801</v>
      </c>
    </row>
    <row r="4271" spans="1:8" x14ac:dyDescent="0.3">
      <c r="A4271" s="74" t="str">
        <f t="shared" si="66"/>
        <v>河南46355</v>
      </c>
      <c r="B4271" s="75" t="s">
        <v>27</v>
      </c>
      <c r="C4271" s="45">
        <v>46355</v>
      </c>
      <c r="D4271" s="76">
        <v>2162.2653032262501</v>
      </c>
      <c r="E4271" s="77">
        <v>125</v>
      </c>
      <c r="F4271" s="78">
        <v>12.8497561865846</v>
      </c>
      <c r="G4271" s="78">
        <v>12.8497561865846</v>
      </c>
      <c r="H4271" s="81">
        <v>12.716669949595801</v>
      </c>
    </row>
    <row r="4272" spans="1:8" x14ac:dyDescent="0.3">
      <c r="A4272" s="74" t="str">
        <f t="shared" si="66"/>
        <v>河南46356</v>
      </c>
      <c r="B4272" s="75" t="s">
        <v>27</v>
      </c>
      <c r="C4272" s="45">
        <v>46356</v>
      </c>
      <c r="D4272" s="76">
        <v>2162.2653032262501</v>
      </c>
      <c r="E4272" s="77">
        <v>125</v>
      </c>
      <c r="F4272" s="78">
        <v>12.8497561865846</v>
      </c>
      <c r="G4272" s="78">
        <v>12.8497561865846</v>
      </c>
      <c r="H4272" s="81">
        <v>12.716669949595801</v>
      </c>
    </row>
    <row r="4273" spans="1:8" x14ac:dyDescent="0.3">
      <c r="A4273" s="74" t="str">
        <f t="shared" si="66"/>
        <v>河南46357</v>
      </c>
      <c r="B4273" s="75" t="s">
        <v>27</v>
      </c>
      <c r="C4273" s="45">
        <v>46357</v>
      </c>
      <c r="D4273" s="76">
        <v>2231.97975447103</v>
      </c>
      <c r="E4273" s="77">
        <v>125</v>
      </c>
      <c r="F4273" s="78">
        <v>13.545682735674999</v>
      </c>
      <c r="G4273" s="78">
        <v>13.545682735674999</v>
      </c>
      <c r="H4273" s="81">
        <v>12.951516113694399</v>
      </c>
    </row>
    <row r="4274" spans="1:8" x14ac:dyDescent="0.3">
      <c r="A4274" s="74" t="str">
        <f t="shared" si="66"/>
        <v>河南46358</v>
      </c>
      <c r="B4274" s="75" t="s">
        <v>27</v>
      </c>
      <c r="C4274" s="45">
        <v>46358</v>
      </c>
      <c r="D4274" s="76">
        <v>2231.97975447103</v>
      </c>
      <c r="E4274" s="77">
        <v>125</v>
      </c>
      <c r="F4274" s="78">
        <v>13.545682735674999</v>
      </c>
      <c r="G4274" s="78">
        <v>13.545682735674999</v>
      </c>
      <c r="H4274" s="81">
        <v>12.951516113694399</v>
      </c>
    </row>
    <row r="4275" spans="1:8" x14ac:dyDescent="0.3">
      <c r="A4275" s="74" t="str">
        <f t="shared" si="66"/>
        <v>河南46359</v>
      </c>
      <c r="B4275" s="75" t="s">
        <v>27</v>
      </c>
      <c r="C4275" s="45">
        <v>46359</v>
      </c>
      <c r="D4275" s="76">
        <v>2231.97975447103</v>
      </c>
      <c r="E4275" s="77">
        <v>125</v>
      </c>
      <c r="F4275" s="78">
        <v>13.545682735674999</v>
      </c>
      <c r="G4275" s="78">
        <v>13.545682735674999</v>
      </c>
      <c r="H4275" s="81">
        <v>12.951516113694399</v>
      </c>
    </row>
    <row r="4276" spans="1:8" x14ac:dyDescent="0.3">
      <c r="A4276" s="74" t="str">
        <f t="shared" si="66"/>
        <v>河南46360</v>
      </c>
      <c r="B4276" s="75" t="s">
        <v>27</v>
      </c>
      <c r="C4276" s="45">
        <v>46360</v>
      </c>
      <c r="D4276" s="76">
        <v>2231.97975447103</v>
      </c>
      <c r="E4276" s="77">
        <v>125</v>
      </c>
      <c r="F4276" s="78">
        <v>13.545682735674999</v>
      </c>
      <c r="G4276" s="78">
        <v>13.545682735674999</v>
      </c>
      <c r="H4276" s="81">
        <v>12.951516113694399</v>
      </c>
    </row>
    <row r="4277" spans="1:8" x14ac:dyDescent="0.3">
      <c r="A4277" s="74" t="str">
        <f t="shared" si="66"/>
        <v>河南46361</v>
      </c>
      <c r="B4277" s="75" t="s">
        <v>27</v>
      </c>
      <c r="C4277" s="45">
        <v>46361</v>
      </c>
      <c r="D4277" s="76">
        <v>2231.97975447103</v>
      </c>
      <c r="E4277" s="77">
        <v>125</v>
      </c>
      <c r="F4277" s="78">
        <v>13.545682735674999</v>
      </c>
      <c r="G4277" s="78">
        <v>13.545682735674999</v>
      </c>
      <c r="H4277" s="81">
        <v>12.951516113694399</v>
      </c>
    </row>
    <row r="4278" spans="1:8" x14ac:dyDescent="0.3">
      <c r="A4278" s="74" t="str">
        <f t="shared" si="66"/>
        <v>河南46362</v>
      </c>
      <c r="B4278" s="75" t="s">
        <v>27</v>
      </c>
      <c r="C4278" s="45">
        <v>46362</v>
      </c>
      <c r="D4278" s="76">
        <v>2231.97975447103</v>
      </c>
      <c r="E4278" s="77">
        <v>125</v>
      </c>
      <c r="F4278" s="78">
        <v>13.545682735674999</v>
      </c>
      <c r="G4278" s="78">
        <v>13.545682735674999</v>
      </c>
      <c r="H4278" s="81">
        <v>12.951516113694399</v>
      </c>
    </row>
    <row r="4279" spans="1:8" x14ac:dyDescent="0.3">
      <c r="A4279" s="74" t="str">
        <f t="shared" si="66"/>
        <v>河南46363</v>
      </c>
      <c r="B4279" s="75" t="s">
        <v>27</v>
      </c>
      <c r="C4279" s="45">
        <v>46363</v>
      </c>
      <c r="D4279" s="76">
        <v>2231.97975447103</v>
      </c>
      <c r="E4279" s="77">
        <v>125</v>
      </c>
      <c r="F4279" s="78">
        <v>13.545682735674999</v>
      </c>
      <c r="G4279" s="78">
        <v>13.545682735674999</v>
      </c>
      <c r="H4279" s="81">
        <v>12.951516113694399</v>
      </c>
    </row>
    <row r="4280" spans="1:8" x14ac:dyDescent="0.3">
      <c r="A4280" s="74" t="str">
        <f t="shared" si="66"/>
        <v>河南46364</v>
      </c>
      <c r="B4280" s="75" t="s">
        <v>27</v>
      </c>
      <c r="C4280" s="45">
        <v>46364</v>
      </c>
      <c r="D4280" s="76">
        <v>2231.97975447103</v>
      </c>
      <c r="E4280" s="77">
        <v>125</v>
      </c>
      <c r="F4280" s="78">
        <v>13.545682735674999</v>
      </c>
      <c r="G4280" s="78">
        <v>13.545682735674999</v>
      </c>
      <c r="H4280" s="81">
        <v>12.951516113694399</v>
      </c>
    </row>
    <row r="4281" spans="1:8" x14ac:dyDescent="0.3">
      <c r="A4281" s="74" t="str">
        <f t="shared" si="66"/>
        <v>河南46365</v>
      </c>
      <c r="B4281" s="75" t="s">
        <v>27</v>
      </c>
      <c r="C4281" s="45">
        <v>46365</v>
      </c>
      <c r="D4281" s="76">
        <v>2231.97975447103</v>
      </c>
      <c r="E4281" s="77">
        <v>125</v>
      </c>
      <c r="F4281" s="78">
        <v>13.545682735674999</v>
      </c>
      <c r="G4281" s="78">
        <v>13.545682735674999</v>
      </c>
      <c r="H4281" s="81">
        <v>12.951516113694399</v>
      </c>
    </row>
    <row r="4282" spans="1:8" x14ac:dyDescent="0.3">
      <c r="A4282" s="74" t="str">
        <f t="shared" si="66"/>
        <v>河南46366</v>
      </c>
      <c r="B4282" s="75" t="s">
        <v>27</v>
      </c>
      <c r="C4282" s="45">
        <v>46366</v>
      </c>
      <c r="D4282" s="76">
        <v>2231.97975447103</v>
      </c>
      <c r="E4282" s="77">
        <v>125</v>
      </c>
      <c r="F4282" s="78">
        <v>13.545682735674999</v>
      </c>
      <c r="G4282" s="78">
        <v>13.545682735674999</v>
      </c>
      <c r="H4282" s="81">
        <v>12.951516113694399</v>
      </c>
    </row>
    <row r="4283" spans="1:8" x14ac:dyDescent="0.3">
      <c r="A4283" s="74" t="str">
        <f t="shared" si="66"/>
        <v>河南46367</v>
      </c>
      <c r="B4283" s="75" t="s">
        <v>27</v>
      </c>
      <c r="C4283" s="45">
        <v>46367</v>
      </c>
      <c r="D4283" s="76">
        <v>2231.97975447103</v>
      </c>
      <c r="E4283" s="77">
        <v>125</v>
      </c>
      <c r="F4283" s="78">
        <v>13.545682735674999</v>
      </c>
      <c r="G4283" s="78">
        <v>13.545682735674999</v>
      </c>
      <c r="H4283" s="81">
        <v>12.951516113694399</v>
      </c>
    </row>
    <row r="4284" spans="1:8" x14ac:dyDescent="0.3">
      <c r="A4284" s="74" t="str">
        <f t="shared" si="66"/>
        <v>河南46368</v>
      </c>
      <c r="B4284" s="75" t="s">
        <v>27</v>
      </c>
      <c r="C4284" s="45">
        <v>46368</v>
      </c>
      <c r="D4284" s="76">
        <v>2231.97975447103</v>
      </c>
      <c r="E4284" s="77">
        <v>125</v>
      </c>
      <c r="F4284" s="78">
        <v>13.545682735674999</v>
      </c>
      <c r="G4284" s="78">
        <v>13.545682735674999</v>
      </c>
      <c r="H4284" s="81">
        <v>12.951516113694399</v>
      </c>
    </row>
    <row r="4285" spans="1:8" x14ac:dyDescent="0.3">
      <c r="A4285" s="74" t="str">
        <f t="shared" si="66"/>
        <v>河南46369</v>
      </c>
      <c r="B4285" s="75" t="s">
        <v>27</v>
      </c>
      <c r="C4285" s="45">
        <v>46369</v>
      </c>
      <c r="D4285" s="76">
        <v>2231.97975447103</v>
      </c>
      <c r="E4285" s="77">
        <v>125</v>
      </c>
      <c r="F4285" s="78">
        <v>13.545682735674999</v>
      </c>
      <c r="G4285" s="78">
        <v>13.545682735674999</v>
      </c>
      <c r="H4285" s="81">
        <v>12.951516113694399</v>
      </c>
    </row>
    <row r="4286" spans="1:8" x14ac:dyDescent="0.3">
      <c r="A4286" s="74" t="str">
        <f t="shared" si="66"/>
        <v>河南46370</v>
      </c>
      <c r="B4286" s="75" t="s">
        <v>27</v>
      </c>
      <c r="C4286" s="45">
        <v>46370</v>
      </c>
      <c r="D4286" s="76">
        <v>2231.97975447103</v>
      </c>
      <c r="E4286" s="77">
        <v>125</v>
      </c>
      <c r="F4286" s="78">
        <v>13.545682735674999</v>
      </c>
      <c r="G4286" s="78">
        <v>13.545682735674999</v>
      </c>
      <c r="H4286" s="81">
        <v>12.951516113694399</v>
      </c>
    </row>
    <row r="4287" spans="1:8" x14ac:dyDescent="0.3">
      <c r="A4287" s="74" t="str">
        <f t="shared" si="66"/>
        <v>河南46371</v>
      </c>
      <c r="B4287" s="75" t="s">
        <v>27</v>
      </c>
      <c r="C4287" s="45">
        <v>46371</v>
      </c>
      <c r="D4287" s="76">
        <v>2231.97975447103</v>
      </c>
      <c r="E4287" s="77">
        <v>125</v>
      </c>
      <c r="F4287" s="78">
        <v>13.545682735674999</v>
      </c>
      <c r="G4287" s="78">
        <v>13.545682735674999</v>
      </c>
      <c r="H4287" s="81">
        <v>12.951516113694399</v>
      </c>
    </row>
    <row r="4288" spans="1:8" x14ac:dyDescent="0.3">
      <c r="A4288" s="74" t="str">
        <f t="shared" si="66"/>
        <v>河南46372</v>
      </c>
      <c r="B4288" s="75" t="s">
        <v>27</v>
      </c>
      <c r="C4288" s="45">
        <v>46372</v>
      </c>
      <c r="D4288" s="76">
        <v>2231.97975447103</v>
      </c>
      <c r="E4288" s="77">
        <v>125</v>
      </c>
      <c r="F4288" s="78">
        <v>13.545682735674999</v>
      </c>
      <c r="G4288" s="78">
        <v>13.545682735674999</v>
      </c>
      <c r="H4288" s="81">
        <v>12.951516113694399</v>
      </c>
    </row>
    <row r="4289" spans="1:8" x14ac:dyDescent="0.3">
      <c r="A4289" s="74" t="str">
        <f t="shared" si="66"/>
        <v>河南46373</v>
      </c>
      <c r="B4289" s="75" t="s">
        <v>27</v>
      </c>
      <c r="C4289" s="45">
        <v>46373</v>
      </c>
      <c r="D4289" s="76">
        <v>2231.97975447103</v>
      </c>
      <c r="E4289" s="77">
        <v>125</v>
      </c>
      <c r="F4289" s="78">
        <v>13.545682735674999</v>
      </c>
      <c r="G4289" s="78">
        <v>13.545682735674999</v>
      </c>
      <c r="H4289" s="81">
        <v>12.951516113694399</v>
      </c>
    </row>
    <row r="4290" spans="1:8" x14ac:dyDescent="0.3">
      <c r="A4290" s="74" t="str">
        <f t="shared" si="66"/>
        <v>河南46374</v>
      </c>
      <c r="B4290" s="75" t="s">
        <v>27</v>
      </c>
      <c r="C4290" s="45">
        <v>46374</v>
      </c>
      <c r="D4290" s="76">
        <v>2231.97975447103</v>
      </c>
      <c r="E4290" s="77">
        <v>125</v>
      </c>
      <c r="F4290" s="78">
        <v>13.545682735674999</v>
      </c>
      <c r="G4290" s="78">
        <v>13.545682735674999</v>
      </c>
      <c r="H4290" s="81">
        <v>12.951516113694399</v>
      </c>
    </row>
    <row r="4291" spans="1:8" x14ac:dyDescent="0.3">
      <c r="A4291" s="74" t="str">
        <f t="shared" ref="A4291:A4354" si="67">B4291&amp;C4291</f>
        <v>河南46375</v>
      </c>
      <c r="B4291" s="75" t="s">
        <v>27</v>
      </c>
      <c r="C4291" s="45">
        <v>46375</v>
      </c>
      <c r="D4291" s="76">
        <v>2231.97975447103</v>
      </c>
      <c r="E4291" s="77">
        <v>125</v>
      </c>
      <c r="F4291" s="78">
        <v>13.545682735674999</v>
      </c>
      <c r="G4291" s="78">
        <v>13.545682735674999</v>
      </c>
      <c r="H4291" s="81">
        <v>12.951516113694399</v>
      </c>
    </row>
    <row r="4292" spans="1:8" x14ac:dyDescent="0.3">
      <c r="A4292" s="74" t="str">
        <f t="shared" si="67"/>
        <v>河南46376</v>
      </c>
      <c r="B4292" s="75" t="s">
        <v>27</v>
      </c>
      <c r="C4292" s="45">
        <v>46376</v>
      </c>
      <c r="D4292" s="76">
        <v>2231.97975447103</v>
      </c>
      <c r="E4292" s="77">
        <v>125</v>
      </c>
      <c r="F4292" s="78">
        <v>13.545682735674999</v>
      </c>
      <c r="G4292" s="78">
        <v>13.545682735674999</v>
      </c>
      <c r="H4292" s="81">
        <v>12.951516113694399</v>
      </c>
    </row>
    <row r="4293" spans="1:8" x14ac:dyDescent="0.3">
      <c r="A4293" s="74" t="str">
        <f t="shared" si="67"/>
        <v>河南46377</v>
      </c>
      <c r="B4293" s="75" t="s">
        <v>27</v>
      </c>
      <c r="C4293" s="45">
        <v>46377</v>
      </c>
      <c r="D4293" s="76">
        <v>2231.97975447103</v>
      </c>
      <c r="E4293" s="77">
        <v>125</v>
      </c>
      <c r="F4293" s="78">
        <v>13.545682735674999</v>
      </c>
      <c r="G4293" s="78">
        <v>13.545682735674999</v>
      </c>
      <c r="H4293" s="81">
        <v>12.951516113694399</v>
      </c>
    </row>
    <row r="4294" spans="1:8" x14ac:dyDescent="0.3">
      <c r="A4294" s="74" t="str">
        <f t="shared" si="67"/>
        <v>河南46378</v>
      </c>
      <c r="B4294" s="75" t="s">
        <v>27</v>
      </c>
      <c r="C4294" s="45">
        <v>46378</v>
      </c>
      <c r="D4294" s="76">
        <v>2231.97975447103</v>
      </c>
      <c r="E4294" s="77">
        <v>125</v>
      </c>
      <c r="F4294" s="78">
        <v>13.545682735674999</v>
      </c>
      <c r="G4294" s="78">
        <v>13.545682735674999</v>
      </c>
      <c r="H4294" s="81">
        <v>12.951516113694399</v>
      </c>
    </row>
    <row r="4295" spans="1:8" x14ac:dyDescent="0.3">
      <c r="A4295" s="74" t="str">
        <f t="shared" si="67"/>
        <v>河南46379</v>
      </c>
      <c r="B4295" s="75" t="s">
        <v>27</v>
      </c>
      <c r="C4295" s="45">
        <v>46379</v>
      </c>
      <c r="D4295" s="76">
        <v>2231.97975447103</v>
      </c>
      <c r="E4295" s="77">
        <v>125</v>
      </c>
      <c r="F4295" s="78">
        <v>13.545682735674999</v>
      </c>
      <c r="G4295" s="78">
        <v>13.545682735674999</v>
      </c>
      <c r="H4295" s="81">
        <v>12.951516113694399</v>
      </c>
    </row>
    <row r="4296" spans="1:8" x14ac:dyDescent="0.3">
      <c r="A4296" s="74" t="str">
        <f t="shared" si="67"/>
        <v>河南46380</v>
      </c>
      <c r="B4296" s="75" t="s">
        <v>27</v>
      </c>
      <c r="C4296" s="45">
        <v>46380</v>
      </c>
      <c r="D4296" s="76">
        <v>2231.97975447103</v>
      </c>
      <c r="E4296" s="77">
        <v>125</v>
      </c>
      <c r="F4296" s="78">
        <v>13.545682735674999</v>
      </c>
      <c r="G4296" s="78">
        <v>13.545682735674999</v>
      </c>
      <c r="H4296" s="81">
        <v>12.951516113694399</v>
      </c>
    </row>
    <row r="4297" spans="1:8" x14ac:dyDescent="0.3">
      <c r="A4297" s="74" t="str">
        <f t="shared" si="67"/>
        <v>河南46381</v>
      </c>
      <c r="B4297" s="75" t="s">
        <v>27</v>
      </c>
      <c r="C4297" s="45">
        <v>46381</v>
      </c>
      <c r="D4297" s="76">
        <v>2231.97975447103</v>
      </c>
      <c r="E4297" s="77">
        <v>125</v>
      </c>
      <c r="F4297" s="78">
        <v>13.545682735674999</v>
      </c>
      <c r="G4297" s="78">
        <v>13.545682735674999</v>
      </c>
      <c r="H4297" s="81">
        <v>12.951516113694399</v>
      </c>
    </row>
    <row r="4298" spans="1:8" x14ac:dyDescent="0.3">
      <c r="A4298" s="74" t="str">
        <f t="shared" si="67"/>
        <v>河南46382</v>
      </c>
      <c r="B4298" s="75" t="s">
        <v>27</v>
      </c>
      <c r="C4298" s="45">
        <v>46382</v>
      </c>
      <c r="D4298" s="76">
        <v>2231.97975447103</v>
      </c>
      <c r="E4298" s="77">
        <v>125</v>
      </c>
      <c r="F4298" s="78">
        <v>13.545682735674999</v>
      </c>
      <c r="G4298" s="78">
        <v>13.545682735674999</v>
      </c>
      <c r="H4298" s="81">
        <v>12.951516113694399</v>
      </c>
    </row>
    <row r="4299" spans="1:8" x14ac:dyDescent="0.3">
      <c r="A4299" s="74" t="str">
        <f t="shared" si="67"/>
        <v>河南46383</v>
      </c>
      <c r="B4299" s="75" t="s">
        <v>27</v>
      </c>
      <c r="C4299" s="45">
        <v>46383</v>
      </c>
      <c r="D4299" s="76">
        <v>2231.97975447103</v>
      </c>
      <c r="E4299" s="77">
        <v>125</v>
      </c>
      <c r="F4299" s="78">
        <v>13.545682735674999</v>
      </c>
      <c r="G4299" s="78">
        <v>13.545682735674999</v>
      </c>
      <c r="H4299" s="81">
        <v>12.951516113694399</v>
      </c>
    </row>
    <row r="4300" spans="1:8" x14ac:dyDescent="0.3">
      <c r="A4300" s="74" t="str">
        <f t="shared" si="67"/>
        <v>河南46384</v>
      </c>
      <c r="B4300" s="75" t="s">
        <v>27</v>
      </c>
      <c r="C4300" s="45">
        <v>46384</v>
      </c>
      <c r="D4300" s="76">
        <v>2231.97975447103</v>
      </c>
      <c r="E4300" s="77">
        <v>125</v>
      </c>
      <c r="F4300" s="78">
        <v>13.545682735674999</v>
      </c>
      <c r="G4300" s="78">
        <v>13.545682735674999</v>
      </c>
      <c r="H4300" s="81">
        <v>12.951516113694399</v>
      </c>
    </row>
    <row r="4301" spans="1:8" x14ac:dyDescent="0.3">
      <c r="A4301" s="74" t="str">
        <f t="shared" si="67"/>
        <v>河南46385</v>
      </c>
      <c r="B4301" s="75" t="s">
        <v>27</v>
      </c>
      <c r="C4301" s="45">
        <v>46385</v>
      </c>
      <c r="D4301" s="76">
        <v>2231.97975447103</v>
      </c>
      <c r="E4301" s="77">
        <v>125</v>
      </c>
      <c r="F4301" s="78">
        <v>13.545682735674999</v>
      </c>
      <c r="G4301" s="78">
        <v>13.545682735674999</v>
      </c>
      <c r="H4301" s="81">
        <v>12.951516113694399</v>
      </c>
    </row>
    <row r="4302" spans="1:8" x14ac:dyDescent="0.3">
      <c r="A4302" s="74" t="str">
        <f t="shared" si="67"/>
        <v>河南46386</v>
      </c>
      <c r="B4302" s="75" t="s">
        <v>27</v>
      </c>
      <c r="C4302" s="45">
        <v>46386</v>
      </c>
      <c r="D4302" s="76">
        <v>2231.97975447103</v>
      </c>
      <c r="E4302" s="77">
        <v>125</v>
      </c>
      <c r="F4302" s="78">
        <v>13.545682735674999</v>
      </c>
      <c r="G4302" s="78">
        <v>13.545682735674999</v>
      </c>
      <c r="H4302" s="81">
        <v>12.951516113694399</v>
      </c>
    </row>
    <row r="4303" spans="1:8" x14ac:dyDescent="0.3">
      <c r="A4303" s="74" t="str">
        <f t="shared" si="67"/>
        <v>河南46387</v>
      </c>
      <c r="B4303" s="82" t="s">
        <v>27</v>
      </c>
      <c r="C4303" s="83">
        <v>46387</v>
      </c>
      <c r="D4303" s="84">
        <v>2231.97975447103</v>
      </c>
      <c r="E4303" s="85">
        <v>125</v>
      </c>
      <c r="F4303" s="86">
        <v>13.545682735674999</v>
      </c>
      <c r="G4303" s="86">
        <v>13.545682735674999</v>
      </c>
      <c r="H4303" s="87">
        <v>12.951516113694399</v>
      </c>
    </row>
    <row r="4304" spans="1:8" x14ac:dyDescent="0.3">
      <c r="A4304" s="74" t="str">
        <f t="shared" si="67"/>
        <v>安徽46135</v>
      </c>
      <c r="B4304" s="75" t="s">
        <v>28</v>
      </c>
      <c r="C4304" s="45">
        <v>46135</v>
      </c>
      <c r="D4304" s="76">
        <v>672.83870967741905</v>
      </c>
      <c r="E4304" s="77">
        <v>125</v>
      </c>
      <c r="F4304" s="78">
        <v>8.8391637039935507</v>
      </c>
      <c r="G4304" s="78">
        <v>8.8391637039935507</v>
      </c>
      <c r="H4304" s="81">
        <v>9.3976954118938707</v>
      </c>
    </row>
    <row r="4305" spans="1:8" x14ac:dyDescent="0.3">
      <c r="A4305" s="74" t="str">
        <f t="shared" si="67"/>
        <v>安徽46136</v>
      </c>
      <c r="B4305" s="75" t="s">
        <v>28</v>
      </c>
      <c r="C4305" s="45">
        <v>46136</v>
      </c>
      <c r="D4305" s="76">
        <v>672.83870967741905</v>
      </c>
      <c r="E4305" s="77">
        <v>125</v>
      </c>
      <c r="F4305" s="78">
        <v>8.8391637039935507</v>
      </c>
      <c r="G4305" s="78">
        <v>8.8391637039935507</v>
      </c>
      <c r="H4305" s="81">
        <v>9.3976954118938707</v>
      </c>
    </row>
    <row r="4306" spans="1:8" x14ac:dyDescent="0.3">
      <c r="A4306" s="74" t="str">
        <f t="shared" si="67"/>
        <v>安徽46137</v>
      </c>
      <c r="B4306" s="75" t="s">
        <v>28</v>
      </c>
      <c r="C4306" s="45">
        <v>46137</v>
      </c>
      <c r="D4306" s="76">
        <v>672.83870967741905</v>
      </c>
      <c r="E4306" s="77">
        <v>125</v>
      </c>
      <c r="F4306" s="78">
        <v>8.8391637039935507</v>
      </c>
      <c r="G4306" s="78">
        <v>8.8391637039935507</v>
      </c>
      <c r="H4306" s="81">
        <v>9.3976954118938707</v>
      </c>
    </row>
    <row r="4307" spans="1:8" x14ac:dyDescent="0.3">
      <c r="A4307" s="74" t="str">
        <f t="shared" si="67"/>
        <v>安徽46138</v>
      </c>
      <c r="B4307" s="75" t="s">
        <v>28</v>
      </c>
      <c r="C4307" s="45">
        <v>46138</v>
      </c>
      <c r="D4307" s="76">
        <v>672.83870967741905</v>
      </c>
      <c r="E4307" s="77">
        <v>125</v>
      </c>
      <c r="F4307" s="78">
        <v>8.8391637039935507</v>
      </c>
      <c r="G4307" s="78">
        <v>8.8391637039935507</v>
      </c>
      <c r="H4307" s="81">
        <v>9.3976954118938707</v>
      </c>
    </row>
    <row r="4308" spans="1:8" x14ac:dyDescent="0.3">
      <c r="A4308" s="74" t="str">
        <f t="shared" si="67"/>
        <v>安徽46139</v>
      </c>
      <c r="B4308" s="75" t="s">
        <v>28</v>
      </c>
      <c r="C4308" s="45">
        <v>46139</v>
      </c>
      <c r="D4308" s="76">
        <v>672.83870967741905</v>
      </c>
      <c r="E4308" s="77">
        <v>125</v>
      </c>
      <c r="F4308" s="78">
        <v>8.8391637039935507</v>
      </c>
      <c r="G4308" s="78">
        <v>8.8391637039935507</v>
      </c>
      <c r="H4308" s="81">
        <v>9.3976954118938707</v>
      </c>
    </row>
    <row r="4309" spans="1:8" x14ac:dyDescent="0.3">
      <c r="A4309" s="74" t="str">
        <f t="shared" si="67"/>
        <v>安徽46140</v>
      </c>
      <c r="B4309" s="75" t="s">
        <v>28</v>
      </c>
      <c r="C4309" s="45">
        <v>46140</v>
      </c>
      <c r="D4309" s="76">
        <v>672.83870967741905</v>
      </c>
      <c r="E4309" s="77">
        <v>125</v>
      </c>
      <c r="F4309" s="78">
        <v>8.8391637039935507</v>
      </c>
      <c r="G4309" s="78">
        <v>8.8391637039935507</v>
      </c>
      <c r="H4309" s="81">
        <v>9.3976954118938707</v>
      </c>
    </row>
    <row r="4310" spans="1:8" x14ac:dyDescent="0.3">
      <c r="A4310" s="74" t="str">
        <f t="shared" si="67"/>
        <v>安徽46141</v>
      </c>
      <c r="B4310" s="75" t="s">
        <v>28</v>
      </c>
      <c r="C4310" s="45">
        <v>46141</v>
      </c>
      <c r="D4310" s="76">
        <v>672.83870967741905</v>
      </c>
      <c r="E4310" s="77">
        <v>125</v>
      </c>
      <c r="F4310" s="78">
        <v>8.8391637039935507</v>
      </c>
      <c r="G4310" s="78">
        <v>8.8391637039935507</v>
      </c>
      <c r="H4310" s="81">
        <v>9.3976954118938707</v>
      </c>
    </row>
    <row r="4311" spans="1:8" x14ac:dyDescent="0.3">
      <c r="A4311" s="74" t="str">
        <f t="shared" si="67"/>
        <v>安徽46142</v>
      </c>
      <c r="B4311" s="75" t="s">
        <v>28</v>
      </c>
      <c r="C4311" s="45">
        <v>46142</v>
      </c>
      <c r="D4311" s="76">
        <v>672.83870967741905</v>
      </c>
      <c r="E4311" s="77">
        <v>125</v>
      </c>
      <c r="F4311" s="78">
        <v>8.8391637039935507</v>
      </c>
      <c r="G4311" s="78">
        <v>8.8391637039935507</v>
      </c>
      <c r="H4311" s="81">
        <v>9.3976954118938707</v>
      </c>
    </row>
    <row r="4312" spans="1:8" x14ac:dyDescent="0.3">
      <c r="A4312" s="74" t="str">
        <f t="shared" si="67"/>
        <v>安徽46143</v>
      </c>
      <c r="B4312" s="75" t="s">
        <v>28</v>
      </c>
      <c r="C4312" s="45">
        <v>46143</v>
      </c>
      <c r="D4312" s="76">
        <v>672.27212365591402</v>
      </c>
      <c r="E4312" s="77">
        <v>125</v>
      </c>
      <c r="F4312" s="78">
        <v>10.287441950521</v>
      </c>
      <c r="G4312" s="78">
        <v>10.287441950521</v>
      </c>
      <c r="H4312" s="81">
        <v>9.6111135598185804</v>
      </c>
    </row>
    <row r="4313" spans="1:8" x14ac:dyDescent="0.3">
      <c r="A4313" s="74" t="str">
        <f t="shared" si="67"/>
        <v>安徽46144</v>
      </c>
      <c r="B4313" s="75" t="s">
        <v>28</v>
      </c>
      <c r="C4313" s="45">
        <v>46144</v>
      </c>
      <c r="D4313" s="76">
        <v>672.27212365591402</v>
      </c>
      <c r="E4313" s="77">
        <v>125</v>
      </c>
      <c r="F4313" s="78">
        <v>10.287441950521</v>
      </c>
      <c r="G4313" s="78">
        <v>10.287441950521</v>
      </c>
      <c r="H4313" s="81">
        <v>9.6111135598185804</v>
      </c>
    </row>
    <row r="4314" spans="1:8" x14ac:dyDescent="0.3">
      <c r="A4314" s="74" t="str">
        <f t="shared" si="67"/>
        <v>安徽46145</v>
      </c>
      <c r="B4314" s="75" t="s">
        <v>28</v>
      </c>
      <c r="C4314" s="45">
        <v>46145</v>
      </c>
      <c r="D4314" s="76">
        <v>672.27212365591402</v>
      </c>
      <c r="E4314" s="77">
        <v>125</v>
      </c>
      <c r="F4314" s="78">
        <v>10.287441950521</v>
      </c>
      <c r="G4314" s="78">
        <v>10.287441950521</v>
      </c>
      <c r="H4314" s="81">
        <v>9.6111135598185804</v>
      </c>
    </row>
    <row r="4315" spans="1:8" x14ac:dyDescent="0.3">
      <c r="A4315" s="74" t="str">
        <f t="shared" si="67"/>
        <v>安徽46146</v>
      </c>
      <c r="B4315" s="75" t="s">
        <v>28</v>
      </c>
      <c r="C4315" s="45">
        <v>46146</v>
      </c>
      <c r="D4315" s="76">
        <v>672.27212365591402</v>
      </c>
      <c r="E4315" s="77">
        <v>125</v>
      </c>
      <c r="F4315" s="78">
        <v>10.287441950521</v>
      </c>
      <c r="G4315" s="78">
        <v>10.287441950521</v>
      </c>
      <c r="H4315" s="81">
        <v>9.6111135598185804</v>
      </c>
    </row>
    <row r="4316" spans="1:8" x14ac:dyDescent="0.3">
      <c r="A4316" s="74" t="str">
        <f t="shared" si="67"/>
        <v>安徽46147</v>
      </c>
      <c r="B4316" s="75" t="s">
        <v>28</v>
      </c>
      <c r="C4316" s="45">
        <v>46147</v>
      </c>
      <c r="D4316" s="76">
        <v>672.27212365591402</v>
      </c>
      <c r="E4316" s="77">
        <v>125</v>
      </c>
      <c r="F4316" s="78">
        <v>10.287441950521</v>
      </c>
      <c r="G4316" s="78">
        <v>10.287441950521</v>
      </c>
      <c r="H4316" s="81">
        <v>9.6111135598185804</v>
      </c>
    </row>
    <row r="4317" spans="1:8" x14ac:dyDescent="0.3">
      <c r="A4317" s="74" t="str">
        <f t="shared" si="67"/>
        <v>安徽46148</v>
      </c>
      <c r="B4317" s="75" t="s">
        <v>28</v>
      </c>
      <c r="C4317" s="45">
        <v>46148</v>
      </c>
      <c r="D4317" s="76">
        <v>672.27212365591402</v>
      </c>
      <c r="E4317" s="77">
        <v>125</v>
      </c>
      <c r="F4317" s="78">
        <v>10.287441950521</v>
      </c>
      <c r="G4317" s="78">
        <v>10.287441950521</v>
      </c>
      <c r="H4317" s="81">
        <v>9.6111135598185804</v>
      </c>
    </row>
    <row r="4318" spans="1:8" x14ac:dyDescent="0.3">
      <c r="A4318" s="74" t="str">
        <f t="shared" si="67"/>
        <v>安徽46149</v>
      </c>
      <c r="B4318" s="75" t="s">
        <v>28</v>
      </c>
      <c r="C4318" s="45">
        <v>46149</v>
      </c>
      <c r="D4318" s="76">
        <v>672.27212365591402</v>
      </c>
      <c r="E4318" s="77">
        <v>125</v>
      </c>
      <c r="F4318" s="78">
        <v>10.287441950521</v>
      </c>
      <c r="G4318" s="78">
        <v>10.287441950521</v>
      </c>
      <c r="H4318" s="81">
        <v>9.6111135598185804</v>
      </c>
    </row>
    <row r="4319" spans="1:8" x14ac:dyDescent="0.3">
      <c r="A4319" s="74" t="str">
        <f t="shared" si="67"/>
        <v>安徽46150</v>
      </c>
      <c r="B4319" s="75" t="s">
        <v>28</v>
      </c>
      <c r="C4319" s="45">
        <v>46150</v>
      </c>
      <c r="D4319" s="76">
        <v>672.27212365591402</v>
      </c>
      <c r="E4319" s="77">
        <v>125</v>
      </c>
      <c r="F4319" s="78">
        <v>10.287441950521</v>
      </c>
      <c r="G4319" s="78">
        <v>10.287441950521</v>
      </c>
      <c r="H4319" s="81">
        <v>9.6111135598185804</v>
      </c>
    </row>
    <row r="4320" spans="1:8" x14ac:dyDescent="0.3">
      <c r="A4320" s="74" t="str">
        <f t="shared" si="67"/>
        <v>安徽46151</v>
      </c>
      <c r="B4320" s="75" t="s">
        <v>28</v>
      </c>
      <c r="C4320" s="45">
        <v>46151</v>
      </c>
      <c r="D4320" s="76">
        <v>672.27212365591402</v>
      </c>
      <c r="E4320" s="77">
        <v>125</v>
      </c>
      <c r="F4320" s="78">
        <v>10.287441950521</v>
      </c>
      <c r="G4320" s="78">
        <v>10.287441950521</v>
      </c>
      <c r="H4320" s="81">
        <v>9.6111135598185804</v>
      </c>
    </row>
    <row r="4321" spans="1:8" x14ac:dyDescent="0.3">
      <c r="A4321" s="74" t="str">
        <f t="shared" si="67"/>
        <v>安徽46152</v>
      </c>
      <c r="B4321" s="75" t="s">
        <v>28</v>
      </c>
      <c r="C4321" s="45">
        <v>46152</v>
      </c>
      <c r="D4321" s="76">
        <v>672.27212365591402</v>
      </c>
      <c r="E4321" s="77">
        <v>125</v>
      </c>
      <c r="F4321" s="78">
        <v>10.287441950521</v>
      </c>
      <c r="G4321" s="78">
        <v>10.287441950521</v>
      </c>
      <c r="H4321" s="81">
        <v>9.6111135598185804</v>
      </c>
    </row>
    <row r="4322" spans="1:8" x14ac:dyDescent="0.3">
      <c r="A4322" s="74" t="str">
        <f t="shared" si="67"/>
        <v>安徽46153</v>
      </c>
      <c r="B4322" s="75" t="s">
        <v>28</v>
      </c>
      <c r="C4322" s="45">
        <v>46153</v>
      </c>
      <c r="D4322" s="76">
        <v>672.27212365591402</v>
      </c>
      <c r="E4322" s="77">
        <v>125</v>
      </c>
      <c r="F4322" s="78">
        <v>10.287441950521</v>
      </c>
      <c r="G4322" s="78">
        <v>10.287441950521</v>
      </c>
      <c r="H4322" s="81">
        <v>9.6111135598185804</v>
      </c>
    </row>
    <row r="4323" spans="1:8" x14ac:dyDescent="0.3">
      <c r="A4323" s="74" t="str">
        <f t="shared" si="67"/>
        <v>安徽46154</v>
      </c>
      <c r="B4323" s="75" t="s">
        <v>28</v>
      </c>
      <c r="C4323" s="45">
        <v>46154</v>
      </c>
      <c r="D4323" s="76">
        <v>672.27212365591402</v>
      </c>
      <c r="E4323" s="77">
        <v>125</v>
      </c>
      <c r="F4323" s="78">
        <v>10.287441950521</v>
      </c>
      <c r="G4323" s="78">
        <v>10.287441950521</v>
      </c>
      <c r="H4323" s="81">
        <v>9.6111135598185804</v>
      </c>
    </row>
    <row r="4324" spans="1:8" x14ac:dyDescent="0.3">
      <c r="A4324" s="74" t="str">
        <f t="shared" si="67"/>
        <v>安徽46155</v>
      </c>
      <c r="B4324" s="75" t="s">
        <v>28</v>
      </c>
      <c r="C4324" s="45">
        <v>46155</v>
      </c>
      <c r="D4324" s="76">
        <v>672.27212365591402</v>
      </c>
      <c r="E4324" s="77">
        <v>125</v>
      </c>
      <c r="F4324" s="78">
        <v>10.287441950521</v>
      </c>
      <c r="G4324" s="78">
        <v>10.287441950521</v>
      </c>
      <c r="H4324" s="81">
        <v>9.6111135598185804</v>
      </c>
    </row>
    <row r="4325" spans="1:8" x14ac:dyDescent="0.3">
      <c r="A4325" s="74" t="str">
        <f t="shared" si="67"/>
        <v>安徽46156</v>
      </c>
      <c r="B4325" s="75" t="s">
        <v>28</v>
      </c>
      <c r="C4325" s="45">
        <v>46156</v>
      </c>
      <c r="D4325" s="76">
        <v>672.27212365591402</v>
      </c>
      <c r="E4325" s="77">
        <v>125</v>
      </c>
      <c r="F4325" s="78">
        <v>10.287441950521</v>
      </c>
      <c r="G4325" s="78">
        <v>10.287441950521</v>
      </c>
      <c r="H4325" s="81">
        <v>9.6111135598185804</v>
      </c>
    </row>
    <row r="4326" spans="1:8" x14ac:dyDescent="0.3">
      <c r="A4326" s="74" t="str">
        <f t="shared" si="67"/>
        <v>安徽46157</v>
      </c>
      <c r="B4326" s="75" t="s">
        <v>28</v>
      </c>
      <c r="C4326" s="45">
        <v>46157</v>
      </c>
      <c r="D4326" s="76">
        <v>672.27212365591402</v>
      </c>
      <c r="E4326" s="77">
        <v>125</v>
      </c>
      <c r="F4326" s="78">
        <v>10.287441950521</v>
      </c>
      <c r="G4326" s="78">
        <v>10.287441950521</v>
      </c>
      <c r="H4326" s="81">
        <v>9.6111135598185804</v>
      </c>
    </row>
    <row r="4327" spans="1:8" x14ac:dyDescent="0.3">
      <c r="A4327" s="74" t="str">
        <f t="shared" si="67"/>
        <v>安徽46158</v>
      </c>
      <c r="B4327" s="75" t="s">
        <v>28</v>
      </c>
      <c r="C4327" s="45">
        <v>46158</v>
      </c>
      <c r="D4327" s="76">
        <v>672.27212365591402</v>
      </c>
      <c r="E4327" s="77">
        <v>125</v>
      </c>
      <c r="F4327" s="78">
        <v>10.287441950521</v>
      </c>
      <c r="G4327" s="78">
        <v>10.287441950521</v>
      </c>
      <c r="H4327" s="81">
        <v>9.6111135598185804</v>
      </c>
    </row>
    <row r="4328" spans="1:8" x14ac:dyDescent="0.3">
      <c r="A4328" s="74" t="str">
        <f t="shared" si="67"/>
        <v>安徽46159</v>
      </c>
      <c r="B4328" s="75" t="s">
        <v>28</v>
      </c>
      <c r="C4328" s="45">
        <v>46159</v>
      </c>
      <c r="D4328" s="76">
        <v>672.27212365591402</v>
      </c>
      <c r="E4328" s="77">
        <v>125</v>
      </c>
      <c r="F4328" s="78">
        <v>10.287441950521</v>
      </c>
      <c r="G4328" s="78">
        <v>10.287441950521</v>
      </c>
      <c r="H4328" s="81">
        <v>9.6111135598185804</v>
      </c>
    </row>
    <row r="4329" spans="1:8" x14ac:dyDescent="0.3">
      <c r="A4329" s="74" t="str">
        <f t="shared" si="67"/>
        <v>安徽46160</v>
      </c>
      <c r="B4329" s="75" t="s">
        <v>28</v>
      </c>
      <c r="C4329" s="45">
        <v>46160</v>
      </c>
      <c r="D4329" s="76">
        <v>672.27212365591402</v>
      </c>
      <c r="E4329" s="77">
        <v>125</v>
      </c>
      <c r="F4329" s="78">
        <v>10.287441950521</v>
      </c>
      <c r="G4329" s="78">
        <v>10.287441950521</v>
      </c>
      <c r="H4329" s="81">
        <v>9.6111135598185804</v>
      </c>
    </row>
    <row r="4330" spans="1:8" x14ac:dyDescent="0.3">
      <c r="A4330" s="74" t="str">
        <f t="shared" si="67"/>
        <v>安徽46161</v>
      </c>
      <c r="B4330" s="75" t="s">
        <v>28</v>
      </c>
      <c r="C4330" s="45">
        <v>46161</v>
      </c>
      <c r="D4330" s="76">
        <v>672.27212365591402</v>
      </c>
      <c r="E4330" s="77">
        <v>125</v>
      </c>
      <c r="F4330" s="78">
        <v>10.287441950521</v>
      </c>
      <c r="G4330" s="78">
        <v>10.287441950521</v>
      </c>
      <c r="H4330" s="81">
        <v>9.6111135598185804</v>
      </c>
    </row>
    <row r="4331" spans="1:8" x14ac:dyDescent="0.3">
      <c r="A4331" s="74" t="str">
        <f t="shared" si="67"/>
        <v>安徽46162</v>
      </c>
      <c r="B4331" s="75" t="s">
        <v>28</v>
      </c>
      <c r="C4331" s="45">
        <v>46162</v>
      </c>
      <c r="D4331" s="76">
        <v>672.27212365591402</v>
      </c>
      <c r="E4331" s="77">
        <v>125</v>
      </c>
      <c r="F4331" s="78">
        <v>10.287441950521</v>
      </c>
      <c r="G4331" s="78">
        <v>10.287441950521</v>
      </c>
      <c r="H4331" s="81">
        <v>9.6111135598185804</v>
      </c>
    </row>
    <row r="4332" spans="1:8" x14ac:dyDescent="0.3">
      <c r="A4332" s="74" t="str">
        <f t="shared" si="67"/>
        <v>安徽46163</v>
      </c>
      <c r="B4332" s="75" t="s">
        <v>28</v>
      </c>
      <c r="C4332" s="45">
        <v>46163</v>
      </c>
      <c r="D4332" s="76">
        <v>672.27212365591402</v>
      </c>
      <c r="E4332" s="77">
        <v>125</v>
      </c>
      <c r="F4332" s="78">
        <v>10.287441950521</v>
      </c>
      <c r="G4332" s="78">
        <v>10.287441950521</v>
      </c>
      <c r="H4332" s="81">
        <v>9.6111135598185804</v>
      </c>
    </row>
    <row r="4333" spans="1:8" x14ac:dyDescent="0.3">
      <c r="A4333" s="74" t="str">
        <f t="shared" si="67"/>
        <v>安徽46164</v>
      </c>
      <c r="B4333" s="75" t="s">
        <v>28</v>
      </c>
      <c r="C4333" s="45">
        <v>46164</v>
      </c>
      <c r="D4333" s="76">
        <v>672.27212365591402</v>
      </c>
      <c r="E4333" s="77">
        <v>125</v>
      </c>
      <c r="F4333" s="78">
        <v>10.287441950521</v>
      </c>
      <c r="G4333" s="78">
        <v>10.287441950521</v>
      </c>
      <c r="H4333" s="81">
        <v>9.6111135598185804</v>
      </c>
    </row>
    <row r="4334" spans="1:8" x14ac:dyDescent="0.3">
      <c r="A4334" s="74" t="str">
        <f t="shared" si="67"/>
        <v>安徽46165</v>
      </c>
      <c r="B4334" s="75" t="s">
        <v>28</v>
      </c>
      <c r="C4334" s="45">
        <v>46165</v>
      </c>
      <c r="D4334" s="76">
        <v>672.27212365591402</v>
      </c>
      <c r="E4334" s="77">
        <v>125</v>
      </c>
      <c r="F4334" s="78">
        <v>10.287441950521</v>
      </c>
      <c r="G4334" s="78">
        <v>10.287441950521</v>
      </c>
      <c r="H4334" s="81">
        <v>9.6111135598185804</v>
      </c>
    </row>
    <row r="4335" spans="1:8" x14ac:dyDescent="0.3">
      <c r="A4335" s="74" t="str">
        <f t="shared" si="67"/>
        <v>安徽46166</v>
      </c>
      <c r="B4335" s="75" t="s">
        <v>28</v>
      </c>
      <c r="C4335" s="45">
        <v>46166</v>
      </c>
      <c r="D4335" s="76">
        <v>672.27212365591402</v>
      </c>
      <c r="E4335" s="77">
        <v>125</v>
      </c>
      <c r="F4335" s="78">
        <v>10.287441950521</v>
      </c>
      <c r="G4335" s="78">
        <v>10.287441950521</v>
      </c>
      <c r="H4335" s="81">
        <v>9.6111135598185804</v>
      </c>
    </row>
    <row r="4336" spans="1:8" x14ac:dyDescent="0.3">
      <c r="A4336" s="74" t="str">
        <f t="shared" si="67"/>
        <v>安徽46167</v>
      </c>
      <c r="B4336" s="75" t="s">
        <v>28</v>
      </c>
      <c r="C4336" s="45">
        <v>46167</v>
      </c>
      <c r="D4336" s="76">
        <v>672.27212365591402</v>
      </c>
      <c r="E4336" s="77">
        <v>125</v>
      </c>
      <c r="F4336" s="78">
        <v>10.287441950521</v>
      </c>
      <c r="G4336" s="78">
        <v>10.287441950521</v>
      </c>
      <c r="H4336" s="81">
        <v>9.6111135598185804</v>
      </c>
    </row>
    <row r="4337" spans="1:8" x14ac:dyDescent="0.3">
      <c r="A4337" s="74" t="str">
        <f t="shared" si="67"/>
        <v>安徽46168</v>
      </c>
      <c r="B4337" s="75" t="s">
        <v>28</v>
      </c>
      <c r="C4337" s="45">
        <v>46168</v>
      </c>
      <c r="D4337" s="76">
        <v>672.27212365591402</v>
      </c>
      <c r="E4337" s="77">
        <v>125</v>
      </c>
      <c r="F4337" s="78">
        <v>10.287441950521</v>
      </c>
      <c r="G4337" s="78">
        <v>10.287441950521</v>
      </c>
      <c r="H4337" s="81">
        <v>9.6111135598185804</v>
      </c>
    </row>
    <row r="4338" spans="1:8" x14ac:dyDescent="0.3">
      <c r="A4338" s="74" t="str">
        <f t="shared" si="67"/>
        <v>安徽46169</v>
      </c>
      <c r="B4338" s="75" t="s">
        <v>28</v>
      </c>
      <c r="C4338" s="45">
        <v>46169</v>
      </c>
      <c r="D4338" s="76">
        <v>672.27212365591402</v>
      </c>
      <c r="E4338" s="77">
        <v>125</v>
      </c>
      <c r="F4338" s="78">
        <v>10.287441950521</v>
      </c>
      <c r="G4338" s="78">
        <v>10.287441950521</v>
      </c>
      <c r="H4338" s="81">
        <v>9.6111135598185804</v>
      </c>
    </row>
    <row r="4339" spans="1:8" x14ac:dyDescent="0.3">
      <c r="A4339" s="74" t="str">
        <f t="shared" si="67"/>
        <v>安徽46170</v>
      </c>
      <c r="B4339" s="75" t="s">
        <v>28</v>
      </c>
      <c r="C4339" s="45">
        <v>46170</v>
      </c>
      <c r="D4339" s="76">
        <v>672.27212365591402</v>
      </c>
      <c r="E4339" s="77">
        <v>125</v>
      </c>
      <c r="F4339" s="78">
        <v>10.287441950521</v>
      </c>
      <c r="G4339" s="78">
        <v>10.287441950521</v>
      </c>
      <c r="H4339" s="81">
        <v>9.6111135598185804</v>
      </c>
    </row>
    <row r="4340" spans="1:8" x14ac:dyDescent="0.3">
      <c r="A4340" s="74" t="str">
        <f t="shared" si="67"/>
        <v>安徽46171</v>
      </c>
      <c r="B4340" s="75" t="s">
        <v>28</v>
      </c>
      <c r="C4340" s="45">
        <v>46171</v>
      </c>
      <c r="D4340" s="76">
        <v>672.27212365591402</v>
      </c>
      <c r="E4340" s="77">
        <v>125</v>
      </c>
      <c r="F4340" s="78">
        <v>10.287441950521</v>
      </c>
      <c r="G4340" s="78">
        <v>10.287441950521</v>
      </c>
      <c r="H4340" s="81">
        <v>9.6111135598185804</v>
      </c>
    </row>
    <row r="4341" spans="1:8" x14ac:dyDescent="0.3">
      <c r="A4341" s="74" t="str">
        <f t="shared" si="67"/>
        <v>安徽46172</v>
      </c>
      <c r="B4341" s="75" t="s">
        <v>28</v>
      </c>
      <c r="C4341" s="45">
        <v>46172</v>
      </c>
      <c r="D4341" s="76">
        <v>672.27212365591402</v>
      </c>
      <c r="E4341" s="77">
        <v>125</v>
      </c>
      <c r="F4341" s="78">
        <v>10.287441950521</v>
      </c>
      <c r="G4341" s="78">
        <v>10.287441950521</v>
      </c>
      <c r="H4341" s="81">
        <v>9.6111135598185804</v>
      </c>
    </row>
    <row r="4342" spans="1:8" x14ac:dyDescent="0.3">
      <c r="A4342" s="74" t="str">
        <f t="shared" si="67"/>
        <v>安徽46173</v>
      </c>
      <c r="B4342" s="75" t="s">
        <v>28</v>
      </c>
      <c r="C4342" s="45">
        <v>46173</v>
      </c>
      <c r="D4342" s="76">
        <v>672.27212365591402</v>
      </c>
      <c r="E4342" s="77">
        <v>125</v>
      </c>
      <c r="F4342" s="78">
        <v>10.287441950521</v>
      </c>
      <c r="G4342" s="78">
        <v>10.287441950521</v>
      </c>
      <c r="H4342" s="81">
        <v>9.6111135598185804</v>
      </c>
    </row>
    <row r="4343" spans="1:8" x14ac:dyDescent="0.3">
      <c r="A4343" s="74" t="str">
        <f t="shared" si="67"/>
        <v>安徽46174</v>
      </c>
      <c r="B4343" s="75" t="s">
        <v>28</v>
      </c>
      <c r="C4343" s="45">
        <v>46174</v>
      </c>
      <c r="D4343" s="76">
        <v>595.39354838709698</v>
      </c>
      <c r="E4343" s="77">
        <v>125</v>
      </c>
      <c r="F4343" s="78">
        <v>11.2893039669827</v>
      </c>
      <c r="G4343" s="78">
        <v>11.2893039669827</v>
      </c>
      <c r="H4343" s="81">
        <v>10.4616110768767</v>
      </c>
    </row>
    <row r="4344" spans="1:8" x14ac:dyDescent="0.3">
      <c r="A4344" s="74" t="str">
        <f t="shared" si="67"/>
        <v>安徽46175</v>
      </c>
      <c r="B4344" s="75" t="s">
        <v>28</v>
      </c>
      <c r="C4344" s="45">
        <v>46175</v>
      </c>
      <c r="D4344" s="76">
        <v>595.39354838709698</v>
      </c>
      <c r="E4344" s="77">
        <v>125</v>
      </c>
      <c r="F4344" s="78">
        <v>11.2893039669827</v>
      </c>
      <c r="G4344" s="78">
        <v>11.2893039669827</v>
      </c>
      <c r="H4344" s="81">
        <v>10.4616110768767</v>
      </c>
    </row>
    <row r="4345" spans="1:8" x14ac:dyDescent="0.3">
      <c r="A4345" s="74" t="str">
        <f t="shared" si="67"/>
        <v>安徽46176</v>
      </c>
      <c r="B4345" s="75" t="s">
        <v>28</v>
      </c>
      <c r="C4345" s="45">
        <v>46176</v>
      </c>
      <c r="D4345" s="76">
        <v>595.39354838709698</v>
      </c>
      <c r="E4345" s="77">
        <v>125</v>
      </c>
      <c r="F4345" s="78">
        <v>11.2893039669827</v>
      </c>
      <c r="G4345" s="78">
        <v>11.2893039669827</v>
      </c>
      <c r="H4345" s="81">
        <v>10.4616110768767</v>
      </c>
    </row>
    <row r="4346" spans="1:8" x14ac:dyDescent="0.3">
      <c r="A4346" s="74" t="str">
        <f t="shared" si="67"/>
        <v>安徽46177</v>
      </c>
      <c r="B4346" s="75" t="s">
        <v>28</v>
      </c>
      <c r="C4346" s="45">
        <v>46177</v>
      </c>
      <c r="D4346" s="76">
        <v>595.39354838709698</v>
      </c>
      <c r="E4346" s="77">
        <v>125</v>
      </c>
      <c r="F4346" s="78">
        <v>11.2893039669827</v>
      </c>
      <c r="G4346" s="78">
        <v>11.2893039669827</v>
      </c>
      <c r="H4346" s="81">
        <v>10.4616110768767</v>
      </c>
    </row>
    <row r="4347" spans="1:8" x14ac:dyDescent="0.3">
      <c r="A4347" s="74" t="str">
        <f t="shared" si="67"/>
        <v>安徽46178</v>
      </c>
      <c r="B4347" s="75" t="s">
        <v>28</v>
      </c>
      <c r="C4347" s="45">
        <v>46178</v>
      </c>
      <c r="D4347" s="76">
        <v>595.39354838709698</v>
      </c>
      <c r="E4347" s="77">
        <v>125</v>
      </c>
      <c r="F4347" s="78">
        <v>11.2893039669827</v>
      </c>
      <c r="G4347" s="78">
        <v>11.2893039669827</v>
      </c>
      <c r="H4347" s="81">
        <v>10.4616110768767</v>
      </c>
    </row>
    <row r="4348" spans="1:8" x14ac:dyDescent="0.3">
      <c r="A4348" s="74" t="str">
        <f t="shared" si="67"/>
        <v>安徽46179</v>
      </c>
      <c r="B4348" s="75" t="s">
        <v>28</v>
      </c>
      <c r="C4348" s="45">
        <v>46179</v>
      </c>
      <c r="D4348" s="76">
        <v>595.39354838709698</v>
      </c>
      <c r="E4348" s="77">
        <v>125</v>
      </c>
      <c r="F4348" s="78">
        <v>11.2893039669827</v>
      </c>
      <c r="G4348" s="78">
        <v>11.2893039669827</v>
      </c>
      <c r="H4348" s="81">
        <v>10.4616110768767</v>
      </c>
    </row>
    <row r="4349" spans="1:8" x14ac:dyDescent="0.3">
      <c r="A4349" s="74" t="str">
        <f t="shared" si="67"/>
        <v>安徽46180</v>
      </c>
      <c r="B4349" s="75" t="s">
        <v>28</v>
      </c>
      <c r="C4349" s="45">
        <v>46180</v>
      </c>
      <c r="D4349" s="76">
        <v>595.39354838709698</v>
      </c>
      <c r="E4349" s="77">
        <v>125</v>
      </c>
      <c r="F4349" s="78">
        <v>11.2893039669827</v>
      </c>
      <c r="G4349" s="78">
        <v>11.2893039669827</v>
      </c>
      <c r="H4349" s="81">
        <v>10.4616110768767</v>
      </c>
    </row>
    <row r="4350" spans="1:8" x14ac:dyDescent="0.3">
      <c r="A4350" s="74" t="str">
        <f t="shared" si="67"/>
        <v>安徽46181</v>
      </c>
      <c r="B4350" s="75" t="s">
        <v>28</v>
      </c>
      <c r="C4350" s="45">
        <v>46181</v>
      </c>
      <c r="D4350" s="76">
        <v>595.39354838709698</v>
      </c>
      <c r="E4350" s="77">
        <v>125</v>
      </c>
      <c r="F4350" s="78">
        <v>11.2893039669827</v>
      </c>
      <c r="G4350" s="78">
        <v>11.2893039669827</v>
      </c>
      <c r="H4350" s="81">
        <v>10.4616110768767</v>
      </c>
    </row>
    <row r="4351" spans="1:8" x14ac:dyDescent="0.3">
      <c r="A4351" s="74" t="str">
        <f t="shared" si="67"/>
        <v>安徽46182</v>
      </c>
      <c r="B4351" s="75" t="s">
        <v>28</v>
      </c>
      <c r="C4351" s="45">
        <v>46182</v>
      </c>
      <c r="D4351" s="76">
        <v>595.39354838709698</v>
      </c>
      <c r="E4351" s="77">
        <v>125</v>
      </c>
      <c r="F4351" s="78">
        <v>11.2893039669827</v>
      </c>
      <c r="G4351" s="78">
        <v>11.2893039669827</v>
      </c>
      <c r="H4351" s="81">
        <v>10.4616110768767</v>
      </c>
    </row>
    <row r="4352" spans="1:8" x14ac:dyDescent="0.3">
      <c r="A4352" s="74" t="str">
        <f t="shared" si="67"/>
        <v>安徽46183</v>
      </c>
      <c r="B4352" s="75" t="s">
        <v>28</v>
      </c>
      <c r="C4352" s="45">
        <v>46183</v>
      </c>
      <c r="D4352" s="76">
        <v>595.39354838709698</v>
      </c>
      <c r="E4352" s="77">
        <v>125</v>
      </c>
      <c r="F4352" s="78">
        <v>11.2893039669827</v>
      </c>
      <c r="G4352" s="78">
        <v>11.2893039669827</v>
      </c>
      <c r="H4352" s="81">
        <v>10.4616110768767</v>
      </c>
    </row>
    <row r="4353" spans="1:8" x14ac:dyDescent="0.3">
      <c r="A4353" s="74" t="str">
        <f t="shared" si="67"/>
        <v>安徽46184</v>
      </c>
      <c r="B4353" s="75" t="s">
        <v>28</v>
      </c>
      <c r="C4353" s="45">
        <v>46184</v>
      </c>
      <c r="D4353" s="76">
        <v>595.39354838709698</v>
      </c>
      <c r="E4353" s="77">
        <v>125</v>
      </c>
      <c r="F4353" s="78">
        <v>11.2893039669827</v>
      </c>
      <c r="G4353" s="78">
        <v>11.2893039669827</v>
      </c>
      <c r="H4353" s="81">
        <v>10.4616110768767</v>
      </c>
    </row>
    <row r="4354" spans="1:8" x14ac:dyDescent="0.3">
      <c r="A4354" s="74" t="str">
        <f t="shared" si="67"/>
        <v>安徽46185</v>
      </c>
      <c r="B4354" s="75" t="s">
        <v>28</v>
      </c>
      <c r="C4354" s="45">
        <v>46185</v>
      </c>
      <c r="D4354" s="76">
        <v>595.39354838709698</v>
      </c>
      <c r="E4354" s="77">
        <v>125</v>
      </c>
      <c r="F4354" s="78">
        <v>11.2893039669827</v>
      </c>
      <c r="G4354" s="78">
        <v>11.2893039669827</v>
      </c>
      <c r="H4354" s="81">
        <v>10.4616110768767</v>
      </c>
    </row>
    <row r="4355" spans="1:8" x14ac:dyDescent="0.3">
      <c r="A4355" s="74" t="str">
        <f t="shared" ref="A4355:A4418" si="68">B4355&amp;C4355</f>
        <v>安徽46186</v>
      </c>
      <c r="B4355" s="75" t="s">
        <v>28</v>
      </c>
      <c r="C4355" s="45">
        <v>46186</v>
      </c>
      <c r="D4355" s="76">
        <v>595.39354838709698</v>
      </c>
      <c r="E4355" s="77">
        <v>125</v>
      </c>
      <c r="F4355" s="78">
        <v>11.2893039669827</v>
      </c>
      <c r="G4355" s="78">
        <v>11.2893039669827</v>
      </c>
      <c r="H4355" s="81">
        <v>10.4616110768767</v>
      </c>
    </row>
    <row r="4356" spans="1:8" x14ac:dyDescent="0.3">
      <c r="A4356" s="74" t="str">
        <f t="shared" si="68"/>
        <v>安徽46187</v>
      </c>
      <c r="B4356" s="75" t="s">
        <v>28</v>
      </c>
      <c r="C4356" s="45">
        <v>46187</v>
      </c>
      <c r="D4356" s="76">
        <v>595.39354838709698</v>
      </c>
      <c r="E4356" s="77">
        <v>125</v>
      </c>
      <c r="F4356" s="78">
        <v>11.2893039669827</v>
      </c>
      <c r="G4356" s="78">
        <v>11.2893039669827</v>
      </c>
      <c r="H4356" s="81">
        <v>10.4616110768767</v>
      </c>
    </row>
    <row r="4357" spans="1:8" x14ac:dyDescent="0.3">
      <c r="A4357" s="74" t="str">
        <f t="shared" si="68"/>
        <v>安徽46188</v>
      </c>
      <c r="B4357" s="75" t="s">
        <v>28</v>
      </c>
      <c r="C4357" s="45">
        <v>46188</v>
      </c>
      <c r="D4357" s="76">
        <v>595.39354838709698</v>
      </c>
      <c r="E4357" s="77">
        <v>125</v>
      </c>
      <c r="F4357" s="78">
        <v>11.2893039669827</v>
      </c>
      <c r="G4357" s="78">
        <v>11.2893039669827</v>
      </c>
      <c r="H4357" s="81">
        <v>10.4616110768767</v>
      </c>
    </row>
    <row r="4358" spans="1:8" x14ac:dyDescent="0.3">
      <c r="A4358" s="74" t="str">
        <f t="shared" si="68"/>
        <v>安徽46189</v>
      </c>
      <c r="B4358" s="75" t="s">
        <v>28</v>
      </c>
      <c r="C4358" s="45">
        <v>46189</v>
      </c>
      <c r="D4358" s="76">
        <v>595.39354838709698</v>
      </c>
      <c r="E4358" s="77">
        <v>125</v>
      </c>
      <c r="F4358" s="78">
        <v>11.2893039669827</v>
      </c>
      <c r="G4358" s="78">
        <v>11.2893039669827</v>
      </c>
      <c r="H4358" s="81">
        <v>10.4616110768767</v>
      </c>
    </row>
    <row r="4359" spans="1:8" x14ac:dyDescent="0.3">
      <c r="A4359" s="74" t="str">
        <f t="shared" si="68"/>
        <v>安徽46190</v>
      </c>
      <c r="B4359" s="75" t="s">
        <v>28</v>
      </c>
      <c r="C4359" s="45">
        <v>46190</v>
      </c>
      <c r="D4359" s="76">
        <v>595.39354838709698</v>
      </c>
      <c r="E4359" s="77">
        <v>125</v>
      </c>
      <c r="F4359" s="78">
        <v>11.2893039669827</v>
      </c>
      <c r="G4359" s="78">
        <v>11.2893039669827</v>
      </c>
      <c r="H4359" s="81">
        <v>10.4616110768767</v>
      </c>
    </row>
    <row r="4360" spans="1:8" x14ac:dyDescent="0.3">
      <c r="A4360" s="74" t="str">
        <f t="shared" si="68"/>
        <v>安徽46191</v>
      </c>
      <c r="B4360" s="75" t="s">
        <v>28</v>
      </c>
      <c r="C4360" s="45">
        <v>46191</v>
      </c>
      <c r="D4360" s="76">
        <v>595.39354838709698</v>
      </c>
      <c r="E4360" s="77">
        <v>125</v>
      </c>
      <c r="F4360" s="78">
        <v>11.2893039669827</v>
      </c>
      <c r="G4360" s="78">
        <v>11.2893039669827</v>
      </c>
      <c r="H4360" s="81">
        <v>10.4616110768767</v>
      </c>
    </row>
    <row r="4361" spans="1:8" x14ac:dyDescent="0.3">
      <c r="A4361" s="74" t="str">
        <f t="shared" si="68"/>
        <v>安徽46192</v>
      </c>
      <c r="B4361" s="75" t="s">
        <v>28</v>
      </c>
      <c r="C4361" s="45">
        <v>46192</v>
      </c>
      <c r="D4361" s="76">
        <v>595.39354838709698</v>
      </c>
      <c r="E4361" s="77">
        <v>125</v>
      </c>
      <c r="F4361" s="78">
        <v>11.2893039669827</v>
      </c>
      <c r="G4361" s="78">
        <v>11.2893039669827</v>
      </c>
      <c r="H4361" s="81">
        <v>10.4616110768767</v>
      </c>
    </row>
    <row r="4362" spans="1:8" x14ac:dyDescent="0.3">
      <c r="A4362" s="74" t="str">
        <f t="shared" si="68"/>
        <v>安徽46193</v>
      </c>
      <c r="B4362" s="75" t="s">
        <v>28</v>
      </c>
      <c r="C4362" s="45">
        <v>46193</v>
      </c>
      <c r="D4362" s="76">
        <v>595.39354838709698</v>
      </c>
      <c r="E4362" s="77">
        <v>125</v>
      </c>
      <c r="F4362" s="78">
        <v>11.2893039669827</v>
      </c>
      <c r="G4362" s="78">
        <v>11.2893039669827</v>
      </c>
      <c r="H4362" s="81">
        <v>10.4616110768767</v>
      </c>
    </row>
    <row r="4363" spans="1:8" x14ac:dyDescent="0.3">
      <c r="A4363" s="74" t="str">
        <f t="shared" si="68"/>
        <v>安徽46194</v>
      </c>
      <c r="B4363" s="75" t="s">
        <v>28</v>
      </c>
      <c r="C4363" s="45">
        <v>46194</v>
      </c>
      <c r="D4363" s="76">
        <v>595.39354838709698</v>
      </c>
      <c r="E4363" s="77">
        <v>125</v>
      </c>
      <c r="F4363" s="78">
        <v>11.2893039669827</v>
      </c>
      <c r="G4363" s="78">
        <v>11.2893039669827</v>
      </c>
      <c r="H4363" s="81">
        <v>10.4616110768767</v>
      </c>
    </row>
    <row r="4364" spans="1:8" x14ac:dyDescent="0.3">
      <c r="A4364" s="74" t="str">
        <f t="shared" si="68"/>
        <v>安徽46195</v>
      </c>
      <c r="B4364" s="75" t="s">
        <v>28</v>
      </c>
      <c r="C4364" s="45">
        <v>46195</v>
      </c>
      <c r="D4364" s="76">
        <v>595.39354838709698</v>
      </c>
      <c r="E4364" s="77">
        <v>125</v>
      </c>
      <c r="F4364" s="78">
        <v>11.2893039669827</v>
      </c>
      <c r="G4364" s="78">
        <v>11.2893039669827</v>
      </c>
      <c r="H4364" s="81">
        <v>10.4616110768767</v>
      </c>
    </row>
    <row r="4365" spans="1:8" x14ac:dyDescent="0.3">
      <c r="A4365" s="74" t="str">
        <f t="shared" si="68"/>
        <v>安徽46196</v>
      </c>
      <c r="B4365" s="75" t="s">
        <v>28</v>
      </c>
      <c r="C4365" s="45">
        <v>46196</v>
      </c>
      <c r="D4365" s="76">
        <v>595.39354838709698</v>
      </c>
      <c r="E4365" s="77">
        <v>125</v>
      </c>
      <c r="F4365" s="78">
        <v>11.2893039669827</v>
      </c>
      <c r="G4365" s="78">
        <v>11.2893039669827</v>
      </c>
      <c r="H4365" s="81">
        <v>10.4616110768767</v>
      </c>
    </row>
    <row r="4366" spans="1:8" x14ac:dyDescent="0.3">
      <c r="A4366" s="74" t="str">
        <f t="shared" si="68"/>
        <v>安徽46197</v>
      </c>
      <c r="B4366" s="75" t="s">
        <v>28</v>
      </c>
      <c r="C4366" s="45">
        <v>46197</v>
      </c>
      <c r="D4366" s="76">
        <v>595.39354838709698</v>
      </c>
      <c r="E4366" s="77">
        <v>125</v>
      </c>
      <c r="F4366" s="78">
        <v>11.2893039669827</v>
      </c>
      <c r="G4366" s="78">
        <v>11.2893039669827</v>
      </c>
      <c r="H4366" s="81">
        <v>10.4616110768767</v>
      </c>
    </row>
    <row r="4367" spans="1:8" x14ac:dyDescent="0.3">
      <c r="A4367" s="74" t="str">
        <f t="shared" si="68"/>
        <v>安徽46198</v>
      </c>
      <c r="B4367" s="75" t="s">
        <v>28</v>
      </c>
      <c r="C4367" s="45">
        <v>46198</v>
      </c>
      <c r="D4367" s="76">
        <v>595.39354838709698</v>
      </c>
      <c r="E4367" s="77">
        <v>125</v>
      </c>
      <c r="F4367" s="78">
        <v>11.2893039669827</v>
      </c>
      <c r="G4367" s="78">
        <v>11.2893039669827</v>
      </c>
      <c r="H4367" s="81">
        <v>10.4616110768767</v>
      </c>
    </row>
    <row r="4368" spans="1:8" x14ac:dyDescent="0.3">
      <c r="A4368" s="74" t="str">
        <f t="shared" si="68"/>
        <v>安徽46199</v>
      </c>
      <c r="B4368" s="75" t="s">
        <v>28</v>
      </c>
      <c r="C4368" s="45">
        <v>46199</v>
      </c>
      <c r="D4368" s="76">
        <v>595.39354838709698</v>
      </c>
      <c r="E4368" s="77">
        <v>125</v>
      </c>
      <c r="F4368" s="78">
        <v>11.2893039669827</v>
      </c>
      <c r="G4368" s="78">
        <v>11.2893039669827</v>
      </c>
      <c r="H4368" s="81">
        <v>10.4616110768767</v>
      </c>
    </row>
    <row r="4369" spans="1:8" x14ac:dyDescent="0.3">
      <c r="A4369" s="74" t="str">
        <f t="shared" si="68"/>
        <v>安徽46200</v>
      </c>
      <c r="B4369" s="75" t="s">
        <v>28</v>
      </c>
      <c r="C4369" s="45">
        <v>46200</v>
      </c>
      <c r="D4369" s="76">
        <v>595.39354838709698</v>
      </c>
      <c r="E4369" s="77">
        <v>125</v>
      </c>
      <c r="F4369" s="78">
        <v>11.2893039669827</v>
      </c>
      <c r="G4369" s="78">
        <v>11.2893039669827</v>
      </c>
      <c r="H4369" s="81">
        <v>10.4616110768767</v>
      </c>
    </row>
    <row r="4370" spans="1:8" x14ac:dyDescent="0.3">
      <c r="A4370" s="74" t="str">
        <f t="shared" si="68"/>
        <v>安徽46201</v>
      </c>
      <c r="B4370" s="75" t="s">
        <v>28</v>
      </c>
      <c r="C4370" s="45">
        <v>46201</v>
      </c>
      <c r="D4370" s="76">
        <v>595.39354838709698</v>
      </c>
      <c r="E4370" s="77">
        <v>125</v>
      </c>
      <c r="F4370" s="78">
        <v>11.2893039669827</v>
      </c>
      <c r="G4370" s="78">
        <v>11.2893039669827</v>
      </c>
      <c r="H4370" s="81">
        <v>10.4616110768767</v>
      </c>
    </row>
    <row r="4371" spans="1:8" x14ac:dyDescent="0.3">
      <c r="A4371" s="74" t="str">
        <f t="shared" si="68"/>
        <v>安徽46202</v>
      </c>
      <c r="B4371" s="75" t="s">
        <v>28</v>
      </c>
      <c r="C4371" s="45">
        <v>46202</v>
      </c>
      <c r="D4371" s="76">
        <v>595.39354838709698</v>
      </c>
      <c r="E4371" s="77">
        <v>125</v>
      </c>
      <c r="F4371" s="78">
        <v>11.2893039669827</v>
      </c>
      <c r="G4371" s="78">
        <v>11.2893039669827</v>
      </c>
      <c r="H4371" s="81">
        <v>10.4616110768767</v>
      </c>
    </row>
    <row r="4372" spans="1:8" x14ac:dyDescent="0.3">
      <c r="A4372" s="74" t="str">
        <f t="shared" si="68"/>
        <v>安徽46203</v>
      </c>
      <c r="B4372" s="75" t="s">
        <v>28</v>
      </c>
      <c r="C4372" s="45">
        <v>46203</v>
      </c>
      <c r="D4372" s="76">
        <v>595.39354838709698</v>
      </c>
      <c r="E4372" s="77">
        <v>125</v>
      </c>
      <c r="F4372" s="78">
        <v>11.2893039669827</v>
      </c>
      <c r="G4372" s="78">
        <v>11.2893039669827</v>
      </c>
      <c r="H4372" s="81">
        <v>10.4616110768767</v>
      </c>
    </row>
    <row r="4373" spans="1:8" x14ac:dyDescent="0.3">
      <c r="A4373" s="74" t="str">
        <f t="shared" si="68"/>
        <v>安徽46204</v>
      </c>
      <c r="B4373" s="75" t="s">
        <v>28</v>
      </c>
      <c r="C4373" s="45">
        <v>46204</v>
      </c>
      <c r="D4373" s="76">
        <v>626.144332822141</v>
      </c>
      <c r="E4373" s="77">
        <v>125</v>
      </c>
      <c r="F4373" s="78">
        <v>11.7623628939968</v>
      </c>
      <c r="G4373" s="78">
        <v>11.7623628939968</v>
      </c>
      <c r="H4373" s="81">
        <v>11.3121085939348</v>
      </c>
    </row>
    <row r="4374" spans="1:8" x14ac:dyDescent="0.3">
      <c r="A4374" s="74" t="str">
        <f t="shared" si="68"/>
        <v>安徽46205</v>
      </c>
      <c r="B4374" s="75" t="s">
        <v>28</v>
      </c>
      <c r="C4374" s="45">
        <v>46205</v>
      </c>
      <c r="D4374" s="76">
        <v>626.144332822141</v>
      </c>
      <c r="E4374" s="77">
        <v>125</v>
      </c>
      <c r="F4374" s="78">
        <v>11.7623628939968</v>
      </c>
      <c r="G4374" s="78">
        <v>11.7623628939968</v>
      </c>
      <c r="H4374" s="81">
        <v>11.3121085939348</v>
      </c>
    </row>
    <row r="4375" spans="1:8" x14ac:dyDescent="0.3">
      <c r="A4375" s="74" t="str">
        <f t="shared" si="68"/>
        <v>安徽46206</v>
      </c>
      <c r="B4375" s="75" t="s">
        <v>28</v>
      </c>
      <c r="C4375" s="45">
        <v>46206</v>
      </c>
      <c r="D4375" s="76">
        <v>626.144332822141</v>
      </c>
      <c r="E4375" s="77">
        <v>125</v>
      </c>
      <c r="F4375" s="78">
        <v>11.7623628939968</v>
      </c>
      <c r="G4375" s="78">
        <v>11.7623628939968</v>
      </c>
      <c r="H4375" s="81">
        <v>11.3121085939348</v>
      </c>
    </row>
    <row r="4376" spans="1:8" x14ac:dyDescent="0.3">
      <c r="A4376" s="74" t="str">
        <f t="shared" si="68"/>
        <v>安徽46207</v>
      </c>
      <c r="B4376" s="75" t="s">
        <v>28</v>
      </c>
      <c r="C4376" s="45">
        <v>46207</v>
      </c>
      <c r="D4376" s="76">
        <v>626.144332822141</v>
      </c>
      <c r="E4376" s="77">
        <v>125</v>
      </c>
      <c r="F4376" s="78">
        <v>11.7623628939968</v>
      </c>
      <c r="G4376" s="78">
        <v>11.7623628939968</v>
      </c>
      <c r="H4376" s="81">
        <v>11.3121085939348</v>
      </c>
    </row>
    <row r="4377" spans="1:8" x14ac:dyDescent="0.3">
      <c r="A4377" s="74" t="str">
        <f t="shared" si="68"/>
        <v>安徽46208</v>
      </c>
      <c r="B4377" s="75" t="s">
        <v>28</v>
      </c>
      <c r="C4377" s="45">
        <v>46208</v>
      </c>
      <c r="D4377" s="76">
        <v>626.144332822141</v>
      </c>
      <c r="E4377" s="77">
        <v>125</v>
      </c>
      <c r="F4377" s="78">
        <v>11.7623628939968</v>
      </c>
      <c r="G4377" s="78">
        <v>11.7623628939968</v>
      </c>
      <c r="H4377" s="81">
        <v>11.3121085939348</v>
      </c>
    </row>
    <row r="4378" spans="1:8" x14ac:dyDescent="0.3">
      <c r="A4378" s="74" t="str">
        <f t="shared" si="68"/>
        <v>安徽46209</v>
      </c>
      <c r="B4378" s="75" t="s">
        <v>28</v>
      </c>
      <c r="C4378" s="45">
        <v>46209</v>
      </c>
      <c r="D4378" s="76">
        <v>626.144332822141</v>
      </c>
      <c r="E4378" s="77">
        <v>125</v>
      </c>
      <c r="F4378" s="78">
        <v>11.7623628939968</v>
      </c>
      <c r="G4378" s="78">
        <v>11.7623628939968</v>
      </c>
      <c r="H4378" s="81">
        <v>11.3121085939348</v>
      </c>
    </row>
    <row r="4379" spans="1:8" x14ac:dyDescent="0.3">
      <c r="A4379" s="74" t="str">
        <f t="shared" si="68"/>
        <v>安徽46210</v>
      </c>
      <c r="B4379" s="75" t="s">
        <v>28</v>
      </c>
      <c r="C4379" s="45">
        <v>46210</v>
      </c>
      <c r="D4379" s="76">
        <v>626.144332822141</v>
      </c>
      <c r="E4379" s="77">
        <v>125</v>
      </c>
      <c r="F4379" s="78">
        <v>11.7623628939968</v>
      </c>
      <c r="G4379" s="78">
        <v>11.7623628939968</v>
      </c>
      <c r="H4379" s="81">
        <v>11.3121085939348</v>
      </c>
    </row>
    <row r="4380" spans="1:8" x14ac:dyDescent="0.3">
      <c r="A4380" s="74" t="str">
        <f t="shared" si="68"/>
        <v>安徽46211</v>
      </c>
      <c r="B4380" s="75" t="s">
        <v>28</v>
      </c>
      <c r="C4380" s="45">
        <v>46211</v>
      </c>
      <c r="D4380" s="76">
        <v>626.144332822141</v>
      </c>
      <c r="E4380" s="77">
        <v>125</v>
      </c>
      <c r="F4380" s="78">
        <v>11.7623628939968</v>
      </c>
      <c r="G4380" s="78">
        <v>11.7623628939968</v>
      </c>
      <c r="H4380" s="81">
        <v>11.3121085939348</v>
      </c>
    </row>
    <row r="4381" spans="1:8" x14ac:dyDescent="0.3">
      <c r="A4381" s="74" t="str">
        <f t="shared" si="68"/>
        <v>安徽46212</v>
      </c>
      <c r="B4381" s="75" t="s">
        <v>28</v>
      </c>
      <c r="C4381" s="45">
        <v>46212</v>
      </c>
      <c r="D4381" s="76">
        <v>626.144332822141</v>
      </c>
      <c r="E4381" s="77">
        <v>125</v>
      </c>
      <c r="F4381" s="78">
        <v>11.7623628939968</v>
      </c>
      <c r="G4381" s="78">
        <v>11.7623628939968</v>
      </c>
      <c r="H4381" s="81">
        <v>11.3121085939348</v>
      </c>
    </row>
    <row r="4382" spans="1:8" x14ac:dyDescent="0.3">
      <c r="A4382" s="74" t="str">
        <f t="shared" si="68"/>
        <v>安徽46213</v>
      </c>
      <c r="B4382" s="75" t="s">
        <v>28</v>
      </c>
      <c r="C4382" s="45">
        <v>46213</v>
      </c>
      <c r="D4382" s="76">
        <v>626.144332822141</v>
      </c>
      <c r="E4382" s="77">
        <v>125</v>
      </c>
      <c r="F4382" s="78">
        <v>11.7623628939968</v>
      </c>
      <c r="G4382" s="78">
        <v>11.7623628939968</v>
      </c>
      <c r="H4382" s="81">
        <v>11.3121085939348</v>
      </c>
    </row>
    <row r="4383" spans="1:8" x14ac:dyDescent="0.3">
      <c r="A4383" s="74" t="str">
        <f t="shared" si="68"/>
        <v>安徽46214</v>
      </c>
      <c r="B4383" s="75" t="s">
        <v>28</v>
      </c>
      <c r="C4383" s="45">
        <v>46214</v>
      </c>
      <c r="D4383" s="76">
        <v>626.144332822141</v>
      </c>
      <c r="E4383" s="77">
        <v>125</v>
      </c>
      <c r="F4383" s="78">
        <v>11.7623628939968</v>
      </c>
      <c r="G4383" s="78">
        <v>11.7623628939968</v>
      </c>
      <c r="H4383" s="81">
        <v>11.3121085939348</v>
      </c>
    </row>
    <row r="4384" spans="1:8" x14ac:dyDescent="0.3">
      <c r="A4384" s="74" t="str">
        <f t="shared" si="68"/>
        <v>安徽46215</v>
      </c>
      <c r="B4384" s="75" t="s">
        <v>28</v>
      </c>
      <c r="C4384" s="45">
        <v>46215</v>
      </c>
      <c r="D4384" s="76">
        <v>626.144332822141</v>
      </c>
      <c r="E4384" s="77">
        <v>125</v>
      </c>
      <c r="F4384" s="78">
        <v>11.7623628939968</v>
      </c>
      <c r="G4384" s="78">
        <v>11.7623628939968</v>
      </c>
      <c r="H4384" s="81">
        <v>11.3121085939348</v>
      </c>
    </row>
    <row r="4385" spans="1:8" x14ac:dyDescent="0.3">
      <c r="A4385" s="74" t="str">
        <f t="shared" si="68"/>
        <v>安徽46216</v>
      </c>
      <c r="B4385" s="75" t="s">
        <v>28</v>
      </c>
      <c r="C4385" s="45">
        <v>46216</v>
      </c>
      <c r="D4385" s="76">
        <v>626.144332822141</v>
      </c>
      <c r="E4385" s="77">
        <v>125</v>
      </c>
      <c r="F4385" s="78">
        <v>11.7623628939968</v>
      </c>
      <c r="G4385" s="78">
        <v>11.7623628939968</v>
      </c>
      <c r="H4385" s="81">
        <v>11.3121085939348</v>
      </c>
    </row>
    <row r="4386" spans="1:8" x14ac:dyDescent="0.3">
      <c r="A4386" s="74" t="str">
        <f t="shared" si="68"/>
        <v>安徽46217</v>
      </c>
      <c r="B4386" s="75" t="s">
        <v>28</v>
      </c>
      <c r="C4386" s="45">
        <v>46217</v>
      </c>
      <c r="D4386" s="76">
        <v>626.144332822141</v>
      </c>
      <c r="E4386" s="77">
        <v>125</v>
      </c>
      <c r="F4386" s="78">
        <v>11.7623628939968</v>
      </c>
      <c r="G4386" s="78">
        <v>11.7623628939968</v>
      </c>
      <c r="H4386" s="81">
        <v>11.3121085939348</v>
      </c>
    </row>
    <row r="4387" spans="1:8" x14ac:dyDescent="0.3">
      <c r="A4387" s="74" t="str">
        <f t="shared" si="68"/>
        <v>安徽46218</v>
      </c>
      <c r="B4387" s="75" t="s">
        <v>28</v>
      </c>
      <c r="C4387" s="45">
        <v>46218</v>
      </c>
      <c r="D4387" s="76">
        <v>626.144332822141</v>
      </c>
      <c r="E4387" s="77">
        <v>125</v>
      </c>
      <c r="F4387" s="78">
        <v>11.7623628939968</v>
      </c>
      <c r="G4387" s="78">
        <v>11.7623628939968</v>
      </c>
      <c r="H4387" s="81">
        <v>11.3121085939348</v>
      </c>
    </row>
    <row r="4388" spans="1:8" x14ac:dyDescent="0.3">
      <c r="A4388" s="74" t="str">
        <f t="shared" si="68"/>
        <v>安徽46219</v>
      </c>
      <c r="B4388" s="75" t="s">
        <v>28</v>
      </c>
      <c r="C4388" s="45">
        <v>46219</v>
      </c>
      <c r="D4388" s="76">
        <v>626.144332822141</v>
      </c>
      <c r="E4388" s="77">
        <v>125</v>
      </c>
      <c r="F4388" s="78">
        <v>11.7623628939968</v>
      </c>
      <c r="G4388" s="78">
        <v>11.7623628939968</v>
      </c>
      <c r="H4388" s="81">
        <v>11.3121085939348</v>
      </c>
    </row>
    <row r="4389" spans="1:8" x14ac:dyDescent="0.3">
      <c r="A4389" s="74" t="str">
        <f t="shared" si="68"/>
        <v>安徽46220</v>
      </c>
      <c r="B4389" s="75" t="s">
        <v>28</v>
      </c>
      <c r="C4389" s="45">
        <v>46220</v>
      </c>
      <c r="D4389" s="76">
        <v>626.144332822141</v>
      </c>
      <c r="E4389" s="77">
        <v>125</v>
      </c>
      <c r="F4389" s="78">
        <v>11.7623628939968</v>
      </c>
      <c r="G4389" s="78">
        <v>11.7623628939968</v>
      </c>
      <c r="H4389" s="81">
        <v>11.3121085939348</v>
      </c>
    </row>
    <row r="4390" spans="1:8" x14ac:dyDescent="0.3">
      <c r="A4390" s="74" t="str">
        <f t="shared" si="68"/>
        <v>安徽46221</v>
      </c>
      <c r="B4390" s="75" t="s">
        <v>28</v>
      </c>
      <c r="C4390" s="45">
        <v>46221</v>
      </c>
      <c r="D4390" s="76">
        <v>626.144332822141</v>
      </c>
      <c r="E4390" s="77">
        <v>125</v>
      </c>
      <c r="F4390" s="78">
        <v>11.7623628939968</v>
      </c>
      <c r="G4390" s="78">
        <v>11.7623628939968</v>
      </c>
      <c r="H4390" s="81">
        <v>11.3121085939348</v>
      </c>
    </row>
    <row r="4391" spans="1:8" x14ac:dyDescent="0.3">
      <c r="A4391" s="74" t="str">
        <f t="shared" si="68"/>
        <v>安徽46222</v>
      </c>
      <c r="B4391" s="75" t="s">
        <v>28</v>
      </c>
      <c r="C4391" s="45">
        <v>46222</v>
      </c>
      <c r="D4391" s="76">
        <v>626.144332822141</v>
      </c>
      <c r="E4391" s="77">
        <v>125</v>
      </c>
      <c r="F4391" s="78">
        <v>11.7623628939968</v>
      </c>
      <c r="G4391" s="78">
        <v>11.7623628939968</v>
      </c>
      <c r="H4391" s="81">
        <v>11.3121085939348</v>
      </c>
    </row>
    <row r="4392" spans="1:8" x14ac:dyDescent="0.3">
      <c r="A4392" s="74" t="str">
        <f t="shared" si="68"/>
        <v>安徽46223</v>
      </c>
      <c r="B4392" s="75" t="s">
        <v>28</v>
      </c>
      <c r="C4392" s="45">
        <v>46223</v>
      </c>
      <c r="D4392" s="76">
        <v>626.144332822141</v>
      </c>
      <c r="E4392" s="77">
        <v>125</v>
      </c>
      <c r="F4392" s="78">
        <v>11.7623628939968</v>
      </c>
      <c r="G4392" s="78">
        <v>11.7623628939968</v>
      </c>
      <c r="H4392" s="81">
        <v>11.3121085939348</v>
      </c>
    </row>
    <row r="4393" spans="1:8" x14ac:dyDescent="0.3">
      <c r="A4393" s="74" t="str">
        <f t="shared" si="68"/>
        <v>安徽46224</v>
      </c>
      <c r="B4393" s="75" t="s">
        <v>28</v>
      </c>
      <c r="C4393" s="45">
        <v>46224</v>
      </c>
      <c r="D4393" s="76">
        <v>626.144332822141</v>
      </c>
      <c r="E4393" s="77">
        <v>125</v>
      </c>
      <c r="F4393" s="78">
        <v>11.7623628939968</v>
      </c>
      <c r="G4393" s="78">
        <v>11.7623628939968</v>
      </c>
      <c r="H4393" s="81">
        <v>11.3121085939348</v>
      </c>
    </row>
    <row r="4394" spans="1:8" x14ac:dyDescent="0.3">
      <c r="A4394" s="74" t="str">
        <f t="shared" si="68"/>
        <v>安徽46225</v>
      </c>
      <c r="B4394" s="75" t="s">
        <v>28</v>
      </c>
      <c r="C4394" s="45">
        <v>46225</v>
      </c>
      <c r="D4394" s="76">
        <v>626.144332822141</v>
      </c>
      <c r="E4394" s="77">
        <v>125</v>
      </c>
      <c r="F4394" s="78">
        <v>11.7623628939968</v>
      </c>
      <c r="G4394" s="78">
        <v>11.7623628939968</v>
      </c>
      <c r="H4394" s="81">
        <v>11.3121085939348</v>
      </c>
    </row>
    <row r="4395" spans="1:8" x14ac:dyDescent="0.3">
      <c r="A4395" s="74" t="str">
        <f t="shared" si="68"/>
        <v>安徽46226</v>
      </c>
      <c r="B4395" s="75" t="s">
        <v>28</v>
      </c>
      <c r="C4395" s="45">
        <v>46226</v>
      </c>
      <c r="D4395" s="76">
        <v>626.144332822141</v>
      </c>
      <c r="E4395" s="77">
        <v>125</v>
      </c>
      <c r="F4395" s="78">
        <v>11.7623628939968</v>
      </c>
      <c r="G4395" s="78">
        <v>11.7623628939968</v>
      </c>
      <c r="H4395" s="81">
        <v>11.3121085939348</v>
      </c>
    </row>
    <row r="4396" spans="1:8" x14ac:dyDescent="0.3">
      <c r="A4396" s="74" t="str">
        <f t="shared" si="68"/>
        <v>安徽46227</v>
      </c>
      <c r="B4396" s="75" t="s">
        <v>28</v>
      </c>
      <c r="C4396" s="45">
        <v>46227</v>
      </c>
      <c r="D4396" s="76">
        <v>626.144332822141</v>
      </c>
      <c r="E4396" s="77">
        <v>125</v>
      </c>
      <c r="F4396" s="78">
        <v>11.7623628939968</v>
      </c>
      <c r="G4396" s="78">
        <v>11.7623628939968</v>
      </c>
      <c r="H4396" s="81">
        <v>11.3121085939348</v>
      </c>
    </row>
    <row r="4397" spans="1:8" x14ac:dyDescent="0.3">
      <c r="A4397" s="74" t="str">
        <f t="shared" si="68"/>
        <v>安徽46228</v>
      </c>
      <c r="B4397" s="75" t="s">
        <v>28</v>
      </c>
      <c r="C4397" s="45">
        <v>46228</v>
      </c>
      <c r="D4397" s="76">
        <v>626.144332822141</v>
      </c>
      <c r="E4397" s="77">
        <v>125</v>
      </c>
      <c r="F4397" s="78">
        <v>11.7623628939968</v>
      </c>
      <c r="G4397" s="78">
        <v>11.7623628939968</v>
      </c>
      <c r="H4397" s="81">
        <v>11.3121085939348</v>
      </c>
    </row>
    <row r="4398" spans="1:8" x14ac:dyDescent="0.3">
      <c r="A4398" s="74" t="str">
        <f t="shared" si="68"/>
        <v>安徽46229</v>
      </c>
      <c r="B4398" s="75" t="s">
        <v>28</v>
      </c>
      <c r="C4398" s="45">
        <v>46229</v>
      </c>
      <c r="D4398" s="76">
        <v>626.144332822141</v>
      </c>
      <c r="E4398" s="77">
        <v>125</v>
      </c>
      <c r="F4398" s="78">
        <v>11.7623628939968</v>
      </c>
      <c r="G4398" s="78">
        <v>11.7623628939968</v>
      </c>
      <c r="H4398" s="81">
        <v>11.3121085939348</v>
      </c>
    </row>
    <row r="4399" spans="1:8" x14ac:dyDescent="0.3">
      <c r="A4399" s="74" t="str">
        <f t="shared" si="68"/>
        <v>安徽46230</v>
      </c>
      <c r="B4399" s="75" t="s">
        <v>28</v>
      </c>
      <c r="C4399" s="45">
        <v>46230</v>
      </c>
      <c r="D4399" s="76">
        <v>626.144332822141</v>
      </c>
      <c r="E4399" s="77">
        <v>125</v>
      </c>
      <c r="F4399" s="78">
        <v>11.7623628939968</v>
      </c>
      <c r="G4399" s="78">
        <v>11.7623628939968</v>
      </c>
      <c r="H4399" s="81">
        <v>11.3121085939348</v>
      </c>
    </row>
    <row r="4400" spans="1:8" x14ac:dyDescent="0.3">
      <c r="A4400" s="74" t="str">
        <f t="shared" si="68"/>
        <v>安徽46231</v>
      </c>
      <c r="B4400" s="75" t="s">
        <v>28</v>
      </c>
      <c r="C4400" s="45">
        <v>46231</v>
      </c>
      <c r="D4400" s="76">
        <v>626.144332822141</v>
      </c>
      <c r="E4400" s="77">
        <v>125</v>
      </c>
      <c r="F4400" s="78">
        <v>11.7623628939968</v>
      </c>
      <c r="G4400" s="78">
        <v>11.7623628939968</v>
      </c>
      <c r="H4400" s="81">
        <v>11.3121085939348</v>
      </c>
    </row>
    <row r="4401" spans="1:8" x14ac:dyDescent="0.3">
      <c r="A4401" s="74" t="str">
        <f t="shared" si="68"/>
        <v>安徽46232</v>
      </c>
      <c r="B4401" s="75" t="s">
        <v>28</v>
      </c>
      <c r="C4401" s="45">
        <v>46232</v>
      </c>
      <c r="D4401" s="76">
        <v>626.144332822141</v>
      </c>
      <c r="E4401" s="77">
        <v>125</v>
      </c>
      <c r="F4401" s="78">
        <v>11.7623628939968</v>
      </c>
      <c r="G4401" s="78">
        <v>11.7623628939968</v>
      </c>
      <c r="H4401" s="81">
        <v>11.3121085939348</v>
      </c>
    </row>
    <row r="4402" spans="1:8" x14ac:dyDescent="0.3">
      <c r="A4402" s="74" t="str">
        <f t="shared" si="68"/>
        <v>安徽46233</v>
      </c>
      <c r="B4402" s="75" t="s">
        <v>28</v>
      </c>
      <c r="C4402" s="45">
        <v>46233</v>
      </c>
      <c r="D4402" s="76">
        <v>626.144332822141</v>
      </c>
      <c r="E4402" s="77">
        <v>125</v>
      </c>
      <c r="F4402" s="78">
        <v>11.7623628939968</v>
      </c>
      <c r="G4402" s="78">
        <v>11.7623628939968</v>
      </c>
      <c r="H4402" s="81">
        <v>11.3121085939348</v>
      </c>
    </row>
    <row r="4403" spans="1:8" x14ac:dyDescent="0.3">
      <c r="A4403" s="74" t="str">
        <f t="shared" si="68"/>
        <v>安徽46234</v>
      </c>
      <c r="B4403" s="75" t="s">
        <v>28</v>
      </c>
      <c r="C4403" s="45">
        <v>46234</v>
      </c>
      <c r="D4403" s="76">
        <v>626.144332822141</v>
      </c>
      <c r="E4403" s="77">
        <v>125</v>
      </c>
      <c r="F4403" s="78">
        <v>11.7623628939968</v>
      </c>
      <c r="G4403" s="78">
        <v>11.7623628939968</v>
      </c>
      <c r="H4403" s="81">
        <v>11.3121085939348</v>
      </c>
    </row>
    <row r="4404" spans="1:8" x14ac:dyDescent="0.3">
      <c r="A4404" s="74" t="str">
        <f t="shared" si="68"/>
        <v>安徽46235</v>
      </c>
      <c r="B4404" s="75" t="s">
        <v>28</v>
      </c>
      <c r="C4404" s="45">
        <v>46235</v>
      </c>
      <c r="D4404" s="76">
        <v>598.71630471207902</v>
      </c>
      <c r="E4404" s="77">
        <v>125</v>
      </c>
      <c r="F4404" s="78">
        <v>11.866469772047999</v>
      </c>
      <c r="G4404" s="78">
        <v>11.866469772047999</v>
      </c>
      <c r="H4404" s="81">
        <v>11.8381388501499</v>
      </c>
    </row>
    <row r="4405" spans="1:8" x14ac:dyDescent="0.3">
      <c r="A4405" s="74" t="str">
        <f t="shared" si="68"/>
        <v>安徽46236</v>
      </c>
      <c r="B4405" s="75" t="s">
        <v>28</v>
      </c>
      <c r="C4405" s="45">
        <v>46236</v>
      </c>
      <c r="D4405" s="76">
        <v>598.71630471207902</v>
      </c>
      <c r="E4405" s="77">
        <v>125</v>
      </c>
      <c r="F4405" s="78">
        <v>11.866469772047999</v>
      </c>
      <c r="G4405" s="78">
        <v>11.866469772047999</v>
      </c>
      <c r="H4405" s="81">
        <v>11.8381388501499</v>
      </c>
    </row>
    <row r="4406" spans="1:8" x14ac:dyDescent="0.3">
      <c r="A4406" s="74" t="str">
        <f t="shared" si="68"/>
        <v>安徽46237</v>
      </c>
      <c r="B4406" s="75" t="s">
        <v>28</v>
      </c>
      <c r="C4406" s="45">
        <v>46237</v>
      </c>
      <c r="D4406" s="76">
        <v>598.71630471207902</v>
      </c>
      <c r="E4406" s="77">
        <v>125</v>
      </c>
      <c r="F4406" s="78">
        <v>11.866469772047999</v>
      </c>
      <c r="G4406" s="78">
        <v>11.866469772047999</v>
      </c>
      <c r="H4406" s="81">
        <v>11.8381388501499</v>
      </c>
    </row>
    <row r="4407" spans="1:8" x14ac:dyDescent="0.3">
      <c r="A4407" s="74" t="str">
        <f t="shared" si="68"/>
        <v>安徽46238</v>
      </c>
      <c r="B4407" s="75" t="s">
        <v>28</v>
      </c>
      <c r="C4407" s="45">
        <v>46238</v>
      </c>
      <c r="D4407" s="76">
        <v>598.71630471207902</v>
      </c>
      <c r="E4407" s="77">
        <v>125</v>
      </c>
      <c r="F4407" s="78">
        <v>11.866469772047999</v>
      </c>
      <c r="G4407" s="78">
        <v>11.866469772047999</v>
      </c>
      <c r="H4407" s="81">
        <v>11.8381388501499</v>
      </c>
    </row>
    <row r="4408" spans="1:8" x14ac:dyDescent="0.3">
      <c r="A4408" s="74" t="str">
        <f t="shared" si="68"/>
        <v>安徽46239</v>
      </c>
      <c r="B4408" s="75" t="s">
        <v>28</v>
      </c>
      <c r="C4408" s="45">
        <v>46239</v>
      </c>
      <c r="D4408" s="76">
        <v>598.71630471207902</v>
      </c>
      <c r="E4408" s="77">
        <v>125</v>
      </c>
      <c r="F4408" s="78">
        <v>11.866469772047999</v>
      </c>
      <c r="G4408" s="78">
        <v>11.866469772047999</v>
      </c>
      <c r="H4408" s="81">
        <v>11.8381388501499</v>
      </c>
    </row>
    <row r="4409" spans="1:8" x14ac:dyDescent="0.3">
      <c r="A4409" s="74" t="str">
        <f t="shared" si="68"/>
        <v>安徽46240</v>
      </c>
      <c r="B4409" s="75" t="s">
        <v>28</v>
      </c>
      <c r="C4409" s="45">
        <v>46240</v>
      </c>
      <c r="D4409" s="76">
        <v>598.71630471207902</v>
      </c>
      <c r="E4409" s="77">
        <v>125</v>
      </c>
      <c r="F4409" s="78">
        <v>11.866469772047999</v>
      </c>
      <c r="G4409" s="78">
        <v>11.866469772047999</v>
      </c>
      <c r="H4409" s="81">
        <v>11.8381388501499</v>
      </c>
    </row>
    <row r="4410" spans="1:8" x14ac:dyDescent="0.3">
      <c r="A4410" s="74" t="str">
        <f t="shared" si="68"/>
        <v>安徽46241</v>
      </c>
      <c r="B4410" s="75" t="s">
        <v>28</v>
      </c>
      <c r="C4410" s="45">
        <v>46241</v>
      </c>
      <c r="D4410" s="76">
        <v>598.71630471207902</v>
      </c>
      <c r="E4410" s="77">
        <v>125</v>
      </c>
      <c r="F4410" s="78">
        <v>11.866469772047999</v>
      </c>
      <c r="G4410" s="78">
        <v>11.866469772047999</v>
      </c>
      <c r="H4410" s="81">
        <v>11.8381388501499</v>
      </c>
    </row>
    <row r="4411" spans="1:8" x14ac:dyDescent="0.3">
      <c r="A4411" s="74" t="str">
        <f t="shared" si="68"/>
        <v>安徽46242</v>
      </c>
      <c r="B4411" s="75" t="s">
        <v>28</v>
      </c>
      <c r="C4411" s="45">
        <v>46242</v>
      </c>
      <c r="D4411" s="76">
        <v>598.71630471207902</v>
      </c>
      <c r="E4411" s="77">
        <v>125</v>
      </c>
      <c r="F4411" s="78">
        <v>11.866469772047999</v>
      </c>
      <c r="G4411" s="78">
        <v>11.866469772047999</v>
      </c>
      <c r="H4411" s="81">
        <v>11.8381388501499</v>
      </c>
    </row>
    <row r="4412" spans="1:8" x14ac:dyDescent="0.3">
      <c r="A4412" s="74" t="str">
        <f t="shared" si="68"/>
        <v>安徽46243</v>
      </c>
      <c r="B4412" s="75" t="s">
        <v>28</v>
      </c>
      <c r="C4412" s="45">
        <v>46243</v>
      </c>
      <c r="D4412" s="76">
        <v>598.71630471207902</v>
      </c>
      <c r="E4412" s="77">
        <v>125</v>
      </c>
      <c r="F4412" s="78">
        <v>11.866469772047999</v>
      </c>
      <c r="G4412" s="78">
        <v>11.866469772047999</v>
      </c>
      <c r="H4412" s="81">
        <v>11.8381388501499</v>
      </c>
    </row>
    <row r="4413" spans="1:8" x14ac:dyDescent="0.3">
      <c r="A4413" s="74" t="str">
        <f t="shared" si="68"/>
        <v>安徽46244</v>
      </c>
      <c r="B4413" s="75" t="s">
        <v>28</v>
      </c>
      <c r="C4413" s="45">
        <v>46244</v>
      </c>
      <c r="D4413" s="76">
        <v>598.71630471207902</v>
      </c>
      <c r="E4413" s="77">
        <v>125</v>
      </c>
      <c r="F4413" s="78">
        <v>11.866469772047999</v>
      </c>
      <c r="G4413" s="78">
        <v>11.866469772047999</v>
      </c>
      <c r="H4413" s="81">
        <v>11.8381388501499</v>
      </c>
    </row>
    <row r="4414" spans="1:8" x14ac:dyDescent="0.3">
      <c r="A4414" s="74" t="str">
        <f t="shared" si="68"/>
        <v>安徽46245</v>
      </c>
      <c r="B4414" s="75" t="s">
        <v>28</v>
      </c>
      <c r="C4414" s="45">
        <v>46245</v>
      </c>
      <c r="D4414" s="76">
        <v>598.71630471207902</v>
      </c>
      <c r="E4414" s="77">
        <v>125</v>
      </c>
      <c r="F4414" s="78">
        <v>11.866469772047999</v>
      </c>
      <c r="G4414" s="78">
        <v>11.866469772047999</v>
      </c>
      <c r="H4414" s="81">
        <v>11.8381388501499</v>
      </c>
    </row>
    <row r="4415" spans="1:8" x14ac:dyDescent="0.3">
      <c r="A4415" s="74" t="str">
        <f t="shared" si="68"/>
        <v>安徽46246</v>
      </c>
      <c r="B4415" s="75" t="s">
        <v>28</v>
      </c>
      <c r="C4415" s="45">
        <v>46246</v>
      </c>
      <c r="D4415" s="76">
        <v>598.71630471207902</v>
      </c>
      <c r="E4415" s="77">
        <v>125</v>
      </c>
      <c r="F4415" s="78">
        <v>11.866469772047999</v>
      </c>
      <c r="G4415" s="78">
        <v>11.866469772047999</v>
      </c>
      <c r="H4415" s="81">
        <v>11.8381388501499</v>
      </c>
    </row>
    <row r="4416" spans="1:8" x14ac:dyDescent="0.3">
      <c r="A4416" s="74" t="str">
        <f t="shared" si="68"/>
        <v>安徽46247</v>
      </c>
      <c r="B4416" s="75" t="s">
        <v>28</v>
      </c>
      <c r="C4416" s="45">
        <v>46247</v>
      </c>
      <c r="D4416" s="76">
        <v>598.71630471207902</v>
      </c>
      <c r="E4416" s="77">
        <v>125</v>
      </c>
      <c r="F4416" s="78">
        <v>11.866469772047999</v>
      </c>
      <c r="G4416" s="78">
        <v>11.866469772047999</v>
      </c>
      <c r="H4416" s="81">
        <v>11.8381388501499</v>
      </c>
    </row>
    <row r="4417" spans="1:8" x14ac:dyDescent="0.3">
      <c r="A4417" s="74" t="str">
        <f t="shared" si="68"/>
        <v>安徽46248</v>
      </c>
      <c r="B4417" s="75" t="s">
        <v>28</v>
      </c>
      <c r="C4417" s="45">
        <v>46248</v>
      </c>
      <c r="D4417" s="76">
        <v>598.71630471207902</v>
      </c>
      <c r="E4417" s="77">
        <v>125</v>
      </c>
      <c r="F4417" s="78">
        <v>11.866469772047999</v>
      </c>
      <c r="G4417" s="78">
        <v>11.866469772047999</v>
      </c>
      <c r="H4417" s="81">
        <v>11.8381388501499</v>
      </c>
    </row>
    <row r="4418" spans="1:8" x14ac:dyDescent="0.3">
      <c r="A4418" s="74" t="str">
        <f t="shared" si="68"/>
        <v>安徽46249</v>
      </c>
      <c r="B4418" s="75" t="s">
        <v>28</v>
      </c>
      <c r="C4418" s="45">
        <v>46249</v>
      </c>
      <c r="D4418" s="76">
        <v>598.71630471207902</v>
      </c>
      <c r="E4418" s="77">
        <v>125</v>
      </c>
      <c r="F4418" s="78">
        <v>11.866469772047999</v>
      </c>
      <c r="G4418" s="78">
        <v>11.866469772047999</v>
      </c>
      <c r="H4418" s="81">
        <v>11.8381388501499</v>
      </c>
    </row>
    <row r="4419" spans="1:8" x14ac:dyDescent="0.3">
      <c r="A4419" s="74" t="str">
        <f t="shared" ref="A4419:A4482" si="69">B4419&amp;C4419</f>
        <v>安徽46250</v>
      </c>
      <c r="B4419" s="75" t="s">
        <v>28</v>
      </c>
      <c r="C4419" s="45">
        <v>46250</v>
      </c>
      <c r="D4419" s="76">
        <v>598.71630471207902</v>
      </c>
      <c r="E4419" s="77">
        <v>125</v>
      </c>
      <c r="F4419" s="78">
        <v>11.866469772047999</v>
      </c>
      <c r="G4419" s="78">
        <v>11.866469772047999</v>
      </c>
      <c r="H4419" s="81">
        <v>11.8381388501499</v>
      </c>
    </row>
    <row r="4420" spans="1:8" x14ac:dyDescent="0.3">
      <c r="A4420" s="74" t="str">
        <f t="shared" si="69"/>
        <v>安徽46251</v>
      </c>
      <c r="B4420" s="75" t="s">
        <v>28</v>
      </c>
      <c r="C4420" s="45">
        <v>46251</v>
      </c>
      <c r="D4420" s="76">
        <v>598.71630471207902</v>
      </c>
      <c r="E4420" s="77">
        <v>125</v>
      </c>
      <c r="F4420" s="78">
        <v>11.866469772047999</v>
      </c>
      <c r="G4420" s="78">
        <v>11.866469772047999</v>
      </c>
      <c r="H4420" s="81">
        <v>11.8381388501499</v>
      </c>
    </row>
    <row r="4421" spans="1:8" x14ac:dyDescent="0.3">
      <c r="A4421" s="74" t="str">
        <f t="shared" si="69"/>
        <v>安徽46252</v>
      </c>
      <c r="B4421" s="75" t="s">
        <v>28</v>
      </c>
      <c r="C4421" s="45">
        <v>46252</v>
      </c>
      <c r="D4421" s="76">
        <v>598.71630471207902</v>
      </c>
      <c r="E4421" s="77">
        <v>125</v>
      </c>
      <c r="F4421" s="78">
        <v>11.866469772047999</v>
      </c>
      <c r="G4421" s="78">
        <v>11.866469772047999</v>
      </c>
      <c r="H4421" s="81">
        <v>11.8381388501499</v>
      </c>
    </row>
    <row r="4422" spans="1:8" x14ac:dyDescent="0.3">
      <c r="A4422" s="74" t="str">
        <f t="shared" si="69"/>
        <v>安徽46253</v>
      </c>
      <c r="B4422" s="75" t="s">
        <v>28</v>
      </c>
      <c r="C4422" s="45">
        <v>46253</v>
      </c>
      <c r="D4422" s="76">
        <v>598.71630471207902</v>
      </c>
      <c r="E4422" s="77">
        <v>125</v>
      </c>
      <c r="F4422" s="78">
        <v>11.866469772047999</v>
      </c>
      <c r="G4422" s="78">
        <v>11.866469772047999</v>
      </c>
      <c r="H4422" s="81">
        <v>11.8381388501499</v>
      </c>
    </row>
    <row r="4423" spans="1:8" x14ac:dyDescent="0.3">
      <c r="A4423" s="74" t="str">
        <f t="shared" si="69"/>
        <v>安徽46254</v>
      </c>
      <c r="B4423" s="75" t="s">
        <v>28</v>
      </c>
      <c r="C4423" s="45">
        <v>46254</v>
      </c>
      <c r="D4423" s="76">
        <v>598.71630471207902</v>
      </c>
      <c r="E4423" s="77">
        <v>125</v>
      </c>
      <c r="F4423" s="78">
        <v>11.866469772047999</v>
      </c>
      <c r="G4423" s="78">
        <v>11.866469772047999</v>
      </c>
      <c r="H4423" s="81">
        <v>11.8381388501499</v>
      </c>
    </row>
    <row r="4424" spans="1:8" x14ac:dyDescent="0.3">
      <c r="A4424" s="74" t="str">
        <f t="shared" si="69"/>
        <v>安徽46255</v>
      </c>
      <c r="B4424" s="75" t="s">
        <v>28</v>
      </c>
      <c r="C4424" s="45">
        <v>46255</v>
      </c>
      <c r="D4424" s="76">
        <v>598.71630471207902</v>
      </c>
      <c r="E4424" s="77">
        <v>125</v>
      </c>
      <c r="F4424" s="78">
        <v>11.866469772047999</v>
      </c>
      <c r="G4424" s="78">
        <v>11.866469772047999</v>
      </c>
      <c r="H4424" s="81">
        <v>11.8381388501499</v>
      </c>
    </row>
    <row r="4425" spans="1:8" x14ac:dyDescent="0.3">
      <c r="A4425" s="74" t="str">
        <f t="shared" si="69"/>
        <v>安徽46256</v>
      </c>
      <c r="B4425" s="75" t="s">
        <v>28</v>
      </c>
      <c r="C4425" s="45">
        <v>46256</v>
      </c>
      <c r="D4425" s="76">
        <v>598.71630471207902</v>
      </c>
      <c r="E4425" s="77">
        <v>125</v>
      </c>
      <c r="F4425" s="78">
        <v>11.866469772047999</v>
      </c>
      <c r="G4425" s="78">
        <v>11.866469772047999</v>
      </c>
      <c r="H4425" s="81">
        <v>11.8381388501499</v>
      </c>
    </row>
    <row r="4426" spans="1:8" x14ac:dyDescent="0.3">
      <c r="A4426" s="74" t="str">
        <f t="shared" si="69"/>
        <v>安徽46257</v>
      </c>
      <c r="B4426" s="75" t="s">
        <v>28</v>
      </c>
      <c r="C4426" s="45">
        <v>46257</v>
      </c>
      <c r="D4426" s="76">
        <v>598.71630471207902</v>
      </c>
      <c r="E4426" s="77">
        <v>125</v>
      </c>
      <c r="F4426" s="78">
        <v>11.866469772047999</v>
      </c>
      <c r="G4426" s="78">
        <v>11.866469772047999</v>
      </c>
      <c r="H4426" s="81">
        <v>11.8381388501499</v>
      </c>
    </row>
    <row r="4427" spans="1:8" x14ac:dyDescent="0.3">
      <c r="A4427" s="74" t="str">
        <f t="shared" si="69"/>
        <v>安徽46258</v>
      </c>
      <c r="B4427" s="75" t="s">
        <v>28</v>
      </c>
      <c r="C4427" s="45">
        <v>46258</v>
      </c>
      <c r="D4427" s="76">
        <v>598.71630471207902</v>
      </c>
      <c r="E4427" s="77">
        <v>125</v>
      </c>
      <c r="F4427" s="78">
        <v>11.866469772047999</v>
      </c>
      <c r="G4427" s="78">
        <v>11.866469772047999</v>
      </c>
      <c r="H4427" s="81">
        <v>11.8381388501499</v>
      </c>
    </row>
    <row r="4428" spans="1:8" x14ac:dyDescent="0.3">
      <c r="A4428" s="74" t="str">
        <f t="shared" si="69"/>
        <v>安徽46259</v>
      </c>
      <c r="B4428" s="75" t="s">
        <v>28</v>
      </c>
      <c r="C4428" s="45">
        <v>46259</v>
      </c>
      <c r="D4428" s="76">
        <v>598.71630471207902</v>
      </c>
      <c r="E4428" s="77">
        <v>125</v>
      </c>
      <c r="F4428" s="78">
        <v>11.866469772047999</v>
      </c>
      <c r="G4428" s="78">
        <v>11.866469772047999</v>
      </c>
      <c r="H4428" s="81">
        <v>11.8381388501499</v>
      </c>
    </row>
    <row r="4429" spans="1:8" x14ac:dyDescent="0.3">
      <c r="A4429" s="74" t="str">
        <f t="shared" si="69"/>
        <v>安徽46260</v>
      </c>
      <c r="B4429" s="75" t="s">
        <v>28</v>
      </c>
      <c r="C4429" s="45">
        <v>46260</v>
      </c>
      <c r="D4429" s="76">
        <v>598.71630471207902</v>
      </c>
      <c r="E4429" s="77">
        <v>125</v>
      </c>
      <c r="F4429" s="78">
        <v>11.866469772047999</v>
      </c>
      <c r="G4429" s="78">
        <v>11.866469772047999</v>
      </c>
      <c r="H4429" s="81">
        <v>11.8381388501499</v>
      </c>
    </row>
    <row r="4430" spans="1:8" x14ac:dyDescent="0.3">
      <c r="A4430" s="74" t="str">
        <f t="shared" si="69"/>
        <v>安徽46261</v>
      </c>
      <c r="B4430" s="75" t="s">
        <v>28</v>
      </c>
      <c r="C4430" s="45">
        <v>46261</v>
      </c>
      <c r="D4430" s="76">
        <v>598.71630471207902</v>
      </c>
      <c r="E4430" s="77">
        <v>125</v>
      </c>
      <c r="F4430" s="78">
        <v>11.866469772047999</v>
      </c>
      <c r="G4430" s="78">
        <v>11.866469772047999</v>
      </c>
      <c r="H4430" s="81">
        <v>11.8381388501499</v>
      </c>
    </row>
    <row r="4431" spans="1:8" x14ac:dyDescent="0.3">
      <c r="A4431" s="74" t="str">
        <f t="shared" si="69"/>
        <v>安徽46262</v>
      </c>
      <c r="B4431" s="75" t="s">
        <v>28</v>
      </c>
      <c r="C4431" s="45">
        <v>46262</v>
      </c>
      <c r="D4431" s="76">
        <v>598.71630471207902</v>
      </c>
      <c r="E4431" s="77">
        <v>125</v>
      </c>
      <c r="F4431" s="78">
        <v>11.866469772047999</v>
      </c>
      <c r="G4431" s="78">
        <v>11.866469772047999</v>
      </c>
      <c r="H4431" s="81">
        <v>11.8381388501499</v>
      </c>
    </row>
    <row r="4432" spans="1:8" x14ac:dyDescent="0.3">
      <c r="A4432" s="74" t="str">
        <f t="shared" si="69"/>
        <v>安徽46263</v>
      </c>
      <c r="B4432" s="75" t="s">
        <v>28</v>
      </c>
      <c r="C4432" s="45">
        <v>46263</v>
      </c>
      <c r="D4432" s="76">
        <v>598.71630471207902</v>
      </c>
      <c r="E4432" s="77">
        <v>125</v>
      </c>
      <c r="F4432" s="78">
        <v>11.866469772047999</v>
      </c>
      <c r="G4432" s="78">
        <v>11.866469772047999</v>
      </c>
      <c r="H4432" s="81">
        <v>11.8381388501499</v>
      </c>
    </row>
    <row r="4433" spans="1:8" x14ac:dyDescent="0.3">
      <c r="A4433" s="74" t="str">
        <f t="shared" si="69"/>
        <v>安徽46264</v>
      </c>
      <c r="B4433" s="75" t="s">
        <v>28</v>
      </c>
      <c r="C4433" s="45">
        <v>46264</v>
      </c>
      <c r="D4433" s="76">
        <v>598.71630471207902</v>
      </c>
      <c r="E4433" s="77">
        <v>125</v>
      </c>
      <c r="F4433" s="78">
        <v>11.866469772047999</v>
      </c>
      <c r="G4433" s="78">
        <v>11.866469772047999</v>
      </c>
      <c r="H4433" s="81">
        <v>11.8381388501499</v>
      </c>
    </row>
    <row r="4434" spans="1:8" x14ac:dyDescent="0.3">
      <c r="A4434" s="74" t="str">
        <f t="shared" si="69"/>
        <v>安徽46265</v>
      </c>
      <c r="B4434" s="75" t="s">
        <v>28</v>
      </c>
      <c r="C4434" s="45">
        <v>46265</v>
      </c>
      <c r="D4434" s="76">
        <v>598.71630471207902</v>
      </c>
      <c r="E4434" s="77">
        <v>125</v>
      </c>
      <c r="F4434" s="78">
        <v>11.866469772047999</v>
      </c>
      <c r="G4434" s="78">
        <v>11.866469772047999</v>
      </c>
      <c r="H4434" s="81">
        <v>11.8381388501499</v>
      </c>
    </row>
    <row r="4435" spans="1:8" x14ac:dyDescent="0.3">
      <c r="A4435" s="74" t="str">
        <f t="shared" si="69"/>
        <v>安徽46266</v>
      </c>
      <c r="B4435" s="75" t="s">
        <v>28</v>
      </c>
      <c r="C4435" s="45">
        <v>46266</v>
      </c>
      <c r="D4435" s="76">
        <v>627.64420770945105</v>
      </c>
      <c r="E4435" s="77">
        <v>125</v>
      </c>
      <c r="F4435" s="78">
        <v>12.1482737645418</v>
      </c>
      <c r="G4435" s="78">
        <v>12.1482737645418</v>
      </c>
      <c r="H4435" s="81">
        <v>12.3641691063651</v>
      </c>
    </row>
    <row r="4436" spans="1:8" x14ac:dyDescent="0.3">
      <c r="A4436" s="74" t="str">
        <f t="shared" si="69"/>
        <v>安徽46267</v>
      </c>
      <c r="B4436" s="75" t="s">
        <v>28</v>
      </c>
      <c r="C4436" s="45">
        <v>46267</v>
      </c>
      <c r="D4436" s="76">
        <v>627.64420770945105</v>
      </c>
      <c r="E4436" s="77">
        <v>125</v>
      </c>
      <c r="F4436" s="78">
        <v>12.1482737645418</v>
      </c>
      <c r="G4436" s="78">
        <v>12.1482737645418</v>
      </c>
      <c r="H4436" s="81">
        <v>12.3641691063651</v>
      </c>
    </row>
    <row r="4437" spans="1:8" x14ac:dyDescent="0.3">
      <c r="A4437" s="74" t="str">
        <f t="shared" si="69"/>
        <v>安徽46268</v>
      </c>
      <c r="B4437" s="75" t="s">
        <v>28</v>
      </c>
      <c r="C4437" s="45">
        <v>46268</v>
      </c>
      <c r="D4437" s="76">
        <v>627.64420770945105</v>
      </c>
      <c r="E4437" s="77">
        <v>125</v>
      </c>
      <c r="F4437" s="78">
        <v>12.1482737645418</v>
      </c>
      <c r="G4437" s="78">
        <v>12.1482737645418</v>
      </c>
      <c r="H4437" s="81">
        <v>12.3641691063651</v>
      </c>
    </row>
    <row r="4438" spans="1:8" x14ac:dyDescent="0.3">
      <c r="A4438" s="74" t="str">
        <f t="shared" si="69"/>
        <v>安徽46269</v>
      </c>
      <c r="B4438" s="75" t="s">
        <v>28</v>
      </c>
      <c r="C4438" s="45">
        <v>46269</v>
      </c>
      <c r="D4438" s="76">
        <v>627.64420770945105</v>
      </c>
      <c r="E4438" s="77">
        <v>125</v>
      </c>
      <c r="F4438" s="78">
        <v>12.1482737645418</v>
      </c>
      <c r="G4438" s="78">
        <v>12.1482737645418</v>
      </c>
      <c r="H4438" s="81">
        <v>12.3641691063651</v>
      </c>
    </row>
    <row r="4439" spans="1:8" x14ac:dyDescent="0.3">
      <c r="A4439" s="74" t="str">
        <f t="shared" si="69"/>
        <v>安徽46270</v>
      </c>
      <c r="B4439" s="75" t="s">
        <v>28</v>
      </c>
      <c r="C4439" s="45">
        <v>46270</v>
      </c>
      <c r="D4439" s="76">
        <v>627.64420770945105</v>
      </c>
      <c r="E4439" s="77">
        <v>125</v>
      </c>
      <c r="F4439" s="78">
        <v>12.1482737645418</v>
      </c>
      <c r="G4439" s="78">
        <v>12.1482737645418</v>
      </c>
      <c r="H4439" s="81">
        <v>12.3641691063651</v>
      </c>
    </row>
    <row r="4440" spans="1:8" x14ac:dyDescent="0.3">
      <c r="A4440" s="74" t="str">
        <f t="shared" si="69"/>
        <v>安徽46271</v>
      </c>
      <c r="B4440" s="75" t="s">
        <v>28</v>
      </c>
      <c r="C4440" s="45">
        <v>46271</v>
      </c>
      <c r="D4440" s="76">
        <v>627.64420770945105</v>
      </c>
      <c r="E4440" s="77">
        <v>125</v>
      </c>
      <c r="F4440" s="78">
        <v>12.1482737645418</v>
      </c>
      <c r="G4440" s="78">
        <v>12.1482737645418</v>
      </c>
      <c r="H4440" s="81">
        <v>12.3641691063651</v>
      </c>
    </row>
    <row r="4441" spans="1:8" x14ac:dyDescent="0.3">
      <c r="A4441" s="74" t="str">
        <f t="shared" si="69"/>
        <v>安徽46272</v>
      </c>
      <c r="B4441" s="75" t="s">
        <v>28</v>
      </c>
      <c r="C4441" s="45">
        <v>46272</v>
      </c>
      <c r="D4441" s="76">
        <v>627.64420770945105</v>
      </c>
      <c r="E4441" s="77">
        <v>125</v>
      </c>
      <c r="F4441" s="78">
        <v>12.1482737645418</v>
      </c>
      <c r="G4441" s="78">
        <v>12.1482737645418</v>
      </c>
      <c r="H4441" s="81">
        <v>12.3641691063651</v>
      </c>
    </row>
    <row r="4442" spans="1:8" x14ac:dyDescent="0.3">
      <c r="A4442" s="74" t="str">
        <f t="shared" si="69"/>
        <v>安徽46273</v>
      </c>
      <c r="B4442" s="75" t="s">
        <v>28</v>
      </c>
      <c r="C4442" s="45">
        <v>46273</v>
      </c>
      <c r="D4442" s="76">
        <v>627.64420770945105</v>
      </c>
      <c r="E4442" s="77">
        <v>125</v>
      </c>
      <c r="F4442" s="78">
        <v>12.1482737645418</v>
      </c>
      <c r="G4442" s="78">
        <v>12.1482737645418</v>
      </c>
      <c r="H4442" s="81">
        <v>12.3641691063651</v>
      </c>
    </row>
    <row r="4443" spans="1:8" x14ac:dyDescent="0.3">
      <c r="A4443" s="74" t="str">
        <f t="shared" si="69"/>
        <v>安徽46274</v>
      </c>
      <c r="B4443" s="75" t="s">
        <v>28</v>
      </c>
      <c r="C4443" s="45">
        <v>46274</v>
      </c>
      <c r="D4443" s="76">
        <v>627.64420770945105</v>
      </c>
      <c r="E4443" s="77">
        <v>125</v>
      </c>
      <c r="F4443" s="78">
        <v>12.1482737645418</v>
      </c>
      <c r="G4443" s="78">
        <v>12.1482737645418</v>
      </c>
      <c r="H4443" s="81">
        <v>12.3641691063651</v>
      </c>
    </row>
    <row r="4444" spans="1:8" x14ac:dyDescent="0.3">
      <c r="A4444" s="74" t="str">
        <f t="shared" si="69"/>
        <v>安徽46275</v>
      </c>
      <c r="B4444" s="75" t="s">
        <v>28</v>
      </c>
      <c r="C4444" s="45">
        <v>46275</v>
      </c>
      <c r="D4444" s="76">
        <v>627.64420770945105</v>
      </c>
      <c r="E4444" s="77">
        <v>125</v>
      </c>
      <c r="F4444" s="78">
        <v>12.1482737645418</v>
      </c>
      <c r="G4444" s="78">
        <v>12.1482737645418</v>
      </c>
      <c r="H4444" s="81">
        <v>12.3641691063651</v>
      </c>
    </row>
    <row r="4445" spans="1:8" x14ac:dyDescent="0.3">
      <c r="A4445" s="74" t="str">
        <f t="shared" si="69"/>
        <v>安徽46276</v>
      </c>
      <c r="B4445" s="75" t="s">
        <v>28</v>
      </c>
      <c r="C4445" s="45">
        <v>46276</v>
      </c>
      <c r="D4445" s="76">
        <v>627.64420770945105</v>
      </c>
      <c r="E4445" s="77">
        <v>125</v>
      </c>
      <c r="F4445" s="78">
        <v>12.1482737645418</v>
      </c>
      <c r="G4445" s="78">
        <v>12.1482737645418</v>
      </c>
      <c r="H4445" s="81">
        <v>12.3641691063651</v>
      </c>
    </row>
    <row r="4446" spans="1:8" x14ac:dyDescent="0.3">
      <c r="A4446" s="74" t="str">
        <f t="shared" si="69"/>
        <v>安徽46277</v>
      </c>
      <c r="B4446" s="75" t="s">
        <v>28</v>
      </c>
      <c r="C4446" s="45">
        <v>46277</v>
      </c>
      <c r="D4446" s="76">
        <v>627.64420770945105</v>
      </c>
      <c r="E4446" s="77">
        <v>125</v>
      </c>
      <c r="F4446" s="78">
        <v>12.1482737645418</v>
      </c>
      <c r="G4446" s="78">
        <v>12.1482737645418</v>
      </c>
      <c r="H4446" s="81">
        <v>12.3641691063651</v>
      </c>
    </row>
    <row r="4447" spans="1:8" x14ac:dyDescent="0.3">
      <c r="A4447" s="74" t="str">
        <f t="shared" si="69"/>
        <v>安徽46278</v>
      </c>
      <c r="B4447" s="75" t="s">
        <v>28</v>
      </c>
      <c r="C4447" s="45">
        <v>46278</v>
      </c>
      <c r="D4447" s="76">
        <v>627.64420770945105</v>
      </c>
      <c r="E4447" s="77">
        <v>125</v>
      </c>
      <c r="F4447" s="78">
        <v>12.1482737645418</v>
      </c>
      <c r="G4447" s="78">
        <v>12.1482737645418</v>
      </c>
      <c r="H4447" s="81">
        <v>12.3641691063651</v>
      </c>
    </row>
    <row r="4448" spans="1:8" x14ac:dyDescent="0.3">
      <c r="A4448" s="74" t="str">
        <f t="shared" si="69"/>
        <v>安徽46279</v>
      </c>
      <c r="B4448" s="75" t="s">
        <v>28</v>
      </c>
      <c r="C4448" s="45">
        <v>46279</v>
      </c>
      <c r="D4448" s="76">
        <v>627.64420770945105</v>
      </c>
      <c r="E4448" s="77">
        <v>125</v>
      </c>
      <c r="F4448" s="78">
        <v>12.1482737645418</v>
      </c>
      <c r="G4448" s="78">
        <v>12.1482737645418</v>
      </c>
      <c r="H4448" s="81">
        <v>12.3641691063651</v>
      </c>
    </row>
    <row r="4449" spans="1:8" x14ac:dyDescent="0.3">
      <c r="A4449" s="74" t="str">
        <f t="shared" si="69"/>
        <v>安徽46280</v>
      </c>
      <c r="B4449" s="75" t="s">
        <v>28</v>
      </c>
      <c r="C4449" s="45">
        <v>46280</v>
      </c>
      <c r="D4449" s="76">
        <v>627.64420770945105</v>
      </c>
      <c r="E4449" s="77">
        <v>125</v>
      </c>
      <c r="F4449" s="78">
        <v>12.1482737645418</v>
      </c>
      <c r="G4449" s="78">
        <v>12.1482737645418</v>
      </c>
      <c r="H4449" s="81">
        <v>12.3641691063651</v>
      </c>
    </row>
    <row r="4450" spans="1:8" x14ac:dyDescent="0.3">
      <c r="A4450" s="74" t="str">
        <f t="shared" si="69"/>
        <v>安徽46281</v>
      </c>
      <c r="B4450" s="75" t="s">
        <v>28</v>
      </c>
      <c r="C4450" s="45">
        <v>46281</v>
      </c>
      <c r="D4450" s="76">
        <v>627.64420770945105</v>
      </c>
      <c r="E4450" s="77">
        <v>125</v>
      </c>
      <c r="F4450" s="78">
        <v>12.1482737645418</v>
      </c>
      <c r="G4450" s="78">
        <v>12.1482737645418</v>
      </c>
      <c r="H4450" s="81">
        <v>12.3641691063651</v>
      </c>
    </row>
    <row r="4451" spans="1:8" x14ac:dyDescent="0.3">
      <c r="A4451" s="74" t="str">
        <f t="shared" si="69"/>
        <v>安徽46282</v>
      </c>
      <c r="B4451" s="75" t="s">
        <v>28</v>
      </c>
      <c r="C4451" s="45">
        <v>46282</v>
      </c>
      <c r="D4451" s="76">
        <v>627.64420770945105</v>
      </c>
      <c r="E4451" s="77">
        <v>125</v>
      </c>
      <c r="F4451" s="78">
        <v>12.1482737645418</v>
      </c>
      <c r="G4451" s="78">
        <v>12.1482737645418</v>
      </c>
      <c r="H4451" s="81">
        <v>12.3641691063651</v>
      </c>
    </row>
    <row r="4452" spans="1:8" x14ac:dyDescent="0.3">
      <c r="A4452" s="74" t="str">
        <f t="shared" si="69"/>
        <v>安徽46283</v>
      </c>
      <c r="B4452" s="75" t="s">
        <v>28</v>
      </c>
      <c r="C4452" s="45">
        <v>46283</v>
      </c>
      <c r="D4452" s="76">
        <v>627.64420770945105</v>
      </c>
      <c r="E4452" s="77">
        <v>125</v>
      </c>
      <c r="F4452" s="78">
        <v>12.1482737645418</v>
      </c>
      <c r="G4452" s="78">
        <v>12.1482737645418</v>
      </c>
      <c r="H4452" s="81">
        <v>12.3641691063651</v>
      </c>
    </row>
    <row r="4453" spans="1:8" x14ac:dyDescent="0.3">
      <c r="A4453" s="74" t="str">
        <f t="shared" si="69"/>
        <v>安徽46284</v>
      </c>
      <c r="B4453" s="75" t="s">
        <v>28</v>
      </c>
      <c r="C4453" s="45">
        <v>46284</v>
      </c>
      <c r="D4453" s="76">
        <v>627.64420770945105</v>
      </c>
      <c r="E4453" s="77">
        <v>125</v>
      </c>
      <c r="F4453" s="78">
        <v>12.1482737645418</v>
      </c>
      <c r="G4453" s="78">
        <v>12.1482737645418</v>
      </c>
      <c r="H4453" s="81">
        <v>12.3641691063651</v>
      </c>
    </row>
    <row r="4454" spans="1:8" x14ac:dyDescent="0.3">
      <c r="A4454" s="74" t="str">
        <f t="shared" si="69"/>
        <v>安徽46285</v>
      </c>
      <c r="B4454" s="75" t="s">
        <v>28</v>
      </c>
      <c r="C4454" s="45">
        <v>46285</v>
      </c>
      <c r="D4454" s="76">
        <v>627.64420770945105</v>
      </c>
      <c r="E4454" s="77">
        <v>125</v>
      </c>
      <c r="F4454" s="78">
        <v>12.1482737645418</v>
      </c>
      <c r="G4454" s="78">
        <v>12.1482737645418</v>
      </c>
      <c r="H4454" s="81">
        <v>12.3641691063651</v>
      </c>
    </row>
    <row r="4455" spans="1:8" x14ac:dyDescent="0.3">
      <c r="A4455" s="74" t="str">
        <f t="shared" si="69"/>
        <v>安徽46286</v>
      </c>
      <c r="B4455" s="75" t="s">
        <v>28</v>
      </c>
      <c r="C4455" s="45">
        <v>46286</v>
      </c>
      <c r="D4455" s="76">
        <v>627.64420770945105</v>
      </c>
      <c r="E4455" s="77">
        <v>125</v>
      </c>
      <c r="F4455" s="78">
        <v>12.1482737645418</v>
      </c>
      <c r="G4455" s="78">
        <v>12.1482737645418</v>
      </c>
      <c r="H4455" s="81">
        <v>12.3641691063651</v>
      </c>
    </row>
    <row r="4456" spans="1:8" x14ac:dyDescent="0.3">
      <c r="A4456" s="74" t="str">
        <f t="shared" si="69"/>
        <v>安徽46287</v>
      </c>
      <c r="B4456" s="75" t="s">
        <v>28</v>
      </c>
      <c r="C4456" s="45">
        <v>46287</v>
      </c>
      <c r="D4456" s="76">
        <v>627.64420770945105</v>
      </c>
      <c r="E4456" s="77">
        <v>125</v>
      </c>
      <c r="F4456" s="78">
        <v>12.1482737645418</v>
      </c>
      <c r="G4456" s="78">
        <v>12.1482737645418</v>
      </c>
      <c r="H4456" s="81">
        <v>12.3641691063651</v>
      </c>
    </row>
    <row r="4457" spans="1:8" x14ac:dyDescent="0.3">
      <c r="A4457" s="74" t="str">
        <f t="shared" si="69"/>
        <v>安徽46288</v>
      </c>
      <c r="B4457" s="75" t="s">
        <v>28</v>
      </c>
      <c r="C4457" s="45">
        <v>46288</v>
      </c>
      <c r="D4457" s="76">
        <v>627.64420770945105</v>
      </c>
      <c r="E4457" s="77">
        <v>125</v>
      </c>
      <c r="F4457" s="78">
        <v>12.1482737645418</v>
      </c>
      <c r="G4457" s="78">
        <v>12.1482737645418</v>
      </c>
      <c r="H4457" s="81">
        <v>12.3641691063651</v>
      </c>
    </row>
    <row r="4458" spans="1:8" x14ac:dyDescent="0.3">
      <c r="A4458" s="74" t="str">
        <f t="shared" si="69"/>
        <v>安徽46289</v>
      </c>
      <c r="B4458" s="75" t="s">
        <v>28</v>
      </c>
      <c r="C4458" s="45">
        <v>46289</v>
      </c>
      <c r="D4458" s="76">
        <v>627.64420770945105</v>
      </c>
      <c r="E4458" s="77">
        <v>125</v>
      </c>
      <c r="F4458" s="78">
        <v>12.1482737645418</v>
      </c>
      <c r="G4458" s="78">
        <v>12.1482737645418</v>
      </c>
      <c r="H4458" s="81">
        <v>12.3641691063651</v>
      </c>
    </row>
    <row r="4459" spans="1:8" x14ac:dyDescent="0.3">
      <c r="A4459" s="74" t="str">
        <f t="shared" si="69"/>
        <v>安徽46290</v>
      </c>
      <c r="B4459" s="75" t="s">
        <v>28</v>
      </c>
      <c r="C4459" s="45">
        <v>46290</v>
      </c>
      <c r="D4459" s="76">
        <v>627.64420770945105</v>
      </c>
      <c r="E4459" s="77">
        <v>125</v>
      </c>
      <c r="F4459" s="78">
        <v>12.1482737645418</v>
      </c>
      <c r="G4459" s="78">
        <v>12.1482737645418</v>
      </c>
      <c r="H4459" s="81">
        <v>12.3641691063651</v>
      </c>
    </row>
    <row r="4460" spans="1:8" x14ac:dyDescent="0.3">
      <c r="A4460" s="74" t="str">
        <f t="shared" si="69"/>
        <v>安徽46291</v>
      </c>
      <c r="B4460" s="75" t="s">
        <v>28</v>
      </c>
      <c r="C4460" s="45">
        <v>46291</v>
      </c>
      <c r="D4460" s="76">
        <v>627.64420770945105</v>
      </c>
      <c r="E4460" s="77">
        <v>125</v>
      </c>
      <c r="F4460" s="78">
        <v>12.1482737645418</v>
      </c>
      <c r="G4460" s="78">
        <v>12.1482737645418</v>
      </c>
      <c r="H4460" s="81">
        <v>12.3641691063651</v>
      </c>
    </row>
    <row r="4461" spans="1:8" x14ac:dyDescent="0.3">
      <c r="A4461" s="74" t="str">
        <f t="shared" si="69"/>
        <v>安徽46292</v>
      </c>
      <c r="B4461" s="75" t="s">
        <v>28</v>
      </c>
      <c r="C4461" s="45">
        <v>46292</v>
      </c>
      <c r="D4461" s="76">
        <v>627.64420770945105</v>
      </c>
      <c r="E4461" s="77">
        <v>125</v>
      </c>
      <c r="F4461" s="78">
        <v>12.1482737645418</v>
      </c>
      <c r="G4461" s="78">
        <v>12.1482737645418</v>
      </c>
      <c r="H4461" s="81">
        <v>12.3641691063651</v>
      </c>
    </row>
    <row r="4462" spans="1:8" x14ac:dyDescent="0.3">
      <c r="A4462" s="74" t="str">
        <f t="shared" si="69"/>
        <v>安徽46293</v>
      </c>
      <c r="B4462" s="75" t="s">
        <v>28</v>
      </c>
      <c r="C4462" s="45">
        <v>46293</v>
      </c>
      <c r="D4462" s="76">
        <v>627.64420770945105</v>
      </c>
      <c r="E4462" s="77">
        <v>125</v>
      </c>
      <c r="F4462" s="78">
        <v>12.1482737645418</v>
      </c>
      <c r="G4462" s="78">
        <v>12.1482737645418</v>
      </c>
      <c r="H4462" s="81">
        <v>12.3641691063651</v>
      </c>
    </row>
    <row r="4463" spans="1:8" x14ac:dyDescent="0.3">
      <c r="A4463" s="74" t="str">
        <f t="shared" si="69"/>
        <v>安徽46294</v>
      </c>
      <c r="B4463" s="75" t="s">
        <v>28</v>
      </c>
      <c r="C4463" s="45">
        <v>46294</v>
      </c>
      <c r="D4463" s="76">
        <v>627.64420770945105</v>
      </c>
      <c r="E4463" s="77">
        <v>125</v>
      </c>
      <c r="F4463" s="78">
        <v>12.1482737645418</v>
      </c>
      <c r="G4463" s="78">
        <v>12.1482737645418</v>
      </c>
      <c r="H4463" s="81">
        <v>12.3641691063651</v>
      </c>
    </row>
    <row r="4464" spans="1:8" x14ac:dyDescent="0.3">
      <c r="A4464" s="74" t="str">
        <f t="shared" si="69"/>
        <v>安徽46295</v>
      </c>
      <c r="B4464" s="75" t="s">
        <v>28</v>
      </c>
      <c r="C4464" s="45">
        <v>46295</v>
      </c>
      <c r="D4464" s="76">
        <v>627.64420770945105</v>
      </c>
      <c r="E4464" s="77">
        <v>125</v>
      </c>
      <c r="F4464" s="78">
        <v>12.1482737645418</v>
      </c>
      <c r="G4464" s="78">
        <v>12.1482737645418</v>
      </c>
      <c r="H4464" s="81">
        <v>12.3641691063651</v>
      </c>
    </row>
    <row r="4465" spans="1:8" x14ac:dyDescent="0.3">
      <c r="A4465" s="74" t="str">
        <f t="shared" si="69"/>
        <v>安徽46296</v>
      </c>
      <c r="B4465" s="75" t="s">
        <v>28</v>
      </c>
      <c r="C4465" s="45">
        <v>46296</v>
      </c>
      <c r="D4465" s="76">
        <v>666.14053322585801</v>
      </c>
      <c r="E4465" s="77">
        <v>125</v>
      </c>
      <c r="F4465" s="78">
        <v>12.356102449943799</v>
      </c>
      <c r="G4465" s="78">
        <v>12.356102449943799</v>
      </c>
      <c r="H4465" s="81">
        <v>12.437911665647601</v>
      </c>
    </row>
    <row r="4466" spans="1:8" x14ac:dyDescent="0.3">
      <c r="A4466" s="74" t="str">
        <f t="shared" si="69"/>
        <v>安徽46297</v>
      </c>
      <c r="B4466" s="75" t="s">
        <v>28</v>
      </c>
      <c r="C4466" s="45">
        <v>46297</v>
      </c>
      <c r="D4466" s="76">
        <v>666.14053322585801</v>
      </c>
      <c r="E4466" s="77">
        <v>125</v>
      </c>
      <c r="F4466" s="78">
        <v>12.356102449943799</v>
      </c>
      <c r="G4466" s="78">
        <v>12.356102449943799</v>
      </c>
      <c r="H4466" s="81">
        <v>12.437911665647601</v>
      </c>
    </row>
    <row r="4467" spans="1:8" x14ac:dyDescent="0.3">
      <c r="A4467" s="74" t="str">
        <f t="shared" si="69"/>
        <v>安徽46298</v>
      </c>
      <c r="B4467" s="75" t="s">
        <v>28</v>
      </c>
      <c r="C4467" s="45">
        <v>46298</v>
      </c>
      <c r="D4467" s="76">
        <v>666.14053322585801</v>
      </c>
      <c r="E4467" s="77">
        <v>125</v>
      </c>
      <c r="F4467" s="78">
        <v>12.356102449943799</v>
      </c>
      <c r="G4467" s="78">
        <v>12.356102449943799</v>
      </c>
      <c r="H4467" s="81">
        <v>12.437911665647601</v>
      </c>
    </row>
    <row r="4468" spans="1:8" x14ac:dyDescent="0.3">
      <c r="A4468" s="74" t="str">
        <f t="shared" si="69"/>
        <v>安徽46299</v>
      </c>
      <c r="B4468" s="75" t="s">
        <v>28</v>
      </c>
      <c r="C4468" s="45">
        <v>46299</v>
      </c>
      <c r="D4468" s="76">
        <v>666.14053322585801</v>
      </c>
      <c r="E4468" s="77">
        <v>125</v>
      </c>
      <c r="F4468" s="78">
        <v>12.356102449943799</v>
      </c>
      <c r="G4468" s="78">
        <v>12.356102449943799</v>
      </c>
      <c r="H4468" s="81">
        <v>12.437911665647601</v>
      </c>
    </row>
    <row r="4469" spans="1:8" x14ac:dyDescent="0.3">
      <c r="A4469" s="74" t="str">
        <f t="shared" si="69"/>
        <v>安徽46300</v>
      </c>
      <c r="B4469" s="75" t="s">
        <v>28</v>
      </c>
      <c r="C4469" s="45">
        <v>46300</v>
      </c>
      <c r="D4469" s="76">
        <v>666.14053322585801</v>
      </c>
      <c r="E4469" s="77">
        <v>125</v>
      </c>
      <c r="F4469" s="78">
        <v>12.356102449943799</v>
      </c>
      <c r="G4469" s="78">
        <v>12.356102449943799</v>
      </c>
      <c r="H4469" s="81">
        <v>12.437911665647601</v>
      </c>
    </row>
    <row r="4470" spans="1:8" x14ac:dyDescent="0.3">
      <c r="A4470" s="74" t="str">
        <f t="shared" si="69"/>
        <v>安徽46301</v>
      </c>
      <c r="B4470" s="75" t="s">
        <v>28</v>
      </c>
      <c r="C4470" s="45">
        <v>46301</v>
      </c>
      <c r="D4470" s="76">
        <v>666.14053322585801</v>
      </c>
      <c r="E4470" s="77">
        <v>125</v>
      </c>
      <c r="F4470" s="78">
        <v>12.356102449943799</v>
      </c>
      <c r="G4470" s="78">
        <v>12.356102449943799</v>
      </c>
      <c r="H4470" s="81">
        <v>12.437911665647601</v>
      </c>
    </row>
    <row r="4471" spans="1:8" x14ac:dyDescent="0.3">
      <c r="A4471" s="74" t="str">
        <f t="shared" si="69"/>
        <v>安徽46302</v>
      </c>
      <c r="B4471" s="75" t="s">
        <v>28</v>
      </c>
      <c r="C4471" s="45">
        <v>46302</v>
      </c>
      <c r="D4471" s="76">
        <v>666.14053322585801</v>
      </c>
      <c r="E4471" s="77">
        <v>125</v>
      </c>
      <c r="F4471" s="78">
        <v>12.356102449943799</v>
      </c>
      <c r="G4471" s="78">
        <v>12.356102449943799</v>
      </c>
      <c r="H4471" s="81">
        <v>12.437911665647601</v>
      </c>
    </row>
    <row r="4472" spans="1:8" x14ac:dyDescent="0.3">
      <c r="A4472" s="74" t="str">
        <f t="shared" si="69"/>
        <v>安徽46303</v>
      </c>
      <c r="B4472" s="75" t="s">
        <v>28</v>
      </c>
      <c r="C4472" s="45">
        <v>46303</v>
      </c>
      <c r="D4472" s="76">
        <v>666.14053322585801</v>
      </c>
      <c r="E4472" s="77">
        <v>125</v>
      </c>
      <c r="F4472" s="78">
        <v>12.356102449943799</v>
      </c>
      <c r="G4472" s="78">
        <v>12.356102449943799</v>
      </c>
      <c r="H4472" s="81">
        <v>12.437911665647601</v>
      </c>
    </row>
    <row r="4473" spans="1:8" x14ac:dyDescent="0.3">
      <c r="A4473" s="74" t="str">
        <f t="shared" si="69"/>
        <v>安徽46304</v>
      </c>
      <c r="B4473" s="75" t="s">
        <v>28</v>
      </c>
      <c r="C4473" s="45">
        <v>46304</v>
      </c>
      <c r="D4473" s="76">
        <v>666.14053322585801</v>
      </c>
      <c r="E4473" s="77">
        <v>125</v>
      </c>
      <c r="F4473" s="78">
        <v>12.356102449943799</v>
      </c>
      <c r="G4473" s="78">
        <v>12.356102449943799</v>
      </c>
      <c r="H4473" s="81">
        <v>12.437911665647601</v>
      </c>
    </row>
    <row r="4474" spans="1:8" x14ac:dyDescent="0.3">
      <c r="A4474" s="74" t="str">
        <f t="shared" si="69"/>
        <v>安徽46305</v>
      </c>
      <c r="B4474" s="75" t="s">
        <v>28</v>
      </c>
      <c r="C4474" s="45">
        <v>46305</v>
      </c>
      <c r="D4474" s="76">
        <v>666.14053322585801</v>
      </c>
      <c r="E4474" s="77">
        <v>125</v>
      </c>
      <c r="F4474" s="78">
        <v>12.356102449943799</v>
      </c>
      <c r="G4474" s="78">
        <v>12.356102449943799</v>
      </c>
      <c r="H4474" s="81">
        <v>12.437911665647601</v>
      </c>
    </row>
    <row r="4475" spans="1:8" x14ac:dyDescent="0.3">
      <c r="A4475" s="74" t="str">
        <f t="shared" si="69"/>
        <v>安徽46306</v>
      </c>
      <c r="B4475" s="75" t="s">
        <v>28</v>
      </c>
      <c r="C4475" s="45">
        <v>46306</v>
      </c>
      <c r="D4475" s="76">
        <v>666.14053322585801</v>
      </c>
      <c r="E4475" s="77">
        <v>125</v>
      </c>
      <c r="F4475" s="78">
        <v>12.356102449943799</v>
      </c>
      <c r="G4475" s="78">
        <v>12.356102449943799</v>
      </c>
      <c r="H4475" s="81">
        <v>12.437911665647601</v>
      </c>
    </row>
    <row r="4476" spans="1:8" x14ac:dyDescent="0.3">
      <c r="A4476" s="74" t="str">
        <f t="shared" si="69"/>
        <v>安徽46307</v>
      </c>
      <c r="B4476" s="75" t="s">
        <v>28</v>
      </c>
      <c r="C4476" s="45">
        <v>46307</v>
      </c>
      <c r="D4476" s="76">
        <v>666.14053322585801</v>
      </c>
      <c r="E4476" s="77">
        <v>125</v>
      </c>
      <c r="F4476" s="78">
        <v>12.356102449943799</v>
      </c>
      <c r="G4476" s="78">
        <v>12.356102449943799</v>
      </c>
      <c r="H4476" s="81">
        <v>12.437911665647601</v>
      </c>
    </row>
    <row r="4477" spans="1:8" x14ac:dyDescent="0.3">
      <c r="A4477" s="74" t="str">
        <f t="shared" si="69"/>
        <v>安徽46308</v>
      </c>
      <c r="B4477" s="75" t="s">
        <v>28</v>
      </c>
      <c r="C4477" s="45">
        <v>46308</v>
      </c>
      <c r="D4477" s="76">
        <v>666.14053322585801</v>
      </c>
      <c r="E4477" s="77">
        <v>125</v>
      </c>
      <c r="F4477" s="78">
        <v>12.356102449943799</v>
      </c>
      <c r="G4477" s="78">
        <v>12.356102449943799</v>
      </c>
      <c r="H4477" s="81">
        <v>12.437911665647601</v>
      </c>
    </row>
    <row r="4478" spans="1:8" x14ac:dyDescent="0.3">
      <c r="A4478" s="74" t="str">
        <f t="shared" si="69"/>
        <v>安徽46309</v>
      </c>
      <c r="B4478" s="75" t="s">
        <v>28</v>
      </c>
      <c r="C4478" s="45">
        <v>46309</v>
      </c>
      <c r="D4478" s="76">
        <v>666.14053322585801</v>
      </c>
      <c r="E4478" s="77">
        <v>125</v>
      </c>
      <c r="F4478" s="78">
        <v>12.356102449943799</v>
      </c>
      <c r="G4478" s="78">
        <v>12.356102449943799</v>
      </c>
      <c r="H4478" s="81">
        <v>12.437911665647601</v>
      </c>
    </row>
    <row r="4479" spans="1:8" x14ac:dyDescent="0.3">
      <c r="A4479" s="74" t="str">
        <f t="shared" si="69"/>
        <v>安徽46310</v>
      </c>
      <c r="B4479" s="75" t="s">
        <v>28</v>
      </c>
      <c r="C4479" s="45">
        <v>46310</v>
      </c>
      <c r="D4479" s="76">
        <v>666.14053322585801</v>
      </c>
      <c r="E4479" s="77">
        <v>125</v>
      </c>
      <c r="F4479" s="78">
        <v>12.356102449943799</v>
      </c>
      <c r="G4479" s="78">
        <v>12.356102449943799</v>
      </c>
      <c r="H4479" s="81">
        <v>12.437911665647601</v>
      </c>
    </row>
    <row r="4480" spans="1:8" x14ac:dyDescent="0.3">
      <c r="A4480" s="74" t="str">
        <f t="shared" si="69"/>
        <v>安徽46311</v>
      </c>
      <c r="B4480" s="75" t="s">
        <v>28</v>
      </c>
      <c r="C4480" s="45">
        <v>46311</v>
      </c>
      <c r="D4480" s="76">
        <v>666.14053322585801</v>
      </c>
      <c r="E4480" s="77">
        <v>125</v>
      </c>
      <c r="F4480" s="78">
        <v>12.356102449943799</v>
      </c>
      <c r="G4480" s="78">
        <v>12.356102449943799</v>
      </c>
      <c r="H4480" s="81">
        <v>12.437911665647601</v>
      </c>
    </row>
    <row r="4481" spans="1:8" x14ac:dyDescent="0.3">
      <c r="A4481" s="74" t="str">
        <f t="shared" si="69"/>
        <v>安徽46312</v>
      </c>
      <c r="B4481" s="75" t="s">
        <v>28</v>
      </c>
      <c r="C4481" s="45">
        <v>46312</v>
      </c>
      <c r="D4481" s="76">
        <v>666.14053322585801</v>
      </c>
      <c r="E4481" s="77">
        <v>125</v>
      </c>
      <c r="F4481" s="78">
        <v>12.356102449943799</v>
      </c>
      <c r="G4481" s="78">
        <v>12.356102449943799</v>
      </c>
      <c r="H4481" s="81">
        <v>12.437911665647601</v>
      </c>
    </row>
    <row r="4482" spans="1:8" x14ac:dyDescent="0.3">
      <c r="A4482" s="74" t="str">
        <f t="shared" si="69"/>
        <v>安徽46313</v>
      </c>
      <c r="B4482" s="75" t="s">
        <v>28</v>
      </c>
      <c r="C4482" s="45">
        <v>46313</v>
      </c>
      <c r="D4482" s="76">
        <v>666.14053322585801</v>
      </c>
      <c r="E4482" s="77">
        <v>125</v>
      </c>
      <c r="F4482" s="78">
        <v>12.356102449943799</v>
      </c>
      <c r="G4482" s="78">
        <v>12.356102449943799</v>
      </c>
      <c r="H4482" s="81">
        <v>12.437911665647601</v>
      </c>
    </row>
    <row r="4483" spans="1:8" x14ac:dyDescent="0.3">
      <c r="A4483" s="74" t="str">
        <f t="shared" ref="A4483:A4546" si="70">B4483&amp;C4483</f>
        <v>安徽46314</v>
      </c>
      <c r="B4483" s="75" t="s">
        <v>28</v>
      </c>
      <c r="C4483" s="45">
        <v>46314</v>
      </c>
      <c r="D4483" s="76">
        <v>666.14053322585801</v>
      </c>
      <c r="E4483" s="77">
        <v>125</v>
      </c>
      <c r="F4483" s="78">
        <v>12.356102449943799</v>
      </c>
      <c r="G4483" s="78">
        <v>12.356102449943799</v>
      </c>
      <c r="H4483" s="81">
        <v>12.437911665647601</v>
      </c>
    </row>
    <row r="4484" spans="1:8" x14ac:dyDescent="0.3">
      <c r="A4484" s="74" t="str">
        <f t="shared" si="70"/>
        <v>安徽46315</v>
      </c>
      <c r="B4484" s="75" t="s">
        <v>28</v>
      </c>
      <c r="C4484" s="45">
        <v>46315</v>
      </c>
      <c r="D4484" s="76">
        <v>666.14053322585801</v>
      </c>
      <c r="E4484" s="77">
        <v>125</v>
      </c>
      <c r="F4484" s="78">
        <v>12.356102449943799</v>
      </c>
      <c r="G4484" s="78">
        <v>12.356102449943799</v>
      </c>
      <c r="H4484" s="81">
        <v>12.437911665647601</v>
      </c>
    </row>
    <row r="4485" spans="1:8" x14ac:dyDescent="0.3">
      <c r="A4485" s="74" t="str">
        <f t="shared" si="70"/>
        <v>安徽46316</v>
      </c>
      <c r="B4485" s="75" t="s">
        <v>28</v>
      </c>
      <c r="C4485" s="45">
        <v>46316</v>
      </c>
      <c r="D4485" s="76">
        <v>666.14053322585801</v>
      </c>
      <c r="E4485" s="77">
        <v>125</v>
      </c>
      <c r="F4485" s="78">
        <v>12.356102449943799</v>
      </c>
      <c r="G4485" s="78">
        <v>12.356102449943799</v>
      </c>
      <c r="H4485" s="81">
        <v>12.437911665647601</v>
      </c>
    </row>
    <row r="4486" spans="1:8" x14ac:dyDescent="0.3">
      <c r="A4486" s="74" t="str">
        <f t="shared" si="70"/>
        <v>安徽46317</v>
      </c>
      <c r="B4486" s="75" t="s">
        <v>28</v>
      </c>
      <c r="C4486" s="45">
        <v>46317</v>
      </c>
      <c r="D4486" s="76">
        <v>666.14053322585801</v>
      </c>
      <c r="E4486" s="77">
        <v>125</v>
      </c>
      <c r="F4486" s="78">
        <v>12.356102449943799</v>
      </c>
      <c r="G4486" s="78">
        <v>12.356102449943799</v>
      </c>
      <c r="H4486" s="81">
        <v>12.437911665647601</v>
      </c>
    </row>
    <row r="4487" spans="1:8" x14ac:dyDescent="0.3">
      <c r="A4487" s="74" t="str">
        <f t="shared" si="70"/>
        <v>安徽46318</v>
      </c>
      <c r="B4487" s="75" t="s">
        <v>28</v>
      </c>
      <c r="C4487" s="45">
        <v>46318</v>
      </c>
      <c r="D4487" s="76">
        <v>666.14053322585801</v>
      </c>
      <c r="E4487" s="77">
        <v>125</v>
      </c>
      <c r="F4487" s="78">
        <v>12.356102449943799</v>
      </c>
      <c r="G4487" s="78">
        <v>12.356102449943799</v>
      </c>
      <c r="H4487" s="81">
        <v>12.437911665647601</v>
      </c>
    </row>
    <row r="4488" spans="1:8" x14ac:dyDescent="0.3">
      <c r="A4488" s="74" t="str">
        <f t="shared" si="70"/>
        <v>安徽46319</v>
      </c>
      <c r="B4488" s="75" t="s">
        <v>28</v>
      </c>
      <c r="C4488" s="45">
        <v>46319</v>
      </c>
      <c r="D4488" s="76">
        <v>666.14053322585801</v>
      </c>
      <c r="E4488" s="77">
        <v>125</v>
      </c>
      <c r="F4488" s="78">
        <v>12.356102449943799</v>
      </c>
      <c r="G4488" s="78">
        <v>12.356102449943799</v>
      </c>
      <c r="H4488" s="81">
        <v>12.437911665647601</v>
      </c>
    </row>
    <row r="4489" spans="1:8" x14ac:dyDescent="0.3">
      <c r="A4489" s="74" t="str">
        <f t="shared" si="70"/>
        <v>安徽46320</v>
      </c>
      <c r="B4489" s="75" t="s">
        <v>28</v>
      </c>
      <c r="C4489" s="45">
        <v>46320</v>
      </c>
      <c r="D4489" s="76">
        <v>666.14053322585801</v>
      </c>
      <c r="E4489" s="77">
        <v>125</v>
      </c>
      <c r="F4489" s="78">
        <v>12.356102449943799</v>
      </c>
      <c r="G4489" s="78">
        <v>12.356102449943799</v>
      </c>
      <c r="H4489" s="81">
        <v>12.437911665647601</v>
      </c>
    </row>
    <row r="4490" spans="1:8" x14ac:dyDescent="0.3">
      <c r="A4490" s="74" t="str">
        <f t="shared" si="70"/>
        <v>安徽46321</v>
      </c>
      <c r="B4490" s="75" t="s">
        <v>28</v>
      </c>
      <c r="C4490" s="45">
        <v>46321</v>
      </c>
      <c r="D4490" s="76">
        <v>666.14053322585801</v>
      </c>
      <c r="E4490" s="77">
        <v>125</v>
      </c>
      <c r="F4490" s="78">
        <v>12.356102449943799</v>
      </c>
      <c r="G4490" s="78">
        <v>12.356102449943799</v>
      </c>
      <c r="H4490" s="81">
        <v>12.437911665647601</v>
      </c>
    </row>
    <row r="4491" spans="1:8" x14ac:dyDescent="0.3">
      <c r="A4491" s="74" t="str">
        <f t="shared" si="70"/>
        <v>安徽46322</v>
      </c>
      <c r="B4491" s="75" t="s">
        <v>28</v>
      </c>
      <c r="C4491" s="45">
        <v>46322</v>
      </c>
      <c r="D4491" s="76">
        <v>666.14053322585801</v>
      </c>
      <c r="E4491" s="77">
        <v>125</v>
      </c>
      <c r="F4491" s="78">
        <v>12.356102449943799</v>
      </c>
      <c r="G4491" s="78">
        <v>12.356102449943799</v>
      </c>
      <c r="H4491" s="81">
        <v>12.437911665647601</v>
      </c>
    </row>
    <row r="4492" spans="1:8" x14ac:dyDescent="0.3">
      <c r="A4492" s="74" t="str">
        <f t="shared" si="70"/>
        <v>安徽46323</v>
      </c>
      <c r="B4492" s="75" t="s">
        <v>28</v>
      </c>
      <c r="C4492" s="45">
        <v>46323</v>
      </c>
      <c r="D4492" s="76">
        <v>666.14053322585801</v>
      </c>
      <c r="E4492" s="77">
        <v>125</v>
      </c>
      <c r="F4492" s="78">
        <v>12.356102449943799</v>
      </c>
      <c r="G4492" s="78">
        <v>12.356102449943799</v>
      </c>
      <c r="H4492" s="81">
        <v>12.437911665647601</v>
      </c>
    </row>
    <row r="4493" spans="1:8" x14ac:dyDescent="0.3">
      <c r="A4493" s="74" t="str">
        <f t="shared" si="70"/>
        <v>安徽46324</v>
      </c>
      <c r="B4493" s="75" t="s">
        <v>28</v>
      </c>
      <c r="C4493" s="45">
        <v>46324</v>
      </c>
      <c r="D4493" s="76">
        <v>666.14053322585801</v>
      </c>
      <c r="E4493" s="77">
        <v>125</v>
      </c>
      <c r="F4493" s="78">
        <v>12.356102449943799</v>
      </c>
      <c r="G4493" s="78">
        <v>12.356102449943799</v>
      </c>
      <c r="H4493" s="81">
        <v>12.437911665647601</v>
      </c>
    </row>
    <row r="4494" spans="1:8" x14ac:dyDescent="0.3">
      <c r="A4494" s="74" t="str">
        <f t="shared" si="70"/>
        <v>安徽46325</v>
      </c>
      <c r="B4494" s="75" t="s">
        <v>28</v>
      </c>
      <c r="C4494" s="45">
        <v>46325</v>
      </c>
      <c r="D4494" s="76">
        <v>666.14053322585801</v>
      </c>
      <c r="E4494" s="77">
        <v>125</v>
      </c>
      <c r="F4494" s="78">
        <v>12.356102449943799</v>
      </c>
      <c r="G4494" s="78">
        <v>12.356102449943799</v>
      </c>
      <c r="H4494" s="81">
        <v>12.437911665647601</v>
      </c>
    </row>
    <row r="4495" spans="1:8" x14ac:dyDescent="0.3">
      <c r="A4495" s="74" t="str">
        <f t="shared" si="70"/>
        <v>安徽46326</v>
      </c>
      <c r="B4495" s="75" t="s">
        <v>28</v>
      </c>
      <c r="C4495" s="45">
        <v>46326</v>
      </c>
      <c r="D4495" s="76">
        <v>666.14053322585801</v>
      </c>
      <c r="E4495" s="77">
        <v>125</v>
      </c>
      <c r="F4495" s="78">
        <v>12.356102449943799</v>
      </c>
      <c r="G4495" s="78">
        <v>12.356102449943799</v>
      </c>
      <c r="H4495" s="81">
        <v>12.437911665647601</v>
      </c>
    </row>
    <row r="4496" spans="1:8" x14ac:dyDescent="0.3">
      <c r="A4496" s="74" t="str">
        <f t="shared" si="70"/>
        <v>安徽46327</v>
      </c>
      <c r="B4496" s="75" t="s">
        <v>28</v>
      </c>
      <c r="C4496" s="45">
        <v>46327</v>
      </c>
      <c r="D4496" s="76">
        <v>800.86235355610597</v>
      </c>
      <c r="E4496" s="77">
        <v>125</v>
      </c>
      <c r="F4496" s="78">
        <v>12.642594871019099</v>
      </c>
      <c r="G4496" s="78">
        <v>12.642594871019099</v>
      </c>
      <c r="H4496" s="81">
        <v>12.511654224930099</v>
      </c>
    </row>
    <row r="4497" spans="1:8" x14ac:dyDescent="0.3">
      <c r="A4497" s="74" t="str">
        <f t="shared" si="70"/>
        <v>安徽46328</v>
      </c>
      <c r="B4497" s="75" t="s">
        <v>28</v>
      </c>
      <c r="C4497" s="45">
        <v>46328</v>
      </c>
      <c r="D4497" s="76">
        <v>800.86235355610597</v>
      </c>
      <c r="E4497" s="77">
        <v>125</v>
      </c>
      <c r="F4497" s="78">
        <v>12.642594871019099</v>
      </c>
      <c r="G4497" s="78">
        <v>12.642594871019099</v>
      </c>
      <c r="H4497" s="81">
        <v>12.511654224930099</v>
      </c>
    </row>
    <row r="4498" spans="1:8" x14ac:dyDescent="0.3">
      <c r="A4498" s="74" t="str">
        <f t="shared" si="70"/>
        <v>安徽46329</v>
      </c>
      <c r="B4498" s="75" t="s">
        <v>28</v>
      </c>
      <c r="C4498" s="45">
        <v>46329</v>
      </c>
      <c r="D4498" s="76">
        <v>800.86235355610597</v>
      </c>
      <c r="E4498" s="77">
        <v>125</v>
      </c>
      <c r="F4498" s="78">
        <v>12.642594871019099</v>
      </c>
      <c r="G4498" s="78">
        <v>12.642594871019099</v>
      </c>
      <c r="H4498" s="81">
        <v>12.511654224930099</v>
      </c>
    </row>
    <row r="4499" spans="1:8" x14ac:dyDescent="0.3">
      <c r="A4499" s="74" t="str">
        <f t="shared" si="70"/>
        <v>安徽46330</v>
      </c>
      <c r="B4499" s="75" t="s">
        <v>28</v>
      </c>
      <c r="C4499" s="45">
        <v>46330</v>
      </c>
      <c r="D4499" s="76">
        <v>800.86235355610597</v>
      </c>
      <c r="E4499" s="77">
        <v>125</v>
      </c>
      <c r="F4499" s="78">
        <v>12.642594871019099</v>
      </c>
      <c r="G4499" s="78">
        <v>12.642594871019099</v>
      </c>
      <c r="H4499" s="81">
        <v>12.511654224930099</v>
      </c>
    </row>
    <row r="4500" spans="1:8" x14ac:dyDescent="0.3">
      <c r="A4500" s="74" t="str">
        <f t="shared" si="70"/>
        <v>安徽46331</v>
      </c>
      <c r="B4500" s="75" t="s">
        <v>28</v>
      </c>
      <c r="C4500" s="45">
        <v>46331</v>
      </c>
      <c r="D4500" s="76">
        <v>800.86235355610597</v>
      </c>
      <c r="E4500" s="77">
        <v>125</v>
      </c>
      <c r="F4500" s="78">
        <v>12.642594871019099</v>
      </c>
      <c r="G4500" s="78">
        <v>12.642594871019099</v>
      </c>
      <c r="H4500" s="81">
        <v>12.511654224930099</v>
      </c>
    </row>
    <row r="4501" spans="1:8" x14ac:dyDescent="0.3">
      <c r="A4501" s="74" t="str">
        <f t="shared" si="70"/>
        <v>安徽46332</v>
      </c>
      <c r="B4501" s="75" t="s">
        <v>28</v>
      </c>
      <c r="C4501" s="45">
        <v>46332</v>
      </c>
      <c r="D4501" s="76">
        <v>800.86235355610597</v>
      </c>
      <c r="E4501" s="77">
        <v>125</v>
      </c>
      <c r="F4501" s="78">
        <v>12.642594871019099</v>
      </c>
      <c r="G4501" s="78">
        <v>12.642594871019099</v>
      </c>
      <c r="H4501" s="81">
        <v>12.511654224930099</v>
      </c>
    </row>
    <row r="4502" spans="1:8" x14ac:dyDescent="0.3">
      <c r="A4502" s="74" t="str">
        <f t="shared" si="70"/>
        <v>安徽46333</v>
      </c>
      <c r="B4502" s="75" t="s">
        <v>28</v>
      </c>
      <c r="C4502" s="45">
        <v>46333</v>
      </c>
      <c r="D4502" s="76">
        <v>800.86235355610597</v>
      </c>
      <c r="E4502" s="77">
        <v>125</v>
      </c>
      <c r="F4502" s="78">
        <v>12.642594871019099</v>
      </c>
      <c r="G4502" s="78">
        <v>12.642594871019099</v>
      </c>
      <c r="H4502" s="81">
        <v>12.511654224930099</v>
      </c>
    </row>
    <row r="4503" spans="1:8" x14ac:dyDescent="0.3">
      <c r="A4503" s="74" t="str">
        <f t="shared" si="70"/>
        <v>安徽46334</v>
      </c>
      <c r="B4503" s="75" t="s">
        <v>28</v>
      </c>
      <c r="C4503" s="45">
        <v>46334</v>
      </c>
      <c r="D4503" s="76">
        <v>800.86235355610597</v>
      </c>
      <c r="E4503" s="77">
        <v>125</v>
      </c>
      <c r="F4503" s="78">
        <v>12.642594871019099</v>
      </c>
      <c r="G4503" s="78">
        <v>12.642594871019099</v>
      </c>
      <c r="H4503" s="81">
        <v>12.511654224930099</v>
      </c>
    </row>
    <row r="4504" spans="1:8" x14ac:dyDescent="0.3">
      <c r="A4504" s="74" t="str">
        <f t="shared" si="70"/>
        <v>安徽46335</v>
      </c>
      <c r="B4504" s="75" t="s">
        <v>28</v>
      </c>
      <c r="C4504" s="45">
        <v>46335</v>
      </c>
      <c r="D4504" s="76">
        <v>800.86235355610597</v>
      </c>
      <c r="E4504" s="77">
        <v>125</v>
      </c>
      <c r="F4504" s="78">
        <v>12.642594871019099</v>
      </c>
      <c r="G4504" s="78">
        <v>12.642594871019099</v>
      </c>
      <c r="H4504" s="81">
        <v>12.511654224930099</v>
      </c>
    </row>
    <row r="4505" spans="1:8" x14ac:dyDescent="0.3">
      <c r="A4505" s="74" t="str">
        <f t="shared" si="70"/>
        <v>安徽46336</v>
      </c>
      <c r="B4505" s="75" t="s">
        <v>28</v>
      </c>
      <c r="C4505" s="45">
        <v>46336</v>
      </c>
      <c r="D4505" s="76">
        <v>800.86235355610597</v>
      </c>
      <c r="E4505" s="77">
        <v>125</v>
      </c>
      <c r="F4505" s="78">
        <v>12.642594871019099</v>
      </c>
      <c r="G4505" s="78">
        <v>12.642594871019099</v>
      </c>
      <c r="H4505" s="81">
        <v>12.511654224930099</v>
      </c>
    </row>
    <row r="4506" spans="1:8" x14ac:dyDescent="0.3">
      <c r="A4506" s="74" t="str">
        <f t="shared" si="70"/>
        <v>安徽46337</v>
      </c>
      <c r="B4506" s="75" t="s">
        <v>28</v>
      </c>
      <c r="C4506" s="45">
        <v>46337</v>
      </c>
      <c r="D4506" s="76">
        <v>800.86235355610597</v>
      </c>
      <c r="E4506" s="77">
        <v>125</v>
      </c>
      <c r="F4506" s="78">
        <v>12.642594871019099</v>
      </c>
      <c r="G4506" s="78">
        <v>12.642594871019099</v>
      </c>
      <c r="H4506" s="81">
        <v>12.511654224930099</v>
      </c>
    </row>
    <row r="4507" spans="1:8" x14ac:dyDescent="0.3">
      <c r="A4507" s="74" t="str">
        <f t="shared" si="70"/>
        <v>安徽46338</v>
      </c>
      <c r="B4507" s="75" t="s">
        <v>28</v>
      </c>
      <c r="C4507" s="45">
        <v>46338</v>
      </c>
      <c r="D4507" s="76">
        <v>800.86235355610597</v>
      </c>
      <c r="E4507" s="77">
        <v>125</v>
      </c>
      <c r="F4507" s="78">
        <v>12.642594871019099</v>
      </c>
      <c r="G4507" s="78">
        <v>12.642594871019099</v>
      </c>
      <c r="H4507" s="81">
        <v>12.511654224930099</v>
      </c>
    </row>
    <row r="4508" spans="1:8" x14ac:dyDescent="0.3">
      <c r="A4508" s="74" t="str">
        <f t="shared" si="70"/>
        <v>安徽46339</v>
      </c>
      <c r="B4508" s="75" t="s">
        <v>28</v>
      </c>
      <c r="C4508" s="45">
        <v>46339</v>
      </c>
      <c r="D4508" s="76">
        <v>800.86235355610597</v>
      </c>
      <c r="E4508" s="77">
        <v>125</v>
      </c>
      <c r="F4508" s="78">
        <v>12.642594871019099</v>
      </c>
      <c r="G4508" s="78">
        <v>12.642594871019099</v>
      </c>
      <c r="H4508" s="81">
        <v>12.511654224930099</v>
      </c>
    </row>
    <row r="4509" spans="1:8" x14ac:dyDescent="0.3">
      <c r="A4509" s="74" t="str">
        <f t="shared" si="70"/>
        <v>安徽46340</v>
      </c>
      <c r="B4509" s="75" t="s">
        <v>28</v>
      </c>
      <c r="C4509" s="45">
        <v>46340</v>
      </c>
      <c r="D4509" s="76">
        <v>800.86235355610597</v>
      </c>
      <c r="E4509" s="77">
        <v>125</v>
      </c>
      <c r="F4509" s="78">
        <v>12.642594871019099</v>
      </c>
      <c r="G4509" s="78">
        <v>12.642594871019099</v>
      </c>
      <c r="H4509" s="81">
        <v>12.511654224930099</v>
      </c>
    </row>
    <row r="4510" spans="1:8" x14ac:dyDescent="0.3">
      <c r="A4510" s="74" t="str">
        <f t="shared" si="70"/>
        <v>安徽46341</v>
      </c>
      <c r="B4510" s="75" t="s">
        <v>28</v>
      </c>
      <c r="C4510" s="45">
        <v>46341</v>
      </c>
      <c r="D4510" s="76">
        <v>800.86235355610597</v>
      </c>
      <c r="E4510" s="77">
        <v>125</v>
      </c>
      <c r="F4510" s="78">
        <v>12.642594871019099</v>
      </c>
      <c r="G4510" s="78">
        <v>12.642594871019099</v>
      </c>
      <c r="H4510" s="81">
        <v>12.511654224930099</v>
      </c>
    </row>
    <row r="4511" spans="1:8" x14ac:dyDescent="0.3">
      <c r="A4511" s="74" t="str">
        <f t="shared" si="70"/>
        <v>安徽46342</v>
      </c>
      <c r="B4511" s="75" t="s">
        <v>28</v>
      </c>
      <c r="C4511" s="45">
        <v>46342</v>
      </c>
      <c r="D4511" s="76">
        <v>800.86235355610597</v>
      </c>
      <c r="E4511" s="77">
        <v>125</v>
      </c>
      <c r="F4511" s="78">
        <v>12.642594871019099</v>
      </c>
      <c r="G4511" s="78">
        <v>12.642594871019099</v>
      </c>
      <c r="H4511" s="81">
        <v>12.511654224930099</v>
      </c>
    </row>
    <row r="4512" spans="1:8" x14ac:dyDescent="0.3">
      <c r="A4512" s="74" t="str">
        <f t="shared" si="70"/>
        <v>安徽46343</v>
      </c>
      <c r="B4512" s="75" t="s">
        <v>28</v>
      </c>
      <c r="C4512" s="45">
        <v>46343</v>
      </c>
      <c r="D4512" s="76">
        <v>800.86235355610597</v>
      </c>
      <c r="E4512" s="77">
        <v>125</v>
      </c>
      <c r="F4512" s="78">
        <v>12.642594871019099</v>
      </c>
      <c r="G4512" s="78">
        <v>12.642594871019099</v>
      </c>
      <c r="H4512" s="81">
        <v>12.511654224930099</v>
      </c>
    </row>
    <row r="4513" spans="1:8" x14ac:dyDescent="0.3">
      <c r="A4513" s="74" t="str">
        <f t="shared" si="70"/>
        <v>安徽46344</v>
      </c>
      <c r="B4513" s="75" t="s">
        <v>28</v>
      </c>
      <c r="C4513" s="45">
        <v>46344</v>
      </c>
      <c r="D4513" s="76">
        <v>800.86235355610597</v>
      </c>
      <c r="E4513" s="77">
        <v>125</v>
      </c>
      <c r="F4513" s="78">
        <v>12.642594871019099</v>
      </c>
      <c r="G4513" s="78">
        <v>12.642594871019099</v>
      </c>
      <c r="H4513" s="81">
        <v>12.511654224930099</v>
      </c>
    </row>
    <row r="4514" spans="1:8" x14ac:dyDescent="0.3">
      <c r="A4514" s="74" t="str">
        <f t="shared" si="70"/>
        <v>安徽46345</v>
      </c>
      <c r="B4514" s="75" t="s">
        <v>28</v>
      </c>
      <c r="C4514" s="45">
        <v>46345</v>
      </c>
      <c r="D4514" s="76">
        <v>800.86235355610597</v>
      </c>
      <c r="E4514" s="77">
        <v>125</v>
      </c>
      <c r="F4514" s="78">
        <v>12.642594871019099</v>
      </c>
      <c r="G4514" s="78">
        <v>12.642594871019099</v>
      </c>
      <c r="H4514" s="81">
        <v>12.511654224930099</v>
      </c>
    </row>
    <row r="4515" spans="1:8" x14ac:dyDescent="0.3">
      <c r="A4515" s="74" t="str">
        <f t="shared" si="70"/>
        <v>安徽46346</v>
      </c>
      <c r="B4515" s="75" t="s">
        <v>28</v>
      </c>
      <c r="C4515" s="45">
        <v>46346</v>
      </c>
      <c r="D4515" s="76">
        <v>800.86235355610597</v>
      </c>
      <c r="E4515" s="77">
        <v>125</v>
      </c>
      <c r="F4515" s="78">
        <v>12.642594871019099</v>
      </c>
      <c r="G4515" s="78">
        <v>12.642594871019099</v>
      </c>
      <c r="H4515" s="81">
        <v>12.511654224930099</v>
      </c>
    </row>
    <row r="4516" spans="1:8" x14ac:dyDescent="0.3">
      <c r="A4516" s="74" t="str">
        <f t="shared" si="70"/>
        <v>安徽46347</v>
      </c>
      <c r="B4516" s="75" t="s">
        <v>28</v>
      </c>
      <c r="C4516" s="45">
        <v>46347</v>
      </c>
      <c r="D4516" s="76">
        <v>800.86235355610597</v>
      </c>
      <c r="E4516" s="77">
        <v>125</v>
      </c>
      <c r="F4516" s="78">
        <v>12.642594871019099</v>
      </c>
      <c r="G4516" s="78">
        <v>12.642594871019099</v>
      </c>
      <c r="H4516" s="81">
        <v>12.511654224930099</v>
      </c>
    </row>
    <row r="4517" spans="1:8" x14ac:dyDescent="0.3">
      <c r="A4517" s="74" t="str">
        <f t="shared" si="70"/>
        <v>安徽46348</v>
      </c>
      <c r="B4517" s="75" t="s">
        <v>28</v>
      </c>
      <c r="C4517" s="45">
        <v>46348</v>
      </c>
      <c r="D4517" s="76">
        <v>800.86235355610597</v>
      </c>
      <c r="E4517" s="77">
        <v>125</v>
      </c>
      <c r="F4517" s="78">
        <v>12.642594871019099</v>
      </c>
      <c r="G4517" s="78">
        <v>12.642594871019099</v>
      </c>
      <c r="H4517" s="81">
        <v>12.511654224930099</v>
      </c>
    </row>
    <row r="4518" spans="1:8" x14ac:dyDescent="0.3">
      <c r="A4518" s="74" t="str">
        <f t="shared" si="70"/>
        <v>安徽46349</v>
      </c>
      <c r="B4518" s="75" t="s">
        <v>28</v>
      </c>
      <c r="C4518" s="45">
        <v>46349</v>
      </c>
      <c r="D4518" s="76">
        <v>800.86235355610597</v>
      </c>
      <c r="E4518" s="77">
        <v>125</v>
      </c>
      <c r="F4518" s="78">
        <v>12.642594871019099</v>
      </c>
      <c r="G4518" s="78">
        <v>12.642594871019099</v>
      </c>
      <c r="H4518" s="81">
        <v>12.511654224930099</v>
      </c>
    </row>
    <row r="4519" spans="1:8" x14ac:dyDescent="0.3">
      <c r="A4519" s="74" t="str">
        <f t="shared" si="70"/>
        <v>安徽46350</v>
      </c>
      <c r="B4519" s="75" t="s">
        <v>28</v>
      </c>
      <c r="C4519" s="45">
        <v>46350</v>
      </c>
      <c r="D4519" s="76">
        <v>800.86235355610597</v>
      </c>
      <c r="E4519" s="77">
        <v>125</v>
      </c>
      <c r="F4519" s="78">
        <v>12.642594871019099</v>
      </c>
      <c r="G4519" s="78">
        <v>12.642594871019099</v>
      </c>
      <c r="H4519" s="81">
        <v>12.511654224930099</v>
      </c>
    </row>
    <row r="4520" spans="1:8" x14ac:dyDescent="0.3">
      <c r="A4520" s="74" t="str">
        <f t="shared" si="70"/>
        <v>安徽46351</v>
      </c>
      <c r="B4520" s="75" t="s">
        <v>28</v>
      </c>
      <c r="C4520" s="45">
        <v>46351</v>
      </c>
      <c r="D4520" s="76">
        <v>800.86235355610597</v>
      </c>
      <c r="E4520" s="77">
        <v>125</v>
      </c>
      <c r="F4520" s="78">
        <v>12.642594871019099</v>
      </c>
      <c r="G4520" s="78">
        <v>12.642594871019099</v>
      </c>
      <c r="H4520" s="81">
        <v>12.511654224930099</v>
      </c>
    </row>
    <row r="4521" spans="1:8" x14ac:dyDescent="0.3">
      <c r="A4521" s="74" t="str">
        <f t="shared" si="70"/>
        <v>安徽46352</v>
      </c>
      <c r="B4521" s="75" t="s">
        <v>28</v>
      </c>
      <c r="C4521" s="45">
        <v>46352</v>
      </c>
      <c r="D4521" s="76">
        <v>800.86235355610597</v>
      </c>
      <c r="E4521" s="77">
        <v>125</v>
      </c>
      <c r="F4521" s="78">
        <v>12.642594871019099</v>
      </c>
      <c r="G4521" s="78">
        <v>12.642594871019099</v>
      </c>
      <c r="H4521" s="81">
        <v>12.511654224930099</v>
      </c>
    </row>
    <row r="4522" spans="1:8" x14ac:dyDescent="0.3">
      <c r="A4522" s="74" t="str">
        <f t="shared" si="70"/>
        <v>安徽46353</v>
      </c>
      <c r="B4522" s="75" t="s">
        <v>28</v>
      </c>
      <c r="C4522" s="45">
        <v>46353</v>
      </c>
      <c r="D4522" s="76">
        <v>800.86235355610597</v>
      </c>
      <c r="E4522" s="77">
        <v>125</v>
      </c>
      <c r="F4522" s="78">
        <v>12.642594871019099</v>
      </c>
      <c r="G4522" s="78">
        <v>12.642594871019099</v>
      </c>
      <c r="H4522" s="81">
        <v>12.511654224930099</v>
      </c>
    </row>
    <row r="4523" spans="1:8" x14ac:dyDescent="0.3">
      <c r="A4523" s="74" t="str">
        <f t="shared" si="70"/>
        <v>安徽46354</v>
      </c>
      <c r="B4523" s="75" t="s">
        <v>28</v>
      </c>
      <c r="C4523" s="45">
        <v>46354</v>
      </c>
      <c r="D4523" s="76">
        <v>800.86235355610597</v>
      </c>
      <c r="E4523" s="77">
        <v>125</v>
      </c>
      <c r="F4523" s="78">
        <v>12.642594871019099</v>
      </c>
      <c r="G4523" s="78">
        <v>12.642594871019099</v>
      </c>
      <c r="H4523" s="81">
        <v>12.511654224930099</v>
      </c>
    </row>
    <row r="4524" spans="1:8" x14ac:dyDescent="0.3">
      <c r="A4524" s="74" t="str">
        <f t="shared" si="70"/>
        <v>安徽46355</v>
      </c>
      <c r="B4524" s="75" t="s">
        <v>28</v>
      </c>
      <c r="C4524" s="45">
        <v>46355</v>
      </c>
      <c r="D4524" s="76">
        <v>800.86235355610597</v>
      </c>
      <c r="E4524" s="77">
        <v>125</v>
      </c>
      <c r="F4524" s="78">
        <v>12.642594871019099</v>
      </c>
      <c r="G4524" s="78">
        <v>12.642594871019099</v>
      </c>
      <c r="H4524" s="81">
        <v>12.511654224930099</v>
      </c>
    </row>
    <row r="4525" spans="1:8" x14ac:dyDescent="0.3">
      <c r="A4525" s="74" t="str">
        <f t="shared" si="70"/>
        <v>安徽46356</v>
      </c>
      <c r="B4525" s="75" t="s">
        <v>28</v>
      </c>
      <c r="C4525" s="45">
        <v>46356</v>
      </c>
      <c r="D4525" s="76">
        <v>800.86235355610597</v>
      </c>
      <c r="E4525" s="77">
        <v>125</v>
      </c>
      <c r="F4525" s="78">
        <v>12.642594871019099</v>
      </c>
      <c r="G4525" s="78">
        <v>12.642594871019099</v>
      </c>
      <c r="H4525" s="81">
        <v>12.511654224930099</v>
      </c>
    </row>
    <row r="4526" spans="1:8" x14ac:dyDescent="0.3">
      <c r="A4526" s="74" t="str">
        <f t="shared" si="70"/>
        <v>安徽46357</v>
      </c>
      <c r="B4526" s="75" t="s">
        <v>28</v>
      </c>
      <c r="C4526" s="45">
        <v>46357</v>
      </c>
      <c r="D4526" s="76">
        <v>665.58778326245601</v>
      </c>
      <c r="E4526" s="77">
        <v>125</v>
      </c>
      <c r="F4526" s="78">
        <v>13.327301825173</v>
      </c>
      <c r="G4526" s="78">
        <v>13.327301825173</v>
      </c>
      <c r="H4526" s="81">
        <v>12.7427142440152</v>
      </c>
    </row>
    <row r="4527" spans="1:8" x14ac:dyDescent="0.3">
      <c r="A4527" s="74" t="str">
        <f t="shared" si="70"/>
        <v>安徽46358</v>
      </c>
      <c r="B4527" s="75" t="s">
        <v>28</v>
      </c>
      <c r="C4527" s="45">
        <v>46358</v>
      </c>
      <c r="D4527" s="76">
        <v>665.58778326245601</v>
      </c>
      <c r="E4527" s="77">
        <v>125</v>
      </c>
      <c r="F4527" s="78">
        <v>13.327301825173</v>
      </c>
      <c r="G4527" s="78">
        <v>13.327301825173</v>
      </c>
      <c r="H4527" s="81">
        <v>12.7427142440152</v>
      </c>
    </row>
    <row r="4528" spans="1:8" x14ac:dyDescent="0.3">
      <c r="A4528" s="74" t="str">
        <f t="shared" si="70"/>
        <v>安徽46359</v>
      </c>
      <c r="B4528" s="75" t="s">
        <v>28</v>
      </c>
      <c r="C4528" s="45">
        <v>46359</v>
      </c>
      <c r="D4528" s="76">
        <v>665.58778326245601</v>
      </c>
      <c r="E4528" s="77">
        <v>125</v>
      </c>
      <c r="F4528" s="78">
        <v>13.327301825173</v>
      </c>
      <c r="G4528" s="78">
        <v>13.327301825173</v>
      </c>
      <c r="H4528" s="81">
        <v>12.7427142440152</v>
      </c>
    </row>
    <row r="4529" spans="1:8" x14ac:dyDescent="0.3">
      <c r="A4529" s="74" t="str">
        <f t="shared" si="70"/>
        <v>安徽46360</v>
      </c>
      <c r="B4529" s="75" t="s">
        <v>28</v>
      </c>
      <c r="C4529" s="45">
        <v>46360</v>
      </c>
      <c r="D4529" s="76">
        <v>665.58778326245601</v>
      </c>
      <c r="E4529" s="77">
        <v>125</v>
      </c>
      <c r="F4529" s="78">
        <v>13.327301825173</v>
      </c>
      <c r="G4529" s="78">
        <v>13.327301825173</v>
      </c>
      <c r="H4529" s="81">
        <v>12.7427142440152</v>
      </c>
    </row>
    <row r="4530" spans="1:8" x14ac:dyDescent="0.3">
      <c r="A4530" s="74" t="str">
        <f t="shared" si="70"/>
        <v>安徽46361</v>
      </c>
      <c r="B4530" s="75" t="s">
        <v>28</v>
      </c>
      <c r="C4530" s="45">
        <v>46361</v>
      </c>
      <c r="D4530" s="76">
        <v>665.58778326245601</v>
      </c>
      <c r="E4530" s="77">
        <v>125</v>
      </c>
      <c r="F4530" s="78">
        <v>13.327301825173</v>
      </c>
      <c r="G4530" s="78">
        <v>13.327301825173</v>
      </c>
      <c r="H4530" s="81">
        <v>12.7427142440152</v>
      </c>
    </row>
    <row r="4531" spans="1:8" x14ac:dyDescent="0.3">
      <c r="A4531" s="74" t="str">
        <f t="shared" si="70"/>
        <v>安徽46362</v>
      </c>
      <c r="B4531" s="75" t="s">
        <v>28</v>
      </c>
      <c r="C4531" s="45">
        <v>46362</v>
      </c>
      <c r="D4531" s="76">
        <v>665.58778326245601</v>
      </c>
      <c r="E4531" s="77">
        <v>125</v>
      </c>
      <c r="F4531" s="78">
        <v>13.327301825173</v>
      </c>
      <c r="G4531" s="78">
        <v>13.327301825173</v>
      </c>
      <c r="H4531" s="81">
        <v>12.7427142440152</v>
      </c>
    </row>
    <row r="4532" spans="1:8" x14ac:dyDescent="0.3">
      <c r="A4532" s="74" t="str">
        <f t="shared" si="70"/>
        <v>安徽46363</v>
      </c>
      <c r="B4532" s="75" t="s">
        <v>28</v>
      </c>
      <c r="C4532" s="45">
        <v>46363</v>
      </c>
      <c r="D4532" s="76">
        <v>665.58778326245601</v>
      </c>
      <c r="E4532" s="77">
        <v>125</v>
      </c>
      <c r="F4532" s="78">
        <v>13.327301825173</v>
      </c>
      <c r="G4532" s="78">
        <v>13.327301825173</v>
      </c>
      <c r="H4532" s="81">
        <v>12.7427142440152</v>
      </c>
    </row>
    <row r="4533" spans="1:8" x14ac:dyDescent="0.3">
      <c r="A4533" s="74" t="str">
        <f t="shared" si="70"/>
        <v>安徽46364</v>
      </c>
      <c r="B4533" s="75" t="s">
        <v>28</v>
      </c>
      <c r="C4533" s="45">
        <v>46364</v>
      </c>
      <c r="D4533" s="76">
        <v>665.58778326245601</v>
      </c>
      <c r="E4533" s="77">
        <v>125</v>
      </c>
      <c r="F4533" s="78">
        <v>13.327301825173</v>
      </c>
      <c r="G4533" s="78">
        <v>13.327301825173</v>
      </c>
      <c r="H4533" s="81">
        <v>12.7427142440152</v>
      </c>
    </row>
    <row r="4534" spans="1:8" x14ac:dyDescent="0.3">
      <c r="A4534" s="74" t="str">
        <f t="shared" si="70"/>
        <v>安徽46365</v>
      </c>
      <c r="B4534" s="75" t="s">
        <v>28</v>
      </c>
      <c r="C4534" s="45">
        <v>46365</v>
      </c>
      <c r="D4534" s="76">
        <v>665.58778326245601</v>
      </c>
      <c r="E4534" s="77">
        <v>125</v>
      </c>
      <c r="F4534" s="78">
        <v>13.327301825173</v>
      </c>
      <c r="G4534" s="78">
        <v>13.327301825173</v>
      </c>
      <c r="H4534" s="81">
        <v>12.7427142440152</v>
      </c>
    </row>
    <row r="4535" spans="1:8" x14ac:dyDescent="0.3">
      <c r="A4535" s="74" t="str">
        <f t="shared" si="70"/>
        <v>安徽46366</v>
      </c>
      <c r="B4535" s="75" t="s">
        <v>28</v>
      </c>
      <c r="C4535" s="45">
        <v>46366</v>
      </c>
      <c r="D4535" s="76">
        <v>665.58778326245601</v>
      </c>
      <c r="E4535" s="77">
        <v>125</v>
      </c>
      <c r="F4535" s="78">
        <v>13.327301825173</v>
      </c>
      <c r="G4535" s="78">
        <v>13.327301825173</v>
      </c>
      <c r="H4535" s="81">
        <v>12.7427142440152</v>
      </c>
    </row>
    <row r="4536" spans="1:8" x14ac:dyDescent="0.3">
      <c r="A4536" s="74" t="str">
        <f t="shared" si="70"/>
        <v>安徽46367</v>
      </c>
      <c r="B4536" s="75" t="s">
        <v>28</v>
      </c>
      <c r="C4536" s="45">
        <v>46367</v>
      </c>
      <c r="D4536" s="76">
        <v>665.58778326245601</v>
      </c>
      <c r="E4536" s="77">
        <v>125</v>
      </c>
      <c r="F4536" s="78">
        <v>13.327301825173</v>
      </c>
      <c r="G4536" s="78">
        <v>13.327301825173</v>
      </c>
      <c r="H4536" s="81">
        <v>12.7427142440152</v>
      </c>
    </row>
    <row r="4537" spans="1:8" x14ac:dyDescent="0.3">
      <c r="A4537" s="74" t="str">
        <f t="shared" si="70"/>
        <v>安徽46368</v>
      </c>
      <c r="B4537" s="75" t="s">
        <v>28</v>
      </c>
      <c r="C4537" s="45">
        <v>46368</v>
      </c>
      <c r="D4537" s="76">
        <v>665.58778326245601</v>
      </c>
      <c r="E4537" s="77">
        <v>125</v>
      </c>
      <c r="F4537" s="78">
        <v>13.327301825173</v>
      </c>
      <c r="G4537" s="78">
        <v>13.327301825173</v>
      </c>
      <c r="H4537" s="81">
        <v>12.7427142440152</v>
      </c>
    </row>
    <row r="4538" spans="1:8" x14ac:dyDescent="0.3">
      <c r="A4538" s="74" t="str">
        <f t="shared" si="70"/>
        <v>安徽46369</v>
      </c>
      <c r="B4538" s="75" t="s">
        <v>28</v>
      </c>
      <c r="C4538" s="45">
        <v>46369</v>
      </c>
      <c r="D4538" s="76">
        <v>665.58778326245601</v>
      </c>
      <c r="E4538" s="77">
        <v>125</v>
      </c>
      <c r="F4538" s="78">
        <v>13.327301825173</v>
      </c>
      <c r="G4538" s="78">
        <v>13.327301825173</v>
      </c>
      <c r="H4538" s="81">
        <v>12.7427142440152</v>
      </c>
    </row>
    <row r="4539" spans="1:8" x14ac:dyDescent="0.3">
      <c r="A4539" s="74" t="str">
        <f t="shared" si="70"/>
        <v>安徽46370</v>
      </c>
      <c r="B4539" s="75" t="s">
        <v>28</v>
      </c>
      <c r="C4539" s="45">
        <v>46370</v>
      </c>
      <c r="D4539" s="76">
        <v>665.58778326245601</v>
      </c>
      <c r="E4539" s="77">
        <v>125</v>
      </c>
      <c r="F4539" s="78">
        <v>13.327301825173</v>
      </c>
      <c r="G4539" s="78">
        <v>13.327301825173</v>
      </c>
      <c r="H4539" s="81">
        <v>12.7427142440152</v>
      </c>
    </row>
    <row r="4540" spans="1:8" x14ac:dyDescent="0.3">
      <c r="A4540" s="74" t="str">
        <f t="shared" si="70"/>
        <v>安徽46371</v>
      </c>
      <c r="B4540" s="75" t="s">
        <v>28</v>
      </c>
      <c r="C4540" s="45">
        <v>46371</v>
      </c>
      <c r="D4540" s="76">
        <v>665.58778326245601</v>
      </c>
      <c r="E4540" s="77">
        <v>125</v>
      </c>
      <c r="F4540" s="78">
        <v>13.327301825173</v>
      </c>
      <c r="G4540" s="78">
        <v>13.327301825173</v>
      </c>
      <c r="H4540" s="81">
        <v>12.7427142440152</v>
      </c>
    </row>
    <row r="4541" spans="1:8" x14ac:dyDescent="0.3">
      <c r="A4541" s="74" t="str">
        <f t="shared" si="70"/>
        <v>安徽46372</v>
      </c>
      <c r="B4541" s="75" t="s">
        <v>28</v>
      </c>
      <c r="C4541" s="45">
        <v>46372</v>
      </c>
      <c r="D4541" s="76">
        <v>665.58778326245601</v>
      </c>
      <c r="E4541" s="77">
        <v>125</v>
      </c>
      <c r="F4541" s="78">
        <v>13.327301825173</v>
      </c>
      <c r="G4541" s="78">
        <v>13.327301825173</v>
      </c>
      <c r="H4541" s="81">
        <v>12.7427142440152</v>
      </c>
    </row>
    <row r="4542" spans="1:8" x14ac:dyDescent="0.3">
      <c r="A4542" s="74" t="str">
        <f t="shared" si="70"/>
        <v>安徽46373</v>
      </c>
      <c r="B4542" s="75" t="s">
        <v>28</v>
      </c>
      <c r="C4542" s="45">
        <v>46373</v>
      </c>
      <c r="D4542" s="76">
        <v>665.58778326245601</v>
      </c>
      <c r="E4542" s="77">
        <v>125</v>
      </c>
      <c r="F4542" s="78">
        <v>13.327301825173</v>
      </c>
      <c r="G4542" s="78">
        <v>13.327301825173</v>
      </c>
      <c r="H4542" s="81">
        <v>12.7427142440152</v>
      </c>
    </row>
    <row r="4543" spans="1:8" x14ac:dyDescent="0.3">
      <c r="A4543" s="74" t="str">
        <f t="shared" si="70"/>
        <v>安徽46374</v>
      </c>
      <c r="B4543" s="75" t="s">
        <v>28</v>
      </c>
      <c r="C4543" s="45">
        <v>46374</v>
      </c>
      <c r="D4543" s="76">
        <v>665.58778326245601</v>
      </c>
      <c r="E4543" s="77">
        <v>125</v>
      </c>
      <c r="F4543" s="78">
        <v>13.327301825173</v>
      </c>
      <c r="G4543" s="78">
        <v>13.327301825173</v>
      </c>
      <c r="H4543" s="81">
        <v>12.7427142440152</v>
      </c>
    </row>
    <row r="4544" spans="1:8" x14ac:dyDescent="0.3">
      <c r="A4544" s="74" t="str">
        <f t="shared" si="70"/>
        <v>安徽46375</v>
      </c>
      <c r="B4544" s="75" t="s">
        <v>28</v>
      </c>
      <c r="C4544" s="45">
        <v>46375</v>
      </c>
      <c r="D4544" s="76">
        <v>665.58778326245601</v>
      </c>
      <c r="E4544" s="77">
        <v>125</v>
      </c>
      <c r="F4544" s="78">
        <v>13.327301825173</v>
      </c>
      <c r="G4544" s="78">
        <v>13.327301825173</v>
      </c>
      <c r="H4544" s="81">
        <v>12.7427142440152</v>
      </c>
    </row>
    <row r="4545" spans="1:8" x14ac:dyDescent="0.3">
      <c r="A4545" s="74" t="str">
        <f t="shared" si="70"/>
        <v>安徽46376</v>
      </c>
      <c r="B4545" s="75" t="s">
        <v>28</v>
      </c>
      <c r="C4545" s="45">
        <v>46376</v>
      </c>
      <c r="D4545" s="76">
        <v>665.58778326245601</v>
      </c>
      <c r="E4545" s="77">
        <v>125</v>
      </c>
      <c r="F4545" s="78">
        <v>13.327301825173</v>
      </c>
      <c r="G4545" s="78">
        <v>13.327301825173</v>
      </c>
      <c r="H4545" s="81">
        <v>12.7427142440152</v>
      </c>
    </row>
    <row r="4546" spans="1:8" x14ac:dyDescent="0.3">
      <c r="A4546" s="74" t="str">
        <f t="shared" si="70"/>
        <v>安徽46377</v>
      </c>
      <c r="B4546" s="75" t="s">
        <v>28</v>
      </c>
      <c r="C4546" s="45">
        <v>46377</v>
      </c>
      <c r="D4546" s="76">
        <v>665.58778326245601</v>
      </c>
      <c r="E4546" s="77">
        <v>125</v>
      </c>
      <c r="F4546" s="78">
        <v>13.327301825173</v>
      </c>
      <c r="G4546" s="78">
        <v>13.327301825173</v>
      </c>
      <c r="H4546" s="81">
        <v>12.7427142440152</v>
      </c>
    </row>
    <row r="4547" spans="1:8" x14ac:dyDescent="0.3">
      <c r="A4547" s="74" t="str">
        <f t="shared" ref="A4547:A4610" si="71">B4547&amp;C4547</f>
        <v>安徽46378</v>
      </c>
      <c r="B4547" s="75" t="s">
        <v>28</v>
      </c>
      <c r="C4547" s="45">
        <v>46378</v>
      </c>
      <c r="D4547" s="76">
        <v>665.58778326245601</v>
      </c>
      <c r="E4547" s="77">
        <v>125</v>
      </c>
      <c r="F4547" s="78">
        <v>13.327301825173</v>
      </c>
      <c r="G4547" s="78">
        <v>13.327301825173</v>
      </c>
      <c r="H4547" s="81">
        <v>12.7427142440152</v>
      </c>
    </row>
    <row r="4548" spans="1:8" x14ac:dyDescent="0.3">
      <c r="A4548" s="74" t="str">
        <f t="shared" si="71"/>
        <v>安徽46379</v>
      </c>
      <c r="B4548" s="75" t="s">
        <v>28</v>
      </c>
      <c r="C4548" s="45">
        <v>46379</v>
      </c>
      <c r="D4548" s="76">
        <v>665.58778326245601</v>
      </c>
      <c r="E4548" s="77">
        <v>125</v>
      </c>
      <c r="F4548" s="78">
        <v>13.327301825173</v>
      </c>
      <c r="G4548" s="78">
        <v>13.327301825173</v>
      </c>
      <c r="H4548" s="81">
        <v>12.7427142440152</v>
      </c>
    </row>
    <row r="4549" spans="1:8" x14ac:dyDescent="0.3">
      <c r="A4549" s="74" t="str">
        <f t="shared" si="71"/>
        <v>安徽46380</v>
      </c>
      <c r="B4549" s="75" t="s">
        <v>28</v>
      </c>
      <c r="C4549" s="45">
        <v>46380</v>
      </c>
      <c r="D4549" s="76">
        <v>665.58778326245601</v>
      </c>
      <c r="E4549" s="77">
        <v>125</v>
      </c>
      <c r="F4549" s="78">
        <v>13.327301825173</v>
      </c>
      <c r="G4549" s="78">
        <v>13.327301825173</v>
      </c>
      <c r="H4549" s="81">
        <v>12.7427142440152</v>
      </c>
    </row>
    <row r="4550" spans="1:8" x14ac:dyDescent="0.3">
      <c r="A4550" s="74" t="str">
        <f t="shared" si="71"/>
        <v>安徽46381</v>
      </c>
      <c r="B4550" s="75" t="s">
        <v>28</v>
      </c>
      <c r="C4550" s="45">
        <v>46381</v>
      </c>
      <c r="D4550" s="76">
        <v>665.58778326245601</v>
      </c>
      <c r="E4550" s="77">
        <v>125</v>
      </c>
      <c r="F4550" s="78">
        <v>13.327301825173</v>
      </c>
      <c r="G4550" s="78">
        <v>13.327301825173</v>
      </c>
      <c r="H4550" s="81">
        <v>12.7427142440152</v>
      </c>
    </row>
    <row r="4551" spans="1:8" x14ac:dyDescent="0.3">
      <c r="A4551" s="74" t="str">
        <f t="shared" si="71"/>
        <v>安徽46382</v>
      </c>
      <c r="B4551" s="75" t="s">
        <v>28</v>
      </c>
      <c r="C4551" s="45">
        <v>46382</v>
      </c>
      <c r="D4551" s="76">
        <v>665.58778326245601</v>
      </c>
      <c r="E4551" s="77">
        <v>125</v>
      </c>
      <c r="F4551" s="78">
        <v>13.327301825173</v>
      </c>
      <c r="G4551" s="78">
        <v>13.327301825173</v>
      </c>
      <c r="H4551" s="81">
        <v>12.7427142440152</v>
      </c>
    </row>
    <row r="4552" spans="1:8" x14ac:dyDescent="0.3">
      <c r="A4552" s="74" t="str">
        <f t="shared" si="71"/>
        <v>安徽46383</v>
      </c>
      <c r="B4552" s="75" t="s">
        <v>28</v>
      </c>
      <c r="C4552" s="45">
        <v>46383</v>
      </c>
      <c r="D4552" s="76">
        <v>665.58778326245601</v>
      </c>
      <c r="E4552" s="77">
        <v>125</v>
      </c>
      <c r="F4552" s="78">
        <v>13.327301825173</v>
      </c>
      <c r="G4552" s="78">
        <v>13.327301825173</v>
      </c>
      <c r="H4552" s="81">
        <v>12.7427142440152</v>
      </c>
    </row>
    <row r="4553" spans="1:8" x14ac:dyDescent="0.3">
      <c r="A4553" s="74" t="str">
        <f t="shared" si="71"/>
        <v>安徽46384</v>
      </c>
      <c r="B4553" s="75" t="s">
        <v>28</v>
      </c>
      <c r="C4553" s="45">
        <v>46384</v>
      </c>
      <c r="D4553" s="76">
        <v>665.58778326245601</v>
      </c>
      <c r="E4553" s="77">
        <v>125</v>
      </c>
      <c r="F4553" s="78">
        <v>13.327301825173</v>
      </c>
      <c r="G4553" s="78">
        <v>13.327301825173</v>
      </c>
      <c r="H4553" s="81">
        <v>12.7427142440152</v>
      </c>
    </row>
    <row r="4554" spans="1:8" x14ac:dyDescent="0.3">
      <c r="A4554" s="74" t="str">
        <f t="shared" si="71"/>
        <v>安徽46385</v>
      </c>
      <c r="B4554" s="75" t="s">
        <v>28</v>
      </c>
      <c r="C4554" s="45">
        <v>46385</v>
      </c>
      <c r="D4554" s="76">
        <v>665.58778326245601</v>
      </c>
      <c r="E4554" s="77">
        <v>125</v>
      </c>
      <c r="F4554" s="78">
        <v>13.327301825173</v>
      </c>
      <c r="G4554" s="78">
        <v>13.327301825173</v>
      </c>
      <c r="H4554" s="81">
        <v>12.7427142440152</v>
      </c>
    </row>
    <row r="4555" spans="1:8" x14ac:dyDescent="0.3">
      <c r="A4555" s="74" t="str">
        <f t="shared" si="71"/>
        <v>安徽46386</v>
      </c>
      <c r="B4555" s="75" t="s">
        <v>28</v>
      </c>
      <c r="C4555" s="45">
        <v>46386</v>
      </c>
      <c r="D4555" s="76">
        <v>665.58778326245601</v>
      </c>
      <c r="E4555" s="77">
        <v>125</v>
      </c>
      <c r="F4555" s="78">
        <v>13.327301825173</v>
      </c>
      <c r="G4555" s="78">
        <v>13.327301825173</v>
      </c>
      <c r="H4555" s="81">
        <v>12.7427142440152</v>
      </c>
    </row>
    <row r="4556" spans="1:8" x14ac:dyDescent="0.3">
      <c r="A4556" s="74" t="str">
        <f t="shared" si="71"/>
        <v>安徽46387</v>
      </c>
      <c r="B4556" s="82" t="s">
        <v>28</v>
      </c>
      <c r="C4556" s="83">
        <v>46387</v>
      </c>
      <c r="D4556" s="84">
        <v>665.58778326245601</v>
      </c>
      <c r="E4556" s="85">
        <v>125</v>
      </c>
      <c r="F4556" s="86">
        <v>13.327301825173</v>
      </c>
      <c r="G4556" s="86">
        <v>13.327301825173</v>
      </c>
      <c r="H4556" s="87">
        <v>12.7427142440152</v>
      </c>
    </row>
    <row r="4557" spans="1:8" x14ac:dyDescent="0.3">
      <c r="A4557" s="74" t="str">
        <f t="shared" si="71"/>
        <v>广东46135</v>
      </c>
      <c r="B4557" s="75" t="s">
        <v>29</v>
      </c>
      <c r="C4557" s="45">
        <v>46135</v>
      </c>
      <c r="D4557" s="76">
        <v>1779.4859792562499</v>
      </c>
      <c r="E4557" s="77">
        <v>125</v>
      </c>
      <c r="F4557" s="78">
        <v>9.2103457437377596</v>
      </c>
      <c r="G4557" s="78">
        <v>9.2103457437377596</v>
      </c>
      <c r="H4557" s="81">
        <v>9.7923318128811605</v>
      </c>
    </row>
    <row r="4558" spans="1:8" x14ac:dyDescent="0.3">
      <c r="A4558" s="74" t="str">
        <f t="shared" si="71"/>
        <v>广东46136</v>
      </c>
      <c r="B4558" s="75" t="s">
        <v>29</v>
      </c>
      <c r="C4558" s="45">
        <v>46136</v>
      </c>
      <c r="D4558" s="76">
        <v>1779.4859792562499</v>
      </c>
      <c r="E4558" s="77">
        <v>125</v>
      </c>
      <c r="F4558" s="78">
        <v>9.2103457437377596</v>
      </c>
      <c r="G4558" s="78">
        <v>9.2103457437377596</v>
      </c>
      <c r="H4558" s="81">
        <v>9.7923318128811605</v>
      </c>
    </row>
    <row r="4559" spans="1:8" x14ac:dyDescent="0.3">
      <c r="A4559" s="74" t="str">
        <f t="shared" si="71"/>
        <v>广东46137</v>
      </c>
      <c r="B4559" s="75" t="s">
        <v>29</v>
      </c>
      <c r="C4559" s="45">
        <v>46137</v>
      </c>
      <c r="D4559" s="76">
        <v>1779.4859792562499</v>
      </c>
      <c r="E4559" s="77">
        <v>125</v>
      </c>
      <c r="F4559" s="78">
        <v>9.2103457437377596</v>
      </c>
      <c r="G4559" s="78">
        <v>9.2103457437377596</v>
      </c>
      <c r="H4559" s="81">
        <v>9.7923318128811605</v>
      </c>
    </row>
    <row r="4560" spans="1:8" x14ac:dyDescent="0.3">
      <c r="A4560" s="74" t="str">
        <f t="shared" si="71"/>
        <v>广东46138</v>
      </c>
      <c r="B4560" s="75" t="s">
        <v>29</v>
      </c>
      <c r="C4560" s="45">
        <v>46138</v>
      </c>
      <c r="D4560" s="76">
        <v>1779.4859792562499</v>
      </c>
      <c r="E4560" s="77">
        <v>125</v>
      </c>
      <c r="F4560" s="78">
        <v>9.2103457437377596</v>
      </c>
      <c r="G4560" s="78">
        <v>9.2103457437377596</v>
      </c>
      <c r="H4560" s="81">
        <v>9.7923318128811605</v>
      </c>
    </row>
    <row r="4561" spans="1:8" x14ac:dyDescent="0.3">
      <c r="A4561" s="74" t="str">
        <f t="shared" si="71"/>
        <v>广东46139</v>
      </c>
      <c r="B4561" s="75" t="s">
        <v>29</v>
      </c>
      <c r="C4561" s="45">
        <v>46139</v>
      </c>
      <c r="D4561" s="76">
        <v>1779.4859792562499</v>
      </c>
      <c r="E4561" s="77">
        <v>125</v>
      </c>
      <c r="F4561" s="78">
        <v>9.2103457437377596</v>
      </c>
      <c r="G4561" s="78">
        <v>9.2103457437377596</v>
      </c>
      <c r="H4561" s="81">
        <v>9.7923318128811605</v>
      </c>
    </row>
    <row r="4562" spans="1:8" x14ac:dyDescent="0.3">
      <c r="A4562" s="74" t="str">
        <f t="shared" si="71"/>
        <v>广东46140</v>
      </c>
      <c r="B4562" s="75" t="s">
        <v>29</v>
      </c>
      <c r="C4562" s="45">
        <v>46140</v>
      </c>
      <c r="D4562" s="76">
        <v>1779.4859792562499</v>
      </c>
      <c r="E4562" s="77">
        <v>125</v>
      </c>
      <c r="F4562" s="78">
        <v>9.2103457437377596</v>
      </c>
      <c r="G4562" s="78">
        <v>9.2103457437377596</v>
      </c>
      <c r="H4562" s="81">
        <v>9.7923318128811605</v>
      </c>
    </row>
    <row r="4563" spans="1:8" x14ac:dyDescent="0.3">
      <c r="A4563" s="74" t="str">
        <f t="shared" si="71"/>
        <v>广东46141</v>
      </c>
      <c r="B4563" s="75" t="s">
        <v>29</v>
      </c>
      <c r="C4563" s="45">
        <v>46141</v>
      </c>
      <c r="D4563" s="76">
        <v>1779.4859792562499</v>
      </c>
      <c r="E4563" s="77">
        <v>125</v>
      </c>
      <c r="F4563" s="78">
        <v>9.2103457437377596</v>
      </c>
      <c r="G4563" s="78">
        <v>9.2103457437377596</v>
      </c>
      <c r="H4563" s="81">
        <v>9.7923318128811605</v>
      </c>
    </row>
    <row r="4564" spans="1:8" x14ac:dyDescent="0.3">
      <c r="A4564" s="74" t="str">
        <f t="shared" si="71"/>
        <v>广东46142</v>
      </c>
      <c r="B4564" s="75" t="s">
        <v>29</v>
      </c>
      <c r="C4564" s="45">
        <v>46142</v>
      </c>
      <c r="D4564" s="76">
        <v>1779.4859792562499</v>
      </c>
      <c r="E4564" s="77">
        <v>125</v>
      </c>
      <c r="F4564" s="78">
        <v>9.2103457437377596</v>
      </c>
      <c r="G4564" s="78">
        <v>9.2103457437377596</v>
      </c>
      <c r="H4564" s="81">
        <v>9.7923318128811605</v>
      </c>
    </row>
    <row r="4565" spans="1:8" x14ac:dyDescent="0.3">
      <c r="A4565" s="74" t="str">
        <f t="shared" si="71"/>
        <v>广东46143</v>
      </c>
      <c r="B4565" s="75" t="s">
        <v>29</v>
      </c>
      <c r="C4565" s="45">
        <v>46143</v>
      </c>
      <c r="D4565" s="76">
        <v>2002.1254124843499</v>
      </c>
      <c r="E4565" s="77">
        <v>125</v>
      </c>
      <c r="F4565" s="78">
        <v>10.719441381102801</v>
      </c>
      <c r="G4565" s="78">
        <v>10.719441381102801</v>
      </c>
      <c r="H4565" s="81">
        <v>10.014712005872299</v>
      </c>
    </row>
    <row r="4566" spans="1:8" x14ac:dyDescent="0.3">
      <c r="A4566" s="74" t="str">
        <f t="shared" si="71"/>
        <v>广东46144</v>
      </c>
      <c r="B4566" s="75" t="s">
        <v>29</v>
      </c>
      <c r="C4566" s="45">
        <v>46144</v>
      </c>
      <c r="D4566" s="76">
        <v>2002.1254124843499</v>
      </c>
      <c r="E4566" s="77">
        <v>125</v>
      </c>
      <c r="F4566" s="78">
        <v>10.719441381102801</v>
      </c>
      <c r="G4566" s="78">
        <v>10.719441381102801</v>
      </c>
      <c r="H4566" s="81">
        <v>10.014712005872299</v>
      </c>
    </row>
    <row r="4567" spans="1:8" x14ac:dyDescent="0.3">
      <c r="A4567" s="74" t="str">
        <f t="shared" si="71"/>
        <v>广东46145</v>
      </c>
      <c r="B4567" s="75" t="s">
        <v>29</v>
      </c>
      <c r="C4567" s="45">
        <v>46145</v>
      </c>
      <c r="D4567" s="76">
        <v>2002.1254124843499</v>
      </c>
      <c r="E4567" s="77">
        <v>125</v>
      </c>
      <c r="F4567" s="78">
        <v>10.719441381102801</v>
      </c>
      <c r="G4567" s="78">
        <v>10.719441381102801</v>
      </c>
      <c r="H4567" s="81">
        <v>10.014712005872299</v>
      </c>
    </row>
    <row r="4568" spans="1:8" x14ac:dyDescent="0.3">
      <c r="A4568" s="74" t="str">
        <f t="shared" si="71"/>
        <v>广东46146</v>
      </c>
      <c r="B4568" s="75" t="s">
        <v>29</v>
      </c>
      <c r="C4568" s="45">
        <v>46146</v>
      </c>
      <c r="D4568" s="76">
        <v>2002.1254124843499</v>
      </c>
      <c r="E4568" s="77">
        <v>125</v>
      </c>
      <c r="F4568" s="78">
        <v>10.719441381102801</v>
      </c>
      <c r="G4568" s="78">
        <v>10.719441381102801</v>
      </c>
      <c r="H4568" s="81">
        <v>10.014712005872299</v>
      </c>
    </row>
    <row r="4569" spans="1:8" x14ac:dyDescent="0.3">
      <c r="A4569" s="74" t="str">
        <f t="shared" si="71"/>
        <v>广东46147</v>
      </c>
      <c r="B4569" s="75" t="s">
        <v>29</v>
      </c>
      <c r="C4569" s="45">
        <v>46147</v>
      </c>
      <c r="D4569" s="76">
        <v>2002.1254124843499</v>
      </c>
      <c r="E4569" s="77">
        <v>125</v>
      </c>
      <c r="F4569" s="78">
        <v>10.719441381102801</v>
      </c>
      <c r="G4569" s="78">
        <v>10.719441381102801</v>
      </c>
      <c r="H4569" s="81">
        <v>10.014712005872299</v>
      </c>
    </row>
    <row r="4570" spans="1:8" x14ac:dyDescent="0.3">
      <c r="A4570" s="74" t="str">
        <f t="shared" si="71"/>
        <v>广东46148</v>
      </c>
      <c r="B4570" s="75" t="s">
        <v>29</v>
      </c>
      <c r="C4570" s="45">
        <v>46148</v>
      </c>
      <c r="D4570" s="76">
        <v>2002.1254124843499</v>
      </c>
      <c r="E4570" s="77">
        <v>125</v>
      </c>
      <c r="F4570" s="78">
        <v>10.719441381102801</v>
      </c>
      <c r="G4570" s="78">
        <v>10.719441381102801</v>
      </c>
      <c r="H4570" s="81">
        <v>10.014712005872299</v>
      </c>
    </row>
    <row r="4571" spans="1:8" x14ac:dyDescent="0.3">
      <c r="A4571" s="74" t="str">
        <f t="shared" si="71"/>
        <v>广东46149</v>
      </c>
      <c r="B4571" s="75" t="s">
        <v>29</v>
      </c>
      <c r="C4571" s="45">
        <v>46149</v>
      </c>
      <c r="D4571" s="76">
        <v>2002.1254124843499</v>
      </c>
      <c r="E4571" s="77">
        <v>125</v>
      </c>
      <c r="F4571" s="78">
        <v>10.719441381102801</v>
      </c>
      <c r="G4571" s="78">
        <v>10.719441381102801</v>
      </c>
      <c r="H4571" s="81">
        <v>10.014712005872299</v>
      </c>
    </row>
    <row r="4572" spans="1:8" x14ac:dyDescent="0.3">
      <c r="A4572" s="74" t="str">
        <f t="shared" si="71"/>
        <v>广东46150</v>
      </c>
      <c r="B4572" s="75" t="s">
        <v>29</v>
      </c>
      <c r="C4572" s="45">
        <v>46150</v>
      </c>
      <c r="D4572" s="76">
        <v>2002.1254124843499</v>
      </c>
      <c r="E4572" s="77">
        <v>125</v>
      </c>
      <c r="F4572" s="78">
        <v>10.719441381102801</v>
      </c>
      <c r="G4572" s="78">
        <v>10.719441381102801</v>
      </c>
      <c r="H4572" s="81">
        <v>10.014712005872299</v>
      </c>
    </row>
    <row r="4573" spans="1:8" x14ac:dyDescent="0.3">
      <c r="A4573" s="74" t="str">
        <f t="shared" si="71"/>
        <v>广东46151</v>
      </c>
      <c r="B4573" s="75" t="s">
        <v>29</v>
      </c>
      <c r="C4573" s="45">
        <v>46151</v>
      </c>
      <c r="D4573" s="76">
        <v>2002.1254124843499</v>
      </c>
      <c r="E4573" s="77">
        <v>125</v>
      </c>
      <c r="F4573" s="78">
        <v>10.719441381102801</v>
      </c>
      <c r="G4573" s="78">
        <v>10.719441381102801</v>
      </c>
      <c r="H4573" s="81">
        <v>10.014712005872299</v>
      </c>
    </row>
    <row r="4574" spans="1:8" x14ac:dyDescent="0.3">
      <c r="A4574" s="74" t="str">
        <f t="shared" si="71"/>
        <v>广东46152</v>
      </c>
      <c r="B4574" s="75" t="s">
        <v>29</v>
      </c>
      <c r="C4574" s="45">
        <v>46152</v>
      </c>
      <c r="D4574" s="76">
        <v>2002.1254124843499</v>
      </c>
      <c r="E4574" s="77">
        <v>125</v>
      </c>
      <c r="F4574" s="78">
        <v>10.719441381102801</v>
      </c>
      <c r="G4574" s="78">
        <v>10.719441381102801</v>
      </c>
      <c r="H4574" s="81">
        <v>10.014712005872299</v>
      </c>
    </row>
    <row r="4575" spans="1:8" x14ac:dyDescent="0.3">
      <c r="A4575" s="74" t="str">
        <f t="shared" si="71"/>
        <v>广东46153</v>
      </c>
      <c r="B4575" s="75" t="s">
        <v>29</v>
      </c>
      <c r="C4575" s="45">
        <v>46153</v>
      </c>
      <c r="D4575" s="76">
        <v>2002.1254124843499</v>
      </c>
      <c r="E4575" s="77">
        <v>125</v>
      </c>
      <c r="F4575" s="78">
        <v>10.719441381102801</v>
      </c>
      <c r="G4575" s="78">
        <v>10.719441381102801</v>
      </c>
      <c r="H4575" s="81">
        <v>10.014712005872299</v>
      </c>
    </row>
    <row r="4576" spans="1:8" x14ac:dyDescent="0.3">
      <c r="A4576" s="74" t="str">
        <f t="shared" si="71"/>
        <v>广东46154</v>
      </c>
      <c r="B4576" s="75" t="s">
        <v>29</v>
      </c>
      <c r="C4576" s="45">
        <v>46154</v>
      </c>
      <c r="D4576" s="76">
        <v>2002.1254124843499</v>
      </c>
      <c r="E4576" s="77">
        <v>125</v>
      </c>
      <c r="F4576" s="78">
        <v>10.719441381102801</v>
      </c>
      <c r="G4576" s="78">
        <v>10.719441381102801</v>
      </c>
      <c r="H4576" s="81">
        <v>10.014712005872299</v>
      </c>
    </row>
    <row r="4577" spans="1:8" x14ac:dyDescent="0.3">
      <c r="A4577" s="74" t="str">
        <f t="shared" si="71"/>
        <v>广东46155</v>
      </c>
      <c r="B4577" s="75" t="s">
        <v>29</v>
      </c>
      <c r="C4577" s="45">
        <v>46155</v>
      </c>
      <c r="D4577" s="76">
        <v>2002.1254124843499</v>
      </c>
      <c r="E4577" s="77">
        <v>125</v>
      </c>
      <c r="F4577" s="78">
        <v>10.719441381102801</v>
      </c>
      <c r="G4577" s="78">
        <v>10.719441381102801</v>
      </c>
      <c r="H4577" s="81">
        <v>10.014712005872299</v>
      </c>
    </row>
    <row r="4578" spans="1:8" x14ac:dyDescent="0.3">
      <c r="A4578" s="74" t="str">
        <f t="shared" si="71"/>
        <v>广东46156</v>
      </c>
      <c r="B4578" s="75" t="s">
        <v>29</v>
      </c>
      <c r="C4578" s="45">
        <v>46156</v>
      </c>
      <c r="D4578" s="76">
        <v>2002.1254124843499</v>
      </c>
      <c r="E4578" s="77">
        <v>125</v>
      </c>
      <c r="F4578" s="78">
        <v>10.719441381102801</v>
      </c>
      <c r="G4578" s="78">
        <v>10.719441381102801</v>
      </c>
      <c r="H4578" s="81">
        <v>10.014712005872299</v>
      </c>
    </row>
    <row r="4579" spans="1:8" x14ac:dyDescent="0.3">
      <c r="A4579" s="74" t="str">
        <f t="shared" si="71"/>
        <v>广东46157</v>
      </c>
      <c r="B4579" s="75" t="s">
        <v>29</v>
      </c>
      <c r="C4579" s="45">
        <v>46157</v>
      </c>
      <c r="D4579" s="76">
        <v>2002.1254124843499</v>
      </c>
      <c r="E4579" s="77">
        <v>125</v>
      </c>
      <c r="F4579" s="78">
        <v>10.719441381102801</v>
      </c>
      <c r="G4579" s="78">
        <v>10.719441381102801</v>
      </c>
      <c r="H4579" s="81">
        <v>10.014712005872299</v>
      </c>
    </row>
    <row r="4580" spans="1:8" x14ac:dyDescent="0.3">
      <c r="A4580" s="74" t="str">
        <f t="shared" si="71"/>
        <v>广东46158</v>
      </c>
      <c r="B4580" s="75" t="s">
        <v>29</v>
      </c>
      <c r="C4580" s="45">
        <v>46158</v>
      </c>
      <c r="D4580" s="76">
        <v>2002.1254124843499</v>
      </c>
      <c r="E4580" s="77">
        <v>125</v>
      </c>
      <c r="F4580" s="78">
        <v>10.719441381102801</v>
      </c>
      <c r="G4580" s="78">
        <v>10.719441381102801</v>
      </c>
      <c r="H4580" s="81">
        <v>10.014712005872299</v>
      </c>
    </row>
    <row r="4581" spans="1:8" x14ac:dyDescent="0.3">
      <c r="A4581" s="74" t="str">
        <f t="shared" si="71"/>
        <v>广东46159</v>
      </c>
      <c r="B4581" s="75" t="s">
        <v>29</v>
      </c>
      <c r="C4581" s="45">
        <v>46159</v>
      </c>
      <c r="D4581" s="76">
        <v>2002.1254124843499</v>
      </c>
      <c r="E4581" s="77">
        <v>125</v>
      </c>
      <c r="F4581" s="78">
        <v>10.719441381102801</v>
      </c>
      <c r="G4581" s="78">
        <v>10.719441381102801</v>
      </c>
      <c r="H4581" s="81">
        <v>10.014712005872299</v>
      </c>
    </row>
    <row r="4582" spans="1:8" x14ac:dyDescent="0.3">
      <c r="A4582" s="74" t="str">
        <f t="shared" si="71"/>
        <v>广东46160</v>
      </c>
      <c r="B4582" s="75" t="s">
        <v>29</v>
      </c>
      <c r="C4582" s="45">
        <v>46160</v>
      </c>
      <c r="D4582" s="76">
        <v>2002.1254124843499</v>
      </c>
      <c r="E4582" s="77">
        <v>125</v>
      </c>
      <c r="F4582" s="78">
        <v>10.719441381102801</v>
      </c>
      <c r="G4582" s="78">
        <v>10.719441381102801</v>
      </c>
      <c r="H4582" s="81">
        <v>10.014712005872299</v>
      </c>
    </row>
    <row r="4583" spans="1:8" x14ac:dyDescent="0.3">
      <c r="A4583" s="74" t="str">
        <f t="shared" si="71"/>
        <v>广东46161</v>
      </c>
      <c r="B4583" s="75" t="s">
        <v>29</v>
      </c>
      <c r="C4583" s="45">
        <v>46161</v>
      </c>
      <c r="D4583" s="76">
        <v>2002.1254124843499</v>
      </c>
      <c r="E4583" s="77">
        <v>125</v>
      </c>
      <c r="F4583" s="78">
        <v>10.719441381102801</v>
      </c>
      <c r="G4583" s="78">
        <v>10.719441381102801</v>
      </c>
      <c r="H4583" s="81">
        <v>10.014712005872299</v>
      </c>
    </row>
    <row r="4584" spans="1:8" x14ac:dyDescent="0.3">
      <c r="A4584" s="74" t="str">
        <f t="shared" si="71"/>
        <v>广东46162</v>
      </c>
      <c r="B4584" s="75" t="s">
        <v>29</v>
      </c>
      <c r="C4584" s="45">
        <v>46162</v>
      </c>
      <c r="D4584" s="76">
        <v>2002.1254124843499</v>
      </c>
      <c r="E4584" s="77">
        <v>125</v>
      </c>
      <c r="F4584" s="78">
        <v>10.719441381102801</v>
      </c>
      <c r="G4584" s="78">
        <v>10.719441381102801</v>
      </c>
      <c r="H4584" s="81">
        <v>10.014712005872299</v>
      </c>
    </row>
    <row r="4585" spans="1:8" x14ac:dyDescent="0.3">
      <c r="A4585" s="74" t="str">
        <f t="shared" si="71"/>
        <v>广东46163</v>
      </c>
      <c r="B4585" s="75" t="s">
        <v>29</v>
      </c>
      <c r="C4585" s="45">
        <v>46163</v>
      </c>
      <c r="D4585" s="76">
        <v>2002.1254124843499</v>
      </c>
      <c r="E4585" s="77">
        <v>125</v>
      </c>
      <c r="F4585" s="78">
        <v>10.719441381102801</v>
      </c>
      <c r="G4585" s="78">
        <v>10.719441381102801</v>
      </c>
      <c r="H4585" s="81">
        <v>10.014712005872299</v>
      </c>
    </row>
    <row r="4586" spans="1:8" x14ac:dyDescent="0.3">
      <c r="A4586" s="74" t="str">
        <f t="shared" si="71"/>
        <v>广东46164</v>
      </c>
      <c r="B4586" s="75" t="s">
        <v>29</v>
      </c>
      <c r="C4586" s="45">
        <v>46164</v>
      </c>
      <c r="D4586" s="76">
        <v>2002.1254124843499</v>
      </c>
      <c r="E4586" s="77">
        <v>125</v>
      </c>
      <c r="F4586" s="78">
        <v>10.719441381102801</v>
      </c>
      <c r="G4586" s="78">
        <v>10.719441381102801</v>
      </c>
      <c r="H4586" s="81">
        <v>10.014712005872299</v>
      </c>
    </row>
    <row r="4587" spans="1:8" x14ac:dyDescent="0.3">
      <c r="A4587" s="74" t="str">
        <f t="shared" si="71"/>
        <v>广东46165</v>
      </c>
      <c r="B4587" s="75" t="s">
        <v>29</v>
      </c>
      <c r="C4587" s="45">
        <v>46165</v>
      </c>
      <c r="D4587" s="76">
        <v>2002.1254124843499</v>
      </c>
      <c r="E4587" s="77">
        <v>125</v>
      </c>
      <c r="F4587" s="78">
        <v>10.719441381102801</v>
      </c>
      <c r="G4587" s="78">
        <v>10.719441381102801</v>
      </c>
      <c r="H4587" s="81">
        <v>10.014712005872299</v>
      </c>
    </row>
    <row r="4588" spans="1:8" x14ac:dyDescent="0.3">
      <c r="A4588" s="74" t="str">
        <f t="shared" si="71"/>
        <v>广东46166</v>
      </c>
      <c r="B4588" s="75" t="s">
        <v>29</v>
      </c>
      <c r="C4588" s="45">
        <v>46166</v>
      </c>
      <c r="D4588" s="76">
        <v>2002.1254124843499</v>
      </c>
      <c r="E4588" s="77">
        <v>125</v>
      </c>
      <c r="F4588" s="78">
        <v>10.719441381102801</v>
      </c>
      <c r="G4588" s="78">
        <v>10.719441381102801</v>
      </c>
      <c r="H4588" s="81">
        <v>10.014712005872299</v>
      </c>
    </row>
    <row r="4589" spans="1:8" x14ac:dyDescent="0.3">
      <c r="A4589" s="74" t="str">
        <f t="shared" si="71"/>
        <v>广东46167</v>
      </c>
      <c r="B4589" s="75" t="s">
        <v>29</v>
      </c>
      <c r="C4589" s="45">
        <v>46167</v>
      </c>
      <c r="D4589" s="76">
        <v>2002.1254124843499</v>
      </c>
      <c r="E4589" s="77">
        <v>125</v>
      </c>
      <c r="F4589" s="78">
        <v>10.719441381102801</v>
      </c>
      <c r="G4589" s="78">
        <v>10.719441381102801</v>
      </c>
      <c r="H4589" s="81">
        <v>10.014712005872299</v>
      </c>
    </row>
    <row r="4590" spans="1:8" x14ac:dyDescent="0.3">
      <c r="A4590" s="74" t="str">
        <f t="shared" si="71"/>
        <v>广东46168</v>
      </c>
      <c r="B4590" s="75" t="s">
        <v>29</v>
      </c>
      <c r="C4590" s="45">
        <v>46168</v>
      </c>
      <c r="D4590" s="76">
        <v>2002.1254124843499</v>
      </c>
      <c r="E4590" s="77">
        <v>125</v>
      </c>
      <c r="F4590" s="78">
        <v>10.719441381102801</v>
      </c>
      <c r="G4590" s="78">
        <v>10.719441381102801</v>
      </c>
      <c r="H4590" s="81">
        <v>10.014712005872299</v>
      </c>
    </row>
    <row r="4591" spans="1:8" x14ac:dyDescent="0.3">
      <c r="A4591" s="74" t="str">
        <f t="shared" si="71"/>
        <v>广东46169</v>
      </c>
      <c r="B4591" s="75" t="s">
        <v>29</v>
      </c>
      <c r="C4591" s="45">
        <v>46169</v>
      </c>
      <c r="D4591" s="76">
        <v>2002.1254124843499</v>
      </c>
      <c r="E4591" s="77">
        <v>125</v>
      </c>
      <c r="F4591" s="78">
        <v>10.719441381102801</v>
      </c>
      <c r="G4591" s="78">
        <v>10.719441381102801</v>
      </c>
      <c r="H4591" s="81">
        <v>10.014712005872299</v>
      </c>
    </row>
    <row r="4592" spans="1:8" x14ac:dyDescent="0.3">
      <c r="A4592" s="74" t="str">
        <f t="shared" si="71"/>
        <v>广东46170</v>
      </c>
      <c r="B4592" s="75" t="s">
        <v>29</v>
      </c>
      <c r="C4592" s="45">
        <v>46170</v>
      </c>
      <c r="D4592" s="76">
        <v>2002.1254124843499</v>
      </c>
      <c r="E4592" s="77">
        <v>125</v>
      </c>
      <c r="F4592" s="78">
        <v>10.719441381102801</v>
      </c>
      <c r="G4592" s="78">
        <v>10.719441381102801</v>
      </c>
      <c r="H4592" s="81">
        <v>10.014712005872299</v>
      </c>
    </row>
    <row r="4593" spans="1:8" x14ac:dyDescent="0.3">
      <c r="A4593" s="74" t="str">
        <f t="shared" si="71"/>
        <v>广东46171</v>
      </c>
      <c r="B4593" s="75" t="s">
        <v>29</v>
      </c>
      <c r="C4593" s="45">
        <v>46171</v>
      </c>
      <c r="D4593" s="76">
        <v>2002.1254124843499</v>
      </c>
      <c r="E4593" s="77">
        <v>125</v>
      </c>
      <c r="F4593" s="78">
        <v>10.719441381102801</v>
      </c>
      <c r="G4593" s="78">
        <v>10.719441381102801</v>
      </c>
      <c r="H4593" s="81">
        <v>10.014712005872299</v>
      </c>
    </row>
    <row r="4594" spans="1:8" x14ac:dyDescent="0.3">
      <c r="A4594" s="74" t="str">
        <f t="shared" si="71"/>
        <v>广东46172</v>
      </c>
      <c r="B4594" s="75" t="s">
        <v>29</v>
      </c>
      <c r="C4594" s="45">
        <v>46172</v>
      </c>
      <c r="D4594" s="76">
        <v>2002.1254124843499</v>
      </c>
      <c r="E4594" s="77">
        <v>125</v>
      </c>
      <c r="F4594" s="78">
        <v>10.719441381102801</v>
      </c>
      <c r="G4594" s="78">
        <v>10.719441381102801</v>
      </c>
      <c r="H4594" s="81">
        <v>10.014712005872299</v>
      </c>
    </row>
    <row r="4595" spans="1:8" x14ac:dyDescent="0.3">
      <c r="A4595" s="74" t="str">
        <f t="shared" si="71"/>
        <v>广东46173</v>
      </c>
      <c r="B4595" s="75" t="s">
        <v>29</v>
      </c>
      <c r="C4595" s="45">
        <v>46173</v>
      </c>
      <c r="D4595" s="76">
        <v>2002.1254124843499</v>
      </c>
      <c r="E4595" s="77">
        <v>125</v>
      </c>
      <c r="F4595" s="78">
        <v>10.719441381102801</v>
      </c>
      <c r="G4595" s="78">
        <v>10.719441381102801</v>
      </c>
      <c r="H4595" s="81">
        <v>10.014712005872299</v>
      </c>
    </row>
    <row r="4596" spans="1:8" x14ac:dyDescent="0.3">
      <c r="A4596" s="74" t="str">
        <f t="shared" si="71"/>
        <v>广东46174</v>
      </c>
      <c r="B4596" s="75" t="s">
        <v>29</v>
      </c>
      <c r="C4596" s="45">
        <v>46174</v>
      </c>
      <c r="D4596" s="76">
        <v>1888.7628215284999</v>
      </c>
      <c r="E4596" s="77">
        <v>125</v>
      </c>
      <c r="F4596" s="78">
        <v>11.763374480221801</v>
      </c>
      <c r="G4596" s="78">
        <v>11.763374480221801</v>
      </c>
      <c r="H4596" s="81">
        <v>10.900924372632399</v>
      </c>
    </row>
    <row r="4597" spans="1:8" x14ac:dyDescent="0.3">
      <c r="A4597" s="74" t="str">
        <f t="shared" si="71"/>
        <v>广东46175</v>
      </c>
      <c r="B4597" s="75" t="s">
        <v>29</v>
      </c>
      <c r="C4597" s="45">
        <v>46175</v>
      </c>
      <c r="D4597" s="76">
        <v>1888.7628215284999</v>
      </c>
      <c r="E4597" s="77">
        <v>125</v>
      </c>
      <c r="F4597" s="78">
        <v>11.763374480221801</v>
      </c>
      <c r="G4597" s="78">
        <v>11.763374480221801</v>
      </c>
      <c r="H4597" s="81">
        <v>10.900924372632399</v>
      </c>
    </row>
    <row r="4598" spans="1:8" x14ac:dyDescent="0.3">
      <c r="A4598" s="74" t="str">
        <f t="shared" si="71"/>
        <v>广东46176</v>
      </c>
      <c r="B4598" s="75" t="s">
        <v>29</v>
      </c>
      <c r="C4598" s="45">
        <v>46176</v>
      </c>
      <c r="D4598" s="76">
        <v>1888.7628215284999</v>
      </c>
      <c r="E4598" s="77">
        <v>125</v>
      </c>
      <c r="F4598" s="78">
        <v>11.763374480221801</v>
      </c>
      <c r="G4598" s="78">
        <v>11.763374480221801</v>
      </c>
      <c r="H4598" s="81">
        <v>10.900924372632399</v>
      </c>
    </row>
    <row r="4599" spans="1:8" x14ac:dyDescent="0.3">
      <c r="A4599" s="74" t="str">
        <f t="shared" si="71"/>
        <v>广东46177</v>
      </c>
      <c r="B4599" s="75" t="s">
        <v>29</v>
      </c>
      <c r="C4599" s="45">
        <v>46177</v>
      </c>
      <c r="D4599" s="76">
        <v>1888.7628215284999</v>
      </c>
      <c r="E4599" s="77">
        <v>125</v>
      </c>
      <c r="F4599" s="78">
        <v>11.763374480221801</v>
      </c>
      <c r="G4599" s="78">
        <v>11.763374480221801</v>
      </c>
      <c r="H4599" s="81">
        <v>10.900924372632399</v>
      </c>
    </row>
    <row r="4600" spans="1:8" x14ac:dyDescent="0.3">
      <c r="A4600" s="74" t="str">
        <f t="shared" si="71"/>
        <v>广东46178</v>
      </c>
      <c r="B4600" s="75" t="s">
        <v>29</v>
      </c>
      <c r="C4600" s="45">
        <v>46178</v>
      </c>
      <c r="D4600" s="76">
        <v>1888.7628215284999</v>
      </c>
      <c r="E4600" s="77">
        <v>125</v>
      </c>
      <c r="F4600" s="78">
        <v>11.763374480221801</v>
      </c>
      <c r="G4600" s="78">
        <v>11.763374480221801</v>
      </c>
      <c r="H4600" s="81">
        <v>10.900924372632399</v>
      </c>
    </row>
    <row r="4601" spans="1:8" x14ac:dyDescent="0.3">
      <c r="A4601" s="74" t="str">
        <f t="shared" si="71"/>
        <v>广东46179</v>
      </c>
      <c r="B4601" s="75" t="s">
        <v>29</v>
      </c>
      <c r="C4601" s="45">
        <v>46179</v>
      </c>
      <c r="D4601" s="76">
        <v>1888.7628215284999</v>
      </c>
      <c r="E4601" s="77">
        <v>125</v>
      </c>
      <c r="F4601" s="78">
        <v>11.763374480221801</v>
      </c>
      <c r="G4601" s="78">
        <v>11.763374480221801</v>
      </c>
      <c r="H4601" s="81">
        <v>10.900924372632399</v>
      </c>
    </row>
    <row r="4602" spans="1:8" x14ac:dyDescent="0.3">
      <c r="A4602" s="74" t="str">
        <f t="shared" si="71"/>
        <v>广东46180</v>
      </c>
      <c r="B4602" s="75" t="s">
        <v>29</v>
      </c>
      <c r="C4602" s="45">
        <v>46180</v>
      </c>
      <c r="D4602" s="76">
        <v>1888.7628215284999</v>
      </c>
      <c r="E4602" s="77">
        <v>125</v>
      </c>
      <c r="F4602" s="78">
        <v>11.763374480221801</v>
      </c>
      <c r="G4602" s="78">
        <v>11.763374480221801</v>
      </c>
      <c r="H4602" s="81">
        <v>10.900924372632399</v>
      </c>
    </row>
    <row r="4603" spans="1:8" x14ac:dyDescent="0.3">
      <c r="A4603" s="74" t="str">
        <f t="shared" si="71"/>
        <v>广东46181</v>
      </c>
      <c r="B4603" s="75" t="s">
        <v>29</v>
      </c>
      <c r="C4603" s="45">
        <v>46181</v>
      </c>
      <c r="D4603" s="76">
        <v>1888.7628215284999</v>
      </c>
      <c r="E4603" s="77">
        <v>125</v>
      </c>
      <c r="F4603" s="78">
        <v>11.763374480221801</v>
      </c>
      <c r="G4603" s="78">
        <v>11.763374480221801</v>
      </c>
      <c r="H4603" s="81">
        <v>10.900924372632399</v>
      </c>
    </row>
    <row r="4604" spans="1:8" x14ac:dyDescent="0.3">
      <c r="A4604" s="74" t="str">
        <f t="shared" si="71"/>
        <v>广东46182</v>
      </c>
      <c r="B4604" s="75" t="s">
        <v>29</v>
      </c>
      <c r="C4604" s="45">
        <v>46182</v>
      </c>
      <c r="D4604" s="76">
        <v>1888.7628215284999</v>
      </c>
      <c r="E4604" s="77">
        <v>125</v>
      </c>
      <c r="F4604" s="78">
        <v>11.763374480221801</v>
      </c>
      <c r="G4604" s="78">
        <v>11.763374480221801</v>
      </c>
      <c r="H4604" s="81">
        <v>10.900924372632399</v>
      </c>
    </row>
    <row r="4605" spans="1:8" x14ac:dyDescent="0.3">
      <c r="A4605" s="74" t="str">
        <f t="shared" si="71"/>
        <v>广东46183</v>
      </c>
      <c r="B4605" s="75" t="s">
        <v>29</v>
      </c>
      <c r="C4605" s="45">
        <v>46183</v>
      </c>
      <c r="D4605" s="76">
        <v>1888.7628215284999</v>
      </c>
      <c r="E4605" s="77">
        <v>125</v>
      </c>
      <c r="F4605" s="78">
        <v>11.763374480221801</v>
      </c>
      <c r="G4605" s="78">
        <v>11.763374480221801</v>
      </c>
      <c r="H4605" s="81">
        <v>10.900924372632399</v>
      </c>
    </row>
    <row r="4606" spans="1:8" x14ac:dyDescent="0.3">
      <c r="A4606" s="74" t="str">
        <f t="shared" si="71"/>
        <v>广东46184</v>
      </c>
      <c r="B4606" s="75" t="s">
        <v>29</v>
      </c>
      <c r="C4606" s="45">
        <v>46184</v>
      </c>
      <c r="D4606" s="76">
        <v>1888.7628215284999</v>
      </c>
      <c r="E4606" s="77">
        <v>125</v>
      </c>
      <c r="F4606" s="78">
        <v>11.763374480221801</v>
      </c>
      <c r="G4606" s="78">
        <v>11.763374480221801</v>
      </c>
      <c r="H4606" s="81">
        <v>10.900924372632399</v>
      </c>
    </row>
    <row r="4607" spans="1:8" x14ac:dyDescent="0.3">
      <c r="A4607" s="74" t="str">
        <f t="shared" si="71"/>
        <v>广东46185</v>
      </c>
      <c r="B4607" s="75" t="s">
        <v>29</v>
      </c>
      <c r="C4607" s="45">
        <v>46185</v>
      </c>
      <c r="D4607" s="76">
        <v>1888.7628215284999</v>
      </c>
      <c r="E4607" s="77">
        <v>125</v>
      </c>
      <c r="F4607" s="78">
        <v>11.763374480221801</v>
      </c>
      <c r="G4607" s="78">
        <v>11.763374480221801</v>
      </c>
      <c r="H4607" s="81">
        <v>10.900924372632399</v>
      </c>
    </row>
    <row r="4608" spans="1:8" x14ac:dyDescent="0.3">
      <c r="A4608" s="74" t="str">
        <f t="shared" si="71"/>
        <v>广东46186</v>
      </c>
      <c r="B4608" s="75" t="s">
        <v>29</v>
      </c>
      <c r="C4608" s="45">
        <v>46186</v>
      </c>
      <c r="D4608" s="76">
        <v>1888.7628215284999</v>
      </c>
      <c r="E4608" s="77">
        <v>125</v>
      </c>
      <c r="F4608" s="78">
        <v>11.763374480221801</v>
      </c>
      <c r="G4608" s="78">
        <v>11.763374480221801</v>
      </c>
      <c r="H4608" s="81">
        <v>10.900924372632399</v>
      </c>
    </row>
    <row r="4609" spans="1:8" x14ac:dyDescent="0.3">
      <c r="A4609" s="74" t="str">
        <f t="shared" si="71"/>
        <v>广东46187</v>
      </c>
      <c r="B4609" s="75" t="s">
        <v>29</v>
      </c>
      <c r="C4609" s="45">
        <v>46187</v>
      </c>
      <c r="D4609" s="76">
        <v>1888.7628215284999</v>
      </c>
      <c r="E4609" s="77">
        <v>125</v>
      </c>
      <c r="F4609" s="78">
        <v>11.763374480221801</v>
      </c>
      <c r="G4609" s="78">
        <v>11.763374480221801</v>
      </c>
      <c r="H4609" s="81">
        <v>10.900924372632399</v>
      </c>
    </row>
    <row r="4610" spans="1:8" x14ac:dyDescent="0.3">
      <c r="A4610" s="74" t="str">
        <f t="shared" si="71"/>
        <v>广东46188</v>
      </c>
      <c r="B4610" s="75" t="s">
        <v>29</v>
      </c>
      <c r="C4610" s="45">
        <v>46188</v>
      </c>
      <c r="D4610" s="76">
        <v>1888.7628215284999</v>
      </c>
      <c r="E4610" s="77">
        <v>125</v>
      </c>
      <c r="F4610" s="78">
        <v>11.763374480221801</v>
      </c>
      <c r="G4610" s="78">
        <v>11.763374480221801</v>
      </c>
      <c r="H4610" s="81">
        <v>10.900924372632399</v>
      </c>
    </row>
    <row r="4611" spans="1:8" x14ac:dyDescent="0.3">
      <c r="A4611" s="74" t="str">
        <f t="shared" ref="A4611:A4674" si="72">B4611&amp;C4611</f>
        <v>广东46189</v>
      </c>
      <c r="B4611" s="75" t="s">
        <v>29</v>
      </c>
      <c r="C4611" s="45">
        <v>46189</v>
      </c>
      <c r="D4611" s="76">
        <v>1888.7628215284999</v>
      </c>
      <c r="E4611" s="77">
        <v>125</v>
      </c>
      <c r="F4611" s="78">
        <v>11.763374480221801</v>
      </c>
      <c r="G4611" s="78">
        <v>11.763374480221801</v>
      </c>
      <c r="H4611" s="81">
        <v>10.900924372632399</v>
      </c>
    </row>
    <row r="4612" spans="1:8" x14ac:dyDescent="0.3">
      <c r="A4612" s="74" t="str">
        <f t="shared" si="72"/>
        <v>广东46190</v>
      </c>
      <c r="B4612" s="75" t="s">
        <v>29</v>
      </c>
      <c r="C4612" s="45">
        <v>46190</v>
      </c>
      <c r="D4612" s="76">
        <v>1888.7628215284999</v>
      </c>
      <c r="E4612" s="77">
        <v>125</v>
      </c>
      <c r="F4612" s="78">
        <v>11.763374480221801</v>
      </c>
      <c r="G4612" s="78">
        <v>11.763374480221801</v>
      </c>
      <c r="H4612" s="81">
        <v>10.900924372632399</v>
      </c>
    </row>
    <row r="4613" spans="1:8" x14ac:dyDescent="0.3">
      <c r="A4613" s="74" t="str">
        <f t="shared" si="72"/>
        <v>广东46191</v>
      </c>
      <c r="B4613" s="75" t="s">
        <v>29</v>
      </c>
      <c r="C4613" s="45">
        <v>46191</v>
      </c>
      <c r="D4613" s="76">
        <v>1888.7628215284999</v>
      </c>
      <c r="E4613" s="77">
        <v>125</v>
      </c>
      <c r="F4613" s="78">
        <v>11.763374480221801</v>
      </c>
      <c r="G4613" s="78">
        <v>11.763374480221801</v>
      </c>
      <c r="H4613" s="81">
        <v>10.900924372632399</v>
      </c>
    </row>
    <row r="4614" spans="1:8" x14ac:dyDescent="0.3">
      <c r="A4614" s="74" t="str">
        <f t="shared" si="72"/>
        <v>广东46192</v>
      </c>
      <c r="B4614" s="75" t="s">
        <v>29</v>
      </c>
      <c r="C4614" s="45">
        <v>46192</v>
      </c>
      <c r="D4614" s="76">
        <v>1888.7628215284999</v>
      </c>
      <c r="E4614" s="77">
        <v>125</v>
      </c>
      <c r="F4614" s="78">
        <v>11.763374480221801</v>
      </c>
      <c r="G4614" s="78">
        <v>11.763374480221801</v>
      </c>
      <c r="H4614" s="81">
        <v>10.900924372632399</v>
      </c>
    </row>
    <row r="4615" spans="1:8" x14ac:dyDescent="0.3">
      <c r="A4615" s="74" t="str">
        <f t="shared" si="72"/>
        <v>广东46193</v>
      </c>
      <c r="B4615" s="75" t="s">
        <v>29</v>
      </c>
      <c r="C4615" s="45">
        <v>46193</v>
      </c>
      <c r="D4615" s="76">
        <v>1888.7628215284999</v>
      </c>
      <c r="E4615" s="77">
        <v>125</v>
      </c>
      <c r="F4615" s="78">
        <v>11.763374480221801</v>
      </c>
      <c r="G4615" s="78">
        <v>11.763374480221801</v>
      </c>
      <c r="H4615" s="81">
        <v>10.900924372632399</v>
      </c>
    </row>
    <row r="4616" spans="1:8" x14ac:dyDescent="0.3">
      <c r="A4616" s="74" t="str">
        <f t="shared" si="72"/>
        <v>广东46194</v>
      </c>
      <c r="B4616" s="75" t="s">
        <v>29</v>
      </c>
      <c r="C4616" s="45">
        <v>46194</v>
      </c>
      <c r="D4616" s="76">
        <v>1888.7628215284999</v>
      </c>
      <c r="E4616" s="77">
        <v>125</v>
      </c>
      <c r="F4616" s="78">
        <v>11.763374480221801</v>
      </c>
      <c r="G4616" s="78">
        <v>11.763374480221801</v>
      </c>
      <c r="H4616" s="81">
        <v>10.900924372632399</v>
      </c>
    </row>
    <row r="4617" spans="1:8" x14ac:dyDescent="0.3">
      <c r="A4617" s="74" t="str">
        <f t="shared" si="72"/>
        <v>广东46195</v>
      </c>
      <c r="B4617" s="75" t="s">
        <v>29</v>
      </c>
      <c r="C4617" s="45">
        <v>46195</v>
      </c>
      <c r="D4617" s="76">
        <v>1888.7628215284999</v>
      </c>
      <c r="E4617" s="77">
        <v>125</v>
      </c>
      <c r="F4617" s="78">
        <v>11.763374480221801</v>
      </c>
      <c r="G4617" s="78">
        <v>11.763374480221801</v>
      </c>
      <c r="H4617" s="81">
        <v>10.900924372632399</v>
      </c>
    </row>
    <row r="4618" spans="1:8" x14ac:dyDescent="0.3">
      <c r="A4618" s="74" t="str">
        <f t="shared" si="72"/>
        <v>广东46196</v>
      </c>
      <c r="B4618" s="75" t="s">
        <v>29</v>
      </c>
      <c r="C4618" s="45">
        <v>46196</v>
      </c>
      <c r="D4618" s="76">
        <v>1888.7628215284999</v>
      </c>
      <c r="E4618" s="77">
        <v>125</v>
      </c>
      <c r="F4618" s="78">
        <v>11.763374480221801</v>
      </c>
      <c r="G4618" s="78">
        <v>11.763374480221801</v>
      </c>
      <c r="H4618" s="81">
        <v>10.900924372632399</v>
      </c>
    </row>
    <row r="4619" spans="1:8" x14ac:dyDescent="0.3">
      <c r="A4619" s="74" t="str">
        <f t="shared" si="72"/>
        <v>广东46197</v>
      </c>
      <c r="B4619" s="75" t="s">
        <v>29</v>
      </c>
      <c r="C4619" s="45">
        <v>46197</v>
      </c>
      <c r="D4619" s="76">
        <v>1888.7628215284999</v>
      </c>
      <c r="E4619" s="77">
        <v>125</v>
      </c>
      <c r="F4619" s="78">
        <v>11.763374480221801</v>
      </c>
      <c r="G4619" s="78">
        <v>11.763374480221801</v>
      </c>
      <c r="H4619" s="81">
        <v>10.900924372632399</v>
      </c>
    </row>
    <row r="4620" spans="1:8" x14ac:dyDescent="0.3">
      <c r="A4620" s="74" t="str">
        <f t="shared" si="72"/>
        <v>广东46198</v>
      </c>
      <c r="B4620" s="75" t="s">
        <v>29</v>
      </c>
      <c r="C4620" s="45">
        <v>46198</v>
      </c>
      <c r="D4620" s="76">
        <v>1888.7628215284999</v>
      </c>
      <c r="E4620" s="77">
        <v>125</v>
      </c>
      <c r="F4620" s="78">
        <v>11.763374480221801</v>
      </c>
      <c r="G4620" s="78">
        <v>11.763374480221801</v>
      </c>
      <c r="H4620" s="81">
        <v>10.900924372632399</v>
      </c>
    </row>
    <row r="4621" spans="1:8" x14ac:dyDescent="0.3">
      <c r="A4621" s="74" t="str">
        <f t="shared" si="72"/>
        <v>广东46199</v>
      </c>
      <c r="B4621" s="75" t="s">
        <v>29</v>
      </c>
      <c r="C4621" s="45">
        <v>46199</v>
      </c>
      <c r="D4621" s="76">
        <v>1888.7628215284999</v>
      </c>
      <c r="E4621" s="77">
        <v>125</v>
      </c>
      <c r="F4621" s="78">
        <v>11.763374480221801</v>
      </c>
      <c r="G4621" s="78">
        <v>11.763374480221801</v>
      </c>
      <c r="H4621" s="81">
        <v>10.900924372632399</v>
      </c>
    </row>
    <row r="4622" spans="1:8" x14ac:dyDescent="0.3">
      <c r="A4622" s="74" t="str">
        <f t="shared" si="72"/>
        <v>广东46200</v>
      </c>
      <c r="B4622" s="75" t="s">
        <v>29</v>
      </c>
      <c r="C4622" s="45">
        <v>46200</v>
      </c>
      <c r="D4622" s="76">
        <v>1888.7628215284999</v>
      </c>
      <c r="E4622" s="77">
        <v>125</v>
      </c>
      <c r="F4622" s="78">
        <v>11.763374480221801</v>
      </c>
      <c r="G4622" s="78">
        <v>11.763374480221801</v>
      </c>
      <c r="H4622" s="81">
        <v>10.900924372632399</v>
      </c>
    </row>
    <row r="4623" spans="1:8" x14ac:dyDescent="0.3">
      <c r="A4623" s="74" t="str">
        <f t="shared" si="72"/>
        <v>广东46201</v>
      </c>
      <c r="B4623" s="75" t="s">
        <v>29</v>
      </c>
      <c r="C4623" s="45">
        <v>46201</v>
      </c>
      <c r="D4623" s="76">
        <v>1888.7628215284999</v>
      </c>
      <c r="E4623" s="77">
        <v>125</v>
      </c>
      <c r="F4623" s="78">
        <v>11.763374480221801</v>
      </c>
      <c r="G4623" s="78">
        <v>11.763374480221801</v>
      </c>
      <c r="H4623" s="81">
        <v>10.900924372632399</v>
      </c>
    </row>
    <row r="4624" spans="1:8" x14ac:dyDescent="0.3">
      <c r="A4624" s="74" t="str">
        <f t="shared" si="72"/>
        <v>广东46202</v>
      </c>
      <c r="B4624" s="75" t="s">
        <v>29</v>
      </c>
      <c r="C4624" s="45">
        <v>46202</v>
      </c>
      <c r="D4624" s="76">
        <v>1888.7628215284999</v>
      </c>
      <c r="E4624" s="77">
        <v>125</v>
      </c>
      <c r="F4624" s="78">
        <v>11.763374480221801</v>
      </c>
      <c r="G4624" s="78">
        <v>11.763374480221801</v>
      </c>
      <c r="H4624" s="81">
        <v>10.900924372632399</v>
      </c>
    </row>
    <row r="4625" spans="1:8" x14ac:dyDescent="0.3">
      <c r="A4625" s="74" t="str">
        <f t="shared" si="72"/>
        <v>广东46203</v>
      </c>
      <c r="B4625" s="75" t="s">
        <v>29</v>
      </c>
      <c r="C4625" s="45">
        <v>46203</v>
      </c>
      <c r="D4625" s="76">
        <v>1888.7628215284999</v>
      </c>
      <c r="E4625" s="77">
        <v>125</v>
      </c>
      <c r="F4625" s="78">
        <v>11.763374480221801</v>
      </c>
      <c r="G4625" s="78">
        <v>11.763374480221801</v>
      </c>
      <c r="H4625" s="81">
        <v>10.900924372632399</v>
      </c>
    </row>
    <row r="4626" spans="1:8" x14ac:dyDescent="0.3">
      <c r="A4626" s="74" t="str">
        <f t="shared" si="72"/>
        <v>广东46204</v>
      </c>
      <c r="B4626" s="75" t="s">
        <v>29</v>
      </c>
      <c r="C4626" s="45">
        <v>46204</v>
      </c>
      <c r="D4626" s="76">
        <v>1862.18817459347</v>
      </c>
      <c r="E4626" s="77">
        <v>125</v>
      </c>
      <c r="F4626" s="78">
        <v>12.2562985192905</v>
      </c>
      <c r="G4626" s="78">
        <v>12.2562985192905</v>
      </c>
      <c r="H4626" s="81">
        <v>11.7871367393925</v>
      </c>
    </row>
    <row r="4627" spans="1:8" x14ac:dyDescent="0.3">
      <c r="A4627" s="74" t="str">
        <f t="shared" si="72"/>
        <v>广东46205</v>
      </c>
      <c r="B4627" s="75" t="s">
        <v>29</v>
      </c>
      <c r="C4627" s="45">
        <v>46205</v>
      </c>
      <c r="D4627" s="76">
        <v>1862.18817459347</v>
      </c>
      <c r="E4627" s="77">
        <v>125</v>
      </c>
      <c r="F4627" s="78">
        <v>12.2562985192905</v>
      </c>
      <c r="G4627" s="78">
        <v>12.2562985192905</v>
      </c>
      <c r="H4627" s="81">
        <v>11.7871367393925</v>
      </c>
    </row>
    <row r="4628" spans="1:8" x14ac:dyDescent="0.3">
      <c r="A4628" s="74" t="str">
        <f t="shared" si="72"/>
        <v>广东46206</v>
      </c>
      <c r="B4628" s="75" t="s">
        <v>29</v>
      </c>
      <c r="C4628" s="45">
        <v>46206</v>
      </c>
      <c r="D4628" s="76">
        <v>1862.18817459347</v>
      </c>
      <c r="E4628" s="77">
        <v>125</v>
      </c>
      <c r="F4628" s="78">
        <v>12.2562985192905</v>
      </c>
      <c r="G4628" s="78">
        <v>12.2562985192905</v>
      </c>
      <c r="H4628" s="81">
        <v>11.7871367393925</v>
      </c>
    </row>
    <row r="4629" spans="1:8" x14ac:dyDescent="0.3">
      <c r="A4629" s="74" t="str">
        <f t="shared" si="72"/>
        <v>广东46207</v>
      </c>
      <c r="B4629" s="75" t="s">
        <v>29</v>
      </c>
      <c r="C4629" s="45">
        <v>46207</v>
      </c>
      <c r="D4629" s="76">
        <v>1862.18817459347</v>
      </c>
      <c r="E4629" s="77">
        <v>125</v>
      </c>
      <c r="F4629" s="78">
        <v>12.2562985192905</v>
      </c>
      <c r="G4629" s="78">
        <v>12.2562985192905</v>
      </c>
      <c r="H4629" s="81">
        <v>11.7871367393925</v>
      </c>
    </row>
    <row r="4630" spans="1:8" x14ac:dyDescent="0.3">
      <c r="A4630" s="74" t="str">
        <f t="shared" si="72"/>
        <v>广东46208</v>
      </c>
      <c r="B4630" s="75" t="s">
        <v>29</v>
      </c>
      <c r="C4630" s="45">
        <v>46208</v>
      </c>
      <c r="D4630" s="76">
        <v>1862.18817459347</v>
      </c>
      <c r="E4630" s="77">
        <v>125</v>
      </c>
      <c r="F4630" s="78">
        <v>12.2562985192905</v>
      </c>
      <c r="G4630" s="78">
        <v>12.2562985192905</v>
      </c>
      <c r="H4630" s="81">
        <v>11.7871367393925</v>
      </c>
    </row>
    <row r="4631" spans="1:8" x14ac:dyDescent="0.3">
      <c r="A4631" s="74" t="str">
        <f t="shared" si="72"/>
        <v>广东46209</v>
      </c>
      <c r="B4631" s="75" t="s">
        <v>29</v>
      </c>
      <c r="C4631" s="45">
        <v>46209</v>
      </c>
      <c r="D4631" s="76">
        <v>1862.18817459347</v>
      </c>
      <c r="E4631" s="77">
        <v>125</v>
      </c>
      <c r="F4631" s="78">
        <v>12.2562985192905</v>
      </c>
      <c r="G4631" s="78">
        <v>12.2562985192905</v>
      </c>
      <c r="H4631" s="81">
        <v>11.7871367393925</v>
      </c>
    </row>
    <row r="4632" spans="1:8" x14ac:dyDescent="0.3">
      <c r="A4632" s="74" t="str">
        <f t="shared" si="72"/>
        <v>广东46210</v>
      </c>
      <c r="B4632" s="75" t="s">
        <v>29</v>
      </c>
      <c r="C4632" s="45">
        <v>46210</v>
      </c>
      <c r="D4632" s="76">
        <v>1862.18817459347</v>
      </c>
      <c r="E4632" s="77">
        <v>125</v>
      </c>
      <c r="F4632" s="78">
        <v>12.2562985192905</v>
      </c>
      <c r="G4632" s="78">
        <v>12.2562985192905</v>
      </c>
      <c r="H4632" s="81">
        <v>11.7871367393925</v>
      </c>
    </row>
    <row r="4633" spans="1:8" x14ac:dyDescent="0.3">
      <c r="A4633" s="74" t="str">
        <f t="shared" si="72"/>
        <v>广东46211</v>
      </c>
      <c r="B4633" s="75" t="s">
        <v>29</v>
      </c>
      <c r="C4633" s="45">
        <v>46211</v>
      </c>
      <c r="D4633" s="76">
        <v>1862.18817459347</v>
      </c>
      <c r="E4633" s="77">
        <v>125</v>
      </c>
      <c r="F4633" s="78">
        <v>12.2562985192905</v>
      </c>
      <c r="G4633" s="78">
        <v>12.2562985192905</v>
      </c>
      <c r="H4633" s="81">
        <v>11.7871367393925</v>
      </c>
    </row>
    <row r="4634" spans="1:8" x14ac:dyDescent="0.3">
      <c r="A4634" s="74" t="str">
        <f t="shared" si="72"/>
        <v>广东46212</v>
      </c>
      <c r="B4634" s="75" t="s">
        <v>29</v>
      </c>
      <c r="C4634" s="45">
        <v>46212</v>
      </c>
      <c r="D4634" s="76">
        <v>1862.18817459347</v>
      </c>
      <c r="E4634" s="77">
        <v>125</v>
      </c>
      <c r="F4634" s="78">
        <v>12.2562985192905</v>
      </c>
      <c r="G4634" s="78">
        <v>12.2562985192905</v>
      </c>
      <c r="H4634" s="81">
        <v>11.7871367393925</v>
      </c>
    </row>
    <row r="4635" spans="1:8" x14ac:dyDescent="0.3">
      <c r="A4635" s="74" t="str">
        <f t="shared" si="72"/>
        <v>广东46213</v>
      </c>
      <c r="B4635" s="75" t="s">
        <v>29</v>
      </c>
      <c r="C4635" s="45">
        <v>46213</v>
      </c>
      <c r="D4635" s="76">
        <v>1862.18817459347</v>
      </c>
      <c r="E4635" s="77">
        <v>125</v>
      </c>
      <c r="F4635" s="78">
        <v>12.2562985192905</v>
      </c>
      <c r="G4635" s="78">
        <v>12.2562985192905</v>
      </c>
      <c r="H4635" s="81">
        <v>11.7871367393925</v>
      </c>
    </row>
    <row r="4636" spans="1:8" x14ac:dyDescent="0.3">
      <c r="A4636" s="74" t="str">
        <f t="shared" si="72"/>
        <v>广东46214</v>
      </c>
      <c r="B4636" s="75" t="s">
        <v>29</v>
      </c>
      <c r="C4636" s="45">
        <v>46214</v>
      </c>
      <c r="D4636" s="76">
        <v>1862.18817459347</v>
      </c>
      <c r="E4636" s="77">
        <v>125</v>
      </c>
      <c r="F4636" s="78">
        <v>12.2562985192905</v>
      </c>
      <c r="G4636" s="78">
        <v>12.2562985192905</v>
      </c>
      <c r="H4636" s="81">
        <v>11.7871367393925</v>
      </c>
    </row>
    <row r="4637" spans="1:8" x14ac:dyDescent="0.3">
      <c r="A4637" s="74" t="str">
        <f t="shared" si="72"/>
        <v>广东46215</v>
      </c>
      <c r="B4637" s="75" t="s">
        <v>29</v>
      </c>
      <c r="C4637" s="45">
        <v>46215</v>
      </c>
      <c r="D4637" s="76">
        <v>1862.18817459347</v>
      </c>
      <c r="E4637" s="77">
        <v>125</v>
      </c>
      <c r="F4637" s="78">
        <v>12.2562985192905</v>
      </c>
      <c r="G4637" s="78">
        <v>12.2562985192905</v>
      </c>
      <c r="H4637" s="81">
        <v>11.7871367393925</v>
      </c>
    </row>
    <row r="4638" spans="1:8" x14ac:dyDescent="0.3">
      <c r="A4638" s="74" t="str">
        <f t="shared" si="72"/>
        <v>广东46216</v>
      </c>
      <c r="B4638" s="75" t="s">
        <v>29</v>
      </c>
      <c r="C4638" s="45">
        <v>46216</v>
      </c>
      <c r="D4638" s="76">
        <v>1862.18817459347</v>
      </c>
      <c r="E4638" s="77">
        <v>125</v>
      </c>
      <c r="F4638" s="78">
        <v>12.2562985192905</v>
      </c>
      <c r="G4638" s="78">
        <v>12.2562985192905</v>
      </c>
      <c r="H4638" s="81">
        <v>11.7871367393925</v>
      </c>
    </row>
    <row r="4639" spans="1:8" x14ac:dyDescent="0.3">
      <c r="A4639" s="74" t="str">
        <f t="shared" si="72"/>
        <v>广东46217</v>
      </c>
      <c r="B4639" s="75" t="s">
        <v>29</v>
      </c>
      <c r="C4639" s="45">
        <v>46217</v>
      </c>
      <c r="D4639" s="76">
        <v>1862.18817459347</v>
      </c>
      <c r="E4639" s="77">
        <v>125</v>
      </c>
      <c r="F4639" s="78">
        <v>12.2562985192905</v>
      </c>
      <c r="G4639" s="78">
        <v>12.2562985192905</v>
      </c>
      <c r="H4639" s="81">
        <v>11.7871367393925</v>
      </c>
    </row>
    <row r="4640" spans="1:8" x14ac:dyDescent="0.3">
      <c r="A4640" s="74" t="str">
        <f t="shared" si="72"/>
        <v>广东46218</v>
      </c>
      <c r="B4640" s="75" t="s">
        <v>29</v>
      </c>
      <c r="C4640" s="45">
        <v>46218</v>
      </c>
      <c r="D4640" s="76">
        <v>1862.18817459347</v>
      </c>
      <c r="E4640" s="77">
        <v>125</v>
      </c>
      <c r="F4640" s="78">
        <v>12.2562985192905</v>
      </c>
      <c r="G4640" s="78">
        <v>12.2562985192905</v>
      </c>
      <c r="H4640" s="81">
        <v>11.7871367393925</v>
      </c>
    </row>
    <row r="4641" spans="1:8" x14ac:dyDescent="0.3">
      <c r="A4641" s="74" t="str">
        <f t="shared" si="72"/>
        <v>广东46219</v>
      </c>
      <c r="B4641" s="75" t="s">
        <v>29</v>
      </c>
      <c r="C4641" s="45">
        <v>46219</v>
      </c>
      <c r="D4641" s="76">
        <v>1862.18817459347</v>
      </c>
      <c r="E4641" s="77">
        <v>125</v>
      </c>
      <c r="F4641" s="78">
        <v>12.2562985192905</v>
      </c>
      <c r="G4641" s="78">
        <v>12.2562985192905</v>
      </c>
      <c r="H4641" s="81">
        <v>11.7871367393925</v>
      </c>
    </row>
    <row r="4642" spans="1:8" x14ac:dyDescent="0.3">
      <c r="A4642" s="74" t="str">
        <f t="shared" si="72"/>
        <v>广东46220</v>
      </c>
      <c r="B4642" s="75" t="s">
        <v>29</v>
      </c>
      <c r="C4642" s="45">
        <v>46220</v>
      </c>
      <c r="D4642" s="76">
        <v>1862.18817459347</v>
      </c>
      <c r="E4642" s="77">
        <v>125</v>
      </c>
      <c r="F4642" s="78">
        <v>12.2562985192905</v>
      </c>
      <c r="G4642" s="78">
        <v>12.2562985192905</v>
      </c>
      <c r="H4642" s="81">
        <v>11.7871367393925</v>
      </c>
    </row>
    <row r="4643" spans="1:8" x14ac:dyDescent="0.3">
      <c r="A4643" s="74" t="str">
        <f t="shared" si="72"/>
        <v>广东46221</v>
      </c>
      <c r="B4643" s="75" t="s">
        <v>29</v>
      </c>
      <c r="C4643" s="45">
        <v>46221</v>
      </c>
      <c r="D4643" s="76">
        <v>1862.18817459347</v>
      </c>
      <c r="E4643" s="77">
        <v>125</v>
      </c>
      <c r="F4643" s="78">
        <v>12.2562985192905</v>
      </c>
      <c r="G4643" s="78">
        <v>12.2562985192905</v>
      </c>
      <c r="H4643" s="81">
        <v>11.7871367393925</v>
      </c>
    </row>
    <row r="4644" spans="1:8" x14ac:dyDescent="0.3">
      <c r="A4644" s="74" t="str">
        <f t="shared" si="72"/>
        <v>广东46222</v>
      </c>
      <c r="B4644" s="75" t="s">
        <v>29</v>
      </c>
      <c r="C4644" s="45">
        <v>46222</v>
      </c>
      <c r="D4644" s="76">
        <v>1862.18817459347</v>
      </c>
      <c r="E4644" s="77">
        <v>125</v>
      </c>
      <c r="F4644" s="78">
        <v>12.2562985192905</v>
      </c>
      <c r="G4644" s="78">
        <v>12.2562985192905</v>
      </c>
      <c r="H4644" s="81">
        <v>11.7871367393925</v>
      </c>
    </row>
    <row r="4645" spans="1:8" x14ac:dyDescent="0.3">
      <c r="A4645" s="74" t="str">
        <f t="shared" si="72"/>
        <v>广东46223</v>
      </c>
      <c r="B4645" s="75" t="s">
        <v>29</v>
      </c>
      <c r="C4645" s="45">
        <v>46223</v>
      </c>
      <c r="D4645" s="76">
        <v>1862.18817459347</v>
      </c>
      <c r="E4645" s="77">
        <v>125</v>
      </c>
      <c r="F4645" s="78">
        <v>12.2562985192905</v>
      </c>
      <c r="G4645" s="78">
        <v>12.2562985192905</v>
      </c>
      <c r="H4645" s="81">
        <v>11.7871367393925</v>
      </c>
    </row>
    <row r="4646" spans="1:8" x14ac:dyDescent="0.3">
      <c r="A4646" s="74" t="str">
        <f t="shared" si="72"/>
        <v>广东46224</v>
      </c>
      <c r="B4646" s="75" t="s">
        <v>29</v>
      </c>
      <c r="C4646" s="45">
        <v>46224</v>
      </c>
      <c r="D4646" s="76">
        <v>1862.18817459347</v>
      </c>
      <c r="E4646" s="77">
        <v>125</v>
      </c>
      <c r="F4646" s="78">
        <v>12.2562985192905</v>
      </c>
      <c r="G4646" s="78">
        <v>12.2562985192905</v>
      </c>
      <c r="H4646" s="81">
        <v>11.7871367393925</v>
      </c>
    </row>
    <row r="4647" spans="1:8" x14ac:dyDescent="0.3">
      <c r="A4647" s="74" t="str">
        <f t="shared" si="72"/>
        <v>广东46225</v>
      </c>
      <c r="B4647" s="75" t="s">
        <v>29</v>
      </c>
      <c r="C4647" s="45">
        <v>46225</v>
      </c>
      <c r="D4647" s="76">
        <v>1862.18817459347</v>
      </c>
      <c r="E4647" s="77">
        <v>125</v>
      </c>
      <c r="F4647" s="78">
        <v>12.2562985192905</v>
      </c>
      <c r="G4647" s="78">
        <v>12.2562985192905</v>
      </c>
      <c r="H4647" s="81">
        <v>11.7871367393925</v>
      </c>
    </row>
    <row r="4648" spans="1:8" x14ac:dyDescent="0.3">
      <c r="A4648" s="74" t="str">
        <f t="shared" si="72"/>
        <v>广东46226</v>
      </c>
      <c r="B4648" s="75" t="s">
        <v>29</v>
      </c>
      <c r="C4648" s="45">
        <v>46226</v>
      </c>
      <c r="D4648" s="76">
        <v>1862.18817459347</v>
      </c>
      <c r="E4648" s="77">
        <v>125</v>
      </c>
      <c r="F4648" s="78">
        <v>12.2562985192905</v>
      </c>
      <c r="G4648" s="78">
        <v>12.2562985192905</v>
      </c>
      <c r="H4648" s="81">
        <v>11.7871367393925</v>
      </c>
    </row>
    <row r="4649" spans="1:8" x14ac:dyDescent="0.3">
      <c r="A4649" s="74" t="str">
        <f t="shared" si="72"/>
        <v>广东46227</v>
      </c>
      <c r="B4649" s="75" t="s">
        <v>29</v>
      </c>
      <c r="C4649" s="45">
        <v>46227</v>
      </c>
      <c r="D4649" s="76">
        <v>1862.18817459347</v>
      </c>
      <c r="E4649" s="77">
        <v>125</v>
      </c>
      <c r="F4649" s="78">
        <v>12.2562985192905</v>
      </c>
      <c r="G4649" s="78">
        <v>12.2562985192905</v>
      </c>
      <c r="H4649" s="81">
        <v>11.7871367393925</v>
      </c>
    </row>
    <row r="4650" spans="1:8" x14ac:dyDescent="0.3">
      <c r="A4650" s="74" t="str">
        <f t="shared" si="72"/>
        <v>广东46228</v>
      </c>
      <c r="B4650" s="75" t="s">
        <v>29</v>
      </c>
      <c r="C4650" s="45">
        <v>46228</v>
      </c>
      <c r="D4650" s="76">
        <v>1862.18817459347</v>
      </c>
      <c r="E4650" s="77">
        <v>125</v>
      </c>
      <c r="F4650" s="78">
        <v>12.2562985192905</v>
      </c>
      <c r="G4650" s="78">
        <v>12.2562985192905</v>
      </c>
      <c r="H4650" s="81">
        <v>11.7871367393925</v>
      </c>
    </row>
    <row r="4651" spans="1:8" x14ac:dyDescent="0.3">
      <c r="A4651" s="74" t="str">
        <f t="shared" si="72"/>
        <v>广东46229</v>
      </c>
      <c r="B4651" s="75" t="s">
        <v>29</v>
      </c>
      <c r="C4651" s="45">
        <v>46229</v>
      </c>
      <c r="D4651" s="76">
        <v>1862.18817459347</v>
      </c>
      <c r="E4651" s="77">
        <v>125</v>
      </c>
      <c r="F4651" s="78">
        <v>12.2562985192905</v>
      </c>
      <c r="G4651" s="78">
        <v>12.2562985192905</v>
      </c>
      <c r="H4651" s="81">
        <v>11.7871367393925</v>
      </c>
    </row>
    <row r="4652" spans="1:8" x14ac:dyDescent="0.3">
      <c r="A4652" s="74" t="str">
        <f t="shared" si="72"/>
        <v>广东46230</v>
      </c>
      <c r="B4652" s="75" t="s">
        <v>29</v>
      </c>
      <c r="C4652" s="45">
        <v>46230</v>
      </c>
      <c r="D4652" s="76">
        <v>1862.18817459347</v>
      </c>
      <c r="E4652" s="77">
        <v>125</v>
      </c>
      <c r="F4652" s="78">
        <v>12.2562985192905</v>
      </c>
      <c r="G4652" s="78">
        <v>12.2562985192905</v>
      </c>
      <c r="H4652" s="81">
        <v>11.7871367393925</v>
      </c>
    </row>
    <row r="4653" spans="1:8" x14ac:dyDescent="0.3">
      <c r="A4653" s="74" t="str">
        <f t="shared" si="72"/>
        <v>广东46231</v>
      </c>
      <c r="B4653" s="75" t="s">
        <v>29</v>
      </c>
      <c r="C4653" s="45">
        <v>46231</v>
      </c>
      <c r="D4653" s="76">
        <v>1862.18817459347</v>
      </c>
      <c r="E4653" s="77">
        <v>125</v>
      </c>
      <c r="F4653" s="78">
        <v>12.2562985192905</v>
      </c>
      <c r="G4653" s="78">
        <v>12.2562985192905</v>
      </c>
      <c r="H4653" s="81">
        <v>11.7871367393925</v>
      </c>
    </row>
    <row r="4654" spans="1:8" x14ac:dyDescent="0.3">
      <c r="A4654" s="74" t="str">
        <f t="shared" si="72"/>
        <v>广东46232</v>
      </c>
      <c r="B4654" s="75" t="s">
        <v>29</v>
      </c>
      <c r="C4654" s="45">
        <v>46232</v>
      </c>
      <c r="D4654" s="76">
        <v>1862.18817459347</v>
      </c>
      <c r="E4654" s="77">
        <v>125</v>
      </c>
      <c r="F4654" s="78">
        <v>12.2562985192905</v>
      </c>
      <c r="G4654" s="78">
        <v>12.2562985192905</v>
      </c>
      <c r="H4654" s="81">
        <v>11.7871367393925</v>
      </c>
    </row>
    <row r="4655" spans="1:8" x14ac:dyDescent="0.3">
      <c r="A4655" s="74" t="str">
        <f t="shared" si="72"/>
        <v>广东46233</v>
      </c>
      <c r="B4655" s="75" t="s">
        <v>29</v>
      </c>
      <c r="C4655" s="45">
        <v>46233</v>
      </c>
      <c r="D4655" s="76">
        <v>1862.18817459347</v>
      </c>
      <c r="E4655" s="77">
        <v>125</v>
      </c>
      <c r="F4655" s="78">
        <v>12.2562985192905</v>
      </c>
      <c r="G4655" s="78">
        <v>12.2562985192905</v>
      </c>
      <c r="H4655" s="81">
        <v>11.7871367393925</v>
      </c>
    </row>
    <row r="4656" spans="1:8" x14ac:dyDescent="0.3">
      <c r="A4656" s="74" t="str">
        <f t="shared" si="72"/>
        <v>广东46234</v>
      </c>
      <c r="B4656" s="75" t="s">
        <v>29</v>
      </c>
      <c r="C4656" s="45">
        <v>46234</v>
      </c>
      <c r="D4656" s="76">
        <v>1862.18817459347</v>
      </c>
      <c r="E4656" s="77">
        <v>125</v>
      </c>
      <c r="F4656" s="78">
        <v>12.2562985192905</v>
      </c>
      <c r="G4656" s="78">
        <v>12.2562985192905</v>
      </c>
      <c r="H4656" s="81">
        <v>11.7871367393925</v>
      </c>
    </row>
    <row r="4657" spans="1:8" x14ac:dyDescent="0.3">
      <c r="A4657" s="74" t="str">
        <f t="shared" si="72"/>
        <v>广东46235</v>
      </c>
      <c r="B4657" s="75" t="s">
        <v>29</v>
      </c>
      <c r="C4657" s="45">
        <v>46235</v>
      </c>
      <c r="D4657" s="76">
        <v>1933.2099712131301</v>
      </c>
      <c r="E4657" s="77">
        <v>125</v>
      </c>
      <c r="F4657" s="78">
        <v>12.3647771461451</v>
      </c>
      <c r="G4657" s="78">
        <v>12.3647771461451</v>
      </c>
      <c r="H4657" s="81">
        <v>12.3352565269261</v>
      </c>
    </row>
    <row r="4658" spans="1:8" x14ac:dyDescent="0.3">
      <c r="A4658" s="74" t="str">
        <f t="shared" si="72"/>
        <v>广东46236</v>
      </c>
      <c r="B4658" s="75" t="s">
        <v>29</v>
      </c>
      <c r="C4658" s="45">
        <v>46236</v>
      </c>
      <c r="D4658" s="76">
        <v>1933.2099712131301</v>
      </c>
      <c r="E4658" s="77">
        <v>125</v>
      </c>
      <c r="F4658" s="78">
        <v>12.3647771461451</v>
      </c>
      <c r="G4658" s="78">
        <v>12.3647771461451</v>
      </c>
      <c r="H4658" s="81">
        <v>12.3352565269261</v>
      </c>
    </row>
    <row r="4659" spans="1:8" x14ac:dyDescent="0.3">
      <c r="A4659" s="74" t="str">
        <f t="shared" si="72"/>
        <v>广东46237</v>
      </c>
      <c r="B4659" s="75" t="s">
        <v>29</v>
      </c>
      <c r="C4659" s="45">
        <v>46237</v>
      </c>
      <c r="D4659" s="76">
        <v>1933.2099712131301</v>
      </c>
      <c r="E4659" s="77">
        <v>125</v>
      </c>
      <c r="F4659" s="78">
        <v>12.3647771461451</v>
      </c>
      <c r="G4659" s="78">
        <v>12.3647771461451</v>
      </c>
      <c r="H4659" s="81">
        <v>12.3352565269261</v>
      </c>
    </row>
    <row r="4660" spans="1:8" x14ac:dyDescent="0.3">
      <c r="A4660" s="74" t="str">
        <f t="shared" si="72"/>
        <v>广东46238</v>
      </c>
      <c r="B4660" s="75" t="s">
        <v>29</v>
      </c>
      <c r="C4660" s="45">
        <v>46238</v>
      </c>
      <c r="D4660" s="76">
        <v>1933.2099712131301</v>
      </c>
      <c r="E4660" s="77">
        <v>125</v>
      </c>
      <c r="F4660" s="78">
        <v>12.3647771461451</v>
      </c>
      <c r="G4660" s="78">
        <v>12.3647771461451</v>
      </c>
      <c r="H4660" s="81">
        <v>12.3352565269261</v>
      </c>
    </row>
    <row r="4661" spans="1:8" x14ac:dyDescent="0.3">
      <c r="A4661" s="74" t="str">
        <f t="shared" si="72"/>
        <v>广东46239</v>
      </c>
      <c r="B4661" s="75" t="s">
        <v>29</v>
      </c>
      <c r="C4661" s="45">
        <v>46239</v>
      </c>
      <c r="D4661" s="76">
        <v>1933.2099712131301</v>
      </c>
      <c r="E4661" s="77">
        <v>125</v>
      </c>
      <c r="F4661" s="78">
        <v>12.3647771461451</v>
      </c>
      <c r="G4661" s="78">
        <v>12.3647771461451</v>
      </c>
      <c r="H4661" s="81">
        <v>12.3352565269261</v>
      </c>
    </row>
    <row r="4662" spans="1:8" x14ac:dyDescent="0.3">
      <c r="A4662" s="74" t="str">
        <f t="shared" si="72"/>
        <v>广东46240</v>
      </c>
      <c r="B4662" s="75" t="s">
        <v>29</v>
      </c>
      <c r="C4662" s="45">
        <v>46240</v>
      </c>
      <c r="D4662" s="76">
        <v>1933.2099712131301</v>
      </c>
      <c r="E4662" s="77">
        <v>125</v>
      </c>
      <c r="F4662" s="78">
        <v>12.3647771461451</v>
      </c>
      <c r="G4662" s="78">
        <v>12.3647771461451</v>
      </c>
      <c r="H4662" s="81">
        <v>12.3352565269261</v>
      </c>
    </row>
    <row r="4663" spans="1:8" x14ac:dyDescent="0.3">
      <c r="A4663" s="74" t="str">
        <f t="shared" si="72"/>
        <v>广东46241</v>
      </c>
      <c r="B4663" s="75" t="s">
        <v>29</v>
      </c>
      <c r="C4663" s="45">
        <v>46241</v>
      </c>
      <c r="D4663" s="76">
        <v>1933.2099712131301</v>
      </c>
      <c r="E4663" s="77">
        <v>125</v>
      </c>
      <c r="F4663" s="78">
        <v>12.3647771461451</v>
      </c>
      <c r="G4663" s="78">
        <v>12.3647771461451</v>
      </c>
      <c r="H4663" s="81">
        <v>12.3352565269261</v>
      </c>
    </row>
    <row r="4664" spans="1:8" x14ac:dyDescent="0.3">
      <c r="A4664" s="74" t="str">
        <f t="shared" si="72"/>
        <v>广东46242</v>
      </c>
      <c r="B4664" s="75" t="s">
        <v>29</v>
      </c>
      <c r="C4664" s="45">
        <v>46242</v>
      </c>
      <c r="D4664" s="76">
        <v>1933.2099712131301</v>
      </c>
      <c r="E4664" s="77">
        <v>125</v>
      </c>
      <c r="F4664" s="78">
        <v>12.3647771461451</v>
      </c>
      <c r="G4664" s="78">
        <v>12.3647771461451</v>
      </c>
      <c r="H4664" s="81">
        <v>12.3352565269261</v>
      </c>
    </row>
    <row r="4665" spans="1:8" x14ac:dyDescent="0.3">
      <c r="A4665" s="74" t="str">
        <f t="shared" si="72"/>
        <v>广东46243</v>
      </c>
      <c r="B4665" s="75" t="s">
        <v>29</v>
      </c>
      <c r="C4665" s="45">
        <v>46243</v>
      </c>
      <c r="D4665" s="76">
        <v>1933.2099712131301</v>
      </c>
      <c r="E4665" s="77">
        <v>125</v>
      </c>
      <c r="F4665" s="78">
        <v>12.3647771461451</v>
      </c>
      <c r="G4665" s="78">
        <v>12.3647771461451</v>
      </c>
      <c r="H4665" s="81">
        <v>12.3352565269261</v>
      </c>
    </row>
    <row r="4666" spans="1:8" x14ac:dyDescent="0.3">
      <c r="A4666" s="74" t="str">
        <f t="shared" si="72"/>
        <v>广东46244</v>
      </c>
      <c r="B4666" s="75" t="s">
        <v>29</v>
      </c>
      <c r="C4666" s="45">
        <v>46244</v>
      </c>
      <c r="D4666" s="76">
        <v>1933.2099712131301</v>
      </c>
      <c r="E4666" s="77">
        <v>125</v>
      </c>
      <c r="F4666" s="78">
        <v>12.3647771461451</v>
      </c>
      <c r="G4666" s="78">
        <v>12.3647771461451</v>
      </c>
      <c r="H4666" s="81">
        <v>12.3352565269261</v>
      </c>
    </row>
    <row r="4667" spans="1:8" x14ac:dyDescent="0.3">
      <c r="A4667" s="74" t="str">
        <f t="shared" si="72"/>
        <v>广东46245</v>
      </c>
      <c r="B4667" s="75" t="s">
        <v>29</v>
      </c>
      <c r="C4667" s="45">
        <v>46245</v>
      </c>
      <c r="D4667" s="76">
        <v>1933.2099712131301</v>
      </c>
      <c r="E4667" s="77">
        <v>125</v>
      </c>
      <c r="F4667" s="78">
        <v>12.3647771461451</v>
      </c>
      <c r="G4667" s="78">
        <v>12.3647771461451</v>
      </c>
      <c r="H4667" s="81">
        <v>12.3352565269261</v>
      </c>
    </row>
    <row r="4668" spans="1:8" x14ac:dyDescent="0.3">
      <c r="A4668" s="74" t="str">
        <f t="shared" si="72"/>
        <v>广东46246</v>
      </c>
      <c r="B4668" s="75" t="s">
        <v>29</v>
      </c>
      <c r="C4668" s="45">
        <v>46246</v>
      </c>
      <c r="D4668" s="76">
        <v>1933.2099712131301</v>
      </c>
      <c r="E4668" s="77">
        <v>125</v>
      </c>
      <c r="F4668" s="78">
        <v>12.3647771461451</v>
      </c>
      <c r="G4668" s="78">
        <v>12.3647771461451</v>
      </c>
      <c r="H4668" s="81">
        <v>12.3352565269261</v>
      </c>
    </row>
    <row r="4669" spans="1:8" x14ac:dyDescent="0.3">
      <c r="A4669" s="74" t="str">
        <f t="shared" si="72"/>
        <v>广东46247</v>
      </c>
      <c r="B4669" s="75" t="s">
        <v>29</v>
      </c>
      <c r="C4669" s="45">
        <v>46247</v>
      </c>
      <c r="D4669" s="76">
        <v>1933.2099712131301</v>
      </c>
      <c r="E4669" s="77">
        <v>125</v>
      </c>
      <c r="F4669" s="78">
        <v>12.3647771461451</v>
      </c>
      <c r="G4669" s="78">
        <v>12.3647771461451</v>
      </c>
      <c r="H4669" s="81">
        <v>12.3352565269261</v>
      </c>
    </row>
    <row r="4670" spans="1:8" x14ac:dyDescent="0.3">
      <c r="A4670" s="74" t="str">
        <f t="shared" si="72"/>
        <v>广东46248</v>
      </c>
      <c r="B4670" s="75" t="s">
        <v>29</v>
      </c>
      <c r="C4670" s="45">
        <v>46248</v>
      </c>
      <c r="D4670" s="76">
        <v>1933.2099712131301</v>
      </c>
      <c r="E4670" s="77">
        <v>125</v>
      </c>
      <c r="F4670" s="78">
        <v>12.3647771461451</v>
      </c>
      <c r="G4670" s="78">
        <v>12.3647771461451</v>
      </c>
      <c r="H4670" s="81">
        <v>12.3352565269261</v>
      </c>
    </row>
    <row r="4671" spans="1:8" x14ac:dyDescent="0.3">
      <c r="A4671" s="74" t="str">
        <f t="shared" si="72"/>
        <v>广东46249</v>
      </c>
      <c r="B4671" s="75" t="s">
        <v>29</v>
      </c>
      <c r="C4671" s="45">
        <v>46249</v>
      </c>
      <c r="D4671" s="76">
        <v>1933.2099712131301</v>
      </c>
      <c r="E4671" s="77">
        <v>125</v>
      </c>
      <c r="F4671" s="78">
        <v>12.3647771461451</v>
      </c>
      <c r="G4671" s="78">
        <v>12.3647771461451</v>
      </c>
      <c r="H4671" s="81">
        <v>12.3352565269261</v>
      </c>
    </row>
    <row r="4672" spans="1:8" x14ac:dyDescent="0.3">
      <c r="A4672" s="74" t="str">
        <f t="shared" si="72"/>
        <v>广东46250</v>
      </c>
      <c r="B4672" s="75" t="s">
        <v>29</v>
      </c>
      <c r="C4672" s="45">
        <v>46250</v>
      </c>
      <c r="D4672" s="76">
        <v>1933.2099712131301</v>
      </c>
      <c r="E4672" s="77">
        <v>125</v>
      </c>
      <c r="F4672" s="78">
        <v>12.3647771461451</v>
      </c>
      <c r="G4672" s="78">
        <v>12.3647771461451</v>
      </c>
      <c r="H4672" s="81">
        <v>12.3352565269261</v>
      </c>
    </row>
    <row r="4673" spans="1:8" x14ac:dyDescent="0.3">
      <c r="A4673" s="74" t="str">
        <f t="shared" si="72"/>
        <v>广东46251</v>
      </c>
      <c r="B4673" s="75" t="s">
        <v>29</v>
      </c>
      <c r="C4673" s="45">
        <v>46251</v>
      </c>
      <c r="D4673" s="76">
        <v>1933.2099712131301</v>
      </c>
      <c r="E4673" s="77">
        <v>125</v>
      </c>
      <c r="F4673" s="78">
        <v>12.3647771461451</v>
      </c>
      <c r="G4673" s="78">
        <v>12.3647771461451</v>
      </c>
      <c r="H4673" s="81">
        <v>12.3352565269261</v>
      </c>
    </row>
    <row r="4674" spans="1:8" x14ac:dyDescent="0.3">
      <c r="A4674" s="74" t="str">
        <f t="shared" si="72"/>
        <v>广东46252</v>
      </c>
      <c r="B4674" s="75" t="s">
        <v>29</v>
      </c>
      <c r="C4674" s="45">
        <v>46252</v>
      </c>
      <c r="D4674" s="76">
        <v>1933.2099712131301</v>
      </c>
      <c r="E4674" s="77">
        <v>125</v>
      </c>
      <c r="F4674" s="78">
        <v>12.3647771461451</v>
      </c>
      <c r="G4674" s="78">
        <v>12.3647771461451</v>
      </c>
      <c r="H4674" s="81">
        <v>12.3352565269261</v>
      </c>
    </row>
    <row r="4675" spans="1:8" x14ac:dyDescent="0.3">
      <c r="A4675" s="74" t="str">
        <f t="shared" ref="A4675:A4738" si="73">B4675&amp;C4675</f>
        <v>广东46253</v>
      </c>
      <c r="B4675" s="75" t="s">
        <v>29</v>
      </c>
      <c r="C4675" s="45">
        <v>46253</v>
      </c>
      <c r="D4675" s="76">
        <v>1933.2099712131301</v>
      </c>
      <c r="E4675" s="77">
        <v>125</v>
      </c>
      <c r="F4675" s="78">
        <v>12.3647771461451</v>
      </c>
      <c r="G4675" s="78">
        <v>12.3647771461451</v>
      </c>
      <c r="H4675" s="81">
        <v>12.3352565269261</v>
      </c>
    </row>
    <row r="4676" spans="1:8" x14ac:dyDescent="0.3">
      <c r="A4676" s="74" t="str">
        <f t="shared" si="73"/>
        <v>广东46254</v>
      </c>
      <c r="B4676" s="75" t="s">
        <v>29</v>
      </c>
      <c r="C4676" s="45">
        <v>46254</v>
      </c>
      <c r="D4676" s="76">
        <v>1933.2099712131301</v>
      </c>
      <c r="E4676" s="77">
        <v>125</v>
      </c>
      <c r="F4676" s="78">
        <v>12.3647771461451</v>
      </c>
      <c r="G4676" s="78">
        <v>12.3647771461451</v>
      </c>
      <c r="H4676" s="81">
        <v>12.3352565269261</v>
      </c>
    </row>
    <row r="4677" spans="1:8" x14ac:dyDescent="0.3">
      <c r="A4677" s="74" t="str">
        <f t="shared" si="73"/>
        <v>广东46255</v>
      </c>
      <c r="B4677" s="75" t="s">
        <v>29</v>
      </c>
      <c r="C4677" s="45">
        <v>46255</v>
      </c>
      <c r="D4677" s="76">
        <v>1933.2099712131301</v>
      </c>
      <c r="E4677" s="77">
        <v>125</v>
      </c>
      <c r="F4677" s="78">
        <v>12.3647771461451</v>
      </c>
      <c r="G4677" s="78">
        <v>12.3647771461451</v>
      </c>
      <c r="H4677" s="81">
        <v>12.3352565269261</v>
      </c>
    </row>
    <row r="4678" spans="1:8" x14ac:dyDescent="0.3">
      <c r="A4678" s="74" t="str">
        <f t="shared" si="73"/>
        <v>广东46256</v>
      </c>
      <c r="B4678" s="75" t="s">
        <v>29</v>
      </c>
      <c r="C4678" s="45">
        <v>46256</v>
      </c>
      <c r="D4678" s="76">
        <v>1933.2099712131301</v>
      </c>
      <c r="E4678" s="77">
        <v>125</v>
      </c>
      <c r="F4678" s="78">
        <v>12.3647771461451</v>
      </c>
      <c r="G4678" s="78">
        <v>12.3647771461451</v>
      </c>
      <c r="H4678" s="81">
        <v>12.3352565269261</v>
      </c>
    </row>
    <row r="4679" spans="1:8" x14ac:dyDescent="0.3">
      <c r="A4679" s="74" t="str">
        <f t="shared" si="73"/>
        <v>广东46257</v>
      </c>
      <c r="B4679" s="75" t="s">
        <v>29</v>
      </c>
      <c r="C4679" s="45">
        <v>46257</v>
      </c>
      <c r="D4679" s="76">
        <v>1933.2099712131301</v>
      </c>
      <c r="E4679" s="77">
        <v>125</v>
      </c>
      <c r="F4679" s="78">
        <v>12.3647771461451</v>
      </c>
      <c r="G4679" s="78">
        <v>12.3647771461451</v>
      </c>
      <c r="H4679" s="81">
        <v>12.3352565269261</v>
      </c>
    </row>
    <row r="4680" spans="1:8" x14ac:dyDescent="0.3">
      <c r="A4680" s="74" t="str">
        <f t="shared" si="73"/>
        <v>广东46258</v>
      </c>
      <c r="B4680" s="75" t="s">
        <v>29</v>
      </c>
      <c r="C4680" s="45">
        <v>46258</v>
      </c>
      <c r="D4680" s="76">
        <v>1933.2099712131301</v>
      </c>
      <c r="E4680" s="77">
        <v>125</v>
      </c>
      <c r="F4680" s="78">
        <v>12.3647771461451</v>
      </c>
      <c r="G4680" s="78">
        <v>12.3647771461451</v>
      </c>
      <c r="H4680" s="81">
        <v>12.3352565269261</v>
      </c>
    </row>
    <row r="4681" spans="1:8" x14ac:dyDescent="0.3">
      <c r="A4681" s="74" t="str">
        <f t="shared" si="73"/>
        <v>广东46259</v>
      </c>
      <c r="B4681" s="75" t="s">
        <v>29</v>
      </c>
      <c r="C4681" s="45">
        <v>46259</v>
      </c>
      <c r="D4681" s="76">
        <v>1933.2099712131301</v>
      </c>
      <c r="E4681" s="77">
        <v>125</v>
      </c>
      <c r="F4681" s="78">
        <v>12.3647771461451</v>
      </c>
      <c r="G4681" s="78">
        <v>12.3647771461451</v>
      </c>
      <c r="H4681" s="81">
        <v>12.3352565269261</v>
      </c>
    </row>
    <row r="4682" spans="1:8" x14ac:dyDescent="0.3">
      <c r="A4682" s="74" t="str">
        <f t="shared" si="73"/>
        <v>广东46260</v>
      </c>
      <c r="B4682" s="75" t="s">
        <v>29</v>
      </c>
      <c r="C4682" s="45">
        <v>46260</v>
      </c>
      <c r="D4682" s="76">
        <v>1933.2099712131301</v>
      </c>
      <c r="E4682" s="77">
        <v>125</v>
      </c>
      <c r="F4682" s="78">
        <v>12.3647771461451</v>
      </c>
      <c r="G4682" s="78">
        <v>12.3647771461451</v>
      </c>
      <c r="H4682" s="81">
        <v>12.3352565269261</v>
      </c>
    </row>
    <row r="4683" spans="1:8" x14ac:dyDescent="0.3">
      <c r="A4683" s="74" t="str">
        <f t="shared" si="73"/>
        <v>广东46261</v>
      </c>
      <c r="B4683" s="75" t="s">
        <v>29</v>
      </c>
      <c r="C4683" s="45">
        <v>46261</v>
      </c>
      <c r="D4683" s="76">
        <v>1933.2099712131301</v>
      </c>
      <c r="E4683" s="77">
        <v>125</v>
      </c>
      <c r="F4683" s="78">
        <v>12.3647771461451</v>
      </c>
      <c r="G4683" s="78">
        <v>12.3647771461451</v>
      </c>
      <c r="H4683" s="81">
        <v>12.3352565269261</v>
      </c>
    </row>
    <row r="4684" spans="1:8" x14ac:dyDescent="0.3">
      <c r="A4684" s="74" t="str">
        <f t="shared" si="73"/>
        <v>广东46262</v>
      </c>
      <c r="B4684" s="75" t="s">
        <v>29</v>
      </c>
      <c r="C4684" s="45">
        <v>46262</v>
      </c>
      <c r="D4684" s="76">
        <v>1933.2099712131301</v>
      </c>
      <c r="E4684" s="77">
        <v>125</v>
      </c>
      <c r="F4684" s="78">
        <v>12.3647771461451</v>
      </c>
      <c r="G4684" s="78">
        <v>12.3647771461451</v>
      </c>
      <c r="H4684" s="81">
        <v>12.3352565269261</v>
      </c>
    </row>
    <row r="4685" spans="1:8" x14ac:dyDescent="0.3">
      <c r="A4685" s="74" t="str">
        <f t="shared" si="73"/>
        <v>广东46263</v>
      </c>
      <c r="B4685" s="75" t="s">
        <v>29</v>
      </c>
      <c r="C4685" s="45">
        <v>46263</v>
      </c>
      <c r="D4685" s="76">
        <v>1933.2099712131301</v>
      </c>
      <c r="E4685" s="77">
        <v>125</v>
      </c>
      <c r="F4685" s="78">
        <v>12.3647771461451</v>
      </c>
      <c r="G4685" s="78">
        <v>12.3647771461451</v>
      </c>
      <c r="H4685" s="81">
        <v>12.3352565269261</v>
      </c>
    </row>
    <row r="4686" spans="1:8" x14ac:dyDescent="0.3">
      <c r="A4686" s="74" t="str">
        <f t="shared" si="73"/>
        <v>广东46264</v>
      </c>
      <c r="B4686" s="75" t="s">
        <v>29</v>
      </c>
      <c r="C4686" s="45">
        <v>46264</v>
      </c>
      <c r="D4686" s="76">
        <v>1933.2099712131301</v>
      </c>
      <c r="E4686" s="77">
        <v>125</v>
      </c>
      <c r="F4686" s="78">
        <v>12.3647771461451</v>
      </c>
      <c r="G4686" s="78">
        <v>12.3647771461451</v>
      </c>
      <c r="H4686" s="81">
        <v>12.3352565269261</v>
      </c>
    </row>
    <row r="4687" spans="1:8" x14ac:dyDescent="0.3">
      <c r="A4687" s="74" t="str">
        <f t="shared" si="73"/>
        <v>广东46265</v>
      </c>
      <c r="B4687" s="75" t="s">
        <v>29</v>
      </c>
      <c r="C4687" s="45">
        <v>46265</v>
      </c>
      <c r="D4687" s="76">
        <v>1933.2099712131301</v>
      </c>
      <c r="E4687" s="77">
        <v>125</v>
      </c>
      <c r="F4687" s="78">
        <v>12.3647771461451</v>
      </c>
      <c r="G4687" s="78">
        <v>12.3647771461451</v>
      </c>
      <c r="H4687" s="81">
        <v>12.3352565269261</v>
      </c>
    </row>
    <row r="4688" spans="1:8" x14ac:dyDescent="0.3">
      <c r="A4688" s="74" t="str">
        <f t="shared" si="73"/>
        <v>广东46266</v>
      </c>
      <c r="B4688" s="75" t="s">
        <v>29</v>
      </c>
      <c r="C4688" s="45">
        <v>46266</v>
      </c>
      <c r="D4688" s="76">
        <v>1803.26864371242</v>
      </c>
      <c r="E4688" s="77">
        <v>125</v>
      </c>
      <c r="F4688" s="78">
        <v>12.6584149030361</v>
      </c>
      <c r="G4688" s="78">
        <v>12.6584149030361</v>
      </c>
      <c r="H4688" s="81">
        <v>12.883376314459801</v>
      </c>
    </row>
    <row r="4689" spans="1:8" x14ac:dyDescent="0.3">
      <c r="A4689" s="74" t="str">
        <f t="shared" si="73"/>
        <v>广东46267</v>
      </c>
      <c r="B4689" s="75" t="s">
        <v>29</v>
      </c>
      <c r="C4689" s="45">
        <v>46267</v>
      </c>
      <c r="D4689" s="76">
        <v>1803.26864371242</v>
      </c>
      <c r="E4689" s="77">
        <v>125</v>
      </c>
      <c r="F4689" s="78">
        <v>12.6584149030361</v>
      </c>
      <c r="G4689" s="78">
        <v>12.6584149030361</v>
      </c>
      <c r="H4689" s="81">
        <v>12.883376314459801</v>
      </c>
    </row>
    <row r="4690" spans="1:8" x14ac:dyDescent="0.3">
      <c r="A4690" s="74" t="str">
        <f t="shared" si="73"/>
        <v>广东46268</v>
      </c>
      <c r="B4690" s="75" t="s">
        <v>29</v>
      </c>
      <c r="C4690" s="45">
        <v>46268</v>
      </c>
      <c r="D4690" s="76">
        <v>1803.26864371242</v>
      </c>
      <c r="E4690" s="77">
        <v>125</v>
      </c>
      <c r="F4690" s="78">
        <v>12.6584149030361</v>
      </c>
      <c r="G4690" s="78">
        <v>12.6584149030361</v>
      </c>
      <c r="H4690" s="81">
        <v>12.883376314459801</v>
      </c>
    </row>
    <row r="4691" spans="1:8" x14ac:dyDescent="0.3">
      <c r="A4691" s="74" t="str">
        <f t="shared" si="73"/>
        <v>广东46269</v>
      </c>
      <c r="B4691" s="75" t="s">
        <v>29</v>
      </c>
      <c r="C4691" s="45">
        <v>46269</v>
      </c>
      <c r="D4691" s="76">
        <v>1803.26864371242</v>
      </c>
      <c r="E4691" s="77">
        <v>125</v>
      </c>
      <c r="F4691" s="78">
        <v>12.6584149030361</v>
      </c>
      <c r="G4691" s="78">
        <v>12.6584149030361</v>
      </c>
      <c r="H4691" s="81">
        <v>12.883376314459801</v>
      </c>
    </row>
    <row r="4692" spans="1:8" x14ac:dyDescent="0.3">
      <c r="A4692" s="74" t="str">
        <f t="shared" si="73"/>
        <v>广东46270</v>
      </c>
      <c r="B4692" s="75" t="s">
        <v>29</v>
      </c>
      <c r="C4692" s="45">
        <v>46270</v>
      </c>
      <c r="D4692" s="76">
        <v>1803.26864371242</v>
      </c>
      <c r="E4692" s="77">
        <v>125</v>
      </c>
      <c r="F4692" s="78">
        <v>12.6584149030361</v>
      </c>
      <c r="G4692" s="78">
        <v>12.6584149030361</v>
      </c>
      <c r="H4692" s="81">
        <v>12.883376314459801</v>
      </c>
    </row>
    <row r="4693" spans="1:8" x14ac:dyDescent="0.3">
      <c r="A4693" s="74" t="str">
        <f t="shared" si="73"/>
        <v>广东46271</v>
      </c>
      <c r="B4693" s="75" t="s">
        <v>29</v>
      </c>
      <c r="C4693" s="45">
        <v>46271</v>
      </c>
      <c r="D4693" s="76">
        <v>1803.26864371242</v>
      </c>
      <c r="E4693" s="77">
        <v>125</v>
      </c>
      <c r="F4693" s="78">
        <v>12.6584149030361</v>
      </c>
      <c r="G4693" s="78">
        <v>12.6584149030361</v>
      </c>
      <c r="H4693" s="81">
        <v>12.883376314459801</v>
      </c>
    </row>
    <row r="4694" spans="1:8" x14ac:dyDescent="0.3">
      <c r="A4694" s="74" t="str">
        <f t="shared" si="73"/>
        <v>广东46272</v>
      </c>
      <c r="B4694" s="75" t="s">
        <v>29</v>
      </c>
      <c r="C4694" s="45">
        <v>46272</v>
      </c>
      <c r="D4694" s="76">
        <v>1803.26864371242</v>
      </c>
      <c r="E4694" s="77">
        <v>125</v>
      </c>
      <c r="F4694" s="78">
        <v>12.6584149030361</v>
      </c>
      <c r="G4694" s="78">
        <v>12.6584149030361</v>
      </c>
      <c r="H4694" s="81">
        <v>12.883376314459801</v>
      </c>
    </row>
    <row r="4695" spans="1:8" x14ac:dyDescent="0.3">
      <c r="A4695" s="74" t="str">
        <f t="shared" si="73"/>
        <v>广东46273</v>
      </c>
      <c r="B4695" s="75" t="s">
        <v>29</v>
      </c>
      <c r="C4695" s="45">
        <v>46273</v>
      </c>
      <c r="D4695" s="76">
        <v>1803.26864371242</v>
      </c>
      <c r="E4695" s="77">
        <v>125</v>
      </c>
      <c r="F4695" s="78">
        <v>12.6584149030361</v>
      </c>
      <c r="G4695" s="78">
        <v>12.6584149030361</v>
      </c>
      <c r="H4695" s="81">
        <v>12.883376314459801</v>
      </c>
    </row>
    <row r="4696" spans="1:8" x14ac:dyDescent="0.3">
      <c r="A4696" s="74" t="str">
        <f t="shared" si="73"/>
        <v>广东46274</v>
      </c>
      <c r="B4696" s="75" t="s">
        <v>29</v>
      </c>
      <c r="C4696" s="45">
        <v>46274</v>
      </c>
      <c r="D4696" s="76">
        <v>1803.26864371242</v>
      </c>
      <c r="E4696" s="77">
        <v>125</v>
      </c>
      <c r="F4696" s="78">
        <v>12.6584149030361</v>
      </c>
      <c r="G4696" s="78">
        <v>12.6584149030361</v>
      </c>
      <c r="H4696" s="81">
        <v>12.883376314459801</v>
      </c>
    </row>
    <row r="4697" spans="1:8" x14ac:dyDescent="0.3">
      <c r="A4697" s="74" t="str">
        <f t="shared" si="73"/>
        <v>广东46275</v>
      </c>
      <c r="B4697" s="75" t="s">
        <v>29</v>
      </c>
      <c r="C4697" s="45">
        <v>46275</v>
      </c>
      <c r="D4697" s="76">
        <v>1803.26864371242</v>
      </c>
      <c r="E4697" s="77">
        <v>125</v>
      </c>
      <c r="F4697" s="78">
        <v>12.6584149030361</v>
      </c>
      <c r="G4697" s="78">
        <v>12.6584149030361</v>
      </c>
      <c r="H4697" s="81">
        <v>12.883376314459801</v>
      </c>
    </row>
    <row r="4698" spans="1:8" x14ac:dyDescent="0.3">
      <c r="A4698" s="74" t="str">
        <f t="shared" si="73"/>
        <v>广东46276</v>
      </c>
      <c r="B4698" s="75" t="s">
        <v>29</v>
      </c>
      <c r="C4698" s="45">
        <v>46276</v>
      </c>
      <c r="D4698" s="76">
        <v>1803.26864371242</v>
      </c>
      <c r="E4698" s="77">
        <v>125</v>
      </c>
      <c r="F4698" s="78">
        <v>12.6584149030361</v>
      </c>
      <c r="G4698" s="78">
        <v>12.6584149030361</v>
      </c>
      <c r="H4698" s="81">
        <v>12.883376314459801</v>
      </c>
    </row>
    <row r="4699" spans="1:8" x14ac:dyDescent="0.3">
      <c r="A4699" s="74" t="str">
        <f t="shared" si="73"/>
        <v>广东46277</v>
      </c>
      <c r="B4699" s="75" t="s">
        <v>29</v>
      </c>
      <c r="C4699" s="45">
        <v>46277</v>
      </c>
      <c r="D4699" s="76">
        <v>1803.26864371242</v>
      </c>
      <c r="E4699" s="77">
        <v>125</v>
      </c>
      <c r="F4699" s="78">
        <v>12.6584149030361</v>
      </c>
      <c r="G4699" s="78">
        <v>12.6584149030361</v>
      </c>
      <c r="H4699" s="81">
        <v>12.883376314459801</v>
      </c>
    </row>
    <row r="4700" spans="1:8" x14ac:dyDescent="0.3">
      <c r="A4700" s="74" t="str">
        <f t="shared" si="73"/>
        <v>广东46278</v>
      </c>
      <c r="B4700" s="75" t="s">
        <v>29</v>
      </c>
      <c r="C4700" s="45">
        <v>46278</v>
      </c>
      <c r="D4700" s="76">
        <v>1803.26864371242</v>
      </c>
      <c r="E4700" s="77">
        <v>125</v>
      </c>
      <c r="F4700" s="78">
        <v>12.6584149030361</v>
      </c>
      <c r="G4700" s="78">
        <v>12.6584149030361</v>
      </c>
      <c r="H4700" s="81">
        <v>12.883376314459801</v>
      </c>
    </row>
    <row r="4701" spans="1:8" x14ac:dyDescent="0.3">
      <c r="A4701" s="74" t="str">
        <f t="shared" si="73"/>
        <v>广东46279</v>
      </c>
      <c r="B4701" s="75" t="s">
        <v>29</v>
      </c>
      <c r="C4701" s="45">
        <v>46279</v>
      </c>
      <c r="D4701" s="76">
        <v>1803.26864371242</v>
      </c>
      <c r="E4701" s="77">
        <v>125</v>
      </c>
      <c r="F4701" s="78">
        <v>12.6584149030361</v>
      </c>
      <c r="G4701" s="78">
        <v>12.6584149030361</v>
      </c>
      <c r="H4701" s="81">
        <v>12.883376314459801</v>
      </c>
    </row>
    <row r="4702" spans="1:8" x14ac:dyDescent="0.3">
      <c r="A4702" s="74" t="str">
        <f t="shared" si="73"/>
        <v>广东46280</v>
      </c>
      <c r="B4702" s="75" t="s">
        <v>29</v>
      </c>
      <c r="C4702" s="45">
        <v>46280</v>
      </c>
      <c r="D4702" s="76">
        <v>1803.26864371242</v>
      </c>
      <c r="E4702" s="77">
        <v>125</v>
      </c>
      <c r="F4702" s="78">
        <v>12.6584149030361</v>
      </c>
      <c r="G4702" s="78">
        <v>12.6584149030361</v>
      </c>
      <c r="H4702" s="81">
        <v>12.883376314459801</v>
      </c>
    </row>
    <row r="4703" spans="1:8" x14ac:dyDescent="0.3">
      <c r="A4703" s="74" t="str">
        <f t="shared" si="73"/>
        <v>广东46281</v>
      </c>
      <c r="B4703" s="75" t="s">
        <v>29</v>
      </c>
      <c r="C4703" s="45">
        <v>46281</v>
      </c>
      <c r="D4703" s="76">
        <v>1803.26864371242</v>
      </c>
      <c r="E4703" s="77">
        <v>125</v>
      </c>
      <c r="F4703" s="78">
        <v>12.6584149030361</v>
      </c>
      <c r="G4703" s="78">
        <v>12.6584149030361</v>
      </c>
      <c r="H4703" s="81">
        <v>12.883376314459801</v>
      </c>
    </row>
    <row r="4704" spans="1:8" x14ac:dyDescent="0.3">
      <c r="A4704" s="74" t="str">
        <f t="shared" si="73"/>
        <v>广东46282</v>
      </c>
      <c r="B4704" s="75" t="s">
        <v>29</v>
      </c>
      <c r="C4704" s="45">
        <v>46282</v>
      </c>
      <c r="D4704" s="76">
        <v>1803.26864371242</v>
      </c>
      <c r="E4704" s="77">
        <v>125</v>
      </c>
      <c r="F4704" s="78">
        <v>12.6584149030361</v>
      </c>
      <c r="G4704" s="78">
        <v>12.6584149030361</v>
      </c>
      <c r="H4704" s="81">
        <v>12.883376314459801</v>
      </c>
    </row>
    <row r="4705" spans="1:8" x14ac:dyDescent="0.3">
      <c r="A4705" s="74" t="str">
        <f t="shared" si="73"/>
        <v>广东46283</v>
      </c>
      <c r="B4705" s="75" t="s">
        <v>29</v>
      </c>
      <c r="C4705" s="45">
        <v>46283</v>
      </c>
      <c r="D4705" s="76">
        <v>1803.26864371242</v>
      </c>
      <c r="E4705" s="77">
        <v>125</v>
      </c>
      <c r="F4705" s="78">
        <v>12.6584149030361</v>
      </c>
      <c r="G4705" s="78">
        <v>12.6584149030361</v>
      </c>
      <c r="H4705" s="81">
        <v>12.883376314459801</v>
      </c>
    </row>
    <row r="4706" spans="1:8" x14ac:dyDescent="0.3">
      <c r="A4706" s="74" t="str">
        <f t="shared" si="73"/>
        <v>广东46284</v>
      </c>
      <c r="B4706" s="75" t="s">
        <v>29</v>
      </c>
      <c r="C4706" s="45">
        <v>46284</v>
      </c>
      <c r="D4706" s="76">
        <v>1803.26864371242</v>
      </c>
      <c r="E4706" s="77">
        <v>125</v>
      </c>
      <c r="F4706" s="78">
        <v>12.6584149030361</v>
      </c>
      <c r="G4706" s="78">
        <v>12.6584149030361</v>
      </c>
      <c r="H4706" s="81">
        <v>12.883376314459801</v>
      </c>
    </row>
    <row r="4707" spans="1:8" x14ac:dyDescent="0.3">
      <c r="A4707" s="74" t="str">
        <f t="shared" si="73"/>
        <v>广东46285</v>
      </c>
      <c r="B4707" s="75" t="s">
        <v>29</v>
      </c>
      <c r="C4707" s="45">
        <v>46285</v>
      </c>
      <c r="D4707" s="76">
        <v>1803.26864371242</v>
      </c>
      <c r="E4707" s="77">
        <v>125</v>
      </c>
      <c r="F4707" s="78">
        <v>12.6584149030361</v>
      </c>
      <c r="G4707" s="78">
        <v>12.6584149030361</v>
      </c>
      <c r="H4707" s="81">
        <v>12.883376314459801</v>
      </c>
    </row>
    <row r="4708" spans="1:8" x14ac:dyDescent="0.3">
      <c r="A4708" s="74" t="str">
        <f t="shared" si="73"/>
        <v>广东46286</v>
      </c>
      <c r="B4708" s="75" t="s">
        <v>29</v>
      </c>
      <c r="C4708" s="45">
        <v>46286</v>
      </c>
      <c r="D4708" s="76">
        <v>1803.26864371242</v>
      </c>
      <c r="E4708" s="77">
        <v>125</v>
      </c>
      <c r="F4708" s="78">
        <v>12.6584149030361</v>
      </c>
      <c r="G4708" s="78">
        <v>12.6584149030361</v>
      </c>
      <c r="H4708" s="81">
        <v>12.883376314459801</v>
      </c>
    </row>
    <row r="4709" spans="1:8" x14ac:dyDescent="0.3">
      <c r="A4709" s="74" t="str">
        <f t="shared" si="73"/>
        <v>广东46287</v>
      </c>
      <c r="B4709" s="75" t="s">
        <v>29</v>
      </c>
      <c r="C4709" s="45">
        <v>46287</v>
      </c>
      <c r="D4709" s="76">
        <v>1803.26864371242</v>
      </c>
      <c r="E4709" s="77">
        <v>125</v>
      </c>
      <c r="F4709" s="78">
        <v>12.6584149030361</v>
      </c>
      <c r="G4709" s="78">
        <v>12.6584149030361</v>
      </c>
      <c r="H4709" s="81">
        <v>12.883376314459801</v>
      </c>
    </row>
    <row r="4710" spans="1:8" x14ac:dyDescent="0.3">
      <c r="A4710" s="74" t="str">
        <f t="shared" si="73"/>
        <v>广东46288</v>
      </c>
      <c r="B4710" s="75" t="s">
        <v>29</v>
      </c>
      <c r="C4710" s="45">
        <v>46288</v>
      </c>
      <c r="D4710" s="76">
        <v>1803.26864371242</v>
      </c>
      <c r="E4710" s="77">
        <v>125</v>
      </c>
      <c r="F4710" s="78">
        <v>12.6584149030361</v>
      </c>
      <c r="G4710" s="78">
        <v>12.6584149030361</v>
      </c>
      <c r="H4710" s="81">
        <v>12.883376314459801</v>
      </c>
    </row>
    <row r="4711" spans="1:8" x14ac:dyDescent="0.3">
      <c r="A4711" s="74" t="str">
        <f t="shared" si="73"/>
        <v>广东46289</v>
      </c>
      <c r="B4711" s="75" t="s">
        <v>29</v>
      </c>
      <c r="C4711" s="45">
        <v>46289</v>
      </c>
      <c r="D4711" s="76">
        <v>1803.26864371242</v>
      </c>
      <c r="E4711" s="77">
        <v>125</v>
      </c>
      <c r="F4711" s="78">
        <v>12.6584149030361</v>
      </c>
      <c r="G4711" s="78">
        <v>12.6584149030361</v>
      </c>
      <c r="H4711" s="81">
        <v>12.883376314459801</v>
      </c>
    </row>
    <row r="4712" spans="1:8" x14ac:dyDescent="0.3">
      <c r="A4712" s="74" t="str">
        <f t="shared" si="73"/>
        <v>广东46290</v>
      </c>
      <c r="B4712" s="75" t="s">
        <v>29</v>
      </c>
      <c r="C4712" s="45">
        <v>46290</v>
      </c>
      <c r="D4712" s="76">
        <v>1803.26864371242</v>
      </c>
      <c r="E4712" s="77">
        <v>125</v>
      </c>
      <c r="F4712" s="78">
        <v>12.6584149030361</v>
      </c>
      <c r="G4712" s="78">
        <v>12.6584149030361</v>
      </c>
      <c r="H4712" s="81">
        <v>12.883376314459801</v>
      </c>
    </row>
    <row r="4713" spans="1:8" x14ac:dyDescent="0.3">
      <c r="A4713" s="74" t="str">
        <f t="shared" si="73"/>
        <v>广东46291</v>
      </c>
      <c r="B4713" s="75" t="s">
        <v>29</v>
      </c>
      <c r="C4713" s="45">
        <v>46291</v>
      </c>
      <c r="D4713" s="76">
        <v>1803.26864371242</v>
      </c>
      <c r="E4713" s="77">
        <v>125</v>
      </c>
      <c r="F4713" s="78">
        <v>12.6584149030361</v>
      </c>
      <c r="G4713" s="78">
        <v>12.6584149030361</v>
      </c>
      <c r="H4713" s="81">
        <v>12.883376314459801</v>
      </c>
    </row>
    <row r="4714" spans="1:8" x14ac:dyDescent="0.3">
      <c r="A4714" s="74" t="str">
        <f t="shared" si="73"/>
        <v>广东46292</v>
      </c>
      <c r="B4714" s="75" t="s">
        <v>29</v>
      </c>
      <c r="C4714" s="45">
        <v>46292</v>
      </c>
      <c r="D4714" s="76">
        <v>1803.26864371242</v>
      </c>
      <c r="E4714" s="77">
        <v>125</v>
      </c>
      <c r="F4714" s="78">
        <v>12.6584149030361</v>
      </c>
      <c r="G4714" s="78">
        <v>12.6584149030361</v>
      </c>
      <c r="H4714" s="81">
        <v>12.883376314459801</v>
      </c>
    </row>
    <row r="4715" spans="1:8" x14ac:dyDescent="0.3">
      <c r="A4715" s="74" t="str">
        <f t="shared" si="73"/>
        <v>广东46293</v>
      </c>
      <c r="B4715" s="75" t="s">
        <v>29</v>
      </c>
      <c r="C4715" s="45">
        <v>46293</v>
      </c>
      <c r="D4715" s="76">
        <v>1803.26864371242</v>
      </c>
      <c r="E4715" s="77">
        <v>125</v>
      </c>
      <c r="F4715" s="78">
        <v>12.6584149030361</v>
      </c>
      <c r="G4715" s="78">
        <v>12.6584149030361</v>
      </c>
      <c r="H4715" s="81">
        <v>12.883376314459801</v>
      </c>
    </row>
    <row r="4716" spans="1:8" x14ac:dyDescent="0.3">
      <c r="A4716" s="74" t="str">
        <f t="shared" si="73"/>
        <v>广东46294</v>
      </c>
      <c r="B4716" s="75" t="s">
        <v>29</v>
      </c>
      <c r="C4716" s="45">
        <v>46294</v>
      </c>
      <c r="D4716" s="76">
        <v>1803.26864371242</v>
      </c>
      <c r="E4716" s="77">
        <v>125</v>
      </c>
      <c r="F4716" s="78">
        <v>12.6584149030361</v>
      </c>
      <c r="G4716" s="78">
        <v>12.6584149030361</v>
      </c>
      <c r="H4716" s="81">
        <v>12.883376314459801</v>
      </c>
    </row>
    <row r="4717" spans="1:8" x14ac:dyDescent="0.3">
      <c r="A4717" s="74" t="str">
        <f t="shared" si="73"/>
        <v>广东46295</v>
      </c>
      <c r="B4717" s="75" t="s">
        <v>29</v>
      </c>
      <c r="C4717" s="45">
        <v>46295</v>
      </c>
      <c r="D4717" s="76">
        <v>1803.26864371242</v>
      </c>
      <c r="E4717" s="77">
        <v>125</v>
      </c>
      <c r="F4717" s="78">
        <v>12.6584149030361</v>
      </c>
      <c r="G4717" s="78">
        <v>12.6584149030361</v>
      </c>
      <c r="H4717" s="81">
        <v>12.883376314459801</v>
      </c>
    </row>
    <row r="4718" spans="1:8" x14ac:dyDescent="0.3">
      <c r="A4718" s="74" t="str">
        <f t="shared" si="73"/>
        <v>广东46296</v>
      </c>
      <c r="B4718" s="75" t="s">
        <v>29</v>
      </c>
      <c r="C4718" s="45">
        <v>46296</v>
      </c>
      <c r="D4718" s="76">
        <v>2195.0029190394298</v>
      </c>
      <c r="E4718" s="77">
        <v>125</v>
      </c>
      <c r="F4718" s="78">
        <v>12.874970915813099</v>
      </c>
      <c r="G4718" s="78">
        <v>12.874970915813099</v>
      </c>
      <c r="H4718" s="81">
        <v>12.960215537011299</v>
      </c>
    </row>
    <row r="4719" spans="1:8" x14ac:dyDescent="0.3">
      <c r="A4719" s="74" t="str">
        <f t="shared" si="73"/>
        <v>广东46297</v>
      </c>
      <c r="B4719" s="75" t="s">
        <v>29</v>
      </c>
      <c r="C4719" s="45">
        <v>46297</v>
      </c>
      <c r="D4719" s="76">
        <v>2195.0029190394298</v>
      </c>
      <c r="E4719" s="77">
        <v>125</v>
      </c>
      <c r="F4719" s="78">
        <v>12.874970915813099</v>
      </c>
      <c r="G4719" s="78">
        <v>12.874970915813099</v>
      </c>
      <c r="H4719" s="81">
        <v>12.960215537011299</v>
      </c>
    </row>
    <row r="4720" spans="1:8" x14ac:dyDescent="0.3">
      <c r="A4720" s="74" t="str">
        <f t="shared" si="73"/>
        <v>广东46298</v>
      </c>
      <c r="B4720" s="75" t="s">
        <v>29</v>
      </c>
      <c r="C4720" s="45">
        <v>46298</v>
      </c>
      <c r="D4720" s="76">
        <v>2195.0029190394298</v>
      </c>
      <c r="E4720" s="77">
        <v>125</v>
      </c>
      <c r="F4720" s="78">
        <v>12.874970915813099</v>
      </c>
      <c r="G4720" s="78">
        <v>12.874970915813099</v>
      </c>
      <c r="H4720" s="81">
        <v>12.960215537011299</v>
      </c>
    </row>
    <row r="4721" spans="1:8" x14ac:dyDescent="0.3">
      <c r="A4721" s="74" t="str">
        <f t="shared" si="73"/>
        <v>广东46299</v>
      </c>
      <c r="B4721" s="75" t="s">
        <v>29</v>
      </c>
      <c r="C4721" s="45">
        <v>46299</v>
      </c>
      <c r="D4721" s="76">
        <v>2195.0029190394298</v>
      </c>
      <c r="E4721" s="77">
        <v>125</v>
      </c>
      <c r="F4721" s="78">
        <v>12.874970915813099</v>
      </c>
      <c r="G4721" s="78">
        <v>12.874970915813099</v>
      </c>
      <c r="H4721" s="81">
        <v>12.960215537011299</v>
      </c>
    </row>
    <row r="4722" spans="1:8" x14ac:dyDescent="0.3">
      <c r="A4722" s="74" t="str">
        <f t="shared" si="73"/>
        <v>广东46300</v>
      </c>
      <c r="B4722" s="75" t="s">
        <v>29</v>
      </c>
      <c r="C4722" s="45">
        <v>46300</v>
      </c>
      <c r="D4722" s="76">
        <v>2195.0029190394298</v>
      </c>
      <c r="E4722" s="77">
        <v>125</v>
      </c>
      <c r="F4722" s="78">
        <v>12.874970915813099</v>
      </c>
      <c r="G4722" s="78">
        <v>12.874970915813099</v>
      </c>
      <c r="H4722" s="81">
        <v>12.960215537011299</v>
      </c>
    </row>
    <row r="4723" spans="1:8" x14ac:dyDescent="0.3">
      <c r="A4723" s="74" t="str">
        <f t="shared" si="73"/>
        <v>广东46301</v>
      </c>
      <c r="B4723" s="75" t="s">
        <v>29</v>
      </c>
      <c r="C4723" s="45">
        <v>46301</v>
      </c>
      <c r="D4723" s="76">
        <v>2195.0029190394298</v>
      </c>
      <c r="E4723" s="77">
        <v>125</v>
      </c>
      <c r="F4723" s="78">
        <v>12.874970915813099</v>
      </c>
      <c r="G4723" s="78">
        <v>12.874970915813099</v>
      </c>
      <c r="H4723" s="81">
        <v>12.960215537011299</v>
      </c>
    </row>
    <row r="4724" spans="1:8" x14ac:dyDescent="0.3">
      <c r="A4724" s="74" t="str">
        <f t="shared" si="73"/>
        <v>广东46302</v>
      </c>
      <c r="B4724" s="75" t="s">
        <v>29</v>
      </c>
      <c r="C4724" s="45">
        <v>46302</v>
      </c>
      <c r="D4724" s="76">
        <v>2195.0029190394298</v>
      </c>
      <c r="E4724" s="77">
        <v>125</v>
      </c>
      <c r="F4724" s="78">
        <v>12.874970915813099</v>
      </c>
      <c r="G4724" s="78">
        <v>12.874970915813099</v>
      </c>
      <c r="H4724" s="81">
        <v>12.960215537011299</v>
      </c>
    </row>
    <row r="4725" spans="1:8" x14ac:dyDescent="0.3">
      <c r="A4725" s="74" t="str">
        <f t="shared" si="73"/>
        <v>广东46303</v>
      </c>
      <c r="B4725" s="75" t="s">
        <v>29</v>
      </c>
      <c r="C4725" s="45">
        <v>46303</v>
      </c>
      <c r="D4725" s="76">
        <v>2195.0029190394298</v>
      </c>
      <c r="E4725" s="77">
        <v>125</v>
      </c>
      <c r="F4725" s="78">
        <v>12.874970915813099</v>
      </c>
      <c r="G4725" s="78">
        <v>12.874970915813099</v>
      </c>
      <c r="H4725" s="81">
        <v>12.960215537011299</v>
      </c>
    </row>
    <row r="4726" spans="1:8" x14ac:dyDescent="0.3">
      <c r="A4726" s="74" t="str">
        <f t="shared" si="73"/>
        <v>广东46304</v>
      </c>
      <c r="B4726" s="75" t="s">
        <v>29</v>
      </c>
      <c r="C4726" s="45">
        <v>46304</v>
      </c>
      <c r="D4726" s="76">
        <v>2195.0029190394298</v>
      </c>
      <c r="E4726" s="77">
        <v>125</v>
      </c>
      <c r="F4726" s="78">
        <v>12.874970915813099</v>
      </c>
      <c r="G4726" s="78">
        <v>12.874970915813099</v>
      </c>
      <c r="H4726" s="81">
        <v>12.960215537011299</v>
      </c>
    </row>
    <row r="4727" spans="1:8" x14ac:dyDescent="0.3">
      <c r="A4727" s="74" t="str">
        <f t="shared" si="73"/>
        <v>广东46305</v>
      </c>
      <c r="B4727" s="75" t="s">
        <v>29</v>
      </c>
      <c r="C4727" s="45">
        <v>46305</v>
      </c>
      <c r="D4727" s="76">
        <v>2195.0029190394298</v>
      </c>
      <c r="E4727" s="77">
        <v>125</v>
      </c>
      <c r="F4727" s="78">
        <v>12.874970915813099</v>
      </c>
      <c r="G4727" s="78">
        <v>12.874970915813099</v>
      </c>
      <c r="H4727" s="81">
        <v>12.960215537011299</v>
      </c>
    </row>
    <row r="4728" spans="1:8" x14ac:dyDescent="0.3">
      <c r="A4728" s="74" t="str">
        <f t="shared" si="73"/>
        <v>广东46306</v>
      </c>
      <c r="B4728" s="75" t="s">
        <v>29</v>
      </c>
      <c r="C4728" s="45">
        <v>46306</v>
      </c>
      <c r="D4728" s="76">
        <v>2195.0029190394298</v>
      </c>
      <c r="E4728" s="77">
        <v>125</v>
      </c>
      <c r="F4728" s="78">
        <v>12.874970915813099</v>
      </c>
      <c r="G4728" s="78">
        <v>12.874970915813099</v>
      </c>
      <c r="H4728" s="81">
        <v>12.960215537011299</v>
      </c>
    </row>
    <row r="4729" spans="1:8" x14ac:dyDescent="0.3">
      <c r="A4729" s="74" t="str">
        <f t="shared" si="73"/>
        <v>广东46307</v>
      </c>
      <c r="B4729" s="75" t="s">
        <v>29</v>
      </c>
      <c r="C4729" s="45">
        <v>46307</v>
      </c>
      <c r="D4729" s="76">
        <v>2195.0029190394298</v>
      </c>
      <c r="E4729" s="77">
        <v>125</v>
      </c>
      <c r="F4729" s="78">
        <v>12.874970915813099</v>
      </c>
      <c r="G4729" s="78">
        <v>12.874970915813099</v>
      </c>
      <c r="H4729" s="81">
        <v>12.960215537011299</v>
      </c>
    </row>
    <row r="4730" spans="1:8" x14ac:dyDescent="0.3">
      <c r="A4730" s="74" t="str">
        <f t="shared" si="73"/>
        <v>广东46308</v>
      </c>
      <c r="B4730" s="75" t="s">
        <v>29</v>
      </c>
      <c r="C4730" s="45">
        <v>46308</v>
      </c>
      <c r="D4730" s="76">
        <v>2195.0029190394298</v>
      </c>
      <c r="E4730" s="77">
        <v>125</v>
      </c>
      <c r="F4730" s="78">
        <v>12.874970915813099</v>
      </c>
      <c r="G4730" s="78">
        <v>12.874970915813099</v>
      </c>
      <c r="H4730" s="81">
        <v>12.960215537011299</v>
      </c>
    </row>
    <row r="4731" spans="1:8" x14ac:dyDescent="0.3">
      <c r="A4731" s="74" t="str">
        <f t="shared" si="73"/>
        <v>广东46309</v>
      </c>
      <c r="B4731" s="75" t="s">
        <v>29</v>
      </c>
      <c r="C4731" s="45">
        <v>46309</v>
      </c>
      <c r="D4731" s="76">
        <v>2195.0029190394298</v>
      </c>
      <c r="E4731" s="77">
        <v>125</v>
      </c>
      <c r="F4731" s="78">
        <v>12.874970915813099</v>
      </c>
      <c r="G4731" s="78">
        <v>12.874970915813099</v>
      </c>
      <c r="H4731" s="81">
        <v>12.960215537011299</v>
      </c>
    </row>
    <row r="4732" spans="1:8" x14ac:dyDescent="0.3">
      <c r="A4732" s="74" t="str">
        <f t="shared" si="73"/>
        <v>广东46310</v>
      </c>
      <c r="B4732" s="75" t="s">
        <v>29</v>
      </c>
      <c r="C4732" s="45">
        <v>46310</v>
      </c>
      <c r="D4732" s="76">
        <v>2195.0029190394298</v>
      </c>
      <c r="E4732" s="77">
        <v>125</v>
      </c>
      <c r="F4732" s="78">
        <v>12.874970915813099</v>
      </c>
      <c r="G4732" s="78">
        <v>12.874970915813099</v>
      </c>
      <c r="H4732" s="81">
        <v>12.960215537011299</v>
      </c>
    </row>
    <row r="4733" spans="1:8" x14ac:dyDescent="0.3">
      <c r="A4733" s="74" t="str">
        <f t="shared" si="73"/>
        <v>广东46311</v>
      </c>
      <c r="B4733" s="75" t="s">
        <v>29</v>
      </c>
      <c r="C4733" s="45">
        <v>46311</v>
      </c>
      <c r="D4733" s="76">
        <v>2195.0029190394298</v>
      </c>
      <c r="E4733" s="77">
        <v>125</v>
      </c>
      <c r="F4733" s="78">
        <v>12.874970915813099</v>
      </c>
      <c r="G4733" s="78">
        <v>12.874970915813099</v>
      </c>
      <c r="H4733" s="81">
        <v>12.960215537011299</v>
      </c>
    </row>
    <row r="4734" spans="1:8" x14ac:dyDescent="0.3">
      <c r="A4734" s="74" t="str">
        <f t="shared" si="73"/>
        <v>广东46312</v>
      </c>
      <c r="B4734" s="75" t="s">
        <v>29</v>
      </c>
      <c r="C4734" s="45">
        <v>46312</v>
      </c>
      <c r="D4734" s="76">
        <v>2195.0029190394298</v>
      </c>
      <c r="E4734" s="77">
        <v>125</v>
      </c>
      <c r="F4734" s="78">
        <v>12.874970915813099</v>
      </c>
      <c r="G4734" s="78">
        <v>12.874970915813099</v>
      </c>
      <c r="H4734" s="81">
        <v>12.960215537011299</v>
      </c>
    </row>
    <row r="4735" spans="1:8" x14ac:dyDescent="0.3">
      <c r="A4735" s="74" t="str">
        <f t="shared" si="73"/>
        <v>广东46313</v>
      </c>
      <c r="B4735" s="75" t="s">
        <v>29</v>
      </c>
      <c r="C4735" s="45">
        <v>46313</v>
      </c>
      <c r="D4735" s="76">
        <v>2195.0029190394298</v>
      </c>
      <c r="E4735" s="77">
        <v>125</v>
      </c>
      <c r="F4735" s="78">
        <v>12.874970915813099</v>
      </c>
      <c r="G4735" s="78">
        <v>12.874970915813099</v>
      </c>
      <c r="H4735" s="81">
        <v>12.960215537011299</v>
      </c>
    </row>
    <row r="4736" spans="1:8" x14ac:dyDescent="0.3">
      <c r="A4736" s="74" t="str">
        <f t="shared" si="73"/>
        <v>广东46314</v>
      </c>
      <c r="B4736" s="75" t="s">
        <v>29</v>
      </c>
      <c r="C4736" s="45">
        <v>46314</v>
      </c>
      <c r="D4736" s="76">
        <v>2195.0029190394298</v>
      </c>
      <c r="E4736" s="77">
        <v>125</v>
      </c>
      <c r="F4736" s="78">
        <v>12.874970915813099</v>
      </c>
      <c r="G4736" s="78">
        <v>12.874970915813099</v>
      </c>
      <c r="H4736" s="81">
        <v>12.960215537011299</v>
      </c>
    </row>
    <row r="4737" spans="1:8" x14ac:dyDescent="0.3">
      <c r="A4737" s="74" t="str">
        <f t="shared" si="73"/>
        <v>广东46315</v>
      </c>
      <c r="B4737" s="75" t="s">
        <v>29</v>
      </c>
      <c r="C4737" s="45">
        <v>46315</v>
      </c>
      <c r="D4737" s="76">
        <v>2195.0029190394298</v>
      </c>
      <c r="E4737" s="77">
        <v>125</v>
      </c>
      <c r="F4737" s="78">
        <v>12.874970915813099</v>
      </c>
      <c r="G4737" s="78">
        <v>12.874970915813099</v>
      </c>
      <c r="H4737" s="81">
        <v>12.960215537011299</v>
      </c>
    </row>
    <row r="4738" spans="1:8" x14ac:dyDescent="0.3">
      <c r="A4738" s="74" t="str">
        <f t="shared" si="73"/>
        <v>广东46316</v>
      </c>
      <c r="B4738" s="75" t="s">
        <v>29</v>
      </c>
      <c r="C4738" s="45">
        <v>46316</v>
      </c>
      <c r="D4738" s="76">
        <v>2195.0029190394298</v>
      </c>
      <c r="E4738" s="77">
        <v>125</v>
      </c>
      <c r="F4738" s="78">
        <v>12.874970915813099</v>
      </c>
      <c r="G4738" s="78">
        <v>12.874970915813099</v>
      </c>
      <c r="H4738" s="81">
        <v>12.960215537011299</v>
      </c>
    </row>
    <row r="4739" spans="1:8" x14ac:dyDescent="0.3">
      <c r="A4739" s="74" t="str">
        <f t="shared" ref="A4739:A4802" si="74">B4739&amp;C4739</f>
        <v>广东46317</v>
      </c>
      <c r="B4739" s="75" t="s">
        <v>29</v>
      </c>
      <c r="C4739" s="45">
        <v>46317</v>
      </c>
      <c r="D4739" s="76">
        <v>2195.0029190394298</v>
      </c>
      <c r="E4739" s="77">
        <v>125</v>
      </c>
      <c r="F4739" s="78">
        <v>12.874970915813099</v>
      </c>
      <c r="G4739" s="78">
        <v>12.874970915813099</v>
      </c>
      <c r="H4739" s="81">
        <v>12.960215537011299</v>
      </c>
    </row>
    <row r="4740" spans="1:8" x14ac:dyDescent="0.3">
      <c r="A4740" s="74" t="str">
        <f t="shared" si="74"/>
        <v>广东46318</v>
      </c>
      <c r="B4740" s="75" t="s">
        <v>29</v>
      </c>
      <c r="C4740" s="45">
        <v>46318</v>
      </c>
      <c r="D4740" s="76">
        <v>2195.0029190394298</v>
      </c>
      <c r="E4740" s="77">
        <v>125</v>
      </c>
      <c r="F4740" s="78">
        <v>12.874970915813099</v>
      </c>
      <c r="G4740" s="78">
        <v>12.874970915813099</v>
      </c>
      <c r="H4740" s="81">
        <v>12.960215537011299</v>
      </c>
    </row>
    <row r="4741" spans="1:8" x14ac:dyDescent="0.3">
      <c r="A4741" s="74" t="str">
        <f t="shared" si="74"/>
        <v>广东46319</v>
      </c>
      <c r="B4741" s="75" t="s">
        <v>29</v>
      </c>
      <c r="C4741" s="45">
        <v>46319</v>
      </c>
      <c r="D4741" s="76">
        <v>2195.0029190394298</v>
      </c>
      <c r="E4741" s="77">
        <v>125</v>
      </c>
      <c r="F4741" s="78">
        <v>12.874970915813099</v>
      </c>
      <c r="G4741" s="78">
        <v>12.874970915813099</v>
      </c>
      <c r="H4741" s="81">
        <v>12.960215537011299</v>
      </c>
    </row>
    <row r="4742" spans="1:8" x14ac:dyDescent="0.3">
      <c r="A4742" s="74" t="str">
        <f t="shared" si="74"/>
        <v>广东46320</v>
      </c>
      <c r="B4742" s="75" t="s">
        <v>29</v>
      </c>
      <c r="C4742" s="45">
        <v>46320</v>
      </c>
      <c r="D4742" s="76">
        <v>2195.0029190394298</v>
      </c>
      <c r="E4742" s="77">
        <v>125</v>
      </c>
      <c r="F4742" s="78">
        <v>12.874970915813099</v>
      </c>
      <c r="G4742" s="78">
        <v>12.874970915813099</v>
      </c>
      <c r="H4742" s="81">
        <v>12.960215537011299</v>
      </c>
    </row>
    <row r="4743" spans="1:8" x14ac:dyDescent="0.3">
      <c r="A4743" s="74" t="str">
        <f t="shared" si="74"/>
        <v>广东46321</v>
      </c>
      <c r="B4743" s="75" t="s">
        <v>29</v>
      </c>
      <c r="C4743" s="45">
        <v>46321</v>
      </c>
      <c r="D4743" s="76">
        <v>2195.0029190394298</v>
      </c>
      <c r="E4743" s="77">
        <v>125</v>
      </c>
      <c r="F4743" s="78">
        <v>12.874970915813099</v>
      </c>
      <c r="G4743" s="78">
        <v>12.874970915813099</v>
      </c>
      <c r="H4743" s="81">
        <v>12.960215537011299</v>
      </c>
    </row>
    <row r="4744" spans="1:8" x14ac:dyDescent="0.3">
      <c r="A4744" s="74" t="str">
        <f t="shared" si="74"/>
        <v>广东46322</v>
      </c>
      <c r="B4744" s="75" t="s">
        <v>29</v>
      </c>
      <c r="C4744" s="45">
        <v>46322</v>
      </c>
      <c r="D4744" s="76">
        <v>2195.0029190394298</v>
      </c>
      <c r="E4744" s="77">
        <v>125</v>
      </c>
      <c r="F4744" s="78">
        <v>12.874970915813099</v>
      </c>
      <c r="G4744" s="78">
        <v>12.874970915813099</v>
      </c>
      <c r="H4744" s="81">
        <v>12.960215537011299</v>
      </c>
    </row>
    <row r="4745" spans="1:8" x14ac:dyDescent="0.3">
      <c r="A4745" s="74" t="str">
        <f t="shared" si="74"/>
        <v>广东46323</v>
      </c>
      <c r="B4745" s="75" t="s">
        <v>29</v>
      </c>
      <c r="C4745" s="45">
        <v>46323</v>
      </c>
      <c r="D4745" s="76">
        <v>2195.0029190394298</v>
      </c>
      <c r="E4745" s="77">
        <v>125</v>
      </c>
      <c r="F4745" s="78">
        <v>12.874970915813099</v>
      </c>
      <c r="G4745" s="78">
        <v>12.874970915813099</v>
      </c>
      <c r="H4745" s="81">
        <v>12.960215537011299</v>
      </c>
    </row>
    <row r="4746" spans="1:8" x14ac:dyDescent="0.3">
      <c r="A4746" s="74" t="str">
        <f t="shared" si="74"/>
        <v>广东46324</v>
      </c>
      <c r="B4746" s="75" t="s">
        <v>29</v>
      </c>
      <c r="C4746" s="45">
        <v>46324</v>
      </c>
      <c r="D4746" s="76">
        <v>2195.0029190394298</v>
      </c>
      <c r="E4746" s="77">
        <v>125</v>
      </c>
      <c r="F4746" s="78">
        <v>12.874970915813099</v>
      </c>
      <c r="G4746" s="78">
        <v>12.874970915813099</v>
      </c>
      <c r="H4746" s="81">
        <v>12.960215537011299</v>
      </c>
    </row>
    <row r="4747" spans="1:8" x14ac:dyDescent="0.3">
      <c r="A4747" s="74" t="str">
        <f t="shared" si="74"/>
        <v>广东46325</v>
      </c>
      <c r="B4747" s="75" t="s">
        <v>29</v>
      </c>
      <c r="C4747" s="45">
        <v>46325</v>
      </c>
      <c r="D4747" s="76">
        <v>2195.0029190394298</v>
      </c>
      <c r="E4747" s="77">
        <v>125</v>
      </c>
      <c r="F4747" s="78">
        <v>12.874970915813099</v>
      </c>
      <c r="G4747" s="78">
        <v>12.874970915813099</v>
      </c>
      <c r="H4747" s="81">
        <v>12.960215537011299</v>
      </c>
    </row>
    <row r="4748" spans="1:8" x14ac:dyDescent="0.3">
      <c r="A4748" s="74" t="str">
        <f t="shared" si="74"/>
        <v>广东46326</v>
      </c>
      <c r="B4748" s="75" t="s">
        <v>29</v>
      </c>
      <c r="C4748" s="45">
        <v>46326</v>
      </c>
      <c r="D4748" s="76">
        <v>2195.0029190394298</v>
      </c>
      <c r="E4748" s="77">
        <v>125</v>
      </c>
      <c r="F4748" s="78">
        <v>12.874970915813099</v>
      </c>
      <c r="G4748" s="78">
        <v>12.874970915813099</v>
      </c>
      <c r="H4748" s="81">
        <v>12.960215537011299</v>
      </c>
    </row>
    <row r="4749" spans="1:8" x14ac:dyDescent="0.3">
      <c r="A4749" s="74" t="str">
        <f t="shared" si="74"/>
        <v>广东46327</v>
      </c>
      <c r="B4749" s="75" t="s">
        <v>29</v>
      </c>
      <c r="C4749" s="45">
        <v>46327</v>
      </c>
      <c r="D4749" s="76">
        <v>1790.4587305452401</v>
      </c>
      <c r="E4749" s="77">
        <v>125</v>
      </c>
      <c r="F4749" s="78">
        <v>13.173493981957</v>
      </c>
      <c r="G4749" s="78">
        <v>13.173493981957</v>
      </c>
      <c r="H4749" s="81">
        <v>13.0370547595627</v>
      </c>
    </row>
    <row r="4750" spans="1:8" x14ac:dyDescent="0.3">
      <c r="A4750" s="74" t="str">
        <f t="shared" si="74"/>
        <v>广东46328</v>
      </c>
      <c r="B4750" s="75" t="s">
        <v>29</v>
      </c>
      <c r="C4750" s="45">
        <v>46328</v>
      </c>
      <c r="D4750" s="76">
        <v>1790.4587305452401</v>
      </c>
      <c r="E4750" s="77">
        <v>125</v>
      </c>
      <c r="F4750" s="78">
        <v>13.173493981957</v>
      </c>
      <c r="G4750" s="78">
        <v>13.173493981957</v>
      </c>
      <c r="H4750" s="81">
        <v>13.0370547595627</v>
      </c>
    </row>
    <row r="4751" spans="1:8" x14ac:dyDescent="0.3">
      <c r="A4751" s="74" t="str">
        <f t="shared" si="74"/>
        <v>广东46329</v>
      </c>
      <c r="B4751" s="75" t="s">
        <v>29</v>
      </c>
      <c r="C4751" s="45">
        <v>46329</v>
      </c>
      <c r="D4751" s="76">
        <v>1790.4587305452401</v>
      </c>
      <c r="E4751" s="77">
        <v>125</v>
      </c>
      <c r="F4751" s="78">
        <v>13.173493981957</v>
      </c>
      <c r="G4751" s="78">
        <v>13.173493981957</v>
      </c>
      <c r="H4751" s="81">
        <v>13.0370547595627</v>
      </c>
    </row>
    <row r="4752" spans="1:8" x14ac:dyDescent="0.3">
      <c r="A4752" s="74" t="str">
        <f t="shared" si="74"/>
        <v>广东46330</v>
      </c>
      <c r="B4752" s="75" t="s">
        <v>29</v>
      </c>
      <c r="C4752" s="45">
        <v>46330</v>
      </c>
      <c r="D4752" s="76">
        <v>1790.4587305452401</v>
      </c>
      <c r="E4752" s="77">
        <v>125</v>
      </c>
      <c r="F4752" s="78">
        <v>13.173493981957</v>
      </c>
      <c r="G4752" s="78">
        <v>13.173493981957</v>
      </c>
      <c r="H4752" s="81">
        <v>13.0370547595627</v>
      </c>
    </row>
    <row r="4753" spans="1:8" x14ac:dyDescent="0.3">
      <c r="A4753" s="74" t="str">
        <f t="shared" si="74"/>
        <v>广东46331</v>
      </c>
      <c r="B4753" s="75" t="s">
        <v>29</v>
      </c>
      <c r="C4753" s="45">
        <v>46331</v>
      </c>
      <c r="D4753" s="76">
        <v>1790.4587305452401</v>
      </c>
      <c r="E4753" s="77">
        <v>125</v>
      </c>
      <c r="F4753" s="78">
        <v>13.173493981957</v>
      </c>
      <c r="G4753" s="78">
        <v>13.173493981957</v>
      </c>
      <c r="H4753" s="81">
        <v>13.0370547595627</v>
      </c>
    </row>
    <row r="4754" spans="1:8" x14ac:dyDescent="0.3">
      <c r="A4754" s="74" t="str">
        <f t="shared" si="74"/>
        <v>广东46332</v>
      </c>
      <c r="B4754" s="75" t="s">
        <v>29</v>
      </c>
      <c r="C4754" s="45">
        <v>46332</v>
      </c>
      <c r="D4754" s="76">
        <v>1790.4587305452401</v>
      </c>
      <c r="E4754" s="77">
        <v>125</v>
      </c>
      <c r="F4754" s="78">
        <v>13.173493981957</v>
      </c>
      <c r="G4754" s="78">
        <v>13.173493981957</v>
      </c>
      <c r="H4754" s="81">
        <v>13.0370547595627</v>
      </c>
    </row>
    <row r="4755" spans="1:8" x14ac:dyDescent="0.3">
      <c r="A4755" s="74" t="str">
        <f t="shared" si="74"/>
        <v>广东46333</v>
      </c>
      <c r="B4755" s="75" t="s">
        <v>29</v>
      </c>
      <c r="C4755" s="45">
        <v>46333</v>
      </c>
      <c r="D4755" s="76">
        <v>1790.4587305452401</v>
      </c>
      <c r="E4755" s="77">
        <v>125</v>
      </c>
      <c r="F4755" s="78">
        <v>13.173493981957</v>
      </c>
      <c r="G4755" s="78">
        <v>13.173493981957</v>
      </c>
      <c r="H4755" s="81">
        <v>13.0370547595627</v>
      </c>
    </row>
    <row r="4756" spans="1:8" x14ac:dyDescent="0.3">
      <c r="A4756" s="74" t="str">
        <f t="shared" si="74"/>
        <v>广东46334</v>
      </c>
      <c r="B4756" s="75" t="s">
        <v>29</v>
      </c>
      <c r="C4756" s="45">
        <v>46334</v>
      </c>
      <c r="D4756" s="76">
        <v>1790.4587305452401</v>
      </c>
      <c r="E4756" s="77">
        <v>125</v>
      </c>
      <c r="F4756" s="78">
        <v>13.173493981957</v>
      </c>
      <c r="G4756" s="78">
        <v>13.173493981957</v>
      </c>
      <c r="H4756" s="81">
        <v>13.0370547595627</v>
      </c>
    </row>
    <row r="4757" spans="1:8" x14ac:dyDescent="0.3">
      <c r="A4757" s="74" t="str">
        <f t="shared" si="74"/>
        <v>广东46335</v>
      </c>
      <c r="B4757" s="75" t="s">
        <v>29</v>
      </c>
      <c r="C4757" s="45">
        <v>46335</v>
      </c>
      <c r="D4757" s="76">
        <v>1790.4587305452401</v>
      </c>
      <c r="E4757" s="77">
        <v>125</v>
      </c>
      <c r="F4757" s="78">
        <v>13.173493981957</v>
      </c>
      <c r="G4757" s="78">
        <v>13.173493981957</v>
      </c>
      <c r="H4757" s="81">
        <v>13.0370547595627</v>
      </c>
    </row>
    <row r="4758" spans="1:8" x14ac:dyDescent="0.3">
      <c r="A4758" s="74" t="str">
        <f t="shared" si="74"/>
        <v>广东46336</v>
      </c>
      <c r="B4758" s="75" t="s">
        <v>29</v>
      </c>
      <c r="C4758" s="45">
        <v>46336</v>
      </c>
      <c r="D4758" s="76">
        <v>1790.4587305452401</v>
      </c>
      <c r="E4758" s="77">
        <v>125</v>
      </c>
      <c r="F4758" s="78">
        <v>13.173493981957</v>
      </c>
      <c r="G4758" s="78">
        <v>13.173493981957</v>
      </c>
      <c r="H4758" s="81">
        <v>13.0370547595627</v>
      </c>
    </row>
    <row r="4759" spans="1:8" x14ac:dyDescent="0.3">
      <c r="A4759" s="74" t="str">
        <f t="shared" si="74"/>
        <v>广东46337</v>
      </c>
      <c r="B4759" s="75" t="s">
        <v>29</v>
      </c>
      <c r="C4759" s="45">
        <v>46337</v>
      </c>
      <c r="D4759" s="76">
        <v>1790.4587305452401</v>
      </c>
      <c r="E4759" s="77">
        <v>125</v>
      </c>
      <c r="F4759" s="78">
        <v>13.173493981957</v>
      </c>
      <c r="G4759" s="78">
        <v>13.173493981957</v>
      </c>
      <c r="H4759" s="81">
        <v>13.0370547595627</v>
      </c>
    </row>
    <row r="4760" spans="1:8" x14ac:dyDescent="0.3">
      <c r="A4760" s="74" t="str">
        <f t="shared" si="74"/>
        <v>广东46338</v>
      </c>
      <c r="B4760" s="75" t="s">
        <v>29</v>
      </c>
      <c r="C4760" s="45">
        <v>46338</v>
      </c>
      <c r="D4760" s="76">
        <v>1790.4587305452401</v>
      </c>
      <c r="E4760" s="77">
        <v>125</v>
      </c>
      <c r="F4760" s="78">
        <v>13.173493981957</v>
      </c>
      <c r="G4760" s="78">
        <v>13.173493981957</v>
      </c>
      <c r="H4760" s="81">
        <v>13.0370547595627</v>
      </c>
    </row>
    <row r="4761" spans="1:8" x14ac:dyDescent="0.3">
      <c r="A4761" s="74" t="str">
        <f t="shared" si="74"/>
        <v>广东46339</v>
      </c>
      <c r="B4761" s="75" t="s">
        <v>29</v>
      </c>
      <c r="C4761" s="45">
        <v>46339</v>
      </c>
      <c r="D4761" s="76">
        <v>1790.4587305452401</v>
      </c>
      <c r="E4761" s="77">
        <v>125</v>
      </c>
      <c r="F4761" s="78">
        <v>13.173493981957</v>
      </c>
      <c r="G4761" s="78">
        <v>13.173493981957</v>
      </c>
      <c r="H4761" s="81">
        <v>13.0370547595627</v>
      </c>
    </row>
    <row r="4762" spans="1:8" x14ac:dyDescent="0.3">
      <c r="A4762" s="74" t="str">
        <f t="shared" si="74"/>
        <v>广东46340</v>
      </c>
      <c r="B4762" s="75" t="s">
        <v>29</v>
      </c>
      <c r="C4762" s="45">
        <v>46340</v>
      </c>
      <c r="D4762" s="76">
        <v>1790.4587305452401</v>
      </c>
      <c r="E4762" s="77">
        <v>125</v>
      </c>
      <c r="F4762" s="78">
        <v>13.173493981957</v>
      </c>
      <c r="G4762" s="78">
        <v>13.173493981957</v>
      </c>
      <c r="H4762" s="81">
        <v>13.0370547595627</v>
      </c>
    </row>
    <row r="4763" spans="1:8" x14ac:dyDescent="0.3">
      <c r="A4763" s="74" t="str">
        <f t="shared" si="74"/>
        <v>广东46341</v>
      </c>
      <c r="B4763" s="75" t="s">
        <v>29</v>
      </c>
      <c r="C4763" s="45">
        <v>46341</v>
      </c>
      <c r="D4763" s="76">
        <v>1790.4587305452401</v>
      </c>
      <c r="E4763" s="77">
        <v>125</v>
      </c>
      <c r="F4763" s="78">
        <v>13.173493981957</v>
      </c>
      <c r="G4763" s="78">
        <v>13.173493981957</v>
      </c>
      <c r="H4763" s="81">
        <v>13.0370547595627</v>
      </c>
    </row>
    <row r="4764" spans="1:8" x14ac:dyDescent="0.3">
      <c r="A4764" s="74" t="str">
        <f t="shared" si="74"/>
        <v>广东46342</v>
      </c>
      <c r="B4764" s="75" t="s">
        <v>29</v>
      </c>
      <c r="C4764" s="45">
        <v>46342</v>
      </c>
      <c r="D4764" s="76">
        <v>1790.4587305452401</v>
      </c>
      <c r="E4764" s="77">
        <v>125</v>
      </c>
      <c r="F4764" s="78">
        <v>13.173493981957</v>
      </c>
      <c r="G4764" s="78">
        <v>13.173493981957</v>
      </c>
      <c r="H4764" s="81">
        <v>13.0370547595627</v>
      </c>
    </row>
    <row r="4765" spans="1:8" x14ac:dyDescent="0.3">
      <c r="A4765" s="74" t="str">
        <f t="shared" si="74"/>
        <v>广东46343</v>
      </c>
      <c r="B4765" s="75" t="s">
        <v>29</v>
      </c>
      <c r="C4765" s="45">
        <v>46343</v>
      </c>
      <c r="D4765" s="76">
        <v>1790.4587305452401</v>
      </c>
      <c r="E4765" s="77">
        <v>125</v>
      </c>
      <c r="F4765" s="78">
        <v>13.173493981957</v>
      </c>
      <c r="G4765" s="78">
        <v>13.173493981957</v>
      </c>
      <c r="H4765" s="81">
        <v>13.0370547595627</v>
      </c>
    </row>
    <row r="4766" spans="1:8" x14ac:dyDescent="0.3">
      <c r="A4766" s="74" t="str">
        <f t="shared" si="74"/>
        <v>广东46344</v>
      </c>
      <c r="B4766" s="75" t="s">
        <v>29</v>
      </c>
      <c r="C4766" s="45">
        <v>46344</v>
      </c>
      <c r="D4766" s="76">
        <v>1790.4587305452401</v>
      </c>
      <c r="E4766" s="77">
        <v>125</v>
      </c>
      <c r="F4766" s="78">
        <v>13.173493981957</v>
      </c>
      <c r="G4766" s="78">
        <v>13.173493981957</v>
      </c>
      <c r="H4766" s="81">
        <v>13.0370547595627</v>
      </c>
    </row>
    <row r="4767" spans="1:8" x14ac:dyDescent="0.3">
      <c r="A4767" s="74" t="str">
        <f t="shared" si="74"/>
        <v>广东46345</v>
      </c>
      <c r="B4767" s="75" t="s">
        <v>29</v>
      </c>
      <c r="C4767" s="45">
        <v>46345</v>
      </c>
      <c r="D4767" s="76">
        <v>1790.4587305452401</v>
      </c>
      <c r="E4767" s="77">
        <v>125</v>
      </c>
      <c r="F4767" s="78">
        <v>13.173493981957</v>
      </c>
      <c r="G4767" s="78">
        <v>13.173493981957</v>
      </c>
      <c r="H4767" s="81">
        <v>13.0370547595627</v>
      </c>
    </row>
    <row r="4768" spans="1:8" x14ac:dyDescent="0.3">
      <c r="A4768" s="74" t="str">
        <f t="shared" si="74"/>
        <v>广东46346</v>
      </c>
      <c r="B4768" s="75" t="s">
        <v>29</v>
      </c>
      <c r="C4768" s="45">
        <v>46346</v>
      </c>
      <c r="D4768" s="76">
        <v>1790.4587305452401</v>
      </c>
      <c r="E4768" s="77">
        <v>125</v>
      </c>
      <c r="F4768" s="78">
        <v>13.173493981957</v>
      </c>
      <c r="G4768" s="78">
        <v>13.173493981957</v>
      </c>
      <c r="H4768" s="81">
        <v>13.0370547595627</v>
      </c>
    </row>
    <row r="4769" spans="1:8" x14ac:dyDescent="0.3">
      <c r="A4769" s="74" t="str">
        <f t="shared" si="74"/>
        <v>广东46347</v>
      </c>
      <c r="B4769" s="75" t="s">
        <v>29</v>
      </c>
      <c r="C4769" s="45">
        <v>46347</v>
      </c>
      <c r="D4769" s="76">
        <v>1790.4587305452401</v>
      </c>
      <c r="E4769" s="77">
        <v>125</v>
      </c>
      <c r="F4769" s="78">
        <v>13.173493981957</v>
      </c>
      <c r="G4769" s="78">
        <v>13.173493981957</v>
      </c>
      <c r="H4769" s="81">
        <v>13.0370547595627</v>
      </c>
    </row>
    <row r="4770" spans="1:8" x14ac:dyDescent="0.3">
      <c r="A4770" s="74" t="str">
        <f t="shared" si="74"/>
        <v>广东46348</v>
      </c>
      <c r="B4770" s="75" t="s">
        <v>29</v>
      </c>
      <c r="C4770" s="45">
        <v>46348</v>
      </c>
      <c r="D4770" s="76">
        <v>1790.4587305452401</v>
      </c>
      <c r="E4770" s="77">
        <v>125</v>
      </c>
      <c r="F4770" s="78">
        <v>13.173493981957</v>
      </c>
      <c r="G4770" s="78">
        <v>13.173493981957</v>
      </c>
      <c r="H4770" s="81">
        <v>13.0370547595627</v>
      </c>
    </row>
    <row r="4771" spans="1:8" x14ac:dyDescent="0.3">
      <c r="A4771" s="74" t="str">
        <f t="shared" si="74"/>
        <v>广东46349</v>
      </c>
      <c r="B4771" s="75" t="s">
        <v>29</v>
      </c>
      <c r="C4771" s="45">
        <v>46349</v>
      </c>
      <c r="D4771" s="76">
        <v>1790.4587305452401</v>
      </c>
      <c r="E4771" s="77">
        <v>125</v>
      </c>
      <c r="F4771" s="78">
        <v>13.173493981957</v>
      </c>
      <c r="G4771" s="78">
        <v>13.173493981957</v>
      </c>
      <c r="H4771" s="81">
        <v>13.0370547595627</v>
      </c>
    </row>
    <row r="4772" spans="1:8" x14ac:dyDescent="0.3">
      <c r="A4772" s="74" t="str">
        <f t="shared" si="74"/>
        <v>广东46350</v>
      </c>
      <c r="B4772" s="75" t="s">
        <v>29</v>
      </c>
      <c r="C4772" s="45">
        <v>46350</v>
      </c>
      <c r="D4772" s="76">
        <v>1790.4587305452401</v>
      </c>
      <c r="E4772" s="77">
        <v>125</v>
      </c>
      <c r="F4772" s="78">
        <v>13.173493981957</v>
      </c>
      <c r="G4772" s="78">
        <v>13.173493981957</v>
      </c>
      <c r="H4772" s="81">
        <v>13.0370547595627</v>
      </c>
    </row>
    <row r="4773" spans="1:8" x14ac:dyDescent="0.3">
      <c r="A4773" s="74" t="str">
        <f t="shared" si="74"/>
        <v>广东46351</v>
      </c>
      <c r="B4773" s="75" t="s">
        <v>29</v>
      </c>
      <c r="C4773" s="45">
        <v>46351</v>
      </c>
      <c r="D4773" s="76">
        <v>1790.4587305452401</v>
      </c>
      <c r="E4773" s="77">
        <v>125</v>
      </c>
      <c r="F4773" s="78">
        <v>13.173493981957</v>
      </c>
      <c r="G4773" s="78">
        <v>13.173493981957</v>
      </c>
      <c r="H4773" s="81">
        <v>13.0370547595627</v>
      </c>
    </row>
    <row r="4774" spans="1:8" x14ac:dyDescent="0.3">
      <c r="A4774" s="74" t="str">
        <f t="shared" si="74"/>
        <v>广东46352</v>
      </c>
      <c r="B4774" s="75" t="s">
        <v>29</v>
      </c>
      <c r="C4774" s="45">
        <v>46352</v>
      </c>
      <c r="D4774" s="76">
        <v>1790.4587305452401</v>
      </c>
      <c r="E4774" s="77">
        <v>125</v>
      </c>
      <c r="F4774" s="78">
        <v>13.173493981957</v>
      </c>
      <c r="G4774" s="78">
        <v>13.173493981957</v>
      </c>
      <c r="H4774" s="81">
        <v>13.0370547595627</v>
      </c>
    </row>
    <row r="4775" spans="1:8" x14ac:dyDescent="0.3">
      <c r="A4775" s="74" t="str">
        <f t="shared" si="74"/>
        <v>广东46353</v>
      </c>
      <c r="B4775" s="75" t="s">
        <v>29</v>
      </c>
      <c r="C4775" s="45">
        <v>46353</v>
      </c>
      <c r="D4775" s="76">
        <v>1790.4587305452401</v>
      </c>
      <c r="E4775" s="77">
        <v>125</v>
      </c>
      <c r="F4775" s="78">
        <v>13.173493981957</v>
      </c>
      <c r="G4775" s="78">
        <v>13.173493981957</v>
      </c>
      <c r="H4775" s="81">
        <v>13.0370547595627</v>
      </c>
    </row>
    <row r="4776" spans="1:8" x14ac:dyDescent="0.3">
      <c r="A4776" s="74" t="str">
        <f t="shared" si="74"/>
        <v>广东46354</v>
      </c>
      <c r="B4776" s="75" t="s">
        <v>29</v>
      </c>
      <c r="C4776" s="45">
        <v>46354</v>
      </c>
      <c r="D4776" s="76">
        <v>1790.4587305452401</v>
      </c>
      <c r="E4776" s="77">
        <v>125</v>
      </c>
      <c r="F4776" s="78">
        <v>13.173493981957</v>
      </c>
      <c r="G4776" s="78">
        <v>13.173493981957</v>
      </c>
      <c r="H4776" s="81">
        <v>13.0370547595627</v>
      </c>
    </row>
    <row r="4777" spans="1:8" x14ac:dyDescent="0.3">
      <c r="A4777" s="74" t="str">
        <f t="shared" si="74"/>
        <v>广东46355</v>
      </c>
      <c r="B4777" s="75" t="s">
        <v>29</v>
      </c>
      <c r="C4777" s="45">
        <v>46355</v>
      </c>
      <c r="D4777" s="76">
        <v>1790.4587305452401</v>
      </c>
      <c r="E4777" s="77">
        <v>125</v>
      </c>
      <c r="F4777" s="78">
        <v>13.173493981957</v>
      </c>
      <c r="G4777" s="78">
        <v>13.173493981957</v>
      </c>
      <c r="H4777" s="81">
        <v>13.0370547595627</v>
      </c>
    </row>
    <row r="4778" spans="1:8" x14ac:dyDescent="0.3">
      <c r="A4778" s="74" t="str">
        <f t="shared" si="74"/>
        <v>广东46356</v>
      </c>
      <c r="B4778" s="75" t="s">
        <v>29</v>
      </c>
      <c r="C4778" s="45">
        <v>46356</v>
      </c>
      <c r="D4778" s="76">
        <v>1790.4587305452401</v>
      </c>
      <c r="E4778" s="77">
        <v>125</v>
      </c>
      <c r="F4778" s="78">
        <v>13.173493981957</v>
      </c>
      <c r="G4778" s="78">
        <v>13.173493981957</v>
      </c>
      <c r="H4778" s="81">
        <v>13.0370547595627</v>
      </c>
    </row>
    <row r="4779" spans="1:8" x14ac:dyDescent="0.3">
      <c r="A4779" s="74" t="str">
        <f t="shared" si="74"/>
        <v>广东46357</v>
      </c>
      <c r="B4779" s="75" t="s">
        <v>29</v>
      </c>
      <c r="C4779" s="45">
        <v>46357</v>
      </c>
      <c r="D4779" s="76">
        <v>2040.90475743722</v>
      </c>
      <c r="E4779" s="77">
        <v>125</v>
      </c>
      <c r="F4779" s="78">
        <v>13.886953760742299</v>
      </c>
      <c r="G4779" s="78">
        <v>13.886953760742299</v>
      </c>
      <c r="H4779" s="81">
        <v>13.277817656890599</v>
      </c>
    </row>
    <row r="4780" spans="1:8" x14ac:dyDescent="0.3">
      <c r="A4780" s="74" t="str">
        <f t="shared" si="74"/>
        <v>广东46358</v>
      </c>
      <c r="B4780" s="75" t="s">
        <v>29</v>
      </c>
      <c r="C4780" s="45">
        <v>46358</v>
      </c>
      <c r="D4780" s="76">
        <v>2040.90475743722</v>
      </c>
      <c r="E4780" s="77">
        <v>125</v>
      </c>
      <c r="F4780" s="78">
        <v>13.886953760742299</v>
      </c>
      <c r="G4780" s="78">
        <v>13.886953760742299</v>
      </c>
      <c r="H4780" s="81">
        <v>13.277817656890599</v>
      </c>
    </row>
    <row r="4781" spans="1:8" x14ac:dyDescent="0.3">
      <c r="A4781" s="74" t="str">
        <f t="shared" si="74"/>
        <v>广东46359</v>
      </c>
      <c r="B4781" s="75" t="s">
        <v>29</v>
      </c>
      <c r="C4781" s="45">
        <v>46359</v>
      </c>
      <c r="D4781" s="76">
        <v>2040.90475743722</v>
      </c>
      <c r="E4781" s="77">
        <v>125</v>
      </c>
      <c r="F4781" s="78">
        <v>13.886953760742299</v>
      </c>
      <c r="G4781" s="78">
        <v>13.886953760742299</v>
      </c>
      <c r="H4781" s="81">
        <v>13.277817656890599</v>
      </c>
    </row>
    <row r="4782" spans="1:8" x14ac:dyDescent="0.3">
      <c r="A4782" s="74" t="str">
        <f t="shared" si="74"/>
        <v>广东46360</v>
      </c>
      <c r="B4782" s="75" t="s">
        <v>29</v>
      </c>
      <c r="C4782" s="45">
        <v>46360</v>
      </c>
      <c r="D4782" s="76">
        <v>2040.90475743722</v>
      </c>
      <c r="E4782" s="77">
        <v>125</v>
      </c>
      <c r="F4782" s="78">
        <v>13.886953760742299</v>
      </c>
      <c r="G4782" s="78">
        <v>13.886953760742299</v>
      </c>
      <c r="H4782" s="81">
        <v>13.277817656890599</v>
      </c>
    </row>
    <row r="4783" spans="1:8" x14ac:dyDescent="0.3">
      <c r="A4783" s="74" t="str">
        <f t="shared" si="74"/>
        <v>广东46361</v>
      </c>
      <c r="B4783" s="75" t="s">
        <v>29</v>
      </c>
      <c r="C4783" s="45">
        <v>46361</v>
      </c>
      <c r="D4783" s="76">
        <v>2040.90475743722</v>
      </c>
      <c r="E4783" s="77">
        <v>125</v>
      </c>
      <c r="F4783" s="78">
        <v>13.886953760742299</v>
      </c>
      <c r="G4783" s="78">
        <v>13.886953760742299</v>
      </c>
      <c r="H4783" s="81">
        <v>13.277817656890599</v>
      </c>
    </row>
    <row r="4784" spans="1:8" x14ac:dyDescent="0.3">
      <c r="A4784" s="74" t="str">
        <f t="shared" si="74"/>
        <v>广东46362</v>
      </c>
      <c r="B4784" s="75" t="s">
        <v>29</v>
      </c>
      <c r="C4784" s="45">
        <v>46362</v>
      </c>
      <c r="D4784" s="76">
        <v>2040.90475743722</v>
      </c>
      <c r="E4784" s="77">
        <v>125</v>
      </c>
      <c r="F4784" s="78">
        <v>13.886953760742299</v>
      </c>
      <c r="G4784" s="78">
        <v>13.886953760742299</v>
      </c>
      <c r="H4784" s="81">
        <v>13.277817656890599</v>
      </c>
    </row>
    <row r="4785" spans="1:8" x14ac:dyDescent="0.3">
      <c r="A4785" s="74" t="str">
        <f t="shared" si="74"/>
        <v>广东46363</v>
      </c>
      <c r="B4785" s="75" t="s">
        <v>29</v>
      </c>
      <c r="C4785" s="45">
        <v>46363</v>
      </c>
      <c r="D4785" s="76">
        <v>2040.90475743722</v>
      </c>
      <c r="E4785" s="77">
        <v>125</v>
      </c>
      <c r="F4785" s="78">
        <v>13.886953760742299</v>
      </c>
      <c r="G4785" s="78">
        <v>13.886953760742299</v>
      </c>
      <c r="H4785" s="81">
        <v>13.277817656890599</v>
      </c>
    </row>
    <row r="4786" spans="1:8" x14ac:dyDescent="0.3">
      <c r="A4786" s="74" t="str">
        <f t="shared" si="74"/>
        <v>广东46364</v>
      </c>
      <c r="B4786" s="75" t="s">
        <v>29</v>
      </c>
      <c r="C4786" s="45">
        <v>46364</v>
      </c>
      <c r="D4786" s="76">
        <v>2040.90475743722</v>
      </c>
      <c r="E4786" s="77">
        <v>125</v>
      </c>
      <c r="F4786" s="78">
        <v>13.886953760742299</v>
      </c>
      <c r="G4786" s="78">
        <v>13.886953760742299</v>
      </c>
      <c r="H4786" s="81">
        <v>13.277817656890599</v>
      </c>
    </row>
    <row r="4787" spans="1:8" x14ac:dyDescent="0.3">
      <c r="A4787" s="74" t="str">
        <f t="shared" si="74"/>
        <v>广东46365</v>
      </c>
      <c r="B4787" s="75" t="s">
        <v>29</v>
      </c>
      <c r="C4787" s="45">
        <v>46365</v>
      </c>
      <c r="D4787" s="76">
        <v>2040.90475743722</v>
      </c>
      <c r="E4787" s="77">
        <v>125</v>
      </c>
      <c r="F4787" s="78">
        <v>13.886953760742299</v>
      </c>
      <c r="G4787" s="78">
        <v>13.886953760742299</v>
      </c>
      <c r="H4787" s="81">
        <v>13.277817656890599</v>
      </c>
    </row>
    <row r="4788" spans="1:8" x14ac:dyDescent="0.3">
      <c r="A4788" s="74" t="str">
        <f t="shared" si="74"/>
        <v>广东46366</v>
      </c>
      <c r="B4788" s="75" t="s">
        <v>29</v>
      </c>
      <c r="C4788" s="45">
        <v>46366</v>
      </c>
      <c r="D4788" s="76">
        <v>2040.90475743722</v>
      </c>
      <c r="E4788" s="77">
        <v>125</v>
      </c>
      <c r="F4788" s="78">
        <v>13.886953760742299</v>
      </c>
      <c r="G4788" s="78">
        <v>13.886953760742299</v>
      </c>
      <c r="H4788" s="81">
        <v>13.277817656890599</v>
      </c>
    </row>
    <row r="4789" spans="1:8" x14ac:dyDescent="0.3">
      <c r="A4789" s="74" t="str">
        <f t="shared" si="74"/>
        <v>广东46367</v>
      </c>
      <c r="B4789" s="75" t="s">
        <v>29</v>
      </c>
      <c r="C4789" s="45">
        <v>46367</v>
      </c>
      <c r="D4789" s="76">
        <v>2040.90475743722</v>
      </c>
      <c r="E4789" s="77">
        <v>125</v>
      </c>
      <c r="F4789" s="78">
        <v>13.886953760742299</v>
      </c>
      <c r="G4789" s="78">
        <v>13.886953760742299</v>
      </c>
      <c r="H4789" s="81">
        <v>13.277817656890599</v>
      </c>
    </row>
    <row r="4790" spans="1:8" x14ac:dyDescent="0.3">
      <c r="A4790" s="74" t="str">
        <f t="shared" si="74"/>
        <v>广东46368</v>
      </c>
      <c r="B4790" s="75" t="s">
        <v>29</v>
      </c>
      <c r="C4790" s="45">
        <v>46368</v>
      </c>
      <c r="D4790" s="76">
        <v>2040.90475743722</v>
      </c>
      <c r="E4790" s="77">
        <v>125</v>
      </c>
      <c r="F4790" s="78">
        <v>13.886953760742299</v>
      </c>
      <c r="G4790" s="78">
        <v>13.886953760742299</v>
      </c>
      <c r="H4790" s="81">
        <v>13.277817656890599</v>
      </c>
    </row>
    <row r="4791" spans="1:8" x14ac:dyDescent="0.3">
      <c r="A4791" s="74" t="str">
        <f t="shared" si="74"/>
        <v>广东46369</v>
      </c>
      <c r="B4791" s="75" t="s">
        <v>29</v>
      </c>
      <c r="C4791" s="45">
        <v>46369</v>
      </c>
      <c r="D4791" s="76">
        <v>2040.90475743722</v>
      </c>
      <c r="E4791" s="77">
        <v>125</v>
      </c>
      <c r="F4791" s="78">
        <v>13.886953760742299</v>
      </c>
      <c r="G4791" s="78">
        <v>13.886953760742299</v>
      </c>
      <c r="H4791" s="81">
        <v>13.277817656890599</v>
      </c>
    </row>
    <row r="4792" spans="1:8" x14ac:dyDescent="0.3">
      <c r="A4792" s="74" t="str">
        <f t="shared" si="74"/>
        <v>广东46370</v>
      </c>
      <c r="B4792" s="75" t="s">
        <v>29</v>
      </c>
      <c r="C4792" s="45">
        <v>46370</v>
      </c>
      <c r="D4792" s="76">
        <v>2040.90475743722</v>
      </c>
      <c r="E4792" s="77">
        <v>125</v>
      </c>
      <c r="F4792" s="78">
        <v>13.886953760742299</v>
      </c>
      <c r="G4792" s="78">
        <v>13.886953760742299</v>
      </c>
      <c r="H4792" s="81">
        <v>13.277817656890599</v>
      </c>
    </row>
    <row r="4793" spans="1:8" x14ac:dyDescent="0.3">
      <c r="A4793" s="74" t="str">
        <f t="shared" si="74"/>
        <v>广东46371</v>
      </c>
      <c r="B4793" s="75" t="s">
        <v>29</v>
      </c>
      <c r="C4793" s="45">
        <v>46371</v>
      </c>
      <c r="D4793" s="76">
        <v>2040.90475743722</v>
      </c>
      <c r="E4793" s="77">
        <v>125</v>
      </c>
      <c r="F4793" s="78">
        <v>13.886953760742299</v>
      </c>
      <c r="G4793" s="78">
        <v>13.886953760742299</v>
      </c>
      <c r="H4793" s="81">
        <v>13.277817656890599</v>
      </c>
    </row>
    <row r="4794" spans="1:8" x14ac:dyDescent="0.3">
      <c r="A4794" s="74" t="str">
        <f t="shared" si="74"/>
        <v>广东46372</v>
      </c>
      <c r="B4794" s="75" t="s">
        <v>29</v>
      </c>
      <c r="C4794" s="45">
        <v>46372</v>
      </c>
      <c r="D4794" s="76">
        <v>2040.90475743722</v>
      </c>
      <c r="E4794" s="77">
        <v>125</v>
      </c>
      <c r="F4794" s="78">
        <v>13.886953760742299</v>
      </c>
      <c r="G4794" s="78">
        <v>13.886953760742299</v>
      </c>
      <c r="H4794" s="81">
        <v>13.277817656890599</v>
      </c>
    </row>
    <row r="4795" spans="1:8" x14ac:dyDescent="0.3">
      <c r="A4795" s="74" t="str">
        <f t="shared" si="74"/>
        <v>广东46373</v>
      </c>
      <c r="B4795" s="75" t="s">
        <v>29</v>
      </c>
      <c r="C4795" s="45">
        <v>46373</v>
      </c>
      <c r="D4795" s="76">
        <v>2040.90475743722</v>
      </c>
      <c r="E4795" s="77">
        <v>125</v>
      </c>
      <c r="F4795" s="78">
        <v>13.886953760742299</v>
      </c>
      <c r="G4795" s="78">
        <v>13.886953760742299</v>
      </c>
      <c r="H4795" s="81">
        <v>13.277817656890599</v>
      </c>
    </row>
    <row r="4796" spans="1:8" x14ac:dyDescent="0.3">
      <c r="A4796" s="74" t="str">
        <f t="shared" si="74"/>
        <v>广东46374</v>
      </c>
      <c r="B4796" s="75" t="s">
        <v>29</v>
      </c>
      <c r="C4796" s="45">
        <v>46374</v>
      </c>
      <c r="D4796" s="76">
        <v>2040.90475743722</v>
      </c>
      <c r="E4796" s="77">
        <v>125</v>
      </c>
      <c r="F4796" s="78">
        <v>13.886953760742299</v>
      </c>
      <c r="G4796" s="78">
        <v>13.886953760742299</v>
      </c>
      <c r="H4796" s="81">
        <v>13.277817656890599</v>
      </c>
    </row>
    <row r="4797" spans="1:8" x14ac:dyDescent="0.3">
      <c r="A4797" s="74" t="str">
        <f t="shared" si="74"/>
        <v>广东46375</v>
      </c>
      <c r="B4797" s="75" t="s">
        <v>29</v>
      </c>
      <c r="C4797" s="45">
        <v>46375</v>
      </c>
      <c r="D4797" s="76">
        <v>2040.90475743722</v>
      </c>
      <c r="E4797" s="77">
        <v>125</v>
      </c>
      <c r="F4797" s="78">
        <v>13.886953760742299</v>
      </c>
      <c r="G4797" s="78">
        <v>13.886953760742299</v>
      </c>
      <c r="H4797" s="81">
        <v>13.277817656890599</v>
      </c>
    </row>
    <row r="4798" spans="1:8" x14ac:dyDescent="0.3">
      <c r="A4798" s="74" t="str">
        <f t="shared" si="74"/>
        <v>广东46376</v>
      </c>
      <c r="B4798" s="75" t="s">
        <v>29</v>
      </c>
      <c r="C4798" s="45">
        <v>46376</v>
      </c>
      <c r="D4798" s="76">
        <v>2040.90475743722</v>
      </c>
      <c r="E4798" s="77">
        <v>125</v>
      </c>
      <c r="F4798" s="78">
        <v>13.886953760742299</v>
      </c>
      <c r="G4798" s="78">
        <v>13.886953760742299</v>
      </c>
      <c r="H4798" s="81">
        <v>13.277817656890599</v>
      </c>
    </row>
    <row r="4799" spans="1:8" x14ac:dyDescent="0.3">
      <c r="A4799" s="74" t="str">
        <f t="shared" si="74"/>
        <v>广东46377</v>
      </c>
      <c r="B4799" s="75" t="s">
        <v>29</v>
      </c>
      <c r="C4799" s="45">
        <v>46377</v>
      </c>
      <c r="D4799" s="76">
        <v>2040.90475743722</v>
      </c>
      <c r="E4799" s="77">
        <v>125</v>
      </c>
      <c r="F4799" s="78">
        <v>13.886953760742299</v>
      </c>
      <c r="G4799" s="78">
        <v>13.886953760742299</v>
      </c>
      <c r="H4799" s="81">
        <v>13.277817656890599</v>
      </c>
    </row>
    <row r="4800" spans="1:8" x14ac:dyDescent="0.3">
      <c r="A4800" s="74" t="str">
        <f t="shared" si="74"/>
        <v>广东46378</v>
      </c>
      <c r="B4800" s="75" t="s">
        <v>29</v>
      </c>
      <c r="C4800" s="45">
        <v>46378</v>
      </c>
      <c r="D4800" s="76">
        <v>2040.90475743722</v>
      </c>
      <c r="E4800" s="77">
        <v>125</v>
      </c>
      <c r="F4800" s="78">
        <v>13.886953760742299</v>
      </c>
      <c r="G4800" s="78">
        <v>13.886953760742299</v>
      </c>
      <c r="H4800" s="81">
        <v>13.277817656890599</v>
      </c>
    </row>
    <row r="4801" spans="1:8" x14ac:dyDescent="0.3">
      <c r="A4801" s="74" t="str">
        <f t="shared" si="74"/>
        <v>广东46379</v>
      </c>
      <c r="B4801" s="75" t="s">
        <v>29</v>
      </c>
      <c r="C4801" s="45">
        <v>46379</v>
      </c>
      <c r="D4801" s="76">
        <v>2040.90475743722</v>
      </c>
      <c r="E4801" s="77">
        <v>125</v>
      </c>
      <c r="F4801" s="78">
        <v>13.886953760742299</v>
      </c>
      <c r="G4801" s="78">
        <v>13.886953760742299</v>
      </c>
      <c r="H4801" s="81">
        <v>13.277817656890599</v>
      </c>
    </row>
    <row r="4802" spans="1:8" x14ac:dyDescent="0.3">
      <c r="A4802" s="74" t="str">
        <f t="shared" si="74"/>
        <v>广东46380</v>
      </c>
      <c r="B4802" s="75" t="s">
        <v>29</v>
      </c>
      <c r="C4802" s="45">
        <v>46380</v>
      </c>
      <c r="D4802" s="76">
        <v>2040.90475743722</v>
      </c>
      <c r="E4802" s="77">
        <v>125</v>
      </c>
      <c r="F4802" s="78">
        <v>13.886953760742299</v>
      </c>
      <c r="G4802" s="78">
        <v>13.886953760742299</v>
      </c>
      <c r="H4802" s="81">
        <v>13.277817656890599</v>
      </c>
    </row>
    <row r="4803" spans="1:8" x14ac:dyDescent="0.3">
      <c r="A4803" s="74" t="str">
        <f t="shared" ref="A4803:A4866" si="75">B4803&amp;C4803</f>
        <v>广东46381</v>
      </c>
      <c r="B4803" s="75" t="s">
        <v>29</v>
      </c>
      <c r="C4803" s="45">
        <v>46381</v>
      </c>
      <c r="D4803" s="76">
        <v>2040.90475743722</v>
      </c>
      <c r="E4803" s="77">
        <v>125</v>
      </c>
      <c r="F4803" s="78">
        <v>13.886953760742299</v>
      </c>
      <c r="G4803" s="78">
        <v>13.886953760742299</v>
      </c>
      <c r="H4803" s="81">
        <v>13.277817656890599</v>
      </c>
    </row>
    <row r="4804" spans="1:8" x14ac:dyDescent="0.3">
      <c r="A4804" s="74" t="str">
        <f t="shared" si="75"/>
        <v>广东46382</v>
      </c>
      <c r="B4804" s="75" t="s">
        <v>29</v>
      </c>
      <c r="C4804" s="45">
        <v>46382</v>
      </c>
      <c r="D4804" s="76">
        <v>2040.90475743722</v>
      </c>
      <c r="E4804" s="77">
        <v>125</v>
      </c>
      <c r="F4804" s="78">
        <v>13.886953760742299</v>
      </c>
      <c r="G4804" s="78">
        <v>13.886953760742299</v>
      </c>
      <c r="H4804" s="81">
        <v>13.277817656890599</v>
      </c>
    </row>
    <row r="4805" spans="1:8" x14ac:dyDescent="0.3">
      <c r="A4805" s="74" t="str">
        <f t="shared" si="75"/>
        <v>广东46383</v>
      </c>
      <c r="B4805" s="75" t="s">
        <v>29</v>
      </c>
      <c r="C4805" s="45">
        <v>46383</v>
      </c>
      <c r="D4805" s="76">
        <v>2040.90475743722</v>
      </c>
      <c r="E4805" s="77">
        <v>125</v>
      </c>
      <c r="F4805" s="78">
        <v>13.886953760742299</v>
      </c>
      <c r="G4805" s="78">
        <v>13.886953760742299</v>
      </c>
      <c r="H4805" s="81">
        <v>13.277817656890599</v>
      </c>
    </row>
    <row r="4806" spans="1:8" x14ac:dyDescent="0.3">
      <c r="A4806" s="74" t="str">
        <f t="shared" si="75"/>
        <v>广东46384</v>
      </c>
      <c r="B4806" s="75" t="s">
        <v>29</v>
      </c>
      <c r="C4806" s="45">
        <v>46384</v>
      </c>
      <c r="D4806" s="76">
        <v>2040.90475743722</v>
      </c>
      <c r="E4806" s="77">
        <v>125</v>
      </c>
      <c r="F4806" s="78">
        <v>13.886953760742299</v>
      </c>
      <c r="G4806" s="78">
        <v>13.886953760742299</v>
      </c>
      <c r="H4806" s="81">
        <v>13.277817656890599</v>
      </c>
    </row>
    <row r="4807" spans="1:8" x14ac:dyDescent="0.3">
      <c r="A4807" s="74" t="str">
        <f t="shared" si="75"/>
        <v>广东46385</v>
      </c>
      <c r="B4807" s="75" t="s">
        <v>29</v>
      </c>
      <c r="C4807" s="45">
        <v>46385</v>
      </c>
      <c r="D4807" s="76">
        <v>2040.90475743722</v>
      </c>
      <c r="E4807" s="77">
        <v>125</v>
      </c>
      <c r="F4807" s="78">
        <v>13.886953760742299</v>
      </c>
      <c r="G4807" s="78">
        <v>13.886953760742299</v>
      </c>
      <c r="H4807" s="81">
        <v>13.277817656890599</v>
      </c>
    </row>
    <row r="4808" spans="1:8" x14ac:dyDescent="0.3">
      <c r="A4808" s="74" t="str">
        <f t="shared" si="75"/>
        <v>广东46386</v>
      </c>
      <c r="B4808" s="75" t="s">
        <v>29</v>
      </c>
      <c r="C4808" s="45">
        <v>46386</v>
      </c>
      <c r="D4808" s="76">
        <v>2040.90475743722</v>
      </c>
      <c r="E4808" s="77">
        <v>125</v>
      </c>
      <c r="F4808" s="78">
        <v>13.886953760742299</v>
      </c>
      <c r="G4808" s="78">
        <v>13.886953760742299</v>
      </c>
      <c r="H4808" s="81">
        <v>13.277817656890599</v>
      </c>
    </row>
    <row r="4809" spans="1:8" x14ac:dyDescent="0.3">
      <c r="A4809" s="74" t="str">
        <f t="shared" si="75"/>
        <v>广东46387</v>
      </c>
      <c r="B4809" s="82" t="s">
        <v>29</v>
      </c>
      <c r="C4809" s="83">
        <v>46387</v>
      </c>
      <c r="D4809" s="84">
        <v>2040.90475743722</v>
      </c>
      <c r="E4809" s="85">
        <v>125</v>
      </c>
      <c r="F4809" s="86">
        <v>13.886953760742299</v>
      </c>
      <c r="G4809" s="86">
        <v>13.886953760742299</v>
      </c>
      <c r="H4809" s="87">
        <v>13.277817656890599</v>
      </c>
    </row>
    <row r="4810" spans="1:8" x14ac:dyDescent="0.3">
      <c r="A4810" s="74" t="str">
        <f t="shared" si="75"/>
        <v>广西46135</v>
      </c>
      <c r="B4810" s="75" t="s">
        <v>30</v>
      </c>
      <c r="C4810" s="45">
        <v>46135</v>
      </c>
      <c r="D4810" s="76">
        <v>1052.5683632113601</v>
      </c>
      <c r="E4810" s="77">
        <v>125</v>
      </c>
      <c r="F4810" s="78">
        <v>8.6973964478218804</v>
      </c>
      <c r="G4810" s="78">
        <v>8.6973964478218804</v>
      </c>
      <c r="H4810" s="81">
        <v>9.2469701241294402</v>
      </c>
    </row>
    <row r="4811" spans="1:8" x14ac:dyDescent="0.3">
      <c r="A4811" s="74" t="str">
        <f t="shared" si="75"/>
        <v>广西46136</v>
      </c>
      <c r="B4811" s="75" t="s">
        <v>30</v>
      </c>
      <c r="C4811" s="45">
        <v>46136</v>
      </c>
      <c r="D4811" s="76">
        <v>1052.5683632113601</v>
      </c>
      <c r="E4811" s="77">
        <v>125</v>
      </c>
      <c r="F4811" s="78">
        <v>8.6973964478218804</v>
      </c>
      <c r="G4811" s="78">
        <v>8.6973964478218804</v>
      </c>
      <c r="H4811" s="81">
        <v>9.2469701241294402</v>
      </c>
    </row>
    <row r="4812" spans="1:8" x14ac:dyDescent="0.3">
      <c r="A4812" s="74" t="str">
        <f t="shared" si="75"/>
        <v>广西46137</v>
      </c>
      <c r="B4812" s="75" t="s">
        <v>30</v>
      </c>
      <c r="C4812" s="45">
        <v>46137</v>
      </c>
      <c r="D4812" s="76">
        <v>1052.5683632113601</v>
      </c>
      <c r="E4812" s="77">
        <v>125</v>
      </c>
      <c r="F4812" s="78">
        <v>8.6973964478218804</v>
      </c>
      <c r="G4812" s="78">
        <v>8.6973964478218804</v>
      </c>
      <c r="H4812" s="81">
        <v>9.2469701241294402</v>
      </c>
    </row>
    <row r="4813" spans="1:8" x14ac:dyDescent="0.3">
      <c r="A4813" s="74" t="str">
        <f t="shared" si="75"/>
        <v>广西46138</v>
      </c>
      <c r="B4813" s="75" t="s">
        <v>30</v>
      </c>
      <c r="C4813" s="45">
        <v>46138</v>
      </c>
      <c r="D4813" s="76">
        <v>1052.5683632113601</v>
      </c>
      <c r="E4813" s="77">
        <v>125</v>
      </c>
      <c r="F4813" s="78">
        <v>8.6973964478218804</v>
      </c>
      <c r="G4813" s="78">
        <v>8.6973964478218804</v>
      </c>
      <c r="H4813" s="81">
        <v>9.2469701241294402</v>
      </c>
    </row>
    <row r="4814" spans="1:8" x14ac:dyDescent="0.3">
      <c r="A4814" s="74" t="str">
        <f t="shared" si="75"/>
        <v>广西46139</v>
      </c>
      <c r="B4814" s="75" t="s">
        <v>30</v>
      </c>
      <c r="C4814" s="45">
        <v>46139</v>
      </c>
      <c r="D4814" s="76">
        <v>1052.5683632113601</v>
      </c>
      <c r="E4814" s="77">
        <v>125</v>
      </c>
      <c r="F4814" s="78">
        <v>8.6973964478218804</v>
      </c>
      <c r="G4814" s="78">
        <v>8.6973964478218804</v>
      </c>
      <c r="H4814" s="81">
        <v>9.2469701241294402</v>
      </c>
    </row>
    <row r="4815" spans="1:8" x14ac:dyDescent="0.3">
      <c r="A4815" s="74" t="str">
        <f t="shared" si="75"/>
        <v>广西46140</v>
      </c>
      <c r="B4815" s="75" t="s">
        <v>30</v>
      </c>
      <c r="C4815" s="45">
        <v>46140</v>
      </c>
      <c r="D4815" s="76">
        <v>1052.5683632113601</v>
      </c>
      <c r="E4815" s="77">
        <v>125</v>
      </c>
      <c r="F4815" s="78">
        <v>8.6973964478218804</v>
      </c>
      <c r="G4815" s="78">
        <v>8.6973964478218804</v>
      </c>
      <c r="H4815" s="81">
        <v>9.2469701241294402</v>
      </c>
    </row>
    <row r="4816" spans="1:8" x14ac:dyDescent="0.3">
      <c r="A4816" s="74" t="str">
        <f t="shared" si="75"/>
        <v>广西46141</v>
      </c>
      <c r="B4816" s="75" t="s">
        <v>30</v>
      </c>
      <c r="C4816" s="45">
        <v>46141</v>
      </c>
      <c r="D4816" s="76">
        <v>1052.5683632113601</v>
      </c>
      <c r="E4816" s="77">
        <v>125</v>
      </c>
      <c r="F4816" s="78">
        <v>8.6973964478218804</v>
      </c>
      <c r="G4816" s="78">
        <v>8.6973964478218804</v>
      </c>
      <c r="H4816" s="81">
        <v>9.2469701241294402</v>
      </c>
    </row>
    <row r="4817" spans="1:8" x14ac:dyDescent="0.3">
      <c r="A4817" s="74" t="str">
        <f t="shared" si="75"/>
        <v>广西46142</v>
      </c>
      <c r="B4817" s="75" t="s">
        <v>30</v>
      </c>
      <c r="C4817" s="45">
        <v>46142</v>
      </c>
      <c r="D4817" s="76">
        <v>1052.5683632113601</v>
      </c>
      <c r="E4817" s="77">
        <v>125</v>
      </c>
      <c r="F4817" s="78">
        <v>8.6973964478218804</v>
      </c>
      <c r="G4817" s="78">
        <v>8.6973964478218804</v>
      </c>
      <c r="H4817" s="81">
        <v>9.2469701241294402</v>
      </c>
    </row>
    <row r="4818" spans="1:8" x14ac:dyDescent="0.3">
      <c r="A4818" s="74" t="str">
        <f t="shared" si="75"/>
        <v>广西46143</v>
      </c>
      <c r="B4818" s="75" t="s">
        <v>30</v>
      </c>
      <c r="C4818" s="45">
        <v>46143</v>
      </c>
      <c r="D4818" s="76">
        <v>1024.0128643077701</v>
      </c>
      <c r="E4818" s="77">
        <v>125</v>
      </c>
      <c r="F4818" s="78">
        <v>10.1224464297692</v>
      </c>
      <c r="G4818" s="78">
        <v>10.1224464297692</v>
      </c>
      <c r="H4818" s="81">
        <v>9.4569653571425505</v>
      </c>
    </row>
    <row r="4819" spans="1:8" x14ac:dyDescent="0.3">
      <c r="A4819" s="74" t="str">
        <f t="shared" si="75"/>
        <v>广西46144</v>
      </c>
      <c r="B4819" s="75" t="s">
        <v>30</v>
      </c>
      <c r="C4819" s="45">
        <v>46144</v>
      </c>
      <c r="D4819" s="76">
        <v>1024.0128643077701</v>
      </c>
      <c r="E4819" s="77">
        <v>125</v>
      </c>
      <c r="F4819" s="78">
        <v>10.1224464297692</v>
      </c>
      <c r="G4819" s="78">
        <v>10.1224464297692</v>
      </c>
      <c r="H4819" s="81">
        <v>9.4569653571425505</v>
      </c>
    </row>
    <row r="4820" spans="1:8" x14ac:dyDescent="0.3">
      <c r="A4820" s="74" t="str">
        <f t="shared" si="75"/>
        <v>广西46145</v>
      </c>
      <c r="B4820" s="75" t="s">
        <v>30</v>
      </c>
      <c r="C4820" s="45">
        <v>46145</v>
      </c>
      <c r="D4820" s="76">
        <v>1024.0128643077701</v>
      </c>
      <c r="E4820" s="77">
        <v>125</v>
      </c>
      <c r="F4820" s="78">
        <v>10.1224464297692</v>
      </c>
      <c r="G4820" s="78">
        <v>10.1224464297692</v>
      </c>
      <c r="H4820" s="81">
        <v>9.4569653571425505</v>
      </c>
    </row>
    <row r="4821" spans="1:8" x14ac:dyDescent="0.3">
      <c r="A4821" s="74" t="str">
        <f t="shared" si="75"/>
        <v>广西46146</v>
      </c>
      <c r="B4821" s="75" t="s">
        <v>30</v>
      </c>
      <c r="C4821" s="45">
        <v>46146</v>
      </c>
      <c r="D4821" s="76">
        <v>1024.0128643077701</v>
      </c>
      <c r="E4821" s="77">
        <v>125</v>
      </c>
      <c r="F4821" s="78">
        <v>10.1224464297692</v>
      </c>
      <c r="G4821" s="78">
        <v>10.1224464297692</v>
      </c>
      <c r="H4821" s="81">
        <v>9.4569653571425505</v>
      </c>
    </row>
    <row r="4822" spans="1:8" x14ac:dyDescent="0.3">
      <c r="A4822" s="74" t="str">
        <f t="shared" si="75"/>
        <v>广西46147</v>
      </c>
      <c r="B4822" s="75" t="s">
        <v>30</v>
      </c>
      <c r="C4822" s="45">
        <v>46147</v>
      </c>
      <c r="D4822" s="76">
        <v>1024.0128643077701</v>
      </c>
      <c r="E4822" s="77">
        <v>125</v>
      </c>
      <c r="F4822" s="78">
        <v>10.1224464297692</v>
      </c>
      <c r="G4822" s="78">
        <v>10.1224464297692</v>
      </c>
      <c r="H4822" s="81">
        <v>9.4569653571425505</v>
      </c>
    </row>
    <row r="4823" spans="1:8" x14ac:dyDescent="0.3">
      <c r="A4823" s="74" t="str">
        <f t="shared" si="75"/>
        <v>广西46148</v>
      </c>
      <c r="B4823" s="75" t="s">
        <v>30</v>
      </c>
      <c r="C4823" s="45">
        <v>46148</v>
      </c>
      <c r="D4823" s="76">
        <v>1024.0128643077701</v>
      </c>
      <c r="E4823" s="77">
        <v>125</v>
      </c>
      <c r="F4823" s="78">
        <v>10.1224464297692</v>
      </c>
      <c r="G4823" s="78">
        <v>10.1224464297692</v>
      </c>
      <c r="H4823" s="81">
        <v>9.4569653571425505</v>
      </c>
    </row>
    <row r="4824" spans="1:8" x14ac:dyDescent="0.3">
      <c r="A4824" s="74" t="str">
        <f t="shared" si="75"/>
        <v>广西46149</v>
      </c>
      <c r="B4824" s="75" t="s">
        <v>30</v>
      </c>
      <c r="C4824" s="45">
        <v>46149</v>
      </c>
      <c r="D4824" s="76">
        <v>1024.0128643077701</v>
      </c>
      <c r="E4824" s="77">
        <v>125</v>
      </c>
      <c r="F4824" s="78">
        <v>10.1224464297692</v>
      </c>
      <c r="G4824" s="78">
        <v>10.1224464297692</v>
      </c>
      <c r="H4824" s="81">
        <v>9.4569653571425505</v>
      </c>
    </row>
    <row r="4825" spans="1:8" x14ac:dyDescent="0.3">
      <c r="A4825" s="74" t="str">
        <f t="shared" si="75"/>
        <v>广西46150</v>
      </c>
      <c r="B4825" s="75" t="s">
        <v>30</v>
      </c>
      <c r="C4825" s="45">
        <v>46150</v>
      </c>
      <c r="D4825" s="76">
        <v>1024.0128643077701</v>
      </c>
      <c r="E4825" s="77">
        <v>125</v>
      </c>
      <c r="F4825" s="78">
        <v>10.1224464297692</v>
      </c>
      <c r="G4825" s="78">
        <v>10.1224464297692</v>
      </c>
      <c r="H4825" s="81">
        <v>9.4569653571425505</v>
      </c>
    </row>
    <row r="4826" spans="1:8" x14ac:dyDescent="0.3">
      <c r="A4826" s="74" t="str">
        <f t="shared" si="75"/>
        <v>广西46151</v>
      </c>
      <c r="B4826" s="75" t="s">
        <v>30</v>
      </c>
      <c r="C4826" s="45">
        <v>46151</v>
      </c>
      <c r="D4826" s="76">
        <v>1024.0128643077701</v>
      </c>
      <c r="E4826" s="77">
        <v>125</v>
      </c>
      <c r="F4826" s="78">
        <v>10.1224464297692</v>
      </c>
      <c r="G4826" s="78">
        <v>10.1224464297692</v>
      </c>
      <c r="H4826" s="81">
        <v>9.4569653571425505</v>
      </c>
    </row>
    <row r="4827" spans="1:8" x14ac:dyDescent="0.3">
      <c r="A4827" s="74" t="str">
        <f t="shared" si="75"/>
        <v>广西46152</v>
      </c>
      <c r="B4827" s="75" t="s">
        <v>30</v>
      </c>
      <c r="C4827" s="45">
        <v>46152</v>
      </c>
      <c r="D4827" s="76">
        <v>1024.0128643077701</v>
      </c>
      <c r="E4827" s="77">
        <v>125</v>
      </c>
      <c r="F4827" s="78">
        <v>10.1224464297692</v>
      </c>
      <c r="G4827" s="78">
        <v>10.1224464297692</v>
      </c>
      <c r="H4827" s="81">
        <v>9.4569653571425505</v>
      </c>
    </row>
    <row r="4828" spans="1:8" x14ac:dyDescent="0.3">
      <c r="A4828" s="74" t="str">
        <f t="shared" si="75"/>
        <v>广西46153</v>
      </c>
      <c r="B4828" s="75" t="s">
        <v>30</v>
      </c>
      <c r="C4828" s="45">
        <v>46153</v>
      </c>
      <c r="D4828" s="76">
        <v>1024.0128643077701</v>
      </c>
      <c r="E4828" s="77">
        <v>125</v>
      </c>
      <c r="F4828" s="78">
        <v>10.1224464297692</v>
      </c>
      <c r="G4828" s="78">
        <v>10.1224464297692</v>
      </c>
      <c r="H4828" s="81">
        <v>9.4569653571425505</v>
      </c>
    </row>
    <row r="4829" spans="1:8" x14ac:dyDescent="0.3">
      <c r="A4829" s="74" t="str">
        <f t="shared" si="75"/>
        <v>广西46154</v>
      </c>
      <c r="B4829" s="75" t="s">
        <v>30</v>
      </c>
      <c r="C4829" s="45">
        <v>46154</v>
      </c>
      <c r="D4829" s="76">
        <v>1024.0128643077701</v>
      </c>
      <c r="E4829" s="77">
        <v>125</v>
      </c>
      <c r="F4829" s="78">
        <v>10.1224464297692</v>
      </c>
      <c r="G4829" s="78">
        <v>10.1224464297692</v>
      </c>
      <c r="H4829" s="81">
        <v>9.4569653571425505</v>
      </c>
    </row>
    <row r="4830" spans="1:8" x14ac:dyDescent="0.3">
      <c r="A4830" s="74" t="str">
        <f t="shared" si="75"/>
        <v>广西46155</v>
      </c>
      <c r="B4830" s="75" t="s">
        <v>30</v>
      </c>
      <c r="C4830" s="45">
        <v>46155</v>
      </c>
      <c r="D4830" s="76">
        <v>1024.0128643077701</v>
      </c>
      <c r="E4830" s="77">
        <v>125</v>
      </c>
      <c r="F4830" s="78">
        <v>10.1224464297692</v>
      </c>
      <c r="G4830" s="78">
        <v>10.1224464297692</v>
      </c>
      <c r="H4830" s="81">
        <v>9.4569653571425505</v>
      </c>
    </row>
    <row r="4831" spans="1:8" x14ac:dyDescent="0.3">
      <c r="A4831" s="74" t="str">
        <f t="shared" si="75"/>
        <v>广西46156</v>
      </c>
      <c r="B4831" s="75" t="s">
        <v>30</v>
      </c>
      <c r="C4831" s="45">
        <v>46156</v>
      </c>
      <c r="D4831" s="76">
        <v>1024.0128643077701</v>
      </c>
      <c r="E4831" s="77">
        <v>125</v>
      </c>
      <c r="F4831" s="78">
        <v>10.1224464297692</v>
      </c>
      <c r="G4831" s="78">
        <v>10.1224464297692</v>
      </c>
      <c r="H4831" s="81">
        <v>9.4569653571425505</v>
      </c>
    </row>
    <row r="4832" spans="1:8" x14ac:dyDescent="0.3">
      <c r="A4832" s="74" t="str">
        <f t="shared" si="75"/>
        <v>广西46157</v>
      </c>
      <c r="B4832" s="75" t="s">
        <v>30</v>
      </c>
      <c r="C4832" s="45">
        <v>46157</v>
      </c>
      <c r="D4832" s="76">
        <v>1024.0128643077701</v>
      </c>
      <c r="E4832" s="77">
        <v>125</v>
      </c>
      <c r="F4832" s="78">
        <v>10.1224464297692</v>
      </c>
      <c r="G4832" s="78">
        <v>10.1224464297692</v>
      </c>
      <c r="H4832" s="81">
        <v>9.4569653571425505</v>
      </c>
    </row>
    <row r="4833" spans="1:8" x14ac:dyDescent="0.3">
      <c r="A4833" s="74" t="str">
        <f t="shared" si="75"/>
        <v>广西46158</v>
      </c>
      <c r="B4833" s="75" t="s">
        <v>30</v>
      </c>
      <c r="C4833" s="45">
        <v>46158</v>
      </c>
      <c r="D4833" s="76">
        <v>1024.0128643077701</v>
      </c>
      <c r="E4833" s="77">
        <v>125</v>
      </c>
      <c r="F4833" s="78">
        <v>10.1224464297692</v>
      </c>
      <c r="G4833" s="78">
        <v>10.1224464297692</v>
      </c>
      <c r="H4833" s="81">
        <v>9.4569653571425505</v>
      </c>
    </row>
    <row r="4834" spans="1:8" x14ac:dyDescent="0.3">
      <c r="A4834" s="74" t="str">
        <f t="shared" si="75"/>
        <v>广西46159</v>
      </c>
      <c r="B4834" s="75" t="s">
        <v>30</v>
      </c>
      <c r="C4834" s="45">
        <v>46159</v>
      </c>
      <c r="D4834" s="76">
        <v>1024.0128643077701</v>
      </c>
      <c r="E4834" s="77">
        <v>125</v>
      </c>
      <c r="F4834" s="78">
        <v>10.1224464297692</v>
      </c>
      <c r="G4834" s="78">
        <v>10.1224464297692</v>
      </c>
      <c r="H4834" s="81">
        <v>9.4569653571425505</v>
      </c>
    </row>
    <row r="4835" spans="1:8" x14ac:dyDescent="0.3">
      <c r="A4835" s="74" t="str">
        <f t="shared" si="75"/>
        <v>广西46160</v>
      </c>
      <c r="B4835" s="75" t="s">
        <v>30</v>
      </c>
      <c r="C4835" s="45">
        <v>46160</v>
      </c>
      <c r="D4835" s="76">
        <v>1024.0128643077701</v>
      </c>
      <c r="E4835" s="77">
        <v>125</v>
      </c>
      <c r="F4835" s="78">
        <v>10.1224464297692</v>
      </c>
      <c r="G4835" s="78">
        <v>10.1224464297692</v>
      </c>
      <c r="H4835" s="81">
        <v>9.4569653571425505</v>
      </c>
    </row>
    <row r="4836" spans="1:8" x14ac:dyDescent="0.3">
      <c r="A4836" s="74" t="str">
        <f t="shared" si="75"/>
        <v>广西46161</v>
      </c>
      <c r="B4836" s="75" t="s">
        <v>30</v>
      </c>
      <c r="C4836" s="45">
        <v>46161</v>
      </c>
      <c r="D4836" s="76">
        <v>1024.0128643077701</v>
      </c>
      <c r="E4836" s="77">
        <v>125</v>
      </c>
      <c r="F4836" s="78">
        <v>10.1224464297692</v>
      </c>
      <c r="G4836" s="78">
        <v>10.1224464297692</v>
      </c>
      <c r="H4836" s="81">
        <v>9.4569653571425505</v>
      </c>
    </row>
    <row r="4837" spans="1:8" x14ac:dyDescent="0.3">
      <c r="A4837" s="74" t="str">
        <f t="shared" si="75"/>
        <v>广西46162</v>
      </c>
      <c r="B4837" s="75" t="s">
        <v>30</v>
      </c>
      <c r="C4837" s="45">
        <v>46162</v>
      </c>
      <c r="D4837" s="76">
        <v>1024.0128643077701</v>
      </c>
      <c r="E4837" s="77">
        <v>125</v>
      </c>
      <c r="F4837" s="78">
        <v>10.1224464297692</v>
      </c>
      <c r="G4837" s="78">
        <v>10.1224464297692</v>
      </c>
      <c r="H4837" s="81">
        <v>9.4569653571425505</v>
      </c>
    </row>
    <row r="4838" spans="1:8" x14ac:dyDescent="0.3">
      <c r="A4838" s="74" t="str">
        <f t="shared" si="75"/>
        <v>广西46163</v>
      </c>
      <c r="B4838" s="75" t="s">
        <v>30</v>
      </c>
      <c r="C4838" s="45">
        <v>46163</v>
      </c>
      <c r="D4838" s="76">
        <v>1024.0128643077701</v>
      </c>
      <c r="E4838" s="77">
        <v>125</v>
      </c>
      <c r="F4838" s="78">
        <v>10.1224464297692</v>
      </c>
      <c r="G4838" s="78">
        <v>10.1224464297692</v>
      </c>
      <c r="H4838" s="81">
        <v>9.4569653571425505</v>
      </c>
    </row>
    <row r="4839" spans="1:8" x14ac:dyDescent="0.3">
      <c r="A4839" s="74" t="str">
        <f t="shared" si="75"/>
        <v>广西46164</v>
      </c>
      <c r="B4839" s="75" t="s">
        <v>30</v>
      </c>
      <c r="C4839" s="45">
        <v>46164</v>
      </c>
      <c r="D4839" s="76">
        <v>1024.0128643077701</v>
      </c>
      <c r="E4839" s="77">
        <v>125</v>
      </c>
      <c r="F4839" s="78">
        <v>10.1224464297692</v>
      </c>
      <c r="G4839" s="78">
        <v>10.1224464297692</v>
      </c>
      <c r="H4839" s="81">
        <v>9.4569653571425505</v>
      </c>
    </row>
    <row r="4840" spans="1:8" x14ac:dyDescent="0.3">
      <c r="A4840" s="74" t="str">
        <f t="shared" si="75"/>
        <v>广西46165</v>
      </c>
      <c r="B4840" s="75" t="s">
        <v>30</v>
      </c>
      <c r="C4840" s="45">
        <v>46165</v>
      </c>
      <c r="D4840" s="76">
        <v>1024.0128643077701</v>
      </c>
      <c r="E4840" s="77">
        <v>125</v>
      </c>
      <c r="F4840" s="78">
        <v>10.1224464297692</v>
      </c>
      <c r="G4840" s="78">
        <v>10.1224464297692</v>
      </c>
      <c r="H4840" s="81">
        <v>9.4569653571425505</v>
      </c>
    </row>
    <row r="4841" spans="1:8" x14ac:dyDescent="0.3">
      <c r="A4841" s="74" t="str">
        <f t="shared" si="75"/>
        <v>广西46166</v>
      </c>
      <c r="B4841" s="75" t="s">
        <v>30</v>
      </c>
      <c r="C4841" s="45">
        <v>46166</v>
      </c>
      <c r="D4841" s="76">
        <v>1024.0128643077701</v>
      </c>
      <c r="E4841" s="77">
        <v>125</v>
      </c>
      <c r="F4841" s="78">
        <v>10.1224464297692</v>
      </c>
      <c r="G4841" s="78">
        <v>10.1224464297692</v>
      </c>
      <c r="H4841" s="81">
        <v>9.4569653571425505</v>
      </c>
    </row>
    <row r="4842" spans="1:8" x14ac:dyDescent="0.3">
      <c r="A4842" s="74" t="str">
        <f t="shared" si="75"/>
        <v>广西46167</v>
      </c>
      <c r="B4842" s="75" t="s">
        <v>30</v>
      </c>
      <c r="C4842" s="45">
        <v>46167</v>
      </c>
      <c r="D4842" s="76">
        <v>1024.0128643077701</v>
      </c>
      <c r="E4842" s="77">
        <v>125</v>
      </c>
      <c r="F4842" s="78">
        <v>10.1224464297692</v>
      </c>
      <c r="G4842" s="78">
        <v>10.1224464297692</v>
      </c>
      <c r="H4842" s="81">
        <v>9.4569653571425505</v>
      </c>
    </row>
    <row r="4843" spans="1:8" x14ac:dyDescent="0.3">
      <c r="A4843" s="74" t="str">
        <f t="shared" si="75"/>
        <v>广西46168</v>
      </c>
      <c r="B4843" s="75" t="s">
        <v>30</v>
      </c>
      <c r="C4843" s="45">
        <v>46168</v>
      </c>
      <c r="D4843" s="76">
        <v>1024.0128643077701</v>
      </c>
      <c r="E4843" s="77">
        <v>125</v>
      </c>
      <c r="F4843" s="78">
        <v>10.1224464297692</v>
      </c>
      <c r="G4843" s="78">
        <v>10.1224464297692</v>
      </c>
      <c r="H4843" s="81">
        <v>9.4569653571425505</v>
      </c>
    </row>
    <row r="4844" spans="1:8" x14ac:dyDescent="0.3">
      <c r="A4844" s="74" t="str">
        <f t="shared" si="75"/>
        <v>广西46169</v>
      </c>
      <c r="B4844" s="75" t="s">
        <v>30</v>
      </c>
      <c r="C4844" s="45">
        <v>46169</v>
      </c>
      <c r="D4844" s="76">
        <v>1024.0128643077701</v>
      </c>
      <c r="E4844" s="77">
        <v>125</v>
      </c>
      <c r="F4844" s="78">
        <v>10.1224464297692</v>
      </c>
      <c r="G4844" s="78">
        <v>10.1224464297692</v>
      </c>
      <c r="H4844" s="81">
        <v>9.4569653571425505</v>
      </c>
    </row>
    <row r="4845" spans="1:8" x14ac:dyDescent="0.3">
      <c r="A4845" s="74" t="str">
        <f t="shared" si="75"/>
        <v>广西46170</v>
      </c>
      <c r="B4845" s="75" t="s">
        <v>30</v>
      </c>
      <c r="C4845" s="45">
        <v>46170</v>
      </c>
      <c r="D4845" s="76">
        <v>1024.0128643077701</v>
      </c>
      <c r="E4845" s="77">
        <v>125</v>
      </c>
      <c r="F4845" s="78">
        <v>10.1224464297692</v>
      </c>
      <c r="G4845" s="78">
        <v>10.1224464297692</v>
      </c>
      <c r="H4845" s="81">
        <v>9.4569653571425505</v>
      </c>
    </row>
    <row r="4846" spans="1:8" x14ac:dyDescent="0.3">
      <c r="A4846" s="74" t="str">
        <f t="shared" si="75"/>
        <v>广西46171</v>
      </c>
      <c r="B4846" s="75" t="s">
        <v>30</v>
      </c>
      <c r="C4846" s="45">
        <v>46171</v>
      </c>
      <c r="D4846" s="76">
        <v>1024.0128643077701</v>
      </c>
      <c r="E4846" s="77">
        <v>125</v>
      </c>
      <c r="F4846" s="78">
        <v>10.1224464297692</v>
      </c>
      <c r="G4846" s="78">
        <v>10.1224464297692</v>
      </c>
      <c r="H4846" s="81">
        <v>9.4569653571425505</v>
      </c>
    </row>
    <row r="4847" spans="1:8" x14ac:dyDescent="0.3">
      <c r="A4847" s="74" t="str">
        <f t="shared" si="75"/>
        <v>广西46172</v>
      </c>
      <c r="B4847" s="75" t="s">
        <v>30</v>
      </c>
      <c r="C4847" s="45">
        <v>46172</v>
      </c>
      <c r="D4847" s="76">
        <v>1024.0128643077701</v>
      </c>
      <c r="E4847" s="77">
        <v>125</v>
      </c>
      <c r="F4847" s="78">
        <v>10.1224464297692</v>
      </c>
      <c r="G4847" s="78">
        <v>10.1224464297692</v>
      </c>
      <c r="H4847" s="81">
        <v>9.4569653571425505</v>
      </c>
    </row>
    <row r="4848" spans="1:8" x14ac:dyDescent="0.3">
      <c r="A4848" s="74" t="str">
        <f t="shared" si="75"/>
        <v>广西46173</v>
      </c>
      <c r="B4848" s="75" t="s">
        <v>30</v>
      </c>
      <c r="C4848" s="45">
        <v>46173</v>
      </c>
      <c r="D4848" s="76">
        <v>1024.0128643077701</v>
      </c>
      <c r="E4848" s="77">
        <v>125</v>
      </c>
      <c r="F4848" s="78">
        <v>10.1224464297692</v>
      </c>
      <c r="G4848" s="78">
        <v>10.1224464297692</v>
      </c>
      <c r="H4848" s="81">
        <v>9.4569653571425505</v>
      </c>
    </row>
    <row r="4849" spans="1:8" x14ac:dyDescent="0.3">
      <c r="A4849" s="74" t="str">
        <f t="shared" si="75"/>
        <v>广西46174</v>
      </c>
      <c r="B4849" s="75" t="s">
        <v>30</v>
      </c>
      <c r="C4849" s="45">
        <v>46174</v>
      </c>
      <c r="D4849" s="76">
        <v>892.117426980711</v>
      </c>
      <c r="E4849" s="77">
        <v>125</v>
      </c>
      <c r="F4849" s="78">
        <v>11.108240044977901</v>
      </c>
      <c r="G4849" s="78">
        <v>11.108240044977901</v>
      </c>
      <c r="H4849" s="81">
        <v>10.2938221381071</v>
      </c>
    </row>
    <row r="4850" spans="1:8" x14ac:dyDescent="0.3">
      <c r="A4850" s="74" t="str">
        <f t="shared" si="75"/>
        <v>广西46175</v>
      </c>
      <c r="B4850" s="75" t="s">
        <v>30</v>
      </c>
      <c r="C4850" s="45">
        <v>46175</v>
      </c>
      <c r="D4850" s="76">
        <v>892.117426980711</v>
      </c>
      <c r="E4850" s="77">
        <v>125</v>
      </c>
      <c r="F4850" s="78">
        <v>11.108240044977901</v>
      </c>
      <c r="G4850" s="78">
        <v>11.108240044977901</v>
      </c>
      <c r="H4850" s="81">
        <v>10.2938221381071</v>
      </c>
    </row>
    <row r="4851" spans="1:8" x14ac:dyDescent="0.3">
      <c r="A4851" s="74" t="str">
        <f t="shared" si="75"/>
        <v>广西46176</v>
      </c>
      <c r="B4851" s="75" t="s">
        <v>30</v>
      </c>
      <c r="C4851" s="45">
        <v>46176</v>
      </c>
      <c r="D4851" s="76">
        <v>892.117426980711</v>
      </c>
      <c r="E4851" s="77">
        <v>125</v>
      </c>
      <c r="F4851" s="78">
        <v>11.108240044977901</v>
      </c>
      <c r="G4851" s="78">
        <v>11.108240044977901</v>
      </c>
      <c r="H4851" s="81">
        <v>10.2938221381071</v>
      </c>
    </row>
    <row r="4852" spans="1:8" x14ac:dyDescent="0.3">
      <c r="A4852" s="74" t="str">
        <f t="shared" si="75"/>
        <v>广西46177</v>
      </c>
      <c r="B4852" s="75" t="s">
        <v>30</v>
      </c>
      <c r="C4852" s="45">
        <v>46177</v>
      </c>
      <c r="D4852" s="76">
        <v>892.117426980711</v>
      </c>
      <c r="E4852" s="77">
        <v>125</v>
      </c>
      <c r="F4852" s="78">
        <v>11.108240044977901</v>
      </c>
      <c r="G4852" s="78">
        <v>11.108240044977901</v>
      </c>
      <c r="H4852" s="81">
        <v>10.2938221381071</v>
      </c>
    </row>
    <row r="4853" spans="1:8" x14ac:dyDescent="0.3">
      <c r="A4853" s="74" t="str">
        <f t="shared" si="75"/>
        <v>广西46178</v>
      </c>
      <c r="B4853" s="75" t="s">
        <v>30</v>
      </c>
      <c r="C4853" s="45">
        <v>46178</v>
      </c>
      <c r="D4853" s="76">
        <v>892.117426980711</v>
      </c>
      <c r="E4853" s="77">
        <v>125</v>
      </c>
      <c r="F4853" s="78">
        <v>11.108240044977901</v>
      </c>
      <c r="G4853" s="78">
        <v>11.108240044977901</v>
      </c>
      <c r="H4853" s="81">
        <v>10.2938221381071</v>
      </c>
    </row>
    <row r="4854" spans="1:8" x14ac:dyDescent="0.3">
      <c r="A4854" s="74" t="str">
        <f t="shared" si="75"/>
        <v>广西46179</v>
      </c>
      <c r="B4854" s="75" t="s">
        <v>30</v>
      </c>
      <c r="C4854" s="45">
        <v>46179</v>
      </c>
      <c r="D4854" s="76">
        <v>892.117426980711</v>
      </c>
      <c r="E4854" s="77">
        <v>125</v>
      </c>
      <c r="F4854" s="78">
        <v>11.108240044977901</v>
      </c>
      <c r="G4854" s="78">
        <v>11.108240044977901</v>
      </c>
      <c r="H4854" s="81">
        <v>10.2938221381071</v>
      </c>
    </row>
    <row r="4855" spans="1:8" x14ac:dyDescent="0.3">
      <c r="A4855" s="74" t="str">
        <f t="shared" si="75"/>
        <v>广西46180</v>
      </c>
      <c r="B4855" s="75" t="s">
        <v>30</v>
      </c>
      <c r="C4855" s="45">
        <v>46180</v>
      </c>
      <c r="D4855" s="76">
        <v>892.117426980711</v>
      </c>
      <c r="E4855" s="77">
        <v>125</v>
      </c>
      <c r="F4855" s="78">
        <v>11.108240044977901</v>
      </c>
      <c r="G4855" s="78">
        <v>11.108240044977901</v>
      </c>
      <c r="H4855" s="81">
        <v>10.2938221381071</v>
      </c>
    </row>
    <row r="4856" spans="1:8" x14ac:dyDescent="0.3">
      <c r="A4856" s="74" t="str">
        <f t="shared" si="75"/>
        <v>广西46181</v>
      </c>
      <c r="B4856" s="75" t="s">
        <v>30</v>
      </c>
      <c r="C4856" s="45">
        <v>46181</v>
      </c>
      <c r="D4856" s="76">
        <v>892.117426980711</v>
      </c>
      <c r="E4856" s="77">
        <v>125</v>
      </c>
      <c r="F4856" s="78">
        <v>11.108240044977901</v>
      </c>
      <c r="G4856" s="78">
        <v>11.108240044977901</v>
      </c>
      <c r="H4856" s="81">
        <v>10.2938221381071</v>
      </c>
    </row>
    <row r="4857" spans="1:8" x14ac:dyDescent="0.3">
      <c r="A4857" s="74" t="str">
        <f t="shared" si="75"/>
        <v>广西46182</v>
      </c>
      <c r="B4857" s="75" t="s">
        <v>30</v>
      </c>
      <c r="C4857" s="45">
        <v>46182</v>
      </c>
      <c r="D4857" s="76">
        <v>892.117426980711</v>
      </c>
      <c r="E4857" s="77">
        <v>125</v>
      </c>
      <c r="F4857" s="78">
        <v>11.108240044977901</v>
      </c>
      <c r="G4857" s="78">
        <v>11.108240044977901</v>
      </c>
      <c r="H4857" s="81">
        <v>10.2938221381071</v>
      </c>
    </row>
    <row r="4858" spans="1:8" x14ac:dyDescent="0.3">
      <c r="A4858" s="74" t="str">
        <f t="shared" si="75"/>
        <v>广西46183</v>
      </c>
      <c r="B4858" s="75" t="s">
        <v>30</v>
      </c>
      <c r="C4858" s="45">
        <v>46183</v>
      </c>
      <c r="D4858" s="76">
        <v>892.117426980711</v>
      </c>
      <c r="E4858" s="77">
        <v>125</v>
      </c>
      <c r="F4858" s="78">
        <v>11.108240044977901</v>
      </c>
      <c r="G4858" s="78">
        <v>11.108240044977901</v>
      </c>
      <c r="H4858" s="81">
        <v>10.2938221381071</v>
      </c>
    </row>
    <row r="4859" spans="1:8" x14ac:dyDescent="0.3">
      <c r="A4859" s="74" t="str">
        <f t="shared" si="75"/>
        <v>广西46184</v>
      </c>
      <c r="B4859" s="75" t="s">
        <v>30</v>
      </c>
      <c r="C4859" s="45">
        <v>46184</v>
      </c>
      <c r="D4859" s="76">
        <v>892.117426980711</v>
      </c>
      <c r="E4859" s="77">
        <v>125</v>
      </c>
      <c r="F4859" s="78">
        <v>11.108240044977901</v>
      </c>
      <c r="G4859" s="78">
        <v>11.108240044977901</v>
      </c>
      <c r="H4859" s="81">
        <v>10.2938221381071</v>
      </c>
    </row>
    <row r="4860" spans="1:8" x14ac:dyDescent="0.3">
      <c r="A4860" s="74" t="str">
        <f t="shared" si="75"/>
        <v>广西46185</v>
      </c>
      <c r="B4860" s="75" t="s">
        <v>30</v>
      </c>
      <c r="C4860" s="45">
        <v>46185</v>
      </c>
      <c r="D4860" s="76">
        <v>892.117426980711</v>
      </c>
      <c r="E4860" s="77">
        <v>125</v>
      </c>
      <c r="F4860" s="78">
        <v>11.108240044977901</v>
      </c>
      <c r="G4860" s="78">
        <v>11.108240044977901</v>
      </c>
      <c r="H4860" s="81">
        <v>10.2938221381071</v>
      </c>
    </row>
    <row r="4861" spans="1:8" x14ac:dyDescent="0.3">
      <c r="A4861" s="74" t="str">
        <f t="shared" si="75"/>
        <v>广西46186</v>
      </c>
      <c r="B4861" s="75" t="s">
        <v>30</v>
      </c>
      <c r="C4861" s="45">
        <v>46186</v>
      </c>
      <c r="D4861" s="76">
        <v>892.117426980711</v>
      </c>
      <c r="E4861" s="77">
        <v>125</v>
      </c>
      <c r="F4861" s="78">
        <v>11.108240044977901</v>
      </c>
      <c r="G4861" s="78">
        <v>11.108240044977901</v>
      </c>
      <c r="H4861" s="81">
        <v>10.2938221381071</v>
      </c>
    </row>
    <row r="4862" spans="1:8" x14ac:dyDescent="0.3">
      <c r="A4862" s="74" t="str">
        <f t="shared" si="75"/>
        <v>广西46187</v>
      </c>
      <c r="B4862" s="75" t="s">
        <v>30</v>
      </c>
      <c r="C4862" s="45">
        <v>46187</v>
      </c>
      <c r="D4862" s="76">
        <v>892.117426980711</v>
      </c>
      <c r="E4862" s="77">
        <v>125</v>
      </c>
      <c r="F4862" s="78">
        <v>11.108240044977901</v>
      </c>
      <c r="G4862" s="78">
        <v>11.108240044977901</v>
      </c>
      <c r="H4862" s="81">
        <v>10.2938221381071</v>
      </c>
    </row>
    <row r="4863" spans="1:8" x14ac:dyDescent="0.3">
      <c r="A4863" s="74" t="str">
        <f t="shared" si="75"/>
        <v>广西46188</v>
      </c>
      <c r="B4863" s="75" t="s">
        <v>30</v>
      </c>
      <c r="C4863" s="45">
        <v>46188</v>
      </c>
      <c r="D4863" s="76">
        <v>892.117426980711</v>
      </c>
      <c r="E4863" s="77">
        <v>125</v>
      </c>
      <c r="F4863" s="78">
        <v>11.108240044977901</v>
      </c>
      <c r="G4863" s="78">
        <v>11.108240044977901</v>
      </c>
      <c r="H4863" s="81">
        <v>10.2938221381071</v>
      </c>
    </row>
    <row r="4864" spans="1:8" x14ac:dyDescent="0.3">
      <c r="A4864" s="74" t="str">
        <f t="shared" si="75"/>
        <v>广西46189</v>
      </c>
      <c r="B4864" s="75" t="s">
        <v>30</v>
      </c>
      <c r="C4864" s="45">
        <v>46189</v>
      </c>
      <c r="D4864" s="76">
        <v>892.117426980711</v>
      </c>
      <c r="E4864" s="77">
        <v>125</v>
      </c>
      <c r="F4864" s="78">
        <v>11.108240044977901</v>
      </c>
      <c r="G4864" s="78">
        <v>11.108240044977901</v>
      </c>
      <c r="H4864" s="81">
        <v>10.2938221381071</v>
      </c>
    </row>
    <row r="4865" spans="1:8" x14ac:dyDescent="0.3">
      <c r="A4865" s="74" t="str">
        <f t="shared" si="75"/>
        <v>广西46190</v>
      </c>
      <c r="B4865" s="75" t="s">
        <v>30</v>
      </c>
      <c r="C4865" s="45">
        <v>46190</v>
      </c>
      <c r="D4865" s="76">
        <v>892.117426980711</v>
      </c>
      <c r="E4865" s="77">
        <v>125</v>
      </c>
      <c r="F4865" s="78">
        <v>11.108240044977901</v>
      </c>
      <c r="G4865" s="78">
        <v>11.108240044977901</v>
      </c>
      <c r="H4865" s="81">
        <v>10.2938221381071</v>
      </c>
    </row>
    <row r="4866" spans="1:8" x14ac:dyDescent="0.3">
      <c r="A4866" s="74" t="str">
        <f t="shared" si="75"/>
        <v>广西46191</v>
      </c>
      <c r="B4866" s="75" t="s">
        <v>30</v>
      </c>
      <c r="C4866" s="45">
        <v>46191</v>
      </c>
      <c r="D4866" s="76">
        <v>892.117426980711</v>
      </c>
      <c r="E4866" s="77">
        <v>125</v>
      </c>
      <c r="F4866" s="78">
        <v>11.108240044977901</v>
      </c>
      <c r="G4866" s="78">
        <v>11.108240044977901</v>
      </c>
      <c r="H4866" s="81">
        <v>10.2938221381071</v>
      </c>
    </row>
    <row r="4867" spans="1:8" x14ac:dyDescent="0.3">
      <c r="A4867" s="74" t="str">
        <f t="shared" ref="A4867:A4930" si="76">B4867&amp;C4867</f>
        <v>广西46192</v>
      </c>
      <c r="B4867" s="75" t="s">
        <v>30</v>
      </c>
      <c r="C4867" s="45">
        <v>46192</v>
      </c>
      <c r="D4867" s="76">
        <v>892.117426980711</v>
      </c>
      <c r="E4867" s="77">
        <v>125</v>
      </c>
      <c r="F4867" s="78">
        <v>11.108240044977901</v>
      </c>
      <c r="G4867" s="78">
        <v>11.108240044977901</v>
      </c>
      <c r="H4867" s="81">
        <v>10.2938221381071</v>
      </c>
    </row>
    <row r="4868" spans="1:8" x14ac:dyDescent="0.3">
      <c r="A4868" s="74" t="str">
        <f t="shared" si="76"/>
        <v>广西46193</v>
      </c>
      <c r="B4868" s="75" t="s">
        <v>30</v>
      </c>
      <c r="C4868" s="45">
        <v>46193</v>
      </c>
      <c r="D4868" s="76">
        <v>892.117426980711</v>
      </c>
      <c r="E4868" s="77">
        <v>125</v>
      </c>
      <c r="F4868" s="78">
        <v>11.108240044977901</v>
      </c>
      <c r="G4868" s="78">
        <v>11.108240044977901</v>
      </c>
      <c r="H4868" s="81">
        <v>10.2938221381071</v>
      </c>
    </row>
    <row r="4869" spans="1:8" x14ac:dyDescent="0.3">
      <c r="A4869" s="74" t="str">
        <f t="shared" si="76"/>
        <v>广西46194</v>
      </c>
      <c r="B4869" s="75" t="s">
        <v>30</v>
      </c>
      <c r="C4869" s="45">
        <v>46194</v>
      </c>
      <c r="D4869" s="76">
        <v>892.117426980711</v>
      </c>
      <c r="E4869" s="77">
        <v>125</v>
      </c>
      <c r="F4869" s="78">
        <v>11.108240044977901</v>
      </c>
      <c r="G4869" s="78">
        <v>11.108240044977901</v>
      </c>
      <c r="H4869" s="81">
        <v>10.2938221381071</v>
      </c>
    </row>
    <row r="4870" spans="1:8" x14ac:dyDescent="0.3">
      <c r="A4870" s="74" t="str">
        <f t="shared" si="76"/>
        <v>广西46195</v>
      </c>
      <c r="B4870" s="75" t="s">
        <v>30</v>
      </c>
      <c r="C4870" s="45">
        <v>46195</v>
      </c>
      <c r="D4870" s="76">
        <v>892.117426980711</v>
      </c>
      <c r="E4870" s="77">
        <v>125</v>
      </c>
      <c r="F4870" s="78">
        <v>11.108240044977901</v>
      </c>
      <c r="G4870" s="78">
        <v>11.108240044977901</v>
      </c>
      <c r="H4870" s="81">
        <v>10.2938221381071</v>
      </c>
    </row>
    <row r="4871" spans="1:8" x14ac:dyDescent="0.3">
      <c r="A4871" s="74" t="str">
        <f t="shared" si="76"/>
        <v>广西46196</v>
      </c>
      <c r="B4871" s="75" t="s">
        <v>30</v>
      </c>
      <c r="C4871" s="45">
        <v>46196</v>
      </c>
      <c r="D4871" s="76">
        <v>892.117426980711</v>
      </c>
      <c r="E4871" s="77">
        <v>125</v>
      </c>
      <c r="F4871" s="78">
        <v>11.108240044977901</v>
      </c>
      <c r="G4871" s="78">
        <v>11.108240044977901</v>
      </c>
      <c r="H4871" s="81">
        <v>10.2938221381071</v>
      </c>
    </row>
    <row r="4872" spans="1:8" x14ac:dyDescent="0.3">
      <c r="A4872" s="74" t="str">
        <f t="shared" si="76"/>
        <v>广西46197</v>
      </c>
      <c r="B4872" s="75" t="s">
        <v>30</v>
      </c>
      <c r="C4872" s="45">
        <v>46197</v>
      </c>
      <c r="D4872" s="76">
        <v>892.117426980711</v>
      </c>
      <c r="E4872" s="77">
        <v>125</v>
      </c>
      <c r="F4872" s="78">
        <v>11.108240044977901</v>
      </c>
      <c r="G4872" s="78">
        <v>11.108240044977901</v>
      </c>
      <c r="H4872" s="81">
        <v>10.2938221381071</v>
      </c>
    </row>
    <row r="4873" spans="1:8" x14ac:dyDescent="0.3">
      <c r="A4873" s="74" t="str">
        <f t="shared" si="76"/>
        <v>广西46198</v>
      </c>
      <c r="B4873" s="75" t="s">
        <v>30</v>
      </c>
      <c r="C4873" s="45">
        <v>46198</v>
      </c>
      <c r="D4873" s="76">
        <v>892.117426980711</v>
      </c>
      <c r="E4873" s="77">
        <v>125</v>
      </c>
      <c r="F4873" s="78">
        <v>11.108240044977901</v>
      </c>
      <c r="G4873" s="78">
        <v>11.108240044977901</v>
      </c>
      <c r="H4873" s="81">
        <v>10.2938221381071</v>
      </c>
    </row>
    <row r="4874" spans="1:8" x14ac:dyDescent="0.3">
      <c r="A4874" s="74" t="str">
        <f t="shared" si="76"/>
        <v>广西46199</v>
      </c>
      <c r="B4874" s="75" t="s">
        <v>30</v>
      </c>
      <c r="C4874" s="45">
        <v>46199</v>
      </c>
      <c r="D4874" s="76">
        <v>892.117426980711</v>
      </c>
      <c r="E4874" s="77">
        <v>125</v>
      </c>
      <c r="F4874" s="78">
        <v>11.108240044977901</v>
      </c>
      <c r="G4874" s="78">
        <v>11.108240044977901</v>
      </c>
      <c r="H4874" s="81">
        <v>10.2938221381071</v>
      </c>
    </row>
    <row r="4875" spans="1:8" x14ac:dyDescent="0.3">
      <c r="A4875" s="74" t="str">
        <f t="shared" si="76"/>
        <v>广西46200</v>
      </c>
      <c r="B4875" s="75" t="s">
        <v>30</v>
      </c>
      <c r="C4875" s="45">
        <v>46200</v>
      </c>
      <c r="D4875" s="76">
        <v>892.117426980711</v>
      </c>
      <c r="E4875" s="77">
        <v>125</v>
      </c>
      <c r="F4875" s="78">
        <v>11.108240044977901</v>
      </c>
      <c r="G4875" s="78">
        <v>11.108240044977901</v>
      </c>
      <c r="H4875" s="81">
        <v>10.2938221381071</v>
      </c>
    </row>
    <row r="4876" spans="1:8" x14ac:dyDescent="0.3">
      <c r="A4876" s="74" t="str">
        <f t="shared" si="76"/>
        <v>广西46201</v>
      </c>
      <c r="B4876" s="75" t="s">
        <v>30</v>
      </c>
      <c r="C4876" s="45">
        <v>46201</v>
      </c>
      <c r="D4876" s="76">
        <v>892.117426980711</v>
      </c>
      <c r="E4876" s="77">
        <v>125</v>
      </c>
      <c r="F4876" s="78">
        <v>11.108240044977901</v>
      </c>
      <c r="G4876" s="78">
        <v>11.108240044977901</v>
      </c>
      <c r="H4876" s="81">
        <v>10.2938221381071</v>
      </c>
    </row>
    <row r="4877" spans="1:8" x14ac:dyDescent="0.3">
      <c r="A4877" s="74" t="str">
        <f t="shared" si="76"/>
        <v>广西46202</v>
      </c>
      <c r="B4877" s="75" t="s">
        <v>30</v>
      </c>
      <c r="C4877" s="45">
        <v>46202</v>
      </c>
      <c r="D4877" s="76">
        <v>892.117426980711</v>
      </c>
      <c r="E4877" s="77">
        <v>125</v>
      </c>
      <c r="F4877" s="78">
        <v>11.108240044977901</v>
      </c>
      <c r="G4877" s="78">
        <v>11.108240044977901</v>
      </c>
      <c r="H4877" s="81">
        <v>10.2938221381071</v>
      </c>
    </row>
    <row r="4878" spans="1:8" x14ac:dyDescent="0.3">
      <c r="A4878" s="74" t="str">
        <f t="shared" si="76"/>
        <v>广西46203</v>
      </c>
      <c r="B4878" s="75" t="s">
        <v>30</v>
      </c>
      <c r="C4878" s="45">
        <v>46203</v>
      </c>
      <c r="D4878" s="76">
        <v>892.117426980711</v>
      </c>
      <c r="E4878" s="77">
        <v>125</v>
      </c>
      <c r="F4878" s="78">
        <v>11.108240044977901</v>
      </c>
      <c r="G4878" s="78">
        <v>11.108240044977901</v>
      </c>
      <c r="H4878" s="81">
        <v>10.2938221381071</v>
      </c>
    </row>
    <row r="4879" spans="1:8" x14ac:dyDescent="0.3">
      <c r="A4879" s="74" t="str">
        <f t="shared" si="76"/>
        <v>广西46204</v>
      </c>
      <c r="B4879" s="75" t="s">
        <v>30</v>
      </c>
      <c r="C4879" s="45">
        <v>46204</v>
      </c>
      <c r="D4879" s="76">
        <v>1371.2427627720799</v>
      </c>
      <c r="E4879" s="77">
        <v>125</v>
      </c>
      <c r="F4879" s="78">
        <v>11.5737117987779</v>
      </c>
      <c r="G4879" s="78">
        <v>11.5737117987779</v>
      </c>
      <c r="H4879" s="81">
        <v>11.130678919071601</v>
      </c>
    </row>
    <row r="4880" spans="1:8" x14ac:dyDescent="0.3">
      <c r="A4880" s="74" t="str">
        <f t="shared" si="76"/>
        <v>广西46205</v>
      </c>
      <c r="B4880" s="75" t="s">
        <v>30</v>
      </c>
      <c r="C4880" s="45">
        <v>46205</v>
      </c>
      <c r="D4880" s="76">
        <v>1371.2427627720799</v>
      </c>
      <c r="E4880" s="77">
        <v>125</v>
      </c>
      <c r="F4880" s="78">
        <v>11.5737117987779</v>
      </c>
      <c r="G4880" s="78">
        <v>11.5737117987779</v>
      </c>
      <c r="H4880" s="81">
        <v>11.130678919071601</v>
      </c>
    </row>
    <row r="4881" spans="1:8" x14ac:dyDescent="0.3">
      <c r="A4881" s="74" t="str">
        <f t="shared" si="76"/>
        <v>广西46206</v>
      </c>
      <c r="B4881" s="75" t="s">
        <v>30</v>
      </c>
      <c r="C4881" s="45">
        <v>46206</v>
      </c>
      <c r="D4881" s="76">
        <v>1371.2427627720799</v>
      </c>
      <c r="E4881" s="77">
        <v>125</v>
      </c>
      <c r="F4881" s="78">
        <v>11.5737117987779</v>
      </c>
      <c r="G4881" s="78">
        <v>11.5737117987779</v>
      </c>
      <c r="H4881" s="81">
        <v>11.130678919071601</v>
      </c>
    </row>
    <row r="4882" spans="1:8" x14ac:dyDescent="0.3">
      <c r="A4882" s="74" t="str">
        <f t="shared" si="76"/>
        <v>广西46207</v>
      </c>
      <c r="B4882" s="75" t="s">
        <v>30</v>
      </c>
      <c r="C4882" s="45">
        <v>46207</v>
      </c>
      <c r="D4882" s="76">
        <v>1371.2427627720799</v>
      </c>
      <c r="E4882" s="77">
        <v>125</v>
      </c>
      <c r="F4882" s="78">
        <v>11.5737117987779</v>
      </c>
      <c r="G4882" s="78">
        <v>11.5737117987779</v>
      </c>
      <c r="H4882" s="81">
        <v>11.130678919071601</v>
      </c>
    </row>
    <row r="4883" spans="1:8" x14ac:dyDescent="0.3">
      <c r="A4883" s="74" t="str">
        <f t="shared" si="76"/>
        <v>广西46208</v>
      </c>
      <c r="B4883" s="75" t="s">
        <v>30</v>
      </c>
      <c r="C4883" s="45">
        <v>46208</v>
      </c>
      <c r="D4883" s="76">
        <v>1371.2427627720799</v>
      </c>
      <c r="E4883" s="77">
        <v>125</v>
      </c>
      <c r="F4883" s="78">
        <v>11.5737117987779</v>
      </c>
      <c r="G4883" s="78">
        <v>11.5737117987779</v>
      </c>
      <c r="H4883" s="81">
        <v>11.130678919071601</v>
      </c>
    </row>
    <row r="4884" spans="1:8" x14ac:dyDescent="0.3">
      <c r="A4884" s="74" t="str">
        <f t="shared" si="76"/>
        <v>广西46209</v>
      </c>
      <c r="B4884" s="75" t="s">
        <v>30</v>
      </c>
      <c r="C4884" s="45">
        <v>46209</v>
      </c>
      <c r="D4884" s="76">
        <v>1371.2427627720799</v>
      </c>
      <c r="E4884" s="77">
        <v>125</v>
      </c>
      <c r="F4884" s="78">
        <v>11.5737117987779</v>
      </c>
      <c r="G4884" s="78">
        <v>11.5737117987779</v>
      </c>
      <c r="H4884" s="81">
        <v>11.130678919071601</v>
      </c>
    </row>
    <row r="4885" spans="1:8" x14ac:dyDescent="0.3">
      <c r="A4885" s="74" t="str">
        <f t="shared" si="76"/>
        <v>广西46210</v>
      </c>
      <c r="B4885" s="75" t="s">
        <v>30</v>
      </c>
      <c r="C4885" s="45">
        <v>46210</v>
      </c>
      <c r="D4885" s="76">
        <v>1371.2427627720799</v>
      </c>
      <c r="E4885" s="77">
        <v>125</v>
      </c>
      <c r="F4885" s="78">
        <v>11.5737117987779</v>
      </c>
      <c r="G4885" s="78">
        <v>11.5737117987779</v>
      </c>
      <c r="H4885" s="81">
        <v>11.130678919071601</v>
      </c>
    </row>
    <row r="4886" spans="1:8" x14ac:dyDescent="0.3">
      <c r="A4886" s="74" t="str">
        <f t="shared" si="76"/>
        <v>广西46211</v>
      </c>
      <c r="B4886" s="75" t="s">
        <v>30</v>
      </c>
      <c r="C4886" s="45">
        <v>46211</v>
      </c>
      <c r="D4886" s="76">
        <v>1371.2427627720799</v>
      </c>
      <c r="E4886" s="77">
        <v>125</v>
      </c>
      <c r="F4886" s="78">
        <v>11.5737117987779</v>
      </c>
      <c r="G4886" s="78">
        <v>11.5737117987779</v>
      </c>
      <c r="H4886" s="81">
        <v>11.130678919071601</v>
      </c>
    </row>
    <row r="4887" spans="1:8" x14ac:dyDescent="0.3">
      <c r="A4887" s="74" t="str">
        <f t="shared" si="76"/>
        <v>广西46212</v>
      </c>
      <c r="B4887" s="75" t="s">
        <v>30</v>
      </c>
      <c r="C4887" s="45">
        <v>46212</v>
      </c>
      <c r="D4887" s="76">
        <v>1371.2427627720799</v>
      </c>
      <c r="E4887" s="77">
        <v>125</v>
      </c>
      <c r="F4887" s="78">
        <v>11.5737117987779</v>
      </c>
      <c r="G4887" s="78">
        <v>11.5737117987779</v>
      </c>
      <c r="H4887" s="81">
        <v>11.130678919071601</v>
      </c>
    </row>
    <row r="4888" spans="1:8" x14ac:dyDescent="0.3">
      <c r="A4888" s="74" t="str">
        <f t="shared" si="76"/>
        <v>广西46213</v>
      </c>
      <c r="B4888" s="75" t="s">
        <v>30</v>
      </c>
      <c r="C4888" s="45">
        <v>46213</v>
      </c>
      <c r="D4888" s="76">
        <v>1371.2427627720799</v>
      </c>
      <c r="E4888" s="77">
        <v>125</v>
      </c>
      <c r="F4888" s="78">
        <v>11.5737117987779</v>
      </c>
      <c r="G4888" s="78">
        <v>11.5737117987779</v>
      </c>
      <c r="H4888" s="81">
        <v>11.130678919071601</v>
      </c>
    </row>
    <row r="4889" spans="1:8" x14ac:dyDescent="0.3">
      <c r="A4889" s="74" t="str">
        <f t="shared" si="76"/>
        <v>广西46214</v>
      </c>
      <c r="B4889" s="75" t="s">
        <v>30</v>
      </c>
      <c r="C4889" s="45">
        <v>46214</v>
      </c>
      <c r="D4889" s="76">
        <v>1371.2427627720799</v>
      </c>
      <c r="E4889" s="77">
        <v>125</v>
      </c>
      <c r="F4889" s="78">
        <v>11.5737117987779</v>
      </c>
      <c r="G4889" s="78">
        <v>11.5737117987779</v>
      </c>
      <c r="H4889" s="81">
        <v>11.130678919071601</v>
      </c>
    </row>
    <row r="4890" spans="1:8" x14ac:dyDescent="0.3">
      <c r="A4890" s="74" t="str">
        <f t="shared" si="76"/>
        <v>广西46215</v>
      </c>
      <c r="B4890" s="75" t="s">
        <v>30</v>
      </c>
      <c r="C4890" s="45">
        <v>46215</v>
      </c>
      <c r="D4890" s="76">
        <v>1371.2427627720799</v>
      </c>
      <c r="E4890" s="77">
        <v>125</v>
      </c>
      <c r="F4890" s="78">
        <v>11.5737117987779</v>
      </c>
      <c r="G4890" s="78">
        <v>11.5737117987779</v>
      </c>
      <c r="H4890" s="81">
        <v>11.130678919071601</v>
      </c>
    </row>
    <row r="4891" spans="1:8" x14ac:dyDescent="0.3">
      <c r="A4891" s="74" t="str">
        <f t="shared" si="76"/>
        <v>广西46216</v>
      </c>
      <c r="B4891" s="75" t="s">
        <v>30</v>
      </c>
      <c r="C4891" s="45">
        <v>46216</v>
      </c>
      <c r="D4891" s="76">
        <v>1371.2427627720799</v>
      </c>
      <c r="E4891" s="77">
        <v>125</v>
      </c>
      <c r="F4891" s="78">
        <v>11.5737117987779</v>
      </c>
      <c r="G4891" s="78">
        <v>11.5737117987779</v>
      </c>
      <c r="H4891" s="81">
        <v>11.130678919071601</v>
      </c>
    </row>
    <row r="4892" spans="1:8" x14ac:dyDescent="0.3">
      <c r="A4892" s="74" t="str">
        <f t="shared" si="76"/>
        <v>广西46217</v>
      </c>
      <c r="B4892" s="75" t="s">
        <v>30</v>
      </c>
      <c r="C4892" s="45">
        <v>46217</v>
      </c>
      <c r="D4892" s="76">
        <v>1371.2427627720799</v>
      </c>
      <c r="E4892" s="77">
        <v>125</v>
      </c>
      <c r="F4892" s="78">
        <v>11.5737117987779</v>
      </c>
      <c r="G4892" s="78">
        <v>11.5737117987779</v>
      </c>
      <c r="H4892" s="81">
        <v>11.130678919071601</v>
      </c>
    </row>
    <row r="4893" spans="1:8" x14ac:dyDescent="0.3">
      <c r="A4893" s="74" t="str">
        <f t="shared" si="76"/>
        <v>广西46218</v>
      </c>
      <c r="B4893" s="75" t="s">
        <v>30</v>
      </c>
      <c r="C4893" s="45">
        <v>46218</v>
      </c>
      <c r="D4893" s="76">
        <v>1371.2427627720799</v>
      </c>
      <c r="E4893" s="77">
        <v>125</v>
      </c>
      <c r="F4893" s="78">
        <v>11.5737117987779</v>
      </c>
      <c r="G4893" s="78">
        <v>11.5737117987779</v>
      </c>
      <c r="H4893" s="81">
        <v>11.130678919071601</v>
      </c>
    </row>
    <row r="4894" spans="1:8" x14ac:dyDescent="0.3">
      <c r="A4894" s="74" t="str">
        <f t="shared" si="76"/>
        <v>广西46219</v>
      </c>
      <c r="B4894" s="75" t="s">
        <v>30</v>
      </c>
      <c r="C4894" s="45">
        <v>46219</v>
      </c>
      <c r="D4894" s="76">
        <v>1371.2427627720799</v>
      </c>
      <c r="E4894" s="77">
        <v>125</v>
      </c>
      <c r="F4894" s="78">
        <v>11.5737117987779</v>
      </c>
      <c r="G4894" s="78">
        <v>11.5737117987779</v>
      </c>
      <c r="H4894" s="81">
        <v>11.130678919071601</v>
      </c>
    </row>
    <row r="4895" spans="1:8" x14ac:dyDescent="0.3">
      <c r="A4895" s="74" t="str">
        <f t="shared" si="76"/>
        <v>广西46220</v>
      </c>
      <c r="B4895" s="75" t="s">
        <v>30</v>
      </c>
      <c r="C4895" s="45">
        <v>46220</v>
      </c>
      <c r="D4895" s="76">
        <v>1371.2427627720799</v>
      </c>
      <c r="E4895" s="77">
        <v>125</v>
      </c>
      <c r="F4895" s="78">
        <v>11.5737117987779</v>
      </c>
      <c r="G4895" s="78">
        <v>11.5737117987779</v>
      </c>
      <c r="H4895" s="81">
        <v>11.130678919071601</v>
      </c>
    </row>
    <row r="4896" spans="1:8" x14ac:dyDescent="0.3">
      <c r="A4896" s="74" t="str">
        <f t="shared" si="76"/>
        <v>广西46221</v>
      </c>
      <c r="B4896" s="75" t="s">
        <v>30</v>
      </c>
      <c r="C4896" s="45">
        <v>46221</v>
      </c>
      <c r="D4896" s="76">
        <v>1371.2427627720799</v>
      </c>
      <c r="E4896" s="77">
        <v>125</v>
      </c>
      <c r="F4896" s="78">
        <v>11.5737117987779</v>
      </c>
      <c r="G4896" s="78">
        <v>11.5737117987779</v>
      </c>
      <c r="H4896" s="81">
        <v>11.130678919071601</v>
      </c>
    </row>
    <row r="4897" spans="1:8" x14ac:dyDescent="0.3">
      <c r="A4897" s="74" t="str">
        <f t="shared" si="76"/>
        <v>广西46222</v>
      </c>
      <c r="B4897" s="75" t="s">
        <v>30</v>
      </c>
      <c r="C4897" s="45">
        <v>46222</v>
      </c>
      <c r="D4897" s="76">
        <v>1371.2427627720799</v>
      </c>
      <c r="E4897" s="77">
        <v>125</v>
      </c>
      <c r="F4897" s="78">
        <v>11.5737117987779</v>
      </c>
      <c r="G4897" s="78">
        <v>11.5737117987779</v>
      </c>
      <c r="H4897" s="81">
        <v>11.130678919071601</v>
      </c>
    </row>
    <row r="4898" spans="1:8" x14ac:dyDescent="0.3">
      <c r="A4898" s="74" t="str">
        <f t="shared" si="76"/>
        <v>广西46223</v>
      </c>
      <c r="B4898" s="75" t="s">
        <v>30</v>
      </c>
      <c r="C4898" s="45">
        <v>46223</v>
      </c>
      <c r="D4898" s="76">
        <v>1371.2427627720799</v>
      </c>
      <c r="E4898" s="77">
        <v>125</v>
      </c>
      <c r="F4898" s="78">
        <v>11.5737117987779</v>
      </c>
      <c r="G4898" s="78">
        <v>11.5737117987779</v>
      </c>
      <c r="H4898" s="81">
        <v>11.130678919071601</v>
      </c>
    </row>
    <row r="4899" spans="1:8" x14ac:dyDescent="0.3">
      <c r="A4899" s="74" t="str">
        <f t="shared" si="76"/>
        <v>广西46224</v>
      </c>
      <c r="B4899" s="75" t="s">
        <v>30</v>
      </c>
      <c r="C4899" s="45">
        <v>46224</v>
      </c>
      <c r="D4899" s="76">
        <v>1371.2427627720799</v>
      </c>
      <c r="E4899" s="77">
        <v>125</v>
      </c>
      <c r="F4899" s="78">
        <v>11.5737117987779</v>
      </c>
      <c r="G4899" s="78">
        <v>11.5737117987779</v>
      </c>
      <c r="H4899" s="81">
        <v>11.130678919071601</v>
      </c>
    </row>
    <row r="4900" spans="1:8" x14ac:dyDescent="0.3">
      <c r="A4900" s="74" t="str">
        <f t="shared" si="76"/>
        <v>广西46225</v>
      </c>
      <c r="B4900" s="75" t="s">
        <v>30</v>
      </c>
      <c r="C4900" s="45">
        <v>46225</v>
      </c>
      <c r="D4900" s="76">
        <v>1371.2427627720799</v>
      </c>
      <c r="E4900" s="77">
        <v>125</v>
      </c>
      <c r="F4900" s="78">
        <v>11.5737117987779</v>
      </c>
      <c r="G4900" s="78">
        <v>11.5737117987779</v>
      </c>
      <c r="H4900" s="81">
        <v>11.130678919071601</v>
      </c>
    </row>
    <row r="4901" spans="1:8" x14ac:dyDescent="0.3">
      <c r="A4901" s="74" t="str">
        <f t="shared" si="76"/>
        <v>广西46226</v>
      </c>
      <c r="B4901" s="75" t="s">
        <v>30</v>
      </c>
      <c r="C4901" s="45">
        <v>46226</v>
      </c>
      <c r="D4901" s="76">
        <v>1371.2427627720799</v>
      </c>
      <c r="E4901" s="77">
        <v>125</v>
      </c>
      <c r="F4901" s="78">
        <v>11.5737117987779</v>
      </c>
      <c r="G4901" s="78">
        <v>11.5737117987779</v>
      </c>
      <c r="H4901" s="81">
        <v>11.130678919071601</v>
      </c>
    </row>
    <row r="4902" spans="1:8" x14ac:dyDescent="0.3">
      <c r="A4902" s="74" t="str">
        <f t="shared" si="76"/>
        <v>广西46227</v>
      </c>
      <c r="B4902" s="75" t="s">
        <v>30</v>
      </c>
      <c r="C4902" s="45">
        <v>46227</v>
      </c>
      <c r="D4902" s="76">
        <v>1371.2427627720799</v>
      </c>
      <c r="E4902" s="77">
        <v>125</v>
      </c>
      <c r="F4902" s="78">
        <v>11.5737117987779</v>
      </c>
      <c r="G4902" s="78">
        <v>11.5737117987779</v>
      </c>
      <c r="H4902" s="81">
        <v>11.130678919071601</v>
      </c>
    </row>
    <row r="4903" spans="1:8" x14ac:dyDescent="0.3">
      <c r="A4903" s="74" t="str">
        <f t="shared" si="76"/>
        <v>广西46228</v>
      </c>
      <c r="B4903" s="75" t="s">
        <v>30</v>
      </c>
      <c r="C4903" s="45">
        <v>46228</v>
      </c>
      <c r="D4903" s="76">
        <v>1371.2427627720799</v>
      </c>
      <c r="E4903" s="77">
        <v>125</v>
      </c>
      <c r="F4903" s="78">
        <v>11.5737117987779</v>
      </c>
      <c r="G4903" s="78">
        <v>11.5737117987779</v>
      </c>
      <c r="H4903" s="81">
        <v>11.130678919071601</v>
      </c>
    </row>
    <row r="4904" spans="1:8" x14ac:dyDescent="0.3">
      <c r="A4904" s="74" t="str">
        <f t="shared" si="76"/>
        <v>广西46229</v>
      </c>
      <c r="B4904" s="75" t="s">
        <v>30</v>
      </c>
      <c r="C4904" s="45">
        <v>46229</v>
      </c>
      <c r="D4904" s="76">
        <v>1371.2427627720799</v>
      </c>
      <c r="E4904" s="77">
        <v>125</v>
      </c>
      <c r="F4904" s="78">
        <v>11.5737117987779</v>
      </c>
      <c r="G4904" s="78">
        <v>11.5737117987779</v>
      </c>
      <c r="H4904" s="81">
        <v>11.130678919071601</v>
      </c>
    </row>
    <row r="4905" spans="1:8" x14ac:dyDescent="0.3">
      <c r="A4905" s="74" t="str">
        <f t="shared" si="76"/>
        <v>广西46230</v>
      </c>
      <c r="B4905" s="75" t="s">
        <v>30</v>
      </c>
      <c r="C4905" s="45">
        <v>46230</v>
      </c>
      <c r="D4905" s="76">
        <v>1371.2427627720799</v>
      </c>
      <c r="E4905" s="77">
        <v>125</v>
      </c>
      <c r="F4905" s="78">
        <v>11.5737117987779</v>
      </c>
      <c r="G4905" s="78">
        <v>11.5737117987779</v>
      </c>
      <c r="H4905" s="81">
        <v>11.130678919071601</v>
      </c>
    </row>
    <row r="4906" spans="1:8" x14ac:dyDescent="0.3">
      <c r="A4906" s="74" t="str">
        <f t="shared" si="76"/>
        <v>广西46231</v>
      </c>
      <c r="B4906" s="75" t="s">
        <v>30</v>
      </c>
      <c r="C4906" s="45">
        <v>46231</v>
      </c>
      <c r="D4906" s="76">
        <v>1371.2427627720799</v>
      </c>
      <c r="E4906" s="77">
        <v>125</v>
      </c>
      <c r="F4906" s="78">
        <v>11.5737117987779</v>
      </c>
      <c r="G4906" s="78">
        <v>11.5737117987779</v>
      </c>
      <c r="H4906" s="81">
        <v>11.130678919071601</v>
      </c>
    </row>
    <row r="4907" spans="1:8" x14ac:dyDescent="0.3">
      <c r="A4907" s="74" t="str">
        <f t="shared" si="76"/>
        <v>广西46232</v>
      </c>
      <c r="B4907" s="75" t="s">
        <v>30</v>
      </c>
      <c r="C4907" s="45">
        <v>46232</v>
      </c>
      <c r="D4907" s="76">
        <v>1371.2427627720799</v>
      </c>
      <c r="E4907" s="77">
        <v>125</v>
      </c>
      <c r="F4907" s="78">
        <v>11.5737117987779</v>
      </c>
      <c r="G4907" s="78">
        <v>11.5737117987779</v>
      </c>
      <c r="H4907" s="81">
        <v>11.130678919071601</v>
      </c>
    </row>
    <row r="4908" spans="1:8" x14ac:dyDescent="0.3">
      <c r="A4908" s="74" t="str">
        <f t="shared" si="76"/>
        <v>广西46233</v>
      </c>
      <c r="B4908" s="75" t="s">
        <v>30</v>
      </c>
      <c r="C4908" s="45">
        <v>46233</v>
      </c>
      <c r="D4908" s="76">
        <v>1371.2427627720799</v>
      </c>
      <c r="E4908" s="77">
        <v>125</v>
      </c>
      <c r="F4908" s="78">
        <v>11.5737117987779</v>
      </c>
      <c r="G4908" s="78">
        <v>11.5737117987779</v>
      </c>
      <c r="H4908" s="81">
        <v>11.130678919071601</v>
      </c>
    </row>
    <row r="4909" spans="1:8" x14ac:dyDescent="0.3">
      <c r="A4909" s="74" t="str">
        <f t="shared" si="76"/>
        <v>广西46234</v>
      </c>
      <c r="B4909" s="75" t="s">
        <v>30</v>
      </c>
      <c r="C4909" s="45">
        <v>46234</v>
      </c>
      <c r="D4909" s="76">
        <v>1371.2427627720799</v>
      </c>
      <c r="E4909" s="77">
        <v>125</v>
      </c>
      <c r="F4909" s="78">
        <v>11.5737117987779</v>
      </c>
      <c r="G4909" s="78">
        <v>11.5737117987779</v>
      </c>
      <c r="H4909" s="81">
        <v>11.130678919071601</v>
      </c>
    </row>
    <row r="4910" spans="1:8" x14ac:dyDescent="0.3">
      <c r="A4910" s="74" t="str">
        <f t="shared" si="76"/>
        <v>广西46235</v>
      </c>
      <c r="B4910" s="75" t="s">
        <v>30</v>
      </c>
      <c r="C4910" s="45">
        <v>46235</v>
      </c>
      <c r="D4910" s="76">
        <v>1447.22000828727</v>
      </c>
      <c r="E4910" s="77">
        <v>125</v>
      </c>
      <c r="F4910" s="78">
        <v>11.6761489547893</v>
      </c>
      <c r="G4910" s="78">
        <v>11.6761489547893</v>
      </c>
      <c r="H4910" s="81">
        <v>11.648272419436999</v>
      </c>
    </row>
    <row r="4911" spans="1:8" x14ac:dyDescent="0.3">
      <c r="A4911" s="74" t="str">
        <f t="shared" si="76"/>
        <v>广西46236</v>
      </c>
      <c r="B4911" s="75" t="s">
        <v>30</v>
      </c>
      <c r="C4911" s="45">
        <v>46236</v>
      </c>
      <c r="D4911" s="76">
        <v>1447.22000828727</v>
      </c>
      <c r="E4911" s="77">
        <v>125</v>
      </c>
      <c r="F4911" s="78">
        <v>11.6761489547893</v>
      </c>
      <c r="G4911" s="78">
        <v>11.6761489547893</v>
      </c>
      <c r="H4911" s="81">
        <v>11.648272419436999</v>
      </c>
    </row>
    <row r="4912" spans="1:8" x14ac:dyDescent="0.3">
      <c r="A4912" s="74" t="str">
        <f t="shared" si="76"/>
        <v>广西46237</v>
      </c>
      <c r="B4912" s="75" t="s">
        <v>30</v>
      </c>
      <c r="C4912" s="45">
        <v>46237</v>
      </c>
      <c r="D4912" s="76">
        <v>1447.22000828727</v>
      </c>
      <c r="E4912" s="77">
        <v>125</v>
      </c>
      <c r="F4912" s="78">
        <v>11.6761489547893</v>
      </c>
      <c r="G4912" s="78">
        <v>11.6761489547893</v>
      </c>
      <c r="H4912" s="81">
        <v>11.648272419436999</v>
      </c>
    </row>
    <row r="4913" spans="1:8" x14ac:dyDescent="0.3">
      <c r="A4913" s="74" t="str">
        <f t="shared" si="76"/>
        <v>广西46238</v>
      </c>
      <c r="B4913" s="75" t="s">
        <v>30</v>
      </c>
      <c r="C4913" s="45">
        <v>46238</v>
      </c>
      <c r="D4913" s="76">
        <v>1447.22000828727</v>
      </c>
      <c r="E4913" s="77">
        <v>125</v>
      </c>
      <c r="F4913" s="78">
        <v>11.6761489547893</v>
      </c>
      <c r="G4913" s="78">
        <v>11.6761489547893</v>
      </c>
      <c r="H4913" s="81">
        <v>11.648272419436999</v>
      </c>
    </row>
    <row r="4914" spans="1:8" x14ac:dyDescent="0.3">
      <c r="A4914" s="74" t="str">
        <f t="shared" si="76"/>
        <v>广西46239</v>
      </c>
      <c r="B4914" s="75" t="s">
        <v>30</v>
      </c>
      <c r="C4914" s="45">
        <v>46239</v>
      </c>
      <c r="D4914" s="76">
        <v>1447.22000828727</v>
      </c>
      <c r="E4914" s="77">
        <v>125</v>
      </c>
      <c r="F4914" s="78">
        <v>11.6761489547893</v>
      </c>
      <c r="G4914" s="78">
        <v>11.6761489547893</v>
      </c>
      <c r="H4914" s="81">
        <v>11.648272419436999</v>
      </c>
    </row>
    <row r="4915" spans="1:8" x14ac:dyDescent="0.3">
      <c r="A4915" s="74" t="str">
        <f t="shared" si="76"/>
        <v>广西46240</v>
      </c>
      <c r="B4915" s="75" t="s">
        <v>30</v>
      </c>
      <c r="C4915" s="45">
        <v>46240</v>
      </c>
      <c r="D4915" s="76">
        <v>1447.22000828727</v>
      </c>
      <c r="E4915" s="77">
        <v>125</v>
      </c>
      <c r="F4915" s="78">
        <v>11.6761489547893</v>
      </c>
      <c r="G4915" s="78">
        <v>11.6761489547893</v>
      </c>
      <c r="H4915" s="81">
        <v>11.648272419436999</v>
      </c>
    </row>
    <row r="4916" spans="1:8" x14ac:dyDescent="0.3">
      <c r="A4916" s="74" t="str">
        <f t="shared" si="76"/>
        <v>广西46241</v>
      </c>
      <c r="B4916" s="75" t="s">
        <v>30</v>
      </c>
      <c r="C4916" s="45">
        <v>46241</v>
      </c>
      <c r="D4916" s="76">
        <v>1447.22000828727</v>
      </c>
      <c r="E4916" s="77">
        <v>125</v>
      </c>
      <c r="F4916" s="78">
        <v>11.6761489547893</v>
      </c>
      <c r="G4916" s="78">
        <v>11.6761489547893</v>
      </c>
      <c r="H4916" s="81">
        <v>11.648272419436999</v>
      </c>
    </row>
    <row r="4917" spans="1:8" x14ac:dyDescent="0.3">
      <c r="A4917" s="74" t="str">
        <f t="shared" si="76"/>
        <v>广西46242</v>
      </c>
      <c r="B4917" s="75" t="s">
        <v>30</v>
      </c>
      <c r="C4917" s="45">
        <v>46242</v>
      </c>
      <c r="D4917" s="76">
        <v>1447.22000828727</v>
      </c>
      <c r="E4917" s="77">
        <v>125</v>
      </c>
      <c r="F4917" s="78">
        <v>11.6761489547893</v>
      </c>
      <c r="G4917" s="78">
        <v>11.6761489547893</v>
      </c>
      <c r="H4917" s="81">
        <v>11.648272419436999</v>
      </c>
    </row>
    <row r="4918" spans="1:8" x14ac:dyDescent="0.3">
      <c r="A4918" s="74" t="str">
        <f t="shared" si="76"/>
        <v>广西46243</v>
      </c>
      <c r="B4918" s="75" t="s">
        <v>30</v>
      </c>
      <c r="C4918" s="45">
        <v>46243</v>
      </c>
      <c r="D4918" s="76">
        <v>1447.22000828727</v>
      </c>
      <c r="E4918" s="77">
        <v>125</v>
      </c>
      <c r="F4918" s="78">
        <v>11.6761489547893</v>
      </c>
      <c r="G4918" s="78">
        <v>11.6761489547893</v>
      </c>
      <c r="H4918" s="81">
        <v>11.648272419436999</v>
      </c>
    </row>
    <row r="4919" spans="1:8" x14ac:dyDescent="0.3">
      <c r="A4919" s="74" t="str">
        <f t="shared" si="76"/>
        <v>广西46244</v>
      </c>
      <c r="B4919" s="75" t="s">
        <v>30</v>
      </c>
      <c r="C4919" s="45">
        <v>46244</v>
      </c>
      <c r="D4919" s="76">
        <v>1447.22000828727</v>
      </c>
      <c r="E4919" s="77">
        <v>125</v>
      </c>
      <c r="F4919" s="78">
        <v>11.6761489547893</v>
      </c>
      <c r="G4919" s="78">
        <v>11.6761489547893</v>
      </c>
      <c r="H4919" s="81">
        <v>11.648272419436999</v>
      </c>
    </row>
    <row r="4920" spans="1:8" x14ac:dyDescent="0.3">
      <c r="A4920" s="74" t="str">
        <f t="shared" si="76"/>
        <v>广西46245</v>
      </c>
      <c r="B4920" s="75" t="s">
        <v>30</v>
      </c>
      <c r="C4920" s="45">
        <v>46245</v>
      </c>
      <c r="D4920" s="76">
        <v>1447.22000828727</v>
      </c>
      <c r="E4920" s="77">
        <v>125</v>
      </c>
      <c r="F4920" s="78">
        <v>11.6761489547893</v>
      </c>
      <c r="G4920" s="78">
        <v>11.6761489547893</v>
      </c>
      <c r="H4920" s="81">
        <v>11.648272419436999</v>
      </c>
    </row>
    <row r="4921" spans="1:8" x14ac:dyDescent="0.3">
      <c r="A4921" s="74" t="str">
        <f t="shared" si="76"/>
        <v>广西46246</v>
      </c>
      <c r="B4921" s="75" t="s">
        <v>30</v>
      </c>
      <c r="C4921" s="45">
        <v>46246</v>
      </c>
      <c r="D4921" s="76">
        <v>1447.22000828727</v>
      </c>
      <c r="E4921" s="77">
        <v>125</v>
      </c>
      <c r="F4921" s="78">
        <v>11.6761489547893</v>
      </c>
      <c r="G4921" s="78">
        <v>11.6761489547893</v>
      </c>
      <c r="H4921" s="81">
        <v>11.648272419436999</v>
      </c>
    </row>
    <row r="4922" spans="1:8" x14ac:dyDescent="0.3">
      <c r="A4922" s="74" t="str">
        <f t="shared" si="76"/>
        <v>广西46247</v>
      </c>
      <c r="B4922" s="75" t="s">
        <v>30</v>
      </c>
      <c r="C4922" s="45">
        <v>46247</v>
      </c>
      <c r="D4922" s="76">
        <v>1447.22000828727</v>
      </c>
      <c r="E4922" s="77">
        <v>125</v>
      </c>
      <c r="F4922" s="78">
        <v>11.6761489547893</v>
      </c>
      <c r="G4922" s="78">
        <v>11.6761489547893</v>
      </c>
      <c r="H4922" s="81">
        <v>11.648272419436999</v>
      </c>
    </row>
    <row r="4923" spans="1:8" x14ac:dyDescent="0.3">
      <c r="A4923" s="74" t="str">
        <f t="shared" si="76"/>
        <v>广西46248</v>
      </c>
      <c r="B4923" s="75" t="s">
        <v>30</v>
      </c>
      <c r="C4923" s="45">
        <v>46248</v>
      </c>
      <c r="D4923" s="76">
        <v>1447.22000828727</v>
      </c>
      <c r="E4923" s="77">
        <v>125</v>
      </c>
      <c r="F4923" s="78">
        <v>11.6761489547893</v>
      </c>
      <c r="G4923" s="78">
        <v>11.6761489547893</v>
      </c>
      <c r="H4923" s="81">
        <v>11.648272419436999</v>
      </c>
    </row>
    <row r="4924" spans="1:8" x14ac:dyDescent="0.3">
      <c r="A4924" s="74" t="str">
        <f t="shared" si="76"/>
        <v>广西46249</v>
      </c>
      <c r="B4924" s="75" t="s">
        <v>30</v>
      </c>
      <c r="C4924" s="45">
        <v>46249</v>
      </c>
      <c r="D4924" s="76">
        <v>1447.22000828727</v>
      </c>
      <c r="E4924" s="77">
        <v>125</v>
      </c>
      <c r="F4924" s="78">
        <v>11.6761489547893</v>
      </c>
      <c r="G4924" s="78">
        <v>11.6761489547893</v>
      </c>
      <c r="H4924" s="81">
        <v>11.648272419436999</v>
      </c>
    </row>
    <row r="4925" spans="1:8" x14ac:dyDescent="0.3">
      <c r="A4925" s="74" t="str">
        <f t="shared" si="76"/>
        <v>广西46250</v>
      </c>
      <c r="B4925" s="75" t="s">
        <v>30</v>
      </c>
      <c r="C4925" s="45">
        <v>46250</v>
      </c>
      <c r="D4925" s="76">
        <v>1447.22000828727</v>
      </c>
      <c r="E4925" s="77">
        <v>125</v>
      </c>
      <c r="F4925" s="78">
        <v>11.6761489547893</v>
      </c>
      <c r="G4925" s="78">
        <v>11.6761489547893</v>
      </c>
      <c r="H4925" s="81">
        <v>11.648272419436999</v>
      </c>
    </row>
    <row r="4926" spans="1:8" x14ac:dyDescent="0.3">
      <c r="A4926" s="74" t="str">
        <f t="shared" si="76"/>
        <v>广西46251</v>
      </c>
      <c r="B4926" s="75" t="s">
        <v>30</v>
      </c>
      <c r="C4926" s="45">
        <v>46251</v>
      </c>
      <c r="D4926" s="76">
        <v>1447.22000828727</v>
      </c>
      <c r="E4926" s="77">
        <v>125</v>
      </c>
      <c r="F4926" s="78">
        <v>11.6761489547893</v>
      </c>
      <c r="G4926" s="78">
        <v>11.6761489547893</v>
      </c>
      <c r="H4926" s="81">
        <v>11.648272419436999</v>
      </c>
    </row>
    <row r="4927" spans="1:8" x14ac:dyDescent="0.3">
      <c r="A4927" s="74" t="str">
        <f t="shared" si="76"/>
        <v>广西46252</v>
      </c>
      <c r="B4927" s="75" t="s">
        <v>30</v>
      </c>
      <c r="C4927" s="45">
        <v>46252</v>
      </c>
      <c r="D4927" s="76">
        <v>1447.22000828727</v>
      </c>
      <c r="E4927" s="77">
        <v>125</v>
      </c>
      <c r="F4927" s="78">
        <v>11.6761489547893</v>
      </c>
      <c r="G4927" s="78">
        <v>11.6761489547893</v>
      </c>
      <c r="H4927" s="81">
        <v>11.648272419436999</v>
      </c>
    </row>
    <row r="4928" spans="1:8" x14ac:dyDescent="0.3">
      <c r="A4928" s="74" t="str">
        <f t="shared" si="76"/>
        <v>广西46253</v>
      </c>
      <c r="B4928" s="75" t="s">
        <v>30</v>
      </c>
      <c r="C4928" s="45">
        <v>46253</v>
      </c>
      <c r="D4928" s="76">
        <v>1447.22000828727</v>
      </c>
      <c r="E4928" s="77">
        <v>125</v>
      </c>
      <c r="F4928" s="78">
        <v>11.6761489547893</v>
      </c>
      <c r="G4928" s="78">
        <v>11.6761489547893</v>
      </c>
      <c r="H4928" s="81">
        <v>11.648272419436999</v>
      </c>
    </row>
    <row r="4929" spans="1:8" x14ac:dyDescent="0.3">
      <c r="A4929" s="74" t="str">
        <f t="shared" si="76"/>
        <v>广西46254</v>
      </c>
      <c r="B4929" s="75" t="s">
        <v>30</v>
      </c>
      <c r="C4929" s="45">
        <v>46254</v>
      </c>
      <c r="D4929" s="76">
        <v>1447.22000828727</v>
      </c>
      <c r="E4929" s="77">
        <v>125</v>
      </c>
      <c r="F4929" s="78">
        <v>11.6761489547893</v>
      </c>
      <c r="G4929" s="78">
        <v>11.6761489547893</v>
      </c>
      <c r="H4929" s="81">
        <v>11.648272419436999</v>
      </c>
    </row>
    <row r="4930" spans="1:8" x14ac:dyDescent="0.3">
      <c r="A4930" s="74" t="str">
        <f t="shared" si="76"/>
        <v>广西46255</v>
      </c>
      <c r="B4930" s="75" t="s">
        <v>30</v>
      </c>
      <c r="C4930" s="45">
        <v>46255</v>
      </c>
      <c r="D4930" s="76">
        <v>1447.22000828727</v>
      </c>
      <c r="E4930" s="77">
        <v>125</v>
      </c>
      <c r="F4930" s="78">
        <v>11.6761489547893</v>
      </c>
      <c r="G4930" s="78">
        <v>11.6761489547893</v>
      </c>
      <c r="H4930" s="81">
        <v>11.648272419436999</v>
      </c>
    </row>
    <row r="4931" spans="1:8" x14ac:dyDescent="0.3">
      <c r="A4931" s="74" t="str">
        <f t="shared" ref="A4931:A4994" si="77">B4931&amp;C4931</f>
        <v>广西46256</v>
      </c>
      <c r="B4931" s="75" t="s">
        <v>30</v>
      </c>
      <c r="C4931" s="45">
        <v>46256</v>
      </c>
      <c r="D4931" s="76">
        <v>1447.22000828727</v>
      </c>
      <c r="E4931" s="77">
        <v>125</v>
      </c>
      <c r="F4931" s="78">
        <v>11.6761489547893</v>
      </c>
      <c r="G4931" s="78">
        <v>11.6761489547893</v>
      </c>
      <c r="H4931" s="81">
        <v>11.648272419436999</v>
      </c>
    </row>
    <row r="4932" spans="1:8" x14ac:dyDescent="0.3">
      <c r="A4932" s="74" t="str">
        <f t="shared" si="77"/>
        <v>广西46257</v>
      </c>
      <c r="B4932" s="75" t="s">
        <v>30</v>
      </c>
      <c r="C4932" s="45">
        <v>46257</v>
      </c>
      <c r="D4932" s="76">
        <v>1447.22000828727</v>
      </c>
      <c r="E4932" s="77">
        <v>125</v>
      </c>
      <c r="F4932" s="78">
        <v>11.6761489547893</v>
      </c>
      <c r="G4932" s="78">
        <v>11.6761489547893</v>
      </c>
      <c r="H4932" s="81">
        <v>11.648272419436999</v>
      </c>
    </row>
    <row r="4933" spans="1:8" x14ac:dyDescent="0.3">
      <c r="A4933" s="74" t="str">
        <f t="shared" si="77"/>
        <v>广西46258</v>
      </c>
      <c r="B4933" s="75" t="s">
        <v>30</v>
      </c>
      <c r="C4933" s="45">
        <v>46258</v>
      </c>
      <c r="D4933" s="76">
        <v>1447.22000828727</v>
      </c>
      <c r="E4933" s="77">
        <v>125</v>
      </c>
      <c r="F4933" s="78">
        <v>11.6761489547893</v>
      </c>
      <c r="G4933" s="78">
        <v>11.6761489547893</v>
      </c>
      <c r="H4933" s="81">
        <v>11.648272419436999</v>
      </c>
    </row>
    <row r="4934" spans="1:8" x14ac:dyDescent="0.3">
      <c r="A4934" s="74" t="str">
        <f t="shared" si="77"/>
        <v>广西46259</v>
      </c>
      <c r="B4934" s="75" t="s">
        <v>30</v>
      </c>
      <c r="C4934" s="45">
        <v>46259</v>
      </c>
      <c r="D4934" s="76">
        <v>1447.22000828727</v>
      </c>
      <c r="E4934" s="77">
        <v>125</v>
      </c>
      <c r="F4934" s="78">
        <v>11.6761489547893</v>
      </c>
      <c r="G4934" s="78">
        <v>11.6761489547893</v>
      </c>
      <c r="H4934" s="81">
        <v>11.648272419436999</v>
      </c>
    </row>
    <row r="4935" spans="1:8" x14ac:dyDescent="0.3">
      <c r="A4935" s="74" t="str">
        <f t="shared" si="77"/>
        <v>广西46260</v>
      </c>
      <c r="B4935" s="75" t="s">
        <v>30</v>
      </c>
      <c r="C4935" s="45">
        <v>46260</v>
      </c>
      <c r="D4935" s="76">
        <v>1447.22000828727</v>
      </c>
      <c r="E4935" s="77">
        <v>125</v>
      </c>
      <c r="F4935" s="78">
        <v>11.6761489547893</v>
      </c>
      <c r="G4935" s="78">
        <v>11.6761489547893</v>
      </c>
      <c r="H4935" s="81">
        <v>11.648272419436999</v>
      </c>
    </row>
    <row r="4936" spans="1:8" x14ac:dyDescent="0.3">
      <c r="A4936" s="74" t="str">
        <f t="shared" si="77"/>
        <v>广西46261</v>
      </c>
      <c r="B4936" s="75" t="s">
        <v>30</v>
      </c>
      <c r="C4936" s="45">
        <v>46261</v>
      </c>
      <c r="D4936" s="76">
        <v>1447.22000828727</v>
      </c>
      <c r="E4936" s="77">
        <v>125</v>
      </c>
      <c r="F4936" s="78">
        <v>11.6761489547893</v>
      </c>
      <c r="G4936" s="78">
        <v>11.6761489547893</v>
      </c>
      <c r="H4936" s="81">
        <v>11.648272419436999</v>
      </c>
    </row>
    <row r="4937" spans="1:8" x14ac:dyDescent="0.3">
      <c r="A4937" s="74" t="str">
        <f t="shared" si="77"/>
        <v>广西46262</v>
      </c>
      <c r="B4937" s="75" t="s">
        <v>30</v>
      </c>
      <c r="C4937" s="45">
        <v>46262</v>
      </c>
      <c r="D4937" s="76">
        <v>1447.22000828727</v>
      </c>
      <c r="E4937" s="77">
        <v>125</v>
      </c>
      <c r="F4937" s="78">
        <v>11.6761489547893</v>
      </c>
      <c r="G4937" s="78">
        <v>11.6761489547893</v>
      </c>
      <c r="H4937" s="81">
        <v>11.648272419436999</v>
      </c>
    </row>
    <row r="4938" spans="1:8" x14ac:dyDescent="0.3">
      <c r="A4938" s="74" t="str">
        <f t="shared" si="77"/>
        <v>广西46263</v>
      </c>
      <c r="B4938" s="75" t="s">
        <v>30</v>
      </c>
      <c r="C4938" s="45">
        <v>46263</v>
      </c>
      <c r="D4938" s="76">
        <v>1447.22000828727</v>
      </c>
      <c r="E4938" s="77">
        <v>125</v>
      </c>
      <c r="F4938" s="78">
        <v>11.6761489547893</v>
      </c>
      <c r="G4938" s="78">
        <v>11.6761489547893</v>
      </c>
      <c r="H4938" s="81">
        <v>11.648272419436999</v>
      </c>
    </row>
    <row r="4939" spans="1:8" x14ac:dyDescent="0.3">
      <c r="A4939" s="74" t="str">
        <f t="shared" si="77"/>
        <v>广西46264</v>
      </c>
      <c r="B4939" s="75" t="s">
        <v>30</v>
      </c>
      <c r="C4939" s="45">
        <v>46264</v>
      </c>
      <c r="D4939" s="76">
        <v>1447.22000828727</v>
      </c>
      <c r="E4939" s="77">
        <v>125</v>
      </c>
      <c r="F4939" s="78">
        <v>11.6761489547893</v>
      </c>
      <c r="G4939" s="78">
        <v>11.6761489547893</v>
      </c>
      <c r="H4939" s="81">
        <v>11.648272419436999</v>
      </c>
    </row>
    <row r="4940" spans="1:8" x14ac:dyDescent="0.3">
      <c r="A4940" s="74" t="str">
        <f t="shared" si="77"/>
        <v>广西46265</v>
      </c>
      <c r="B4940" s="75" t="s">
        <v>30</v>
      </c>
      <c r="C4940" s="45">
        <v>46265</v>
      </c>
      <c r="D4940" s="76">
        <v>1447.22000828727</v>
      </c>
      <c r="E4940" s="77">
        <v>125</v>
      </c>
      <c r="F4940" s="78">
        <v>11.6761489547893</v>
      </c>
      <c r="G4940" s="78">
        <v>11.6761489547893</v>
      </c>
      <c r="H4940" s="81">
        <v>11.648272419436999</v>
      </c>
    </row>
    <row r="4941" spans="1:8" x14ac:dyDescent="0.3">
      <c r="A4941" s="74" t="str">
        <f t="shared" si="77"/>
        <v>广西46266</v>
      </c>
      <c r="B4941" s="75" t="s">
        <v>30</v>
      </c>
      <c r="C4941" s="45">
        <v>46266</v>
      </c>
      <c r="D4941" s="76">
        <v>1539.3437256582799</v>
      </c>
      <c r="E4941" s="77">
        <v>125</v>
      </c>
      <c r="F4941" s="78">
        <v>11.9534332234572</v>
      </c>
      <c r="G4941" s="78">
        <v>11.9534332234572</v>
      </c>
      <c r="H4941" s="81">
        <v>12.1658659198023</v>
      </c>
    </row>
    <row r="4942" spans="1:8" x14ac:dyDescent="0.3">
      <c r="A4942" s="74" t="str">
        <f t="shared" si="77"/>
        <v>广西46267</v>
      </c>
      <c r="B4942" s="75" t="s">
        <v>30</v>
      </c>
      <c r="C4942" s="45">
        <v>46267</v>
      </c>
      <c r="D4942" s="76">
        <v>1539.3437256582799</v>
      </c>
      <c r="E4942" s="77">
        <v>125</v>
      </c>
      <c r="F4942" s="78">
        <v>11.9534332234572</v>
      </c>
      <c r="G4942" s="78">
        <v>11.9534332234572</v>
      </c>
      <c r="H4942" s="81">
        <v>12.1658659198023</v>
      </c>
    </row>
    <row r="4943" spans="1:8" x14ac:dyDescent="0.3">
      <c r="A4943" s="74" t="str">
        <f t="shared" si="77"/>
        <v>广西46268</v>
      </c>
      <c r="B4943" s="75" t="s">
        <v>30</v>
      </c>
      <c r="C4943" s="45">
        <v>46268</v>
      </c>
      <c r="D4943" s="76">
        <v>1539.3437256582799</v>
      </c>
      <c r="E4943" s="77">
        <v>125</v>
      </c>
      <c r="F4943" s="78">
        <v>11.9534332234572</v>
      </c>
      <c r="G4943" s="78">
        <v>11.9534332234572</v>
      </c>
      <c r="H4943" s="81">
        <v>12.1658659198023</v>
      </c>
    </row>
    <row r="4944" spans="1:8" x14ac:dyDescent="0.3">
      <c r="A4944" s="74" t="str">
        <f t="shared" si="77"/>
        <v>广西46269</v>
      </c>
      <c r="B4944" s="75" t="s">
        <v>30</v>
      </c>
      <c r="C4944" s="45">
        <v>46269</v>
      </c>
      <c r="D4944" s="76">
        <v>1539.3437256582799</v>
      </c>
      <c r="E4944" s="77">
        <v>125</v>
      </c>
      <c r="F4944" s="78">
        <v>11.9534332234572</v>
      </c>
      <c r="G4944" s="78">
        <v>11.9534332234572</v>
      </c>
      <c r="H4944" s="81">
        <v>12.1658659198023</v>
      </c>
    </row>
    <row r="4945" spans="1:8" x14ac:dyDescent="0.3">
      <c r="A4945" s="74" t="str">
        <f t="shared" si="77"/>
        <v>广西46270</v>
      </c>
      <c r="B4945" s="75" t="s">
        <v>30</v>
      </c>
      <c r="C4945" s="45">
        <v>46270</v>
      </c>
      <c r="D4945" s="76">
        <v>1539.3437256582799</v>
      </c>
      <c r="E4945" s="77">
        <v>125</v>
      </c>
      <c r="F4945" s="78">
        <v>11.9534332234572</v>
      </c>
      <c r="G4945" s="78">
        <v>11.9534332234572</v>
      </c>
      <c r="H4945" s="81">
        <v>12.1658659198023</v>
      </c>
    </row>
    <row r="4946" spans="1:8" x14ac:dyDescent="0.3">
      <c r="A4946" s="74" t="str">
        <f t="shared" si="77"/>
        <v>广西46271</v>
      </c>
      <c r="B4946" s="75" t="s">
        <v>30</v>
      </c>
      <c r="C4946" s="45">
        <v>46271</v>
      </c>
      <c r="D4946" s="76">
        <v>1539.3437256582799</v>
      </c>
      <c r="E4946" s="77">
        <v>125</v>
      </c>
      <c r="F4946" s="78">
        <v>11.9534332234572</v>
      </c>
      <c r="G4946" s="78">
        <v>11.9534332234572</v>
      </c>
      <c r="H4946" s="81">
        <v>12.1658659198023</v>
      </c>
    </row>
    <row r="4947" spans="1:8" x14ac:dyDescent="0.3">
      <c r="A4947" s="74" t="str">
        <f t="shared" si="77"/>
        <v>广西46272</v>
      </c>
      <c r="B4947" s="75" t="s">
        <v>30</v>
      </c>
      <c r="C4947" s="45">
        <v>46272</v>
      </c>
      <c r="D4947" s="76">
        <v>1539.3437256582799</v>
      </c>
      <c r="E4947" s="77">
        <v>125</v>
      </c>
      <c r="F4947" s="78">
        <v>11.9534332234572</v>
      </c>
      <c r="G4947" s="78">
        <v>11.9534332234572</v>
      </c>
      <c r="H4947" s="81">
        <v>12.1658659198023</v>
      </c>
    </row>
    <row r="4948" spans="1:8" x14ac:dyDescent="0.3">
      <c r="A4948" s="74" t="str">
        <f t="shared" si="77"/>
        <v>广西46273</v>
      </c>
      <c r="B4948" s="75" t="s">
        <v>30</v>
      </c>
      <c r="C4948" s="45">
        <v>46273</v>
      </c>
      <c r="D4948" s="76">
        <v>1539.3437256582799</v>
      </c>
      <c r="E4948" s="77">
        <v>125</v>
      </c>
      <c r="F4948" s="78">
        <v>11.9534332234572</v>
      </c>
      <c r="G4948" s="78">
        <v>11.9534332234572</v>
      </c>
      <c r="H4948" s="81">
        <v>12.1658659198023</v>
      </c>
    </row>
    <row r="4949" spans="1:8" x14ac:dyDescent="0.3">
      <c r="A4949" s="74" t="str">
        <f t="shared" si="77"/>
        <v>广西46274</v>
      </c>
      <c r="B4949" s="75" t="s">
        <v>30</v>
      </c>
      <c r="C4949" s="45">
        <v>46274</v>
      </c>
      <c r="D4949" s="76">
        <v>1539.3437256582799</v>
      </c>
      <c r="E4949" s="77">
        <v>125</v>
      </c>
      <c r="F4949" s="78">
        <v>11.9534332234572</v>
      </c>
      <c r="G4949" s="78">
        <v>11.9534332234572</v>
      </c>
      <c r="H4949" s="81">
        <v>12.1658659198023</v>
      </c>
    </row>
    <row r="4950" spans="1:8" x14ac:dyDescent="0.3">
      <c r="A4950" s="74" t="str">
        <f t="shared" si="77"/>
        <v>广西46275</v>
      </c>
      <c r="B4950" s="75" t="s">
        <v>30</v>
      </c>
      <c r="C4950" s="45">
        <v>46275</v>
      </c>
      <c r="D4950" s="76">
        <v>1539.3437256582799</v>
      </c>
      <c r="E4950" s="77">
        <v>125</v>
      </c>
      <c r="F4950" s="78">
        <v>11.9534332234572</v>
      </c>
      <c r="G4950" s="78">
        <v>11.9534332234572</v>
      </c>
      <c r="H4950" s="81">
        <v>12.1658659198023</v>
      </c>
    </row>
    <row r="4951" spans="1:8" x14ac:dyDescent="0.3">
      <c r="A4951" s="74" t="str">
        <f t="shared" si="77"/>
        <v>广西46276</v>
      </c>
      <c r="B4951" s="75" t="s">
        <v>30</v>
      </c>
      <c r="C4951" s="45">
        <v>46276</v>
      </c>
      <c r="D4951" s="76">
        <v>1539.3437256582799</v>
      </c>
      <c r="E4951" s="77">
        <v>125</v>
      </c>
      <c r="F4951" s="78">
        <v>11.9534332234572</v>
      </c>
      <c r="G4951" s="78">
        <v>11.9534332234572</v>
      </c>
      <c r="H4951" s="81">
        <v>12.1658659198023</v>
      </c>
    </row>
    <row r="4952" spans="1:8" x14ac:dyDescent="0.3">
      <c r="A4952" s="74" t="str">
        <f t="shared" si="77"/>
        <v>广西46277</v>
      </c>
      <c r="B4952" s="75" t="s">
        <v>30</v>
      </c>
      <c r="C4952" s="45">
        <v>46277</v>
      </c>
      <c r="D4952" s="76">
        <v>1539.3437256582799</v>
      </c>
      <c r="E4952" s="77">
        <v>125</v>
      </c>
      <c r="F4952" s="78">
        <v>11.9534332234572</v>
      </c>
      <c r="G4952" s="78">
        <v>11.9534332234572</v>
      </c>
      <c r="H4952" s="81">
        <v>12.1658659198023</v>
      </c>
    </row>
    <row r="4953" spans="1:8" x14ac:dyDescent="0.3">
      <c r="A4953" s="74" t="str">
        <f t="shared" si="77"/>
        <v>广西46278</v>
      </c>
      <c r="B4953" s="75" t="s">
        <v>30</v>
      </c>
      <c r="C4953" s="45">
        <v>46278</v>
      </c>
      <c r="D4953" s="76">
        <v>1539.3437256582799</v>
      </c>
      <c r="E4953" s="77">
        <v>125</v>
      </c>
      <c r="F4953" s="78">
        <v>11.9534332234572</v>
      </c>
      <c r="G4953" s="78">
        <v>11.9534332234572</v>
      </c>
      <c r="H4953" s="81">
        <v>12.1658659198023</v>
      </c>
    </row>
    <row r="4954" spans="1:8" x14ac:dyDescent="0.3">
      <c r="A4954" s="74" t="str">
        <f t="shared" si="77"/>
        <v>广西46279</v>
      </c>
      <c r="B4954" s="75" t="s">
        <v>30</v>
      </c>
      <c r="C4954" s="45">
        <v>46279</v>
      </c>
      <c r="D4954" s="76">
        <v>1539.3437256582799</v>
      </c>
      <c r="E4954" s="77">
        <v>125</v>
      </c>
      <c r="F4954" s="78">
        <v>11.9534332234572</v>
      </c>
      <c r="G4954" s="78">
        <v>11.9534332234572</v>
      </c>
      <c r="H4954" s="81">
        <v>12.1658659198023</v>
      </c>
    </row>
    <row r="4955" spans="1:8" x14ac:dyDescent="0.3">
      <c r="A4955" s="74" t="str">
        <f t="shared" si="77"/>
        <v>广西46280</v>
      </c>
      <c r="B4955" s="75" t="s">
        <v>30</v>
      </c>
      <c r="C4955" s="45">
        <v>46280</v>
      </c>
      <c r="D4955" s="76">
        <v>1539.3437256582799</v>
      </c>
      <c r="E4955" s="77">
        <v>125</v>
      </c>
      <c r="F4955" s="78">
        <v>11.9534332234572</v>
      </c>
      <c r="G4955" s="78">
        <v>11.9534332234572</v>
      </c>
      <c r="H4955" s="81">
        <v>12.1658659198023</v>
      </c>
    </row>
    <row r="4956" spans="1:8" x14ac:dyDescent="0.3">
      <c r="A4956" s="74" t="str">
        <f t="shared" si="77"/>
        <v>广西46281</v>
      </c>
      <c r="B4956" s="75" t="s">
        <v>30</v>
      </c>
      <c r="C4956" s="45">
        <v>46281</v>
      </c>
      <c r="D4956" s="76">
        <v>1539.3437256582799</v>
      </c>
      <c r="E4956" s="77">
        <v>125</v>
      </c>
      <c r="F4956" s="78">
        <v>11.9534332234572</v>
      </c>
      <c r="G4956" s="78">
        <v>11.9534332234572</v>
      </c>
      <c r="H4956" s="81">
        <v>12.1658659198023</v>
      </c>
    </row>
    <row r="4957" spans="1:8" x14ac:dyDescent="0.3">
      <c r="A4957" s="74" t="str">
        <f t="shared" si="77"/>
        <v>广西46282</v>
      </c>
      <c r="B4957" s="75" t="s">
        <v>30</v>
      </c>
      <c r="C4957" s="45">
        <v>46282</v>
      </c>
      <c r="D4957" s="76">
        <v>1539.3437256582799</v>
      </c>
      <c r="E4957" s="77">
        <v>125</v>
      </c>
      <c r="F4957" s="78">
        <v>11.9534332234572</v>
      </c>
      <c r="G4957" s="78">
        <v>11.9534332234572</v>
      </c>
      <c r="H4957" s="81">
        <v>12.1658659198023</v>
      </c>
    </row>
    <row r="4958" spans="1:8" x14ac:dyDescent="0.3">
      <c r="A4958" s="74" t="str">
        <f t="shared" si="77"/>
        <v>广西46283</v>
      </c>
      <c r="B4958" s="75" t="s">
        <v>30</v>
      </c>
      <c r="C4958" s="45">
        <v>46283</v>
      </c>
      <c r="D4958" s="76">
        <v>1539.3437256582799</v>
      </c>
      <c r="E4958" s="77">
        <v>125</v>
      </c>
      <c r="F4958" s="78">
        <v>11.9534332234572</v>
      </c>
      <c r="G4958" s="78">
        <v>11.9534332234572</v>
      </c>
      <c r="H4958" s="81">
        <v>12.1658659198023</v>
      </c>
    </row>
    <row r="4959" spans="1:8" x14ac:dyDescent="0.3">
      <c r="A4959" s="74" t="str">
        <f t="shared" si="77"/>
        <v>广西46284</v>
      </c>
      <c r="B4959" s="75" t="s">
        <v>30</v>
      </c>
      <c r="C4959" s="45">
        <v>46284</v>
      </c>
      <c r="D4959" s="76">
        <v>1539.3437256582799</v>
      </c>
      <c r="E4959" s="77">
        <v>125</v>
      </c>
      <c r="F4959" s="78">
        <v>11.9534332234572</v>
      </c>
      <c r="G4959" s="78">
        <v>11.9534332234572</v>
      </c>
      <c r="H4959" s="81">
        <v>12.1658659198023</v>
      </c>
    </row>
    <row r="4960" spans="1:8" x14ac:dyDescent="0.3">
      <c r="A4960" s="74" t="str">
        <f t="shared" si="77"/>
        <v>广西46285</v>
      </c>
      <c r="B4960" s="75" t="s">
        <v>30</v>
      </c>
      <c r="C4960" s="45">
        <v>46285</v>
      </c>
      <c r="D4960" s="76">
        <v>1539.3437256582799</v>
      </c>
      <c r="E4960" s="77">
        <v>125</v>
      </c>
      <c r="F4960" s="78">
        <v>11.9534332234572</v>
      </c>
      <c r="G4960" s="78">
        <v>11.9534332234572</v>
      </c>
      <c r="H4960" s="81">
        <v>12.1658659198023</v>
      </c>
    </row>
    <row r="4961" spans="1:8" x14ac:dyDescent="0.3">
      <c r="A4961" s="74" t="str">
        <f t="shared" si="77"/>
        <v>广西46286</v>
      </c>
      <c r="B4961" s="75" t="s">
        <v>30</v>
      </c>
      <c r="C4961" s="45">
        <v>46286</v>
      </c>
      <c r="D4961" s="76">
        <v>1539.3437256582799</v>
      </c>
      <c r="E4961" s="77">
        <v>125</v>
      </c>
      <c r="F4961" s="78">
        <v>11.9534332234572</v>
      </c>
      <c r="G4961" s="78">
        <v>11.9534332234572</v>
      </c>
      <c r="H4961" s="81">
        <v>12.1658659198023</v>
      </c>
    </row>
    <row r="4962" spans="1:8" x14ac:dyDescent="0.3">
      <c r="A4962" s="74" t="str">
        <f t="shared" si="77"/>
        <v>广西46287</v>
      </c>
      <c r="B4962" s="75" t="s">
        <v>30</v>
      </c>
      <c r="C4962" s="45">
        <v>46287</v>
      </c>
      <c r="D4962" s="76">
        <v>1539.3437256582799</v>
      </c>
      <c r="E4962" s="77">
        <v>125</v>
      </c>
      <c r="F4962" s="78">
        <v>11.9534332234572</v>
      </c>
      <c r="G4962" s="78">
        <v>11.9534332234572</v>
      </c>
      <c r="H4962" s="81">
        <v>12.1658659198023</v>
      </c>
    </row>
    <row r="4963" spans="1:8" x14ac:dyDescent="0.3">
      <c r="A4963" s="74" t="str">
        <f t="shared" si="77"/>
        <v>广西46288</v>
      </c>
      <c r="B4963" s="75" t="s">
        <v>30</v>
      </c>
      <c r="C4963" s="45">
        <v>46288</v>
      </c>
      <c r="D4963" s="76">
        <v>1539.3437256582799</v>
      </c>
      <c r="E4963" s="77">
        <v>125</v>
      </c>
      <c r="F4963" s="78">
        <v>11.9534332234572</v>
      </c>
      <c r="G4963" s="78">
        <v>11.9534332234572</v>
      </c>
      <c r="H4963" s="81">
        <v>12.1658659198023</v>
      </c>
    </row>
    <row r="4964" spans="1:8" x14ac:dyDescent="0.3">
      <c r="A4964" s="74" t="str">
        <f t="shared" si="77"/>
        <v>广西46289</v>
      </c>
      <c r="B4964" s="75" t="s">
        <v>30</v>
      </c>
      <c r="C4964" s="45">
        <v>46289</v>
      </c>
      <c r="D4964" s="76">
        <v>1539.3437256582799</v>
      </c>
      <c r="E4964" s="77">
        <v>125</v>
      </c>
      <c r="F4964" s="78">
        <v>11.9534332234572</v>
      </c>
      <c r="G4964" s="78">
        <v>11.9534332234572</v>
      </c>
      <c r="H4964" s="81">
        <v>12.1658659198023</v>
      </c>
    </row>
    <row r="4965" spans="1:8" x14ac:dyDescent="0.3">
      <c r="A4965" s="74" t="str">
        <f t="shared" si="77"/>
        <v>广西46290</v>
      </c>
      <c r="B4965" s="75" t="s">
        <v>30</v>
      </c>
      <c r="C4965" s="45">
        <v>46290</v>
      </c>
      <c r="D4965" s="76">
        <v>1539.3437256582799</v>
      </c>
      <c r="E4965" s="77">
        <v>125</v>
      </c>
      <c r="F4965" s="78">
        <v>11.9534332234572</v>
      </c>
      <c r="G4965" s="78">
        <v>11.9534332234572</v>
      </c>
      <c r="H4965" s="81">
        <v>12.1658659198023</v>
      </c>
    </row>
    <row r="4966" spans="1:8" x14ac:dyDescent="0.3">
      <c r="A4966" s="74" t="str">
        <f t="shared" si="77"/>
        <v>广西46291</v>
      </c>
      <c r="B4966" s="75" t="s">
        <v>30</v>
      </c>
      <c r="C4966" s="45">
        <v>46291</v>
      </c>
      <c r="D4966" s="76">
        <v>1539.3437256582799</v>
      </c>
      <c r="E4966" s="77">
        <v>125</v>
      </c>
      <c r="F4966" s="78">
        <v>11.9534332234572</v>
      </c>
      <c r="G4966" s="78">
        <v>11.9534332234572</v>
      </c>
      <c r="H4966" s="81">
        <v>12.1658659198023</v>
      </c>
    </row>
    <row r="4967" spans="1:8" x14ac:dyDescent="0.3">
      <c r="A4967" s="74" t="str">
        <f t="shared" si="77"/>
        <v>广西46292</v>
      </c>
      <c r="B4967" s="75" t="s">
        <v>30</v>
      </c>
      <c r="C4967" s="45">
        <v>46292</v>
      </c>
      <c r="D4967" s="76">
        <v>1539.3437256582799</v>
      </c>
      <c r="E4967" s="77">
        <v>125</v>
      </c>
      <c r="F4967" s="78">
        <v>11.9534332234572</v>
      </c>
      <c r="G4967" s="78">
        <v>11.9534332234572</v>
      </c>
      <c r="H4967" s="81">
        <v>12.1658659198023</v>
      </c>
    </row>
    <row r="4968" spans="1:8" x14ac:dyDescent="0.3">
      <c r="A4968" s="74" t="str">
        <f t="shared" si="77"/>
        <v>广西46293</v>
      </c>
      <c r="B4968" s="75" t="s">
        <v>30</v>
      </c>
      <c r="C4968" s="45">
        <v>46293</v>
      </c>
      <c r="D4968" s="76">
        <v>1539.3437256582799</v>
      </c>
      <c r="E4968" s="77">
        <v>125</v>
      </c>
      <c r="F4968" s="78">
        <v>11.9534332234572</v>
      </c>
      <c r="G4968" s="78">
        <v>11.9534332234572</v>
      </c>
      <c r="H4968" s="81">
        <v>12.1658659198023</v>
      </c>
    </row>
    <row r="4969" spans="1:8" x14ac:dyDescent="0.3">
      <c r="A4969" s="74" t="str">
        <f t="shared" si="77"/>
        <v>广西46294</v>
      </c>
      <c r="B4969" s="75" t="s">
        <v>30</v>
      </c>
      <c r="C4969" s="45">
        <v>46294</v>
      </c>
      <c r="D4969" s="76">
        <v>1539.3437256582799</v>
      </c>
      <c r="E4969" s="77">
        <v>125</v>
      </c>
      <c r="F4969" s="78">
        <v>11.9534332234572</v>
      </c>
      <c r="G4969" s="78">
        <v>11.9534332234572</v>
      </c>
      <c r="H4969" s="81">
        <v>12.1658659198023</v>
      </c>
    </row>
    <row r="4970" spans="1:8" x14ac:dyDescent="0.3">
      <c r="A4970" s="74" t="str">
        <f t="shared" si="77"/>
        <v>广西46295</v>
      </c>
      <c r="B4970" s="75" t="s">
        <v>30</v>
      </c>
      <c r="C4970" s="45">
        <v>46295</v>
      </c>
      <c r="D4970" s="76">
        <v>1539.3437256582799</v>
      </c>
      <c r="E4970" s="77">
        <v>125</v>
      </c>
      <c r="F4970" s="78">
        <v>11.9534332234572</v>
      </c>
      <c r="G4970" s="78">
        <v>11.9534332234572</v>
      </c>
      <c r="H4970" s="81">
        <v>12.1658659198023</v>
      </c>
    </row>
    <row r="4971" spans="1:8" x14ac:dyDescent="0.3">
      <c r="A4971" s="74" t="str">
        <f t="shared" si="77"/>
        <v>广西46296</v>
      </c>
      <c r="B4971" s="75" t="s">
        <v>30</v>
      </c>
      <c r="C4971" s="45">
        <v>46296</v>
      </c>
      <c r="D4971" s="76">
        <v>1607.91349715162</v>
      </c>
      <c r="E4971" s="77">
        <v>125</v>
      </c>
      <c r="F4971" s="78">
        <v>12.1579286407504</v>
      </c>
      <c r="G4971" s="78">
        <v>12.1579286407504</v>
      </c>
      <c r="H4971" s="81">
        <v>12.2384257563021</v>
      </c>
    </row>
    <row r="4972" spans="1:8" x14ac:dyDescent="0.3">
      <c r="A4972" s="74" t="str">
        <f t="shared" si="77"/>
        <v>广西46297</v>
      </c>
      <c r="B4972" s="75" t="s">
        <v>30</v>
      </c>
      <c r="C4972" s="45">
        <v>46297</v>
      </c>
      <c r="D4972" s="76">
        <v>1607.91349715162</v>
      </c>
      <c r="E4972" s="77">
        <v>125</v>
      </c>
      <c r="F4972" s="78">
        <v>12.1579286407504</v>
      </c>
      <c r="G4972" s="78">
        <v>12.1579286407504</v>
      </c>
      <c r="H4972" s="81">
        <v>12.2384257563021</v>
      </c>
    </row>
    <row r="4973" spans="1:8" x14ac:dyDescent="0.3">
      <c r="A4973" s="74" t="str">
        <f t="shared" si="77"/>
        <v>广西46298</v>
      </c>
      <c r="B4973" s="75" t="s">
        <v>30</v>
      </c>
      <c r="C4973" s="45">
        <v>46298</v>
      </c>
      <c r="D4973" s="76">
        <v>1607.91349715162</v>
      </c>
      <c r="E4973" s="77">
        <v>125</v>
      </c>
      <c r="F4973" s="78">
        <v>12.1579286407504</v>
      </c>
      <c r="G4973" s="78">
        <v>12.1579286407504</v>
      </c>
      <c r="H4973" s="81">
        <v>12.2384257563021</v>
      </c>
    </row>
    <row r="4974" spans="1:8" x14ac:dyDescent="0.3">
      <c r="A4974" s="74" t="str">
        <f t="shared" si="77"/>
        <v>广西46299</v>
      </c>
      <c r="B4974" s="75" t="s">
        <v>30</v>
      </c>
      <c r="C4974" s="45">
        <v>46299</v>
      </c>
      <c r="D4974" s="76">
        <v>1607.91349715162</v>
      </c>
      <c r="E4974" s="77">
        <v>125</v>
      </c>
      <c r="F4974" s="78">
        <v>12.1579286407504</v>
      </c>
      <c r="G4974" s="78">
        <v>12.1579286407504</v>
      </c>
      <c r="H4974" s="81">
        <v>12.2384257563021</v>
      </c>
    </row>
    <row r="4975" spans="1:8" x14ac:dyDescent="0.3">
      <c r="A4975" s="74" t="str">
        <f t="shared" si="77"/>
        <v>广西46300</v>
      </c>
      <c r="B4975" s="75" t="s">
        <v>30</v>
      </c>
      <c r="C4975" s="45">
        <v>46300</v>
      </c>
      <c r="D4975" s="76">
        <v>1607.91349715162</v>
      </c>
      <c r="E4975" s="77">
        <v>125</v>
      </c>
      <c r="F4975" s="78">
        <v>12.1579286407504</v>
      </c>
      <c r="G4975" s="78">
        <v>12.1579286407504</v>
      </c>
      <c r="H4975" s="81">
        <v>12.2384257563021</v>
      </c>
    </row>
    <row r="4976" spans="1:8" x14ac:dyDescent="0.3">
      <c r="A4976" s="74" t="str">
        <f t="shared" si="77"/>
        <v>广西46301</v>
      </c>
      <c r="B4976" s="75" t="s">
        <v>30</v>
      </c>
      <c r="C4976" s="45">
        <v>46301</v>
      </c>
      <c r="D4976" s="76">
        <v>1607.91349715162</v>
      </c>
      <c r="E4976" s="77">
        <v>125</v>
      </c>
      <c r="F4976" s="78">
        <v>12.1579286407504</v>
      </c>
      <c r="G4976" s="78">
        <v>12.1579286407504</v>
      </c>
      <c r="H4976" s="81">
        <v>12.2384257563021</v>
      </c>
    </row>
    <row r="4977" spans="1:8" x14ac:dyDescent="0.3">
      <c r="A4977" s="74" t="str">
        <f t="shared" si="77"/>
        <v>广西46302</v>
      </c>
      <c r="B4977" s="75" t="s">
        <v>30</v>
      </c>
      <c r="C4977" s="45">
        <v>46302</v>
      </c>
      <c r="D4977" s="76">
        <v>1607.91349715162</v>
      </c>
      <c r="E4977" s="77">
        <v>125</v>
      </c>
      <c r="F4977" s="78">
        <v>12.1579286407504</v>
      </c>
      <c r="G4977" s="78">
        <v>12.1579286407504</v>
      </c>
      <c r="H4977" s="81">
        <v>12.2384257563021</v>
      </c>
    </row>
    <row r="4978" spans="1:8" x14ac:dyDescent="0.3">
      <c r="A4978" s="74" t="str">
        <f t="shared" si="77"/>
        <v>广西46303</v>
      </c>
      <c r="B4978" s="75" t="s">
        <v>30</v>
      </c>
      <c r="C4978" s="45">
        <v>46303</v>
      </c>
      <c r="D4978" s="76">
        <v>1607.91349715162</v>
      </c>
      <c r="E4978" s="77">
        <v>125</v>
      </c>
      <c r="F4978" s="78">
        <v>12.1579286407504</v>
      </c>
      <c r="G4978" s="78">
        <v>12.1579286407504</v>
      </c>
      <c r="H4978" s="81">
        <v>12.2384257563021</v>
      </c>
    </row>
    <row r="4979" spans="1:8" x14ac:dyDescent="0.3">
      <c r="A4979" s="74" t="str">
        <f t="shared" si="77"/>
        <v>广西46304</v>
      </c>
      <c r="B4979" s="75" t="s">
        <v>30</v>
      </c>
      <c r="C4979" s="45">
        <v>46304</v>
      </c>
      <c r="D4979" s="76">
        <v>1607.91349715162</v>
      </c>
      <c r="E4979" s="77">
        <v>125</v>
      </c>
      <c r="F4979" s="78">
        <v>12.1579286407504</v>
      </c>
      <c r="G4979" s="78">
        <v>12.1579286407504</v>
      </c>
      <c r="H4979" s="81">
        <v>12.2384257563021</v>
      </c>
    </row>
    <row r="4980" spans="1:8" x14ac:dyDescent="0.3">
      <c r="A4980" s="74" t="str">
        <f t="shared" si="77"/>
        <v>广西46305</v>
      </c>
      <c r="B4980" s="75" t="s">
        <v>30</v>
      </c>
      <c r="C4980" s="45">
        <v>46305</v>
      </c>
      <c r="D4980" s="76">
        <v>1607.91349715162</v>
      </c>
      <c r="E4980" s="77">
        <v>125</v>
      </c>
      <c r="F4980" s="78">
        <v>12.1579286407504</v>
      </c>
      <c r="G4980" s="78">
        <v>12.1579286407504</v>
      </c>
      <c r="H4980" s="81">
        <v>12.2384257563021</v>
      </c>
    </row>
    <row r="4981" spans="1:8" x14ac:dyDescent="0.3">
      <c r="A4981" s="74" t="str">
        <f t="shared" si="77"/>
        <v>广西46306</v>
      </c>
      <c r="B4981" s="75" t="s">
        <v>30</v>
      </c>
      <c r="C4981" s="45">
        <v>46306</v>
      </c>
      <c r="D4981" s="76">
        <v>1607.91349715162</v>
      </c>
      <c r="E4981" s="77">
        <v>125</v>
      </c>
      <c r="F4981" s="78">
        <v>12.1579286407504</v>
      </c>
      <c r="G4981" s="78">
        <v>12.1579286407504</v>
      </c>
      <c r="H4981" s="81">
        <v>12.2384257563021</v>
      </c>
    </row>
    <row r="4982" spans="1:8" x14ac:dyDescent="0.3">
      <c r="A4982" s="74" t="str">
        <f t="shared" si="77"/>
        <v>广西46307</v>
      </c>
      <c r="B4982" s="75" t="s">
        <v>30</v>
      </c>
      <c r="C4982" s="45">
        <v>46307</v>
      </c>
      <c r="D4982" s="76">
        <v>1607.91349715162</v>
      </c>
      <c r="E4982" s="77">
        <v>125</v>
      </c>
      <c r="F4982" s="78">
        <v>12.1579286407504</v>
      </c>
      <c r="G4982" s="78">
        <v>12.1579286407504</v>
      </c>
      <c r="H4982" s="81">
        <v>12.2384257563021</v>
      </c>
    </row>
    <row r="4983" spans="1:8" x14ac:dyDescent="0.3">
      <c r="A4983" s="74" t="str">
        <f t="shared" si="77"/>
        <v>广西46308</v>
      </c>
      <c r="B4983" s="75" t="s">
        <v>30</v>
      </c>
      <c r="C4983" s="45">
        <v>46308</v>
      </c>
      <c r="D4983" s="76">
        <v>1607.91349715162</v>
      </c>
      <c r="E4983" s="77">
        <v>125</v>
      </c>
      <c r="F4983" s="78">
        <v>12.1579286407504</v>
      </c>
      <c r="G4983" s="78">
        <v>12.1579286407504</v>
      </c>
      <c r="H4983" s="81">
        <v>12.2384257563021</v>
      </c>
    </row>
    <row r="4984" spans="1:8" x14ac:dyDescent="0.3">
      <c r="A4984" s="74" t="str">
        <f t="shared" si="77"/>
        <v>广西46309</v>
      </c>
      <c r="B4984" s="75" t="s">
        <v>30</v>
      </c>
      <c r="C4984" s="45">
        <v>46309</v>
      </c>
      <c r="D4984" s="76">
        <v>1607.91349715162</v>
      </c>
      <c r="E4984" s="77">
        <v>125</v>
      </c>
      <c r="F4984" s="78">
        <v>12.1579286407504</v>
      </c>
      <c r="G4984" s="78">
        <v>12.1579286407504</v>
      </c>
      <c r="H4984" s="81">
        <v>12.2384257563021</v>
      </c>
    </row>
    <row r="4985" spans="1:8" x14ac:dyDescent="0.3">
      <c r="A4985" s="74" t="str">
        <f t="shared" si="77"/>
        <v>广西46310</v>
      </c>
      <c r="B4985" s="75" t="s">
        <v>30</v>
      </c>
      <c r="C4985" s="45">
        <v>46310</v>
      </c>
      <c r="D4985" s="76">
        <v>1607.91349715162</v>
      </c>
      <c r="E4985" s="77">
        <v>125</v>
      </c>
      <c r="F4985" s="78">
        <v>12.1579286407504</v>
      </c>
      <c r="G4985" s="78">
        <v>12.1579286407504</v>
      </c>
      <c r="H4985" s="81">
        <v>12.2384257563021</v>
      </c>
    </row>
    <row r="4986" spans="1:8" x14ac:dyDescent="0.3">
      <c r="A4986" s="74" t="str">
        <f t="shared" si="77"/>
        <v>广西46311</v>
      </c>
      <c r="B4986" s="75" t="s">
        <v>30</v>
      </c>
      <c r="C4986" s="45">
        <v>46311</v>
      </c>
      <c r="D4986" s="76">
        <v>1607.91349715162</v>
      </c>
      <c r="E4986" s="77">
        <v>125</v>
      </c>
      <c r="F4986" s="78">
        <v>12.1579286407504</v>
      </c>
      <c r="G4986" s="78">
        <v>12.1579286407504</v>
      </c>
      <c r="H4986" s="81">
        <v>12.2384257563021</v>
      </c>
    </row>
    <row r="4987" spans="1:8" x14ac:dyDescent="0.3">
      <c r="A4987" s="74" t="str">
        <f t="shared" si="77"/>
        <v>广西46312</v>
      </c>
      <c r="B4987" s="75" t="s">
        <v>30</v>
      </c>
      <c r="C4987" s="45">
        <v>46312</v>
      </c>
      <c r="D4987" s="76">
        <v>1607.91349715162</v>
      </c>
      <c r="E4987" s="77">
        <v>125</v>
      </c>
      <c r="F4987" s="78">
        <v>12.1579286407504</v>
      </c>
      <c r="G4987" s="78">
        <v>12.1579286407504</v>
      </c>
      <c r="H4987" s="81">
        <v>12.2384257563021</v>
      </c>
    </row>
    <row r="4988" spans="1:8" x14ac:dyDescent="0.3">
      <c r="A4988" s="74" t="str">
        <f t="shared" si="77"/>
        <v>广西46313</v>
      </c>
      <c r="B4988" s="75" t="s">
        <v>30</v>
      </c>
      <c r="C4988" s="45">
        <v>46313</v>
      </c>
      <c r="D4988" s="76">
        <v>1607.91349715162</v>
      </c>
      <c r="E4988" s="77">
        <v>125</v>
      </c>
      <c r="F4988" s="78">
        <v>12.1579286407504</v>
      </c>
      <c r="G4988" s="78">
        <v>12.1579286407504</v>
      </c>
      <c r="H4988" s="81">
        <v>12.2384257563021</v>
      </c>
    </row>
    <row r="4989" spans="1:8" x14ac:dyDescent="0.3">
      <c r="A4989" s="74" t="str">
        <f t="shared" si="77"/>
        <v>广西46314</v>
      </c>
      <c r="B4989" s="75" t="s">
        <v>30</v>
      </c>
      <c r="C4989" s="45">
        <v>46314</v>
      </c>
      <c r="D4989" s="76">
        <v>1607.91349715162</v>
      </c>
      <c r="E4989" s="77">
        <v>125</v>
      </c>
      <c r="F4989" s="78">
        <v>12.1579286407504</v>
      </c>
      <c r="G4989" s="78">
        <v>12.1579286407504</v>
      </c>
      <c r="H4989" s="81">
        <v>12.2384257563021</v>
      </c>
    </row>
    <row r="4990" spans="1:8" x14ac:dyDescent="0.3">
      <c r="A4990" s="74" t="str">
        <f t="shared" si="77"/>
        <v>广西46315</v>
      </c>
      <c r="B4990" s="75" t="s">
        <v>30</v>
      </c>
      <c r="C4990" s="45">
        <v>46315</v>
      </c>
      <c r="D4990" s="76">
        <v>1607.91349715162</v>
      </c>
      <c r="E4990" s="77">
        <v>125</v>
      </c>
      <c r="F4990" s="78">
        <v>12.1579286407504</v>
      </c>
      <c r="G4990" s="78">
        <v>12.1579286407504</v>
      </c>
      <c r="H4990" s="81">
        <v>12.2384257563021</v>
      </c>
    </row>
    <row r="4991" spans="1:8" x14ac:dyDescent="0.3">
      <c r="A4991" s="74" t="str">
        <f t="shared" si="77"/>
        <v>广西46316</v>
      </c>
      <c r="B4991" s="75" t="s">
        <v>30</v>
      </c>
      <c r="C4991" s="45">
        <v>46316</v>
      </c>
      <c r="D4991" s="76">
        <v>1607.91349715162</v>
      </c>
      <c r="E4991" s="77">
        <v>125</v>
      </c>
      <c r="F4991" s="78">
        <v>12.1579286407504</v>
      </c>
      <c r="G4991" s="78">
        <v>12.1579286407504</v>
      </c>
      <c r="H4991" s="81">
        <v>12.2384257563021</v>
      </c>
    </row>
    <row r="4992" spans="1:8" x14ac:dyDescent="0.3">
      <c r="A4992" s="74" t="str">
        <f t="shared" si="77"/>
        <v>广西46317</v>
      </c>
      <c r="B4992" s="75" t="s">
        <v>30</v>
      </c>
      <c r="C4992" s="45">
        <v>46317</v>
      </c>
      <c r="D4992" s="76">
        <v>1607.91349715162</v>
      </c>
      <c r="E4992" s="77">
        <v>125</v>
      </c>
      <c r="F4992" s="78">
        <v>12.1579286407504</v>
      </c>
      <c r="G4992" s="78">
        <v>12.1579286407504</v>
      </c>
      <c r="H4992" s="81">
        <v>12.2384257563021</v>
      </c>
    </row>
    <row r="4993" spans="1:8" x14ac:dyDescent="0.3">
      <c r="A4993" s="74" t="str">
        <f t="shared" si="77"/>
        <v>广西46318</v>
      </c>
      <c r="B4993" s="75" t="s">
        <v>30</v>
      </c>
      <c r="C4993" s="45">
        <v>46318</v>
      </c>
      <c r="D4993" s="76">
        <v>1607.91349715162</v>
      </c>
      <c r="E4993" s="77">
        <v>125</v>
      </c>
      <c r="F4993" s="78">
        <v>12.1579286407504</v>
      </c>
      <c r="G4993" s="78">
        <v>12.1579286407504</v>
      </c>
      <c r="H4993" s="81">
        <v>12.2384257563021</v>
      </c>
    </row>
    <row r="4994" spans="1:8" x14ac:dyDescent="0.3">
      <c r="A4994" s="74" t="str">
        <f t="shared" si="77"/>
        <v>广西46319</v>
      </c>
      <c r="B4994" s="75" t="s">
        <v>30</v>
      </c>
      <c r="C4994" s="45">
        <v>46319</v>
      </c>
      <c r="D4994" s="76">
        <v>1607.91349715162</v>
      </c>
      <c r="E4994" s="77">
        <v>125</v>
      </c>
      <c r="F4994" s="78">
        <v>12.1579286407504</v>
      </c>
      <c r="G4994" s="78">
        <v>12.1579286407504</v>
      </c>
      <c r="H4994" s="81">
        <v>12.2384257563021</v>
      </c>
    </row>
    <row r="4995" spans="1:8" x14ac:dyDescent="0.3">
      <c r="A4995" s="74" t="str">
        <f t="shared" ref="A4995:A5058" si="78">B4995&amp;C4995</f>
        <v>广西46320</v>
      </c>
      <c r="B4995" s="75" t="s">
        <v>30</v>
      </c>
      <c r="C4995" s="45">
        <v>46320</v>
      </c>
      <c r="D4995" s="76">
        <v>1607.91349715162</v>
      </c>
      <c r="E4995" s="77">
        <v>125</v>
      </c>
      <c r="F4995" s="78">
        <v>12.1579286407504</v>
      </c>
      <c r="G4995" s="78">
        <v>12.1579286407504</v>
      </c>
      <c r="H4995" s="81">
        <v>12.2384257563021</v>
      </c>
    </row>
    <row r="4996" spans="1:8" x14ac:dyDescent="0.3">
      <c r="A4996" s="74" t="str">
        <f t="shared" si="78"/>
        <v>广西46321</v>
      </c>
      <c r="B4996" s="75" t="s">
        <v>30</v>
      </c>
      <c r="C4996" s="45">
        <v>46321</v>
      </c>
      <c r="D4996" s="76">
        <v>1607.91349715162</v>
      </c>
      <c r="E4996" s="77">
        <v>125</v>
      </c>
      <c r="F4996" s="78">
        <v>12.1579286407504</v>
      </c>
      <c r="G4996" s="78">
        <v>12.1579286407504</v>
      </c>
      <c r="H4996" s="81">
        <v>12.2384257563021</v>
      </c>
    </row>
    <row r="4997" spans="1:8" x14ac:dyDescent="0.3">
      <c r="A4997" s="74" t="str">
        <f t="shared" si="78"/>
        <v>广西46322</v>
      </c>
      <c r="B4997" s="75" t="s">
        <v>30</v>
      </c>
      <c r="C4997" s="45">
        <v>46322</v>
      </c>
      <c r="D4997" s="76">
        <v>1607.91349715162</v>
      </c>
      <c r="E4997" s="77">
        <v>125</v>
      </c>
      <c r="F4997" s="78">
        <v>12.1579286407504</v>
      </c>
      <c r="G4997" s="78">
        <v>12.1579286407504</v>
      </c>
      <c r="H4997" s="81">
        <v>12.2384257563021</v>
      </c>
    </row>
    <row r="4998" spans="1:8" x14ac:dyDescent="0.3">
      <c r="A4998" s="74" t="str">
        <f t="shared" si="78"/>
        <v>广西46323</v>
      </c>
      <c r="B4998" s="75" t="s">
        <v>30</v>
      </c>
      <c r="C4998" s="45">
        <v>46323</v>
      </c>
      <c r="D4998" s="76">
        <v>1607.91349715162</v>
      </c>
      <c r="E4998" s="77">
        <v>125</v>
      </c>
      <c r="F4998" s="78">
        <v>12.1579286407504</v>
      </c>
      <c r="G4998" s="78">
        <v>12.1579286407504</v>
      </c>
      <c r="H4998" s="81">
        <v>12.2384257563021</v>
      </c>
    </row>
    <row r="4999" spans="1:8" x14ac:dyDescent="0.3">
      <c r="A4999" s="74" t="str">
        <f t="shared" si="78"/>
        <v>广西46324</v>
      </c>
      <c r="B4999" s="75" t="s">
        <v>30</v>
      </c>
      <c r="C4999" s="45">
        <v>46324</v>
      </c>
      <c r="D4999" s="76">
        <v>1607.91349715162</v>
      </c>
      <c r="E4999" s="77">
        <v>125</v>
      </c>
      <c r="F4999" s="78">
        <v>12.1579286407504</v>
      </c>
      <c r="G4999" s="78">
        <v>12.1579286407504</v>
      </c>
      <c r="H4999" s="81">
        <v>12.2384257563021</v>
      </c>
    </row>
    <row r="5000" spans="1:8" x14ac:dyDescent="0.3">
      <c r="A5000" s="74" t="str">
        <f t="shared" si="78"/>
        <v>广西46325</v>
      </c>
      <c r="B5000" s="75" t="s">
        <v>30</v>
      </c>
      <c r="C5000" s="45">
        <v>46325</v>
      </c>
      <c r="D5000" s="76">
        <v>1607.91349715162</v>
      </c>
      <c r="E5000" s="77">
        <v>125</v>
      </c>
      <c r="F5000" s="78">
        <v>12.1579286407504</v>
      </c>
      <c r="G5000" s="78">
        <v>12.1579286407504</v>
      </c>
      <c r="H5000" s="81">
        <v>12.2384257563021</v>
      </c>
    </row>
    <row r="5001" spans="1:8" x14ac:dyDescent="0.3">
      <c r="A5001" s="74" t="str">
        <f t="shared" si="78"/>
        <v>广西46326</v>
      </c>
      <c r="B5001" s="75" t="s">
        <v>30</v>
      </c>
      <c r="C5001" s="45">
        <v>46326</v>
      </c>
      <c r="D5001" s="76">
        <v>1607.91349715162</v>
      </c>
      <c r="E5001" s="77">
        <v>125</v>
      </c>
      <c r="F5001" s="78">
        <v>12.1579286407504</v>
      </c>
      <c r="G5001" s="78">
        <v>12.1579286407504</v>
      </c>
      <c r="H5001" s="81">
        <v>12.2384257563021</v>
      </c>
    </row>
    <row r="5002" spans="1:8" x14ac:dyDescent="0.3">
      <c r="A5002" s="74" t="str">
        <f t="shared" si="78"/>
        <v>广西46327</v>
      </c>
      <c r="B5002" s="75" t="s">
        <v>30</v>
      </c>
      <c r="C5002" s="45">
        <v>46327</v>
      </c>
      <c r="D5002" s="76">
        <v>1677.96379141947</v>
      </c>
      <c r="E5002" s="77">
        <v>125</v>
      </c>
      <c r="F5002" s="78">
        <v>12.439826142463399</v>
      </c>
      <c r="G5002" s="78">
        <v>12.439826142463399</v>
      </c>
      <c r="H5002" s="81">
        <v>12.310985592801901</v>
      </c>
    </row>
    <row r="5003" spans="1:8" x14ac:dyDescent="0.3">
      <c r="A5003" s="74" t="str">
        <f t="shared" si="78"/>
        <v>广西46328</v>
      </c>
      <c r="B5003" s="75" t="s">
        <v>30</v>
      </c>
      <c r="C5003" s="45">
        <v>46328</v>
      </c>
      <c r="D5003" s="76">
        <v>1677.96379141947</v>
      </c>
      <c r="E5003" s="77">
        <v>125</v>
      </c>
      <c r="F5003" s="78">
        <v>12.439826142463399</v>
      </c>
      <c r="G5003" s="78">
        <v>12.439826142463399</v>
      </c>
      <c r="H5003" s="81">
        <v>12.310985592801901</v>
      </c>
    </row>
    <row r="5004" spans="1:8" x14ac:dyDescent="0.3">
      <c r="A5004" s="74" t="str">
        <f t="shared" si="78"/>
        <v>广西46329</v>
      </c>
      <c r="B5004" s="75" t="s">
        <v>30</v>
      </c>
      <c r="C5004" s="45">
        <v>46329</v>
      </c>
      <c r="D5004" s="76">
        <v>1677.96379141947</v>
      </c>
      <c r="E5004" s="77">
        <v>125</v>
      </c>
      <c r="F5004" s="78">
        <v>12.439826142463399</v>
      </c>
      <c r="G5004" s="78">
        <v>12.439826142463399</v>
      </c>
      <c r="H5004" s="81">
        <v>12.310985592801901</v>
      </c>
    </row>
    <row r="5005" spans="1:8" x14ac:dyDescent="0.3">
      <c r="A5005" s="74" t="str">
        <f t="shared" si="78"/>
        <v>广西46330</v>
      </c>
      <c r="B5005" s="75" t="s">
        <v>30</v>
      </c>
      <c r="C5005" s="45">
        <v>46330</v>
      </c>
      <c r="D5005" s="76">
        <v>1677.96379141947</v>
      </c>
      <c r="E5005" s="77">
        <v>125</v>
      </c>
      <c r="F5005" s="78">
        <v>12.439826142463399</v>
      </c>
      <c r="G5005" s="78">
        <v>12.439826142463399</v>
      </c>
      <c r="H5005" s="81">
        <v>12.310985592801901</v>
      </c>
    </row>
    <row r="5006" spans="1:8" x14ac:dyDescent="0.3">
      <c r="A5006" s="74" t="str">
        <f t="shared" si="78"/>
        <v>广西46331</v>
      </c>
      <c r="B5006" s="75" t="s">
        <v>30</v>
      </c>
      <c r="C5006" s="45">
        <v>46331</v>
      </c>
      <c r="D5006" s="76">
        <v>1677.96379141947</v>
      </c>
      <c r="E5006" s="77">
        <v>125</v>
      </c>
      <c r="F5006" s="78">
        <v>12.439826142463399</v>
      </c>
      <c r="G5006" s="78">
        <v>12.439826142463399</v>
      </c>
      <c r="H5006" s="81">
        <v>12.310985592801901</v>
      </c>
    </row>
    <row r="5007" spans="1:8" x14ac:dyDescent="0.3">
      <c r="A5007" s="74" t="str">
        <f t="shared" si="78"/>
        <v>广西46332</v>
      </c>
      <c r="B5007" s="75" t="s">
        <v>30</v>
      </c>
      <c r="C5007" s="45">
        <v>46332</v>
      </c>
      <c r="D5007" s="76">
        <v>1677.96379141947</v>
      </c>
      <c r="E5007" s="77">
        <v>125</v>
      </c>
      <c r="F5007" s="78">
        <v>12.439826142463399</v>
      </c>
      <c r="G5007" s="78">
        <v>12.439826142463399</v>
      </c>
      <c r="H5007" s="81">
        <v>12.310985592801901</v>
      </c>
    </row>
    <row r="5008" spans="1:8" x14ac:dyDescent="0.3">
      <c r="A5008" s="74" t="str">
        <f t="shared" si="78"/>
        <v>广西46333</v>
      </c>
      <c r="B5008" s="75" t="s">
        <v>30</v>
      </c>
      <c r="C5008" s="45">
        <v>46333</v>
      </c>
      <c r="D5008" s="76">
        <v>1677.96379141947</v>
      </c>
      <c r="E5008" s="77">
        <v>125</v>
      </c>
      <c r="F5008" s="78">
        <v>12.439826142463399</v>
      </c>
      <c r="G5008" s="78">
        <v>12.439826142463399</v>
      </c>
      <c r="H5008" s="81">
        <v>12.310985592801901</v>
      </c>
    </row>
    <row r="5009" spans="1:8" x14ac:dyDescent="0.3">
      <c r="A5009" s="74" t="str">
        <f t="shared" si="78"/>
        <v>广西46334</v>
      </c>
      <c r="B5009" s="75" t="s">
        <v>30</v>
      </c>
      <c r="C5009" s="45">
        <v>46334</v>
      </c>
      <c r="D5009" s="76">
        <v>1677.96379141947</v>
      </c>
      <c r="E5009" s="77">
        <v>125</v>
      </c>
      <c r="F5009" s="78">
        <v>12.439826142463399</v>
      </c>
      <c r="G5009" s="78">
        <v>12.439826142463399</v>
      </c>
      <c r="H5009" s="81">
        <v>12.310985592801901</v>
      </c>
    </row>
    <row r="5010" spans="1:8" x14ac:dyDescent="0.3">
      <c r="A5010" s="74" t="str">
        <f t="shared" si="78"/>
        <v>广西46335</v>
      </c>
      <c r="B5010" s="75" t="s">
        <v>30</v>
      </c>
      <c r="C5010" s="45">
        <v>46335</v>
      </c>
      <c r="D5010" s="76">
        <v>1677.96379141947</v>
      </c>
      <c r="E5010" s="77">
        <v>125</v>
      </c>
      <c r="F5010" s="78">
        <v>12.439826142463399</v>
      </c>
      <c r="G5010" s="78">
        <v>12.439826142463399</v>
      </c>
      <c r="H5010" s="81">
        <v>12.310985592801901</v>
      </c>
    </row>
    <row r="5011" spans="1:8" x14ac:dyDescent="0.3">
      <c r="A5011" s="74" t="str">
        <f t="shared" si="78"/>
        <v>广西46336</v>
      </c>
      <c r="B5011" s="75" t="s">
        <v>30</v>
      </c>
      <c r="C5011" s="45">
        <v>46336</v>
      </c>
      <c r="D5011" s="76">
        <v>1677.96379141947</v>
      </c>
      <c r="E5011" s="77">
        <v>125</v>
      </c>
      <c r="F5011" s="78">
        <v>12.439826142463399</v>
      </c>
      <c r="G5011" s="78">
        <v>12.439826142463399</v>
      </c>
      <c r="H5011" s="81">
        <v>12.310985592801901</v>
      </c>
    </row>
    <row r="5012" spans="1:8" x14ac:dyDescent="0.3">
      <c r="A5012" s="74" t="str">
        <f t="shared" si="78"/>
        <v>广西46337</v>
      </c>
      <c r="B5012" s="75" t="s">
        <v>30</v>
      </c>
      <c r="C5012" s="45">
        <v>46337</v>
      </c>
      <c r="D5012" s="76">
        <v>1677.96379141947</v>
      </c>
      <c r="E5012" s="77">
        <v>125</v>
      </c>
      <c r="F5012" s="78">
        <v>12.439826142463399</v>
      </c>
      <c r="G5012" s="78">
        <v>12.439826142463399</v>
      </c>
      <c r="H5012" s="81">
        <v>12.310985592801901</v>
      </c>
    </row>
    <row r="5013" spans="1:8" x14ac:dyDescent="0.3">
      <c r="A5013" s="74" t="str">
        <f t="shared" si="78"/>
        <v>广西46338</v>
      </c>
      <c r="B5013" s="75" t="s">
        <v>30</v>
      </c>
      <c r="C5013" s="45">
        <v>46338</v>
      </c>
      <c r="D5013" s="76">
        <v>1677.96379141947</v>
      </c>
      <c r="E5013" s="77">
        <v>125</v>
      </c>
      <c r="F5013" s="78">
        <v>12.439826142463399</v>
      </c>
      <c r="G5013" s="78">
        <v>12.439826142463399</v>
      </c>
      <c r="H5013" s="81">
        <v>12.310985592801901</v>
      </c>
    </row>
    <row r="5014" spans="1:8" x14ac:dyDescent="0.3">
      <c r="A5014" s="74" t="str">
        <f t="shared" si="78"/>
        <v>广西46339</v>
      </c>
      <c r="B5014" s="75" t="s">
        <v>30</v>
      </c>
      <c r="C5014" s="45">
        <v>46339</v>
      </c>
      <c r="D5014" s="76">
        <v>1677.96379141947</v>
      </c>
      <c r="E5014" s="77">
        <v>125</v>
      </c>
      <c r="F5014" s="78">
        <v>12.439826142463399</v>
      </c>
      <c r="G5014" s="78">
        <v>12.439826142463399</v>
      </c>
      <c r="H5014" s="81">
        <v>12.310985592801901</v>
      </c>
    </row>
    <row r="5015" spans="1:8" x14ac:dyDescent="0.3">
      <c r="A5015" s="74" t="str">
        <f t="shared" si="78"/>
        <v>广西46340</v>
      </c>
      <c r="B5015" s="75" t="s">
        <v>30</v>
      </c>
      <c r="C5015" s="45">
        <v>46340</v>
      </c>
      <c r="D5015" s="76">
        <v>1677.96379141947</v>
      </c>
      <c r="E5015" s="77">
        <v>125</v>
      </c>
      <c r="F5015" s="78">
        <v>12.439826142463399</v>
      </c>
      <c r="G5015" s="78">
        <v>12.439826142463399</v>
      </c>
      <c r="H5015" s="81">
        <v>12.310985592801901</v>
      </c>
    </row>
    <row r="5016" spans="1:8" x14ac:dyDescent="0.3">
      <c r="A5016" s="74" t="str">
        <f t="shared" si="78"/>
        <v>广西46341</v>
      </c>
      <c r="B5016" s="75" t="s">
        <v>30</v>
      </c>
      <c r="C5016" s="45">
        <v>46341</v>
      </c>
      <c r="D5016" s="76">
        <v>1677.96379141947</v>
      </c>
      <c r="E5016" s="77">
        <v>125</v>
      </c>
      <c r="F5016" s="78">
        <v>12.439826142463399</v>
      </c>
      <c r="G5016" s="78">
        <v>12.439826142463399</v>
      </c>
      <c r="H5016" s="81">
        <v>12.310985592801901</v>
      </c>
    </row>
    <row r="5017" spans="1:8" x14ac:dyDescent="0.3">
      <c r="A5017" s="74" t="str">
        <f t="shared" si="78"/>
        <v>广西46342</v>
      </c>
      <c r="B5017" s="75" t="s">
        <v>30</v>
      </c>
      <c r="C5017" s="45">
        <v>46342</v>
      </c>
      <c r="D5017" s="76">
        <v>1677.96379141947</v>
      </c>
      <c r="E5017" s="77">
        <v>125</v>
      </c>
      <c r="F5017" s="78">
        <v>12.439826142463399</v>
      </c>
      <c r="G5017" s="78">
        <v>12.439826142463399</v>
      </c>
      <c r="H5017" s="81">
        <v>12.310985592801901</v>
      </c>
    </row>
    <row r="5018" spans="1:8" x14ac:dyDescent="0.3">
      <c r="A5018" s="74" t="str">
        <f t="shared" si="78"/>
        <v>广西46343</v>
      </c>
      <c r="B5018" s="75" t="s">
        <v>30</v>
      </c>
      <c r="C5018" s="45">
        <v>46343</v>
      </c>
      <c r="D5018" s="76">
        <v>1677.96379141947</v>
      </c>
      <c r="E5018" s="77">
        <v>125</v>
      </c>
      <c r="F5018" s="78">
        <v>12.439826142463399</v>
      </c>
      <c r="G5018" s="78">
        <v>12.439826142463399</v>
      </c>
      <c r="H5018" s="81">
        <v>12.310985592801901</v>
      </c>
    </row>
    <row r="5019" spans="1:8" x14ac:dyDescent="0.3">
      <c r="A5019" s="74" t="str">
        <f t="shared" si="78"/>
        <v>广西46344</v>
      </c>
      <c r="B5019" s="75" t="s">
        <v>30</v>
      </c>
      <c r="C5019" s="45">
        <v>46344</v>
      </c>
      <c r="D5019" s="76">
        <v>1677.96379141947</v>
      </c>
      <c r="E5019" s="77">
        <v>125</v>
      </c>
      <c r="F5019" s="78">
        <v>12.439826142463399</v>
      </c>
      <c r="G5019" s="78">
        <v>12.439826142463399</v>
      </c>
      <c r="H5019" s="81">
        <v>12.310985592801901</v>
      </c>
    </row>
    <row r="5020" spans="1:8" x14ac:dyDescent="0.3">
      <c r="A5020" s="74" t="str">
        <f t="shared" si="78"/>
        <v>广西46345</v>
      </c>
      <c r="B5020" s="75" t="s">
        <v>30</v>
      </c>
      <c r="C5020" s="45">
        <v>46345</v>
      </c>
      <c r="D5020" s="76">
        <v>1677.96379141947</v>
      </c>
      <c r="E5020" s="77">
        <v>125</v>
      </c>
      <c r="F5020" s="78">
        <v>12.439826142463399</v>
      </c>
      <c r="G5020" s="78">
        <v>12.439826142463399</v>
      </c>
      <c r="H5020" s="81">
        <v>12.310985592801901</v>
      </c>
    </row>
    <row r="5021" spans="1:8" x14ac:dyDescent="0.3">
      <c r="A5021" s="74" t="str">
        <f t="shared" si="78"/>
        <v>广西46346</v>
      </c>
      <c r="B5021" s="75" t="s">
        <v>30</v>
      </c>
      <c r="C5021" s="45">
        <v>46346</v>
      </c>
      <c r="D5021" s="76">
        <v>1677.96379141947</v>
      </c>
      <c r="E5021" s="77">
        <v>125</v>
      </c>
      <c r="F5021" s="78">
        <v>12.439826142463399</v>
      </c>
      <c r="G5021" s="78">
        <v>12.439826142463399</v>
      </c>
      <c r="H5021" s="81">
        <v>12.310985592801901</v>
      </c>
    </row>
    <row r="5022" spans="1:8" x14ac:dyDescent="0.3">
      <c r="A5022" s="74" t="str">
        <f t="shared" si="78"/>
        <v>广西46347</v>
      </c>
      <c r="B5022" s="75" t="s">
        <v>30</v>
      </c>
      <c r="C5022" s="45">
        <v>46347</v>
      </c>
      <c r="D5022" s="76">
        <v>1677.96379141947</v>
      </c>
      <c r="E5022" s="77">
        <v>125</v>
      </c>
      <c r="F5022" s="78">
        <v>12.439826142463399</v>
      </c>
      <c r="G5022" s="78">
        <v>12.439826142463399</v>
      </c>
      <c r="H5022" s="81">
        <v>12.310985592801901</v>
      </c>
    </row>
    <row r="5023" spans="1:8" x14ac:dyDescent="0.3">
      <c r="A5023" s="74" t="str">
        <f t="shared" si="78"/>
        <v>广西46348</v>
      </c>
      <c r="B5023" s="75" t="s">
        <v>30</v>
      </c>
      <c r="C5023" s="45">
        <v>46348</v>
      </c>
      <c r="D5023" s="76">
        <v>1677.96379141947</v>
      </c>
      <c r="E5023" s="77">
        <v>125</v>
      </c>
      <c r="F5023" s="78">
        <v>12.439826142463399</v>
      </c>
      <c r="G5023" s="78">
        <v>12.439826142463399</v>
      </c>
      <c r="H5023" s="81">
        <v>12.310985592801901</v>
      </c>
    </row>
    <row r="5024" spans="1:8" x14ac:dyDescent="0.3">
      <c r="A5024" s="74" t="str">
        <f t="shared" si="78"/>
        <v>广西46349</v>
      </c>
      <c r="B5024" s="75" t="s">
        <v>30</v>
      </c>
      <c r="C5024" s="45">
        <v>46349</v>
      </c>
      <c r="D5024" s="76">
        <v>1677.96379141947</v>
      </c>
      <c r="E5024" s="77">
        <v>125</v>
      </c>
      <c r="F5024" s="78">
        <v>12.439826142463399</v>
      </c>
      <c r="G5024" s="78">
        <v>12.439826142463399</v>
      </c>
      <c r="H5024" s="81">
        <v>12.310985592801901</v>
      </c>
    </row>
    <row r="5025" spans="1:8" x14ac:dyDescent="0.3">
      <c r="A5025" s="74" t="str">
        <f t="shared" si="78"/>
        <v>广西46350</v>
      </c>
      <c r="B5025" s="75" t="s">
        <v>30</v>
      </c>
      <c r="C5025" s="45">
        <v>46350</v>
      </c>
      <c r="D5025" s="76">
        <v>1677.96379141947</v>
      </c>
      <c r="E5025" s="77">
        <v>125</v>
      </c>
      <c r="F5025" s="78">
        <v>12.439826142463399</v>
      </c>
      <c r="G5025" s="78">
        <v>12.439826142463399</v>
      </c>
      <c r="H5025" s="81">
        <v>12.310985592801901</v>
      </c>
    </row>
    <row r="5026" spans="1:8" x14ac:dyDescent="0.3">
      <c r="A5026" s="74" t="str">
        <f t="shared" si="78"/>
        <v>广西46351</v>
      </c>
      <c r="B5026" s="75" t="s">
        <v>30</v>
      </c>
      <c r="C5026" s="45">
        <v>46351</v>
      </c>
      <c r="D5026" s="76">
        <v>1677.96379141947</v>
      </c>
      <c r="E5026" s="77">
        <v>125</v>
      </c>
      <c r="F5026" s="78">
        <v>12.439826142463399</v>
      </c>
      <c r="G5026" s="78">
        <v>12.439826142463399</v>
      </c>
      <c r="H5026" s="81">
        <v>12.310985592801901</v>
      </c>
    </row>
    <row r="5027" spans="1:8" x14ac:dyDescent="0.3">
      <c r="A5027" s="74" t="str">
        <f t="shared" si="78"/>
        <v>广西46352</v>
      </c>
      <c r="B5027" s="75" t="s">
        <v>30</v>
      </c>
      <c r="C5027" s="45">
        <v>46352</v>
      </c>
      <c r="D5027" s="76">
        <v>1677.96379141947</v>
      </c>
      <c r="E5027" s="77">
        <v>125</v>
      </c>
      <c r="F5027" s="78">
        <v>12.439826142463399</v>
      </c>
      <c r="G5027" s="78">
        <v>12.439826142463399</v>
      </c>
      <c r="H5027" s="81">
        <v>12.310985592801901</v>
      </c>
    </row>
    <row r="5028" spans="1:8" x14ac:dyDescent="0.3">
      <c r="A5028" s="74" t="str">
        <f t="shared" si="78"/>
        <v>广西46353</v>
      </c>
      <c r="B5028" s="75" t="s">
        <v>30</v>
      </c>
      <c r="C5028" s="45">
        <v>46353</v>
      </c>
      <c r="D5028" s="76">
        <v>1677.96379141947</v>
      </c>
      <c r="E5028" s="77">
        <v>125</v>
      </c>
      <c r="F5028" s="78">
        <v>12.439826142463399</v>
      </c>
      <c r="G5028" s="78">
        <v>12.439826142463399</v>
      </c>
      <c r="H5028" s="81">
        <v>12.310985592801901</v>
      </c>
    </row>
    <row r="5029" spans="1:8" x14ac:dyDescent="0.3">
      <c r="A5029" s="74" t="str">
        <f t="shared" si="78"/>
        <v>广西46354</v>
      </c>
      <c r="B5029" s="75" t="s">
        <v>30</v>
      </c>
      <c r="C5029" s="45">
        <v>46354</v>
      </c>
      <c r="D5029" s="76">
        <v>1677.96379141947</v>
      </c>
      <c r="E5029" s="77">
        <v>125</v>
      </c>
      <c r="F5029" s="78">
        <v>12.439826142463399</v>
      </c>
      <c r="G5029" s="78">
        <v>12.439826142463399</v>
      </c>
      <c r="H5029" s="81">
        <v>12.310985592801901</v>
      </c>
    </row>
    <row r="5030" spans="1:8" x14ac:dyDescent="0.3">
      <c r="A5030" s="74" t="str">
        <f t="shared" si="78"/>
        <v>广西46355</v>
      </c>
      <c r="B5030" s="75" t="s">
        <v>30</v>
      </c>
      <c r="C5030" s="45">
        <v>46355</v>
      </c>
      <c r="D5030" s="76">
        <v>1677.96379141947</v>
      </c>
      <c r="E5030" s="77">
        <v>125</v>
      </c>
      <c r="F5030" s="78">
        <v>12.439826142463399</v>
      </c>
      <c r="G5030" s="78">
        <v>12.439826142463399</v>
      </c>
      <c r="H5030" s="81">
        <v>12.310985592801901</v>
      </c>
    </row>
    <row r="5031" spans="1:8" x14ac:dyDescent="0.3">
      <c r="A5031" s="74" t="str">
        <f t="shared" si="78"/>
        <v>广西46356</v>
      </c>
      <c r="B5031" s="75" t="s">
        <v>30</v>
      </c>
      <c r="C5031" s="45">
        <v>46356</v>
      </c>
      <c r="D5031" s="76">
        <v>1677.96379141947</v>
      </c>
      <c r="E5031" s="77">
        <v>125</v>
      </c>
      <c r="F5031" s="78">
        <v>12.439826142463399</v>
      </c>
      <c r="G5031" s="78">
        <v>12.439826142463399</v>
      </c>
      <c r="H5031" s="81">
        <v>12.310985592801901</v>
      </c>
    </row>
    <row r="5032" spans="1:8" x14ac:dyDescent="0.3">
      <c r="A5032" s="74" t="str">
        <f t="shared" si="78"/>
        <v>广西46357</v>
      </c>
      <c r="B5032" s="75" t="s">
        <v>30</v>
      </c>
      <c r="C5032" s="45">
        <v>46357</v>
      </c>
      <c r="D5032" s="76">
        <v>1934.8297106321199</v>
      </c>
      <c r="E5032" s="77">
        <v>125</v>
      </c>
      <c r="F5032" s="78">
        <v>13.113551398639601</v>
      </c>
      <c r="G5032" s="78">
        <v>13.113551398639601</v>
      </c>
      <c r="H5032" s="81">
        <v>12.538339747167999</v>
      </c>
    </row>
    <row r="5033" spans="1:8" x14ac:dyDescent="0.3">
      <c r="A5033" s="74" t="str">
        <f t="shared" si="78"/>
        <v>广西46358</v>
      </c>
      <c r="B5033" s="75" t="s">
        <v>30</v>
      </c>
      <c r="C5033" s="45">
        <v>46358</v>
      </c>
      <c r="D5033" s="76">
        <v>1934.8297106321199</v>
      </c>
      <c r="E5033" s="77">
        <v>125</v>
      </c>
      <c r="F5033" s="78">
        <v>13.113551398639601</v>
      </c>
      <c r="G5033" s="78">
        <v>13.113551398639601</v>
      </c>
      <c r="H5033" s="81">
        <v>12.538339747167999</v>
      </c>
    </row>
    <row r="5034" spans="1:8" x14ac:dyDescent="0.3">
      <c r="A5034" s="74" t="str">
        <f t="shared" si="78"/>
        <v>广西46359</v>
      </c>
      <c r="B5034" s="75" t="s">
        <v>30</v>
      </c>
      <c r="C5034" s="45">
        <v>46359</v>
      </c>
      <c r="D5034" s="76">
        <v>1934.8297106321199</v>
      </c>
      <c r="E5034" s="77">
        <v>125</v>
      </c>
      <c r="F5034" s="78">
        <v>13.113551398639601</v>
      </c>
      <c r="G5034" s="78">
        <v>13.113551398639601</v>
      </c>
      <c r="H5034" s="81">
        <v>12.538339747167999</v>
      </c>
    </row>
    <row r="5035" spans="1:8" x14ac:dyDescent="0.3">
      <c r="A5035" s="74" t="str">
        <f t="shared" si="78"/>
        <v>广西46360</v>
      </c>
      <c r="B5035" s="75" t="s">
        <v>30</v>
      </c>
      <c r="C5035" s="45">
        <v>46360</v>
      </c>
      <c r="D5035" s="76">
        <v>1934.8297106321199</v>
      </c>
      <c r="E5035" s="77">
        <v>125</v>
      </c>
      <c r="F5035" s="78">
        <v>13.113551398639601</v>
      </c>
      <c r="G5035" s="78">
        <v>13.113551398639601</v>
      </c>
      <c r="H5035" s="81">
        <v>12.538339747167999</v>
      </c>
    </row>
    <row r="5036" spans="1:8" x14ac:dyDescent="0.3">
      <c r="A5036" s="74" t="str">
        <f t="shared" si="78"/>
        <v>广西46361</v>
      </c>
      <c r="B5036" s="75" t="s">
        <v>30</v>
      </c>
      <c r="C5036" s="45">
        <v>46361</v>
      </c>
      <c r="D5036" s="76">
        <v>1934.8297106321199</v>
      </c>
      <c r="E5036" s="77">
        <v>125</v>
      </c>
      <c r="F5036" s="78">
        <v>13.113551398639601</v>
      </c>
      <c r="G5036" s="78">
        <v>13.113551398639601</v>
      </c>
      <c r="H5036" s="81">
        <v>12.538339747167999</v>
      </c>
    </row>
    <row r="5037" spans="1:8" x14ac:dyDescent="0.3">
      <c r="A5037" s="74" t="str">
        <f t="shared" si="78"/>
        <v>广西46362</v>
      </c>
      <c r="B5037" s="75" t="s">
        <v>30</v>
      </c>
      <c r="C5037" s="45">
        <v>46362</v>
      </c>
      <c r="D5037" s="76">
        <v>1934.8297106321199</v>
      </c>
      <c r="E5037" s="77">
        <v>125</v>
      </c>
      <c r="F5037" s="78">
        <v>13.113551398639601</v>
      </c>
      <c r="G5037" s="78">
        <v>13.113551398639601</v>
      </c>
      <c r="H5037" s="81">
        <v>12.538339747167999</v>
      </c>
    </row>
    <row r="5038" spans="1:8" x14ac:dyDescent="0.3">
      <c r="A5038" s="74" t="str">
        <f t="shared" si="78"/>
        <v>广西46363</v>
      </c>
      <c r="B5038" s="75" t="s">
        <v>30</v>
      </c>
      <c r="C5038" s="45">
        <v>46363</v>
      </c>
      <c r="D5038" s="76">
        <v>1934.8297106321199</v>
      </c>
      <c r="E5038" s="77">
        <v>125</v>
      </c>
      <c r="F5038" s="78">
        <v>13.113551398639601</v>
      </c>
      <c r="G5038" s="78">
        <v>13.113551398639601</v>
      </c>
      <c r="H5038" s="81">
        <v>12.538339747167999</v>
      </c>
    </row>
    <row r="5039" spans="1:8" x14ac:dyDescent="0.3">
      <c r="A5039" s="74" t="str">
        <f t="shared" si="78"/>
        <v>广西46364</v>
      </c>
      <c r="B5039" s="75" t="s">
        <v>30</v>
      </c>
      <c r="C5039" s="45">
        <v>46364</v>
      </c>
      <c r="D5039" s="76">
        <v>1934.8297106321199</v>
      </c>
      <c r="E5039" s="77">
        <v>125</v>
      </c>
      <c r="F5039" s="78">
        <v>13.113551398639601</v>
      </c>
      <c r="G5039" s="78">
        <v>13.113551398639601</v>
      </c>
      <c r="H5039" s="81">
        <v>12.538339747167999</v>
      </c>
    </row>
    <row r="5040" spans="1:8" x14ac:dyDescent="0.3">
      <c r="A5040" s="74" t="str">
        <f t="shared" si="78"/>
        <v>广西46365</v>
      </c>
      <c r="B5040" s="75" t="s">
        <v>30</v>
      </c>
      <c r="C5040" s="45">
        <v>46365</v>
      </c>
      <c r="D5040" s="76">
        <v>1934.8297106321199</v>
      </c>
      <c r="E5040" s="77">
        <v>125</v>
      </c>
      <c r="F5040" s="78">
        <v>13.113551398639601</v>
      </c>
      <c r="G5040" s="78">
        <v>13.113551398639601</v>
      </c>
      <c r="H5040" s="81">
        <v>12.538339747167999</v>
      </c>
    </row>
    <row r="5041" spans="1:8" x14ac:dyDescent="0.3">
      <c r="A5041" s="74" t="str">
        <f t="shared" si="78"/>
        <v>广西46366</v>
      </c>
      <c r="B5041" s="75" t="s">
        <v>30</v>
      </c>
      <c r="C5041" s="45">
        <v>46366</v>
      </c>
      <c r="D5041" s="76">
        <v>1934.8297106321199</v>
      </c>
      <c r="E5041" s="77">
        <v>125</v>
      </c>
      <c r="F5041" s="78">
        <v>13.113551398639601</v>
      </c>
      <c r="G5041" s="78">
        <v>13.113551398639601</v>
      </c>
      <c r="H5041" s="81">
        <v>12.538339747167999</v>
      </c>
    </row>
    <row r="5042" spans="1:8" x14ac:dyDescent="0.3">
      <c r="A5042" s="74" t="str">
        <f t="shared" si="78"/>
        <v>广西46367</v>
      </c>
      <c r="B5042" s="75" t="s">
        <v>30</v>
      </c>
      <c r="C5042" s="45">
        <v>46367</v>
      </c>
      <c r="D5042" s="76">
        <v>1934.8297106321199</v>
      </c>
      <c r="E5042" s="77">
        <v>125</v>
      </c>
      <c r="F5042" s="78">
        <v>13.113551398639601</v>
      </c>
      <c r="G5042" s="78">
        <v>13.113551398639601</v>
      </c>
      <c r="H5042" s="81">
        <v>12.538339747167999</v>
      </c>
    </row>
    <row r="5043" spans="1:8" x14ac:dyDescent="0.3">
      <c r="A5043" s="74" t="str">
        <f t="shared" si="78"/>
        <v>广西46368</v>
      </c>
      <c r="B5043" s="75" t="s">
        <v>30</v>
      </c>
      <c r="C5043" s="45">
        <v>46368</v>
      </c>
      <c r="D5043" s="76">
        <v>1934.8297106321199</v>
      </c>
      <c r="E5043" s="77">
        <v>125</v>
      </c>
      <c r="F5043" s="78">
        <v>13.113551398639601</v>
      </c>
      <c r="G5043" s="78">
        <v>13.113551398639601</v>
      </c>
      <c r="H5043" s="81">
        <v>12.538339747167999</v>
      </c>
    </row>
    <row r="5044" spans="1:8" x14ac:dyDescent="0.3">
      <c r="A5044" s="74" t="str">
        <f t="shared" si="78"/>
        <v>广西46369</v>
      </c>
      <c r="B5044" s="75" t="s">
        <v>30</v>
      </c>
      <c r="C5044" s="45">
        <v>46369</v>
      </c>
      <c r="D5044" s="76">
        <v>1934.8297106321199</v>
      </c>
      <c r="E5044" s="77">
        <v>125</v>
      </c>
      <c r="F5044" s="78">
        <v>13.113551398639601</v>
      </c>
      <c r="G5044" s="78">
        <v>13.113551398639601</v>
      </c>
      <c r="H5044" s="81">
        <v>12.538339747167999</v>
      </c>
    </row>
    <row r="5045" spans="1:8" x14ac:dyDescent="0.3">
      <c r="A5045" s="74" t="str">
        <f t="shared" si="78"/>
        <v>广西46370</v>
      </c>
      <c r="B5045" s="75" t="s">
        <v>30</v>
      </c>
      <c r="C5045" s="45">
        <v>46370</v>
      </c>
      <c r="D5045" s="76">
        <v>1934.8297106321199</v>
      </c>
      <c r="E5045" s="77">
        <v>125</v>
      </c>
      <c r="F5045" s="78">
        <v>13.113551398639601</v>
      </c>
      <c r="G5045" s="78">
        <v>13.113551398639601</v>
      </c>
      <c r="H5045" s="81">
        <v>12.538339747167999</v>
      </c>
    </row>
    <row r="5046" spans="1:8" x14ac:dyDescent="0.3">
      <c r="A5046" s="74" t="str">
        <f t="shared" si="78"/>
        <v>广西46371</v>
      </c>
      <c r="B5046" s="75" t="s">
        <v>30</v>
      </c>
      <c r="C5046" s="45">
        <v>46371</v>
      </c>
      <c r="D5046" s="76">
        <v>1934.8297106321199</v>
      </c>
      <c r="E5046" s="77">
        <v>125</v>
      </c>
      <c r="F5046" s="78">
        <v>13.113551398639601</v>
      </c>
      <c r="G5046" s="78">
        <v>13.113551398639601</v>
      </c>
      <c r="H5046" s="81">
        <v>12.538339747167999</v>
      </c>
    </row>
    <row r="5047" spans="1:8" x14ac:dyDescent="0.3">
      <c r="A5047" s="74" t="str">
        <f t="shared" si="78"/>
        <v>广西46372</v>
      </c>
      <c r="B5047" s="75" t="s">
        <v>30</v>
      </c>
      <c r="C5047" s="45">
        <v>46372</v>
      </c>
      <c r="D5047" s="76">
        <v>1934.8297106321199</v>
      </c>
      <c r="E5047" s="77">
        <v>125</v>
      </c>
      <c r="F5047" s="78">
        <v>13.113551398639601</v>
      </c>
      <c r="G5047" s="78">
        <v>13.113551398639601</v>
      </c>
      <c r="H5047" s="81">
        <v>12.538339747167999</v>
      </c>
    </row>
    <row r="5048" spans="1:8" x14ac:dyDescent="0.3">
      <c r="A5048" s="74" t="str">
        <f t="shared" si="78"/>
        <v>广西46373</v>
      </c>
      <c r="B5048" s="75" t="s">
        <v>30</v>
      </c>
      <c r="C5048" s="45">
        <v>46373</v>
      </c>
      <c r="D5048" s="76">
        <v>1934.8297106321199</v>
      </c>
      <c r="E5048" s="77">
        <v>125</v>
      </c>
      <c r="F5048" s="78">
        <v>13.113551398639601</v>
      </c>
      <c r="G5048" s="78">
        <v>13.113551398639601</v>
      </c>
      <c r="H5048" s="81">
        <v>12.538339747167999</v>
      </c>
    </row>
    <row r="5049" spans="1:8" x14ac:dyDescent="0.3">
      <c r="A5049" s="74" t="str">
        <f t="shared" si="78"/>
        <v>广西46374</v>
      </c>
      <c r="B5049" s="75" t="s">
        <v>30</v>
      </c>
      <c r="C5049" s="45">
        <v>46374</v>
      </c>
      <c r="D5049" s="76">
        <v>1934.8297106321199</v>
      </c>
      <c r="E5049" s="77">
        <v>125</v>
      </c>
      <c r="F5049" s="78">
        <v>13.113551398639601</v>
      </c>
      <c r="G5049" s="78">
        <v>13.113551398639601</v>
      </c>
      <c r="H5049" s="81">
        <v>12.538339747167999</v>
      </c>
    </row>
    <row r="5050" spans="1:8" x14ac:dyDescent="0.3">
      <c r="A5050" s="74" t="str">
        <f t="shared" si="78"/>
        <v>广西46375</v>
      </c>
      <c r="B5050" s="75" t="s">
        <v>30</v>
      </c>
      <c r="C5050" s="45">
        <v>46375</v>
      </c>
      <c r="D5050" s="76">
        <v>1934.8297106321199</v>
      </c>
      <c r="E5050" s="77">
        <v>125</v>
      </c>
      <c r="F5050" s="78">
        <v>13.113551398639601</v>
      </c>
      <c r="G5050" s="78">
        <v>13.113551398639601</v>
      </c>
      <c r="H5050" s="81">
        <v>12.538339747167999</v>
      </c>
    </row>
    <row r="5051" spans="1:8" x14ac:dyDescent="0.3">
      <c r="A5051" s="74" t="str">
        <f t="shared" si="78"/>
        <v>广西46376</v>
      </c>
      <c r="B5051" s="75" t="s">
        <v>30</v>
      </c>
      <c r="C5051" s="45">
        <v>46376</v>
      </c>
      <c r="D5051" s="76">
        <v>1934.8297106321199</v>
      </c>
      <c r="E5051" s="77">
        <v>125</v>
      </c>
      <c r="F5051" s="78">
        <v>13.113551398639601</v>
      </c>
      <c r="G5051" s="78">
        <v>13.113551398639601</v>
      </c>
      <c r="H5051" s="81">
        <v>12.538339747167999</v>
      </c>
    </row>
    <row r="5052" spans="1:8" x14ac:dyDescent="0.3">
      <c r="A5052" s="74" t="str">
        <f t="shared" si="78"/>
        <v>广西46377</v>
      </c>
      <c r="B5052" s="75" t="s">
        <v>30</v>
      </c>
      <c r="C5052" s="45">
        <v>46377</v>
      </c>
      <c r="D5052" s="76">
        <v>1934.8297106321199</v>
      </c>
      <c r="E5052" s="77">
        <v>125</v>
      </c>
      <c r="F5052" s="78">
        <v>13.113551398639601</v>
      </c>
      <c r="G5052" s="78">
        <v>13.113551398639601</v>
      </c>
      <c r="H5052" s="81">
        <v>12.538339747167999</v>
      </c>
    </row>
    <row r="5053" spans="1:8" x14ac:dyDescent="0.3">
      <c r="A5053" s="74" t="str">
        <f t="shared" si="78"/>
        <v>广西46378</v>
      </c>
      <c r="B5053" s="75" t="s">
        <v>30</v>
      </c>
      <c r="C5053" s="45">
        <v>46378</v>
      </c>
      <c r="D5053" s="76">
        <v>1934.8297106321199</v>
      </c>
      <c r="E5053" s="77">
        <v>125</v>
      </c>
      <c r="F5053" s="78">
        <v>13.113551398639601</v>
      </c>
      <c r="G5053" s="78">
        <v>13.113551398639601</v>
      </c>
      <c r="H5053" s="81">
        <v>12.538339747167999</v>
      </c>
    </row>
    <row r="5054" spans="1:8" x14ac:dyDescent="0.3">
      <c r="A5054" s="74" t="str">
        <f t="shared" si="78"/>
        <v>广西46379</v>
      </c>
      <c r="B5054" s="75" t="s">
        <v>30</v>
      </c>
      <c r="C5054" s="45">
        <v>46379</v>
      </c>
      <c r="D5054" s="76">
        <v>1934.8297106321199</v>
      </c>
      <c r="E5054" s="77">
        <v>125</v>
      </c>
      <c r="F5054" s="78">
        <v>13.113551398639601</v>
      </c>
      <c r="G5054" s="78">
        <v>13.113551398639601</v>
      </c>
      <c r="H5054" s="81">
        <v>12.538339747167999</v>
      </c>
    </row>
    <row r="5055" spans="1:8" x14ac:dyDescent="0.3">
      <c r="A5055" s="74" t="str">
        <f t="shared" si="78"/>
        <v>广西46380</v>
      </c>
      <c r="B5055" s="75" t="s">
        <v>30</v>
      </c>
      <c r="C5055" s="45">
        <v>46380</v>
      </c>
      <c r="D5055" s="76">
        <v>1934.8297106321199</v>
      </c>
      <c r="E5055" s="77">
        <v>125</v>
      </c>
      <c r="F5055" s="78">
        <v>13.113551398639601</v>
      </c>
      <c r="G5055" s="78">
        <v>13.113551398639601</v>
      </c>
      <c r="H5055" s="81">
        <v>12.538339747167999</v>
      </c>
    </row>
    <row r="5056" spans="1:8" x14ac:dyDescent="0.3">
      <c r="A5056" s="74" t="str">
        <f t="shared" si="78"/>
        <v>广西46381</v>
      </c>
      <c r="B5056" s="75" t="s">
        <v>30</v>
      </c>
      <c r="C5056" s="45">
        <v>46381</v>
      </c>
      <c r="D5056" s="76">
        <v>1934.8297106321199</v>
      </c>
      <c r="E5056" s="77">
        <v>125</v>
      </c>
      <c r="F5056" s="78">
        <v>13.113551398639601</v>
      </c>
      <c r="G5056" s="78">
        <v>13.113551398639601</v>
      </c>
      <c r="H5056" s="81">
        <v>12.538339747167999</v>
      </c>
    </row>
    <row r="5057" spans="1:8" x14ac:dyDescent="0.3">
      <c r="A5057" s="74" t="str">
        <f t="shared" si="78"/>
        <v>广西46382</v>
      </c>
      <c r="B5057" s="75" t="s">
        <v>30</v>
      </c>
      <c r="C5057" s="45">
        <v>46382</v>
      </c>
      <c r="D5057" s="76">
        <v>1934.8297106321199</v>
      </c>
      <c r="E5057" s="77">
        <v>125</v>
      </c>
      <c r="F5057" s="78">
        <v>13.113551398639601</v>
      </c>
      <c r="G5057" s="78">
        <v>13.113551398639601</v>
      </c>
      <c r="H5057" s="81">
        <v>12.538339747167999</v>
      </c>
    </row>
    <row r="5058" spans="1:8" x14ac:dyDescent="0.3">
      <c r="A5058" s="74" t="str">
        <f t="shared" si="78"/>
        <v>广西46383</v>
      </c>
      <c r="B5058" s="75" t="s">
        <v>30</v>
      </c>
      <c r="C5058" s="45">
        <v>46383</v>
      </c>
      <c r="D5058" s="76">
        <v>1934.8297106321199</v>
      </c>
      <c r="E5058" s="77">
        <v>125</v>
      </c>
      <c r="F5058" s="78">
        <v>13.113551398639601</v>
      </c>
      <c r="G5058" s="78">
        <v>13.113551398639601</v>
      </c>
      <c r="H5058" s="81">
        <v>12.538339747167999</v>
      </c>
    </row>
    <row r="5059" spans="1:8" x14ac:dyDescent="0.3">
      <c r="A5059" s="74" t="str">
        <f t="shared" ref="A5059:A5122" si="79">B5059&amp;C5059</f>
        <v>广西46384</v>
      </c>
      <c r="B5059" s="75" t="s">
        <v>30</v>
      </c>
      <c r="C5059" s="45">
        <v>46384</v>
      </c>
      <c r="D5059" s="76">
        <v>1934.8297106321199</v>
      </c>
      <c r="E5059" s="77">
        <v>125</v>
      </c>
      <c r="F5059" s="78">
        <v>13.113551398639601</v>
      </c>
      <c r="G5059" s="78">
        <v>13.113551398639601</v>
      </c>
      <c r="H5059" s="81">
        <v>12.538339747167999</v>
      </c>
    </row>
    <row r="5060" spans="1:8" x14ac:dyDescent="0.3">
      <c r="A5060" s="74" t="str">
        <f t="shared" si="79"/>
        <v>广西46385</v>
      </c>
      <c r="B5060" s="75" t="s">
        <v>30</v>
      </c>
      <c r="C5060" s="45">
        <v>46385</v>
      </c>
      <c r="D5060" s="76">
        <v>1934.8297106321199</v>
      </c>
      <c r="E5060" s="77">
        <v>125</v>
      </c>
      <c r="F5060" s="78">
        <v>13.113551398639601</v>
      </c>
      <c r="G5060" s="78">
        <v>13.113551398639601</v>
      </c>
      <c r="H5060" s="81">
        <v>12.538339747167999</v>
      </c>
    </row>
    <row r="5061" spans="1:8" x14ac:dyDescent="0.3">
      <c r="A5061" s="74" t="str">
        <f t="shared" si="79"/>
        <v>广西46386</v>
      </c>
      <c r="B5061" s="75" t="s">
        <v>30</v>
      </c>
      <c r="C5061" s="45">
        <v>46386</v>
      </c>
      <c r="D5061" s="76">
        <v>1934.8297106321199</v>
      </c>
      <c r="E5061" s="77">
        <v>125</v>
      </c>
      <c r="F5061" s="78">
        <v>13.113551398639601</v>
      </c>
      <c r="G5061" s="78">
        <v>13.113551398639601</v>
      </c>
      <c r="H5061" s="81">
        <v>12.538339747167999</v>
      </c>
    </row>
    <row r="5062" spans="1:8" x14ac:dyDescent="0.3">
      <c r="A5062" s="74" t="str">
        <f t="shared" si="79"/>
        <v>广西46387</v>
      </c>
      <c r="B5062" s="82" t="s">
        <v>30</v>
      </c>
      <c r="C5062" s="83">
        <v>46387</v>
      </c>
      <c r="D5062" s="84">
        <v>1934.8297106321199</v>
      </c>
      <c r="E5062" s="85">
        <v>125</v>
      </c>
      <c r="F5062" s="86">
        <v>13.113551398639601</v>
      </c>
      <c r="G5062" s="86">
        <v>13.113551398639601</v>
      </c>
      <c r="H5062" s="87">
        <v>12.538339747167999</v>
      </c>
    </row>
    <row r="5063" spans="1:8" x14ac:dyDescent="0.3">
      <c r="A5063" s="74" t="str">
        <f t="shared" si="79"/>
        <v>海南46135</v>
      </c>
      <c r="B5063" s="75" t="s">
        <v>31</v>
      </c>
      <c r="C5063" s="45">
        <v>46135</v>
      </c>
      <c r="D5063" s="76">
        <v>59.600806451612897</v>
      </c>
      <c r="E5063" s="77">
        <v>125</v>
      </c>
      <c r="F5063" s="78">
        <v>10.162534008581799</v>
      </c>
      <c r="G5063" s="78">
        <v>10.162534008581799</v>
      </c>
      <c r="H5063" s="81">
        <v>10.8046872333087</v>
      </c>
    </row>
    <row r="5064" spans="1:8" x14ac:dyDescent="0.3">
      <c r="A5064" s="74" t="str">
        <f t="shared" si="79"/>
        <v>海南46136</v>
      </c>
      <c r="B5064" s="75" t="s">
        <v>31</v>
      </c>
      <c r="C5064" s="45">
        <v>46136</v>
      </c>
      <c r="D5064" s="76">
        <v>59.600806451612897</v>
      </c>
      <c r="E5064" s="77">
        <v>125</v>
      </c>
      <c r="F5064" s="78">
        <v>10.162534008581799</v>
      </c>
      <c r="G5064" s="78">
        <v>10.162534008581799</v>
      </c>
      <c r="H5064" s="81">
        <v>10.8046872333087</v>
      </c>
    </row>
    <row r="5065" spans="1:8" x14ac:dyDescent="0.3">
      <c r="A5065" s="74" t="str">
        <f t="shared" si="79"/>
        <v>海南46137</v>
      </c>
      <c r="B5065" s="75" t="s">
        <v>31</v>
      </c>
      <c r="C5065" s="45">
        <v>46137</v>
      </c>
      <c r="D5065" s="76">
        <v>59.600806451612897</v>
      </c>
      <c r="E5065" s="77">
        <v>125</v>
      </c>
      <c r="F5065" s="78">
        <v>10.162534008581799</v>
      </c>
      <c r="G5065" s="78">
        <v>10.162534008581799</v>
      </c>
      <c r="H5065" s="81">
        <v>10.8046872333087</v>
      </c>
    </row>
    <row r="5066" spans="1:8" x14ac:dyDescent="0.3">
      <c r="A5066" s="74" t="str">
        <f t="shared" si="79"/>
        <v>海南46138</v>
      </c>
      <c r="B5066" s="75" t="s">
        <v>31</v>
      </c>
      <c r="C5066" s="45">
        <v>46138</v>
      </c>
      <c r="D5066" s="76">
        <v>59.600806451612897</v>
      </c>
      <c r="E5066" s="77">
        <v>125</v>
      </c>
      <c r="F5066" s="78">
        <v>10.162534008581799</v>
      </c>
      <c r="G5066" s="78">
        <v>10.162534008581799</v>
      </c>
      <c r="H5066" s="81">
        <v>10.8046872333087</v>
      </c>
    </row>
    <row r="5067" spans="1:8" x14ac:dyDescent="0.3">
      <c r="A5067" s="74" t="str">
        <f t="shared" si="79"/>
        <v>海南46139</v>
      </c>
      <c r="B5067" s="75" t="s">
        <v>31</v>
      </c>
      <c r="C5067" s="45">
        <v>46139</v>
      </c>
      <c r="D5067" s="76">
        <v>59.600806451612897</v>
      </c>
      <c r="E5067" s="77">
        <v>125</v>
      </c>
      <c r="F5067" s="78">
        <v>10.162534008581799</v>
      </c>
      <c r="G5067" s="78">
        <v>10.162534008581799</v>
      </c>
      <c r="H5067" s="81">
        <v>10.8046872333087</v>
      </c>
    </row>
    <row r="5068" spans="1:8" x14ac:dyDescent="0.3">
      <c r="A5068" s="74" t="str">
        <f t="shared" si="79"/>
        <v>海南46140</v>
      </c>
      <c r="B5068" s="75" t="s">
        <v>31</v>
      </c>
      <c r="C5068" s="45">
        <v>46140</v>
      </c>
      <c r="D5068" s="76">
        <v>59.600806451612897</v>
      </c>
      <c r="E5068" s="77">
        <v>125</v>
      </c>
      <c r="F5068" s="78">
        <v>10.162534008581799</v>
      </c>
      <c r="G5068" s="78">
        <v>10.162534008581799</v>
      </c>
      <c r="H5068" s="81">
        <v>10.8046872333087</v>
      </c>
    </row>
    <row r="5069" spans="1:8" x14ac:dyDescent="0.3">
      <c r="A5069" s="74" t="str">
        <f t="shared" si="79"/>
        <v>海南46141</v>
      </c>
      <c r="B5069" s="75" t="s">
        <v>31</v>
      </c>
      <c r="C5069" s="45">
        <v>46141</v>
      </c>
      <c r="D5069" s="76">
        <v>59.600806451612897</v>
      </c>
      <c r="E5069" s="77">
        <v>125</v>
      </c>
      <c r="F5069" s="78">
        <v>10.162534008581799</v>
      </c>
      <c r="G5069" s="78">
        <v>10.162534008581799</v>
      </c>
      <c r="H5069" s="81">
        <v>10.8046872333087</v>
      </c>
    </row>
    <row r="5070" spans="1:8" x14ac:dyDescent="0.3">
      <c r="A5070" s="74" t="str">
        <f t="shared" si="79"/>
        <v>海南46142</v>
      </c>
      <c r="B5070" s="75" t="s">
        <v>31</v>
      </c>
      <c r="C5070" s="45">
        <v>46142</v>
      </c>
      <c r="D5070" s="76">
        <v>59.600806451612897</v>
      </c>
      <c r="E5070" s="77">
        <v>125</v>
      </c>
      <c r="F5070" s="78">
        <v>10.162534008581799</v>
      </c>
      <c r="G5070" s="78">
        <v>10.162534008581799</v>
      </c>
      <c r="H5070" s="81">
        <v>10.8046872333087</v>
      </c>
    </row>
    <row r="5071" spans="1:8" x14ac:dyDescent="0.3">
      <c r="A5071" s="74" t="str">
        <f t="shared" si="79"/>
        <v>海南46143</v>
      </c>
      <c r="B5071" s="75" t="s">
        <v>31</v>
      </c>
      <c r="C5071" s="45">
        <v>46143</v>
      </c>
      <c r="D5071" s="76">
        <v>63.541693548387101</v>
      </c>
      <c r="E5071" s="77">
        <v>125</v>
      </c>
      <c r="F5071" s="78">
        <v>11.8276436758656</v>
      </c>
      <c r="G5071" s="78">
        <v>11.8276436758656</v>
      </c>
      <c r="H5071" s="81">
        <v>11.050057639261601</v>
      </c>
    </row>
    <row r="5072" spans="1:8" x14ac:dyDescent="0.3">
      <c r="A5072" s="74" t="str">
        <f t="shared" si="79"/>
        <v>海南46144</v>
      </c>
      <c r="B5072" s="75" t="s">
        <v>31</v>
      </c>
      <c r="C5072" s="45">
        <v>46144</v>
      </c>
      <c r="D5072" s="76">
        <v>63.541693548387101</v>
      </c>
      <c r="E5072" s="77">
        <v>125</v>
      </c>
      <c r="F5072" s="78">
        <v>11.8276436758656</v>
      </c>
      <c r="G5072" s="78">
        <v>11.8276436758656</v>
      </c>
      <c r="H5072" s="81">
        <v>11.050057639261601</v>
      </c>
    </row>
    <row r="5073" spans="1:8" x14ac:dyDescent="0.3">
      <c r="A5073" s="74" t="str">
        <f t="shared" si="79"/>
        <v>海南46145</v>
      </c>
      <c r="B5073" s="75" t="s">
        <v>31</v>
      </c>
      <c r="C5073" s="45">
        <v>46145</v>
      </c>
      <c r="D5073" s="76">
        <v>63.541693548387101</v>
      </c>
      <c r="E5073" s="77">
        <v>125</v>
      </c>
      <c r="F5073" s="78">
        <v>11.8276436758656</v>
      </c>
      <c r="G5073" s="78">
        <v>11.8276436758656</v>
      </c>
      <c r="H5073" s="81">
        <v>11.050057639261601</v>
      </c>
    </row>
    <row r="5074" spans="1:8" x14ac:dyDescent="0.3">
      <c r="A5074" s="74" t="str">
        <f t="shared" si="79"/>
        <v>海南46146</v>
      </c>
      <c r="B5074" s="75" t="s">
        <v>31</v>
      </c>
      <c r="C5074" s="45">
        <v>46146</v>
      </c>
      <c r="D5074" s="76">
        <v>63.541693548387101</v>
      </c>
      <c r="E5074" s="77">
        <v>125</v>
      </c>
      <c r="F5074" s="78">
        <v>11.8276436758656</v>
      </c>
      <c r="G5074" s="78">
        <v>11.8276436758656</v>
      </c>
      <c r="H5074" s="81">
        <v>11.050057639261601</v>
      </c>
    </row>
    <row r="5075" spans="1:8" x14ac:dyDescent="0.3">
      <c r="A5075" s="74" t="str">
        <f t="shared" si="79"/>
        <v>海南46147</v>
      </c>
      <c r="B5075" s="75" t="s">
        <v>31</v>
      </c>
      <c r="C5075" s="45">
        <v>46147</v>
      </c>
      <c r="D5075" s="76">
        <v>63.541693548387101</v>
      </c>
      <c r="E5075" s="77">
        <v>125</v>
      </c>
      <c r="F5075" s="78">
        <v>11.8276436758656</v>
      </c>
      <c r="G5075" s="78">
        <v>11.8276436758656</v>
      </c>
      <c r="H5075" s="81">
        <v>11.050057639261601</v>
      </c>
    </row>
    <row r="5076" spans="1:8" x14ac:dyDescent="0.3">
      <c r="A5076" s="74" t="str">
        <f t="shared" si="79"/>
        <v>海南46148</v>
      </c>
      <c r="B5076" s="75" t="s">
        <v>31</v>
      </c>
      <c r="C5076" s="45">
        <v>46148</v>
      </c>
      <c r="D5076" s="76">
        <v>63.541693548387101</v>
      </c>
      <c r="E5076" s="77">
        <v>125</v>
      </c>
      <c r="F5076" s="78">
        <v>11.8276436758656</v>
      </c>
      <c r="G5076" s="78">
        <v>11.8276436758656</v>
      </c>
      <c r="H5076" s="81">
        <v>11.050057639261601</v>
      </c>
    </row>
    <row r="5077" spans="1:8" x14ac:dyDescent="0.3">
      <c r="A5077" s="74" t="str">
        <f t="shared" si="79"/>
        <v>海南46149</v>
      </c>
      <c r="B5077" s="75" t="s">
        <v>31</v>
      </c>
      <c r="C5077" s="45">
        <v>46149</v>
      </c>
      <c r="D5077" s="76">
        <v>63.541693548387101</v>
      </c>
      <c r="E5077" s="77">
        <v>125</v>
      </c>
      <c r="F5077" s="78">
        <v>11.8276436758656</v>
      </c>
      <c r="G5077" s="78">
        <v>11.8276436758656</v>
      </c>
      <c r="H5077" s="81">
        <v>11.050057639261601</v>
      </c>
    </row>
    <row r="5078" spans="1:8" x14ac:dyDescent="0.3">
      <c r="A5078" s="74" t="str">
        <f t="shared" si="79"/>
        <v>海南46150</v>
      </c>
      <c r="B5078" s="75" t="s">
        <v>31</v>
      </c>
      <c r="C5078" s="45">
        <v>46150</v>
      </c>
      <c r="D5078" s="76">
        <v>63.541693548387101</v>
      </c>
      <c r="E5078" s="77">
        <v>125</v>
      </c>
      <c r="F5078" s="78">
        <v>11.8276436758656</v>
      </c>
      <c r="G5078" s="78">
        <v>11.8276436758656</v>
      </c>
      <c r="H5078" s="81">
        <v>11.050057639261601</v>
      </c>
    </row>
    <row r="5079" spans="1:8" x14ac:dyDescent="0.3">
      <c r="A5079" s="74" t="str">
        <f t="shared" si="79"/>
        <v>海南46151</v>
      </c>
      <c r="B5079" s="75" t="s">
        <v>31</v>
      </c>
      <c r="C5079" s="45">
        <v>46151</v>
      </c>
      <c r="D5079" s="76">
        <v>63.541693548387101</v>
      </c>
      <c r="E5079" s="77">
        <v>125</v>
      </c>
      <c r="F5079" s="78">
        <v>11.8276436758656</v>
      </c>
      <c r="G5079" s="78">
        <v>11.8276436758656</v>
      </c>
      <c r="H5079" s="81">
        <v>11.050057639261601</v>
      </c>
    </row>
    <row r="5080" spans="1:8" x14ac:dyDescent="0.3">
      <c r="A5080" s="74" t="str">
        <f t="shared" si="79"/>
        <v>海南46152</v>
      </c>
      <c r="B5080" s="75" t="s">
        <v>31</v>
      </c>
      <c r="C5080" s="45">
        <v>46152</v>
      </c>
      <c r="D5080" s="76">
        <v>63.541693548387101</v>
      </c>
      <c r="E5080" s="77">
        <v>125</v>
      </c>
      <c r="F5080" s="78">
        <v>11.8276436758656</v>
      </c>
      <c r="G5080" s="78">
        <v>11.8276436758656</v>
      </c>
      <c r="H5080" s="81">
        <v>11.050057639261601</v>
      </c>
    </row>
    <row r="5081" spans="1:8" x14ac:dyDescent="0.3">
      <c r="A5081" s="74" t="str">
        <f t="shared" si="79"/>
        <v>海南46153</v>
      </c>
      <c r="B5081" s="75" t="s">
        <v>31</v>
      </c>
      <c r="C5081" s="45">
        <v>46153</v>
      </c>
      <c r="D5081" s="76">
        <v>63.541693548387101</v>
      </c>
      <c r="E5081" s="77">
        <v>125</v>
      </c>
      <c r="F5081" s="78">
        <v>11.8276436758656</v>
      </c>
      <c r="G5081" s="78">
        <v>11.8276436758656</v>
      </c>
      <c r="H5081" s="81">
        <v>11.050057639261601</v>
      </c>
    </row>
    <row r="5082" spans="1:8" x14ac:dyDescent="0.3">
      <c r="A5082" s="74" t="str">
        <f t="shared" si="79"/>
        <v>海南46154</v>
      </c>
      <c r="B5082" s="75" t="s">
        <v>31</v>
      </c>
      <c r="C5082" s="45">
        <v>46154</v>
      </c>
      <c r="D5082" s="76">
        <v>63.541693548387101</v>
      </c>
      <c r="E5082" s="77">
        <v>125</v>
      </c>
      <c r="F5082" s="78">
        <v>11.8276436758656</v>
      </c>
      <c r="G5082" s="78">
        <v>11.8276436758656</v>
      </c>
      <c r="H5082" s="81">
        <v>11.050057639261601</v>
      </c>
    </row>
    <row r="5083" spans="1:8" x14ac:dyDescent="0.3">
      <c r="A5083" s="74" t="str">
        <f t="shared" si="79"/>
        <v>海南46155</v>
      </c>
      <c r="B5083" s="75" t="s">
        <v>31</v>
      </c>
      <c r="C5083" s="45">
        <v>46155</v>
      </c>
      <c r="D5083" s="76">
        <v>63.541693548387101</v>
      </c>
      <c r="E5083" s="77">
        <v>125</v>
      </c>
      <c r="F5083" s="78">
        <v>11.8276436758656</v>
      </c>
      <c r="G5083" s="78">
        <v>11.8276436758656</v>
      </c>
      <c r="H5083" s="81">
        <v>11.050057639261601</v>
      </c>
    </row>
    <row r="5084" spans="1:8" x14ac:dyDescent="0.3">
      <c r="A5084" s="74" t="str">
        <f t="shared" si="79"/>
        <v>海南46156</v>
      </c>
      <c r="B5084" s="75" t="s">
        <v>31</v>
      </c>
      <c r="C5084" s="45">
        <v>46156</v>
      </c>
      <c r="D5084" s="76">
        <v>63.541693548387101</v>
      </c>
      <c r="E5084" s="77">
        <v>125</v>
      </c>
      <c r="F5084" s="78">
        <v>11.8276436758656</v>
      </c>
      <c r="G5084" s="78">
        <v>11.8276436758656</v>
      </c>
      <c r="H5084" s="81">
        <v>11.050057639261601</v>
      </c>
    </row>
    <row r="5085" spans="1:8" x14ac:dyDescent="0.3">
      <c r="A5085" s="74" t="str">
        <f t="shared" si="79"/>
        <v>海南46157</v>
      </c>
      <c r="B5085" s="75" t="s">
        <v>31</v>
      </c>
      <c r="C5085" s="45">
        <v>46157</v>
      </c>
      <c r="D5085" s="76">
        <v>63.541693548387101</v>
      </c>
      <c r="E5085" s="77">
        <v>125</v>
      </c>
      <c r="F5085" s="78">
        <v>11.8276436758656</v>
      </c>
      <c r="G5085" s="78">
        <v>11.8276436758656</v>
      </c>
      <c r="H5085" s="81">
        <v>11.050057639261601</v>
      </c>
    </row>
    <row r="5086" spans="1:8" x14ac:dyDescent="0.3">
      <c r="A5086" s="74" t="str">
        <f t="shared" si="79"/>
        <v>海南46158</v>
      </c>
      <c r="B5086" s="75" t="s">
        <v>31</v>
      </c>
      <c r="C5086" s="45">
        <v>46158</v>
      </c>
      <c r="D5086" s="76">
        <v>63.541693548387101</v>
      </c>
      <c r="E5086" s="77">
        <v>125</v>
      </c>
      <c r="F5086" s="78">
        <v>11.8276436758656</v>
      </c>
      <c r="G5086" s="78">
        <v>11.8276436758656</v>
      </c>
      <c r="H5086" s="81">
        <v>11.050057639261601</v>
      </c>
    </row>
    <row r="5087" spans="1:8" x14ac:dyDescent="0.3">
      <c r="A5087" s="74" t="str">
        <f t="shared" si="79"/>
        <v>海南46159</v>
      </c>
      <c r="B5087" s="75" t="s">
        <v>31</v>
      </c>
      <c r="C5087" s="45">
        <v>46159</v>
      </c>
      <c r="D5087" s="76">
        <v>63.541693548387101</v>
      </c>
      <c r="E5087" s="77">
        <v>125</v>
      </c>
      <c r="F5087" s="78">
        <v>11.8276436758656</v>
      </c>
      <c r="G5087" s="78">
        <v>11.8276436758656</v>
      </c>
      <c r="H5087" s="81">
        <v>11.050057639261601</v>
      </c>
    </row>
    <row r="5088" spans="1:8" x14ac:dyDescent="0.3">
      <c r="A5088" s="74" t="str">
        <f t="shared" si="79"/>
        <v>海南46160</v>
      </c>
      <c r="B5088" s="75" t="s">
        <v>31</v>
      </c>
      <c r="C5088" s="45">
        <v>46160</v>
      </c>
      <c r="D5088" s="76">
        <v>63.541693548387101</v>
      </c>
      <c r="E5088" s="77">
        <v>125</v>
      </c>
      <c r="F5088" s="78">
        <v>11.8276436758656</v>
      </c>
      <c r="G5088" s="78">
        <v>11.8276436758656</v>
      </c>
      <c r="H5088" s="81">
        <v>11.050057639261601</v>
      </c>
    </row>
    <row r="5089" spans="1:8" x14ac:dyDescent="0.3">
      <c r="A5089" s="74" t="str">
        <f t="shared" si="79"/>
        <v>海南46161</v>
      </c>
      <c r="B5089" s="75" t="s">
        <v>31</v>
      </c>
      <c r="C5089" s="45">
        <v>46161</v>
      </c>
      <c r="D5089" s="76">
        <v>63.541693548387101</v>
      </c>
      <c r="E5089" s="77">
        <v>125</v>
      </c>
      <c r="F5089" s="78">
        <v>11.8276436758656</v>
      </c>
      <c r="G5089" s="78">
        <v>11.8276436758656</v>
      </c>
      <c r="H5089" s="81">
        <v>11.050057639261601</v>
      </c>
    </row>
    <row r="5090" spans="1:8" x14ac:dyDescent="0.3">
      <c r="A5090" s="74" t="str">
        <f t="shared" si="79"/>
        <v>海南46162</v>
      </c>
      <c r="B5090" s="75" t="s">
        <v>31</v>
      </c>
      <c r="C5090" s="45">
        <v>46162</v>
      </c>
      <c r="D5090" s="76">
        <v>63.541693548387101</v>
      </c>
      <c r="E5090" s="77">
        <v>125</v>
      </c>
      <c r="F5090" s="78">
        <v>11.8276436758656</v>
      </c>
      <c r="G5090" s="78">
        <v>11.8276436758656</v>
      </c>
      <c r="H5090" s="81">
        <v>11.050057639261601</v>
      </c>
    </row>
    <row r="5091" spans="1:8" x14ac:dyDescent="0.3">
      <c r="A5091" s="74" t="str">
        <f t="shared" si="79"/>
        <v>海南46163</v>
      </c>
      <c r="B5091" s="75" t="s">
        <v>31</v>
      </c>
      <c r="C5091" s="45">
        <v>46163</v>
      </c>
      <c r="D5091" s="76">
        <v>63.541693548387101</v>
      </c>
      <c r="E5091" s="77">
        <v>125</v>
      </c>
      <c r="F5091" s="78">
        <v>11.8276436758656</v>
      </c>
      <c r="G5091" s="78">
        <v>11.8276436758656</v>
      </c>
      <c r="H5091" s="81">
        <v>11.050057639261601</v>
      </c>
    </row>
    <row r="5092" spans="1:8" x14ac:dyDescent="0.3">
      <c r="A5092" s="74" t="str">
        <f t="shared" si="79"/>
        <v>海南46164</v>
      </c>
      <c r="B5092" s="75" t="s">
        <v>31</v>
      </c>
      <c r="C5092" s="45">
        <v>46164</v>
      </c>
      <c r="D5092" s="76">
        <v>63.541693548387101</v>
      </c>
      <c r="E5092" s="77">
        <v>125</v>
      </c>
      <c r="F5092" s="78">
        <v>11.8276436758656</v>
      </c>
      <c r="G5092" s="78">
        <v>11.8276436758656</v>
      </c>
      <c r="H5092" s="81">
        <v>11.050057639261601</v>
      </c>
    </row>
    <row r="5093" spans="1:8" x14ac:dyDescent="0.3">
      <c r="A5093" s="74" t="str">
        <f t="shared" si="79"/>
        <v>海南46165</v>
      </c>
      <c r="B5093" s="75" t="s">
        <v>31</v>
      </c>
      <c r="C5093" s="45">
        <v>46165</v>
      </c>
      <c r="D5093" s="76">
        <v>63.541693548387101</v>
      </c>
      <c r="E5093" s="77">
        <v>125</v>
      </c>
      <c r="F5093" s="78">
        <v>11.8276436758656</v>
      </c>
      <c r="G5093" s="78">
        <v>11.8276436758656</v>
      </c>
      <c r="H5093" s="81">
        <v>11.050057639261601</v>
      </c>
    </row>
    <row r="5094" spans="1:8" x14ac:dyDescent="0.3">
      <c r="A5094" s="74" t="str">
        <f t="shared" si="79"/>
        <v>海南46166</v>
      </c>
      <c r="B5094" s="75" t="s">
        <v>31</v>
      </c>
      <c r="C5094" s="45">
        <v>46166</v>
      </c>
      <c r="D5094" s="76">
        <v>63.541693548387101</v>
      </c>
      <c r="E5094" s="77">
        <v>125</v>
      </c>
      <c r="F5094" s="78">
        <v>11.8276436758656</v>
      </c>
      <c r="G5094" s="78">
        <v>11.8276436758656</v>
      </c>
      <c r="H5094" s="81">
        <v>11.050057639261601</v>
      </c>
    </row>
    <row r="5095" spans="1:8" x14ac:dyDescent="0.3">
      <c r="A5095" s="74" t="str">
        <f t="shared" si="79"/>
        <v>海南46167</v>
      </c>
      <c r="B5095" s="75" t="s">
        <v>31</v>
      </c>
      <c r="C5095" s="45">
        <v>46167</v>
      </c>
      <c r="D5095" s="76">
        <v>63.541693548387101</v>
      </c>
      <c r="E5095" s="77">
        <v>125</v>
      </c>
      <c r="F5095" s="78">
        <v>11.8276436758656</v>
      </c>
      <c r="G5095" s="78">
        <v>11.8276436758656</v>
      </c>
      <c r="H5095" s="81">
        <v>11.050057639261601</v>
      </c>
    </row>
    <row r="5096" spans="1:8" x14ac:dyDescent="0.3">
      <c r="A5096" s="74" t="str">
        <f t="shared" si="79"/>
        <v>海南46168</v>
      </c>
      <c r="B5096" s="75" t="s">
        <v>31</v>
      </c>
      <c r="C5096" s="45">
        <v>46168</v>
      </c>
      <c r="D5096" s="76">
        <v>63.541693548387101</v>
      </c>
      <c r="E5096" s="77">
        <v>125</v>
      </c>
      <c r="F5096" s="78">
        <v>11.8276436758656</v>
      </c>
      <c r="G5096" s="78">
        <v>11.8276436758656</v>
      </c>
      <c r="H5096" s="81">
        <v>11.050057639261601</v>
      </c>
    </row>
    <row r="5097" spans="1:8" x14ac:dyDescent="0.3">
      <c r="A5097" s="74" t="str">
        <f t="shared" si="79"/>
        <v>海南46169</v>
      </c>
      <c r="B5097" s="75" t="s">
        <v>31</v>
      </c>
      <c r="C5097" s="45">
        <v>46169</v>
      </c>
      <c r="D5097" s="76">
        <v>63.541693548387101</v>
      </c>
      <c r="E5097" s="77">
        <v>125</v>
      </c>
      <c r="F5097" s="78">
        <v>11.8276436758656</v>
      </c>
      <c r="G5097" s="78">
        <v>11.8276436758656</v>
      </c>
      <c r="H5097" s="81">
        <v>11.050057639261601</v>
      </c>
    </row>
    <row r="5098" spans="1:8" x14ac:dyDescent="0.3">
      <c r="A5098" s="74" t="str">
        <f t="shared" si="79"/>
        <v>海南46170</v>
      </c>
      <c r="B5098" s="75" t="s">
        <v>31</v>
      </c>
      <c r="C5098" s="45">
        <v>46170</v>
      </c>
      <c r="D5098" s="76">
        <v>63.541693548387101</v>
      </c>
      <c r="E5098" s="77">
        <v>125</v>
      </c>
      <c r="F5098" s="78">
        <v>11.8276436758656</v>
      </c>
      <c r="G5098" s="78">
        <v>11.8276436758656</v>
      </c>
      <c r="H5098" s="81">
        <v>11.050057639261601</v>
      </c>
    </row>
    <row r="5099" spans="1:8" x14ac:dyDescent="0.3">
      <c r="A5099" s="74" t="str">
        <f t="shared" si="79"/>
        <v>海南46171</v>
      </c>
      <c r="B5099" s="75" t="s">
        <v>31</v>
      </c>
      <c r="C5099" s="45">
        <v>46171</v>
      </c>
      <c r="D5099" s="76">
        <v>63.541693548387101</v>
      </c>
      <c r="E5099" s="77">
        <v>125</v>
      </c>
      <c r="F5099" s="78">
        <v>11.8276436758656</v>
      </c>
      <c r="G5099" s="78">
        <v>11.8276436758656</v>
      </c>
      <c r="H5099" s="81">
        <v>11.050057639261601</v>
      </c>
    </row>
    <row r="5100" spans="1:8" x14ac:dyDescent="0.3">
      <c r="A5100" s="74" t="str">
        <f t="shared" si="79"/>
        <v>海南46172</v>
      </c>
      <c r="B5100" s="75" t="s">
        <v>31</v>
      </c>
      <c r="C5100" s="45">
        <v>46172</v>
      </c>
      <c r="D5100" s="76">
        <v>63.541693548387101</v>
      </c>
      <c r="E5100" s="77">
        <v>125</v>
      </c>
      <c r="F5100" s="78">
        <v>11.8276436758656</v>
      </c>
      <c r="G5100" s="78">
        <v>11.8276436758656</v>
      </c>
      <c r="H5100" s="81">
        <v>11.050057639261601</v>
      </c>
    </row>
    <row r="5101" spans="1:8" x14ac:dyDescent="0.3">
      <c r="A5101" s="74" t="str">
        <f t="shared" si="79"/>
        <v>海南46173</v>
      </c>
      <c r="B5101" s="75" t="s">
        <v>31</v>
      </c>
      <c r="C5101" s="45">
        <v>46173</v>
      </c>
      <c r="D5101" s="76">
        <v>63.541693548387101</v>
      </c>
      <c r="E5101" s="77">
        <v>125</v>
      </c>
      <c r="F5101" s="78">
        <v>11.8276436758656</v>
      </c>
      <c r="G5101" s="78">
        <v>11.8276436758656</v>
      </c>
      <c r="H5101" s="81">
        <v>11.050057639261601</v>
      </c>
    </row>
    <row r="5102" spans="1:8" x14ac:dyDescent="0.3">
      <c r="A5102" s="74" t="str">
        <f t="shared" si="79"/>
        <v>海南46174</v>
      </c>
      <c r="B5102" s="75" t="s">
        <v>31</v>
      </c>
      <c r="C5102" s="45">
        <v>46174</v>
      </c>
      <c r="D5102" s="76">
        <v>0</v>
      </c>
      <c r="E5102" s="77">
        <v>0</v>
      </c>
      <c r="F5102" s="78">
        <v>12.979501154147</v>
      </c>
      <c r="G5102" s="78">
        <v>12.979501154147</v>
      </c>
      <c r="H5102" s="81">
        <v>12.027888826776801</v>
      </c>
    </row>
    <row r="5103" spans="1:8" x14ac:dyDescent="0.3">
      <c r="A5103" s="74" t="str">
        <f t="shared" si="79"/>
        <v>海南46175</v>
      </c>
      <c r="B5103" s="75" t="s">
        <v>31</v>
      </c>
      <c r="C5103" s="45">
        <v>46175</v>
      </c>
      <c r="D5103" s="76">
        <v>0</v>
      </c>
      <c r="E5103" s="77">
        <v>0</v>
      </c>
      <c r="F5103" s="78">
        <v>12.979501154147</v>
      </c>
      <c r="G5103" s="78">
        <v>12.979501154147</v>
      </c>
      <c r="H5103" s="81">
        <v>12.027888826776801</v>
      </c>
    </row>
    <row r="5104" spans="1:8" x14ac:dyDescent="0.3">
      <c r="A5104" s="74" t="str">
        <f t="shared" si="79"/>
        <v>海南46176</v>
      </c>
      <c r="B5104" s="75" t="s">
        <v>31</v>
      </c>
      <c r="C5104" s="45">
        <v>46176</v>
      </c>
      <c r="D5104" s="76">
        <v>0</v>
      </c>
      <c r="E5104" s="77">
        <v>0</v>
      </c>
      <c r="F5104" s="78">
        <v>12.979501154147</v>
      </c>
      <c r="G5104" s="78">
        <v>12.979501154147</v>
      </c>
      <c r="H5104" s="81">
        <v>12.027888826776801</v>
      </c>
    </row>
    <row r="5105" spans="1:8" x14ac:dyDescent="0.3">
      <c r="A5105" s="74" t="str">
        <f t="shared" si="79"/>
        <v>海南46177</v>
      </c>
      <c r="B5105" s="75" t="s">
        <v>31</v>
      </c>
      <c r="C5105" s="45">
        <v>46177</v>
      </c>
      <c r="D5105" s="76">
        <v>0</v>
      </c>
      <c r="E5105" s="77">
        <v>0</v>
      </c>
      <c r="F5105" s="78">
        <v>12.979501154147</v>
      </c>
      <c r="G5105" s="78">
        <v>12.979501154147</v>
      </c>
      <c r="H5105" s="81">
        <v>12.027888826776801</v>
      </c>
    </row>
    <row r="5106" spans="1:8" x14ac:dyDescent="0.3">
      <c r="A5106" s="74" t="str">
        <f t="shared" si="79"/>
        <v>海南46178</v>
      </c>
      <c r="B5106" s="75" t="s">
        <v>31</v>
      </c>
      <c r="C5106" s="45">
        <v>46178</v>
      </c>
      <c r="D5106" s="76">
        <v>0</v>
      </c>
      <c r="E5106" s="77">
        <v>0</v>
      </c>
      <c r="F5106" s="78">
        <v>12.979501154147</v>
      </c>
      <c r="G5106" s="78">
        <v>12.979501154147</v>
      </c>
      <c r="H5106" s="81">
        <v>12.027888826776801</v>
      </c>
    </row>
    <row r="5107" spans="1:8" x14ac:dyDescent="0.3">
      <c r="A5107" s="74" t="str">
        <f t="shared" si="79"/>
        <v>海南46179</v>
      </c>
      <c r="B5107" s="75" t="s">
        <v>31</v>
      </c>
      <c r="C5107" s="45">
        <v>46179</v>
      </c>
      <c r="D5107" s="76">
        <v>0</v>
      </c>
      <c r="E5107" s="77">
        <v>0</v>
      </c>
      <c r="F5107" s="78">
        <v>12.979501154147</v>
      </c>
      <c r="G5107" s="78">
        <v>12.979501154147</v>
      </c>
      <c r="H5107" s="81">
        <v>12.027888826776801</v>
      </c>
    </row>
    <row r="5108" spans="1:8" x14ac:dyDescent="0.3">
      <c r="A5108" s="74" t="str">
        <f t="shared" si="79"/>
        <v>海南46180</v>
      </c>
      <c r="B5108" s="75" t="s">
        <v>31</v>
      </c>
      <c r="C5108" s="45">
        <v>46180</v>
      </c>
      <c r="D5108" s="76">
        <v>0</v>
      </c>
      <c r="E5108" s="77">
        <v>0</v>
      </c>
      <c r="F5108" s="78">
        <v>12.979501154147</v>
      </c>
      <c r="G5108" s="78">
        <v>12.979501154147</v>
      </c>
      <c r="H5108" s="81">
        <v>12.027888826776801</v>
      </c>
    </row>
    <row r="5109" spans="1:8" x14ac:dyDescent="0.3">
      <c r="A5109" s="74" t="str">
        <f t="shared" si="79"/>
        <v>海南46181</v>
      </c>
      <c r="B5109" s="75" t="s">
        <v>31</v>
      </c>
      <c r="C5109" s="45">
        <v>46181</v>
      </c>
      <c r="D5109" s="76">
        <v>0</v>
      </c>
      <c r="E5109" s="77">
        <v>0</v>
      </c>
      <c r="F5109" s="78">
        <v>12.979501154147</v>
      </c>
      <c r="G5109" s="78">
        <v>12.979501154147</v>
      </c>
      <c r="H5109" s="81">
        <v>12.027888826776801</v>
      </c>
    </row>
    <row r="5110" spans="1:8" x14ac:dyDescent="0.3">
      <c r="A5110" s="74" t="str">
        <f t="shared" si="79"/>
        <v>海南46182</v>
      </c>
      <c r="B5110" s="75" t="s">
        <v>31</v>
      </c>
      <c r="C5110" s="45">
        <v>46182</v>
      </c>
      <c r="D5110" s="76">
        <v>0</v>
      </c>
      <c r="E5110" s="77">
        <v>0</v>
      </c>
      <c r="F5110" s="78">
        <v>12.979501154147</v>
      </c>
      <c r="G5110" s="78">
        <v>12.979501154147</v>
      </c>
      <c r="H5110" s="81">
        <v>12.027888826776801</v>
      </c>
    </row>
    <row r="5111" spans="1:8" x14ac:dyDescent="0.3">
      <c r="A5111" s="74" t="str">
        <f t="shared" si="79"/>
        <v>海南46183</v>
      </c>
      <c r="B5111" s="75" t="s">
        <v>31</v>
      </c>
      <c r="C5111" s="45">
        <v>46183</v>
      </c>
      <c r="D5111" s="76">
        <v>0</v>
      </c>
      <c r="E5111" s="77">
        <v>0</v>
      </c>
      <c r="F5111" s="78">
        <v>12.979501154147</v>
      </c>
      <c r="G5111" s="78">
        <v>12.979501154147</v>
      </c>
      <c r="H5111" s="81">
        <v>12.027888826776801</v>
      </c>
    </row>
    <row r="5112" spans="1:8" x14ac:dyDescent="0.3">
      <c r="A5112" s="74" t="str">
        <f t="shared" si="79"/>
        <v>海南46184</v>
      </c>
      <c r="B5112" s="75" t="s">
        <v>31</v>
      </c>
      <c r="C5112" s="45">
        <v>46184</v>
      </c>
      <c r="D5112" s="76">
        <v>0</v>
      </c>
      <c r="E5112" s="77">
        <v>0</v>
      </c>
      <c r="F5112" s="78">
        <v>12.979501154147</v>
      </c>
      <c r="G5112" s="78">
        <v>12.979501154147</v>
      </c>
      <c r="H5112" s="81">
        <v>12.027888826776801</v>
      </c>
    </row>
    <row r="5113" spans="1:8" x14ac:dyDescent="0.3">
      <c r="A5113" s="74" t="str">
        <f t="shared" si="79"/>
        <v>海南46185</v>
      </c>
      <c r="B5113" s="75" t="s">
        <v>31</v>
      </c>
      <c r="C5113" s="45">
        <v>46185</v>
      </c>
      <c r="D5113" s="76">
        <v>0</v>
      </c>
      <c r="E5113" s="77">
        <v>0</v>
      </c>
      <c r="F5113" s="78">
        <v>12.979501154147</v>
      </c>
      <c r="G5113" s="78">
        <v>12.979501154147</v>
      </c>
      <c r="H5113" s="81">
        <v>12.027888826776801</v>
      </c>
    </row>
    <row r="5114" spans="1:8" x14ac:dyDescent="0.3">
      <c r="A5114" s="74" t="str">
        <f t="shared" si="79"/>
        <v>海南46186</v>
      </c>
      <c r="B5114" s="75" t="s">
        <v>31</v>
      </c>
      <c r="C5114" s="45">
        <v>46186</v>
      </c>
      <c r="D5114" s="76">
        <v>0</v>
      </c>
      <c r="E5114" s="77">
        <v>0</v>
      </c>
      <c r="F5114" s="78">
        <v>12.979501154147</v>
      </c>
      <c r="G5114" s="78">
        <v>12.979501154147</v>
      </c>
      <c r="H5114" s="81">
        <v>12.027888826776801</v>
      </c>
    </row>
    <row r="5115" spans="1:8" x14ac:dyDescent="0.3">
      <c r="A5115" s="74" t="str">
        <f t="shared" si="79"/>
        <v>海南46187</v>
      </c>
      <c r="B5115" s="75" t="s">
        <v>31</v>
      </c>
      <c r="C5115" s="45">
        <v>46187</v>
      </c>
      <c r="D5115" s="76">
        <v>0</v>
      </c>
      <c r="E5115" s="77">
        <v>0</v>
      </c>
      <c r="F5115" s="78">
        <v>12.979501154147</v>
      </c>
      <c r="G5115" s="78">
        <v>12.979501154147</v>
      </c>
      <c r="H5115" s="81">
        <v>12.027888826776801</v>
      </c>
    </row>
    <row r="5116" spans="1:8" x14ac:dyDescent="0.3">
      <c r="A5116" s="74" t="str">
        <f t="shared" si="79"/>
        <v>海南46188</v>
      </c>
      <c r="B5116" s="75" t="s">
        <v>31</v>
      </c>
      <c r="C5116" s="45">
        <v>46188</v>
      </c>
      <c r="D5116" s="76">
        <v>0</v>
      </c>
      <c r="E5116" s="77">
        <v>0</v>
      </c>
      <c r="F5116" s="78">
        <v>12.979501154147</v>
      </c>
      <c r="G5116" s="78">
        <v>12.979501154147</v>
      </c>
      <c r="H5116" s="81">
        <v>12.027888826776801</v>
      </c>
    </row>
    <row r="5117" spans="1:8" x14ac:dyDescent="0.3">
      <c r="A5117" s="74" t="str">
        <f t="shared" si="79"/>
        <v>海南46189</v>
      </c>
      <c r="B5117" s="75" t="s">
        <v>31</v>
      </c>
      <c r="C5117" s="45">
        <v>46189</v>
      </c>
      <c r="D5117" s="76">
        <v>0</v>
      </c>
      <c r="E5117" s="77">
        <v>0</v>
      </c>
      <c r="F5117" s="78">
        <v>12.979501154147</v>
      </c>
      <c r="G5117" s="78">
        <v>12.979501154147</v>
      </c>
      <c r="H5117" s="81">
        <v>12.027888826776801</v>
      </c>
    </row>
    <row r="5118" spans="1:8" x14ac:dyDescent="0.3">
      <c r="A5118" s="74" t="str">
        <f t="shared" si="79"/>
        <v>海南46190</v>
      </c>
      <c r="B5118" s="75" t="s">
        <v>31</v>
      </c>
      <c r="C5118" s="45">
        <v>46190</v>
      </c>
      <c r="D5118" s="76">
        <v>0</v>
      </c>
      <c r="E5118" s="77">
        <v>0</v>
      </c>
      <c r="F5118" s="78">
        <v>12.979501154147</v>
      </c>
      <c r="G5118" s="78">
        <v>12.979501154147</v>
      </c>
      <c r="H5118" s="81">
        <v>12.027888826776801</v>
      </c>
    </row>
    <row r="5119" spans="1:8" x14ac:dyDescent="0.3">
      <c r="A5119" s="74" t="str">
        <f t="shared" si="79"/>
        <v>海南46191</v>
      </c>
      <c r="B5119" s="75" t="s">
        <v>31</v>
      </c>
      <c r="C5119" s="45">
        <v>46191</v>
      </c>
      <c r="D5119" s="76">
        <v>0</v>
      </c>
      <c r="E5119" s="77">
        <v>0</v>
      </c>
      <c r="F5119" s="78">
        <v>12.979501154147</v>
      </c>
      <c r="G5119" s="78">
        <v>12.979501154147</v>
      </c>
      <c r="H5119" s="81">
        <v>12.027888826776801</v>
      </c>
    </row>
    <row r="5120" spans="1:8" x14ac:dyDescent="0.3">
      <c r="A5120" s="74" t="str">
        <f t="shared" si="79"/>
        <v>海南46192</v>
      </c>
      <c r="B5120" s="75" t="s">
        <v>31</v>
      </c>
      <c r="C5120" s="45">
        <v>46192</v>
      </c>
      <c r="D5120" s="76">
        <v>0</v>
      </c>
      <c r="E5120" s="77">
        <v>0</v>
      </c>
      <c r="F5120" s="78">
        <v>12.979501154147</v>
      </c>
      <c r="G5120" s="78">
        <v>12.979501154147</v>
      </c>
      <c r="H5120" s="81">
        <v>12.027888826776801</v>
      </c>
    </row>
    <row r="5121" spans="1:8" x14ac:dyDescent="0.3">
      <c r="A5121" s="74" t="str">
        <f t="shared" si="79"/>
        <v>海南46193</v>
      </c>
      <c r="B5121" s="75" t="s">
        <v>31</v>
      </c>
      <c r="C5121" s="45">
        <v>46193</v>
      </c>
      <c r="D5121" s="76">
        <v>0</v>
      </c>
      <c r="E5121" s="77">
        <v>0</v>
      </c>
      <c r="F5121" s="78">
        <v>12.979501154147</v>
      </c>
      <c r="G5121" s="78">
        <v>12.979501154147</v>
      </c>
      <c r="H5121" s="81">
        <v>12.027888826776801</v>
      </c>
    </row>
    <row r="5122" spans="1:8" x14ac:dyDescent="0.3">
      <c r="A5122" s="74" t="str">
        <f t="shared" si="79"/>
        <v>海南46194</v>
      </c>
      <c r="B5122" s="75" t="s">
        <v>31</v>
      </c>
      <c r="C5122" s="45">
        <v>46194</v>
      </c>
      <c r="D5122" s="76">
        <v>0</v>
      </c>
      <c r="E5122" s="77">
        <v>0</v>
      </c>
      <c r="F5122" s="78">
        <v>12.979501154147</v>
      </c>
      <c r="G5122" s="78">
        <v>12.979501154147</v>
      </c>
      <c r="H5122" s="81">
        <v>12.027888826776801</v>
      </c>
    </row>
    <row r="5123" spans="1:8" x14ac:dyDescent="0.3">
      <c r="A5123" s="74" t="str">
        <f t="shared" ref="A5123:A5186" si="80">B5123&amp;C5123</f>
        <v>海南46195</v>
      </c>
      <c r="B5123" s="75" t="s">
        <v>31</v>
      </c>
      <c r="C5123" s="45">
        <v>46195</v>
      </c>
      <c r="D5123" s="76">
        <v>0</v>
      </c>
      <c r="E5123" s="77">
        <v>0</v>
      </c>
      <c r="F5123" s="78">
        <v>12.979501154147</v>
      </c>
      <c r="G5123" s="78">
        <v>12.979501154147</v>
      </c>
      <c r="H5123" s="81">
        <v>12.027888826776801</v>
      </c>
    </row>
    <row r="5124" spans="1:8" x14ac:dyDescent="0.3">
      <c r="A5124" s="74" t="str">
        <f t="shared" si="80"/>
        <v>海南46196</v>
      </c>
      <c r="B5124" s="75" t="s">
        <v>31</v>
      </c>
      <c r="C5124" s="45">
        <v>46196</v>
      </c>
      <c r="D5124" s="76">
        <v>0</v>
      </c>
      <c r="E5124" s="77">
        <v>0</v>
      </c>
      <c r="F5124" s="78">
        <v>12.979501154147</v>
      </c>
      <c r="G5124" s="78">
        <v>12.979501154147</v>
      </c>
      <c r="H5124" s="81">
        <v>12.027888826776801</v>
      </c>
    </row>
    <row r="5125" spans="1:8" x14ac:dyDescent="0.3">
      <c r="A5125" s="74" t="str">
        <f t="shared" si="80"/>
        <v>海南46197</v>
      </c>
      <c r="B5125" s="75" t="s">
        <v>31</v>
      </c>
      <c r="C5125" s="45">
        <v>46197</v>
      </c>
      <c r="D5125" s="76">
        <v>0</v>
      </c>
      <c r="E5125" s="77">
        <v>0</v>
      </c>
      <c r="F5125" s="78">
        <v>12.979501154147</v>
      </c>
      <c r="G5125" s="78">
        <v>12.979501154147</v>
      </c>
      <c r="H5125" s="81">
        <v>12.027888826776801</v>
      </c>
    </row>
    <row r="5126" spans="1:8" x14ac:dyDescent="0.3">
      <c r="A5126" s="74" t="str">
        <f t="shared" si="80"/>
        <v>海南46198</v>
      </c>
      <c r="B5126" s="75" t="s">
        <v>31</v>
      </c>
      <c r="C5126" s="45">
        <v>46198</v>
      </c>
      <c r="D5126" s="76">
        <v>0</v>
      </c>
      <c r="E5126" s="77">
        <v>0</v>
      </c>
      <c r="F5126" s="78">
        <v>12.979501154147</v>
      </c>
      <c r="G5126" s="78">
        <v>12.979501154147</v>
      </c>
      <c r="H5126" s="81">
        <v>12.027888826776801</v>
      </c>
    </row>
    <row r="5127" spans="1:8" x14ac:dyDescent="0.3">
      <c r="A5127" s="74" t="str">
        <f t="shared" si="80"/>
        <v>海南46199</v>
      </c>
      <c r="B5127" s="75" t="s">
        <v>31</v>
      </c>
      <c r="C5127" s="45">
        <v>46199</v>
      </c>
      <c r="D5127" s="76">
        <v>0</v>
      </c>
      <c r="E5127" s="77">
        <v>0</v>
      </c>
      <c r="F5127" s="78">
        <v>12.979501154147</v>
      </c>
      <c r="G5127" s="78">
        <v>12.979501154147</v>
      </c>
      <c r="H5127" s="81">
        <v>12.027888826776801</v>
      </c>
    </row>
    <row r="5128" spans="1:8" x14ac:dyDescent="0.3">
      <c r="A5128" s="74" t="str">
        <f t="shared" si="80"/>
        <v>海南46200</v>
      </c>
      <c r="B5128" s="75" t="s">
        <v>31</v>
      </c>
      <c r="C5128" s="45">
        <v>46200</v>
      </c>
      <c r="D5128" s="76">
        <v>0</v>
      </c>
      <c r="E5128" s="77">
        <v>0</v>
      </c>
      <c r="F5128" s="78">
        <v>12.979501154147</v>
      </c>
      <c r="G5128" s="78">
        <v>12.979501154147</v>
      </c>
      <c r="H5128" s="81">
        <v>12.027888826776801</v>
      </c>
    </row>
    <row r="5129" spans="1:8" x14ac:dyDescent="0.3">
      <c r="A5129" s="74" t="str">
        <f t="shared" si="80"/>
        <v>海南46201</v>
      </c>
      <c r="B5129" s="75" t="s">
        <v>31</v>
      </c>
      <c r="C5129" s="45">
        <v>46201</v>
      </c>
      <c r="D5129" s="76">
        <v>0</v>
      </c>
      <c r="E5129" s="77">
        <v>0</v>
      </c>
      <c r="F5129" s="78">
        <v>12.979501154147</v>
      </c>
      <c r="G5129" s="78">
        <v>12.979501154147</v>
      </c>
      <c r="H5129" s="81">
        <v>12.027888826776801</v>
      </c>
    </row>
    <row r="5130" spans="1:8" x14ac:dyDescent="0.3">
      <c r="A5130" s="74" t="str">
        <f t="shared" si="80"/>
        <v>海南46202</v>
      </c>
      <c r="B5130" s="75" t="s">
        <v>31</v>
      </c>
      <c r="C5130" s="45">
        <v>46202</v>
      </c>
      <c r="D5130" s="76">
        <v>0</v>
      </c>
      <c r="E5130" s="77">
        <v>0</v>
      </c>
      <c r="F5130" s="78">
        <v>12.979501154147</v>
      </c>
      <c r="G5130" s="78">
        <v>12.979501154147</v>
      </c>
      <c r="H5130" s="81">
        <v>12.027888826776801</v>
      </c>
    </row>
    <row r="5131" spans="1:8" x14ac:dyDescent="0.3">
      <c r="A5131" s="74" t="str">
        <f t="shared" si="80"/>
        <v>海南46203</v>
      </c>
      <c r="B5131" s="75" t="s">
        <v>31</v>
      </c>
      <c r="C5131" s="45">
        <v>46203</v>
      </c>
      <c r="D5131" s="76">
        <v>0</v>
      </c>
      <c r="E5131" s="77">
        <v>0</v>
      </c>
      <c r="F5131" s="78">
        <v>12.979501154147</v>
      </c>
      <c r="G5131" s="78">
        <v>12.979501154147</v>
      </c>
      <c r="H5131" s="81">
        <v>12.027888826776801</v>
      </c>
    </row>
    <row r="5132" spans="1:8" x14ac:dyDescent="0.3">
      <c r="A5132" s="74" t="str">
        <f t="shared" si="80"/>
        <v>海南46204</v>
      </c>
      <c r="B5132" s="75" t="s">
        <v>31</v>
      </c>
      <c r="C5132" s="45">
        <v>46204</v>
      </c>
      <c r="D5132" s="76">
        <v>172.98387096774201</v>
      </c>
      <c r="E5132" s="77">
        <v>125</v>
      </c>
      <c r="F5132" s="78">
        <v>13.523384896414701</v>
      </c>
      <c r="G5132" s="78">
        <v>13.523384896414701</v>
      </c>
      <c r="H5132" s="81">
        <v>13.0057200142921</v>
      </c>
    </row>
    <row r="5133" spans="1:8" x14ac:dyDescent="0.3">
      <c r="A5133" s="74" t="str">
        <f t="shared" si="80"/>
        <v>海南46205</v>
      </c>
      <c r="B5133" s="75" t="s">
        <v>31</v>
      </c>
      <c r="C5133" s="45">
        <v>46205</v>
      </c>
      <c r="D5133" s="76">
        <v>172.98387096774201</v>
      </c>
      <c r="E5133" s="77">
        <v>125</v>
      </c>
      <c r="F5133" s="78">
        <v>13.523384896414701</v>
      </c>
      <c r="G5133" s="78">
        <v>13.523384896414701</v>
      </c>
      <c r="H5133" s="81">
        <v>13.0057200142921</v>
      </c>
    </row>
    <row r="5134" spans="1:8" x14ac:dyDescent="0.3">
      <c r="A5134" s="74" t="str">
        <f t="shared" si="80"/>
        <v>海南46206</v>
      </c>
      <c r="B5134" s="75" t="s">
        <v>31</v>
      </c>
      <c r="C5134" s="45">
        <v>46206</v>
      </c>
      <c r="D5134" s="76">
        <v>172.98387096774201</v>
      </c>
      <c r="E5134" s="77">
        <v>125</v>
      </c>
      <c r="F5134" s="78">
        <v>13.523384896414701</v>
      </c>
      <c r="G5134" s="78">
        <v>13.523384896414701</v>
      </c>
      <c r="H5134" s="81">
        <v>13.0057200142921</v>
      </c>
    </row>
    <row r="5135" spans="1:8" x14ac:dyDescent="0.3">
      <c r="A5135" s="74" t="str">
        <f t="shared" si="80"/>
        <v>海南46207</v>
      </c>
      <c r="B5135" s="75" t="s">
        <v>31</v>
      </c>
      <c r="C5135" s="45">
        <v>46207</v>
      </c>
      <c r="D5135" s="76">
        <v>172.98387096774201</v>
      </c>
      <c r="E5135" s="77">
        <v>125</v>
      </c>
      <c r="F5135" s="78">
        <v>13.523384896414701</v>
      </c>
      <c r="G5135" s="78">
        <v>13.523384896414701</v>
      </c>
      <c r="H5135" s="81">
        <v>13.0057200142921</v>
      </c>
    </row>
    <row r="5136" spans="1:8" x14ac:dyDescent="0.3">
      <c r="A5136" s="74" t="str">
        <f t="shared" si="80"/>
        <v>海南46208</v>
      </c>
      <c r="B5136" s="75" t="s">
        <v>31</v>
      </c>
      <c r="C5136" s="45">
        <v>46208</v>
      </c>
      <c r="D5136" s="76">
        <v>172.98387096774201</v>
      </c>
      <c r="E5136" s="77">
        <v>125</v>
      </c>
      <c r="F5136" s="78">
        <v>13.523384896414701</v>
      </c>
      <c r="G5136" s="78">
        <v>13.523384896414701</v>
      </c>
      <c r="H5136" s="81">
        <v>13.0057200142921</v>
      </c>
    </row>
    <row r="5137" spans="1:8" x14ac:dyDescent="0.3">
      <c r="A5137" s="74" t="str">
        <f t="shared" si="80"/>
        <v>海南46209</v>
      </c>
      <c r="B5137" s="75" t="s">
        <v>31</v>
      </c>
      <c r="C5137" s="45">
        <v>46209</v>
      </c>
      <c r="D5137" s="76">
        <v>172.98387096774201</v>
      </c>
      <c r="E5137" s="77">
        <v>125</v>
      </c>
      <c r="F5137" s="78">
        <v>13.523384896414701</v>
      </c>
      <c r="G5137" s="78">
        <v>13.523384896414701</v>
      </c>
      <c r="H5137" s="81">
        <v>13.0057200142921</v>
      </c>
    </row>
    <row r="5138" spans="1:8" x14ac:dyDescent="0.3">
      <c r="A5138" s="74" t="str">
        <f t="shared" si="80"/>
        <v>海南46210</v>
      </c>
      <c r="B5138" s="75" t="s">
        <v>31</v>
      </c>
      <c r="C5138" s="45">
        <v>46210</v>
      </c>
      <c r="D5138" s="76">
        <v>172.98387096774201</v>
      </c>
      <c r="E5138" s="77">
        <v>125</v>
      </c>
      <c r="F5138" s="78">
        <v>13.523384896414701</v>
      </c>
      <c r="G5138" s="78">
        <v>13.523384896414701</v>
      </c>
      <c r="H5138" s="81">
        <v>13.0057200142921</v>
      </c>
    </row>
    <row r="5139" spans="1:8" x14ac:dyDescent="0.3">
      <c r="A5139" s="74" t="str">
        <f t="shared" si="80"/>
        <v>海南46211</v>
      </c>
      <c r="B5139" s="75" t="s">
        <v>31</v>
      </c>
      <c r="C5139" s="45">
        <v>46211</v>
      </c>
      <c r="D5139" s="76">
        <v>172.98387096774201</v>
      </c>
      <c r="E5139" s="77">
        <v>125</v>
      </c>
      <c r="F5139" s="78">
        <v>13.523384896414701</v>
      </c>
      <c r="G5139" s="78">
        <v>13.523384896414701</v>
      </c>
      <c r="H5139" s="81">
        <v>13.0057200142921</v>
      </c>
    </row>
    <row r="5140" spans="1:8" x14ac:dyDescent="0.3">
      <c r="A5140" s="74" t="str">
        <f t="shared" si="80"/>
        <v>海南46212</v>
      </c>
      <c r="B5140" s="75" t="s">
        <v>31</v>
      </c>
      <c r="C5140" s="45">
        <v>46212</v>
      </c>
      <c r="D5140" s="76">
        <v>172.98387096774201</v>
      </c>
      <c r="E5140" s="77">
        <v>125</v>
      </c>
      <c r="F5140" s="78">
        <v>13.523384896414701</v>
      </c>
      <c r="G5140" s="78">
        <v>13.523384896414701</v>
      </c>
      <c r="H5140" s="81">
        <v>13.0057200142921</v>
      </c>
    </row>
    <row r="5141" spans="1:8" x14ac:dyDescent="0.3">
      <c r="A5141" s="74" t="str">
        <f t="shared" si="80"/>
        <v>海南46213</v>
      </c>
      <c r="B5141" s="75" t="s">
        <v>31</v>
      </c>
      <c r="C5141" s="45">
        <v>46213</v>
      </c>
      <c r="D5141" s="76">
        <v>172.98387096774201</v>
      </c>
      <c r="E5141" s="77">
        <v>125</v>
      </c>
      <c r="F5141" s="78">
        <v>13.523384896414701</v>
      </c>
      <c r="G5141" s="78">
        <v>13.523384896414701</v>
      </c>
      <c r="H5141" s="81">
        <v>13.0057200142921</v>
      </c>
    </row>
    <row r="5142" spans="1:8" x14ac:dyDescent="0.3">
      <c r="A5142" s="74" t="str">
        <f t="shared" si="80"/>
        <v>海南46214</v>
      </c>
      <c r="B5142" s="75" t="s">
        <v>31</v>
      </c>
      <c r="C5142" s="45">
        <v>46214</v>
      </c>
      <c r="D5142" s="76">
        <v>172.98387096774201</v>
      </c>
      <c r="E5142" s="77">
        <v>125</v>
      </c>
      <c r="F5142" s="78">
        <v>13.523384896414701</v>
      </c>
      <c r="G5142" s="78">
        <v>13.523384896414701</v>
      </c>
      <c r="H5142" s="81">
        <v>13.0057200142921</v>
      </c>
    </row>
    <row r="5143" spans="1:8" x14ac:dyDescent="0.3">
      <c r="A5143" s="74" t="str">
        <f t="shared" si="80"/>
        <v>海南46215</v>
      </c>
      <c r="B5143" s="75" t="s">
        <v>31</v>
      </c>
      <c r="C5143" s="45">
        <v>46215</v>
      </c>
      <c r="D5143" s="76">
        <v>172.98387096774201</v>
      </c>
      <c r="E5143" s="77">
        <v>125</v>
      </c>
      <c r="F5143" s="78">
        <v>13.523384896414701</v>
      </c>
      <c r="G5143" s="78">
        <v>13.523384896414701</v>
      </c>
      <c r="H5143" s="81">
        <v>13.0057200142921</v>
      </c>
    </row>
    <row r="5144" spans="1:8" x14ac:dyDescent="0.3">
      <c r="A5144" s="74" t="str">
        <f t="shared" si="80"/>
        <v>海南46216</v>
      </c>
      <c r="B5144" s="75" t="s">
        <v>31</v>
      </c>
      <c r="C5144" s="45">
        <v>46216</v>
      </c>
      <c r="D5144" s="76">
        <v>172.98387096774201</v>
      </c>
      <c r="E5144" s="77">
        <v>125</v>
      </c>
      <c r="F5144" s="78">
        <v>13.523384896414701</v>
      </c>
      <c r="G5144" s="78">
        <v>13.523384896414701</v>
      </c>
      <c r="H5144" s="81">
        <v>13.0057200142921</v>
      </c>
    </row>
    <row r="5145" spans="1:8" x14ac:dyDescent="0.3">
      <c r="A5145" s="74" t="str">
        <f t="shared" si="80"/>
        <v>海南46217</v>
      </c>
      <c r="B5145" s="75" t="s">
        <v>31</v>
      </c>
      <c r="C5145" s="45">
        <v>46217</v>
      </c>
      <c r="D5145" s="76">
        <v>172.98387096774201</v>
      </c>
      <c r="E5145" s="77">
        <v>125</v>
      </c>
      <c r="F5145" s="78">
        <v>13.523384896414701</v>
      </c>
      <c r="G5145" s="78">
        <v>13.523384896414701</v>
      </c>
      <c r="H5145" s="81">
        <v>13.0057200142921</v>
      </c>
    </row>
    <row r="5146" spans="1:8" x14ac:dyDescent="0.3">
      <c r="A5146" s="74" t="str">
        <f t="shared" si="80"/>
        <v>海南46218</v>
      </c>
      <c r="B5146" s="75" t="s">
        <v>31</v>
      </c>
      <c r="C5146" s="45">
        <v>46218</v>
      </c>
      <c r="D5146" s="76">
        <v>172.98387096774201</v>
      </c>
      <c r="E5146" s="77">
        <v>125</v>
      </c>
      <c r="F5146" s="78">
        <v>13.523384896414701</v>
      </c>
      <c r="G5146" s="78">
        <v>13.523384896414701</v>
      </c>
      <c r="H5146" s="81">
        <v>13.0057200142921</v>
      </c>
    </row>
    <row r="5147" spans="1:8" x14ac:dyDescent="0.3">
      <c r="A5147" s="74" t="str">
        <f t="shared" si="80"/>
        <v>海南46219</v>
      </c>
      <c r="B5147" s="75" t="s">
        <v>31</v>
      </c>
      <c r="C5147" s="45">
        <v>46219</v>
      </c>
      <c r="D5147" s="76">
        <v>172.98387096774201</v>
      </c>
      <c r="E5147" s="77">
        <v>125</v>
      </c>
      <c r="F5147" s="78">
        <v>13.523384896414701</v>
      </c>
      <c r="G5147" s="78">
        <v>13.523384896414701</v>
      </c>
      <c r="H5147" s="81">
        <v>13.0057200142921</v>
      </c>
    </row>
    <row r="5148" spans="1:8" x14ac:dyDescent="0.3">
      <c r="A5148" s="74" t="str">
        <f t="shared" si="80"/>
        <v>海南46220</v>
      </c>
      <c r="B5148" s="75" t="s">
        <v>31</v>
      </c>
      <c r="C5148" s="45">
        <v>46220</v>
      </c>
      <c r="D5148" s="76">
        <v>172.98387096774201</v>
      </c>
      <c r="E5148" s="77">
        <v>125</v>
      </c>
      <c r="F5148" s="78">
        <v>13.523384896414701</v>
      </c>
      <c r="G5148" s="78">
        <v>13.523384896414701</v>
      </c>
      <c r="H5148" s="81">
        <v>13.0057200142921</v>
      </c>
    </row>
    <row r="5149" spans="1:8" x14ac:dyDescent="0.3">
      <c r="A5149" s="74" t="str">
        <f t="shared" si="80"/>
        <v>海南46221</v>
      </c>
      <c r="B5149" s="75" t="s">
        <v>31</v>
      </c>
      <c r="C5149" s="45">
        <v>46221</v>
      </c>
      <c r="D5149" s="76">
        <v>172.98387096774201</v>
      </c>
      <c r="E5149" s="77">
        <v>125</v>
      </c>
      <c r="F5149" s="78">
        <v>13.523384896414701</v>
      </c>
      <c r="G5149" s="78">
        <v>13.523384896414701</v>
      </c>
      <c r="H5149" s="81">
        <v>13.0057200142921</v>
      </c>
    </row>
    <row r="5150" spans="1:8" x14ac:dyDescent="0.3">
      <c r="A5150" s="74" t="str">
        <f t="shared" si="80"/>
        <v>海南46222</v>
      </c>
      <c r="B5150" s="75" t="s">
        <v>31</v>
      </c>
      <c r="C5150" s="45">
        <v>46222</v>
      </c>
      <c r="D5150" s="76">
        <v>172.98387096774201</v>
      </c>
      <c r="E5150" s="77">
        <v>125</v>
      </c>
      <c r="F5150" s="78">
        <v>13.523384896414701</v>
      </c>
      <c r="G5150" s="78">
        <v>13.523384896414701</v>
      </c>
      <c r="H5150" s="81">
        <v>13.0057200142921</v>
      </c>
    </row>
    <row r="5151" spans="1:8" x14ac:dyDescent="0.3">
      <c r="A5151" s="74" t="str">
        <f t="shared" si="80"/>
        <v>海南46223</v>
      </c>
      <c r="B5151" s="75" t="s">
        <v>31</v>
      </c>
      <c r="C5151" s="45">
        <v>46223</v>
      </c>
      <c r="D5151" s="76">
        <v>172.98387096774201</v>
      </c>
      <c r="E5151" s="77">
        <v>125</v>
      </c>
      <c r="F5151" s="78">
        <v>13.523384896414701</v>
      </c>
      <c r="G5151" s="78">
        <v>13.523384896414701</v>
      </c>
      <c r="H5151" s="81">
        <v>13.0057200142921</v>
      </c>
    </row>
    <row r="5152" spans="1:8" x14ac:dyDescent="0.3">
      <c r="A5152" s="74" t="str">
        <f t="shared" si="80"/>
        <v>海南46224</v>
      </c>
      <c r="B5152" s="75" t="s">
        <v>31</v>
      </c>
      <c r="C5152" s="45">
        <v>46224</v>
      </c>
      <c r="D5152" s="76">
        <v>172.98387096774201</v>
      </c>
      <c r="E5152" s="77">
        <v>125</v>
      </c>
      <c r="F5152" s="78">
        <v>13.523384896414701</v>
      </c>
      <c r="G5152" s="78">
        <v>13.523384896414701</v>
      </c>
      <c r="H5152" s="81">
        <v>13.0057200142921</v>
      </c>
    </row>
    <row r="5153" spans="1:8" x14ac:dyDescent="0.3">
      <c r="A5153" s="74" t="str">
        <f t="shared" si="80"/>
        <v>海南46225</v>
      </c>
      <c r="B5153" s="75" t="s">
        <v>31</v>
      </c>
      <c r="C5153" s="45">
        <v>46225</v>
      </c>
      <c r="D5153" s="76">
        <v>172.98387096774201</v>
      </c>
      <c r="E5153" s="77">
        <v>125</v>
      </c>
      <c r="F5153" s="78">
        <v>13.523384896414701</v>
      </c>
      <c r="G5153" s="78">
        <v>13.523384896414701</v>
      </c>
      <c r="H5153" s="81">
        <v>13.0057200142921</v>
      </c>
    </row>
    <row r="5154" spans="1:8" x14ac:dyDescent="0.3">
      <c r="A5154" s="74" t="str">
        <f t="shared" si="80"/>
        <v>海南46226</v>
      </c>
      <c r="B5154" s="75" t="s">
        <v>31</v>
      </c>
      <c r="C5154" s="45">
        <v>46226</v>
      </c>
      <c r="D5154" s="76">
        <v>172.98387096774201</v>
      </c>
      <c r="E5154" s="77">
        <v>125</v>
      </c>
      <c r="F5154" s="78">
        <v>13.523384896414701</v>
      </c>
      <c r="G5154" s="78">
        <v>13.523384896414701</v>
      </c>
      <c r="H5154" s="81">
        <v>13.0057200142921</v>
      </c>
    </row>
    <row r="5155" spans="1:8" x14ac:dyDescent="0.3">
      <c r="A5155" s="74" t="str">
        <f t="shared" si="80"/>
        <v>海南46227</v>
      </c>
      <c r="B5155" s="75" t="s">
        <v>31</v>
      </c>
      <c r="C5155" s="45">
        <v>46227</v>
      </c>
      <c r="D5155" s="76">
        <v>172.98387096774201</v>
      </c>
      <c r="E5155" s="77">
        <v>125</v>
      </c>
      <c r="F5155" s="78">
        <v>13.523384896414701</v>
      </c>
      <c r="G5155" s="78">
        <v>13.523384896414701</v>
      </c>
      <c r="H5155" s="81">
        <v>13.0057200142921</v>
      </c>
    </row>
    <row r="5156" spans="1:8" x14ac:dyDescent="0.3">
      <c r="A5156" s="74" t="str">
        <f t="shared" si="80"/>
        <v>海南46228</v>
      </c>
      <c r="B5156" s="75" t="s">
        <v>31</v>
      </c>
      <c r="C5156" s="45">
        <v>46228</v>
      </c>
      <c r="D5156" s="76">
        <v>172.98387096774201</v>
      </c>
      <c r="E5156" s="77">
        <v>125</v>
      </c>
      <c r="F5156" s="78">
        <v>13.523384896414701</v>
      </c>
      <c r="G5156" s="78">
        <v>13.523384896414701</v>
      </c>
      <c r="H5156" s="81">
        <v>13.0057200142921</v>
      </c>
    </row>
    <row r="5157" spans="1:8" x14ac:dyDescent="0.3">
      <c r="A5157" s="74" t="str">
        <f t="shared" si="80"/>
        <v>海南46229</v>
      </c>
      <c r="B5157" s="75" t="s">
        <v>31</v>
      </c>
      <c r="C5157" s="45">
        <v>46229</v>
      </c>
      <c r="D5157" s="76">
        <v>172.98387096774201</v>
      </c>
      <c r="E5157" s="77">
        <v>125</v>
      </c>
      <c r="F5157" s="78">
        <v>13.523384896414701</v>
      </c>
      <c r="G5157" s="78">
        <v>13.523384896414701</v>
      </c>
      <c r="H5157" s="81">
        <v>13.0057200142921</v>
      </c>
    </row>
    <row r="5158" spans="1:8" x14ac:dyDescent="0.3">
      <c r="A5158" s="74" t="str">
        <f t="shared" si="80"/>
        <v>海南46230</v>
      </c>
      <c r="B5158" s="75" t="s">
        <v>31</v>
      </c>
      <c r="C5158" s="45">
        <v>46230</v>
      </c>
      <c r="D5158" s="76">
        <v>172.98387096774201</v>
      </c>
      <c r="E5158" s="77">
        <v>125</v>
      </c>
      <c r="F5158" s="78">
        <v>13.523384896414701</v>
      </c>
      <c r="G5158" s="78">
        <v>13.523384896414701</v>
      </c>
      <c r="H5158" s="81">
        <v>13.0057200142921</v>
      </c>
    </row>
    <row r="5159" spans="1:8" x14ac:dyDescent="0.3">
      <c r="A5159" s="74" t="str">
        <f t="shared" si="80"/>
        <v>海南46231</v>
      </c>
      <c r="B5159" s="75" t="s">
        <v>31</v>
      </c>
      <c r="C5159" s="45">
        <v>46231</v>
      </c>
      <c r="D5159" s="76">
        <v>172.98387096774201</v>
      </c>
      <c r="E5159" s="77">
        <v>125</v>
      </c>
      <c r="F5159" s="78">
        <v>13.523384896414701</v>
      </c>
      <c r="G5159" s="78">
        <v>13.523384896414701</v>
      </c>
      <c r="H5159" s="81">
        <v>13.0057200142921</v>
      </c>
    </row>
    <row r="5160" spans="1:8" x14ac:dyDescent="0.3">
      <c r="A5160" s="74" t="str">
        <f t="shared" si="80"/>
        <v>海南46232</v>
      </c>
      <c r="B5160" s="75" t="s">
        <v>31</v>
      </c>
      <c r="C5160" s="45">
        <v>46232</v>
      </c>
      <c r="D5160" s="76">
        <v>172.98387096774201</v>
      </c>
      <c r="E5160" s="77">
        <v>125</v>
      </c>
      <c r="F5160" s="78">
        <v>13.523384896414701</v>
      </c>
      <c r="G5160" s="78">
        <v>13.523384896414701</v>
      </c>
      <c r="H5160" s="81">
        <v>13.0057200142921</v>
      </c>
    </row>
    <row r="5161" spans="1:8" x14ac:dyDescent="0.3">
      <c r="A5161" s="74" t="str">
        <f t="shared" si="80"/>
        <v>海南46233</v>
      </c>
      <c r="B5161" s="75" t="s">
        <v>31</v>
      </c>
      <c r="C5161" s="45">
        <v>46233</v>
      </c>
      <c r="D5161" s="76">
        <v>172.98387096774201</v>
      </c>
      <c r="E5161" s="77">
        <v>125</v>
      </c>
      <c r="F5161" s="78">
        <v>13.523384896414701</v>
      </c>
      <c r="G5161" s="78">
        <v>13.523384896414701</v>
      </c>
      <c r="H5161" s="81">
        <v>13.0057200142921</v>
      </c>
    </row>
    <row r="5162" spans="1:8" x14ac:dyDescent="0.3">
      <c r="A5162" s="74" t="str">
        <f t="shared" si="80"/>
        <v>海南46234</v>
      </c>
      <c r="B5162" s="75" t="s">
        <v>31</v>
      </c>
      <c r="C5162" s="45">
        <v>46234</v>
      </c>
      <c r="D5162" s="76">
        <v>172.98387096774201</v>
      </c>
      <c r="E5162" s="77">
        <v>125</v>
      </c>
      <c r="F5162" s="78">
        <v>13.523384896414701</v>
      </c>
      <c r="G5162" s="78">
        <v>13.523384896414701</v>
      </c>
      <c r="H5162" s="81">
        <v>13.0057200142921</v>
      </c>
    </row>
    <row r="5163" spans="1:8" x14ac:dyDescent="0.3">
      <c r="A5163" s="74" t="str">
        <f t="shared" si="80"/>
        <v>海南46235</v>
      </c>
      <c r="B5163" s="75" t="s">
        <v>31</v>
      </c>
      <c r="C5163" s="45">
        <v>46235</v>
      </c>
      <c r="D5163" s="76">
        <v>381.50806451612902</v>
      </c>
      <c r="E5163" s="77">
        <v>125</v>
      </c>
      <c r="F5163" s="78">
        <v>13.6430783113295</v>
      </c>
      <c r="G5163" s="78">
        <v>13.6430783113295</v>
      </c>
      <c r="H5163" s="81">
        <v>13.6105057776685</v>
      </c>
    </row>
    <row r="5164" spans="1:8" x14ac:dyDescent="0.3">
      <c r="A5164" s="74" t="str">
        <f t="shared" si="80"/>
        <v>海南46236</v>
      </c>
      <c r="B5164" s="75" t="s">
        <v>31</v>
      </c>
      <c r="C5164" s="45">
        <v>46236</v>
      </c>
      <c r="D5164" s="76">
        <v>381.50806451612902</v>
      </c>
      <c r="E5164" s="77">
        <v>125</v>
      </c>
      <c r="F5164" s="78">
        <v>13.6430783113295</v>
      </c>
      <c r="G5164" s="78">
        <v>13.6430783113295</v>
      </c>
      <c r="H5164" s="81">
        <v>13.6105057776685</v>
      </c>
    </row>
    <row r="5165" spans="1:8" x14ac:dyDescent="0.3">
      <c r="A5165" s="74" t="str">
        <f t="shared" si="80"/>
        <v>海南46237</v>
      </c>
      <c r="B5165" s="75" t="s">
        <v>31</v>
      </c>
      <c r="C5165" s="45">
        <v>46237</v>
      </c>
      <c r="D5165" s="76">
        <v>381.50806451612902</v>
      </c>
      <c r="E5165" s="77">
        <v>125</v>
      </c>
      <c r="F5165" s="78">
        <v>13.6430783113295</v>
      </c>
      <c r="G5165" s="78">
        <v>13.6430783113295</v>
      </c>
      <c r="H5165" s="81">
        <v>13.6105057776685</v>
      </c>
    </row>
    <row r="5166" spans="1:8" x14ac:dyDescent="0.3">
      <c r="A5166" s="74" t="str">
        <f t="shared" si="80"/>
        <v>海南46238</v>
      </c>
      <c r="B5166" s="75" t="s">
        <v>31</v>
      </c>
      <c r="C5166" s="45">
        <v>46238</v>
      </c>
      <c r="D5166" s="76">
        <v>381.50806451612902</v>
      </c>
      <c r="E5166" s="77">
        <v>125</v>
      </c>
      <c r="F5166" s="78">
        <v>13.6430783113295</v>
      </c>
      <c r="G5166" s="78">
        <v>13.6430783113295</v>
      </c>
      <c r="H5166" s="81">
        <v>13.6105057776685</v>
      </c>
    </row>
    <row r="5167" spans="1:8" x14ac:dyDescent="0.3">
      <c r="A5167" s="74" t="str">
        <f t="shared" si="80"/>
        <v>海南46239</v>
      </c>
      <c r="B5167" s="75" t="s">
        <v>31</v>
      </c>
      <c r="C5167" s="45">
        <v>46239</v>
      </c>
      <c r="D5167" s="76">
        <v>381.50806451612902</v>
      </c>
      <c r="E5167" s="77">
        <v>125</v>
      </c>
      <c r="F5167" s="78">
        <v>13.6430783113295</v>
      </c>
      <c r="G5167" s="78">
        <v>13.6430783113295</v>
      </c>
      <c r="H5167" s="81">
        <v>13.6105057776685</v>
      </c>
    </row>
    <row r="5168" spans="1:8" x14ac:dyDescent="0.3">
      <c r="A5168" s="74" t="str">
        <f t="shared" si="80"/>
        <v>海南46240</v>
      </c>
      <c r="B5168" s="75" t="s">
        <v>31</v>
      </c>
      <c r="C5168" s="45">
        <v>46240</v>
      </c>
      <c r="D5168" s="76">
        <v>381.50806451612902</v>
      </c>
      <c r="E5168" s="77">
        <v>125</v>
      </c>
      <c r="F5168" s="78">
        <v>13.6430783113295</v>
      </c>
      <c r="G5168" s="78">
        <v>13.6430783113295</v>
      </c>
      <c r="H5168" s="81">
        <v>13.6105057776685</v>
      </c>
    </row>
    <row r="5169" spans="1:8" x14ac:dyDescent="0.3">
      <c r="A5169" s="74" t="str">
        <f t="shared" si="80"/>
        <v>海南46241</v>
      </c>
      <c r="B5169" s="75" t="s">
        <v>31</v>
      </c>
      <c r="C5169" s="45">
        <v>46241</v>
      </c>
      <c r="D5169" s="76">
        <v>381.50806451612902</v>
      </c>
      <c r="E5169" s="77">
        <v>125</v>
      </c>
      <c r="F5169" s="78">
        <v>13.6430783113295</v>
      </c>
      <c r="G5169" s="78">
        <v>13.6430783113295</v>
      </c>
      <c r="H5169" s="81">
        <v>13.6105057776685</v>
      </c>
    </row>
    <row r="5170" spans="1:8" x14ac:dyDescent="0.3">
      <c r="A5170" s="74" t="str">
        <f t="shared" si="80"/>
        <v>海南46242</v>
      </c>
      <c r="B5170" s="75" t="s">
        <v>31</v>
      </c>
      <c r="C5170" s="45">
        <v>46242</v>
      </c>
      <c r="D5170" s="76">
        <v>381.50806451612902</v>
      </c>
      <c r="E5170" s="77">
        <v>125</v>
      </c>
      <c r="F5170" s="78">
        <v>13.6430783113295</v>
      </c>
      <c r="G5170" s="78">
        <v>13.6430783113295</v>
      </c>
      <c r="H5170" s="81">
        <v>13.6105057776685</v>
      </c>
    </row>
    <row r="5171" spans="1:8" x14ac:dyDescent="0.3">
      <c r="A5171" s="74" t="str">
        <f t="shared" si="80"/>
        <v>海南46243</v>
      </c>
      <c r="B5171" s="75" t="s">
        <v>31</v>
      </c>
      <c r="C5171" s="45">
        <v>46243</v>
      </c>
      <c r="D5171" s="76">
        <v>381.50806451612902</v>
      </c>
      <c r="E5171" s="77">
        <v>125</v>
      </c>
      <c r="F5171" s="78">
        <v>13.6430783113295</v>
      </c>
      <c r="G5171" s="78">
        <v>13.6430783113295</v>
      </c>
      <c r="H5171" s="81">
        <v>13.6105057776685</v>
      </c>
    </row>
    <row r="5172" spans="1:8" x14ac:dyDescent="0.3">
      <c r="A5172" s="74" t="str">
        <f t="shared" si="80"/>
        <v>海南46244</v>
      </c>
      <c r="B5172" s="75" t="s">
        <v>31</v>
      </c>
      <c r="C5172" s="45">
        <v>46244</v>
      </c>
      <c r="D5172" s="76">
        <v>381.50806451612902</v>
      </c>
      <c r="E5172" s="77">
        <v>125</v>
      </c>
      <c r="F5172" s="78">
        <v>13.6430783113295</v>
      </c>
      <c r="G5172" s="78">
        <v>13.6430783113295</v>
      </c>
      <c r="H5172" s="81">
        <v>13.6105057776685</v>
      </c>
    </row>
    <row r="5173" spans="1:8" x14ac:dyDescent="0.3">
      <c r="A5173" s="74" t="str">
        <f t="shared" si="80"/>
        <v>海南46245</v>
      </c>
      <c r="B5173" s="75" t="s">
        <v>31</v>
      </c>
      <c r="C5173" s="45">
        <v>46245</v>
      </c>
      <c r="D5173" s="76">
        <v>381.50806451612902</v>
      </c>
      <c r="E5173" s="77">
        <v>125</v>
      </c>
      <c r="F5173" s="78">
        <v>13.6430783113295</v>
      </c>
      <c r="G5173" s="78">
        <v>13.6430783113295</v>
      </c>
      <c r="H5173" s="81">
        <v>13.6105057776685</v>
      </c>
    </row>
    <row r="5174" spans="1:8" x14ac:dyDescent="0.3">
      <c r="A5174" s="74" t="str">
        <f t="shared" si="80"/>
        <v>海南46246</v>
      </c>
      <c r="B5174" s="75" t="s">
        <v>31</v>
      </c>
      <c r="C5174" s="45">
        <v>46246</v>
      </c>
      <c r="D5174" s="76">
        <v>381.50806451612902</v>
      </c>
      <c r="E5174" s="77">
        <v>125</v>
      </c>
      <c r="F5174" s="78">
        <v>13.6430783113295</v>
      </c>
      <c r="G5174" s="78">
        <v>13.6430783113295</v>
      </c>
      <c r="H5174" s="81">
        <v>13.6105057776685</v>
      </c>
    </row>
    <row r="5175" spans="1:8" x14ac:dyDescent="0.3">
      <c r="A5175" s="74" t="str">
        <f t="shared" si="80"/>
        <v>海南46247</v>
      </c>
      <c r="B5175" s="75" t="s">
        <v>31</v>
      </c>
      <c r="C5175" s="45">
        <v>46247</v>
      </c>
      <c r="D5175" s="76">
        <v>381.50806451612902</v>
      </c>
      <c r="E5175" s="77">
        <v>125</v>
      </c>
      <c r="F5175" s="78">
        <v>13.6430783113295</v>
      </c>
      <c r="G5175" s="78">
        <v>13.6430783113295</v>
      </c>
      <c r="H5175" s="81">
        <v>13.6105057776685</v>
      </c>
    </row>
    <row r="5176" spans="1:8" x14ac:dyDescent="0.3">
      <c r="A5176" s="74" t="str">
        <f t="shared" si="80"/>
        <v>海南46248</v>
      </c>
      <c r="B5176" s="75" t="s">
        <v>31</v>
      </c>
      <c r="C5176" s="45">
        <v>46248</v>
      </c>
      <c r="D5176" s="76">
        <v>381.50806451612902</v>
      </c>
      <c r="E5176" s="77">
        <v>125</v>
      </c>
      <c r="F5176" s="78">
        <v>13.6430783113295</v>
      </c>
      <c r="G5176" s="78">
        <v>13.6430783113295</v>
      </c>
      <c r="H5176" s="81">
        <v>13.6105057776685</v>
      </c>
    </row>
    <row r="5177" spans="1:8" x14ac:dyDescent="0.3">
      <c r="A5177" s="74" t="str">
        <f t="shared" si="80"/>
        <v>海南46249</v>
      </c>
      <c r="B5177" s="75" t="s">
        <v>31</v>
      </c>
      <c r="C5177" s="45">
        <v>46249</v>
      </c>
      <c r="D5177" s="76">
        <v>381.50806451612902</v>
      </c>
      <c r="E5177" s="77">
        <v>125</v>
      </c>
      <c r="F5177" s="78">
        <v>13.6430783113295</v>
      </c>
      <c r="G5177" s="78">
        <v>13.6430783113295</v>
      </c>
      <c r="H5177" s="81">
        <v>13.6105057776685</v>
      </c>
    </row>
    <row r="5178" spans="1:8" x14ac:dyDescent="0.3">
      <c r="A5178" s="74" t="str">
        <f t="shared" si="80"/>
        <v>海南46250</v>
      </c>
      <c r="B5178" s="75" t="s">
        <v>31</v>
      </c>
      <c r="C5178" s="45">
        <v>46250</v>
      </c>
      <c r="D5178" s="76">
        <v>381.50806451612902</v>
      </c>
      <c r="E5178" s="77">
        <v>125</v>
      </c>
      <c r="F5178" s="78">
        <v>13.6430783113295</v>
      </c>
      <c r="G5178" s="78">
        <v>13.6430783113295</v>
      </c>
      <c r="H5178" s="81">
        <v>13.6105057776685</v>
      </c>
    </row>
    <row r="5179" spans="1:8" x14ac:dyDescent="0.3">
      <c r="A5179" s="74" t="str">
        <f t="shared" si="80"/>
        <v>海南46251</v>
      </c>
      <c r="B5179" s="75" t="s">
        <v>31</v>
      </c>
      <c r="C5179" s="45">
        <v>46251</v>
      </c>
      <c r="D5179" s="76">
        <v>381.50806451612902</v>
      </c>
      <c r="E5179" s="77">
        <v>125</v>
      </c>
      <c r="F5179" s="78">
        <v>13.6430783113295</v>
      </c>
      <c r="G5179" s="78">
        <v>13.6430783113295</v>
      </c>
      <c r="H5179" s="81">
        <v>13.6105057776685</v>
      </c>
    </row>
    <row r="5180" spans="1:8" x14ac:dyDescent="0.3">
      <c r="A5180" s="74" t="str">
        <f t="shared" si="80"/>
        <v>海南46252</v>
      </c>
      <c r="B5180" s="75" t="s">
        <v>31</v>
      </c>
      <c r="C5180" s="45">
        <v>46252</v>
      </c>
      <c r="D5180" s="76">
        <v>381.50806451612902</v>
      </c>
      <c r="E5180" s="77">
        <v>125</v>
      </c>
      <c r="F5180" s="78">
        <v>13.6430783113295</v>
      </c>
      <c r="G5180" s="78">
        <v>13.6430783113295</v>
      </c>
      <c r="H5180" s="81">
        <v>13.6105057776685</v>
      </c>
    </row>
    <row r="5181" spans="1:8" x14ac:dyDescent="0.3">
      <c r="A5181" s="74" t="str">
        <f t="shared" si="80"/>
        <v>海南46253</v>
      </c>
      <c r="B5181" s="75" t="s">
        <v>31</v>
      </c>
      <c r="C5181" s="45">
        <v>46253</v>
      </c>
      <c r="D5181" s="76">
        <v>381.50806451612902</v>
      </c>
      <c r="E5181" s="77">
        <v>125</v>
      </c>
      <c r="F5181" s="78">
        <v>13.6430783113295</v>
      </c>
      <c r="G5181" s="78">
        <v>13.6430783113295</v>
      </c>
      <c r="H5181" s="81">
        <v>13.6105057776685</v>
      </c>
    </row>
    <row r="5182" spans="1:8" x14ac:dyDescent="0.3">
      <c r="A5182" s="74" t="str">
        <f t="shared" si="80"/>
        <v>海南46254</v>
      </c>
      <c r="B5182" s="75" t="s">
        <v>31</v>
      </c>
      <c r="C5182" s="45">
        <v>46254</v>
      </c>
      <c r="D5182" s="76">
        <v>381.50806451612902</v>
      </c>
      <c r="E5182" s="77">
        <v>125</v>
      </c>
      <c r="F5182" s="78">
        <v>13.6430783113295</v>
      </c>
      <c r="G5182" s="78">
        <v>13.6430783113295</v>
      </c>
      <c r="H5182" s="81">
        <v>13.6105057776685</v>
      </c>
    </row>
    <row r="5183" spans="1:8" x14ac:dyDescent="0.3">
      <c r="A5183" s="74" t="str">
        <f t="shared" si="80"/>
        <v>海南46255</v>
      </c>
      <c r="B5183" s="75" t="s">
        <v>31</v>
      </c>
      <c r="C5183" s="45">
        <v>46255</v>
      </c>
      <c r="D5183" s="76">
        <v>381.50806451612902</v>
      </c>
      <c r="E5183" s="77">
        <v>125</v>
      </c>
      <c r="F5183" s="78">
        <v>13.6430783113295</v>
      </c>
      <c r="G5183" s="78">
        <v>13.6430783113295</v>
      </c>
      <c r="H5183" s="81">
        <v>13.6105057776685</v>
      </c>
    </row>
    <row r="5184" spans="1:8" x14ac:dyDescent="0.3">
      <c r="A5184" s="74" t="str">
        <f t="shared" si="80"/>
        <v>海南46256</v>
      </c>
      <c r="B5184" s="75" t="s">
        <v>31</v>
      </c>
      <c r="C5184" s="45">
        <v>46256</v>
      </c>
      <c r="D5184" s="76">
        <v>381.50806451612902</v>
      </c>
      <c r="E5184" s="77">
        <v>125</v>
      </c>
      <c r="F5184" s="78">
        <v>13.6430783113295</v>
      </c>
      <c r="G5184" s="78">
        <v>13.6430783113295</v>
      </c>
      <c r="H5184" s="81">
        <v>13.6105057776685</v>
      </c>
    </row>
    <row r="5185" spans="1:8" x14ac:dyDescent="0.3">
      <c r="A5185" s="74" t="str">
        <f t="shared" si="80"/>
        <v>海南46257</v>
      </c>
      <c r="B5185" s="75" t="s">
        <v>31</v>
      </c>
      <c r="C5185" s="45">
        <v>46257</v>
      </c>
      <c r="D5185" s="76">
        <v>381.50806451612902</v>
      </c>
      <c r="E5185" s="77">
        <v>125</v>
      </c>
      <c r="F5185" s="78">
        <v>13.6430783113295</v>
      </c>
      <c r="G5185" s="78">
        <v>13.6430783113295</v>
      </c>
      <c r="H5185" s="81">
        <v>13.6105057776685</v>
      </c>
    </row>
    <row r="5186" spans="1:8" x14ac:dyDescent="0.3">
      <c r="A5186" s="74" t="str">
        <f t="shared" si="80"/>
        <v>海南46258</v>
      </c>
      <c r="B5186" s="75" t="s">
        <v>31</v>
      </c>
      <c r="C5186" s="45">
        <v>46258</v>
      </c>
      <c r="D5186" s="76">
        <v>381.50806451612902</v>
      </c>
      <c r="E5186" s="77">
        <v>125</v>
      </c>
      <c r="F5186" s="78">
        <v>13.6430783113295</v>
      </c>
      <c r="G5186" s="78">
        <v>13.6430783113295</v>
      </c>
      <c r="H5186" s="81">
        <v>13.6105057776685</v>
      </c>
    </row>
    <row r="5187" spans="1:8" x14ac:dyDescent="0.3">
      <c r="A5187" s="74" t="str">
        <f t="shared" ref="A5187:A5250" si="81">B5187&amp;C5187</f>
        <v>海南46259</v>
      </c>
      <c r="B5187" s="75" t="s">
        <v>31</v>
      </c>
      <c r="C5187" s="45">
        <v>46259</v>
      </c>
      <c r="D5187" s="76">
        <v>381.50806451612902</v>
      </c>
      <c r="E5187" s="77">
        <v>125</v>
      </c>
      <c r="F5187" s="78">
        <v>13.6430783113295</v>
      </c>
      <c r="G5187" s="78">
        <v>13.6430783113295</v>
      </c>
      <c r="H5187" s="81">
        <v>13.6105057776685</v>
      </c>
    </row>
    <row r="5188" spans="1:8" x14ac:dyDescent="0.3">
      <c r="A5188" s="74" t="str">
        <f t="shared" si="81"/>
        <v>海南46260</v>
      </c>
      <c r="B5188" s="75" t="s">
        <v>31</v>
      </c>
      <c r="C5188" s="45">
        <v>46260</v>
      </c>
      <c r="D5188" s="76">
        <v>381.50806451612902</v>
      </c>
      <c r="E5188" s="77">
        <v>125</v>
      </c>
      <c r="F5188" s="78">
        <v>13.6430783113295</v>
      </c>
      <c r="G5188" s="78">
        <v>13.6430783113295</v>
      </c>
      <c r="H5188" s="81">
        <v>13.6105057776685</v>
      </c>
    </row>
    <row r="5189" spans="1:8" x14ac:dyDescent="0.3">
      <c r="A5189" s="74" t="str">
        <f t="shared" si="81"/>
        <v>海南46261</v>
      </c>
      <c r="B5189" s="75" t="s">
        <v>31</v>
      </c>
      <c r="C5189" s="45">
        <v>46261</v>
      </c>
      <c r="D5189" s="76">
        <v>381.50806451612902</v>
      </c>
      <c r="E5189" s="77">
        <v>125</v>
      </c>
      <c r="F5189" s="78">
        <v>13.6430783113295</v>
      </c>
      <c r="G5189" s="78">
        <v>13.6430783113295</v>
      </c>
      <c r="H5189" s="81">
        <v>13.6105057776685</v>
      </c>
    </row>
    <row r="5190" spans="1:8" x14ac:dyDescent="0.3">
      <c r="A5190" s="74" t="str">
        <f t="shared" si="81"/>
        <v>海南46262</v>
      </c>
      <c r="B5190" s="75" t="s">
        <v>31</v>
      </c>
      <c r="C5190" s="45">
        <v>46262</v>
      </c>
      <c r="D5190" s="76">
        <v>381.50806451612902</v>
      </c>
      <c r="E5190" s="77">
        <v>125</v>
      </c>
      <c r="F5190" s="78">
        <v>13.6430783113295</v>
      </c>
      <c r="G5190" s="78">
        <v>13.6430783113295</v>
      </c>
      <c r="H5190" s="81">
        <v>13.6105057776685</v>
      </c>
    </row>
    <row r="5191" spans="1:8" x14ac:dyDescent="0.3">
      <c r="A5191" s="74" t="str">
        <f t="shared" si="81"/>
        <v>海南46263</v>
      </c>
      <c r="B5191" s="75" t="s">
        <v>31</v>
      </c>
      <c r="C5191" s="45">
        <v>46263</v>
      </c>
      <c r="D5191" s="76">
        <v>381.50806451612902</v>
      </c>
      <c r="E5191" s="77">
        <v>125</v>
      </c>
      <c r="F5191" s="78">
        <v>13.6430783113295</v>
      </c>
      <c r="G5191" s="78">
        <v>13.6430783113295</v>
      </c>
      <c r="H5191" s="81">
        <v>13.6105057776685</v>
      </c>
    </row>
    <row r="5192" spans="1:8" x14ac:dyDescent="0.3">
      <c r="A5192" s="74" t="str">
        <f t="shared" si="81"/>
        <v>海南46264</v>
      </c>
      <c r="B5192" s="75" t="s">
        <v>31</v>
      </c>
      <c r="C5192" s="45">
        <v>46264</v>
      </c>
      <c r="D5192" s="76">
        <v>381.50806451612902</v>
      </c>
      <c r="E5192" s="77">
        <v>125</v>
      </c>
      <c r="F5192" s="78">
        <v>13.6430783113295</v>
      </c>
      <c r="G5192" s="78">
        <v>13.6430783113295</v>
      </c>
      <c r="H5192" s="81">
        <v>13.6105057776685</v>
      </c>
    </row>
    <row r="5193" spans="1:8" x14ac:dyDescent="0.3">
      <c r="A5193" s="74" t="str">
        <f t="shared" si="81"/>
        <v>海南46265</v>
      </c>
      <c r="B5193" s="75" t="s">
        <v>31</v>
      </c>
      <c r="C5193" s="45">
        <v>46265</v>
      </c>
      <c r="D5193" s="76">
        <v>381.50806451612902</v>
      </c>
      <c r="E5193" s="77">
        <v>125</v>
      </c>
      <c r="F5193" s="78">
        <v>13.6430783113295</v>
      </c>
      <c r="G5193" s="78">
        <v>13.6430783113295</v>
      </c>
      <c r="H5193" s="81">
        <v>13.6105057776685</v>
      </c>
    </row>
    <row r="5194" spans="1:8" x14ac:dyDescent="0.3">
      <c r="A5194" s="74" t="str">
        <f t="shared" si="81"/>
        <v>海南46266</v>
      </c>
      <c r="B5194" s="75" t="s">
        <v>31</v>
      </c>
      <c r="C5194" s="45">
        <v>46266</v>
      </c>
      <c r="D5194" s="76">
        <v>184.19986559139801</v>
      </c>
      <c r="E5194" s="77">
        <v>125</v>
      </c>
      <c r="F5194" s="78">
        <v>13.967073063930201</v>
      </c>
      <c r="G5194" s="78">
        <v>13.967073063930201</v>
      </c>
      <c r="H5194" s="81">
        <v>14.215291541045</v>
      </c>
    </row>
    <row r="5195" spans="1:8" x14ac:dyDescent="0.3">
      <c r="A5195" s="74" t="str">
        <f t="shared" si="81"/>
        <v>海南46267</v>
      </c>
      <c r="B5195" s="75" t="s">
        <v>31</v>
      </c>
      <c r="C5195" s="45">
        <v>46267</v>
      </c>
      <c r="D5195" s="76">
        <v>184.19986559139801</v>
      </c>
      <c r="E5195" s="77">
        <v>125</v>
      </c>
      <c r="F5195" s="78">
        <v>13.967073063930201</v>
      </c>
      <c r="G5195" s="78">
        <v>13.967073063930201</v>
      </c>
      <c r="H5195" s="81">
        <v>14.215291541045</v>
      </c>
    </row>
    <row r="5196" spans="1:8" x14ac:dyDescent="0.3">
      <c r="A5196" s="74" t="str">
        <f t="shared" si="81"/>
        <v>海南46268</v>
      </c>
      <c r="B5196" s="75" t="s">
        <v>31</v>
      </c>
      <c r="C5196" s="45">
        <v>46268</v>
      </c>
      <c r="D5196" s="76">
        <v>184.19986559139801</v>
      </c>
      <c r="E5196" s="77">
        <v>125</v>
      </c>
      <c r="F5196" s="78">
        <v>13.967073063930201</v>
      </c>
      <c r="G5196" s="78">
        <v>13.967073063930201</v>
      </c>
      <c r="H5196" s="81">
        <v>14.215291541045</v>
      </c>
    </row>
    <row r="5197" spans="1:8" x14ac:dyDescent="0.3">
      <c r="A5197" s="74" t="str">
        <f t="shared" si="81"/>
        <v>海南46269</v>
      </c>
      <c r="B5197" s="75" t="s">
        <v>31</v>
      </c>
      <c r="C5197" s="45">
        <v>46269</v>
      </c>
      <c r="D5197" s="76">
        <v>184.19986559139801</v>
      </c>
      <c r="E5197" s="77">
        <v>125</v>
      </c>
      <c r="F5197" s="78">
        <v>13.967073063930201</v>
      </c>
      <c r="G5197" s="78">
        <v>13.967073063930201</v>
      </c>
      <c r="H5197" s="81">
        <v>14.215291541045</v>
      </c>
    </row>
    <row r="5198" spans="1:8" x14ac:dyDescent="0.3">
      <c r="A5198" s="74" t="str">
        <f t="shared" si="81"/>
        <v>海南46270</v>
      </c>
      <c r="B5198" s="75" t="s">
        <v>31</v>
      </c>
      <c r="C5198" s="45">
        <v>46270</v>
      </c>
      <c r="D5198" s="76">
        <v>184.19986559139801</v>
      </c>
      <c r="E5198" s="77">
        <v>125</v>
      </c>
      <c r="F5198" s="78">
        <v>13.967073063930201</v>
      </c>
      <c r="G5198" s="78">
        <v>13.967073063930201</v>
      </c>
      <c r="H5198" s="81">
        <v>14.215291541045</v>
      </c>
    </row>
    <row r="5199" spans="1:8" x14ac:dyDescent="0.3">
      <c r="A5199" s="74" t="str">
        <f t="shared" si="81"/>
        <v>海南46271</v>
      </c>
      <c r="B5199" s="75" t="s">
        <v>31</v>
      </c>
      <c r="C5199" s="45">
        <v>46271</v>
      </c>
      <c r="D5199" s="76">
        <v>184.19986559139801</v>
      </c>
      <c r="E5199" s="77">
        <v>125</v>
      </c>
      <c r="F5199" s="78">
        <v>13.967073063930201</v>
      </c>
      <c r="G5199" s="78">
        <v>13.967073063930201</v>
      </c>
      <c r="H5199" s="81">
        <v>14.215291541045</v>
      </c>
    </row>
    <row r="5200" spans="1:8" x14ac:dyDescent="0.3">
      <c r="A5200" s="74" t="str">
        <f t="shared" si="81"/>
        <v>海南46272</v>
      </c>
      <c r="B5200" s="75" t="s">
        <v>31</v>
      </c>
      <c r="C5200" s="45">
        <v>46272</v>
      </c>
      <c r="D5200" s="76">
        <v>184.19986559139801</v>
      </c>
      <c r="E5200" s="77">
        <v>125</v>
      </c>
      <c r="F5200" s="78">
        <v>13.967073063930201</v>
      </c>
      <c r="G5200" s="78">
        <v>13.967073063930201</v>
      </c>
      <c r="H5200" s="81">
        <v>14.215291541045</v>
      </c>
    </row>
    <row r="5201" spans="1:8" x14ac:dyDescent="0.3">
      <c r="A5201" s="74" t="str">
        <f t="shared" si="81"/>
        <v>海南46273</v>
      </c>
      <c r="B5201" s="75" t="s">
        <v>31</v>
      </c>
      <c r="C5201" s="45">
        <v>46273</v>
      </c>
      <c r="D5201" s="76">
        <v>184.19986559139801</v>
      </c>
      <c r="E5201" s="77">
        <v>125</v>
      </c>
      <c r="F5201" s="78">
        <v>13.967073063930201</v>
      </c>
      <c r="G5201" s="78">
        <v>13.967073063930201</v>
      </c>
      <c r="H5201" s="81">
        <v>14.215291541045</v>
      </c>
    </row>
    <row r="5202" spans="1:8" x14ac:dyDescent="0.3">
      <c r="A5202" s="74" t="str">
        <f t="shared" si="81"/>
        <v>海南46274</v>
      </c>
      <c r="B5202" s="75" t="s">
        <v>31</v>
      </c>
      <c r="C5202" s="45">
        <v>46274</v>
      </c>
      <c r="D5202" s="76">
        <v>184.19986559139801</v>
      </c>
      <c r="E5202" s="77">
        <v>125</v>
      </c>
      <c r="F5202" s="78">
        <v>13.967073063930201</v>
      </c>
      <c r="G5202" s="78">
        <v>13.967073063930201</v>
      </c>
      <c r="H5202" s="81">
        <v>14.215291541045</v>
      </c>
    </row>
    <row r="5203" spans="1:8" x14ac:dyDescent="0.3">
      <c r="A5203" s="74" t="str">
        <f t="shared" si="81"/>
        <v>海南46275</v>
      </c>
      <c r="B5203" s="75" t="s">
        <v>31</v>
      </c>
      <c r="C5203" s="45">
        <v>46275</v>
      </c>
      <c r="D5203" s="76">
        <v>184.19986559139801</v>
      </c>
      <c r="E5203" s="77">
        <v>125</v>
      </c>
      <c r="F5203" s="78">
        <v>13.967073063930201</v>
      </c>
      <c r="G5203" s="78">
        <v>13.967073063930201</v>
      </c>
      <c r="H5203" s="81">
        <v>14.215291541045</v>
      </c>
    </row>
    <row r="5204" spans="1:8" x14ac:dyDescent="0.3">
      <c r="A5204" s="74" t="str">
        <f t="shared" si="81"/>
        <v>海南46276</v>
      </c>
      <c r="B5204" s="75" t="s">
        <v>31</v>
      </c>
      <c r="C5204" s="45">
        <v>46276</v>
      </c>
      <c r="D5204" s="76">
        <v>184.19986559139801</v>
      </c>
      <c r="E5204" s="77">
        <v>125</v>
      </c>
      <c r="F5204" s="78">
        <v>13.967073063930201</v>
      </c>
      <c r="G5204" s="78">
        <v>13.967073063930201</v>
      </c>
      <c r="H5204" s="81">
        <v>14.215291541045</v>
      </c>
    </row>
    <row r="5205" spans="1:8" x14ac:dyDescent="0.3">
      <c r="A5205" s="74" t="str">
        <f t="shared" si="81"/>
        <v>海南46277</v>
      </c>
      <c r="B5205" s="75" t="s">
        <v>31</v>
      </c>
      <c r="C5205" s="45">
        <v>46277</v>
      </c>
      <c r="D5205" s="76">
        <v>184.19986559139801</v>
      </c>
      <c r="E5205" s="77">
        <v>125</v>
      </c>
      <c r="F5205" s="78">
        <v>13.967073063930201</v>
      </c>
      <c r="G5205" s="78">
        <v>13.967073063930201</v>
      </c>
      <c r="H5205" s="81">
        <v>14.215291541045</v>
      </c>
    </row>
    <row r="5206" spans="1:8" x14ac:dyDescent="0.3">
      <c r="A5206" s="74" t="str">
        <f t="shared" si="81"/>
        <v>海南46278</v>
      </c>
      <c r="B5206" s="75" t="s">
        <v>31</v>
      </c>
      <c r="C5206" s="45">
        <v>46278</v>
      </c>
      <c r="D5206" s="76">
        <v>184.19986559139801</v>
      </c>
      <c r="E5206" s="77">
        <v>125</v>
      </c>
      <c r="F5206" s="78">
        <v>13.967073063930201</v>
      </c>
      <c r="G5206" s="78">
        <v>13.967073063930201</v>
      </c>
      <c r="H5206" s="81">
        <v>14.215291541045</v>
      </c>
    </row>
    <row r="5207" spans="1:8" x14ac:dyDescent="0.3">
      <c r="A5207" s="74" t="str">
        <f t="shared" si="81"/>
        <v>海南46279</v>
      </c>
      <c r="B5207" s="75" t="s">
        <v>31</v>
      </c>
      <c r="C5207" s="45">
        <v>46279</v>
      </c>
      <c r="D5207" s="76">
        <v>184.19986559139801</v>
      </c>
      <c r="E5207" s="77">
        <v>125</v>
      </c>
      <c r="F5207" s="78">
        <v>13.967073063930201</v>
      </c>
      <c r="G5207" s="78">
        <v>13.967073063930201</v>
      </c>
      <c r="H5207" s="81">
        <v>14.215291541045</v>
      </c>
    </row>
    <row r="5208" spans="1:8" x14ac:dyDescent="0.3">
      <c r="A5208" s="74" t="str">
        <f t="shared" si="81"/>
        <v>海南46280</v>
      </c>
      <c r="B5208" s="75" t="s">
        <v>31</v>
      </c>
      <c r="C5208" s="45">
        <v>46280</v>
      </c>
      <c r="D5208" s="76">
        <v>184.19986559139801</v>
      </c>
      <c r="E5208" s="77">
        <v>125</v>
      </c>
      <c r="F5208" s="78">
        <v>13.967073063930201</v>
      </c>
      <c r="G5208" s="78">
        <v>13.967073063930201</v>
      </c>
      <c r="H5208" s="81">
        <v>14.215291541045</v>
      </c>
    </row>
    <row r="5209" spans="1:8" x14ac:dyDescent="0.3">
      <c r="A5209" s="74" t="str">
        <f t="shared" si="81"/>
        <v>海南46281</v>
      </c>
      <c r="B5209" s="75" t="s">
        <v>31</v>
      </c>
      <c r="C5209" s="45">
        <v>46281</v>
      </c>
      <c r="D5209" s="76">
        <v>184.19986559139801</v>
      </c>
      <c r="E5209" s="77">
        <v>125</v>
      </c>
      <c r="F5209" s="78">
        <v>13.967073063930201</v>
      </c>
      <c r="G5209" s="78">
        <v>13.967073063930201</v>
      </c>
      <c r="H5209" s="81">
        <v>14.215291541045</v>
      </c>
    </row>
    <row r="5210" spans="1:8" x14ac:dyDescent="0.3">
      <c r="A5210" s="74" t="str">
        <f t="shared" si="81"/>
        <v>海南46282</v>
      </c>
      <c r="B5210" s="75" t="s">
        <v>31</v>
      </c>
      <c r="C5210" s="45">
        <v>46282</v>
      </c>
      <c r="D5210" s="76">
        <v>184.19986559139801</v>
      </c>
      <c r="E5210" s="77">
        <v>125</v>
      </c>
      <c r="F5210" s="78">
        <v>13.967073063930201</v>
      </c>
      <c r="G5210" s="78">
        <v>13.967073063930201</v>
      </c>
      <c r="H5210" s="81">
        <v>14.215291541045</v>
      </c>
    </row>
    <row r="5211" spans="1:8" x14ac:dyDescent="0.3">
      <c r="A5211" s="74" t="str">
        <f t="shared" si="81"/>
        <v>海南46283</v>
      </c>
      <c r="B5211" s="75" t="s">
        <v>31</v>
      </c>
      <c r="C5211" s="45">
        <v>46283</v>
      </c>
      <c r="D5211" s="76">
        <v>184.19986559139801</v>
      </c>
      <c r="E5211" s="77">
        <v>125</v>
      </c>
      <c r="F5211" s="78">
        <v>13.967073063930201</v>
      </c>
      <c r="G5211" s="78">
        <v>13.967073063930201</v>
      </c>
      <c r="H5211" s="81">
        <v>14.215291541045</v>
      </c>
    </row>
    <row r="5212" spans="1:8" x14ac:dyDescent="0.3">
      <c r="A5212" s="74" t="str">
        <f t="shared" si="81"/>
        <v>海南46284</v>
      </c>
      <c r="B5212" s="75" t="s">
        <v>31</v>
      </c>
      <c r="C5212" s="45">
        <v>46284</v>
      </c>
      <c r="D5212" s="76">
        <v>184.19986559139801</v>
      </c>
      <c r="E5212" s="77">
        <v>125</v>
      </c>
      <c r="F5212" s="78">
        <v>13.967073063930201</v>
      </c>
      <c r="G5212" s="78">
        <v>13.967073063930201</v>
      </c>
      <c r="H5212" s="81">
        <v>14.215291541045</v>
      </c>
    </row>
    <row r="5213" spans="1:8" x14ac:dyDescent="0.3">
      <c r="A5213" s="74" t="str">
        <f t="shared" si="81"/>
        <v>海南46285</v>
      </c>
      <c r="B5213" s="75" t="s">
        <v>31</v>
      </c>
      <c r="C5213" s="45">
        <v>46285</v>
      </c>
      <c r="D5213" s="76">
        <v>184.19986559139801</v>
      </c>
      <c r="E5213" s="77">
        <v>125</v>
      </c>
      <c r="F5213" s="78">
        <v>13.967073063930201</v>
      </c>
      <c r="G5213" s="78">
        <v>13.967073063930201</v>
      </c>
      <c r="H5213" s="81">
        <v>14.215291541045</v>
      </c>
    </row>
    <row r="5214" spans="1:8" x14ac:dyDescent="0.3">
      <c r="A5214" s="74" t="str">
        <f t="shared" si="81"/>
        <v>海南46286</v>
      </c>
      <c r="B5214" s="75" t="s">
        <v>31</v>
      </c>
      <c r="C5214" s="45">
        <v>46286</v>
      </c>
      <c r="D5214" s="76">
        <v>184.19986559139801</v>
      </c>
      <c r="E5214" s="77">
        <v>125</v>
      </c>
      <c r="F5214" s="78">
        <v>13.967073063930201</v>
      </c>
      <c r="G5214" s="78">
        <v>13.967073063930201</v>
      </c>
      <c r="H5214" s="81">
        <v>14.215291541045</v>
      </c>
    </row>
    <row r="5215" spans="1:8" x14ac:dyDescent="0.3">
      <c r="A5215" s="74" t="str">
        <f t="shared" si="81"/>
        <v>海南46287</v>
      </c>
      <c r="B5215" s="75" t="s">
        <v>31</v>
      </c>
      <c r="C5215" s="45">
        <v>46287</v>
      </c>
      <c r="D5215" s="76">
        <v>184.19986559139801</v>
      </c>
      <c r="E5215" s="77">
        <v>125</v>
      </c>
      <c r="F5215" s="78">
        <v>13.967073063930201</v>
      </c>
      <c r="G5215" s="78">
        <v>13.967073063930201</v>
      </c>
      <c r="H5215" s="81">
        <v>14.215291541045</v>
      </c>
    </row>
    <row r="5216" spans="1:8" x14ac:dyDescent="0.3">
      <c r="A5216" s="74" t="str">
        <f t="shared" si="81"/>
        <v>海南46288</v>
      </c>
      <c r="B5216" s="75" t="s">
        <v>31</v>
      </c>
      <c r="C5216" s="45">
        <v>46288</v>
      </c>
      <c r="D5216" s="76">
        <v>184.19986559139801</v>
      </c>
      <c r="E5216" s="77">
        <v>125</v>
      </c>
      <c r="F5216" s="78">
        <v>13.967073063930201</v>
      </c>
      <c r="G5216" s="78">
        <v>13.967073063930201</v>
      </c>
      <c r="H5216" s="81">
        <v>14.215291541045</v>
      </c>
    </row>
    <row r="5217" spans="1:8" x14ac:dyDescent="0.3">
      <c r="A5217" s="74" t="str">
        <f t="shared" si="81"/>
        <v>海南46289</v>
      </c>
      <c r="B5217" s="75" t="s">
        <v>31</v>
      </c>
      <c r="C5217" s="45">
        <v>46289</v>
      </c>
      <c r="D5217" s="76">
        <v>184.19986559139801</v>
      </c>
      <c r="E5217" s="77">
        <v>125</v>
      </c>
      <c r="F5217" s="78">
        <v>13.967073063930201</v>
      </c>
      <c r="G5217" s="78">
        <v>13.967073063930201</v>
      </c>
      <c r="H5217" s="81">
        <v>14.215291541045</v>
      </c>
    </row>
    <row r="5218" spans="1:8" x14ac:dyDescent="0.3">
      <c r="A5218" s="74" t="str">
        <f t="shared" si="81"/>
        <v>海南46290</v>
      </c>
      <c r="B5218" s="75" t="s">
        <v>31</v>
      </c>
      <c r="C5218" s="45">
        <v>46290</v>
      </c>
      <c r="D5218" s="76">
        <v>184.19986559139801</v>
      </c>
      <c r="E5218" s="77">
        <v>125</v>
      </c>
      <c r="F5218" s="78">
        <v>13.967073063930201</v>
      </c>
      <c r="G5218" s="78">
        <v>13.967073063930201</v>
      </c>
      <c r="H5218" s="81">
        <v>14.215291541045</v>
      </c>
    </row>
    <row r="5219" spans="1:8" x14ac:dyDescent="0.3">
      <c r="A5219" s="74" t="str">
        <f t="shared" si="81"/>
        <v>海南46291</v>
      </c>
      <c r="B5219" s="75" t="s">
        <v>31</v>
      </c>
      <c r="C5219" s="45">
        <v>46291</v>
      </c>
      <c r="D5219" s="76">
        <v>184.19986559139801</v>
      </c>
      <c r="E5219" s="77">
        <v>125</v>
      </c>
      <c r="F5219" s="78">
        <v>13.967073063930201</v>
      </c>
      <c r="G5219" s="78">
        <v>13.967073063930201</v>
      </c>
      <c r="H5219" s="81">
        <v>14.215291541045</v>
      </c>
    </row>
    <row r="5220" spans="1:8" x14ac:dyDescent="0.3">
      <c r="A5220" s="74" t="str">
        <f t="shared" si="81"/>
        <v>海南46292</v>
      </c>
      <c r="B5220" s="75" t="s">
        <v>31</v>
      </c>
      <c r="C5220" s="45">
        <v>46292</v>
      </c>
      <c r="D5220" s="76">
        <v>184.19986559139801</v>
      </c>
      <c r="E5220" s="77">
        <v>125</v>
      </c>
      <c r="F5220" s="78">
        <v>13.967073063930201</v>
      </c>
      <c r="G5220" s="78">
        <v>13.967073063930201</v>
      </c>
      <c r="H5220" s="81">
        <v>14.215291541045</v>
      </c>
    </row>
    <row r="5221" spans="1:8" x14ac:dyDescent="0.3">
      <c r="A5221" s="74" t="str">
        <f t="shared" si="81"/>
        <v>海南46293</v>
      </c>
      <c r="B5221" s="75" t="s">
        <v>31</v>
      </c>
      <c r="C5221" s="45">
        <v>46293</v>
      </c>
      <c r="D5221" s="76">
        <v>184.19986559139801</v>
      </c>
      <c r="E5221" s="77">
        <v>125</v>
      </c>
      <c r="F5221" s="78">
        <v>13.967073063930201</v>
      </c>
      <c r="G5221" s="78">
        <v>13.967073063930201</v>
      </c>
      <c r="H5221" s="81">
        <v>14.215291541045</v>
      </c>
    </row>
    <row r="5222" spans="1:8" x14ac:dyDescent="0.3">
      <c r="A5222" s="74" t="str">
        <f t="shared" si="81"/>
        <v>海南46294</v>
      </c>
      <c r="B5222" s="75" t="s">
        <v>31</v>
      </c>
      <c r="C5222" s="45">
        <v>46294</v>
      </c>
      <c r="D5222" s="76">
        <v>184.19986559139801</v>
      </c>
      <c r="E5222" s="77">
        <v>125</v>
      </c>
      <c r="F5222" s="78">
        <v>13.967073063930201</v>
      </c>
      <c r="G5222" s="78">
        <v>13.967073063930201</v>
      </c>
      <c r="H5222" s="81">
        <v>14.215291541045</v>
      </c>
    </row>
    <row r="5223" spans="1:8" x14ac:dyDescent="0.3">
      <c r="A5223" s="74" t="str">
        <f t="shared" si="81"/>
        <v>海南46295</v>
      </c>
      <c r="B5223" s="75" t="s">
        <v>31</v>
      </c>
      <c r="C5223" s="45">
        <v>46295</v>
      </c>
      <c r="D5223" s="76">
        <v>184.19986559139801</v>
      </c>
      <c r="E5223" s="77">
        <v>125</v>
      </c>
      <c r="F5223" s="78">
        <v>13.967073063930201</v>
      </c>
      <c r="G5223" s="78">
        <v>13.967073063930201</v>
      </c>
      <c r="H5223" s="81">
        <v>14.215291541045</v>
      </c>
    </row>
    <row r="5224" spans="1:8" x14ac:dyDescent="0.3">
      <c r="A5224" s="74" t="str">
        <f t="shared" si="81"/>
        <v>海南46296</v>
      </c>
      <c r="B5224" s="75" t="s">
        <v>31</v>
      </c>
      <c r="C5224" s="45">
        <v>46296</v>
      </c>
      <c r="D5224" s="76">
        <v>260.99771505376299</v>
      </c>
      <c r="E5224" s="77">
        <v>125</v>
      </c>
      <c r="F5224" s="78">
        <v>14.2060171715501</v>
      </c>
      <c r="G5224" s="78">
        <v>14.2060171715501</v>
      </c>
      <c r="H5224" s="81">
        <v>14.3000745919856</v>
      </c>
    </row>
    <row r="5225" spans="1:8" x14ac:dyDescent="0.3">
      <c r="A5225" s="74" t="str">
        <f t="shared" si="81"/>
        <v>海南46297</v>
      </c>
      <c r="B5225" s="75" t="s">
        <v>31</v>
      </c>
      <c r="C5225" s="45">
        <v>46297</v>
      </c>
      <c r="D5225" s="76">
        <v>260.99771505376299</v>
      </c>
      <c r="E5225" s="77">
        <v>125</v>
      </c>
      <c r="F5225" s="78">
        <v>14.2060171715501</v>
      </c>
      <c r="G5225" s="78">
        <v>14.2060171715501</v>
      </c>
      <c r="H5225" s="81">
        <v>14.3000745919856</v>
      </c>
    </row>
    <row r="5226" spans="1:8" x14ac:dyDescent="0.3">
      <c r="A5226" s="74" t="str">
        <f t="shared" si="81"/>
        <v>海南46298</v>
      </c>
      <c r="B5226" s="75" t="s">
        <v>31</v>
      </c>
      <c r="C5226" s="45">
        <v>46298</v>
      </c>
      <c r="D5226" s="76">
        <v>260.99771505376299</v>
      </c>
      <c r="E5226" s="77">
        <v>125</v>
      </c>
      <c r="F5226" s="78">
        <v>14.2060171715501</v>
      </c>
      <c r="G5226" s="78">
        <v>14.2060171715501</v>
      </c>
      <c r="H5226" s="81">
        <v>14.3000745919856</v>
      </c>
    </row>
    <row r="5227" spans="1:8" x14ac:dyDescent="0.3">
      <c r="A5227" s="74" t="str">
        <f t="shared" si="81"/>
        <v>海南46299</v>
      </c>
      <c r="B5227" s="75" t="s">
        <v>31</v>
      </c>
      <c r="C5227" s="45">
        <v>46299</v>
      </c>
      <c r="D5227" s="76">
        <v>260.99771505376299</v>
      </c>
      <c r="E5227" s="77">
        <v>125</v>
      </c>
      <c r="F5227" s="78">
        <v>14.2060171715501</v>
      </c>
      <c r="G5227" s="78">
        <v>14.2060171715501</v>
      </c>
      <c r="H5227" s="81">
        <v>14.3000745919856</v>
      </c>
    </row>
    <row r="5228" spans="1:8" x14ac:dyDescent="0.3">
      <c r="A5228" s="74" t="str">
        <f t="shared" si="81"/>
        <v>海南46300</v>
      </c>
      <c r="B5228" s="75" t="s">
        <v>31</v>
      </c>
      <c r="C5228" s="45">
        <v>46300</v>
      </c>
      <c r="D5228" s="76">
        <v>260.99771505376299</v>
      </c>
      <c r="E5228" s="77">
        <v>125</v>
      </c>
      <c r="F5228" s="78">
        <v>14.2060171715501</v>
      </c>
      <c r="G5228" s="78">
        <v>14.2060171715501</v>
      </c>
      <c r="H5228" s="81">
        <v>14.3000745919856</v>
      </c>
    </row>
    <row r="5229" spans="1:8" x14ac:dyDescent="0.3">
      <c r="A5229" s="74" t="str">
        <f t="shared" si="81"/>
        <v>海南46301</v>
      </c>
      <c r="B5229" s="75" t="s">
        <v>31</v>
      </c>
      <c r="C5229" s="45">
        <v>46301</v>
      </c>
      <c r="D5229" s="76">
        <v>260.99771505376299</v>
      </c>
      <c r="E5229" s="77">
        <v>125</v>
      </c>
      <c r="F5229" s="78">
        <v>14.2060171715501</v>
      </c>
      <c r="G5229" s="78">
        <v>14.2060171715501</v>
      </c>
      <c r="H5229" s="81">
        <v>14.3000745919856</v>
      </c>
    </row>
    <row r="5230" spans="1:8" x14ac:dyDescent="0.3">
      <c r="A5230" s="74" t="str">
        <f t="shared" si="81"/>
        <v>海南46302</v>
      </c>
      <c r="B5230" s="75" t="s">
        <v>31</v>
      </c>
      <c r="C5230" s="45">
        <v>46302</v>
      </c>
      <c r="D5230" s="76">
        <v>260.99771505376299</v>
      </c>
      <c r="E5230" s="77">
        <v>125</v>
      </c>
      <c r="F5230" s="78">
        <v>14.2060171715501</v>
      </c>
      <c r="G5230" s="78">
        <v>14.2060171715501</v>
      </c>
      <c r="H5230" s="81">
        <v>14.3000745919856</v>
      </c>
    </row>
    <row r="5231" spans="1:8" x14ac:dyDescent="0.3">
      <c r="A5231" s="74" t="str">
        <f t="shared" si="81"/>
        <v>海南46303</v>
      </c>
      <c r="B5231" s="75" t="s">
        <v>31</v>
      </c>
      <c r="C5231" s="45">
        <v>46303</v>
      </c>
      <c r="D5231" s="76">
        <v>260.99771505376299</v>
      </c>
      <c r="E5231" s="77">
        <v>125</v>
      </c>
      <c r="F5231" s="78">
        <v>14.2060171715501</v>
      </c>
      <c r="G5231" s="78">
        <v>14.2060171715501</v>
      </c>
      <c r="H5231" s="81">
        <v>14.3000745919856</v>
      </c>
    </row>
    <row r="5232" spans="1:8" x14ac:dyDescent="0.3">
      <c r="A5232" s="74" t="str">
        <f t="shared" si="81"/>
        <v>海南46304</v>
      </c>
      <c r="B5232" s="75" t="s">
        <v>31</v>
      </c>
      <c r="C5232" s="45">
        <v>46304</v>
      </c>
      <c r="D5232" s="76">
        <v>260.99771505376299</v>
      </c>
      <c r="E5232" s="77">
        <v>125</v>
      </c>
      <c r="F5232" s="78">
        <v>14.2060171715501</v>
      </c>
      <c r="G5232" s="78">
        <v>14.2060171715501</v>
      </c>
      <c r="H5232" s="81">
        <v>14.3000745919856</v>
      </c>
    </row>
    <row r="5233" spans="1:8" x14ac:dyDescent="0.3">
      <c r="A5233" s="74" t="str">
        <f t="shared" si="81"/>
        <v>海南46305</v>
      </c>
      <c r="B5233" s="75" t="s">
        <v>31</v>
      </c>
      <c r="C5233" s="45">
        <v>46305</v>
      </c>
      <c r="D5233" s="76">
        <v>260.99771505376299</v>
      </c>
      <c r="E5233" s="77">
        <v>125</v>
      </c>
      <c r="F5233" s="78">
        <v>14.2060171715501</v>
      </c>
      <c r="G5233" s="78">
        <v>14.2060171715501</v>
      </c>
      <c r="H5233" s="81">
        <v>14.3000745919856</v>
      </c>
    </row>
    <row r="5234" spans="1:8" x14ac:dyDescent="0.3">
      <c r="A5234" s="74" t="str">
        <f t="shared" si="81"/>
        <v>海南46306</v>
      </c>
      <c r="B5234" s="75" t="s">
        <v>31</v>
      </c>
      <c r="C5234" s="45">
        <v>46306</v>
      </c>
      <c r="D5234" s="76">
        <v>260.99771505376299</v>
      </c>
      <c r="E5234" s="77">
        <v>125</v>
      </c>
      <c r="F5234" s="78">
        <v>14.2060171715501</v>
      </c>
      <c r="G5234" s="78">
        <v>14.2060171715501</v>
      </c>
      <c r="H5234" s="81">
        <v>14.3000745919856</v>
      </c>
    </row>
    <row r="5235" spans="1:8" x14ac:dyDescent="0.3">
      <c r="A5235" s="74" t="str">
        <f t="shared" si="81"/>
        <v>海南46307</v>
      </c>
      <c r="B5235" s="75" t="s">
        <v>31</v>
      </c>
      <c r="C5235" s="45">
        <v>46307</v>
      </c>
      <c r="D5235" s="76">
        <v>260.99771505376299</v>
      </c>
      <c r="E5235" s="77">
        <v>125</v>
      </c>
      <c r="F5235" s="78">
        <v>14.2060171715501</v>
      </c>
      <c r="G5235" s="78">
        <v>14.2060171715501</v>
      </c>
      <c r="H5235" s="81">
        <v>14.3000745919856</v>
      </c>
    </row>
    <row r="5236" spans="1:8" x14ac:dyDescent="0.3">
      <c r="A5236" s="74" t="str">
        <f t="shared" si="81"/>
        <v>海南46308</v>
      </c>
      <c r="B5236" s="75" t="s">
        <v>31</v>
      </c>
      <c r="C5236" s="45">
        <v>46308</v>
      </c>
      <c r="D5236" s="76">
        <v>260.99771505376299</v>
      </c>
      <c r="E5236" s="77">
        <v>125</v>
      </c>
      <c r="F5236" s="78">
        <v>14.2060171715501</v>
      </c>
      <c r="G5236" s="78">
        <v>14.2060171715501</v>
      </c>
      <c r="H5236" s="81">
        <v>14.3000745919856</v>
      </c>
    </row>
    <row r="5237" spans="1:8" x14ac:dyDescent="0.3">
      <c r="A5237" s="74" t="str">
        <f t="shared" si="81"/>
        <v>海南46309</v>
      </c>
      <c r="B5237" s="75" t="s">
        <v>31</v>
      </c>
      <c r="C5237" s="45">
        <v>46309</v>
      </c>
      <c r="D5237" s="76">
        <v>260.99771505376299</v>
      </c>
      <c r="E5237" s="77">
        <v>125</v>
      </c>
      <c r="F5237" s="78">
        <v>14.2060171715501</v>
      </c>
      <c r="G5237" s="78">
        <v>14.2060171715501</v>
      </c>
      <c r="H5237" s="81">
        <v>14.3000745919856</v>
      </c>
    </row>
    <row r="5238" spans="1:8" x14ac:dyDescent="0.3">
      <c r="A5238" s="74" t="str">
        <f t="shared" si="81"/>
        <v>海南46310</v>
      </c>
      <c r="B5238" s="75" t="s">
        <v>31</v>
      </c>
      <c r="C5238" s="45">
        <v>46310</v>
      </c>
      <c r="D5238" s="76">
        <v>260.99771505376299</v>
      </c>
      <c r="E5238" s="77">
        <v>125</v>
      </c>
      <c r="F5238" s="78">
        <v>14.2060171715501</v>
      </c>
      <c r="G5238" s="78">
        <v>14.2060171715501</v>
      </c>
      <c r="H5238" s="81">
        <v>14.3000745919856</v>
      </c>
    </row>
    <row r="5239" spans="1:8" x14ac:dyDescent="0.3">
      <c r="A5239" s="74" t="str">
        <f t="shared" si="81"/>
        <v>海南46311</v>
      </c>
      <c r="B5239" s="75" t="s">
        <v>31</v>
      </c>
      <c r="C5239" s="45">
        <v>46311</v>
      </c>
      <c r="D5239" s="76">
        <v>260.99771505376299</v>
      </c>
      <c r="E5239" s="77">
        <v>125</v>
      </c>
      <c r="F5239" s="78">
        <v>14.2060171715501</v>
      </c>
      <c r="G5239" s="78">
        <v>14.2060171715501</v>
      </c>
      <c r="H5239" s="81">
        <v>14.3000745919856</v>
      </c>
    </row>
    <row r="5240" spans="1:8" x14ac:dyDescent="0.3">
      <c r="A5240" s="74" t="str">
        <f t="shared" si="81"/>
        <v>海南46312</v>
      </c>
      <c r="B5240" s="75" t="s">
        <v>31</v>
      </c>
      <c r="C5240" s="45">
        <v>46312</v>
      </c>
      <c r="D5240" s="76">
        <v>260.99771505376299</v>
      </c>
      <c r="E5240" s="77">
        <v>125</v>
      </c>
      <c r="F5240" s="78">
        <v>14.2060171715501</v>
      </c>
      <c r="G5240" s="78">
        <v>14.2060171715501</v>
      </c>
      <c r="H5240" s="81">
        <v>14.3000745919856</v>
      </c>
    </row>
    <row r="5241" spans="1:8" x14ac:dyDescent="0.3">
      <c r="A5241" s="74" t="str">
        <f t="shared" si="81"/>
        <v>海南46313</v>
      </c>
      <c r="B5241" s="75" t="s">
        <v>31</v>
      </c>
      <c r="C5241" s="45">
        <v>46313</v>
      </c>
      <c r="D5241" s="76">
        <v>260.99771505376299</v>
      </c>
      <c r="E5241" s="77">
        <v>125</v>
      </c>
      <c r="F5241" s="78">
        <v>14.2060171715501</v>
      </c>
      <c r="G5241" s="78">
        <v>14.2060171715501</v>
      </c>
      <c r="H5241" s="81">
        <v>14.3000745919856</v>
      </c>
    </row>
    <row r="5242" spans="1:8" x14ac:dyDescent="0.3">
      <c r="A5242" s="74" t="str">
        <f t="shared" si="81"/>
        <v>海南46314</v>
      </c>
      <c r="B5242" s="75" t="s">
        <v>31</v>
      </c>
      <c r="C5242" s="45">
        <v>46314</v>
      </c>
      <c r="D5242" s="76">
        <v>260.99771505376299</v>
      </c>
      <c r="E5242" s="77">
        <v>125</v>
      </c>
      <c r="F5242" s="78">
        <v>14.2060171715501</v>
      </c>
      <c r="G5242" s="78">
        <v>14.2060171715501</v>
      </c>
      <c r="H5242" s="81">
        <v>14.3000745919856</v>
      </c>
    </row>
    <row r="5243" spans="1:8" x14ac:dyDescent="0.3">
      <c r="A5243" s="74" t="str">
        <f t="shared" si="81"/>
        <v>海南46315</v>
      </c>
      <c r="B5243" s="75" t="s">
        <v>31</v>
      </c>
      <c r="C5243" s="45">
        <v>46315</v>
      </c>
      <c r="D5243" s="76">
        <v>260.99771505376299</v>
      </c>
      <c r="E5243" s="77">
        <v>125</v>
      </c>
      <c r="F5243" s="78">
        <v>14.2060171715501</v>
      </c>
      <c r="G5243" s="78">
        <v>14.2060171715501</v>
      </c>
      <c r="H5243" s="81">
        <v>14.3000745919856</v>
      </c>
    </row>
    <row r="5244" spans="1:8" x14ac:dyDescent="0.3">
      <c r="A5244" s="74" t="str">
        <f t="shared" si="81"/>
        <v>海南46316</v>
      </c>
      <c r="B5244" s="75" t="s">
        <v>31</v>
      </c>
      <c r="C5244" s="45">
        <v>46316</v>
      </c>
      <c r="D5244" s="76">
        <v>260.99771505376299</v>
      </c>
      <c r="E5244" s="77">
        <v>125</v>
      </c>
      <c r="F5244" s="78">
        <v>14.2060171715501</v>
      </c>
      <c r="G5244" s="78">
        <v>14.2060171715501</v>
      </c>
      <c r="H5244" s="81">
        <v>14.3000745919856</v>
      </c>
    </row>
    <row r="5245" spans="1:8" x14ac:dyDescent="0.3">
      <c r="A5245" s="74" t="str">
        <f t="shared" si="81"/>
        <v>海南46317</v>
      </c>
      <c r="B5245" s="75" t="s">
        <v>31</v>
      </c>
      <c r="C5245" s="45">
        <v>46317</v>
      </c>
      <c r="D5245" s="76">
        <v>260.99771505376299</v>
      </c>
      <c r="E5245" s="77">
        <v>125</v>
      </c>
      <c r="F5245" s="78">
        <v>14.2060171715501</v>
      </c>
      <c r="G5245" s="78">
        <v>14.2060171715501</v>
      </c>
      <c r="H5245" s="81">
        <v>14.3000745919856</v>
      </c>
    </row>
    <row r="5246" spans="1:8" x14ac:dyDescent="0.3">
      <c r="A5246" s="74" t="str">
        <f t="shared" si="81"/>
        <v>海南46318</v>
      </c>
      <c r="B5246" s="75" t="s">
        <v>31</v>
      </c>
      <c r="C5246" s="45">
        <v>46318</v>
      </c>
      <c r="D5246" s="76">
        <v>260.99771505376299</v>
      </c>
      <c r="E5246" s="77">
        <v>125</v>
      </c>
      <c r="F5246" s="78">
        <v>14.2060171715501</v>
      </c>
      <c r="G5246" s="78">
        <v>14.2060171715501</v>
      </c>
      <c r="H5246" s="81">
        <v>14.3000745919856</v>
      </c>
    </row>
    <row r="5247" spans="1:8" x14ac:dyDescent="0.3">
      <c r="A5247" s="74" t="str">
        <f t="shared" si="81"/>
        <v>海南46319</v>
      </c>
      <c r="B5247" s="75" t="s">
        <v>31</v>
      </c>
      <c r="C5247" s="45">
        <v>46319</v>
      </c>
      <c r="D5247" s="76">
        <v>260.99771505376299</v>
      </c>
      <c r="E5247" s="77">
        <v>125</v>
      </c>
      <c r="F5247" s="78">
        <v>14.2060171715501</v>
      </c>
      <c r="G5247" s="78">
        <v>14.2060171715501</v>
      </c>
      <c r="H5247" s="81">
        <v>14.3000745919856</v>
      </c>
    </row>
    <row r="5248" spans="1:8" x14ac:dyDescent="0.3">
      <c r="A5248" s="74" t="str">
        <f t="shared" si="81"/>
        <v>海南46320</v>
      </c>
      <c r="B5248" s="75" t="s">
        <v>31</v>
      </c>
      <c r="C5248" s="45">
        <v>46320</v>
      </c>
      <c r="D5248" s="76">
        <v>260.99771505376299</v>
      </c>
      <c r="E5248" s="77">
        <v>125</v>
      </c>
      <c r="F5248" s="78">
        <v>14.2060171715501</v>
      </c>
      <c r="G5248" s="78">
        <v>14.2060171715501</v>
      </c>
      <c r="H5248" s="81">
        <v>14.3000745919856</v>
      </c>
    </row>
    <row r="5249" spans="1:8" x14ac:dyDescent="0.3">
      <c r="A5249" s="74" t="str">
        <f t="shared" si="81"/>
        <v>海南46321</v>
      </c>
      <c r="B5249" s="75" t="s">
        <v>31</v>
      </c>
      <c r="C5249" s="45">
        <v>46321</v>
      </c>
      <c r="D5249" s="76">
        <v>260.99771505376299</v>
      </c>
      <c r="E5249" s="77">
        <v>125</v>
      </c>
      <c r="F5249" s="78">
        <v>14.2060171715501</v>
      </c>
      <c r="G5249" s="78">
        <v>14.2060171715501</v>
      </c>
      <c r="H5249" s="81">
        <v>14.3000745919856</v>
      </c>
    </row>
    <row r="5250" spans="1:8" x14ac:dyDescent="0.3">
      <c r="A5250" s="74" t="str">
        <f t="shared" si="81"/>
        <v>海南46322</v>
      </c>
      <c r="B5250" s="75" t="s">
        <v>31</v>
      </c>
      <c r="C5250" s="45">
        <v>46322</v>
      </c>
      <c r="D5250" s="76">
        <v>260.99771505376299</v>
      </c>
      <c r="E5250" s="77">
        <v>125</v>
      </c>
      <c r="F5250" s="78">
        <v>14.2060171715501</v>
      </c>
      <c r="G5250" s="78">
        <v>14.2060171715501</v>
      </c>
      <c r="H5250" s="81">
        <v>14.3000745919856</v>
      </c>
    </row>
    <row r="5251" spans="1:8" x14ac:dyDescent="0.3">
      <c r="A5251" s="74" t="str">
        <f t="shared" ref="A5251:A5314" si="82">B5251&amp;C5251</f>
        <v>海南46323</v>
      </c>
      <c r="B5251" s="75" t="s">
        <v>31</v>
      </c>
      <c r="C5251" s="45">
        <v>46323</v>
      </c>
      <c r="D5251" s="76">
        <v>260.99771505376299</v>
      </c>
      <c r="E5251" s="77">
        <v>125</v>
      </c>
      <c r="F5251" s="78">
        <v>14.2060171715501</v>
      </c>
      <c r="G5251" s="78">
        <v>14.2060171715501</v>
      </c>
      <c r="H5251" s="81">
        <v>14.3000745919856</v>
      </c>
    </row>
    <row r="5252" spans="1:8" x14ac:dyDescent="0.3">
      <c r="A5252" s="74" t="str">
        <f t="shared" si="82"/>
        <v>海南46324</v>
      </c>
      <c r="B5252" s="75" t="s">
        <v>31</v>
      </c>
      <c r="C5252" s="45">
        <v>46324</v>
      </c>
      <c r="D5252" s="76">
        <v>260.99771505376299</v>
      </c>
      <c r="E5252" s="77">
        <v>125</v>
      </c>
      <c r="F5252" s="78">
        <v>14.2060171715501</v>
      </c>
      <c r="G5252" s="78">
        <v>14.2060171715501</v>
      </c>
      <c r="H5252" s="81">
        <v>14.3000745919856</v>
      </c>
    </row>
    <row r="5253" spans="1:8" x14ac:dyDescent="0.3">
      <c r="A5253" s="74" t="str">
        <f t="shared" si="82"/>
        <v>海南46325</v>
      </c>
      <c r="B5253" s="75" t="s">
        <v>31</v>
      </c>
      <c r="C5253" s="45">
        <v>46325</v>
      </c>
      <c r="D5253" s="76">
        <v>260.99771505376299</v>
      </c>
      <c r="E5253" s="77">
        <v>125</v>
      </c>
      <c r="F5253" s="78">
        <v>14.2060171715501</v>
      </c>
      <c r="G5253" s="78">
        <v>14.2060171715501</v>
      </c>
      <c r="H5253" s="81">
        <v>14.3000745919856</v>
      </c>
    </row>
    <row r="5254" spans="1:8" x14ac:dyDescent="0.3">
      <c r="A5254" s="74" t="str">
        <f t="shared" si="82"/>
        <v>海南46326</v>
      </c>
      <c r="B5254" s="75" t="s">
        <v>31</v>
      </c>
      <c r="C5254" s="45">
        <v>46326</v>
      </c>
      <c r="D5254" s="76">
        <v>260.99771505376299</v>
      </c>
      <c r="E5254" s="77">
        <v>125</v>
      </c>
      <c r="F5254" s="78">
        <v>14.2060171715501</v>
      </c>
      <c r="G5254" s="78">
        <v>14.2060171715501</v>
      </c>
      <c r="H5254" s="81">
        <v>14.3000745919856</v>
      </c>
    </row>
    <row r="5255" spans="1:8" x14ac:dyDescent="0.3">
      <c r="A5255" s="74" t="str">
        <f t="shared" si="82"/>
        <v>海南46327</v>
      </c>
      <c r="B5255" s="75" t="s">
        <v>31</v>
      </c>
      <c r="C5255" s="45">
        <v>46327</v>
      </c>
      <c r="D5255" s="76">
        <v>397.39811827956999</v>
      </c>
      <c r="E5255" s="77">
        <v>125</v>
      </c>
      <c r="F5255" s="78">
        <v>14.5354022887262</v>
      </c>
      <c r="G5255" s="78">
        <v>14.5354022887262</v>
      </c>
      <c r="H5255" s="81">
        <v>14.384857642926301</v>
      </c>
    </row>
    <row r="5256" spans="1:8" x14ac:dyDescent="0.3">
      <c r="A5256" s="74" t="str">
        <f t="shared" si="82"/>
        <v>海南46328</v>
      </c>
      <c r="B5256" s="75" t="s">
        <v>31</v>
      </c>
      <c r="C5256" s="45">
        <v>46328</v>
      </c>
      <c r="D5256" s="76">
        <v>397.39811827956999</v>
      </c>
      <c r="E5256" s="77">
        <v>125</v>
      </c>
      <c r="F5256" s="78">
        <v>14.5354022887262</v>
      </c>
      <c r="G5256" s="78">
        <v>14.5354022887262</v>
      </c>
      <c r="H5256" s="81">
        <v>14.384857642926301</v>
      </c>
    </row>
    <row r="5257" spans="1:8" x14ac:dyDescent="0.3">
      <c r="A5257" s="74" t="str">
        <f t="shared" si="82"/>
        <v>海南46329</v>
      </c>
      <c r="B5257" s="75" t="s">
        <v>31</v>
      </c>
      <c r="C5257" s="45">
        <v>46329</v>
      </c>
      <c r="D5257" s="76">
        <v>397.39811827956999</v>
      </c>
      <c r="E5257" s="77">
        <v>125</v>
      </c>
      <c r="F5257" s="78">
        <v>14.5354022887262</v>
      </c>
      <c r="G5257" s="78">
        <v>14.5354022887262</v>
      </c>
      <c r="H5257" s="81">
        <v>14.384857642926301</v>
      </c>
    </row>
    <row r="5258" spans="1:8" x14ac:dyDescent="0.3">
      <c r="A5258" s="74" t="str">
        <f t="shared" si="82"/>
        <v>海南46330</v>
      </c>
      <c r="B5258" s="75" t="s">
        <v>31</v>
      </c>
      <c r="C5258" s="45">
        <v>46330</v>
      </c>
      <c r="D5258" s="76">
        <v>397.39811827956999</v>
      </c>
      <c r="E5258" s="77">
        <v>125</v>
      </c>
      <c r="F5258" s="78">
        <v>14.5354022887262</v>
      </c>
      <c r="G5258" s="78">
        <v>14.5354022887262</v>
      </c>
      <c r="H5258" s="81">
        <v>14.384857642926301</v>
      </c>
    </row>
    <row r="5259" spans="1:8" x14ac:dyDescent="0.3">
      <c r="A5259" s="74" t="str">
        <f t="shared" si="82"/>
        <v>海南46331</v>
      </c>
      <c r="B5259" s="75" t="s">
        <v>31</v>
      </c>
      <c r="C5259" s="45">
        <v>46331</v>
      </c>
      <c r="D5259" s="76">
        <v>397.39811827956999</v>
      </c>
      <c r="E5259" s="77">
        <v>125</v>
      </c>
      <c r="F5259" s="78">
        <v>14.5354022887262</v>
      </c>
      <c r="G5259" s="78">
        <v>14.5354022887262</v>
      </c>
      <c r="H5259" s="81">
        <v>14.384857642926301</v>
      </c>
    </row>
    <row r="5260" spans="1:8" x14ac:dyDescent="0.3">
      <c r="A5260" s="74" t="str">
        <f t="shared" si="82"/>
        <v>海南46332</v>
      </c>
      <c r="B5260" s="75" t="s">
        <v>31</v>
      </c>
      <c r="C5260" s="45">
        <v>46332</v>
      </c>
      <c r="D5260" s="76">
        <v>397.39811827956999</v>
      </c>
      <c r="E5260" s="77">
        <v>125</v>
      </c>
      <c r="F5260" s="78">
        <v>14.5354022887262</v>
      </c>
      <c r="G5260" s="78">
        <v>14.5354022887262</v>
      </c>
      <c r="H5260" s="81">
        <v>14.384857642926301</v>
      </c>
    </row>
    <row r="5261" spans="1:8" x14ac:dyDescent="0.3">
      <c r="A5261" s="74" t="str">
        <f t="shared" si="82"/>
        <v>海南46333</v>
      </c>
      <c r="B5261" s="75" t="s">
        <v>31</v>
      </c>
      <c r="C5261" s="45">
        <v>46333</v>
      </c>
      <c r="D5261" s="76">
        <v>397.39811827956999</v>
      </c>
      <c r="E5261" s="77">
        <v>125</v>
      </c>
      <c r="F5261" s="78">
        <v>14.5354022887262</v>
      </c>
      <c r="G5261" s="78">
        <v>14.5354022887262</v>
      </c>
      <c r="H5261" s="81">
        <v>14.384857642926301</v>
      </c>
    </row>
    <row r="5262" spans="1:8" x14ac:dyDescent="0.3">
      <c r="A5262" s="74" t="str">
        <f t="shared" si="82"/>
        <v>海南46334</v>
      </c>
      <c r="B5262" s="75" t="s">
        <v>31</v>
      </c>
      <c r="C5262" s="45">
        <v>46334</v>
      </c>
      <c r="D5262" s="76">
        <v>397.39811827956999</v>
      </c>
      <c r="E5262" s="77">
        <v>125</v>
      </c>
      <c r="F5262" s="78">
        <v>14.5354022887262</v>
      </c>
      <c r="G5262" s="78">
        <v>14.5354022887262</v>
      </c>
      <c r="H5262" s="81">
        <v>14.384857642926301</v>
      </c>
    </row>
    <row r="5263" spans="1:8" x14ac:dyDescent="0.3">
      <c r="A5263" s="74" t="str">
        <f t="shared" si="82"/>
        <v>海南46335</v>
      </c>
      <c r="B5263" s="75" t="s">
        <v>31</v>
      </c>
      <c r="C5263" s="45">
        <v>46335</v>
      </c>
      <c r="D5263" s="76">
        <v>397.39811827956999</v>
      </c>
      <c r="E5263" s="77">
        <v>125</v>
      </c>
      <c r="F5263" s="78">
        <v>14.5354022887262</v>
      </c>
      <c r="G5263" s="78">
        <v>14.5354022887262</v>
      </c>
      <c r="H5263" s="81">
        <v>14.384857642926301</v>
      </c>
    </row>
    <row r="5264" spans="1:8" x14ac:dyDescent="0.3">
      <c r="A5264" s="74" t="str">
        <f t="shared" si="82"/>
        <v>海南46336</v>
      </c>
      <c r="B5264" s="75" t="s">
        <v>31</v>
      </c>
      <c r="C5264" s="45">
        <v>46336</v>
      </c>
      <c r="D5264" s="76">
        <v>397.39811827956999</v>
      </c>
      <c r="E5264" s="77">
        <v>125</v>
      </c>
      <c r="F5264" s="78">
        <v>14.5354022887262</v>
      </c>
      <c r="G5264" s="78">
        <v>14.5354022887262</v>
      </c>
      <c r="H5264" s="81">
        <v>14.384857642926301</v>
      </c>
    </row>
    <row r="5265" spans="1:8" x14ac:dyDescent="0.3">
      <c r="A5265" s="74" t="str">
        <f t="shared" si="82"/>
        <v>海南46337</v>
      </c>
      <c r="B5265" s="75" t="s">
        <v>31</v>
      </c>
      <c r="C5265" s="45">
        <v>46337</v>
      </c>
      <c r="D5265" s="76">
        <v>397.39811827956999</v>
      </c>
      <c r="E5265" s="77">
        <v>125</v>
      </c>
      <c r="F5265" s="78">
        <v>14.5354022887262</v>
      </c>
      <c r="G5265" s="78">
        <v>14.5354022887262</v>
      </c>
      <c r="H5265" s="81">
        <v>14.384857642926301</v>
      </c>
    </row>
    <row r="5266" spans="1:8" x14ac:dyDescent="0.3">
      <c r="A5266" s="74" t="str">
        <f t="shared" si="82"/>
        <v>海南46338</v>
      </c>
      <c r="B5266" s="75" t="s">
        <v>31</v>
      </c>
      <c r="C5266" s="45">
        <v>46338</v>
      </c>
      <c r="D5266" s="76">
        <v>397.39811827956999</v>
      </c>
      <c r="E5266" s="77">
        <v>125</v>
      </c>
      <c r="F5266" s="78">
        <v>14.5354022887262</v>
      </c>
      <c r="G5266" s="78">
        <v>14.5354022887262</v>
      </c>
      <c r="H5266" s="81">
        <v>14.384857642926301</v>
      </c>
    </row>
    <row r="5267" spans="1:8" x14ac:dyDescent="0.3">
      <c r="A5267" s="74" t="str">
        <f t="shared" si="82"/>
        <v>海南46339</v>
      </c>
      <c r="B5267" s="75" t="s">
        <v>31</v>
      </c>
      <c r="C5267" s="45">
        <v>46339</v>
      </c>
      <c r="D5267" s="76">
        <v>397.39811827956999</v>
      </c>
      <c r="E5267" s="77">
        <v>125</v>
      </c>
      <c r="F5267" s="78">
        <v>14.5354022887262</v>
      </c>
      <c r="G5267" s="78">
        <v>14.5354022887262</v>
      </c>
      <c r="H5267" s="81">
        <v>14.384857642926301</v>
      </c>
    </row>
    <row r="5268" spans="1:8" x14ac:dyDescent="0.3">
      <c r="A5268" s="74" t="str">
        <f t="shared" si="82"/>
        <v>海南46340</v>
      </c>
      <c r="B5268" s="75" t="s">
        <v>31</v>
      </c>
      <c r="C5268" s="45">
        <v>46340</v>
      </c>
      <c r="D5268" s="76">
        <v>397.39811827956999</v>
      </c>
      <c r="E5268" s="77">
        <v>125</v>
      </c>
      <c r="F5268" s="78">
        <v>14.5354022887262</v>
      </c>
      <c r="G5268" s="78">
        <v>14.5354022887262</v>
      </c>
      <c r="H5268" s="81">
        <v>14.384857642926301</v>
      </c>
    </row>
    <row r="5269" spans="1:8" x14ac:dyDescent="0.3">
      <c r="A5269" s="74" t="str">
        <f t="shared" si="82"/>
        <v>海南46341</v>
      </c>
      <c r="B5269" s="75" t="s">
        <v>31</v>
      </c>
      <c r="C5269" s="45">
        <v>46341</v>
      </c>
      <c r="D5269" s="76">
        <v>397.39811827956999</v>
      </c>
      <c r="E5269" s="77">
        <v>125</v>
      </c>
      <c r="F5269" s="78">
        <v>14.5354022887262</v>
      </c>
      <c r="G5269" s="78">
        <v>14.5354022887262</v>
      </c>
      <c r="H5269" s="81">
        <v>14.384857642926301</v>
      </c>
    </row>
    <row r="5270" spans="1:8" x14ac:dyDescent="0.3">
      <c r="A5270" s="74" t="str">
        <f t="shared" si="82"/>
        <v>海南46342</v>
      </c>
      <c r="B5270" s="75" t="s">
        <v>31</v>
      </c>
      <c r="C5270" s="45">
        <v>46342</v>
      </c>
      <c r="D5270" s="76">
        <v>397.39811827956999</v>
      </c>
      <c r="E5270" s="77">
        <v>125</v>
      </c>
      <c r="F5270" s="78">
        <v>14.5354022887262</v>
      </c>
      <c r="G5270" s="78">
        <v>14.5354022887262</v>
      </c>
      <c r="H5270" s="81">
        <v>14.384857642926301</v>
      </c>
    </row>
    <row r="5271" spans="1:8" x14ac:dyDescent="0.3">
      <c r="A5271" s="74" t="str">
        <f t="shared" si="82"/>
        <v>海南46343</v>
      </c>
      <c r="B5271" s="75" t="s">
        <v>31</v>
      </c>
      <c r="C5271" s="45">
        <v>46343</v>
      </c>
      <c r="D5271" s="76">
        <v>397.39811827956999</v>
      </c>
      <c r="E5271" s="77">
        <v>125</v>
      </c>
      <c r="F5271" s="78">
        <v>14.5354022887262</v>
      </c>
      <c r="G5271" s="78">
        <v>14.5354022887262</v>
      </c>
      <c r="H5271" s="81">
        <v>14.384857642926301</v>
      </c>
    </row>
    <row r="5272" spans="1:8" x14ac:dyDescent="0.3">
      <c r="A5272" s="74" t="str">
        <f t="shared" si="82"/>
        <v>海南46344</v>
      </c>
      <c r="B5272" s="75" t="s">
        <v>31</v>
      </c>
      <c r="C5272" s="45">
        <v>46344</v>
      </c>
      <c r="D5272" s="76">
        <v>397.39811827956999</v>
      </c>
      <c r="E5272" s="77">
        <v>125</v>
      </c>
      <c r="F5272" s="78">
        <v>14.5354022887262</v>
      </c>
      <c r="G5272" s="78">
        <v>14.5354022887262</v>
      </c>
      <c r="H5272" s="81">
        <v>14.384857642926301</v>
      </c>
    </row>
    <row r="5273" spans="1:8" x14ac:dyDescent="0.3">
      <c r="A5273" s="74" t="str">
        <f t="shared" si="82"/>
        <v>海南46345</v>
      </c>
      <c r="B5273" s="75" t="s">
        <v>31</v>
      </c>
      <c r="C5273" s="45">
        <v>46345</v>
      </c>
      <c r="D5273" s="76">
        <v>397.39811827956999</v>
      </c>
      <c r="E5273" s="77">
        <v>125</v>
      </c>
      <c r="F5273" s="78">
        <v>14.5354022887262</v>
      </c>
      <c r="G5273" s="78">
        <v>14.5354022887262</v>
      </c>
      <c r="H5273" s="81">
        <v>14.384857642926301</v>
      </c>
    </row>
    <row r="5274" spans="1:8" x14ac:dyDescent="0.3">
      <c r="A5274" s="74" t="str">
        <f t="shared" si="82"/>
        <v>海南46346</v>
      </c>
      <c r="B5274" s="75" t="s">
        <v>31</v>
      </c>
      <c r="C5274" s="45">
        <v>46346</v>
      </c>
      <c r="D5274" s="76">
        <v>397.39811827956999</v>
      </c>
      <c r="E5274" s="77">
        <v>125</v>
      </c>
      <c r="F5274" s="78">
        <v>14.5354022887262</v>
      </c>
      <c r="G5274" s="78">
        <v>14.5354022887262</v>
      </c>
      <c r="H5274" s="81">
        <v>14.384857642926301</v>
      </c>
    </row>
    <row r="5275" spans="1:8" x14ac:dyDescent="0.3">
      <c r="A5275" s="74" t="str">
        <f t="shared" si="82"/>
        <v>海南46347</v>
      </c>
      <c r="B5275" s="75" t="s">
        <v>31</v>
      </c>
      <c r="C5275" s="45">
        <v>46347</v>
      </c>
      <c r="D5275" s="76">
        <v>397.39811827956999</v>
      </c>
      <c r="E5275" s="77">
        <v>125</v>
      </c>
      <c r="F5275" s="78">
        <v>14.5354022887262</v>
      </c>
      <c r="G5275" s="78">
        <v>14.5354022887262</v>
      </c>
      <c r="H5275" s="81">
        <v>14.384857642926301</v>
      </c>
    </row>
    <row r="5276" spans="1:8" x14ac:dyDescent="0.3">
      <c r="A5276" s="74" t="str">
        <f t="shared" si="82"/>
        <v>海南46348</v>
      </c>
      <c r="B5276" s="75" t="s">
        <v>31</v>
      </c>
      <c r="C5276" s="45">
        <v>46348</v>
      </c>
      <c r="D5276" s="76">
        <v>397.39811827956999</v>
      </c>
      <c r="E5276" s="77">
        <v>125</v>
      </c>
      <c r="F5276" s="78">
        <v>14.5354022887262</v>
      </c>
      <c r="G5276" s="78">
        <v>14.5354022887262</v>
      </c>
      <c r="H5276" s="81">
        <v>14.384857642926301</v>
      </c>
    </row>
    <row r="5277" spans="1:8" x14ac:dyDescent="0.3">
      <c r="A5277" s="74" t="str">
        <f t="shared" si="82"/>
        <v>海南46349</v>
      </c>
      <c r="B5277" s="75" t="s">
        <v>31</v>
      </c>
      <c r="C5277" s="45">
        <v>46349</v>
      </c>
      <c r="D5277" s="76">
        <v>397.39811827956999</v>
      </c>
      <c r="E5277" s="77">
        <v>125</v>
      </c>
      <c r="F5277" s="78">
        <v>14.5354022887262</v>
      </c>
      <c r="G5277" s="78">
        <v>14.5354022887262</v>
      </c>
      <c r="H5277" s="81">
        <v>14.384857642926301</v>
      </c>
    </row>
    <row r="5278" spans="1:8" x14ac:dyDescent="0.3">
      <c r="A5278" s="74" t="str">
        <f t="shared" si="82"/>
        <v>海南46350</v>
      </c>
      <c r="B5278" s="75" t="s">
        <v>31</v>
      </c>
      <c r="C5278" s="45">
        <v>46350</v>
      </c>
      <c r="D5278" s="76">
        <v>397.39811827956999</v>
      </c>
      <c r="E5278" s="77">
        <v>125</v>
      </c>
      <c r="F5278" s="78">
        <v>14.5354022887262</v>
      </c>
      <c r="G5278" s="78">
        <v>14.5354022887262</v>
      </c>
      <c r="H5278" s="81">
        <v>14.384857642926301</v>
      </c>
    </row>
    <row r="5279" spans="1:8" x14ac:dyDescent="0.3">
      <c r="A5279" s="74" t="str">
        <f t="shared" si="82"/>
        <v>海南46351</v>
      </c>
      <c r="B5279" s="75" t="s">
        <v>31</v>
      </c>
      <c r="C5279" s="45">
        <v>46351</v>
      </c>
      <c r="D5279" s="76">
        <v>397.39811827956999</v>
      </c>
      <c r="E5279" s="77">
        <v>125</v>
      </c>
      <c r="F5279" s="78">
        <v>14.5354022887262</v>
      </c>
      <c r="G5279" s="78">
        <v>14.5354022887262</v>
      </c>
      <c r="H5279" s="81">
        <v>14.384857642926301</v>
      </c>
    </row>
    <row r="5280" spans="1:8" x14ac:dyDescent="0.3">
      <c r="A5280" s="74" t="str">
        <f t="shared" si="82"/>
        <v>海南46352</v>
      </c>
      <c r="B5280" s="75" t="s">
        <v>31</v>
      </c>
      <c r="C5280" s="45">
        <v>46352</v>
      </c>
      <c r="D5280" s="76">
        <v>397.39811827956999</v>
      </c>
      <c r="E5280" s="77">
        <v>125</v>
      </c>
      <c r="F5280" s="78">
        <v>14.5354022887262</v>
      </c>
      <c r="G5280" s="78">
        <v>14.5354022887262</v>
      </c>
      <c r="H5280" s="81">
        <v>14.384857642926301</v>
      </c>
    </row>
    <row r="5281" spans="1:8" x14ac:dyDescent="0.3">
      <c r="A5281" s="74" t="str">
        <f t="shared" si="82"/>
        <v>海南46353</v>
      </c>
      <c r="B5281" s="75" t="s">
        <v>31</v>
      </c>
      <c r="C5281" s="45">
        <v>46353</v>
      </c>
      <c r="D5281" s="76">
        <v>397.39811827956999</v>
      </c>
      <c r="E5281" s="77">
        <v>125</v>
      </c>
      <c r="F5281" s="78">
        <v>14.5354022887262</v>
      </c>
      <c r="G5281" s="78">
        <v>14.5354022887262</v>
      </c>
      <c r="H5281" s="81">
        <v>14.384857642926301</v>
      </c>
    </row>
    <row r="5282" spans="1:8" x14ac:dyDescent="0.3">
      <c r="A5282" s="74" t="str">
        <f t="shared" si="82"/>
        <v>海南46354</v>
      </c>
      <c r="B5282" s="75" t="s">
        <v>31</v>
      </c>
      <c r="C5282" s="45">
        <v>46354</v>
      </c>
      <c r="D5282" s="76">
        <v>397.39811827956999</v>
      </c>
      <c r="E5282" s="77">
        <v>125</v>
      </c>
      <c r="F5282" s="78">
        <v>14.5354022887262</v>
      </c>
      <c r="G5282" s="78">
        <v>14.5354022887262</v>
      </c>
      <c r="H5282" s="81">
        <v>14.384857642926301</v>
      </c>
    </row>
    <row r="5283" spans="1:8" x14ac:dyDescent="0.3">
      <c r="A5283" s="74" t="str">
        <f t="shared" si="82"/>
        <v>海南46355</v>
      </c>
      <c r="B5283" s="75" t="s">
        <v>31</v>
      </c>
      <c r="C5283" s="45">
        <v>46355</v>
      </c>
      <c r="D5283" s="76">
        <v>397.39811827956999</v>
      </c>
      <c r="E5283" s="77">
        <v>125</v>
      </c>
      <c r="F5283" s="78">
        <v>14.5354022887262</v>
      </c>
      <c r="G5283" s="78">
        <v>14.5354022887262</v>
      </c>
      <c r="H5283" s="81">
        <v>14.384857642926301</v>
      </c>
    </row>
    <row r="5284" spans="1:8" x14ac:dyDescent="0.3">
      <c r="A5284" s="74" t="str">
        <f t="shared" si="82"/>
        <v>海南46356</v>
      </c>
      <c r="B5284" s="75" t="s">
        <v>31</v>
      </c>
      <c r="C5284" s="45">
        <v>46356</v>
      </c>
      <c r="D5284" s="76">
        <v>397.39811827956999</v>
      </c>
      <c r="E5284" s="77">
        <v>125</v>
      </c>
      <c r="F5284" s="78">
        <v>14.5354022887262</v>
      </c>
      <c r="G5284" s="78">
        <v>14.5354022887262</v>
      </c>
      <c r="H5284" s="81">
        <v>14.384857642926301</v>
      </c>
    </row>
    <row r="5285" spans="1:8" x14ac:dyDescent="0.3">
      <c r="A5285" s="74" t="str">
        <f t="shared" si="82"/>
        <v>海南46357</v>
      </c>
      <c r="B5285" s="75" t="s">
        <v>31</v>
      </c>
      <c r="C5285" s="45">
        <v>46357</v>
      </c>
      <c r="D5285" s="76">
        <v>218.267204301075</v>
      </c>
      <c r="E5285" s="77">
        <v>125</v>
      </c>
      <c r="F5285" s="78">
        <v>15.322621299542501</v>
      </c>
      <c r="G5285" s="78">
        <v>15.322621299542501</v>
      </c>
      <c r="H5285" s="81">
        <v>14.6505112025402</v>
      </c>
    </row>
    <row r="5286" spans="1:8" x14ac:dyDescent="0.3">
      <c r="A5286" s="74" t="str">
        <f t="shared" si="82"/>
        <v>海南46358</v>
      </c>
      <c r="B5286" s="75" t="s">
        <v>31</v>
      </c>
      <c r="C5286" s="45">
        <v>46358</v>
      </c>
      <c r="D5286" s="76">
        <v>218.267204301075</v>
      </c>
      <c r="E5286" s="77">
        <v>125</v>
      </c>
      <c r="F5286" s="78">
        <v>15.322621299542501</v>
      </c>
      <c r="G5286" s="78">
        <v>15.322621299542501</v>
      </c>
      <c r="H5286" s="81">
        <v>14.6505112025402</v>
      </c>
    </row>
    <row r="5287" spans="1:8" x14ac:dyDescent="0.3">
      <c r="A5287" s="74" t="str">
        <f t="shared" si="82"/>
        <v>海南46359</v>
      </c>
      <c r="B5287" s="75" t="s">
        <v>31</v>
      </c>
      <c r="C5287" s="45">
        <v>46359</v>
      </c>
      <c r="D5287" s="76">
        <v>218.267204301075</v>
      </c>
      <c r="E5287" s="77">
        <v>125</v>
      </c>
      <c r="F5287" s="78">
        <v>15.322621299542501</v>
      </c>
      <c r="G5287" s="78">
        <v>15.322621299542501</v>
      </c>
      <c r="H5287" s="81">
        <v>14.6505112025402</v>
      </c>
    </row>
    <row r="5288" spans="1:8" x14ac:dyDescent="0.3">
      <c r="A5288" s="74" t="str">
        <f t="shared" si="82"/>
        <v>海南46360</v>
      </c>
      <c r="B5288" s="75" t="s">
        <v>31</v>
      </c>
      <c r="C5288" s="45">
        <v>46360</v>
      </c>
      <c r="D5288" s="76">
        <v>218.267204301075</v>
      </c>
      <c r="E5288" s="77">
        <v>125</v>
      </c>
      <c r="F5288" s="78">
        <v>15.322621299542501</v>
      </c>
      <c r="G5288" s="78">
        <v>15.322621299542501</v>
      </c>
      <c r="H5288" s="81">
        <v>14.6505112025402</v>
      </c>
    </row>
    <row r="5289" spans="1:8" x14ac:dyDescent="0.3">
      <c r="A5289" s="74" t="str">
        <f t="shared" si="82"/>
        <v>海南46361</v>
      </c>
      <c r="B5289" s="75" t="s">
        <v>31</v>
      </c>
      <c r="C5289" s="45">
        <v>46361</v>
      </c>
      <c r="D5289" s="76">
        <v>218.267204301075</v>
      </c>
      <c r="E5289" s="77">
        <v>125</v>
      </c>
      <c r="F5289" s="78">
        <v>15.322621299542501</v>
      </c>
      <c r="G5289" s="78">
        <v>15.322621299542501</v>
      </c>
      <c r="H5289" s="81">
        <v>14.6505112025402</v>
      </c>
    </row>
    <row r="5290" spans="1:8" x14ac:dyDescent="0.3">
      <c r="A5290" s="74" t="str">
        <f t="shared" si="82"/>
        <v>海南46362</v>
      </c>
      <c r="B5290" s="75" t="s">
        <v>31</v>
      </c>
      <c r="C5290" s="45">
        <v>46362</v>
      </c>
      <c r="D5290" s="76">
        <v>218.267204301075</v>
      </c>
      <c r="E5290" s="77">
        <v>125</v>
      </c>
      <c r="F5290" s="78">
        <v>15.322621299542501</v>
      </c>
      <c r="G5290" s="78">
        <v>15.322621299542501</v>
      </c>
      <c r="H5290" s="81">
        <v>14.6505112025402</v>
      </c>
    </row>
    <row r="5291" spans="1:8" x14ac:dyDescent="0.3">
      <c r="A5291" s="74" t="str">
        <f t="shared" si="82"/>
        <v>海南46363</v>
      </c>
      <c r="B5291" s="75" t="s">
        <v>31</v>
      </c>
      <c r="C5291" s="45">
        <v>46363</v>
      </c>
      <c r="D5291" s="76">
        <v>218.267204301075</v>
      </c>
      <c r="E5291" s="77">
        <v>125</v>
      </c>
      <c r="F5291" s="78">
        <v>15.322621299542501</v>
      </c>
      <c r="G5291" s="78">
        <v>15.322621299542501</v>
      </c>
      <c r="H5291" s="81">
        <v>14.6505112025402</v>
      </c>
    </row>
    <row r="5292" spans="1:8" x14ac:dyDescent="0.3">
      <c r="A5292" s="74" t="str">
        <f t="shared" si="82"/>
        <v>海南46364</v>
      </c>
      <c r="B5292" s="75" t="s">
        <v>31</v>
      </c>
      <c r="C5292" s="45">
        <v>46364</v>
      </c>
      <c r="D5292" s="76">
        <v>218.267204301075</v>
      </c>
      <c r="E5292" s="77">
        <v>125</v>
      </c>
      <c r="F5292" s="78">
        <v>15.322621299542501</v>
      </c>
      <c r="G5292" s="78">
        <v>15.322621299542501</v>
      </c>
      <c r="H5292" s="81">
        <v>14.6505112025402</v>
      </c>
    </row>
    <row r="5293" spans="1:8" x14ac:dyDescent="0.3">
      <c r="A5293" s="74" t="str">
        <f t="shared" si="82"/>
        <v>海南46365</v>
      </c>
      <c r="B5293" s="75" t="s">
        <v>31</v>
      </c>
      <c r="C5293" s="45">
        <v>46365</v>
      </c>
      <c r="D5293" s="76">
        <v>218.267204301075</v>
      </c>
      <c r="E5293" s="77">
        <v>125</v>
      </c>
      <c r="F5293" s="78">
        <v>15.322621299542501</v>
      </c>
      <c r="G5293" s="78">
        <v>15.322621299542501</v>
      </c>
      <c r="H5293" s="81">
        <v>14.6505112025402</v>
      </c>
    </row>
    <row r="5294" spans="1:8" x14ac:dyDescent="0.3">
      <c r="A5294" s="74" t="str">
        <f t="shared" si="82"/>
        <v>海南46366</v>
      </c>
      <c r="B5294" s="75" t="s">
        <v>31</v>
      </c>
      <c r="C5294" s="45">
        <v>46366</v>
      </c>
      <c r="D5294" s="76">
        <v>218.267204301075</v>
      </c>
      <c r="E5294" s="77">
        <v>125</v>
      </c>
      <c r="F5294" s="78">
        <v>15.322621299542501</v>
      </c>
      <c r="G5294" s="78">
        <v>15.322621299542501</v>
      </c>
      <c r="H5294" s="81">
        <v>14.6505112025402</v>
      </c>
    </row>
    <row r="5295" spans="1:8" x14ac:dyDescent="0.3">
      <c r="A5295" s="74" t="str">
        <f t="shared" si="82"/>
        <v>海南46367</v>
      </c>
      <c r="B5295" s="75" t="s">
        <v>31</v>
      </c>
      <c r="C5295" s="45">
        <v>46367</v>
      </c>
      <c r="D5295" s="76">
        <v>218.267204301075</v>
      </c>
      <c r="E5295" s="77">
        <v>125</v>
      </c>
      <c r="F5295" s="78">
        <v>15.322621299542501</v>
      </c>
      <c r="G5295" s="78">
        <v>15.322621299542501</v>
      </c>
      <c r="H5295" s="81">
        <v>14.6505112025402</v>
      </c>
    </row>
    <row r="5296" spans="1:8" x14ac:dyDescent="0.3">
      <c r="A5296" s="74" t="str">
        <f t="shared" si="82"/>
        <v>海南46368</v>
      </c>
      <c r="B5296" s="75" t="s">
        <v>31</v>
      </c>
      <c r="C5296" s="45">
        <v>46368</v>
      </c>
      <c r="D5296" s="76">
        <v>218.267204301075</v>
      </c>
      <c r="E5296" s="77">
        <v>125</v>
      </c>
      <c r="F5296" s="78">
        <v>15.322621299542501</v>
      </c>
      <c r="G5296" s="78">
        <v>15.322621299542501</v>
      </c>
      <c r="H5296" s="81">
        <v>14.6505112025402</v>
      </c>
    </row>
    <row r="5297" spans="1:8" x14ac:dyDescent="0.3">
      <c r="A5297" s="74" t="str">
        <f t="shared" si="82"/>
        <v>海南46369</v>
      </c>
      <c r="B5297" s="75" t="s">
        <v>31</v>
      </c>
      <c r="C5297" s="45">
        <v>46369</v>
      </c>
      <c r="D5297" s="76">
        <v>218.267204301075</v>
      </c>
      <c r="E5297" s="77">
        <v>125</v>
      </c>
      <c r="F5297" s="78">
        <v>15.322621299542501</v>
      </c>
      <c r="G5297" s="78">
        <v>15.322621299542501</v>
      </c>
      <c r="H5297" s="81">
        <v>14.6505112025402</v>
      </c>
    </row>
    <row r="5298" spans="1:8" x14ac:dyDescent="0.3">
      <c r="A5298" s="74" t="str">
        <f t="shared" si="82"/>
        <v>海南46370</v>
      </c>
      <c r="B5298" s="75" t="s">
        <v>31</v>
      </c>
      <c r="C5298" s="45">
        <v>46370</v>
      </c>
      <c r="D5298" s="76">
        <v>218.267204301075</v>
      </c>
      <c r="E5298" s="77">
        <v>125</v>
      </c>
      <c r="F5298" s="78">
        <v>15.322621299542501</v>
      </c>
      <c r="G5298" s="78">
        <v>15.322621299542501</v>
      </c>
      <c r="H5298" s="81">
        <v>14.6505112025402</v>
      </c>
    </row>
    <row r="5299" spans="1:8" x14ac:dyDescent="0.3">
      <c r="A5299" s="74" t="str">
        <f t="shared" si="82"/>
        <v>海南46371</v>
      </c>
      <c r="B5299" s="75" t="s">
        <v>31</v>
      </c>
      <c r="C5299" s="45">
        <v>46371</v>
      </c>
      <c r="D5299" s="76">
        <v>218.267204301075</v>
      </c>
      <c r="E5299" s="77">
        <v>125</v>
      </c>
      <c r="F5299" s="78">
        <v>15.322621299542501</v>
      </c>
      <c r="G5299" s="78">
        <v>15.322621299542501</v>
      </c>
      <c r="H5299" s="81">
        <v>14.6505112025402</v>
      </c>
    </row>
    <row r="5300" spans="1:8" x14ac:dyDescent="0.3">
      <c r="A5300" s="74" t="str">
        <f t="shared" si="82"/>
        <v>海南46372</v>
      </c>
      <c r="B5300" s="75" t="s">
        <v>31</v>
      </c>
      <c r="C5300" s="45">
        <v>46372</v>
      </c>
      <c r="D5300" s="76">
        <v>218.267204301075</v>
      </c>
      <c r="E5300" s="77">
        <v>125</v>
      </c>
      <c r="F5300" s="78">
        <v>15.322621299542501</v>
      </c>
      <c r="G5300" s="78">
        <v>15.322621299542501</v>
      </c>
      <c r="H5300" s="81">
        <v>14.6505112025402</v>
      </c>
    </row>
    <row r="5301" spans="1:8" x14ac:dyDescent="0.3">
      <c r="A5301" s="74" t="str">
        <f t="shared" si="82"/>
        <v>海南46373</v>
      </c>
      <c r="B5301" s="75" t="s">
        <v>31</v>
      </c>
      <c r="C5301" s="45">
        <v>46373</v>
      </c>
      <c r="D5301" s="76">
        <v>218.267204301075</v>
      </c>
      <c r="E5301" s="77">
        <v>125</v>
      </c>
      <c r="F5301" s="78">
        <v>15.322621299542501</v>
      </c>
      <c r="G5301" s="78">
        <v>15.322621299542501</v>
      </c>
      <c r="H5301" s="81">
        <v>14.6505112025402</v>
      </c>
    </row>
    <row r="5302" spans="1:8" x14ac:dyDescent="0.3">
      <c r="A5302" s="74" t="str">
        <f t="shared" si="82"/>
        <v>海南46374</v>
      </c>
      <c r="B5302" s="75" t="s">
        <v>31</v>
      </c>
      <c r="C5302" s="45">
        <v>46374</v>
      </c>
      <c r="D5302" s="76">
        <v>218.267204301075</v>
      </c>
      <c r="E5302" s="77">
        <v>125</v>
      </c>
      <c r="F5302" s="78">
        <v>15.322621299542501</v>
      </c>
      <c r="G5302" s="78">
        <v>15.322621299542501</v>
      </c>
      <c r="H5302" s="81">
        <v>14.6505112025402</v>
      </c>
    </row>
    <row r="5303" spans="1:8" x14ac:dyDescent="0.3">
      <c r="A5303" s="74" t="str">
        <f t="shared" si="82"/>
        <v>海南46375</v>
      </c>
      <c r="B5303" s="75" t="s">
        <v>31</v>
      </c>
      <c r="C5303" s="45">
        <v>46375</v>
      </c>
      <c r="D5303" s="76">
        <v>218.267204301075</v>
      </c>
      <c r="E5303" s="77">
        <v>125</v>
      </c>
      <c r="F5303" s="78">
        <v>15.322621299542501</v>
      </c>
      <c r="G5303" s="78">
        <v>15.322621299542501</v>
      </c>
      <c r="H5303" s="81">
        <v>14.6505112025402</v>
      </c>
    </row>
    <row r="5304" spans="1:8" x14ac:dyDescent="0.3">
      <c r="A5304" s="74" t="str">
        <f t="shared" si="82"/>
        <v>海南46376</v>
      </c>
      <c r="B5304" s="75" t="s">
        <v>31</v>
      </c>
      <c r="C5304" s="45">
        <v>46376</v>
      </c>
      <c r="D5304" s="76">
        <v>218.267204301075</v>
      </c>
      <c r="E5304" s="77">
        <v>125</v>
      </c>
      <c r="F5304" s="78">
        <v>15.322621299542501</v>
      </c>
      <c r="G5304" s="78">
        <v>15.322621299542501</v>
      </c>
      <c r="H5304" s="81">
        <v>14.6505112025402</v>
      </c>
    </row>
    <row r="5305" spans="1:8" x14ac:dyDescent="0.3">
      <c r="A5305" s="74" t="str">
        <f t="shared" si="82"/>
        <v>海南46377</v>
      </c>
      <c r="B5305" s="75" t="s">
        <v>31</v>
      </c>
      <c r="C5305" s="45">
        <v>46377</v>
      </c>
      <c r="D5305" s="76">
        <v>218.267204301075</v>
      </c>
      <c r="E5305" s="77">
        <v>125</v>
      </c>
      <c r="F5305" s="78">
        <v>15.322621299542501</v>
      </c>
      <c r="G5305" s="78">
        <v>15.322621299542501</v>
      </c>
      <c r="H5305" s="81">
        <v>14.6505112025402</v>
      </c>
    </row>
    <row r="5306" spans="1:8" x14ac:dyDescent="0.3">
      <c r="A5306" s="74" t="str">
        <f t="shared" si="82"/>
        <v>海南46378</v>
      </c>
      <c r="B5306" s="75" t="s">
        <v>31</v>
      </c>
      <c r="C5306" s="45">
        <v>46378</v>
      </c>
      <c r="D5306" s="76">
        <v>218.267204301075</v>
      </c>
      <c r="E5306" s="77">
        <v>125</v>
      </c>
      <c r="F5306" s="78">
        <v>15.322621299542501</v>
      </c>
      <c r="G5306" s="78">
        <v>15.322621299542501</v>
      </c>
      <c r="H5306" s="81">
        <v>14.6505112025402</v>
      </c>
    </row>
    <row r="5307" spans="1:8" x14ac:dyDescent="0.3">
      <c r="A5307" s="74" t="str">
        <f t="shared" si="82"/>
        <v>海南46379</v>
      </c>
      <c r="B5307" s="75" t="s">
        <v>31</v>
      </c>
      <c r="C5307" s="45">
        <v>46379</v>
      </c>
      <c r="D5307" s="76">
        <v>218.267204301075</v>
      </c>
      <c r="E5307" s="77">
        <v>125</v>
      </c>
      <c r="F5307" s="78">
        <v>15.322621299542501</v>
      </c>
      <c r="G5307" s="78">
        <v>15.322621299542501</v>
      </c>
      <c r="H5307" s="81">
        <v>14.6505112025402</v>
      </c>
    </row>
    <row r="5308" spans="1:8" x14ac:dyDescent="0.3">
      <c r="A5308" s="74" t="str">
        <f t="shared" si="82"/>
        <v>海南46380</v>
      </c>
      <c r="B5308" s="75" t="s">
        <v>31</v>
      </c>
      <c r="C5308" s="45">
        <v>46380</v>
      </c>
      <c r="D5308" s="76">
        <v>218.267204301075</v>
      </c>
      <c r="E5308" s="77">
        <v>125</v>
      </c>
      <c r="F5308" s="78">
        <v>15.322621299542501</v>
      </c>
      <c r="G5308" s="78">
        <v>15.322621299542501</v>
      </c>
      <c r="H5308" s="81">
        <v>14.6505112025402</v>
      </c>
    </row>
    <row r="5309" spans="1:8" x14ac:dyDescent="0.3">
      <c r="A5309" s="74" t="str">
        <f t="shared" si="82"/>
        <v>海南46381</v>
      </c>
      <c r="B5309" s="75" t="s">
        <v>31</v>
      </c>
      <c r="C5309" s="45">
        <v>46381</v>
      </c>
      <c r="D5309" s="76">
        <v>218.267204301075</v>
      </c>
      <c r="E5309" s="77">
        <v>125</v>
      </c>
      <c r="F5309" s="78">
        <v>15.322621299542501</v>
      </c>
      <c r="G5309" s="78">
        <v>15.322621299542501</v>
      </c>
      <c r="H5309" s="81">
        <v>14.6505112025402</v>
      </c>
    </row>
    <row r="5310" spans="1:8" x14ac:dyDescent="0.3">
      <c r="A5310" s="74" t="str">
        <f t="shared" si="82"/>
        <v>海南46382</v>
      </c>
      <c r="B5310" s="75" t="s">
        <v>31</v>
      </c>
      <c r="C5310" s="45">
        <v>46382</v>
      </c>
      <c r="D5310" s="76">
        <v>218.267204301075</v>
      </c>
      <c r="E5310" s="77">
        <v>125</v>
      </c>
      <c r="F5310" s="78">
        <v>15.322621299542501</v>
      </c>
      <c r="G5310" s="78">
        <v>15.322621299542501</v>
      </c>
      <c r="H5310" s="81">
        <v>14.6505112025402</v>
      </c>
    </row>
    <row r="5311" spans="1:8" x14ac:dyDescent="0.3">
      <c r="A5311" s="74" t="str">
        <f t="shared" si="82"/>
        <v>海南46383</v>
      </c>
      <c r="B5311" s="75" t="s">
        <v>31</v>
      </c>
      <c r="C5311" s="45">
        <v>46383</v>
      </c>
      <c r="D5311" s="76">
        <v>218.267204301075</v>
      </c>
      <c r="E5311" s="77">
        <v>125</v>
      </c>
      <c r="F5311" s="78">
        <v>15.322621299542501</v>
      </c>
      <c r="G5311" s="78">
        <v>15.322621299542501</v>
      </c>
      <c r="H5311" s="81">
        <v>14.6505112025402</v>
      </c>
    </row>
    <row r="5312" spans="1:8" x14ac:dyDescent="0.3">
      <c r="A5312" s="74" t="str">
        <f t="shared" si="82"/>
        <v>海南46384</v>
      </c>
      <c r="B5312" s="75" t="s">
        <v>31</v>
      </c>
      <c r="C5312" s="45">
        <v>46384</v>
      </c>
      <c r="D5312" s="76">
        <v>218.267204301075</v>
      </c>
      <c r="E5312" s="77">
        <v>125</v>
      </c>
      <c r="F5312" s="78">
        <v>15.322621299542501</v>
      </c>
      <c r="G5312" s="78">
        <v>15.322621299542501</v>
      </c>
      <c r="H5312" s="81">
        <v>14.6505112025402</v>
      </c>
    </row>
    <row r="5313" spans="1:8" x14ac:dyDescent="0.3">
      <c r="A5313" s="74" t="str">
        <f t="shared" si="82"/>
        <v>海南46385</v>
      </c>
      <c r="B5313" s="75" t="s">
        <v>31</v>
      </c>
      <c r="C5313" s="45">
        <v>46385</v>
      </c>
      <c r="D5313" s="76">
        <v>218.267204301075</v>
      </c>
      <c r="E5313" s="77">
        <v>125</v>
      </c>
      <c r="F5313" s="78">
        <v>15.322621299542501</v>
      </c>
      <c r="G5313" s="78">
        <v>15.322621299542501</v>
      </c>
      <c r="H5313" s="81">
        <v>14.6505112025402</v>
      </c>
    </row>
    <row r="5314" spans="1:8" x14ac:dyDescent="0.3">
      <c r="A5314" s="74" t="str">
        <f t="shared" si="82"/>
        <v>海南46386</v>
      </c>
      <c r="B5314" s="75" t="s">
        <v>31</v>
      </c>
      <c r="C5314" s="45">
        <v>46386</v>
      </c>
      <c r="D5314" s="76">
        <v>218.267204301075</v>
      </c>
      <c r="E5314" s="77">
        <v>125</v>
      </c>
      <c r="F5314" s="78">
        <v>15.322621299542501</v>
      </c>
      <c r="G5314" s="78">
        <v>15.322621299542501</v>
      </c>
      <c r="H5314" s="81">
        <v>14.6505112025402</v>
      </c>
    </row>
    <row r="5315" spans="1:8" x14ac:dyDescent="0.3">
      <c r="A5315" s="74" t="str">
        <f t="shared" ref="A5315:A5378" si="83">B5315&amp;C5315</f>
        <v>海南46387</v>
      </c>
      <c r="B5315" s="82" t="s">
        <v>31</v>
      </c>
      <c r="C5315" s="83">
        <v>46387</v>
      </c>
      <c r="D5315" s="84">
        <v>218.267204301075</v>
      </c>
      <c r="E5315" s="85">
        <v>125</v>
      </c>
      <c r="F5315" s="86">
        <v>15.322621299542501</v>
      </c>
      <c r="G5315" s="86">
        <v>15.322621299542501</v>
      </c>
      <c r="H5315" s="87">
        <v>14.6505112025402</v>
      </c>
    </row>
    <row r="5316" spans="1:8" x14ac:dyDescent="0.3">
      <c r="A5316" s="74" t="str">
        <f t="shared" si="83"/>
        <v>湖北46135</v>
      </c>
      <c r="B5316" s="75" t="s">
        <v>32</v>
      </c>
      <c r="C5316" s="45">
        <v>46135</v>
      </c>
      <c r="D5316" s="76">
        <v>5815.3967031905004</v>
      </c>
      <c r="E5316" s="77">
        <v>125</v>
      </c>
      <c r="F5316" s="78">
        <v>8.9216268415661997</v>
      </c>
      <c r="G5316" s="78">
        <v>8.9216268415661997</v>
      </c>
      <c r="H5316" s="81">
        <v>9.4853692547560193</v>
      </c>
    </row>
    <row r="5317" spans="1:8" x14ac:dyDescent="0.3">
      <c r="A5317" s="74" t="str">
        <f t="shared" si="83"/>
        <v>湖北46136</v>
      </c>
      <c r="B5317" s="75" t="s">
        <v>32</v>
      </c>
      <c r="C5317" s="45">
        <v>46136</v>
      </c>
      <c r="D5317" s="76">
        <v>5815.3967031905004</v>
      </c>
      <c r="E5317" s="77">
        <v>125</v>
      </c>
      <c r="F5317" s="78">
        <v>8.9216268415661997</v>
      </c>
      <c r="G5317" s="78">
        <v>8.9216268415661997</v>
      </c>
      <c r="H5317" s="81">
        <v>9.4853692547560193</v>
      </c>
    </row>
    <row r="5318" spans="1:8" x14ac:dyDescent="0.3">
      <c r="A5318" s="74" t="str">
        <f t="shared" si="83"/>
        <v>湖北46137</v>
      </c>
      <c r="B5318" s="75" t="s">
        <v>32</v>
      </c>
      <c r="C5318" s="45">
        <v>46137</v>
      </c>
      <c r="D5318" s="76">
        <v>5815.3967031905004</v>
      </c>
      <c r="E5318" s="77">
        <v>125</v>
      </c>
      <c r="F5318" s="78">
        <v>8.9216268415661997</v>
      </c>
      <c r="G5318" s="78">
        <v>8.9216268415661997</v>
      </c>
      <c r="H5318" s="81">
        <v>9.4853692547560193</v>
      </c>
    </row>
    <row r="5319" spans="1:8" x14ac:dyDescent="0.3">
      <c r="A5319" s="74" t="str">
        <f t="shared" si="83"/>
        <v>湖北46138</v>
      </c>
      <c r="B5319" s="75" t="s">
        <v>32</v>
      </c>
      <c r="C5319" s="45">
        <v>46138</v>
      </c>
      <c r="D5319" s="76">
        <v>5815.3967031905004</v>
      </c>
      <c r="E5319" s="77">
        <v>125</v>
      </c>
      <c r="F5319" s="78">
        <v>8.9216268415661997</v>
      </c>
      <c r="G5319" s="78">
        <v>8.9216268415661997</v>
      </c>
      <c r="H5319" s="81">
        <v>9.4853692547560193</v>
      </c>
    </row>
    <row r="5320" spans="1:8" x14ac:dyDescent="0.3">
      <c r="A5320" s="74" t="str">
        <f t="shared" si="83"/>
        <v>湖北46139</v>
      </c>
      <c r="B5320" s="75" t="s">
        <v>32</v>
      </c>
      <c r="C5320" s="45">
        <v>46139</v>
      </c>
      <c r="D5320" s="76">
        <v>5815.3967031905004</v>
      </c>
      <c r="E5320" s="77">
        <v>125</v>
      </c>
      <c r="F5320" s="78">
        <v>8.9216268415661997</v>
      </c>
      <c r="G5320" s="78">
        <v>8.9216268415661997</v>
      </c>
      <c r="H5320" s="81">
        <v>9.4853692547560193</v>
      </c>
    </row>
    <row r="5321" spans="1:8" x14ac:dyDescent="0.3">
      <c r="A5321" s="74" t="str">
        <f t="shared" si="83"/>
        <v>湖北46140</v>
      </c>
      <c r="B5321" s="75" t="s">
        <v>32</v>
      </c>
      <c r="C5321" s="45">
        <v>46140</v>
      </c>
      <c r="D5321" s="76">
        <v>5815.3967031905004</v>
      </c>
      <c r="E5321" s="77">
        <v>125</v>
      </c>
      <c r="F5321" s="78">
        <v>8.9216268415661997</v>
      </c>
      <c r="G5321" s="78">
        <v>8.9216268415661997</v>
      </c>
      <c r="H5321" s="81">
        <v>9.4853692547560193</v>
      </c>
    </row>
    <row r="5322" spans="1:8" x14ac:dyDescent="0.3">
      <c r="A5322" s="74" t="str">
        <f t="shared" si="83"/>
        <v>湖北46141</v>
      </c>
      <c r="B5322" s="75" t="s">
        <v>32</v>
      </c>
      <c r="C5322" s="45">
        <v>46141</v>
      </c>
      <c r="D5322" s="76">
        <v>5815.3967031905004</v>
      </c>
      <c r="E5322" s="77">
        <v>125</v>
      </c>
      <c r="F5322" s="78">
        <v>8.9216268415661997</v>
      </c>
      <c r="G5322" s="78">
        <v>8.9216268415661997</v>
      </c>
      <c r="H5322" s="81">
        <v>9.4853692547560193</v>
      </c>
    </row>
    <row r="5323" spans="1:8" x14ac:dyDescent="0.3">
      <c r="A5323" s="74" t="str">
        <f t="shared" si="83"/>
        <v>湖北46142</v>
      </c>
      <c r="B5323" s="75" t="s">
        <v>32</v>
      </c>
      <c r="C5323" s="45">
        <v>46142</v>
      </c>
      <c r="D5323" s="76">
        <v>5815.3967031905004</v>
      </c>
      <c r="E5323" s="77">
        <v>125</v>
      </c>
      <c r="F5323" s="78">
        <v>8.9216268415661997</v>
      </c>
      <c r="G5323" s="78">
        <v>8.9216268415661997</v>
      </c>
      <c r="H5323" s="81">
        <v>9.4853692547560193</v>
      </c>
    </row>
    <row r="5324" spans="1:8" x14ac:dyDescent="0.3">
      <c r="A5324" s="74" t="str">
        <f t="shared" si="83"/>
        <v>湖北46143</v>
      </c>
      <c r="B5324" s="75" t="s">
        <v>32</v>
      </c>
      <c r="C5324" s="45">
        <v>46143</v>
      </c>
      <c r="D5324" s="76">
        <v>6038.5086956982796</v>
      </c>
      <c r="E5324" s="77">
        <v>125</v>
      </c>
      <c r="F5324" s="78">
        <v>10.3834164984811</v>
      </c>
      <c r="G5324" s="78">
        <v>10.3834164984811</v>
      </c>
      <c r="H5324" s="81">
        <v>9.7007784428608002</v>
      </c>
    </row>
    <row r="5325" spans="1:8" x14ac:dyDescent="0.3">
      <c r="A5325" s="74" t="str">
        <f t="shared" si="83"/>
        <v>湖北46144</v>
      </c>
      <c r="B5325" s="75" t="s">
        <v>32</v>
      </c>
      <c r="C5325" s="45">
        <v>46144</v>
      </c>
      <c r="D5325" s="76">
        <v>6038.5086956982796</v>
      </c>
      <c r="E5325" s="77">
        <v>125</v>
      </c>
      <c r="F5325" s="78">
        <v>10.3834164984811</v>
      </c>
      <c r="G5325" s="78">
        <v>10.3834164984811</v>
      </c>
      <c r="H5325" s="81">
        <v>9.7007784428608002</v>
      </c>
    </row>
    <row r="5326" spans="1:8" x14ac:dyDescent="0.3">
      <c r="A5326" s="74" t="str">
        <f t="shared" si="83"/>
        <v>湖北46145</v>
      </c>
      <c r="B5326" s="75" t="s">
        <v>32</v>
      </c>
      <c r="C5326" s="45">
        <v>46145</v>
      </c>
      <c r="D5326" s="76">
        <v>6038.5086956982796</v>
      </c>
      <c r="E5326" s="77">
        <v>125</v>
      </c>
      <c r="F5326" s="78">
        <v>10.3834164984811</v>
      </c>
      <c r="G5326" s="78">
        <v>10.3834164984811</v>
      </c>
      <c r="H5326" s="81">
        <v>9.7007784428608002</v>
      </c>
    </row>
    <row r="5327" spans="1:8" x14ac:dyDescent="0.3">
      <c r="A5327" s="74" t="str">
        <f t="shared" si="83"/>
        <v>湖北46146</v>
      </c>
      <c r="B5327" s="75" t="s">
        <v>32</v>
      </c>
      <c r="C5327" s="45">
        <v>46146</v>
      </c>
      <c r="D5327" s="76">
        <v>6038.5086956982796</v>
      </c>
      <c r="E5327" s="77">
        <v>125</v>
      </c>
      <c r="F5327" s="78">
        <v>10.3834164984811</v>
      </c>
      <c r="G5327" s="78">
        <v>10.3834164984811</v>
      </c>
      <c r="H5327" s="81">
        <v>9.7007784428608002</v>
      </c>
    </row>
    <row r="5328" spans="1:8" x14ac:dyDescent="0.3">
      <c r="A5328" s="74" t="str">
        <f t="shared" si="83"/>
        <v>湖北46147</v>
      </c>
      <c r="B5328" s="75" t="s">
        <v>32</v>
      </c>
      <c r="C5328" s="45">
        <v>46147</v>
      </c>
      <c r="D5328" s="76">
        <v>6038.5086956982796</v>
      </c>
      <c r="E5328" s="77">
        <v>125</v>
      </c>
      <c r="F5328" s="78">
        <v>10.3834164984811</v>
      </c>
      <c r="G5328" s="78">
        <v>10.3834164984811</v>
      </c>
      <c r="H5328" s="81">
        <v>9.7007784428608002</v>
      </c>
    </row>
    <row r="5329" spans="1:8" x14ac:dyDescent="0.3">
      <c r="A5329" s="74" t="str">
        <f t="shared" si="83"/>
        <v>湖北46148</v>
      </c>
      <c r="B5329" s="75" t="s">
        <v>32</v>
      </c>
      <c r="C5329" s="45">
        <v>46148</v>
      </c>
      <c r="D5329" s="76">
        <v>6038.5086956982796</v>
      </c>
      <c r="E5329" s="77">
        <v>125</v>
      </c>
      <c r="F5329" s="78">
        <v>10.3834164984811</v>
      </c>
      <c r="G5329" s="78">
        <v>10.3834164984811</v>
      </c>
      <c r="H5329" s="81">
        <v>9.7007784428608002</v>
      </c>
    </row>
    <row r="5330" spans="1:8" x14ac:dyDescent="0.3">
      <c r="A5330" s="74" t="str">
        <f t="shared" si="83"/>
        <v>湖北46149</v>
      </c>
      <c r="B5330" s="75" t="s">
        <v>32</v>
      </c>
      <c r="C5330" s="45">
        <v>46149</v>
      </c>
      <c r="D5330" s="76">
        <v>6038.5086956982796</v>
      </c>
      <c r="E5330" s="77">
        <v>125</v>
      </c>
      <c r="F5330" s="78">
        <v>10.3834164984811</v>
      </c>
      <c r="G5330" s="78">
        <v>10.3834164984811</v>
      </c>
      <c r="H5330" s="81">
        <v>9.7007784428608002</v>
      </c>
    </row>
    <row r="5331" spans="1:8" x14ac:dyDescent="0.3">
      <c r="A5331" s="74" t="str">
        <f t="shared" si="83"/>
        <v>湖北46150</v>
      </c>
      <c r="B5331" s="75" t="s">
        <v>32</v>
      </c>
      <c r="C5331" s="45">
        <v>46150</v>
      </c>
      <c r="D5331" s="76">
        <v>6038.5086956982796</v>
      </c>
      <c r="E5331" s="77">
        <v>125</v>
      </c>
      <c r="F5331" s="78">
        <v>10.3834164984811</v>
      </c>
      <c r="G5331" s="78">
        <v>10.3834164984811</v>
      </c>
      <c r="H5331" s="81">
        <v>9.7007784428608002</v>
      </c>
    </row>
    <row r="5332" spans="1:8" x14ac:dyDescent="0.3">
      <c r="A5332" s="74" t="str">
        <f t="shared" si="83"/>
        <v>湖北46151</v>
      </c>
      <c r="B5332" s="75" t="s">
        <v>32</v>
      </c>
      <c r="C5332" s="45">
        <v>46151</v>
      </c>
      <c r="D5332" s="76">
        <v>6038.5086956982796</v>
      </c>
      <c r="E5332" s="77">
        <v>125</v>
      </c>
      <c r="F5332" s="78">
        <v>10.3834164984811</v>
      </c>
      <c r="G5332" s="78">
        <v>10.3834164984811</v>
      </c>
      <c r="H5332" s="81">
        <v>9.7007784428608002</v>
      </c>
    </row>
    <row r="5333" spans="1:8" x14ac:dyDescent="0.3">
      <c r="A5333" s="74" t="str">
        <f t="shared" si="83"/>
        <v>湖北46152</v>
      </c>
      <c r="B5333" s="75" t="s">
        <v>32</v>
      </c>
      <c r="C5333" s="45">
        <v>46152</v>
      </c>
      <c r="D5333" s="76">
        <v>6038.5086956982796</v>
      </c>
      <c r="E5333" s="77">
        <v>125</v>
      </c>
      <c r="F5333" s="78">
        <v>10.3834164984811</v>
      </c>
      <c r="G5333" s="78">
        <v>10.3834164984811</v>
      </c>
      <c r="H5333" s="81">
        <v>9.7007784428608002</v>
      </c>
    </row>
    <row r="5334" spans="1:8" x14ac:dyDescent="0.3">
      <c r="A5334" s="74" t="str">
        <f t="shared" si="83"/>
        <v>湖北46153</v>
      </c>
      <c r="B5334" s="75" t="s">
        <v>32</v>
      </c>
      <c r="C5334" s="45">
        <v>46153</v>
      </c>
      <c r="D5334" s="76">
        <v>6038.5086956982796</v>
      </c>
      <c r="E5334" s="77">
        <v>125</v>
      </c>
      <c r="F5334" s="78">
        <v>10.3834164984811</v>
      </c>
      <c r="G5334" s="78">
        <v>10.3834164984811</v>
      </c>
      <c r="H5334" s="81">
        <v>9.7007784428608002</v>
      </c>
    </row>
    <row r="5335" spans="1:8" x14ac:dyDescent="0.3">
      <c r="A5335" s="74" t="str">
        <f t="shared" si="83"/>
        <v>湖北46154</v>
      </c>
      <c r="B5335" s="75" t="s">
        <v>32</v>
      </c>
      <c r="C5335" s="45">
        <v>46154</v>
      </c>
      <c r="D5335" s="76">
        <v>6038.5086956982796</v>
      </c>
      <c r="E5335" s="77">
        <v>125</v>
      </c>
      <c r="F5335" s="78">
        <v>10.3834164984811</v>
      </c>
      <c r="G5335" s="78">
        <v>10.3834164984811</v>
      </c>
      <c r="H5335" s="81">
        <v>9.7007784428608002</v>
      </c>
    </row>
    <row r="5336" spans="1:8" x14ac:dyDescent="0.3">
      <c r="A5336" s="74" t="str">
        <f t="shared" si="83"/>
        <v>湖北46155</v>
      </c>
      <c r="B5336" s="75" t="s">
        <v>32</v>
      </c>
      <c r="C5336" s="45">
        <v>46155</v>
      </c>
      <c r="D5336" s="76">
        <v>6038.5086956982796</v>
      </c>
      <c r="E5336" s="77">
        <v>125</v>
      </c>
      <c r="F5336" s="78">
        <v>10.3834164984811</v>
      </c>
      <c r="G5336" s="78">
        <v>10.3834164984811</v>
      </c>
      <c r="H5336" s="81">
        <v>9.7007784428608002</v>
      </c>
    </row>
    <row r="5337" spans="1:8" x14ac:dyDescent="0.3">
      <c r="A5337" s="74" t="str">
        <f t="shared" si="83"/>
        <v>湖北46156</v>
      </c>
      <c r="B5337" s="75" t="s">
        <v>32</v>
      </c>
      <c r="C5337" s="45">
        <v>46156</v>
      </c>
      <c r="D5337" s="76">
        <v>6038.5086956982796</v>
      </c>
      <c r="E5337" s="77">
        <v>125</v>
      </c>
      <c r="F5337" s="78">
        <v>10.3834164984811</v>
      </c>
      <c r="G5337" s="78">
        <v>10.3834164984811</v>
      </c>
      <c r="H5337" s="81">
        <v>9.7007784428608002</v>
      </c>
    </row>
    <row r="5338" spans="1:8" x14ac:dyDescent="0.3">
      <c r="A5338" s="74" t="str">
        <f t="shared" si="83"/>
        <v>湖北46157</v>
      </c>
      <c r="B5338" s="75" t="s">
        <v>32</v>
      </c>
      <c r="C5338" s="45">
        <v>46157</v>
      </c>
      <c r="D5338" s="76">
        <v>6038.5086956982796</v>
      </c>
      <c r="E5338" s="77">
        <v>125</v>
      </c>
      <c r="F5338" s="78">
        <v>10.3834164984811</v>
      </c>
      <c r="G5338" s="78">
        <v>10.3834164984811</v>
      </c>
      <c r="H5338" s="81">
        <v>9.7007784428608002</v>
      </c>
    </row>
    <row r="5339" spans="1:8" x14ac:dyDescent="0.3">
      <c r="A5339" s="74" t="str">
        <f t="shared" si="83"/>
        <v>湖北46158</v>
      </c>
      <c r="B5339" s="75" t="s">
        <v>32</v>
      </c>
      <c r="C5339" s="45">
        <v>46158</v>
      </c>
      <c r="D5339" s="76">
        <v>6038.5086956982796</v>
      </c>
      <c r="E5339" s="77">
        <v>125</v>
      </c>
      <c r="F5339" s="78">
        <v>10.3834164984811</v>
      </c>
      <c r="G5339" s="78">
        <v>10.3834164984811</v>
      </c>
      <c r="H5339" s="81">
        <v>9.7007784428608002</v>
      </c>
    </row>
    <row r="5340" spans="1:8" x14ac:dyDescent="0.3">
      <c r="A5340" s="74" t="str">
        <f t="shared" si="83"/>
        <v>湖北46159</v>
      </c>
      <c r="B5340" s="75" t="s">
        <v>32</v>
      </c>
      <c r="C5340" s="45">
        <v>46159</v>
      </c>
      <c r="D5340" s="76">
        <v>6038.5086956982796</v>
      </c>
      <c r="E5340" s="77">
        <v>125</v>
      </c>
      <c r="F5340" s="78">
        <v>10.3834164984811</v>
      </c>
      <c r="G5340" s="78">
        <v>10.3834164984811</v>
      </c>
      <c r="H5340" s="81">
        <v>9.7007784428608002</v>
      </c>
    </row>
    <row r="5341" spans="1:8" x14ac:dyDescent="0.3">
      <c r="A5341" s="74" t="str">
        <f t="shared" si="83"/>
        <v>湖北46160</v>
      </c>
      <c r="B5341" s="75" t="s">
        <v>32</v>
      </c>
      <c r="C5341" s="45">
        <v>46160</v>
      </c>
      <c r="D5341" s="76">
        <v>6038.5086956982796</v>
      </c>
      <c r="E5341" s="77">
        <v>125</v>
      </c>
      <c r="F5341" s="78">
        <v>10.3834164984811</v>
      </c>
      <c r="G5341" s="78">
        <v>10.3834164984811</v>
      </c>
      <c r="H5341" s="81">
        <v>9.7007784428608002</v>
      </c>
    </row>
    <row r="5342" spans="1:8" x14ac:dyDescent="0.3">
      <c r="A5342" s="74" t="str">
        <f t="shared" si="83"/>
        <v>湖北46161</v>
      </c>
      <c r="B5342" s="75" t="s">
        <v>32</v>
      </c>
      <c r="C5342" s="45">
        <v>46161</v>
      </c>
      <c r="D5342" s="76">
        <v>6038.5086956982796</v>
      </c>
      <c r="E5342" s="77">
        <v>125</v>
      </c>
      <c r="F5342" s="78">
        <v>10.3834164984811</v>
      </c>
      <c r="G5342" s="78">
        <v>10.3834164984811</v>
      </c>
      <c r="H5342" s="81">
        <v>9.7007784428608002</v>
      </c>
    </row>
    <row r="5343" spans="1:8" x14ac:dyDescent="0.3">
      <c r="A5343" s="74" t="str">
        <f t="shared" si="83"/>
        <v>湖北46162</v>
      </c>
      <c r="B5343" s="75" t="s">
        <v>32</v>
      </c>
      <c r="C5343" s="45">
        <v>46162</v>
      </c>
      <c r="D5343" s="76">
        <v>6038.5086956982796</v>
      </c>
      <c r="E5343" s="77">
        <v>125</v>
      </c>
      <c r="F5343" s="78">
        <v>10.3834164984811</v>
      </c>
      <c r="G5343" s="78">
        <v>10.3834164984811</v>
      </c>
      <c r="H5343" s="81">
        <v>9.7007784428608002</v>
      </c>
    </row>
    <row r="5344" spans="1:8" x14ac:dyDescent="0.3">
      <c r="A5344" s="74" t="str">
        <f t="shared" si="83"/>
        <v>湖北46163</v>
      </c>
      <c r="B5344" s="75" t="s">
        <v>32</v>
      </c>
      <c r="C5344" s="45">
        <v>46163</v>
      </c>
      <c r="D5344" s="76">
        <v>6038.5086956982796</v>
      </c>
      <c r="E5344" s="77">
        <v>125</v>
      </c>
      <c r="F5344" s="78">
        <v>10.3834164984811</v>
      </c>
      <c r="G5344" s="78">
        <v>10.3834164984811</v>
      </c>
      <c r="H5344" s="81">
        <v>9.7007784428608002</v>
      </c>
    </row>
    <row r="5345" spans="1:8" x14ac:dyDescent="0.3">
      <c r="A5345" s="74" t="str">
        <f t="shared" si="83"/>
        <v>湖北46164</v>
      </c>
      <c r="B5345" s="75" t="s">
        <v>32</v>
      </c>
      <c r="C5345" s="45">
        <v>46164</v>
      </c>
      <c r="D5345" s="76">
        <v>6038.5086956982796</v>
      </c>
      <c r="E5345" s="77">
        <v>125</v>
      </c>
      <c r="F5345" s="78">
        <v>10.3834164984811</v>
      </c>
      <c r="G5345" s="78">
        <v>10.3834164984811</v>
      </c>
      <c r="H5345" s="81">
        <v>9.7007784428608002</v>
      </c>
    </row>
    <row r="5346" spans="1:8" x14ac:dyDescent="0.3">
      <c r="A5346" s="74" t="str">
        <f t="shared" si="83"/>
        <v>湖北46165</v>
      </c>
      <c r="B5346" s="75" t="s">
        <v>32</v>
      </c>
      <c r="C5346" s="45">
        <v>46165</v>
      </c>
      <c r="D5346" s="76">
        <v>6038.5086956982796</v>
      </c>
      <c r="E5346" s="77">
        <v>125</v>
      </c>
      <c r="F5346" s="78">
        <v>10.3834164984811</v>
      </c>
      <c r="G5346" s="78">
        <v>10.3834164984811</v>
      </c>
      <c r="H5346" s="81">
        <v>9.7007784428608002</v>
      </c>
    </row>
    <row r="5347" spans="1:8" x14ac:dyDescent="0.3">
      <c r="A5347" s="74" t="str">
        <f t="shared" si="83"/>
        <v>湖北46166</v>
      </c>
      <c r="B5347" s="75" t="s">
        <v>32</v>
      </c>
      <c r="C5347" s="45">
        <v>46166</v>
      </c>
      <c r="D5347" s="76">
        <v>6038.5086956982796</v>
      </c>
      <c r="E5347" s="77">
        <v>125</v>
      </c>
      <c r="F5347" s="78">
        <v>10.3834164984811</v>
      </c>
      <c r="G5347" s="78">
        <v>10.3834164984811</v>
      </c>
      <c r="H5347" s="81">
        <v>9.7007784428608002</v>
      </c>
    </row>
    <row r="5348" spans="1:8" x14ac:dyDescent="0.3">
      <c r="A5348" s="74" t="str">
        <f t="shared" si="83"/>
        <v>湖北46167</v>
      </c>
      <c r="B5348" s="75" t="s">
        <v>32</v>
      </c>
      <c r="C5348" s="45">
        <v>46167</v>
      </c>
      <c r="D5348" s="76">
        <v>6038.5086956982796</v>
      </c>
      <c r="E5348" s="77">
        <v>125</v>
      </c>
      <c r="F5348" s="78">
        <v>10.3834164984811</v>
      </c>
      <c r="G5348" s="78">
        <v>10.3834164984811</v>
      </c>
      <c r="H5348" s="81">
        <v>9.7007784428608002</v>
      </c>
    </row>
    <row r="5349" spans="1:8" x14ac:dyDescent="0.3">
      <c r="A5349" s="74" t="str">
        <f t="shared" si="83"/>
        <v>湖北46168</v>
      </c>
      <c r="B5349" s="75" t="s">
        <v>32</v>
      </c>
      <c r="C5349" s="45">
        <v>46168</v>
      </c>
      <c r="D5349" s="76">
        <v>6038.5086956982796</v>
      </c>
      <c r="E5349" s="77">
        <v>125</v>
      </c>
      <c r="F5349" s="78">
        <v>10.3834164984811</v>
      </c>
      <c r="G5349" s="78">
        <v>10.3834164984811</v>
      </c>
      <c r="H5349" s="81">
        <v>9.7007784428608002</v>
      </c>
    </row>
    <row r="5350" spans="1:8" x14ac:dyDescent="0.3">
      <c r="A5350" s="74" t="str">
        <f t="shared" si="83"/>
        <v>湖北46169</v>
      </c>
      <c r="B5350" s="75" t="s">
        <v>32</v>
      </c>
      <c r="C5350" s="45">
        <v>46169</v>
      </c>
      <c r="D5350" s="76">
        <v>6038.5086956982796</v>
      </c>
      <c r="E5350" s="77">
        <v>125</v>
      </c>
      <c r="F5350" s="78">
        <v>10.3834164984811</v>
      </c>
      <c r="G5350" s="78">
        <v>10.3834164984811</v>
      </c>
      <c r="H5350" s="81">
        <v>9.7007784428608002</v>
      </c>
    </row>
    <row r="5351" spans="1:8" x14ac:dyDescent="0.3">
      <c r="A5351" s="74" t="str">
        <f t="shared" si="83"/>
        <v>湖北46170</v>
      </c>
      <c r="B5351" s="75" t="s">
        <v>32</v>
      </c>
      <c r="C5351" s="45">
        <v>46170</v>
      </c>
      <c r="D5351" s="76">
        <v>6038.5086956982796</v>
      </c>
      <c r="E5351" s="77">
        <v>125</v>
      </c>
      <c r="F5351" s="78">
        <v>10.3834164984811</v>
      </c>
      <c r="G5351" s="78">
        <v>10.3834164984811</v>
      </c>
      <c r="H5351" s="81">
        <v>9.7007784428608002</v>
      </c>
    </row>
    <row r="5352" spans="1:8" x14ac:dyDescent="0.3">
      <c r="A5352" s="74" t="str">
        <f t="shared" si="83"/>
        <v>湖北46171</v>
      </c>
      <c r="B5352" s="75" t="s">
        <v>32</v>
      </c>
      <c r="C5352" s="45">
        <v>46171</v>
      </c>
      <c r="D5352" s="76">
        <v>6038.5086956982796</v>
      </c>
      <c r="E5352" s="77">
        <v>125</v>
      </c>
      <c r="F5352" s="78">
        <v>10.3834164984811</v>
      </c>
      <c r="G5352" s="78">
        <v>10.3834164984811</v>
      </c>
      <c r="H5352" s="81">
        <v>9.7007784428608002</v>
      </c>
    </row>
    <row r="5353" spans="1:8" x14ac:dyDescent="0.3">
      <c r="A5353" s="74" t="str">
        <f t="shared" si="83"/>
        <v>湖北46172</v>
      </c>
      <c r="B5353" s="75" t="s">
        <v>32</v>
      </c>
      <c r="C5353" s="45">
        <v>46172</v>
      </c>
      <c r="D5353" s="76">
        <v>6038.5086956982796</v>
      </c>
      <c r="E5353" s="77">
        <v>125</v>
      </c>
      <c r="F5353" s="78">
        <v>10.3834164984811</v>
      </c>
      <c r="G5353" s="78">
        <v>10.3834164984811</v>
      </c>
      <c r="H5353" s="81">
        <v>9.7007784428608002</v>
      </c>
    </row>
    <row r="5354" spans="1:8" x14ac:dyDescent="0.3">
      <c r="A5354" s="74" t="str">
        <f t="shared" si="83"/>
        <v>湖北46173</v>
      </c>
      <c r="B5354" s="75" t="s">
        <v>32</v>
      </c>
      <c r="C5354" s="45">
        <v>46173</v>
      </c>
      <c r="D5354" s="76">
        <v>6038.5086956982796</v>
      </c>
      <c r="E5354" s="77">
        <v>125</v>
      </c>
      <c r="F5354" s="78">
        <v>10.3834164984811</v>
      </c>
      <c r="G5354" s="78">
        <v>10.3834164984811</v>
      </c>
      <c r="H5354" s="81">
        <v>9.7007784428608002</v>
      </c>
    </row>
    <row r="5355" spans="1:8" x14ac:dyDescent="0.3">
      <c r="A5355" s="74" t="str">
        <f t="shared" si="83"/>
        <v>湖北46174</v>
      </c>
      <c r="B5355" s="75" t="s">
        <v>32</v>
      </c>
      <c r="C5355" s="45">
        <v>46174</v>
      </c>
      <c r="D5355" s="76">
        <v>5664.9418951677499</v>
      </c>
      <c r="E5355" s="77">
        <v>125</v>
      </c>
      <c r="F5355" s="78">
        <v>11.3946251780502</v>
      </c>
      <c r="G5355" s="78">
        <v>11.3946251780502</v>
      </c>
      <c r="H5355" s="81">
        <v>10.559210499441299</v>
      </c>
    </row>
    <row r="5356" spans="1:8" x14ac:dyDescent="0.3">
      <c r="A5356" s="74" t="str">
        <f t="shared" si="83"/>
        <v>湖北46175</v>
      </c>
      <c r="B5356" s="75" t="s">
        <v>32</v>
      </c>
      <c r="C5356" s="45">
        <v>46175</v>
      </c>
      <c r="D5356" s="76">
        <v>5664.9418951677499</v>
      </c>
      <c r="E5356" s="77">
        <v>125</v>
      </c>
      <c r="F5356" s="78">
        <v>11.3946251780502</v>
      </c>
      <c r="G5356" s="78">
        <v>11.3946251780502</v>
      </c>
      <c r="H5356" s="81">
        <v>10.559210499441299</v>
      </c>
    </row>
    <row r="5357" spans="1:8" x14ac:dyDescent="0.3">
      <c r="A5357" s="74" t="str">
        <f t="shared" si="83"/>
        <v>湖北46176</v>
      </c>
      <c r="B5357" s="75" t="s">
        <v>32</v>
      </c>
      <c r="C5357" s="45">
        <v>46176</v>
      </c>
      <c r="D5357" s="76">
        <v>5664.9418951677499</v>
      </c>
      <c r="E5357" s="77">
        <v>125</v>
      </c>
      <c r="F5357" s="78">
        <v>11.3946251780502</v>
      </c>
      <c r="G5357" s="78">
        <v>11.3946251780502</v>
      </c>
      <c r="H5357" s="81">
        <v>10.559210499441299</v>
      </c>
    </row>
    <row r="5358" spans="1:8" x14ac:dyDescent="0.3">
      <c r="A5358" s="74" t="str">
        <f t="shared" si="83"/>
        <v>湖北46177</v>
      </c>
      <c r="B5358" s="75" t="s">
        <v>32</v>
      </c>
      <c r="C5358" s="45">
        <v>46177</v>
      </c>
      <c r="D5358" s="76">
        <v>5664.9418951677499</v>
      </c>
      <c r="E5358" s="77">
        <v>125</v>
      </c>
      <c r="F5358" s="78">
        <v>11.3946251780502</v>
      </c>
      <c r="G5358" s="78">
        <v>11.3946251780502</v>
      </c>
      <c r="H5358" s="81">
        <v>10.559210499441299</v>
      </c>
    </row>
    <row r="5359" spans="1:8" x14ac:dyDescent="0.3">
      <c r="A5359" s="74" t="str">
        <f t="shared" si="83"/>
        <v>湖北46178</v>
      </c>
      <c r="B5359" s="75" t="s">
        <v>32</v>
      </c>
      <c r="C5359" s="45">
        <v>46178</v>
      </c>
      <c r="D5359" s="76">
        <v>5664.9418951677499</v>
      </c>
      <c r="E5359" s="77">
        <v>125</v>
      </c>
      <c r="F5359" s="78">
        <v>11.3946251780502</v>
      </c>
      <c r="G5359" s="78">
        <v>11.3946251780502</v>
      </c>
      <c r="H5359" s="81">
        <v>10.559210499441299</v>
      </c>
    </row>
    <row r="5360" spans="1:8" x14ac:dyDescent="0.3">
      <c r="A5360" s="74" t="str">
        <f t="shared" si="83"/>
        <v>湖北46179</v>
      </c>
      <c r="B5360" s="75" t="s">
        <v>32</v>
      </c>
      <c r="C5360" s="45">
        <v>46179</v>
      </c>
      <c r="D5360" s="76">
        <v>5664.9418951677499</v>
      </c>
      <c r="E5360" s="77">
        <v>125</v>
      </c>
      <c r="F5360" s="78">
        <v>11.3946251780502</v>
      </c>
      <c r="G5360" s="78">
        <v>11.3946251780502</v>
      </c>
      <c r="H5360" s="81">
        <v>10.559210499441299</v>
      </c>
    </row>
    <row r="5361" spans="1:8" x14ac:dyDescent="0.3">
      <c r="A5361" s="74" t="str">
        <f t="shared" si="83"/>
        <v>湖北46180</v>
      </c>
      <c r="B5361" s="75" t="s">
        <v>32</v>
      </c>
      <c r="C5361" s="45">
        <v>46180</v>
      </c>
      <c r="D5361" s="76">
        <v>5664.9418951677499</v>
      </c>
      <c r="E5361" s="77">
        <v>125</v>
      </c>
      <c r="F5361" s="78">
        <v>11.3946251780502</v>
      </c>
      <c r="G5361" s="78">
        <v>11.3946251780502</v>
      </c>
      <c r="H5361" s="81">
        <v>10.559210499441299</v>
      </c>
    </row>
    <row r="5362" spans="1:8" x14ac:dyDescent="0.3">
      <c r="A5362" s="74" t="str">
        <f t="shared" si="83"/>
        <v>湖北46181</v>
      </c>
      <c r="B5362" s="75" t="s">
        <v>32</v>
      </c>
      <c r="C5362" s="45">
        <v>46181</v>
      </c>
      <c r="D5362" s="76">
        <v>5664.9418951677499</v>
      </c>
      <c r="E5362" s="77">
        <v>125</v>
      </c>
      <c r="F5362" s="78">
        <v>11.3946251780502</v>
      </c>
      <c r="G5362" s="78">
        <v>11.3946251780502</v>
      </c>
      <c r="H5362" s="81">
        <v>10.559210499441299</v>
      </c>
    </row>
    <row r="5363" spans="1:8" x14ac:dyDescent="0.3">
      <c r="A5363" s="74" t="str">
        <f t="shared" si="83"/>
        <v>湖北46182</v>
      </c>
      <c r="B5363" s="75" t="s">
        <v>32</v>
      </c>
      <c r="C5363" s="45">
        <v>46182</v>
      </c>
      <c r="D5363" s="76">
        <v>5664.9418951677499</v>
      </c>
      <c r="E5363" s="77">
        <v>125</v>
      </c>
      <c r="F5363" s="78">
        <v>11.3946251780502</v>
      </c>
      <c r="G5363" s="78">
        <v>11.3946251780502</v>
      </c>
      <c r="H5363" s="81">
        <v>10.559210499441299</v>
      </c>
    </row>
    <row r="5364" spans="1:8" x14ac:dyDescent="0.3">
      <c r="A5364" s="74" t="str">
        <f t="shared" si="83"/>
        <v>湖北46183</v>
      </c>
      <c r="B5364" s="75" t="s">
        <v>32</v>
      </c>
      <c r="C5364" s="45">
        <v>46183</v>
      </c>
      <c r="D5364" s="76">
        <v>5664.9418951677499</v>
      </c>
      <c r="E5364" s="77">
        <v>125</v>
      </c>
      <c r="F5364" s="78">
        <v>11.3946251780502</v>
      </c>
      <c r="G5364" s="78">
        <v>11.3946251780502</v>
      </c>
      <c r="H5364" s="81">
        <v>10.559210499441299</v>
      </c>
    </row>
    <row r="5365" spans="1:8" x14ac:dyDescent="0.3">
      <c r="A5365" s="74" t="str">
        <f t="shared" si="83"/>
        <v>湖北46184</v>
      </c>
      <c r="B5365" s="75" t="s">
        <v>32</v>
      </c>
      <c r="C5365" s="45">
        <v>46184</v>
      </c>
      <c r="D5365" s="76">
        <v>5664.9418951677499</v>
      </c>
      <c r="E5365" s="77">
        <v>125</v>
      </c>
      <c r="F5365" s="78">
        <v>11.3946251780502</v>
      </c>
      <c r="G5365" s="78">
        <v>11.3946251780502</v>
      </c>
      <c r="H5365" s="81">
        <v>10.559210499441299</v>
      </c>
    </row>
    <row r="5366" spans="1:8" x14ac:dyDescent="0.3">
      <c r="A5366" s="74" t="str">
        <f t="shared" si="83"/>
        <v>湖北46185</v>
      </c>
      <c r="B5366" s="75" t="s">
        <v>32</v>
      </c>
      <c r="C5366" s="45">
        <v>46185</v>
      </c>
      <c r="D5366" s="76">
        <v>5664.9418951677499</v>
      </c>
      <c r="E5366" s="77">
        <v>125</v>
      </c>
      <c r="F5366" s="78">
        <v>11.3946251780502</v>
      </c>
      <c r="G5366" s="78">
        <v>11.3946251780502</v>
      </c>
      <c r="H5366" s="81">
        <v>10.559210499441299</v>
      </c>
    </row>
    <row r="5367" spans="1:8" x14ac:dyDescent="0.3">
      <c r="A5367" s="74" t="str">
        <f t="shared" si="83"/>
        <v>湖北46186</v>
      </c>
      <c r="B5367" s="75" t="s">
        <v>32</v>
      </c>
      <c r="C5367" s="45">
        <v>46186</v>
      </c>
      <c r="D5367" s="76">
        <v>5664.9418951677499</v>
      </c>
      <c r="E5367" s="77">
        <v>125</v>
      </c>
      <c r="F5367" s="78">
        <v>11.3946251780502</v>
      </c>
      <c r="G5367" s="78">
        <v>11.3946251780502</v>
      </c>
      <c r="H5367" s="81">
        <v>10.559210499441299</v>
      </c>
    </row>
    <row r="5368" spans="1:8" x14ac:dyDescent="0.3">
      <c r="A5368" s="74" t="str">
        <f t="shared" si="83"/>
        <v>湖北46187</v>
      </c>
      <c r="B5368" s="75" t="s">
        <v>32</v>
      </c>
      <c r="C5368" s="45">
        <v>46187</v>
      </c>
      <c r="D5368" s="76">
        <v>5664.9418951677499</v>
      </c>
      <c r="E5368" s="77">
        <v>125</v>
      </c>
      <c r="F5368" s="78">
        <v>11.3946251780502</v>
      </c>
      <c r="G5368" s="78">
        <v>11.3946251780502</v>
      </c>
      <c r="H5368" s="81">
        <v>10.559210499441299</v>
      </c>
    </row>
    <row r="5369" spans="1:8" x14ac:dyDescent="0.3">
      <c r="A5369" s="74" t="str">
        <f t="shared" si="83"/>
        <v>湖北46188</v>
      </c>
      <c r="B5369" s="75" t="s">
        <v>32</v>
      </c>
      <c r="C5369" s="45">
        <v>46188</v>
      </c>
      <c r="D5369" s="76">
        <v>5664.9418951677499</v>
      </c>
      <c r="E5369" s="77">
        <v>125</v>
      </c>
      <c r="F5369" s="78">
        <v>11.3946251780502</v>
      </c>
      <c r="G5369" s="78">
        <v>11.3946251780502</v>
      </c>
      <c r="H5369" s="81">
        <v>10.559210499441299</v>
      </c>
    </row>
    <row r="5370" spans="1:8" x14ac:dyDescent="0.3">
      <c r="A5370" s="74" t="str">
        <f t="shared" si="83"/>
        <v>湖北46189</v>
      </c>
      <c r="B5370" s="75" t="s">
        <v>32</v>
      </c>
      <c r="C5370" s="45">
        <v>46189</v>
      </c>
      <c r="D5370" s="76">
        <v>5664.9418951677499</v>
      </c>
      <c r="E5370" s="77">
        <v>125</v>
      </c>
      <c r="F5370" s="78">
        <v>11.3946251780502</v>
      </c>
      <c r="G5370" s="78">
        <v>11.3946251780502</v>
      </c>
      <c r="H5370" s="81">
        <v>10.559210499441299</v>
      </c>
    </row>
    <row r="5371" spans="1:8" x14ac:dyDescent="0.3">
      <c r="A5371" s="74" t="str">
        <f t="shared" si="83"/>
        <v>湖北46190</v>
      </c>
      <c r="B5371" s="75" t="s">
        <v>32</v>
      </c>
      <c r="C5371" s="45">
        <v>46190</v>
      </c>
      <c r="D5371" s="76">
        <v>5664.9418951677499</v>
      </c>
      <c r="E5371" s="77">
        <v>125</v>
      </c>
      <c r="F5371" s="78">
        <v>11.3946251780502</v>
      </c>
      <c r="G5371" s="78">
        <v>11.3946251780502</v>
      </c>
      <c r="H5371" s="81">
        <v>10.559210499441299</v>
      </c>
    </row>
    <row r="5372" spans="1:8" x14ac:dyDescent="0.3">
      <c r="A5372" s="74" t="str">
        <f t="shared" si="83"/>
        <v>湖北46191</v>
      </c>
      <c r="B5372" s="75" t="s">
        <v>32</v>
      </c>
      <c r="C5372" s="45">
        <v>46191</v>
      </c>
      <c r="D5372" s="76">
        <v>5664.9418951677499</v>
      </c>
      <c r="E5372" s="77">
        <v>125</v>
      </c>
      <c r="F5372" s="78">
        <v>11.3946251780502</v>
      </c>
      <c r="G5372" s="78">
        <v>11.3946251780502</v>
      </c>
      <c r="H5372" s="81">
        <v>10.559210499441299</v>
      </c>
    </row>
    <row r="5373" spans="1:8" x14ac:dyDescent="0.3">
      <c r="A5373" s="74" t="str">
        <f t="shared" si="83"/>
        <v>湖北46192</v>
      </c>
      <c r="B5373" s="75" t="s">
        <v>32</v>
      </c>
      <c r="C5373" s="45">
        <v>46192</v>
      </c>
      <c r="D5373" s="76">
        <v>5664.9418951677499</v>
      </c>
      <c r="E5373" s="77">
        <v>125</v>
      </c>
      <c r="F5373" s="78">
        <v>11.3946251780502</v>
      </c>
      <c r="G5373" s="78">
        <v>11.3946251780502</v>
      </c>
      <c r="H5373" s="81">
        <v>10.559210499441299</v>
      </c>
    </row>
    <row r="5374" spans="1:8" x14ac:dyDescent="0.3">
      <c r="A5374" s="74" t="str">
        <f t="shared" si="83"/>
        <v>湖北46193</v>
      </c>
      <c r="B5374" s="75" t="s">
        <v>32</v>
      </c>
      <c r="C5374" s="45">
        <v>46193</v>
      </c>
      <c r="D5374" s="76">
        <v>5664.9418951677499</v>
      </c>
      <c r="E5374" s="77">
        <v>125</v>
      </c>
      <c r="F5374" s="78">
        <v>11.3946251780502</v>
      </c>
      <c r="G5374" s="78">
        <v>11.3946251780502</v>
      </c>
      <c r="H5374" s="81">
        <v>10.559210499441299</v>
      </c>
    </row>
    <row r="5375" spans="1:8" x14ac:dyDescent="0.3">
      <c r="A5375" s="74" t="str">
        <f t="shared" si="83"/>
        <v>湖北46194</v>
      </c>
      <c r="B5375" s="75" t="s">
        <v>32</v>
      </c>
      <c r="C5375" s="45">
        <v>46194</v>
      </c>
      <c r="D5375" s="76">
        <v>5664.9418951677499</v>
      </c>
      <c r="E5375" s="77">
        <v>125</v>
      </c>
      <c r="F5375" s="78">
        <v>11.3946251780502</v>
      </c>
      <c r="G5375" s="78">
        <v>11.3946251780502</v>
      </c>
      <c r="H5375" s="81">
        <v>10.559210499441299</v>
      </c>
    </row>
    <row r="5376" spans="1:8" x14ac:dyDescent="0.3">
      <c r="A5376" s="74" t="str">
        <f t="shared" si="83"/>
        <v>湖北46195</v>
      </c>
      <c r="B5376" s="75" t="s">
        <v>32</v>
      </c>
      <c r="C5376" s="45">
        <v>46195</v>
      </c>
      <c r="D5376" s="76">
        <v>5664.9418951677499</v>
      </c>
      <c r="E5376" s="77">
        <v>125</v>
      </c>
      <c r="F5376" s="78">
        <v>11.3946251780502</v>
      </c>
      <c r="G5376" s="78">
        <v>11.3946251780502</v>
      </c>
      <c r="H5376" s="81">
        <v>10.559210499441299</v>
      </c>
    </row>
    <row r="5377" spans="1:8" x14ac:dyDescent="0.3">
      <c r="A5377" s="74" t="str">
        <f t="shared" si="83"/>
        <v>湖北46196</v>
      </c>
      <c r="B5377" s="75" t="s">
        <v>32</v>
      </c>
      <c r="C5377" s="45">
        <v>46196</v>
      </c>
      <c r="D5377" s="76">
        <v>5664.9418951677499</v>
      </c>
      <c r="E5377" s="77">
        <v>125</v>
      </c>
      <c r="F5377" s="78">
        <v>11.3946251780502</v>
      </c>
      <c r="G5377" s="78">
        <v>11.3946251780502</v>
      </c>
      <c r="H5377" s="81">
        <v>10.559210499441299</v>
      </c>
    </row>
    <row r="5378" spans="1:8" x14ac:dyDescent="0.3">
      <c r="A5378" s="74" t="str">
        <f t="shared" si="83"/>
        <v>湖北46197</v>
      </c>
      <c r="B5378" s="75" t="s">
        <v>32</v>
      </c>
      <c r="C5378" s="45">
        <v>46197</v>
      </c>
      <c r="D5378" s="76">
        <v>5664.9418951677499</v>
      </c>
      <c r="E5378" s="77">
        <v>125</v>
      </c>
      <c r="F5378" s="78">
        <v>11.3946251780502</v>
      </c>
      <c r="G5378" s="78">
        <v>11.3946251780502</v>
      </c>
      <c r="H5378" s="81">
        <v>10.559210499441299</v>
      </c>
    </row>
    <row r="5379" spans="1:8" x14ac:dyDescent="0.3">
      <c r="A5379" s="74" t="str">
        <f t="shared" ref="A5379:A5442" si="84">B5379&amp;C5379</f>
        <v>湖北46198</v>
      </c>
      <c r="B5379" s="75" t="s">
        <v>32</v>
      </c>
      <c r="C5379" s="45">
        <v>46198</v>
      </c>
      <c r="D5379" s="76">
        <v>5664.9418951677499</v>
      </c>
      <c r="E5379" s="77">
        <v>125</v>
      </c>
      <c r="F5379" s="78">
        <v>11.3946251780502</v>
      </c>
      <c r="G5379" s="78">
        <v>11.3946251780502</v>
      </c>
      <c r="H5379" s="81">
        <v>10.559210499441299</v>
      </c>
    </row>
    <row r="5380" spans="1:8" x14ac:dyDescent="0.3">
      <c r="A5380" s="74" t="str">
        <f t="shared" si="84"/>
        <v>湖北46199</v>
      </c>
      <c r="B5380" s="75" t="s">
        <v>32</v>
      </c>
      <c r="C5380" s="45">
        <v>46199</v>
      </c>
      <c r="D5380" s="76">
        <v>5664.9418951677499</v>
      </c>
      <c r="E5380" s="77">
        <v>125</v>
      </c>
      <c r="F5380" s="78">
        <v>11.3946251780502</v>
      </c>
      <c r="G5380" s="78">
        <v>11.3946251780502</v>
      </c>
      <c r="H5380" s="81">
        <v>10.559210499441299</v>
      </c>
    </row>
    <row r="5381" spans="1:8" x14ac:dyDescent="0.3">
      <c r="A5381" s="74" t="str">
        <f t="shared" si="84"/>
        <v>湖北46200</v>
      </c>
      <c r="B5381" s="75" t="s">
        <v>32</v>
      </c>
      <c r="C5381" s="45">
        <v>46200</v>
      </c>
      <c r="D5381" s="76">
        <v>5664.9418951677499</v>
      </c>
      <c r="E5381" s="77">
        <v>125</v>
      </c>
      <c r="F5381" s="78">
        <v>11.3946251780502</v>
      </c>
      <c r="G5381" s="78">
        <v>11.3946251780502</v>
      </c>
      <c r="H5381" s="81">
        <v>10.559210499441299</v>
      </c>
    </row>
    <row r="5382" spans="1:8" x14ac:dyDescent="0.3">
      <c r="A5382" s="74" t="str">
        <f t="shared" si="84"/>
        <v>湖北46201</v>
      </c>
      <c r="B5382" s="75" t="s">
        <v>32</v>
      </c>
      <c r="C5382" s="45">
        <v>46201</v>
      </c>
      <c r="D5382" s="76">
        <v>5664.9418951677499</v>
      </c>
      <c r="E5382" s="77">
        <v>125</v>
      </c>
      <c r="F5382" s="78">
        <v>11.3946251780502</v>
      </c>
      <c r="G5382" s="78">
        <v>11.3946251780502</v>
      </c>
      <c r="H5382" s="81">
        <v>10.559210499441299</v>
      </c>
    </row>
    <row r="5383" spans="1:8" x14ac:dyDescent="0.3">
      <c r="A5383" s="74" t="str">
        <f t="shared" si="84"/>
        <v>湖北46202</v>
      </c>
      <c r="B5383" s="75" t="s">
        <v>32</v>
      </c>
      <c r="C5383" s="45">
        <v>46202</v>
      </c>
      <c r="D5383" s="76">
        <v>5664.9418951677499</v>
      </c>
      <c r="E5383" s="77">
        <v>125</v>
      </c>
      <c r="F5383" s="78">
        <v>11.3946251780502</v>
      </c>
      <c r="G5383" s="78">
        <v>11.3946251780502</v>
      </c>
      <c r="H5383" s="81">
        <v>10.559210499441299</v>
      </c>
    </row>
    <row r="5384" spans="1:8" x14ac:dyDescent="0.3">
      <c r="A5384" s="74" t="str">
        <f t="shared" si="84"/>
        <v>湖北46203</v>
      </c>
      <c r="B5384" s="75" t="s">
        <v>32</v>
      </c>
      <c r="C5384" s="45">
        <v>46203</v>
      </c>
      <c r="D5384" s="76">
        <v>5664.9418951677499</v>
      </c>
      <c r="E5384" s="77">
        <v>125</v>
      </c>
      <c r="F5384" s="78">
        <v>11.3946251780502</v>
      </c>
      <c r="G5384" s="78">
        <v>11.3946251780502</v>
      </c>
      <c r="H5384" s="81">
        <v>10.559210499441299</v>
      </c>
    </row>
    <row r="5385" spans="1:8" x14ac:dyDescent="0.3">
      <c r="A5385" s="74" t="str">
        <f t="shared" si="84"/>
        <v>湖北46204</v>
      </c>
      <c r="B5385" s="75" t="s">
        <v>32</v>
      </c>
      <c r="C5385" s="45">
        <v>46204</v>
      </c>
      <c r="D5385" s="76">
        <v>6014.49454388288</v>
      </c>
      <c r="E5385" s="77">
        <v>125</v>
      </c>
      <c r="F5385" s="78">
        <v>11.872097409838901</v>
      </c>
      <c r="G5385" s="78">
        <v>11.872097409838901</v>
      </c>
      <c r="H5385" s="81">
        <v>11.4176425560218</v>
      </c>
    </row>
    <row r="5386" spans="1:8" x14ac:dyDescent="0.3">
      <c r="A5386" s="74" t="str">
        <f t="shared" si="84"/>
        <v>湖北46205</v>
      </c>
      <c r="B5386" s="75" t="s">
        <v>32</v>
      </c>
      <c r="C5386" s="45">
        <v>46205</v>
      </c>
      <c r="D5386" s="76">
        <v>6014.49454388288</v>
      </c>
      <c r="E5386" s="77">
        <v>125</v>
      </c>
      <c r="F5386" s="78">
        <v>11.872097409838901</v>
      </c>
      <c r="G5386" s="78">
        <v>11.872097409838901</v>
      </c>
      <c r="H5386" s="81">
        <v>11.4176425560218</v>
      </c>
    </row>
    <row r="5387" spans="1:8" x14ac:dyDescent="0.3">
      <c r="A5387" s="74" t="str">
        <f t="shared" si="84"/>
        <v>湖北46206</v>
      </c>
      <c r="B5387" s="75" t="s">
        <v>32</v>
      </c>
      <c r="C5387" s="45">
        <v>46206</v>
      </c>
      <c r="D5387" s="76">
        <v>6014.49454388288</v>
      </c>
      <c r="E5387" s="77">
        <v>125</v>
      </c>
      <c r="F5387" s="78">
        <v>11.872097409838901</v>
      </c>
      <c r="G5387" s="78">
        <v>11.872097409838901</v>
      </c>
      <c r="H5387" s="81">
        <v>11.4176425560218</v>
      </c>
    </row>
    <row r="5388" spans="1:8" x14ac:dyDescent="0.3">
      <c r="A5388" s="74" t="str">
        <f t="shared" si="84"/>
        <v>湖北46207</v>
      </c>
      <c r="B5388" s="75" t="s">
        <v>32</v>
      </c>
      <c r="C5388" s="45">
        <v>46207</v>
      </c>
      <c r="D5388" s="76">
        <v>6014.49454388288</v>
      </c>
      <c r="E5388" s="77">
        <v>125</v>
      </c>
      <c r="F5388" s="78">
        <v>11.872097409838901</v>
      </c>
      <c r="G5388" s="78">
        <v>11.872097409838901</v>
      </c>
      <c r="H5388" s="81">
        <v>11.4176425560218</v>
      </c>
    </row>
    <row r="5389" spans="1:8" x14ac:dyDescent="0.3">
      <c r="A5389" s="74" t="str">
        <f t="shared" si="84"/>
        <v>湖北46208</v>
      </c>
      <c r="B5389" s="75" t="s">
        <v>32</v>
      </c>
      <c r="C5389" s="45">
        <v>46208</v>
      </c>
      <c r="D5389" s="76">
        <v>6014.49454388288</v>
      </c>
      <c r="E5389" s="77">
        <v>125</v>
      </c>
      <c r="F5389" s="78">
        <v>11.872097409838901</v>
      </c>
      <c r="G5389" s="78">
        <v>11.872097409838901</v>
      </c>
      <c r="H5389" s="81">
        <v>11.4176425560218</v>
      </c>
    </row>
    <row r="5390" spans="1:8" x14ac:dyDescent="0.3">
      <c r="A5390" s="74" t="str">
        <f t="shared" si="84"/>
        <v>湖北46209</v>
      </c>
      <c r="B5390" s="75" t="s">
        <v>32</v>
      </c>
      <c r="C5390" s="45">
        <v>46209</v>
      </c>
      <c r="D5390" s="76">
        <v>6014.49454388288</v>
      </c>
      <c r="E5390" s="77">
        <v>125</v>
      </c>
      <c r="F5390" s="78">
        <v>11.872097409838901</v>
      </c>
      <c r="G5390" s="78">
        <v>11.872097409838901</v>
      </c>
      <c r="H5390" s="81">
        <v>11.4176425560218</v>
      </c>
    </row>
    <row r="5391" spans="1:8" x14ac:dyDescent="0.3">
      <c r="A5391" s="74" t="str">
        <f t="shared" si="84"/>
        <v>湖北46210</v>
      </c>
      <c r="B5391" s="75" t="s">
        <v>32</v>
      </c>
      <c r="C5391" s="45">
        <v>46210</v>
      </c>
      <c r="D5391" s="76">
        <v>6014.49454388288</v>
      </c>
      <c r="E5391" s="77">
        <v>125</v>
      </c>
      <c r="F5391" s="78">
        <v>11.872097409838901</v>
      </c>
      <c r="G5391" s="78">
        <v>11.872097409838901</v>
      </c>
      <c r="H5391" s="81">
        <v>11.4176425560218</v>
      </c>
    </row>
    <row r="5392" spans="1:8" x14ac:dyDescent="0.3">
      <c r="A5392" s="74" t="str">
        <f t="shared" si="84"/>
        <v>湖北46211</v>
      </c>
      <c r="B5392" s="75" t="s">
        <v>32</v>
      </c>
      <c r="C5392" s="45">
        <v>46211</v>
      </c>
      <c r="D5392" s="76">
        <v>6014.49454388288</v>
      </c>
      <c r="E5392" s="77">
        <v>125</v>
      </c>
      <c r="F5392" s="78">
        <v>11.872097409838901</v>
      </c>
      <c r="G5392" s="78">
        <v>11.872097409838901</v>
      </c>
      <c r="H5392" s="81">
        <v>11.4176425560218</v>
      </c>
    </row>
    <row r="5393" spans="1:8" x14ac:dyDescent="0.3">
      <c r="A5393" s="74" t="str">
        <f t="shared" si="84"/>
        <v>湖北46212</v>
      </c>
      <c r="B5393" s="75" t="s">
        <v>32</v>
      </c>
      <c r="C5393" s="45">
        <v>46212</v>
      </c>
      <c r="D5393" s="76">
        <v>6014.49454388288</v>
      </c>
      <c r="E5393" s="77">
        <v>125</v>
      </c>
      <c r="F5393" s="78">
        <v>11.872097409838901</v>
      </c>
      <c r="G5393" s="78">
        <v>11.872097409838901</v>
      </c>
      <c r="H5393" s="81">
        <v>11.4176425560218</v>
      </c>
    </row>
    <row r="5394" spans="1:8" x14ac:dyDescent="0.3">
      <c r="A5394" s="74" t="str">
        <f t="shared" si="84"/>
        <v>湖北46213</v>
      </c>
      <c r="B5394" s="75" t="s">
        <v>32</v>
      </c>
      <c r="C5394" s="45">
        <v>46213</v>
      </c>
      <c r="D5394" s="76">
        <v>6014.49454388288</v>
      </c>
      <c r="E5394" s="77">
        <v>125</v>
      </c>
      <c r="F5394" s="78">
        <v>11.872097409838901</v>
      </c>
      <c r="G5394" s="78">
        <v>11.872097409838901</v>
      </c>
      <c r="H5394" s="81">
        <v>11.4176425560218</v>
      </c>
    </row>
    <row r="5395" spans="1:8" x14ac:dyDescent="0.3">
      <c r="A5395" s="74" t="str">
        <f t="shared" si="84"/>
        <v>湖北46214</v>
      </c>
      <c r="B5395" s="75" t="s">
        <v>32</v>
      </c>
      <c r="C5395" s="45">
        <v>46214</v>
      </c>
      <c r="D5395" s="76">
        <v>6014.49454388288</v>
      </c>
      <c r="E5395" s="77">
        <v>125</v>
      </c>
      <c r="F5395" s="78">
        <v>11.872097409838901</v>
      </c>
      <c r="G5395" s="78">
        <v>11.872097409838901</v>
      </c>
      <c r="H5395" s="81">
        <v>11.4176425560218</v>
      </c>
    </row>
    <row r="5396" spans="1:8" x14ac:dyDescent="0.3">
      <c r="A5396" s="74" t="str">
        <f t="shared" si="84"/>
        <v>湖北46215</v>
      </c>
      <c r="B5396" s="75" t="s">
        <v>32</v>
      </c>
      <c r="C5396" s="45">
        <v>46215</v>
      </c>
      <c r="D5396" s="76">
        <v>6014.49454388288</v>
      </c>
      <c r="E5396" s="77">
        <v>125</v>
      </c>
      <c r="F5396" s="78">
        <v>11.872097409838901</v>
      </c>
      <c r="G5396" s="78">
        <v>11.872097409838901</v>
      </c>
      <c r="H5396" s="81">
        <v>11.4176425560218</v>
      </c>
    </row>
    <row r="5397" spans="1:8" x14ac:dyDescent="0.3">
      <c r="A5397" s="74" t="str">
        <f t="shared" si="84"/>
        <v>湖北46216</v>
      </c>
      <c r="B5397" s="75" t="s">
        <v>32</v>
      </c>
      <c r="C5397" s="45">
        <v>46216</v>
      </c>
      <c r="D5397" s="76">
        <v>6014.49454388288</v>
      </c>
      <c r="E5397" s="77">
        <v>125</v>
      </c>
      <c r="F5397" s="78">
        <v>11.872097409838901</v>
      </c>
      <c r="G5397" s="78">
        <v>11.872097409838901</v>
      </c>
      <c r="H5397" s="81">
        <v>11.4176425560218</v>
      </c>
    </row>
    <row r="5398" spans="1:8" x14ac:dyDescent="0.3">
      <c r="A5398" s="74" t="str">
        <f t="shared" si="84"/>
        <v>湖北46217</v>
      </c>
      <c r="B5398" s="75" t="s">
        <v>32</v>
      </c>
      <c r="C5398" s="45">
        <v>46217</v>
      </c>
      <c r="D5398" s="76">
        <v>6014.49454388288</v>
      </c>
      <c r="E5398" s="77">
        <v>125</v>
      </c>
      <c r="F5398" s="78">
        <v>11.872097409838901</v>
      </c>
      <c r="G5398" s="78">
        <v>11.872097409838901</v>
      </c>
      <c r="H5398" s="81">
        <v>11.4176425560218</v>
      </c>
    </row>
    <row r="5399" spans="1:8" x14ac:dyDescent="0.3">
      <c r="A5399" s="74" t="str">
        <f t="shared" si="84"/>
        <v>湖北46218</v>
      </c>
      <c r="B5399" s="75" t="s">
        <v>32</v>
      </c>
      <c r="C5399" s="45">
        <v>46218</v>
      </c>
      <c r="D5399" s="76">
        <v>6014.49454388288</v>
      </c>
      <c r="E5399" s="77">
        <v>125</v>
      </c>
      <c r="F5399" s="78">
        <v>11.872097409838901</v>
      </c>
      <c r="G5399" s="78">
        <v>11.872097409838901</v>
      </c>
      <c r="H5399" s="81">
        <v>11.4176425560218</v>
      </c>
    </row>
    <row r="5400" spans="1:8" x14ac:dyDescent="0.3">
      <c r="A5400" s="74" t="str">
        <f t="shared" si="84"/>
        <v>湖北46219</v>
      </c>
      <c r="B5400" s="75" t="s">
        <v>32</v>
      </c>
      <c r="C5400" s="45">
        <v>46219</v>
      </c>
      <c r="D5400" s="76">
        <v>6014.49454388288</v>
      </c>
      <c r="E5400" s="77">
        <v>125</v>
      </c>
      <c r="F5400" s="78">
        <v>11.872097409838901</v>
      </c>
      <c r="G5400" s="78">
        <v>11.872097409838901</v>
      </c>
      <c r="H5400" s="81">
        <v>11.4176425560218</v>
      </c>
    </row>
    <row r="5401" spans="1:8" x14ac:dyDescent="0.3">
      <c r="A5401" s="74" t="str">
        <f t="shared" si="84"/>
        <v>湖北46220</v>
      </c>
      <c r="B5401" s="75" t="s">
        <v>32</v>
      </c>
      <c r="C5401" s="45">
        <v>46220</v>
      </c>
      <c r="D5401" s="76">
        <v>6014.49454388288</v>
      </c>
      <c r="E5401" s="77">
        <v>125</v>
      </c>
      <c r="F5401" s="78">
        <v>11.872097409838901</v>
      </c>
      <c r="G5401" s="78">
        <v>11.872097409838901</v>
      </c>
      <c r="H5401" s="81">
        <v>11.4176425560218</v>
      </c>
    </row>
    <row r="5402" spans="1:8" x14ac:dyDescent="0.3">
      <c r="A5402" s="74" t="str">
        <f t="shared" si="84"/>
        <v>湖北46221</v>
      </c>
      <c r="B5402" s="75" t="s">
        <v>32</v>
      </c>
      <c r="C5402" s="45">
        <v>46221</v>
      </c>
      <c r="D5402" s="76">
        <v>6014.49454388288</v>
      </c>
      <c r="E5402" s="77">
        <v>125</v>
      </c>
      <c r="F5402" s="78">
        <v>11.872097409838901</v>
      </c>
      <c r="G5402" s="78">
        <v>11.872097409838901</v>
      </c>
      <c r="H5402" s="81">
        <v>11.4176425560218</v>
      </c>
    </row>
    <row r="5403" spans="1:8" x14ac:dyDescent="0.3">
      <c r="A5403" s="74" t="str">
        <f t="shared" si="84"/>
        <v>湖北46222</v>
      </c>
      <c r="B5403" s="75" t="s">
        <v>32</v>
      </c>
      <c r="C5403" s="45">
        <v>46222</v>
      </c>
      <c r="D5403" s="76">
        <v>6014.49454388288</v>
      </c>
      <c r="E5403" s="77">
        <v>125</v>
      </c>
      <c r="F5403" s="78">
        <v>11.872097409838901</v>
      </c>
      <c r="G5403" s="78">
        <v>11.872097409838901</v>
      </c>
      <c r="H5403" s="81">
        <v>11.4176425560218</v>
      </c>
    </row>
    <row r="5404" spans="1:8" x14ac:dyDescent="0.3">
      <c r="A5404" s="74" t="str">
        <f t="shared" si="84"/>
        <v>湖北46223</v>
      </c>
      <c r="B5404" s="75" t="s">
        <v>32</v>
      </c>
      <c r="C5404" s="45">
        <v>46223</v>
      </c>
      <c r="D5404" s="76">
        <v>6014.49454388288</v>
      </c>
      <c r="E5404" s="77">
        <v>125</v>
      </c>
      <c r="F5404" s="78">
        <v>11.872097409838901</v>
      </c>
      <c r="G5404" s="78">
        <v>11.872097409838901</v>
      </c>
      <c r="H5404" s="81">
        <v>11.4176425560218</v>
      </c>
    </row>
    <row r="5405" spans="1:8" x14ac:dyDescent="0.3">
      <c r="A5405" s="74" t="str">
        <f t="shared" si="84"/>
        <v>湖北46224</v>
      </c>
      <c r="B5405" s="75" t="s">
        <v>32</v>
      </c>
      <c r="C5405" s="45">
        <v>46224</v>
      </c>
      <c r="D5405" s="76">
        <v>6014.49454388288</v>
      </c>
      <c r="E5405" s="77">
        <v>125</v>
      </c>
      <c r="F5405" s="78">
        <v>11.872097409838901</v>
      </c>
      <c r="G5405" s="78">
        <v>11.872097409838901</v>
      </c>
      <c r="H5405" s="81">
        <v>11.4176425560218</v>
      </c>
    </row>
    <row r="5406" spans="1:8" x14ac:dyDescent="0.3">
      <c r="A5406" s="74" t="str">
        <f t="shared" si="84"/>
        <v>湖北46225</v>
      </c>
      <c r="B5406" s="75" t="s">
        <v>32</v>
      </c>
      <c r="C5406" s="45">
        <v>46225</v>
      </c>
      <c r="D5406" s="76">
        <v>6014.49454388288</v>
      </c>
      <c r="E5406" s="77">
        <v>125</v>
      </c>
      <c r="F5406" s="78">
        <v>11.872097409838901</v>
      </c>
      <c r="G5406" s="78">
        <v>11.872097409838901</v>
      </c>
      <c r="H5406" s="81">
        <v>11.4176425560218</v>
      </c>
    </row>
    <row r="5407" spans="1:8" x14ac:dyDescent="0.3">
      <c r="A5407" s="74" t="str">
        <f t="shared" si="84"/>
        <v>湖北46226</v>
      </c>
      <c r="B5407" s="75" t="s">
        <v>32</v>
      </c>
      <c r="C5407" s="45">
        <v>46226</v>
      </c>
      <c r="D5407" s="76">
        <v>6014.49454388288</v>
      </c>
      <c r="E5407" s="77">
        <v>125</v>
      </c>
      <c r="F5407" s="78">
        <v>11.872097409838901</v>
      </c>
      <c r="G5407" s="78">
        <v>11.872097409838901</v>
      </c>
      <c r="H5407" s="81">
        <v>11.4176425560218</v>
      </c>
    </row>
    <row r="5408" spans="1:8" x14ac:dyDescent="0.3">
      <c r="A5408" s="74" t="str">
        <f t="shared" si="84"/>
        <v>湖北46227</v>
      </c>
      <c r="B5408" s="75" t="s">
        <v>32</v>
      </c>
      <c r="C5408" s="45">
        <v>46227</v>
      </c>
      <c r="D5408" s="76">
        <v>6014.49454388288</v>
      </c>
      <c r="E5408" s="77">
        <v>125</v>
      </c>
      <c r="F5408" s="78">
        <v>11.872097409838901</v>
      </c>
      <c r="G5408" s="78">
        <v>11.872097409838901</v>
      </c>
      <c r="H5408" s="81">
        <v>11.4176425560218</v>
      </c>
    </row>
    <row r="5409" spans="1:8" x14ac:dyDescent="0.3">
      <c r="A5409" s="74" t="str">
        <f t="shared" si="84"/>
        <v>湖北46228</v>
      </c>
      <c r="B5409" s="75" t="s">
        <v>32</v>
      </c>
      <c r="C5409" s="45">
        <v>46228</v>
      </c>
      <c r="D5409" s="76">
        <v>6014.49454388288</v>
      </c>
      <c r="E5409" s="77">
        <v>125</v>
      </c>
      <c r="F5409" s="78">
        <v>11.872097409838901</v>
      </c>
      <c r="G5409" s="78">
        <v>11.872097409838901</v>
      </c>
      <c r="H5409" s="81">
        <v>11.4176425560218</v>
      </c>
    </row>
    <row r="5410" spans="1:8" x14ac:dyDescent="0.3">
      <c r="A5410" s="74" t="str">
        <f t="shared" si="84"/>
        <v>湖北46229</v>
      </c>
      <c r="B5410" s="75" t="s">
        <v>32</v>
      </c>
      <c r="C5410" s="45">
        <v>46229</v>
      </c>
      <c r="D5410" s="76">
        <v>6014.49454388288</v>
      </c>
      <c r="E5410" s="77">
        <v>125</v>
      </c>
      <c r="F5410" s="78">
        <v>11.872097409838901</v>
      </c>
      <c r="G5410" s="78">
        <v>11.872097409838901</v>
      </c>
      <c r="H5410" s="81">
        <v>11.4176425560218</v>
      </c>
    </row>
    <row r="5411" spans="1:8" x14ac:dyDescent="0.3">
      <c r="A5411" s="74" t="str">
        <f t="shared" si="84"/>
        <v>湖北46230</v>
      </c>
      <c r="B5411" s="75" t="s">
        <v>32</v>
      </c>
      <c r="C5411" s="45">
        <v>46230</v>
      </c>
      <c r="D5411" s="76">
        <v>6014.49454388288</v>
      </c>
      <c r="E5411" s="77">
        <v>125</v>
      </c>
      <c r="F5411" s="78">
        <v>11.872097409838901</v>
      </c>
      <c r="G5411" s="78">
        <v>11.872097409838901</v>
      </c>
      <c r="H5411" s="81">
        <v>11.4176425560218</v>
      </c>
    </row>
    <row r="5412" spans="1:8" x14ac:dyDescent="0.3">
      <c r="A5412" s="74" t="str">
        <f t="shared" si="84"/>
        <v>湖北46231</v>
      </c>
      <c r="B5412" s="75" t="s">
        <v>32</v>
      </c>
      <c r="C5412" s="45">
        <v>46231</v>
      </c>
      <c r="D5412" s="76">
        <v>6014.49454388288</v>
      </c>
      <c r="E5412" s="77">
        <v>125</v>
      </c>
      <c r="F5412" s="78">
        <v>11.872097409838901</v>
      </c>
      <c r="G5412" s="78">
        <v>11.872097409838901</v>
      </c>
      <c r="H5412" s="81">
        <v>11.4176425560218</v>
      </c>
    </row>
    <row r="5413" spans="1:8" x14ac:dyDescent="0.3">
      <c r="A5413" s="74" t="str">
        <f t="shared" si="84"/>
        <v>湖北46232</v>
      </c>
      <c r="B5413" s="75" t="s">
        <v>32</v>
      </c>
      <c r="C5413" s="45">
        <v>46232</v>
      </c>
      <c r="D5413" s="76">
        <v>6014.49454388288</v>
      </c>
      <c r="E5413" s="77">
        <v>125</v>
      </c>
      <c r="F5413" s="78">
        <v>11.872097409838901</v>
      </c>
      <c r="G5413" s="78">
        <v>11.872097409838901</v>
      </c>
      <c r="H5413" s="81">
        <v>11.4176425560218</v>
      </c>
    </row>
    <row r="5414" spans="1:8" x14ac:dyDescent="0.3">
      <c r="A5414" s="74" t="str">
        <f t="shared" si="84"/>
        <v>湖北46233</v>
      </c>
      <c r="B5414" s="75" t="s">
        <v>32</v>
      </c>
      <c r="C5414" s="45">
        <v>46233</v>
      </c>
      <c r="D5414" s="76">
        <v>6014.49454388288</v>
      </c>
      <c r="E5414" s="77">
        <v>125</v>
      </c>
      <c r="F5414" s="78">
        <v>11.872097409838901</v>
      </c>
      <c r="G5414" s="78">
        <v>11.872097409838901</v>
      </c>
      <c r="H5414" s="81">
        <v>11.4176425560218</v>
      </c>
    </row>
    <row r="5415" spans="1:8" x14ac:dyDescent="0.3">
      <c r="A5415" s="74" t="str">
        <f t="shared" si="84"/>
        <v>湖北46234</v>
      </c>
      <c r="B5415" s="75" t="s">
        <v>32</v>
      </c>
      <c r="C5415" s="45">
        <v>46234</v>
      </c>
      <c r="D5415" s="76">
        <v>6014.49454388288</v>
      </c>
      <c r="E5415" s="77">
        <v>125</v>
      </c>
      <c r="F5415" s="78">
        <v>11.872097409838901</v>
      </c>
      <c r="G5415" s="78">
        <v>11.872097409838901</v>
      </c>
      <c r="H5415" s="81">
        <v>11.4176425560218</v>
      </c>
    </row>
    <row r="5416" spans="1:8" x14ac:dyDescent="0.3">
      <c r="A5416" s="74" t="str">
        <f t="shared" si="84"/>
        <v>湖北46235</v>
      </c>
      <c r="B5416" s="75" t="s">
        <v>32</v>
      </c>
      <c r="C5416" s="45">
        <v>46235</v>
      </c>
      <c r="D5416" s="76">
        <v>6529.3134116028996</v>
      </c>
      <c r="E5416" s="77">
        <v>125</v>
      </c>
      <c r="F5416" s="78">
        <v>11.977175531335099</v>
      </c>
      <c r="G5416" s="78">
        <v>11.977175531335099</v>
      </c>
      <c r="H5416" s="81">
        <v>11.948580301999399</v>
      </c>
    </row>
    <row r="5417" spans="1:8" x14ac:dyDescent="0.3">
      <c r="A5417" s="74" t="str">
        <f t="shared" si="84"/>
        <v>湖北46236</v>
      </c>
      <c r="B5417" s="75" t="s">
        <v>32</v>
      </c>
      <c r="C5417" s="45">
        <v>46236</v>
      </c>
      <c r="D5417" s="76">
        <v>6529.3134116028996</v>
      </c>
      <c r="E5417" s="77">
        <v>125</v>
      </c>
      <c r="F5417" s="78">
        <v>11.977175531335099</v>
      </c>
      <c r="G5417" s="78">
        <v>11.977175531335099</v>
      </c>
      <c r="H5417" s="81">
        <v>11.948580301999399</v>
      </c>
    </row>
    <row r="5418" spans="1:8" x14ac:dyDescent="0.3">
      <c r="A5418" s="74" t="str">
        <f t="shared" si="84"/>
        <v>湖北46237</v>
      </c>
      <c r="B5418" s="75" t="s">
        <v>32</v>
      </c>
      <c r="C5418" s="45">
        <v>46237</v>
      </c>
      <c r="D5418" s="76">
        <v>6529.3134116028996</v>
      </c>
      <c r="E5418" s="77">
        <v>125</v>
      </c>
      <c r="F5418" s="78">
        <v>11.977175531335099</v>
      </c>
      <c r="G5418" s="78">
        <v>11.977175531335099</v>
      </c>
      <c r="H5418" s="81">
        <v>11.948580301999399</v>
      </c>
    </row>
    <row r="5419" spans="1:8" x14ac:dyDescent="0.3">
      <c r="A5419" s="74" t="str">
        <f t="shared" si="84"/>
        <v>湖北46238</v>
      </c>
      <c r="B5419" s="75" t="s">
        <v>32</v>
      </c>
      <c r="C5419" s="45">
        <v>46238</v>
      </c>
      <c r="D5419" s="76">
        <v>6529.3134116028996</v>
      </c>
      <c r="E5419" s="77">
        <v>125</v>
      </c>
      <c r="F5419" s="78">
        <v>11.977175531335099</v>
      </c>
      <c r="G5419" s="78">
        <v>11.977175531335099</v>
      </c>
      <c r="H5419" s="81">
        <v>11.948580301999399</v>
      </c>
    </row>
    <row r="5420" spans="1:8" x14ac:dyDescent="0.3">
      <c r="A5420" s="74" t="str">
        <f t="shared" si="84"/>
        <v>湖北46239</v>
      </c>
      <c r="B5420" s="75" t="s">
        <v>32</v>
      </c>
      <c r="C5420" s="45">
        <v>46239</v>
      </c>
      <c r="D5420" s="76">
        <v>6529.3134116028996</v>
      </c>
      <c r="E5420" s="77">
        <v>125</v>
      </c>
      <c r="F5420" s="78">
        <v>11.977175531335099</v>
      </c>
      <c r="G5420" s="78">
        <v>11.977175531335099</v>
      </c>
      <c r="H5420" s="81">
        <v>11.948580301999399</v>
      </c>
    </row>
    <row r="5421" spans="1:8" x14ac:dyDescent="0.3">
      <c r="A5421" s="74" t="str">
        <f t="shared" si="84"/>
        <v>湖北46240</v>
      </c>
      <c r="B5421" s="75" t="s">
        <v>32</v>
      </c>
      <c r="C5421" s="45">
        <v>46240</v>
      </c>
      <c r="D5421" s="76">
        <v>6529.3134116028996</v>
      </c>
      <c r="E5421" s="77">
        <v>125</v>
      </c>
      <c r="F5421" s="78">
        <v>11.977175531335099</v>
      </c>
      <c r="G5421" s="78">
        <v>11.977175531335099</v>
      </c>
      <c r="H5421" s="81">
        <v>11.948580301999399</v>
      </c>
    </row>
    <row r="5422" spans="1:8" x14ac:dyDescent="0.3">
      <c r="A5422" s="74" t="str">
        <f t="shared" si="84"/>
        <v>湖北46241</v>
      </c>
      <c r="B5422" s="75" t="s">
        <v>32</v>
      </c>
      <c r="C5422" s="45">
        <v>46241</v>
      </c>
      <c r="D5422" s="76">
        <v>6529.3134116028996</v>
      </c>
      <c r="E5422" s="77">
        <v>125</v>
      </c>
      <c r="F5422" s="78">
        <v>11.977175531335099</v>
      </c>
      <c r="G5422" s="78">
        <v>11.977175531335099</v>
      </c>
      <c r="H5422" s="81">
        <v>11.948580301999399</v>
      </c>
    </row>
    <row r="5423" spans="1:8" x14ac:dyDescent="0.3">
      <c r="A5423" s="74" t="str">
        <f t="shared" si="84"/>
        <v>湖北46242</v>
      </c>
      <c r="B5423" s="75" t="s">
        <v>32</v>
      </c>
      <c r="C5423" s="45">
        <v>46242</v>
      </c>
      <c r="D5423" s="76">
        <v>6529.3134116028996</v>
      </c>
      <c r="E5423" s="77">
        <v>125</v>
      </c>
      <c r="F5423" s="78">
        <v>11.977175531335099</v>
      </c>
      <c r="G5423" s="78">
        <v>11.977175531335099</v>
      </c>
      <c r="H5423" s="81">
        <v>11.948580301999399</v>
      </c>
    </row>
    <row r="5424" spans="1:8" x14ac:dyDescent="0.3">
      <c r="A5424" s="74" t="str">
        <f t="shared" si="84"/>
        <v>湖北46243</v>
      </c>
      <c r="B5424" s="75" t="s">
        <v>32</v>
      </c>
      <c r="C5424" s="45">
        <v>46243</v>
      </c>
      <c r="D5424" s="76">
        <v>6529.3134116028996</v>
      </c>
      <c r="E5424" s="77">
        <v>125</v>
      </c>
      <c r="F5424" s="78">
        <v>11.977175531335099</v>
      </c>
      <c r="G5424" s="78">
        <v>11.977175531335099</v>
      </c>
      <c r="H5424" s="81">
        <v>11.948580301999399</v>
      </c>
    </row>
    <row r="5425" spans="1:8" x14ac:dyDescent="0.3">
      <c r="A5425" s="74" t="str">
        <f t="shared" si="84"/>
        <v>湖北46244</v>
      </c>
      <c r="B5425" s="75" t="s">
        <v>32</v>
      </c>
      <c r="C5425" s="45">
        <v>46244</v>
      </c>
      <c r="D5425" s="76">
        <v>6529.3134116028996</v>
      </c>
      <c r="E5425" s="77">
        <v>125</v>
      </c>
      <c r="F5425" s="78">
        <v>11.977175531335099</v>
      </c>
      <c r="G5425" s="78">
        <v>11.977175531335099</v>
      </c>
      <c r="H5425" s="81">
        <v>11.948580301999399</v>
      </c>
    </row>
    <row r="5426" spans="1:8" x14ac:dyDescent="0.3">
      <c r="A5426" s="74" t="str">
        <f t="shared" si="84"/>
        <v>湖北46245</v>
      </c>
      <c r="B5426" s="75" t="s">
        <v>32</v>
      </c>
      <c r="C5426" s="45">
        <v>46245</v>
      </c>
      <c r="D5426" s="76">
        <v>6529.3134116028996</v>
      </c>
      <c r="E5426" s="77">
        <v>125</v>
      </c>
      <c r="F5426" s="78">
        <v>11.977175531335099</v>
      </c>
      <c r="G5426" s="78">
        <v>11.977175531335099</v>
      </c>
      <c r="H5426" s="81">
        <v>11.948580301999399</v>
      </c>
    </row>
    <row r="5427" spans="1:8" x14ac:dyDescent="0.3">
      <c r="A5427" s="74" t="str">
        <f t="shared" si="84"/>
        <v>湖北46246</v>
      </c>
      <c r="B5427" s="75" t="s">
        <v>32</v>
      </c>
      <c r="C5427" s="45">
        <v>46246</v>
      </c>
      <c r="D5427" s="76">
        <v>6529.3134116028996</v>
      </c>
      <c r="E5427" s="77">
        <v>125</v>
      </c>
      <c r="F5427" s="78">
        <v>11.977175531335099</v>
      </c>
      <c r="G5427" s="78">
        <v>11.977175531335099</v>
      </c>
      <c r="H5427" s="81">
        <v>11.948580301999399</v>
      </c>
    </row>
    <row r="5428" spans="1:8" x14ac:dyDescent="0.3">
      <c r="A5428" s="74" t="str">
        <f t="shared" si="84"/>
        <v>湖北46247</v>
      </c>
      <c r="B5428" s="75" t="s">
        <v>32</v>
      </c>
      <c r="C5428" s="45">
        <v>46247</v>
      </c>
      <c r="D5428" s="76">
        <v>6529.3134116028996</v>
      </c>
      <c r="E5428" s="77">
        <v>125</v>
      </c>
      <c r="F5428" s="78">
        <v>11.977175531335099</v>
      </c>
      <c r="G5428" s="78">
        <v>11.977175531335099</v>
      </c>
      <c r="H5428" s="81">
        <v>11.948580301999399</v>
      </c>
    </row>
    <row r="5429" spans="1:8" x14ac:dyDescent="0.3">
      <c r="A5429" s="74" t="str">
        <f t="shared" si="84"/>
        <v>湖北46248</v>
      </c>
      <c r="B5429" s="75" t="s">
        <v>32</v>
      </c>
      <c r="C5429" s="45">
        <v>46248</v>
      </c>
      <c r="D5429" s="76">
        <v>6529.3134116028996</v>
      </c>
      <c r="E5429" s="77">
        <v>125</v>
      </c>
      <c r="F5429" s="78">
        <v>11.977175531335099</v>
      </c>
      <c r="G5429" s="78">
        <v>11.977175531335099</v>
      </c>
      <c r="H5429" s="81">
        <v>11.948580301999399</v>
      </c>
    </row>
    <row r="5430" spans="1:8" x14ac:dyDescent="0.3">
      <c r="A5430" s="74" t="str">
        <f t="shared" si="84"/>
        <v>湖北46249</v>
      </c>
      <c r="B5430" s="75" t="s">
        <v>32</v>
      </c>
      <c r="C5430" s="45">
        <v>46249</v>
      </c>
      <c r="D5430" s="76">
        <v>6529.3134116028996</v>
      </c>
      <c r="E5430" s="77">
        <v>125</v>
      </c>
      <c r="F5430" s="78">
        <v>11.977175531335099</v>
      </c>
      <c r="G5430" s="78">
        <v>11.977175531335099</v>
      </c>
      <c r="H5430" s="81">
        <v>11.948580301999399</v>
      </c>
    </row>
    <row r="5431" spans="1:8" x14ac:dyDescent="0.3">
      <c r="A5431" s="74" t="str">
        <f t="shared" si="84"/>
        <v>湖北46250</v>
      </c>
      <c r="B5431" s="75" t="s">
        <v>32</v>
      </c>
      <c r="C5431" s="45">
        <v>46250</v>
      </c>
      <c r="D5431" s="76">
        <v>6529.3134116028996</v>
      </c>
      <c r="E5431" s="77">
        <v>125</v>
      </c>
      <c r="F5431" s="78">
        <v>11.977175531335099</v>
      </c>
      <c r="G5431" s="78">
        <v>11.977175531335099</v>
      </c>
      <c r="H5431" s="81">
        <v>11.948580301999399</v>
      </c>
    </row>
    <row r="5432" spans="1:8" x14ac:dyDescent="0.3">
      <c r="A5432" s="74" t="str">
        <f t="shared" si="84"/>
        <v>湖北46251</v>
      </c>
      <c r="B5432" s="75" t="s">
        <v>32</v>
      </c>
      <c r="C5432" s="45">
        <v>46251</v>
      </c>
      <c r="D5432" s="76">
        <v>6529.3134116028996</v>
      </c>
      <c r="E5432" s="77">
        <v>125</v>
      </c>
      <c r="F5432" s="78">
        <v>11.977175531335099</v>
      </c>
      <c r="G5432" s="78">
        <v>11.977175531335099</v>
      </c>
      <c r="H5432" s="81">
        <v>11.948580301999399</v>
      </c>
    </row>
    <row r="5433" spans="1:8" x14ac:dyDescent="0.3">
      <c r="A5433" s="74" t="str">
        <f t="shared" si="84"/>
        <v>湖北46252</v>
      </c>
      <c r="B5433" s="75" t="s">
        <v>32</v>
      </c>
      <c r="C5433" s="45">
        <v>46252</v>
      </c>
      <c r="D5433" s="76">
        <v>6529.3134116028996</v>
      </c>
      <c r="E5433" s="77">
        <v>125</v>
      </c>
      <c r="F5433" s="78">
        <v>11.977175531335099</v>
      </c>
      <c r="G5433" s="78">
        <v>11.977175531335099</v>
      </c>
      <c r="H5433" s="81">
        <v>11.948580301999399</v>
      </c>
    </row>
    <row r="5434" spans="1:8" x14ac:dyDescent="0.3">
      <c r="A5434" s="74" t="str">
        <f t="shared" si="84"/>
        <v>湖北46253</v>
      </c>
      <c r="B5434" s="75" t="s">
        <v>32</v>
      </c>
      <c r="C5434" s="45">
        <v>46253</v>
      </c>
      <c r="D5434" s="76">
        <v>6529.3134116028996</v>
      </c>
      <c r="E5434" s="77">
        <v>125</v>
      </c>
      <c r="F5434" s="78">
        <v>11.977175531335099</v>
      </c>
      <c r="G5434" s="78">
        <v>11.977175531335099</v>
      </c>
      <c r="H5434" s="81">
        <v>11.948580301999399</v>
      </c>
    </row>
    <row r="5435" spans="1:8" x14ac:dyDescent="0.3">
      <c r="A5435" s="74" t="str">
        <f t="shared" si="84"/>
        <v>湖北46254</v>
      </c>
      <c r="B5435" s="75" t="s">
        <v>32</v>
      </c>
      <c r="C5435" s="45">
        <v>46254</v>
      </c>
      <c r="D5435" s="76">
        <v>6529.3134116028996</v>
      </c>
      <c r="E5435" s="77">
        <v>125</v>
      </c>
      <c r="F5435" s="78">
        <v>11.977175531335099</v>
      </c>
      <c r="G5435" s="78">
        <v>11.977175531335099</v>
      </c>
      <c r="H5435" s="81">
        <v>11.948580301999399</v>
      </c>
    </row>
    <row r="5436" spans="1:8" x14ac:dyDescent="0.3">
      <c r="A5436" s="74" t="str">
        <f t="shared" si="84"/>
        <v>湖北46255</v>
      </c>
      <c r="B5436" s="75" t="s">
        <v>32</v>
      </c>
      <c r="C5436" s="45">
        <v>46255</v>
      </c>
      <c r="D5436" s="76">
        <v>6529.3134116028996</v>
      </c>
      <c r="E5436" s="77">
        <v>125</v>
      </c>
      <c r="F5436" s="78">
        <v>11.977175531335099</v>
      </c>
      <c r="G5436" s="78">
        <v>11.977175531335099</v>
      </c>
      <c r="H5436" s="81">
        <v>11.948580301999399</v>
      </c>
    </row>
    <row r="5437" spans="1:8" x14ac:dyDescent="0.3">
      <c r="A5437" s="74" t="str">
        <f t="shared" si="84"/>
        <v>湖北46256</v>
      </c>
      <c r="B5437" s="75" t="s">
        <v>32</v>
      </c>
      <c r="C5437" s="45">
        <v>46256</v>
      </c>
      <c r="D5437" s="76">
        <v>6529.3134116028996</v>
      </c>
      <c r="E5437" s="77">
        <v>125</v>
      </c>
      <c r="F5437" s="78">
        <v>11.977175531335099</v>
      </c>
      <c r="G5437" s="78">
        <v>11.977175531335099</v>
      </c>
      <c r="H5437" s="81">
        <v>11.948580301999399</v>
      </c>
    </row>
    <row r="5438" spans="1:8" x14ac:dyDescent="0.3">
      <c r="A5438" s="74" t="str">
        <f t="shared" si="84"/>
        <v>湖北46257</v>
      </c>
      <c r="B5438" s="75" t="s">
        <v>32</v>
      </c>
      <c r="C5438" s="45">
        <v>46257</v>
      </c>
      <c r="D5438" s="76">
        <v>6529.3134116028996</v>
      </c>
      <c r="E5438" s="77">
        <v>125</v>
      </c>
      <c r="F5438" s="78">
        <v>11.977175531335099</v>
      </c>
      <c r="G5438" s="78">
        <v>11.977175531335099</v>
      </c>
      <c r="H5438" s="81">
        <v>11.948580301999399</v>
      </c>
    </row>
    <row r="5439" spans="1:8" x14ac:dyDescent="0.3">
      <c r="A5439" s="74" t="str">
        <f t="shared" si="84"/>
        <v>湖北46258</v>
      </c>
      <c r="B5439" s="75" t="s">
        <v>32</v>
      </c>
      <c r="C5439" s="45">
        <v>46258</v>
      </c>
      <c r="D5439" s="76">
        <v>6529.3134116028996</v>
      </c>
      <c r="E5439" s="77">
        <v>125</v>
      </c>
      <c r="F5439" s="78">
        <v>11.977175531335099</v>
      </c>
      <c r="G5439" s="78">
        <v>11.977175531335099</v>
      </c>
      <c r="H5439" s="81">
        <v>11.948580301999399</v>
      </c>
    </row>
    <row r="5440" spans="1:8" x14ac:dyDescent="0.3">
      <c r="A5440" s="74" t="str">
        <f t="shared" si="84"/>
        <v>湖北46259</v>
      </c>
      <c r="B5440" s="75" t="s">
        <v>32</v>
      </c>
      <c r="C5440" s="45">
        <v>46259</v>
      </c>
      <c r="D5440" s="76">
        <v>6529.3134116028996</v>
      </c>
      <c r="E5440" s="77">
        <v>125</v>
      </c>
      <c r="F5440" s="78">
        <v>11.977175531335099</v>
      </c>
      <c r="G5440" s="78">
        <v>11.977175531335099</v>
      </c>
      <c r="H5440" s="81">
        <v>11.948580301999399</v>
      </c>
    </row>
    <row r="5441" spans="1:8" x14ac:dyDescent="0.3">
      <c r="A5441" s="74" t="str">
        <f t="shared" si="84"/>
        <v>湖北46260</v>
      </c>
      <c r="B5441" s="75" t="s">
        <v>32</v>
      </c>
      <c r="C5441" s="45">
        <v>46260</v>
      </c>
      <c r="D5441" s="76">
        <v>6529.3134116028996</v>
      </c>
      <c r="E5441" s="77">
        <v>125</v>
      </c>
      <c r="F5441" s="78">
        <v>11.977175531335099</v>
      </c>
      <c r="G5441" s="78">
        <v>11.977175531335099</v>
      </c>
      <c r="H5441" s="81">
        <v>11.948580301999399</v>
      </c>
    </row>
    <row r="5442" spans="1:8" x14ac:dyDescent="0.3">
      <c r="A5442" s="74" t="str">
        <f t="shared" si="84"/>
        <v>湖北46261</v>
      </c>
      <c r="B5442" s="75" t="s">
        <v>32</v>
      </c>
      <c r="C5442" s="45">
        <v>46261</v>
      </c>
      <c r="D5442" s="76">
        <v>6529.3134116028996</v>
      </c>
      <c r="E5442" s="77">
        <v>125</v>
      </c>
      <c r="F5442" s="78">
        <v>11.977175531335099</v>
      </c>
      <c r="G5442" s="78">
        <v>11.977175531335099</v>
      </c>
      <c r="H5442" s="81">
        <v>11.948580301999399</v>
      </c>
    </row>
    <row r="5443" spans="1:8" x14ac:dyDescent="0.3">
      <c r="A5443" s="74" t="str">
        <f t="shared" ref="A5443:A5506" si="85">B5443&amp;C5443</f>
        <v>湖北46262</v>
      </c>
      <c r="B5443" s="75" t="s">
        <v>32</v>
      </c>
      <c r="C5443" s="45">
        <v>46262</v>
      </c>
      <c r="D5443" s="76">
        <v>6529.3134116028996</v>
      </c>
      <c r="E5443" s="77">
        <v>125</v>
      </c>
      <c r="F5443" s="78">
        <v>11.977175531335099</v>
      </c>
      <c r="G5443" s="78">
        <v>11.977175531335099</v>
      </c>
      <c r="H5443" s="81">
        <v>11.948580301999399</v>
      </c>
    </row>
    <row r="5444" spans="1:8" x14ac:dyDescent="0.3">
      <c r="A5444" s="74" t="str">
        <f t="shared" si="85"/>
        <v>湖北46263</v>
      </c>
      <c r="B5444" s="75" t="s">
        <v>32</v>
      </c>
      <c r="C5444" s="45">
        <v>46263</v>
      </c>
      <c r="D5444" s="76">
        <v>6529.3134116028996</v>
      </c>
      <c r="E5444" s="77">
        <v>125</v>
      </c>
      <c r="F5444" s="78">
        <v>11.977175531335099</v>
      </c>
      <c r="G5444" s="78">
        <v>11.977175531335099</v>
      </c>
      <c r="H5444" s="81">
        <v>11.948580301999399</v>
      </c>
    </row>
    <row r="5445" spans="1:8" x14ac:dyDescent="0.3">
      <c r="A5445" s="74" t="str">
        <f t="shared" si="85"/>
        <v>湖北46264</v>
      </c>
      <c r="B5445" s="75" t="s">
        <v>32</v>
      </c>
      <c r="C5445" s="45">
        <v>46264</v>
      </c>
      <c r="D5445" s="76">
        <v>6529.3134116028996</v>
      </c>
      <c r="E5445" s="77">
        <v>125</v>
      </c>
      <c r="F5445" s="78">
        <v>11.977175531335099</v>
      </c>
      <c r="G5445" s="78">
        <v>11.977175531335099</v>
      </c>
      <c r="H5445" s="81">
        <v>11.948580301999399</v>
      </c>
    </row>
    <row r="5446" spans="1:8" x14ac:dyDescent="0.3">
      <c r="A5446" s="74" t="str">
        <f t="shared" si="85"/>
        <v>湖北46265</v>
      </c>
      <c r="B5446" s="75" t="s">
        <v>32</v>
      </c>
      <c r="C5446" s="45">
        <v>46265</v>
      </c>
      <c r="D5446" s="76">
        <v>6529.3134116028996</v>
      </c>
      <c r="E5446" s="77">
        <v>125</v>
      </c>
      <c r="F5446" s="78">
        <v>11.977175531335099</v>
      </c>
      <c r="G5446" s="78">
        <v>11.977175531335099</v>
      </c>
      <c r="H5446" s="81">
        <v>11.948580301999399</v>
      </c>
    </row>
    <row r="5447" spans="1:8" x14ac:dyDescent="0.3">
      <c r="A5447" s="74" t="str">
        <f t="shared" si="85"/>
        <v>湖北46266</v>
      </c>
      <c r="B5447" s="75" t="s">
        <v>32</v>
      </c>
      <c r="C5447" s="45">
        <v>46266</v>
      </c>
      <c r="D5447" s="76">
        <v>6426.8734742606603</v>
      </c>
      <c r="E5447" s="77">
        <v>125</v>
      </c>
      <c r="F5447" s="78">
        <v>12.261608555508801</v>
      </c>
      <c r="G5447" s="78">
        <v>12.261608555508801</v>
      </c>
      <c r="H5447" s="81">
        <v>12.479518047976899</v>
      </c>
    </row>
    <row r="5448" spans="1:8" x14ac:dyDescent="0.3">
      <c r="A5448" s="74" t="str">
        <f t="shared" si="85"/>
        <v>湖北46267</v>
      </c>
      <c r="B5448" s="75" t="s">
        <v>32</v>
      </c>
      <c r="C5448" s="45">
        <v>46267</v>
      </c>
      <c r="D5448" s="76">
        <v>6426.8734742606603</v>
      </c>
      <c r="E5448" s="77">
        <v>125</v>
      </c>
      <c r="F5448" s="78">
        <v>12.261608555508801</v>
      </c>
      <c r="G5448" s="78">
        <v>12.261608555508801</v>
      </c>
      <c r="H5448" s="81">
        <v>12.479518047976899</v>
      </c>
    </row>
    <row r="5449" spans="1:8" x14ac:dyDescent="0.3">
      <c r="A5449" s="74" t="str">
        <f t="shared" si="85"/>
        <v>湖北46268</v>
      </c>
      <c r="B5449" s="75" t="s">
        <v>32</v>
      </c>
      <c r="C5449" s="45">
        <v>46268</v>
      </c>
      <c r="D5449" s="76">
        <v>6426.8734742606603</v>
      </c>
      <c r="E5449" s="77">
        <v>125</v>
      </c>
      <c r="F5449" s="78">
        <v>12.261608555508801</v>
      </c>
      <c r="G5449" s="78">
        <v>12.261608555508801</v>
      </c>
      <c r="H5449" s="81">
        <v>12.479518047976899</v>
      </c>
    </row>
    <row r="5450" spans="1:8" x14ac:dyDescent="0.3">
      <c r="A5450" s="74" t="str">
        <f t="shared" si="85"/>
        <v>湖北46269</v>
      </c>
      <c r="B5450" s="75" t="s">
        <v>32</v>
      </c>
      <c r="C5450" s="45">
        <v>46269</v>
      </c>
      <c r="D5450" s="76">
        <v>6426.8734742606603</v>
      </c>
      <c r="E5450" s="77">
        <v>125</v>
      </c>
      <c r="F5450" s="78">
        <v>12.261608555508801</v>
      </c>
      <c r="G5450" s="78">
        <v>12.261608555508801</v>
      </c>
      <c r="H5450" s="81">
        <v>12.479518047976899</v>
      </c>
    </row>
    <row r="5451" spans="1:8" x14ac:dyDescent="0.3">
      <c r="A5451" s="74" t="str">
        <f t="shared" si="85"/>
        <v>湖北46270</v>
      </c>
      <c r="B5451" s="75" t="s">
        <v>32</v>
      </c>
      <c r="C5451" s="45">
        <v>46270</v>
      </c>
      <c r="D5451" s="76">
        <v>6426.8734742606603</v>
      </c>
      <c r="E5451" s="77">
        <v>125</v>
      </c>
      <c r="F5451" s="78">
        <v>12.261608555508801</v>
      </c>
      <c r="G5451" s="78">
        <v>12.261608555508801</v>
      </c>
      <c r="H5451" s="81">
        <v>12.479518047976899</v>
      </c>
    </row>
    <row r="5452" spans="1:8" x14ac:dyDescent="0.3">
      <c r="A5452" s="74" t="str">
        <f t="shared" si="85"/>
        <v>湖北46271</v>
      </c>
      <c r="B5452" s="75" t="s">
        <v>32</v>
      </c>
      <c r="C5452" s="45">
        <v>46271</v>
      </c>
      <c r="D5452" s="76">
        <v>6426.8734742606603</v>
      </c>
      <c r="E5452" s="77">
        <v>125</v>
      </c>
      <c r="F5452" s="78">
        <v>12.261608555508801</v>
      </c>
      <c r="G5452" s="78">
        <v>12.261608555508801</v>
      </c>
      <c r="H5452" s="81">
        <v>12.479518047976899</v>
      </c>
    </row>
    <row r="5453" spans="1:8" x14ac:dyDescent="0.3">
      <c r="A5453" s="74" t="str">
        <f t="shared" si="85"/>
        <v>湖北46272</v>
      </c>
      <c r="B5453" s="75" t="s">
        <v>32</v>
      </c>
      <c r="C5453" s="45">
        <v>46272</v>
      </c>
      <c r="D5453" s="76">
        <v>6426.8734742606603</v>
      </c>
      <c r="E5453" s="77">
        <v>125</v>
      </c>
      <c r="F5453" s="78">
        <v>12.261608555508801</v>
      </c>
      <c r="G5453" s="78">
        <v>12.261608555508801</v>
      </c>
      <c r="H5453" s="81">
        <v>12.479518047976899</v>
      </c>
    </row>
    <row r="5454" spans="1:8" x14ac:dyDescent="0.3">
      <c r="A5454" s="74" t="str">
        <f t="shared" si="85"/>
        <v>湖北46273</v>
      </c>
      <c r="B5454" s="75" t="s">
        <v>32</v>
      </c>
      <c r="C5454" s="45">
        <v>46273</v>
      </c>
      <c r="D5454" s="76">
        <v>6426.8734742606603</v>
      </c>
      <c r="E5454" s="77">
        <v>125</v>
      </c>
      <c r="F5454" s="78">
        <v>12.261608555508801</v>
      </c>
      <c r="G5454" s="78">
        <v>12.261608555508801</v>
      </c>
      <c r="H5454" s="81">
        <v>12.479518047976899</v>
      </c>
    </row>
    <row r="5455" spans="1:8" x14ac:dyDescent="0.3">
      <c r="A5455" s="74" t="str">
        <f t="shared" si="85"/>
        <v>湖北46274</v>
      </c>
      <c r="B5455" s="75" t="s">
        <v>32</v>
      </c>
      <c r="C5455" s="45">
        <v>46274</v>
      </c>
      <c r="D5455" s="76">
        <v>6426.8734742606603</v>
      </c>
      <c r="E5455" s="77">
        <v>125</v>
      </c>
      <c r="F5455" s="78">
        <v>12.261608555508801</v>
      </c>
      <c r="G5455" s="78">
        <v>12.261608555508801</v>
      </c>
      <c r="H5455" s="81">
        <v>12.479518047976899</v>
      </c>
    </row>
    <row r="5456" spans="1:8" x14ac:dyDescent="0.3">
      <c r="A5456" s="74" t="str">
        <f t="shared" si="85"/>
        <v>湖北46275</v>
      </c>
      <c r="B5456" s="75" t="s">
        <v>32</v>
      </c>
      <c r="C5456" s="45">
        <v>46275</v>
      </c>
      <c r="D5456" s="76">
        <v>6426.8734742606603</v>
      </c>
      <c r="E5456" s="77">
        <v>125</v>
      </c>
      <c r="F5456" s="78">
        <v>12.261608555508801</v>
      </c>
      <c r="G5456" s="78">
        <v>12.261608555508801</v>
      </c>
      <c r="H5456" s="81">
        <v>12.479518047976899</v>
      </c>
    </row>
    <row r="5457" spans="1:8" x14ac:dyDescent="0.3">
      <c r="A5457" s="74" t="str">
        <f t="shared" si="85"/>
        <v>湖北46276</v>
      </c>
      <c r="B5457" s="75" t="s">
        <v>32</v>
      </c>
      <c r="C5457" s="45">
        <v>46276</v>
      </c>
      <c r="D5457" s="76">
        <v>6426.8734742606603</v>
      </c>
      <c r="E5457" s="77">
        <v>125</v>
      </c>
      <c r="F5457" s="78">
        <v>12.261608555508801</v>
      </c>
      <c r="G5457" s="78">
        <v>12.261608555508801</v>
      </c>
      <c r="H5457" s="81">
        <v>12.479518047976899</v>
      </c>
    </row>
    <row r="5458" spans="1:8" x14ac:dyDescent="0.3">
      <c r="A5458" s="74" t="str">
        <f t="shared" si="85"/>
        <v>湖北46277</v>
      </c>
      <c r="B5458" s="75" t="s">
        <v>32</v>
      </c>
      <c r="C5458" s="45">
        <v>46277</v>
      </c>
      <c r="D5458" s="76">
        <v>6426.8734742606603</v>
      </c>
      <c r="E5458" s="77">
        <v>125</v>
      </c>
      <c r="F5458" s="78">
        <v>12.261608555508801</v>
      </c>
      <c r="G5458" s="78">
        <v>12.261608555508801</v>
      </c>
      <c r="H5458" s="81">
        <v>12.479518047976899</v>
      </c>
    </row>
    <row r="5459" spans="1:8" x14ac:dyDescent="0.3">
      <c r="A5459" s="74" t="str">
        <f t="shared" si="85"/>
        <v>湖北46278</v>
      </c>
      <c r="B5459" s="75" t="s">
        <v>32</v>
      </c>
      <c r="C5459" s="45">
        <v>46278</v>
      </c>
      <c r="D5459" s="76">
        <v>6426.8734742606603</v>
      </c>
      <c r="E5459" s="77">
        <v>125</v>
      </c>
      <c r="F5459" s="78">
        <v>12.261608555508801</v>
      </c>
      <c r="G5459" s="78">
        <v>12.261608555508801</v>
      </c>
      <c r="H5459" s="81">
        <v>12.479518047976899</v>
      </c>
    </row>
    <row r="5460" spans="1:8" x14ac:dyDescent="0.3">
      <c r="A5460" s="74" t="str">
        <f t="shared" si="85"/>
        <v>湖北46279</v>
      </c>
      <c r="B5460" s="75" t="s">
        <v>32</v>
      </c>
      <c r="C5460" s="45">
        <v>46279</v>
      </c>
      <c r="D5460" s="76">
        <v>6426.8734742606603</v>
      </c>
      <c r="E5460" s="77">
        <v>125</v>
      </c>
      <c r="F5460" s="78">
        <v>12.261608555508801</v>
      </c>
      <c r="G5460" s="78">
        <v>12.261608555508801</v>
      </c>
      <c r="H5460" s="81">
        <v>12.479518047976899</v>
      </c>
    </row>
    <row r="5461" spans="1:8" x14ac:dyDescent="0.3">
      <c r="A5461" s="74" t="str">
        <f t="shared" si="85"/>
        <v>湖北46280</v>
      </c>
      <c r="B5461" s="75" t="s">
        <v>32</v>
      </c>
      <c r="C5461" s="45">
        <v>46280</v>
      </c>
      <c r="D5461" s="76">
        <v>6426.8734742606603</v>
      </c>
      <c r="E5461" s="77">
        <v>125</v>
      </c>
      <c r="F5461" s="78">
        <v>12.261608555508801</v>
      </c>
      <c r="G5461" s="78">
        <v>12.261608555508801</v>
      </c>
      <c r="H5461" s="81">
        <v>12.479518047976899</v>
      </c>
    </row>
    <row r="5462" spans="1:8" x14ac:dyDescent="0.3">
      <c r="A5462" s="74" t="str">
        <f t="shared" si="85"/>
        <v>湖北46281</v>
      </c>
      <c r="B5462" s="75" t="s">
        <v>32</v>
      </c>
      <c r="C5462" s="45">
        <v>46281</v>
      </c>
      <c r="D5462" s="76">
        <v>6426.8734742606603</v>
      </c>
      <c r="E5462" s="77">
        <v>125</v>
      </c>
      <c r="F5462" s="78">
        <v>12.261608555508801</v>
      </c>
      <c r="G5462" s="78">
        <v>12.261608555508801</v>
      </c>
      <c r="H5462" s="81">
        <v>12.479518047976899</v>
      </c>
    </row>
    <row r="5463" spans="1:8" x14ac:dyDescent="0.3">
      <c r="A5463" s="74" t="str">
        <f t="shared" si="85"/>
        <v>湖北46282</v>
      </c>
      <c r="B5463" s="75" t="s">
        <v>32</v>
      </c>
      <c r="C5463" s="45">
        <v>46282</v>
      </c>
      <c r="D5463" s="76">
        <v>6426.8734742606603</v>
      </c>
      <c r="E5463" s="77">
        <v>125</v>
      </c>
      <c r="F5463" s="78">
        <v>12.261608555508801</v>
      </c>
      <c r="G5463" s="78">
        <v>12.261608555508801</v>
      </c>
      <c r="H5463" s="81">
        <v>12.479518047976899</v>
      </c>
    </row>
    <row r="5464" spans="1:8" x14ac:dyDescent="0.3">
      <c r="A5464" s="74" t="str">
        <f t="shared" si="85"/>
        <v>湖北46283</v>
      </c>
      <c r="B5464" s="75" t="s">
        <v>32</v>
      </c>
      <c r="C5464" s="45">
        <v>46283</v>
      </c>
      <c r="D5464" s="76">
        <v>6426.8734742606603</v>
      </c>
      <c r="E5464" s="77">
        <v>125</v>
      </c>
      <c r="F5464" s="78">
        <v>12.261608555508801</v>
      </c>
      <c r="G5464" s="78">
        <v>12.261608555508801</v>
      </c>
      <c r="H5464" s="81">
        <v>12.479518047976899</v>
      </c>
    </row>
    <row r="5465" spans="1:8" x14ac:dyDescent="0.3">
      <c r="A5465" s="74" t="str">
        <f t="shared" si="85"/>
        <v>湖北46284</v>
      </c>
      <c r="B5465" s="75" t="s">
        <v>32</v>
      </c>
      <c r="C5465" s="45">
        <v>46284</v>
      </c>
      <c r="D5465" s="76">
        <v>6426.8734742606603</v>
      </c>
      <c r="E5465" s="77">
        <v>125</v>
      </c>
      <c r="F5465" s="78">
        <v>12.261608555508801</v>
      </c>
      <c r="G5465" s="78">
        <v>12.261608555508801</v>
      </c>
      <c r="H5465" s="81">
        <v>12.479518047976899</v>
      </c>
    </row>
    <row r="5466" spans="1:8" x14ac:dyDescent="0.3">
      <c r="A5466" s="74" t="str">
        <f t="shared" si="85"/>
        <v>湖北46285</v>
      </c>
      <c r="B5466" s="75" t="s">
        <v>32</v>
      </c>
      <c r="C5466" s="45">
        <v>46285</v>
      </c>
      <c r="D5466" s="76">
        <v>6426.8734742606603</v>
      </c>
      <c r="E5466" s="77">
        <v>125</v>
      </c>
      <c r="F5466" s="78">
        <v>12.261608555508801</v>
      </c>
      <c r="G5466" s="78">
        <v>12.261608555508801</v>
      </c>
      <c r="H5466" s="81">
        <v>12.479518047976899</v>
      </c>
    </row>
    <row r="5467" spans="1:8" x14ac:dyDescent="0.3">
      <c r="A5467" s="74" t="str">
        <f t="shared" si="85"/>
        <v>湖北46286</v>
      </c>
      <c r="B5467" s="75" t="s">
        <v>32</v>
      </c>
      <c r="C5467" s="45">
        <v>46286</v>
      </c>
      <c r="D5467" s="76">
        <v>6426.8734742606603</v>
      </c>
      <c r="E5467" s="77">
        <v>125</v>
      </c>
      <c r="F5467" s="78">
        <v>12.261608555508801</v>
      </c>
      <c r="G5467" s="78">
        <v>12.261608555508801</v>
      </c>
      <c r="H5467" s="81">
        <v>12.479518047976899</v>
      </c>
    </row>
    <row r="5468" spans="1:8" x14ac:dyDescent="0.3">
      <c r="A5468" s="74" t="str">
        <f t="shared" si="85"/>
        <v>湖北46287</v>
      </c>
      <c r="B5468" s="75" t="s">
        <v>32</v>
      </c>
      <c r="C5468" s="45">
        <v>46287</v>
      </c>
      <c r="D5468" s="76">
        <v>6426.8734742606603</v>
      </c>
      <c r="E5468" s="77">
        <v>125</v>
      </c>
      <c r="F5468" s="78">
        <v>12.261608555508801</v>
      </c>
      <c r="G5468" s="78">
        <v>12.261608555508801</v>
      </c>
      <c r="H5468" s="81">
        <v>12.479518047976899</v>
      </c>
    </row>
    <row r="5469" spans="1:8" x14ac:dyDescent="0.3">
      <c r="A5469" s="74" t="str">
        <f t="shared" si="85"/>
        <v>湖北46288</v>
      </c>
      <c r="B5469" s="75" t="s">
        <v>32</v>
      </c>
      <c r="C5469" s="45">
        <v>46288</v>
      </c>
      <c r="D5469" s="76">
        <v>6426.8734742606603</v>
      </c>
      <c r="E5469" s="77">
        <v>125</v>
      </c>
      <c r="F5469" s="78">
        <v>12.261608555508801</v>
      </c>
      <c r="G5469" s="78">
        <v>12.261608555508801</v>
      </c>
      <c r="H5469" s="81">
        <v>12.479518047976899</v>
      </c>
    </row>
    <row r="5470" spans="1:8" x14ac:dyDescent="0.3">
      <c r="A5470" s="74" t="str">
        <f t="shared" si="85"/>
        <v>湖北46289</v>
      </c>
      <c r="B5470" s="75" t="s">
        <v>32</v>
      </c>
      <c r="C5470" s="45">
        <v>46289</v>
      </c>
      <c r="D5470" s="76">
        <v>6426.8734742606603</v>
      </c>
      <c r="E5470" s="77">
        <v>125</v>
      </c>
      <c r="F5470" s="78">
        <v>12.261608555508801</v>
      </c>
      <c r="G5470" s="78">
        <v>12.261608555508801</v>
      </c>
      <c r="H5470" s="81">
        <v>12.479518047976899</v>
      </c>
    </row>
    <row r="5471" spans="1:8" x14ac:dyDescent="0.3">
      <c r="A5471" s="74" t="str">
        <f t="shared" si="85"/>
        <v>湖北46290</v>
      </c>
      <c r="B5471" s="75" t="s">
        <v>32</v>
      </c>
      <c r="C5471" s="45">
        <v>46290</v>
      </c>
      <c r="D5471" s="76">
        <v>6426.8734742606603</v>
      </c>
      <c r="E5471" s="77">
        <v>125</v>
      </c>
      <c r="F5471" s="78">
        <v>12.261608555508801</v>
      </c>
      <c r="G5471" s="78">
        <v>12.261608555508801</v>
      </c>
      <c r="H5471" s="81">
        <v>12.479518047976899</v>
      </c>
    </row>
    <row r="5472" spans="1:8" x14ac:dyDescent="0.3">
      <c r="A5472" s="74" t="str">
        <f t="shared" si="85"/>
        <v>湖北46291</v>
      </c>
      <c r="B5472" s="75" t="s">
        <v>32</v>
      </c>
      <c r="C5472" s="45">
        <v>46291</v>
      </c>
      <c r="D5472" s="76">
        <v>6426.8734742606603</v>
      </c>
      <c r="E5472" s="77">
        <v>125</v>
      </c>
      <c r="F5472" s="78">
        <v>12.261608555508801</v>
      </c>
      <c r="G5472" s="78">
        <v>12.261608555508801</v>
      </c>
      <c r="H5472" s="81">
        <v>12.479518047976899</v>
      </c>
    </row>
    <row r="5473" spans="1:8" x14ac:dyDescent="0.3">
      <c r="A5473" s="74" t="str">
        <f t="shared" si="85"/>
        <v>湖北46292</v>
      </c>
      <c r="B5473" s="75" t="s">
        <v>32</v>
      </c>
      <c r="C5473" s="45">
        <v>46292</v>
      </c>
      <c r="D5473" s="76">
        <v>6426.8734742606603</v>
      </c>
      <c r="E5473" s="77">
        <v>125</v>
      </c>
      <c r="F5473" s="78">
        <v>12.261608555508801</v>
      </c>
      <c r="G5473" s="78">
        <v>12.261608555508801</v>
      </c>
      <c r="H5473" s="81">
        <v>12.479518047976899</v>
      </c>
    </row>
    <row r="5474" spans="1:8" x14ac:dyDescent="0.3">
      <c r="A5474" s="74" t="str">
        <f t="shared" si="85"/>
        <v>湖北46293</v>
      </c>
      <c r="B5474" s="75" t="s">
        <v>32</v>
      </c>
      <c r="C5474" s="45">
        <v>46293</v>
      </c>
      <c r="D5474" s="76">
        <v>6426.8734742606603</v>
      </c>
      <c r="E5474" s="77">
        <v>125</v>
      </c>
      <c r="F5474" s="78">
        <v>12.261608555508801</v>
      </c>
      <c r="G5474" s="78">
        <v>12.261608555508801</v>
      </c>
      <c r="H5474" s="81">
        <v>12.479518047976899</v>
      </c>
    </row>
    <row r="5475" spans="1:8" x14ac:dyDescent="0.3">
      <c r="A5475" s="74" t="str">
        <f t="shared" si="85"/>
        <v>湖北46294</v>
      </c>
      <c r="B5475" s="75" t="s">
        <v>32</v>
      </c>
      <c r="C5475" s="45">
        <v>46294</v>
      </c>
      <c r="D5475" s="76">
        <v>6426.8734742606603</v>
      </c>
      <c r="E5475" s="77">
        <v>125</v>
      </c>
      <c r="F5475" s="78">
        <v>12.261608555508801</v>
      </c>
      <c r="G5475" s="78">
        <v>12.261608555508801</v>
      </c>
      <c r="H5475" s="81">
        <v>12.479518047976899</v>
      </c>
    </row>
    <row r="5476" spans="1:8" x14ac:dyDescent="0.3">
      <c r="A5476" s="74" t="str">
        <f t="shared" si="85"/>
        <v>湖北46295</v>
      </c>
      <c r="B5476" s="75" t="s">
        <v>32</v>
      </c>
      <c r="C5476" s="45">
        <v>46295</v>
      </c>
      <c r="D5476" s="76">
        <v>6426.8734742606603</v>
      </c>
      <c r="E5476" s="77">
        <v>125</v>
      </c>
      <c r="F5476" s="78">
        <v>12.261608555508801</v>
      </c>
      <c r="G5476" s="78">
        <v>12.261608555508801</v>
      </c>
      <c r="H5476" s="81">
        <v>12.479518047976899</v>
      </c>
    </row>
    <row r="5477" spans="1:8" x14ac:dyDescent="0.3">
      <c r="A5477" s="74" t="str">
        <f t="shared" si="85"/>
        <v>湖北46296</v>
      </c>
      <c r="B5477" s="75" t="s">
        <v>32</v>
      </c>
      <c r="C5477" s="45">
        <v>46296</v>
      </c>
      <c r="D5477" s="76">
        <v>6595.4948527098004</v>
      </c>
      <c r="E5477" s="77">
        <v>125</v>
      </c>
      <c r="F5477" s="78">
        <v>12.471376135364</v>
      </c>
      <c r="G5477" s="78">
        <v>12.471376135364</v>
      </c>
      <c r="H5477" s="81">
        <v>12.553948573114001</v>
      </c>
    </row>
    <row r="5478" spans="1:8" x14ac:dyDescent="0.3">
      <c r="A5478" s="74" t="str">
        <f t="shared" si="85"/>
        <v>湖北46297</v>
      </c>
      <c r="B5478" s="75" t="s">
        <v>32</v>
      </c>
      <c r="C5478" s="45">
        <v>46297</v>
      </c>
      <c r="D5478" s="76">
        <v>6595.4948527098004</v>
      </c>
      <c r="E5478" s="77">
        <v>125</v>
      </c>
      <c r="F5478" s="78">
        <v>12.471376135364</v>
      </c>
      <c r="G5478" s="78">
        <v>12.471376135364</v>
      </c>
      <c r="H5478" s="81">
        <v>12.553948573114001</v>
      </c>
    </row>
    <row r="5479" spans="1:8" x14ac:dyDescent="0.3">
      <c r="A5479" s="74" t="str">
        <f t="shared" si="85"/>
        <v>湖北46298</v>
      </c>
      <c r="B5479" s="75" t="s">
        <v>32</v>
      </c>
      <c r="C5479" s="45">
        <v>46298</v>
      </c>
      <c r="D5479" s="76">
        <v>6595.4948527098004</v>
      </c>
      <c r="E5479" s="77">
        <v>125</v>
      </c>
      <c r="F5479" s="78">
        <v>12.471376135364</v>
      </c>
      <c r="G5479" s="78">
        <v>12.471376135364</v>
      </c>
      <c r="H5479" s="81">
        <v>12.553948573114001</v>
      </c>
    </row>
    <row r="5480" spans="1:8" x14ac:dyDescent="0.3">
      <c r="A5480" s="74" t="str">
        <f t="shared" si="85"/>
        <v>湖北46299</v>
      </c>
      <c r="B5480" s="75" t="s">
        <v>32</v>
      </c>
      <c r="C5480" s="45">
        <v>46299</v>
      </c>
      <c r="D5480" s="76">
        <v>6595.4948527098004</v>
      </c>
      <c r="E5480" s="77">
        <v>125</v>
      </c>
      <c r="F5480" s="78">
        <v>12.471376135364</v>
      </c>
      <c r="G5480" s="78">
        <v>12.471376135364</v>
      </c>
      <c r="H5480" s="81">
        <v>12.553948573114001</v>
      </c>
    </row>
    <row r="5481" spans="1:8" x14ac:dyDescent="0.3">
      <c r="A5481" s="74" t="str">
        <f t="shared" si="85"/>
        <v>湖北46300</v>
      </c>
      <c r="B5481" s="75" t="s">
        <v>32</v>
      </c>
      <c r="C5481" s="45">
        <v>46300</v>
      </c>
      <c r="D5481" s="76">
        <v>6595.4948527098004</v>
      </c>
      <c r="E5481" s="77">
        <v>125</v>
      </c>
      <c r="F5481" s="78">
        <v>12.471376135364</v>
      </c>
      <c r="G5481" s="78">
        <v>12.471376135364</v>
      </c>
      <c r="H5481" s="81">
        <v>12.553948573114001</v>
      </c>
    </row>
    <row r="5482" spans="1:8" x14ac:dyDescent="0.3">
      <c r="A5482" s="74" t="str">
        <f t="shared" si="85"/>
        <v>湖北46301</v>
      </c>
      <c r="B5482" s="75" t="s">
        <v>32</v>
      </c>
      <c r="C5482" s="45">
        <v>46301</v>
      </c>
      <c r="D5482" s="76">
        <v>6595.4948527098004</v>
      </c>
      <c r="E5482" s="77">
        <v>125</v>
      </c>
      <c r="F5482" s="78">
        <v>12.471376135364</v>
      </c>
      <c r="G5482" s="78">
        <v>12.471376135364</v>
      </c>
      <c r="H5482" s="81">
        <v>12.553948573114001</v>
      </c>
    </row>
    <row r="5483" spans="1:8" x14ac:dyDescent="0.3">
      <c r="A5483" s="74" t="str">
        <f t="shared" si="85"/>
        <v>湖北46302</v>
      </c>
      <c r="B5483" s="75" t="s">
        <v>32</v>
      </c>
      <c r="C5483" s="45">
        <v>46302</v>
      </c>
      <c r="D5483" s="76">
        <v>6595.4948527098004</v>
      </c>
      <c r="E5483" s="77">
        <v>125</v>
      </c>
      <c r="F5483" s="78">
        <v>12.471376135364</v>
      </c>
      <c r="G5483" s="78">
        <v>12.471376135364</v>
      </c>
      <c r="H5483" s="81">
        <v>12.553948573114001</v>
      </c>
    </row>
    <row r="5484" spans="1:8" x14ac:dyDescent="0.3">
      <c r="A5484" s="74" t="str">
        <f t="shared" si="85"/>
        <v>湖北46303</v>
      </c>
      <c r="B5484" s="75" t="s">
        <v>32</v>
      </c>
      <c r="C5484" s="45">
        <v>46303</v>
      </c>
      <c r="D5484" s="76">
        <v>6595.4948527098004</v>
      </c>
      <c r="E5484" s="77">
        <v>125</v>
      </c>
      <c r="F5484" s="78">
        <v>12.471376135364</v>
      </c>
      <c r="G5484" s="78">
        <v>12.471376135364</v>
      </c>
      <c r="H5484" s="81">
        <v>12.553948573114001</v>
      </c>
    </row>
    <row r="5485" spans="1:8" x14ac:dyDescent="0.3">
      <c r="A5485" s="74" t="str">
        <f t="shared" si="85"/>
        <v>湖北46304</v>
      </c>
      <c r="B5485" s="75" t="s">
        <v>32</v>
      </c>
      <c r="C5485" s="45">
        <v>46304</v>
      </c>
      <c r="D5485" s="76">
        <v>6595.4948527098004</v>
      </c>
      <c r="E5485" s="77">
        <v>125</v>
      </c>
      <c r="F5485" s="78">
        <v>12.471376135364</v>
      </c>
      <c r="G5485" s="78">
        <v>12.471376135364</v>
      </c>
      <c r="H5485" s="81">
        <v>12.553948573114001</v>
      </c>
    </row>
    <row r="5486" spans="1:8" x14ac:dyDescent="0.3">
      <c r="A5486" s="74" t="str">
        <f t="shared" si="85"/>
        <v>湖北46305</v>
      </c>
      <c r="B5486" s="75" t="s">
        <v>32</v>
      </c>
      <c r="C5486" s="45">
        <v>46305</v>
      </c>
      <c r="D5486" s="76">
        <v>6595.4948527098004</v>
      </c>
      <c r="E5486" s="77">
        <v>125</v>
      </c>
      <c r="F5486" s="78">
        <v>12.471376135364</v>
      </c>
      <c r="G5486" s="78">
        <v>12.471376135364</v>
      </c>
      <c r="H5486" s="81">
        <v>12.553948573114001</v>
      </c>
    </row>
    <row r="5487" spans="1:8" x14ac:dyDescent="0.3">
      <c r="A5487" s="74" t="str">
        <f t="shared" si="85"/>
        <v>湖北46306</v>
      </c>
      <c r="B5487" s="75" t="s">
        <v>32</v>
      </c>
      <c r="C5487" s="45">
        <v>46306</v>
      </c>
      <c r="D5487" s="76">
        <v>6595.4948527098004</v>
      </c>
      <c r="E5487" s="77">
        <v>125</v>
      </c>
      <c r="F5487" s="78">
        <v>12.471376135364</v>
      </c>
      <c r="G5487" s="78">
        <v>12.471376135364</v>
      </c>
      <c r="H5487" s="81">
        <v>12.553948573114001</v>
      </c>
    </row>
    <row r="5488" spans="1:8" x14ac:dyDescent="0.3">
      <c r="A5488" s="74" t="str">
        <f t="shared" si="85"/>
        <v>湖北46307</v>
      </c>
      <c r="B5488" s="75" t="s">
        <v>32</v>
      </c>
      <c r="C5488" s="45">
        <v>46307</v>
      </c>
      <c r="D5488" s="76">
        <v>6595.4948527098004</v>
      </c>
      <c r="E5488" s="77">
        <v>125</v>
      </c>
      <c r="F5488" s="78">
        <v>12.471376135364</v>
      </c>
      <c r="G5488" s="78">
        <v>12.471376135364</v>
      </c>
      <c r="H5488" s="81">
        <v>12.553948573114001</v>
      </c>
    </row>
    <row r="5489" spans="1:8" x14ac:dyDescent="0.3">
      <c r="A5489" s="74" t="str">
        <f t="shared" si="85"/>
        <v>湖北46308</v>
      </c>
      <c r="B5489" s="75" t="s">
        <v>32</v>
      </c>
      <c r="C5489" s="45">
        <v>46308</v>
      </c>
      <c r="D5489" s="76">
        <v>6595.4948527098004</v>
      </c>
      <c r="E5489" s="77">
        <v>125</v>
      </c>
      <c r="F5489" s="78">
        <v>12.471376135364</v>
      </c>
      <c r="G5489" s="78">
        <v>12.471376135364</v>
      </c>
      <c r="H5489" s="81">
        <v>12.553948573114001</v>
      </c>
    </row>
    <row r="5490" spans="1:8" x14ac:dyDescent="0.3">
      <c r="A5490" s="74" t="str">
        <f t="shared" si="85"/>
        <v>湖北46309</v>
      </c>
      <c r="B5490" s="75" t="s">
        <v>32</v>
      </c>
      <c r="C5490" s="45">
        <v>46309</v>
      </c>
      <c r="D5490" s="76">
        <v>6595.4948527098004</v>
      </c>
      <c r="E5490" s="77">
        <v>125</v>
      </c>
      <c r="F5490" s="78">
        <v>12.471376135364</v>
      </c>
      <c r="G5490" s="78">
        <v>12.471376135364</v>
      </c>
      <c r="H5490" s="81">
        <v>12.553948573114001</v>
      </c>
    </row>
    <row r="5491" spans="1:8" x14ac:dyDescent="0.3">
      <c r="A5491" s="74" t="str">
        <f t="shared" si="85"/>
        <v>湖北46310</v>
      </c>
      <c r="B5491" s="75" t="s">
        <v>32</v>
      </c>
      <c r="C5491" s="45">
        <v>46310</v>
      </c>
      <c r="D5491" s="76">
        <v>6595.4948527098004</v>
      </c>
      <c r="E5491" s="77">
        <v>125</v>
      </c>
      <c r="F5491" s="78">
        <v>12.471376135364</v>
      </c>
      <c r="G5491" s="78">
        <v>12.471376135364</v>
      </c>
      <c r="H5491" s="81">
        <v>12.553948573114001</v>
      </c>
    </row>
    <row r="5492" spans="1:8" x14ac:dyDescent="0.3">
      <c r="A5492" s="74" t="str">
        <f t="shared" si="85"/>
        <v>湖北46311</v>
      </c>
      <c r="B5492" s="75" t="s">
        <v>32</v>
      </c>
      <c r="C5492" s="45">
        <v>46311</v>
      </c>
      <c r="D5492" s="76">
        <v>6595.4948527098004</v>
      </c>
      <c r="E5492" s="77">
        <v>125</v>
      </c>
      <c r="F5492" s="78">
        <v>12.471376135364</v>
      </c>
      <c r="G5492" s="78">
        <v>12.471376135364</v>
      </c>
      <c r="H5492" s="81">
        <v>12.553948573114001</v>
      </c>
    </row>
    <row r="5493" spans="1:8" x14ac:dyDescent="0.3">
      <c r="A5493" s="74" t="str">
        <f t="shared" si="85"/>
        <v>湖北46312</v>
      </c>
      <c r="B5493" s="75" t="s">
        <v>32</v>
      </c>
      <c r="C5493" s="45">
        <v>46312</v>
      </c>
      <c r="D5493" s="76">
        <v>6595.4948527098004</v>
      </c>
      <c r="E5493" s="77">
        <v>125</v>
      </c>
      <c r="F5493" s="78">
        <v>12.471376135364</v>
      </c>
      <c r="G5493" s="78">
        <v>12.471376135364</v>
      </c>
      <c r="H5493" s="81">
        <v>12.553948573114001</v>
      </c>
    </row>
    <row r="5494" spans="1:8" x14ac:dyDescent="0.3">
      <c r="A5494" s="74" t="str">
        <f t="shared" si="85"/>
        <v>湖北46313</v>
      </c>
      <c r="B5494" s="75" t="s">
        <v>32</v>
      </c>
      <c r="C5494" s="45">
        <v>46313</v>
      </c>
      <c r="D5494" s="76">
        <v>6595.4948527098004</v>
      </c>
      <c r="E5494" s="77">
        <v>125</v>
      </c>
      <c r="F5494" s="78">
        <v>12.471376135364</v>
      </c>
      <c r="G5494" s="78">
        <v>12.471376135364</v>
      </c>
      <c r="H5494" s="81">
        <v>12.553948573114001</v>
      </c>
    </row>
    <row r="5495" spans="1:8" x14ac:dyDescent="0.3">
      <c r="A5495" s="74" t="str">
        <f t="shared" si="85"/>
        <v>湖北46314</v>
      </c>
      <c r="B5495" s="75" t="s">
        <v>32</v>
      </c>
      <c r="C5495" s="45">
        <v>46314</v>
      </c>
      <c r="D5495" s="76">
        <v>6595.4948527098004</v>
      </c>
      <c r="E5495" s="77">
        <v>125</v>
      </c>
      <c r="F5495" s="78">
        <v>12.471376135364</v>
      </c>
      <c r="G5495" s="78">
        <v>12.471376135364</v>
      </c>
      <c r="H5495" s="81">
        <v>12.553948573114001</v>
      </c>
    </row>
    <row r="5496" spans="1:8" x14ac:dyDescent="0.3">
      <c r="A5496" s="74" t="str">
        <f t="shared" si="85"/>
        <v>湖北46315</v>
      </c>
      <c r="B5496" s="75" t="s">
        <v>32</v>
      </c>
      <c r="C5496" s="45">
        <v>46315</v>
      </c>
      <c r="D5496" s="76">
        <v>6595.4948527098004</v>
      </c>
      <c r="E5496" s="77">
        <v>125</v>
      </c>
      <c r="F5496" s="78">
        <v>12.471376135364</v>
      </c>
      <c r="G5496" s="78">
        <v>12.471376135364</v>
      </c>
      <c r="H5496" s="81">
        <v>12.553948573114001</v>
      </c>
    </row>
    <row r="5497" spans="1:8" x14ac:dyDescent="0.3">
      <c r="A5497" s="74" t="str">
        <f t="shared" si="85"/>
        <v>湖北46316</v>
      </c>
      <c r="B5497" s="75" t="s">
        <v>32</v>
      </c>
      <c r="C5497" s="45">
        <v>46316</v>
      </c>
      <c r="D5497" s="76">
        <v>6595.4948527098004</v>
      </c>
      <c r="E5497" s="77">
        <v>125</v>
      </c>
      <c r="F5497" s="78">
        <v>12.471376135364</v>
      </c>
      <c r="G5497" s="78">
        <v>12.471376135364</v>
      </c>
      <c r="H5497" s="81">
        <v>12.553948573114001</v>
      </c>
    </row>
    <row r="5498" spans="1:8" x14ac:dyDescent="0.3">
      <c r="A5498" s="74" t="str">
        <f t="shared" si="85"/>
        <v>湖北46317</v>
      </c>
      <c r="B5498" s="75" t="s">
        <v>32</v>
      </c>
      <c r="C5498" s="45">
        <v>46317</v>
      </c>
      <c r="D5498" s="76">
        <v>6595.4948527098004</v>
      </c>
      <c r="E5498" s="77">
        <v>125</v>
      </c>
      <c r="F5498" s="78">
        <v>12.471376135364</v>
      </c>
      <c r="G5498" s="78">
        <v>12.471376135364</v>
      </c>
      <c r="H5498" s="81">
        <v>12.553948573114001</v>
      </c>
    </row>
    <row r="5499" spans="1:8" x14ac:dyDescent="0.3">
      <c r="A5499" s="74" t="str">
        <f t="shared" si="85"/>
        <v>湖北46318</v>
      </c>
      <c r="B5499" s="75" t="s">
        <v>32</v>
      </c>
      <c r="C5499" s="45">
        <v>46318</v>
      </c>
      <c r="D5499" s="76">
        <v>6595.4948527098004</v>
      </c>
      <c r="E5499" s="77">
        <v>125</v>
      </c>
      <c r="F5499" s="78">
        <v>12.471376135364</v>
      </c>
      <c r="G5499" s="78">
        <v>12.471376135364</v>
      </c>
      <c r="H5499" s="81">
        <v>12.553948573114001</v>
      </c>
    </row>
    <row r="5500" spans="1:8" x14ac:dyDescent="0.3">
      <c r="A5500" s="74" t="str">
        <f t="shared" si="85"/>
        <v>湖北46319</v>
      </c>
      <c r="B5500" s="75" t="s">
        <v>32</v>
      </c>
      <c r="C5500" s="45">
        <v>46319</v>
      </c>
      <c r="D5500" s="76">
        <v>6595.4948527098004</v>
      </c>
      <c r="E5500" s="77">
        <v>125</v>
      </c>
      <c r="F5500" s="78">
        <v>12.471376135364</v>
      </c>
      <c r="G5500" s="78">
        <v>12.471376135364</v>
      </c>
      <c r="H5500" s="81">
        <v>12.553948573114001</v>
      </c>
    </row>
    <row r="5501" spans="1:8" x14ac:dyDescent="0.3">
      <c r="A5501" s="74" t="str">
        <f t="shared" si="85"/>
        <v>湖北46320</v>
      </c>
      <c r="B5501" s="75" t="s">
        <v>32</v>
      </c>
      <c r="C5501" s="45">
        <v>46320</v>
      </c>
      <c r="D5501" s="76">
        <v>6595.4948527098004</v>
      </c>
      <c r="E5501" s="77">
        <v>125</v>
      </c>
      <c r="F5501" s="78">
        <v>12.471376135364</v>
      </c>
      <c r="G5501" s="78">
        <v>12.471376135364</v>
      </c>
      <c r="H5501" s="81">
        <v>12.553948573114001</v>
      </c>
    </row>
    <row r="5502" spans="1:8" x14ac:dyDescent="0.3">
      <c r="A5502" s="74" t="str">
        <f t="shared" si="85"/>
        <v>湖北46321</v>
      </c>
      <c r="B5502" s="75" t="s">
        <v>32</v>
      </c>
      <c r="C5502" s="45">
        <v>46321</v>
      </c>
      <c r="D5502" s="76">
        <v>6595.4948527098004</v>
      </c>
      <c r="E5502" s="77">
        <v>125</v>
      </c>
      <c r="F5502" s="78">
        <v>12.471376135364</v>
      </c>
      <c r="G5502" s="78">
        <v>12.471376135364</v>
      </c>
      <c r="H5502" s="81">
        <v>12.553948573114001</v>
      </c>
    </row>
    <row r="5503" spans="1:8" x14ac:dyDescent="0.3">
      <c r="A5503" s="74" t="str">
        <f t="shared" si="85"/>
        <v>湖北46322</v>
      </c>
      <c r="B5503" s="75" t="s">
        <v>32</v>
      </c>
      <c r="C5503" s="45">
        <v>46322</v>
      </c>
      <c r="D5503" s="76">
        <v>6595.4948527098004</v>
      </c>
      <c r="E5503" s="77">
        <v>125</v>
      </c>
      <c r="F5503" s="78">
        <v>12.471376135364</v>
      </c>
      <c r="G5503" s="78">
        <v>12.471376135364</v>
      </c>
      <c r="H5503" s="81">
        <v>12.553948573114001</v>
      </c>
    </row>
    <row r="5504" spans="1:8" x14ac:dyDescent="0.3">
      <c r="A5504" s="74" t="str">
        <f t="shared" si="85"/>
        <v>湖北46323</v>
      </c>
      <c r="B5504" s="75" t="s">
        <v>32</v>
      </c>
      <c r="C5504" s="45">
        <v>46323</v>
      </c>
      <c r="D5504" s="76">
        <v>6595.4948527098004</v>
      </c>
      <c r="E5504" s="77">
        <v>125</v>
      </c>
      <c r="F5504" s="78">
        <v>12.471376135364</v>
      </c>
      <c r="G5504" s="78">
        <v>12.471376135364</v>
      </c>
      <c r="H5504" s="81">
        <v>12.553948573114001</v>
      </c>
    </row>
    <row r="5505" spans="1:8" x14ac:dyDescent="0.3">
      <c r="A5505" s="74" t="str">
        <f t="shared" si="85"/>
        <v>湖北46324</v>
      </c>
      <c r="B5505" s="75" t="s">
        <v>32</v>
      </c>
      <c r="C5505" s="45">
        <v>46324</v>
      </c>
      <c r="D5505" s="76">
        <v>6595.4948527098004</v>
      </c>
      <c r="E5505" s="77">
        <v>125</v>
      </c>
      <c r="F5505" s="78">
        <v>12.471376135364</v>
      </c>
      <c r="G5505" s="78">
        <v>12.471376135364</v>
      </c>
      <c r="H5505" s="81">
        <v>12.553948573114001</v>
      </c>
    </row>
    <row r="5506" spans="1:8" x14ac:dyDescent="0.3">
      <c r="A5506" s="74" t="str">
        <f t="shared" si="85"/>
        <v>湖北46325</v>
      </c>
      <c r="B5506" s="75" t="s">
        <v>32</v>
      </c>
      <c r="C5506" s="45">
        <v>46325</v>
      </c>
      <c r="D5506" s="76">
        <v>6595.4948527098004</v>
      </c>
      <c r="E5506" s="77">
        <v>125</v>
      </c>
      <c r="F5506" s="78">
        <v>12.471376135364</v>
      </c>
      <c r="G5506" s="78">
        <v>12.471376135364</v>
      </c>
      <c r="H5506" s="81">
        <v>12.553948573114001</v>
      </c>
    </row>
    <row r="5507" spans="1:8" x14ac:dyDescent="0.3">
      <c r="A5507" s="74" t="str">
        <f t="shared" ref="A5507:A5570" si="86">B5507&amp;C5507</f>
        <v>湖北46326</v>
      </c>
      <c r="B5507" s="75" t="s">
        <v>32</v>
      </c>
      <c r="C5507" s="45">
        <v>46326</v>
      </c>
      <c r="D5507" s="76">
        <v>6595.4948527098004</v>
      </c>
      <c r="E5507" s="77">
        <v>125</v>
      </c>
      <c r="F5507" s="78">
        <v>12.471376135364</v>
      </c>
      <c r="G5507" s="78">
        <v>12.471376135364</v>
      </c>
      <c r="H5507" s="81">
        <v>12.553948573114001</v>
      </c>
    </row>
    <row r="5508" spans="1:8" x14ac:dyDescent="0.3">
      <c r="A5508" s="74" t="str">
        <f t="shared" si="86"/>
        <v>湖北46327</v>
      </c>
      <c r="B5508" s="75" t="s">
        <v>32</v>
      </c>
      <c r="C5508" s="45">
        <v>46327</v>
      </c>
      <c r="D5508" s="76">
        <v>6435.9454655221998</v>
      </c>
      <c r="E5508" s="77">
        <v>125</v>
      </c>
      <c r="F5508" s="78">
        <v>12.760541327837499</v>
      </c>
      <c r="G5508" s="78">
        <v>12.760541327837499</v>
      </c>
      <c r="H5508" s="81">
        <v>12.628379098250999</v>
      </c>
    </row>
    <row r="5509" spans="1:8" x14ac:dyDescent="0.3">
      <c r="A5509" s="74" t="str">
        <f t="shared" si="86"/>
        <v>湖北46328</v>
      </c>
      <c r="B5509" s="75" t="s">
        <v>32</v>
      </c>
      <c r="C5509" s="45">
        <v>46328</v>
      </c>
      <c r="D5509" s="76">
        <v>6435.9454655221998</v>
      </c>
      <c r="E5509" s="77">
        <v>125</v>
      </c>
      <c r="F5509" s="78">
        <v>12.760541327837499</v>
      </c>
      <c r="G5509" s="78">
        <v>12.760541327837499</v>
      </c>
      <c r="H5509" s="81">
        <v>12.628379098250999</v>
      </c>
    </row>
    <row r="5510" spans="1:8" x14ac:dyDescent="0.3">
      <c r="A5510" s="74" t="str">
        <f t="shared" si="86"/>
        <v>湖北46329</v>
      </c>
      <c r="B5510" s="75" t="s">
        <v>32</v>
      </c>
      <c r="C5510" s="45">
        <v>46329</v>
      </c>
      <c r="D5510" s="76">
        <v>6435.9454655221998</v>
      </c>
      <c r="E5510" s="77">
        <v>125</v>
      </c>
      <c r="F5510" s="78">
        <v>12.760541327837499</v>
      </c>
      <c r="G5510" s="78">
        <v>12.760541327837499</v>
      </c>
      <c r="H5510" s="81">
        <v>12.628379098250999</v>
      </c>
    </row>
    <row r="5511" spans="1:8" x14ac:dyDescent="0.3">
      <c r="A5511" s="74" t="str">
        <f t="shared" si="86"/>
        <v>湖北46330</v>
      </c>
      <c r="B5511" s="75" t="s">
        <v>32</v>
      </c>
      <c r="C5511" s="45">
        <v>46330</v>
      </c>
      <c r="D5511" s="76">
        <v>6435.9454655221998</v>
      </c>
      <c r="E5511" s="77">
        <v>125</v>
      </c>
      <c r="F5511" s="78">
        <v>12.760541327837499</v>
      </c>
      <c r="G5511" s="78">
        <v>12.760541327837499</v>
      </c>
      <c r="H5511" s="81">
        <v>12.628379098250999</v>
      </c>
    </row>
    <row r="5512" spans="1:8" x14ac:dyDescent="0.3">
      <c r="A5512" s="74" t="str">
        <f t="shared" si="86"/>
        <v>湖北46331</v>
      </c>
      <c r="B5512" s="75" t="s">
        <v>32</v>
      </c>
      <c r="C5512" s="45">
        <v>46331</v>
      </c>
      <c r="D5512" s="76">
        <v>6435.9454655221998</v>
      </c>
      <c r="E5512" s="77">
        <v>125</v>
      </c>
      <c r="F5512" s="78">
        <v>12.760541327837499</v>
      </c>
      <c r="G5512" s="78">
        <v>12.760541327837499</v>
      </c>
      <c r="H5512" s="81">
        <v>12.628379098250999</v>
      </c>
    </row>
    <row r="5513" spans="1:8" x14ac:dyDescent="0.3">
      <c r="A5513" s="74" t="str">
        <f t="shared" si="86"/>
        <v>湖北46332</v>
      </c>
      <c r="B5513" s="75" t="s">
        <v>32</v>
      </c>
      <c r="C5513" s="45">
        <v>46332</v>
      </c>
      <c r="D5513" s="76">
        <v>6435.9454655221998</v>
      </c>
      <c r="E5513" s="77">
        <v>125</v>
      </c>
      <c r="F5513" s="78">
        <v>12.760541327837499</v>
      </c>
      <c r="G5513" s="78">
        <v>12.760541327837499</v>
      </c>
      <c r="H5513" s="81">
        <v>12.628379098250999</v>
      </c>
    </row>
    <row r="5514" spans="1:8" x14ac:dyDescent="0.3">
      <c r="A5514" s="74" t="str">
        <f t="shared" si="86"/>
        <v>湖北46333</v>
      </c>
      <c r="B5514" s="75" t="s">
        <v>32</v>
      </c>
      <c r="C5514" s="45">
        <v>46333</v>
      </c>
      <c r="D5514" s="76">
        <v>6435.9454655221998</v>
      </c>
      <c r="E5514" s="77">
        <v>125</v>
      </c>
      <c r="F5514" s="78">
        <v>12.760541327837499</v>
      </c>
      <c r="G5514" s="78">
        <v>12.760541327837499</v>
      </c>
      <c r="H5514" s="81">
        <v>12.628379098250999</v>
      </c>
    </row>
    <row r="5515" spans="1:8" x14ac:dyDescent="0.3">
      <c r="A5515" s="74" t="str">
        <f t="shared" si="86"/>
        <v>湖北46334</v>
      </c>
      <c r="B5515" s="75" t="s">
        <v>32</v>
      </c>
      <c r="C5515" s="45">
        <v>46334</v>
      </c>
      <c r="D5515" s="76">
        <v>6435.9454655221998</v>
      </c>
      <c r="E5515" s="77">
        <v>125</v>
      </c>
      <c r="F5515" s="78">
        <v>12.760541327837499</v>
      </c>
      <c r="G5515" s="78">
        <v>12.760541327837499</v>
      </c>
      <c r="H5515" s="81">
        <v>12.628379098250999</v>
      </c>
    </row>
    <row r="5516" spans="1:8" x14ac:dyDescent="0.3">
      <c r="A5516" s="74" t="str">
        <f t="shared" si="86"/>
        <v>湖北46335</v>
      </c>
      <c r="B5516" s="75" t="s">
        <v>32</v>
      </c>
      <c r="C5516" s="45">
        <v>46335</v>
      </c>
      <c r="D5516" s="76">
        <v>6435.9454655221998</v>
      </c>
      <c r="E5516" s="77">
        <v>125</v>
      </c>
      <c r="F5516" s="78">
        <v>12.760541327837499</v>
      </c>
      <c r="G5516" s="78">
        <v>12.760541327837499</v>
      </c>
      <c r="H5516" s="81">
        <v>12.628379098250999</v>
      </c>
    </row>
    <row r="5517" spans="1:8" x14ac:dyDescent="0.3">
      <c r="A5517" s="74" t="str">
        <f t="shared" si="86"/>
        <v>湖北46336</v>
      </c>
      <c r="B5517" s="75" t="s">
        <v>32</v>
      </c>
      <c r="C5517" s="45">
        <v>46336</v>
      </c>
      <c r="D5517" s="76">
        <v>6435.9454655221998</v>
      </c>
      <c r="E5517" s="77">
        <v>125</v>
      </c>
      <c r="F5517" s="78">
        <v>12.760541327837499</v>
      </c>
      <c r="G5517" s="78">
        <v>12.760541327837499</v>
      </c>
      <c r="H5517" s="81">
        <v>12.628379098250999</v>
      </c>
    </row>
    <row r="5518" spans="1:8" x14ac:dyDescent="0.3">
      <c r="A5518" s="74" t="str">
        <f t="shared" si="86"/>
        <v>湖北46337</v>
      </c>
      <c r="B5518" s="75" t="s">
        <v>32</v>
      </c>
      <c r="C5518" s="45">
        <v>46337</v>
      </c>
      <c r="D5518" s="76">
        <v>6435.9454655221998</v>
      </c>
      <c r="E5518" s="77">
        <v>125</v>
      </c>
      <c r="F5518" s="78">
        <v>12.760541327837499</v>
      </c>
      <c r="G5518" s="78">
        <v>12.760541327837499</v>
      </c>
      <c r="H5518" s="81">
        <v>12.628379098250999</v>
      </c>
    </row>
    <row r="5519" spans="1:8" x14ac:dyDescent="0.3">
      <c r="A5519" s="74" t="str">
        <f t="shared" si="86"/>
        <v>湖北46338</v>
      </c>
      <c r="B5519" s="75" t="s">
        <v>32</v>
      </c>
      <c r="C5519" s="45">
        <v>46338</v>
      </c>
      <c r="D5519" s="76">
        <v>6435.9454655221998</v>
      </c>
      <c r="E5519" s="77">
        <v>125</v>
      </c>
      <c r="F5519" s="78">
        <v>12.760541327837499</v>
      </c>
      <c r="G5519" s="78">
        <v>12.760541327837499</v>
      </c>
      <c r="H5519" s="81">
        <v>12.628379098250999</v>
      </c>
    </row>
    <row r="5520" spans="1:8" x14ac:dyDescent="0.3">
      <c r="A5520" s="74" t="str">
        <f t="shared" si="86"/>
        <v>湖北46339</v>
      </c>
      <c r="B5520" s="75" t="s">
        <v>32</v>
      </c>
      <c r="C5520" s="45">
        <v>46339</v>
      </c>
      <c r="D5520" s="76">
        <v>6435.9454655221998</v>
      </c>
      <c r="E5520" s="77">
        <v>125</v>
      </c>
      <c r="F5520" s="78">
        <v>12.760541327837499</v>
      </c>
      <c r="G5520" s="78">
        <v>12.760541327837499</v>
      </c>
      <c r="H5520" s="81">
        <v>12.628379098250999</v>
      </c>
    </row>
    <row r="5521" spans="1:8" x14ac:dyDescent="0.3">
      <c r="A5521" s="74" t="str">
        <f t="shared" si="86"/>
        <v>湖北46340</v>
      </c>
      <c r="B5521" s="75" t="s">
        <v>32</v>
      </c>
      <c r="C5521" s="45">
        <v>46340</v>
      </c>
      <c r="D5521" s="76">
        <v>6435.9454655221998</v>
      </c>
      <c r="E5521" s="77">
        <v>125</v>
      </c>
      <c r="F5521" s="78">
        <v>12.760541327837499</v>
      </c>
      <c r="G5521" s="78">
        <v>12.760541327837499</v>
      </c>
      <c r="H5521" s="81">
        <v>12.628379098250999</v>
      </c>
    </row>
    <row r="5522" spans="1:8" x14ac:dyDescent="0.3">
      <c r="A5522" s="74" t="str">
        <f t="shared" si="86"/>
        <v>湖北46341</v>
      </c>
      <c r="B5522" s="75" t="s">
        <v>32</v>
      </c>
      <c r="C5522" s="45">
        <v>46341</v>
      </c>
      <c r="D5522" s="76">
        <v>6435.9454655221998</v>
      </c>
      <c r="E5522" s="77">
        <v>125</v>
      </c>
      <c r="F5522" s="78">
        <v>12.760541327837499</v>
      </c>
      <c r="G5522" s="78">
        <v>12.760541327837499</v>
      </c>
      <c r="H5522" s="81">
        <v>12.628379098250999</v>
      </c>
    </row>
    <row r="5523" spans="1:8" x14ac:dyDescent="0.3">
      <c r="A5523" s="74" t="str">
        <f t="shared" si="86"/>
        <v>湖北46342</v>
      </c>
      <c r="B5523" s="75" t="s">
        <v>32</v>
      </c>
      <c r="C5523" s="45">
        <v>46342</v>
      </c>
      <c r="D5523" s="76">
        <v>6435.9454655221998</v>
      </c>
      <c r="E5523" s="77">
        <v>125</v>
      </c>
      <c r="F5523" s="78">
        <v>12.760541327837499</v>
      </c>
      <c r="G5523" s="78">
        <v>12.760541327837499</v>
      </c>
      <c r="H5523" s="81">
        <v>12.628379098250999</v>
      </c>
    </row>
    <row r="5524" spans="1:8" x14ac:dyDescent="0.3">
      <c r="A5524" s="74" t="str">
        <f t="shared" si="86"/>
        <v>湖北46343</v>
      </c>
      <c r="B5524" s="75" t="s">
        <v>32</v>
      </c>
      <c r="C5524" s="45">
        <v>46343</v>
      </c>
      <c r="D5524" s="76">
        <v>6435.9454655221998</v>
      </c>
      <c r="E5524" s="77">
        <v>125</v>
      </c>
      <c r="F5524" s="78">
        <v>12.760541327837499</v>
      </c>
      <c r="G5524" s="78">
        <v>12.760541327837499</v>
      </c>
      <c r="H5524" s="81">
        <v>12.628379098250999</v>
      </c>
    </row>
    <row r="5525" spans="1:8" x14ac:dyDescent="0.3">
      <c r="A5525" s="74" t="str">
        <f t="shared" si="86"/>
        <v>湖北46344</v>
      </c>
      <c r="B5525" s="75" t="s">
        <v>32</v>
      </c>
      <c r="C5525" s="45">
        <v>46344</v>
      </c>
      <c r="D5525" s="76">
        <v>6435.9454655221998</v>
      </c>
      <c r="E5525" s="77">
        <v>125</v>
      </c>
      <c r="F5525" s="78">
        <v>12.760541327837499</v>
      </c>
      <c r="G5525" s="78">
        <v>12.760541327837499</v>
      </c>
      <c r="H5525" s="81">
        <v>12.628379098250999</v>
      </c>
    </row>
    <row r="5526" spans="1:8" x14ac:dyDescent="0.3">
      <c r="A5526" s="74" t="str">
        <f t="shared" si="86"/>
        <v>湖北46345</v>
      </c>
      <c r="B5526" s="75" t="s">
        <v>32</v>
      </c>
      <c r="C5526" s="45">
        <v>46345</v>
      </c>
      <c r="D5526" s="76">
        <v>6435.9454655221998</v>
      </c>
      <c r="E5526" s="77">
        <v>125</v>
      </c>
      <c r="F5526" s="78">
        <v>12.760541327837499</v>
      </c>
      <c r="G5526" s="78">
        <v>12.760541327837499</v>
      </c>
      <c r="H5526" s="81">
        <v>12.628379098250999</v>
      </c>
    </row>
    <row r="5527" spans="1:8" x14ac:dyDescent="0.3">
      <c r="A5527" s="74" t="str">
        <f t="shared" si="86"/>
        <v>湖北46346</v>
      </c>
      <c r="B5527" s="75" t="s">
        <v>32</v>
      </c>
      <c r="C5527" s="45">
        <v>46346</v>
      </c>
      <c r="D5527" s="76">
        <v>6435.9454655221998</v>
      </c>
      <c r="E5527" s="77">
        <v>125</v>
      </c>
      <c r="F5527" s="78">
        <v>12.760541327837499</v>
      </c>
      <c r="G5527" s="78">
        <v>12.760541327837499</v>
      </c>
      <c r="H5527" s="81">
        <v>12.628379098250999</v>
      </c>
    </row>
    <row r="5528" spans="1:8" x14ac:dyDescent="0.3">
      <c r="A5528" s="74" t="str">
        <f t="shared" si="86"/>
        <v>湖北46347</v>
      </c>
      <c r="B5528" s="75" t="s">
        <v>32</v>
      </c>
      <c r="C5528" s="45">
        <v>46347</v>
      </c>
      <c r="D5528" s="76">
        <v>6435.9454655221998</v>
      </c>
      <c r="E5528" s="77">
        <v>125</v>
      </c>
      <c r="F5528" s="78">
        <v>12.760541327837499</v>
      </c>
      <c r="G5528" s="78">
        <v>12.760541327837499</v>
      </c>
      <c r="H5528" s="81">
        <v>12.628379098250999</v>
      </c>
    </row>
    <row r="5529" spans="1:8" x14ac:dyDescent="0.3">
      <c r="A5529" s="74" t="str">
        <f t="shared" si="86"/>
        <v>湖北46348</v>
      </c>
      <c r="B5529" s="75" t="s">
        <v>32</v>
      </c>
      <c r="C5529" s="45">
        <v>46348</v>
      </c>
      <c r="D5529" s="76">
        <v>6435.9454655221998</v>
      </c>
      <c r="E5529" s="77">
        <v>125</v>
      </c>
      <c r="F5529" s="78">
        <v>12.760541327837499</v>
      </c>
      <c r="G5529" s="78">
        <v>12.760541327837499</v>
      </c>
      <c r="H5529" s="81">
        <v>12.628379098250999</v>
      </c>
    </row>
    <row r="5530" spans="1:8" x14ac:dyDescent="0.3">
      <c r="A5530" s="74" t="str">
        <f t="shared" si="86"/>
        <v>湖北46349</v>
      </c>
      <c r="B5530" s="75" t="s">
        <v>32</v>
      </c>
      <c r="C5530" s="45">
        <v>46349</v>
      </c>
      <c r="D5530" s="76">
        <v>6435.9454655221998</v>
      </c>
      <c r="E5530" s="77">
        <v>125</v>
      </c>
      <c r="F5530" s="78">
        <v>12.760541327837499</v>
      </c>
      <c r="G5530" s="78">
        <v>12.760541327837499</v>
      </c>
      <c r="H5530" s="81">
        <v>12.628379098250999</v>
      </c>
    </row>
    <row r="5531" spans="1:8" x14ac:dyDescent="0.3">
      <c r="A5531" s="74" t="str">
        <f t="shared" si="86"/>
        <v>湖北46350</v>
      </c>
      <c r="B5531" s="75" t="s">
        <v>32</v>
      </c>
      <c r="C5531" s="45">
        <v>46350</v>
      </c>
      <c r="D5531" s="76">
        <v>6435.9454655221998</v>
      </c>
      <c r="E5531" s="77">
        <v>125</v>
      </c>
      <c r="F5531" s="78">
        <v>12.760541327837499</v>
      </c>
      <c r="G5531" s="78">
        <v>12.760541327837499</v>
      </c>
      <c r="H5531" s="81">
        <v>12.628379098250999</v>
      </c>
    </row>
    <row r="5532" spans="1:8" x14ac:dyDescent="0.3">
      <c r="A5532" s="74" t="str">
        <f t="shared" si="86"/>
        <v>湖北46351</v>
      </c>
      <c r="B5532" s="75" t="s">
        <v>32</v>
      </c>
      <c r="C5532" s="45">
        <v>46351</v>
      </c>
      <c r="D5532" s="76">
        <v>6435.9454655221998</v>
      </c>
      <c r="E5532" s="77">
        <v>125</v>
      </c>
      <c r="F5532" s="78">
        <v>12.760541327837499</v>
      </c>
      <c r="G5532" s="78">
        <v>12.760541327837499</v>
      </c>
      <c r="H5532" s="81">
        <v>12.628379098250999</v>
      </c>
    </row>
    <row r="5533" spans="1:8" x14ac:dyDescent="0.3">
      <c r="A5533" s="74" t="str">
        <f t="shared" si="86"/>
        <v>湖北46352</v>
      </c>
      <c r="B5533" s="75" t="s">
        <v>32</v>
      </c>
      <c r="C5533" s="45">
        <v>46352</v>
      </c>
      <c r="D5533" s="76">
        <v>6435.9454655221998</v>
      </c>
      <c r="E5533" s="77">
        <v>125</v>
      </c>
      <c r="F5533" s="78">
        <v>12.760541327837499</v>
      </c>
      <c r="G5533" s="78">
        <v>12.760541327837499</v>
      </c>
      <c r="H5533" s="81">
        <v>12.628379098250999</v>
      </c>
    </row>
    <row r="5534" spans="1:8" x14ac:dyDescent="0.3">
      <c r="A5534" s="74" t="str">
        <f t="shared" si="86"/>
        <v>湖北46353</v>
      </c>
      <c r="B5534" s="75" t="s">
        <v>32</v>
      </c>
      <c r="C5534" s="45">
        <v>46353</v>
      </c>
      <c r="D5534" s="76">
        <v>6435.9454655221998</v>
      </c>
      <c r="E5534" s="77">
        <v>125</v>
      </c>
      <c r="F5534" s="78">
        <v>12.760541327837499</v>
      </c>
      <c r="G5534" s="78">
        <v>12.760541327837499</v>
      </c>
      <c r="H5534" s="81">
        <v>12.628379098250999</v>
      </c>
    </row>
    <row r="5535" spans="1:8" x14ac:dyDescent="0.3">
      <c r="A5535" s="74" t="str">
        <f t="shared" si="86"/>
        <v>湖北46354</v>
      </c>
      <c r="B5535" s="75" t="s">
        <v>32</v>
      </c>
      <c r="C5535" s="45">
        <v>46354</v>
      </c>
      <c r="D5535" s="76">
        <v>6435.9454655221998</v>
      </c>
      <c r="E5535" s="77">
        <v>125</v>
      </c>
      <c r="F5535" s="78">
        <v>12.760541327837499</v>
      </c>
      <c r="G5535" s="78">
        <v>12.760541327837499</v>
      </c>
      <c r="H5535" s="81">
        <v>12.628379098250999</v>
      </c>
    </row>
    <row r="5536" spans="1:8" x14ac:dyDescent="0.3">
      <c r="A5536" s="74" t="str">
        <f t="shared" si="86"/>
        <v>湖北46355</v>
      </c>
      <c r="B5536" s="75" t="s">
        <v>32</v>
      </c>
      <c r="C5536" s="45">
        <v>46355</v>
      </c>
      <c r="D5536" s="76">
        <v>6435.9454655221998</v>
      </c>
      <c r="E5536" s="77">
        <v>125</v>
      </c>
      <c r="F5536" s="78">
        <v>12.760541327837499</v>
      </c>
      <c r="G5536" s="78">
        <v>12.760541327837499</v>
      </c>
      <c r="H5536" s="81">
        <v>12.628379098250999</v>
      </c>
    </row>
    <row r="5537" spans="1:8" x14ac:dyDescent="0.3">
      <c r="A5537" s="74" t="str">
        <f t="shared" si="86"/>
        <v>湖北46356</v>
      </c>
      <c r="B5537" s="75" t="s">
        <v>32</v>
      </c>
      <c r="C5537" s="45">
        <v>46356</v>
      </c>
      <c r="D5537" s="76">
        <v>6435.9454655221998</v>
      </c>
      <c r="E5537" s="77">
        <v>125</v>
      </c>
      <c r="F5537" s="78">
        <v>12.760541327837499</v>
      </c>
      <c r="G5537" s="78">
        <v>12.760541327837499</v>
      </c>
      <c r="H5537" s="81">
        <v>12.628379098250999</v>
      </c>
    </row>
    <row r="5538" spans="1:8" x14ac:dyDescent="0.3">
      <c r="A5538" s="74" t="str">
        <f t="shared" si="86"/>
        <v>湖北46357</v>
      </c>
      <c r="B5538" s="75" t="s">
        <v>32</v>
      </c>
      <c r="C5538" s="45">
        <v>46357</v>
      </c>
      <c r="D5538" s="76">
        <v>6515.63736326245</v>
      </c>
      <c r="E5538" s="77">
        <v>125</v>
      </c>
      <c r="F5538" s="78">
        <v>13.4516361129727</v>
      </c>
      <c r="G5538" s="78">
        <v>13.4516361129727</v>
      </c>
      <c r="H5538" s="81">
        <v>12.861594743680399</v>
      </c>
    </row>
    <row r="5539" spans="1:8" x14ac:dyDescent="0.3">
      <c r="A5539" s="74" t="str">
        <f t="shared" si="86"/>
        <v>湖北46358</v>
      </c>
      <c r="B5539" s="75" t="s">
        <v>32</v>
      </c>
      <c r="C5539" s="45">
        <v>46358</v>
      </c>
      <c r="D5539" s="76">
        <v>6515.63736326245</v>
      </c>
      <c r="E5539" s="77">
        <v>125</v>
      </c>
      <c r="F5539" s="78">
        <v>13.4516361129727</v>
      </c>
      <c r="G5539" s="78">
        <v>13.4516361129727</v>
      </c>
      <c r="H5539" s="81">
        <v>12.861594743680399</v>
      </c>
    </row>
    <row r="5540" spans="1:8" x14ac:dyDescent="0.3">
      <c r="A5540" s="74" t="str">
        <f t="shared" si="86"/>
        <v>湖北46359</v>
      </c>
      <c r="B5540" s="75" t="s">
        <v>32</v>
      </c>
      <c r="C5540" s="45">
        <v>46359</v>
      </c>
      <c r="D5540" s="76">
        <v>6515.63736326245</v>
      </c>
      <c r="E5540" s="77">
        <v>125</v>
      </c>
      <c r="F5540" s="78">
        <v>13.4516361129727</v>
      </c>
      <c r="G5540" s="78">
        <v>13.4516361129727</v>
      </c>
      <c r="H5540" s="81">
        <v>12.861594743680399</v>
      </c>
    </row>
    <row r="5541" spans="1:8" x14ac:dyDescent="0.3">
      <c r="A5541" s="74" t="str">
        <f t="shared" si="86"/>
        <v>湖北46360</v>
      </c>
      <c r="B5541" s="75" t="s">
        <v>32</v>
      </c>
      <c r="C5541" s="45">
        <v>46360</v>
      </c>
      <c r="D5541" s="76">
        <v>6515.63736326245</v>
      </c>
      <c r="E5541" s="77">
        <v>125</v>
      </c>
      <c r="F5541" s="78">
        <v>13.4516361129727</v>
      </c>
      <c r="G5541" s="78">
        <v>13.4516361129727</v>
      </c>
      <c r="H5541" s="81">
        <v>12.861594743680399</v>
      </c>
    </row>
    <row r="5542" spans="1:8" x14ac:dyDescent="0.3">
      <c r="A5542" s="74" t="str">
        <f t="shared" si="86"/>
        <v>湖北46361</v>
      </c>
      <c r="B5542" s="75" t="s">
        <v>32</v>
      </c>
      <c r="C5542" s="45">
        <v>46361</v>
      </c>
      <c r="D5542" s="76">
        <v>6515.63736326245</v>
      </c>
      <c r="E5542" s="77">
        <v>125</v>
      </c>
      <c r="F5542" s="78">
        <v>13.4516361129727</v>
      </c>
      <c r="G5542" s="78">
        <v>13.4516361129727</v>
      </c>
      <c r="H5542" s="81">
        <v>12.861594743680399</v>
      </c>
    </row>
    <row r="5543" spans="1:8" x14ac:dyDescent="0.3">
      <c r="A5543" s="74" t="str">
        <f t="shared" si="86"/>
        <v>湖北46362</v>
      </c>
      <c r="B5543" s="75" t="s">
        <v>32</v>
      </c>
      <c r="C5543" s="45">
        <v>46362</v>
      </c>
      <c r="D5543" s="76">
        <v>6515.63736326245</v>
      </c>
      <c r="E5543" s="77">
        <v>125</v>
      </c>
      <c r="F5543" s="78">
        <v>13.4516361129727</v>
      </c>
      <c r="G5543" s="78">
        <v>13.4516361129727</v>
      </c>
      <c r="H5543" s="81">
        <v>12.861594743680399</v>
      </c>
    </row>
    <row r="5544" spans="1:8" x14ac:dyDescent="0.3">
      <c r="A5544" s="74" t="str">
        <f t="shared" si="86"/>
        <v>湖北46363</v>
      </c>
      <c r="B5544" s="75" t="s">
        <v>32</v>
      </c>
      <c r="C5544" s="45">
        <v>46363</v>
      </c>
      <c r="D5544" s="76">
        <v>6515.63736326245</v>
      </c>
      <c r="E5544" s="77">
        <v>125</v>
      </c>
      <c r="F5544" s="78">
        <v>13.4516361129727</v>
      </c>
      <c r="G5544" s="78">
        <v>13.4516361129727</v>
      </c>
      <c r="H5544" s="81">
        <v>12.861594743680399</v>
      </c>
    </row>
    <row r="5545" spans="1:8" x14ac:dyDescent="0.3">
      <c r="A5545" s="74" t="str">
        <f t="shared" si="86"/>
        <v>湖北46364</v>
      </c>
      <c r="B5545" s="75" t="s">
        <v>32</v>
      </c>
      <c r="C5545" s="45">
        <v>46364</v>
      </c>
      <c r="D5545" s="76">
        <v>6515.63736326245</v>
      </c>
      <c r="E5545" s="77">
        <v>125</v>
      </c>
      <c r="F5545" s="78">
        <v>13.4516361129727</v>
      </c>
      <c r="G5545" s="78">
        <v>13.4516361129727</v>
      </c>
      <c r="H5545" s="81">
        <v>12.861594743680399</v>
      </c>
    </row>
    <row r="5546" spans="1:8" x14ac:dyDescent="0.3">
      <c r="A5546" s="74" t="str">
        <f t="shared" si="86"/>
        <v>湖北46365</v>
      </c>
      <c r="B5546" s="75" t="s">
        <v>32</v>
      </c>
      <c r="C5546" s="45">
        <v>46365</v>
      </c>
      <c r="D5546" s="76">
        <v>6515.63736326245</v>
      </c>
      <c r="E5546" s="77">
        <v>125</v>
      </c>
      <c r="F5546" s="78">
        <v>13.4516361129727</v>
      </c>
      <c r="G5546" s="78">
        <v>13.4516361129727</v>
      </c>
      <c r="H5546" s="81">
        <v>12.861594743680399</v>
      </c>
    </row>
    <row r="5547" spans="1:8" x14ac:dyDescent="0.3">
      <c r="A5547" s="74" t="str">
        <f t="shared" si="86"/>
        <v>湖北46366</v>
      </c>
      <c r="B5547" s="75" t="s">
        <v>32</v>
      </c>
      <c r="C5547" s="45">
        <v>46366</v>
      </c>
      <c r="D5547" s="76">
        <v>6515.63736326245</v>
      </c>
      <c r="E5547" s="77">
        <v>125</v>
      </c>
      <c r="F5547" s="78">
        <v>13.4516361129727</v>
      </c>
      <c r="G5547" s="78">
        <v>13.4516361129727</v>
      </c>
      <c r="H5547" s="81">
        <v>12.861594743680399</v>
      </c>
    </row>
    <row r="5548" spans="1:8" x14ac:dyDescent="0.3">
      <c r="A5548" s="74" t="str">
        <f t="shared" si="86"/>
        <v>湖北46367</v>
      </c>
      <c r="B5548" s="75" t="s">
        <v>32</v>
      </c>
      <c r="C5548" s="45">
        <v>46367</v>
      </c>
      <c r="D5548" s="76">
        <v>6515.63736326245</v>
      </c>
      <c r="E5548" s="77">
        <v>125</v>
      </c>
      <c r="F5548" s="78">
        <v>13.4516361129727</v>
      </c>
      <c r="G5548" s="78">
        <v>13.4516361129727</v>
      </c>
      <c r="H5548" s="81">
        <v>12.861594743680399</v>
      </c>
    </row>
    <row r="5549" spans="1:8" x14ac:dyDescent="0.3">
      <c r="A5549" s="74" t="str">
        <f t="shared" si="86"/>
        <v>湖北46368</v>
      </c>
      <c r="B5549" s="75" t="s">
        <v>32</v>
      </c>
      <c r="C5549" s="45">
        <v>46368</v>
      </c>
      <c r="D5549" s="76">
        <v>6515.63736326245</v>
      </c>
      <c r="E5549" s="77">
        <v>125</v>
      </c>
      <c r="F5549" s="78">
        <v>13.4516361129727</v>
      </c>
      <c r="G5549" s="78">
        <v>13.4516361129727</v>
      </c>
      <c r="H5549" s="81">
        <v>12.861594743680399</v>
      </c>
    </row>
    <row r="5550" spans="1:8" x14ac:dyDescent="0.3">
      <c r="A5550" s="74" t="str">
        <f t="shared" si="86"/>
        <v>湖北46369</v>
      </c>
      <c r="B5550" s="75" t="s">
        <v>32</v>
      </c>
      <c r="C5550" s="45">
        <v>46369</v>
      </c>
      <c r="D5550" s="76">
        <v>6515.63736326245</v>
      </c>
      <c r="E5550" s="77">
        <v>125</v>
      </c>
      <c r="F5550" s="78">
        <v>13.4516361129727</v>
      </c>
      <c r="G5550" s="78">
        <v>13.4516361129727</v>
      </c>
      <c r="H5550" s="81">
        <v>12.861594743680399</v>
      </c>
    </row>
    <row r="5551" spans="1:8" x14ac:dyDescent="0.3">
      <c r="A5551" s="74" t="str">
        <f t="shared" si="86"/>
        <v>湖北46370</v>
      </c>
      <c r="B5551" s="75" t="s">
        <v>32</v>
      </c>
      <c r="C5551" s="45">
        <v>46370</v>
      </c>
      <c r="D5551" s="76">
        <v>6515.63736326245</v>
      </c>
      <c r="E5551" s="77">
        <v>125</v>
      </c>
      <c r="F5551" s="78">
        <v>13.4516361129727</v>
      </c>
      <c r="G5551" s="78">
        <v>13.4516361129727</v>
      </c>
      <c r="H5551" s="81">
        <v>12.861594743680399</v>
      </c>
    </row>
    <row r="5552" spans="1:8" x14ac:dyDescent="0.3">
      <c r="A5552" s="74" t="str">
        <f t="shared" si="86"/>
        <v>湖北46371</v>
      </c>
      <c r="B5552" s="75" t="s">
        <v>32</v>
      </c>
      <c r="C5552" s="45">
        <v>46371</v>
      </c>
      <c r="D5552" s="76">
        <v>6515.63736326245</v>
      </c>
      <c r="E5552" s="77">
        <v>125</v>
      </c>
      <c r="F5552" s="78">
        <v>13.4516361129727</v>
      </c>
      <c r="G5552" s="78">
        <v>13.4516361129727</v>
      </c>
      <c r="H5552" s="81">
        <v>12.861594743680399</v>
      </c>
    </row>
    <row r="5553" spans="1:8" x14ac:dyDescent="0.3">
      <c r="A5553" s="74" t="str">
        <f t="shared" si="86"/>
        <v>湖北46372</v>
      </c>
      <c r="B5553" s="75" t="s">
        <v>32</v>
      </c>
      <c r="C5553" s="45">
        <v>46372</v>
      </c>
      <c r="D5553" s="76">
        <v>6515.63736326245</v>
      </c>
      <c r="E5553" s="77">
        <v>125</v>
      </c>
      <c r="F5553" s="78">
        <v>13.4516361129727</v>
      </c>
      <c r="G5553" s="78">
        <v>13.4516361129727</v>
      </c>
      <c r="H5553" s="81">
        <v>12.861594743680399</v>
      </c>
    </row>
    <row r="5554" spans="1:8" x14ac:dyDescent="0.3">
      <c r="A5554" s="74" t="str">
        <f t="shared" si="86"/>
        <v>湖北46373</v>
      </c>
      <c r="B5554" s="75" t="s">
        <v>32</v>
      </c>
      <c r="C5554" s="45">
        <v>46373</v>
      </c>
      <c r="D5554" s="76">
        <v>6515.63736326245</v>
      </c>
      <c r="E5554" s="77">
        <v>125</v>
      </c>
      <c r="F5554" s="78">
        <v>13.4516361129727</v>
      </c>
      <c r="G5554" s="78">
        <v>13.4516361129727</v>
      </c>
      <c r="H5554" s="81">
        <v>12.861594743680399</v>
      </c>
    </row>
    <row r="5555" spans="1:8" x14ac:dyDescent="0.3">
      <c r="A5555" s="74" t="str">
        <f t="shared" si="86"/>
        <v>湖北46374</v>
      </c>
      <c r="B5555" s="75" t="s">
        <v>32</v>
      </c>
      <c r="C5555" s="45">
        <v>46374</v>
      </c>
      <c r="D5555" s="76">
        <v>6515.63736326245</v>
      </c>
      <c r="E5555" s="77">
        <v>125</v>
      </c>
      <c r="F5555" s="78">
        <v>13.4516361129727</v>
      </c>
      <c r="G5555" s="78">
        <v>13.4516361129727</v>
      </c>
      <c r="H5555" s="81">
        <v>12.861594743680399</v>
      </c>
    </row>
    <row r="5556" spans="1:8" x14ac:dyDescent="0.3">
      <c r="A5556" s="74" t="str">
        <f t="shared" si="86"/>
        <v>湖北46375</v>
      </c>
      <c r="B5556" s="75" t="s">
        <v>32</v>
      </c>
      <c r="C5556" s="45">
        <v>46375</v>
      </c>
      <c r="D5556" s="76">
        <v>6515.63736326245</v>
      </c>
      <c r="E5556" s="77">
        <v>125</v>
      </c>
      <c r="F5556" s="78">
        <v>13.4516361129727</v>
      </c>
      <c r="G5556" s="78">
        <v>13.4516361129727</v>
      </c>
      <c r="H5556" s="81">
        <v>12.861594743680399</v>
      </c>
    </row>
    <row r="5557" spans="1:8" x14ac:dyDescent="0.3">
      <c r="A5557" s="74" t="str">
        <f t="shared" si="86"/>
        <v>湖北46376</v>
      </c>
      <c r="B5557" s="75" t="s">
        <v>32</v>
      </c>
      <c r="C5557" s="45">
        <v>46376</v>
      </c>
      <c r="D5557" s="76">
        <v>6515.63736326245</v>
      </c>
      <c r="E5557" s="77">
        <v>125</v>
      </c>
      <c r="F5557" s="78">
        <v>13.4516361129727</v>
      </c>
      <c r="G5557" s="78">
        <v>13.4516361129727</v>
      </c>
      <c r="H5557" s="81">
        <v>12.861594743680399</v>
      </c>
    </row>
    <row r="5558" spans="1:8" x14ac:dyDescent="0.3">
      <c r="A5558" s="74" t="str">
        <f t="shared" si="86"/>
        <v>湖北46377</v>
      </c>
      <c r="B5558" s="75" t="s">
        <v>32</v>
      </c>
      <c r="C5558" s="45">
        <v>46377</v>
      </c>
      <c r="D5558" s="76">
        <v>6515.63736326245</v>
      </c>
      <c r="E5558" s="77">
        <v>125</v>
      </c>
      <c r="F5558" s="78">
        <v>13.4516361129727</v>
      </c>
      <c r="G5558" s="78">
        <v>13.4516361129727</v>
      </c>
      <c r="H5558" s="81">
        <v>12.861594743680399</v>
      </c>
    </row>
    <row r="5559" spans="1:8" x14ac:dyDescent="0.3">
      <c r="A5559" s="74" t="str">
        <f t="shared" si="86"/>
        <v>湖北46378</v>
      </c>
      <c r="B5559" s="75" t="s">
        <v>32</v>
      </c>
      <c r="C5559" s="45">
        <v>46378</v>
      </c>
      <c r="D5559" s="76">
        <v>6515.63736326245</v>
      </c>
      <c r="E5559" s="77">
        <v>125</v>
      </c>
      <c r="F5559" s="78">
        <v>13.4516361129727</v>
      </c>
      <c r="G5559" s="78">
        <v>13.4516361129727</v>
      </c>
      <c r="H5559" s="81">
        <v>12.861594743680399</v>
      </c>
    </row>
    <row r="5560" spans="1:8" x14ac:dyDescent="0.3">
      <c r="A5560" s="74" t="str">
        <f t="shared" si="86"/>
        <v>湖北46379</v>
      </c>
      <c r="B5560" s="75" t="s">
        <v>32</v>
      </c>
      <c r="C5560" s="45">
        <v>46379</v>
      </c>
      <c r="D5560" s="76">
        <v>6515.63736326245</v>
      </c>
      <c r="E5560" s="77">
        <v>125</v>
      </c>
      <c r="F5560" s="78">
        <v>13.4516361129727</v>
      </c>
      <c r="G5560" s="78">
        <v>13.4516361129727</v>
      </c>
      <c r="H5560" s="81">
        <v>12.861594743680399</v>
      </c>
    </row>
    <row r="5561" spans="1:8" x14ac:dyDescent="0.3">
      <c r="A5561" s="74" t="str">
        <f t="shared" si="86"/>
        <v>湖北46380</v>
      </c>
      <c r="B5561" s="75" t="s">
        <v>32</v>
      </c>
      <c r="C5561" s="45">
        <v>46380</v>
      </c>
      <c r="D5561" s="76">
        <v>6515.63736326245</v>
      </c>
      <c r="E5561" s="77">
        <v>125</v>
      </c>
      <c r="F5561" s="78">
        <v>13.4516361129727</v>
      </c>
      <c r="G5561" s="78">
        <v>13.4516361129727</v>
      </c>
      <c r="H5561" s="81">
        <v>12.861594743680399</v>
      </c>
    </row>
    <row r="5562" spans="1:8" x14ac:dyDescent="0.3">
      <c r="A5562" s="74" t="str">
        <f t="shared" si="86"/>
        <v>湖北46381</v>
      </c>
      <c r="B5562" s="75" t="s">
        <v>32</v>
      </c>
      <c r="C5562" s="45">
        <v>46381</v>
      </c>
      <c r="D5562" s="76">
        <v>6515.63736326245</v>
      </c>
      <c r="E5562" s="77">
        <v>125</v>
      </c>
      <c r="F5562" s="78">
        <v>13.4516361129727</v>
      </c>
      <c r="G5562" s="78">
        <v>13.4516361129727</v>
      </c>
      <c r="H5562" s="81">
        <v>12.861594743680399</v>
      </c>
    </row>
    <row r="5563" spans="1:8" x14ac:dyDescent="0.3">
      <c r="A5563" s="74" t="str">
        <f t="shared" si="86"/>
        <v>湖北46382</v>
      </c>
      <c r="B5563" s="75" t="s">
        <v>32</v>
      </c>
      <c r="C5563" s="45">
        <v>46382</v>
      </c>
      <c r="D5563" s="76">
        <v>6515.63736326245</v>
      </c>
      <c r="E5563" s="77">
        <v>125</v>
      </c>
      <c r="F5563" s="78">
        <v>13.4516361129727</v>
      </c>
      <c r="G5563" s="78">
        <v>13.4516361129727</v>
      </c>
      <c r="H5563" s="81">
        <v>12.861594743680399</v>
      </c>
    </row>
    <row r="5564" spans="1:8" x14ac:dyDescent="0.3">
      <c r="A5564" s="74" t="str">
        <f t="shared" si="86"/>
        <v>湖北46383</v>
      </c>
      <c r="B5564" s="75" t="s">
        <v>32</v>
      </c>
      <c r="C5564" s="45">
        <v>46383</v>
      </c>
      <c r="D5564" s="76">
        <v>6515.63736326245</v>
      </c>
      <c r="E5564" s="77">
        <v>125</v>
      </c>
      <c r="F5564" s="78">
        <v>13.4516361129727</v>
      </c>
      <c r="G5564" s="78">
        <v>13.4516361129727</v>
      </c>
      <c r="H5564" s="81">
        <v>12.861594743680399</v>
      </c>
    </row>
    <row r="5565" spans="1:8" x14ac:dyDescent="0.3">
      <c r="A5565" s="74" t="str">
        <f t="shared" si="86"/>
        <v>湖北46384</v>
      </c>
      <c r="B5565" s="75" t="s">
        <v>32</v>
      </c>
      <c r="C5565" s="45">
        <v>46384</v>
      </c>
      <c r="D5565" s="76">
        <v>6515.63736326245</v>
      </c>
      <c r="E5565" s="77">
        <v>125</v>
      </c>
      <c r="F5565" s="78">
        <v>13.4516361129727</v>
      </c>
      <c r="G5565" s="78">
        <v>13.4516361129727</v>
      </c>
      <c r="H5565" s="81">
        <v>12.861594743680399</v>
      </c>
    </row>
    <row r="5566" spans="1:8" x14ac:dyDescent="0.3">
      <c r="A5566" s="74" t="str">
        <f t="shared" si="86"/>
        <v>湖北46385</v>
      </c>
      <c r="B5566" s="75" t="s">
        <v>32</v>
      </c>
      <c r="C5566" s="45">
        <v>46385</v>
      </c>
      <c r="D5566" s="76">
        <v>6515.63736326245</v>
      </c>
      <c r="E5566" s="77">
        <v>125</v>
      </c>
      <c r="F5566" s="78">
        <v>13.4516361129727</v>
      </c>
      <c r="G5566" s="78">
        <v>13.4516361129727</v>
      </c>
      <c r="H5566" s="81">
        <v>12.861594743680399</v>
      </c>
    </row>
    <row r="5567" spans="1:8" x14ac:dyDescent="0.3">
      <c r="A5567" s="74" t="str">
        <f t="shared" si="86"/>
        <v>湖北46386</v>
      </c>
      <c r="B5567" s="75" t="s">
        <v>32</v>
      </c>
      <c r="C5567" s="45">
        <v>46386</v>
      </c>
      <c r="D5567" s="76">
        <v>6515.63736326245</v>
      </c>
      <c r="E5567" s="77">
        <v>125</v>
      </c>
      <c r="F5567" s="78">
        <v>13.4516361129727</v>
      </c>
      <c r="G5567" s="78">
        <v>13.4516361129727</v>
      </c>
      <c r="H5567" s="81">
        <v>12.861594743680399</v>
      </c>
    </row>
    <row r="5568" spans="1:8" x14ac:dyDescent="0.3">
      <c r="A5568" s="74" t="str">
        <f t="shared" si="86"/>
        <v>湖北46387</v>
      </c>
      <c r="B5568" s="82" t="s">
        <v>32</v>
      </c>
      <c r="C5568" s="83">
        <v>46387</v>
      </c>
      <c r="D5568" s="84">
        <v>6515.63736326245</v>
      </c>
      <c r="E5568" s="85">
        <v>125</v>
      </c>
      <c r="F5568" s="86">
        <v>13.4516361129727</v>
      </c>
      <c r="G5568" s="86">
        <v>13.4516361129727</v>
      </c>
      <c r="H5568" s="87">
        <v>12.861594743680399</v>
      </c>
    </row>
    <row r="5569" spans="1:8" x14ac:dyDescent="0.3">
      <c r="A5569" s="74" t="str">
        <f t="shared" si="86"/>
        <v>湖南46135</v>
      </c>
      <c r="B5569" s="75" t="s">
        <v>33</v>
      </c>
      <c r="C5569" s="45">
        <v>46135</v>
      </c>
      <c r="D5569" s="76">
        <v>1237.15340258065</v>
      </c>
      <c r="E5569" s="77">
        <v>125</v>
      </c>
      <c r="F5569" s="78">
        <v>9.0350541482216098</v>
      </c>
      <c r="G5569" s="78">
        <v>9.0350541482216098</v>
      </c>
      <c r="H5569" s="81">
        <v>9.6059638398362193</v>
      </c>
    </row>
    <row r="5570" spans="1:8" x14ac:dyDescent="0.3">
      <c r="A5570" s="74" t="str">
        <f t="shared" si="86"/>
        <v>湖南46136</v>
      </c>
      <c r="B5570" s="75" t="s">
        <v>33</v>
      </c>
      <c r="C5570" s="45">
        <v>46136</v>
      </c>
      <c r="D5570" s="76">
        <v>1237.15340258065</v>
      </c>
      <c r="E5570" s="77">
        <v>125</v>
      </c>
      <c r="F5570" s="78">
        <v>9.0350541482216098</v>
      </c>
      <c r="G5570" s="78">
        <v>9.0350541482216098</v>
      </c>
      <c r="H5570" s="81">
        <v>9.6059638398362193</v>
      </c>
    </row>
    <row r="5571" spans="1:8" x14ac:dyDescent="0.3">
      <c r="A5571" s="74" t="str">
        <f t="shared" ref="A5571:A5634" si="87">B5571&amp;C5571</f>
        <v>湖南46137</v>
      </c>
      <c r="B5571" s="75" t="s">
        <v>33</v>
      </c>
      <c r="C5571" s="45">
        <v>46137</v>
      </c>
      <c r="D5571" s="76">
        <v>1237.15340258065</v>
      </c>
      <c r="E5571" s="77">
        <v>125</v>
      </c>
      <c r="F5571" s="78">
        <v>9.0350541482216098</v>
      </c>
      <c r="G5571" s="78">
        <v>9.0350541482216098</v>
      </c>
      <c r="H5571" s="81">
        <v>9.6059638398362193</v>
      </c>
    </row>
    <row r="5572" spans="1:8" x14ac:dyDescent="0.3">
      <c r="A5572" s="74" t="str">
        <f t="shared" si="87"/>
        <v>湖南46138</v>
      </c>
      <c r="B5572" s="75" t="s">
        <v>33</v>
      </c>
      <c r="C5572" s="45">
        <v>46138</v>
      </c>
      <c r="D5572" s="76">
        <v>1237.15340258065</v>
      </c>
      <c r="E5572" s="77">
        <v>125</v>
      </c>
      <c r="F5572" s="78">
        <v>9.0350541482216098</v>
      </c>
      <c r="G5572" s="78">
        <v>9.0350541482216098</v>
      </c>
      <c r="H5572" s="81">
        <v>9.6059638398362193</v>
      </c>
    </row>
    <row r="5573" spans="1:8" x14ac:dyDescent="0.3">
      <c r="A5573" s="74" t="str">
        <f t="shared" si="87"/>
        <v>湖南46139</v>
      </c>
      <c r="B5573" s="75" t="s">
        <v>33</v>
      </c>
      <c r="C5573" s="45">
        <v>46139</v>
      </c>
      <c r="D5573" s="76">
        <v>1237.15340258065</v>
      </c>
      <c r="E5573" s="77">
        <v>125</v>
      </c>
      <c r="F5573" s="78">
        <v>9.0350541482216098</v>
      </c>
      <c r="G5573" s="78">
        <v>9.0350541482216098</v>
      </c>
      <c r="H5573" s="81">
        <v>9.6059638398362193</v>
      </c>
    </row>
    <row r="5574" spans="1:8" x14ac:dyDescent="0.3">
      <c r="A5574" s="74" t="str">
        <f t="shared" si="87"/>
        <v>湖南46140</v>
      </c>
      <c r="B5574" s="75" t="s">
        <v>33</v>
      </c>
      <c r="C5574" s="45">
        <v>46140</v>
      </c>
      <c r="D5574" s="76">
        <v>1237.15340258065</v>
      </c>
      <c r="E5574" s="77">
        <v>125</v>
      </c>
      <c r="F5574" s="78">
        <v>9.0350541482216098</v>
      </c>
      <c r="G5574" s="78">
        <v>9.0350541482216098</v>
      </c>
      <c r="H5574" s="81">
        <v>9.6059638398362193</v>
      </c>
    </row>
    <row r="5575" spans="1:8" x14ac:dyDescent="0.3">
      <c r="A5575" s="74" t="str">
        <f t="shared" si="87"/>
        <v>湖南46141</v>
      </c>
      <c r="B5575" s="75" t="s">
        <v>33</v>
      </c>
      <c r="C5575" s="45">
        <v>46141</v>
      </c>
      <c r="D5575" s="76">
        <v>1237.15340258065</v>
      </c>
      <c r="E5575" s="77">
        <v>125</v>
      </c>
      <c r="F5575" s="78">
        <v>9.0350541482216098</v>
      </c>
      <c r="G5575" s="78">
        <v>9.0350541482216098</v>
      </c>
      <c r="H5575" s="81">
        <v>9.6059638398362193</v>
      </c>
    </row>
    <row r="5576" spans="1:8" x14ac:dyDescent="0.3">
      <c r="A5576" s="74" t="str">
        <f t="shared" si="87"/>
        <v>湖南46142</v>
      </c>
      <c r="B5576" s="75" t="s">
        <v>33</v>
      </c>
      <c r="C5576" s="45">
        <v>46142</v>
      </c>
      <c r="D5576" s="76">
        <v>1237.15340258065</v>
      </c>
      <c r="E5576" s="77">
        <v>125</v>
      </c>
      <c r="F5576" s="78">
        <v>9.0350541482216098</v>
      </c>
      <c r="G5576" s="78">
        <v>9.0350541482216098</v>
      </c>
      <c r="H5576" s="81">
        <v>9.6059638398362193</v>
      </c>
    </row>
    <row r="5577" spans="1:8" x14ac:dyDescent="0.3">
      <c r="A5577" s="74" t="str">
        <f t="shared" si="87"/>
        <v>湖南46143</v>
      </c>
      <c r="B5577" s="75" t="s">
        <v>33</v>
      </c>
      <c r="C5577" s="45">
        <v>46143</v>
      </c>
      <c r="D5577" s="76">
        <v>1620.2034861935499</v>
      </c>
      <c r="E5577" s="77">
        <v>125</v>
      </c>
      <c r="F5577" s="78">
        <v>10.5154286290285</v>
      </c>
      <c r="G5577" s="78">
        <v>10.5154286290285</v>
      </c>
      <c r="H5577" s="81">
        <v>9.8241116858639792</v>
      </c>
    </row>
    <row r="5578" spans="1:8" x14ac:dyDescent="0.3">
      <c r="A5578" s="74" t="str">
        <f t="shared" si="87"/>
        <v>湖南46144</v>
      </c>
      <c r="B5578" s="75" t="s">
        <v>33</v>
      </c>
      <c r="C5578" s="45">
        <v>46144</v>
      </c>
      <c r="D5578" s="76">
        <v>1620.2034861935499</v>
      </c>
      <c r="E5578" s="77">
        <v>125</v>
      </c>
      <c r="F5578" s="78">
        <v>10.5154286290285</v>
      </c>
      <c r="G5578" s="78">
        <v>10.5154286290285</v>
      </c>
      <c r="H5578" s="81">
        <v>9.8241116858639792</v>
      </c>
    </row>
    <row r="5579" spans="1:8" x14ac:dyDescent="0.3">
      <c r="A5579" s="74" t="str">
        <f t="shared" si="87"/>
        <v>湖南46145</v>
      </c>
      <c r="B5579" s="75" t="s">
        <v>33</v>
      </c>
      <c r="C5579" s="45">
        <v>46145</v>
      </c>
      <c r="D5579" s="76">
        <v>1620.2034861935499</v>
      </c>
      <c r="E5579" s="77">
        <v>125</v>
      </c>
      <c r="F5579" s="78">
        <v>10.5154286290285</v>
      </c>
      <c r="G5579" s="78">
        <v>10.5154286290285</v>
      </c>
      <c r="H5579" s="81">
        <v>9.8241116858639792</v>
      </c>
    </row>
    <row r="5580" spans="1:8" x14ac:dyDescent="0.3">
      <c r="A5580" s="74" t="str">
        <f t="shared" si="87"/>
        <v>湖南46146</v>
      </c>
      <c r="B5580" s="75" t="s">
        <v>33</v>
      </c>
      <c r="C5580" s="45">
        <v>46146</v>
      </c>
      <c r="D5580" s="76">
        <v>1620.2034861935499</v>
      </c>
      <c r="E5580" s="77">
        <v>125</v>
      </c>
      <c r="F5580" s="78">
        <v>10.5154286290285</v>
      </c>
      <c r="G5580" s="78">
        <v>10.5154286290285</v>
      </c>
      <c r="H5580" s="81">
        <v>9.8241116858639792</v>
      </c>
    </row>
    <row r="5581" spans="1:8" x14ac:dyDescent="0.3">
      <c r="A5581" s="74" t="str">
        <f t="shared" si="87"/>
        <v>湖南46147</v>
      </c>
      <c r="B5581" s="75" t="s">
        <v>33</v>
      </c>
      <c r="C5581" s="45">
        <v>46147</v>
      </c>
      <c r="D5581" s="76">
        <v>1620.2034861935499</v>
      </c>
      <c r="E5581" s="77">
        <v>125</v>
      </c>
      <c r="F5581" s="78">
        <v>10.5154286290285</v>
      </c>
      <c r="G5581" s="78">
        <v>10.5154286290285</v>
      </c>
      <c r="H5581" s="81">
        <v>9.8241116858639792</v>
      </c>
    </row>
    <row r="5582" spans="1:8" x14ac:dyDescent="0.3">
      <c r="A5582" s="74" t="str">
        <f t="shared" si="87"/>
        <v>湖南46148</v>
      </c>
      <c r="B5582" s="75" t="s">
        <v>33</v>
      </c>
      <c r="C5582" s="45">
        <v>46148</v>
      </c>
      <c r="D5582" s="76">
        <v>1620.2034861935499</v>
      </c>
      <c r="E5582" s="77">
        <v>125</v>
      </c>
      <c r="F5582" s="78">
        <v>10.5154286290285</v>
      </c>
      <c r="G5582" s="78">
        <v>10.5154286290285</v>
      </c>
      <c r="H5582" s="81">
        <v>9.8241116858639792</v>
      </c>
    </row>
    <row r="5583" spans="1:8" x14ac:dyDescent="0.3">
      <c r="A5583" s="74" t="str">
        <f t="shared" si="87"/>
        <v>湖南46149</v>
      </c>
      <c r="B5583" s="75" t="s">
        <v>33</v>
      </c>
      <c r="C5583" s="45">
        <v>46149</v>
      </c>
      <c r="D5583" s="76">
        <v>1620.2034861935499</v>
      </c>
      <c r="E5583" s="77">
        <v>125</v>
      </c>
      <c r="F5583" s="78">
        <v>10.5154286290285</v>
      </c>
      <c r="G5583" s="78">
        <v>10.5154286290285</v>
      </c>
      <c r="H5583" s="81">
        <v>9.8241116858639792</v>
      </c>
    </row>
    <row r="5584" spans="1:8" x14ac:dyDescent="0.3">
      <c r="A5584" s="74" t="str">
        <f t="shared" si="87"/>
        <v>湖南46150</v>
      </c>
      <c r="B5584" s="75" t="s">
        <v>33</v>
      </c>
      <c r="C5584" s="45">
        <v>46150</v>
      </c>
      <c r="D5584" s="76">
        <v>1620.2034861935499</v>
      </c>
      <c r="E5584" s="77">
        <v>125</v>
      </c>
      <c r="F5584" s="78">
        <v>10.5154286290285</v>
      </c>
      <c r="G5584" s="78">
        <v>10.5154286290285</v>
      </c>
      <c r="H5584" s="81">
        <v>9.8241116858639792</v>
      </c>
    </row>
    <row r="5585" spans="1:8" x14ac:dyDescent="0.3">
      <c r="A5585" s="74" t="str">
        <f t="shared" si="87"/>
        <v>湖南46151</v>
      </c>
      <c r="B5585" s="75" t="s">
        <v>33</v>
      </c>
      <c r="C5585" s="45">
        <v>46151</v>
      </c>
      <c r="D5585" s="76">
        <v>1620.2034861935499</v>
      </c>
      <c r="E5585" s="77">
        <v>125</v>
      </c>
      <c r="F5585" s="78">
        <v>10.5154286290285</v>
      </c>
      <c r="G5585" s="78">
        <v>10.5154286290285</v>
      </c>
      <c r="H5585" s="81">
        <v>9.8241116858639792</v>
      </c>
    </row>
    <row r="5586" spans="1:8" x14ac:dyDescent="0.3">
      <c r="A5586" s="74" t="str">
        <f t="shared" si="87"/>
        <v>湖南46152</v>
      </c>
      <c r="B5586" s="75" t="s">
        <v>33</v>
      </c>
      <c r="C5586" s="45">
        <v>46152</v>
      </c>
      <c r="D5586" s="76">
        <v>1620.2034861935499</v>
      </c>
      <c r="E5586" s="77">
        <v>125</v>
      </c>
      <c r="F5586" s="78">
        <v>10.5154286290285</v>
      </c>
      <c r="G5586" s="78">
        <v>10.5154286290285</v>
      </c>
      <c r="H5586" s="81">
        <v>9.8241116858639792</v>
      </c>
    </row>
    <row r="5587" spans="1:8" x14ac:dyDescent="0.3">
      <c r="A5587" s="74" t="str">
        <f t="shared" si="87"/>
        <v>湖南46153</v>
      </c>
      <c r="B5587" s="75" t="s">
        <v>33</v>
      </c>
      <c r="C5587" s="45">
        <v>46153</v>
      </c>
      <c r="D5587" s="76">
        <v>1620.2034861935499</v>
      </c>
      <c r="E5587" s="77">
        <v>125</v>
      </c>
      <c r="F5587" s="78">
        <v>10.5154286290285</v>
      </c>
      <c r="G5587" s="78">
        <v>10.5154286290285</v>
      </c>
      <c r="H5587" s="81">
        <v>9.8241116858639792</v>
      </c>
    </row>
    <row r="5588" spans="1:8" x14ac:dyDescent="0.3">
      <c r="A5588" s="74" t="str">
        <f t="shared" si="87"/>
        <v>湖南46154</v>
      </c>
      <c r="B5588" s="75" t="s">
        <v>33</v>
      </c>
      <c r="C5588" s="45">
        <v>46154</v>
      </c>
      <c r="D5588" s="76">
        <v>1620.2034861935499</v>
      </c>
      <c r="E5588" s="77">
        <v>125</v>
      </c>
      <c r="F5588" s="78">
        <v>10.5154286290285</v>
      </c>
      <c r="G5588" s="78">
        <v>10.5154286290285</v>
      </c>
      <c r="H5588" s="81">
        <v>9.8241116858639792</v>
      </c>
    </row>
    <row r="5589" spans="1:8" x14ac:dyDescent="0.3">
      <c r="A5589" s="74" t="str">
        <f t="shared" si="87"/>
        <v>湖南46155</v>
      </c>
      <c r="B5589" s="75" t="s">
        <v>33</v>
      </c>
      <c r="C5589" s="45">
        <v>46155</v>
      </c>
      <c r="D5589" s="76">
        <v>1620.2034861935499</v>
      </c>
      <c r="E5589" s="77">
        <v>125</v>
      </c>
      <c r="F5589" s="78">
        <v>10.5154286290285</v>
      </c>
      <c r="G5589" s="78">
        <v>10.5154286290285</v>
      </c>
      <c r="H5589" s="81">
        <v>9.8241116858639792</v>
      </c>
    </row>
    <row r="5590" spans="1:8" x14ac:dyDescent="0.3">
      <c r="A5590" s="74" t="str">
        <f t="shared" si="87"/>
        <v>湖南46156</v>
      </c>
      <c r="B5590" s="75" t="s">
        <v>33</v>
      </c>
      <c r="C5590" s="45">
        <v>46156</v>
      </c>
      <c r="D5590" s="76">
        <v>1620.2034861935499</v>
      </c>
      <c r="E5590" s="77">
        <v>125</v>
      </c>
      <c r="F5590" s="78">
        <v>10.5154286290285</v>
      </c>
      <c r="G5590" s="78">
        <v>10.5154286290285</v>
      </c>
      <c r="H5590" s="81">
        <v>9.8241116858639792</v>
      </c>
    </row>
    <row r="5591" spans="1:8" x14ac:dyDescent="0.3">
      <c r="A5591" s="74" t="str">
        <f t="shared" si="87"/>
        <v>湖南46157</v>
      </c>
      <c r="B5591" s="75" t="s">
        <v>33</v>
      </c>
      <c r="C5591" s="45">
        <v>46157</v>
      </c>
      <c r="D5591" s="76">
        <v>1620.2034861935499</v>
      </c>
      <c r="E5591" s="77">
        <v>125</v>
      </c>
      <c r="F5591" s="78">
        <v>10.5154286290285</v>
      </c>
      <c r="G5591" s="78">
        <v>10.5154286290285</v>
      </c>
      <c r="H5591" s="81">
        <v>9.8241116858639792</v>
      </c>
    </row>
    <row r="5592" spans="1:8" x14ac:dyDescent="0.3">
      <c r="A5592" s="74" t="str">
        <f t="shared" si="87"/>
        <v>湖南46158</v>
      </c>
      <c r="B5592" s="75" t="s">
        <v>33</v>
      </c>
      <c r="C5592" s="45">
        <v>46158</v>
      </c>
      <c r="D5592" s="76">
        <v>1620.2034861935499</v>
      </c>
      <c r="E5592" s="77">
        <v>125</v>
      </c>
      <c r="F5592" s="78">
        <v>10.5154286290285</v>
      </c>
      <c r="G5592" s="78">
        <v>10.5154286290285</v>
      </c>
      <c r="H5592" s="81">
        <v>9.8241116858639792</v>
      </c>
    </row>
    <row r="5593" spans="1:8" x14ac:dyDescent="0.3">
      <c r="A5593" s="74" t="str">
        <f t="shared" si="87"/>
        <v>湖南46159</v>
      </c>
      <c r="B5593" s="75" t="s">
        <v>33</v>
      </c>
      <c r="C5593" s="45">
        <v>46159</v>
      </c>
      <c r="D5593" s="76">
        <v>1620.2034861935499</v>
      </c>
      <c r="E5593" s="77">
        <v>125</v>
      </c>
      <c r="F5593" s="78">
        <v>10.5154286290285</v>
      </c>
      <c r="G5593" s="78">
        <v>10.5154286290285</v>
      </c>
      <c r="H5593" s="81">
        <v>9.8241116858639792</v>
      </c>
    </row>
    <row r="5594" spans="1:8" x14ac:dyDescent="0.3">
      <c r="A5594" s="74" t="str">
        <f t="shared" si="87"/>
        <v>湖南46160</v>
      </c>
      <c r="B5594" s="75" t="s">
        <v>33</v>
      </c>
      <c r="C5594" s="45">
        <v>46160</v>
      </c>
      <c r="D5594" s="76">
        <v>1620.2034861935499</v>
      </c>
      <c r="E5594" s="77">
        <v>125</v>
      </c>
      <c r="F5594" s="78">
        <v>10.5154286290285</v>
      </c>
      <c r="G5594" s="78">
        <v>10.5154286290285</v>
      </c>
      <c r="H5594" s="81">
        <v>9.8241116858639792</v>
      </c>
    </row>
    <row r="5595" spans="1:8" x14ac:dyDescent="0.3">
      <c r="A5595" s="74" t="str">
        <f t="shared" si="87"/>
        <v>湖南46161</v>
      </c>
      <c r="B5595" s="75" t="s">
        <v>33</v>
      </c>
      <c r="C5595" s="45">
        <v>46161</v>
      </c>
      <c r="D5595" s="76">
        <v>1620.2034861935499</v>
      </c>
      <c r="E5595" s="77">
        <v>125</v>
      </c>
      <c r="F5595" s="78">
        <v>10.5154286290285</v>
      </c>
      <c r="G5595" s="78">
        <v>10.5154286290285</v>
      </c>
      <c r="H5595" s="81">
        <v>9.8241116858639792</v>
      </c>
    </row>
    <row r="5596" spans="1:8" x14ac:dyDescent="0.3">
      <c r="A5596" s="74" t="str">
        <f t="shared" si="87"/>
        <v>湖南46162</v>
      </c>
      <c r="B5596" s="75" t="s">
        <v>33</v>
      </c>
      <c r="C5596" s="45">
        <v>46162</v>
      </c>
      <c r="D5596" s="76">
        <v>1620.2034861935499</v>
      </c>
      <c r="E5596" s="77">
        <v>125</v>
      </c>
      <c r="F5596" s="78">
        <v>10.5154286290285</v>
      </c>
      <c r="G5596" s="78">
        <v>10.5154286290285</v>
      </c>
      <c r="H5596" s="81">
        <v>9.8241116858639792</v>
      </c>
    </row>
    <row r="5597" spans="1:8" x14ac:dyDescent="0.3">
      <c r="A5597" s="74" t="str">
        <f t="shared" si="87"/>
        <v>湖南46163</v>
      </c>
      <c r="B5597" s="75" t="s">
        <v>33</v>
      </c>
      <c r="C5597" s="45">
        <v>46163</v>
      </c>
      <c r="D5597" s="76">
        <v>1620.2034861935499</v>
      </c>
      <c r="E5597" s="77">
        <v>125</v>
      </c>
      <c r="F5597" s="78">
        <v>10.5154286290285</v>
      </c>
      <c r="G5597" s="78">
        <v>10.5154286290285</v>
      </c>
      <c r="H5597" s="81">
        <v>9.8241116858639792</v>
      </c>
    </row>
    <row r="5598" spans="1:8" x14ac:dyDescent="0.3">
      <c r="A5598" s="74" t="str">
        <f t="shared" si="87"/>
        <v>湖南46164</v>
      </c>
      <c r="B5598" s="75" t="s">
        <v>33</v>
      </c>
      <c r="C5598" s="45">
        <v>46164</v>
      </c>
      <c r="D5598" s="76">
        <v>1620.2034861935499</v>
      </c>
      <c r="E5598" s="77">
        <v>125</v>
      </c>
      <c r="F5598" s="78">
        <v>10.5154286290285</v>
      </c>
      <c r="G5598" s="78">
        <v>10.5154286290285</v>
      </c>
      <c r="H5598" s="81">
        <v>9.8241116858639792</v>
      </c>
    </row>
    <row r="5599" spans="1:8" x14ac:dyDescent="0.3">
      <c r="A5599" s="74" t="str">
        <f t="shared" si="87"/>
        <v>湖南46165</v>
      </c>
      <c r="B5599" s="75" t="s">
        <v>33</v>
      </c>
      <c r="C5599" s="45">
        <v>46165</v>
      </c>
      <c r="D5599" s="76">
        <v>1620.2034861935499</v>
      </c>
      <c r="E5599" s="77">
        <v>125</v>
      </c>
      <c r="F5599" s="78">
        <v>10.5154286290285</v>
      </c>
      <c r="G5599" s="78">
        <v>10.5154286290285</v>
      </c>
      <c r="H5599" s="81">
        <v>9.8241116858639792</v>
      </c>
    </row>
    <row r="5600" spans="1:8" x14ac:dyDescent="0.3">
      <c r="A5600" s="74" t="str">
        <f t="shared" si="87"/>
        <v>湖南46166</v>
      </c>
      <c r="B5600" s="75" t="s">
        <v>33</v>
      </c>
      <c r="C5600" s="45">
        <v>46166</v>
      </c>
      <c r="D5600" s="76">
        <v>1620.2034861935499</v>
      </c>
      <c r="E5600" s="77">
        <v>125</v>
      </c>
      <c r="F5600" s="78">
        <v>10.5154286290285</v>
      </c>
      <c r="G5600" s="78">
        <v>10.5154286290285</v>
      </c>
      <c r="H5600" s="81">
        <v>9.8241116858639792</v>
      </c>
    </row>
    <row r="5601" spans="1:8" x14ac:dyDescent="0.3">
      <c r="A5601" s="74" t="str">
        <f t="shared" si="87"/>
        <v>湖南46167</v>
      </c>
      <c r="B5601" s="75" t="s">
        <v>33</v>
      </c>
      <c r="C5601" s="45">
        <v>46167</v>
      </c>
      <c r="D5601" s="76">
        <v>1620.2034861935499</v>
      </c>
      <c r="E5601" s="77">
        <v>125</v>
      </c>
      <c r="F5601" s="78">
        <v>10.5154286290285</v>
      </c>
      <c r="G5601" s="78">
        <v>10.5154286290285</v>
      </c>
      <c r="H5601" s="81">
        <v>9.8241116858639792</v>
      </c>
    </row>
    <row r="5602" spans="1:8" x14ac:dyDescent="0.3">
      <c r="A5602" s="74" t="str">
        <f t="shared" si="87"/>
        <v>湖南46168</v>
      </c>
      <c r="B5602" s="75" t="s">
        <v>33</v>
      </c>
      <c r="C5602" s="45">
        <v>46168</v>
      </c>
      <c r="D5602" s="76">
        <v>1620.2034861935499</v>
      </c>
      <c r="E5602" s="77">
        <v>125</v>
      </c>
      <c r="F5602" s="78">
        <v>10.5154286290285</v>
      </c>
      <c r="G5602" s="78">
        <v>10.5154286290285</v>
      </c>
      <c r="H5602" s="81">
        <v>9.8241116858639792</v>
      </c>
    </row>
    <row r="5603" spans="1:8" x14ac:dyDescent="0.3">
      <c r="A5603" s="74" t="str">
        <f t="shared" si="87"/>
        <v>湖南46169</v>
      </c>
      <c r="B5603" s="75" t="s">
        <v>33</v>
      </c>
      <c r="C5603" s="45">
        <v>46169</v>
      </c>
      <c r="D5603" s="76">
        <v>1620.2034861935499</v>
      </c>
      <c r="E5603" s="77">
        <v>125</v>
      </c>
      <c r="F5603" s="78">
        <v>10.5154286290285</v>
      </c>
      <c r="G5603" s="78">
        <v>10.5154286290285</v>
      </c>
      <c r="H5603" s="81">
        <v>9.8241116858639792</v>
      </c>
    </row>
    <row r="5604" spans="1:8" x14ac:dyDescent="0.3">
      <c r="A5604" s="74" t="str">
        <f t="shared" si="87"/>
        <v>湖南46170</v>
      </c>
      <c r="B5604" s="75" t="s">
        <v>33</v>
      </c>
      <c r="C5604" s="45">
        <v>46170</v>
      </c>
      <c r="D5604" s="76">
        <v>1620.2034861935499</v>
      </c>
      <c r="E5604" s="77">
        <v>125</v>
      </c>
      <c r="F5604" s="78">
        <v>10.5154286290285</v>
      </c>
      <c r="G5604" s="78">
        <v>10.5154286290285</v>
      </c>
      <c r="H5604" s="81">
        <v>9.8241116858639792</v>
      </c>
    </row>
    <row r="5605" spans="1:8" x14ac:dyDescent="0.3">
      <c r="A5605" s="74" t="str">
        <f t="shared" si="87"/>
        <v>湖南46171</v>
      </c>
      <c r="B5605" s="75" t="s">
        <v>33</v>
      </c>
      <c r="C5605" s="45">
        <v>46171</v>
      </c>
      <c r="D5605" s="76">
        <v>1620.2034861935499</v>
      </c>
      <c r="E5605" s="77">
        <v>125</v>
      </c>
      <c r="F5605" s="78">
        <v>10.5154286290285</v>
      </c>
      <c r="G5605" s="78">
        <v>10.5154286290285</v>
      </c>
      <c r="H5605" s="81">
        <v>9.8241116858639792</v>
      </c>
    </row>
    <row r="5606" spans="1:8" x14ac:dyDescent="0.3">
      <c r="A5606" s="74" t="str">
        <f t="shared" si="87"/>
        <v>湖南46172</v>
      </c>
      <c r="B5606" s="75" t="s">
        <v>33</v>
      </c>
      <c r="C5606" s="45">
        <v>46172</v>
      </c>
      <c r="D5606" s="76">
        <v>1620.2034861935499</v>
      </c>
      <c r="E5606" s="77">
        <v>125</v>
      </c>
      <c r="F5606" s="78">
        <v>10.5154286290285</v>
      </c>
      <c r="G5606" s="78">
        <v>10.5154286290285</v>
      </c>
      <c r="H5606" s="81">
        <v>9.8241116858639792</v>
      </c>
    </row>
    <row r="5607" spans="1:8" x14ac:dyDescent="0.3">
      <c r="A5607" s="74" t="str">
        <f t="shared" si="87"/>
        <v>湖南46173</v>
      </c>
      <c r="B5607" s="75" t="s">
        <v>33</v>
      </c>
      <c r="C5607" s="45">
        <v>46173</v>
      </c>
      <c r="D5607" s="76">
        <v>1620.2034861935499</v>
      </c>
      <c r="E5607" s="77">
        <v>125</v>
      </c>
      <c r="F5607" s="78">
        <v>10.5154286290285</v>
      </c>
      <c r="G5607" s="78">
        <v>10.5154286290285</v>
      </c>
      <c r="H5607" s="81">
        <v>9.8241116858639792</v>
      </c>
    </row>
    <row r="5608" spans="1:8" x14ac:dyDescent="0.3">
      <c r="A5608" s="74" t="str">
        <f t="shared" si="87"/>
        <v>湖南46174</v>
      </c>
      <c r="B5608" s="75" t="s">
        <v>33</v>
      </c>
      <c r="C5608" s="45">
        <v>46174</v>
      </c>
      <c r="D5608" s="76">
        <v>1734.69497983871</v>
      </c>
      <c r="E5608" s="77">
        <v>125</v>
      </c>
      <c r="F5608" s="78">
        <v>11.539493559932399</v>
      </c>
      <c r="G5608" s="78">
        <v>11.539493559932399</v>
      </c>
      <c r="H5608" s="81">
        <v>10.6934576304443</v>
      </c>
    </row>
    <row r="5609" spans="1:8" x14ac:dyDescent="0.3">
      <c r="A5609" s="74" t="str">
        <f t="shared" si="87"/>
        <v>湖南46175</v>
      </c>
      <c r="B5609" s="75" t="s">
        <v>33</v>
      </c>
      <c r="C5609" s="45">
        <v>46175</v>
      </c>
      <c r="D5609" s="76">
        <v>1734.69497983871</v>
      </c>
      <c r="E5609" s="77">
        <v>125</v>
      </c>
      <c r="F5609" s="78">
        <v>11.539493559932399</v>
      </c>
      <c r="G5609" s="78">
        <v>11.539493559932399</v>
      </c>
      <c r="H5609" s="81">
        <v>10.6934576304443</v>
      </c>
    </row>
    <row r="5610" spans="1:8" x14ac:dyDescent="0.3">
      <c r="A5610" s="74" t="str">
        <f t="shared" si="87"/>
        <v>湖南46176</v>
      </c>
      <c r="B5610" s="75" t="s">
        <v>33</v>
      </c>
      <c r="C5610" s="45">
        <v>46176</v>
      </c>
      <c r="D5610" s="76">
        <v>1734.69497983871</v>
      </c>
      <c r="E5610" s="77">
        <v>125</v>
      </c>
      <c r="F5610" s="78">
        <v>11.539493559932399</v>
      </c>
      <c r="G5610" s="78">
        <v>11.539493559932399</v>
      </c>
      <c r="H5610" s="81">
        <v>10.6934576304443</v>
      </c>
    </row>
    <row r="5611" spans="1:8" x14ac:dyDescent="0.3">
      <c r="A5611" s="74" t="str">
        <f t="shared" si="87"/>
        <v>湖南46177</v>
      </c>
      <c r="B5611" s="75" t="s">
        <v>33</v>
      </c>
      <c r="C5611" s="45">
        <v>46177</v>
      </c>
      <c r="D5611" s="76">
        <v>1734.69497983871</v>
      </c>
      <c r="E5611" s="77">
        <v>125</v>
      </c>
      <c r="F5611" s="78">
        <v>11.539493559932399</v>
      </c>
      <c r="G5611" s="78">
        <v>11.539493559932399</v>
      </c>
      <c r="H5611" s="81">
        <v>10.6934576304443</v>
      </c>
    </row>
    <row r="5612" spans="1:8" x14ac:dyDescent="0.3">
      <c r="A5612" s="74" t="str">
        <f t="shared" si="87"/>
        <v>湖南46178</v>
      </c>
      <c r="B5612" s="75" t="s">
        <v>33</v>
      </c>
      <c r="C5612" s="45">
        <v>46178</v>
      </c>
      <c r="D5612" s="76">
        <v>1734.69497983871</v>
      </c>
      <c r="E5612" s="77">
        <v>125</v>
      </c>
      <c r="F5612" s="78">
        <v>11.539493559932399</v>
      </c>
      <c r="G5612" s="78">
        <v>11.539493559932399</v>
      </c>
      <c r="H5612" s="81">
        <v>10.6934576304443</v>
      </c>
    </row>
    <row r="5613" spans="1:8" x14ac:dyDescent="0.3">
      <c r="A5613" s="74" t="str">
        <f t="shared" si="87"/>
        <v>湖南46179</v>
      </c>
      <c r="B5613" s="75" t="s">
        <v>33</v>
      </c>
      <c r="C5613" s="45">
        <v>46179</v>
      </c>
      <c r="D5613" s="76">
        <v>1734.69497983871</v>
      </c>
      <c r="E5613" s="77">
        <v>125</v>
      </c>
      <c r="F5613" s="78">
        <v>11.539493559932399</v>
      </c>
      <c r="G5613" s="78">
        <v>11.539493559932399</v>
      </c>
      <c r="H5613" s="81">
        <v>10.6934576304443</v>
      </c>
    </row>
    <row r="5614" spans="1:8" x14ac:dyDescent="0.3">
      <c r="A5614" s="74" t="str">
        <f t="shared" si="87"/>
        <v>湖南46180</v>
      </c>
      <c r="B5614" s="75" t="s">
        <v>33</v>
      </c>
      <c r="C5614" s="45">
        <v>46180</v>
      </c>
      <c r="D5614" s="76">
        <v>1734.69497983871</v>
      </c>
      <c r="E5614" s="77">
        <v>125</v>
      </c>
      <c r="F5614" s="78">
        <v>11.539493559932399</v>
      </c>
      <c r="G5614" s="78">
        <v>11.539493559932399</v>
      </c>
      <c r="H5614" s="81">
        <v>10.6934576304443</v>
      </c>
    </row>
    <row r="5615" spans="1:8" x14ac:dyDescent="0.3">
      <c r="A5615" s="74" t="str">
        <f t="shared" si="87"/>
        <v>湖南46181</v>
      </c>
      <c r="B5615" s="75" t="s">
        <v>33</v>
      </c>
      <c r="C5615" s="45">
        <v>46181</v>
      </c>
      <c r="D5615" s="76">
        <v>1734.69497983871</v>
      </c>
      <c r="E5615" s="77">
        <v>125</v>
      </c>
      <c r="F5615" s="78">
        <v>11.539493559932399</v>
      </c>
      <c r="G5615" s="78">
        <v>11.539493559932399</v>
      </c>
      <c r="H5615" s="81">
        <v>10.6934576304443</v>
      </c>
    </row>
    <row r="5616" spans="1:8" x14ac:dyDescent="0.3">
      <c r="A5616" s="74" t="str">
        <f t="shared" si="87"/>
        <v>湖南46182</v>
      </c>
      <c r="B5616" s="75" t="s">
        <v>33</v>
      </c>
      <c r="C5616" s="45">
        <v>46182</v>
      </c>
      <c r="D5616" s="76">
        <v>1734.69497983871</v>
      </c>
      <c r="E5616" s="77">
        <v>125</v>
      </c>
      <c r="F5616" s="78">
        <v>11.539493559932399</v>
      </c>
      <c r="G5616" s="78">
        <v>11.539493559932399</v>
      </c>
      <c r="H5616" s="81">
        <v>10.6934576304443</v>
      </c>
    </row>
    <row r="5617" spans="1:8" x14ac:dyDescent="0.3">
      <c r="A5617" s="74" t="str">
        <f t="shared" si="87"/>
        <v>湖南46183</v>
      </c>
      <c r="B5617" s="75" t="s">
        <v>33</v>
      </c>
      <c r="C5617" s="45">
        <v>46183</v>
      </c>
      <c r="D5617" s="76">
        <v>1734.69497983871</v>
      </c>
      <c r="E5617" s="77">
        <v>125</v>
      </c>
      <c r="F5617" s="78">
        <v>11.539493559932399</v>
      </c>
      <c r="G5617" s="78">
        <v>11.539493559932399</v>
      </c>
      <c r="H5617" s="81">
        <v>10.6934576304443</v>
      </c>
    </row>
    <row r="5618" spans="1:8" x14ac:dyDescent="0.3">
      <c r="A5618" s="74" t="str">
        <f t="shared" si="87"/>
        <v>湖南46184</v>
      </c>
      <c r="B5618" s="75" t="s">
        <v>33</v>
      </c>
      <c r="C5618" s="45">
        <v>46184</v>
      </c>
      <c r="D5618" s="76">
        <v>1734.69497983871</v>
      </c>
      <c r="E5618" s="77">
        <v>125</v>
      </c>
      <c r="F5618" s="78">
        <v>11.539493559932399</v>
      </c>
      <c r="G5618" s="78">
        <v>11.539493559932399</v>
      </c>
      <c r="H5618" s="81">
        <v>10.6934576304443</v>
      </c>
    </row>
    <row r="5619" spans="1:8" x14ac:dyDescent="0.3">
      <c r="A5619" s="74" t="str">
        <f t="shared" si="87"/>
        <v>湖南46185</v>
      </c>
      <c r="B5619" s="75" t="s">
        <v>33</v>
      </c>
      <c r="C5619" s="45">
        <v>46185</v>
      </c>
      <c r="D5619" s="76">
        <v>1734.69497983871</v>
      </c>
      <c r="E5619" s="77">
        <v>125</v>
      </c>
      <c r="F5619" s="78">
        <v>11.539493559932399</v>
      </c>
      <c r="G5619" s="78">
        <v>11.539493559932399</v>
      </c>
      <c r="H5619" s="81">
        <v>10.6934576304443</v>
      </c>
    </row>
    <row r="5620" spans="1:8" x14ac:dyDescent="0.3">
      <c r="A5620" s="74" t="str">
        <f t="shared" si="87"/>
        <v>湖南46186</v>
      </c>
      <c r="B5620" s="75" t="s">
        <v>33</v>
      </c>
      <c r="C5620" s="45">
        <v>46186</v>
      </c>
      <c r="D5620" s="76">
        <v>1734.69497983871</v>
      </c>
      <c r="E5620" s="77">
        <v>125</v>
      </c>
      <c r="F5620" s="78">
        <v>11.539493559932399</v>
      </c>
      <c r="G5620" s="78">
        <v>11.539493559932399</v>
      </c>
      <c r="H5620" s="81">
        <v>10.6934576304443</v>
      </c>
    </row>
    <row r="5621" spans="1:8" x14ac:dyDescent="0.3">
      <c r="A5621" s="74" t="str">
        <f t="shared" si="87"/>
        <v>湖南46187</v>
      </c>
      <c r="B5621" s="75" t="s">
        <v>33</v>
      </c>
      <c r="C5621" s="45">
        <v>46187</v>
      </c>
      <c r="D5621" s="76">
        <v>1734.69497983871</v>
      </c>
      <c r="E5621" s="77">
        <v>125</v>
      </c>
      <c r="F5621" s="78">
        <v>11.539493559932399</v>
      </c>
      <c r="G5621" s="78">
        <v>11.539493559932399</v>
      </c>
      <c r="H5621" s="81">
        <v>10.6934576304443</v>
      </c>
    </row>
    <row r="5622" spans="1:8" x14ac:dyDescent="0.3">
      <c r="A5622" s="74" t="str">
        <f t="shared" si="87"/>
        <v>湖南46188</v>
      </c>
      <c r="B5622" s="75" t="s">
        <v>33</v>
      </c>
      <c r="C5622" s="45">
        <v>46188</v>
      </c>
      <c r="D5622" s="76">
        <v>1734.69497983871</v>
      </c>
      <c r="E5622" s="77">
        <v>125</v>
      </c>
      <c r="F5622" s="78">
        <v>11.539493559932399</v>
      </c>
      <c r="G5622" s="78">
        <v>11.539493559932399</v>
      </c>
      <c r="H5622" s="81">
        <v>10.6934576304443</v>
      </c>
    </row>
    <row r="5623" spans="1:8" x14ac:dyDescent="0.3">
      <c r="A5623" s="74" t="str">
        <f t="shared" si="87"/>
        <v>湖南46189</v>
      </c>
      <c r="B5623" s="75" t="s">
        <v>33</v>
      </c>
      <c r="C5623" s="45">
        <v>46189</v>
      </c>
      <c r="D5623" s="76">
        <v>1734.69497983871</v>
      </c>
      <c r="E5623" s="77">
        <v>125</v>
      </c>
      <c r="F5623" s="78">
        <v>11.539493559932399</v>
      </c>
      <c r="G5623" s="78">
        <v>11.539493559932399</v>
      </c>
      <c r="H5623" s="81">
        <v>10.6934576304443</v>
      </c>
    </row>
    <row r="5624" spans="1:8" x14ac:dyDescent="0.3">
      <c r="A5624" s="74" t="str">
        <f t="shared" si="87"/>
        <v>湖南46190</v>
      </c>
      <c r="B5624" s="75" t="s">
        <v>33</v>
      </c>
      <c r="C5624" s="45">
        <v>46190</v>
      </c>
      <c r="D5624" s="76">
        <v>1734.69497983871</v>
      </c>
      <c r="E5624" s="77">
        <v>125</v>
      </c>
      <c r="F5624" s="78">
        <v>11.539493559932399</v>
      </c>
      <c r="G5624" s="78">
        <v>11.539493559932399</v>
      </c>
      <c r="H5624" s="81">
        <v>10.6934576304443</v>
      </c>
    </row>
    <row r="5625" spans="1:8" x14ac:dyDescent="0.3">
      <c r="A5625" s="74" t="str">
        <f t="shared" si="87"/>
        <v>湖南46191</v>
      </c>
      <c r="B5625" s="75" t="s">
        <v>33</v>
      </c>
      <c r="C5625" s="45">
        <v>46191</v>
      </c>
      <c r="D5625" s="76">
        <v>1734.69497983871</v>
      </c>
      <c r="E5625" s="77">
        <v>125</v>
      </c>
      <c r="F5625" s="78">
        <v>11.539493559932399</v>
      </c>
      <c r="G5625" s="78">
        <v>11.539493559932399</v>
      </c>
      <c r="H5625" s="81">
        <v>10.6934576304443</v>
      </c>
    </row>
    <row r="5626" spans="1:8" x14ac:dyDescent="0.3">
      <c r="A5626" s="74" t="str">
        <f t="shared" si="87"/>
        <v>湖南46192</v>
      </c>
      <c r="B5626" s="75" t="s">
        <v>33</v>
      </c>
      <c r="C5626" s="45">
        <v>46192</v>
      </c>
      <c r="D5626" s="76">
        <v>1734.69497983871</v>
      </c>
      <c r="E5626" s="77">
        <v>125</v>
      </c>
      <c r="F5626" s="78">
        <v>11.539493559932399</v>
      </c>
      <c r="G5626" s="78">
        <v>11.539493559932399</v>
      </c>
      <c r="H5626" s="81">
        <v>10.6934576304443</v>
      </c>
    </row>
    <row r="5627" spans="1:8" x14ac:dyDescent="0.3">
      <c r="A5627" s="74" t="str">
        <f t="shared" si="87"/>
        <v>湖南46193</v>
      </c>
      <c r="B5627" s="75" t="s">
        <v>33</v>
      </c>
      <c r="C5627" s="45">
        <v>46193</v>
      </c>
      <c r="D5627" s="76">
        <v>1734.69497983871</v>
      </c>
      <c r="E5627" s="77">
        <v>125</v>
      </c>
      <c r="F5627" s="78">
        <v>11.539493559932399</v>
      </c>
      <c r="G5627" s="78">
        <v>11.539493559932399</v>
      </c>
      <c r="H5627" s="81">
        <v>10.6934576304443</v>
      </c>
    </row>
    <row r="5628" spans="1:8" x14ac:dyDescent="0.3">
      <c r="A5628" s="74" t="str">
        <f t="shared" si="87"/>
        <v>湖南46194</v>
      </c>
      <c r="B5628" s="75" t="s">
        <v>33</v>
      </c>
      <c r="C5628" s="45">
        <v>46194</v>
      </c>
      <c r="D5628" s="76">
        <v>1734.69497983871</v>
      </c>
      <c r="E5628" s="77">
        <v>125</v>
      </c>
      <c r="F5628" s="78">
        <v>11.539493559932399</v>
      </c>
      <c r="G5628" s="78">
        <v>11.539493559932399</v>
      </c>
      <c r="H5628" s="81">
        <v>10.6934576304443</v>
      </c>
    </row>
    <row r="5629" spans="1:8" x14ac:dyDescent="0.3">
      <c r="A5629" s="74" t="str">
        <f t="shared" si="87"/>
        <v>湖南46195</v>
      </c>
      <c r="B5629" s="75" t="s">
        <v>33</v>
      </c>
      <c r="C5629" s="45">
        <v>46195</v>
      </c>
      <c r="D5629" s="76">
        <v>1734.69497983871</v>
      </c>
      <c r="E5629" s="77">
        <v>125</v>
      </c>
      <c r="F5629" s="78">
        <v>11.539493559932399</v>
      </c>
      <c r="G5629" s="78">
        <v>11.539493559932399</v>
      </c>
      <c r="H5629" s="81">
        <v>10.6934576304443</v>
      </c>
    </row>
    <row r="5630" spans="1:8" x14ac:dyDescent="0.3">
      <c r="A5630" s="74" t="str">
        <f t="shared" si="87"/>
        <v>湖南46196</v>
      </c>
      <c r="B5630" s="75" t="s">
        <v>33</v>
      </c>
      <c r="C5630" s="45">
        <v>46196</v>
      </c>
      <c r="D5630" s="76">
        <v>1734.69497983871</v>
      </c>
      <c r="E5630" s="77">
        <v>125</v>
      </c>
      <c r="F5630" s="78">
        <v>11.539493559932399</v>
      </c>
      <c r="G5630" s="78">
        <v>11.539493559932399</v>
      </c>
      <c r="H5630" s="81">
        <v>10.6934576304443</v>
      </c>
    </row>
    <row r="5631" spans="1:8" x14ac:dyDescent="0.3">
      <c r="A5631" s="74" t="str">
        <f t="shared" si="87"/>
        <v>湖南46197</v>
      </c>
      <c r="B5631" s="75" t="s">
        <v>33</v>
      </c>
      <c r="C5631" s="45">
        <v>46197</v>
      </c>
      <c r="D5631" s="76">
        <v>1734.69497983871</v>
      </c>
      <c r="E5631" s="77">
        <v>125</v>
      </c>
      <c r="F5631" s="78">
        <v>11.539493559932399</v>
      </c>
      <c r="G5631" s="78">
        <v>11.539493559932399</v>
      </c>
      <c r="H5631" s="81">
        <v>10.6934576304443</v>
      </c>
    </row>
    <row r="5632" spans="1:8" x14ac:dyDescent="0.3">
      <c r="A5632" s="74" t="str">
        <f t="shared" si="87"/>
        <v>湖南46198</v>
      </c>
      <c r="B5632" s="75" t="s">
        <v>33</v>
      </c>
      <c r="C5632" s="45">
        <v>46198</v>
      </c>
      <c r="D5632" s="76">
        <v>1734.69497983871</v>
      </c>
      <c r="E5632" s="77">
        <v>125</v>
      </c>
      <c r="F5632" s="78">
        <v>11.539493559932399</v>
      </c>
      <c r="G5632" s="78">
        <v>11.539493559932399</v>
      </c>
      <c r="H5632" s="81">
        <v>10.6934576304443</v>
      </c>
    </row>
    <row r="5633" spans="1:8" x14ac:dyDescent="0.3">
      <c r="A5633" s="74" t="str">
        <f t="shared" si="87"/>
        <v>湖南46199</v>
      </c>
      <c r="B5633" s="75" t="s">
        <v>33</v>
      </c>
      <c r="C5633" s="45">
        <v>46199</v>
      </c>
      <c r="D5633" s="76">
        <v>1734.69497983871</v>
      </c>
      <c r="E5633" s="77">
        <v>125</v>
      </c>
      <c r="F5633" s="78">
        <v>11.539493559932399</v>
      </c>
      <c r="G5633" s="78">
        <v>11.539493559932399</v>
      </c>
      <c r="H5633" s="81">
        <v>10.6934576304443</v>
      </c>
    </row>
    <row r="5634" spans="1:8" x14ac:dyDescent="0.3">
      <c r="A5634" s="74" t="str">
        <f t="shared" si="87"/>
        <v>湖南46200</v>
      </c>
      <c r="B5634" s="75" t="s">
        <v>33</v>
      </c>
      <c r="C5634" s="45">
        <v>46200</v>
      </c>
      <c r="D5634" s="76">
        <v>1734.69497983871</v>
      </c>
      <c r="E5634" s="77">
        <v>125</v>
      </c>
      <c r="F5634" s="78">
        <v>11.539493559932399</v>
      </c>
      <c r="G5634" s="78">
        <v>11.539493559932399</v>
      </c>
      <c r="H5634" s="81">
        <v>10.6934576304443</v>
      </c>
    </row>
    <row r="5635" spans="1:8" x14ac:dyDescent="0.3">
      <c r="A5635" s="74" t="str">
        <f t="shared" ref="A5635:A5698" si="88">B5635&amp;C5635</f>
        <v>湖南46201</v>
      </c>
      <c r="B5635" s="75" t="s">
        <v>33</v>
      </c>
      <c r="C5635" s="45">
        <v>46201</v>
      </c>
      <c r="D5635" s="76">
        <v>1734.69497983871</v>
      </c>
      <c r="E5635" s="77">
        <v>125</v>
      </c>
      <c r="F5635" s="78">
        <v>11.539493559932399</v>
      </c>
      <c r="G5635" s="78">
        <v>11.539493559932399</v>
      </c>
      <c r="H5635" s="81">
        <v>10.6934576304443</v>
      </c>
    </row>
    <row r="5636" spans="1:8" x14ac:dyDescent="0.3">
      <c r="A5636" s="74" t="str">
        <f t="shared" si="88"/>
        <v>湖南46202</v>
      </c>
      <c r="B5636" s="75" t="s">
        <v>33</v>
      </c>
      <c r="C5636" s="45">
        <v>46202</v>
      </c>
      <c r="D5636" s="76">
        <v>1734.69497983871</v>
      </c>
      <c r="E5636" s="77">
        <v>125</v>
      </c>
      <c r="F5636" s="78">
        <v>11.539493559932399</v>
      </c>
      <c r="G5636" s="78">
        <v>11.539493559932399</v>
      </c>
      <c r="H5636" s="81">
        <v>10.6934576304443</v>
      </c>
    </row>
    <row r="5637" spans="1:8" x14ac:dyDescent="0.3">
      <c r="A5637" s="74" t="str">
        <f t="shared" si="88"/>
        <v>湖南46203</v>
      </c>
      <c r="B5637" s="75" t="s">
        <v>33</v>
      </c>
      <c r="C5637" s="45">
        <v>46203</v>
      </c>
      <c r="D5637" s="76">
        <v>1734.69497983871</v>
      </c>
      <c r="E5637" s="77">
        <v>125</v>
      </c>
      <c r="F5637" s="78">
        <v>11.539493559932399</v>
      </c>
      <c r="G5637" s="78">
        <v>11.539493559932399</v>
      </c>
      <c r="H5637" s="81">
        <v>10.6934576304443</v>
      </c>
    </row>
    <row r="5638" spans="1:8" x14ac:dyDescent="0.3">
      <c r="A5638" s="74" t="str">
        <f t="shared" si="88"/>
        <v>湖南46204</v>
      </c>
      <c r="B5638" s="75" t="s">
        <v>33</v>
      </c>
      <c r="C5638" s="45">
        <v>46204</v>
      </c>
      <c r="D5638" s="76">
        <v>1367.0133168085599</v>
      </c>
      <c r="E5638" s="77">
        <v>125</v>
      </c>
      <c r="F5638" s="78">
        <v>12.0230362528843</v>
      </c>
      <c r="G5638" s="78">
        <v>12.0230362528843</v>
      </c>
      <c r="H5638" s="81">
        <v>11.562803575024599</v>
      </c>
    </row>
    <row r="5639" spans="1:8" x14ac:dyDescent="0.3">
      <c r="A5639" s="74" t="str">
        <f t="shared" si="88"/>
        <v>湖南46205</v>
      </c>
      <c r="B5639" s="75" t="s">
        <v>33</v>
      </c>
      <c r="C5639" s="45">
        <v>46205</v>
      </c>
      <c r="D5639" s="76">
        <v>1367.0133168085599</v>
      </c>
      <c r="E5639" s="77">
        <v>125</v>
      </c>
      <c r="F5639" s="78">
        <v>12.0230362528843</v>
      </c>
      <c r="G5639" s="78">
        <v>12.0230362528843</v>
      </c>
      <c r="H5639" s="81">
        <v>11.562803575024599</v>
      </c>
    </row>
    <row r="5640" spans="1:8" x14ac:dyDescent="0.3">
      <c r="A5640" s="74" t="str">
        <f t="shared" si="88"/>
        <v>湖南46206</v>
      </c>
      <c r="B5640" s="75" t="s">
        <v>33</v>
      </c>
      <c r="C5640" s="45">
        <v>46206</v>
      </c>
      <c r="D5640" s="76">
        <v>1367.0133168085599</v>
      </c>
      <c r="E5640" s="77">
        <v>125</v>
      </c>
      <c r="F5640" s="78">
        <v>12.0230362528843</v>
      </c>
      <c r="G5640" s="78">
        <v>12.0230362528843</v>
      </c>
      <c r="H5640" s="81">
        <v>11.562803575024599</v>
      </c>
    </row>
    <row r="5641" spans="1:8" x14ac:dyDescent="0.3">
      <c r="A5641" s="74" t="str">
        <f t="shared" si="88"/>
        <v>湖南46207</v>
      </c>
      <c r="B5641" s="75" t="s">
        <v>33</v>
      </c>
      <c r="C5641" s="45">
        <v>46207</v>
      </c>
      <c r="D5641" s="76">
        <v>1367.0133168085599</v>
      </c>
      <c r="E5641" s="77">
        <v>125</v>
      </c>
      <c r="F5641" s="78">
        <v>12.0230362528843</v>
      </c>
      <c r="G5641" s="78">
        <v>12.0230362528843</v>
      </c>
      <c r="H5641" s="81">
        <v>11.562803575024599</v>
      </c>
    </row>
    <row r="5642" spans="1:8" x14ac:dyDescent="0.3">
      <c r="A5642" s="74" t="str">
        <f t="shared" si="88"/>
        <v>湖南46208</v>
      </c>
      <c r="B5642" s="75" t="s">
        <v>33</v>
      </c>
      <c r="C5642" s="45">
        <v>46208</v>
      </c>
      <c r="D5642" s="76">
        <v>1367.0133168085599</v>
      </c>
      <c r="E5642" s="77">
        <v>125</v>
      </c>
      <c r="F5642" s="78">
        <v>12.0230362528843</v>
      </c>
      <c r="G5642" s="78">
        <v>12.0230362528843</v>
      </c>
      <c r="H5642" s="81">
        <v>11.562803575024599</v>
      </c>
    </row>
    <row r="5643" spans="1:8" x14ac:dyDescent="0.3">
      <c r="A5643" s="74" t="str">
        <f t="shared" si="88"/>
        <v>湖南46209</v>
      </c>
      <c r="B5643" s="75" t="s">
        <v>33</v>
      </c>
      <c r="C5643" s="45">
        <v>46209</v>
      </c>
      <c r="D5643" s="76">
        <v>1367.0133168085599</v>
      </c>
      <c r="E5643" s="77">
        <v>125</v>
      </c>
      <c r="F5643" s="78">
        <v>12.0230362528843</v>
      </c>
      <c r="G5643" s="78">
        <v>12.0230362528843</v>
      </c>
      <c r="H5643" s="81">
        <v>11.562803575024599</v>
      </c>
    </row>
    <row r="5644" spans="1:8" x14ac:dyDescent="0.3">
      <c r="A5644" s="74" t="str">
        <f t="shared" si="88"/>
        <v>湖南46210</v>
      </c>
      <c r="B5644" s="75" t="s">
        <v>33</v>
      </c>
      <c r="C5644" s="45">
        <v>46210</v>
      </c>
      <c r="D5644" s="76">
        <v>1367.0133168085599</v>
      </c>
      <c r="E5644" s="77">
        <v>125</v>
      </c>
      <c r="F5644" s="78">
        <v>12.0230362528843</v>
      </c>
      <c r="G5644" s="78">
        <v>12.0230362528843</v>
      </c>
      <c r="H5644" s="81">
        <v>11.562803575024599</v>
      </c>
    </row>
    <row r="5645" spans="1:8" x14ac:dyDescent="0.3">
      <c r="A5645" s="74" t="str">
        <f t="shared" si="88"/>
        <v>湖南46211</v>
      </c>
      <c r="B5645" s="75" t="s">
        <v>33</v>
      </c>
      <c r="C5645" s="45">
        <v>46211</v>
      </c>
      <c r="D5645" s="76">
        <v>1367.0133168085599</v>
      </c>
      <c r="E5645" s="77">
        <v>125</v>
      </c>
      <c r="F5645" s="78">
        <v>12.0230362528843</v>
      </c>
      <c r="G5645" s="78">
        <v>12.0230362528843</v>
      </c>
      <c r="H5645" s="81">
        <v>11.562803575024599</v>
      </c>
    </row>
    <row r="5646" spans="1:8" x14ac:dyDescent="0.3">
      <c r="A5646" s="74" t="str">
        <f t="shared" si="88"/>
        <v>湖南46212</v>
      </c>
      <c r="B5646" s="75" t="s">
        <v>33</v>
      </c>
      <c r="C5646" s="45">
        <v>46212</v>
      </c>
      <c r="D5646" s="76">
        <v>1367.0133168085599</v>
      </c>
      <c r="E5646" s="77">
        <v>125</v>
      </c>
      <c r="F5646" s="78">
        <v>12.0230362528843</v>
      </c>
      <c r="G5646" s="78">
        <v>12.0230362528843</v>
      </c>
      <c r="H5646" s="81">
        <v>11.562803575024599</v>
      </c>
    </row>
    <row r="5647" spans="1:8" x14ac:dyDescent="0.3">
      <c r="A5647" s="74" t="str">
        <f t="shared" si="88"/>
        <v>湖南46213</v>
      </c>
      <c r="B5647" s="75" t="s">
        <v>33</v>
      </c>
      <c r="C5647" s="45">
        <v>46213</v>
      </c>
      <c r="D5647" s="76">
        <v>1367.0133168085599</v>
      </c>
      <c r="E5647" s="77">
        <v>125</v>
      </c>
      <c r="F5647" s="78">
        <v>12.0230362528843</v>
      </c>
      <c r="G5647" s="78">
        <v>12.0230362528843</v>
      </c>
      <c r="H5647" s="81">
        <v>11.562803575024599</v>
      </c>
    </row>
    <row r="5648" spans="1:8" x14ac:dyDescent="0.3">
      <c r="A5648" s="74" t="str">
        <f t="shared" si="88"/>
        <v>湖南46214</v>
      </c>
      <c r="B5648" s="75" t="s">
        <v>33</v>
      </c>
      <c r="C5648" s="45">
        <v>46214</v>
      </c>
      <c r="D5648" s="76">
        <v>1367.0133168085599</v>
      </c>
      <c r="E5648" s="77">
        <v>125</v>
      </c>
      <c r="F5648" s="78">
        <v>12.0230362528843</v>
      </c>
      <c r="G5648" s="78">
        <v>12.0230362528843</v>
      </c>
      <c r="H5648" s="81">
        <v>11.562803575024599</v>
      </c>
    </row>
    <row r="5649" spans="1:8" x14ac:dyDescent="0.3">
      <c r="A5649" s="74" t="str">
        <f t="shared" si="88"/>
        <v>湖南46215</v>
      </c>
      <c r="B5649" s="75" t="s">
        <v>33</v>
      </c>
      <c r="C5649" s="45">
        <v>46215</v>
      </c>
      <c r="D5649" s="76">
        <v>1367.0133168085599</v>
      </c>
      <c r="E5649" s="77">
        <v>125</v>
      </c>
      <c r="F5649" s="78">
        <v>12.0230362528843</v>
      </c>
      <c r="G5649" s="78">
        <v>12.0230362528843</v>
      </c>
      <c r="H5649" s="81">
        <v>11.562803575024599</v>
      </c>
    </row>
    <row r="5650" spans="1:8" x14ac:dyDescent="0.3">
      <c r="A5650" s="74" t="str">
        <f t="shared" si="88"/>
        <v>湖南46216</v>
      </c>
      <c r="B5650" s="75" t="s">
        <v>33</v>
      </c>
      <c r="C5650" s="45">
        <v>46216</v>
      </c>
      <c r="D5650" s="76">
        <v>1367.0133168085599</v>
      </c>
      <c r="E5650" s="77">
        <v>125</v>
      </c>
      <c r="F5650" s="78">
        <v>12.0230362528843</v>
      </c>
      <c r="G5650" s="78">
        <v>12.0230362528843</v>
      </c>
      <c r="H5650" s="81">
        <v>11.562803575024599</v>
      </c>
    </row>
    <row r="5651" spans="1:8" x14ac:dyDescent="0.3">
      <c r="A5651" s="74" t="str">
        <f t="shared" si="88"/>
        <v>湖南46217</v>
      </c>
      <c r="B5651" s="75" t="s">
        <v>33</v>
      </c>
      <c r="C5651" s="45">
        <v>46217</v>
      </c>
      <c r="D5651" s="76">
        <v>1367.0133168085599</v>
      </c>
      <c r="E5651" s="77">
        <v>125</v>
      </c>
      <c r="F5651" s="78">
        <v>12.0230362528843</v>
      </c>
      <c r="G5651" s="78">
        <v>12.0230362528843</v>
      </c>
      <c r="H5651" s="81">
        <v>11.562803575024599</v>
      </c>
    </row>
    <row r="5652" spans="1:8" x14ac:dyDescent="0.3">
      <c r="A5652" s="74" t="str">
        <f t="shared" si="88"/>
        <v>湖南46218</v>
      </c>
      <c r="B5652" s="75" t="s">
        <v>33</v>
      </c>
      <c r="C5652" s="45">
        <v>46218</v>
      </c>
      <c r="D5652" s="76">
        <v>1367.0133168085599</v>
      </c>
      <c r="E5652" s="77">
        <v>125</v>
      </c>
      <c r="F5652" s="78">
        <v>12.0230362528843</v>
      </c>
      <c r="G5652" s="78">
        <v>12.0230362528843</v>
      </c>
      <c r="H5652" s="81">
        <v>11.562803575024599</v>
      </c>
    </row>
    <row r="5653" spans="1:8" x14ac:dyDescent="0.3">
      <c r="A5653" s="74" t="str">
        <f t="shared" si="88"/>
        <v>湖南46219</v>
      </c>
      <c r="B5653" s="75" t="s">
        <v>33</v>
      </c>
      <c r="C5653" s="45">
        <v>46219</v>
      </c>
      <c r="D5653" s="76">
        <v>1367.0133168085599</v>
      </c>
      <c r="E5653" s="77">
        <v>125</v>
      </c>
      <c r="F5653" s="78">
        <v>12.0230362528843</v>
      </c>
      <c r="G5653" s="78">
        <v>12.0230362528843</v>
      </c>
      <c r="H5653" s="81">
        <v>11.562803575024599</v>
      </c>
    </row>
    <row r="5654" spans="1:8" x14ac:dyDescent="0.3">
      <c r="A5654" s="74" t="str">
        <f t="shared" si="88"/>
        <v>湖南46220</v>
      </c>
      <c r="B5654" s="75" t="s">
        <v>33</v>
      </c>
      <c r="C5654" s="45">
        <v>46220</v>
      </c>
      <c r="D5654" s="76">
        <v>1367.0133168085599</v>
      </c>
      <c r="E5654" s="77">
        <v>125</v>
      </c>
      <c r="F5654" s="78">
        <v>12.0230362528843</v>
      </c>
      <c r="G5654" s="78">
        <v>12.0230362528843</v>
      </c>
      <c r="H5654" s="81">
        <v>11.562803575024599</v>
      </c>
    </row>
    <row r="5655" spans="1:8" x14ac:dyDescent="0.3">
      <c r="A5655" s="74" t="str">
        <f t="shared" si="88"/>
        <v>湖南46221</v>
      </c>
      <c r="B5655" s="75" t="s">
        <v>33</v>
      </c>
      <c r="C5655" s="45">
        <v>46221</v>
      </c>
      <c r="D5655" s="76">
        <v>1367.0133168085599</v>
      </c>
      <c r="E5655" s="77">
        <v>125</v>
      </c>
      <c r="F5655" s="78">
        <v>12.0230362528843</v>
      </c>
      <c r="G5655" s="78">
        <v>12.0230362528843</v>
      </c>
      <c r="H5655" s="81">
        <v>11.562803575024599</v>
      </c>
    </row>
    <row r="5656" spans="1:8" x14ac:dyDescent="0.3">
      <c r="A5656" s="74" t="str">
        <f t="shared" si="88"/>
        <v>湖南46222</v>
      </c>
      <c r="B5656" s="75" t="s">
        <v>33</v>
      </c>
      <c r="C5656" s="45">
        <v>46222</v>
      </c>
      <c r="D5656" s="76">
        <v>1367.0133168085599</v>
      </c>
      <c r="E5656" s="77">
        <v>125</v>
      </c>
      <c r="F5656" s="78">
        <v>12.0230362528843</v>
      </c>
      <c r="G5656" s="78">
        <v>12.0230362528843</v>
      </c>
      <c r="H5656" s="81">
        <v>11.562803575024599</v>
      </c>
    </row>
    <row r="5657" spans="1:8" x14ac:dyDescent="0.3">
      <c r="A5657" s="74" t="str">
        <f t="shared" si="88"/>
        <v>湖南46223</v>
      </c>
      <c r="B5657" s="75" t="s">
        <v>33</v>
      </c>
      <c r="C5657" s="45">
        <v>46223</v>
      </c>
      <c r="D5657" s="76">
        <v>1367.0133168085599</v>
      </c>
      <c r="E5657" s="77">
        <v>125</v>
      </c>
      <c r="F5657" s="78">
        <v>12.0230362528843</v>
      </c>
      <c r="G5657" s="78">
        <v>12.0230362528843</v>
      </c>
      <c r="H5657" s="81">
        <v>11.562803575024599</v>
      </c>
    </row>
    <row r="5658" spans="1:8" x14ac:dyDescent="0.3">
      <c r="A5658" s="74" t="str">
        <f t="shared" si="88"/>
        <v>湖南46224</v>
      </c>
      <c r="B5658" s="75" t="s">
        <v>33</v>
      </c>
      <c r="C5658" s="45">
        <v>46224</v>
      </c>
      <c r="D5658" s="76">
        <v>1367.0133168085599</v>
      </c>
      <c r="E5658" s="77">
        <v>125</v>
      </c>
      <c r="F5658" s="78">
        <v>12.0230362528843</v>
      </c>
      <c r="G5658" s="78">
        <v>12.0230362528843</v>
      </c>
      <c r="H5658" s="81">
        <v>11.562803575024599</v>
      </c>
    </row>
    <row r="5659" spans="1:8" x14ac:dyDescent="0.3">
      <c r="A5659" s="74" t="str">
        <f t="shared" si="88"/>
        <v>湖南46225</v>
      </c>
      <c r="B5659" s="75" t="s">
        <v>33</v>
      </c>
      <c r="C5659" s="45">
        <v>46225</v>
      </c>
      <c r="D5659" s="76">
        <v>1367.0133168085599</v>
      </c>
      <c r="E5659" s="77">
        <v>125</v>
      </c>
      <c r="F5659" s="78">
        <v>12.0230362528843</v>
      </c>
      <c r="G5659" s="78">
        <v>12.0230362528843</v>
      </c>
      <c r="H5659" s="81">
        <v>11.562803575024599</v>
      </c>
    </row>
    <row r="5660" spans="1:8" x14ac:dyDescent="0.3">
      <c r="A5660" s="74" t="str">
        <f t="shared" si="88"/>
        <v>湖南46226</v>
      </c>
      <c r="B5660" s="75" t="s">
        <v>33</v>
      </c>
      <c r="C5660" s="45">
        <v>46226</v>
      </c>
      <c r="D5660" s="76">
        <v>1367.0133168085599</v>
      </c>
      <c r="E5660" s="77">
        <v>125</v>
      </c>
      <c r="F5660" s="78">
        <v>12.0230362528843</v>
      </c>
      <c r="G5660" s="78">
        <v>12.0230362528843</v>
      </c>
      <c r="H5660" s="81">
        <v>11.562803575024599</v>
      </c>
    </row>
    <row r="5661" spans="1:8" x14ac:dyDescent="0.3">
      <c r="A5661" s="74" t="str">
        <f t="shared" si="88"/>
        <v>湖南46227</v>
      </c>
      <c r="B5661" s="75" t="s">
        <v>33</v>
      </c>
      <c r="C5661" s="45">
        <v>46227</v>
      </c>
      <c r="D5661" s="76">
        <v>1367.0133168085599</v>
      </c>
      <c r="E5661" s="77">
        <v>125</v>
      </c>
      <c r="F5661" s="78">
        <v>12.0230362528843</v>
      </c>
      <c r="G5661" s="78">
        <v>12.0230362528843</v>
      </c>
      <c r="H5661" s="81">
        <v>11.562803575024599</v>
      </c>
    </row>
    <row r="5662" spans="1:8" x14ac:dyDescent="0.3">
      <c r="A5662" s="74" t="str">
        <f t="shared" si="88"/>
        <v>湖南46228</v>
      </c>
      <c r="B5662" s="75" t="s">
        <v>33</v>
      </c>
      <c r="C5662" s="45">
        <v>46228</v>
      </c>
      <c r="D5662" s="76">
        <v>1367.0133168085599</v>
      </c>
      <c r="E5662" s="77">
        <v>125</v>
      </c>
      <c r="F5662" s="78">
        <v>12.0230362528843</v>
      </c>
      <c r="G5662" s="78">
        <v>12.0230362528843</v>
      </c>
      <c r="H5662" s="81">
        <v>11.562803575024599</v>
      </c>
    </row>
    <row r="5663" spans="1:8" x14ac:dyDescent="0.3">
      <c r="A5663" s="74" t="str">
        <f t="shared" si="88"/>
        <v>湖南46229</v>
      </c>
      <c r="B5663" s="75" t="s">
        <v>33</v>
      </c>
      <c r="C5663" s="45">
        <v>46229</v>
      </c>
      <c r="D5663" s="76">
        <v>1367.0133168085599</v>
      </c>
      <c r="E5663" s="77">
        <v>125</v>
      </c>
      <c r="F5663" s="78">
        <v>12.0230362528843</v>
      </c>
      <c r="G5663" s="78">
        <v>12.0230362528843</v>
      </c>
      <c r="H5663" s="81">
        <v>11.562803575024599</v>
      </c>
    </row>
    <row r="5664" spans="1:8" x14ac:dyDescent="0.3">
      <c r="A5664" s="74" t="str">
        <f t="shared" si="88"/>
        <v>湖南46230</v>
      </c>
      <c r="B5664" s="75" t="s">
        <v>33</v>
      </c>
      <c r="C5664" s="45">
        <v>46230</v>
      </c>
      <c r="D5664" s="76">
        <v>1367.0133168085599</v>
      </c>
      <c r="E5664" s="77">
        <v>125</v>
      </c>
      <c r="F5664" s="78">
        <v>12.0230362528843</v>
      </c>
      <c r="G5664" s="78">
        <v>12.0230362528843</v>
      </c>
      <c r="H5664" s="81">
        <v>11.562803575024599</v>
      </c>
    </row>
    <row r="5665" spans="1:8" x14ac:dyDescent="0.3">
      <c r="A5665" s="74" t="str">
        <f t="shared" si="88"/>
        <v>湖南46231</v>
      </c>
      <c r="B5665" s="75" t="s">
        <v>33</v>
      </c>
      <c r="C5665" s="45">
        <v>46231</v>
      </c>
      <c r="D5665" s="76">
        <v>1367.0133168085599</v>
      </c>
      <c r="E5665" s="77">
        <v>125</v>
      </c>
      <c r="F5665" s="78">
        <v>12.0230362528843</v>
      </c>
      <c r="G5665" s="78">
        <v>12.0230362528843</v>
      </c>
      <c r="H5665" s="81">
        <v>11.562803575024599</v>
      </c>
    </row>
    <row r="5666" spans="1:8" x14ac:dyDescent="0.3">
      <c r="A5666" s="74" t="str">
        <f t="shared" si="88"/>
        <v>湖南46232</v>
      </c>
      <c r="B5666" s="75" t="s">
        <v>33</v>
      </c>
      <c r="C5666" s="45">
        <v>46232</v>
      </c>
      <c r="D5666" s="76">
        <v>1367.0133168085599</v>
      </c>
      <c r="E5666" s="77">
        <v>125</v>
      </c>
      <c r="F5666" s="78">
        <v>12.0230362528843</v>
      </c>
      <c r="G5666" s="78">
        <v>12.0230362528843</v>
      </c>
      <c r="H5666" s="81">
        <v>11.562803575024599</v>
      </c>
    </row>
    <row r="5667" spans="1:8" x14ac:dyDescent="0.3">
      <c r="A5667" s="74" t="str">
        <f t="shared" si="88"/>
        <v>湖南46233</v>
      </c>
      <c r="B5667" s="75" t="s">
        <v>33</v>
      </c>
      <c r="C5667" s="45">
        <v>46233</v>
      </c>
      <c r="D5667" s="76">
        <v>1367.0133168085599</v>
      </c>
      <c r="E5667" s="77">
        <v>125</v>
      </c>
      <c r="F5667" s="78">
        <v>12.0230362528843</v>
      </c>
      <c r="G5667" s="78">
        <v>12.0230362528843</v>
      </c>
      <c r="H5667" s="81">
        <v>11.562803575024599</v>
      </c>
    </row>
    <row r="5668" spans="1:8" x14ac:dyDescent="0.3">
      <c r="A5668" s="74" t="str">
        <f t="shared" si="88"/>
        <v>湖南46234</v>
      </c>
      <c r="B5668" s="75" t="s">
        <v>33</v>
      </c>
      <c r="C5668" s="45">
        <v>46234</v>
      </c>
      <c r="D5668" s="76">
        <v>1367.0133168085599</v>
      </c>
      <c r="E5668" s="77">
        <v>125</v>
      </c>
      <c r="F5668" s="78">
        <v>12.0230362528843</v>
      </c>
      <c r="G5668" s="78">
        <v>12.0230362528843</v>
      </c>
      <c r="H5668" s="81">
        <v>11.562803575024599</v>
      </c>
    </row>
    <row r="5669" spans="1:8" x14ac:dyDescent="0.3">
      <c r="A5669" s="74" t="str">
        <f t="shared" si="88"/>
        <v>湖南46235</v>
      </c>
      <c r="B5669" s="75" t="s">
        <v>33</v>
      </c>
      <c r="C5669" s="45">
        <v>46235</v>
      </c>
      <c r="D5669" s="76">
        <v>1452.0384928523399</v>
      </c>
      <c r="E5669" s="77">
        <v>125</v>
      </c>
      <c r="F5669" s="78">
        <v>12.1294503110344</v>
      </c>
      <c r="G5669" s="78">
        <v>12.1294503110344</v>
      </c>
      <c r="H5669" s="81">
        <v>12.1004915291869</v>
      </c>
    </row>
    <row r="5670" spans="1:8" x14ac:dyDescent="0.3">
      <c r="A5670" s="74" t="str">
        <f t="shared" si="88"/>
        <v>湖南46236</v>
      </c>
      <c r="B5670" s="75" t="s">
        <v>33</v>
      </c>
      <c r="C5670" s="45">
        <v>46236</v>
      </c>
      <c r="D5670" s="76">
        <v>1452.0384928523399</v>
      </c>
      <c r="E5670" s="77">
        <v>125</v>
      </c>
      <c r="F5670" s="78">
        <v>12.1294503110344</v>
      </c>
      <c r="G5670" s="78">
        <v>12.1294503110344</v>
      </c>
      <c r="H5670" s="81">
        <v>12.1004915291869</v>
      </c>
    </row>
    <row r="5671" spans="1:8" x14ac:dyDescent="0.3">
      <c r="A5671" s="74" t="str">
        <f t="shared" si="88"/>
        <v>湖南46237</v>
      </c>
      <c r="B5671" s="75" t="s">
        <v>33</v>
      </c>
      <c r="C5671" s="45">
        <v>46237</v>
      </c>
      <c r="D5671" s="76">
        <v>1452.0384928523399</v>
      </c>
      <c r="E5671" s="77">
        <v>125</v>
      </c>
      <c r="F5671" s="78">
        <v>12.1294503110344</v>
      </c>
      <c r="G5671" s="78">
        <v>12.1294503110344</v>
      </c>
      <c r="H5671" s="81">
        <v>12.1004915291869</v>
      </c>
    </row>
    <row r="5672" spans="1:8" x14ac:dyDescent="0.3">
      <c r="A5672" s="74" t="str">
        <f t="shared" si="88"/>
        <v>湖南46238</v>
      </c>
      <c r="B5672" s="75" t="s">
        <v>33</v>
      </c>
      <c r="C5672" s="45">
        <v>46238</v>
      </c>
      <c r="D5672" s="76">
        <v>1452.0384928523399</v>
      </c>
      <c r="E5672" s="77">
        <v>125</v>
      </c>
      <c r="F5672" s="78">
        <v>12.1294503110344</v>
      </c>
      <c r="G5672" s="78">
        <v>12.1294503110344</v>
      </c>
      <c r="H5672" s="81">
        <v>12.1004915291869</v>
      </c>
    </row>
    <row r="5673" spans="1:8" x14ac:dyDescent="0.3">
      <c r="A5673" s="74" t="str">
        <f t="shared" si="88"/>
        <v>湖南46239</v>
      </c>
      <c r="B5673" s="75" t="s">
        <v>33</v>
      </c>
      <c r="C5673" s="45">
        <v>46239</v>
      </c>
      <c r="D5673" s="76">
        <v>1452.0384928523399</v>
      </c>
      <c r="E5673" s="77">
        <v>125</v>
      </c>
      <c r="F5673" s="78">
        <v>12.1294503110344</v>
      </c>
      <c r="G5673" s="78">
        <v>12.1294503110344</v>
      </c>
      <c r="H5673" s="81">
        <v>12.1004915291869</v>
      </c>
    </row>
    <row r="5674" spans="1:8" x14ac:dyDescent="0.3">
      <c r="A5674" s="74" t="str">
        <f t="shared" si="88"/>
        <v>湖南46240</v>
      </c>
      <c r="B5674" s="75" t="s">
        <v>33</v>
      </c>
      <c r="C5674" s="45">
        <v>46240</v>
      </c>
      <c r="D5674" s="76">
        <v>1452.0384928523399</v>
      </c>
      <c r="E5674" s="77">
        <v>125</v>
      </c>
      <c r="F5674" s="78">
        <v>12.1294503110344</v>
      </c>
      <c r="G5674" s="78">
        <v>12.1294503110344</v>
      </c>
      <c r="H5674" s="81">
        <v>12.1004915291869</v>
      </c>
    </row>
    <row r="5675" spans="1:8" x14ac:dyDescent="0.3">
      <c r="A5675" s="74" t="str">
        <f t="shared" si="88"/>
        <v>湖南46241</v>
      </c>
      <c r="B5675" s="75" t="s">
        <v>33</v>
      </c>
      <c r="C5675" s="45">
        <v>46241</v>
      </c>
      <c r="D5675" s="76">
        <v>1452.0384928523399</v>
      </c>
      <c r="E5675" s="77">
        <v>125</v>
      </c>
      <c r="F5675" s="78">
        <v>12.1294503110344</v>
      </c>
      <c r="G5675" s="78">
        <v>12.1294503110344</v>
      </c>
      <c r="H5675" s="81">
        <v>12.1004915291869</v>
      </c>
    </row>
    <row r="5676" spans="1:8" x14ac:dyDescent="0.3">
      <c r="A5676" s="74" t="str">
        <f t="shared" si="88"/>
        <v>湖南46242</v>
      </c>
      <c r="B5676" s="75" t="s">
        <v>33</v>
      </c>
      <c r="C5676" s="45">
        <v>46242</v>
      </c>
      <c r="D5676" s="76">
        <v>1452.0384928523399</v>
      </c>
      <c r="E5676" s="77">
        <v>125</v>
      </c>
      <c r="F5676" s="78">
        <v>12.1294503110344</v>
      </c>
      <c r="G5676" s="78">
        <v>12.1294503110344</v>
      </c>
      <c r="H5676" s="81">
        <v>12.1004915291869</v>
      </c>
    </row>
    <row r="5677" spans="1:8" x14ac:dyDescent="0.3">
      <c r="A5677" s="74" t="str">
        <f t="shared" si="88"/>
        <v>湖南46243</v>
      </c>
      <c r="B5677" s="75" t="s">
        <v>33</v>
      </c>
      <c r="C5677" s="45">
        <v>46243</v>
      </c>
      <c r="D5677" s="76">
        <v>1452.0384928523399</v>
      </c>
      <c r="E5677" s="77">
        <v>125</v>
      </c>
      <c r="F5677" s="78">
        <v>12.1294503110344</v>
      </c>
      <c r="G5677" s="78">
        <v>12.1294503110344</v>
      </c>
      <c r="H5677" s="81">
        <v>12.1004915291869</v>
      </c>
    </row>
    <row r="5678" spans="1:8" x14ac:dyDescent="0.3">
      <c r="A5678" s="74" t="str">
        <f t="shared" si="88"/>
        <v>湖南46244</v>
      </c>
      <c r="B5678" s="75" t="s">
        <v>33</v>
      </c>
      <c r="C5678" s="45">
        <v>46244</v>
      </c>
      <c r="D5678" s="76">
        <v>1452.0384928523399</v>
      </c>
      <c r="E5678" s="77">
        <v>125</v>
      </c>
      <c r="F5678" s="78">
        <v>12.1294503110344</v>
      </c>
      <c r="G5678" s="78">
        <v>12.1294503110344</v>
      </c>
      <c r="H5678" s="81">
        <v>12.1004915291869</v>
      </c>
    </row>
    <row r="5679" spans="1:8" x14ac:dyDescent="0.3">
      <c r="A5679" s="74" t="str">
        <f t="shared" si="88"/>
        <v>湖南46245</v>
      </c>
      <c r="B5679" s="75" t="s">
        <v>33</v>
      </c>
      <c r="C5679" s="45">
        <v>46245</v>
      </c>
      <c r="D5679" s="76">
        <v>1452.0384928523399</v>
      </c>
      <c r="E5679" s="77">
        <v>125</v>
      </c>
      <c r="F5679" s="78">
        <v>12.1294503110344</v>
      </c>
      <c r="G5679" s="78">
        <v>12.1294503110344</v>
      </c>
      <c r="H5679" s="81">
        <v>12.1004915291869</v>
      </c>
    </row>
    <row r="5680" spans="1:8" x14ac:dyDescent="0.3">
      <c r="A5680" s="74" t="str">
        <f t="shared" si="88"/>
        <v>湖南46246</v>
      </c>
      <c r="B5680" s="75" t="s">
        <v>33</v>
      </c>
      <c r="C5680" s="45">
        <v>46246</v>
      </c>
      <c r="D5680" s="76">
        <v>1452.0384928523399</v>
      </c>
      <c r="E5680" s="77">
        <v>125</v>
      </c>
      <c r="F5680" s="78">
        <v>12.1294503110344</v>
      </c>
      <c r="G5680" s="78">
        <v>12.1294503110344</v>
      </c>
      <c r="H5680" s="81">
        <v>12.1004915291869</v>
      </c>
    </row>
    <row r="5681" spans="1:8" x14ac:dyDescent="0.3">
      <c r="A5681" s="74" t="str">
        <f t="shared" si="88"/>
        <v>湖南46247</v>
      </c>
      <c r="B5681" s="75" t="s">
        <v>33</v>
      </c>
      <c r="C5681" s="45">
        <v>46247</v>
      </c>
      <c r="D5681" s="76">
        <v>1452.0384928523399</v>
      </c>
      <c r="E5681" s="77">
        <v>125</v>
      </c>
      <c r="F5681" s="78">
        <v>12.1294503110344</v>
      </c>
      <c r="G5681" s="78">
        <v>12.1294503110344</v>
      </c>
      <c r="H5681" s="81">
        <v>12.1004915291869</v>
      </c>
    </row>
    <row r="5682" spans="1:8" x14ac:dyDescent="0.3">
      <c r="A5682" s="74" t="str">
        <f t="shared" si="88"/>
        <v>湖南46248</v>
      </c>
      <c r="B5682" s="75" t="s">
        <v>33</v>
      </c>
      <c r="C5682" s="45">
        <v>46248</v>
      </c>
      <c r="D5682" s="76">
        <v>1452.0384928523399</v>
      </c>
      <c r="E5682" s="77">
        <v>125</v>
      </c>
      <c r="F5682" s="78">
        <v>12.1294503110344</v>
      </c>
      <c r="G5682" s="78">
        <v>12.1294503110344</v>
      </c>
      <c r="H5682" s="81">
        <v>12.1004915291869</v>
      </c>
    </row>
    <row r="5683" spans="1:8" x14ac:dyDescent="0.3">
      <c r="A5683" s="74" t="str">
        <f t="shared" si="88"/>
        <v>湖南46249</v>
      </c>
      <c r="B5683" s="75" t="s">
        <v>33</v>
      </c>
      <c r="C5683" s="45">
        <v>46249</v>
      </c>
      <c r="D5683" s="76">
        <v>1452.0384928523399</v>
      </c>
      <c r="E5683" s="77">
        <v>125</v>
      </c>
      <c r="F5683" s="78">
        <v>12.1294503110344</v>
      </c>
      <c r="G5683" s="78">
        <v>12.1294503110344</v>
      </c>
      <c r="H5683" s="81">
        <v>12.1004915291869</v>
      </c>
    </row>
    <row r="5684" spans="1:8" x14ac:dyDescent="0.3">
      <c r="A5684" s="74" t="str">
        <f t="shared" si="88"/>
        <v>湖南46250</v>
      </c>
      <c r="B5684" s="75" t="s">
        <v>33</v>
      </c>
      <c r="C5684" s="45">
        <v>46250</v>
      </c>
      <c r="D5684" s="76">
        <v>1452.0384928523399</v>
      </c>
      <c r="E5684" s="77">
        <v>125</v>
      </c>
      <c r="F5684" s="78">
        <v>12.1294503110344</v>
      </c>
      <c r="G5684" s="78">
        <v>12.1294503110344</v>
      </c>
      <c r="H5684" s="81">
        <v>12.1004915291869</v>
      </c>
    </row>
    <row r="5685" spans="1:8" x14ac:dyDescent="0.3">
      <c r="A5685" s="74" t="str">
        <f t="shared" si="88"/>
        <v>湖南46251</v>
      </c>
      <c r="B5685" s="75" t="s">
        <v>33</v>
      </c>
      <c r="C5685" s="45">
        <v>46251</v>
      </c>
      <c r="D5685" s="76">
        <v>1452.0384928523399</v>
      </c>
      <c r="E5685" s="77">
        <v>125</v>
      </c>
      <c r="F5685" s="78">
        <v>12.1294503110344</v>
      </c>
      <c r="G5685" s="78">
        <v>12.1294503110344</v>
      </c>
      <c r="H5685" s="81">
        <v>12.1004915291869</v>
      </c>
    </row>
    <row r="5686" spans="1:8" x14ac:dyDescent="0.3">
      <c r="A5686" s="74" t="str">
        <f t="shared" si="88"/>
        <v>湖南46252</v>
      </c>
      <c r="B5686" s="75" t="s">
        <v>33</v>
      </c>
      <c r="C5686" s="45">
        <v>46252</v>
      </c>
      <c r="D5686" s="76">
        <v>1452.0384928523399</v>
      </c>
      <c r="E5686" s="77">
        <v>125</v>
      </c>
      <c r="F5686" s="78">
        <v>12.1294503110344</v>
      </c>
      <c r="G5686" s="78">
        <v>12.1294503110344</v>
      </c>
      <c r="H5686" s="81">
        <v>12.1004915291869</v>
      </c>
    </row>
    <row r="5687" spans="1:8" x14ac:dyDescent="0.3">
      <c r="A5687" s="74" t="str">
        <f t="shared" si="88"/>
        <v>湖南46253</v>
      </c>
      <c r="B5687" s="75" t="s">
        <v>33</v>
      </c>
      <c r="C5687" s="45">
        <v>46253</v>
      </c>
      <c r="D5687" s="76">
        <v>1452.0384928523399</v>
      </c>
      <c r="E5687" s="77">
        <v>125</v>
      </c>
      <c r="F5687" s="78">
        <v>12.1294503110344</v>
      </c>
      <c r="G5687" s="78">
        <v>12.1294503110344</v>
      </c>
      <c r="H5687" s="81">
        <v>12.1004915291869</v>
      </c>
    </row>
    <row r="5688" spans="1:8" x14ac:dyDescent="0.3">
      <c r="A5688" s="74" t="str">
        <f t="shared" si="88"/>
        <v>湖南46254</v>
      </c>
      <c r="B5688" s="75" t="s">
        <v>33</v>
      </c>
      <c r="C5688" s="45">
        <v>46254</v>
      </c>
      <c r="D5688" s="76">
        <v>1452.0384928523399</v>
      </c>
      <c r="E5688" s="77">
        <v>125</v>
      </c>
      <c r="F5688" s="78">
        <v>12.1294503110344</v>
      </c>
      <c r="G5688" s="78">
        <v>12.1294503110344</v>
      </c>
      <c r="H5688" s="81">
        <v>12.1004915291869</v>
      </c>
    </row>
    <row r="5689" spans="1:8" x14ac:dyDescent="0.3">
      <c r="A5689" s="74" t="str">
        <f t="shared" si="88"/>
        <v>湖南46255</v>
      </c>
      <c r="B5689" s="75" t="s">
        <v>33</v>
      </c>
      <c r="C5689" s="45">
        <v>46255</v>
      </c>
      <c r="D5689" s="76">
        <v>1452.0384928523399</v>
      </c>
      <c r="E5689" s="77">
        <v>125</v>
      </c>
      <c r="F5689" s="78">
        <v>12.1294503110344</v>
      </c>
      <c r="G5689" s="78">
        <v>12.1294503110344</v>
      </c>
      <c r="H5689" s="81">
        <v>12.1004915291869</v>
      </c>
    </row>
    <row r="5690" spans="1:8" x14ac:dyDescent="0.3">
      <c r="A5690" s="74" t="str">
        <f t="shared" si="88"/>
        <v>湖南46256</v>
      </c>
      <c r="B5690" s="75" t="s">
        <v>33</v>
      </c>
      <c r="C5690" s="45">
        <v>46256</v>
      </c>
      <c r="D5690" s="76">
        <v>1452.0384928523399</v>
      </c>
      <c r="E5690" s="77">
        <v>125</v>
      </c>
      <c r="F5690" s="78">
        <v>12.1294503110344</v>
      </c>
      <c r="G5690" s="78">
        <v>12.1294503110344</v>
      </c>
      <c r="H5690" s="81">
        <v>12.1004915291869</v>
      </c>
    </row>
    <row r="5691" spans="1:8" x14ac:dyDescent="0.3">
      <c r="A5691" s="74" t="str">
        <f t="shared" si="88"/>
        <v>湖南46257</v>
      </c>
      <c r="B5691" s="75" t="s">
        <v>33</v>
      </c>
      <c r="C5691" s="45">
        <v>46257</v>
      </c>
      <c r="D5691" s="76">
        <v>1452.0384928523399</v>
      </c>
      <c r="E5691" s="77">
        <v>125</v>
      </c>
      <c r="F5691" s="78">
        <v>12.1294503110344</v>
      </c>
      <c r="G5691" s="78">
        <v>12.1294503110344</v>
      </c>
      <c r="H5691" s="81">
        <v>12.1004915291869</v>
      </c>
    </row>
    <row r="5692" spans="1:8" x14ac:dyDescent="0.3">
      <c r="A5692" s="74" t="str">
        <f t="shared" si="88"/>
        <v>湖南46258</v>
      </c>
      <c r="B5692" s="75" t="s">
        <v>33</v>
      </c>
      <c r="C5692" s="45">
        <v>46258</v>
      </c>
      <c r="D5692" s="76">
        <v>1452.0384928523399</v>
      </c>
      <c r="E5692" s="77">
        <v>125</v>
      </c>
      <c r="F5692" s="78">
        <v>12.1294503110344</v>
      </c>
      <c r="G5692" s="78">
        <v>12.1294503110344</v>
      </c>
      <c r="H5692" s="81">
        <v>12.1004915291869</v>
      </c>
    </row>
    <row r="5693" spans="1:8" x14ac:dyDescent="0.3">
      <c r="A5693" s="74" t="str">
        <f t="shared" si="88"/>
        <v>湖南46259</v>
      </c>
      <c r="B5693" s="75" t="s">
        <v>33</v>
      </c>
      <c r="C5693" s="45">
        <v>46259</v>
      </c>
      <c r="D5693" s="76">
        <v>1452.0384928523399</v>
      </c>
      <c r="E5693" s="77">
        <v>125</v>
      </c>
      <c r="F5693" s="78">
        <v>12.1294503110344</v>
      </c>
      <c r="G5693" s="78">
        <v>12.1294503110344</v>
      </c>
      <c r="H5693" s="81">
        <v>12.1004915291869</v>
      </c>
    </row>
    <row r="5694" spans="1:8" x14ac:dyDescent="0.3">
      <c r="A5694" s="74" t="str">
        <f t="shared" si="88"/>
        <v>湖南46260</v>
      </c>
      <c r="B5694" s="75" t="s">
        <v>33</v>
      </c>
      <c r="C5694" s="45">
        <v>46260</v>
      </c>
      <c r="D5694" s="76">
        <v>1452.0384928523399</v>
      </c>
      <c r="E5694" s="77">
        <v>125</v>
      </c>
      <c r="F5694" s="78">
        <v>12.1294503110344</v>
      </c>
      <c r="G5694" s="78">
        <v>12.1294503110344</v>
      </c>
      <c r="H5694" s="81">
        <v>12.1004915291869</v>
      </c>
    </row>
    <row r="5695" spans="1:8" x14ac:dyDescent="0.3">
      <c r="A5695" s="74" t="str">
        <f t="shared" si="88"/>
        <v>湖南46261</v>
      </c>
      <c r="B5695" s="75" t="s">
        <v>33</v>
      </c>
      <c r="C5695" s="45">
        <v>46261</v>
      </c>
      <c r="D5695" s="76">
        <v>1452.0384928523399</v>
      </c>
      <c r="E5695" s="77">
        <v>125</v>
      </c>
      <c r="F5695" s="78">
        <v>12.1294503110344</v>
      </c>
      <c r="G5695" s="78">
        <v>12.1294503110344</v>
      </c>
      <c r="H5695" s="81">
        <v>12.1004915291869</v>
      </c>
    </row>
    <row r="5696" spans="1:8" x14ac:dyDescent="0.3">
      <c r="A5696" s="74" t="str">
        <f t="shared" si="88"/>
        <v>湖南46262</v>
      </c>
      <c r="B5696" s="75" t="s">
        <v>33</v>
      </c>
      <c r="C5696" s="45">
        <v>46262</v>
      </c>
      <c r="D5696" s="76">
        <v>1452.0384928523399</v>
      </c>
      <c r="E5696" s="77">
        <v>125</v>
      </c>
      <c r="F5696" s="78">
        <v>12.1294503110344</v>
      </c>
      <c r="G5696" s="78">
        <v>12.1294503110344</v>
      </c>
      <c r="H5696" s="81">
        <v>12.1004915291869</v>
      </c>
    </row>
    <row r="5697" spans="1:8" x14ac:dyDescent="0.3">
      <c r="A5697" s="74" t="str">
        <f t="shared" si="88"/>
        <v>湖南46263</v>
      </c>
      <c r="B5697" s="75" t="s">
        <v>33</v>
      </c>
      <c r="C5697" s="45">
        <v>46263</v>
      </c>
      <c r="D5697" s="76">
        <v>1452.0384928523399</v>
      </c>
      <c r="E5697" s="77">
        <v>125</v>
      </c>
      <c r="F5697" s="78">
        <v>12.1294503110344</v>
      </c>
      <c r="G5697" s="78">
        <v>12.1294503110344</v>
      </c>
      <c r="H5697" s="81">
        <v>12.1004915291869</v>
      </c>
    </row>
    <row r="5698" spans="1:8" x14ac:dyDescent="0.3">
      <c r="A5698" s="74" t="str">
        <f t="shared" si="88"/>
        <v>湖南46264</v>
      </c>
      <c r="B5698" s="75" t="s">
        <v>33</v>
      </c>
      <c r="C5698" s="45">
        <v>46264</v>
      </c>
      <c r="D5698" s="76">
        <v>1452.0384928523399</v>
      </c>
      <c r="E5698" s="77">
        <v>125</v>
      </c>
      <c r="F5698" s="78">
        <v>12.1294503110344</v>
      </c>
      <c r="G5698" s="78">
        <v>12.1294503110344</v>
      </c>
      <c r="H5698" s="81">
        <v>12.1004915291869</v>
      </c>
    </row>
    <row r="5699" spans="1:8" x14ac:dyDescent="0.3">
      <c r="A5699" s="74" t="str">
        <f t="shared" ref="A5699:A5762" si="89">B5699&amp;C5699</f>
        <v>湖南46265</v>
      </c>
      <c r="B5699" s="75" t="s">
        <v>33</v>
      </c>
      <c r="C5699" s="45">
        <v>46265</v>
      </c>
      <c r="D5699" s="76">
        <v>1452.0384928523399</v>
      </c>
      <c r="E5699" s="77">
        <v>125</v>
      </c>
      <c r="F5699" s="78">
        <v>12.1294503110344</v>
      </c>
      <c r="G5699" s="78">
        <v>12.1294503110344</v>
      </c>
      <c r="H5699" s="81">
        <v>12.1004915291869</v>
      </c>
    </row>
    <row r="5700" spans="1:8" x14ac:dyDescent="0.3">
      <c r="A5700" s="74" t="str">
        <f t="shared" si="89"/>
        <v>湖南46266</v>
      </c>
      <c r="B5700" s="75" t="s">
        <v>33</v>
      </c>
      <c r="C5700" s="45">
        <v>46266</v>
      </c>
      <c r="D5700" s="76">
        <v>1404.5206592741899</v>
      </c>
      <c r="E5700" s="77">
        <v>125</v>
      </c>
      <c r="F5700" s="78">
        <v>12.417499544721</v>
      </c>
      <c r="G5700" s="78">
        <v>12.417499544721</v>
      </c>
      <c r="H5700" s="81">
        <v>12.638179483349299</v>
      </c>
    </row>
    <row r="5701" spans="1:8" x14ac:dyDescent="0.3">
      <c r="A5701" s="74" t="str">
        <f t="shared" si="89"/>
        <v>湖南46267</v>
      </c>
      <c r="B5701" s="75" t="s">
        <v>33</v>
      </c>
      <c r="C5701" s="45">
        <v>46267</v>
      </c>
      <c r="D5701" s="76">
        <v>1404.5206592741899</v>
      </c>
      <c r="E5701" s="77">
        <v>125</v>
      </c>
      <c r="F5701" s="78">
        <v>12.417499544721</v>
      </c>
      <c r="G5701" s="78">
        <v>12.417499544721</v>
      </c>
      <c r="H5701" s="81">
        <v>12.638179483349299</v>
      </c>
    </row>
    <row r="5702" spans="1:8" x14ac:dyDescent="0.3">
      <c r="A5702" s="74" t="str">
        <f t="shared" si="89"/>
        <v>湖南46268</v>
      </c>
      <c r="B5702" s="75" t="s">
        <v>33</v>
      </c>
      <c r="C5702" s="45">
        <v>46268</v>
      </c>
      <c r="D5702" s="76">
        <v>1404.5206592741899</v>
      </c>
      <c r="E5702" s="77">
        <v>125</v>
      </c>
      <c r="F5702" s="78">
        <v>12.417499544721</v>
      </c>
      <c r="G5702" s="78">
        <v>12.417499544721</v>
      </c>
      <c r="H5702" s="81">
        <v>12.638179483349299</v>
      </c>
    </row>
    <row r="5703" spans="1:8" x14ac:dyDescent="0.3">
      <c r="A5703" s="74" t="str">
        <f t="shared" si="89"/>
        <v>湖南46269</v>
      </c>
      <c r="B5703" s="75" t="s">
        <v>33</v>
      </c>
      <c r="C5703" s="45">
        <v>46269</v>
      </c>
      <c r="D5703" s="76">
        <v>1404.5206592741899</v>
      </c>
      <c r="E5703" s="77">
        <v>125</v>
      </c>
      <c r="F5703" s="78">
        <v>12.417499544721</v>
      </c>
      <c r="G5703" s="78">
        <v>12.417499544721</v>
      </c>
      <c r="H5703" s="81">
        <v>12.638179483349299</v>
      </c>
    </row>
    <row r="5704" spans="1:8" x14ac:dyDescent="0.3">
      <c r="A5704" s="74" t="str">
        <f t="shared" si="89"/>
        <v>湖南46270</v>
      </c>
      <c r="B5704" s="75" t="s">
        <v>33</v>
      </c>
      <c r="C5704" s="45">
        <v>46270</v>
      </c>
      <c r="D5704" s="76">
        <v>1404.5206592741899</v>
      </c>
      <c r="E5704" s="77">
        <v>125</v>
      </c>
      <c r="F5704" s="78">
        <v>12.417499544721</v>
      </c>
      <c r="G5704" s="78">
        <v>12.417499544721</v>
      </c>
      <c r="H5704" s="81">
        <v>12.638179483349299</v>
      </c>
    </row>
    <row r="5705" spans="1:8" x14ac:dyDescent="0.3">
      <c r="A5705" s="74" t="str">
        <f t="shared" si="89"/>
        <v>湖南46271</v>
      </c>
      <c r="B5705" s="75" t="s">
        <v>33</v>
      </c>
      <c r="C5705" s="45">
        <v>46271</v>
      </c>
      <c r="D5705" s="76">
        <v>1404.5206592741899</v>
      </c>
      <c r="E5705" s="77">
        <v>125</v>
      </c>
      <c r="F5705" s="78">
        <v>12.417499544721</v>
      </c>
      <c r="G5705" s="78">
        <v>12.417499544721</v>
      </c>
      <c r="H5705" s="81">
        <v>12.638179483349299</v>
      </c>
    </row>
    <row r="5706" spans="1:8" x14ac:dyDescent="0.3">
      <c r="A5706" s="74" t="str">
        <f t="shared" si="89"/>
        <v>湖南46272</v>
      </c>
      <c r="B5706" s="75" t="s">
        <v>33</v>
      </c>
      <c r="C5706" s="45">
        <v>46272</v>
      </c>
      <c r="D5706" s="76">
        <v>1404.5206592741899</v>
      </c>
      <c r="E5706" s="77">
        <v>125</v>
      </c>
      <c r="F5706" s="78">
        <v>12.417499544721</v>
      </c>
      <c r="G5706" s="78">
        <v>12.417499544721</v>
      </c>
      <c r="H5706" s="81">
        <v>12.638179483349299</v>
      </c>
    </row>
    <row r="5707" spans="1:8" x14ac:dyDescent="0.3">
      <c r="A5707" s="74" t="str">
        <f t="shared" si="89"/>
        <v>湖南46273</v>
      </c>
      <c r="B5707" s="75" t="s">
        <v>33</v>
      </c>
      <c r="C5707" s="45">
        <v>46273</v>
      </c>
      <c r="D5707" s="76">
        <v>1404.5206592741899</v>
      </c>
      <c r="E5707" s="77">
        <v>125</v>
      </c>
      <c r="F5707" s="78">
        <v>12.417499544721</v>
      </c>
      <c r="G5707" s="78">
        <v>12.417499544721</v>
      </c>
      <c r="H5707" s="81">
        <v>12.638179483349299</v>
      </c>
    </row>
    <row r="5708" spans="1:8" x14ac:dyDescent="0.3">
      <c r="A5708" s="74" t="str">
        <f t="shared" si="89"/>
        <v>湖南46274</v>
      </c>
      <c r="B5708" s="75" t="s">
        <v>33</v>
      </c>
      <c r="C5708" s="45">
        <v>46274</v>
      </c>
      <c r="D5708" s="76">
        <v>1404.5206592741899</v>
      </c>
      <c r="E5708" s="77">
        <v>125</v>
      </c>
      <c r="F5708" s="78">
        <v>12.417499544721</v>
      </c>
      <c r="G5708" s="78">
        <v>12.417499544721</v>
      </c>
      <c r="H5708" s="81">
        <v>12.638179483349299</v>
      </c>
    </row>
    <row r="5709" spans="1:8" x14ac:dyDescent="0.3">
      <c r="A5709" s="74" t="str">
        <f t="shared" si="89"/>
        <v>湖南46275</v>
      </c>
      <c r="B5709" s="75" t="s">
        <v>33</v>
      </c>
      <c r="C5709" s="45">
        <v>46275</v>
      </c>
      <c r="D5709" s="76">
        <v>1404.5206592741899</v>
      </c>
      <c r="E5709" s="77">
        <v>125</v>
      </c>
      <c r="F5709" s="78">
        <v>12.417499544721</v>
      </c>
      <c r="G5709" s="78">
        <v>12.417499544721</v>
      </c>
      <c r="H5709" s="81">
        <v>12.638179483349299</v>
      </c>
    </row>
    <row r="5710" spans="1:8" x14ac:dyDescent="0.3">
      <c r="A5710" s="74" t="str">
        <f t="shared" si="89"/>
        <v>湖南46276</v>
      </c>
      <c r="B5710" s="75" t="s">
        <v>33</v>
      </c>
      <c r="C5710" s="45">
        <v>46276</v>
      </c>
      <c r="D5710" s="76">
        <v>1404.5206592741899</v>
      </c>
      <c r="E5710" s="77">
        <v>125</v>
      </c>
      <c r="F5710" s="78">
        <v>12.417499544721</v>
      </c>
      <c r="G5710" s="78">
        <v>12.417499544721</v>
      </c>
      <c r="H5710" s="81">
        <v>12.638179483349299</v>
      </c>
    </row>
    <row r="5711" spans="1:8" x14ac:dyDescent="0.3">
      <c r="A5711" s="74" t="str">
        <f t="shared" si="89"/>
        <v>湖南46277</v>
      </c>
      <c r="B5711" s="75" t="s">
        <v>33</v>
      </c>
      <c r="C5711" s="45">
        <v>46277</v>
      </c>
      <c r="D5711" s="76">
        <v>1404.5206592741899</v>
      </c>
      <c r="E5711" s="77">
        <v>125</v>
      </c>
      <c r="F5711" s="78">
        <v>12.417499544721</v>
      </c>
      <c r="G5711" s="78">
        <v>12.417499544721</v>
      </c>
      <c r="H5711" s="81">
        <v>12.638179483349299</v>
      </c>
    </row>
    <row r="5712" spans="1:8" x14ac:dyDescent="0.3">
      <c r="A5712" s="74" t="str">
        <f t="shared" si="89"/>
        <v>湖南46278</v>
      </c>
      <c r="B5712" s="75" t="s">
        <v>33</v>
      </c>
      <c r="C5712" s="45">
        <v>46278</v>
      </c>
      <c r="D5712" s="76">
        <v>1404.5206592741899</v>
      </c>
      <c r="E5712" s="77">
        <v>125</v>
      </c>
      <c r="F5712" s="78">
        <v>12.417499544721</v>
      </c>
      <c r="G5712" s="78">
        <v>12.417499544721</v>
      </c>
      <c r="H5712" s="81">
        <v>12.638179483349299</v>
      </c>
    </row>
    <row r="5713" spans="1:8" x14ac:dyDescent="0.3">
      <c r="A5713" s="74" t="str">
        <f t="shared" si="89"/>
        <v>湖南46279</v>
      </c>
      <c r="B5713" s="75" t="s">
        <v>33</v>
      </c>
      <c r="C5713" s="45">
        <v>46279</v>
      </c>
      <c r="D5713" s="76">
        <v>1404.5206592741899</v>
      </c>
      <c r="E5713" s="77">
        <v>125</v>
      </c>
      <c r="F5713" s="78">
        <v>12.417499544721</v>
      </c>
      <c r="G5713" s="78">
        <v>12.417499544721</v>
      </c>
      <c r="H5713" s="81">
        <v>12.638179483349299</v>
      </c>
    </row>
    <row r="5714" spans="1:8" x14ac:dyDescent="0.3">
      <c r="A5714" s="74" t="str">
        <f t="shared" si="89"/>
        <v>湖南46280</v>
      </c>
      <c r="B5714" s="75" t="s">
        <v>33</v>
      </c>
      <c r="C5714" s="45">
        <v>46280</v>
      </c>
      <c r="D5714" s="76">
        <v>1404.5206592741899</v>
      </c>
      <c r="E5714" s="77">
        <v>125</v>
      </c>
      <c r="F5714" s="78">
        <v>12.417499544721</v>
      </c>
      <c r="G5714" s="78">
        <v>12.417499544721</v>
      </c>
      <c r="H5714" s="81">
        <v>12.638179483349299</v>
      </c>
    </row>
    <row r="5715" spans="1:8" x14ac:dyDescent="0.3">
      <c r="A5715" s="74" t="str">
        <f t="shared" si="89"/>
        <v>湖南46281</v>
      </c>
      <c r="B5715" s="75" t="s">
        <v>33</v>
      </c>
      <c r="C5715" s="45">
        <v>46281</v>
      </c>
      <c r="D5715" s="76">
        <v>1404.5206592741899</v>
      </c>
      <c r="E5715" s="77">
        <v>125</v>
      </c>
      <c r="F5715" s="78">
        <v>12.417499544721</v>
      </c>
      <c r="G5715" s="78">
        <v>12.417499544721</v>
      </c>
      <c r="H5715" s="81">
        <v>12.638179483349299</v>
      </c>
    </row>
    <row r="5716" spans="1:8" x14ac:dyDescent="0.3">
      <c r="A5716" s="74" t="str">
        <f t="shared" si="89"/>
        <v>湖南46282</v>
      </c>
      <c r="B5716" s="75" t="s">
        <v>33</v>
      </c>
      <c r="C5716" s="45">
        <v>46282</v>
      </c>
      <c r="D5716" s="76">
        <v>1404.5206592741899</v>
      </c>
      <c r="E5716" s="77">
        <v>125</v>
      </c>
      <c r="F5716" s="78">
        <v>12.417499544721</v>
      </c>
      <c r="G5716" s="78">
        <v>12.417499544721</v>
      </c>
      <c r="H5716" s="81">
        <v>12.638179483349299</v>
      </c>
    </row>
    <row r="5717" spans="1:8" x14ac:dyDescent="0.3">
      <c r="A5717" s="74" t="str">
        <f t="shared" si="89"/>
        <v>湖南46283</v>
      </c>
      <c r="B5717" s="75" t="s">
        <v>33</v>
      </c>
      <c r="C5717" s="45">
        <v>46283</v>
      </c>
      <c r="D5717" s="76">
        <v>1404.5206592741899</v>
      </c>
      <c r="E5717" s="77">
        <v>125</v>
      </c>
      <c r="F5717" s="78">
        <v>12.417499544721</v>
      </c>
      <c r="G5717" s="78">
        <v>12.417499544721</v>
      </c>
      <c r="H5717" s="81">
        <v>12.638179483349299</v>
      </c>
    </row>
    <row r="5718" spans="1:8" x14ac:dyDescent="0.3">
      <c r="A5718" s="74" t="str">
        <f t="shared" si="89"/>
        <v>湖南46284</v>
      </c>
      <c r="B5718" s="75" t="s">
        <v>33</v>
      </c>
      <c r="C5718" s="45">
        <v>46284</v>
      </c>
      <c r="D5718" s="76">
        <v>1404.5206592741899</v>
      </c>
      <c r="E5718" s="77">
        <v>125</v>
      </c>
      <c r="F5718" s="78">
        <v>12.417499544721</v>
      </c>
      <c r="G5718" s="78">
        <v>12.417499544721</v>
      </c>
      <c r="H5718" s="81">
        <v>12.638179483349299</v>
      </c>
    </row>
    <row r="5719" spans="1:8" x14ac:dyDescent="0.3">
      <c r="A5719" s="74" t="str">
        <f t="shared" si="89"/>
        <v>湖南46285</v>
      </c>
      <c r="B5719" s="75" t="s">
        <v>33</v>
      </c>
      <c r="C5719" s="45">
        <v>46285</v>
      </c>
      <c r="D5719" s="76">
        <v>1404.5206592741899</v>
      </c>
      <c r="E5719" s="77">
        <v>125</v>
      </c>
      <c r="F5719" s="78">
        <v>12.417499544721</v>
      </c>
      <c r="G5719" s="78">
        <v>12.417499544721</v>
      </c>
      <c r="H5719" s="81">
        <v>12.638179483349299</v>
      </c>
    </row>
    <row r="5720" spans="1:8" x14ac:dyDescent="0.3">
      <c r="A5720" s="74" t="str">
        <f t="shared" si="89"/>
        <v>湖南46286</v>
      </c>
      <c r="B5720" s="75" t="s">
        <v>33</v>
      </c>
      <c r="C5720" s="45">
        <v>46286</v>
      </c>
      <c r="D5720" s="76">
        <v>1404.5206592741899</v>
      </c>
      <c r="E5720" s="77">
        <v>125</v>
      </c>
      <c r="F5720" s="78">
        <v>12.417499544721</v>
      </c>
      <c r="G5720" s="78">
        <v>12.417499544721</v>
      </c>
      <c r="H5720" s="81">
        <v>12.638179483349299</v>
      </c>
    </row>
    <row r="5721" spans="1:8" x14ac:dyDescent="0.3">
      <c r="A5721" s="74" t="str">
        <f t="shared" si="89"/>
        <v>湖南46287</v>
      </c>
      <c r="B5721" s="75" t="s">
        <v>33</v>
      </c>
      <c r="C5721" s="45">
        <v>46287</v>
      </c>
      <c r="D5721" s="76">
        <v>1404.5206592741899</v>
      </c>
      <c r="E5721" s="77">
        <v>125</v>
      </c>
      <c r="F5721" s="78">
        <v>12.417499544721</v>
      </c>
      <c r="G5721" s="78">
        <v>12.417499544721</v>
      </c>
      <c r="H5721" s="81">
        <v>12.638179483349299</v>
      </c>
    </row>
    <row r="5722" spans="1:8" x14ac:dyDescent="0.3">
      <c r="A5722" s="74" t="str">
        <f t="shared" si="89"/>
        <v>湖南46288</v>
      </c>
      <c r="B5722" s="75" t="s">
        <v>33</v>
      </c>
      <c r="C5722" s="45">
        <v>46288</v>
      </c>
      <c r="D5722" s="76">
        <v>1404.5206592741899</v>
      </c>
      <c r="E5722" s="77">
        <v>125</v>
      </c>
      <c r="F5722" s="78">
        <v>12.417499544721</v>
      </c>
      <c r="G5722" s="78">
        <v>12.417499544721</v>
      </c>
      <c r="H5722" s="81">
        <v>12.638179483349299</v>
      </c>
    </row>
    <row r="5723" spans="1:8" x14ac:dyDescent="0.3">
      <c r="A5723" s="74" t="str">
        <f t="shared" si="89"/>
        <v>湖南46289</v>
      </c>
      <c r="B5723" s="75" t="s">
        <v>33</v>
      </c>
      <c r="C5723" s="45">
        <v>46289</v>
      </c>
      <c r="D5723" s="76">
        <v>1404.5206592741899</v>
      </c>
      <c r="E5723" s="77">
        <v>125</v>
      </c>
      <c r="F5723" s="78">
        <v>12.417499544721</v>
      </c>
      <c r="G5723" s="78">
        <v>12.417499544721</v>
      </c>
      <c r="H5723" s="81">
        <v>12.638179483349299</v>
      </c>
    </row>
    <row r="5724" spans="1:8" x14ac:dyDescent="0.3">
      <c r="A5724" s="74" t="str">
        <f t="shared" si="89"/>
        <v>湖南46290</v>
      </c>
      <c r="B5724" s="75" t="s">
        <v>33</v>
      </c>
      <c r="C5724" s="45">
        <v>46290</v>
      </c>
      <c r="D5724" s="76">
        <v>1404.5206592741899</v>
      </c>
      <c r="E5724" s="77">
        <v>125</v>
      </c>
      <c r="F5724" s="78">
        <v>12.417499544721</v>
      </c>
      <c r="G5724" s="78">
        <v>12.417499544721</v>
      </c>
      <c r="H5724" s="81">
        <v>12.638179483349299</v>
      </c>
    </row>
    <row r="5725" spans="1:8" x14ac:dyDescent="0.3">
      <c r="A5725" s="74" t="str">
        <f t="shared" si="89"/>
        <v>湖南46291</v>
      </c>
      <c r="B5725" s="75" t="s">
        <v>33</v>
      </c>
      <c r="C5725" s="45">
        <v>46291</v>
      </c>
      <c r="D5725" s="76">
        <v>1404.5206592741899</v>
      </c>
      <c r="E5725" s="77">
        <v>125</v>
      </c>
      <c r="F5725" s="78">
        <v>12.417499544721</v>
      </c>
      <c r="G5725" s="78">
        <v>12.417499544721</v>
      </c>
      <c r="H5725" s="81">
        <v>12.638179483349299</v>
      </c>
    </row>
    <row r="5726" spans="1:8" x14ac:dyDescent="0.3">
      <c r="A5726" s="74" t="str">
        <f t="shared" si="89"/>
        <v>湖南46292</v>
      </c>
      <c r="B5726" s="75" t="s">
        <v>33</v>
      </c>
      <c r="C5726" s="45">
        <v>46292</v>
      </c>
      <c r="D5726" s="76">
        <v>1404.5206592741899</v>
      </c>
      <c r="E5726" s="77">
        <v>125</v>
      </c>
      <c r="F5726" s="78">
        <v>12.417499544721</v>
      </c>
      <c r="G5726" s="78">
        <v>12.417499544721</v>
      </c>
      <c r="H5726" s="81">
        <v>12.638179483349299</v>
      </c>
    </row>
    <row r="5727" spans="1:8" x14ac:dyDescent="0.3">
      <c r="A5727" s="74" t="str">
        <f t="shared" si="89"/>
        <v>湖南46293</v>
      </c>
      <c r="B5727" s="75" t="s">
        <v>33</v>
      </c>
      <c r="C5727" s="45">
        <v>46293</v>
      </c>
      <c r="D5727" s="76">
        <v>1404.5206592741899</v>
      </c>
      <c r="E5727" s="77">
        <v>125</v>
      </c>
      <c r="F5727" s="78">
        <v>12.417499544721</v>
      </c>
      <c r="G5727" s="78">
        <v>12.417499544721</v>
      </c>
      <c r="H5727" s="81">
        <v>12.638179483349299</v>
      </c>
    </row>
    <row r="5728" spans="1:8" x14ac:dyDescent="0.3">
      <c r="A5728" s="74" t="str">
        <f t="shared" si="89"/>
        <v>湖南46294</v>
      </c>
      <c r="B5728" s="75" t="s">
        <v>33</v>
      </c>
      <c r="C5728" s="45">
        <v>46294</v>
      </c>
      <c r="D5728" s="76">
        <v>1404.5206592741899</v>
      </c>
      <c r="E5728" s="77">
        <v>125</v>
      </c>
      <c r="F5728" s="78">
        <v>12.417499544721</v>
      </c>
      <c r="G5728" s="78">
        <v>12.417499544721</v>
      </c>
      <c r="H5728" s="81">
        <v>12.638179483349299</v>
      </c>
    </row>
    <row r="5729" spans="1:8" x14ac:dyDescent="0.3">
      <c r="A5729" s="74" t="str">
        <f t="shared" si="89"/>
        <v>湖南46295</v>
      </c>
      <c r="B5729" s="75" t="s">
        <v>33</v>
      </c>
      <c r="C5729" s="45">
        <v>46295</v>
      </c>
      <c r="D5729" s="76">
        <v>1404.5206592741899</v>
      </c>
      <c r="E5729" s="77">
        <v>125</v>
      </c>
      <c r="F5729" s="78">
        <v>12.417499544721</v>
      </c>
      <c r="G5729" s="78">
        <v>12.417499544721</v>
      </c>
      <c r="H5729" s="81">
        <v>12.638179483349299</v>
      </c>
    </row>
    <row r="5730" spans="1:8" x14ac:dyDescent="0.3">
      <c r="A5730" s="74" t="str">
        <f t="shared" si="89"/>
        <v>湖南46296</v>
      </c>
      <c r="B5730" s="75" t="s">
        <v>33</v>
      </c>
      <c r="C5730" s="45">
        <v>46296</v>
      </c>
      <c r="D5730" s="76">
        <v>1399.8853694081099</v>
      </c>
      <c r="E5730" s="77">
        <v>125</v>
      </c>
      <c r="F5730" s="78">
        <v>12.6299340565192</v>
      </c>
      <c r="G5730" s="78">
        <v>12.6299340565192</v>
      </c>
      <c r="H5730" s="81">
        <v>12.713556299353399</v>
      </c>
    </row>
    <row r="5731" spans="1:8" x14ac:dyDescent="0.3">
      <c r="A5731" s="74" t="str">
        <f t="shared" si="89"/>
        <v>湖南46297</v>
      </c>
      <c r="B5731" s="75" t="s">
        <v>33</v>
      </c>
      <c r="C5731" s="45">
        <v>46297</v>
      </c>
      <c r="D5731" s="76">
        <v>1399.8853694081099</v>
      </c>
      <c r="E5731" s="77">
        <v>125</v>
      </c>
      <c r="F5731" s="78">
        <v>12.6299340565192</v>
      </c>
      <c r="G5731" s="78">
        <v>12.6299340565192</v>
      </c>
      <c r="H5731" s="81">
        <v>12.713556299353399</v>
      </c>
    </row>
    <row r="5732" spans="1:8" x14ac:dyDescent="0.3">
      <c r="A5732" s="74" t="str">
        <f t="shared" si="89"/>
        <v>湖南46298</v>
      </c>
      <c r="B5732" s="75" t="s">
        <v>33</v>
      </c>
      <c r="C5732" s="45">
        <v>46298</v>
      </c>
      <c r="D5732" s="76">
        <v>1399.8853694081099</v>
      </c>
      <c r="E5732" s="77">
        <v>125</v>
      </c>
      <c r="F5732" s="78">
        <v>12.6299340565192</v>
      </c>
      <c r="G5732" s="78">
        <v>12.6299340565192</v>
      </c>
      <c r="H5732" s="81">
        <v>12.713556299353399</v>
      </c>
    </row>
    <row r="5733" spans="1:8" x14ac:dyDescent="0.3">
      <c r="A5733" s="74" t="str">
        <f t="shared" si="89"/>
        <v>湖南46299</v>
      </c>
      <c r="B5733" s="75" t="s">
        <v>33</v>
      </c>
      <c r="C5733" s="45">
        <v>46299</v>
      </c>
      <c r="D5733" s="76">
        <v>1399.8853694081099</v>
      </c>
      <c r="E5733" s="77">
        <v>125</v>
      </c>
      <c r="F5733" s="78">
        <v>12.6299340565192</v>
      </c>
      <c r="G5733" s="78">
        <v>12.6299340565192</v>
      </c>
      <c r="H5733" s="81">
        <v>12.713556299353399</v>
      </c>
    </row>
    <row r="5734" spans="1:8" x14ac:dyDescent="0.3">
      <c r="A5734" s="74" t="str">
        <f t="shared" si="89"/>
        <v>湖南46300</v>
      </c>
      <c r="B5734" s="75" t="s">
        <v>33</v>
      </c>
      <c r="C5734" s="45">
        <v>46300</v>
      </c>
      <c r="D5734" s="76">
        <v>1399.8853694081099</v>
      </c>
      <c r="E5734" s="77">
        <v>125</v>
      </c>
      <c r="F5734" s="78">
        <v>12.6299340565192</v>
      </c>
      <c r="G5734" s="78">
        <v>12.6299340565192</v>
      </c>
      <c r="H5734" s="81">
        <v>12.713556299353399</v>
      </c>
    </row>
    <row r="5735" spans="1:8" x14ac:dyDescent="0.3">
      <c r="A5735" s="74" t="str">
        <f t="shared" si="89"/>
        <v>湖南46301</v>
      </c>
      <c r="B5735" s="75" t="s">
        <v>33</v>
      </c>
      <c r="C5735" s="45">
        <v>46301</v>
      </c>
      <c r="D5735" s="76">
        <v>1399.8853694081099</v>
      </c>
      <c r="E5735" s="77">
        <v>125</v>
      </c>
      <c r="F5735" s="78">
        <v>12.6299340565192</v>
      </c>
      <c r="G5735" s="78">
        <v>12.6299340565192</v>
      </c>
      <c r="H5735" s="81">
        <v>12.713556299353399</v>
      </c>
    </row>
    <row r="5736" spans="1:8" x14ac:dyDescent="0.3">
      <c r="A5736" s="74" t="str">
        <f t="shared" si="89"/>
        <v>湖南46302</v>
      </c>
      <c r="B5736" s="75" t="s">
        <v>33</v>
      </c>
      <c r="C5736" s="45">
        <v>46302</v>
      </c>
      <c r="D5736" s="76">
        <v>1399.8853694081099</v>
      </c>
      <c r="E5736" s="77">
        <v>125</v>
      </c>
      <c r="F5736" s="78">
        <v>12.6299340565192</v>
      </c>
      <c r="G5736" s="78">
        <v>12.6299340565192</v>
      </c>
      <c r="H5736" s="81">
        <v>12.713556299353399</v>
      </c>
    </row>
    <row r="5737" spans="1:8" x14ac:dyDescent="0.3">
      <c r="A5737" s="74" t="str">
        <f t="shared" si="89"/>
        <v>湖南46303</v>
      </c>
      <c r="B5737" s="75" t="s">
        <v>33</v>
      </c>
      <c r="C5737" s="45">
        <v>46303</v>
      </c>
      <c r="D5737" s="76">
        <v>1399.8853694081099</v>
      </c>
      <c r="E5737" s="77">
        <v>125</v>
      </c>
      <c r="F5737" s="78">
        <v>12.6299340565192</v>
      </c>
      <c r="G5737" s="78">
        <v>12.6299340565192</v>
      </c>
      <c r="H5737" s="81">
        <v>12.713556299353399</v>
      </c>
    </row>
    <row r="5738" spans="1:8" x14ac:dyDescent="0.3">
      <c r="A5738" s="74" t="str">
        <f t="shared" si="89"/>
        <v>湖南46304</v>
      </c>
      <c r="B5738" s="75" t="s">
        <v>33</v>
      </c>
      <c r="C5738" s="45">
        <v>46304</v>
      </c>
      <c r="D5738" s="76">
        <v>1399.8853694081099</v>
      </c>
      <c r="E5738" s="77">
        <v>125</v>
      </c>
      <c r="F5738" s="78">
        <v>12.6299340565192</v>
      </c>
      <c r="G5738" s="78">
        <v>12.6299340565192</v>
      </c>
      <c r="H5738" s="81">
        <v>12.713556299353399</v>
      </c>
    </row>
    <row r="5739" spans="1:8" x14ac:dyDescent="0.3">
      <c r="A5739" s="74" t="str">
        <f t="shared" si="89"/>
        <v>湖南46305</v>
      </c>
      <c r="B5739" s="75" t="s">
        <v>33</v>
      </c>
      <c r="C5739" s="45">
        <v>46305</v>
      </c>
      <c r="D5739" s="76">
        <v>1399.8853694081099</v>
      </c>
      <c r="E5739" s="77">
        <v>125</v>
      </c>
      <c r="F5739" s="78">
        <v>12.6299340565192</v>
      </c>
      <c r="G5739" s="78">
        <v>12.6299340565192</v>
      </c>
      <c r="H5739" s="81">
        <v>12.713556299353399</v>
      </c>
    </row>
    <row r="5740" spans="1:8" x14ac:dyDescent="0.3">
      <c r="A5740" s="74" t="str">
        <f t="shared" si="89"/>
        <v>湖南46306</v>
      </c>
      <c r="B5740" s="75" t="s">
        <v>33</v>
      </c>
      <c r="C5740" s="45">
        <v>46306</v>
      </c>
      <c r="D5740" s="76">
        <v>1399.8853694081099</v>
      </c>
      <c r="E5740" s="77">
        <v>125</v>
      </c>
      <c r="F5740" s="78">
        <v>12.6299340565192</v>
      </c>
      <c r="G5740" s="78">
        <v>12.6299340565192</v>
      </c>
      <c r="H5740" s="81">
        <v>12.713556299353399</v>
      </c>
    </row>
    <row r="5741" spans="1:8" x14ac:dyDescent="0.3">
      <c r="A5741" s="74" t="str">
        <f t="shared" si="89"/>
        <v>湖南46307</v>
      </c>
      <c r="B5741" s="75" t="s">
        <v>33</v>
      </c>
      <c r="C5741" s="45">
        <v>46307</v>
      </c>
      <c r="D5741" s="76">
        <v>1399.8853694081099</v>
      </c>
      <c r="E5741" s="77">
        <v>125</v>
      </c>
      <c r="F5741" s="78">
        <v>12.6299340565192</v>
      </c>
      <c r="G5741" s="78">
        <v>12.6299340565192</v>
      </c>
      <c r="H5741" s="81">
        <v>12.713556299353399</v>
      </c>
    </row>
    <row r="5742" spans="1:8" x14ac:dyDescent="0.3">
      <c r="A5742" s="74" t="str">
        <f t="shared" si="89"/>
        <v>湖南46308</v>
      </c>
      <c r="B5742" s="75" t="s">
        <v>33</v>
      </c>
      <c r="C5742" s="45">
        <v>46308</v>
      </c>
      <c r="D5742" s="76">
        <v>1399.8853694081099</v>
      </c>
      <c r="E5742" s="77">
        <v>125</v>
      </c>
      <c r="F5742" s="78">
        <v>12.6299340565192</v>
      </c>
      <c r="G5742" s="78">
        <v>12.6299340565192</v>
      </c>
      <c r="H5742" s="81">
        <v>12.713556299353399</v>
      </c>
    </row>
    <row r="5743" spans="1:8" x14ac:dyDescent="0.3">
      <c r="A5743" s="74" t="str">
        <f t="shared" si="89"/>
        <v>湖南46309</v>
      </c>
      <c r="B5743" s="75" t="s">
        <v>33</v>
      </c>
      <c r="C5743" s="45">
        <v>46309</v>
      </c>
      <c r="D5743" s="76">
        <v>1399.8853694081099</v>
      </c>
      <c r="E5743" s="77">
        <v>125</v>
      </c>
      <c r="F5743" s="78">
        <v>12.6299340565192</v>
      </c>
      <c r="G5743" s="78">
        <v>12.6299340565192</v>
      </c>
      <c r="H5743" s="81">
        <v>12.713556299353399</v>
      </c>
    </row>
    <row r="5744" spans="1:8" x14ac:dyDescent="0.3">
      <c r="A5744" s="74" t="str">
        <f t="shared" si="89"/>
        <v>湖南46310</v>
      </c>
      <c r="B5744" s="75" t="s">
        <v>33</v>
      </c>
      <c r="C5744" s="45">
        <v>46310</v>
      </c>
      <c r="D5744" s="76">
        <v>1399.8853694081099</v>
      </c>
      <c r="E5744" s="77">
        <v>125</v>
      </c>
      <c r="F5744" s="78">
        <v>12.6299340565192</v>
      </c>
      <c r="G5744" s="78">
        <v>12.6299340565192</v>
      </c>
      <c r="H5744" s="81">
        <v>12.713556299353399</v>
      </c>
    </row>
    <row r="5745" spans="1:8" x14ac:dyDescent="0.3">
      <c r="A5745" s="74" t="str">
        <f t="shared" si="89"/>
        <v>湖南46311</v>
      </c>
      <c r="B5745" s="75" t="s">
        <v>33</v>
      </c>
      <c r="C5745" s="45">
        <v>46311</v>
      </c>
      <c r="D5745" s="76">
        <v>1399.8853694081099</v>
      </c>
      <c r="E5745" s="77">
        <v>125</v>
      </c>
      <c r="F5745" s="78">
        <v>12.6299340565192</v>
      </c>
      <c r="G5745" s="78">
        <v>12.6299340565192</v>
      </c>
      <c r="H5745" s="81">
        <v>12.713556299353399</v>
      </c>
    </row>
    <row r="5746" spans="1:8" x14ac:dyDescent="0.3">
      <c r="A5746" s="74" t="str">
        <f t="shared" si="89"/>
        <v>湖南46312</v>
      </c>
      <c r="B5746" s="75" t="s">
        <v>33</v>
      </c>
      <c r="C5746" s="45">
        <v>46312</v>
      </c>
      <c r="D5746" s="76">
        <v>1399.8853694081099</v>
      </c>
      <c r="E5746" s="77">
        <v>125</v>
      </c>
      <c r="F5746" s="78">
        <v>12.6299340565192</v>
      </c>
      <c r="G5746" s="78">
        <v>12.6299340565192</v>
      </c>
      <c r="H5746" s="81">
        <v>12.713556299353399</v>
      </c>
    </row>
    <row r="5747" spans="1:8" x14ac:dyDescent="0.3">
      <c r="A5747" s="74" t="str">
        <f t="shared" si="89"/>
        <v>湖南46313</v>
      </c>
      <c r="B5747" s="75" t="s">
        <v>33</v>
      </c>
      <c r="C5747" s="45">
        <v>46313</v>
      </c>
      <c r="D5747" s="76">
        <v>1399.8853694081099</v>
      </c>
      <c r="E5747" s="77">
        <v>125</v>
      </c>
      <c r="F5747" s="78">
        <v>12.6299340565192</v>
      </c>
      <c r="G5747" s="78">
        <v>12.6299340565192</v>
      </c>
      <c r="H5747" s="81">
        <v>12.713556299353399</v>
      </c>
    </row>
    <row r="5748" spans="1:8" x14ac:dyDescent="0.3">
      <c r="A5748" s="74" t="str">
        <f t="shared" si="89"/>
        <v>湖南46314</v>
      </c>
      <c r="B5748" s="75" t="s">
        <v>33</v>
      </c>
      <c r="C5748" s="45">
        <v>46314</v>
      </c>
      <c r="D5748" s="76">
        <v>1399.8853694081099</v>
      </c>
      <c r="E5748" s="77">
        <v>125</v>
      </c>
      <c r="F5748" s="78">
        <v>12.6299340565192</v>
      </c>
      <c r="G5748" s="78">
        <v>12.6299340565192</v>
      </c>
      <c r="H5748" s="81">
        <v>12.713556299353399</v>
      </c>
    </row>
    <row r="5749" spans="1:8" x14ac:dyDescent="0.3">
      <c r="A5749" s="74" t="str">
        <f t="shared" si="89"/>
        <v>湖南46315</v>
      </c>
      <c r="B5749" s="75" t="s">
        <v>33</v>
      </c>
      <c r="C5749" s="45">
        <v>46315</v>
      </c>
      <c r="D5749" s="76">
        <v>1399.8853694081099</v>
      </c>
      <c r="E5749" s="77">
        <v>125</v>
      </c>
      <c r="F5749" s="78">
        <v>12.6299340565192</v>
      </c>
      <c r="G5749" s="78">
        <v>12.6299340565192</v>
      </c>
      <c r="H5749" s="81">
        <v>12.713556299353399</v>
      </c>
    </row>
    <row r="5750" spans="1:8" x14ac:dyDescent="0.3">
      <c r="A5750" s="74" t="str">
        <f t="shared" si="89"/>
        <v>湖南46316</v>
      </c>
      <c r="B5750" s="75" t="s">
        <v>33</v>
      </c>
      <c r="C5750" s="45">
        <v>46316</v>
      </c>
      <c r="D5750" s="76">
        <v>1399.8853694081099</v>
      </c>
      <c r="E5750" s="77">
        <v>125</v>
      </c>
      <c r="F5750" s="78">
        <v>12.6299340565192</v>
      </c>
      <c r="G5750" s="78">
        <v>12.6299340565192</v>
      </c>
      <c r="H5750" s="81">
        <v>12.713556299353399</v>
      </c>
    </row>
    <row r="5751" spans="1:8" x14ac:dyDescent="0.3">
      <c r="A5751" s="74" t="str">
        <f t="shared" si="89"/>
        <v>湖南46317</v>
      </c>
      <c r="B5751" s="75" t="s">
        <v>33</v>
      </c>
      <c r="C5751" s="45">
        <v>46317</v>
      </c>
      <c r="D5751" s="76">
        <v>1399.8853694081099</v>
      </c>
      <c r="E5751" s="77">
        <v>125</v>
      </c>
      <c r="F5751" s="78">
        <v>12.6299340565192</v>
      </c>
      <c r="G5751" s="78">
        <v>12.6299340565192</v>
      </c>
      <c r="H5751" s="81">
        <v>12.713556299353399</v>
      </c>
    </row>
    <row r="5752" spans="1:8" x14ac:dyDescent="0.3">
      <c r="A5752" s="74" t="str">
        <f t="shared" si="89"/>
        <v>湖南46318</v>
      </c>
      <c r="B5752" s="75" t="s">
        <v>33</v>
      </c>
      <c r="C5752" s="45">
        <v>46318</v>
      </c>
      <c r="D5752" s="76">
        <v>1399.8853694081099</v>
      </c>
      <c r="E5752" s="77">
        <v>125</v>
      </c>
      <c r="F5752" s="78">
        <v>12.6299340565192</v>
      </c>
      <c r="G5752" s="78">
        <v>12.6299340565192</v>
      </c>
      <c r="H5752" s="81">
        <v>12.713556299353399</v>
      </c>
    </row>
    <row r="5753" spans="1:8" x14ac:dyDescent="0.3">
      <c r="A5753" s="74" t="str">
        <f t="shared" si="89"/>
        <v>湖南46319</v>
      </c>
      <c r="B5753" s="75" t="s">
        <v>33</v>
      </c>
      <c r="C5753" s="45">
        <v>46319</v>
      </c>
      <c r="D5753" s="76">
        <v>1399.8853694081099</v>
      </c>
      <c r="E5753" s="77">
        <v>125</v>
      </c>
      <c r="F5753" s="78">
        <v>12.6299340565192</v>
      </c>
      <c r="G5753" s="78">
        <v>12.6299340565192</v>
      </c>
      <c r="H5753" s="81">
        <v>12.713556299353399</v>
      </c>
    </row>
    <row r="5754" spans="1:8" x14ac:dyDescent="0.3">
      <c r="A5754" s="74" t="str">
        <f t="shared" si="89"/>
        <v>湖南46320</v>
      </c>
      <c r="B5754" s="75" t="s">
        <v>33</v>
      </c>
      <c r="C5754" s="45">
        <v>46320</v>
      </c>
      <c r="D5754" s="76">
        <v>1399.8853694081099</v>
      </c>
      <c r="E5754" s="77">
        <v>125</v>
      </c>
      <c r="F5754" s="78">
        <v>12.6299340565192</v>
      </c>
      <c r="G5754" s="78">
        <v>12.6299340565192</v>
      </c>
      <c r="H5754" s="81">
        <v>12.713556299353399</v>
      </c>
    </row>
    <row r="5755" spans="1:8" x14ac:dyDescent="0.3">
      <c r="A5755" s="74" t="str">
        <f t="shared" si="89"/>
        <v>湖南46321</v>
      </c>
      <c r="B5755" s="75" t="s">
        <v>33</v>
      </c>
      <c r="C5755" s="45">
        <v>46321</v>
      </c>
      <c r="D5755" s="76">
        <v>1399.8853694081099</v>
      </c>
      <c r="E5755" s="77">
        <v>125</v>
      </c>
      <c r="F5755" s="78">
        <v>12.6299340565192</v>
      </c>
      <c r="G5755" s="78">
        <v>12.6299340565192</v>
      </c>
      <c r="H5755" s="81">
        <v>12.713556299353399</v>
      </c>
    </row>
    <row r="5756" spans="1:8" x14ac:dyDescent="0.3">
      <c r="A5756" s="74" t="str">
        <f t="shared" si="89"/>
        <v>湖南46322</v>
      </c>
      <c r="B5756" s="75" t="s">
        <v>33</v>
      </c>
      <c r="C5756" s="45">
        <v>46322</v>
      </c>
      <c r="D5756" s="76">
        <v>1399.8853694081099</v>
      </c>
      <c r="E5756" s="77">
        <v>125</v>
      </c>
      <c r="F5756" s="78">
        <v>12.6299340565192</v>
      </c>
      <c r="G5756" s="78">
        <v>12.6299340565192</v>
      </c>
      <c r="H5756" s="81">
        <v>12.713556299353399</v>
      </c>
    </row>
    <row r="5757" spans="1:8" x14ac:dyDescent="0.3">
      <c r="A5757" s="74" t="str">
        <f t="shared" si="89"/>
        <v>湖南46323</v>
      </c>
      <c r="B5757" s="75" t="s">
        <v>33</v>
      </c>
      <c r="C5757" s="45">
        <v>46323</v>
      </c>
      <c r="D5757" s="76">
        <v>1399.8853694081099</v>
      </c>
      <c r="E5757" s="77">
        <v>125</v>
      </c>
      <c r="F5757" s="78">
        <v>12.6299340565192</v>
      </c>
      <c r="G5757" s="78">
        <v>12.6299340565192</v>
      </c>
      <c r="H5757" s="81">
        <v>12.713556299353399</v>
      </c>
    </row>
    <row r="5758" spans="1:8" x14ac:dyDescent="0.3">
      <c r="A5758" s="74" t="str">
        <f t="shared" si="89"/>
        <v>湖南46324</v>
      </c>
      <c r="B5758" s="75" t="s">
        <v>33</v>
      </c>
      <c r="C5758" s="45">
        <v>46324</v>
      </c>
      <c r="D5758" s="76">
        <v>1399.8853694081099</v>
      </c>
      <c r="E5758" s="77">
        <v>125</v>
      </c>
      <c r="F5758" s="78">
        <v>12.6299340565192</v>
      </c>
      <c r="G5758" s="78">
        <v>12.6299340565192</v>
      </c>
      <c r="H5758" s="81">
        <v>12.713556299353399</v>
      </c>
    </row>
    <row r="5759" spans="1:8" x14ac:dyDescent="0.3">
      <c r="A5759" s="74" t="str">
        <f t="shared" si="89"/>
        <v>湖南46325</v>
      </c>
      <c r="B5759" s="75" t="s">
        <v>33</v>
      </c>
      <c r="C5759" s="45">
        <v>46325</v>
      </c>
      <c r="D5759" s="76">
        <v>1399.8853694081099</v>
      </c>
      <c r="E5759" s="77">
        <v>125</v>
      </c>
      <c r="F5759" s="78">
        <v>12.6299340565192</v>
      </c>
      <c r="G5759" s="78">
        <v>12.6299340565192</v>
      </c>
      <c r="H5759" s="81">
        <v>12.713556299353399</v>
      </c>
    </row>
    <row r="5760" spans="1:8" x14ac:dyDescent="0.3">
      <c r="A5760" s="74" t="str">
        <f t="shared" si="89"/>
        <v>湖南46326</v>
      </c>
      <c r="B5760" s="75" t="s">
        <v>33</v>
      </c>
      <c r="C5760" s="45">
        <v>46326</v>
      </c>
      <c r="D5760" s="76">
        <v>1399.8853694081099</v>
      </c>
      <c r="E5760" s="77">
        <v>125</v>
      </c>
      <c r="F5760" s="78">
        <v>12.6299340565192</v>
      </c>
      <c r="G5760" s="78">
        <v>12.6299340565192</v>
      </c>
      <c r="H5760" s="81">
        <v>12.713556299353399</v>
      </c>
    </row>
    <row r="5761" spans="1:8" x14ac:dyDescent="0.3">
      <c r="A5761" s="74" t="str">
        <f t="shared" si="89"/>
        <v>湖南46327</v>
      </c>
      <c r="B5761" s="75" t="s">
        <v>33</v>
      </c>
      <c r="C5761" s="45">
        <v>46327</v>
      </c>
      <c r="D5761" s="76">
        <v>1729.0595335973801</v>
      </c>
      <c r="E5761" s="77">
        <v>125</v>
      </c>
      <c r="F5761" s="78">
        <v>12.922775622096299</v>
      </c>
      <c r="G5761" s="78">
        <v>12.922775622096299</v>
      </c>
      <c r="H5761" s="81">
        <v>12.7889331153575</v>
      </c>
    </row>
    <row r="5762" spans="1:8" x14ac:dyDescent="0.3">
      <c r="A5762" s="74" t="str">
        <f t="shared" si="89"/>
        <v>湖南46328</v>
      </c>
      <c r="B5762" s="75" t="s">
        <v>33</v>
      </c>
      <c r="C5762" s="45">
        <v>46328</v>
      </c>
      <c r="D5762" s="76">
        <v>1729.0595335973801</v>
      </c>
      <c r="E5762" s="77">
        <v>125</v>
      </c>
      <c r="F5762" s="78">
        <v>12.922775622096299</v>
      </c>
      <c r="G5762" s="78">
        <v>12.922775622096299</v>
      </c>
      <c r="H5762" s="81">
        <v>12.7889331153575</v>
      </c>
    </row>
    <row r="5763" spans="1:8" x14ac:dyDescent="0.3">
      <c r="A5763" s="74" t="str">
        <f t="shared" ref="A5763:A5826" si="90">B5763&amp;C5763</f>
        <v>湖南46329</v>
      </c>
      <c r="B5763" s="75" t="s">
        <v>33</v>
      </c>
      <c r="C5763" s="45">
        <v>46329</v>
      </c>
      <c r="D5763" s="76">
        <v>1729.0595335973801</v>
      </c>
      <c r="E5763" s="77">
        <v>125</v>
      </c>
      <c r="F5763" s="78">
        <v>12.922775622096299</v>
      </c>
      <c r="G5763" s="78">
        <v>12.922775622096299</v>
      </c>
      <c r="H5763" s="81">
        <v>12.7889331153575</v>
      </c>
    </row>
    <row r="5764" spans="1:8" x14ac:dyDescent="0.3">
      <c r="A5764" s="74" t="str">
        <f t="shared" si="90"/>
        <v>湖南46330</v>
      </c>
      <c r="B5764" s="75" t="s">
        <v>33</v>
      </c>
      <c r="C5764" s="45">
        <v>46330</v>
      </c>
      <c r="D5764" s="76">
        <v>1729.0595335973801</v>
      </c>
      <c r="E5764" s="77">
        <v>125</v>
      </c>
      <c r="F5764" s="78">
        <v>12.922775622096299</v>
      </c>
      <c r="G5764" s="78">
        <v>12.922775622096299</v>
      </c>
      <c r="H5764" s="81">
        <v>12.7889331153575</v>
      </c>
    </row>
    <row r="5765" spans="1:8" x14ac:dyDescent="0.3">
      <c r="A5765" s="74" t="str">
        <f t="shared" si="90"/>
        <v>湖南46331</v>
      </c>
      <c r="B5765" s="75" t="s">
        <v>33</v>
      </c>
      <c r="C5765" s="45">
        <v>46331</v>
      </c>
      <c r="D5765" s="76">
        <v>1729.0595335973801</v>
      </c>
      <c r="E5765" s="77">
        <v>125</v>
      </c>
      <c r="F5765" s="78">
        <v>12.922775622096299</v>
      </c>
      <c r="G5765" s="78">
        <v>12.922775622096299</v>
      </c>
      <c r="H5765" s="81">
        <v>12.7889331153575</v>
      </c>
    </row>
    <row r="5766" spans="1:8" x14ac:dyDescent="0.3">
      <c r="A5766" s="74" t="str">
        <f t="shared" si="90"/>
        <v>湖南46332</v>
      </c>
      <c r="B5766" s="75" t="s">
        <v>33</v>
      </c>
      <c r="C5766" s="45">
        <v>46332</v>
      </c>
      <c r="D5766" s="76">
        <v>1729.0595335973801</v>
      </c>
      <c r="E5766" s="77">
        <v>125</v>
      </c>
      <c r="F5766" s="78">
        <v>12.922775622096299</v>
      </c>
      <c r="G5766" s="78">
        <v>12.922775622096299</v>
      </c>
      <c r="H5766" s="81">
        <v>12.7889331153575</v>
      </c>
    </row>
    <row r="5767" spans="1:8" x14ac:dyDescent="0.3">
      <c r="A5767" s="74" t="str">
        <f t="shared" si="90"/>
        <v>湖南46333</v>
      </c>
      <c r="B5767" s="75" t="s">
        <v>33</v>
      </c>
      <c r="C5767" s="45">
        <v>46333</v>
      </c>
      <c r="D5767" s="76">
        <v>1729.0595335973801</v>
      </c>
      <c r="E5767" s="77">
        <v>125</v>
      </c>
      <c r="F5767" s="78">
        <v>12.922775622096299</v>
      </c>
      <c r="G5767" s="78">
        <v>12.922775622096299</v>
      </c>
      <c r="H5767" s="81">
        <v>12.7889331153575</v>
      </c>
    </row>
    <row r="5768" spans="1:8" x14ac:dyDescent="0.3">
      <c r="A5768" s="74" t="str">
        <f t="shared" si="90"/>
        <v>湖南46334</v>
      </c>
      <c r="B5768" s="75" t="s">
        <v>33</v>
      </c>
      <c r="C5768" s="45">
        <v>46334</v>
      </c>
      <c r="D5768" s="76">
        <v>1729.0595335973801</v>
      </c>
      <c r="E5768" s="77">
        <v>125</v>
      </c>
      <c r="F5768" s="78">
        <v>12.922775622096299</v>
      </c>
      <c r="G5768" s="78">
        <v>12.922775622096299</v>
      </c>
      <c r="H5768" s="81">
        <v>12.7889331153575</v>
      </c>
    </row>
    <row r="5769" spans="1:8" x14ac:dyDescent="0.3">
      <c r="A5769" s="74" t="str">
        <f t="shared" si="90"/>
        <v>湖南46335</v>
      </c>
      <c r="B5769" s="75" t="s">
        <v>33</v>
      </c>
      <c r="C5769" s="45">
        <v>46335</v>
      </c>
      <c r="D5769" s="76">
        <v>1729.0595335973801</v>
      </c>
      <c r="E5769" s="77">
        <v>125</v>
      </c>
      <c r="F5769" s="78">
        <v>12.922775622096299</v>
      </c>
      <c r="G5769" s="78">
        <v>12.922775622096299</v>
      </c>
      <c r="H5769" s="81">
        <v>12.7889331153575</v>
      </c>
    </row>
    <row r="5770" spans="1:8" x14ac:dyDescent="0.3">
      <c r="A5770" s="74" t="str">
        <f t="shared" si="90"/>
        <v>湖南46336</v>
      </c>
      <c r="B5770" s="75" t="s">
        <v>33</v>
      </c>
      <c r="C5770" s="45">
        <v>46336</v>
      </c>
      <c r="D5770" s="76">
        <v>1729.0595335973801</v>
      </c>
      <c r="E5770" s="77">
        <v>125</v>
      </c>
      <c r="F5770" s="78">
        <v>12.922775622096299</v>
      </c>
      <c r="G5770" s="78">
        <v>12.922775622096299</v>
      </c>
      <c r="H5770" s="81">
        <v>12.7889331153575</v>
      </c>
    </row>
    <row r="5771" spans="1:8" x14ac:dyDescent="0.3">
      <c r="A5771" s="74" t="str">
        <f t="shared" si="90"/>
        <v>湖南46337</v>
      </c>
      <c r="B5771" s="75" t="s">
        <v>33</v>
      </c>
      <c r="C5771" s="45">
        <v>46337</v>
      </c>
      <c r="D5771" s="76">
        <v>1729.0595335973801</v>
      </c>
      <c r="E5771" s="77">
        <v>125</v>
      </c>
      <c r="F5771" s="78">
        <v>12.922775622096299</v>
      </c>
      <c r="G5771" s="78">
        <v>12.922775622096299</v>
      </c>
      <c r="H5771" s="81">
        <v>12.7889331153575</v>
      </c>
    </row>
    <row r="5772" spans="1:8" x14ac:dyDescent="0.3">
      <c r="A5772" s="74" t="str">
        <f t="shared" si="90"/>
        <v>湖南46338</v>
      </c>
      <c r="B5772" s="75" t="s">
        <v>33</v>
      </c>
      <c r="C5772" s="45">
        <v>46338</v>
      </c>
      <c r="D5772" s="76">
        <v>1729.0595335973801</v>
      </c>
      <c r="E5772" s="77">
        <v>125</v>
      </c>
      <c r="F5772" s="78">
        <v>12.922775622096299</v>
      </c>
      <c r="G5772" s="78">
        <v>12.922775622096299</v>
      </c>
      <c r="H5772" s="81">
        <v>12.7889331153575</v>
      </c>
    </row>
    <row r="5773" spans="1:8" x14ac:dyDescent="0.3">
      <c r="A5773" s="74" t="str">
        <f t="shared" si="90"/>
        <v>湖南46339</v>
      </c>
      <c r="B5773" s="75" t="s">
        <v>33</v>
      </c>
      <c r="C5773" s="45">
        <v>46339</v>
      </c>
      <c r="D5773" s="76">
        <v>1729.0595335973801</v>
      </c>
      <c r="E5773" s="77">
        <v>125</v>
      </c>
      <c r="F5773" s="78">
        <v>12.922775622096299</v>
      </c>
      <c r="G5773" s="78">
        <v>12.922775622096299</v>
      </c>
      <c r="H5773" s="81">
        <v>12.7889331153575</v>
      </c>
    </row>
    <row r="5774" spans="1:8" x14ac:dyDescent="0.3">
      <c r="A5774" s="74" t="str">
        <f t="shared" si="90"/>
        <v>湖南46340</v>
      </c>
      <c r="B5774" s="75" t="s">
        <v>33</v>
      </c>
      <c r="C5774" s="45">
        <v>46340</v>
      </c>
      <c r="D5774" s="76">
        <v>1729.0595335973801</v>
      </c>
      <c r="E5774" s="77">
        <v>125</v>
      </c>
      <c r="F5774" s="78">
        <v>12.922775622096299</v>
      </c>
      <c r="G5774" s="78">
        <v>12.922775622096299</v>
      </c>
      <c r="H5774" s="81">
        <v>12.7889331153575</v>
      </c>
    </row>
    <row r="5775" spans="1:8" x14ac:dyDescent="0.3">
      <c r="A5775" s="74" t="str">
        <f t="shared" si="90"/>
        <v>湖南46341</v>
      </c>
      <c r="B5775" s="75" t="s">
        <v>33</v>
      </c>
      <c r="C5775" s="45">
        <v>46341</v>
      </c>
      <c r="D5775" s="76">
        <v>1729.0595335973801</v>
      </c>
      <c r="E5775" s="77">
        <v>125</v>
      </c>
      <c r="F5775" s="78">
        <v>12.922775622096299</v>
      </c>
      <c r="G5775" s="78">
        <v>12.922775622096299</v>
      </c>
      <c r="H5775" s="81">
        <v>12.7889331153575</v>
      </c>
    </row>
    <row r="5776" spans="1:8" x14ac:dyDescent="0.3">
      <c r="A5776" s="74" t="str">
        <f t="shared" si="90"/>
        <v>湖南46342</v>
      </c>
      <c r="B5776" s="75" t="s">
        <v>33</v>
      </c>
      <c r="C5776" s="45">
        <v>46342</v>
      </c>
      <c r="D5776" s="76">
        <v>1729.0595335973801</v>
      </c>
      <c r="E5776" s="77">
        <v>125</v>
      </c>
      <c r="F5776" s="78">
        <v>12.922775622096299</v>
      </c>
      <c r="G5776" s="78">
        <v>12.922775622096299</v>
      </c>
      <c r="H5776" s="81">
        <v>12.7889331153575</v>
      </c>
    </row>
    <row r="5777" spans="1:8" x14ac:dyDescent="0.3">
      <c r="A5777" s="74" t="str">
        <f t="shared" si="90"/>
        <v>湖南46343</v>
      </c>
      <c r="B5777" s="75" t="s">
        <v>33</v>
      </c>
      <c r="C5777" s="45">
        <v>46343</v>
      </c>
      <c r="D5777" s="76">
        <v>1729.0595335973801</v>
      </c>
      <c r="E5777" s="77">
        <v>125</v>
      </c>
      <c r="F5777" s="78">
        <v>12.922775622096299</v>
      </c>
      <c r="G5777" s="78">
        <v>12.922775622096299</v>
      </c>
      <c r="H5777" s="81">
        <v>12.7889331153575</v>
      </c>
    </row>
    <row r="5778" spans="1:8" x14ac:dyDescent="0.3">
      <c r="A5778" s="74" t="str">
        <f t="shared" si="90"/>
        <v>湖南46344</v>
      </c>
      <c r="B5778" s="75" t="s">
        <v>33</v>
      </c>
      <c r="C5778" s="45">
        <v>46344</v>
      </c>
      <c r="D5778" s="76">
        <v>1729.0595335973801</v>
      </c>
      <c r="E5778" s="77">
        <v>125</v>
      </c>
      <c r="F5778" s="78">
        <v>12.922775622096299</v>
      </c>
      <c r="G5778" s="78">
        <v>12.922775622096299</v>
      </c>
      <c r="H5778" s="81">
        <v>12.7889331153575</v>
      </c>
    </row>
    <row r="5779" spans="1:8" x14ac:dyDescent="0.3">
      <c r="A5779" s="74" t="str">
        <f t="shared" si="90"/>
        <v>湖南46345</v>
      </c>
      <c r="B5779" s="75" t="s">
        <v>33</v>
      </c>
      <c r="C5779" s="45">
        <v>46345</v>
      </c>
      <c r="D5779" s="76">
        <v>1729.0595335973801</v>
      </c>
      <c r="E5779" s="77">
        <v>125</v>
      </c>
      <c r="F5779" s="78">
        <v>12.922775622096299</v>
      </c>
      <c r="G5779" s="78">
        <v>12.922775622096299</v>
      </c>
      <c r="H5779" s="81">
        <v>12.7889331153575</v>
      </c>
    </row>
    <row r="5780" spans="1:8" x14ac:dyDescent="0.3">
      <c r="A5780" s="74" t="str">
        <f t="shared" si="90"/>
        <v>湖南46346</v>
      </c>
      <c r="B5780" s="75" t="s">
        <v>33</v>
      </c>
      <c r="C5780" s="45">
        <v>46346</v>
      </c>
      <c r="D5780" s="76">
        <v>1729.0595335973801</v>
      </c>
      <c r="E5780" s="77">
        <v>125</v>
      </c>
      <c r="F5780" s="78">
        <v>12.922775622096299</v>
      </c>
      <c r="G5780" s="78">
        <v>12.922775622096299</v>
      </c>
      <c r="H5780" s="81">
        <v>12.7889331153575</v>
      </c>
    </row>
    <row r="5781" spans="1:8" x14ac:dyDescent="0.3">
      <c r="A5781" s="74" t="str">
        <f t="shared" si="90"/>
        <v>湖南46347</v>
      </c>
      <c r="B5781" s="75" t="s">
        <v>33</v>
      </c>
      <c r="C5781" s="45">
        <v>46347</v>
      </c>
      <c r="D5781" s="76">
        <v>1729.0595335973801</v>
      </c>
      <c r="E5781" s="77">
        <v>125</v>
      </c>
      <c r="F5781" s="78">
        <v>12.922775622096299</v>
      </c>
      <c r="G5781" s="78">
        <v>12.922775622096299</v>
      </c>
      <c r="H5781" s="81">
        <v>12.7889331153575</v>
      </c>
    </row>
    <row r="5782" spans="1:8" x14ac:dyDescent="0.3">
      <c r="A5782" s="74" t="str">
        <f t="shared" si="90"/>
        <v>湖南46348</v>
      </c>
      <c r="B5782" s="75" t="s">
        <v>33</v>
      </c>
      <c r="C5782" s="45">
        <v>46348</v>
      </c>
      <c r="D5782" s="76">
        <v>1729.0595335973801</v>
      </c>
      <c r="E5782" s="77">
        <v>125</v>
      </c>
      <c r="F5782" s="78">
        <v>12.922775622096299</v>
      </c>
      <c r="G5782" s="78">
        <v>12.922775622096299</v>
      </c>
      <c r="H5782" s="81">
        <v>12.7889331153575</v>
      </c>
    </row>
    <row r="5783" spans="1:8" x14ac:dyDescent="0.3">
      <c r="A5783" s="74" t="str">
        <f t="shared" si="90"/>
        <v>湖南46349</v>
      </c>
      <c r="B5783" s="75" t="s">
        <v>33</v>
      </c>
      <c r="C5783" s="45">
        <v>46349</v>
      </c>
      <c r="D5783" s="76">
        <v>1729.0595335973801</v>
      </c>
      <c r="E5783" s="77">
        <v>125</v>
      </c>
      <c r="F5783" s="78">
        <v>12.922775622096299</v>
      </c>
      <c r="G5783" s="78">
        <v>12.922775622096299</v>
      </c>
      <c r="H5783" s="81">
        <v>12.7889331153575</v>
      </c>
    </row>
    <row r="5784" spans="1:8" x14ac:dyDescent="0.3">
      <c r="A5784" s="74" t="str">
        <f t="shared" si="90"/>
        <v>湖南46350</v>
      </c>
      <c r="B5784" s="75" t="s">
        <v>33</v>
      </c>
      <c r="C5784" s="45">
        <v>46350</v>
      </c>
      <c r="D5784" s="76">
        <v>1729.0595335973801</v>
      </c>
      <c r="E5784" s="77">
        <v>125</v>
      </c>
      <c r="F5784" s="78">
        <v>12.922775622096299</v>
      </c>
      <c r="G5784" s="78">
        <v>12.922775622096299</v>
      </c>
      <c r="H5784" s="81">
        <v>12.7889331153575</v>
      </c>
    </row>
    <row r="5785" spans="1:8" x14ac:dyDescent="0.3">
      <c r="A5785" s="74" t="str">
        <f t="shared" si="90"/>
        <v>湖南46351</v>
      </c>
      <c r="B5785" s="75" t="s">
        <v>33</v>
      </c>
      <c r="C5785" s="45">
        <v>46351</v>
      </c>
      <c r="D5785" s="76">
        <v>1729.0595335973801</v>
      </c>
      <c r="E5785" s="77">
        <v>125</v>
      </c>
      <c r="F5785" s="78">
        <v>12.922775622096299</v>
      </c>
      <c r="G5785" s="78">
        <v>12.922775622096299</v>
      </c>
      <c r="H5785" s="81">
        <v>12.7889331153575</v>
      </c>
    </row>
    <row r="5786" spans="1:8" x14ac:dyDescent="0.3">
      <c r="A5786" s="74" t="str">
        <f t="shared" si="90"/>
        <v>湖南46352</v>
      </c>
      <c r="B5786" s="75" t="s">
        <v>33</v>
      </c>
      <c r="C5786" s="45">
        <v>46352</v>
      </c>
      <c r="D5786" s="76">
        <v>1729.0595335973801</v>
      </c>
      <c r="E5786" s="77">
        <v>125</v>
      </c>
      <c r="F5786" s="78">
        <v>12.922775622096299</v>
      </c>
      <c r="G5786" s="78">
        <v>12.922775622096299</v>
      </c>
      <c r="H5786" s="81">
        <v>12.7889331153575</v>
      </c>
    </row>
    <row r="5787" spans="1:8" x14ac:dyDescent="0.3">
      <c r="A5787" s="74" t="str">
        <f t="shared" si="90"/>
        <v>湖南46353</v>
      </c>
      <c r="B5787" s="75" t="s">
        <v>33</v>
      </c>
      <c r="C5787" s="45">
        <v>46353</v>
      </c>
      <c r="D5787" s="76">
        <v>1729.0595335973801</v>
      </c>
      <c r="E5787" s="77">
        <v>125</v>
      </c>
      <c r="F5787" s="78">
        <v>12.922775622096299</v>
      </c>
      <c r="G5787" s="78">
        <v>12.922775622096299</v>
      </c>
      <c r="H5787" s="81">
        <v>12.7889331153575</v>
      </c>
    </row>
    <row r="5788" spans="1:8" x14ac:dyDescent="0.3">
      <c r="A5788" s="74" t="str">
        <f t="shared" si="90"/>
        <v>湖南46354</v>
      </c>
      <c r="B5788" s="75" t="s">
        <v>33</v>
      </c>
      <c r="C5788" s="45">
        <v>46354</v>
      </c>
      <c r="D5788" s="76">
        <v>1729.0595335973801</v>
      </c>
      <c r="E5788" s="77">
        <v>125</v>
      </c>
      <c r="F5788" s="78">
        <v>12.922775622096299</v>
      </c>
      <c r="G5788" s="78">
        <v>12.922775622096299</v>
      </c>
      <c r="H5788" s="81">
        <v>12.7889331153575</v>
      </c>
    </row>
    <row r="5789" spans="1:8" x14ac:dyDescent="0.3">
      <c r="A5789" s="74" t="str">
        <f t="shared" si="90"/>
        <v>湖南46355</v>
      </c>
      <c r="B5789" s="75" t="s">
        <v>33</v>
      </c>
      <c r="C5789" s="45">
        <v>46355</v>
      </c>
      <c r="D5789" s="76">
        <v>1729.0595335973801</v>
      </c>
      <c r="E5789" s="77">
        <v>125</v>
      </c>
      <c r="F5789" s="78">
        <v>12.922775622096299</v>
      </c>
      <c r="G5789" s="78">
        <v>12.922775622096299</v>
      </c>
      <c r="H5789" s="81">
        <v>12.7889331153575</v>
      </c>
    </row>
    <row r="5790" spans="1:8" x14ac:dyDescent="0.3">
      <c r="A5790" s="74" t="str">
        <f t="shared" si="90"/>
        <v>湖南46356</v>
      </c>
      <c r="B5790" s="75" t="s">
        <v>33</v>
      </c>
      <c r="C5790" s="45">
        <v>46356</v>
      </c>
      <c r="D5790" s="76">
        <v>1729.0595335973801</v>
      </c>
      <c r="E5790" s="77">
        <v>125</v>
      </c>
      <c r="F5790" s="78">
        <v>12.922775622096299</v>
      </c>
      <c r="G5790" s="78">
        <v>12.922775622096299</v>
      </c>
      <c r="H5790" s="81">
        <v>12.7889331153575</v>
      </c>
    </row>
    <row r="5791" spans="1:8" x14ac:dyDescent="0.3">
      <c r="A5791" s="74" t="str">
        <f t="shared" si="90"/>
        <v>湖南46357</v>
      </c>
      <c r="B5791" s="75" t="s">
        <v>33</v>
      </c>
      <c r="C5791" s="45">
        <v>46357</v>
      </c>
      <c r="D5791" s="76">
        <v>1580.8663126526401</v>
      </c>
      <c r="E5791" s="77">
        <v>125</v>
      </c>
      <c r="F5791" s="78">
        <v>13.6226568114954</v>
      </c>
      <c r="G5791" s="78">
        <v>13.6226568114954</v>
      </c>
      <c r="H5791" s="81">
        <v>13.025113805503601</v>
      </c>
    </row>
    <row r="5792" spans="1:8" x14ac:dyDescent="0.3">
      <c r="A5792" s="74" t="str">
        <f t="shared" si="90"/>
        <v>湖南46358</v>
      </c>
      <c r="B5792" s="75" t="s">
        <v>33</v>
      </c>
      <c r="C5792" s="45">
        <v>46358</v>
      </c>
      <c r="D5792" s="76">
        <v>1580.8663126526401</v>
      </c>
      <c r="E5792" s="77">
        <v>125</v>
      </c>
      <c r="F5792" s="78">
        <v>13.6226568114954</v>
      </c>
      <c r="G5792" s="78">
        <v>13.6226568114954</v>
      </c>
      <c r="H5792" s="81">
        <v>13.025113805503601</v>
      </c>
    </row>
    <row r="5793" spans="1:8" x14ac:dyDescent="0.3">
      <c r="A5793" s="74" t="str">
        <f t="shared" si="90"/>
        <v>湖南46359</v>
      </c>
      <c r="B5793" s="75" t="s">
        <v>33</v>
      </c>
      <c r="C5793" s="45">
        <v>46359</v>
      </c>
      <c r="D5793" s="76">
        <v>1580.8663126526401</v>
      </c>
      <c r="E5793" s="77">
        <v>125</v>
      </c>
      <c r="F5793" s="78">
        <v>13.6226568114954</v>
      </c>
      <c r="G5793" s="78">
        <v>13.6226568114954</v>
      </c>
      <c r="H5793" s="81">
        <v>13.025113805503601</v>
      </c>
    </row>
    <row r="5794" spans="1:8" x14ac:dyDescent="0.3">
      <c r="A5794" s="74" t="str">
        <f t="shared" si="90"/>
        <v>湖南46360</v>
      </c>
      <c r="B5794" s="75" t="s">
        <v>33</v>
      </c>
      <c r="C5794" s="45">
        <v>46360</v>
      </c>
      <c r="D5794" s="76">
        <v>1580.8663126526401</v>
      </c>
      <c r="E5794" s="77">
        <v>125</v>
      </c>
      <c r="F5794" s="78">
        <v>13.6226568114954</v>
      </c>
      <c r="G5794" s="78">
        <v>13.6226568114954</v>
      </c>
      <c r="H5794" s="81">
        <v>13.025113805503601</v>
      </c>
    </row>
    <row r="5795" spans="1:8" x14ac:dyDescent="0.3">
      <c r="A5795" s="74" t="str">
        <f t="shared" si="90"/>
        <v>湖南46361</v>
      </c>
      <c r="B5795" s="75" t="s">
        <v>33</v>
      </c>
      <c r="C5795" s="45">
        <v>46361</v>
      </c>
      <c r="D5795" s="76">
        <v>1580.8663126526401</v>
      </c>
      <c r="E5795" s="77">
        <v>125</v>
      </c>
      <c r="F5795" s="78">
        <v>13.6226568114954</v>
      </c>
      <c r="G5795" s="78">
        <v>13.6226568114954</v>
      </c>
      <c r="H5795" s="81">
        <v>13.025113805503601</v>
      </c>
    </row>
    <row r="5796" spans="1:8" x14ac:dyDescent="0.3">
      <c r="A5796" s="74" t="str">
        <f t="shared" si="90"/>
        <v>湖南46362</v>
      </c>
      <c r="B5796" s="75" t="s">
        <v>33</v>
      </c>
      <c r="C5796" s="45">
        <v>46362</v>
      </c>
      <c r="D5796" s="76">
        <v>1580.8663126526401</v>
      </c>
      <c r="E5796" s="77">
        <v>125</v>
      </c>
      <c r="F5796" s="78">
        <v>13.6226568114954</v>
      </c>
      <c r="G5796" s="78">
        <v>13.6226568114954</v>
      </c>
      <c r="H5796" s="81">
        <v>13.025113805503601</v>
      </c>
    </row>
    <row r="5797" spans="1:8" x14ac:dyDescent="0.3">
      <c r="A5797" s="74" t="str">
        <f t="shared" si="90"/>
        <v>湖南46363</v>
      </c>
      <c r="B5797" s="75" t="s">
        <v>33</v>
      </c>
      <c r="C5797" s="45">
        <v>46363</v>
      </c>
      <c r="D5797" s="76">
        <v>1580.8663126526401</v>
      </c>
      <c r="E5797" s="77">
        <v>125</v>
      </c>
      <c r="F5797" s="78">
        <v>13.6226568114954</v>
      </c>
      <c r="G5797" s="78">
        <v>13.6226568114954</v>
      </c>
      <c r="H5797" s="81">
        <v>13.025113805503601</v>
      </c>
    </row>
    <row r="5798" spans="1:8" x14ac:dyDescent="0.3">
      <c r="A5798" s="74" t="str">
        <f t="shared" si="90"/>
        <v>湖南46364</v>
      </c>
      <c r="B5798" s="75" t="s">
        <v>33</v>
      </c>
      <c r="C5798" s="45">
        <v>46364</v>
      </c>
      <c r="D5798" s="76">
        <v>1580.8663126526401</v>
      </c>
      <c r="E5798" s="77">
        <v>125</v>
      </c>
      <c r="F5798" s="78">
        <v>13.6226568114954</v>
      </c>
      <c r="G5798" s="78">
        <v>13.6226568114954</v>
      </c>
      <c r="H5798" s="81">
        <v>13.025113805503601</v>
      </c>
    </row>
    <row r="5799" spans="1:8" x14ac:dyDescent="0.3">
      <c r="A5799" s="74" t="str">
        <f t="shared" si="90"/>
        <v>湖南46365</v>
      </c>
      <c r="B5799" s="75" t="s">
        <v>33</v>
      </c>
      <c r="C5799" s="45">
        <v>46365</v>
      </c>
      <c r="D5799" s="76">
        <v>1580.8663126526401</v>
      </c>
      <c r="E5799" s="77">
        <v>125</v>
      </c>
      <c r="F5799" s="78">
        <v>13.6226568114954</v>
      </c>
      <c r="G5799" s="78">
        <v>13.6226568114954</v>
      </c>
      <c r="H5799" s="81">
        <v>13.025113805503601</v>
      </c>
    </row>
    <row r="5800" spans="1:8" x14ac:dyDescent="0.3">
      <c r="A5800" s="74" t="str">
        <f t="shared" si="90"/>
        <v>湖南46366</v>
      </c>
      <c r="B5800" s="75" t="s">
        <v>33</v>
      </c>
      <c r="C5800" s="45">
        <v>46366</v>
      </c>
      <c r="D5800" s="76">
        <v>1580.8663126526401</v>
      </c>
      <c r="E5800" s="77">
        <v>125</v>
      </c>
      <c r="F5800" s="78">
        <v>13.6226568114954</v>
      </c>
      <c r="G5800" s="78">
        <v>13.6226568114954</v>
      </c>
      <c r="H5800" s="81">
        <v>13.025113805503601</v>
      </c>
    </row>
    <row r="5801" spans="1:8" x14ac:dyDescent="0.3">
      <c r="A5801" s="74" t="str">
        <f t="shared" si="90"/>
        <v>湖南46367</v>
      </c>
      <c r="B5801" s="75" t="s">
        <v>33</v>
      </c>
      <c r="C5801" s="45">
        <v>46367</v>
      </c>
      <c r="D5801" s="76">
        <v>1580.8663126526401</v>
      </c>
      <c r="E5801" s="77">
        <v>125</v>
      </c>
      <c r="F5801" s="78">
        <v>13.6226568114954</v>
      </c>
      <c r="G5801" s="78">
        <v>13.6226568114954</v>
      </c>
      <c r="H5801" s="81">
        <v>13.025113805503601</v>
      </c>
    </row>
    <row r="5802" spans="1:8" x14ac:dyDescent="0.3">
      <c r="A5802" s="74" t="str">
        <f t="shared" si="90"/>
        <v>湖南46368</v>
      </c>
      <c r="B5802" s="75" t="s">
        <v>33</v>
      </c>
      <c r="C5802" s="45">
        <v>46368</v>
      </c>
      <c r="D5802" s="76">
        <v>1580.8663126526401</v>
      </c>
      <c r="E5802" s="77">
        <v>125</v>
      </c>
      <c r="F5802" s="78">
        <v>13.6226568114954</v>
      </c>
      <c r="G5802" s="78">
        <v>13.6226568114954</v>
      </c>
      <c r="H5802" s="81">
        <v>13.025113805503601</v>
      </c>
    </row>
    <row r="5803" spans="1:8" x14ac:dyDescent="0.3">
      <c r="A5803" s="74" t="str">
        <f t="shared" si="90"/>
        <v>湖南46369</v>
      </c>
      <c r="B5803" s="75" t="s">
        <v>33</v>
      </c>
      <c r="C5803" s="45">
        <v>46369</v>
      </c>
      <c r="D5803" s="76">
        <v>1580.8663126526401</v>
      </c>
      <c r="E5803" s="77">
        <v>125</v>
      </c>
      <c r="F5803" s="78">
        <v>13.6226568114954</v>
      </c>
      <c r="G5803" s="78">
        <v>13.6226568114954</v>
      </c>
      <c r="H5803" s="81">
        <v>13.025113805503601</v>
      </c>
    </row>
    <row r="5804" spans="1:8" x14ac:dyDescent="0.3">
      <c r="A5804" s="74" t="str">
        <f t="shared" si="90"/>
        <v>湖南46370</v>
      </c>
      <c r="B5804" s="75" t="s">
        <v>33</v>
      </c>
      <c r="C5804" s="45">
        <v>46370</v>
      </c>
      <c r="D5804" s="76">
        <v>1580.8663126526401</v>
      </c>
      <c r="E5804" s="77">
        <v>125</v>
      </c>
      <c r="F5804" s="78">
        <v>13.6226568114954</v>
      </c>
      <c r="G5804" s="78">
        <v>13.6226568114954</v>
      </c>
      <c r="H5804" s="81">
        <v>13.025113805503601</v>
      </c>
    </row>
    <row r="5805" spans="1:8" x14ac:dyDescent="0.3">
      <c r="A5805" s="74" t="str">
        <f t="shared" si="90"/>
        <v>湖南46371</v>
      </c>
      <c r="B5805" s="75" t="s">
        <v>33</v>
      </c>
      <c r="C5805" s="45">
        <v>46371</v>
      </c>
      <c r="D5805" s="76">
        <v>1580.8663126526401</v>
      </c>
      <c r="E5805" s="77">
        <v>125</v>
      </c>
      <c r="F5805" s="78">
        <v>13.6226568114954</v>
      </c>
      <c r="G5805" s="78">
        <v>13.6226568114954</v>
      </c>
      <c r="H5805" s="81">
        <v>13.025113805503601</v>
      </c>
    </row>
    <row r="5806" spans="1:8" x14ac:dyDescent="0.3">
      <c r="A5806" s="74" t="str">
        <f t="shared" si="90"/>
        <v>湖南46372</v>
      </c>
      <c r="B5806" s="75" t="s">
        <v>33</v>
      </c>
      <c r="C5806" s="45">
        <v>46372</v>
      </c>
      <c r="D5806" s="76">
        <v>1580.8663126526401</v>
      </c>
      <c r="E5806" s="77">
        <v>125</v>
      </c>
      <c r="F5806" s="78">
        <v>13.6226568114954</v>
      </c>
      <c r="G5806" s="78">
        <v>13.6226568114954</v>
      </c>
      <c r="H5806" s="81">
        <v>13.025113805503601</v>
      </c>
    </row>
    <row r="5807" spans="1:8" x14ac:dyDescent="0.3">
      <c r="A5807" s="74" t="str">
        <f t="shared" si="90"/>
        <v>湖南46373</v>
      </c>
      <c r="B5807" s="75" t="s">
        <v>33</v>
      </c>
      <c r="C5807" s="45">
        <v>46373</v>
      </c>
      <c r="D5807" s="76">
        <v>1580.8663126526401</v>
      </c>
      <c r="E5807" s="77">
        <v>125</v>
      </c>
      <c r="F5807" s="78">
        <v>13.6226568114954</v>
      </c>
      <c r="G5807" s="78">
        <v>13.6226568114954</v>
      </c>
      <c r="H5807" s="81">
        <v>13.025113805503601</v>
      </c>
    </row>
    <row r="5808" spans="1:8" x14ac:dyDescent="0.3">
      <c r="A5808" s="74" t="str">
        <f t="shared" si="90"/>
        <v>湖南46374</v>
      </c>
      <c r="B5808" s="75" t="s">
        <v>33</v>
      </c>
      <c r="C5808" s="45">
        <v>46374</v>
      </c>
      <c r="D5808" s="76">
        <v>1580.8663126526401</v>
      </c>
      <c r="E5808" s="77">
        <v>125</v>
      </c>
      <c r="F5808" s="78">
        <v>13.6226568114954</v>
      </c>
      <c r="G5808" s="78">
        <v>13.6226568114954</v>
      </c>
      <c r="H5808" s="81">
        <v>13.025113805503601</v>
      </c>
    </row>
    <row r="5809" spans="1:8" x14ac:dyDescent="0.3">
      <c r="A5809" s="74" t="str">
        <f t="shared" si="90"/>
        <v>湖南46375</v>
      </c>
      <c r="B5809" s="75" t="s">
        <v>33</v>
      </c>
      <c r="C5809" s="45">
        <v>46375</v>
      </c>
      <c r="D5809" s="76">
        <v>1580.8663126526401</v>
      </c>
      <c r="E5809" s="77">
        <v>125</v>
      </c>
      <c r="F5809" s="78">
        <v>13.6226568114954</v>
      </c>
      <c r="G5809" s="78">
        <v>13.6226568114954</v>
      </c>
      <c r="H5809" s="81">
        <v>13.025113805503601</v>
      </c>
    </row>
    <row r="5810" spans="1:8" x14ac:dyDescent="0.3">
      <c r="A5810" s="74" t="str">
        <f t="shared" si="90"/>
        <v>湖南46376</v>
      </c>
      <c r="B5810" s="75" t="s">
        <v>33</v>
      </c>
      <c r="C5810" s="45">
        <v>46376</v>
      </c>
      <c r="D5810" s="76">
        <v>1580.8663126526401</v>
      </c>
      <c r="E5810" s="77">
        <v>125</v>
      </c>
      <c r="F5810" s="78">
        <v>13.6226568114954</v>
      </c>
      <c r="G5810" s="78">
        <v>13.6226568114954</v>
      </c>
      <c r="H5810" s="81">
        <v>13.025113805503601</v>
      </c>
    </row>
    <row r="5811" spans="1:8" x14ac:dyDescent="0.3">
      <c r="A5811" s="74" t="str">
        <f t="shared" si="90"/>
        <v>湖南46377</v>
      </c>
      <c r="B5811" s="75" t="s">
        <v>33</v>
      </c>
      <c r="C5811" s="45">
        <v>46377</v>
      </c>
      <c r="D5811" s="76">
        <v>1580.8663126526401</v>
      </c>
      <c r="E5811" s="77">
        <v>125</v>
      </c>
      <c r="F5811" s="78">
        <v>13.6226568114954</v>
      </c>
      <c r="G5811" s="78">
        <v>13.6226568114954</v>
      </c>
      <c r="H5811" s="81">
        <v>13.025113805503601</v>
      </c>
    </row>
    <row r="5812" spans="1:8" x14ac:dyDescent="0.3">
      <c r="A5812" s="74" t="str">
        <f t="shared" si="90"/>
        <v>湖南46378</v>
      </c>
      <c r="B5812" s="75" t="s">
        <v>33</v>
      </c>
      <c r="C5812" s="45">
        <v>46378</v>
      </c>
      <c r="D5812" s="76">
        <v>1580.8663126526401</v>
      </c>
      <c r="E5812" s="77">
        <v>125</v>
      </c>
      <c r="F5812" s="78">
        <v>13.6226568114954</v>
      </c>
      <c r="G5812" s="78">
        <v>13.6226568114954</v>
      </c>
      <c r="H5812" s="81">
        <v>13.025113805503601</v>
      </c>
    </row>
    <row r="5813" spans="1:8" x14ac:dyDescent="0.3">
      <c r="A5813" s="74" t="str">
        <f t="shared" si="90"/>
        <v>湖南46379</v>
      </c>
      <c r="B5813" s="75" t="s">
        <v>33</v>
      </c>
      <c r="C5813" s="45">
        <v>46379</v>
      </c>
      <c r="D5813" s="76">
        <v>1580.8663126526401</v>
      </c>
      <c r="E5813" s="77">
        <v>125</v>
      </c>
      <c r="F5813" s="78">
        <v>13.6226568114954</v>
      </c>
      <c r="G5813" s="78">
        <v>13.6226568114954</v>
      </c>
      <c r="H5813" s="81">
        <v>13.025113805503601</v>
      </c>
    </row>
    <row r="5814" spans="1:8" x14ac:dyDescent="0.3">
      <c r="A5814" s="74" t="str">
        <f t="shared" si="90"/>
        <v>湖南46380</v>
      </c>
      <c r="B5814" s="75" t="s">
        <v>33</v>
      </c>
      <c r="C5814" s="45">
        <v>46380</v>
      </c>
      <c r="D5814" s="76">
        <v>1580.8663126526401</v>
      </c>
      <c r="E5814" s="77">
        <v>125</v>
      </c>
      <c r="F5814" s="78">
        <v>13.6226568114954</v>
      </c>
      <c r="G5814" s="78">
        <v>13.6226568114954</v>
      </c>
      <c r="H5814" s="81">
        <v>13.025113805503601</v>
      </c>
    </row>
    <row r="5815" spans="1:8" x14ac:dyDescent="0.3">
      <c r="A5815" s="74" t="str">
        <f t="shared" si="90"/>
        <v>湖南46381</v>
      </c>
      <c r="B5815" s="75" t="s">
        <v>33</v>
      </c>
      <c r="C5815" s="45">
        <v>46381</v>
      </c>
      <c r="D5815" s="76">
        <v>1580.8663126526401</v>
      </c>
      <c r="E5815" s="77">
        <v>125</v>
      </c>
      <c r="F5815" s="78">
        <v>13.6226568114954</v>
      </c>
      <c r="G5815" s="78">
        <v>13.6226568114954</v>
      </c>
      <c r="H5815" s="81">
        <v>13.025113805503601</v>
      </c>
    </row>
    <row r="5816" spans="1:8" x14ac:dyDescent="0.3">
      <c r="A5816" s="74" t="str">
        <f t="shared" si="90"/>
        <v>湖南46382</v>
      </c>
      <c r="B5816" s="75" t="s">
        <v>33</v>
      </c>
      <c r="C5816" s="45">
        <v>46382</v>
      </c>
      <c r="D5816" s="76">
        <v>1580.8663126526401</v>
      </c>
      <c r="E5816" s="77">
        <v>125</v>
      </c>
      <c r="F5816" s="78">
        <v>13.6226568114954</v>
      </c>
      <c r="G5816" s="78">
        <v>13.6226568114954</v>
      </c>
      <c r="H5816" s="81">
        <v>13.025113805503601</v>
      </c>
    </row>
    <row r="5817" spans="1:8" x14ac:dyDescent="0.3">
      <c r="A5817" s="74" t="str">
        <f t="shared" si="90"/>
        <v>湖南46383</v>
      </c>
      <c r="B5817" s="75" t="s">
        <v>33</v>
      </c>
      <c r="C5817" s="45">
        <v>46383</v>
      </c>
      <c r="D5817" s="76">
        <v>1580.8663126526401</v>
      </c>
      <c r="E5817" s="77">
        <v>125</v>
      </c>
      <c r="F5817" s="78">
        <v>13.6226568114954</v>
      </c>
      <c r="G5817" s="78">
        <v>13.6226568114954</v>
      </c>
      <c r="H5817" s="81">
        <v>13.025113805503601</v>
      </c>
    </row>
    <row r="5818" spans="1:8" x14ac:dyDescent="0.3">
      <c r="A5818" s="74" t="str">
        <f t="shared" si="90"/>
        <v>湖南46384</v>
      </c>
      <c r="B5818" s="75" t="s">
        <v>33</v>
      </c>
      <c r="C5818" s="45">
        <v>46384</v>
      </c>
      <c r="D5818" s="76">
        <v>1580.8663126526401</v>
      </c>
      <c r="E5818" s="77">
        <v>125</v>
      </c>
      <c r="F5818" s="78">
        <v>13.6226568114954</v>
      </c>
      <c r="G5818" s="78">
        <v>13.6226568114954</v>
      </c>
      <c r="H5818" s="81">
        <v>13.025113805503601</v>
      </c>
    </row>
    <row r="5819" spans="1:8" x14ac:dyDescent="0.3">
      <c r="A5819" s="74" t="str">
        <f t="shared" si="90"/>
        <v>湖南46385</v>
      </c>
      <c r="B5819" s="75" t="s">
        <v>33</v>
      </c>
      <c r="C5819" s="45">
        <v>46385</v>
      </c>
      <c r="D5819" s="76">
        <v>1580.8663126526401</v>
      </c>
      <c r="E5819" s="77">
        <v>125</v>
      </c>
      <c r="F5819" s="78">
        <v>13.6226568114954</v>
      </c>
      <c r="G5819" s="78">
        <v>13.6226568114954</v>
      </c>
      <c r="H5819" s="81">
        <v>13.025113805503601</v>
      </c>
    </row>
    <row r="5820" spans="1:8" x14ac:dyDescent="0.3">
      <c r="A5820" s="74" t="str">
        <f t="shared" si="90"/>
        <v>湖南46386</v>
      </c>
      <c r="B5820" s="75" t="s">
        <v>33</v>
      </c>
      <c r="C5820" s="45">
        <v>46386</v>
      </c>
      <c r="D5820" s="76">
        <v>1580.8663126526401</v>
      </c>
      <c r="E5820" s="77">
        <v>125</v>
      </c>
      <c r="F5820" s="78">
        <v>13.6226568114954</v>
      </c>
      <c r="G5820" s="78">
        <v>13.6226568114954</v>
      </c>
      <c r="H5820" s="81">
        <v>13.025113805503601</v>
      </c>
    </row>
    <row r="5821" spans="1:8" x14ac:dyDescent="0.3">
      <c r="A5821" s="74" t="str">
        <f t="shared" si="90"/>
        <v>湖南46387</v>
      </c>
      <c r="B5821" s="82" t="s">
        <v>33</v>
      </c>
      <c r="C5821" s="83">
        <v>46387</v>
      </c>
      <c r="D5821" s="84">
        <v>1580.8663126526401</v>
      </c>
      <c r="E5821" s="85">
        <v>125</v>
      </c>
      <c r="F5821" s="86">
        <v>13.6226568114954</v>
      </c>
      <c r="G5821" s="86">
        <v>13.6226568114954</v>
      </c>
      <c r="H5821" s="87">
        <v>13.025113805503601</v>
      </c>
    </row>
    <row r="5822" spans="1:8" x14ac:dyDescent="0.3">
      <c r="A5822" s="74" t="str">
        <f t="shared" si="90"/>
        <v>江西46135</v>
      </c>
      <c r="B5822" s="75" t="s">
        <v>34</v>
      </c>
      <c r="C5822" s="45">
        <v>46135</v>
      </c>
      <c r="D5822" s="76">
        <v>500.50044188912301</v>
      </c>
      <c r="E5822" s="77">
        <v>125</v>
      </c>
      <c r="F5822" s="78">
        <v>9.0173319877175597</v>
      </c>
      <c r="G5822" s="78">
        <v>9.0173319877175597</v>
      </c>
      <c r="H5822" s="81">
        <v>9.5871218461776397</v>
      </c>
    </row>
    <row r="5823" spans="1:8" x14ac:dyDescent="0.3">
      <c r="A5823" s="74" t="str">
        <f t="shared" si="90"/>
        <v>江西46136</v>
      </c>
      <c r="B5823" s="75" t="s">
        <v>34</v>
      </c>
      <c r="C5823" s="45">
        <v>46136</v>
      </c>
      <c r="D5823" s="76">
        <v>500.50044188912301</v>
      </c>
      <c r="E5823" s="77">
        <v>125</v>
      </c>
      <c r="F5823" s="78">
        <v>9.0173319877175597</v>
      </c>
      <c r="G5823" s="78">
        <v>9.0173319877175597</v>
      </c>
      <c r="H5823" s="81">
        <v>9.5871218461776397</v>
      </c>
    </row>
    <row r="5824" spans="1:8" x14ac:dyDescent="0.3">
      <c r="A5824" s="74" t="str">
        <f t="shared" si="90"/>
        <v>江西46137</v>
      </c>
      <c r="B5824" s="75" t="s">
        <v>34</v>
      </c>
      <c r="C5824" s="45">
        <v>46137</v>
      </c>
      <c r="D5824" s="76">
        <v>500.50044188912301</v>
      </c>
      <c r="E5824" s="77">
        <v>125</v>
      </c>
      <c r="F5824" s="78">
        <v>9.0173319877175597</v>
      </c>
      <c r="G5824" s="78">
        <v>9.0173319877175597</v>
      </c>
      <c r="H5824" s="81">
        <v>9.5871218461776397</v>
      </c>
    </row>
    <row r="5825" spans="1:8" x14ac:dyDescent="0.3">
      <c r="A5825" s="74" t="str">
        <f t="shared" si="90"/>
        <v>江西46138</v>
      </c>
      <c r="B5825" s="75" t="s">
        <v>34</v>
      </c>
      <c r="C5825" s="45">
        <v>46138</v>
      </c>
      <c r="D5825" s="76">
        <v>500.50044188912301</v>
      </c>
      <c r="E5825" s="77">
        <v>125</v>
      </c>
      <c r="F5825" s="78">
        <v>9.0173319877175597</v>
      </c>
      <c r="G5825" s="78">
        <v>9.0173319877175597</v>
      </c>
      <c r="H5825" s="81">
        <v>9.5871218461776397</v>
      </c>
    </row>
    <row r="5826" spans="1:8" x14ac:dyDescent="0.3">
      <c r="A5826" s="74" t="str">
        <f t="shared" si="90"/>
        <v>江西46139</v>
      </c>
      <c r="B5826" s="75" t="s">
        <v>34</v>
      </c>
      <c r="C5826" s="45">
        <v>46139</v>
      </c>
      <c r="D5826" s="76">
        <v>500.50044188912301</v>
      </c>
      <c r="E5826" s="77">
        <v>125</v>
      </c>
      <c r="F5826" s="78">
        <v>9.0173319877175597</v>
      </c>
      <c r="G5826" s="78">
        <v>9.0173319877175597</v>
      </c>
      <c r="H5826" s="81">
        <v>9.5871218461776397</v>
      </c>
    </row>
    <row r="5827" spans="1:8" x14ac:dyDescent="0.3">
      <c r="A5827" s="74" t="str">
        <f t="shared" ref="A5827:A5890" si="91">B5827&amp;C5827</f>
        <v>江西46140</v>
      </c>
      <c r="B5827" s="75" t="s">
        <v>34</v>
      </c>
      <c r="C5827" s="45">
        <v>46140</v>
      </c>
      <c r="D5827" s="76">
        <v>500.50044188912301</v>
      </c>
      <c r="E5827" s="77">
        <v>125</v>
      </c>
      <c r="F5827" s="78">
        <v>9.0173319877175597</v>
      </c>
      <c r="G5827" s="78">
        <v>9.0173319877175597</v>
      </c>
      <c r="H5827" s="81">
        <v>9.5871218461776397</v>
      </c>
    </row>
    <row r="5828" spans="1:8" x14ac:dyDescent="0.3">
      <c r="A5828" s="74" t="str">
        <f t="shared" si="91"/>
        <v>江西46141</v>
      </c>
      <c r="B5828" s="75" t="s">
        <v>34</v>
      </c>
      <c r="C5828" s="45">
        <v>46141</v>
      </c>
      <c r="D5828" s="76">
        <v>500.50044188912301</v>
      </c>
      <c r="E5828" s="77">
        <v>125</v>
      </c>
      <c r="F5828" s="78">
        <v>9.0173319877175597</v>
      </c>
      <c r="G5828" s="78">
        <v>9.0173319877175597</v>
      </c>
      <c r="H5828" s="81">
        <v>9.5871218461776397</v>
      </c>
    </row>
    <row r="5829" spans="1:8" x14ac:dyDescent="0.3">
      <c r="A5829" s="74" t="str">
        <f t="shared" si="91"/>
        <v>江西46142</v>
      </c>
      <c r="B5829" s="75" t="s">
        <v>34</v>
      </c>
      <c r="C5829" s="45">
        <v>46142</v>
      </c>
      <c r="D5829" s="76">
        <v>500.50044188912301</v>
      </c>
      <c r="E5829" s="77">
        <v>125</v>
      </c>
      <c r="F5829" s="78">
        <v>9.0173319877175597</v>
      </c>
      <c r="G5829" s="78">
        <v>9.0173319877175597</v>
      </c>
      <c r="H5829" s="81">
        <v>9.5871218461776397</v>
      </c>
    </row>
    <row r="5830" spans="1:8" x14ac:dyDescent="0.3">
      <c r="A5830" s="74" t="str">
        <f t="shared" si="91"/>
        <v>江西46143</v>
      </c>
      <c r="B5830" s="75" t="s">
        <v>34</v>
      </c>
      <c r="C5830" s="45">
        <v>46143</v>
      </c>
      <c r="D5830" s="76">
        <v>558.33143442647997</v>
      </c>
      <c r="E5830" s="77">
        <v>125</v>
      </c>
      <c r="F5830" s="78">
        <v>10.4948027300715</v>
      </c>
      <c r="G5830" s="78">
        <v>10.4948027300715</v>
      </c>
      <c r="H5830" s="81">
        <v>9.8048417975766107</v>
      </c>
    </row>
    <row r="5831" spans="1:8" x14ac:dyDescent="0.3">
      <c r="A5831" s="74" t="str">
        <f t="shared" si="91"/>
        <v>江西46144</v>
      </c>
      <c r="B5831" s="75" t="s">
        <v>34</v>
      </c>
      <c r="C5831" s="45">
        <v>46144</v>
      </c>
      <c r="D5831" s="76">
        <v>558.33143442647997</v>
      </c>
      <c r="E5831" s="77">
        <v>125</v>
      </c>
      <c r="F5831" s="78">
        <v>10.4948027300715</v>
      </c>
      <c r="G5831" s="78">
        <v>10.4948027300715</v>
      </c>
      <c r="H5831" s="81">
        <v>9.8048417975766107</v>
      </c>
    </row>
    <row r="5832" spans="1:8" x14ac:dyDescent="0.3">
      <c r="A5832" s="74" t="str">
        <f t="shared" si="91"/>
        <v>江西46145</v>
      </c>
      <c r="B5832" s="75" t="s">
        <v>34</v>
      </c>
      <c r="C5832" s="45">
        <v>46145</v>
      </c>
      <c r="D5832" s="76">
        <v>558.33143442647997</v>
      </c>
      <c r="E5832" s="77">
        <v>125</v>
      </c>
      <c r="F5832" s="78">
        <v>10.4948027300715</v>
      </c>
      <c r="G5832" s="78">
        <v>10.4948027300715</v>
      </c>
      <c r="H5832" s="81">
        <v>9.8048417975766107</v>
      </c>
    </row>
    <row r="5833" spans="1:8" x14ac:dyDescent="0.3">
      <c r="A5833" s="74" t="str">
        <f t="shared" si="91"/>
        <v>江西46146</v>
      </c>
      <c r="B5833" s="75" t="s">
        <v>34</v>
      </c>
      <c r="C5833" s="45">
        <v>46146</v>
      </c>
      <c r="D5833" s="76">
        <v>558.33143442647997</v>
      </c>
      <c r="E5833" s="77">
        <v>125</v>
      </c>
      <c r="F5833" s="78">
        <v>10.4948027300715</v>
      </c>
      <c r="G5833" s="78">
        <v>10.4948027300715</v>
      </c>
      <c r="H5833" s="81">
        <v>9.8048417975766107</v>
      </c>
    </row>
    <row r="5834" spans="1:8" x14ac:dyDescent="0.3">
      <c r="A5834" s="74" t="str">
        <f t="shared" si="91"/>
        <v>江西46147</v>
      </c>
      <c r="B5834" s="75" t="s">
        <v>34</v>
      </c>
      <c r="C5834" s="45">
        <v>46147</v>
      </c>
      <c r="D5834" s="76">
        <v>558.33143442647997</v>
      </c>
      <c r="E5834" s="77">
        <v>125</v>
      </c>
      <c r="F5834" s="78">
        <v>10.4948027300715</v>
      </c>
      <c r="G5834" s="78">
        <v>10.4948027300715</v>
      </c>
      <c r="H5834" s="81">
        <v>9.8048417975766107</v>
      </c>
    </row>
    <row r="5835" spans="1:8" x14ac:dyDescent="0.3">
      <c r="A5835" s="74" t="str">
        <f t="shared" si="91"/>
        <v>江西46148</v>
      </c>
      <c r="B5835" s="75" t="s">
        <v>34</v>
      </c>
      <c r="C5835" s="45">
        <v>46148</v>
      </c>
      <c r="D5835" s="76">
        <v>558.33143442647997</v>
      </c>
      <c r="E5835" s="77">
        <v>125</v>
      </c>
      <c r="F5835" s="78">
        <v>10.4948027300715</v>
      </c>
      <c r="G5835" s="78">
        <v>10.4948027300715</v>
      </c>
      <c r="H5835" s="81">
        <v>9.8048417975766107</v>
      </c>
    </row>
    <row r="5836" spans="1:8" x14ac:dyDescent="0.3">
      <c r="A5836" s="74" t="str">
        <f t="shared" si="91"/>
        <v>江西46149</v>
      </c>
      <c r="B5836" s="75" t="s">
        <v>34</v>
      </c>
      <c r="C5836" s="45">
        <v>46149</v>
      </c>
      <c r="D5836" s="76">
        <v>558.33143442647997</v>
      </c>
      <c r="E5836" s="77">
        <v>125</v>
      </c>
      <c r="F5836" s="78">
        <v>10.4948027300715</v>
      </c>
      <c r="G5836" s="78">
        <v>10.4948027300715</v>
      </c>
      <c r="H5836" s="81">
        <v>9.8048417975766107</v>
      </c>
    </row>
    <row r="5837" spans="1:8" x14ac:dyDescent="0.3">
      <c r="A5837" s="74" t="str">
        <f t="shared" si="91"/>
        <v>江西46150</v>
      </c>
      <c r="B5837" s="75" t="s">
        <v>34</v>
      </c>
      <c r="C5837" s="45">
        <v>46150</v>
      </c>
      <c r="D5837" s="76">
        <v>558.33143442647997</v>
      </c>
      <c r="E5837" s="77">
        <v>125</v>
      </c>
      <c r="F5837" s="78">
        <v>10.4948027300715</v>
      </c>
      <c r="G5837" s="78">
        <v>10.4948027300715</v>
      </c>
      <c r="H5837" s="81">
        <v>9.8048417975766107</v>
      </c>
    </row>
    <row r="5838" spans="1:8" x14ac:dyDescent="0.3">
      <c r="A5838" s="74" t="str">
        <f t="shared" si="91"/>
        <v>江西46151</v>
      </c>
      <c r="B5838" s="75" t="s">
        <v>34</v>
      </c>
      <c r="C5838" s="45">
        <v>46151</v>
      </c>
      <c r="D5838" s="76">
        <v>558.33143442647997</v>
      </c>
      <c r="E5838" s="77">
        <v>125</v>
      </c>
      <c r="F5838" s="78">
        <v>10.4948027300715</v>
      </c>
      <c r="G5838" s="78">
        <v>10.4948027300715</v>
      </c>
      <c r="H5838" s="81">
        <v>9.8048417975766107</v>
      </c>
    </row>
    <row r="5839" spans="1:8" x14ac:dyDescent="0.3">
      <c r="A5839" s="74" t="str">
        <f t="shared" si="91"/>
        <v>江西46152</v>
      </c>
      <c r="B5839" s="75" t="s">
        <v>34</v>
      </c>
      <c r="C5839" s="45">
        <v>46152</v>
      </c>
      <c r="D5839" s="76">
        <v>558.33143442647997</v>
      </c>
      <c r="E5839" s="77">
        <v>125</v>
      </c>
      <c r="F5839" s="78">
        <v>10.4948027300715</v>
      </c>
      <c r="G5839" s="78">
        <v>10.4948027300715</v>
      </c>
      <c r="H5839" s="81">
        <v>9.8048417975766107</v>
      </c>
    </row>
    <row r="5840" spans="1:8" x14ac:dyDescent="0.3">
      <c r="A5840" s="74" t="str">
        <f t="shared" si="91"/>
        <v>江西46153</v>
      </c>
      <c r="B5840" s="75" t="s">
        <v>34</v>
      </c>
      <c r="C5840" s="45">
        <v>46153</v>
      </c>
      <c r="D5840" s="76">
        <v>558.33143442647997</v>
      </c>
      <c r="E5840" s="77">
        <v>125</v>
      </c>
      <c r="F5840" s="78">
        <v>10.4948027300715</v>
      </c>
      <c r="G5840" s="78">
        <v>10.4948027300715</v>
      </c>
      <c r="H5840" s="81">
        <v>9.8048417975766107</v>
      </c>
    </row>
    <row r="5841" spans="1:8" x14ac:dyDescent="0.3">
      <c r="A5841" s="74" t="str">
        <f t="shared" si="91"/>
        <v>江西46154</v>
      </c>
      <c r="B5841" s="75" t="s">
        <v>34</v>
      </c>
      <c r="C5841" s="45">
        <v>46154</v>
      </c>
      <c r="D5841" s="76">
        <v>558.33143442647997</v>
      </c>
      <c r="E5841" s="77">
        <v>125</v>
      </c>
      <c r="F5841" s="78">
        <v>10.4948027300715</v>
      </c>
      <c r="G5841" s="78">
        <v>10.4948027300715</v>
      </c>
      <c r="H5841" s="81">
        <v>9.8048417975766107</v>
      </c>
    </row>
    <row r="5842" spans="1:8" x14ac:dyDescent="0.3">
      <c r="A5842" s="74" t="str">
        <f t="shared" si="91"/>
        <v>江西46155</v>
      </c>
      <c r="B5842" s="75" t="s">
        <v>34</v>
      </c>
      <c r="C5842" s="45">
        <v>46155</v>
      </c>
      <c r="D5842" s="76">
        <v>558.33143442647997</v>
      </c>
      <c r="E5842" s="77">
        <v>125</v>
      </c>
      <c r="F5842" s="78">
        <v>10.4948027300715</v>
      </c>
      <c r="G5842" s="78">
        <v>10.4948027300715</v>
      </c>
      <c r="H5842" s="81">
        <v>9.8048417975766107</v>
      </c>
    </row>
    <row r="5843" spans="1:8" x14ac:dyDescent="0.3">
      <c r="A5843" s="74" t="str">
        <f t="shared" si="91"/>
        <v>江西46156</v>
      </c>
      <c r="B5843" s="75" t="s">
        <v>34</v>
      </c>
      <c r="C5843" s="45">
        <v>46156</v>
      </c>
      <c r="D5843" s="76">
        <v>558.33143442647997</v>
      </c>
      <c r="E5843" s="77">
        <v>125</v>
      </c>
      <c r="F5843" s="78">
        <v>10.4948027300715</v>
      </c>
      <c r="G5843" s="78">
        <v>10.4948027300715</v>
      </c>
      <c r="H5843" s="81">
        <v>9.8048417975766107</v>
      </c>
    </row>
    <row r="5844" spans="1:8" x14ac:dyDescent="0.3">
      <c r="A5844" s="74" t="str">
        <f t="shared" si="91"/>
        <v>江西46157</v>
      </c>
      <c r="B5844" s="75" t="s">
        <v>34</v>
      </c>
      <c r="C5844" s="45">
        <v>46157</v>
      </c>
      <c r="D5844" s="76">
        <v>558.33143442647997</v>
      </c>
      <c r="E5844" s="77">
        <v>125</v>
      </c>
      <c r="F5844" s="78">
        <v>10.4948027300715</v>
      </c>
      <c r="G5844" s="78">
        <v>10.4948027300715</v>
      </c>
      <c r="H5844" s="81">
        <v>9.8048417975766107</v>
      </c>
    </row>
    <row r="5845" spans="1:8" x14ac:dyDescent="0.3">
      <c r="A5845" s="74" t="str">
        <f t="shared" si="91"/>
        <v>江西46158</v>
      </c>
      <c r="B5845" s="75" t="s">
        <v>34</v>
      </c>
      <c r="C5845" s="45">
        <v>46158</v>
      </c>
      <c r="D5845" s="76">
        <v>558.33143442647997</v>
      </c>
      <c r="E5845" s="77">
        <v>125</v>
      </c>
      <c r="F5845" s="78">
        <v>10.4948027300715</v>
      </c>
      <c r="G5845" s="78">
        <v>10.4948027300715</v>
      </c>
      <c r="H5845" s="81">
        <v>9.8048417975766107</v>
      </c>
    </row>
    <row r="5846" spans="1:8" x14ac:dyDescent="0.3">
      <c r="A5846" s="74" t="str">
        <f t="shared" si="91"/>
        <v>江西46159</v>
      </c>
      <c r="B5846" s="75" t="s">
        <v>34</v>
      </c>
      <c r="C5846" s="45">
        <v>46159</v>
      </c>
      <c r="D5846" s="76">
        <v>558.33143442647997</v>
      </c>
      <c r="E5846" s="77">
        <v>125</v>
      </c>
      <c r="F5846" s="78">
        <v>10.4948027300715</v>
      </c>
      <c r="G5846" s="78">
        <v>10.4948027300715</v>
      </c>
      <c r="H5846" s="81">
        <v>9.8048417975766107</v>
      </c>
    </row>
    <row r="5847" spans="1:8" x14ac:dyDescent="0.3">
      <c r="A5847" s="74" t="str">
        <f t="shared" si="91"/>
        <v>江西46160</v>
      </c>
      <c r="B5847" s="75" t="s">
        <v>34</v>
      </c>
      <c r="C5847" s="45">
        <v>46160</v>
      </c>
      <c r="D5847" s="76">
        <v>558.33143442647997</v>
      </c>
      <c r="E5847" s="77">
        <v>125</v>
      </c>
      <c r="F5847" s="78">
        <v>10.4948027300715</v>
      </c>
      <c r="G5847" s="78">
        <v>10.4948027300715</v>
      </c>
      <c r="H5847" s="81">
        <v>9.8048417975766107</v>
      </c>
    </row>
    <row r="5848" spans="1:8" x14ac:dyDescent="0.3">
      <c r="A5848" s="74" t="str">
        <f t="shared" si="91"/>
        <v>江西46161</v>
      </c>
      <c r="B5848" s="75" t="s">
        <v>34</v>
      </c>
      <c r="C5848" s="45">
        <v>46161</v>
      </c>
      <c r="D5848" s="76">
        <v>558.33143442647997</v>
      </c>
      <c r="E5848" s="77">
        <v>125</v>
      </c>
      <c r="F5848" s="78">
        <v>10.4948027300715</v>
      </c>
      <c r="G5848" s="78">
        <v>10.4948027300715</v>
      </c>
      <c r="H5848" s="81">
        <v>9.8048417975766107</v>
      </c>
    </row>
    <row r="5849" spans="1:8" x14ac:dyDescent="0.3">
      <c r="A5849" s="74" t="str">
        <f t="shared" si="91"/>
        <v>江西46162</v>
      </c>
      <c r="B5849" s="75" t="s">
        <v>34</v>
      </c>
      <c r="C5849" s="45">
        <v>46162</v>
      </c>
      <c r="D5849" s="76">
        <v>558.33143442647997</v>
      </c>
      <c r="E5849" s="77">
        <v>125</v>
      </c>
      <c r="F5849" s="78">
        <v>10.4948027300715</v>
      </c>
      <c r="G5849" s="78">
        <v>10.4948027300715</v>
      </c>
      <c r="H5849" s="81">
        <v>9.8048417975766107</v>
      </c>
    </row>
    <row r="5850" spans="1:8" x14ac:dyDescent="0.3">
      <c r="A5850" s="74" t="str">
        <f t="shared" si="91"/>
        <v>江西46163</v>
      </c>
      <c r="B5850" s="75" t="s">
        <v>34</v>
      </c>
      <c r="C5850" s="45">
        <v>46163</v>
      </c>
      <c r="D5850" s="76">
        <v>558.33143442647997</v>
      </c>
      <c r="E5850" s="77">
        <v>125</v>
      </c>
      <c r="F5850" s="78">
        <v>10.4948027300715</v>
      </c>
      <c r="G5850" s="78">
        <v>10.4948027300715</v>
      </c>
      <c r="H5850" s="81">
        <v>9.8048417975766107</v>
      </c>
    </row>
    <row r="5851" spans="1:8" x14ac:dyDescent="0.3">
      <c r="A5851" s="74" t="str">
        <f t="shared" si="91"/>
        <v>江西46164</v>
      </c>
      <c r="B5851" s="75" t="s">
        <v>34</v>
      </c>
      <c r="C5851" s="45">
        <v>46164</v>
      </c>
      <c r="D5851" s="76">
        <v>558.33143442647997</v>
      </c>
      <c r="E5851" s="77">
        <v>125</v>
      </c>
      <c r="F5851" s="78">
        <v>10.4948027300715</v>
      </c>
      <c r="G5851" s="78">
        <v>10.4948027300715</v>
      </c>
      <c r="H5851" s="81">
        <v>9.8048417975766107</v>
      </c>
    </row>
    <row r="5852" spans="1:8" x14ac:dyDescent="0.3">
      <c r="A5852" s="74" t="str">
        <f t="shared" si="91"/>
        <v>江西46165</v>
      </c>
      <c r="B5852" s="75" t="s">
        <v>34</v>
      </c>
      <c r="C5852" s="45">
        <v>46165</v>
      </c>
      <c r="D5852" s="76">
        <v>558.33143442647997</v>
      </c>
      <c r="E5852" s="77">
        <v>125</v>
      </c>
      <c r="F5852" s="78">
        <v>10.4948027300715</v>
      </c>
      <c r="G5852" s="78">
        <v>10.4948027300715</v>
      </c>
      <c r="H5852" s="81">
        <v>9.8048417975766107</v>
      </c>
    </row>
    <row r="5853" spans="1:8" x14ac:dyDescent="0.3">
      <c r="A5853" s="74" t="str">
        <f t="shared" si="91"/>
        <v>江西46166</v>
      </c>
      <c r="B5853" s="75" t="s">
        <v>34</v>
      </c>
      <c r="C5853" s="45">
        <v>46166</v>
      </c>
      <c r="D5853" s="76">
        <v>558.33143442647997</v>
      </c>
      <c r="E5853" s="77">
        <v>125</v>
      </c>
      <c r="F5853" s="78">
        <v>10.4948027300715</v>
      </c>
      <c r="G5853" s="78">
        <v>10.4948027300715</v>
      </c>
      <c r="H5853" s="81">
        <v>9.8048417975766107</v>
      </c>
    </row>
    <row r="5854" spans="1:8" x14ac:dyDescent="0.3">
      <c r="A5854" s="74" t="str">
        <f t="shared" si="91"/>
        <v>江西46167</v>
      </c>
      <c r="B5854" s="75" t="s">
        <v>34</v>
      </c>
      <c r="C5854" s="45">
        <v>46167</v>
      </c>
      <c r="D5854" s="76">
        <v>558.33143442647997</v>
      </c>
      <c r="E5854" s="77">
        <v>125</v>
      </c>
      <c r="F5854" s="78">
        <v>10.4948027300715</v>
      </c>
      <c r="G5854" s="78">
        <v>10.4948027300715</v>
      </c>
      <c r="H5854" s="81">
        <v>9.8048417975766107</v>
      </c>
    </row>
    <row r="5855" spans="1:8" x14ac:dyDescent="0.3">
      <c r="A5855" s="74" t="str">
        <f t="shared" si="91"/>
        <v>江西46168</v>
      </c>
      <c r="B5855" s="75" t="s">
        <v>34</v>
      </c>
      <c r="C5855" s="45">
        <v>46168</v>
      </c>
      <c r="D5855" s="76">
        <v>558.33143442647997</v>
      </c>
      <c r="E5855" s="77">
        <v>125</v>
      </c>
      <c r="F5855" s="78">
        <v>10.4948027300715</v>
      </c>
      <c r="G5855" s="78">
        <v>10.4948027300715</v>
      </c>
      <c r="H5855" s="81">
        <v>9.8048417975766107</v>
      </c>
    </row>
    <row r="5856" spans="1:8" x14ac:dyDescent="0.3">
      <c r="A5856" s="74" t="str">
        <f t="shared" si="91"/>
        <v>江西46169</v>
      </c>
      <c r="B5856" s="75" t="s">
        <v>34</v>
      </c>
      <c r="C5856" s="45">
        <v>46169</v>
      </c>
      <c r="D5856" s="76">
        <v>558.33143442647997</v>
      </c>
      <c r="E5856" s="77">
        <v>125</v>
      </c>
      <c r="F5856" s="78">
        <v>10.4948027300715</v>
      </c>
      <c r="G5856" s="78">
        <v>10.4948027300715</v>
      </c>
      <c r="H5856" s="81">
        <v>9.8048417975766107</v>
      </c>
    </row>
    <row r="5857" spans="1:8" x14ac:dyDescent="0.3">
      <c r="A5857" s="74" t="str">
        <f t="shared" si="91"/>
        <v>江西46170</v>
      </c>
      <c r="B5857" s="75" t="s">
        <v>34</v>
      </c>
      <c r="C5857" s="45">
        <v>46170</v>
      </c>
      <c r="D5857" s="76">
        <v>558.33143442647997</v>
      </c>
      <c r="E5857" s="77">
        <v>125</v>
      </c>
      <c r="F5857" s="78">
        <v>10.4948027300715</v>
      </c>
      <c r="G5857" s="78">
        <v>10.4948027300715</v>
      </c>
      <c r="H5857" s="81">
        <v>9.8048417975766107</v>
      </c>
    </row>
    <row r="5858" spans="1:8" x14ac:dyDescent="0.3">
      <c r="A5858" s="74" t="str">
        <f t="shared" si="91"/>
        <v>江西46171</v>
      </c>
      <c r="B5858" s="75" t="s">
        <v>34</v>
      </c>
      <c r="C5858" s="45">
        <v>46171</v>
      </c>
      <c r="D5858" s="76">
        <v>558.33143442647997</v>
      </c>
      <c r="E5858" s="77">
        <v>125</v>
      </c>
      <c r="F5858" s="78">
        <v>10.4948027300715</v>
      </c>
      <c r="G5858" s="78">
        <v>10.4948027300715</v>
      </c>
      <c r="H5858" s="81">
        <v>9.8048417975766107</v>
      </c>
    </row>
    <row r="5859" spans="1:8" x14ac:dyDescent="0.3">
      <c r="A5859" s="74" t="str">
        <f t="shared" si="91"/>
        <v>江西46172</v>
      </c>
      <c r="B5859" s="75" t="s">
        <v>34</v>
      </c>
      <c r="C5859" s="45">
        <v>46172</v>
      </c>
      <c r="D5859" s="76">
        <v>558.33143442647997</v>
      </c>
      <c r="E5859" s="77">
        <v>125</v>
      </c>
      <c r="F5859" s="78">
        <v>10.4948027300715</v>
      </c>
      <c r="G5859" s="78">
        <v>10.4948027300715</v>
      </c>
      <c r="H5859" s="81">
        <v>9.8048417975766107</v>
      </c>
    </row>
    <row r="5860" spans="1:8" x14ac:dyDescent="0.3">
      <c r="A5860" s="74" t="str">
        <f t="shared" si="91"/>
        <v>江西46173</v>
      </c>
      <c r="B5860" s="75" t="s">
        <v>34</v>
      </c>
      <c r="C5860" s="45">
        <v>46173</v>
      </c>
      <c r="D5860" s="76">
        <v>558.33143442647997</v>
      </c>
      <c r="E5860" s="77">
        <v>125</v>
      </c>
      <c r="F5860" s="78">
        <v>10.4948027300715</v>
      </c>
      <c r="G5860" s="78">
        <v>10.4948027300715</v>
      </c>
      <c r="H5860" s="81">
        <v>9.8048417975766107</v>
      </c>
    </row>
    <row r="5861" spans="1:8" x14ac:dyDescent="0.3">
      <c r="A5861" s="74" t="str">
        <f t="shared" si="91"/>
        <v>江西46174</v>
      </c>
      <c r="B5861" s="75" t="s">
        <v>34</v>
      </c>
      <c r="C5861" s="45">
        <v>46174</v>
      </c>
      <c r="D5861" s="76">
        <v>516.66697548028003</v>
      </c>
      <c r="E5861" s="77">
        <v>125</v>
      </c>
      <c r="F5861" s="78">
        <v>11.5168589687446</v>
      </c>
      <c r="G5861" s="78">
        <v>11.5168589687446</v>
      </c>
      <c r="H5861" s="81">
        <v>10.672482529536101</v>
      </c>
    </row>
    <row r="5862" spans="1:8" x14ac:dyDescent="0.3">
      <c r="A5862" s="74" t="str">
        <f t="shared" si="91"/>
        <v>江西46175</v>
      </c>
      <c r="B5862" s="75" t="s">
        <v>34</v>
      </c>
      <c r="C5862" s="45">
        <v>46175</v>
      </c>
      <c r="D5862" s="76">
        <v>516.66697548028003</v>
      </c>
      <c r="E5862" s="77">
        <v>125</v>
      </c>
      <c r="F5862" s="78">
        <v>11.5168589687446</v>
      </c>
      <c r="G5862" s="78">
        <v>11.5168589687446</v>
      </c>
      <c r="H5862" s="81">
        <v>10.672482529536101</v>
      </c>
    </row>
    <row r="5863" spans="1:8" x14ac:dyDescent="0.3">
      <c r="A5863" s="74" t="str">
        <f t="shared" si="91"/>
        <v>江西46176</v>
      </c>
      <c r="B5863" s="75" t="s">
        <v>34</v>
      </c>
      <c r="C5863" s="45">
        <v>46176</v>
      </c>
      <c r="D5863" s="76">
        <v>516.66697548028003</v>
      </c>
      <c r="E5863" s="77">
        <v>125</v>
      </c>
      <c r="F5863" s="78">
        <v>11.5168589687446</v>
      </c>
      <c r="G5863" s="78">
        <v>11.5168589687446</v>
      </c>
      <c r="H5863" s="81">
        <v>10.672482529536101</v>
      </c>
    </row>
    <row r="5864" spans="1:8" x14ac:dyDescent="0.3">
      <c r="A5864" s="74" t="str">
        <f t="shared" si="91"/>
        <v>江西46177</v>
      </c>
      <c r="B5864" s="75" t="s">
        <v>34</v>
      </c>
      <c r="C5864" s="45">
        <v>46177</v>
      </c>
      <c r="D5864" s="76">
        <v>516.66697548028003</v>
      </c>
      <c r="E5864" s="77">
        <v>125</v>
      </c>
      <c r="F5864" s="78">
        <v>11.5168589687446</v>
      </c>
      <c r="G5864" s="78">
        <v>11.5168589687446</v>
      </c>
      <c r="H5864" s="81">
        <v>10.672482529536101</v>
      </c>
    </row>
    <row r="5865" spans="1:8" x14ac:dyDescent="0.3">
      <c r="A5865" s="74" t="str">
        <f t="shared" si="91"/>
        <v>江西46178</v>
      </c>
      <c r="B5865" s="75" t="s">
        <v>34</v>
      </c>
      <c r="C5865" s="45">
        <v>46178</v>
      </c>
      <c r="D5865" s="76">
        <v>516.66697548028003</v>
      </c>
      <c r="E5865" s="77">
        <v>125</v>
      </c>
      <c r="F5865" s="78">
        <v>11.5168589687446</v>
      </c>
      <c r="G5865" s="78">
        <v>11.5168589687446</v>
      </c>
      <c r="H5865" s="81">
        <v>10.672482529536101</v>
      </c>
    </row>
    <row r="5866" spans="1:8" x14ac:dyDescent="0.3">
      <c r="A5866" s="74" t="str">
        <f t="shared" si="91"/>
        <v>江西46179</v>
      </c>
      <c r="B5866" s="75" t="s">
        <v>34</v>
      </c>
      <c r="C5866" s="45">
        <v>46179</v>
      </c>
      <c r="D5866" s="76">
        <v>516.66697548028003</v>
      </c>
      <c r="E5866" s="77">
        <v>125</v>
      </c>
      <c r="F5866" s="78">
        <v>11.5168589687446</v>
      </c>
      <c r="G5866" s="78">
        <v>11.5168589687446</v>
      </c>
      <c r="H5866" s="81">
        <v>10.672482529536101</v>
      </c>
    </row>
    <row r="5867" spans="1:8" x14ac:dyDescent="0.3">
      <c r="A5867" s="74" t="str">
        <f t="shared" si="91"/>
        <v>江西46180</v>
      </c>
      <c r="B5867" s="75" t="s">
        <v>34</v>
      </c>
      <c r="C5867" s="45">
        <v>46180</v>
      </c>
      <c r="D5867" s="76">
        <v>516.66697548028003</v>
      </c>
      <c r="E5867" s="77">
        <v>125</v>
      </c>
      <c r="F5867" s="78">
        <v>11.5168589687446</v>
      </c>
      <c r="G5867" s="78">
        <v>11.5168589687446</v>
      </c>
      <c r="H5867" s="81">
        <v>10.672482529536101</v>
      </c>
    </row>
    <row r="5868" spans="1:8" x14ac:dyDescent="0.3">
      <c r="A5868" s="74" t="str">
        <f t="shared" si="91"/>
        <v>江西46181</v>
      </c>
      <c r="B5868" s="75" t="s">
        <v>34</v>
      </c>
      <c r="C5868" s="45">
        <v>46181</v>
      </c>
      <c r="D5868" s="76">
        <v>516.66697548028003</v>
      </c>
      <c r="E5868" s="77">
        <v>125</v>
      </c>
      <c r="F5868" s="78">
        <v>11.5168589687446</v>
      </c>
      <c r="G5868" s="78">
        <v>11.5168589687446</v>
      </c>
      <c r="H5868" s="81">
        <v>10.672482529536101</v>
      </c>
    </row>
    <row r="5869" spans="1:8" x14ac:dyDescent="0.3">
      <c r="A5869" s="74" t="str">
        <f t="shared" si="91"/>
        <v>江西46182</v>
      </c>
      <c r="B5869" s="75" t="s">
        <v>34</v>
      </c>
      <c r="C5869" s="45">
        <v>46182</v>
      </c>
      <c r="D5869" s="76">
        <v>516.66697548028003</v>
      </c>
      <c r="E5869" s="77">
        <v>125</v>
      </c>
      <c r="F5869" s="78">
        <v>11.5168589687446</v>
      </c>
      <c r="G5869" s="78">
        <v>11.5168589687446</v>
      </c>
      <c r="H5869" s="81">
        <v>10.672482529536101</v>
      </c>
    </row>
    <row r="5870" spans="1:8" x14ac:dyDescent="0.3">
      <c r="A5870" s="74" t="str">
        <f t="shared" si="91"/>
        <v>江西46183</v>
      </c>
      <c r="B5870" s="75" t="s">
        <v>34</v>
      </c>
      <c r="C5870" s="45">
        <v>46183</v>
      </c>
      <c r="D5870" s="76">
        <v>516.66697548028003</v>
      </c>
      <c r="E5870" s="77">
        <v>125</v>
      </c>
      <c r="F5870" s="78">
        <v>11.5168589687446</v>
      </c>
      <c r="G5870" s="78">
        <v>11.5168589687446</v>
      </c>
      <c r="H5870" s="81">
        <v>10.672482529536101</v>
      </c>
    </row>
    <row r="5871" spans="1:8" x14ac:dyDescent="0.3">
      <c r="A5871" s="74" t="str">
        <f t="shared" si="91"/>
        <v>江西46184</v>
      </c>
      <c r="B5871" s="75" t="s">
        <v>34</v>
      </c>
      <c r="C5871" s="45">
        <v>46184</v>
      </c>
      <c r="D5871" s="76">
        <v>516.66697548028003</v>
      </c>
      <c r="E5871" s="77">
        <v>125</v>
      </c>
      <c r="F5871" s="78">
        <v>11.5168589687446</v>
      </c>
      <c r="G5871" s="78">
        <v>11.5168589687446</v>
      </c>
      <c r="H5871" s="81">
        <v>10.672482529536101</v>
      </c>
    </row>
    <row r="5872" spans="1:8" x14ac:dyDescent="0.3">
      <c r="A5872" s="74" t="str">
        <f t="shared" si="91"/>
        <v>江西46185</v>
      </c>
      <c r="B5872" s="75" t="s">
        <v>34</v>
      </c>
      <c r="C5872" s="45">
        <v>46185</v>
      </c>
      <c r="D5872" s="76">
        <v>516.66697548028003</v>
      </c>
      <c r="E5872" s="77">
        <v>125</v>
      </c>
      <c r="F5872" s="78">
        <v>11.5168589687446</v>
      </c>
      <c r="G5872" s="78">
        <v>11.5168589687446</v>
      </c>
      <c r="H5872" s="81">
        <v>10.672482529536101</v>
      </c>
    </row>
    <row r="5873" spans="1:8" x14ac:dyDescent="0.3">
      <c r="A5873" s="74" t="str">
        <f t="shared" si="91"/>
        <v>江西46186</v>
      </c>
      <c r="B5873" s="75" t="s">
        <v>34</v>
      </c>
      <c r="C5873" s="45">
        <v>46186</v>
      </c>
      <c r="D5873" s="76">
        <v>516.66697548028003</v>
      </c>
      <c r="E5873" s="77">
        <v>125</v>
      </c>
      <c r="F5873" s="78">
        <v>11.5168589687446</v>
      </c>
      <c r="G5873" s="78">
        <v>11.5168589687446</v>
      </c>
      <c r="H5873" s="81">
        <v>10.672482529536101</v>
      </c>
    </row>
    <row r="5874" spans="1:8" x14ac:dyDescent="0.3">
      <c r="A5874" s="74" t="str">
        <f t="shared" si="91"/>
        <v>江西46187</v>
      </c>
      <c r="B5874" s="75" t="s">
        <v>34</v>
      </c>
      <c r="C5874" s="45">
        <v>46187</v>
      </c>
      <c r="D5874" s="76">
        <v>516.66697548028003</v>
      </c>
      <c r="E5874" s="77">
        <v>125</v>
      </c>
      <c r="F5874" s="78">
        <v>11.5168589687446</v>
      </c>
      <c r="G5874" s="78">
        <v>11.5168589687446</v>
      </c>
      <c r="H5874" s="81">
        <v>10.672482529536101</v>
      </c>
    </row>
    <row r="5875" spans="1:8" x14ac:dyDescent="0.3">
      <c r="A5875" s="74" t="str">
        <f t="shared" si="91"/>
        <v>江西46188</v>
      </c>
      <c r="B5875" s="75" t="s">
        <v>34</v>
      </c>
      <c r="C5875" s="45">
        <v>46188</v>
      </c>
      <c r="D5875" s="76">
        <v>516.66697548028003</v>
      </c>
      <c r="E5875" s="77">
        <v>125</v>
      </c>
      <c r="F5875" s="78">
        <v>11.5168589687446</v>
      </c>
      <c r="G5875" s="78">
        <v>11.5168589687446</v>
      </c>
      <c r="H5875" s="81">
        <v>10.672482529536101</v>
      </c>
    </row>
    <row r="5876" spans="1:8" x14ac:dyDescent="0.3">
      <c r="A5876" s="74" t="str">
        <f t="shared" si="91"/>
        <v>江西46189</v>
      </c>
      <c r="B5876" s="75" t="s">
        <v>34</v>
      </c>
      <c r="C5876" s="45">
        <v>46189</v>
      </c>
      <c r="D5876" s="76">
        <v>516.66697548028003</v>
      </c>
      <c r="E5876" s="77">
        <v>125</v>
      </c>
      <c r="F5876" s="78">
        <v>11.5168589687446</v>
      </c>
      <c r="G5876" s="78">
        <v>11.5168589687446</v>
      </c>
      <c r="H5876" s="81">
        <v>10.672482529536101</v>
      </c>
    </row>
    <row r="5877" spans="1:8" x14ac:dyDescent="0.3">
      <c r="A5877" s="74" t="str">
        <f t="shared" si="91"/>
        <v>江西46190</v>
      </c>
      <c r="B5877" s="75" t="s">
        <v>34</v>
      </c>
      <c r="C5877" s="45">
        <v>46190</v>
      </c>
      <c r="D5877" s="76">
        <v>516.66697548028003</v>
      </c>
      <c r="E5877" s="77">
        <v>125</v>
      </c>
      <c r="F5877" s="78">
        <v>11.5168589687446</v>
      </c>
      <c r="G5877" s="78">
        <v>11.5168589687446</v>
      </c>
      <c r="H5877" s="81">
        <v>10.672482529536101</v>
      </c>
    </row>
    <row r="5878" spans="1:8" x14ac:dyDescent="0.3">
      <c r="A5878" s="74" t="str">
        <f t="shared" si="91"/>
        <v>江西46191</v>
      </c>
      <c r="B5878" s="75" t="s">
        <v>34</v>
      </c>
      <c r="C5878" s="45">
        <v>46191</v>
      </c>
      <c r="D5878" s="76">
        <v>516.66697548028003</v>
      </c>
      <c r="E5878" s="77">
        <v>125</v>
      </c>
      <c r="F5878" s="78">
        <v>11.5168589687446</v>
      </c>
      <c r="G5878" s="78">
        <v>11.5168589687446</v>
      </c>
      <c r="H5878" s="81">
        <v>10.672482529536101</v>
      </c>
    </row>
    <row r="5879" spans="1:8" x14ac:dyDescent="0.3">
      <c r="A5879" s="74" t="str">
        <f t="shared" si="91"/>
        <v>江西46192</v>
      </c>
      <c r="B5879" s="75" t="s">
        <v>34</v>
      </c>
      <c r="C5879" s="45">
        <v>46192</v>
      </c>
      <c r="D5879" s="76">
        <v>516.66697548028003</v>
      </c>
      <c r="E5879" s="77">
        <v>125</v>
      </c>
      <c r="F5879" s="78">
        <v>11.5168589687446</v>
      </c>
      <c r="G5879" s="78">
        <v>11.5168589687446</v>
      </c>
      <c r="H5879" s="81">
        <v>10.672482529536101</v>
      </c>
    </row>
    <row r="5880" spans="1:8" x14ac:dyDescent="0.3">
      <c r="A5880" s="74" t="str">
        <f t="shared" si="91"/>
        <v>江西46193</v>
      </c>
      <c r="B5880" s="75" t="s">
        <v>34</v>
      </c>
      <c r="C5880" s="45">
        <v>46193</v>
      </c>
      <c r="D5880" s="76">
        <v>516.66697548028003</v>
      </c>
      <c r="E5880" s="77">
        <v>125</v>
      </c>
      <c r="F5880" s="78">
        <v>11.5168589687446</v>
      </c>
      <c r="G5880" s="78">
        <v>11.5168589687446</v>
      </c>
      <c r="H5880" s="81">
        <v>10.672482529536101</v>
      </c>
    </row>
    <row r="5881" spans="1:8" x14ac:dyDescent="0.3">
      <c r="A5881" s="74" t="str">
        <f t="shared" si="91"/>
        <v>江西46194</v>
      </c>
      <c r="B5881" s="75" t="s">
        <v>34</v>
      </c>
      <c r="C5881" s="45">
        <v>46194</v>
      </c>
      <c r="D5881" s="76">
        <v>516.66697548028003</v>
      </c>
      <c r="E5881" s="77">
        <v>125</v>
      </c>
      <c r="F5881" s="78">
        <v>11.5168589687446</v>
      </c>
      <c r="G5881" s="78">
        <v>11.5168589687446</v>
      </c>
      <c r="H5881" s="81">
        <v>10.672482529536101</v>
      </c>
    </row>
    <row r="5882" spans="1:8" x14ac:dyDescent="0.3">
      <c r="A5882" s="74" t="str">
        <f t="shared" si="91"/>
        <v>江西46195</v>
      </c>
      <c r="B5882" s="75" t="s">
        <v>34</v>
      </c>
      <c r="C5882" s="45">
        <v>46195</v>
      </c>
      <c r="D5882" s="76">
        <v>516.66697548028003</v>
      </c>
      <c r="E5882" s="77">
        <v>125</v>
      </c>
      <c r="F5882" s="78">
        <v>11.5168589687446</v>
      </c>
      <c r="G5882" s="78">
        <v>11.5168589687446</v>
      </c>
      <c r="H5882" s="81">
        <v>10.672482529536101</v>
      </c>
    </row>
    <row r="5883" spans="1:8" x14ac:dyDescent="0.3">
      <c r="A5883" s="74" t="str">
        <f t="shared" si="91"/>
        <v>江西46196</v>
      </c>
      <c r="B5883" s="75" t="s">
        <v>34</v>
      </c>
      <c r="C5883" s="45">
        <v>46196</v>
      </c>
      <c r="D5883" s="76">
        <v>516.66697548028003</v>
      </c>
      <c r="E5883" s="77">
        <v>125</v>
      </c>
      <c r="F5883" s="78">
        <v>11.5168589687446</v>
      </c>
      <c r="G5883" s="78">
        <v>11.5168589687446</v>
      </c>
      <c r="H5883" s="81">
        <v>10.672482529536101</v>
      </c>
    </row>
    <row r="5884" spans="1:8" x14ac:dyDescent="0.3">
      <c r="A5884" s="74" t="str">
        <f t="shared" si="91"/>
        <v>江西46197</v>
      </c>
      <c r="B5884" s="75" t="s">
        <v>34</v>
      </c>
      <c r="C5884" s="45">
        <v>46197</v>
      </c>
      <c r="D5884" s="76">
        <v>516.66697548028003</v>
      </c>
      <c r="E5884" s="77">
        <v>125</v>
      </c>
      <c r="F5884" s="78">
        <v>11.5168589687446</v>
      </c>
      <c r="G5884" s="78">
        <v>11.5168589687446</v>
      </c>
      <c r="H5884" s="81">
        <v>10.672482529536101</v>
      </c>
    </row>
    <row r="5885" spans="1:8" x14ac:dyDescent="0.3">
      <c r="A5885" s="74" t="str">
        <f t="shared" si="91"/>
        <v>江西46198</v>
      </c>
      <c r="B5885" s="75" t="s">
        <v>34</v>
      </c>
      <c r="C5885" s="45">
        <v>46198</v>
      </c>
      <c r="D5885" s="76">
        <v>516.66697548028003</v>
      </c>
      <c r="E5885" s="77">
        <v>125</v>
      </c>
      <c r="F5885" s="78">
        <v>11.5168589687446</v>
      </c>
      <c r="G5885" s="78">
        <v>11.5168589687446</v>
      </c>
      <c r="H5885" s="81">
        <v>10.672482529536101</v>
      </c>
    </row>
    <row r="5886" spans="1:8" x14ac:dyDescent="0.3">
      <c r="A5886" s="74" t="str">
        <f t="shared" si="91"/>
        <v>江西46199</v>
      </c>
      <c r="B5886" s="75" t="s">
        <v>34</v>
      </c>
      <c r="C5886" s="45">
        <v>46199</v>
      </c>
      <c r="D5886" s="76">
        <v>516.66697548028003</v>
      </c>
      <c r="E5886" s="77">
        <v>125</v>
      </c>
      <c r="F5886" s="78">
        <v>11.5168589687446</v>
      </c>
      <c r="G5886" s="78">
        <v>11.5168589687446</v>
      </c>
      <c r="H5886" s="81">
        <v>10.672482529536101</v>
      </c>
    </row>
    <row r="5887" spans="1:8" x14ac:dyDescent="0.3">
      <c r="A5887" s="74" t="str">
        <f t="shared" si="91"/>
        <v>江西46200</v>
      </c>
      <c r="B5887" s="75" t="s">
        <v>34</v>
      </c>
      <c r="C5887" s="45">
        <v>46200</v>
      </c>
      <c r="D5887" s="76">
        <v>516.66697548028003</v>
      </c>
      <c r="E5887" s="77">
        <v>125</v>
      </c>
      <c r="F5887" s="78">
        <v>11.5168589687446</v>
      </c>
      <c r="G5887" s="78">
        <v>11.5168589687446</v>
      </c>
      <c r="H5887" s="81">
        <v>10.672482529536101</v>
      </c>
    </row>
    <row r="5888" spans="1:8" x14ac:dyDescent="0.3">
      <c r="A5888" s="74" t="str">
        <f t="shared" si="91"/>
        <v>江西46201</v>
      </c>
      <c r="B5888" s="75" t="s">
        <v>34</v>
      </c>
      <c r="C5888" s="45">
        <v>46201</v>
      </c>
      <c r="D5888" s="76">
        <v>516.66697548028003</v>
      </c>
      <c r="E5888" s="77">
        <v>125</v>
      </c>
      <c r="F5888" s="78">
        <v>11.5168589687446</v>
      </c>
      <c r="G5888" s="78">
        <v>11.5168589687446</v>
      </c>
      <c r="H5888" s="81">
        <v>10.672482529536101</v>
      </c>
    </row>
    <row r="5889" spans="1:8" x14ac:dyDescent="0.3">
      <c r="A5889" s="74" t="str">
        <f t="shared" si="91"/>
        <v>江西46202</v>
      </c>
      <c r="B5889" s="75" t="s">
        <v>34</v>
      </c>
      <c r="C5889" s="45">
        <v>46202</v>
      </c>
      <c r="D5889" s="76">
        <v>516.66697548028003</v>
      </c>
      <c r="E5889" s="77">
        <v>125</v>
      </c>
      <c r="F5889" s="78">
        <v>11.5168589687446</v>
      </c>
      <c r="G5889" s="78">
        <v>11.5168589687446</v>
      </c>
      <c r="H5889" s="81">
        <v>10.672482529536101</v>
      </c>
    </row>
    <row r="5890" spans="1:8" x14ac:dyDescent="0.3">
      <c r="A5890" s="74" t="str">
        <f t="shared" si="91"/>
        <v>江西46203</v>
      </c>
      <c r="B5890" s="75" t="s">
        <v>34</v>
      </c>
      <c r="C5890" s="45">
        <v>46203</v>
      </c>
      <c r="D5890" s="76">
        <v>516.66697548028003</v>
      </c>
      <c r="E5890" s="77">
        <v>125</v>
      </c>
      <c r="F5890" s="78">
        <v>11.5168589687446</v>
      </c>
      <c r="G5890" s="78">
        <v>11.5168589687446</v>
      </c>
      <c r="H5890" s="81">
        <v>10.672482529536101</v>
      </c>
    </row>
    <row r="5891" spans="1:8" x14ac:dyDescent="0.3">
      <c r="A5891" s="74" t="str">
        <f t="shared" ref="A5891:A5954" si="92">B5891&amp;C5891</f>
        <v>江西46204</v>
      </c>
      <c r="B5891" s="75" t="s">
        <v>34</v>
      </c>
      <c r="C5891" s="45">
        <v>46204</v>
      </c>
      <c r="D5891" s="76">
        <v>613.996685551155</v>
      </c>
      <c r="E5891" s="77">
        <v>125</v>
      </c>
      <c r="F5891" s="78">
        <v>11.9994531979602</v>
      </c>
      <c r="G5891" s="78">
        <v>11.9994531979602</v>
      </c>
      <c r="H5891" s="81">
        <v>11.5401232614955</v>
      </c>
    </row>
    <row r="5892" spans="1:8" x14ac:dyDescent="0.3">
      <c r="A5892" s="74" t="str">
        <f t="shared" si="92"/>
        <v>江西46205</v>
      </c>
      <c r="B5892" s="75" t="s">
        <v>34</v>
      </c>
      <c r="C5892" s="45">
        <v>46205</v>
      </c>
      <c r="D5892" s="76">
        <v>613.996685551155</v>
      </c>
      <c r="E5892" s="77">
        <v>125</v>
      </c>
      <c r="F5892" s="78">
        <v>11.9994531979602</v>
      </c>
      <c r="G5892" s="78">
        <v>11.9994531979602</v>
      </c>
      <c r="H5892" s="81">
        <v>11.5401232614955</v>
      </c>
    </row>
    <row r="5893" spans="1:8" x14ac:dyDescent="0.3">
      <c r="A5893" s="74" t="str">
        <f t="shared" si="92"/>
        <v>江西46206</v>
      </c>
      <c r="B5893" s="75" t="s">
        <v>34</v>
      </c>
      <c r="C5893" s="45">
        <v>46206</v>
      </c>
      <c r="D5893" s="76">
        <v>613.996685551155</v>
      </c>
      <c r="E5893" s="77">
        <v>125</v>
      </c>
      <c r="F5893" s="78">
        <v>11.9994531979602</v>
      </c>
      <c r="G5893" s="78">
        <v>11.9994531979602</v>
      </c>
      <c r="H5893" s="81">
        <v>11.5401232614955</v>
      </c>
    </row>
    <row r="5894" spans="1:8" x14ac:dyDescent="0.3">
      <c r="A5894" s="74" t="str">
        <f t="shared" si="92"/>
        <v>江西46207</v>
      </c>
      <c r="B5894" s="75" t="s">
        <v>34</v>
      </c>
      <c r="C5894" s="45">
        <v>46207</v>
      </c>
      <c r="D5894" s="76">
        <v>613.996685551155</v>
      </c>
      <c r="E5894" s="77">
        <v>125</v>
      </c>
      <c r="F5894" s="78">
        <v>11.9994531979602</v>
      </c>
      <c r="G5894" s="78">
        <v>11.9994531979602</v>
      </c>
      <c r="H5894" s="81">
        <v>11.5401232614955</v>
      </c>
    </row>
    <row r="5895" spans="1:8" x14ac:dyDescent="0.3">
      <c r="A5895" s="74" t="str">
        <f t="shared" si="92"/>
        <v>江西46208</v>
      </c>
      <c r="B5895" s="75" t="s">
        <v>34</v>
      </c>
      <c r="C5895" s="45">
        <v>46208</v>
      </c>
      <c r="D5895" s="76">
        <v>613.996685551155</v>
      </c>
      <c r="E5895" s="77">
        <v>125</v>
      </c>
      <c r="F5895" s="78">
        <v>11.9994531979602</v>
      </c>
      <c r="G5895" s="78">
        <v>11.9994531979602</v>
      </c>
      <c r="H5895" s="81">
        <v>11.5401232614955</v>
      </c>
    </row>
    <row r="5896" spans="1:8" x14ac:dyDescent="0.3">
      <c r="A5896" s="74" t="str">
        <f t="shared" si="92"/>
        <v>江西46209</v>
      </c>
      <c r="B5896" s="75" t="s">
        <v>34</v>
      </c>
      <c r="C5896" s="45">
        <v>46209</v>
      </c>
      <c r="D5896" s="76">
        <v>613.996685551155</v>
      </c>
      <c r="E5896" s="77">
        <v>125</v>
      </c>
      <c r="F5896" s="78">
        <v>11.9994531979602</v>
      </c>
      <c r="G5896" s="78">
        <v>11.9994531979602</v>
      </c>
      <c r="H5896" s="81">
        <v>11.5401232614955</v>
      </c>
    </row>
    <row r="5897" spans="1:8" x14ac:dyDescent="0.3">
      <c r="A5897" s="74" t="str">
        <f t="shared" si="92"/>
        <v>江西46210</v>
      </c>
      <c r="B5897" s="75" t="s">
        <v>34</v>
      </c>
      <c r="C5897" s="45">
        <v>46210</v>
      </c>
      <c r="D5897" s="76">
        <v>613.996685551155</v>
      </c>
      <c r="E5897" s="77">
        <v>125</v>
      </c>
      <c r="F5897" s="78">
        <v>11.9994531979602</v>
      </c>
      <c r="G5897" s="78">
        <v>11.9994531979602</v>
      </c>
      <c r="H5897" s="81">
        <v>11.5401232614955</v>
      </c>
    </row>
    <row r="5898" spans="1:8" x14ac:dyDescent="0.3">
      <c r="A5898" s="74" t="str">
        <f t="shared" si="92"/>
        <v>江西46211</v>
      </c>
      <c r="B5898" s="75" t="s">
        <v>34</v>
      </c>
      <c r="C5898" s="45">
        <v>46211</v>
      </c>
      <c r="D5898" s="76">
        <v>613.996685551155</v>
      </c>
      <c r="E5898" s="77">
        <v>125</v>
      </c>
      <c r="F5898" s="78">
        <v>11.9994531979602</v>
      </c>
      <c r="G5898" s="78">
        <v>11.9994531979602</v>
      </c>
      <c r="H5898" s="81">
        <v>11.5401232614955</v>
      </c>
    </row>
    <row r="5899" spans="1:8" x14ac:dyDescent="0.3">
      <c r="A5899" s="74" t="str">
        <f t="shared" si="92"/>
        <v>江西46212</v>
      </c>
      <c r="B5899" s="75" t="s">
        <v>34</v>
      </c>
      <c r="C5899" s="45">
        <v>46212</v>
      </c>
      <c r="D5899" s="76">
        <v>613.996685551155</v>
      </c>
      <c r="E5899" s="77">
        <v>125</v>
      </c>
      <c r="F5899" s="78">
        <v>11.9994531979602</v>
      </c>
      <c r="G5899" s="78">
        <v>11.9994531979602</v>
      </c>
      <c r="H5899" s="81">
        <v>11.5401232614955</v>
      </c>
    </row>
    <row r="5900" spans="1:8" x14ac:dyDescent="0.3">
      <c r="A5900" s="74" t="str">
        <f t="shared" si="92"/>
        <v>江西46213</v>
      </c>
      <c r="B5900" s="75" t="s">
        <v>34</v>
      </c>
      <c r="C5900" s="45">
        <v>46213</v>
      </c>
      <c r="D5900" s="76">
        <v>613.996685551155</v>
      </c>
      <c r="E5900" s="77">
        <v>125</v>
      </c>
      <c r="F5900" s="78">
        <v>11.9994531979602</v>
      </c>
      <c r="G5900" s="78">
        <v>11.9994531979602</v>
      </c>
      <c r="H5900" s="81">
        <v>11.5401232614955</v>
      </c>
    </row>
    <row r="5901" spans="1:8" x14ac:dyDescent="0.3">
      <c r="A5901" s="74" t="str">
        <f t="shared" si="92"/>
        <v>江西46214</v>
      </c>
      <c r="B5901" s="75" t="s">
        <v>34</v>
      </c>
      <c r="C5901" s="45">
        <v>46214</v>
      </c>
      <c r="D5901" s="76">
        <v>613.996685551155</v>
      </c>
      <c r="E5901" s="77">
        <v>125</v>
      </c>
      <c r="F5901" s="78">
        <v>11.9994531979602</v>
      </c>
      <c r="G5901" s="78">
        <v>11.9994531979602</v>
      </c>
      <c r="H5901" s="81">
        <v>11.5401232614955</v>
      </c>
    </row>
    <row r="5902" spans="1:8" x14ac:dyDescent="0.3">
      <c r="A5902" s="74" t="str">
        <f t="shared" si="92"/>
        <v>江西46215</v>
      </c>
      <c r="B5902" s="75" t="s">
        <v>34</v>
      </c>
      <c r="C5902" s="45">
        <v>46215</v>
      </c>
      <c r="D5902" s="76">
        <v>613.996685551155</v>
      </c>
      <c r="E5902" s="77">
        <v>125</v>
      </c>
      <c r="F5902" s="78">
        <v>11.9994531979602</v>
      </c>
      <c r="G5902" s="78">
        <v>11.9994531979602</v>
      </c>
      <c r="H5902" s="81">
        <v>11.5401232614955</v>
      </c>
    </row>
    <row r="5903" spans="1:8" x14ac:dyDescent="0.3">
      <c r="A5903" s="74" t="str">
        <f t="shared" si="92"/>
        <v>江西46216</v>
      </c>
      <c r="B5903" s="75" t="s">
        <v>34</v>
      </c>
      <c r="C5903" s="45">
        <v>46216</v>
      </c>
      <c r="D5903" s="76">
        <v>613.996685551155</v>
      </c>
      <c r="E5903" s="77">
        <v>125</v>
      </c>
      <c r="F5903" s="78">
        <v>11.9994531979602</v>
      </c>
      <c r="G5903" s="78">
        <v>11.9994531979602</v>
      </c>
      <c r="H5903" s="81">
        <v>11.5401232614955</v>
      </c>
    </row>
    <row r="5904" spans="1:8" x14ac:dyDescent="0.3">
      <c r="A5904" s="74" t="str">
        <f t="shared" si="92"/>
        <v>江西46217</v>
      </c>
      <c r="B5904" s="75" t="s">
        <v>34</v>
      </c>
      <c r="C5904" s="45">
        <v>46217</v>
      </c>
      <c r="D5904" s="76">
        <v>613.996685551155</v>
      </c>
      <c r="E5904" s="77">
        <v>125</v>
      </c>
      <c r="F5904" s="78">
        <v>11.9994531979602</v>
      </c>
      <c r="G5904" s="78">
        <v>11.9994531979602</v>
      </c>
      <c r="H5904" s="81">
        <v>11.5401232614955</v>
      </c>
    </row>
    <row r="5905" spans="1:8" x14ac:dyDescent="0.3">
      <c r="A5905" s="74" t="str">
        <f t="shared" si="92"/>
        <v>江西46218</v>
      </c>
      <c r="B5905" s="75" t="s">
        <v>34</v>
      </c>
      <c r="C5905" s="45">
        <v>46218</v>
      </c>
      <c r="D5905" s="76">
        <v>613.996685551155</v>
      </c>
      <c r="E5905" s="77">
        <v>125</v>
      </c>
      <c r="F5905" s="78">
        <v>11.9994531979602</v>
      </c>
      <c r="G5905" s="78">
        <v>11.9994531979602</v>
      </c>
      <c r="H5905" s="81">
        <v>11.5401232614955</v>
      </c>
    </row>
    <row r="5906" spans="1:8" x14ac:dyDescent="0.3">
      <c r="A5906" s="74" t="str">
        <f t="shared" si="92"/>
        <v>江西46219</v>
      </c>
      <c r="B5906" s="75" t="s">
        <v>34</v>
      </c>
      <c r="C5906" s="45">
        <v>46219</v>
      </c>
      <c r="D5906" s="76">
        <v>613.996685551155</v>
      </c>
      <c r="E5906" s="77">
        <v>125</v>
      </c>
      <c r="F5906" s="78">
        <v>11.9994531979602</v>
      </c>
      <c r="G5906" s="78">
        <v>11.9994531979602</v>
      </c>
      <c r="H5906" s="81">
        <v>11.5401232614955</v>
      </c>
    </row>
    <row r="5907" spans="1:8" x14ac:dyDescent="0.3">
      <c r="A5907" s="74" t="str">
        <f t="shared" si="92"/>
        <v>江西46220</v>
      </c>
      <c r="B5907" s="75" t="s">
        <v>34</v>
      </c>
      <c r="C5907" s="45">
        <v>46220</v>
      </c>
      <c r="D5907" s="76">
        <v>613.996685551155</v>
      </c>
      <c r="E5907" s="77">
        <v>125</v>
      </c>
      <c r="F5907" s="78">
        <v>11.9994531979602</v>
      </c>
      <c r="G5907" s="78">
        <v>11.9994531979602</v>
      </c>
      <c r="H5907" s="81">
        <v>11.5401232614955</v>
      </c>
    </row>
    <row r="5908" spans="1:8" x14ac:dyDescent="0.3">
      <c r="A5908" s="74" t="str">
        <f t="shared" si="92"/>
        <v>江西46221</v>
      </c>
      <c r="B5908" s="75" t="s">
        <v>34</v>
      </c>
      <c r="C5908" s="45">
        <v>46221</v>
      </c>
      <c r="D5908" s="76">
        <v>613.996685551155</v>
      </c>
      <c r="E5908" s="77">
        <v>125</v>
      </c>
      <c r="F5908" s="78">
        <v>11.9994531979602</v>
      </c>
      <c r="G5908" s="78">
        <v>11.9994531979602</v>
      </c>
      <c r="H5908" s="81">
        <v>11.5401232614955</v>
      </c>
    </row>
    <row r="5909" spans="1:8" x14ac:dyDescent="0.3">
      <c r="A5909" s="74" t="str">
        <f t="shared" si="92"/>
        <v>江西46222</v>
      </c>
      <c r="B5909" s="75" t="s">
        <v>34</v>
      </c>
      <c r="C5909" s="45">
        <v>46222</v>
      </c>
      <c r="D5909" s="76">
        <v>613.996685551155</v>
      </c>
      <c r="E5909" s="77">
        <v>125</v>
      </c>
      <c r="F5909" s="78">
        <v>11.9994531979602</v>
      </c>
      <c r="G5909" s="78">
        <v>11.9994531979602</v>
      </c>
      <c r="H5909" s="81">
        <v>11.5401232614955</v>
      </c>
    </row>
    <row r="5910" spans="1:8" x14ac:dyDescent="0.3">
      <c r="A5910" s="74" t="str">
        <f t="shared" si="92"/>
        <v>江西46223</v>
      </c>
      <c r="B5910" s="75" t="s">
        <v>34</v>
      </c>
      <c r="C5910" s="45">
        <v>46223</v>
      </c>
      <c r="D5910" s="76">
        <v>613.996685551155</v>
      </c>
      <c r="E5910" s="77">
        <v>125</v>
      </c>
      <c r="F5910" s="78">
        <v>11.9994531979602</v>
      </c>
      <c r="G5910" s="78">
        <v>11.9994531979602</v>
      </c>
      <c r="H5910" s="81">
        <v>11.5401232614955</v>
      </c>
    </row>
    <row r="5911" spans="1:8" x14ac:dyDescent="0.3">
      <c r="A5911" s="74" t="str">
        <f t="shared" si="92"/>
        <v>江西46224</v>
      </c>
      <c r="B5911" s="75" t="s">
        <v>34</v>
      </c>
      <c r="C5911" s="45">
        <v>46224</v>
      </c>
      <c r="D5911" s="76">
        <v>613.996685551155</v>
      </c>
      <c r="E5911" s="77">
        <v>125</v>
      </c>
      <c r="F5911" s="78">
        <v>11.9994531979602</v>
      </c>
      <c r="G5911" s="78">
        <v>11.9994531979602</v>
      </c>
      <c r="H5911" s="81">
        <v>11.5401232614955</v>
      </c>
    </row>
    <row r="5912" spans="1:8" x14ac:dyDescent="0.3">
      <c r="A5912" s="74" t="str">
        <f t="shared" si="92"/>
        <v>江西46225</v>
      </c>
      <c r="B5912" s="75" t="s">
        <v>34</v>
      </c>
      <c r="C5912" s="45">
        <v>46225</v>
      </c>
      <c r="D5912" s="76">
        <v>613.996685551155</v>
      </c>
      <c r="E5912" s="77">
        <v>125</v>
      </c>
      <c r="F5912" s="78">
        <v>11.9994531979602</v>
      </c>
      <c r="G5912" s="78">
        <v>11.9994531979602</v>
      </c>
      <c r="H5912" s="81">
        <v>11.5401232614955</v>
      </c>
    </row>
    <row r="5913" spans="1:8" x14ac:dyDescent="0.3">
      <c r="A5913" s="74" t="str">
        <f t="shared" si="92"/>
        <v>江西46226</v>
      </c>
      <c r="B5913" s="75" t="s">
        <v>34</v>
      </c>
      <c r="C5913" s="45">
        <v>46226</v>
      </c>
      <c r="D5913" s="76">
        <v>613.996685551155</v>
      </c>
      <c r="E5913" s="77">
        <v>125</v>
      </c>
      <c r="F5913" s="78">
        <v>11.9994531979602</v>
      </c>
      <c r="G5913" s="78">
        <v>11.9994531979602</v>
      </c>
      <c r="H5913" s="81">
        <v>11.5401232614955</v>
      </c>
    </row>
    <row r="5914" spans="1:8" x14ac:dyDescent="0.3">
      <c r="A5914" s="74" t="str">
        <f t="shared" si="92"/>
        <v>江西46227</v>
      </c>
      <c r="B5914" s="75" t="s">
        <v>34</v>
      </c>
      <c r="C5914" s="45">
        <v>46227</v>
      </c>
      <c r="D5914" s="76">
        <v>613.996685551155</v>
      </c>
      <c r="E5914" s="77">
        <v>125</v>
      </c>
      <c r="F5914" s="78">
        <v>11.9994531979602</v>
      </c>
      <c r="G5914" s="78">
        <v>11.9994531979602</v>
      </c>
      <c r="H5914" s="81">
        <v>11.5401232614955</v>
      </c>
    </row>
    <row r="5915" spans="1:8" x14ac:dyDescent="0.3">
      <c r="A5915" s="74" t="str">
        <f t="shared" si="92"/>
        <v>江西46228</v>
      </c>
      <c r="B5915" s="75" t="s">
        <v>34</v>
      </c>
      <c r="C5915" s="45">
        <v>46228</v>
      </c>
      <c r="D5915" s="76">
        <v>613.996685551155</v>
      </c>
      <c r="E5915" s="77">
        <v>125</v>
      </c>
      <c r="F5915" s="78">
        <v>11.9994531979602</v>
      </c>
      <c r="G5915" s="78">
        <v>11.9994531979602</v>
      </c>
      <c r="H5915" s="81">
        <v>11.5401232614955</v>
      </c>
    </row>
    <row r="5916" spans="1:8" x14ac:dyDescent="0.3">
      <c r="A5916" s="74" t="str">
        <f t="shared" si="92"/>
        <v>江西46229</v>
      </c>
      <c r="B5916" s="75" t="s">
        <v>34</v>
      </c>
      <c r="C5916" s="45">
        <v>46229</v>
      </c>
      <c r="D5916" s="76">
        <v>613.996685551155</v>
      </c>
      <c r="E5916" s="77">
        <v>125</v>
      </c>
      <c r="F5916" s="78">
        <v>11.9994531979602</v>
      </c>
      <c r="G5916" s="78">
        <v>11.9994531979602</v>
      </c>
      <c r="H5916" s="81">
        <v>11.5401232614955</v>
      </c>
    </row>
    <row r="5917" spans="1:8" x14ac:dyDescent="0.3">
      <c r="A5917" s="74" t="str">
        <f t="shared" si="92"/>
        <v>江西46230</v>
      </c>
      <c r="B5917" s="75" t="s">
        <v>34</v>
      </c>
      <c r="C5917" s="45">
        <v>46230</v>
      </c>
      <c r="D5917" s="76">
        <v>613.996685551155</v>
      </c>
      <c r="E5917" s="77">
        <v>125</v>
      </c>
      <c r="F5917" s="78">
        <v>11.9994531979602</v>
      </c>
      <c r="G5917" s="78">
        <v>11.9994531979602</v>
      </c>
      <c r="H5917" s="81">
        <v>11.5401232614955</v>
      </c>
    </row>
    <row r="5918" spans="1:8" x14ac:dyDescent="0.3">
      <c r="A5918" s="74" t="str">
        <f t="shared" si="92"/>
        <v>江西46231</v>
      </c>
      <c r="B5918" s="75" t="s">
        <v>34</v>
      </c>
      <c r="C5918" s="45">
        <v>46231</v>
      </c>
      <c r="D5918" s="76">
        <v>613.996685551155</v>
      </c>
      <c r="E5918" s="77">
        <v>125</v>
      </c>
      <c r="F5918" s="78">
        <v>11.9994531979602</v>
      </c>
      <c r="G5918" s="78">
        <v>11.9994531979602</v>
      </c>
      <c r="H5918" s="81">
        <v>11.5401232614955</v>
      </c>
    </row>
    <row r="5919" spans="1:8" x14ac:dyDescent="0.3">
      <c r="A5919" s="74" t="str">
        <f t="shared" si="92"/>
        <v>江西46232</v>
      </c>
      <c r="B5919" s="75" t="s">
        <v>34</v>
      </c>
      <c r="C5919" s="45">
        <v>46232</v>
      </c>
      <c r="D5919" s="76">
        <v>613.996685551155</v>
      </c>
      <c r="E5919" s="77">
        <v>125</v>
      </c>
      <c r="F5919" s="78">
        <v>11.9994531979602</v>
      </c>
      <c r="G5919" s="78">
        <v>11.9994531979602</v>
      </c>
      <c r="H5919" s="81">
        <v>11.5401232614955</v>
      </c>
    </row>
    <row r="5920" spans="1:8" x14ac:dyDescent="0.3">
      <c r="A5920" s="74" t="str">
        <f t="shared" si="92"/>
        <v>江西46233</v>
      </c>
      <c r="B5920" s="75" t="s">
        <v>34</v>
      </c>
      <c r="C5920" s="45">
        <v>46233</v>
      </c>
      <c r="D5920" s="76">
        <v>613.996685551155</v>
      </c>
      <c r="E5920" s="77">
        <v>125</v>
      </c>
      <c r="F5920" s="78">
        <v>11.9994531979602</v>
      </c>
      <c r="G5920" s="78">
        <v>11.9994531979602</v>
      </c>
      <c r="H5920" s="81">
        <v>11.5401232614955</v>
      </c>
    </row>
    <row r="5921" spans="1:8" x14ac:dyDescent="0.3">
      <c r="A5921" s="74" t="str">
        <f t="shared" si="92"/>
        <v>江西46234</v>
      </c>
      <c r="B5921" s="75" t="s">
        <v>34</v>
      </c>
      <c r="C5921" s="45">
        <v>46234</v>
      </c>
      <c r="D5921" s="76">
        <v>613.996685551155</v>
      </c>
      <c r="E5921" s="77">
        <v>125</v>
      </c>
      <c r="F5921" s="78">
        <v>11.9994531979602</v>
      </c>
      <c r="G5921" s="78">
        <v>11.9994531979602</v>
      </c>
      <c r="H5921" s="81">
        <v>11.5401232614955</v>
      </c>
    </row>
    <row r="5922" spans="1:8" x14ac:dyDescent="0.3">
      <c r="A5922" s="74" t="str">
        <f t="shared" si="92"/>
        <v>江西46235</v>
      </c>
      <c r="B5922" s="75" t="s">
        <v>34</v>
      </c>
      <c r="C5922" s="45">
        <v>46235</v>
      </c>
      <c r="D5922" s="76">
        <v>848.03557561106902</v>
      </c>
      <c r="E5922" s="77">
        <v>125</v>
      </c>
      <c r="F5922" s="78">
        <v>12.105658526091901</v>
      </c>
      <c r="G5922" s="78">
        <v>12.105658526091901</v>
      </c>
      <c r="H5922" s="81">
        <v>12.076756546580301</v>
      </c>
    </row>
    <row r="5923" spans="1:8" x14ac:dyDescent="0.3">
      <c r="A5923" s="74" t="str">
        <f t="shared" si="92"/>
        <v>江西46236</v>
      </c>
      <c r="B5923" s="75" t="s">
        <v>34</v>
      </c>
      <c r="C5923" s="45">
        <v>46236</v>
      </c>
      <c r="D5923" s="76">
        <v>848.03557561106902</v>
      </c>
      <c r="E5923" s="77">
        <v>125</v>
      </c>
      <c r="F5923" s="78">
        <v>12.105658526091901</v>
      </c>
      <c r="G5923" s="78">
        <v>12.105658526091901</v>
      </c>
      <c r="H5923" s="81">
        <v>12.076756546580301</v>
      </c>
    </row>
    <row r="5924" spans="1:8" x14ac:dyDescent="0.3">
      <c r="A5924" s="74" t="str">
        <f t="shared" si="92"/>
        <v>江西46237</v>
      </c>
      <c r="B5924" s="75" t="s">
        <v>34</v>
      </c>
      <c r="C5924" s="45">
        <v>46237</v>
      </c>
      <c r="D5924" s="76">
        <v>848.03557561106902</v>
      </c>
      <c r="E5924" s="77">
        <v>125</v>
      </c>
      <c r="F5924" s="78">
        <v>12.105658526091901</v>
      </c>
      <c r="G5924" s="78">
        <v>12.105658526091901</v>
      </c>
      <c r="H5924" s="81">
        <v>12.076756546580301</v>
      </c>
    </row>
    <row r="5925" spans="1:8" x14ac:dyDescent="0.3">
      <c r="A5925" s="74" t="str">
        <f t="shared" si="92"/>
        <v>江西46238</v>
      </c>
      <c r="B5925" s="75" t="s">
        <v>34</v>
      </c>
      <c r="C5925" s="45">
        <v>46238</v>
      </c>
      <c r="D5925" s="76">
        <v>848.03557561106902</v>
      </c>
      <c r="E5925" s="77">
        <v>125</v>
      </c>
      <c r="F5925" s="78">
        <v>12.105658526091901</v>
      </c>
      <c r="G5925" s="78">
        <v>12.105658526091901</v>
      </c>
      <c r="H5925" s="81">
        <v>12.076756546580301</v>
      </c>
    </row>
    <row r="5926" spans="1:8" x14ac:dyDescent="0.3">
      <c r="A5926" s="74" t="str">
        <f t="shared" si="92"/>
        <v>江西46239</v>
      </c>
      <c r="B5926" s="75" t="s">
        <v>34</v>
      </c>
      <c r="C5926" s="45">
        <v>46239</v>
      </c>
      <c r="D5926" s="76">
        <v>848.03557561106902</v>
      </c>
      <c r="E5926" s="77">
        <v>125</v>
      </c>
      <c r="F5926" s="78">
        <v>12.105658526091901</v>
      </c>
      <c r="G5926" s="78">
        <v>12.105658526091901</v>
      </c>
      <c r="H5926" s="81">
        <v>12.076756546580301</v>
      </c>
    </row>
    <row r="5927" spans="1:8" x14ac:dyDescent="0.3">
      <c r="A5927" s="74" t="str">
        <f t="shared" si="92"/>
        <v>江西46240</v>
      </c>
      <c r="B5927" s="75" t="s">
        <v>34</v>
      </c>
      <c r="C5927" s="45">
        <v>46240</v>
      </c>
      <c r="D5927" s="76">
        <v>848.03557561106902</v>
      </c>
      <c r="E5927" s="77">
        <v>125</v>
      </c>
      <c r="F5927" s="78">
        <v>12.105658526091901</v>
      </c>
      <c r="G5927" s="78">
        <v>12.105658526091901</v>
      </c>
      <c r="H5927" s="81">
        <v>12.076756546580301</v>
      </c>
    </row>
    <row r="5928" spans="1:8" x14ac:dyDescent="0.3">
      <c r="A5928" s="74" t="str">
        <f t="shared" si="92"/>
        <v>江西46241</v>
      </c>
      <c r="B5928" s="75" t="s">
        <v>34</v>
      </c>
      <c r="C5928" s="45">
        <v>46241</v>
      </c>
      <c r="D5928" s="76">
        <v>848.03557561106902</v>
      </c>
      <c r="E5928" s="77">
        <v>125</v>
      </c>
      <c r="F5928" s="78">
        <v>12.105658526091901</v>
      </c>
      <c r="G5928" s="78">
        <v>12.105658526091901</v>
      </c>
      <c r="H5928" s="81">
        <v>12.076756546580301</v>
      </c>
    </row>
    <row r="5929" spans="1:8" x14ac:dyDescent="0.3">
      <c r="A5929" s="74" t="str">
        <f t="shared" si="92"/>
        <v>江西46242</v>
      </c>
      <c r="B5929" s="75" t="s">
        <v>34</v>
      </c>
      <c r="C5929" s="45">
        <v>46242</v>
      </c>
      <c r="D5929" s="76">
        <v>848.03557561106902</v>
      </c>
      <c r="E5929" s="77">
        <v>125</v>
      </c>
      <c r="F5929" s="78">
        <v>12.105658526091901</v>
      </c>
      <c r="G5929" s="78">
        <v>12.105658526091901</v>
      </c>
      <c r="H5929" s="81">
        <v>12.076756546580301</v>
      </c>
    </row>
    <row r="5930" spans="1:8" x14ac:dyDescent="0.3">
      <c r="A5930" s="74" t="str">
        <f t="shared" si="92"/>
        <v>江西46243</v>
      </c>
      <c r="B5930" s="75" t="s">
        <v>34</v>
      </c>
      <c r="C5930" s="45">
        <v>46243</v>
      </c>
      <c r="D5930" s="76">
        <v>848.03557561106902</v>
      </c>
      <c r="E5930" s="77">
        <v>125</v>
      </c>
      <c r="F5930" s="78">
        <v>12.105658526091901</v>
      </c>
      <c r="G5930" s="78">
        <v>12.105658526091901</v>
      </c>
      <c r="H5930" s="81">
        <v>12.076756546580301</v>
      </c>
    </row>
    <row r="5931" spans="1:8" x14ac:dyDescent="0.3">
      <c r="A5931" s="74" t="str">
        <f t="shared" si="92"/>
        <v>江西46244</v>
      </c>
      <c r="B5931" s="75" t="s">
        <v>34</v>
      </c>
      <c r="C5931" s="45">
        <v>46244</v>
      </c>
      <c r="D5931" s="76">
        <v>848.03557561106902</v>
      </c>
      <c r="E5931" s="77">
        <v>125</v>
      </c>
      <c r="F5931" s="78">
        <v>12.105658526091901</v>
      </c>
      <c r="G5931" s="78">
        <v>12.105658526091901</v>
      </c>
      <c r="H5931" s="81">
        <v>12.076756546580301</v>
      </c>
    </row>
    <row r="5932" spans="1:8" x14ac:dyDescent="0.3">
      <c r="A5932" s="74" t="str">
        <f t="shared" si="92"/>
        <v>江西46245</v>
      </c>
      <c r="B5932" s="75" t="s">
        <v>34</v>
      </c>
      <c r="C5932" s="45">
        <v>46245</v>
      </c>
      <c r="D5932" s="76">
        <v>848.03557561106902</v>
      </c>
      <c r="E5932" s="77">
        <v>125</v>
      </c>
      <c r="F5932" s="78">
        <v>12.105658526091901</v>
      </c>
      <c r="G5932" s="78">
        <v>12.105658526091901</v>
      </c>
      <c r="H5932" s="81">
        <v>12.076756546580301</v>
      </c>
    </row>
    <row r="5933" spans="1:8" x14ac:dyDescent="0.3">
      <c r="A5933" s="74" t="str">
        <f t="shared" si="92"/>
        <v>江西46246</v>
      </c>
      <c r="B5933" s="75" t="s">
        <v>34</v>
      </c>
      <c r="C5933" s="45">
        <v>46246</v>
      </c>
      <c r="D5933" s="76">
        <v>848.03557561106902</v>
      </c>
      <c r="E5933" s="77">
        <v>125</v>
      </c>
      <c r="F5933" s="78">
        <v>12.105658526091901</v>
      </c>
      <c r="G5933" s="78">
        <v>12.105658526091901</v>
      </c>
      <c r="H5933" s="81">
        <v>12.076756546580301</v>
      </c>
    </row>
    <row r="5934" spans="1:8" x14ac:dyDescent="0.3">
      <c r="A5934" s="74" t="str">
        <f t="shared" si="92"/>
        <v>江西46247</v>
      </c>
      <c r="B5934" s="75" t="s">
        <v>34</v>
      </c>
      <c r="C5934" s="45">
        <v>46247</v>
      </c>
      <c r="D5934" s="76">
        <v>848.03557561106902</v>
      </c>
      <c r="E5934" s="77">
        <v>125</v>
      </c>
      <c r="F5934" s="78">
        <v>12.105658526091901</v>
      </c>
      <c r="G5934" s="78">
        <v>12.105658526091901</v>
      </c>
      <c r="H5934" s="81">
        <v>12.076756546580301</v>
      </c>
    </row>
    <row r="5935" spans="1:8" x14ac:dyDescent="0.3">
      <c r="A5935" s="74" t="str">
        <f t="shared" si="92"/>
        <v>江西46248</v>
      </c>
      <c r="B5935" s="75" t="s">
        <v>34</v>
      </c>
      <c r="C5935" s="45">
        <v>46248</v>
      </c>
      <c r="D5935" s="76">
        <v>848.03557561106902</v>
      </c>
      <c r="E5935" s="77">
        <v>125</v>
      </c>
      <c r="F5935" s="78">
        <v>12.105658526091901</v>
      </c>
      <c r="G5935" s="78">
        <v>12.105658526091901</v>
      </c>
      <c r="H5935" s="81">
        <v>12.076756546580301</v>
      </c>
    </row>
    <row r="5936" spans="1:8" x14ac:dyDescent="0.3">
      <c r="A5936" s="74" t="str">
        <f t="shared" si="92"/>
        <v>江西46249</v>
      </c>
      <c r="B5936" s="75" t="s">
        <v>34</v>
      </c>
      <c r="C5936" s="45">
        <v>46249</v>
      </c>
      <c r="D5936" s="76">
        <v>848.03557561106902</v>
      </c>
      <c r="E5936" s="77">
        <v>125</v>
      </c>
      <c r="F5936" s="78">
        <v>12.105658526091901</v>
      </c>
      <c r="G5936" s="78">
        <v>12.105658526091901</v>
      </c>
      <c r="H5936" s="81">
        <v>12.076756546580301</v>
      </c>
    </row>
    <row r="5937" spans="1:8" x14ac:dyDescent="0.3">
      <c r="A5937" s="74" t="str">
        <f t="shared" si="92"/>
        <v>江西46250</v>
      </c>
      <c r="B5937" s="75" t="s">
        <v>34</v>
      </c>
      <c r="C5937" s="45">
        <v>46250</v>
      </c>
      <c r="D5937" s="76">
        <v>848.03557561106902</v>
      </c>
      <c r="E5937" s="77">
        <v>125</v>
      </c>
      <c r="F5937" s="78">
        <v>12.105658526091901</v>
      </c>
      <c r="G5937" s="78">
        <v>12.105658526091901</v>
      </c>
      <c r="H5937" s="81">
        <v>12.076756546580301</v>
      </c>
    </row>
    <row r="5938" spans="1:8" x14ac:dyDescent="0.3">
      <c r="A5938" s="74" t="str">
        <f t="shared" si="92"/>
        <v>江西46251</v>
      </c>
      <c r="B5938" s="75" t="s">
        <v>34</v>
      </c>
      <c r="C5938" s="45">
        <v>46251</v>
      </c>
      <c r="D5938" s="76">
        <v>848.03557561106902</v>
      </c>
      <c r="E5938" s="77">
        <v>125</v>
      </c>
      <c r="F5938" s="78">
        <v>12.105658526091901</v>
      </c>
      <c r="G5938" s="78">
        <v>12.105658526091901</v>
      </c>
      <c r="H5938" s="81">
        <v>12.076756546580301</v>
      </c>
    </row>
    <row r="5939" spans="1:8" x14ac:dyDescent="0.3">
      <c r="A5939" s="74" t="str">
        <f t="shared" si="92"/>
        <v>江西46252</v>
      </c>
      <c r="B5939" s="75" t="s">
        <v>34</v>
      </c>
      <c r="C5939" s="45">
        <v>46252</v>
      </c>
      <c r="D5939" s="76">
        <v>848.03557561106902</v>
      </c>
      <c r="E5939" s="77">
        <v>125</v>
      </c>
      <c r="F5939" s="78">
        <v>12.105658526091901</v>
      </c>
      <c r="G5939" s="78">
        <v>12.105658526091901</v>
      </c>
      <c r="H5939" s="81">
        <v>12.076756546580301</v>
      </c>
    </row>
    <row r="5940" spans="1:8" x14ac:dyDescent="0.3">
      <c r="A5940" s="74" t="str">
        <f t="shared" si="92"/>
        <v>江西46253</v>
      </c>
      <c r="B5940" s="75" t="s">
        <v>34</v>
      </c>
      <c r="C5940" s="45">
        <v>46253</v>
      </c>
      <c r="D5940" s="76">
        <v>848.03557561106902</v>
      </c>
      <c r="E5940" s="77">
        <v>125</v>
      </c>
      <c r="F5940" s="78">
        <v>12.105658526091901</v>
      </c>
      <c r="G5940" s="78">
        <v>12.105658526091901</v>
      </c>
      <c r="H5940" s="81">
        <v>12.076756546580301</v>
      </c>
    </row>
    <row r="5941" spans="1:8" x14ac:dyDescent="0.3">
      <c r="A5941" s="74" t="str">
        <f t="shared" si="92"/>
        <v>江西46254</v>
      </c>
      <c r="B5941" s="75" t="s">
        <v>34</v>
      </c>
      <c r="C5941" s="45">
        <v>46254</v>
      </c>
      <c r="D5941" s="76">
        <v>848.03557561106902</v>
      </c>
      <c r="E5941" s="77">
        <v>125</v>
      </c>
      <c r="F5941" s="78">
        <v>12.105658526091901</v>
      </c>
      <c r="G5941" s="78">
        <v>12.105658526091901</v>
      </c>
      <c r="H5941" s="81">
        <v>12.076756546580301</v>
      </c>
    </row>
    <row r="5942" spans="1:8" x14ac:dyDescent="0.3">
      <c r="A5942" s="74" t="str">
        <f t="shared" si="92"/>
        <v>江西46255</v>
      </c>
      <c r="B5942" s="75" t="s">
        <v>34</v>
      </c>
      <c r="C5942" s="45">
        <v>46255</v>
      </c>
      <c r="D5942" s="76">
        <v>848.03557561106902</v>
      </c>
      <c r="E5942" s="77">
        <v>125</v>
      </c>
      <c r="F5942" s="78">
        <v>12.105658526091901</v>
      </c>
      <c r="G5942" s="78">
        <v>12.105658526091901</v>
      </c>
      <c r="H5942" s="81">
        <v>12.076756546580301</v>
      </c>
    </row>
    <row r="5943" spans="1:8" x14ac:dyDescent="0.3">
      <c r="A5943" s="74" t="str">
        <f t="shared" si="92"/>
        <v>江西46256</v>
      </c>
      <c r="B5943" s="75" t="s">
        <v>34</v>
      </c>
      <c r="C5943" s="45">
        <v>46256</v>
      </c>
      <c r="D5943" s="76">
        <v>848.03557561106902</v>
      </c>
      <c r="E5943" s="77">
        <v>125</v>
      </c>
      <c r="F5943" s="78">
        <v>12.105658526091901</v>
      </c>
      <c r="G5943" s="78">
        <v>12.105658526091901</v>
      </c>
      <c r="H5943" s="81">
        <v>12.076756546580301</v>
      </c>
    </row>
    <row r="5944" spans="1:8" x14ac:dyDescent="0.3">
      <c r="A5944" s="74" t="str">
        <f t="shared" si="92"/>
        <v>江西46257</v>
      </c>
      <c r="B5944" s="75" t="s">
        <v>34</v>
      </c>
      <c r="C5944" s="45">
        <v>46257</v>
      </c>
      <c r="D5944" s="76">
        <v>848.03557561106902</v>
      </c>
      <c r="E5944" s="77">
        <v>125</v>
      </c>
      <c r="F5944" s="78">
        <v>12.105658526091901</v>
      </c>
      <c r="G5944" s="78">
        <v>12.105658526091901</v>
      </c>
      <c r="H5944" s="81">
        <v>12.076756546580301</v>
      </c>
    </row>
    <row r="5945" spans="1:8" x14ac:dyDescent="0.3">
      <c r="A5945" s="74" t="str">
        <f t="shared" si="92"/>
        <v>江西46258</v>
      </c>
      <c r="B5945" s="75" t="s">
        <v>34</v>
      </c>
      <c r="C5945" s="45">
        <v>46258</v>
      </c>
      <c r="D5945" s="76">
        <v>848.03557561106902</v>
      </c>
      <c r="E5945" s="77">
        <v>125</v>
      </c>
      <c r="F5945" s="78">
        <v>12.105658526091901</v>
      </c>
      <c r="G5945" s="78">
        <v>12.105658526091901</v>
      </c>
      <c r="H5945" s="81">
        <v>12.076756546580301</v>
      </c>
    </row>
    <row r="5946" spans="1:8" x14ac:dyDescent="0.3">
      <c r="A5946" s="74" t="str">
        <f t="shared" si="92"/>
        <v>江西46259</v>
      </c>
      <c r="B5946" s="75" t="s">
        <v>34</v>
      </c>
      <c r="C5946" s="45">
        <v>46259</v>
      </c>
      <c r="D5946" s="76">
        <v>848.03557561106902</v>
      </c>
      <c r="E5946" s="77">
        <v>125</v>
      </c>
      <c r="F5946" s="78">
        <v>12.105658526091901</v>
      </c>
      <c r="G5946" s="78">
        <v>12.105658526091901</v>
      </c>
      <c r="H5946" s="81">
        <v>12.076756546580301</v>
      </c>
    </row>
    <row r="5947" spans="1:8" x14ac:dyDescent="0.3">
      <c r="A5947" s="74" t="str">
        <f t="shared" si="92"/>
        <v>江西46260</v>
      </c>
      <c r="B5947" s="75" t="s">
        <v>34</v>
      </c>
      <c r="C5947" s="45">
        <v>46260</v>
      </c>
      <c r="D5947" s="76">
        <v>848.03557561106902</v>
      </c>
      <c r="E5947" s="77">
        <v>125</v>
      </c>
      <c r="F5947" s="78">
        <v>12.105658526091901</v>
      </c>
      <c r="G5947" s="78">
        <v>12.105658526091901</v>
      </c>
      <c r="H5947" s="81">
        <v>12.076756546580301</v>
      </c>
    </row>
    <row r="5948" spans="1:8" x14ac:dyDescent="0.3">
      <c r="A5948" s="74" t="str">
        <f t="shared" si="92"/>
        <v>江西46261</v>
      </c>
      <c r="B5948" s="75" t="s">
        <v>34</v>
      </c>
      <c r="C5948" s="45">
        <v>46261</v>
      </c>
      <c r="D5948" s="76">
        <v>848.03557561106902</v>
      </c>
      <c r="E5948" s="77">
        <v>125</v>
      </c>
      <c r="F5948" s="78">
        <v>12.105658526091901</v>
      </c>
      <c r="G5948" s="78">
        <v>12.105658526091901</v>
      </c>
      <c r="H5948" s="81">
        <v>12.076756546580301</v>
      </c>
    </row>
    <row r="5949" spans="1:8" x14ac:dyDescent="0.3">
      <c r="A5949" s="74" t="str">
        <f t="shared" si="92"/>
        <v>江西46262</v>
      </c>
      <c r="B5949" s="75" t="s">
        <v>34</v>
      </c>
      <c r="C5949" s="45">
        <v>46262</v>
      </c>
      <c r="D5949" s="76">
        <v>848.03557561106902</v>
      </c>
      <c r="E5949" s="77">
        <v>125</v>
      </c>
      <c r="F5949" s="78">
        <v>12.105658526091901</v>
      </c>
      <c r="G5949" s="78">
        <v>12.105658526091901</v>
      </c>
      <c r="H5949" s="81">
        <v>12.076756546580301</v>
      </c>
    </row>
    <row r="5950" spans="1:8" x14ac:dyDescent="0.3">
      <c r="A5950" s="74" t="str">
        <f t="shared" si="92"/>
        <v>江西46263</v>
      </c>
      <c r="B5950" s="75" t="s">
        <v>34</v>
      </c>
      <c r="C5950" s="45">
        <v>46263</v>
      </c>
      <c r="D5950" s="76">
        <v>848.03557561106902</v>
      </c>
      <c r="E5950" s="77">
        <v>125</v>
      </c>
      <c r="F5950" s="78">
        <v>12.105658526091901</v>
      </c>
      <c r="G5950" s="78">
        <v>12.105658526091901</v>
      </c>
      <c r="H5950" s="81">
        <v>12.076756546580301</v>
      </c>
    </row>
    <row r="5951" spans="1:8" x14ac:dyDescent="0.3">
      <c r="A5951" s="74" t="str">
        <f t="shared" si="92"/>
        <v>江西46264</v>
      </c>
      <c r="B5951" s="75" t="s">
        <v>34</v>
      </c>
      <c r="C5951" s="45">
        <v>46264</v>
      </c>
      <c r="D5951" s="76">
        <v>848.03557561106902</v>
      </c>
      <c r="E5951" s="77">
        <v>125</v>
      </c>
      <c r="F5951" s="78">
        <v>12.105658526091901</v>
      </c>
      <c r="G5951" s="78">
        <v>12.105658526091901</v>
      </c>
      <c r="H5951" s="81">
        <v>12.076756546580301</v>
      </c>
    </row>
    <row r="5952" spans="1:8" x14ac:dyDescent="0.3">
      <c r="A5952" s="74" t="str">
        <f t="shared" si="92"/>
        <v>江西46265</v>
      </c>
      <c r="B5952" s="75" t="s">
        <v>34</v>
      </c>
      <c r="C5952" s="45">
        <v>46265</v>
      </c>
      <c r="D5952" s="76">
        <v>848.03557561106902</v>
      </c>
      <c r="E5952" s="77">
        <v>125</v>
      </c>
      <c r="F5952" s="78">
        <v>12.105658526091901</v>
      </c>
      <c r="G5952" s="78">
        <v>12.105658526091901</v>
      </c>
      <c r="H5952" s="81">
        <v>12.076756546580301</v>
      </c>
    </row>
    <row r="5953" spans="1:8" x14ac:dyDescent="0.3">
      <c r="A5953" s="74" t="str">
        <f t="shared" si="92"/>
        <v>江西46266</v>
      </c>
      <c r="B5953" s="75" t="s">
        <v>34</v>
      </c>
      <c r="C5953" s="45">
        <v>46266</v>
      </c>
      <c r="D5953" s="76">
        <v>993.69131328995297</v>
      </c>
      <c r="E5953" s="77">
        <v>125</v>
      </c>
      <c r="F5953" s="78">
        <v>12.393142754337701</v>
      </c>
      <c r="G5953" s="78">
        <v>12.393142754337701</v>
      </c>
      <c r="H5953" s="81">
        <v>12.613389831665</v>
      </c>
    </row>
    <row r="5954" spans="1:8" x14ac:dyDescent="0.3">
      <c r="A5954" s="74" t="str">
        <f t="shared" si="92"/>
        <v>江西46267</v>
      </c>
      <c r="B5954" s="75" t="s">
        <v>34</v>
      </c>
      <c r="C5954" s="45">
        <v>46267</v>
      </c>
      <c r="D5954" s="76">
        <v>993.69131328995297</v>
      </c>
      <c r="E5954" s="77">
        <v>125</v>
      </c>
      <c r="F5954" s="78">
        <v>12.393142754337701</v>
      </c>
      <c r="G5954" s="78">
        <v>12.393142754337701</v>
      </c>
      <c r="H5954" s="81">
        <v>12.613389831665</v>
      </c>
    </row>
    <row r="5955" spans="1:8" x14ac:dyDescent="0.3">
      <c r="A5955" s="74" t="str">
        <f t="shared" ref="A5955:A6018" si="93">B5955&amp;C5955</f>
        <v>江西46268</v>
      </c>
      <c r="B5955" s="75" t="s">
        <v>34</v>
      </c>
      <c r="C5955" s="45">
        <v>46268</v>
      </c>
      <c r="D5955" s="76">
        <v>993.69131328995297</v>
      </c>
      <c r="E5955" s="77">
        <v>125</v>
      </c>
      <c r="F5955" s="78">
        <v>12.393142754337701</v>
      </c>
      <c r="G5955" s="78">
        <v>12.393142754337701</v>
      </c>
      <c r="H5955" s="81">
        <v>12.613389831665</v>
      </c>
    </row>
    <row r="5956" spans="1:8" x14ac:dyDescent="0.3">
      <c r="A5956" s="74" t="str">
        <f t="shared" si="93"/>
        <v>江西46269</v>
      </c>
      <c r="B5956" s="75" t="s">
        <v>34</v>
      </c>
      <c r="C5956" s="45">
        <v>46269</v>
      </c>
      <c r="D5956" s="76">
        <v>993.69131328995297</v>
      </c>
      <c r="E5956" s="77">
        <v>125</v>
      </c>
      <c r="F5956" s="78">
        <v>12.393142754337701</v>
      </c>
      <c r="G5956" s="78">
        <v>12.393142754337701</v>
      </c>
      <c r="H5956" s="81">
        <v>12.613389831665</v>
      </c>
    </row>
    <row r="5957" spans="1:8" x14ac:dyDescent="0.3">
      <c r="A5957" s="74" t="str">
        <f t="shared" si="93"/>
        <v>江西46270</v>
      </c>
      <c r="B5957" s="75" t="s">
        <v>34</v>
      </c>
      <c r="C5957" s="45">
        <v>46270</v>
      </c>
      <c r="D5957" s="76">
        <v>993.69131328995297</v>
      </c>
      <c r="E5957" s="77">
        <v>125</v>
      </c>
      <c r="F5957" s="78">
        <v>12.393142754337701</v>
      </c>
      <c r="G5957" s="78">
        <v>12.393142754337701</v>
      </c>
      <c r="H5957" s="81">
        <v>12.613389831665</v>
      </c>
    </row>
    <row r="5958" spans="1:8" x14ac:dyDescent="0.3">
      <c r="A5958" s="74" t="str">
        <f t="shared" si="93"/>
        <v>江西46271</v>
      </c>
      <c r="B5958" s="75" t="s">
        <v>34</v>
      </c>
      <c r="C5958" s="45">
        <v>46271</v>
      </c>
      <c r="D5958" s="76">
        <v>993.69131328995297</v>
      </c>
      <c r="E5958" s="77">
        <v>125</v>
      </c>
      <c r="F5958" s="78">
        <v>12.393142754337701</v>
      </c>
      <c r="G5958" s="78">
        <v>12.393142754337701</v>
      </c>
      <c r="H5958" s="81">
        <v>12.613389831665</v>
      </c>
    </row>
    <row r="5959" spans="1:8" x14ac:dyDescent="0.3">
      <c r="A5959" s="74" t="str">
        <f t="shared" si="93"/>
        <v>江西46272</v>
      </c>
      <c r="B5959" s="75" t="s">
        <v>34</v>
      </c>
      <c r="C5959" s="45">
        <v>46272</v>
      </c>
      <c r="D5959" s="76">
        <v>993.69131328995297</v>
      </c>
      <c r="E5959" s="77">
        <v>125</v>
      </c>
      <c r="F5959" s="78">
        <v>12.393142754337701</v>
      </c>
      <c r="G5959" s="78">
        <v>12.393142754337701</v>
      </c>
      <c r="H5959" s="81">
        <v>12.613389831665</v>
      </c>
    </row>
    <row r="5960" spans="1:8" x14ac:dyDescent="0.3">
      <c r="A5960" s="74" t="str">
        <f t="shared" si="93"/>
        <v>江西46273</v>
      </c>
      <c r="B5960" s="75" t="s">
        <v>34</v>
      </c>
      <c r="C5960" s="45">
        <v>46273</v>
      </c>
      <c r="D5960" s="76">
        <v>993.69131328995297</v>
      </c>
      <c r="E5960" s="77">
        <v>125</v>
      </c>
      <c r="F5960" s="78">
        <v>12.393142754337701</v>
      </c>
      <c r="G5960" s="78">
        <v>12.393142754337701</v>
      </c>
      <c r="H5960" s="81">
        <v>12.613389831665</v>
      </c>
    </row>
    <row r="5961" spans="1:8" x14ac:dyDescent="0.3">
      <c r="A5961" s="74" t="str">
        <f t="shared" si="93"/>
        <v>江西46274</v>
      </c>
      <c r="B5961" s="75" t="s">
        <v>34</v>
      </c>
      <c r="C5961" s="45">
        <v>46274</v>
      </c>
      <c r="D5961" s="76">
        <v>993.69131328995297</v>
      </c>
      <c r="E5961" s="77">
        <v>125</v>
      </c>
      <c r="F5961" s="78">
        <v>12.393142754337701</v>
      </c>
      <c r="G5961" s="78">
        <v>12.393142754337701</v>
      </c>
      <c r="H5961" s="81">
        <v>12.613389831665</v>
      </c>
    </row>
    <row r="5962" spans="1:8" x14ac:dyDescent="0.3">
      <c r="A5962" s="74" t="str">
        <f t="shared" si="93"/>
        <v>江西46275</v>
      </c>
      <c r="B5962" s="75" t="s">
        <v>34</v>
      </c>
      <c r="C5962" s="45">
        <v>46275</v>
      </c>
      <c r="D5962" s="76">
        <v>993.69131328995297</v>
      </c>
      <c r="E5962" s="77">
        <v>125</v>
      </c>
      <c r="F5962" s="78">
        <v>12.393142754337701</v>
      </c>
      <c r="G5962" s="78">
        <v>12.393142754337701</v>
      </c>
      <c r="H5962" s="81">
        <v>12.613389831665</v>
      </c>
    </row>
    <row r="5963" spans="1:8" x14ac:dyDescent="0.3">
      <c r="A5963" s="74" t="str">
        <f t="shared" si="93"/>
        <v>江西46276</v>
      </c>
      <c r="B5963" s="75" t="s">
        <v>34</v>
      </c>
      <c r="C5963" s="45">
        <v>46276</v>
      </c>
      <c r="D5963" s="76">
        <v>993.69131328995297</v>
      </c>
      <c r="E5963" s="77">
        <v>125</v>
      </c>
      <c r="F5963" s="78">
        <v>12.393142754337701</v>
      </c>
      <c r="G5963" s="78">
        <v>12.393142754337701</v>
      </c>
      <c r="H5963" s="81">
        <v>12.613389831665</v>
      </c>
    </row>
    <row r="5964" spans="1:8" x14ac:dyDescent="0.3">
      <c r="A5964" s="74" t="str">
        <f t="shared" si="93"/>
        <v>江西46277</v>
      </c>
      <c r="B5964" s="75" t="s">
        <v>34</v>
      </c>
      <c r="C5964" s="45">
        <v>46277</v>
      </c>
      <c r="D5964" s="76">
        <v>993.69131328995297</v>
      </c>
      <c r="E5964" s="77">
        <v>125</v>
      </c>
      <c r="F5964" s="78">
        <v>12.393142754337701</v>
      </c>
      <c r="G5964" s="78">
        <v>12.393142754337701</v>
      </c>
      <c r="H5964" s="81">
        <v>12.613389831665</v>
      </c>
    </row>
    <row r="5965" spans="1:8" x14ac:dyDescent="0.3">
      <c r="A5965" s="74" t="str">
        <f t="shared" si="93"/>
        <v>江西46278</v>
      </c>
      <c r="B5965" s="75" t="s">
        <v>34</v>
      </c>
      <c r="C5965" s="45">
        <v>46278</v>
      </c>
      <c r="D5965" s="76">
        <v>993.69131328995297</v>
      </c>
      <c r="E5965" s="77">
        <v>125</v>
      </c>
      <c r="F5965" s="78">
        <v>12.393142754337701</v>
      </c>
      <c r="G5965" s="78">
        <v>12.393142754337701</v>
      </c>
      <c r="H5965" s="81">
        <v>12.613389831665</v>
      </c>
    </row>
    <row r="5966" spans="1:8" x14ac:dyDescent="0.3">
      <c r="A5966" s="74" t="str">
        <f t="shared" si="93"/>
        <v>江西46279</v>
      </c>
      <c r="B5966" s="75" t="s">
        <v>34</v>
      </c>
      <c r="C5966" s="45">
        <v>46279</v>
      </c>
      <c r="D5966" s="76">
        <v>993.69131328995297</v>
      </c>
      <c r="E5966" s="77">
        <v>125</v>
      </c>
      <c r="F5966" s="78">
        <v>12.393142754337701</v>
      </c>
      <c r="G5966" s="78">
        <v>12.393142754337701</v>
      </c>
      <c r="H5966" s="81">
        <v>12.613389831665</v>
      </c>
    </row>
    <row r="5967" spans="1:8" x14ac:dyDescent="0.3">
      <c r="A5967" s="74" t="str">
        <f t="shared" si="93"/>
        <v>江西46280</v>
      </c>
      <c r="B5967" s="75" t="s">
        <v>34</v>
      </c>
      <c r="C5967" s="45">
        <v>46280</v>
      </c>
      <c r="D5967" s="76">
        <v>993.69131328995297</v>
      </c>
      <c r="E5967" s="77">
        <v>125</v>
      </c>
      <c r="F5967" s="78">
        <v>12.393142754337701</v>
      </c>
      <c r="G5967" s="78">
        <v>12.393142754337701</v>
      </c>
      <c r="H5967" s="81">
        <v>12.613389831665</v>
      </c>
    </row>
    <row r="5968" spans="1:8" x14ac:dyDescent="0.3">
      <c r="A5968" s="74" t="str">
        <f t="shared" si="93"/>
        <v>江西46281</v>
      </c>
      <c r="B5968" s="75" t="s">
        <v>34</v>
      </c>
      <c r="C5968" s="45">
        <v>46281</v>
      </c>
      <c r="D5968" s="76">
        <v>993.69131328995297</v>
      </c>
      <c r="E5968" s="77">
        <v>125</v>
      </c>
      <c r="F5968" s="78">
        <v>12.393142754337701</v>
      </c>
      <c r="G5968" s="78">
        <v>12.393142754337701</v>
      </c>
      <c r="H5968" s="81">
        <v>12.613389831665</v>
      </c>
    </row>
    <row r="5969" spans="1:8" x14ac:dyDescent="0.3">
      <c r="A5969" s="74" t="str">
        <f t="shared" si="93"/>
        <v>江西46282</v>
      </c>
      <c r="B5969" s="75" t="s">
        <v>34</v>
      </c>
      <c r="C5969" s="45">
        <v>46282</v>
      </c>
      <c r="D5969" s="76">
        <v>993.69131328995297</v>
      </c>
      <c r="E5969" s="77">
        <v>125</v>
      </c>
      <c r="F5969" s="78">
        <v>12.393142754337701</v>
      </c>
      <c r="G5969" s="78">
        <v>12.393142754337701</v>
      </c>
      <c r="H5969" s="81">
        <v>12.613389831665</v>
      </c>
    </row>
    <row r="5970" spans="1:8" x14ac:dyDescent="0.3">
      <c r="A5970" s="74" t="str">
        <f t="shared" si="93"/>
        <v>江西46283</v>
      </c>
      <c r="B5970" s="75" t="s">
        <v>34</v>
      </c>
      <c r="C5970" s="45">
        <v>46283</v>
      </c>
      <c r="D5970" s="76">
        <v>993.69131328995297</v>
      </c>
      <c r="E5970" s="77">
        <v>125</v>
      </c>
      <c r="F5970" s="78">
        <v>12.393142754337701</v>
      </c>
      <c r="G5970" s="78">
        <v>12.393142754337701</v>
      </c>
      <c r="H5970" s="81">
        <v>12.613389831665</v>
      </c>
    </row>
    <row r="5971" spans="1:8" x14ac:dyDescent="0.3">
      <c r="A5971" s="74" t="str">
        <f t="shared" si="93"/>
        <v>江西46284</v>
      </c>
      <c r="B5971" s="75" t="s">
        <v>34</v>
      </c>
      <c r="C5971" s="45">
        <v>46284</v>
      </c>
      <c r="D5971" s="76">
        <v>993.69131328995297</v>
      </c>
      <c r="E5971" s="77">
        <v>125</v>
      </c>
      <c r="F5971" s="78">
        <v>12.393142754337701</v>
      </c>
      <c r="G5971" s="78">
        <v>12.393142754337701</v>
      </c>
      <c r="H5971" s="81">
        <v>12.613389831665</v>
      </c>
    </row>
    <row r="5972" spans="1:8" x14ac:dyDescent="0.3">
      <c r="A5972" s="74" t="str">
        <f t="shared" si="93"/>
        <v>江西46285</v>
      </c>
      <c r="B5972" s="75" t="s">
        <v>34</v>
      </c>
      <c r="C5972" s="45">
        <v>46285</v>
      </c>
      <c r="D5972" s="76">
        <v>993.69131328995297</v>
      </c>
      <c r="E5972" s="77">
        <v>125</v>
      </c>
      <c r="F5972" s="78">
        <v>12.393142754337701</v>
      </c>
      <c r="G5972" s="78">
        <v>12.393142754337701</v>
      </c>
      <c r="H5972" s="81">
        <v>12.613389831665</v>
      </c>
    </row>
    <row r="5973" spans="1:8" x14ac:dyDescent="0.3">
      <c r="A5973" s="74" t="str">
        <f t="shared" si="93"/>
        <v>江西46286</v>
      </c>
      <c r="B5973" s="75" t="s">
        <v>34</v>
      </c>
      <c r="C5973" s="45">
        <v>46286</v>
      </c>
      <c r="D5973" s="76">
        <v>993.69131328995297</v>
      </c>
      <c r="E5973" s="77">
        <v>125</v>
      </c>
      <c r="F5973" s="78">
        <v>12.393142754337701</v>
      </c>
      <c r="G5973" s="78">
        <v>12.393142754337701</v>
      </c>
      <c r="H5973" s="81">
        <v>12.613389831665</v>
      </c>
    </row>
    <row r="5974" spans="1:8" x14ac:dyDescent="0.3">
      <c r="A5974" s="74" t="str">
        <f t="shared" si="93"/>
        <v>江西46287</v>
      </c>
      <c r="B5974" s="75" t="s">
        <v>34</v>
      </c>
      <c r="C5974" s="45">
        <v>46287</v>
      </c>
      <c r="D5974" s="76">
        <v>993.69131328995297</v>
      </c>
      <c r="E5974" s="77">
        <v>125</v>
      </c>
      <c r="F5974" s="78">
        <v>12.393142754337701</v>
      </c>
      <c r="G5974" s="78">
        <v>12.393142754337701</v>
      </c>
      <c r="H5974" s="81">
        <v>12.613389831665</v>
      </c>
    </row>
    <row r="5975" spans="1:8" x14ac:dyDescent="0.3">
      <c r="A5975" s="74" t="str">
        <f t="shared" si="93"/>
        <v>江西46288</v>
      </c>
      <c r="B5975" s="75" t="s">
        <v>34</v>
      </c>
      <c r="C5975" s="45">
        <v>46288</v>
      </c>
      <c r="D5975" s="76">
        <v>993.69131328995297</v>
      </c>
      <c r="E5975" s="77">
        <v>125</v>
      </c>
      <c r="F5975" s="78">
        <v>12.393142754337701</v>
      </c>
      <c r="G5975" s="78">
        <v>12.393142754337701</v>
      </c>
      <c r="H5975" s="81">
        <v>12.613389831665</v>
      </c>
    </row>
    <row r="5976" spans="1:8" x14ac:dyDescent="0.3">
      <c r="A5976" s="74" t="str">
        <f t="shared" si="93"/>
        <v>江西46289</v>
      </c>
      <c r="B5976" s="75" t="s">
        <v>34</v>
      </c>
      <c r="C5976" s="45">
        <v>46289</v>
      </c>
      <c r="D5976" s="76">
        <v>993.69131328995297</v>
      </c>
      <c r="E5976" s="77">
        <v>125</v>
      </c>
      <c r="F5976" s="78">
        <v>12.393142754337701</v>
      </c>
      <c r="G5976" s="78">
        <v>12.393142754337701</v>
      </c>
      <c r="H5976" s="81">
        <v>12.613389831665</v>
      </c>
    </row>
    <row r="5977" spans="1:8" x14ac:dyDescent="0.3">
      <c r="A5977" s="74" t="str">
        <f t="shared" si="93"/>
        <v>江西46290</v>
      </c>
      <c r="B5977" s="75" t="s">
        <v>34</v>
      </c>
      <c r="C5977" s="45">
        <v>46290</v>
      </c>
      <c r="D5977" s="76">
        <v>993.69131328995297</v>
      </c>
      <c r="E5977" s="77">
        <v>125</v>
      </c>
      <c r="F5977" s="78">
        <v>12.393142754337701</v>
      </c>
      <c r="G5977" s="78">
        <v>12.393142754337701</v>
      </c>
      <c r="H5977" s="81">
        <v>12.613389831665</v>
      </c>
    </row>
    <row r="5978" spans="1:8" x14ac:dyDescent="0.3">
      <c r="A5978" s="74" t="str">
        <f t="shared" si="93"/>
        <v>江西46291</v>
      </c>
      <c r="B5978" s="75" t="s">
        <v>34</v>
      </c>
      <c r="C5978" s="45">
        <v>46291</v>
      </c>
      <c r="D5978" s="76">
        <v>993.69131328995297</v>
      </c>
      <c r="E5978" s="77">
        <v>125</v>
      </c>
      <c r="F5978" s="78">
        <v>12.393142754337701</v>
      </c>
      <c r="G5978" s="78">
        <v>12.393142754337701</v>
      </c>
      <c r="H5978" s="81">
        <v>12.613389831665</v>
      </c>
    </row>
    <row r="5979" spans="1:8" x14ac:dyDescent="0.3">
      <c r="A5979" s="74" t="str">
        <f t="shared" si="93"/>
        <v>江西46292</v>
      </c>
      <c r="B5979" s="75" t="s">
        <v>34</v>
      </c>
      <c r="C5979" s="45">
        <v>46292</v>
      </c>
      <c r="D5979" s="76">
        <v>993.69131328995297</v>
      </c>
      <c r="E5979" s="77">
        <v>125</v>
      </c>
      <c r="F5979" s="78">
        <v>12.393142754337701</v>
      </c>
      <c r="G5979" s="78">
        <v>12.393142754337701</v>
      </c>
      <c r="H5979" s="81">
        <v>12.613389831665</v>
      </c>
    </row>
    <row r="5980" spans="1:8" x14ac:dyDescent="0.3">
      <c r="A5980" s="74" t="str">
        <f t="shared" si="93"/>
        <v>江西46293</v>
      </c>
      <c r="B5980" s="75" t="s">
        <v>34</v>
      </c>
      <c r="C5980" s="45">
        <v>46293</v>
      </c>
      <c r="D5980" s="76">
        <v>993.69131328995297</v>
      </c>
      <c r="E5980" s="77">
        <v>125</v>
      </c>
      <c r="F5980" s="78">
        <v>12.393142754337701</v>
      </c>
      <c r="G5980" s="78">
        <v>12.393142754337701</v>
      </c>
      <c r="H5980" s="81">
        <v>12.613389831665</v>
      </c>
    </row>
    <row r="5981" spans="1:8" x14ac:dyDescent="0.3">
      <c r="A5981" s="74" t="str">
        <f t="shared" si="93"/>
        <v>江西46294</v>
      </c>
      <c r="B5981" s="75" t="s">
        <v>34</v>
      </c>
      <c r="C5981" s="45">
        <v>46294</v>
      </c>
      <c r="D5981" s="76">
        <v>993.69131328995297</v>
      </c>
      <c r="E5981" s="77">
        <v>125</v>
      </c>
      <c r="F5981" s="78">
        <v>12.393142754337701</v>
      </c>
      <c r="G5981" s="78">
        <v>12.393142754337701</v>
      </c>
      <c r="H5981" s="81">
        <v>12.613389831665</v>
      </c>
    </row>
    <row r="5982" spans="1:8" x14ac:dyDescent="0.3">
      <c r="A5982" s="74" t="str">
        <f t="shared" si="93"/>
        <v>江西46295</v>
      </c>
      <c r="B5982" s="75" t="s">
        <v>34</v>
      </c>
      <c r="C5982" s="45">
        <v>46295</v>
      </c>
      <c r="D5982" s="76">
        <v>993.69131328995297</v>
      </c>
      <c r="E5982" s="77">
        <v>125</v>
      </c>
      <c r="F5982" s="78">
        <v>12.393142754337701</v>
      </c>
      <c r="G5982" s="78">
        <v>12.393142754337701</v>
      </c>
      <c r="H5982" s="81">
        <v>12.613389831665</v>
      </c>
    </row>
    <row r="5983" spans="1:8" x14ac:dyDescent="0.3">
      <c r="A5983" s="74" t="str">
        <f t="shared" si="93"/>
        <v>江西46296</v>
      </c>
      <c r="B5983" s="75" t="s">
        <v>34</v>
      </c>
      <c r="C5983" s="45">
        <v>46296</v>
      </c>
      <c r="D5983" s="76">
        <v>1018.03361721269</v>
      </c>
      <c r="E5983" s="77">
        <v>125</v>
      </c>
      <c r="F5983" s="78">
        <v>12.60516057815</v>
      </c>
      <c r="G5983" s="78">
        <v>12.60516057815</v>
      </c>
      <c r="H5983" s="81">
        <v>12.6886187968638</v>
      </c>
    </row>
    <row r="5984" spans="1:8" x14ac:dyDescent="0.3">
      <c r="A5984" s="74" t="str">
        <f t="shared" si="93"/>
        <v>江西46297</v>
      </c>
      <c r="B5984" s="75" t="s">
        <v>34</v>
      </c>
      <c r="C5984" s="45">
        <v>46297</v>
      </c>
      <c r="D5984" s="76">
        <v>1018.03361721269</v>
      </c>
      <c r="E5984" s="77">
        <v>125</v>
      </c>
      <c r="F5984" s="78">
        <v>12.60516057815</v>
      </c>
      <c r="G5984" s="78">
        <v>12.60516057815</v>
      </c>
      <c r="H5984" s="81">
        <v>12.6886187968638</v>
      </c>
    </row>
    <row r="5985" spans="1:8" x14ac:dyDescent="0.3">
      <c r="A5985" s="74" t="str">
        <f t="shared" si="93"/>
        <v>江西46298</v>
      </c>
      <c r="B5985" s="75" t="s">
        <v>34</v>
      </c>
      <c r="C5985" s="45">
        <v>46298</v>
      </c>
      <c r="D5985" s="76">
        <v>1018.03361721269</v>
      </c>
      <c r="E5985" s="77">
        <v>125</v>
      </c>
      <c r="F5985" s="78">
        <v>12.60516057815</v>
      </c>
      <c r="G5985" s="78">
        <v>12.60516057815</v>
      </c>
      <c r="H5985" s="81">
        <v>12.6886187968638</v>
      </c>
    </row>
    <row r="5986" spans="1:8" x14ac:dyDescent="0.3">
      <c r="A5986" s="74" t="str">
        <f t="shared" si="93"/>
        <v>江西46299</v>
      </c>
      <c r="B5986" s="75" t="s">
        <v>34</v>
      </c>
      <c r="C5986" s="45">
        <v>46299</v>
      </c>
      <c r="D5986" s="76">
        <v>1018.03361721269</v>
      </c>
      <c r="E5986" s="77">
        <v>125</v>
      </c>
      <c r="F5986" s="78">
        <v>12.60516057815</v>
      </c>
      <c r="G5986" s="78">
        <v>12.60516057815</v>
      </c>
      <c r="H5986" s="81">
        <v>12.6886187968638</v>
      </c>
    </row>
    <row r="5987" spans="1:8" x14ac:dyDescent="0.3">
      <c r="A5987" s="74" t="str">
        <f t="shared" si="93"/>
        <v>江西46300</v>
      </c>
      <c r="B5987" s="75" t="s">
        <v>34</v>
      </c>
      <c r="C5987" s="45">
        <v>46300</v>
      </c>
      <c r="D5987" s="76">
        <v>1018.03361721269</v>
      </c>
      <c r="E5987" s="77">
        <v>125</v>
      </c>
      <c r="F5987" s="78">
        <v>12.60516057815</v>
      </c>
      <c r="G5987" s="78">
        <v>12.60516057815</v>
      </c>
      <c r="H5987" s="81">
        <v>12.6886187968638</v>
      </c>
    </row>
    <row r="5988" spans="1:8" x14ac:dyDescent="0.3">
      <c r="A5988" s="74" t="str">
        <f t="shared" si="93"/>
        <v>江西46301</v>
      </c>
      <c r="B5988" s="75" t="s">
        <v>34</v>
      </c>
      <c r="C5988" s="45">
        <v>46301</v>
      </c>
      <c r="D5988" s="76">
        <v>1018.03361721269</v>
      </c>
      <c r="E5988" s="77">
        <v>125</v>
      </c>
      <c r="F5988" s="78">
        <v>12.60516057815</v>
      </c>
      <c r="G5988" s="78">
        <v>12.60516057815</v>
      </c>
      <c r="H5988" s="81">
        <v>12.6886187968638</v>
      </c>
    </row>
    <row r="5989" spans="1:8" x14ac:dyDescent="0.3">
      <c r="A5989" s="74" t="str">
        <f t="shared" si="93"/>
        <v>江西46302</v>
      </c>
      <c r="B5989" s="75" t="s">
        <v>34</v>
      </c>
      <c r="C5989" s="45">
        <v>46302</v>
      </c>
      <c r="D5989" s="76">
        <v>1018.03361721269</v>
      </c>
      <c r="E5989" s="77">
        <v>125</v>
      </c>
      <c r="F5989" s="78">
        <v>12.60516057815</v>
      </c>
      <c r="G5989" s="78">
        <v>12.60516057815</v>
      </c>
      <c r="H5989" s="81">
        <v>12.6886187968638</v>
      </c>
    </row>
    <row r="5990" spans="1:8" x14ac:dyDescent="0.3">
      <c r="A5990" s="74" t="str">
        <f t="shared" si="93"/>
        <v>江西46303</v>
      </c>
      <c r="B5990" s="75" t="s">
        <v>34</v>
      </c>
      <c r="C5990" s="45">
        <v>46303</v>
      </c>
      <c r="D5990" s="76">
        <v>1018.03361721269</v>
      </c>
      <c r="E5990" s="77">
        <v>125</v>
      </c>
      <c r="F5990" s="78">
        <v>12.60516057815</v>
      </c>
      <c r="G5990" s="78">
        <v>12.60516057815</v>
      </c>
      <c r="H5990" s="81">
        <v>12.6886187968638</v>
      </c>
    </row>
    <row r="5991" spans="1:8" x14ac:dyDescent="0.3">
      <c r="A5991" s="74" t="str">
        <f t="shared" si="93"/>
        <v>江西46304</v>
      </c>
      <c r="B5991" s="75" t="s">
        <v>34</v>
      </c>
      <c r="C5991" s="45">
        <v>46304</v>
      </c>
      <c r="D5991" s="76">
        <v>1018.03361721269</v>
      </c>
      <c r="E5991" s="77">
        <v>125</v>
      </c>
      <c r="F5991" s="78">
        <v>12.60516057815</v>
      </c>
      <c r="G5991" s="78">
        <v>12.60516057815</v>
      </c>
      <c r="H5991" s="81">
        <v>12.6886187968638</v>
      </c>
    </row>
    <row r="5992" spans="1:8" x14ac:dyDescent="0.3">
      <c r="A5992" s="74" t="str">
        <f t="shared" si="93"/>
        <v>江西46305</v>
      </c>
      <c r="B5992" s="75" t="s">
        <v>34</v>
      </c>
      <c r="C5992" s="45">
        <v>46305</v>
      </c>
      <c r="D5992" s="76">
        <v>1018.03361721269</v>
      </c>
      <c r="E5992" s="77">
        <v>125</v>
      </c>
      <c r="F5992" s="78">
        <v>12.60516057815</v>
      </c>
      <c r="G5992" s="78">
        <v>12.60516057815</v>
      </c>
      <c r="H5992" s="81">
        <v>12.6886187968638</v>
      </c>
    </row>
    <row r="5993" spans="1:8" x14ac:dyDescent="0.3">
      <c r="A5993" s="74" t="str">
        <f t="shared" si="93"/>
        <v>江西46306</v>
      </c>
      <c r="B5993" s="75" t="s">
        <v>34</v>
      </c>
      <c r="C5993" s="45">
        <v>46306</v>
      </c>
      <c r="D5993" s="76">
        <v>1018.03361721269</v>
      </c>
      <c r="E5993" s="77">
        <v>125</v>
      </c>
      <c r="F5993" s="78">
        <v>12.60516057815</v>
      </c>
      <c r="G5993" s="78">
        <v>12.60516057815</v>
      </c>
      <c r="H5993" s="81">
        <v>12.6886187968638</v>
      </c>
    </row>
    <row r="5994" spans="1:8" x14ac:dyDescent="0.3">
      <c r="A5994" s="74" t="str">
        <f t="shared" si="93"/>
        <v>江西46307</v>
      </c>
      <c r="B5994" s="75" t="s">
        <v>34</v>
      </c>
      <c r="C5994" s="45">
        <v>46307</v>
      </c>
      <c r="D5994" s="76">
        <v>1018.03361721269</v>
      </c>
      <c r="E5994" s="77">
        <v>125</v>
      </c>
      <c r="F5994" s="78">
        <v>12.60516057815</v>
      </c>
      <c r="G5994" s="78">
        <v>12.60516057815</v>
      </c>
      <c r="H5994" s="81">
        <v>12.6886187968638</v>
      </c>
    </row>
    <row r="5995" spans="1:8" x14ac:dyDescent="0.3">
      <c r="A5995" s="74" t="str">
        <f t="shared" si="93"/>
        <v>江西46308</v>
      </c>
      <c r="B5995" s="75" t="s">
        <v>34</v>
      </c>
      <c r="C5995" s="45">
        <v>46308</v>
      </c>
      <c r="D5995" s="76">
        <v>1018.03361721269</v>
      </c>
      <c r="E5995" s="77">
        <v>125</v>
      </c>
      <c r="F5995" s="78">
        <v>12.60516057815</v>
      </c>
      <c r="G5995" s="78">
        <v>12.60516057815</v>
      </c>
      <c r="H5995" s="81">
        <v>12.6886187968638</v>
      </c>
    </row>
    <row r="5996" spans="1:8" x14ac:dyDescent="0.3">
      <c r="A5996" s="74" t="str">
        <f t="shared" si="93"/>
        <v>江西46309</v>
      </c>
      <c r="B5996" s="75" t="s">
        <v>34</v>
      </c>
      <c r="C5996" s="45">
        <v>46309</v>
      </c>
      <c r="D5996" s="76">
        <v>1018.03361721269</v>
      </c>
      <c r="E5996" s="77">
        <v>125</v>
      </c>
      <c r="F5996" s="78">
        <v>12.60516057815</v>
      </c>
      <c r="G5996" s="78">
        <v>12.60516057815</v>
      </c>
      <c r="H5996" s="81">
        <v>12.6886187968638</v>
      </c>
    </row>
    <row r="5997" spans="1:8" x14ac:dyDescent="0.3">
      <c r="A5997" s="74" t="str">
        <f t="shared" si="93"/>
        <v>江西46310</v>
      </c>
      <c r="B5997" s="75" t="s">
        <v>34</v>
      </c>
      <c r="C5997" s="45">
        <v>46310</v>
      </c>
      <c r="D5997" s="76">
        <v>1018.03361721269</v>
      </c>
      <c r="E5997" s="77">
        <v>125</v>
      </c>
      <c r="F5997" s="78">
        <v>12.60516057815</v>
      </c>
      <c r="G5997" s="78">
        <v>12.60516057815</v>
      </c>
      <c r="H5997" s="81">
        <v>12.6886187968638</v>
      </c>
    </row>
    <row r="5998" spans="1:8" x14ac:dyDescent="0.3">
      <c r="A5998" s="74" t="str">
        <f t="shared" si="93"/>
        <v>江西46311</v>
      </c>
      <c r="B5998" s="75" t="s">
        <v>34</v>
      </c>
      <c r="C5998" s="45">
        <v>46311</v>
      </c>
      <c r="D5998" s="76">
        <v>1018.03361721269</v>
      </c>
      <c r="E5998" s="77">
        <v>125</v>
      </c>
      <c r="F5998" s="78">
        <v>12.60516057815</v>
      </c>
      <c r="G5998" s="78">
        <v>12.60516057815</v>
      </c>
      <c r="H5998" s="81">
        <v>12.6886187968638</v>
      </c>
    </row>
    <row r="5999" spans="1:8" x14ac:dyDescent="0.3">
      <c r="A5999" s="74" t="str">
        <f t="shared" si="93"/>
        <v>江西46312</v>
      </c>
      <c r="B5999" s="75" t="s">
        <v>34</v>
      </c>
      <c r="C5999" s="45">
        <v>46312</v>
      </c>
      <c r="D5999" s="76">
        <v>1018.03361721269</v>
      </c>
      <c r="E5999" s="77">
        <v>125</v>
      </c>
      <c r="F5999" s="78">
        <v>12.60516057815</v>
      </c>
      <c r="G5999" s="78">
        <v>12.60516057815</v>
      </c>
      <c r="H5999" s="81">
        <v>12.6886187968638</v>
      </c>
    </row>
    <row r="6000" spans="1:8" x14ac:dyDescent="0.3">
      <c r="A6000" s="74" t="str">
        <f t="shared" si="93"/>
        <v>江西46313</v>
      </c>
      <c r="B6000" s="75" t="s">
        <v>34</v>
      </c>
      <c r="C6000" s="45">
        <v>46313</v>
      </c>
      <c r="D6000" s="76">
        <v>1018.03361721269</v>
      </c>
      <c r="E6000" s="77">
        <v>125</v>
      </c>
      <c r="F6000" s="78">
        <v>12.60516057815</v>
      </c>
      <c r="G6000" s="78">
        <v>12.60516057815</v>
      </c>
      <c r="H6000" s="81">
        <v>12.6886187968638</v>
      </c>
    </row>
    <row r="6001" spans="1:8" x14ac:dyDescent="0.3">
      <c r="A6001" s="74" t="str">
        <f t="shared" si="93"/>
        <v>江西46314</v>
      </c>
      <c r="B6001" s="75" t="s">
        <v>34</v>
      </c>
      <c r="C6001" s="45">
        <v>46314</v>
      </c>
      <c r="D6001" s="76">
        <v>1018.03361721269</v>
      </c>
      <c r="E6001" s="77">
        <v>125</v>
      </c>
      <c r="F6001" s="78">
        <v>12.60516057815</v>
      </c>
      <c r="G6001" s="78">
        <v>12.60516057815</v>
      </c>
      <c r="H6001" s="81">
        <v>12.6886187968638</v>
      </c>
    </row>
    <row r="6002" spans="1:8" x14ac:dyDescent="0.3">
      <c r="A6002" s="74" t="str">
        <f t="shared" si="93"/>
        <v>江西46315</v>
      </c>
      <c r="B6002" s="75" t="s">
        <v>34</v>
      </c>
      <c r="C6002" s="45">
        <v>46315</v>
      </c>
      <c r="D6002" s="76">
        <v>1018.03361721269</v>
      </c>
      <c r="E6002" s="77">
        <v>125</v>
      </c>
      <c r="F6002" s="78">
        <v>12.60516057815</v>
      </c>
      <c r="G6002" s="78">
        <v>12.60516057815</v>
      </c>
      <c r="H6002" s="81">
        <v>12.6886187968638</v>
      </c>
    </row>
    <row r="6003" spans="1:8" x14ac:dyDescent="0.3">
      <c r="A6003" s="74" t="str">
        <f t="shared" si="93"/>
        <v>江西46316</v>
      </c>
      <c r="B6003" s="75" t="s">
        <v>34</v>
      </c>
      <c r="C6003" s="45">
        <v>46316</v>
      </c>
      <c r="D6003" s="76">
        <v>1018.03361721269</v>
      </c>
      <c r="E6003" s="77">
        <v>125</v>
      </c>
      <c r="F6003" s="78">
        <v>12.60516057815</v>
      </c>
      <c r="G6003" s="78">
        <v>12.60516057815</v>
      </c>
      <c r="H6003" s="81">
        <v>12.6886187968638</v>
      </c>
    </row>
    <row r="6004" spans="1:8" x14ac:dyDescent="0.3">
      <c r="A6004" s="74" t="str">
        <f t="shared" si="93"/>
        <v>江西46317</v>
      </c>
      <c r="B6004" s="75" t="s">
        <v>34</v>
      </c>
      <c r="C6004" s="45">
        <v>46317</v>
      </c>
      <c r="D6004" s="76">
        <v>1018.03361721269</v>
      </c>
      <c r="E6004" s="77">
        <v>125</v>
      </c>
      <c r="F6004" s="78">
        <v>12.60516057815</v>
      </c>
      <c r="G6004" s="78">
        <v>12.60516057815</v>
      </c>
      <c r="H6004" s="81">
        <v>12.6886187968638</v>
      </c>
    </row>
    <row r="6005" spans="1:8" x14ac:dyDescent="0.3">
      <c r="A6005" s="74" t="str">
        <f t="shared" si="93"/>
        <v>江西46318</v>
      </c>
      <c r="B6005" s="75" t="s">
        <v>34</v>
      </c>
      <c r="C6005" s="45">
        <v>46318</v>
      </c>
      <c r="D6005" s="76">
        <v>1018.03361721269</v>
      </c>
      <c r="E6005" s="77">
        <v>125</v>
      </c>
      <c r="F6005" s="78">
        <v>12.60516057815</v>
      </c>
      <c r="G6005" s="78">
        <v>12.60516057815</v>
      </c>
      <c r="H6005" s="81">
        <v>12.6886187968638</v>
      </c>
    </row>
    <row r="6006" spans="1:8" x14ac:dyDescent="0.3">
      <c r="A6006" s="74" t="str">
        <f t="shared" si="93"/>
        <v>江西46319</v>
      </c>
      <c r="B6006" s="75" t="s">
        <v>34</v>
      </c>
      <c r="C6006" s="45">
        <v>46319</v>
      </c>
      <c r="D6006" s="76">
        <v>1018.03361721269</v>
      </c>
      <c r="E6006" s="77">
        <v>125</v>
      </c>
      <c r="F6006" s="78">
        <v>12.60516057815</v>
      </c>
      <c r="G6006" s="78">
        <v>12.60516057815</v>
      </c>
      <c r="H6006" s="81">
        <v>12.6886187968638</v>
      </c>
    </row>
    <row r="6007" spans="1:8" x14ac:dyDescent="0.3">
      <c r="A6007" s="74" t="str">
        <f t="shared" si="93"/>
        <v>江西46320</v>
      </c>
      <c r="B6007" s="75" t="s">
        <v>34</v>
      </c>
      <c r="C6007" s="45">
        <v>46320</v>
      </c>
      <c r="D6007" s="76">
        <v>1018.03361721269</v>
      </c>
      <c r="E6007" s="77">
        <v>125</v>
      </c>
      <c r="F6007" s="78">
        <v>12.60516057815</v>
      </c>
      <c r="G6007" s="78">
        <v>12.60516057815</v>
      </c>
      <c r="H6007" s="81">
        <v>12.6886187968638</v>
      </c>
    </row>
    <row r="6008" spans="1:8" x14ac:dyDescent="0.3">
      <c r="A6008" s="74" t="str">
        <f t="shared" si="93"/>
        <v>江西46321</v>
      </c>
      <c r="B6008" s="75" t="s">
        <v>34</v>
      </c>
      <c r="C6008" s="45">
        <v>46321</v>
      </c>
      <c r="D6008" s="76">
        <v>1018.03361721269</v>
      </c>
      <c r="E6008" s="77">
        <v>125</v>
      </c>
      <c r="F6008" s="78">
        <v>12.60516057815</v>
      </c>
      <c r="G6008" s="78">
        <v>12.60516057815</v>
      </c>
      <c r="H6008" s="81">
        <v>12.6886187968638</v>
      </c>
    </row>
    <row r="6009" spans="1:8" x14ac:dyDescent="0.3">
      <c r="A6009" s="74" t="str">
        <f t="shared" si="93"/>
        <v>江西46322</v>
      </c>
      <c r="B6009" s="75" t="s">
        <v>34</v>
      </c>
      <c r="C6009" s="45">
        <v>46322</v>
      </c>
      <c r="D6009" s="76">
        <v>1018.03361721269</v>
      </c>
      <c r="E6009" s="77">
        <v>125</v>
      </c>
      <c r="F6009" s="78">
        <v>12.60516057815</v>
      </c>
      <c r="G6009" s="78">
        <v>12.60516057815</v>
      </c>
      <c r="H6009" s="81">
        <v>12.6886187968638</v>
      </c>
    </row>
    <row r="6010" spans="1:8" x14ac:dyDescent="0.3">
      <c r="A6010" s="74" t="str">
        <f t="shared" si="93"/>
        <v>江西46323</v>
      </c>
      <c r="B6010" s="75" t="s">
        <v>34</v>
      </c>
      <c r="C6010" s="45">
        <v>46323</v>
      </c>
      <c r="D6010" s="76">
        <v>1018.03361721269</v>
      </c>
      <c r="E6010" s="77">
        <v>125</v>
      </c>
      <c r="F6010" s="78">
        <v>12.60516057815</v>
      </c>
      <c r="G6010" s="78">
        <v>12.60516057815</v>
      </c>
      <c r="H6010" s="81">
        <v>12.6886187968638</v>
      </c>
    </row>
    <row r="6011" spans="1:8" x14ac:dyDescent="0.3">
      <c r="A6011" s="74" t="str">
        <f t="shared" si="93"/>
        <v>江西46324</v>
      </c>
      <c r="B6011" s="75" t="s">
        <v>34</v>
      </c>
      <c r="C6011" s="45">
        <v>46324</v>
      </c>
      <c r="D6011" s="76">
        <v>1018.03361721269</v>
      </c>
      <c r="E6011" s="77">
        <v>125</v>
      </c>
      <c r="F6011" s="78">
        <v>12.60516057815</v>
      </c>
      <c r="G6011" s="78">
        <v>12.60516057815</v>
      </c>
      <c r="H6011" s="81">
        <v>12.6886187968638</v>
      </c>
    </row>
    <row r="6012" spans="1:8" x14ac:dyDescent="0.3">
      <c r="A6012" s="74" t="str">
        <f t="shared" si="93"/>
        <v>江西46325</v>
      </c>
      <c r="B6012" s="75" t="s">
        <v>34</v>
      </c>
      <c r="C6012" s="45">
        <v>46325</v>
      </c>
      <c r="D6012" s="76">
        <v>1018.03361721269</v>
      </c>
      <c r="E6012" s="77">
        <v>125</v>
      </c>
      <c r="F6012" s="78">
        <v>12.60516057815</v>
      </c>
      <c r="G6012" s="78">
        <v>12.60516057815</v>
      </c>
      <c r="H6012" s="81">
        <v>12.6886187968638</v>
      </c>
    </row>
    <row r="6013" spans="1:8" x14ac:dyDescent="0.3">
      <c r="A6013" s="74" t="str">
        <f t="shared" si="93"/>
        <v>江西46326</v>
      </c>
      <c r="B6013" s="75" t="s">
        <v>34</v>
      </c>
      <c r="C6013" s="45">
        <v>46326</v>
      </c>
      <c r="D6013" s="76">
        <v>1018.03361721269</v>
      </c>
      <c r="E6013" s="77">
        <v>125</v>
      </c>
      <c r="F6013" s="78">
        <v>12.60516057815</v>
      </c>
      <c r="G6013" s="78">
        <v>12.60516057815</v>
      </c>
      <c r="H6013" s="81">
        <v>12.6886187968638</v>
      </c>
    </row>
    <row r="6014" spans="1:8" x14ac:dyDescent="0.3">
      <c r="A6014" s="74" t="str">
        <f t="shared" si="93"/>
        <v>江西46327</v>
      </c>
      <c r="B6014" s="75" t="s">
        <v>34</v>
      </c>
      <c r="C6014" s="45">
        <v>46327</v>
      </c>
      <c r="D6014" s="76">
        <v>983.38095875036402</v>
      </c>
      <c r="E6014" s="77">
        <v>125</v>
      </c>
      <c r="F6014" s="78">
        <v>12.897427738179299</v>
      </c>
      <c r="G6014" s="78">
        <v>12.897427738179299</v>
      </c>
      <c r="H6014" s="81">
        <v>12.7638477620626</v>
      </c>
    </row>
    <row r="6015" spans="1:8" x14ac:dyDescent="0.3">
      <c r="A6015" s="74" t="str">
        <f t="shared" si="93"/>
        <v>江西46328</v>
      </c>
      <c r="B6015" s="75" t="s">
        <v>34</v>
      </c>
      <c r="C6015" s="45">
        <v>46328</v>
      </c>
      <c r="D6015" s="76">
        <v>983.38095875036402</v>
      </c>
      <c r="E6015" s="77">
        <v>125</v>
      </c>
      <c r="F6015" s="78">
        <v>12.897427738179299</v>
      </c>
      <c r="G6015" s="78">
        <v>12.897427738179299</v>
      </c>
      <c r="H6015" s="81">
        <v>12.7638477620626</v>
      </c>
    </row>
    <row r="6016" spans="1:8" x14ac:dyDescent="0.3">
      <c r="A6016" s="74" t="str">
        <f t="shared" si="93"/>
        <v>江西46329</v>
      </c>
      <c r="B6016" s="75" t="s">
        <v>34</v>
      </c>
      <c r="C6016" s="45">
        <v>46329</v>
      </c>
      <c r="D6016" s="76">
        <v>983.38095875036402</v>
      </c>
      <c r="E6016" s="77">
        <v>125</v>
      </c>
      <c r="F6016" s="78">
        <v>12.897427738179299</v>
      </c>
      <c r="G6016" s="78">
        <v>12.897427738179299</v>
      </c>
      <c r="H6016" s="81">
        <v>12.7638477620626</v>
      </c>
    </row>
    <row r="6017" spans="1:8" x14ac:dyDescent="0.3">
      <c r="A6017" s="74" t="str">
        <f t="shared" si="93"/>
        <v>江西46330</v>
      </c>
      <c r="B6017" s="75" t="s">
        <v>34</v>
      </c>
      <c r="C6017" s="45">
        <v>46330</v>
      </c>
      <c r="D6017" s="76">
        <v>983.38095875036402</v>
      </c>
      <c r="E6017" s="77">
        <v>125</v>
      </c>
      <c r="F6017" s="78">
        <v>12.897427738179299</v>
      </c>
      <c r="G6017" s="78">
        <v>12.897427738179299</v>
      </c>
      <c r="H6017" s="81">
        <v>12.7638477620626</v>
      </c>
    </row>
    <row r="6018" spans="1:8" x14ac:dyDescent="0.3">
      <c r="A6018" s="74" t="str">
        <f t="shared" si="93"/>
        <v>江西46331</v>
      </c>
      <c r="B6018" s="75" t="s">
        <v>34</v>
      </c>
      <c r="C6018" s="45">
        <v>46331</v>
      </c>
      <c r="D6018" s="76">
        <v>983.38095875036402</v>
      </c>
      <c r="E6018" s="77">
        <v>125</v>
      </c>
      <c r="F6018" s="78">
        <v>12.897427738179299</v>
      </c>
      <c r="G6018" s="78">
        <v>12.897427738179299</v>
      </c>
      <c r="H6018" s="81">
        <v>12.7638477620626</v>
      </c>
    </row>
    <row r="6019" spans="1:8" x14ac:dyDescent="0.3">
      <c r="A6019" s="74" t="str">
        <f t="shared" ref="A6019:A6074" si="94">B6019&amp;C6019</f>
        <v>江西46332</v>
      </c>
      <c r="B6019" s="75" t="s">
        <v>34</v>
      </c>
      <c r="C6019" s="45">
        <v>46332</v>
      </c>
      <c r="D6019" s="76">
        <v>983.38095875036402</v>
      </c>
      <c r="E6019" s="77">
        <v>125</v>
      </c>
      <c r="F6019" s="78">
        <v>12.897427738179299</v>
      </c>
      <c r="G6019" s="78">
        <v>12.897427738179299</v>
      </c>
      <c r="H6019" s="81">
        <v>12.7638477620626</v>
      </c>
    </row>
    <row r="6020" spans="1:8" x14ac:dyDescent="0.3">
      <c r="A6020" s="74" t="str">
        <f t="shared" si="94"/>
        <v>江西46333</v>
      </c>
      <c r="B6020" s="75" t="s">
        <v>34</v>
      </c>
      <c r="C6020" s="45">
        <v>46333</v>
      </c>
      <c r="D6020" s="76">
        <v>983.38095875036402</v>
      </c>
      <c r="E6020" s="77">
        <v>125</v>
      </c>
      <c r="F6020" s="78">
        <v>12.897427738179299</v>
      </c>
      <c r="G6020" s="78">
        <v>12.897427738179299</v>
      </c>
      <c r="H6020" s="81">
        <v>12.7638477620626</v>
      </c>
    </row>
    <row r="6021" spans="1:8" x14ac:dyDescent="0.3">
      <c r="A6021" s="74" t="str">
        <f t="shared" si="94"/>
        <v>江西46334</v>
      </c>
      <c r="B6021" s="75" t="s">
        <v>34</v>
      </c>
      <c r="C6021" s="45">
        <v>46334</v>
      </c>
      <c r="D6021" s="76">
        <v>983.38095875036402</v>
      </c>
      <c r="E6021" s="77">
        <v>125</v>
      </c>
      <c r="F6021" s="78">
        <v>12.897427738179299</v>
      </c>
      <c r="G6021" s="78">
        <v>12.897427738179299</v>
      </c>
      <c r="H6021" s="81">
        <v>12.7638477620626</v>
      </c>
    </row>
    <row r="6022" spans="1:8" x14ac:dyDescent="0.3">
      <c r="A6022" s="74" t="str">
        <f t="shared" si="94"/>
        <v>江西46335</v>
      </c>
      <c r="B6022" s="75" t="s">
        <v>34</v>
      </c>
      <c r="C6022" s="45">
        <v>46335</v>
      </c>
      <c r="D6022" s="76">
        <v>983.38095875036402</v>
      </c>
      <c r="E6022" s="77">
        <v>125</v>
      </c>
      <c r="F6022" s="78">
        <v>12.897427738179299</v>
      </c>
      <c r="G6022" s="78">
        <v>12.897427738179299</v>
      </c>
      <c r="H6022" s="81">
        <v>12.7638477620626</v>
      </c>
    </row>
    <row r="6023" spans="1:8" x14ac:dyDescent="0.3">
      <c r="A6023" s="74" t="str">
        <f t="shared" si="94"/>
        <v>江西46336</v>
      </c>
      <c r="B6023" s="75" t="s">
        <v>34</v>
      </c>
      <c r="C6023" s="45">
        <v>46336</v>
      </c>
      <c r="D6023" s="76">
        <v>983.38095875036402</v>
      </c>
      <c r="E6023" s="77">
        <v>125</v>
      </c>
      <c r="F6023" s="78">
        <v>12.897427738179299</v>
      </c>
      <c r="G6023" s="78">
        <v>12.897427738179299</v>
      </c>
      <c r="H6023" s="81">
        <v>12.7638477620626</v>
      </c>
    </row>
    <row r="6024" spans="1:8" x14ac:dyDescent="0.3">
      <c r="A6024" s="74" t="str">
        <f t="shared" si="94"/>
        <v>江西46337</v>
      </c>
      <c r="B6024" s="75" t="s">
        <v>34</v>
      </c>
      <c r="C6024" s="45">
        <v>46337</v>
      </c>
      <c r="D6024" s="76">
        <v>983.38095875036402</v>
      </c>
      <c r="E6024" s="77">
        <v>125</v>
      </c>
      <c r="F6024" s="78">
        <v>12.897427738179299</v>
      </c>
      <c r="G6024" s="78">
        <v>12.897427738179299</v>
      </c>
      <c r="H6024" s="81">
        <v>12.7638477620626</v>
      </c>
    </row>
    <row r="6025" spans="1:8" x14ac:dyDescent="0.3">
      <c r="A6025" s="74" t="str">
        <f t="shared" si="94"/>
        <v>江西46338</v>
      </c>
      <c r="B6025" s="75" t="s">
        <v>34</v>
      </c>
      <c r="C6025" s="45">
        <v>46338</v>
      </c>
      <c r="D6025" s="76">
        <v>983.38095875036402</v>
      </c>
      <c r="E6025" s="77">
        <v>125</v>
      </c>
      <c r="F6025" s="78">
        <v>12.897427738179299</v>
      </c>
      <c r="G6025" s="78">
        <v>12.897427738179299</v>
      </c>
      <c r="H6025" s="81">
        <v>12.7638477620626</v>
      </c>
    </row>
    <row r="6026" spans="1:8" x14ac:dyDescent="0.3">
      <c r="A6026" s="74" t="str">
        <f t="shared" si="94"/>
        <v>江西46339</v>
      </c>
      <c r="B6026" s="75" t="s">
        <v>34</v>
      </c>
      <c r="C6026" s="45">
        <v>46339</v>
      </c>
      <c r="D6026" s="76">
        <v>983.38095875036402</v>
      </c>
      <c r="E6026" s="77">
        <v>125</v>
      </c>
      <c r="F6026" s="78">
        <v>12.897427738179299</v>
      </c>
      <c r="G6026" s="78">
        <v>12.897427738179299</v>
      </c>
      <c r="H6026" s="81">
        <v>12.7638477620626</v>
      </c>
    </row>
    <row r="6027" spans="1:8" x14ac:dyDescent="0.3">
      <c r="A6027" s="74" t="str">
        <f t="shared" si="94"/>
        <v>江西46340</v>
      </c>
      <c r="B6027" s="75" t="s">
        <v>34</v>
      </c>
      <c r="C6027" s="45">
        <v>46340</v>
      </c>
      <c r="D6027" s="76">
        <v>983.38095875036402</v>
      </c>
      <c r="E6027" s="77">
        <v>125</v>
      </c>
      <c r="F6027" s="78">
        <v>12.897427738179299</v>
      </c>
      <c r="G6027" s="78">
        <v>12.897427738179299</v>
      </c>
      <c r="H6027" s="81">
        <v>12.7638477620626</v>
      </c>
    </row>
    <row r="6028" spans="1:8" x14ac:dyDescent="0.3">
      <c r="A6028" s="74" t="str">
        <f t="shared" si="94"/>
        <v>江西46341</v>
      </c>
      <c r="B6028" s="75" t="s">
        <v>34</v>
      </c>
      <c r="C6028" s="45">
        <v>46341</v>
      </c>
      <c r="D6028" s="76">
        <v>983.38095875036402</v>
      </c>
      <c r="E6028" s="77">
        <v>125</v>
      </c>
      <c r="F6028" s="78">
        <v>12.897427738179299</v>
      </c>
      <c r="G6028" s="78">
        <v>12.897427738179299</v>
      </c>
      <c r="H6028" s="81">
        <v>12.7638477620626</v>
      </c>
    </row>
    <row r="6029" spans="1:8" x14ac:dyDescent="0.3">
      <c r="A6029" s="74" t="str">
        <f t="shared" si="94"/>
        <v>江西46342</v>
      </c>
      <c r="B6029" s="75" t="s">
        <v>34</v>
      </c>
      <c r="C6029" s="45">
        <v>46342</v>
      </c>
      <c r="D6029" s="76">
        <v>983.38095875036402</v>
      </c>
      <c r="E6029" s="77">
        <v>125</v>
      </c>
      <c r="F6029" s="78">
        <v>12.897427738179299</v>
      </c>
      <c r="G6029" s="78">
        <v>12.897427738179299</v>
      </c>
      <c r="H6029" s="81">
        <v>12.7638477620626</v>
      </c>
    </row>
    <row r="6030" spans="1:8" x14ac:dyDescent="0.3">
      <c r="A6030" s="74" t="str">
        <f t="shared" si="94"/>
        <v>江西46343</v>
      </c>
      <c r="B6030" s="75" t="s">
        <v>34</v>
      </c>
      <c r="C6030" s="45">
        <v>46343</v>
      </c>
      <c r="D6030" s="76">
        <v>983.38095875036402</v>
      </c>
      <c r="E6030" s="77">
        <v>125</v>
      </c>
      <c r="F6030" s="78">
        <v>12.897427738179299</v>
      </c>
      <c r="G6030" s="78">
        <v>12.897427738179299</v>
      </c>
      <c r="H6030" s="81">
        <v>12.7638477620626</v>
      </c>
    </row>
    <row r="6031" spans="1:8" x14ac:dyDescent="0.3">
      <c r="A6031" s="74" t="str">
        <f t="shared" si="94"/>
        <v>江西46344</v>
      </c>
      <c r="B6031" s="75" t="s">
        <v>34</v>
      </c>
      <c r="C6031" s="45">
        <v>46344</v>
      </c>
      <c r="D6031" s="76">
        <v>983.38095875036402</v>
      </c>
      <c r="E6031" s="77">
        <v>125</v>
      </c>
      <c r="F6031" s="78">
        <v>12.897427738179299</v>
      </c>
      <c r="G6031" s="78">
        <v>12.897427738179299</v>
      </c>
      <c r="H6031" s="81">
        <v>12.7638477620626</v>
      </c>
    </row>
    <row r="6032" spans="1:8" x14ac:dyDescent="0.3">
      <c r="A6032" s="74" t="str">
        <f t="shared" si="94"/>
        <v>江西46345</v>
      </c>
      <c r="B6032" s="75" t="s">
        <v>34</v>
      </c>
      <c r="C6032" s="45">
        <v>46345</v>
      </c>
      <c r="D6032" s="76">
        <v>983.38095875036402</v>
      </c>
      <c r="E6032" s="77">
        <v>125</v>
      </c>
      <c r="F6032" s="78">
        <v>12.897427738179299</v>
      </c>
      <c r="G6032" s="78">
        <v>12.897427738179299</v>
      </c>
      <c r="H6032" s="81">
        <v>12.7638477620626</v>
      </c>
    </row>
    <row r="6033" spans="1:8" x14ac:dyDescent="0.3">
      <c r="A6033" s="74" t="str">
        <f t="shared" si="94"/>
        <v>江西46346</v>
      </c>
      <c r="B6033" s="75" t="s">
        <v>34</v>
      </c>
      <c r="C6033" s="45">
        <v>46346</v>
      </c>
      <c r="D6033" s="76">
        <v>983.38095875036402</v>
      </c>
      <c r="E6033" s="77">
        <v>125</v>
      </c>
      <c r="F6033" s="78">
        <v>12.897427738179299</v>
      </c>
      <c r="G6033" s="78">
        <v>12.897427738179299</v>
      </c>
      <c r="H6033" s="81">
        <v>12.7638477620626</v>
      </c>
    </row>
    <row r="6034" spans="1:8" x14ac:dyDescent="0.3">
      <c r="A6034" s="74" t="str">
        <f t="shared" si="94"/>
        <v>江西46347</v>
      </c>
      <c r="B6034" s="75" t="s">
        <v>34</v>
      </c>
      <c r="C6034" s="45">
        <v>46347</v>
      </c>
      <c r="D6034" s="76">
        <v>983.38095875036402</v>
      </c>
      <c r="E6034" s="77">
        <v>125</v>
      </c>
      <c r="F6034" s="78">
        <v>12.897427738179299</v>
      </c>
      <c r="G6034" s="78">
        <v>12.897427738179299</v>
      </c>
      <c r="H6034" s="81">
        <v>12.7638477620626</v>
      </c>
    </row>
    <row r="6035" spans="1:8" x14ac:dyDescent="0.3">
      <c r="A6035" s="74" t="str">
        <f t="shared" si="94"/>
        <v>江西46348</v>
      </c>
      <c r="B6035" s="75" t="s">
        <v>34</v>
      </c>
      <c r="C6035" s="45">
        <v>46348</v>
      </c>
      <c r="D6035" s="76">
        <v>983.38095875036402</v>
      </c>
      <c r="E6035" s="77">
        <v>125</v>
      </c>
      <c r="F6035" s="78">
        <v>12.897427738179299</v>
      </c>
      <c r="G6035" s="78">
        <v>12.897427738179299</v>
      </c>
      <c r="H6035" s="81">
        <v>12.7638477620626</v>
      </c>
    </row>
    <row r="6036" spans="1:8" x14ac:dyDescent="0.3">
      <c r="A6036" s="74" t="str">
        <f t="shared" si="94"/>
        <v>江西46349</v>
      </c>
      <c r="B6036" s="75" t="s">
        <v>34</v>
      </c>
      <c r="C6036" s="45">
        <v>46349</v>
      </c>
      <c r="D6036" s="76">
        <v>983.38095875036402</v>
      </c>
      <c r="E6036" s="77">
        <v>125</v>
      </c>
      <c r="F6036" s="78">
        <v>12.897427738179299</v>
      </c>
      <c r="G6036" s="78">
        <v>12.897427738179299</v>
      </c>
      <c r="H6036" s="81">
        <v>12.7638477620626</v>
      </c>
    </row>
    <row r="6037" spans="1:8" x14ac:dyDescent="0.3">
      <c r="A6037" s="74" t="str">
        <f t="shared" si="94"/>
        <v>江西46350</v>
      </c>
      <c r="B6037" s="75" t="s">
        <v>34</v>
      </c>
      <c r="C6037" s="45">
        <v>46350</v>
      </c>
      <c r="D6037" s="76">
        <v>983.38095875036402</v>
      </c>
      <c r="E6037" s="77">
        <v>125</v>
      </c>
      <c r="F6037" s="78">
        <v>12.897427738179299</v>
      </c>
      <c r="G6037" s="78">
        <v>12.897427738179299</v>
      </c>
      <c r="H6037" s="81">
        <v>12.7638477620626</v>
      </c>
    </row>
    <row r="6038" spans="1:8" x14ac:dyDescent="0.3">
      <c r="A6038" s="74" t="str">
        <f t="shared" si="94"/>
        <v>江西46351</v>
      </c>
      <c r="B6038" s="75" t="s">
        <v>34</v>
      </c>
      <c r="C6038" s="45">
        <v>46351</v>
      </c>
      <c r="D6038" s="76">
        <v>983.38095875036402</v>
      </c>
      <c r="E6038" s="77">
        <v>125</v>
      </c>
      <c r="F6038" s="78">
        <v>12.897427738179299</v>
      </c>
      <c r="G6038" s="78">
        <v>12.897427738179299</v>
      </c>
      <c r="H6038" s="81">
        <v>12.7638477620626</v>
      </c>
    </row>
    <row r="6039" spans="1:8" x14ac:dyDescent="0.3">
      <c r="A6039" s="74" t="str">
        <f t="shared" si="94"/>
        <v>江西46352</v>
      </c>
      <c r="B6039" s="75" t="s">
        <v>34</v>
      </c>
      <c r="C6039" s="45">
        <v>46352</v>
      </c>
      <c r="D6039" s="76">
        <v>983.38095875036402</v>
      </c>
      <c r="E6039" s="77">
        <v>125</v>
      </c>
      <c r="F6039" s="78">
        <v>12.897427738179299</v>
      </c>
      <c r="G6039" s="78">
        <v>12.897427738179299</v>
      </c>
      <c r="H6039" s="81">
        <v>12.7638477620626</v>
      </c>
    </row>
    <row r="6040" spans="1:8" x14ac:dyDescent="0.3">
      <c r="A6040" s="74" t="str">
        <f t="shared" si="94"/>
        <v>江西46353</v>
      </c>
      <c r="B6040" s="75" t="s">
        <v>34</v>
      </c>
      <c r="C6040" s="45">
        <v>46353</v>
      </c>
      <c r="D6040" s="76">
        <v>983.38095875036402</v>
      </c>
      <c r="E6040" s="77">
        <v>125</v>
      </c>
      <c r="F6040" s="78">
        <v>12.897427738179299</v>
      </c>
      <c r="G6040" s="78">
        <v>12.897427738179299</v>
      </c>
      <c r="H6040" s="81">
        <v>12.7638477620626</v>
      </c>
    </row>
    <row r="6041" spans="1:8" x14ac:dyDescent="0.3">
      <c r="A6041" s="74" t="str">
        <f t="shared" si="94"/>
        <v>江西46354</v>
      </c>
      <c r="B6041" s="75" t="s">
        <v>34</v>
      </c>
      <c r="C6041" s="45">
        <v>46354</v>
      </c>
      <c r="D6041" s="76">
        <v>983.38095875036402</v>
      </c>
      <c r="E6041" s="77">
        <v>125</v>
      </c>
      <c r="F6041" s="78">
        <v>12.897427738179299</v>
      </c>
      <c r="G6041" s="78">
        <v>12.897427738179299</v>
      </c>
      <c r="H6041" s="81">
        <v>12.7638477620626</v>
      </c>
    </row>
    <row r="6042" spans="1:8" x14ac:dyDescent="0.3">
      <c r="A6042" s="74" t="str">
        <f t="shared" si="94"/>
        <v>江西46355</v>
      </c>
      <c r="B6042" s="75" t="s">
        <v>34</v>
      </c>
      <c r="C6042" s="45">
        <v>46355</v>
      </c>
      <c r="D6042" s="76">
        <v>983.38095875036402</v>
      </c>
      <c r="E6042" s="77">
        <v>125</v>
      </c>
      <c r="F6042" s="78">
        <v>12.897427738179299</v>
      </c>
      <c r="G6042" s="78">
        <v>12.897427738179299</v>
      </c>
      <c r="H6042" s="81">
        <v>12.7638477620626</v>
      </c>
    </row>
    <row r="6043" spans="1:8" x14ac:dyDescent="0.3">
      <c r="A6043" s="74" t="str">
        <f t="shared" si="94"/>
        <v>江西46356</v>
      </c>
      <c r="B6043" s="75" t="s">
        <v>34</v>
      </c>
      <c r="C6043" s="45">
        <v>46356</v>
      </c>
      <c r="D6043" s="76">
        <v>983.38095875036402</v>
      </c>
      <c r="E6043" s="77">
        <v>125</v>
      </c>
      <c r="F6043" s="78">
        <v>12.897427738179299</v>
      </c>
      <c r="G6043" s="78">
        <v>12.897427738179299</v>
      </c>
      <c r="H6043" s="81">
        <v>12.7638477620626</v>
      </c>
    </row>
    <row r="6044" spans="1:8" x14ac:dyDescent="0.3">
      <c r="A6044" s="74" t="str">
        <f t="shared" si="94"/>
        <v>江西46357</v>
      </c>
      <c r="B6044" s="75" t="s">
        <v>34</v>
      </c>
      <c r="C6044" s="45">
        <v>46357</v>
      </c>
      <c r="D6044" s="76">
        <v>1003.3846676874</v>
      </c>
      <c r="E6044" s="77">
        <v>125</v>
      </c>
      <c r="F6044" s="78">
        <v>13.595936118232901</v>
      </c>
      <c r="G6044" s="78">
        <v>13.595936118232901</v>
      </c>
      <c r="H6044" s="81">
        <v>12.9995651863522</v>
      </c>
    </row>
    <row r="6045" spans="1:8" x14ac:dyDescent="0.3">
      <c r="A6045" s="74" t="str">
        <f t="shared" si="94"/>
        <v>江西46358</v>
      </c>
      <c r="B6045" s="75" t="s">
        <v>34</v>
      </c>
      <c r="C6045" s="45">
        <v>46358</v>
      </c>
      <c r="D6045" s="76">
        <v>1003.3846676874</v>
      </c>
      <c r="E6045" s="77">
        <v>125</v>
      </c>
      <c r="F6045" s="78">
        <v>13.595936118232901</v>
      </c>
      <c r="G6045" s="78">
        <v>13.595936118232901</v>
      </c>
      <c r="H6045" s="81">
        <v>12.9995651863522</v>
      </c>
    </row>
    <row r="6046" spans="1:8" x14ac:dyDescent="0.3">
      <c r="A6046" s="74" t="str">
        <f t="shared" si="94"/>
        <v>江西46359</v>
      </c>
      <c r="B6046" s="75" t="s">
        <v>34</v>
      </c>
      <c r="C6046" s="45">
        <v>46359</v>
      </c>
      <c r="D6046" s="76">
        <v>1003.3846676874</v>
      </c>
      <c r="E6046" s="77">
        <v>125</v>
      </c>
      <c r="F6046" s="78">
        <v>13.595936118232901</v>
      </c>
      <c r="G6046" s="78">
        <v>13.595936118232901</v>
      </c>
      <c r="H6046" s="81">
        <v>12.9995651863522</v>
      </c>
    </row>
    <row r="6047" spans="1:8" x14ac:dyDescent="0.3">
      <c r="A6047" s="74" t="str">
        <f t="shared" si="94"/>
        <v>江西46360</v>
      </c>
      <c r="B6047" s="75" t="s">
        <v>34</v>
      </c>
      <c r="C6047" s="45">
        <v>46360</v>
      </c>
      <c r="D6047" s="76">
        <v>1003.3846676874</v>
      </c>
      <c r="E6047" s="77">
        <v>125</v>
      </c>
      <c r="F6047" s="78">
        <v>13.595936118232901</v>
      </c>
      <c r="G6047" s="78">
        <v>13.595936118232901</v>
      </c>
      <c r="H6047" s="81">
        <v>12.9995651863522</v>
      </c>
    </row>
    <row r="6048" spans="1:8" x14ac:dyDescent="0.3">
      <c r="A6048" s="74" t="str">
        <f t="shared" si="94"/>
        <v>江西46361</v>
      </c>
      <c r="B6048" s="75" t="s">
        <v>34</v>
      </c>
      <c r="C6048" s="45">
        <v>46361</v>
      </c>
      <c r="D6048" s="76">
        <v>1003.3846676874</v>
      </c>
      <c r="E6048" s="77">
        <v>125</v>
      </c>
      <c r="F6048" s="78">
        <v>13.595936118232901</v>
      </c>
      <c r="G6048" s="78">
        <v>13.595936118232901</v>
      </c>
      <c r="H6048" s="81">
        <v>12.9995651863522</v>
      </c>
    </row>
    <row r="6049" spans="1:8" x14ac:dyDescent="0.3">
      <c r="A6049" s="74" t="str">
        <f t="shared" si="94"/>
        <v>江西46362</v>
      </c>
      <c r="B6049" s="75" t="s">
        <v>34</v>
      </c>
      <c r="C6049" s="45">
        <v>46362</v>
      </c>
      <c r="D6049" s="76">
        <v>1003.3846676874</v>
      </c>
      <c r="E6049" s="77">
        <v>125</v>
      </c>
      <c r="F6049" s="78">
        <v>13.595936118232901</v>
      </c>
      <c r="G6049" s="78">
        <v>13.595936118232901</v>
      </c>
      <c r="H6049" s="81">
        <v>12.9995651863522</v>
      </c>
    </row>
    <row r="6050" spans="1:8" x14ac:dyDescent="0.3">
      <c r="A6050" s="74" t="str">
        <f t="shared" si="94"/>
        <v>江西46363</v>
      </c>
      <c r="B6050" s="75" t="s">
        <v>34</v>
      </c>
      <c r="C6050" s="45">
        <v>46363</v>
      </c>
      <c r="D6050" s="76">
        <v>1003.3846676874</v>
      </c>
      <c r="E6050" s="77">
        <v>125</v>
      </c>
      <c r="F6050" s="78">
        <v>13.595936118232901</v>
      </c>
      <c r="G6050" s="78">
        <v>13.595936118232901</v>
      </c>
      <c r="H6050" s="81">
        <v>12.9995651863522</v>
      </c>
    </row>
    <row r="6051" spans="1:8" x14ac:dyDescent="0.3">
      <c r="A6051" s="74" t="str">
        <f t="shared" si="94"/>
        <v>江西46364</v>
      </c>
      <c r="B6051" s="75" t="s">
        <v>34</v>
      </c>
      <c r="C6051" s="45">
        <v>46364</v>
      </c>
      <c r="D6051" s="76">
        <v>1003.3846676874</v>
      </c>
      <c r="E6051" s="77">
        <v>125</v>
      </c>
      <c r="F6051" s="78">
        <v>13.595936118232901</v>
      </c>
      <c r="G6051" s="78">
        <v>13.595936118232901</v>
      </c>
      <c r="H6051" s="81">
        <v>12.9995651863522</v>
      </c>
    </row>
    <row r="6052" spans="1:8" x14ac:dyDescent="0.3">
      <c r="A6052" s="74" t="str">
        <f t="shared" si="94"/>
        <v>江西46365</v>
      </c>
      <c r="B6052" s="75" t="s">
        <v>34</v>
      </c>
      <c r="C6052" s="45">
        <v>46365</v>
      </c>
      <c r="D6052" s="76">
        <v>1003.3846676874</v>
      </c>
      <c r="E6052" s="77">
        <v>125</v>
      </c>
      <c r="F6052" s="78">
        <v>13.595936118232901</v>
      </c>
      <c r="G6052" s="78">
        <v>13.595936118232901</v>
      </c>
      <c r="H6052" s="81">
        <v>12.9995651863522</v>
      </c>
    </row>
    <row r="6053" spans="1:8" x14ac:dyDescent="0.3">
      <c r="A6053" s="74" t="str">
        <f t="shared" si="94"/>
        <v>江西46366</v>
      </c>
      <c r="B6053" s="75" t="s">
        <v>34</v>
      </c>
      <c r="C6053" s="45">
        <v>46366</v>
      </c>
      <c r="D6053" s="76">
        <v>1003.3846676874</v>
      </c>
      <c r="E6053" s="77">
        <v>125</v>
      </c>
      <c r="F6053" s="78">
        <v>13.595936118232901</v>
      </c>
      <c r="G6053" s="78">
        <v>13.595936118232901</v>
      </c>
      <c r="H6053" s="81">
        <v>12.9995651863522</v>
      </c>
    </row>
    <row r="6054" spans="1:8" x14ac:dyDescent="0.3">
      <c r="A6054" s="74" t="str">
        <f t="shared" si="94"/>
        <v>江西46367</v>
      </c>
      <c r="B6054" s="75" t="s">
        <v>34</v>
      </c>
      <c r="C6054" s="45">
        <v>46367</v>
      </c>
      <c r="D6054" s="76">
        <v>1003.3846676874</v>
      </c>
      <c r="E6054" s="77">
        <v>125</v>
      </c>
      <c r="F6054" s="78">
        <v>13.595936118232901</v>
      </c>
      <c r="G6054" s="78">
        <v>13.595936118232901</v>
      </c>
      <c r="H6054" s="81">
        <v>12.9995651863522</v>
      </c>
    </row>
    <row r="6055" spans="1:8" x14ac:dyDescent="0.3">
      <c r="A6055" s="74" t="str">
        <f t="shared" si="94"/>
        <v>江西46368</v>
      </c>
      <c r="B6055" s="75" t="s">
        <v>34</v>
      </c>
      <c r="C6055" s="45">
        <v>46368</v>
      </c>
      <c r="D6055" s="76">
        <v>1003.3846676874</v>
      </c>
      <c r="E6055" s="77">
        <v>125</v>
      </c>
      <c r="F6055" s="78">
        <v>13.595936118232901</v>
      </c>
      <c r="G6055" s="78">
        <v>13.595936118232901</v>
      </c>
      <c r="H6055" s="81">
        <v>12.9995651863522</v>
      </c>
    </row>
    <row r="6056" spans="1:8" x14ac:dyDescent="0.3">
      <c r="A6056" s="74" t="str">
        <f t="shared" si="94"/>
        <v>江西46369</v>
      </c>
      <c r="B6056" s="75" t="s">
        <v>34</v>
      </c>
      <c r="C6056" s="45">
        <v>46369</v>
      </c>
      <c r="D6056" s="76">
        <v>1003.3846676874</v>
      </c>
      <c r="E6056" s="77">
        <v>125</v>
      </c>
      <c r="F6056" s="78">
        <v>13.595936118232901</v>
      </c>
      <c r="G6056" s="78">
        <v>13.595936118232901</v>
      </c>
      <c r="H6056" s="81">
        <v>12.9995651863522</v>
      </c>
    </row>
    <row r="6057" spans="1:8" x14ac:dyDescent="0.3">
      <c r="A6057" s="74" t="str">
        <f t="shared" si="94"/>
        <v>江西46370</v>
      </c>
      <c r="B6057" s="75" t="s">
        <v>34</v>
      </c>
      <c r="C6057" s="45">
        <v>46370</v>
      </c>
      <c r="D6057" s="76">
        <v>1003.3846676874</v>
      </c>
      <c r="E6057" s="77">
        <v>125</v>
      </c>
      <c r="F6057" s="78">
        <v>13.595936118232901</v>
      </c>
      <c r="G6057" s="78">
        <v>13.595936118232901</v>
      </c>
      <c r="H6057" s="81">
        <v>12.9995651863522</v>
      </c>
    </row>
    <row r="6058" spans="1:8" x14ac:dyDescent="0.3">
      <c r="A6058" s="74" t="str">
        <f t="shared" si="94"/>
        <v>江西46371</v>
      </c>
      <c r="B6058" s="75" t="s">
        <v>34</v>
      </c>
      <c r="C6058" s="45">
        <v>46371</v>
      </c>
      <c r="D6058" s="76">
        <v>1003.3846676874</v>
      </c>
      <c r="E6058" s="77">
        <v>125</v>
      </c>
      <c r="F6058" s="78">
        <v>13.595936118232901</v>
      </c>
      <c r="G6058" s="78">
        <v>13.595936118232901</v>
      </c>
      <c r="H6058" s="81">
        <v>12.9995651863522</v>
      </c>
    </row>
    <row r="6059" spans="1:8" x14ac:dyDescent="0.3">
      <c r="A6059" s="74" t="str">
        <f t="shared" si="94"/>
        <v>江西46372</v>
      </c>
      <c r="B6059" s="75" t="s">
        <v>34</v>
      </c>
      <c r="C6059" s="45">
        <v>46372</v>
      </c>
      <c r="D6059" s="76">
        <v>1003.3846676874</v>
      </c>
      <c r="E6059" s="77">
        <v>125</v>
      </c>
      <c r="F6059" s="78">
        <v>13.595936118232901</v>
      </c>
      <c r="G6059" s="78">
        <v>13.595936118232901</v>
      </c>
      <c r="H6059" s="81">
        <v>12.9995651863522</v>
      </c>
    </row>
    <row r="6060" spans="1:8" x14ac:dyDescent="0.3">
      <c r="A6060" s="74" t="str">
        <f t="shared" si="94"/>
        <v>江西46373</v>
      </c>
      <c r="B6060" s="75" t="s">
        <v>34</v>
      </c>
      <c r="C6060" s="45">
        <v>46373</v>
      </c>
      <c r="D6060" s="76">
        <v>1003.3846676874</v>
      </c>
      <c r="E6060" s="77">
        <v>125</v>
      </c>
      <c r="F6060" s="78">
        <v>13.595936118232901</v>
      </c>
      <c r="G6060" s="78">
        <v>13.595936118232901</v>
      </c>
      <c r="H6060" s="81">
        <v>12.9995651863522</v>
      </c>
    </row>
    <row r="6061" spans="1:8" x14ac:dyDescent="0.3">
      <c r="A6061" s="74" t="str">
        <f t="shared" si="94"/>
        <v>江西46374</v>
      </c>
      <c r="B6061" s="75" t="s">
        <v>34</v>
      </c>
      <c r="C6061" s="45">
        <v>46374</v>
      </c>
      <c r="D6061" s="76">
        <v>1003.3846676874</v>
      </c>
      <c r="E6061" s="77">
        <v>125</v>
      </c>
      <c r="F6061" s="78">
        <v>13.595936118232901</v>
      </c>
      <c r="G6061" s="78">
        <v>13.595936118232901</v>
      </c>
      <c r="H6061" s="81">
        <v>12.9995651863522</v>
      </c>
    </row>
    <row r="6062" spans="1:8" x14ac:dyDescent="0.3">
      <c r="A6062" s="74" t="str">
        <f t="shared" si="94"/>
        <v>江西46375</v>
      </c>
      <c r="B6062" s="75" t="s">
        <v>34</v>
      </c>
      <c r="C6062" s="45">
        <v>46375</v>
      </c>
      <c r="D6062" s="76">
        <v>1003.3846676874</v>
      </c>
      <c r="E6062" s="77">
        <v>125</v>
      </c>
      <c r="F6062" s="78">
        <v>13.595936118232901</v>
      </c>
      <c r="G6062" s="78">
        <v>13.595936118232901</v>
      </c>
      <c r="H6062" s="81">
        <v>12.9995651863522</v>
      </c>
    </row>
    <row r="6063" spans="1:8" x14ac:dyDescent="0.3">
      <c r="A6063" s="74" t="str">
        <f t="shared" si="94"/>
        <v>江西46376</v>
      </c>
      <c r="B6063" s="75" t="s">
        <v>34</v>
      </c>
      <c r="C6063" s="45">
        <v>46376</v>
      </c>
      <c r="D6063" s="76">
        <v>1003.3846676874</v>
      </c>
      <c r="E6063" s="77">
        <v>125</v>
      </c>
      <c r="F6063" s="78">
        <v>13.595936118232901</v>
      </c>
      <c r="G6063" s="78">
        <v>13.595936118232901</v>
      </c>
      <c r="H6063" s="81">
        <v>12.9995651863522</v>
      </c>
    </row>
    <row r="6064" spans="1:8" x14ac:dyDescent="0.3">
      <c r="A6064" s="74" t="str">
        <f t="shared" si="94"/>
        <v>江西46377</v>
      </c>
      <c r="B6064" s="75" t="s">
        <v>34</v>
      </c>
      <c r="C6064" s="45">
        <v>46377</v>
      </c>
      <c r="D6064" s="76">
        <v>1003.3846676874</v>
      </c>
      <c r="E6064" s="77">
        <v>125</v>
      </c>
      <c r="F6064" s="78">
        <v>13.595936118232901</v>
      </c>
      <c r="G6064" s="78">
        <v>13.595936118232901</v>
      </c>
      <c r="H6064" s="81">
        <v>12.9995651863522</v>
      </c>
    </row>
    <row r="6065" spans="1:8" x14ac:dyDescent="0.3">
      <c r="A6065" s="74" t="str">
        <f t="shared" si="94"/>
        <v>江西46378</v>
      </c>
      <c r="B6065" s="75" t="s">
        <v>34</v>
      </c>
      <c r="C6065" s="45">
        <v>46378</v>
      </c>
      <c r="D6065" s="76">
        <v>1003.3846676874</v>
      </c>
      <c r="E6065" s="77">
        <v>125</v>
      </c>
      <c r="F6065" s="78">
        <v>13.595936118232901</v>
      </c>
      <c r="G6065" s="78">
        <v>13.595936118232901</v>
      </c>
      <c r="H6065" s="81">
        <v>12.9995651863522</v>
      </c>
    </row>
    <row r="6066" spans="1:8" x14ac:dyDescent="0.3">
      <c r="A6066" s="74" t="str">
        <f t="shared" si="94"/>
        <v>江西46379</v>
      </c>
      <c r="B6066" s="75" t="s">
        <v>34</v>
      </c>
      <c r="C6066" s="45">
        <v>46379</v>
      </c>
      <c r="D6066" s="76">
        <v>1003.3846676874</v>
      </c>
      <c r="E6066" s="77">
        <v>125</v>
      </c>
      <c r="F6066" s="78">
        <v>13.595936118232901</v>
      </c>
      <c r="G6066" s="78">
        <v>13.595936118232901</v>
      </c>
      <c r="H6066" s="81">
        <v>12.9995651863522</v>
      </c>
    </row>
    <row r="6067" spans="1:8" x14ac:dyDescent="0.3">
      <c r="A6067" s="74" t="str">
        <f t="shared" si="94"/>
        <v>江西46380</v>
      </c>
      <c r="B6067" s="75" t="s">
        <v>34</v>
      </c>
      <c r="C6067" s="45">
        <v>46380</v>
      </c>
      <c r="D6067" s="76">
        <v>1003.3846676874</v>
      </c>
      <c r="E6067" s="77">
        <v>125</v>
      </c>
      <c r="F6067" s="78">
        <v>13.595936118232901</v>
      </c>
      <c r="G6067" s="78">
        <v>13.595936118232901</v>
      </c>
      <c r="H6067" s="81">
        <v>12.9995651863522</v>
      </c>
    </row>
    <row r="6068" spans="1:8" x14ac:dyDescent="0.3">
      <c r="A6068" s="74" t="str">
        <f t="shared" si="94"/>
        <v>江西46381</v>
      </c>
      <c r="B6068" s="75" t="s">
        <v>34</v>
      </c>
      <c r="C6068" s="45">
        <v>46381</v>
      </c>
      <c r="D6068" s="76">
        <v>1003.3846676874</v>
      </c>
      <c r="E6068" s="77">
        <v>125</v>
      </c>
      <c r="F6068" s="78">
        <v>13.595936118232901</v>
      </c>
      <c r="G6068" s="78">
        <v>13.595936118232901</v>
      </c>
      <c r="H6068" s="81">
        <v>12.9995651863522</v>
      </c>
    </row>
    <row r="6069" spans="1:8" x14ac:dyDescent="0.3">
      <c r="A6069" s="74" t="str">
        <f t="shared" si="94"/>
        <v>江西46382</v>
      </c>
      <c r="B6069" s="75" t="s">
        <v>34</v>
      </c>
      <c r="C6069" s="45">
        <v>46382</v>
      </c>
      <c r="D6069" s="76">
        <v>1003.3846676874</v>
      </c>
      <c r="E6069" s="77">
        <v>125</v>
      </c>
      <c r="F6069" s="78">
        <v>13.595936118232901</v>
      </c>
      <c r="G6069" s="78">
        <v>13.595936118232901</v>
      </c>
      <c r="H6069" s="81">
        <v>12.9995651863522</v>
      </c>
    </row>
    <row r="6070" spans="1:8" x14ac:dyDescent="0.3">
      <c r="A6070" s="74" t="str">
        <f t="shared" si="94"/>
        <v>江西46383</v>
      </c>
      <c r="B6070" s="75" t="s">
        <v>34</v>
      </c>
      <c r="C6070" s="45">
        <v>46383</v>
      </c>
      <c r="D6070" s="76">
        <v>1003.3846676874</v>
      </c>
      <c r="E6070" s="77">
        <v>125</v>
      </c>
      <c r="F6070" s="78">
        <v>13.595936118232901</v>
      </c>
      <c r="G6070" s="78">
        <v>13.595936118232901</v>
      </c>
      <c r="H6070" s="81">
        <v>12.9995651863522</v>
      </c>
    </row>
    <row r="6071" spans="1:8" x14ac:dyDescent="0.3">
      <c r="A6071" s="74" t="str">
        <f t="shared" si="94"/>
        <v>江西46384</v>
      </c>
      <c r="B6071" s="75" t="s">
        <v>34</v>
      </c>
      <c r="C6071" s="45">
        <v>46384</v>
      </c>
      <c r="D6071" s="76">
        <v>1003.3846676874</v>
      </c>
      <c r="E6071" s="77">
        <v>125</v>
      </c>
      <c r="F6071" s="78">
        <v>13.595936118232901</v>
      </c>
      <c r="G6071" s="78">
        <v>13.595936118232901</v>
      </c>
      <c r="H6071" s="81">
        <v>12.9995651863522</v>
      </c>
    </row>
    <row r="6072" spans="1:8" x14ac:dyDescent="0.3">
      <c r="A6072" s="74" t="str">
        <f t="shared" si="94"/>
        <v>江西46385</v>
      </c>
      <c r="B6072" s="75" t="s">
        <v>34</v>
      </c>
      <c r="C6072" s="45">
        <v>46385</v>
      </c>
      <c r="D6072" s="76">
        <v>1003.3846676874</v>
      </c>
      <c r="E6072" s="77">
        <v>125</v>
      </c>
      <c r="F6072" s="78">
        <v>13.595936118232901</v>
      </c>
      <c r="G6072" s="78">
        <v>13.595936118232901</v>
      </c>
      <c r="H6072" s="81">
        <v>12.9995651863522</v>
      </c>
    </row>
    <row r="6073" spans="1:8" x14ac:dyDescent="0.3">
      <c r="A6073" s="74" t="str">
        <f t="shared" si="94"/>
        <v>江西46386</v>
      </c>
      <c r="B6073" s="75" t="s">
        <v>34</v>
      </c>
      <c r="C6073" s="45">
        <v>46386</v>
      </c>
      <c r="D6073" s="76">
        <v>1003.3846676874</v>
      </c>
      <c r="E6073" s="77">
        <v>125</v>
      </c>
      <c r="F6073" s="78">
        <v>13.595936118232901</v>
      </c>
      <c r="G6073" s="78">
        <v>13.595936118232901</v>
      </c>
      <c r="H6073" s="81">
        <v>12.9995651863522</v>
      </c>
    </row>
    <row r="6074" spans="1:8" x14ac:dyDescent="0.3">
      <c r="A6074" s="74" t="str">
        <f t="shared" si="94"/>
        <v>江西46387</v>
      </c>
      <c r="B6074" s="82" t="s">
        <v>34</v>
      </c>
      <c r="C6074" s="83">
        <v>46387</v>
      </c>
      <c r="D6074" s="84">
        <v>1003.3846676874</v>
      </c>
      <c r="E6074" s="85">
        <v>125</v>
      </c>
      <c r="F6074" s="86">
        <v>13.595936118232901</v>
      </c>
      <c r="G6074" s="86">
        <v>13.595936118232901</v>
      </c>
      <c r="H6074" s="87">
        <v>12.9995651863522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99"/>
  <sheetViews>
    <sheetView showGridLines="0" workbookViewId="0">
      <selection activeCell="C3" sqref="C3:C99"/>
    </sheetView>
  </sheetViews>
  <sheetFormatPr defaultColWidth="9" defaultRowHeight="15.75" x14ac:dyDescent="0.3"/>
  <cols>
    <col min="1" max="1" width="9" style="50"/>
    <col min="2" max="3" width="16.53125" style="54" customWidth="1"/>
    <col min="4" max="4" width="16.53125" style="55" customWidth="1"/>
    <col min="5" max="6" width="16.53125" style="54" customWidth="1"/>
    <col min="7" max="16384" width="9" style="50"/>
  </cols>
  <sheetData>
    <row r="2" spans="2:6" x14ac:dyDescent="0.3">
      <c r="B2" s="56" t="s">
        <v>35</v>
      </c>
      <c r="C2" s="56" t="s">
        <v>36</v>
      </c>
      <c r="D2" s="57" t="s">
        <v>37</v>
      </c>
      <c r="E2" s="56" t="s">
        <v>38</v>
      </c>
      <c r="F2" s="56" t="s">
        <v>39</v>
      </c>
    </row>
    <row r="3" spans="2:6" x14ac:dyDescent="0.3">
      <c r="B3" s="58" t="s">
        <v>40</v>
      </c>
      <c r="C3" s="59" t="s">
        <v>41</v>
      </c>
      <c r="D3" s="60">
        <v>0.71499999999999997</v>
      </c>
      <c r="E3" s="59" t="s">
        <v>42</v>
      </c>
      <c r="F3" s="61" t="s">
        <v>43</v>
      </c>
    </row>
    <row r="4" spans="2:6" x14ac:dyDescent="0.3">
      <c r="B4" s="62" t="s">
        <v>40</v>
      </c>
      <c r="C4" s="63" t="s">
        <v>44</v>
      </c>
      <c r="D4" s="64">
        <v>4.3342237679380002E-2</v>
      </c>
      <c r="E4" s="63" t="s">
        <v>42</v>
      </c>
      <c r="F4" s="65" t="s">
        <v>43</v>
      </c>
    </row>
    <row r="5" spans="2:6" x14ac:dyDescent="0.3">
      <c r="B5" s="62" t="s">
        <v>40</v>
      </c>
      <c r="C5" s="63" t="s">
        <v>45</v>
      </c>
      <c r="D5" s="64">
        <v>1.8327694979870301E-2</v>
      </c>
      <c r="E5" s="63" t="s">
        <v>42</v>
      </c>
      <c r="F5" s="65" t="s">
        <v>43</v>
      </c>
    </row>
    <row r="6" spans="2:6" x14ac:dyDescent="0.3">
      <c r="B6" s="62" t="s">
        <v>40</v>
      </c>
      <c r="C6" s="63" t="s">
        <v>46</v>
      </c>
      <c r="D6" s="64">
        <v>3.2562132013653599E-4</v>
      </c>
      <c r="E6" s="63" t="s">
        <v>42</v>
      </c>
      <c r="F6" s="65" t="s">
        <v>43</v>
      </c>
    </row>
    <row r="7" spans="2:6" x14ac:dyDescent="0.3">
      <c r="B7" s="62" t="s">
        <v>40</v>
      </c>
      <c r="C7" s="63" t="s">
        <v>47</v>
      </c>
      <c r="D7" s="64">
        <v>3.0632398515360198E-3</v>
      </c>
      <c r="E7" s="63" t="s">
        <v>42</v>
      </c>
      <c r="F7" s="65" t="s">
        <v>43</v>
      </c>
    </row>
    <row r="8" spans="2:6" x14ac:dyDescent="0.3">
      <c r="B8" s="62" t="s">
        <v>40</v>
      </c>
      <c r="C8" s="63" t="s">
        <v>48</v>
      </c>
      <c r="D8" s="64">
        <v>1.5822796716383002E-2</v>
      </c>
      <c r="E8" s="63" t="s">
        <v>42</v>
      </c>
      <c r="F8" s="65" t="s">
        <v>43</v>
      </c>
    </row>
    <row r="9" spans="2:6" x14ac:dyDescent="0.3">
      <c r="B9" s="62" t="s">
        <v>40</v>
      </c>
      <c r="C9" s="63" t="s">
        <v>49</v>
      </c>
      <c r="D9" s="64">
        <v>3.0934025412970799E-3</v>
      </c>
      <c r="E9" s="63" t="s">
        <v>42</v>
      </c>
      <c r="F9" s="65" t="s">
        <v>43</v>
      </c>
    </row>
    <row r="10" spans="2:6" x14ac:dyDescent="0.3">
      <c r="B10" s="62" t="s">
        <v>40</v>
      </c>
      <c r="C10" s="63" t="s">
        <v>50</v>
      </c>
      <c r="D10" s="64">
        <v>1.08247988845052E-2</v>
      </c>
      <c r="E10" s="63" t="s">
        <v>42</v>
      </c>
      <c r="F10" s="65" t="s">
        <v>43</v>
      </c>
    </row>
    <row r="11" spans="2:6" x14ac:dyDescent="0.3">
      <c r="B11" s="62" t="s">
        <v>40</v>
      </c>
      <c r="C11" s="63" t="s">
        <v>51</v>
      </c>
      <c r="D11" s="64">
        <v>4.9657251320821601E-3</v>
      </c>
      <c r="E11" s="63" t="s">
        <v>42</v>
      </c>
      <c r="F11" s="65" t="s">
        <v>43</v>
      </c>
    </row>
    <row r="12" spans="2:6" x14ac:dyDescent="0.3">
      <c r="B12" s="62" t="s">
        <v>40</v>
      </c>
      <c r="C12" s="63" t="s">
        <v>52</v>
      </c>
      <c r="D12" s="64">
        <v>4.1516718317408203E-3</v>
      </c>
      <c r="E12" s="63" t="s">
        <v>42</v>
      </c>
      <c r="F12" s="65" t="s">
        <v>43</v>
      </c>
    </row>
    <row r="13" spans="2:6" x14ac:dyDescent="0.3">
      <c r="B13" s="62" t="s">
        <v>40</v>
      </c>
      <c r="C13" s="63" t="s">
        <v>53</v>
      </c>
      <c r="D13" s="64">
        <v>3.6632398515360201E-3</v>
      </c>
      <c r="E13" s="63" t="s">
        <v>42</v>
      </c>
      <c r="F13" s="65" t="s">
        <v>43</v>
      </c>
    </row>
    <row r="14" spans="2:6" x14ac:dyDescent="0.3">
      <c r="B14" s="62" t="s">
        <v>40</v>
      </c>
      <c r="C14" s="63" t="s">
        <v>54</v>
      </c>
      <c r="D14" s="64">
        <v>2.68637589112642E-3</v>
      </c>
      <c r="E14" s="63" t="s">
        <v>42</v>
      </c>
      <c r="F14" s="65" t="s">
        <v>43</v>
      </c>
    </row>
    <row r="15" spans="2:6" x14ac:dyDescent="0.3">
      <c r="B15" s="62" t="s">
        <v>40</v>
      </c>
      <c r="C15" s="63" t="s">
        <v>55</v>
      </c>
      <c r="D15" s="64">
        <v>2.9015761200285397E-4</v>
      </c>
      <c r="E15" s="63" t="s">
        <v>42</v>
      </c>
      <c r="F15" s="65" t="s">
        <v>43</v>
      </c>
    </row>
    <row r="16" spans="2:6" x14ac:dyDescent="0.3">
      <c r="B16" s="62" t="s">
        <v>40</v>
      </c>
      <c r="C16" s="63" t="s">
        <v>56</v>
      </c>
      <c r="D16" s="64">
        <v>1.85007717386486E-2</v>
      </c>
      <c r="E16" s="63" t="s">
        <v>42</v>
      </c>
      <c r="F16" s="65" t="s">
        <v>43</v>
      </c>
    </row>
    <row r="17" spans="2:6" x14ac:dyDescent="0.3">
      <c r="B17" s="62" t="s">
        <v>40</v>
      </c>
      <c r="C17" s="63" t="s">
        <v>57</v>
      </c>
      <c r="D17" s="64">
        <v>1.0245932755973399E-2</v>
      </c>
      <c r="E17" s="63" t="s">
        <v>42</v>
      </c>
      <c r="F17" s="65" t="s">
        <v>43</v>
      </c>
    </row>
    <row r="18" spans="2:6" x14ac:dyDescent="0.3">
      <c r="B18" s="62" t="s">
        <v>40</v>
      </c>
      <c r="C18" s="63" t="s">
        <v>58</v>
      </c>
      <c r="D18" s="64">
        <v>1.46005473500993E-2</v>
      </c>
      <c r="E18" s="63" t="s">
        <v>42</v>
      </c>
      <c r="F18" s="65" t="s">
        <v>43</v>
      </c>
    </row>
    <row r="19" spans="2:6" x14ac:dyDescent="0.3">
      <c r="B19" s="62" t="s">
        <v>40</v>
      </c>
      <c r="C19" s="63" t="s">
        <v>59</v>
      </c>
      <c r="D19" s="64">
        <v>1.4718794556320801E-2</v>
      </c>
      <c r="E19" s="63" t="s">
        <v>42</v>
      </c>
      <c r="F19" s="65" t="s">
        <v>43</v>
      </c>
    </row>
    <row r="20" spans="2:6" x14ac:dyDescent="0.3">
      <c r="B20" s="62" t="s">
        <v>40</v>
      </c>
      <c r="C20" s="63" t="s">
        <v>60</v>
      </c>
      <c r="D20" s="64">
        <v>6.8269088945398003E-3</v>
      </c>
      <c r="E20" s="63" t="s">
        <v>42</v>
      </c>
      <c r="F20" s="65" t="s">
        <v>43</v>
      </c>
    </row>
    <row r="21" spans="2:6" x14ac:dyDescent="0.3">
      <c r="B21" s="62" t="s">
        <v>40</v>
      </c>
      <c r="C21" s="63" t="s">
        <v>61</v>
      </c>
      <c r="D21" s="64">
        <v>7.8149116832768404E-3</v>
      </c>
      <c r="E21" s="63" t="s">
        <v>42</v>
      </c>
      <c r="F21" s="65" t="s">
        <v>43</v>
      </c>
    </row>
    <row r="22" spans="2:6" x14ac:dyDescent="0.3">
      <c r="B22" s="62" t="s">
        <v>40</v>
      </c>
      <c r="C22" s="63" t="s">
        <v>62</v>
      </c>
      <c r="D22" s="64">
        <v>7.3264797030720401E-3</v>
      </c>
      <c r="E22" s="63" t="s">
        <v>42</v>
      </c>
      <c r="F22" s="65" t="s">
        <v>43</v>
      </c>
    </row>
    <row r="23" spans="2:6" x14ac:dyDescent="0.3">
      <c r="B23" s="62" t="s">
        <v>40</v>
      </c>
      <c r="C23" s="63" t="s">
        <v>63</v>
      </c>
      <c r="D23" s="64">
        <v>6.1516718317408204E-3</v>
      </c>
      <c r="E23" s="63" t="s">
        <v>42</v>
      </c>
      <c r="F23" s="65" t="s">
        <v>43</v>
      </c>
    </row>
    <row r="24" spans="2:6" x14ac:dyDescent="0.3">
      <c r="B24" s="62" t="s">
        <v>40</v>
      </c>
      <c r="C24" s="63" t="s">
        <v>64</v>
      </c>
      <c r="D24" s="64">
        <v>1.0639112440104599E-3</v>
      </c>
      <c r="E24" s="63" t="s">
        <v>42</v>
      </c>
      <c r="F24" s="65" t="s">
        <v>43</v>
      </c>
    </row>
    <row r="25" spans="2:6" x14ac:dyDescent="0.3">
      <c r="B25" s="62" t="s">
        <v>40</v>
      </c>
      <c r="C25" s="63" t="s">
        <v>65</v>
      </c>
      <c r="D25" s="64">
        <v>4.8359602000475603E-4</v>
      </c>
      <c r="E25" s="63" t="s">
        <v>42</v>
      </c>
      <c r="F25" s="65" t="s">
        <v>43</v>
      </c>
    </row>
    <row r="26" spans="2:6" x14ac:dyDescent="0.3">
      <c r="B26" s="62" t="s">
        <v>40</v>
      </c>
      <c r="C26" s="63" t="s">
        <v>66</v>
      </c>
      <c r="D26" s="64">
        <v>1.70951193071681E-3</v>
      </c>
      <c r="E26" s="63" t="s">
        <v>42</v>
      </c>
      <c r="F26" s="65" t="s">
        <v>43</v>
      </c>
    </row>
    <row r="27" spans="2:6" x14ac:dyDescent="0.3">
      <c r="B27" s="66" t="s">
        <v>40</v>
      </c>
      <c r="C27" s="67" t="s">
        <v>67</v>
      </c>
      <c r="D27" s="68">
        <v>0.02</v>
      </c>
      <c r="E27" s="67" t="s">
        <v>42</v>
      </c>
      <c r="F27" s="69" t="s">
        <v>43</v>
      </c>
    </row>
    <row r="28" spans="2:6" x14ac:dyDescent="0.3">
      <c r="B28" s="70" t="s">
        <v>41</v>
      </c>
      <c r="C28" s="71" t="s">
        <v>68</v>
      </c>
      <c r="D28" s="72">
        <v>0.13577185050218199</v>
      </c>
      <c r="E28" s="71" t="s">
        <v>69</v>
      </c>
      <c r="F28" s="73" t="s">
        <v>43</v>
      </c>
    </row>
    <row r="29" spans="2:6" x14ac:dyDescent="0.3">
      <c r="B29" s="62" t="s">
        <v>41</v>
      </c>
      <c r="C29" s="63" t="s">
        <v>70</v>
      </c>
      <c r="D29" s="64">
        <v>6.5069980792557602E-2</v>
      </c>
      <c r="E29" s="63" t="s">
        <v>69</v>
      </c>
      <c r="F29" s="65" t="s">
        <v>43</v>
      </c>
    </row>
    <row r="30" spans="2:6" x14ac:dyDescent="0.3">
      <c r="B30" s="62" t="s">
        <v>41</v>
      </c>
      <c r="C30" s="63" t="s">
        <v>71</v>
      </c>
      <c r="D30" s="64">
        <v>4.0195063951908902E-2</v>
      </c>
      <c r="E30" s="63" t="s">
        <v>69</v>
      </c>
      <c r="F30" s="65" t="s">
        <v>43</v>
      </c>
    </row>
    <row r="31" spans="2:6" x14ac:dyDescent="0.3">
      <c r="B31" s="62" t="s">
        <v>41</v>
      </c>
      <c r="C31" s="63" t="s">
        <v>72</v>
      </c>
      <c r="D31" s="64">
        <v>4.05997344259037E-2</v>
      </c>
      <c r="E31" s="63" t="s">
        <v>69</v>
      </c>
      <c r="F31" s="65" t="s">
        <v>43</v>
      </c>
    </row>
    <row r="32" spans="2:6" x14ac:dyDescent="0.3">
      <c r="B32" s="62" t="s">
        <v>41</v>
      </c>
      <c r="C32" s="63" t="s">
        <v>73</v>
      </c>
      <c r="D32" s="64">
        <v>4.74124096891302E-2</v>
      </c>
      <c r="E32" s="63" t="s">
        <v>69</v>
      </c>
      <c r="F32" s="65" t="s">
        <v>43</v>
      </c>
    </row>
    <row r="33" spans="2:6" x14ac:dyDescent="0.3">
      <c r="B33" s="62" t="s">
        <v>41</v>
      </c>
      <c r="C33" s="63" t="s">
        <v>74</v>
      </c>
      <c r="D33" s="64">
        <v>9.3289201271228306E-3</v>
      </c>
      <c r="E33" s="63" t="s">
        <v>69</v>
      </c>
      <c r="F33" s="65" t="s">
        <v>43</v>
      </c>
    </row>
    <row r="34" spans="2:6" x14ac:dyDescent="0.3">
      <c r="B34" s="62" t="s">
        <v>41</v>
      </c>
      <c r="C34" s="63" t="s">
        <v>75</v>
      </c>
      <c r="D34" s="64">
        <v>0.102177892991296</v>
      </c>
      <c r="E34" s="63" t="s">
        <v>69</v>
      </c>
      <c r="F34" s="65" t="s">
        <v>43</v>
      </c>
    </row>
    <row r="35" spans="2:6" x14ac:dyDescent="0.3">
      <c r="B35" s="62" t="s">
        <v>41</v>
      </c>
      <c r="C35" s="63" t="s">
        <v>76</v>
      </c>
      <c r="D35" s="64">
        <v>0.17074765806810799</v>
      </c>
      <c r="E35" s="63" t="s">
        <v>69</v>
      </c>
      <c r="F35" s="65" t="s">
        <v>43</v>
      </c>
    </row>
    <row r="36" spans="2:6" x14ac:dyDescent="0.3">
      <c r="B36" s="62" t="s">
        <v>41</v>
      </c>
      <c r="C36" s="63" t="s">
        <v>77</v>
      </c>
      <c r="D36" s="64">
        <v>2.73101559310065E-2</v>
      </c>
      <c r="E36" s="63" t="s">
        <v>69</v>
      </c>
      <c r="F36" s="65" t="s">
        <v>43</v>
      </c>
    </row>
    <row r="37" spans="2:6" x14ac:dyDescent="0.3">
      <c r="B37" s="62" t="s">
        <v>41</v>
      </c>
      <c r="C37" s="63" t="s">
        <v>78</v>
      </c>
      <c r="D37" s="64">
        <v>3.8544930479264002E-2</v>
      </c>
      <c r="E37" s="63" t="s">
        <v>69</v>
      </c>
      <c r="F37" s="65" t="s">
        <v>43</v>
      </c>
    </row>
    <row r="38" spans="2:6" x14ac:dyDescent="0.3">
      <c r="B38" s="62" t="s">
        <v>41</v>
      </c>
      <c r="C38" s="63" t="s">
        <v>79</v>
      </c>
      <c r="D38" s="64">
        <v>8.5837506723837206E-2</v>
      </c>
      <c r="E38" s="63" t="s">
        <v>69</v>
      </c>
      <c r="F38" s="65" t="s">
        <v>43</v>
      </c>
    </row>
    <row r="39" spans="2:6" x14ac:dyDescent="0.3">
      <c r="B39" s="62" t="s">
        <v>41</v>
      </c>
      <c r="C39" s="63" t="s">
        <v>80</v>
      </c>
      <c r="D39" s="64">
        <v>1.82099184754504E-2</v>
      </c>
      <c r="E39" s="63" t="s">
        <v>69</v>
      </c>
      <c r="F39" s="65" t="s">
        <v>43</v>
      </c>
    </row>
    <row r="40" spans="2:6" x14ac:dyDescent="0.3">
      <c r="B40" s="62" t="s">
        <v>41</v>
      </c>
      <c r="C40" s="63" t="s">
        <v>81</v>
      </c>
      <c r="D40" s="64">
        <v>4.17854547321048E-2</v>
      </c>
      <c r="E40" s="63" t="s">
        <v>69</v>
      </c>
      <c r="F40" s="65" t="s">
        <v>43</v>
      </c>
    </row>
    <row r="41" spans="2:6" x14ac:dyDescent="0.3">
      <c r="B41" s="62" t="s">
        <v>41</v>
      </c>
      <c r="C41" s="63" t="s">
        <v>82</v>
      </c>
      <c r="D41" s="64">
        <v>1.8431990651980201E-2</v>
      </c>
      <c r="E41" s="63" t="s">
        <v>69</v>
      </c>
      <c r="F41" s="65" t="s">
        <v>43</v>
      </c>
    </row>
    <row r="42" spans="2:6" x14ac:dyDescent="0.3">
      <c r="B42" s="62" t="s">
        <v>41</v>
      </c>
      <c r="C42" s="63" t="s">
        <v>83</v>
      </c>
      <c r="D42" s="64">
        <v>1.01042840321097E-2</v>
      </c>
      <c r="E42" s="63" t="s">
        <v>69</v>
      </c>
      <c r="F42" s="65" t="s">
        <v>43</v>
      </c>
    </row>
    <row r="43" spans="2:6" x14ac:dyDescent="0.3">
      <c r="B43" s="62" t="s">
        <v>41</v>
      </c>
      <c r="C43" s="63" t="s">
        <v>84</v>
      </c>
      <c r="D43" s="64">
        <v>3.2866682126422797E-2</v>
      </c>
      <c r="E43" s="63" t="s">
        <v>69</v>
      </c>
      <c r="F43" s="65" t="s">
        <v>43</v>
      </c>
    </row>
    <row r="44" spans="2:6" x14ac:dyDescent="0.3">
      <c r="B44" s="62" t="s">
        <v>41</v>
      </c>
      <c r="C44" s="63" t="s">
        <v>85</v>
      </c>
      <c r="D44" s="64">
        <v>1.3768474944852701E-2</v>
      </c>
      <c r="E44" s="63" t="s">
        <v>69</v>
      </c>
      <c r="F44" s="65" t="s">
        <v>43</v>
      </c>
    </row>
    <row r="45" spans="2:6" x14ac:dyDescent="0.3">
      <c r="B45" s="62" t="s">
        <v>41</v>
      </c>
      <c r="C45" s="63" t="s">
        <v>86</v>
      </c>
      <c r="D45" s="64">
        <v>9.7711757673148904E-3</v>
      </c>
      <c r="E45" s="63" t="s">
        <v>69</v>
      </c>
      <c r="F45" s="65" t="s">
        <v>43</v>
      </c>
    </row>
    <row r="46" spans="2:6" x14ac:dyDescent="0.3">
      <c r="B46" s="62" t="s">
        <v>41</v>
      </c>
      <c r="C46" s="63" t="s">
        <v>87</v>
      </c>
      <c r="D46" s="64">
        <v>3.1090104714183802E-3</v>
      </c>
      <c r="E46" s="63" t="s">
        <v>69</v>
      </c>
      <c r="F46" s="65" t="s">
        <v>43</v>
      </c>
    </row>
    <row r="47" spans="2:6" x14ac:dyDescent="0.3">
      <c r="B47" s="62" t="s">
        <v>41</v>
      </c>
      <c r="C47" s="63" t="s">
        <v>88</v>
      </c>
      <c r="D47" s="64">
        <v>2.2216661217327001E-3</v>
      </c>
      <c r="E47" s="63" t="s">
        <v>69</v>
      </c>
      <c r="F47" s="65" t="s">
        <v>43</v>
      </c>
    </row>
    <row r="48" spans="2:6" x14ac:dyDescent="0.3">
      <c r="B48" s="62" t="s">
        <v>41</v>
      </c>
      <c r="C48" s="63" t="s">
        <v>89</v>
      </c>
      <c r="D48" s="64">
        <v>1.4444135038781E-2</v>
      </c>
      <c r="E48" s="63" t="s">
        <v>69</v>
      </c>
      <c r="F48" s="65" t="s">
        <v>43</v>
      </c>
    </row>
    <row r="49" spans="2:6" x14ac:dyDescent="0.3">
      <c r="B49" s="62" t="s">
        <v>41</v>
      </c>
      <c r="C49" s="63" t="s">
        <v>90</v>
      </c>
      <c r="D49" s="64">
        <v>4.0010766032733402E-2</v>
      </c>
      <c r="E49" s="63" t="s">
        <v>69</v>
      </c>
      <c r="F49" s="65" t="s">
        <v>43</v>
      </c>
    </row>
    <row r="50" spans="2:6" x14ac:dyDescent="0.3">
      <c r="B50" s="62" t="s">
        <v>41</v>
      </c>
      <c r="C50" s="63" t="s">
        <v>91</v>
      </c>
      <c r="D50" s="64">
        <v>3.0281688334011798E-2</v>
      </c>
      <c r="E50" s="63" t="s">
        <v>69</v>
      </c>
      <c r="F50" s="65" t="s">
        <v>43</v>
      </c>
    </row>
    <row r="51" spans="2:6" x14ac:dyDescent="0.3">
      <c r="B51" s="66" t="s">
        <v>41</v>
      </c>
      <c r="C51" s="67" t="s">
        <v>92</v>
      </c>
      <c r="D51" s="68">
        <v>1.9986495887689502E-3</v>
      </c>
      <c r="E51" s="67" t="s">
        <v>69</v>
      </c>
      <c r="F51" s="69" t="s">
        <v>43</v>
      </c>
    </row>
    <row r="52" spans="2:6" x14ac:dyDescent="0.3">
      <c r="B52" s="70" t="s">
        <v>68</v>
      </c>
      <c r="C52" s="71" t="s">
        <v>93</v>
      </c>
      <c r="D52" s="72">
        <v>0.99</v>
      </c>
      <c r="E52" s="71" t="s">
        <v>94</v>
      </c>
      <c r="F52" s="73" t="s">
        <v>95</v>
      </c>
    </row>
    <row r="53" spans="2:6" x14ac:dyDescent="0.3">
      <c r="B53" s="62" t="s">
        <v>70</v>
      </c>
      <c r="C53" s="63" t="s">
        <v>96</v>
      </c>
      <c r="D53" s="64">
        <v>0.99</v>
      </c>
      <c r="E53" s="63" t="s">
        <v>94</v>
      </c>
      <c r="F53" s="65" t="s">
        <v>95</v>
      </c>
    </row>
    <row r="54" spans="2:6" x14ac:dyDescent="0.3">
      <c r="B54" s="62" t="s">
        <v>71</v>
      </c>
      <c r="C54" s="63" t="s">
        <v>97</v>
      </c>
      <c r="D54" s="64">
        <v>0.99</v>
      </c>
      <c r="E54" s="63" t="s">
        <v>94</v>
      </c>
      <c r="F54" s="65" t="s">
        <v>95</v>
      </c>
    </row>
    <row r="55" spans="2:6" x14ac:dyDescent="0.3">
      <c r="B55" s="62" t="s">
        <v>72</v>
      </c>
      <c r="C55" s="63" t="s">
        <v>98</v>
      </c>
      <c r="D55" s="64">
        <v>0.99</v>
      </c>
      <c r="E55" s="63" t="s">
        <v>94</v>
      </c>
      <c r="F55" s="65" t="s">
        <v>43</v>
      </c>
    </row>
    <row r="56" spans="2:6" x14ac:dyDescent="0.3">
      <c r="B56" s="62" t="s">
        <v>73</v>
      </c>
      <c r="C56" s="63" t="s">
        <v>99</v>
      </c>
      <c r="D56" s="64">
        <v>0.99</v>
      </c>
      <c r="E56" s="63" t="s">
        <v>94</v>
      </c>
      <c r="F56" s="65" t="s">
        <v>95</v>
      </c>
    </row>
    <row r="57" spans="2:6" x14ac:dyDescent="0.3">
      <c r="B57" s="62" t="s">
        <v>74</v>
      </c>
      <c r="C57" s="63" t="s">
        <v>100</v>
      </c>
      <c r="D57" s="64">
        <v>0.99</v>
      </c>
      <c r="E57" s="63" t="s">
        <v>94</v>
      </c>
      <c r="F57" s="65" t="s">
        <v>43</v>
      </c>
    </row>
    <row r="58" spans="2:6" x14ac:dyDescent="0.3">
      <c r="B58" s="62" t="s">
        <v>75</v>
      </c>
      <c r="C58" s="63" t="s">
        <v>101</v>
      </c>
      <c r="D58" s="64">
        <v>0.99</v>
      </c>
      <c r="E58" s="63" t="s">
        <v>94</v>
      </c>
      <c r="F58" s="65" t="s">
        <v>95</v>
      </c>
    </row>
    <row r="59" spans="2:6" x14ac:dyDescent="0.3">
      <c r="B59" s="62" t="s">
        <v>76</v>
      </c>
      <c r="C59" s="63" t="s">
        <v>102</v>
      </c>
      <c r="D59" s="64">
        <v>0.99</v>
      </c>
      <c r="E59" s="63" t="s">
        <v>94</v>
      </c>
      <c r="F59" s="65" t="s">
        <v>95</v>
      </c>
    </row>
    <row r="60" spans="2:6" x14ac:dyDescent="0.3">
      <c r="B60" s="62" t="s">
        <v>77</v>
      </c>
      <c r="C60" s="63" t="s">
        <v>103</v>
      </c>
      <c r="D60" s="64">
        <v>0.99</v>
      </c>
      <c r="E60" s="63" t="s">
        <v>94</v>
      </c>
      <c r="F60" s="65" t="s">
        <v>95</v>
      </c>
    </row>
    <row r="61" spans="2:6" x14ac:dyDescent="0.3">
      <c r="B61" s="62" t="s">
        <v>78</v>
      </c>
      <c r="C61" s="63" t="s">
        <v>104</v>
      </c>
      <c r="D61" s="64">
        <v>0.99</v>
      </c>
      <c r="E61" s="63" t="s">
        <v>94</v>
      </c>
      <c r="F61" s="65" t="s">
        <v>95</v>
      </c>
    </row>
    <row r="62" spans="2:6" x14ac:dyDescent="0.3">
      <c r="B62" s="62" t="s">
        <v>79</v>
      </c>
      <c r="C62" s="63" t="s">
        <v>105</v>
      </c>
      <c r="D62" s="64">
        <v>0.99</v>
      </c>
      <c r="E62" s="63" t="s">
        <v>94</v>
      </c>
      <c r="F62" s="65" t="s">
        <v>95</v>
      </c>
    </row>
    <row r="63" spans="2:6" x14ac:dyDescent="0.3">
      <c r="B63" s="62" t="s">
        <v>80</v>
      </c>
      <c r="C63" s="63" t="s">
        <v>106</v>
      </c>
      <c r="D63" s="64">
        <v>0.99</v>
      </c>
      <c r="E63" s="63" t="s">
        <v>94</v>
      </c>
      <c r="F63" s="65" t="s">
        <v>43</v>
      </c>
    </row>
    <row r="64" spans="2:6" x14ac:dyDescent="0.3">
      <c r="B64" s="62" t="s">
        <v>81</v>
      </c>
      <c r="C64" s="63" t="s">
        <v>107</v>
      </c>
      <c r="D64" s="64">
        <v>0.99</v>
      </c>
      <c r="E64" s="63" t="s">
        <v>94</v>
      </c>
      <c r="F64" s="65" t="s">
        <v>43</v>
      </c>
    </row>
    <row r="65" spans="2:6" x14ac:dyDescent="0.3">
      <c r="B65" s="62" t="s">
        <v>82</v>
      </c>
      <c r="C65" s="63" t="s">
        <v>108</v>
      </c>
      <c r="D65" s="64">
        <v>0.99</v>
      </c>
      <c r="E65" s="63" t="s">
        <v>94</v>
      </c>
      <c r="F65" s="65" t="s">
        <v>95</v>
      </c>
    </row>
    <row r="66" spans="2:6" x14ac:dyDescent="0.3">
      <c r="B66" s="62" t="s">
        <v>83</v>
      </c>
      <c r="C66" s="63" t="s">
        <v>109</v>
      </c>
      <c r="D66" s="64">
        <v>0.99</v>
      </c>
      <c r="E66" s="63" t="s">
        <v>94</v>
      </c>
      <c r="F66" s="65" t="s">
        <v>43</v>
      </c>
    </row>
    <row r="67" spans="2:6" x14ac:dyDescent="0.3">
      <c r="B67" s="62" t="s">
        <v>84</v>
      </c>
      <c r="C67" s="63" t="s">
        <v>110</v>
      </c>
      <c r="D67" s="64">
        <v>0.99</v>
      </c>
      <c r="E67" s="63" t="s">
        <v>94</v>
      </c>
      <c r="F67" s="65" t="s">
        <v>43</v>
      </c>
    </row>
    <row r="68" spans="2:6" x14ac:dyDescent="0.3">
      <c r="B68" s="62" t="s">
        <v>85</v>
      </c>
      <c r="C68" s="63" t="s">
        <v>111</v>
      </c>
      <c r="D68" s="64">
        <v>0.99</v>
      </c>
      <c r="E68" s="63" t="s">
        <v>94</v>
      </c>
      <c r="F68" s="65" t="s">
        <v>43</v>
      </c>
    </row>
    <row r="69" spans="2:6" x14ac:dyDescent="0.3">
      <c r="B69" s="62" t="s">
        <v>86</v>
      </c>
      <c r="C69" s="63" t="s">
        <v>112</v>
      </c>
      <c r="D69" s="64">
        <v>0.99</v>
      </c>
      <c r="E69" s="63" t="s">
        <v>94</v>
      </c>
      <c r="F69" s="65" t="s">
        <v>43</v>
      </c>
    </row>
    <row r="70" spans="2:6" x14ac:dyDescent="0.3">
      <c r="B70" s="62" t="s">
        <v>87</v>
      </c>
      <c r="C70" s="63" t="s">
        <v>113</v>
      </c>
      <c r="D70" s="64">
        <v>0.99</v>
      </c>
      <c r="E70" s="63" t="s">
        <v>94</v>
      </c>
      <c r="F70" s="65" t="s">
        <v>43</v>
      </c>
    </row>
    <row r="71" spans="2:6" x14ac:dyDescent="0.3">
      <c r="B71" s="62" t="s">
        <v>88</v>
      </c>
      <c r="C71" s="63" t="s">
        <v>114</v>
      </c>
      <c r="D71" s="64">
        <v>0.99</v>
      </c>
      <c r="E71" s="63" t="s">
        <v>94</v>
      </c>
      <c r="F71" s="65" t="s">
        <v>43</v>
      </c>
    </row>
    <row r="72" spans="2:6" x14ac:dyDescent="0.3">
      <c r="B72" s="62" t="s">
        <v>89</v>
      </c>
      <c r="C72" s="63" t="s">
        <v>115</v>
      </c>
      <c r="D72" s="64">
        <v>0.99</v>
      </c>
      <c r="E72" s="63" t="s">
        <v>94</v>
      </c>
      <c r="F72" s="65" t="s">
        <v>95</v>
      </c>
    </row>
    <row r="73" spans="2:6" x14ac:dyDescent="0.3">
      <c r="B73" s="62" t="s">
        <v>90</v>
      </c>
      <c r="C73" s="63" t="s">
        <v>116</v>
      </c>
      <c r="D73" s="64">
        <v>0.99</v>
      </c>
      <c r="E73" s="63" t="s">
        <v>94</v>
      </c>
      <c r="F73" s="65" t="s">
        <v>95</v>
      </c>
    </row>
    <row r="74" spans="2:6" x14ac:dyDescent="0.3">
      <c r="B74" s="62" t="s">
        <v>91</v>
      </c>
      <c r="C74" s="63" t="s">
        <v>117</v>
      </c>
      <c r="D74" s="64">
        <v>0.99</v>
      </c>
      <c r="E74" s="63" t="s">
        <v>94</v>
      </c>
      <c r="F74" s="65" t="s">
        <v>95</v>
      </c>
    </row>
    <row r="75" spans="2:6" x14ac:dyDescent="0.3">
      <c r="B75" s="62" t="s">
        <v>92</v>
      </c>
      <c r="C75" s="63" t="s">
        <v>118</v>
      </c>
      <c r="D75" s="64">
        <v>0.99</v>
      </c>
      <c r="E75" s="63" t="s">
        <v>94</v>
      </c>
      <c r="F75" s="65" t="s">
        <v>43</v>
      </c>
    </row>
    <row r="76" spans="2:6" x14ac:dyDescent="0.3">
      <c r="B76" s="62" t="s">
        <v>44</v>
      </c>
      <c r="C76" s="63" t="s">
        <v>119</v>
      </c>
      <c r="D76" s="64">
        <v>0.99</v>
      </c>
      <c r="E76" s="63" t="s">
        <v>94</v>
      </c>
      <c r="F76" s="65" t="s">
        <v>43</v>
      </c>
    </row>
    <row r="77" spans="2:6" x14ac:dyDescent="0.3">
      <c r="B77" s="62" t="s">
        <v>45</v>
      </c>
      <c r="C77" s="63" t="s">
        <v>120</v>
      </c>
      <c r="D77" s="64">
        <v>0.99</v>
      </c>
      <c r="E77" s="63" t="s">
        <v>94</v>
      </c>
      <c r="F77" s="65" t="s">
        <v>95</v>
      </c>
    </row>
    <row r="78" spans="2:6" x14ac:dyDescent="0.3">
      <c r="B78" s="62" t="s">
        <v>46</v>
      </c>
      <c r="C78" s="63" t="s">
        <v>121</v>
      </c>
      <c r="D78" s="64">
        <v>0.99</v>
      </c>
      <c r="E78" s="63" t="s">
        <v>94</v>
      </c>
      <c r="F78" s="65" t="s">
        <v>43</v>
      </c>
    </row>
    <row r="79" spans="2:6" x14ac:dyDescent="0.3">
      <c r="B79" s="62" t="s">
        <v>47</v>
      </c>
      <c r="C79" s="63" t="s">
        <v>122</v>
      </c>
      <c r="D79" s="64">
        <v>0.99</v>
      </c>
      <c r="E79" s="63" t="s">
        <v>94</v>
      </c>
      <c r="F79" s="65" t="s">
        <v>43</v>
      </c>
    </row>
    <row r="80" spans="2:6" x14ac:dyDescent="0.3">
      <c r="B80" s="62" t="s">
        <v>48</v>
      </c>
      <c r="C80" s="63" t="s">
        <v>123</v>
      </c>
      <c r="D80" s="64">
        <v>0.99</v>
      </c>
      <c r="E80" s="63" t="s">
        <v>94</v>
      </c>
      <c r="F80" s="65" t="s">
        <v>43</v>
      </c>
    </row>
    <row r="81" spans="2:6" x14ac:dyDescent="0.3">
      <c r="B81" s="62" t="s">
        <v>49</v>
      </c>
      <c r="C81" s="63" t="s">
        <v>124</v>
      </c>
      <c r="D81" s="64">
        <v>0.99</v>
      </c>
      <c r="E81" s="63" t="s">
        <v>94</v>
      </c>
      <c r="F81" s="65" t="s">
        <v>43</v>
      </c>
    </row>
    <row r="82" spans="2:6" x14ac:dyDescent="0.3">
      <c r="B82" s="62" t="s">
        <v>50</v>
      </c>
      <c r="C82" s="63" t="s">
        <v>125</v>
      </c>
      <c r="D82" s="64">
        <v>0.99</v>
      </c>
      <c r="E82" s="63" t="s">
        <v>94</v>
      </c>
      <c r="F82" s="65" t="s">
        <v>43</v>
      </c>
    </row>
    <row r="83" spans="2:6" x14ac:dyDescent="0.3">
      <c r="B83" s="62" t="s">
        <v>51</v>
      </c>
      <c r="C83" s="63" t="s">
        <v>126</v>
      </c>
      <c r="D83" s="64">
        <v>0.99</v>
      </c>
      <c r="E83" s="63" t="s">
        <v>94</v>
      </c>
      <c r="F83" s="65" t="s">
        <v>43</v>
      </c>
    </row>
    <row r="84" spans="2:6" x14ac:dyDescent="0.3">
      <c r="B84" s="62" t="s">
        <v>52</v>
      </c>
      <c r="C84" s="63" t="s">
        <v>127</v>
      </c>
      <c r="D84" s="64">
        <v>0.99</v>
      </c>
      <c r="E84" s="63" t="s">
        <v>94</v>
      </c>
      <c r="F84" s="65" t="s">
        <v>43</v>
      </c>
    </row>
    <row r="85" spans="2:6" x14ac:dyDescent="0.3">
      <c r="B85" s="62" t="s">
        <v>53</v>
      </c>
      <c r="C85" s="63" t="s">
        <v>128</v>
      </c>
      <c r="D85" s="64">
        <v>0.99</v>
      </c>
      <c r="E85" s="63" t="s">
        <v>94</v>
      </c>
      <c r="F85" s="65" t="s">
        <v>43</v>
      </c>
    </row>
    <row r="86" spans="2:6" x14ac:dyDescent="0.3">
      <c r="B86" s="62" t="s">
        <v>54</v>
      </c>
      <c r="C86" s="63" t="s">
        <v>129</v>
      </c>
      <c r="D86" s="64">
        <v>0.99</v>
      </c>
      <c r="E86" s="63" t="s">
        <v>94</v>
      </c>
      <c r="F86" s="65" t="s">
        <v>43</v>
      </c>
    </row>
    <row r="87" spans="2:6" x14ac:dyDescent="0.3">
      <c r="B87" s="62" t="s">
        <v>55</v>
      </c>
      <c r="C87" s="63" t="s">
        <v>130</v>
      </c>
      <c r="D87" s="64">
        <v>0.99</v>
      </c>
      <c r="E87" s="63" t="s">
        <v>94</v>
      </c>
      <c r="F87" s="65" t="s">
        <v>43</v>
      </c>
    </row>
    <row r="88" spans="2:6" x14ac:dyDescent="0.3">
      <c r="B88" s="62" t="s">
        <v>56</v>
      </c>
      <c r="C88" s="63" t="s">
        <v>131</v>
      </c>
      <c r="D88" s="64">
        <v>0.99</v>
      </c>
      <c r="E88" s="63" t="s">
        <v>94</v>
      </c>
      <c r="F88" s="65" t="s">
        <v>95</v>
      </c>
    </row>
    <row r="89" spans="2:6" x14ac:dyDescent="0.3">
      <c r="B89" s="62" t="s">
        <v>57</v>
      </c>
      <c r="C89" s="63" t="s">
        <v>132</v>
      </c>
      <c r="D89" s="64">
        <v>0.99</v>
      </c>
      <c r="E89" s="63" t="s">
        <v>94</v>
      </c>
      <c r="F89" s="65" t="s">
        <v>43</v>
      </c>
    </row>
    <row r="90" spans="2:6" x14ac:dyDescent="0.3">
      <c r="B90" s="62" t="s">
        <v>58</v>
      </c>
      <c r="C90" s="63" t="s">
        <v>133</v>
      </c>
      <c r="D90" s="64">
        <v>0.99</v>
      </c>
      <c r="E90" s="63" t="s">
        <v>94</v>
      </c>
      <c r="F90" s="65" t="s">
        <v>43</v>
      </c>
    </row>
    <row r="91" spans="2:6" x14ac:dyDescent="0.3">
      <c r="B91" s="62" t="s">
        <v>59</v>
      </c>
      <c r="C91" s="63" t="s">
        <v>134</v>
      </c>
      <c r="D91" s="64">
        <v>0.99</v>
      </c>
      <c r="E91" s="63" t="s">
        <v>94</v>
      </c>
      <c r="F91" s="65" t="s">
        <v>43</v>
      </c>
    </row>
    <row r="92" spans="2:6" x14ac:dyDescent="0.3">
      <c r="B92" s="62" t="s">
        <v>60</v>
      </c>
      <c r="C92" s="63" t="s">
        <v>135</v>
      </c>
      <c r="D92" s="64">
        <v>0.99</v>
      </c>
      <c r="E92" s="63" t="s">
        <v>94</v>
      </c>
      <c r="F92" s="65" t="s">
        <v>43</v>
      </c>
    </row>
    <row r="93" spans="2:6" x14ac:dyDescent="0.3">
      <c r="B93" s="62" t="s">
        <v>61</v>
      </c>
      <c r="C93" s="63" t="s">
        <v>136</v>
      </c>
      <c r="D93" s="64">
        <v>0.99</v>
      </c>
      <c r="E93" s="63" t="s">
        <v>94</v>
      </c>
      <c r="F93" s="65" t="s">
        <v>43</v>
      </c>
    </row>
    <row r="94" spans="2:6" x14ac:dyDescent="0.3">
      <c r="B94" s="62" t="s">
        <v>62</v>
      </c>
      <c r="C94" s="63" t="s">
        <v>137</v>
      </c>
      <c r="D94" s="64">
        <v>0.99</v>
      </c>
      <c r="E94" s="63" t="s">
        <v>94</v>
      </c>
      <c r="F94" s="65" t="s">
        <v>43</v>
      </c>
    </row>
    <row r="95" spans="2:6" x14ac:dyDescent="0.3">
      <c r="B95" s="62" t="s">
        <v>63</v>
      </c>
      <c r="C95" s="63" t="s">
        <v>138</v>
      </c>
      <c r="D95" s="64">
        <v>0.99</v>
      </c>
      <c r="E95" s="63" t="s">
        <v>94</v>
      </c>
      <c r="F95" s="65" t="s">
        <v>43</v>
      </c>
    </row>
    <row r="96" spans="2:6" x14ac:dyDescent="0.3">
      <c r="B96" s="62" t="s">
        <v>64</v>
      </c>
      <c r="C96" s="63" t="s">
        <v>139</v>
      </c>
      <c r="D96" s="64">
        <v>0.99</v>
      </c>
      <c r="E96" s="63" t="s">
        <v>94</v>
      </c>
      <c r="F96" s="65" t="s">
        <v>43</v>
      </c>
    </row>
    <row r="97" spans="2:6" x14ac:dyDescent="0.3">
      <c r="B97" s="62" t="s">
        <v>65</v>
      </c>
      <c r="C97" s="63" t="s">
        <v>140</v>
      </c>
      <c r="D97" s="64">
        <v>0.99</v>
      </c>
      <c r="E97" s="63" t="s">
        <v>94</v>
      </c>
      <c r="F97" s="65" t="s">
        <v>43</v>
      </c>
    </row>
    <row r="98" spans="2:6" x14ac:dyDescent="0.3">
      <c r="B98" s="62" t="s">
        <v>66</v>
      </c>
      <c r="C98" s="63" t="s">
        <v>141</v>
      </c>
      <c r="D98" s="64">
        <v>0.99</v>
      </c>
      <c r="E98" s="63" t="s">
        <v>94</v>
      </c>
      <c r="F98" s="65" t="s">
        <v>43</v>
      </c>
    </row>
    <row r="99" spans="2:6" x14ac:dyDescent="0.3">
      <c r="B99" s="66" t="s">
        <v>67</v>
      </c>
      <c r="C99" s="67" t="s">
        <v>142</v>
      </c>
      <c r="D99" s="68">
        <v>0.99</v>
      </c>
      <c r="E99" s="67" t="s">
        <v>94</v>
      </c>
      <c r="F99" s="69" t="s">
        <v>43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5"/>
  <sheetViews>
    <sheetView showGridLines="0" workbookViewId="0">
      <selection activeCell="J4" sqref="J4"/>
    </sheetView>
  </sheetViews>
  <sheetFormatPr defaultColWidth="9.06640625" defaultRowHeight="15.75" x14ac:dyDescent="0.3"/>
  <cols>
    <col min="1" max="1" width="9.06640625" style="50"/>
    <col min="2" max="2" width="20.53125" style="50" customWidth="1"/>
    <col min="3" max="3" width="39.46484375" style="50" customWidth="1"/>
    <col min="4" max="5" width="20.53125" style="50" customWidth="1"/>
    <col min="6" max="16384" width="9.06640625" style="50"/>
  </cols>
  <sheetData>
    <row r="2" spans="2:5" x14ac:dyDescent="0.3">
      <c r="B2" s="52" t="s">
        <v>143</v>
      </c>
      <c r="C2" s="52" t="s">
        <v>144</v>
      </c>
      <c r="D2" s="52" t="s">
        <v>4</v>
      </c>
      <c r="E2" s="52" t="s">
        <v>145</v>
      </c>
    </row>
    <row r="3" spans="2:5" x14ac:dyDescent="0.3">
      <c r="B3" s="50" t="s">
        <v>146</v>
      </c>
      <c r="C3" s="50" t="s">
        <v>147</v>
      </c>
      <c r="D3" s="50" t="s">
        <v>32</v>
      </c>
      <c r="E3" s="50">
        <v>3200</v>
      </c>
    </row>
    <row r="4" spans="2:5" x14ac:dyDescent="0.3">
      <c r="B4" s="50" t="s">
        <v>148</v>
      </c>
      <c r="C4" s="50" t="s">
        <v>149</v>
      </c>
      <c r="D4" s="50" t="s">
        <v>27</v>
      </c>
      <c r="E4" s="50">
        <v>3200</v>
      </c>
    </row>
    <row r="5" spans="2:5" x14ac:dyDescent="0.3">
      <c r="B5" s="50" t="s">
        <v>150</v>
      </c>
      <c r="C5" s="50" t="s">
        <v>151</v>
      </c>
      <c r="D5" s="50" t="s">
        <v>20</v>
      </c>
      <c r="E5" s="50">
        <v>3200</v>
      </c>
    </row>
    <row r="6" spans="2:5" x14ac:dyDescent="0.3">
      <c r="B6" s="50" t="s">
        <v>152</v>
      </c>
      <c r="C6" s="50" t="s">
        <v>153</v>
      </c>
      <c r="D6" s="50" t="s">
        <v>14</v>
      </c>
      <c r="E6" s="50">
        <v>4800</v>
      </c>
    </row>
    <row r="7" spans="2:5" x14ac:dyDescent="0.3">
      <c r="B7" s="50" t="s">
        <v>154</v>
      </c>
      <c r="C7" s="50" t="s">
        <v>155</v>
      </c>
      <c r="D7" s="50" t="s">
        <v>15</v>
      </c>
      <c r="E7" s="50">
        <v>800</v>
      </c>
    </row>
    <row r="8" spans="2:5" x14ac:dyDescent="0.3">
      <c r="B8" s="50" t="s">
        <v>156</v>
      </c>
      <c r="C8" s="50" t="s">
        <v>157</v>
      </c>
      <c r="D8" s="50" t="s">
        <v>11</v>
      </c>
      <c r="E8" s="50">
        <v>900</v>
      </c>
    </row>
    <row r="9" spans="2:5" x14ac:dyDescent="0.3">
      <c r="B9" s="50" t="s">
        <v>158</v>
      </c>
      <c r="C9" s="50" t="s">
        <v>159</v>
      </c>
      <c r="D9" s="50" t="s">
        <v>23</v>
      </c>
      <c r="E9" s="50">
        <v>1500</v>
      </c>
    </row>
    <row r="10" spans="2:5" x14ac:dyDescent="0.3">
      <c r="B10" s="50" t="s">
        <v>160</v>
      </c>
      <c r="C10" s="50" t="s">
        <v>161</v>
      </c>
      <c r="D10" s="50" t="s">
        <v>33</v>
      </c>
      <c r="E10" s="50">
        <v>838</v>
      </c>
    </row>
    <row r="11" spans="2:5" x14ac:dyDescent="0.3">
      <c r="B11" s="50" t="s">
        <v>162</v>
      </c>
      <c r="C11" s="50" t="s">
        <v>163</v>
      </c>
      <c r="D11" s="50" t="s">
        <v>11</v>
      </c>
      <c r="E11" s="50">
        <v>300</v>
      </c>
    </row>
    <row r="12" spans="2:5" x14ac:dyDescent="0.3">
      <c r="B12" s="50" t="s">
        <v>164</v>
      </c>
      <c r="C12" s="50" t="s">
        <v>165</v>
      </c>
      <c r="D12" s="50" t="s">
        <v>13</v>
      </c>
      <c r="E12" s="53">
        <v>2739.7260273972602</v>
      </c>
    </row>
    <row r="13" spans="2:5" x14ac:dyDescent="0.3">
      <c r="B13" s="50" t="s">
        <v>166</v>
      </c>
      <c r="C13" s="50" t="s">
        <v>167</v>
      </c>
      <c r="D13" s="50" t="s">
        <v>12</v>
      </c>
      <c r="E13" s="50">
        <v>1500</v>
      </c>
    </row>
    <row r="14" spans="2:5" x14ac:dyDescent="0.3">
      <c r="B14" s="50" t="s">
        <v>168</v>
      </c>
      <c r="C14" s="50" t="s">
        <v>169</v>
      </c>
      <c r="D14" s="50" t="s">
        <v>17</v>
      </c>
      <c r="E14" s="50">
        <v>150</v>
      </c>
    </row>
    <row r="15" spans="2:5" x14ac:dyDescent="0.3">
      <c r="B15" s="50" t="s">
        <v>170</v>
      </c>
      <c r="C15" s="50" t="s">
        <v>171</v>
      </c>
      <c r="D15" s="50" t="s">
        <v>16</v>
      </c>
      <c r="E15" s="50">
        <v>1760</v>
      </c>
    </row>
    <row r="16" spans="2:5" x14ac:dyDescent="0.3">
      <c r="B16" s="50" t="s">
        <v>172</v>
      </c>
      <c r="C16" s="50" t="s">
        <v>173</v>
      </c>
      <c r="D16" s="50" t="s">
        <v>28</v>
      </c>
      <c r="E16" s="50">
        <v>1250</v>
      </c>
    </row>
    <row r="17" spans="2:5" x14ac:dyDescent="0.3">
      <c r="B17" s="50" t="s">
        <v>174</v>
      </c>
      <c r="C17" s="50" t="s">
        <v>175</v>
      </c>
      <c r="D17" s="50" t="s">
        <v>24</v>
      </c>
      <c r="E17" s="50">
        <v>900</v>
      </c>
    </row>
    <row r="18" spans="2:5" x14ac:dyDescent="0.3">
      <c r="B18" s="51">
        <v>1522</v>
      </c>
      <c r="C18" s="50" t="s">
        <v>176</v>
      </c>
      <c r="D18" s="50" t="s">
        <v>32</v>
      </c>
      <c r="E18" s="50">
        <v>1820</v>
      </c>
    </row>
    <row r="19" spans="2:5" x14ac:dyDescent="0.3">
      <c r="B19" s="50" t="s">
        <v>177</v>
      </c>
      <c r="C19" s="50" t="s">
        <v>178</v>
      </c>
      <c r="D19" s="50" t="s">
        <v>32</v>
      </c>
      <c r="E19" s="50">
        <v>550</v>
      </c>
    </row>
    <row r="20" spans="2:5" x14ac:dyDescent="0.3">
      <c r="B20" s="50" t="s">
        <v>179</v>
      </c>
      <c r="C20" s="50" t="s">
        <v>180</v>
      </c>
      <c r="D20" s="50" t="s">
        <v>34</v>
      </c>
      <c r="E20" s="50">
        <v>1370</v>
      </c>
    </row>
    <row r="21" spans="2:5" x14ac:dyDescent="0.3">
      <c r="B21" s="50" t="s">
        <v>181</v>
      </c>
      <c r="C21" s="50" t="s">
        <v>182</v>
      </c>
      <c r="D21" s="50" t="s">
        <v>30</v>
      </c>
      <c r="E21" s="50">
        <v>2000</v>
      </c>
    </row>
    <row r="22" spans="2:5" x14ac:dyDescent="0.3">
      <c r="B22" s="50" t="s">
        <v>183</v>
      </c>
      <c r="C22" s="50" t="s">
        <v>184</v>
      </c>
      <c r="D22" s="50" t="s">
        <v>22</v>
      </c>
      <c r="E22" s="50">
        <v>1000</v>
      </c>
    </row>
    <row r="23" spans="2:5" x14ac:dyDescent="0.3">
      <c r="B23" s="50" t="s">
        <v>185</v>
      </c>
      <c r="C23" s="50" t="s">
        <v>186</v>
      </c>
      <c r="D23" s="50" t="s">
        <v>25</v>
      </c>
      <c r="E23" s="50">
        <v>1000</v>
      </c>
    </row>
    <row r="24" spans="2:5" x14ac:dyDescent="0.3">
      <c r="B24" s="50" t="s">
        <v>187</v>
      </c>
      <c r="C24" s="50" t="s">
        <v>188</v>
      </c>
      <c r="D24" s="50" t="s">
        <v>21</v>
      </c>
      <c r="E24" s="50">
        <v>1500</v>
      </c>
    </row>
    <row r="25" spans="2:5" x14ac:dyDescent="0.3">
      <c r="B25" s="50" t="s">
        <v>189</v>
      </c>
      <c r="C25" s="50" t="s">
        <v>190</v>
      </c>
      <c r="D25" s="50" t="s">
        <v>29</v>
      </c>
      <c r="E25" s="50">
        <v>1590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5"/>
  <sheetViews>
    <sheetView showGridLines="0" workbookViewId="0">
      <selection activeCell="B25" sqref="B25:C25"/>
    </sheetView>
  </sheetViews>
  <sheetFormatPr defaultColWidth="9.06640625" defaultRowHeight="15.75" x14ac:dyDescent="0.3"/>
  <cols>
    <col min="1" max="1" width="9.06640625" style="48"/>
    <col min="2" max="2" width="20.33203125" style="48" customWidth="1"/>
    <col min="3" max="3" width="39.59765625" style="48" customWidth="1"/>
    <col min="4" max="5" width="20.33203125" style="48" customWidth="1"/>
    <col min="6" max="16384" width="9.06640625" style="48"/>
  </cols>
  <sheetData>
    <row r="2" spans="2:5" x14ac:dyDescent="0.3">
      <c r="B2" s="49" t="s">
        <v>143</v>
      </c>
      <c r="C2" s="49" t="s">
        <v>144</v>
      </c>
      <c r="D2" s="49" t="s">
        <v>191</v>
      </c>
      <c r="E2" s="49" t="s">
        <v>192</v>
      </c>
    </row>
    <row r="3" spans="2:5" x14ac:dyDescent="0.3">
      <c r="B3" s="50" t="s">
        <v>146</v>
      </c>
      <c r="C3" s="50" t="s">
        <v>147</v>
      </c>
      <c r="D3" s="50">
        <v>1600</v>
      </c>
      <c r="E3" s="50">
        <v>72000</v>
      </c>
    </row>
    <row r="4" spans="2:5" x14ac:dyDescent="0.3">
      <c r="B4" s="50" t="s">
        <v>148</v>
      </c>
      <c r="C4" s="50" t="s">
        <v>149</v>
      </c>
      <c r="D4" s="50">
        <v>960</v>
      </c>
      <c r="E4" s="50">
        <v>60000</v>
      </c>
    </row>
    <row r="5" spans="2:5" x14ac:dyDescent="0.3">
      <c r="B5" s="50" t="s">
        <v>150</v>
      </c>
      <c r="C5" s="50" t="s">
        <v>151</v>
      </c>
      <c r="D5" s="50">
        <v>1600</v>
      </c>
      <c r="E5" s="50">
        <v>72000</v>
      </c>
    </row>
    <row r="6" spans="2:5" x14ac:dyDescent="0.3">
      <c r="B6" s="50" t="s">
        <v>152</v>
      </c>
      <c r="C6" s="50" t="s">
        <v>153</v>
      </c>
      <c r="D6" s="50">
        <v>1600</v>
      </c>
      <c r="E6" s="50">
        <v>100000</v>
      </c>
    </row>
    <row r="7" spans="2:5" x14ac:dyDescent="0.3">
      <c r="B7" s="50" t="s">
        <v>154</v>
      </c>
      <c r="C7" s="50" t="s">
        <v>155</v>
      </c>
      <c r="D7" s="50">
        <v>480</v>
      </c>
      <c r="E7" s="50">
        <v>20000</v>
      </c>
    </row>
    <row r="8" spans="2:5" x14ac:dyDescent="0.3">
      <c r="B8" s="50" t="s">
        <v>156</v>
      </c>
      <c r="C8" s="50" t="s">
        <v>157</v>
      </c>
      <c r="D8" s="50">
        <v>640</v>
      </c>
      <c r="E8" s="50">
        <v>30000</v>
      </c>
    </row>
    <row r="9" spans="2:5" x14ac:dyDescent="0.3">
      <c r="B9" s="50" t="s">
        <v>158</v>
      </c>
      <c r="C9" s="50" t="s">
        <v>159</v>
      </c>
      <c r="D9" s="50">
        <v>400</v>
      </c>
      <c r="E9" s="50">
        <v>7500</v>
      </c>
    </row>
    <row r="10" spans="2:5" x14ac:dyDescent="0.3">
      <c r="B10" s="50" t="s">
        <v>160</v>
      </c>
      <c r="C10" s="50" t="s">
        <v>161</v>
      </c>
      <c r="D10" s="50">
        <v>320</v>
      </c>
      <c r="E10" s="50">
        <v>7500</v>
      </c>
    </row>
    <row r="11" spans="2:5" x14ac:dyDescent="0.3">
      <c r="B11" s="50" t="s">
        <v>162</v>
      </c>
      <c r="C11" s="50" t="s">
        <v>163</v>
      </c>
      <c r="D11" s="50">
        <v>0</v>
      </c>
      <c r="E11" s="50">
        <v>0</v>
      </c>
    </row>
    <row r="12" spans="2:5" x14ac:dyDescent="0.3">
      <c r="B12" s="50" t="s">
        <v>164</v>
      </c>
      <c r="C12" s="50" t="s">
        <v>165</v>
      </c>
      <c r="D12" s="50">
        <v>0</v>
      </c>
      <c r="E12" s="50">
        <v>0</v>
      </c>
    </row>
    <row r="13" spans="2:5" x14ac:dyDescent="0.3">
      <c r="B13" s="50" t="s">
        <v>166</v>
      </c>
      <c r="C13" s="50" t="s">
        <v>167</v>
      </c>
      <c r="D13" s="50">
        <v>0</v>
      </c>
      <c r="E13" s="50">
        <v>0</v>
      </c>
    </row>
    <row r="14" spans="2:5" x14ac:dyDescent="0.3">
      <c r="B14" s="50" t="s">
        <v>168</v>
      </c>
      <c r="C14" s="50" t="s">
        <v>169</v>
      </c>
      <c r="D14" s="50">
        <v>0</v>
      </c>
      <c r="E14" s="50">
        <v>0</v>
      </c>
    </row>
    <row r="15" spans="2:5" x14ac:dyDescent="0.3">
      <c r="B15" s="50" t="s">
        <v>170</v>
      </c>
      <c r="C15" s="50" t="s">
        <v>171</v>
      </c>
      <c r="D15" s="50">
        <v>100</v>
      </c>
      <c r="E15" s="50">
        <v>0</v>
      </c>
    </row>
    <row r="16" spans="2:5" x14ac:dyDescent="0.3">
      <c r="B16" s="50" t="s">
        <v>172</v>
      </c>
      <c r="C16" s="50" t="s">
        <v>173</v>
      </c>
      <c r="D16" s="50">
        <v>0</v>
      </c>
      <c r="E16" s="50">
        <v>0</v>
      </c>
    </row>
    <row r="17" spans="2:5" x14ac:dyDescent="0.3">
      <c r="B17" s="50" t="s">
        <v>174</v>
      </c>
      <c r="C17" s="50" t="s">
        <v>175</v>
      </c>
      <c r="D17" s="50">
        <v>260</v>
      </c>
      <c r="E17" s="50">
        <v>0</v>
      </c>
    </row>
    <row r="18" spans="2:5" x14ac:dyDescent="0.3">
      <c r="B18" s="51">
        <v>1522</v>
      </c>
      <c r="C18" s="50" t="s">
        <v>176</v>
      </c>
      <c r="D18" s="50">
        <v>0</v>
      </c>
      <c r="E18" s="50">
        <v>0</v>
      </c>
    </row>
    <row r="19" spans="2:5" x14ac:dyDescent="0.3">
      <c r="B19" s="50" t="s">
        <v>177</v>
      </c>
      <c r="C19" s="50" t="s">
        <v>178</v>
      </c>
      <c r="D19" s="50">
        <v>0</v>
      </c>
      <c r="E19" s="50">
        <v>0</v>
      </c>
    </row>
    <row r="20" spans="2:5" x14ac:dyDescent="0.3">
      <c r="B20" s="50" t="s">
        <v>179</v>
      </c>
      <c r="C20" s="50" t="s">
        <v>180</v>
      </c>
      <c r="D20" s="50">
        <v>1000</v>
      </c>
      <c r="E20" s="50">
        <v>0</v>
      </c>
    </row>
    <row r="21" spans="2:5" x14ac:dyDescent="0.3">
      <c r="B21" s="50" t="s">
        <v>181</v>
      </c>
      <c r="C21" s="50" t="s">
        <v>182</v>
      </c>
      <c r="D21" s="50">
        <v>700</v>
      </c>
      <c r="E21" s="50">
        <v>0</v>
      </c>
    </row>
    <row r="22" spans="2:5" x14ac:dyDescent="0.3">
      <c r="B22" s="50" t="s">
        <v>183</v>
      </c>
      <c r="C22" s="50" t="s">
        <v>184</v>
      </c>
      <c r="D22" s="50">
        <v>200</v>
      </c>
      <c r="E22" s="50">
        <v>0</v>
      </c>
    </row>
    <row r="23" spans="2:5" x14ac:dyDescent="0.3">
      <c r="B23" s="50" t="s">
        <v>185</v>
      </c>
      <c r="C23" s="50" t="s">
        <v>186</v>
      </c>
      <c r="D23" s="50">
        <v>500</v>
      </c>
      <c r="E23" s="50">
        <v>0</v>
      </c>
    </row>
    <row r="24" spans="2:5" x14ac:dyDescent="0.3">
      <c r="B24" s="50" t="s">
        <v>187</v>
      </c>
      <c r="C24" s="50" t="s">
        <v>188</v>
      </c>
      <c r="D24" s="50">
        <v>1000</v>
      </c>
      <c r="E24" s="50">
        <v>0</v>
      </c>
    </row>
    <row r="25" spans="2:5" x14ac:dyDescent="0.3">
      <c r="B25" s="50" t="s">
        <v>189</v>
      </c>
      <c r="C25" s="50" t="s">
        <v>190</v>
      </c>
      <c r="D25" s="50">
        <v>0</v>
      </c>
      <c r="E25" s="50">
        <v>0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233"/>
  <sheetViews>
    <sheetView topLeftCell="A148" workbookViewId="0">
      <selection activeCell="B3" sqref="B3:C2233"/>
    </sheetView>
  </sheetViews>
  <sheetFormatPr defaultColWidth="9" defaultRowHeight="13.5" x14ac:dyDescent="0.3"/>
  <cols>
    <col min="3" max="3" width="39.46484375" customWidth="1"/>
    <col min="5" max="7" width="18.73046875" customWidth="1"/>
    <col min="8" max="8" width="22.9296875" customWidth="1"/>
    <col min="9" max="9" width="20.06640625" style="36" customWidth="1"/>
  </cols>
  <sheetData>
    <row r="2" spans="2:10" x14ac:dyDescent="0.3">
      <c r="B2" s="41" t="s">
        <v>193</v>
      </c>
      <c r="C2" s="41" t="s">
        <v>144</v>
      </c>
      <c r="D2" s="41" t="s">
        <v>194</v>
      </c>
      <c r="E2" s="41" t="s">
        <v>195</v>
      </c>
      <c r="F2" s="41" t="s">
        <v>196</v>
      </c>
      <c r="G2" s="41" t="s">
        <v>197</v>
      </c>
      <c r="H2" s="41" t="s">
        <v>198</v>
      </c>
      <c r="I2" s="36" t="s">
        <v>199</v>
      </c>
    </row>
    <row r="3" spans="2:10" x14ac:dyDescent="0.3">
      <c r="B3" t="s">
        <v>146</v>
      </c>
      <c r="C3" t="s">
        <v>147</v>
      </c>
      <c r="D3" t="s">
        <v>41</v>
      </c>
      <c r="E3" s="46">
        <f>IFERROR(VLOOKUP($B3,'标准费用表-2024年&amp;2025年优化'!$D:$K,8,0)*VLOOKUP('5.成本表'!$D3,系数辅助表!$C:$G,5,0)/VLOOKUP($D3,系数辅助表!$C:$E,3,0),0)</f>
        <v>0.39627039627039601</v>
      </c>
      <c r="I3" s="36">
        <f>VLOOKUP($D3,系数辅助表!$C:$F,4,0)</f>
        <v>1.33</v>
      </c>
      <c r="J3" s="2" t="s">
        <v>41</v>
      </c>
    </row>
    <row r="4" spans="2:10" x14ac:dyDescent="0.3">
      <c r="B4" t="s">
        <v>146</v>
      </c>
      <c r="C4" t="s">
        <v>147</v>
      </c>
      <c r="D4" t="s">
        <v>44</v>
      </c>
      <c r="E4" s="46">
        <f>IFERROR(VLOOKUP($B4,'标准费用表-2024年&amp;2025年优化'!$D:$K,8,0)*系数辅助表!$J$6*VLOOKUP('5.成本表'!$D4,系数辅助表!$C:$G,5,0)/VLOOKUP($D4,系数辅助表!$C:$E,3,0),0)</f>
        <v>0.226643455374409</v>
      </c>
      <c r="I4" s="36">
        <f>VLOOKUP($D4,系数辅助表!$C:$F,4,0)</f>
        <v>0.789027855994753</v>
      </c>
      <c r="J4" s="2" t="s">
        <v>200</v>
      </c>
    </row>
    <row r="5" spans="2:10" x14ac:dyDescent="0.3">
      <c r="B5" t="s">
        <v>146</v>
      </c>
      <c r="C5" t="s">
        <v>147</v>
      </c>
      <c r="D5" t="s">
        <v>45</v>
      </c>
      <c r="E5" s="46">
        <f>IFERROR(VLOOKUP($B5,'标准费用表-2024年&amp;2025年优化'!$D:$K,8,0)*系数辅助表!$J$6*VLOOKUP('5.成本表'!$D5,系数辅助表!$C:$G,5,0)/VLOOKUP($D5,系数辅助表!$C:$E,3,0),0)</f>
        <v>0.60573264946275596</v>
      </c>
      <c r="I5" s="36">
        <f>VLOOKUP($D5,系数辅助表!$C:$F,4,0)</f>
        <v>2.1087744754070901</v>
      </c>
      <c r="J5" s="2" t="s">
        <v>200</v>
      </c>
    </row>
    <row r="6" spans="2:10" x14ac:dyDescent="0.3">
      <c r="B6" t="s">
        <v>146</v>
      </c>
      <c r="C6" t="s">
        <v>147</v>
      </c>
      <c r="D6" t="s">
        <v>46</v>
      </c>
      <c r="E6" s="46">
        <f>IFERROR(VLOOKUP($B6,'标准费用表-2024年&amp;2025年优化'!$D:$K,8,0)*系数辅助表!$J$6*VLOOKUP('5.成本表'!$D6,系数辅助表!$C:$G,5,0)/VLOOKUP($D6,系数辅助表!$C:$E,3,0),0)</f>
        <v>1.12114691117841</v>
      </c>
      <c r="I6" s="36">
        <f>VLOOKUP($D6,系数辅助表!$C:$F,4,0)</f>
        <v>3.9031179705625099</v>
      </c>
      <c r="J6" s="2" t="s">
        <v>200</v>
      </c>
    </row>
    <row r="7" spans="2:10" x14ac:dyDescent="0.3">
      <c r="B7" t="s">
        <v>146</v>
      </c>
      <c r="C7" t="s">
        <v>147</v>
      </c>
      <c r="D7" t="s">
        <v>47</v>
      </c>
      <c r="E7" s="46">
        <f>IFERROR(VLOOKUP($B7,'标准费用表-2024年&amp;2025年优化'!$D:$K,8,0)*系数辅助表!$J$6*VLOOKUP('5.成本表'!$D7,系数辅助表!$C:$G,5,0)/VLOOKUP($D7,系数辅助表!$C:$E,3,0),0)</f>
        <v>0.23561473899723001</v>
      </c>
      <c r="I7" s="36">
        <f>VLOOKUP($D7,系数辅助表!$C:$F,4,0)</f>
        <v>0.82026013963048305</v>
      </c>
      <c r="J7" s="2" t="s">
        <v>200</v>
      </c>
    </row>
    <row r="8" spans="2:10" x14ac:dyDescent="0.3">
      <c r="B8" t="s">
        <v>146</v>
      </c>
      <c r="C8" t="s">
        <v>147</v>
      </c>
      <c r="D8" t="s">
        <v>48</v>
      </c>
      <c r="E8" s="46">
        <f>IFERROR(VLOOKUP($B8,'标准费用表-2024年&amp;2025年优化'!$D:$K,8,0)*系数辅助表!$J$6*VLOOKUP('5.成本表'!$D8,系数辅助表!$C:$G,5,0)/VLOOKUP($D8,系数辅助表!$C:$E,3,0),0)</f>
        <v>0.104017907081817</v>
      </c>
      <c r="I8" s="36">
        <f>VLOOKUP($D8,系数辅助表!$C:$F,4,0)</f>
        <v>0.36212396283071502</v>
      </c>
      <c r="J8" s="2" t="s">
        <v>200</v>
      </c>
    </row>
    <row r="9" spans="2:10" x14ac:dyDescent="0.3">
      <c r="B9" t="s">
        <v>146</v>
      </c>
      <c r="C9" t="s">
        <v>147</v>
      </c>
      <c r="D9" t="s">
        <v>49</v>
      </c>
      <c r="E9" s="46">
        <f>IFERROR(VLOOKUP($B9,'标准费用表-2024年&amp;2025年优化'!$D:$K,8,0)*系数辅助表!$J$6*VLOOKUP('5.成本表'!$D9,系数辅助表!$C:$G,5,0)/VLOOKUP($D9,系数辅助表!$C:$E,3,0),0)</f>
        <v>0.321921622435625</v>
      </c>
      <c r="I9" s="36">
        <f>VLOOKUP($D9,系数辅助表!$C:$F,4,0)</f>
        <v>1.1207256222295201</v>
      </c>
      <c r="J9" s="2" t="s">
        <v>200</v>
      </c>
    </row>
    <row r="10" spans="2:10" x14ac:dyDescent="0.3">
      <c r="B10" t="s">
        <v>146</v>
      </c>
      <c r="C10" t="s">
        <v>147</v>
      </c>
      <c r="D10" t="s">
        <v>50</v>
      </c>
      <c r="E10" s="46">
        <f>IFERROR(VLOOKUP($B10,'标准费用表-2024年&amp;2025年优化'!$D:$K,8,0)*系数辅助表!$J$6*VLOOKUP('5.成本表'!$D10,系数辅助表!$C:$G,5,0)/VLOOKUP($D10,系数辅助表!$C:$E,3,0),0)</f>
        <v>0.53178933525636596</v>
      </c>
      <c r="I10" s="36">
        <f>VLOOKUP($D10,系数辅助表!$C:$F,4,0)</f>
        <v>1.8513510498021799</v>
      </c>
      <c r="J10" s="2" t="s">
        <v>200</v>
      </c>
    </row>
    <row r="11" spans="2:10" x14ac:dyDescent="0.3">
      <c r="B11" t="s">
        <v>146</v>
      </c>
      <c r="C11" t="s">
        <v>147</v>
      </c>
      <c r="D11" t="s">
        <v>51</v>
      </c>
      <c r="E11" s="46">
        <f>IFERROR(VLOOKUP($B11,'标准费用表-2024年&amp;2025年优化'!$D:$K,8,0)*系数辅助表!$J$6*VLOOKUP('5.成本表'!$D11,系数辅助表!$C:$G,5,0)/VLOOKUP($D11,系数辅助表!$C:$E,3,0),0)</f>
        <v>0.77143748341567597</v>
      </c>
      <c r="I11" s="36">
        <f>VLOOKUP($D11,系数辅助表!$C:$F,4,0)</f>
        <v>2.68565294580391</v>
      </c>
      <c r="J11" s="2" t="s">
        <v>200</v>
      </c>
    </row>
    <row r="12" spans="2:10" x14ac:dyDescent="0.3">
      <c r="B12" t="s">
        <v>146</v>
      </c>
      <c r="C12" t="s">
        <v>147</v>
      </c>
      <c r="D12" t="s">
        <v>52</v>
      </c>
      <c r="E12" s="46">
        <f>IFERROR(VLOOKUP($B12,'标准费用表-2024年&amp;2025年优化'!$D:$K,8,0)*系数辅助表!$J$6*VLOOKUP('5.成本表'!$D12,系数辅助表!$C:$G,5,0)/VLOOKUP($D12,系数辅助表!$C:$E,3,0),0)</f>
        <v>0.45070686545914801</v>
      </c>
      <c r="I12" s="36">
        <f>VLOOKUP($D12,系数辅助表!$C:$F,4,0)</f>
        <v>1.5690736410097099</v>
      </c>
      <c r="J12" s="2" t="s">
        <v>200</v>
      </c>
    </row>
    <row r="13" spans="2:10" x14ac:dyDescent="0.3">
      <c r="B13" t="s">
        <v>146</v>
      </c>
      <c r="C13" t="s">
        <v>147</v>
      </c>
      <c r="D13" t="s">
        <v>53</v>
      </c>
      <c r="E13" s="46">
        <f>IFERROR(VLOOKUP($B13,'标准费用表-2024年&amp;2025年优化'!$D:$K,8,0)*系数辅助表!$J$6*VLOOKUP('5.成本表'!$D13,系数辅助表!$C:$G,5,0)/VLOOKUP($D13,系数辅助表!$C:$E,3,0),0)</f>
        <v>0.41391117183185</v>
      </c>
      <c r="I13" s="36">
        <f>VLOOKUP($D13,系数辅助表!$C:$F,4,0)</f>
        <v>1.44097452072131</v>
      </c>
      <c r="J13" s="2" t="s">
        <v>200</v>
      </c>
    </row>
    <row r="14" spans="2:10" x14ac:dyDescent="0.3">
      <c r="B14" t="s">
        <v>146</v>
      </c>
      <c r="C14" t="s">
        <v>147</v>
      </c>
      <c r="D14" t="s">
        <v>54</v>
      </c>
      <c r="E14" s="46">
        <f>IFERROR(VLOOKUP($B14,'标准费用表-2024年&amp;2025年优化'!$D:$K,8,0)*系数辅助表!$J$6*VLOOKUP('5.成本表'!$D14,系数辅助表!$C:$G,5,0)/VLOOKUP($D14,系数辅助表!$C:$E,3,0),0)</f>
        <v>0.52876810778084304</v>
      </c>
      <c r="I14" s="36">
        <f>VLOOKUP($D14,系数辅助表!$C:$F,4,0)</f>
        <v>1.8408330640366199</v>
      </c>
      <c r="J14" s="2" t="s">
        <v>200</v>
      </c>
    </row>
    <row r="15" spans="2:10" x14ac:dyDescent="0.3">
      <c r="B15" t="s">
        <v>146</v>
      </c>
      <c r="C15" t="s">
        <v>147</v>
      </c>
      <c r="D15" t="s">
        <v>55</v>
      </c>
      <c r="E15" s="46">
        <f>IFERROR(VLOOKUP($B15,'标准费用表-2024年&amp;2025年优化'!$D:$K,8,0)*系数辅助表!$J$6*VLOOKUP('5.成本表'!$D15,系数辅助表!$C:$G,5,0)/VLOOKUP($D15,系数辅助表!$C:$E,3,0),0)</f>
        <v>0.91968130227725298</v>
      </c>
      <c r="I15" s="36">
        <f>VLOOKUP($D15,系数辅助表!$C:$F,4,0)</f>
        <v>3.2017433061789502</v>
      </c>
      <c r="J15" s="2" t="s">
        <v>200</v>
      </c>
    </row>
    <row r="16" spans="2:10" x14ac:dyDescent="0.3">
      <c r="B16" t="s">
        <v>146</v>
      </c>
      <c r="C16" t="s">
        <v>147</v>
      </c>
      <c r="D16" t="s">
        <v>56</v>
      </c>
      <c r="E16" s="46">
        <f>IFERROR(VLOOKUP($B16,'标准费用表-2024年&amp;2025年优化'!$D:$K,8,0)*系数辅助表!$J$6*VLOOKUP('5.成本表'!$D16,系数辅助表!$C:$G,5,0)/VLOOKUP($D16,系数辅助表!$C:$E,3,0),0)</f>
        <v>0.156580818065091</v>
      </c>
      <c r="I16" s="36">
        <f>VLOOKUP($D16,系数辅助表!$C:$F,4,0)</f>
        <v>0.54511447049599404</v>
      </c>
      <c r="J16" s="2" t="s">
        <v>200</v>
      </c>
    </row>
    <row r="17" spans="2:10" x14ac:dyDescent="0.3">
      <c r="B17" t="s">
        <v>146</v>
      </c>
      <c r="C17" t="s">
        <v>147</v>
      </c>
      <c r="D17" t="s">
        <v>57</v>
      </c>
      <c r="E17" s="46">
        <f>IFERROR(VLOOKUP($B17,'标准费用表-2024年&amp;2025年优化'!$D:$K,8,0)*系数辅助表!$J$6*VLOOKUP('5.成本表'!$D17,系数辅助表!$C:$G,5,0)/VLOOKUP($D17,系数辅助表!$C:$E,3,0),0)</f>
        <v>3.6252733745115603E-2</v>
      </c>
      <c r="I17" s="36">
        <f>VLOOKUP($D17,系数辅助表!$C:$F,4,0)</f>
        <v>0.126208880523832</v>
      </c>
      <c r="J17" s="2" t="s">
        <v>200</v>
      </c>
    </row>
    <row r="18" spans="2:10" x14ac:dyDescent="0.3">
      <c r="B18" t="s">
        <v>146</v>
      </c>
      <c r="C18" t="s">
        <v>147</v>
      </c>
      <c r="D18" t="s">
        <v>58</v>
      </c>
      <c r="E18" s="46">
        <f>IFERROR(VLOOKUP($B18,'标准费用表-2024年&amp;2025年优化'!$D:$K,8,0)*系数辅助表!$J$6*VLOOKUP('5.成本表'!$D18,系数辅助表!$C:$G,5,0)/VLOOKUP($D18,系数辅助表!$C:$E,3,0),0)</f>
        <v>0.194499815230009</v>
      </c>
      <c r="I18" s="36">
        <f>VLOOKUP($D18,系数辅助表!$C:$F,4,0)</f>
        <v>0.67712421675176204</v>
      </c>
      <c r="J18" s="2" t="s">
        <v>200</v>
      </c>
    </row>
    <row r="19" spans="2:10" x14ac:dyDescent="0.3">
      <c r="B19" t="s">
        <v>146</v>
      </c>
      <c r="C19" t="s">
        <v>147</v>
      </c>
      <c r="D19" t="s">
        <v>59</v>
      </c>
      <c r="E19" s="46">
        <f>IFERROR(VLOOKUP($B19,'标准费用表-2024年&amp;2025年优化'!$D:$K,8,0)*系数辅助表!$J$6*VLOOKUP('5.成本表'!$D19,系数辅助表!$C:$G,5,0)/VLOOKUP($D19,系数辅助表!$C:$E,3,0),0)</f>
        <v>0.127218895186823</v>
      </c>
      <c r="I19" s="36">
        <f>VLOOKUP($D19,系数辅助表!$C:$F,4,0)</f>
        <v>0.44289499533730498</v>
      </c>
      <c r="J19" s="2" t="s">
        <v>200</v>
      </c>
    </row>
    <row r="20" spans="2:10" x14ac:dyDescent="0.3">
      <c r="B20" t="s">
        <v>146</v>
      </c>
      <c r="C20" t="s">
        <v>147</v>
      </c>
      <c r="D20" t="s">
        <v>60</v>
      </c>
      <c r="E20" s="46">
        <f>IFERROR(VLOOKUP($B20,'标准费用表-2024年&amp;2025年优化'!$D:$K,8,0)*系数辅助表!$J$6*VLOOKUP('5.成本表'!$D20,系数辅助表!$C:$G,5,0)/VLOOKUP($D20,系数辅助表!$C:$E,3,0),0)</f>
        <v>8.4322311325156801E-2</v>
      </c>
      <c r="I20" s="36">
        <f>VLOOKUP($D20,系数辅助表!$C:$F,4,0)</f>
        <v>0.29355646915769201</v>
      </c>
      <c r="J20" s="2" t="s">
        <v>200</v>
      </c>
    </row>
    <row r="21" spans="2:10" x14ac:dyDescent="0.3">
      <c r="B21" t="s">
        <v>146</v>
      </c>
      <c r="C21" t="s">
        <v>147</v>
      </c>
      <c r="D21" t="s">
        <v>61</v>
      </c>
      <c r="E21" s="46">
        <f>IFERROR(VLOOKUP($B21,'标准费用表-2024年&amp;2025年优化'!$D:$K,8,0)*系数辅助表!$J$6*VLOOKUP('5.成本表'!$D21,系数辅助表!$C:$G,5,0)/VLOOKUP($D21,系数辅助表!$C:$E,3,0),0)</f>
        <v>1.4558433418245399E-2</v>
      </c>
      <c r="I21" s="36">
        <f>VLOOKUP($D21,系数辅助表!$C:$F,4,0)</f>
        <v>5.0683173214352499E-2</v>
      </c>
      <c r="J21" s="2" t="s">
        <v>200</v>
      </c>
    </row>
    <row r="22" spans="2:10" x14ac:dyDescent="0.3">
      <c r="B22" t="s">
        <v>146</v>
      </c>
      <c r="C22" t="s">
        <v>147</v>
      </c>
      <c r="D22" t="s">
        <v>62</v>
      </c>
      <c r="E22" s="46">
        <f>IFERROR(VLOOKUP($B22,'标准费用表-2024年&amp;2025年优化'!$D:$K,8,0)*系数辅助表!$J$6*VLOOKUP('5.成本表'!$D22,系数辅助表!$C:$G,5,0)/VLOOKUP($D22,系数辅助表!$C:$E,3,0),0)</f>
        <v>7.6187300073418895E-2</v>
      </c>
      <c r="I22" s="36">
        <f>VLOOKUP($D22,系数辅助表!$C:$F,4,0)</f>
        <v>0.26523555216563399</v>
      </c>
      <c r="J22" s="2" t="s">
        <v>200</v>
      </c>
    </row>
    <row r="23" spans="2:10" x14ac:dyDescent="0.3">
      <c r="B23" t="s">
        <v>146</v>
      </c>
      <c r="C23" t="s">
        <v>147</v>
      </c>
      <c r="D23" t="s">
        <v>63</v>
      </c>
      <c r="E23" s="46">
        <f>IFERROR(VLOOKUP($B23,'标准费用表-2024年&amp;2025年优化'!$D:$K,8,0)*系数辅助表!$J$6*VLOOKUP('5.成本表'!$D23,系数辅助表!$C:$G,5,0)/VLOOKUP($D23,系数辅助表!$C:$E,3,0),0)</f>
        <v>6.9911959259216505E-2</v>
      </c>
      <c r="I23" s="36">
        <f>VLOOKUP($D23,系数辅助表!$C:$F,4,0)</f>
        <v>0.24338882069886</v>
      </c>
      <c r="J23" s="2" t="s">
        <v>200</v>
      </c>
    </row>
    <row r="24" spans="2:10" x14ac:dyDescent="0.3">
      <c r="B24" t="s">
        <v>146</v>
      </c>
      <c r="C24" t="s">
        <v>147</v>
      </c>
      <c r="D24" t="s">
        <v>64</v>
      </c>
      <c r="E24" s="46">
        <f>IFERROR(VLOOKUP($B24,'标准费用表-2024年&amp;2025年优化'!$D:$K,8,0)*系数辅助表!$J$6*VLOOKUP('5.成本表'!$D24,系数辅助表!$C:$G,5,0)/VLOOKUP($D24,系数辅助表!$C:$E,3,0),0)</f>
        <v>0.24458775925576601</v>
      </c>
      <c r="I24" s="36">
        <f>VLOOKUP($D24,系数辅助表!$C:$F,4,0)</f>
        <v>0.85149846912336002</v>
      </c>
      <c r="J24" s="2" t="s">
        <v>200</v>
      </c>
    </row>
    <row r="25" spans="2:10" x14ac:dyDescent="0.3">
      <c r="B25" t="s">
        <v>146</v>
      </c>
      <c r="C25" t="s">
        <v>147</v>
      </c>
      <c r="D25" t="s">
        <v>65</v>
      </c>
      <c r="E25" s="46">
        <f>IFERROR(VLOOKUP($B25,'标准费用表-2024年&amp;2025年优化'!$D:$K,8,0)*系数辅助表!$J$6*VLOOKUP('5.成本表'!$D25,系数辅助表!$C:$G,5,0)/VLOOKUP($D25,系数辅助表!$C:$E,3,0),0)</f>
        <v>0.28647830626228299</v>
      </c>
      <c r="I25" s="36">
        <f>VLOOKUP($D25,系数辅助表!$C:$F,4,0)</f>
        <v>0.99733461707829196</v>
      </c>
      <c r="J25" s="2" t="s">
        <v>200</v>
      </c>
    </row>
    <row r="26" spans="2:10" x14ac:dyDescent="0.3">
      <c r="B26" t="s">
        <v>146</v>
      </c>
      <c r="C26" t="s">
        <v>147</v>
      </c>
      <c r="D26" t="s">
        <v>66</v>
      </c>
      <c r="E26" s="46">
        <f>IFERROR(VLOOKUP($B26,'标准费用表-2024年&amp;2025年优化'!$D:$K,8,0)*系数辅助表!$J$6*VLOOKUP('5.成本表'!$D26,系数辅助表!$C:$G,5,0)/VLOOKUP($D26,系数辅助表!$C:$E,3,0),0)</f>
        <v>8.1916149826785495E-2</v>
      </c>
      <c r="I26" s="36">
        <f>VLOOKUP($D26,系数辅助表!$C:$F,4,0)</f>
        <v>0.28517975055754302</v>
      </c>
      <c r="J26" s="2" t="s">
        <v>200</v>
      </c>
    </row>
    <row r="27" spans="2:10" x14ac:dyDescent="0.3">
      <c r="B27" t="s">
        <v>146</v>
      </c>
      <c r="C27" t="s">
        <v>147</v>
      </c>
      <c r="D27" t="s">
        <v>67</v>
      </c>
      <c r="E27" s="46">
        <f>IFERROR(VLOOKUP($B27,'标准费用表-2024年&amp;2025年优化'!$D:$K,8,0)*系数辅助表!$J$6*VLOOKUP('5.成本表'!$D27,系数辅助表!$C:$G,5,0)/VLOOKUP($D27,系数辅助表!$C:$E,3,0),0)</f>
        <v>2.4372262822143002E-2</v>
      </c>
      <c r="I27" s="36">
        <f>VLOOKUP($D27,系数辅助表!$C:$F,4,0)</f>
        <v>8.4848663503333893E-2</v>
      </c>
      <c r="J27" s="2" t="s">
        <v>200</v>
      </c>
    </row>
    <row r="28" spans="2:10" x14ac:dyDescent="0.3">
      <c r="B28" t="s">
        <v>146</v>
      </c>
      <c r="C28" t="s">
        <v>147</v>
      </c>
      <c r="D28" t="s">
        <v>68</v>
      </c>
      <c r="E28" s="36">
        <f>IFERROR(VLOOKUP($B28,'标准费用表-2024年&amp;2025年优化'!$D:$K,8,0)*VLOOKUP("白条",系数辅助表!$C:$G,5,0)*VLOOKUP('5.成本表'!$D28,系数辅助表!$C:$G,5,0)/VLOOKUP('5.成本表'!$D28,系数辅助表!$C:$E,3,0),)</f>
        <v>0.59393064028600595</v>
      </c>
      <c r="F28" s="36">
        <f>IFERROR(VLOOKUP($B28,'标准费用表-2024年&amp;2025年优化'!$D:$L,9,0)*VLOOKUP('5.成本表'!$D28,系数辅助表!$C:$G,5,0)/VLOOKUP($D28,系数辅助表!$C:$E,3,0),0)</f>
        <v>1.39748385949648</v>
      </c>
      <c r="I28" s="36">
        <f>VLOOKUP($D28,系数辅助表!$C:$F,4,0)</f>
        <v>2.2799999999999998</v>
      </c>
      <c r="J28" s="2" t="s">
        <v>69</v>
      </c>
    </row>
    <row r="29" spans="2:10" x14ac:dyDescent="0.3">
      <c r="B29" t="s">
        <v>146</v>
      </c>
      <c r="C29" t="s">
        <v>147</v>
      </c>
      <c r="D29" t="s">
        <v>70</v>
      </c>
      <c r="E29" s="36">
        <f>IFERROR(VLOOKUP($B29,'标准费用表-2024年&amp;2025年优化'!$D:$K,8,0)*VLOOKUP("白条",系数辅助表!$C:$G,5,0)*VLOOKUP('5.成本表'!$D29,系数辅助表!$C:$G,5,0)/VLOOKUP('5.成本表'!$D29,系数辅助表!$C:$E,3,0),)</f>
        <v>0.39692367016071001</v>
      </c>
      <c r="F29" s="36">
        <f>IFERROR(VLOOKUP($B29,'标准费用表-2024年&amp;2025年优化'!$D:$L,9,0)*VLOOKUP('5.成本表'!$D29,系数辅助表!$C:$G,5,0)/VLOOKUP($D29,系数辅助表!$C:$E,3,0),0)</f>
        <v>0.93393804743696596</v>
      </c>
      <c r="I29" s="36">
        <f>VLOOKUP($D29,系数辅助表!$C:$F,4,0)</f>
        <v>1.5237233215154999</v>
      </c>
      <c r="J29" s="2" t="s">
        <v>69</v>
      </c>
    </row>
    <row r="30" spans="2:10" x14ac:dyDescent="0.3">
      <c r="B30" t="s">
        <v>146</v>
      </c>
      <c r="C30" t="s">
        <v>147</v>
      </c>
      <c r="D30" t="s">
        <v>71</v>
      </c>
      <c r="E30" s="36">
        <f>IFERROR(VLOOKUP($B30,'标准费用表-2024年&amp;2025年优化'!$D:$K,8,0)*VLOOKUP("白条",系数辅助表!$C:$G,5,0)*VLOOKUP('5.成本表'!$D30,系数辅助表!$C:$G,5,0)/VLOOKUP('5.成本表'!$D30,系数辅助表!$C:$E,3,0),)</f>
        <v>1.05049044036352</v>
      </c>
      <c r="F30" s="36">
        <f>IFERROR(VLOOKUP($B30,'标准费用表-2024年&amp;2025年优化'!$D:$L,9,0)*VLOOKUP('5.成本表'!$D30,系数辅助表!$C:$G,5,0)/VLOOKUP($D30,系数辅助表!$C:$E,3,0),0)</f>
        <v>2.4717422126200499</v>
      </c>
      <c r="I30" s="36">
        <f>VLOOKUP($D30,系数辅助表!$C:$F,4,0)</f>
        <v>4.0326564106466396</v>
      </c>
      <c r="J30" s="2" t="s">
        <v>69</v>
      </c>
    </row>
    <row r="31" spans="2:10" x14ac:dyDescent="0.3">
      <c r="B31" t="s">
        <v>146</v>
      </c>
      <c r="C31" t="s">
        <v>147</v>
      </c>
      <c r="D31" t="s">
        <v>72</v>
      </c>
      <c r="E31" s="36">
        <f>IFERROR(VLOOKUP($B31,'标准费用表-2024年&amp;2025年优化'!$D:$K,8,0)*VLOOKUP("白条",系数辅助表!$C:$G,5,0)*VLOOKUP('5.成本表'!$D31,系数辅助表!$C:$G,5,0)/VLOOKUP('5.成本表'!$D31,系数辅助表!$C:$E,3,0),)</f>
        <v>0.61179544189780899</v>
      </c>
      <c r="F31" s="36">
        <f>IFERROR(VLOOKUP($B31,'标准费用表-2024年&amp;2025年优化'!$D:$L,9,0)*VLOOKUP('5.成本表'!$D31,系数辅助表!$C:$G,5,0)/VLOOKUP($D31,系数辅助表!$C:$E,3,0),0)</f>
        <v>1.43951868681837</v>
      </c>
      <c r="I31" s="36">
        <f>VLOOKUP($D31,系数辅助表!$C:$F,4,0)</f>
        <v>2.34857997367385</v>
      </c>
      <c r="J31" s="2" t="s">
        <v>69</v>
      </c>
    </row>
    <row r="32" spans="2:10" x14ac:dyDescent="0.3">
      <c r="B32" t="s">
        <v>146</v>
      </c>
      <c r="C32" t="s">
        <v>147</v>
      </c>
      <c r="D32" t="s">
        <v>73</v>
      </c>
      <c r="E32" s="36">
        <f>IFERROR(VLOOKUP($B32,'标准费用表-2024年&amp;2025年优化'!$D:$K,8,0)*VLOOKUP("白条",系数辅助表!$C:$G,5,0)*VLOOKUP('5.成本表'!$D32,系数辅助表!$C:$G,5,0)/VLOOKUP('5.成本表'!$D32,系数辅助表!$C:$E,3,0),)</f>
        <v>0.36752764997895898</v>
      </c>
      <c r="F32" s="36">
        <f>IFERROR(VLOOKUP($B32,'标准费用表-2024年&amp;2025年优化'!$D:$L,9,0)*VLOOKUP('5.成本表'!$D32,系数辅助表!$C:$G,5,0)/VLOOKUP($D32,系数辅助表!$C:$E,3,0),0)</f>
        <v>0.86477094112696296</v>
      </c>
      <c r="I32" s="36">
        <f>VLOOKUP($D32,系数辅助表!$C:$F,4,0)</f>
        <v>1.41087693598112</v>
      </c>
      <c r="J32" s="2" t="s">
        <v>69</v>
      </c>
    </row>
    <row r="33" spans="2:10" x14ac:dyDescent="0.3">
      <c r="B33" t="s">
        <v>146</v>
      </c>
      <c r="C33" t="s">
        <v>147</v>
      </c>
      <c r="D33" t="s">
        <v>74</v>
      </c>
      <c r="E33" s="36">
        <f>IFERROR(VLOOKUP($B33,'标准费用表-2024年&amp;2025年优化'!$D:$K,8,0)*VLOOKUP("白条",系数辅助表!$C:$G,5,0)*VLOOKUP('5.成本表'!$D33,系数辅助表!$C:$G,5,0)/VLOOKUP('5.成本表'!$D33,系数辅助表!$C:$E,3,0),)</f>
        <v>0.49627132805296098</v>
      </c>
      <c r="F33" s="36">
        <f>IFERROR(VLOOKUP($B33,'标准费用表-2024年&amp;2025年优化'!$D:$L,9,0)*VLOOKUP('5.成本表'!$D33,系数辅助表!$C:$G,5,0)/VLOOKUP($D33,系数辅助表!$C:$E,3,0),0)</f>
        <v>1.16769724247755</v>
      </c>
      <c r="I33" s="36">
        <f>VLOOKUP($D33,系数辅助表!$C:$F,4,0)</f>
        <v>1.9051022985038799</v>
      </c>
      <c r="J33" s="2" t="s">
        <v>69</v>
      </c>
    </row>
    <row r="34" spans="2:10" x14ac:dyDescent="0.3">
      <c r="B34" t="s">
        <v>146</v>
      </c>
      <c r="C34" t="s">
        <v>147</v>
      </c>
      <c r="D34" t="s">
        <v>75</v>
      </c>
      <c r="E34" s="36">
        <f>IFERROR(VLOOKUP($B34,'标准费用表-2024年&amp;2025年优化'!$D:$K,8,0)*VLOOKUP("白条",系数辅助表!$C:$G,5,0)*VLOOKUP('5.成本表'!$D34,系数辅助表!$C:$G,5,0)/VLOOKUP('5.成本表'!$D34,系数辅助表!$C:$E,3,0),)</f>
        <v>0.371601544196347</v>
      </c>
      <c r="F34" s="36">
        <f>IFERROR(VLOOKUP($B34,'标准费用表-2024年&amp;2025年优化'!$D:$L,9,0)*VLOOKUP('5.成本表'!$D34,系数辅助表!$C:$G,5,0)/VLOOKUP($D34,系数辅助表!$C:$E,3,0),0)</f>
        <v>0.874356574579641</v>
      </c>
      <c r="I34" s="36">
        <f>VLOOKUP($D34,系数辅助表!$C:$F,4,0)</f>
        <v>1.42651593182611</v>
      </c>
      <c r="J34" s="2" t="s">
        <v>69</v>
      </c>
    </row>
    <row r="35" spans="2:10" x14ac:dyDescent="0.3">
      <c r="B35" t="s">
        <v>146</v>
      </c>
      <c r="C35" t="s">
        <v>147</v>
      </c>
      <c r="D35" t="s">
        <v>76</v>
      </c>
      <c r="E35" s="36">
        <f>IFERROR(VLOOKUP($B35,'标准费用表-2024年&amp;2025年优化'!$D:$K,8,0)*VLOOKUP("白条",系数辅助表!$C:$G,5,0)*VLOOKUP('5.成本表'!$D35,系数辅助表!$C:$G,5,0)/VLOOKUP('5.成本表'!$D35,系数辅助表!$C:$E,3,0),)</f>
        <v>0.37865229776415499</v>
      </c>
      <c r="F35" s="36">
        <f>IFERROR(VLOOKUP($B35,'标准费用表-2024年&amp;2025年优化'!$D:$L,9,0)*VLOOKUP('5.成本表'!$D35,系数辅助表!$C:$G,5,0)/VLOOKUP($D35,系数辅助表!$C:$E,3,0),0)</f>
        <v>0.89094658297448104</v>
      </c>
      <c r="I35" s="36">
        <f>VLOOKUP($D35,系数辅助表!$C:$F,4,0)</f>
        <v>1.4535825908670701</v>
      </c>
      <c r="J35" s="2" t="s">
        <v>69</v>
      </c>
    </row>
    <row r="36" spans="2:10" x14ac:dyDescent="0.3">
      <c r="B36" t="s">
        <v>146</v>
      </c>
      <c r="C36" t="s">
        <v>147</v>
      </c>
      <c r="D36" t="s">
        <v>77</v>
      </c>
      <c r="E36" s="36">
        <f>IFERROR(VLOOKUP($B36,'标准费用表-2024年&amp;2025年优化'!$D:$K,8,0)*VLOOKUP("白条",系数辅助表!$C:$G,5,0)*VLOOKUP('5.成本表'!$D36,系数辅助表!$C:$G,5,0)/VLOOKUP('5.成本表'!$D36,系数辅助表!$C:$E,3,0),)</f>
        <v>0.37538451802827999</v>
      </c>
      <c r="F36" s="36">
        <f>IFERROR(VLOOKUP($B36,'标准费用表-2024年&amp;2025年优化'!$D:$L,9,0)*VLOOKUP('5.成本表'!$D36,系数辅助表!$C:$G,5,0)/VLOOKUP($D36,系数辅助表!$C:$E,3,0),0)</f>
        <v>0.88325768947830596</v>
      </c>
      <c r="I36" s="36">
        <f>VLOOKUP($D36,系数辅助表!$C:$F,4,0)</f>
        <v>1.4410381331603499</v>
      </c>
      <c r="J36" s="2" t="s">
        <v>69</v>
      </c>
    </row>
    <row r="37" spans="2:10" x14ac:dyDescent="0.3">
      <c r="B37" t="s">
        <v>146</v>
      </c>
      <c r="C37" t="s">
        <v>147</v>
      </c>
      <c r="D37" t="s">
        <v>78</v>
      </c>
      <c r="E37" s="36">
        <f>IFERROR(VLOOKUP($B37,'标准费用表-2024年&amp;2025年优化'!$D:$K,8,0)*VLOOKUP("白条",系数辅助表!$C:$G,5,0)*VLOOKUP('5.成本表'!$D37,系数辅助表!$C:$G,5,0)/VLOOKUP('5.成本表'!$D37,系数辅助表!$C:$E,3,0),)</f>
        <v>0.32192932664066898</v>
      </c>
      <c r="F37" s="36">
        <f>IFERROR(VLOOKUP($B37,'标准费用表-2024年&amp;2025年优化'!$D:$L,9,0)*VLOOKUP('5.成本表'!$D37,系数辅助表!$C:$G,5,0)/VLOOKUP($D37,系数辅助表!$C:$E,3,0),0)</f>
        <v>0.75748076856627999</v>
      </c>
      <c r="I37" s="36">
        <f>VLOOKUP($D37,系数辅助表!$C:$F,4,0)</f>
        <v>1.2358326291892801</v>
      </c>
      <c r="J37" s="2" t="s">
        <v>69</v>
      </c>
    </row>
    <row r="38" spans="2:10" x14ac:dyDescent="0.3">
      <c r="B38" t="s">
        <v>146</v>
      </c>
      <c r="C38" t="s">
        <v>147</v>
      </c>
      <c r="D38" t="s">
        <v>79</v>
      </c>
      <c r="E38" s="36">
        <f>IFERROR(VLOOKUP($B38,'标准费用表-2024年&amp;2025年优化'!$D:$K,8,0)*VLOOKUP("白条",系数辅助表!$C:$G,5,0)*VLOOKUP('5.成本表'!$D38,系数辅助表!$C:$G,5,0)/VLOOKUP('5.成本表'!$D38,系数辅助表!$C:$E,3,0),)</f>
        <v>0.22486448987501201</v>
      </c>
      <c r="F38" s="36">
        <f>IFERROR(VLOOKUP($B38,'标准费用表-2024年&amp;2025年优化'!$D:$L,9,0)*VLOOKUP('5.成本表'!$D38,系数辅助表!$C:$G,5,0)/VLOOKUP($D38,系数辅助表!$C:$E,3,0),0)</f>
        <v>0.52909291735297004</v>
      </c>
      <c r="I38" s="36">
        <f>VLOOKUP($D38,系数辅助表!$C:$F,4,0)</f>
        <v>0.86321701919291904</v>
      </c>
      <c r="J38" s="2" t="s">
        <v>69</v>
      </c>
    </row>
    <row r="39" spans="2:10" x14ac:dyDescent="0.3">
      <c r="B39" t="s">
        <v>146</v>
      </c>
      <c r="C39" t="s">
        <v>147</v>
      </c>
      <c r="D39" t="s">
        <v>80</v>
      </c>
      <c r="E39" s="36">
        <f>IFERROR(VLOOKUP($B39,'标准费用表-2024年&amp;2025年优化'!$D:$K,8,0)*VLOOKUP("白条",系数辅助表!$C:$G,5,0)*VLOOKUP('5.成本表'!$D39,系数辅助表!$C:$G,5,0)/VLOOKUP('5.成本表'!$D39,系数辅助表!$C:$E,3,0),)</f>
        <v>0.20758238706947699</v>
      </c>
      <c r="F39" s="36">
        <f>IFERROR(VLOOKUP($B39,'标准费用表-2024年&amp;2025年优化'!$D:$L,9,0)*VLOOKUP('5.成本表'!$D39,系数辅助表!$C:$G,5,0)/VLOOKUP($D39,系数辅助表!$C:$E,3,0),0)</f>
        <v>0.48842914604582799</v>
      </c>
      <c r="I39" s="36">
        <f>VLOOKUP($D39,系数辅助表!$C:$F,4,0)</f>
        <v>0.796873928394225</v>
      </c>
      <c r="J39" s="2" t="s">
        <v>69</v>
      </c>
    </row>
    <row r="40" spans="2:10" x14ac:dyDescent="0.3">
      <c r="B40" t="s">
        <v>146</v>
      </c>
      <c r="C40" t="s">
        <v>147</v>
      </c>
      <c r="D40" t="s">
        <v>81</v>
      </c>
      <c r="E40" s="36">
        <f>IFERROR(VLOOKUP($B40,'标准费用表-2024年&amp;2025年优化'!$D:$K,8,0)*VLOOKUP("白条",系数辅助表!$C:$G,5,0)*VLOOKUP('5.成本表'!$D40,系数辅助表!$C:$G,5,0)/VLOOKUP('5.成本表'!$D40,系数辅助表!$C:$E,3,0),)</f>
        <v>0.28623515817284401</v>
      </c>
      <c r="F40" s="36">
        <f>IFERROR(VLOOKUP($B40,'标准费用表-2024年&amp;2025年优化'!$D:$L,9,0)*VLOOKUP('5.成本表'!$D40,系数辅助表!$C:$G,5,0)/VLOOKUP($D40,系数辅助表!$C:$E,3,0),0)</f>
        <v>0.67349448981845506</v>
      </c>
      <c r="I40" s="36">
        <f>VLOOKUP($D40,系数辅助表!$C:$F,4,0)</f>
        <v>1.09880870991909</v>
      </c>
      <c r="J40" s="2" t="s">
        <v>69</v>
      </c>
    </row>
    <row r="41" spans="2:10" x14ac:dyDescent="0.3">
      <c r="B41" t="s">
        <v>146</v>
      </c>
      <c r="C41" t="s">
        <v>147</v>
      </c>
      <c r="D41" t="s">
        <v>82</v>
      </c>
      <c r="E41" s="36">
        <f>IFERROR(VLOOKUP($B41,'标准费用表-2024年&amp;2025年优化'!$D:$K,8,0)*VLOOKUP("白条",系数辅助表!$C:$G,5,0)*VLOOKUP('5.成本表'!$D41,系数辅助表!$C:$G,5,0)/VLOOKUP('5.成本表'!$D41,系数辅助表!$C:$E,3,0),)</f>
        <v>0.260801006368796</v>
      </c>
      <c r="F41" s="36">
        <f>IFERROR(VLOOKUP($B41,'标准费用表-2024年&amp;2025年优化'!$D:$L,9,0)*VLOOKUP('5.成本表'!$D41,系数辅助表!$C:$G,5,0)/VLOOKUP($D41,系数辅助表!$C:$E,3,0),0)</f>
        <v>0.61364942675010803</v>
      </c>
      <c r="I41" s="36">
        <f>VLOOKUP($D41,系数辅助表!$C:$F,4,0)</f>
        <v>1.0011712718416299</v>
      </c>
      <c r="J41" s="2" t="s">
        <v>69</v>
      </c>
    </row>
    <row r="42" spans="2:10" x14ac:dyDescent="0.3">
      <c r="B42" t="s">
        <v>146</v>
      </c>
      <c r="C42" t="s">
        <v>147</v>
      </c>
      <c r="D42" t="s">
        <v>83</v>
      </c>
      <c r="E42" s="36">
        <f>IFERROR(VLOOKUP($B42,'标准费用表-2024年&amp;2025年优化'!$D:$K,8,0)*VLOOKUP("白条",系数辅助表!$C:$G,5,0)*VLOOKUP('5.成本表'!$D42,系数辅助表!$C:$G,5,0)/VLOOKUP('5.成本表'!$D42,系数辅助表!$C:$E,3,0),)</f>
        <v>0.234538199681083</v>
      </c>
      <c r="F42" s="36">
        <f>IFERROR(VLOOKUP($B42,'标准费用表-2024年&amp;2025年优化'!$D:$L,9,0)*VLOOKUP('5.成本表'!$D42,系数辅助表!$C:$G,5,0)/VLOOKUP($D42,系数辅助表!$C:$E,3,0),0)</f>
        <v>0.55185458748490201</v>
      </c>
      <c r="I42" s="36">
        <f>VLOOKUP($D42,系数辅助表!$C:$F,4,0)</f>
        <v>0.90035276680685095</v>
      </c>
      <c r="J42" s="2" t="s">
        <v>69</v>
      </c>
    </row>
    <row r="43" spans="2:10" x14ac:dyDescent="0.3">
      <c r="B43" t="s">
        <v>146</v>
      </c>
      <c r="C43" t="s">
        <v>147</v>
      </c>
      <c r="D43" t="s">
        <v>84</v>
      </c>
      <c r="E43" s="36">
        <f>IFERROR(VLOOKUP($B43,'标准费用表-2024年&amp;2025年优化'!$D:$K,8,0)*VLOOKUP("白条",系数辅助表!$C:$G,5,0)*VLOOKUP('5.成本表'!$D43,系数辅助表!$C:$G,5,0)/VLOOKUP('5.成本表'!$D43,系数辅助表!$C:$E,3,0),)</f>
        <v>0.235574110041715</v>
      </c>
      <c r="F43" s="36">
        <f>IFERROR(VLOOKUP($B43,'标准费用表-2024年&amp;2025年优化'!$D:$L,9,0)*VLOOKUP('5.成本表'!$D43,系数辅助表!$C:$G,5,0)/VLOOKUP($D43,系数辅助表!$C:$E,3,0),0)</f>
        <v>0.55429202362756402</v>
      </c>
      <c r="I43" s="36">
        <f>VLOOKUP($D43,系数辅助表!$C:$F,4,0)</f>
        <v>0.90432945273957599</v>
      </c>
      <c r="J43" s="2" t="s">
        <v>69</v>
      </c>
    </row>
    <row r="44" spans="2:10" x14ac:dyDescent="0.3">
      <c r="B44" t="s">
        <v>146</v>
      </c>
      <c r="C44" t="s">
        <v>147</v>
      </c>
      <c r="D44" t="s">
        <v>85</v>
      </c>
      <c r="E44" s="36">
        <f>IFERROR(VLOOKUP($B44,'标准费用表-2024年&amp;2025年优化'!$D:$K,8,0)*VLOOKUP("白条",系数辅助表!$C:$G,5,0)*VLOOKUP('5.成本表'!$D44,系数辅助表!$C:$G,5,0)/VLOOKUP('5.成本表'!$D44,系数辅助表!$C:$E,3,0),)</f>
        <v>0.292895137857898</v>
      </c>
      <c r="F44" s="36">
        <f>IFERROR(VLOOKUP($B44,'标准费用表-2024年&amp;2025年优化'!$D:$L,9,0)*VLOOKUP('5.成本表'!$D44,系数辅助表!$C:$G,5,0)/VLOOKUP($D44,系数辅助表!$C:$E,3,0),0)</f>
        <v>0.68916503025387699</v>
      </c>
      <c r="I44" s="36">
        <f>VLOOKUP($D44,系数辅助表!$C:$F,4,0)</f>
        <v>1.12437525363977</v>
      </c>
      <c r="J44" s="2" t="s">
        <v>69</v>
      </c>
    </row>
    <row r="45" spans="2:10" x14ac:dyDescent="0.3">
      <c r="B45" t="s">
        <v>146</v>
      </c>
      <c r="C45" t="s">
        <v>147</v>
      </c>
      <c r="D45" t="s">
        <v>86</v>
      </c>
      <c r="E45" s="36">
        <f>IFERROR(VLOOKUP($B45,'标准费用表-2024年&amp;2025年优化'!$D:$K,8,0)*VLOOKUP("白条",系数辅助表!$C:$G,5,0)*VLOOKUP('5.成本表'!$D45,系数辅助表!$C:$G,5,0)/VLOOKUP('5.成本表'!$D45,系数辅助表!$C:$E,3,0),)</f>
        <v>0.25611239588756202</v>
      </c>
      <c r="F45" s="36">
        <f>IFERROR(VLOOKUP($B45,'标准费用表-2024年&amp;2025年优化'!$D:$L,9,0)*VLOOKUP('5.成本表'!$D45,系数辅助表!$C:$G,5,0)/VLOOKUP($D45,系数辅助表!$C:$E,3,0),0)</f>
        <v>0.60261740208838199</v>
      </c>
      <c r="I45" s="36">
        <f>VLOOKUP($D45,系数辅助表!$C:$F,4,0)</f>
        <v>0.98317248347795105</v>
      </c>
      <c r="J45" s="2" t="s">
        <v>69</v>
      </c>
    </row>
    <row r="46" spans="2:10" x14ac:dyDescent="0.3">
      <c r="B46" t="s">
        <v>146</v>
      </c>
      <c r="C46" t="s">
        <v>147</v>
      </c>
      <c r="D46" t="s">
        <v>87</v>
      </c>
      <c r="E46" s="36">
        <f>IFERROR(VLOOKUP($B46,'标准费用表-2024年&amp;2025年优化'!$D:$K,8,0)*VLOOKUP("白条",系数辅助表!$C:$G,5,0)*VLOOKUP('5.成本表'!$D46,系数辅助表!$C:$G,5,0)/VLOOKUP('5.成本表'!$D46,系数辅助表!$C:$E,3,0),)</f>
        <v>0.185500354062485</v>
      </c>
      <c r="F46" s="36">
        <f>IFERROR(VLOOKUP($B46,'标准费用表-2024年&amp;2025年优化'!$D:$L,9,0)*VLOOKUP('5.成本表'!$D46,系数辅助表!$C:$G,5,0)/VLOOKUP($D46,系数辅助表!$C:$E,3,0),0)</f>
        <v>0.43647142132349398</v>
      </c>
      <c r="I46" s="36">
        <f>VLOOKUP($D46,系数辅助表!$C:$F,4,0)</f>
        <v>0.71210471151782795</v>
      </c>
      <c r="J46" s="2" t="s">
        <v>69</v>
      </c>
    </row>
    <row r="47" spans="2:10" x14ac:dyDescent="0.3">
      <c r="B47" t="s">
        <v>146</v>
      </c>
      <c r="C47" t="s">
        <v>147</v>
      </c>
      <c r="D47" t="s">
        <v>88</v>
      </c>
      <c r="E47" s="36">
        <f>IFERROR(VLOOKUP($B47,'标准费用表-2024年&amp;2025年优化'!$D:$K,8,0)*VLOOKUP("白条",系数辅助表!$C:$G,5,0)*VLOOKUP('5.成本表'!$D47,系数辅助表!$C:$G,5,0)/VLOOKUP('5.成本表'!$D47,系数辅助表!$C:$E,3,0),)</f>
        <v>0.70062746721781999</v>
      </c>
      <c r="F47" s="36">
        <f>IFERROR(VLOOKUP($B47,'标准费用表-2024年&amp;2025年优化'!$D:$L,9,0)*VLOOKUP('5.成本表'!$D47,系数辅助表!$C:$G,5,0)/VLOOKUP($D47,系数辅助表!$C:$E,3,0),0)</f>
        <v>1.6485352169831</v>
      </c>
      <c r="I47" s="36">
        <f>VLOOKUP($D47,系数辅助表!$C:$F,4,0)</f>
        <v>2.6895912029178799</v>
      </c>
      <c r="J47" s="2" t="s">
        <v>69</v>
      </c>
    </row>
    <row r="48" spans="2:10" x14ac:dyDescent="0.3">
      <c r="B48" t="s">
        <v>146</v>
      </c>
      <c r="C48" t="s">
        <v>147</v>
      </c>
      <c r="D48" t="s">
        <v>89</v>
      </c>
      <c r="E48" s="36">
        <f>IFERROR(VLOOKUP($B48,'标准费用表-2024年&amp;2025年优化'!$D:$K,8,0)*VLOOKUP("白条",系数辅助表!$C:$G,5,0)*VLOOKUP('5.成本表'!$D48,系数辅助表!$C:$G,5,0)/VLOOKUP('5.成本表'!$D48,系数辅助表!$C:$E,3,0),)</f>
        <v>0.30133625232391797</v>
      </c>
      <c r="F48" s="36">
        <f>IFERROR(VLOOKUP($B48,'标准费用表-2024年&amp;2025年优化'!$D:$L,9,0)*VLOOKUP('5.成本表'!$D48,系数辅助表!$C:$G,5,0)/VLOOKUP($D48,系数辅助表!$C:$E,3,0),0)</f>
        <v>0.709026476056277</v>
      </c>
      <c r="I48" s="36">
        <f>VLOOKUP($D48,系数辅助表!$C:$F,4,0)</f>
        <v>1.1567792747107399</v>
      </c>
      <c r="J48" s="2" t="s">
        <v>69</v>
      </c>
    </row>
    <row r="49" spans="2:10" x14ac:dyDescent="0.3">
      <c r="B49" t="s">
        <v>146</v>
      </c>
      <c r="C49" t="s">
        <v>147</v>
      </c>
      <c r="D49" t="s">
        <v>90</v>
      </c>
      <c r="E49" s="36">
        <f>IFERROR(VLOOKUP($B49,'标准费用表-2024年&amp;2025年优化'!$D:$K,8,0)*VLOOKUP("白条",系数辅助表!$C:$G,5,0)*VLOOKUP('5.成本表'!$D49,系数辅助表!$C:$G,5,0)/VLOOKUP('5.成本表'!$D49,系数辅助表!$C:$E,3,0),)</f>
        <v>0.19041687066177501</v>
      </c>
      <c r="F49" s="36">
        <f>IFERROR(VLOOKUP($B49,'标准费用表-2024年&amp;2025年优化'!$D:$L,9,0)*VLOOKUP('5.成本表'!$D49,系数辅助表!$C:$G,5,0)/VLOOKUP($D49,系数辅助表!$C:$E,3,0),0)</f>
        <v>0.44803969567476498</v>
      </c>
      <c r="I49" s="36">
        <f>VLOOKUP($D49,系数辅助表!$C:$F,4,0)</f>
        <v>0.73097839320056501</v>
      </c>
      <c r="J49" s="2" t="s">
        <v>69</v>
      </c>
    </row>
    <row r="50" spans="2:10" x14ac:dyDescent="0.3">
      <c r="B50" t="s">
        <v>146</v>
      </c>
      <c r="C50" t="s">
        <v>147</v>
      </c>
      <c r="D50" t="s">
        <v>91</v>
      </c>
      <c r="E50" s="36">
        <f>IFERROR(VLOOKUP($B50,'标准费用表-2024年&amp;2025年优化'!$D:$K,8,0)*VLOOKUP("白条",系数辅助表!$C:$G,5,0)*VLOOKUP('5.成本表'!$D50,系数辅助表!$C:$G,5,0)/VLOOKUP('5.成本表'!$D50,系数辅助表!$C:$E,3,0),)</f>
        <v>0.15788515474673001</v>
      </c>
      <c r="F50" s="36">
        <f>IFERROR(VLOOKUP($B50,'标准费用表-2024年&amp;2025年优化'!$D:$L,9,0)*VLOOKUP('5.成本表'!$D50,系数辅助表!$C:$G,5,0)/VLOOKUP($D50,系数辅助表!$C:$E,3,0),0)</f>
        <v>0.371494481757011</v>
      </c>
      <c r="I50" s="36">
        <f>VLOOKUP($D50,系数辅助表!$C:$F,4,0)</f>
        <v>0.60609459826688905</v>
      </c>
      <c r="J50" s="2" t="s">
        <v>69</v>
      </c>
    </row>
    <row r="51" spans="2:10" x14ac:dyDescent="0.3">
      <c r="B51" t="s">
        <v>146</v>
      </c>
      <c r="C51" t="s">
        <v>147</v>
      </c>
      <c r="D51" t="s">
        <v>92</v>
      </c>
      <c r="E51" s="36">
        <f>IFERROR(VLOOKUP($B51,'标准费用表-2024年&amp;2025年优化'!$D:$K,8,0)*VLOOKUP("白条",系数辅助表!$C:$G,5,0)*VLOOKUP('5.成本表'!$D51,系数辅助表!$C:$G,5,0)/VLOOKUP('5.成本表'!$D51,系数辅助表!$C:$E,3,0),)</f>
        <v>6.26651331493666E-2</v>
      </c>
      <c r="F51" s="36">
        <f>IFERROR(VLOOKUP($B51,'标准费用表-2024年&amp;2025年优化'!$D:$L,9,0)*VLOOKUP('5.成本表'!$D51,系数辅助表!$C:$G,5,0)/VLOOKUP($D51,系数辅助表!$C:$E,3,0),0)</f>
        <v>0.14744737211615699</v>
      </c>
      <c r="I51" s="36">
        <f>VLOOKUP($D51,系数辅助表!$C:$F,4,0)</f>
        <v>0.24056092393508099</v>
      </c>
      <c r="J51" s="2" t="s">
        <v>69</v>
      </c>
    </row>
    <row r="52" spans="2:10" x14ac:dyDescent="0.3">
      <c r="B52" t="s">
        <v>146</v>
      </c>
      <c r="C52" t="s">
        <v>147</v>
      </c>
      <c r="D52" t="s">
        <v>93</v>
      </c>
      <c r="E52" s="36">
        <f>E28</f>
        <v>0.59393064028600595</v>
      </c>
      <c r="F52" s="36">
        <f>F28</f>
        <v>1.39748385949648</v>
      </c>
      <c r="G52">
        <v>0.2</v>
      </c>
      <c r="H52">
        <v>0.3</v>
      </c>
      <c r="J52" s="2" t="s">
        <v>69</v>
      </c>
    </row>
    <row r="53" spans="2:10" x14ac:dyDescent="0.3">
      <c r="B53" t="s">
        <v>146</v>
      </c>
      <c r="C53" t="s">
        <v>147</v>
      </c>
      <c r="D53" t="s">
        <v>96</v>
      </c>
      <c r="E53" s="36">
        <f t="shared" ref="E53:E75" si="0">E29</f>
        <v>0.39692367016071001</v>
      </c>
      <c r="F53" s="36">
        <f t="shared" ref="F53:F99" si="1">F29</f>
        <v>0.93393804743696596</v>
      </c>
      <c r="G53">
        <v>0.2</v>
      </c>
      <c r="H53">
        <v>0.3</v>
      </c>
      <c r="J53" s="2" t="s">
        <v>69</v>
      </c>
    </row>
    <row r="54" spans="2:10" x14ac:dyDescent="0.3">
      <c r="B54" t="s">
        <v>146</v>
      </c>
      <c r="C54" t="s">
        <v>147</v>
      </c>
      <c r="D54" t="s">
        <v>97</v>
      </c>
      <c r="E54" s="36">
        <f t="shared" si="0"/>
        <v>1.05049044036352</v>
      </c>
      <c r="F54" s="36">
        <f t="shared" si="1"/>
        <v>2.4717422126200499</v>
      </c>
      <c r="G54">
        <v>0.2</v>
      </c>
      <c r="H54">
        <v>0.3</v>
      </c>
      <c r="J54" s="2" t="s">
        <v>69</v>
      </c>
    </row>
    <row r="55" spans="2:10" x14ac:dyDescent="0.3">
      <c r="B55" t="s">
        <v>146</v>
      </c>
      <c r="C55" t="s">
        <v>147</v>
      </c>
      <c r="D55" t="s">
        <v>98</v>
      </c>
      <c r="E55" s="36">
        <f t="shared" si="0"/>
        <v>0.61179544189780899</v>
      </c>
      <c r="F55" s="36">
        <f t="shared" si="1"/>
        <v>1.43951868681837</v>
      </c>
      <c r="G55">
        <v>0.2</v>
      </c>
      <c r="H55">
        <v>0.3</v>
      </c>
      <c r="J55" s="2" t="s">
        <v>69</v>
      </c>
    </row>
    <row r="56" spans="2:10" x14ac:dyDescent="0.3">
      <c r="B56" t="s">
        <v>146</v>
      </c>
      <c r="C56" t="s">
        <v>147</v>
      </c>
      <c r="D56" t="s">
        <v>99</v>
      </c>
      <c r="E56" s="36">
        <f t="shared" si="0"/>
        <v>0.36752764997895898</v>
      </c>
      <c r="F56" s="36">
        <f t="shared" si="1"/>
        <v>0.86477094112696296</v>
      </c>
      <c r="G56">
        <v>0.2</v>
      </c>
      <c r="H56">
        <v>0.3</v>
      </c>
      <c r="J56" s="2" t="s">
        <v>69</v>
      </c>
    </row>
    <row r="57" spans="2:10" x14ac:dyDescent="0.3">
      <c r="B57" t="s">
        <v>146</v>
      </c>
      <c r="C57" t="s">
        <v>147</v>
      </c>
      <c r="D57" t="s">
        <v>100</v>
      </c>
      <c r="E57" s="36">
        <f t="shared" si="0"/>
        <v>0.49627132805296098</v>
      </c>
      <c r="F57" s="36">
        <f t="shared" si="1"/>
        <v>1.16769724247755</v>
      </c>
      <c r="G57">
        <v>0.2</v>
      </c>
      <c r="H57">
        <v>0.3</v>
      </c>
      <c r="J57" s="2" t="s">
        <v>69</v>
      </c>
    </row>
    <row r="58" spans="2:10" x14ac:dyDescent="0.3">
      <c r="B58" t="s">
        <v>146</v>
      </c>
      <c r="C58" t="s">
        <v>147</v>
      </c>
      <c r="D58" t="s">
        <v>101</v>
      </c>
      <c r="E58" s="36">
        <f t="shared" si="0"/>
        <v>0.371601544196347</v>
      </c>
      <c r="F58" s="36">
        <f t="shared" si="1"/>
        <v>0.874356574579641</v>
      </c>
      <c r="G58">
        <v>0.2</v>
      </c>
      <c r="H58">
        <v>0.3</v>
      </c>
      <c r="J58" s="2" t="s">
        <v>69</v>
      </c>
    </row>
    <row r="59" spans="2:10" x14ac:dyDescent="0.3">
      <c r="B59" t="s">
        <v>146</v>
      </c>
      <c r="C59" t="s">
        <v>147</v>
      </c>
      <c r="D59" t="s">
        <v>102</v>
      </c>
      <c r="E59" s="36">
        <f t="shared" si="0"/>
        <v>0.37865229776415499</v>
      </c>
      <c r="F59" s="36">
        <f t="shared" si="1"/>
        <v>0.89094658297448104</v>
      </c>
      <c r="G59">
        <v>0.2</v>
      </c>
      <c r="H59">
        <v>0.3</v>
      </c>
      <c r="J59" s="2" t="s">
        <v>69</v>
      </c>
    </row>
    <row r="60" spans="2:10" x14ac:dyDescent="0.3">
      <c r="B60" t="s">
        <v>146</v>
      </c>
      <c r="C60" t="s">
        <v>147</v>
      </c>
      <c r="D60" t="s">
        <v>103</v>
      </c>
      <c r="E60" s="36">
        <f t="shared" si="0"/>
        <v>0.37538451802827999</v>
      </c>
      <c r="F60" s="36">
        <f t="shared" si="1"/>
        <v>0.88325768947830596</v>
      </c>
      <c r="G60">
        <v>0.2</v>
      </c>
      <c r="H60">
        <v>0.3</v>
      </c>
      <c r="J60" s="2" t="s">
        <v>69</v>
      </c>
    </row>
    <row r="61" spans="2:10" x14ac:dyDescent="0.3">
      <c r="B61" t="s">
        <v>146</v>
      </c>
      <c r="C61" t="s">
        <v>147</v>
      </c>
      <c r="D61" t="s">
        <v>104</v>
      </c>
      <c r="E61" s="36">
        <f t="shared" si="0"/>
        <v>0.32192932664066898</v>
      </c>
      <c r="F61" s="36">
        <f t="shared" si="1"/>
        <v>0.75748076856627999</v>
      </c>
      <c r="G61">
        <v>0.2</v>
      </c>
      <c r="H61">
        <v>0.3</v>
      </c>
      <c r="J61" s="2" t="s">
        <v>69</v>
      </c>
    </row>
    <row r="62" spans="2:10" x14ac:dyDescent="0.3">
      <c r="B62" t="s">
        <v>146</v>
      </c>
      <c r="C62" t="s">
        <v>147</v>
      </c>
      <c r="D62" t="s">
        <v>105</v>
      </c>
      <c r="E62" s="36">
        <f t="shared" si="0"/>
        <v>0.22486448987501201</v>
      </c>
      <c r="F62" s="36">
        <f t="shared" si="1"/>
        <v>0.52909291735297004</v>
      </c>
      <c r="G62">
        <v>0.2</v>
      </c>
      <c r="H62">
        <v>0.3</v>
      </c>
      <c r="J62" s="2" t="s">
        <v>69</v>
      </c>
    </row>
    <row r="63" spans="2:10" x14ac:dyDescent="0.3">
      <c r="B63" t="s">
        <v>146</v>
      </c>
      <c r="C63" t="s">
        <v>147</v>
      </c>
      <c r="D63" t="s">
        <v>106</v>
      </c>
      <c r="E63" s="36">
        <f t="shared" si="0"/>
        <v>0.20758238706947699</v>
      </c>
      <c r="F63" s="36">
        <f t="shared" si="1"/>
        <v>0.48842914604582799</v>
      </c>
      <c r="G63">
        <v>0.2</v>
      </c>
      <c r="H63">
        <v>0.3</v>
      </c>
      <c r="J63" s="2" t="s">
        <v>69</v>
      </c>
    </row>
    <row r="64" spans="2:10" x14ac:dyDescent="0.3">
      <c r="B64" t="s">
        <v>146</v>
      </c>
      <c r="C64" t="s">
        <v>147</v>
      </c>
      <c r="D64" t="s">
        <v>107</v>
      </c>
      <c r="E64" s="36">
        <f t="shared" si="0"/>
        <v>0.28623515817284401</v>
      </c>
      <c r="F64" s="36">
        <f t="shared" si="1"/>
        <v>0.67349448981845506</v>
      </c>
      <c r="G64">
        <v>0.2</v>
      </c>
      <c r="H64">
        <v>0.3</v>
      </c>
      <c r="J64" s="2" t="s">
        <v>69</v>
      </c>
    </row>
    <row r="65" spans="2:10" x14ac:dyDescent="0.3">
      <c r="B65" t="s">
        <v>146</v>
      </c>
      <c r="C65" t="s">
        <v>147</v>
      </c>
      <c r="D65" t="s">
        <v>108</v>
      </c>
      <c r="E65" s="36">
        <f t="shared" si="0"/>
        <v>0.260801006368796</v>
      </c>
      <c r="F65" s="36">
        <f t="shared" si="1"/>
        <v>0.61364942675010803</v>
      </c>
      <c r="G65">
        <v>0.2</v>
      </c>
      <c r="H65">
        <v>0.3</v>
      </c>
      <c r="J65" s="2" t="s">
        <v>69</v>
      </c>
    </row>
    <row r="66" spans="2:10" x14ac:dyDescent="0.3">
      <c r="B66" t="s">
        <v>146</v>
      </c>
      <c r="C66" t="s">
        <v>147</v>
      </c>
      <c r="D66" t="s">
        <v>109</v>
      </c>
      <c r="E66" s="36">
        <f t="shared" si="0"/>
        <v>0.234538199681083</v>
      </c>
      <c r="F66" s="36">
        <f t="shared" si="1"/>
        <v>0.55185458748490201</v>
      </c>
      <c r="G66">
        <v>0.2</v>
      </c>
      <c r="H66">
        <v>0.3</v>
      </c>
      <c r="J66" s="2" t="s">
        <v>69</v>
      </c>
    </row>
    <row r="67" spans="2:10" x14ac:dyDescent="0.3">
      <c r="B67" t="s">
        <v>146</v>
      </c>
      <c r="C67" t="s">
        <v>147</v>
      </c>
      <c r="D67" t="s">
        <v>110</v>
      </c>
      <c r="E67" s="36">
        <f t="shared" si="0"/>
        <v>0.235574110041715</v>
      </c>
      <c r="F67" s="36">
        <f t="shared" si="1"/>
        <v>0.55429202362756402</v>
      </c>
      <c r="G67">
        <v>0.2</v>
      </c>
      <c r="H67">
        <v>0.3</v>
      </c>
      <c r="J67" s="2" t="s">
        <v>69</v>
      </c>
    </row>
    <row r="68" spans="2:10" x14ac:dyDescent="0.3">
      <c r="B68" t="s">
        <v>146</v>
      </c>
      <c r="C68" t="s">
        <v>147</v>
      </c>
      <c r="D68" t="s">
        <v>111</v>
      </c>
      <c r="E68" s="36">
        <f t="shared" si="0"/>
        <v>0.292895137857898</v>
      </c>
      <c r="F68" s="36">
        <f t="shared" si="1"/>
        <v>0.68916503025387699</v>
      </c>
      <c r="G68">
        <v>0.2</v>
      </c>
      <c r="H68">
        <v>0.3</v>
      </c>
      <c r="J68" s="2" t="s">
        <v>69</v>
      </c>
    </row>
    <row r="69" spans="2:10" x14ac:dyDescent="0.3">
      <c r="B69" t="s">
        <v>146</v>
      </c>
      <c r="C69" t="s">
        <v>147</v>
      </c>
      <c r="D69" t="s">
        <v>112</v>
      </c>
      <c r="E69" s="36">
        <f t="shared" si="0"/>
        <v>0.25611239588756202</v>
      </c>
      <c r="F69" s="36">
        <f t="shared" si="1"/>
        <v>0.60261740208838199</v>
      </c>
      <c r="G69">
        <v>0.2</v>
      </c>
      <c r="H69">
        <v>0.3</v>
      </c>
      <c r="J69" s="2" t="s">
        <v>69</v>
      </c>
    </row>
    <row r="70" spans="2:10" x14ac:dyDescent="0.3">
      <c r="B70" t="s">
        <v>146</v>
      </c>
      <c r="C70" t="s">
        <v>147</v>
      </c>
      <c r="D70" t="s">
        <v>113</v>
      </c>
      <c r="E70" s="36">
        <f t="shared" si="0"/>
        <v>0.185500354062485</v>
      </c>
      <c r="F70" s="36">
        <f t="shared" si="1"/>
        <v>0.43647142132349398</v>
      </c>
      <c r="G70">
        <v>0.2</v>
      </c>
      <c r="H70">
        <v>0.3</v>
      </c>
      <c r="J70" s="2" t="s">
        <v>69</v>
      </c>
    </row>
    <row r="71" spans="2:10" x14ac:dyDescent="0.3">
      <c r="B71" t="s">
        <v>146</v>
      </c>
      <c r="C71" t="s">
        <v>147</v>
      </c>
      <c r="D71" t="s">
        <v>114</v>
      </c>
      <c r="E71" s="36">
        <f t="shared" si="0"/>
        <v>0.70062746721781999</v>
      </c>
      <c r="F71" s="36">
        <f t="shared" si="1"/>
        <v>1.6485352169831</v>
      </c>
      <c r="G71">
        <v>0.2</v>
      </c>
      <c r="H71">
        <v>0.3</v>
      </c>
      <c r="J71" s="2" t="s">
        <v>69</v>
      </c>
    </row>
    <row r="72" spans="2:10" x14ac:dyDescent="0.3">
      <c r="B72" t="s">
        <v>146</v>
      </c>
      <c r="C72" t="s">
        <v>147</v>
      </c>
      <c r="D72" t="s">
        <v>115</v>
      </c>
      <c r="E72" s="36">
        <f t="shared" si="0"/>
        <v>0.30133625232391797</v>
      </c>
      <c r="F72" s="36">
        <f t="shared" si="1"/>
        <v>0.709026476056277</v>
      </c>
      <c r="G72">
        <v>0.2</v>
      </c>
      <c r="H72">
        <v>0.3</v>
      </c>
      <c r="J72" s="2" t="s">
        <v>69</v>
      </c>
    </row>
    <row r="73" spans="2:10" x14ac:dyDescent="0.3">
      <c r="B73" t="s">
        <v>146</v>
      </c>
      <c r="C73" t="s">
        <v>147</v>
      </c>
      <c r="D73" t="s">
        <v>116</v>
      </c>
      <c r="E73" s="36">
        <f t="shared" si="0"/>
        <v>0.19041687066177501</v>
      </c>
      <c r="F73" s="36">
        <f t="shared" si="1"/>
        <v>0.44803969567476498</v>
      </c>
      <c r="G73">
        <v>0.2</v>
      </c>
      <c r="H73">
        <v>0.3</v>
      </c>
      <c r="J73" s="2" t="s">
        <v>69</v>
      </c>
    </row>
    <row r="74" spans="2:10" x14ac:dyDescent="0.3">
      <c r="B74" t="s">
        <v>146</v>
      </c>
      <c r="C74" t="s">
        <v>147</v>
      </c>
      <c r="D74" t="s">
        <v>117</v>
      </c>
      <c r="E74" s="36">
        <f t="shared" si="0"/>
        <v>0.15788515474673001</v>
      </c>
      <c r="F74" s="36">
        <f t="shared" si="1"/>
        <v>0.371494481757011</v>
      </c>
      <c r="G74">
        <v>0.2</v>
      </c>
      <c r="H74">
        <v>0.3</v>
      </c>
      <c r="J74" s="2" t="s">
        <v>69</v>
      </c>
    </row>
    <row r="75" spans="2:10" x14ac:dyDescent="0.3">
      <c r="B75" t="s">
        <v>146</v>
      </c>
      <c r="C75" t="s">
        <v>147</v>
      </c>
      <c r="D75" t="s">
        <v>118</v>
      </c>
      <c r="E75" s="36">
        <f t="shared" si="0"/>
        <v>6.26651331493666E-2</v>
      </c>
      <c r="F75" s="36">
        <f t="shared" si="1"/>
        <v>0.14744737211615699</v>
      </c>
      <c r="G75">
        <v>0.2</v>
      </c>
      <c r="H75">
        <v>0.3</v>
      </c>
      <c r="J75" s="2" t="s">
        <v>69</v>
      </c>
    </row>
    <row r="76" spans="2:10" x14ac:dyDescent="0.3">
      <c r="B76" t="s">
        <v>146</v>
      </c>
      <c r="C76" t="s">
        <v>147</v>
      </c>
      <c r="D76" t="s">
        <v>119</v>
      </c>
      <c r="E76" s="36">
        <f>E4</f>
        <v>0.226643455374409</v>
      </c>
      <c r="F76" s="36">
        <f t="shared" si="1"/>
        <v>1.39748385949648</v>
      </c>
      <c r="G76">
        <v>0.2</v>
      </c>
      <c r="H76">
        <v>0.3</v>
      </c>
      <c r="J76" s="2" t="s">
        <v>69</v>
      </c>
    </row>
    <row r="77" spans="2:10" x14ac:dyDescent="0.3">
      <c r="B77" t="s">
        <v>146</v>
      </c>
      <c r="C77" t="s">
        <v>147</v>
      </c>
      <c r="D77" t="s">
        <v>120</v>
      </c>
      <c r="E77" s="36">
        <f t="shared" ref="E77:E99" si="2">E5</f>
        <v>0.60573264946275596</v>
      </c>
      <c r="F77" s="36">
        <f t="shared" si="1"/>
        <v>0.93393804743696596</v>
      </c>
      <c r="G77">
        <v>0.2</v>
      </c>
      <c r="H77">
        <v>0.3</v>
      </c>
      <c r="J77" s="2" t="s">
        <v>69</v>
      </c>
    </row>
    <row r="78" spans="2:10" x14ac:dyDescent="0.3">
      <c r="B78" t="s">
        <v>146</v>
      </c>
      <c r="C78" t="s">
        <v>147</v>
      </c>
      <c r="D78" t="s">
        <v>121</v>
      </c>
      <c r="E78" s="36">
        <f t="shared" si="2"/>
        <v>1.12114691117841</v>
      </c>
      <c r="F78" s="36">
        <f t="shared" si="1"/>
        <v>2.4717422126200499</v>
      </c>
      <c r="G78">
        <v>0.2</v>
      </c>
      <c r="H78">
        <v>0.3</v>
      </c>
      <c r="J78" s="2" t="s">
        <v>69</v>
      </c>
    </row>
    <row r="79" spans="2:10" x14ac:dyDescent="0.3">
      <c r="B79" t="s">
        <v>146</v>
      </c>
      <c r="C79" t="s">
        <v>147</v>
      </c>
      <c r="D79" t="s">
        <v>122</v>
      </c>
      <c r="E79" s="36">
        <f t="shared" si="2"/>
        <v>0.23561473899723001</v>
      </c>
      <c r="F79" s="36">
        <f t="shared" si="1"/>
        <v>1.43951868681837</v>
      </c>
      <c r="G79">
        <v>0.2</v>
      </c>
      <c r="H79">
        <v>0.3</v>
      </c>
      <c r="J79" s="2" t="s">
        <v>69</v>
      </c>
    </row>
    <row r="80" spans="2:10" x14ac:dyDescent="0.3">
      <c r="B80" t="s">
        <v>146</v>
      </c>
      <c r="C80" t="s">
        <v>147</v>
      </c>
      <c r="D80" t="s">
        <v>123</v>
      </c>
      <c r="E80" s="36">
        <f t="shared" si="2"/>
        <v>0.104017907081817</v>
      </c>
      <c r="F80" s="36">
        <f t="shared" si="1"/>
        <v>0.86477094112696296</v>
      </c>
      <c r="G80">
        <v>0.2</v>
      </c>
      <c r="H80">
        <v>0.3</v>
      </c>
      <c r="J80" s="2" t="s">
        <v>69</v>
      </c>
    </row>
    <row r="81" spans="2:10" x14ac:dyDescent="0.3">
      <c r="B81" t="s">
        <v>146</v>
      </c>
      <c r="C81" t="s">
        <v>147</v>
      </c>
      <c r="D81" t="s">
        <v>124</v>
      </c>
      <c r="E81" s="36">
        <f t="shared" si="2"/>
        <v>0.321921622435625</v>
      </c>
      <c r="F81" s="36">
        <f t="shared" si="1"/>
        <v>1.16769724247755</v>
      </c>
      <c r="G81">
        <v>0.2</v>
      </c>
      <c r="H81">
        <v>0.3</v>
      </c>
      <c r="J81" s="2" t="s">
        <v>69</v>
      </c>
    </row>
    <row r="82" spans="2:10" x14ac:dyDescent="0.3">
      <c r="B82" t="s">
        <v>146</v>
      </c>
      <c r="C82" t="s">
        <v>147</v>
      </c>
      <c r="D82" t="s">
        <v>125</v>
      </c>
      <c r="E82" s="36">
        <f t="shared" si="2"/>
        <v>0.53178933525636596</v>
      </c>
      <c r="F82" s="36">
        <f t="shared" si="1"/>
        <v>0.874356574579641</v>
      </c>
      <c r="G82">
        <v>0.2</v>
      </c>
      <c r="H82">
        <v>0.3</v>
      </c>
      <c r="J82" s="2" t="s">
        <v>69</v>
      </c>
    </row>
    <row r="83" spans="2:10" x14ac:dyDescent="0.3">
      <c r="B83" t="s">
        <v>146</v>
      </c>
      <c r="C83" t="s">
        <v>147</v>
      </c>
      <c r="D83" t="s">
        <v>126</v>
      </c>
      <c r="E83" s="36">
        <f t="shared" si="2"/>
        <v>0.77143748341567597</v>
      </c>
      <c r="F83" s="36">
        <f t="shared" si="1"/>
        <v>0.89094658297448104</v>
      </c>
      <c r="G83">
        <v>0.2</v>
      </c>
      <c r="H83">
        <v>0.3</v>
      </c>
      <c r="J83" s="2" t="s">
        <v>69</v>
      </c>
    </row>
    <row r="84" spans="2:10" x14ac:dyDescent="0.3">
      <c r="B84" t="s">
        <v>146</v>
      </c>
      <c r="C84" t="s">
        <v>147</v>
      </c>
      <c r="D84" t="s">
        <v>127</v>
      </c>
      <c r="E84" s="36">
        <f t="shared" si="2"/>
        <v>0.45070686545914801</v>
      </c>
      <c r="F84" s="36">
        <f t="shared" si="1"/>
        <v>0.88325768947830596</v>
      </c>
      <c r="G84">
        <v>0.2</v>
      </c>
      <c r="H84">
        <v>0.3</v>
      </c>
      <c r="J84" s="2" t="s">
        <v>69</v>
      </c>
    </row>
    <row r="85" spans="2:10" x14ac:dyDescent="0.3">
      <c r="B85" t="s">
        <v>146</v>
      </c>
      <c r="C85" t="s">
        <v>147</v>
      </c>
      <c r="D85" t="s">
        <v>128</v>
      </c>
      <c r="E85" s="36">
        <f t="shared" si="2"/>
        <v>0.41391117183185</v>
      </c>
      <c r="F85" s="36">
        <f t="shared" si="1"/>
        <v>0.75748076856627999</v>
      </c>
      <c r="G85">
        <v>0.2</v>
      </c>
      <c r="H85">
        <v>0.3</v>
      </c>
      <c r="J85" s="2" t="s">
        <v>69</v>
      </c>
    </row>
    <row r="86" spans="2:10" x14ac:dyDescent="0.3">
      <c r="B86" t="s">
        <v>146</v>
      </c>
      <c r="C86" t="s">
        <v>147</v>
      </c>
      <c r="D86" t="s">
        <v>129</v>
      </c>
      <c r="E86" s="36">
        <f t="shared" si="2"/>
        <v>0.52876810778084304</v>
      </c>
      <c r="F86" s="36">
        <f t="shared" si="1"/>
        <v>0.52909291735297004</v>
      </c>
      <c r="G86">
        <v>0.2</v>
      </c>
      <c r="H86">
        <v>0.3</v>
      </c>
      <c r="J86" s="2" t="s">
        <v>69</v>
      </c>
    </row>
    <row r="87" spans="2:10" x14ac:dyDescent="0.3">
      <c r="B87" t="s">
        <v>146</v>
      </c>
      <c r="C87" t="s">
        <v>147</v>
      </c>
      <c r="D87" t="s">
        <v>130</v>
      </c>
      <c r="E87" s="36">
        <f t="shared" si="2"/>
        <v>0.91968130227725298</v>
      </c>
      <c r="F87" s="36">
        <f t="shared" si="1"/>
        <v>0.48842914604582799</v>
      </c>
      <c r="G87">
        <v>0.2</v>
      </c>
      <c r="H87">
        <v>0.3</v>
      </c>
      <c r="J87" s="2" t="s">
        <v>69</v>
      </c>
    </row>
    <row r="88" spans="2:10" x14ac:dyDescent="0.3">
      <c r="B88" t="s">
        <v>146</v>
      </c>
      <c r="C88" t="s">
        <v>147</v>
      </c>
      <c r="D88" t="s">
        <v>131</v>
      </c>
      <c r="E88" s="36">
        <f t="shared" si="2"/>
        <v>0.156580818065091</v>
      </c>
      <c r="F88" s="36">
        <f t="shared" si="1"/>
        <v>0.67349448981845506</v>
      </c>
      <c r="G88">
        <v>0.2</v>
      </c>
      <c r="H88">
        <v>0.3</v>
      </c>
      <c r="J88" s="2" t="s">
        <v>69</v>
      </c>
    </row>
    <row r="89" spans="2:10" x14ac:dyDescent="0.3">
      <c r="B89" t="s">
        <v>146</v>
      </c>
      <c r="C89" t="s">
        <v>147</v>
      </c>
      <c r="D89" t="s">
        <v>132</v>
      </c>
      <c r="E89" s="36">
        <f t="shared" si="2"/>
        <v>3.6252733745115603E-2</v>
      </c>
      <c r="F89" s="36">
        <f t="shared" si="1"/>
        <v>0.61364942675010803</v>
      </c>
      <c r="G89">
        <v>0.2</v>
      </c>
      <c r="H89">
        <v>0.3</v>
      </c>
      <c r="J89" s="2" t="s">
        <v>69</v>
      </c>
    </row>
    <row r="90" spans="2:10" x14ac:dyDescent="0.3">
      <c r="B90" t="s">
        <v>146</v>
      </c>
      <c r="C90" t="s">
        <v>147</v>
      </c>
      <c r="D90" t="s">
        <v>133</v>
      </c>
      <c r="E90" s="36">
        <f t="shared" si="2"/>
        <v>0.194499815230009</v>
      </c>
      <c r="F90" s="36">
        <f t="shared" si="1"/>
        <v>0.55185458748490201</v>
      </c>
      <c r="G90">
        <v>0.2</v>
      </c>
      <c r="H90">
        <v>0.3</v>
      </c>
      <c r="J90" s="2" t="s">
        <v>69</v>
      </c>
    </row>
    <row r="91" spans="2:10" x14ac:dyDescent="0.3">
      <c r="B91" t="s">
        <v>146</v>
      </c>
      <c r="C91" t="s">
        <v>147</v>
      </c>
      <c r="D91" t="s">
        <v>134</v>
      </c>
      <c r="E91" s="36">
        <f t="shared" si="2"/>
        <v>0.127218895186823</v>
      </c>
      <c r="F91" s="36">
        <f t="shared" si="1"/>
        <v>0.55429202362756402</v>
      </c>
      <c r="G91">
        <v>0.2</v>
      </c>
      <c r="H91">
        <v>0.3</v>
      </c>
      <c r="J91" s="2" t="s">
        <v>69</v>
      </c>
    </row>
    <row r="92" spans="2:10" x14ac:dyDescent="0.3">
      <c r="B92" t="s">
        <v>146</v>
      </c>
      <c r="C92" t="s">
        <v>147</v>
      </c>
      <c r="D92" t="s">
        <v>135</v>
      </c>
      <c r="E92" s="36">
        <f t="shared" si="2"/>
        <v>8.4322311325156801E-2</v>
      </c>
      <c r="F92" s="36">
        <f t="shared" si="1"/>
        <v>0.68916503025387699</v>
      </c>
      <c r="G92">
        <v>0.2</v>
      </c>
      <c r="H92">
        <v>0.3</v>
      </c>
      <c r="J92" s="2" t="s">
        <v>69</v>
      </c>
    </row>
    <row r="93" spans="2:10" x14ac:dyDescent="0.3">
      <c r="B93" t="s">
        <v>146</v>
      </c>
      <c r="C93" t="s">
        <v>147</v>
      </c>
      <c r="D93" t="s">
        <v>136</v>
      </c>
      <c r="E93" s="36">
        <f t="shared" si="2"/>
        <v>1.4558433418245399E-2</v>
      </c>
      <c r="F93" s="36">
        <f t="shared" si="1"/>
        <v>0.60261740208838199</v>
      </c>
      <c r="G93">
        <v>0.2</v>
      </c>
      <c r="H93">
        <v>0.3</v>
      </c>
      <c r="J93" s="2" t="s">
        <v>69</v>
      </c>
    </row>
    <row r="94" spans="2:10" x14ac:dyDescent="0.3">
      <c r="B94" t="s">
        <v>146</v>
      </c>
      <c r="C94" t="s">
        <v>147</v>
      </c>
      <c r="D94" t="s">
        <v>137</v>
      </c>
      <c r="E94" s="36">
        <f t="shared" si="2"/>
        <v>7.6187300073418895E-2</v>
      </c>
      <c r="F94" s="36">
        <f t="shared" si="1"/>
        <v>0.43647142132349398</v>
      </c>
      <c r="G94">
        <v>0.2</v>
      </c>
      <c r="H94">
        <v>0.3</v>
      </c>
      <c r="J94" s="2" t="s">
        <v>69</v>
      </c>
    </row>
    <row r="95" spans="2:10" x14ac:dyDescent="0.3">
      <c r="B95" t="s">
        <v>146</v>
      </c>
      <c r="C95" t="s">
        <v>147</v>
      </c>
      <c r="D95" t="s">
        <v>138</v>
      </c>
      <c r="E95" s="36">
        <f t="shared" si="2"/>
        <v>6.9911959259216505E-2</v>
      </c>
      <c r="F95" s="36">
        <f t="shared" si="1"/>
        <v>1.6485352169831</v>
      </c>
      <c r="G95">
        <v>0.2</v>
      </c>
      <c r="H95">
        <v>0.3</v>
      </c>
      <c r="J95" s="2" t="s">
        <v>69</v>
      </c>
    </row>
    <row r="96" spans="2:10" x14ac:dyDescent="0.3">
      <c r="B96" t="s">
        <v>146</v>
      </c>
      <c r="C96" t="s">
        <v>147</v>
      </c>
      <c r="D96" t="s">
        <v>139</v>
      </c>
      <c r="E96" s="36">
        <f t="shared" si="2"/>
        <v>0.24458775925576601</v>
      </c>
      <c r="F96" s="36">
        <f t="shared" si="1"/>
        <v>0.709026476056277</v>
      </c>
      <c r="G96">
        <v>0.2</v>
      </c>
      <c r="H96">
        <v>0.3</v>
      </c>
      <c r="J96" s="2" t="s">
        <v>69</v>
      </c>
    </row>
    <row r="97" spans="2:10" x14ac:dyDescent="0.3">
      <c r="B97" t="s">
        <v>146</v>
      </c>
      <c r="C97" t="s">
        <v>147</v>
      </c>
      <c r="D97" t="s">
        <v>140</v>
      </c>
      <c r="E97" s="36">
        <f t="shared" si="2"/>
        <v>0.28647830626228299</v>
      </c>
      <c r="F97" s="36">
        <f t="shared" si="1"/>
        <v>0.44803969567476498</v>
      </c>
      <c r="G97">
        <v>0.2</v>
      </c>
      <c r="H97">
        <v>0.3</v>
      </c>
      <c r="J97" s="2" t="s">
        <v>69</v>
      </c>
    </row>
    <row r="98" spans="2:10" x14ac:dyDescent="0.3">
      <c r="B98" t="s">
        <v>146</v>
      </c>
      <c r="C98" t="s">
        <v>147</v>
      </c>
      <c r="D98" t="s">
        <v>141</v>
      </c>
      <c r="E98" s="36">
        <f t="shared" si="2"/>
        <v>8.1916149826785495E-2</v>
      </c>
      <c r="F98" s="36">
        <f t="shared" si="1"/>
        <v>0.371494481757011</v>
      </c>
      <c r="G98">
        <v>0.2</v>
      </c>
      <c r="H98">
        <v>0.3</v>
      </c>
      <c r="J98" s="2" t="s">
        <v>69</v>
      </c>
    </row>
    <row r="99" spans="2:10" x14ac:dyDescent="0.3">
      <c r="B99" t="s">
        <v>146</v>
      </c>
      <c r="C99" t="s">
        <v>147</v>
      </c>
      <c r="D99" t="s">
        <v>142</v>
      </c>
      <c r="E99" s="36">
        <f t="shared" si="2"/>
        <v>2.4372262822143002E-2</v>
      </c>
      <c r="F99" s="36">
        <f t="shared" si="1"/>
        <v>0.14744737211615699</v>
      </c>
      <c r="G99">
        <v>0.2</v>
      </c>
      <c r="H99">
        <v>0.3</v>
      </c>
      <c r="J99" s="2" t="s">
        <v>69</v>
      </c>
    </row>
    <row r="100" spans="2:10" x14ac:dyDescent="0.3">
      <c r="B100" s="47" t="s">
        <v>148</v>
      </c>
      <c r="C100" t="str">
        <f>VLOOKUP($B100,'标准费用表-2024年&amp;2025年优化'!$D:$E,2,0)</f>
        <v>洛阳正大食品有限公司</v>
      </c>
      <c r="D100" t="s">
        <v>41</v>
      </c>
      <c r="E100" s="46">
        <f>IFERROR(VLOOKUP($B100,'标准费用表-2024年&amp;2025年优化'!$D:$K,8,0)*VLOOKUP('5.成本表'!$D100,系数辅助表!$C:$G,5,0)/VLOOKUP($D100,系数辅助表!$C:$E,3,0),0)</f>
        <v>0.32189368815902197</v>
      </c>
      <c r="I100" s="36">
        <f>VLOOKUP($D100,系数辅助表!$C:$F,4,0)</f>
        <v>1.33</v>
      </c>
      <c r="J100" s="2" t="s">
        <v>41</v>
      </c>
    </row>
    <row r="101" spans="2:10" x14ac:dyDescent="0.3">
      <c r="B101" s="47" t="s">
        <v>148</v>
      </c>
      <c r="C101" t="str">
        <f>VLOOKUP($B101,'标准费用表-2024年&amp;2025年优化'!$D:$E,2,0)</f>
        <v>洛阳正大食品有限公司</v>
      </c>
      <c r="D101" t="s">
        <v>44</v>
      </c>
      <c r="E101" s="46">
        <f>IFERROR(VLOOKUP($B101,'标准费用表-2024年&amp;2025年优化'!$D:$K,8,0)*系数辅助表!$J$6*VLOOKUP('5.成本表'!$D101,系数辅助表!$C:$G,5,0)/VLOOKUP($D101,系数辅助表!$C:$E,3,0),0)</f>
        <v>0.18410433490417</v>
      </c>
      <c r="I101" s="36">
        <f>VLOOKUP($D101,系数辅助表!$C:$F,4,0)</f>
        <v>0.789027855994753</v>
      </c>
      <c r="J101" s="2" t="s">
        <v>200</v>
      </c>
    </row>
    <row r="102" spans="2:10" x14ac:dyDescent="0.3">
      <c r="B102" s="47" t="s">
        <v>148</v>
      </c>
      <c r="C102" t="str">
        <f>VLOOKUP($B102,'标准费用表-2024年&amp;2025年优化'!$D:$E,2,0)</f>
        <v>洛阳正大食品有限公司</v>
      </c>
      <c r="D102" t="s">
        <v>45</v>
      </c>
      <c r="E102" s="46">
        <f>IFERROR(VLOOKUP($B102,'标准费用表-2024年&amp;2025年优化'!$D:$K,8,0)*系数辅助表!$J$6*VLOOKUP('5.成本表'!$D102,系数辅助表!$C:$G,5,0)/VLOOKUP($D102,系数辅助表!$C:$E,3,0),0)</f>
        <v>0.49204159182473001</v>
      </c>
      <c r="I102" s="36">
        <f>VLOOKUP($D102,系数辅助表!$C:$F,4,0)</f>
        <v>2.1087744754070901</v>
      </c>
      <c r="J102" s="2" t="s">
        <v>200</v>
      </c>
    </row>
    <row r="103" spans="2:10" x14ac:dyDescent="0.3">
      <c r="B103" s="47" t="s">
        <v>148</v>
      </c>
      <c r="C103" t="str">
        <f>VLOOKUP($B103,'标准费用表-2024年&amp;2025年优化'!$D:$E,2,0)</f>
        <v>洛阳正大食品有限公司</v>
      </c>
      <c r="D103" t="s">
        <v>46</v>
      </c>
      <c r="E103" s="46">
        <f>IFERROR(VLOOKUP($B103,'标准费用表-2024年&amp;2025年优化'!$D:$K,8,0)*系数辅助表!$J$6*VLOOKUP('5.成本表'!$D103,系数辅助表!$C:$G,5,0)/VLOOKUP($D103,系数辅助表!$C:$E,3,0),0)</f>
        <v>0.91071681761727796</v>
      </c>
      <c r="I103" s="36">
        <f>VLOOKUP($D103,系数辅助表!$C:$F,4,0)</f>
        <v>3.9031179705625099</v>
      </c>
      <c r="J103" s="2" t="s">
        <v>200</v>
      </c>
    </row>
    <row r="104" spans="2:10" x14ac:dyDescent="0.3">
      <c r="B104" s="47" t="s">
        <v>148</v>
      </c>
      <c r="C104" t="str">
        <f>VLOOKUP($B104,'标准费用表-2024年&amp;2025年优化'!$D:$E,2,0)</f>
        <v>洛阳正大食品有限公司</v>
      </c>
      <c r="D104" t="s">
        <v>47</v>
      </c>
      <c r="E104" s="46">
        <f>IFERROR(VLOOKUP($B104,'标准费用表-2024年&amp;2025年优化'!$D:$K,8,0)*系数辅助表!$J$6*VLOOKUP('5.成本表'!$D104,系数辅助表!$C:$G,5,0)/VLOOKUP($D104,系数辅助表!$C:$E,3,0),0)</f>
        <v>0.19139178206158999</v>
      </c>
      <c r="I104" s="36">
        <f>VLOOKUP($D104,系数辅助表!$C:$F,4,0)</f>
        <v>0.82026013963048305</v>
      </c>
      <c r="J104" s="2" t="s">
        <v>200</v>
      </c>
    </row>
    <row r="105" spans="2:10" x14ac:dyDescent="0.3">
      <c r="B105" s="47" t="s">
        <v>148</v>
      </c>
      <c r="C105" t="str">
        <f>VLOOKUP($B105,'标准费用表-2024年&amp;2025年优化'!$D:$E,2,0)</f>
        <v>洛阳正大食品有限公司</v>
      </c>
      <c r="D105" t="s">
        <v>48</v>
      </c>
      <c r="E105" s="46">
        <f>IFERROR(VLOOKUP($B105,'标准费用表-2024年&amp;2025年优化'!$D:$K,8,0)*系数辅助表!$J$6*VLOOKUP('5.成本表'!$D105,系数辅助表!$C:$G,5,0)/VLOOKUP($D105,系数辅助表!$C:$E,3,0),0)</f>
        <v>8.4494597780404093E-2</v>
      </c>
      <c r="I105" s="36">
        <f>VLOOKUP($D105,系数辅助表!$C:$F,4,0)</f>
        <v>0.36212396283071502</v>
      </c>
      <c r="J105" s="2" t="s">
        <v>200</v>
      </c>
    </row>
    <row r="106" spans="2:10" x14ac:dyDescent="0.3">
      <c r="B106" s="47" t="s">
        <v>148</v>
      </c>
      <c r="C106" t="str">
        <f>VLOOKUP($B106,'标准费用表-2024年&amp;2025年优化'!$D:$E,2,0)</f>
        <v>洛阳正大食品有限公司</v>
      </c>
      <c r="D106" t="s">
        <v>49</v>
      </c>
      <c r="E106" s="46">
        <f>IFERROR(VLOOKUP($B106,'标准费用表-2024年&amp;2025年优化'!$D:$K,8,0)*系数辅助表!$J$6*VLOOKUP('5.成本表'!$D106,系数辅助表!$C:$G,5,0)/VLOOKUP($D106,系数辅助表!$C:$E,3,0),0)</f>
        <v>0.26149957029147097</v>
      </c>
      <c r="I106" s="36">
        <f>VLOOKUP($D106,系数辅助表!$C:$F,4,0)</f>
        <v>1.1207256222295201</v>
      </c>
      <c r="J106" s="2" t="s">
        <v>200</v>
      </c>
    </row>
    <row r="107" spans="2:10" x14ac:dyDescent="0.3">
      <c r="B107" s="47" t="s">
        <v>148</v>
      </c>
      <c r="C107" t="str">
        <f>VLOOKUP($B107,'标准费用表-2024年&amp;2025年优化'!$D:$E,2,0)</f>
        <v>洛阳正大食品有限公司</v>
      </c>
      <c r="D107" t="s">
        <v>50</v>
      </c>
      <c r="E107" s="46">
        <f>IFERROR(VLOOKUP($B107,'标准费用表-2024年&amp;2025年优化'!$D:$K,8,0)*系数辅助表!$J$6*VLOOKUP('5.成本表'!$D107,系数辅助表!$C:$G,5,0)/VLOOKUP($D107,系数辅助表!$C:$E,3,0),0)</f>
        <v>0.43197683213383697</v>
      </c>
      <c r="I107" s="36">
        <f>VLOOKUP($D107,系数辅助表!$C:$F,4,0)</f>
        <v>1.8513510498021799</v>
      </c>
      <c r="J107" s="2" t="s">
        <v>200</v>
      </c>
    </row>
    <row r="108" spans="2:10" x14ac:dyDescent="0.3">
      <c r="B108" s="47" t="s">
        <v>148</v>
      </c>
      <c r="C108" t="str">
        <f>VLOOKUP($B108,'标准费用表-2024年&amp;2025年优化'!$D:$E,2,0)</f>
        <v>洛阳正大食品有限公司</v>
      </c>
      <c r="D108" t="s">
        <v>51</v>
      </c>
      <c r="E108" s="46">
        <f>IFERROR(VLOOKUP($B108,'标准费用表-2024年&amp;2025年优化'!$D:$K,8,0)*系数辅助表!$J$6*VLOOKUP('5.成本表'!$D108,系数辅助表!$C:$G,5,0)/VLOOKUP($D108,系数辅助表!$C:$E,3,0),0)</f>
        <v>0.62664498548951297</v>
      </c>
      <c r="I108" s="36">
        <f>VLOOKUP($D108,系数辅助表!$C:$F,4,0)</f>
        <v>2.68565294580391</v>
      </c>
      <c r="J108" s="2" t="s">
        <v>200</v>
      </c>
    </row>
    <row r="109" spans="2:10" x14ac:dyDescent="0.3">
      <c r="B109" s="47" t="s">
        <v>148</v>
      </c>
      <c r="C109" t="str">
        <f>VLOOKUP($B109,'标准费用表-2024年&amp;2025年优化'!$D:$E,2,0)</f>
        <v>洛阳正大食品有限公司</v>
      </c>
      <c r="D109" t="s">
        <v>52</v>
      </c>
      <c r="E109" s="46">
        <f>IFERROR(VLOOKUP($B109,'标准费用表-2024年&amp;2025年优化'!$D:$K,8,0)*系数辅助表!$J$6*VLOOKUP('5.成本表'!$D109,系数辅助表!$C:$G,5,0)/VLOOKUP($D109,系数辅助表!$C:$E,3,0),0)</f>
        <v>0.36611287789018099</v>
      </c>
      <c r="I109" s="36">
        <f>VLOOKUP($D109,系数辅助表!$C:$F,4,0)</f>
        <v>1.5690736410097099</v>
      </c>
      <c r="J109" s="2" t="s">
        <v>200</v>
      </c>
    </row>
    <row r="110" spans="2:10" x14ac:dyDescent="0.3">
      <c r="B110" s="47" t="s">
        <v>148</v>
      </c>
      <c r="C110" t="str">
        <f>VLOOKUP($B110,'标准费用表-2024年&amp;2025年优化'!$D:$E,2,0)</f>
        <v>洛阳正大食品有限公司</v>
      </c>
      <c r="D110" t="s">
        <v>53</v>
      </c>
      <c r="E110" s="46">
        <f>IFERROR(VLOOKUP($B110,'标准费用表-2024年&amp;2025年优化'!$D:$K,8,0)*系数辅助表!$J$6*VLOOKUP('5.成本表'!$D110,系数辅助表!$C:$G,5,0)/VLOOKUP($D110,系数辅助表!$C:$E,3,0),0)</f>
        <v>0.33622343461726401</v>
      </c>
      <c r="I110" s="36">
        <f>VLOOKUP($D110,系数辅助表!$C:$F,4,0)</f>
        <v>1.44097452072131</v>
      </c>
      <c r="J110" s="2" t="s">
        <v>200</v>
      </c>
    </row>
    <row r="111" spans="2:10" x14ac:dyDescent="0.3">
      <c r="B111" s="47" t="s">
        <v>148</v>
      </c>
      <c r="C111" t="str">
        <f>VLOOKUP($B111,'标准费用表-2024年&amp;2025年优化'!$D:$E,2,0)</f>
        <v>洛阳正大食品有限公司</v>
      </c>
      <c r="D111" t="s">
        <v>54</v>
      </c>
      <c r="E111" s="46">
        <f>IFERROR(VLOOKUP($B111,'标准费用表-2024年&amp;2025年优化'!$D:$K,8,0)*系数辅助表!$J$6*VLOOKUP('5.成本表'!$D111,系数辅助表!$C:$G,5,0)/VLOOKUP($D111,系数辅助表!$C:$E,3,0),0)</f>
        <v>0.42952266431303499</v>
      </c>
      <c r="I111" s="36">
        <f>VLOOKUP($D111,系数辅助表!$C:$F,4,0)</f>
        <v>1.8408330640366199</v>
      </c>
      <c r="J111" s="2" t="s">
        <v>200</v>
      </c>
    </row>
    <row r="112" spans="2:10" x14ac:dyDescent="0.3">
      <c r="B112" s="47" t="s">
        <v>148</v>
      </c>
      <c r="C112" t="str">
        <f>VLOOKUP($B112,'标准费用表-2024年&amp;2025年优化'!$D:$E,2,0)</f>
        <v>洛阳正大食品有限公司</v>
      </c>
      <c r="D112" t="s">
        <v>55</v>
      </c>
      <c r="E112" s="46">
        <f>IFERROR(VLOOKUP($B112,'标准费用表-2024年&amp;2025年优化'!$D:$K,8,0)*系数辅助表!$J$6*VLOOKUP('5.成本表'!$D112,系数辅助表!$C:$G,5,0)/VLOOKUP($D112,系数辅助表!$C:$E,3,0),0)</f>
        <v>0.74706465359807905</v>
      </c>
      <c r="I112" s="36">
        <f>VLOOKUP($D112,系数辅助表!$C:$F,4,0)</f>
        <v>3.2017433061789502</v>
      </c>
      <c r="J112" s="2" t="s">
        <v>200</v>
      </c>
    </row>
    <row r="113" spans="2:10" x14ac:dyDescent="0.3">
      <c r="B113" s="47" t="s">
        <v>148</v>
      </c>
      <c r="C113" t="str">
        <f>VLOOKUP($B113,'标准费用表-2024年&amp;2025年优化'!$D:$E,2,0)</f>
        <v>洛阳正大食品有限公司</v>
      </c>
      <c r="D113" t="s">
        <v>56</v>
      </c>
      <c r="E113" s="46">
        <f>IFERROR(VLOOKUP($B113,'标准费用表-2024年&amp;2025年优化'!$D:$K,8,0)*系数辅助表!$J$6*VLOOKUP('5.成本表'!$D113,系数辅助表!$C:$G,5,0)/VLOOKUP($D113,系数辅助表!$C:$E,3,0),0)</f>
        <v>0.12719188083769201</v>
      </c>
      <c r="I113" s="36">
        <f>VLOOKUP($D113,系数辅助表!$C:$F,4,0)</f>
        <v>0.54511447049599404</v>
      </c>
      <c r="J113" s="2" t="s">
        <v>200</v>
      </c>
    </row>
    <row r="114" spans="2:10" x14ac:dyDescent="0.3">
      <c r="B114" s="47" t="s">
        <v>148</v>
      </c>
      <c r="C114" t="str">
        <f>VLOOKUP($B114,'标准费用表-2024年&amp;2025年优化'!$D:$E,2,0)</f>
        <v>洛阳正大食品有限公司</v>
      </c>
      <c r="D114" t="s">
        <v>57</v>
      </c>
      <c r="E114" s="46">
        <f>IFERROR(VLOOKUP($B114,'标准费用表-2024年&amp;2025年优化'!$D:$K,8,0)*系数辅助表!$J$6*VLOOKUP('5.成本表'!$D114,系数辅助表!$C:$G,5,0)/VLOOKUP($D114,系数辅助表!$C:$E,3,0),0)</f>
        <v>2.9448392514033601E-2</v>
      </c>
      <c r="I114" s="36">
        <f>VLOOKUP($D114,系数辅助表!$C:$F,4,0)</f>
        <v>0.126208880523832</v>
      </c>
      <c r="J114" s="2" t="s">
        <v>200</v>
      </c>
    </row>
    <row r="115" spans="2:10" x14ac:dyDescent="0.3">
      <c r="B115" s="47" t="s">
        <v>148</v>
      </c>
      <c r="C115" t="str">
        <f>VLOOKUP($B115,'标准费用表-2024年&amp;2025年优化'!$D:$E,2,0)</f>
        <v>洛阳正大食品有限公司</v>
      </c>
      <c r="D115" t="s">
        <v>58</v>
      </c>
      <c r="E115" s="46">
        <f>IFERROR(VLOOKUP($B115,'标准费用表-2024年&amp;2025年优化'!$D:$K,8,0)*系数辅助表!$J$6*VLOOKUP('5.成本表'!$D115,系数辅助表!$C:$G,5,0)/VLOOKUP($D115,系数辅助表!$C:$E,3,0),0)</f>
        <v>0.157993792773546</v>
      </c>
      <c r="I115" s="36">
        <f>VLOOKUP($D115,系数辅助表!$C:$F,4,0)</f>
        <v>0.67712421675176204</v>
      </c>
      <c r="J115" s="2" t="s">
        <v>200</v>
      </c>
    </row>
    <row r="116" spans="2:10" x14ac:dyDescent="0.3">
      <c r="B116" s="47" t="s">
        <v>148</v>
      </c>
      <c r="C116" t="str">
        <f>VLOOKUP($B116,'标准费用表-2024年&amp;2025年优化'!$D:$E,2,0)</f>
        <v>洛阳正大食品有限公司</v>
      </c>
      <c r="D116" t="s">
        <v>59</v>
      </c>
      <c r="E116" s="46">
        <f>IFERROR(VLOOKUP($B116,'标准费用表-2024年&amp;2025年优化'!$D:$K,8,0)*系数辅助表!$J$6*VLOOKUP('5.成本表'!$D116,系数辅助表!$C:$G,5,0)/VLOOKUP($D116,系数辅助表!$C:$E,3,0),0)</f>
        <v>0.103340950423305</v>
      </c>
      <c r="I116" s="36">
        <f>VLOOKUP($D116,系数辅助表!$C:$F,4,0)</f>
        <v>0.44289499533730498</v>
      </c>
      <c r="J116" s="2" t="s">
        <v>200</v>
      </c>
    </row>
    <row r="117" spans="2:10" x14ac:dyDescent="0.3">
      <c r="B117" s="47" t="s">
        <v>148</v>
      </c>
      <c r="C117" t="str">
        <f>VLOOKUP($B117,'标准费用表-2024年&amp;2025年优化'!$D:$E,2,0)</f>
        <v>洛阳正大食品有限公司</v>
      </c>
      <c r="D117" t="s">
        <v>60</v>
      </c>
      <c r="E117" s="46">
        <f>IFERROR(VLOOKUP($B117,'标准费用表-2024年&amp;2025年优化'!$D:$K,8,0)*系数辅助表!$J$6*VLOOKUP('5.成本表'!$D117,系数辅助表!$C:$G,5,0)/VLOOKUP($D117,系数辅助表!$C:$E,3,0),0)</f>
        <v>6.8495704049582801E-2</v>
      </c>
      <c r="I117" s="36">
        <f>VLOOKUP($D117,系数辅助表!$C:$F,4,0)</f>
        <v>0.29355646915769201</v>
      </c>
      <c r="J117" s="2" t="s">
        <v>200</v>
      </c>
    </row>
    <row r="118" spans="2:10" x14ac:dyDescent="0.3">
      <c r="B118" s="47" t="s">
        <v>148</v>
      </c>
      <c r="C118" t="str">
        <f>VLOOKUP($B118,'标准费用表-2024年&amp;2025年优化'!$D:$E,2,0)</f>
        <v>洛阳正大食品有限公司</v>
      </c>
      <c r="D118" t="s">
        <v>61</v>
      </c>
      <c r="E118" s="46">
        <f>IFERROR(VLOOKUP($B118,'标准费用表-2024年&amp;2025年优化'!$D:$K,8,0)*系数辅助表!$J$6*VLOOKUP('5.成本表'!$D118,系数辅助表!$C:$G,5,0)/VLOOKUP($D118,系数辅助表!$C:$E,3,0),0)</f>
        <v>1.18259346923783E-2</v>
      </c>
      <c r="I118" s="36">
        <f>VLOOKUP($D118,系数辅助表!$C:$F,4,0)</f>
        <v>5.0683173214352499E-2</v>
      </c>
      <c r="J118" s="2" t="s">
        <v>200</v>
      </c>
    </row>
    <row r="119" spans="2:10" x14ac:dyDescent="0.3">
      <c r="B119" s="47" t="s">
        <v>148</v>
      </c>
      <c r="C119" t="str">
        <f>VLOOKUP($B119,'标准费用表-2024年&amp;2025年优化'!$D:$E,2,0)</f>
        <v>洛阳正大食品有限公司</v>
      </c>
      <c r="D119" t="s">
        <v>62</v>
      </c>
      <c r="E119" s="46">
        <f>IFERROR(VLOOKUP($B119,'标准费用表-2024年&amp;2025年优化'!$D:$K,8,0)*系数辅助表!$J$6*VLOOKUP('5.成本表'!$D119,系数辅助表!$C:$G,5,0)/VLOOKUP($D119,系数辅助表!$C:$E,3,0),0)</f>
        <v>6.1887567787871599E-2</v>
      </c>
      <c r="I119" s="36">
        <f>VLOOKUP($D119,系数辅助表!$C:$F,4,0)</f>
        <v>0.26523555216563399</v>
      </c>
      <c r="J119" s="2" t="s">
        <v>200</v>
      </c>
    </row>
    <row r="120" spans="2:10" x14ac:dyDescent="0.3">
      <c r="B120" s="47" t="s">
        <v>148</v>
      </c>
      <c r="C120" t="str">
        <f>VLOOKUP($B120,'标准费用表-2024年&amp;2025年优化'!$D:$E,2,0)</f>
        <v>洛阳正大食品有限公司</v>
      </c>
      <c r="D120" t="s">
        <v>63</v>
      </c>
      <c r="E120" s="46">
        <f>IFERROR(VLOOKUP($B120,'标准费用表-2024年&amp;2025年优化'!$D:$K,8,0)*系数辅助表!$J$6*VLOOKUP('5.成本表'!$D120,系数辅助表!$C:$G,5,0)/VLOOKUP($D120,系数辅助表!$C:$E,3,0),0)</f>
        <v>5.6790057052398701E-2</v>
      </c>
      <c r="I120" s="36">
        <f>VLOOKUP($D120,系数辅助表!$C:$F,4,0)</f>
        <v>0.24338882069886</v>
      </c>
      <c r="J120" s="2" t="s">
        <v>200</v>
      </c>
    </row>
    <row r="121" spans="2:10" x14ac:dyDescent="0.3">
      <c r="B121" s="47" t="s">
        <v>148</v>
      </c>
      <c r="C121" t="str">
        <f>VLOOKUP($B121,'标准费用表-2024年&amp;2025年优化'!$D:$E,2,0)</f>
        <v>洛阳正大食品有限公司</v>
      </c>
      <c r="D121" t="s">
        <v>64</v>
      </c>
      <c r="E121" s="46">
        <f>IFERROR(VLOOKUP($B121,'标准费用表-2024年&amp;2025年优化'!$D:$K,8,0)*系数辅助表!$J$6*VLOOKUP('5.成本表'!$D121,系数辅助表!$C:$G,5,0)/VLOOKUP($D121,系数辅助表!$C:$E,3,0),0)</f>
        <v>0.19868063990242399</v>
      </c>
      <c r="I121" s="36">
        <f>VLOOKUP($D121,系数辅助表!$C:$F,4,0)</f>
        <v>0.85149846912336002</v>
      </c>
      <c r="J121" s="2" t="s">
        <v>200</v>
      </c>
    </row>
    <row r="122" spans="2:10" x14ac:dyDescent="0.3">
      <c r="B122" s="47" t="s">
        <v>148</v>
      </c>
      <c r="C122" t="str">
        <f>VLOOKUP($B122,'标准费用表-2024年&amp;2025年优化'!$D:$E,2,0)</f>
        <v>洛阳正大食品有限公司</v>
      </c>
      <c r="D122" t="s">
        <v>65</v>
      </c>
      <c r="E122" s="46">
        <f>IFERROR(VLOOKUP($B122,'标准费用表-2024年&amp;2025年优化'!$D:$K,8,0)*系数辅助表!$J$6*VLOOKUP('5.成本表'!$D122,系数辅助表!$C:$G,5,0)/VLOOKUP($D122,系数辅助表!$C:$E,3,0),0)</f>
        <v>0.23270867429973899</v>
      </c>
      <c r="I122" s="36">
        <f>VLOOKUP($D122,系数辅助表!$C:$F,4,0)</f>
        <v>0.99733461707829196</v>
      </c>
      <c r="J122" s="2" t="s">
        <v>200</v>
      </c>
    </row>
    <row r="123" spans="2:10" x14ac:dyDescent="0.3">
      <c r="B123" s="47" t="s">
        <v>148</v>
      </c>
      <c r="C123" t="str">
        <f>VLOOKUP($B123,'标准费用表-2024年&amp;2025年优化'!$D:$E,2,0)</f>
        <v>洛阳正大食品有限公司</v>
      </c>
      <c r="D123" t="s">
        <v>66</v>
      </c>
      <c r="E123" s="46">
        <f>IFERROR(VLOOKUP($B123,'标准费用表-2024年&amp;2025年优化'!$D:$K,8,0)*系数辅助表!$J$6*VLOOKUP('5.成本表'!$D123,系数辅助表!$C:$G,5,0)/VLOOKUP($D123,系数辅助表!$C:$E,3,0),0)</f>
        <v>6.6541159359122304E-2</v>
      </c>
      <c r="I123" s="36">
        <f>VLOOKUP($D123,系数辅助表!$C:$F,4,0)</f>
        <v>0.28517975055754302</v>
      </c>
      <c r="J123" s="2" t="s">
        <v>200</v>
      </c>
    </row>
    <row r="124" spans="2:10" x14ac:dyDescent="0.3">
      <c r="B124" s="47" t="s">
        <v>148</v>
      </c>
      <c r="C124" t="str">
        <f>VLOOKUP($B124,'标准费用表-2024年&amp;2025年优化'!$D:$E,2,0)</f>
        <v>洛阳正大食品有限公司</v>
      </c>
      <c r="D124" t="s">
        <v>67</v>
      </c>
      <c r="E124" s="46">
        <f>IFERROR(VLOOKUP($B124,'标准费用表-2024年&amp;2025年优化'!$D:$K,8,0)*系数辅助表!$J$6*VLOOKUP('5.成本表'!$D124,系数辅助表!$C:$G,5,0)/VLOOKUP($D124,系数辅助表!$C:$E,3,0),0)</f>
        <v>1.9797788687821598E-2</v>
      </c>
      <c r="I124" s="36">
        <f>VLOOKUP($D124,系数辅助表!$C:$F,4,0)</f>
        <v>8.4848663503333893E-2</v>
      </c>
      <c r="J124" s="2" t="s">
        <v>200</v>
      </c>
    </row>
    <row r="125" spans="2:10" x14ac:dyDescent="0.3">
      <c r="B125" s="47" t="s">
        <v>148</v>
      </c>
      <c r="C125" t="str">
        <f>VLOOKUP($B125,'标准费用表-2024年&amp;2025年优化'!$D:$E,2,0)</f>
        <v>洛阳正大食品有限公司</v>
      </c>
      <c r="D125" t="s">
        <v>68</v>
      </c>
      <c r="E125" s="36">
        <f>IFERROR(VLOOKUP($B125,'标准费用表-2024年&amp;2025年优化'!$D:$K,8,0)*VLOOKUP("白条",系数辅助表!$C:$G,5,0)*VLOOKUP('5.成本表'!$D125,系数辅助表!$C:$G,5,0)/VLOOKUP('5.成本表'!$D125,系数辅助表!$C:$E,3,0),)</f>
        <v>0.48245472311754001</v>
      </c>
      <c r="F125" s="36">
        <f>IFERROR(VLOOKUP($B125,'标准费用表-2024年&amp;2025年优化'!$D:$L,9,0)*VLOOKUP('5.成本表'!$D125,系数辅助表!$C:$G,5,0)/VLOOKUP($D125,系数辅助表!$C:$E,3,0),0)</f>
        <v>0.91634914398331002</v>
      </c>
      <c r="I125" s="36">
        <f>VLOOKUP($D125,系数辅助表!$C:$F,4,0)</f>
        <v>2.2799999999999998</v>
      </c>
      <c r="J125" s="2" t="s">
        <v>69</v>
      </c>
    </row>
    <row r="126" spans="2:10" x14ac:dyDescent="0.3">
      <c r="B126" s="47" t="s">
        <v>148</v>
      </c>
      <c r="C126" t="str">
        <f>VLOOKUP($B126,'标准费用表-2024年&amp;2025年优化'!$D:$E,2,0)</f>
        <v>洛阳正大食品有限公司</v>
      </c>
      <c r="D126" t="s">
        <v>70</v>
      </c>
      <c r="E126" s="36">
        <f>IFERROR(VLOOKUP($B126,'标准费用表-2024年&amp;2025年优化'!$D:$K,8,0)*VLOOKUP("白条",系数辅助表!$C:$G,5,0)*VLOOKUP('5.成本表'!$D126,系数辅助表!$C:$G,5,0)/VLOOKUP('5.成本表'!$D126,系数辅助表!$C:$E,3,0),)</f>
        <v>0.32242434789013003</v>
      </c>
      <c r="F126" s="36">
        <f>IFERROR(VLOOKUP($B126,'标准费用表-2024年&amp;2025年优化'!$D:$L,9,0)*VLOOKUP('5.成本表'!$D126,系数辅助表!$C:$G,5,0)/VLOOKUP($D126,系数辅助表!$C:$E,3,0),0)</f>
        <v>0.61239586023602299</v>
      </c>
      <c r="I126" s="36">
        <f>VLOOKUP($D126,系数辅助表!$C:$F,4,0)</f>
        <v>1.5237233215154999</v>
      </c>
      <c r="J126" s="2" t="s">
        <v>69</v>
      </c>
    </row>
    <row r="127" spans="2:10" x14ac:dyDescent="0.3">
      <c r="B127" s="47" t="s">
        <v>148</v>
      </c>
      <c r="C127" t="str">
        <f>VLOOKUP($B127,'标准费用表-2024年&amp;2025年优化'!$D:$E,2,0)</f>
        <v>洛阳正大食品有限公司</v>
      </c>
      <c r="D127" t="s">
        <v>71</v>
      </c>
      <c r="E127" s="36">
        <f>IFERROR(VLOOKUP($B127,'标准费用表-2024年&amp;2025年优化'!$D:$K,8,0)*VLOOKUP("白条",系数辅助表!$C:$G,5,0)*VLOOKUP('5.成本表'!$D127,系数辅助表!$C:$G,5,0)/VLOOKUP('5.成本表'!$D127,系数辅助表!$C:$E,3,0),)</f>
        <v>0.85332198773100698</v>
      </c>
      <c r="F127" s="36">
        <f>IFERROR(VLOOKUP($B127,'标准费用表-2024年&amp;2025年优化'!$D:$L,9,0)*VLOOKUP('5.成本表'!$D127,系数辅助表!$C:$G,5,0)/VLOOKUP($D127,系数辅助表!$C:$E,3,0),0)</f>
        <v>1.62075493415564</v>
      </c>
      <c r="I127" s="36">
        <f>VLOOKUP($D127,系数辅助表!$C:$F,4,0)</f>
        <v>4.0326564106466396</v>
      </c>
      <c r="J127" s="2" t="s">
        <v>69</v>
      </c>
    </row>
    <row r="128" spans="2:10" x14ac:dyDescent="0.3">
      <c r="B128" s="47" t="s">
        <v>148</v>
      </c>
      <c r="C128" t="str">
        <f>VLOOKUP($B128,'标准费用表-2024年&amp;2025年优化'!$D:$E,2,0)</f>
        <v>洛阳正大食品有限公司</v>
      </c>
      <c r="D128" t="s">
        <v>72</v>
      </c>
      <c r="E128" s="36">
        <f>IFERROR(VLOOKUP($B128,'标准费用表-2024年&amp;2025年优化'!$D:$K,8,0)*VLOOKUP("白条",系数辅助表!$C:$G,5,0)*VLOOKUP('5.成本表'!$D128,系数辅助表!$C:$G,5,0)/VLOOKUP('5.成本表'!$D128,系数辅助表!$C:$E,3,0),)</f>
        <v>0.49696644777114801</v>
      </c>
      <c r="F128" s="36">
        <f>IFERROR(VLOOKUP($B128,'标准费用表-2024年&amp;2025年优化'!$D:$L,9,0)*VLOOKUP('5.成本表'!$D128,系数辅助表!$C:$G,5,0)/VLOOKUP($D128,系数辅助表!$C:$E,3,0),0)</f>
        <v>0.94391195107560599</v>
      </c>
      <c r="I128" s="36">
        <f>VLOOKUP($D128,系数辅助表!$C:$F,4,0)</f>
        <v>2.34857997367385</v>
      </c>
      <c r="J128" s="2" t="s">
        <v>69</v>
      </c>
    </row>
    <row r="129" spans="2:10" x14ac:dyDescent="0.3">
      <c r="B129" s="47" t="s">
        <v>148</v>
      </c>
      <c r="C129" t="str">
        <f>VLOOKUP($B129,'标准费用表-2024年&amp;2025年优化'!$D:$E,2,0)</f>
        <v>洛阳正大食品有限公司</v>
      </c>
      <c r="D129" t="s">
        <v>73</v>
      </c>
      <c r="E129" s="36">
        <f>IFERROR(VLOOKUP($B129,'标准费用表-2024年&amp;2025年优化'!$D:$K,8,0)*VLOOKUP("白条",系数辅助表!$C:$G,5,0)*VLOOKUP('5.成本表'!$D129,系数辅助表!$C:$G,5,0)/VLOOKUP('5.成本表'!$D129,系数辅助表!$C:$E,3,0),)</f>
        <v>0.298545719956884</v>
      </c>
      <c r="F129" s="36">
        <f>IFERROR(VLOOKUP($B129,'标准费用表-2024年&amp;2025年优化'!$D:$L,9,0)*VLOOKUP('5.成本表'!$D129,系数辅助表!$C:$G,5,0)/VLOOKUP($D129,系数辅助表!$C:$E,3,0),0)</f>
        <v>0.56704204936495595</v>
      </c>
      <c r="I129" s="36">
        <f>VLOOKUP($D129,系数辅助表!$C:$F,4,0)</f>
        <v>1.41087693598112</v>
      </c>
      <c r="J129" s="2" t="s">
        <v>69</v>
      </c>
    </row>
    <row r="130" spans="2:10" x14ac:dyDescent="0.3">
      <c r="B130" s="47" t="s">
        <v>148</v>
      </c>
      <c r="C130" t="str">
        <f>VLOOKUP($B130,'标准费用表-2024年&amp;2025年优化'!$D:$E,2,0)</f>
        <v>洛阳正大食品有限公司</v>
      </c>
      <c r="D130" t="s">
        <v>74</v>
      </c>
      <c r="E130" s="36">
        <f>IFERROR(VLOOKUP($B130,'标准费用表-2024年&amp;2025年优化'!$D:$K,8,0)*VLOOKUP("白条",系数辅助表!$C:$G,5,0)*VLOOKUP('5.成本表'!$D130,系数辅助表!$C:$G,5,0)/VLOOKUP('5.成本表'!$D130,系数辅助表!$C:$E,3,0),)</f>
        <v>0.40312526400670001</v>
      </c>
      <c r="F130" s="36">
        <f>IFERROR(VLOOKUP($B130,'标准费用表-2024年&amp;2025年优化'!$D:$L,9,0)*VLOOKUP('5.成本表'!$D130,系数辅助表!$C:$G,5,0)/VLOOKUP($D130,系数辅助表!$C:$E,3,0),0)</f>
        <v>0.765674938787134</v>
      </c>
      <c r="I130" s="36">
        <f>VLOOKUP($D130,系数辅助表!$C:$F,4,0)</f>
        <v>1.9051022985038799</v>
      </c>
      <c r="J130" s="2" t="s">
        <v>69</v>
      </c>
    </row>
    <row r="131" spans="2:10" x14ac:dyDescent="0.3">
      <c r="B131" s="47" t="s">
        <v>148</v>
      </c>
      <c r="C131" t="str">
        <f>VLOOKUP($B131,'标准费用表-2024年&amp;2025年优化'!$D:$E,2,0)</f>
        <v>洛阳正大食品有限公司</v>
      </c>
      <c r="D131" t="s">
        <v>75</v>
      </c>
      <c r="E131" s="36">
        <f>IFERROR(VLOOKUP($B131,'标准费用表-2024年&amp;2025年优化'!$D:$K,8,0)*VLOOKUP("白条",系数辅助表!$C:$G,5,0)*VLOOKUP('5.成本表'!$D131,系数辅助表!$C:$G,5,0)/VLOOKUP('5.成本表'!$D131,系数辅助表!$C:$E,3,0),)</f>
        <v>0.30185497759294999</v>
      </c>
      <c r="F131" s="36">
        <f>IFERROR(VLOOKUP($B131,'标准费用表-2024年&amp;2025年优化'!$D:$L,9,0)*VLOOKUP('5.成本表'!$D131,系数辅助表!$C:$G,5,0)/VLOOKUP($D131,系数辅助表!$C:$E,3,0),0)</f>
        <v>0.57332747938921602</v>
      </c>
      <c r="I131" s="36">
        <f>VLOOKUP($D131,系数辅助表!$C:$F,4,0)</f>
        <v>1.42651593182611</v>
      </c>
      <c r="J131" s="2" t="s">
        <v>69</v>
      </c>
    </row>
    <row r="132" spans="2:10" x14ac:dyDescent="0.3">
      <c r="B132" s="47" t="s">
        <v>148</v>
      </c>
      <c r="C132" t="str">
        <f>VLOOKUP($B132,'标准费用表-2024年&amp;2025年优化'!$D:$E,2,0)</f>
        <v>洛阳正大食品有限公司</v>
      </c>
      <c r="D132" t="s">
        <v>76</v>
      </c>
      <c r="E132" s="36">
        <f>IFERROR(VLOOKUP($B132,'标准费用表-2024年&amp;2025年优化'!$D:$K,8,0)*VLOOKUP("白条",系数辅助表!$C:$G,5,0)*VLOOKUP('5.成本表'!$D132,系数辅助表!$C:$G,5,0)/VLOOKUP('5.成本表'!$D132,系数辅助表!$C:$E,3,0),)</f>
        <v>0.307582362458443</v>
      </c>
      <c r="F132" s="36">
        <f>IFERROR(VLOOKUP($B132,'标准费用表-2024年&amp;2025年优化'!$D:$L,9,0)*VLOOKUP('5.成本表'!$D132,系数辅助表!$C:$G,5,0)/VLOOKUP($D132,系数辅助表!$C:$E,3,0),0)</f>
        <v>0.584205773179862</v>
      </c>
      <c r="I132" s="36">
        <f>VLOOKUP($D132,系数辅助表!$C:$F,4,0)</f>
        <v>1.4535825908670701</v>
      </c>
      <c r="J132" s="2" t="s">
        <v>69</v>
      </c>
    </row>
    <row r="133" spans="2:10" x14ac:dyDescent="0.3">
      <c r="B133" s="47" t="s">
        <v>148</v>
      </c>
      <c r="C133" t="str">
        <f>VLOOKUP($B133,'标准费用表-2024年&amp;2025年优化'!$D:$E,2,0)</f>
        <v>洛阳正大食品有限公司</v>
      </c>
      <c r="D133" t="s">
        <v>77</v>
      </c>
      <c r="E133" s="36">
        <f>IFERROR(VLOOKUP($B133,'标准费用表-2024年&amp;2025年优化'!$D:$K,8,0)*VLOOKUP("白条",系数辅助表!$C:$G,5,0)*VLOOKUP('5.成本表'!$D133,系数辅助表!$C:$G,5,0)/VLOOKUP('5.成本表'!$D133,系数辅助表!$C:$E,3,0),)</f>
        <v>0.304927918217409</v>
      </c>
      <c r="F133" s="36">
        <f>IFERROR(VLOOKUP($B133,'标准费用表-2024年&amp;2025年优化'!$D:$L,9,0)*VLOOKUP('5.成本表'!$D133,系数辅助表!$C:$G,5,0)/VLOOKUP($D133,系数辅助表!$C:$E,3,0),0)</f>
        <v>0.57916406130210296</v>
      </c>
      <c r="I133" s="36">
        <f>VLOOKUP($D133,系数辅助表!$C:$F,4,0)</f>
        <v>1.4410381331603499</v>
      </c>
      <c r="J133" s="2" t="s">
        <v>69</v>
      </c>
    </row>
    <row r="134" spans="2:10" x14ac:dyDescent="0.3">
      <c r="B134" s="47" t="s">
        <v>148</v>
      </c>
      <c r="C134" t="str">
        <f>VLOOKUP($B134,'标准费用表-2024年&amp;2025年优化'!$D:$E,2,0)</f>
        <v>洛阳正大食品有限公司</v>
      </c>
      <c r="D134" t="s">
        <v>78</v>
      </c>
      <c r="E134" s="36">
        <f>IFERROR(VLOOKUP($B134,'标准费用表-2024年&amp;2025年优化'!$D:$K,8,0)*VLOOKUP("白条",系数辅助表!$C:$G,5,0)*VLOOKUP('5.成本表'!$D134,系数辅助表!$C:$G,5,0)/VLOOKUP('5.成本表'!$D134,系数辅助表!$C:$E,3,0),)</f>
        <v>0.261505828480322</v>
      </c>
      <c r="F134" s="36">
        <f>IFERROR(VLOOKUP($B134,'标准费用表-2024年&amp;2025年优化'!$D:$L,9,0)*VLOOKUP('5.成本表'!$D134,系数辅助表!$C:$G,5,0)/VLOOKUP($D134,系数辅助表!$C:$E,3,0),0)</f>
        <v>0.49669042625624499</v>
      </c>
      <c r="I134" s="36">
        <f>VLOOKUP($D134,系数辅助表!$C:$F,4,0)</f>
        <v>1.2358326291892801</v>
      </c>
      <c r="J134" s="2" t="s">
        <v>69</v>
      </c>
    </row>
    <row r="135" spans="2:10" x14ac:dyDescent="0.3">
      <c r="B135" s="47" t="s">
        <v>148</v>
      </c>
      <c r="C135" t="str">
        <f>VLOOKUP($B135,'标准费用表-2024年&amp;2025年优化'!$D:$E,2,0)</f>
        <v>洛阳正大食品有限公司</v>
      </c>
      <c r="D135" t="s">
        <v>79</v>
      </c>
      <c r="E135" s="36">
        <f>IFERROR(VLOOKUP($B135,'标准费用表-2024年&amp;2025年优化'!$D:$K,8,0)*VLOOKUP("白条",系数辅助表!$C:$G,5,0)*VLOOKUP('5.成本表'!$D135,系数辅助表!$C:$G,5,0)/VLOOKUP('5.成本表'!$D135,系数辅助表!$C:$E,3,0),)</f>
        <v>0.182659266660117</v>
      </c>
      <c r="F135" s="36">
        <f>IFERROR(VLOOKUP($B135,'标准费用表-2024年&amp;2025年优化'!$D:$L,9,0)*VLOOKUP('5.成本表'!$D135,系数辅助表!$C:$G,5,0)/VLOOKUP($D135,系数辅助表!$C:$E,3,0),0)</f>
        <v>0.34693341079353301</v>
      </c>
      <c r="I135" s="36">
        <f>VLOOKUP($D135,系数辅助表!$C:$F,4,0)</f>
        <v>0.86321701919291904</v>
      </c>
      <c r="J135" s="2" t="s">
        <v>69</v>
      </c>
    </row>
    <row r="136" spans="2:10" x14ac:dyDescent="0.3">
      <c r="B136" s="47" t="s">
        <v>148</v>
      </c>
      <c r="C136" t="str">
        <f>VLOOKUP($B136,'标准费用表-2024年&amp;2025年优化'!$D:$E,2,0)</f>
        <v>洛阳正大食品有限公司</v>
      </c>
      <c r="D136" t="s">
        <v>80</v>
      </c>
      <c r="E136" s="36">
        <f>IFERROR(VLOOKUP($B136,'标准费用表-2024年&amp;2025年优化'!$D:$K,8,0)*VLOOKUP("白条",系数辅助表!$C:$G,5,0)*VLOOKUP('5.成本表'!$D136,系数辅助表!$C:$G,5,0)/VLOOKUP('5.成本表'!$D136,系数辅助表!$C:$E,3,0),)</f>
        <v>0.16862087301886899</v>
      </c>
      <c r="F136" s="36">
        <f>IFERROR(VLOOKUP($B136,'标准费用表-2024年&amp;2025年优化'!$D:$L,9,0)*VLOOKUP('5.成本表'!$D136,系数辅助表!$C:$G,5,0)/VLOOKUP($D136,系数辅助表!$C:$E,3,0),0)</f>
        <v>0.32026962374853801</v>
      </c>
      <c r="I136" s="36">
        <f>VLOOKUP($D136,系数辅助表!$C:$F,4,0)</f>
        <v>0.796873928394225</v>
      </c>
      <c r="J136" s="2" t="s">
        <v>69</v>
      </c>
    </row>
    <row r="137" spans="2:10" x14ac:dyDescent="0.3">
      <c r="B137" s="47" t="s">
        <v>148</v>
      </c>
      <c r="C137" t="str">
        <f>VLOOKUP($B137,'标准费用表-2024年&amp;2025年优化'!$D:$E,2,0)</f>
        <v>洛阳正大食品有限公司</v>
      </c>
      <c r="D137" t="s">
        <v>81</v>
      </c>
      <c r="E137" s="36">
        <f>IFERROR(VLOOKUP($B137,'标准费用表-2024年&amp;2025年优化'!$D:$K,8,0)*VLOOKUP("白条",系数辅助表!$C:$G,5,0)*VLOOKUP('5.成本表'!$D137,系数辅助表!$C:$G,5,0)/VLOOKUP('5.成本表'!$D137,系数辅助表!$C:$E,3,0),)</f>
        <v>0.232511163115418</v>
      </c>
      <c r="F137" s="36">
        <f>IFERROR(VLOOKUP($B137,'标准费用表-2024年&amp;2025年优化'!$D:$L,9,0)*VLOOKUP('5.成本表'!$D137,系数辅助表!$C:$G,5,0)/VLOOKUP($D137,系数辅助表!$C:$E,3,0),0)</f>
        <v>0.441619482778842</v>
      </c>
      <c r="I137" s="36">
        <f>VLOOKUP($D137,系数辅助表!$C:$F,4,0)</f>
        <v>1.09880870991909</v>
      </c>
      <c r="J137" s="2" t="s">
        <v>69</v>
      </c>
    </row>
    <row r="138" spans="2:10" x14ac:dyDescent="0.3">
      <c r="B138" s="47" t="s">
        <v>148</v>
      </c>
      <c r="C138" t="str">
        <f>VLOOKUP($B138,'标准费用表-2024年&amp;2025年优化'!$D:$E,2,0)</f>
        <v>洛阳正大食品有限公司</v>
      </c>
      <c r="D138" t="s">
        <v>82</v>
      </c>
      <c r="E138" s="36">
        <f>IFERROR(VLOOKUP($B138,'标准费用表-2024年&amp;2025年优化'!$D:$K,8,0)*VLOOKUP("白条",系数辅助表!$C:$G,5,0)*VLOOKUP('5.成本表'!$D138,系数辅助表!$C:$G,5,0)/VLOOKUP('5.成本表'!$D138,系数辅助表!$C:$E,3,0),)</f>
        <v>0.211850793311223</v>
      </c>
      <c r="F138" s="36">
        <f>IFERROR(VLOOKUP($B138,'标准费用表-2024年&amp;2025年优化'!$D:$L,9,0)*VLOOKUP('5.成本表'!$D138,系数辅助表!$C:$G,5,0)/VLOOKUP($D138,系数辅助表!$C:$E,3,0),0)</f>
        <v>0.40237826225120998</v>
      </c>
      <c r="I138" s="36">
        <f>VLOOKUP($D138,系数辅助表!$C:$F,4,0)</f>
        <v>1.0011712718416299</v>
      </c>
      <c r="J138" s="2" t="s">
        <v>69</v>
      </c>
    </row>
    <row r="139" spans="2:10" x14ac:dyDescent="0.3">
      <c r="B139" s="47" t="s">
        <v>148</v>
      </c>
      <c r="C139" t="str">
        <f>VLOOKUP($B139,'标准费用表-2024年&amp;2025年优化'!$D:$E,2,0)</f>
        <v>洛阳正大食品有限公司</v>
      </c>
      <c r="D139" t="s">
        <v>83</v>
      </c>
      <c r="E139" s="36">
        <f>IFERROR(VLOOKUP($B139,'标准费用表-2024年&amp;2025年优化'!$D:$K,8,0)*VLOOKUP("白条",系数辅助表!$C:$G,5,0)*VLOOKUP('5.成本表'!$D139,系数辅助表!$C:$G,5,0)/VLOOKUP('5.成本表'!$D139,系数辅助表!$C:$E,3,0),)</f>
        <v>0.19051730035873199</v>
      </c>
      <c r="F139" s="36">
        <f>IFERROR(VLOOKUP($B139,'标准费用表-2024年&amp;2025年优化'!$D:$L,9,0)*VLOOKUP('5.成本表'!$D139,系数辅助表!$C:$G,5,0)/VLOOKUP($D139,系数辅助表!$C:$E,3,0),0)</f>
        <v>0.361858546994063</v>
      </c>
      <c r="I139" s="36">
        <f>VLOOKUP($D139,系数辅助表!$C:$F,4,0)</f>
        <v>0.90035276680685095</v>
      </c>
      <c r="J139" s="2" t="s">
        <v>69</v>
      </c>
    </row>
    <row r="140" spans="2:10" x14ac:dyDescent="0.3">
      <c r="B140" s="47" t="s">
        <v>148</v>
      </c>
      <c r="C140" t="str">
        <f>VLOOKUP($B140,'标准费用表-2024年&amp;2025年优化'!$D:$E,2,0)</f>
        <v>洛阳正大食品有限公司</v>
      </c>
      <c r="D140" t="s">
        <v>84</v>
      </c>
      <c r="E140" s="36">
        <f>IFERROR(VLOOKUP($B140,'标准费用表-2024年&amp;2025年优化'!$D:$K,8,0)*VLOOKUP("白条",系数辅助表!$C:$G,5,0)*VLOOKUP('5.成本表'!$D140,系数辅助表!$C:$G,5,0)/VLOOKUP('5.成本表'!$D140,系数辅助表!$C:$E,3,0),)</f>
        <v>0.191358778828293</v>
      </c>
      <c r="F140" s="36">
        <f>IFERROR(VLOOKUP($B140,'标准费用表-2024年&amp;2025年优化'!$D:$L,9,0)*VLOOKUP('5.成本表'!$D140,系数辅助表!$C:$G,5,0)/VLOOKUP($D140,系数辅助表!$C:$E,3,0),0)</f>
        <v>0.363456806972283</v>
      </c>
      <c r="I140" s="36">
        <f>VLOOKUP($D140,系数辅助表!$C:$F,4,0)</f>
        <v>0.90432945273957599</v>
      </c>
      <c r="J140" s="2" t="s">
        <v>69</v>
      </c>
    </row>
    <row r="141" spans="2:10" x14ac:dyDescent="0.3">
      <c r="B141" s="47" t="s">
        <v>148</v>
      </c>
      <c r="C141" t="str">
        <f>VLOOKUP($B141,'标准费用表-2024年&amp;2025年优化'!$D:$E,2,0)</f>
        <v>洛阳正大食品有限公司</v>
      </c>
      <c r="D141" t="s">
        <v>85</v>
      </c>
      <c r="E141" s="36">
        <f>IFERROR(VLOOKUP($B141,'标准费用表-2024年&amp;2025年优化'!$D:$K,8,0)*VLOOKUP("白条",系数辅助表!$C:$G,5,0)*VLOOKUP('5.成本表'!$D141,系数辅助表!$C:$G,5,0)/VLOOKUP('5.成本表'!$D141,系数辅助表!$C:$E,3,0),)</f>
        <v>0.237921119155696</v>
      </c>
      <c r="F141" s="36">
        <f>IFERROR(VLOOKUP($B141,'标准费用表-2024年&amp;2025年优化'!$D:$L,9,0)*VLOOKUP('5.成本表'!$D141,系数辅助表!$C:$G,5,0)/VLOOKUP($D141,系数辅助表!$C:$E,3,0),0)</f>
        <v>0.451894868942464</v>
      </c>
      <c r="I141" s="36">
        <f>VLOOKUP($D141,系数辅助表!$C:$F,4,0)</f>
        <v>1.12437525363977</v>
      </c>
      <c r="J141" s="2" t="s">
        <v>69</v>
      </c>
    </row>
    <row r="142" spans="2:10" x14ac:dyDescent="0.3">
      <c r="B142" s="47" t="s">
        <v>148</v>
      </c>
      <c r="C142" t="str">
        <f>VLOOKUP($B142,'标准费用表-2024年&amp;2025年优化'!$D:$E,2,0)</f>
        <v>洛阳正大食品有限公司</v>
      </c>
      <c r="D142" t="s">
        <v>86</v>
      </c>
      <c r="E142" s="36">
        <f>IFERROR(VLOOKUP($B142,'标准费用表-2024年&amp;2025年优化'!$D:$K,8,0)*VLOOKUP("白条",系数辅助表!$C:$G,5,0)*VLOOKUP('5.成本表'!$D142,系数辅助表!$C:$G,5,0)/VLOOKUP('5.成本表'!$D142,系数辅助表!$C:$E,3,0),)</f>
        <v>0.208042196619798</v>
      </c>
      <c r="F142" s="36">
        <f>IFERROR(VLOOKUP($B142,'标准费用表-2024年&amp;2025年优化'!$D:$L,9,0)*VLOOKUP('5.成本表'!$D142,系数辅助表!$C:$G,5,0)/VLOOKUP($D142,系数辅助表!$C:$E,3,0),0)</f>
        <v>0.39514441386972199</v>
      </c>
      <c r="I142" s="36">
        <f>VLOOKUP($D142,系数辅助表!$C:$F,4,0)</f>
        <v>0.98317248347795105</v>
      </c>
      <c r="J142" s="2" t="s">
        <v>69</v>
      </c>
    </row>
    <row r="143" spans="2:10" x14ac:dyDescent="0.3">
      <c r="B143" s="47" t="s">
        <v>148</v>
      </c>
      <c r="C143" t="str">
        <f>VLOOKUP($B143,'标准费用表-2024年&amp;2025年优化'!$D:$E,2,0)</f>
        <v>洛阳正大食品有限公司</v>
      </c>
      <c r="D143" t="s">
        <v>87</v>
      </c>
      <c r="E143" s="36">
        <f>IFERROR(VLOOKUP($B143,'标准费用表-2024年&amp;2025年优化'!$D:$K,8,0)*VLOOKUP("白条",系数辅助表!$C:$G,5,0)*VLOOKUP('5.成本表'!$D143,系数辅助表!$C:$G,5,0)/VLOOKUP('5.成本表'!$D143,系数辅助表!$C:$E,3,0),)</f>
        <v>0.150683456765802</v>
      </c>
      <c r="F143" s="36">
        <f>IFERROR(VLOOKUP($B143,'标准费用表-2024年&amp;2025年优化'!$D:$L,9,0)*VLOOKUP('5.成本表'!$D143,系数辅助表!$C:$G,5,0)/VLOOKUP($D143,系数辅助表!$C:$E,3,0),0)</f>
        <v>0.28620023808151102</v>
      </c>
      <c r="I143" s="36">
        <f>VLOOKUP($D143,系数辅助表!$C:$F,4,0)</f>
        <v>0.71210471151782795</v>
      </c>
      <c r="J143" s="2" t="s">
        <v>69</v>
      </c>
    </row>
    <row r="144" spans="2:10" x14ac:dyDescent="0.3">
      <c r="B144" s="47" t="s">
        <v>148</v>
      </c>
      <c r="C144" t="str">
        <f>VLOOKUP($B144,'标准费用表-2024年&amp;2025年优化'!$D:$E,2,0)</f>
        <v>洛阳正大食品有限公司</v>
      </c>
      <c r="D144" t="s">
        <v>88</v>
      </c>
      <c r="E144" s="36">
        <f>IFERROR(VLOOKUP($B144,'标准费用表-2024年&amp;2025年优化'!$D:$K,8,0)*VLOOKUP("白条",系数辅助表!$C:$G,5,0)*VLOOKUP('5.成本表'!$D144,系数辅助表!$C:$G,5,0)/VLOOKUP('5.成本表'!$D144,系数辅助表!$C:$E,3,0),)</f>
        <v>0.56912542943119204</v>
      </c>
      <c r="F144" s="36">
        <f>IFERROR(VLOOKUP($B144,'标准费用表-2024年&amp;2025年优化'!$D:$L,9,0)*VLOOKUP('5.成本表'!$D144,系数辅助表!$C:$G,5,0)/VLOOKUP($D144,系数辅助表!$C:$E,3,0),0)</f>
        <v>1.08096692827142</v>
      </c>
      <c r="I144" s="36">
        <f>VLOOKUP($D144,系数辅助表!$C:$F,4,0)</f>
        <v>2.6895912029178799</v>
      </c>
      <c r="J144" s="2" t="s">
        <v>69</v>
      </c>
    </row>
    <row r="145" spans="2:10" x14ac:dyDescent="0.3">
      <c r="B145" s="47" t="s">
        <v>148</v>
      </c>
      <c r="C145" t="str">
        <f>VLOOKUP($B145,'标准费用表-2024年&amp;2025年优化'!$D:$E,2,0)</f>
        <v>洛阳正大食品有限公司</v>
      </c>
      <c r="D145" t="s">
        <v>89</v>
      </c>
      <c r="E145" s="36">
        <f>IFERROR(VLOOKUP($B145,'标准费用表-2024年&amp;2025年优化'!$D:$K,8,0)*VLOOKUP("白条",系数辅助表!$C:$G,5,0)*VLOOKUP('5.成本表'!$D145,系数辅助表!$C:$G,5,0)/VLOOKUP('5.成本表'!$D145,系数辅助表!$C:$E,3,0),)</f>
        <v>0.24477790556521001</v>
      </c>
      <c r="F145" s="36">
        <f>IFERROR(VLOOKUP($B145,'标准费用表-2024年&amp;2025年优化'!$D:$L,9,0)*VLOOKUP('5.成本表'!$D145,系数辅助表!$C:$G,5,0)/VLOOKUP($D145,系数辅助表!$C:$E,3,0),0)</f>
        <v>0.46491828866614998</v>
      </c>
      <c r="I145" s="36">
        <f>VLOOKUP($D145,系数辅助表!$C:$F,4,0)</f>
        <v>1.1567792747107399</v>
      </c>
      <c r="J145" s="2" t="s">
        <v>69</v>
      </c>
    </row>
    <row r="146" spans="2:10" x14ac:dyDescent="0.3">
      <c r="B146" s="47" t="s">
        <v>148</v>
      </c>
      <c r="C146" t="str">
        <f>VLOOKUP($B146,'标准费用表-2024年&amp;2025年优化'!$D:$E,2,0)</f>
        <v>洛阳正大食品有限公司</v>
      </c>
      <c r="D146" t="s">
        <v>90</v>
      </c>
      <c r="E146" s="36">
        <f>IFERROR(VLOOKUP($B146,'标准费用表-2024年&amp;2025年优化'!$D:$K,8,0)*VLOOKUP("白条",系数辅助表!$C:$G,5,0)*VLOOKUP('5.成本表'!$D146,系数辅助表!$C:$G,5,0)/VLOOKUP('5.成本表'!$D146,系数辅助表!$C:$E,3,0),)</f>
        <v>0.15467718346337</v>
      </c>
      <c r="F146" s="36">
        <f>IFERROR(VLOOKUP($B146,'标准费用表-2024年&amp;2025年优化'!$D:$L,9,0)*VLOOKUP('5.成本表'!$D146,系数辅助表!$C:$G,5,0)/VLOOKUP($D146,系数辅助表!$C:$E,3,0),0)</f>
        <v>0.29378571266650599</v>
      </c>
      <c r="I146" s="36">
        <f>VLOOKUP($D146,系数辅助表!$C:$F,4,0)</f>
        <v>0.73097839320056501</v>
      </c>
      <c r="J146" s="2" t="s">
        <v>69</v>
      </c>
    </row>
    <row r="147" spans="2:10" x14ac:dyDescent="0.3">
      <c r="B147" s="47" t="s">
        <v>148</v>
      </c>
      <c r="C147" t="str">
        <f>VLOOKUP($B147,'标准费用表-2024年&amp;2025年优化'!$D:$E,2,0)</f>
        <v>洛阳正大食品有限公司</v>
      </c>
      <c r="D147" t="s">
        <v>91</v>
      </c>
      <c r="E147" s="36">
        <f>IFERROR(VLOOKUP($B147,'标准费用表-2024年&amp;2025年优化'!$D:$K,8,0)*VLOOKUP("白条",系数辅助表!$C:$G,5,0)*VLOOKUP('5.成本表'!$D147,系数辅助表!$C:$G,5,0)/VLOOKUP('5.成本表'!$D147,系数辅助表!$C:$E,3,0),)</f>
        <v>0.12825140420609099</v>
      </c>
      <c r="F147" s="36">
        <f>IFERROR(VLOOKUP($B147,'标准费用表-2024年&amp;2025年优化'!$D:$L,9,0)*VLOOKUP('5.成本表'!$D147,系数辅助表!$C:$G,5,0)/VLOOKUP($D147,系数辅助表!$C:$E,3,0),0)</f>
        <v>0.24359397644507599</v>
      </c>
      <c r="I147" s="36">
        <f>VLOOKUP($D147,系数辅助表!$C:$F,4,0)</f>
        <v>0.60609459826688905</v>
      </c>
      <c r="J147" s="2" t="s">
        <v>69</v>
      </c>
    </row>
    <row r="148" spans="2:10" x14ac:dyDescent="0.3">
      <c r="B148" s="47" t="s">
        <v>148</v>
      </c>
      <c r="C148" t="str">
        <f>VLOOKUP($B148,'标准费用表-2024年&amp;2025年优化'!$D:$E,2,0)</f>
        <v>洛阳正大食品有限公司</v>
      </c>
      <c r="D148" t="s">
        <v>92</v>
      </c>
      <c r="E148" s="36">
        <f>IFERROR(VLOOKUP($B148,'标准费用表-2024年&amp;2025年优化'!$D:$K,8,0)*VLOOKUP("白条",系数辅助表!$C:$G,5,0)*VLOOKUP('5.成本表'!$D148,系数辅助表!$C:$G,5,0)/VLOOKUP('5.成本表'!$D148,系数辅助表!$C:$E,3,0),)</f>
        <v>5.0903400855262702E-2</v>
      </c>
      <c r="F148" s="36">
        <f>IFERROR(VLOOKUP($B148,'标准费用表-2024年&amp;2025年优化'!$D:$L,9,0)*VLOOKUP('5.成本表'!$D148,系数辅助表!$C:$G,5,0)/VLOOKUP($D148,系数辅助表!$C:$E,3,0),0)</f>
        <v>9.6683244177081504E-2</v>
      </c>
      <c r="I148" s="36">
        <f>VLOOKUP($D148,系数辅助表!$C:$F,4,0)</f>
        <v>0.24056092393508099</v>
      </c>
      <c r="J148" s="2" t="s">
        <v>69</v>
      </c>
    </row>
    <row r="149" spans="2:10" x14ac:dyDescent="0.3">
      <c r="B149" s="47" t="s">
        <v>148</v>
      </c>
      <c r="C149" t="str">
        <f>VLOOKUP($B149,'标准费用表-2024年&amp;2025年优化'!$D:$E,2,0)</f>
        <v>洛阳正大食品有限公司</v>
      </c>
      <c r="D149" t="s">
        <v>93</v>
      </c>
      <c r="E149" s="36">
        <f>E125</f>
        <v>0.48245472311754001</v>
      </c>
      <c r="F149" s="36">
        <f>F125</f>
        <v>0.91634914398331002</v>
      </c>
      <c r="G149">
        <v>0.2</v>
      </c>
      <c r="H149">
        <v>0.3</v>
      </c>
      <c r="J149" s="2" t="s">
        <v>69</v>
      </c>
    </row>
    <row r="150" spans="2:10" x14ac:dyDescent="0.3">
      <c r="B150" s="47" t="s">
        <v>148</v>
      </c>
      <c r="C150" t="str">
        <f>VLOOKUP($B150,'标准费用表-2024年&amp;2025年优化'!$D:$E,2,0)</f>
        <v>洛阳正大食品有限公司</v>
      </c>
      <c r="D150" t="s">
        <v>96</v>
      </c>
      <c r="E150" s="36">
        <f t="shared" ref="E150:F165" si="3">E126</f>
        <v>0.32242434789013003</v>
      </c>
      <c r="F150" s="36">
        <f t="shared" si="3"/>
        <v>0.61239586023602299</v>
      </c>
      <c r="G150">
        <v>0.2</v>
      </c>
      <c r="H150">
        <v>0.3</v>
      </c>
      <c r="J150" s="2" t="s">
        <v>69</v>
      </c>
    </row>
    <row r="151" spans="2:10" x14ac:dyDescent="0.3">
      <c r="B151" s="47" t="s">
        <v>148</v>
      </c>
      <c r="C151" t="str">
        <f>VLOOKUP($B151,'标准费用表-2024年&amp;2025年优化'!$D:$E,2,0)</f>
        <v>洛阳正大食品有限公司</v>
      </c>
      <c r="D151" t="s">
        <v>97</v>
      </c>
      <c r="E151" s="36">
        <f t="shared" si="3"/>
        <v>0.85332198773100698</v>
      </c>
      <c r="F151" s="36">
        <f t="shared" si="3"/>
        <v>1.62075493415564</v>
      </c>
      <c r="G151">
        <v>0.2</v>
      </c>
      <c r="H151">
        <v>0.3</v>
      </c>
      <c r="J151" s="2" t="s">
        <v>69</v>
      </c>
    </row>
    <row r="152" spans="2:10" x14ac:dyDescent="0.3">
      <c r="B152" s="47" t="s">
        <v>148</v>
      </c>
      <c r="C152" t="str">
        <f>VLOOKUP($B152,'标准费用表-2024年&amp;2025年优化'!$D:$E,2,0)</f>
        <v>洛阳正大食品有限公司</v>
      </c>
      <c r="D152" t="s">
        <v>98</v>
      </c>
      <c r="E152" s="36">
        <f t="shared" si="3"/>
        <v>0.49696644777114801</v>
      </c>
      <c r="F152" s="36">
        <f t="shared" si="3"/>
        <v>0.94391195107560599</v>
      </c>
      <c r="G152">
        <v>0.2</v>
      </c>
      <c r="H152">
        <v>0.3</v>
      </c>
      <c r="J152" s="2" t="s">
        <v>69</v>
      </c>
    </row>
    <row r="153" spans="2:10" x14ac:dyDescent="0.3">
      <c r="B153" s="47" t="s">
        <v>148</v>
      </c>
      <c r="C153" t="str">
        <f>VLOOKUP($B153,'标准费用表-2024年&amp;2025年优化'!$D:$E,2,0)</f>
        <v>洛阳正大食品有限公司</v>
      </c>
      <c r="D153" t="s">
        <v>99</v>
      </c>
      <c r="E153" s="36">
        <f t="shared" si="3"/>
        <v>0.298545719956884</v>
      </c>
      <c r="F153" s="36">
        <f t="shared" si="3"/>
        <v>0.56704204936495595</v>
      </c>
      <c r="G153">
        <v>0.2</v>
      </c>
      <c r="H153">
        <v>0.3</v>
      </c>
      <c r="J153" s="2" t="s">
        <v>69</v>
      </c>
    </row>
    <row r="154" spans="2:10" x14ac:dyDescent="0.3">
      <c r="B154" s="47" t="s">
        <v>148</v>
      </c>
      <c r="C154" t="str">
        <f>VLOOKUP($B154,'标准费用表-2024年&amp;2025年优化'!$D:$E,2,0)</f>
        <v>洛阳正大食品有限公司</v>
      </c>
      <c r="D154" t="s">
        <v>100</v>
      </c>
      <c r="E154" s="36">
        <f t="shared" si="3"/>
        <v>0.40312526400670001</v>
      </c>
      <c r="F154" s="36">
        <f t="shared" si="3"/>
        <v>0.765674938787134</v>
      </c>
      <c r="G154">
        <v>0.2</v>
      </c>
      <c r="H154">
        <v>0.3</v>
      </c>
      <c r="J154" s="2" t="s">
        <v>69</v>
      </c>
    </row>
    <row r="155" spans="2:10" x14ac:dyDescent="0.3">
      <c r="B155" s="47" t="s">
        <v>148</v>
      </c>
      <c r="C155" t="str">
        <f>VLOOKUP($B155,'标准费用表-2024年&amp;2025年优化'!$D:$E,2,0)</f>
        <v>洛阳正大食品有限公司</v>
      </c>
      <c r="D155" t="s">
        <v>101</v>
      </c>
      <c r="E155" s="36">
        <f t="shared" si="3"/>
        <v>0.30185497759294999</v>
      </c>
      <c r="F155" s="36">
        <f t="shared" si="3"/>
        <v>0.57332747938921602</v>
      </c>
      <c r="G155">
        <v>0.2</v>
      </c>
      <c r="H155">
        <v>0.3</v>
      </c>
      <c r="J155" s="2" t="s">
        <v>69</v>
      </c>
    </row>
    <row r="156" spans="2:10" x14ac:dyDescent="0.3">
      <c r="B156" s="47" t="s">
        <v>148</v>
      </c>
      <c r="C156" t="str">
        <f>VLOOKUP($B156,'标准费用表-2024年&amp;2025年优化'!$D:$E,2,0)</f>
        <v>洛阳正大食品有限公司</v>
      </c>
      <c r="D156" t="s">
        <v>102</v>
      </c>
      <c r="E156" s="36">
        <f t="shared" si="3"/>
        <v>0.307582362458443</v>
      </c>
      <c r="F156" s="36">
        <f t="shared" si="3"/>
        <v>0.584205773179862</v>
      </c>
      <c r="G156">
        <v>0.2</v>
      </c>
      <c r="H156">
        <v>0.3</v>
      </c>
      <c r="J156" s="2" t="s">
        <v>69</v>
      </c>
    </row>
    <row r="157" spans="2:10" x14ac:dyDescent="0.3">
      <c r="B157" s="47" t="s">
        <v>148</v>
      </c>
      <c r="C157" t="str">
        <f>VLOOKUP($B157,'标准费用表-2024年&amp;2025年优化'!$D:$E,2,0)</f>
        <v>洛阳正大食品有限公司</v>
      </c>
      <c r="D157" t="s">
        <v>103</v>
      </c>
      <c r="E157" s="36">
        <f t="shared" si="3"/>
        <v>0.304927918217409</v>
      </c>
      <c r="F157" s="36">
        <f t="shared" si="3"/>
        <v>0.57916406130210296</v>
      </c>
      <c r="G157">
        <v>0.2</v>
      </c>
      <c r="H157">
        <v>0.3</v>
      </c>
      <c r="J157" s="2" t="s">
        <v>69</v>
      </c>
    </row>
    <row r="158" spans="2:10" x14ac:dyDescent="0.3">
      <c r="B158" s="47" t="s">
        <v>148</v>
      </c>
      <c r="C158" t="str">
        <f>VLOOKUP($B158,'标准费用表-2024年&amp;2025年优化'!$D:$E,2,0)</f>
        <v>洛阳正大食品有限公司</v>
      </c>
      <c r="D158" t="s">
        <v>104</v>
      </c>
      <c r="E158" s="36">
        <f t="shared" si="3"/>
        <v>0.261505828480322</v>
      </c>
      <c r="F158" s="36">
        <f t="shared" si="3"/>
        <v>0.49669042625624499</v>
      </c>
      <c r="G158">
        <v>0.2</v>
      </c>
      <c r="H158">
        <v>0.3</v>
      </c>
      <c r="J158" s="2" t="s">
        <v>69</v>
      </c>
    </row>
    <row r="159" spans="2:10" x14ac:dyDescent="0.3">
      <c r="B159" s="47" t="s">
        <v>148</v>
      </c>
      <c r="C159" t="str">
        <f>VLOOKUP($B159,'标准费用表-2024年&amp;2025年优化'!$D:$E,2,0)</f>
        <v>洛阳正大食品有限公司</v>
      </c>
      <c r="D159" t="s">
        <v>105</v>
      </c>
      <c r="E159" s="36">
        <f t="shared" si="3"/>
        <v>0.182659266660117</v>
      </c>
      <c r="F159" s="36">
        <f t="shared" si="3"/>
        <v>0.34693341079353301</v>
      </c>
      <c r="G159">
        <v>0.2</v>
      </c>
      <c r="H159">
        <v>0.3</v>
      </c>
      <c r="J159" s="2" t="s">
        <v>69</v>
      </c>
    </row>
    <row r="160" spans="2:10" x14ac:dyDescent="0.3">
      <c r="B160" s="47" t="s">
        <v>148</v>
      </c>
      <c r="C160" t="str">
        <f>VLOOKUP($B160,'标准费用表-2024年&amp;2025年优化'!$D:$E,2,0)</f>
        <v>洛阳正大食品有限公司</v>
      </c>
      <c r="D160" t="s">
        <v>106</v>
      </c>
      <c r="E160" s="36">
        <f t="shared" si="3"/>
        <v>0.16862087301886899</v>
      </c>
      <c r="F160" s="36">
        <f t="shared" si="3"/>
        <v>0.32026962374853801</v>
      </c>
      <c r="G160">
        <v>0.2</v>
      </c>
      <c r="H160">
        <v>0.3</v>
      </c>
      <c r="J160" s="2" t="s">
        <v>69</v>
      </c>
    </row>
    <row r="161" spans="2:10" x14ac:dyDescent="0.3">
      <c r="B161" s="47" t="s">
        <v>148</v>
      </c>
      <c r="C161" t="str">
        <f>VLOOKUP($B161,'标准费用表-2024年&amp;2025年优化'!$D:$E,2,0)</f>
        <v>洛阳正大食品有限公司</v>
      </c>
      <c r="D161" t="s">
        <v>107</v>
      </c>
      <c r="E161" s="36">
        <f t="shared" si="3"/>
        <v>0.232511163115418</v>
      </c>
      <c r="F161" s="36">
        <f t="shared" si="3"/>
        <v>0.441619482778842</v>
      </c>
      <c r="G161">
        <v>0.2</v>
      </c>
      <c r="H161">
        <v>0.3</v>
      </c>
      <c r="J161" s="2" t="s">
        <v>69</v>
      </c>
    </row>
    <row r="162" spans="2:10" x14ac:dyDescent="0.3">
      <c r="B162" s="47" t="s">
        <v>148</v>
      </c>
      <c r="C162" t="str">
        <f>VLOOKUP($B162,'标准费用表-2024年&amp;2025年优化'!$D:$E,2,0)</f>
        <v>洛阳正大食品有限公司</v>
      </c>
      <c r="D162" t="s">
        <v>108</v>
      </c>
      <c r="E162" s="36">
        <f t="shared" si="3"/>
        <v>0.211850793311223</v>
      </c>
      <c r="F162" s="36">
        <f t="shared" si="3"/>
        <v>0.40237826225120998</v>
      </c>
      <c r="G162">
        <v>0.2</v>
      </c>
      <c r="H162">
        <v>0.3</v>
      </c>
      <c r="J162" s="2" t="s">
        <v>69</v>
      </c>
    </row>
    <row r="163" spans="2:10" x14ac:dyDescent="0.3">
      <c r="B163" s="47" t="s">
        <v>148</v>
      </c>
      <c r="C163" t="str">
        <f>VLOOKUP($B163,'标准费用表-2024年&amp;2025年优化'!$D:$E,2,0)</f>
        <v>洛阳正大食品有限公司</v>
      </c>
      <c r="D163" t="s">
        <v>109</v>
      </c>
      <c r="E163" s="36">
        <f t="shared" si="3"/>
        <v>0.19051730035873199</v>
      </c>
      <c r="F163" s="36">
        <f t="shared" si="3"/>
        <v>0.361858546994063</v>
      </c>
      <c r="G163">
        <v>0.2</v>
      </c>
      <c r="H163">
        <v>0.3</v>
      </c>
      <c r="J163" s="2" t="s">
        <v>69</v>
      </c>
    </row>
    <row r="164" spans="2:10" x14ac:dyDescent="0.3">
      <c r="B164" s="47" t="s">
        <v>148</v>
      </c>
      <c r="C164" t="str">
        <f>VLOOKUP($B164,'标准费用表-2024年&amp;2025年优化'!$D:$E,2,0)</f>
        <v>洛阳正大食品有限公司</v>
      </c>
      <c r="D164" t="s">
        <v>110</v>
      </c>
      <c r="E164" s="36">
        <f t="shared" si="3"/>
        <v>0.191358778828293</v>
      </c>
      <c r="F164" s="36">
        <f t="shared" si="3"/>
        <v>0.363456806972283</v>
      </c>
      <c r="G164">
        <v>0.2</v>
      </c>
      <c r="H164">
        <v>0.3</v>
      </c>
      <c r="J164" s="2" t="s">
        <v>69</v>
      </c>
    </row>
    <row r="165" spans="2:10" x14ac:dyDescent="0.3">
      <c r="B165" s="47" t="s">
        <v>148</v>
      </c>
      <c r="C165" t="str">
        <f>VLOOKUP($B165,'标准费用表-2024年&amp;2025年优化'!$D:$E,2,0)</f>
        <v>洛阳正大食品有限公司</v>
      </c>
      <c r="D165" t="s">
        <v>111</v>
      </c>
      <c r="E165" s="36">
        <f t="shared" si="3"/>
        <v>0.237921119155696</v>
      </c>
      <c r="F165" s="36">
        <f t="shared" si="3"/>
        <v>0.451894868942464</v>
      </c>
      <c r="G165">
        <v>0.2</v>
      </c>
      <c r="H165">
        <v>0.3</v>
      </c>
      <c r="J165" s="2" t="s">
        <v>69</v>
      </c>
    </row>
    <row r="166" spans="2:10" x14ac:dyDescent="0.3">
      <c r="B166" s="47" t="s">
        <v>148</v>
      </c>
      <c r="C166" t="str">
        <f>VLOOKUP($B166,'标准费用表-2024年&amp;2025年优化'!$D:$E,2,0)</f>
        <v>洛阳正大食品有限公司</v>
      </c>
      <c r="D166" t="s">
        <v>112</v>
      </c>
      <c r="E166" s="36">
        <f t="shared" ref="E166:F181" si="4">E142</f>
        <v>0.208042196619798</v>
      </c>
      <c r="F166" s="36">
        <f t="shared" si="4"/>
        <v>0.39514441386972199</v>
      </c>
      <c r="G166">
        <v>0.2</v>
      </c>
      <c r="H166">
        <v>0.3</v>
      </c>
      <c r="J166" s="2" t="s">
        <v>69</v>
      </c>
    </row>
    <row r="167" spans="2:10" x14ac:dyDescent="0.3">
      <c r="B167" s="47" t="s">
        <v>148</v>
      </c>
      <c r="C167" t="str">
        <f>VLOOKUP($B167,'标准费用表-2024年&amp;2025年优化'!$D:$E,2,0)</f>
        <v>洛阳正大食品有限公司</v>
      </c>
      <c r="D167" t="s">
        <v>113</v>
      </c>
      <c r="E167" s="36">
        <f t="shared" si="4"/>
        <v>0.150683456765802</v>
      </c>
      <c r="F167" s="36">
        <f t="shared" si="4"/>
        <v>0.28620023808151102</v>
      </c>
      <c r="G167">
        <v>0.2</v>
      </c>
      <c r="H167">
        <v>0.3</v>
      </c>
      <c r="J167" s="2" t="s">
        <v>69</v>
      </c>
    </row>
    <row r="168" spans="2:10" x14ac:dyDescent="0.3">
      <c r="B168" s="47" t="s">
        <v>148</v>
      </c>
      <c r="C168" t="str">
        <f>VLOOKUP($B168,'标准费用表-2024年&amp;2025年优化'!$D:$E,2,0)</f>
        <v>洛阳正大食品有限公司</v>
      </c>
      <c r="D168" t="s">
        <v>114</v>
      </c>
      <c r="E168" s="36">
        <f t="shared" si="4"/>
        <v>0.56912542943119204</v>
      </c>
      <c r="F168" s="36">
        <f t="shared" si="4"/>
        <v>1.08096692827142</v>
      </c>
      <c r="G168">
        <v>0.2</v>
      </c>
      <c r="H168">
        <v>0.3</v>
      </c>
      <c r="J168" s="2" t="s">
        <v>69</v>
      </c>
    </row>
    <row r="169" spans="2:10" x14ac:dyDescent="0.3">
      <c r="B169" s="47" t="s">
        <v>148</v>
      </c>
      <c r="C169" t="str">
        <f>VLOOKUP($B169,'标准费用表-2024年&amp;2025年优化'!$D:$E,2,0)</f>
        <v>洛阳正大食品有限公司</v>
      </c>
      <c r="D169" t="s">
        <v>115</v>
      </c>
      <c r="E169" s="36">
        <f t="shared" si="4"/>
        <v>0.24477790556521001</v>
      </c>
      <c r="F169" s="36">
        <f t="shared" si="4"/>
        <v>0.46491828866614998</v>
      </c>
      <c r="G169">
        <v>0.2</v>
      </c>
      <c r="H169">
        <v>0.3</v>
      </c>
      <c r="J169" s="2" t="s">
        <v>69</v>
      </c>
    </row>
    <row r="170" spans="2:10" x14ac:dyDescent="0.3">
      <c r="B170" s="47" t="s">
        <v>148</v>
      </c>
      <c r="C170" t="str">
        <f>VLOOKUP($B170,'标准费用表-2024年&amp;2025年优化'!$D:$E,2,0)</f>
        <v>洛阳正大食品有限公司</v>
      </c>
      <c r="D170" t="s">
        <v>116</v>
      </c>
      <c r="E170" s="36">
        <f t="shared" si="4"/>
        <v>0.15467718346337</v>
      </c>
      <c r="F170" s="36">
        <f t="shared" si="4"/>
        <v>0.29378571266650599</v>
      </c>
      <c r="G170">
        <v>0.2</v>
      </c>
      <c r="H170">
        <v>0.3</v>
      </c>
      <c r="J170" s="2" t="s">
        <v>69</v>
      </c>
    </row>
    <row r="171" spans="2:10" x14ac:dyDescent="0.3">
      <c r="B171" s="47" t="s">
        <v>148</v>
      </c>
      <c r="C171" t="str">
        <f>VLOOKUP($B171,'标准费用表-2024年&amp;2025年优化'!$D:$E,2,0)</f>
        <v>洛阳正大食品有限公司</v>
      </c>
      <c r="D171" t="s">
        <v>117</v>
      </c>
      <c r="E171" s="36">
        <f t="shared" si="4"/>
        <v>0.12825140420609099</v>
      </c>
      <c r="F171" s="36">
        <f t="shared" si="4"/>
        <v>0.24359397644507599</v>
      </c>
      <c r="G171">
        <v>0.2</v>
      </c>
      <c r="H171">
        <v>0.3</v>
      </c>
      <c r="J171" s="2" t="s">
        <v>69</v>
      </c>
    </row>
    <row r="172" spans="2:10" x14ac:dyDescent="0.3">
      <c r="B172" s="47" t="s">
        <v>148</v>
      </c>
      <c r="C172" t="str">
        <f>VLOOKUP($B172,'标准费用表-2024年&amp;2025年优化'!$D:$E,2,0)</f>
        <v>洛阳正大食品有限公司</v>
      </c>
      <c r="D172" t="s">
        <v>118</v>
      </c>
      <c r="E172" s="36">
        <f t="shared" si="4"/>
        <v>5.0903400855262702E-2</v>
      </c>
      <c r="F172" s="36">
        <f t="shared" si="4"/>
        <v>9.6683244177081504E-2</v>
      </c>
      <c r="G172">
        <v>0.2</v>
      </c>
      <c r="H172">
        <v>0.3</v>
      </c>
      <c r="J172" s="2" t="s">
        <v>69</v>
      </c>
    </row>
    <row r="173" spans="2:10" x14ac:dyDescent="0.3">
      <c r="B173" s="47" t="s">
        <v>148</v>
      </c>
      <c r="C173" t="str">
        <f>VLOOKUP($B173,'标准费用表-2024年&amp;2025年优化'!$D:$E,2,0)</f>
        <v>洛阳正大食品有限公司</v>
      </c>
      <c r="D173" t="s">
        <v>119</v>
      </c>
      <c r="E173" s="36">
        <f>E101</f>
        <v>0.18410433490417</v>
      </c>
      <c r="F173" s="36">
        <f t="shared" si="4"/>
        <v>0.91634914398331002</v>
      </c>
      <c r="G173">
        <v>0.2</v>
      </c>
      <c r="H173">
        <v>0.3</v>
      </c>
      <c r="J173" s="2" t="s">
        <v>69</v>
      </c>
    </row>
    <row r="174" spans="2:10" x14ac:dyDescent="0.3">
      <c r="B174" s="47" t="s">
        <v>148</v>
      </c>
      <c r="C174" t="str">
        <f>VLOOKUP($B174,'标准费用表-2024年&amp;2025年优化'!$D:$E,2,0)</f>
        <v>洛阳正大食品有限公司</v>
      </c>
      <c r="D174" t="s">
        <v>120</v>
      </c>
      <c r="E174" s="36">
        <f t="shared" ref="E174:E196" si="5">E102</f>
        <v>0.49204159182473001</v>
      </c>
      <c r="F174" s="36">
        <f t="shared" si="4"/>
        <v>0.61239586023602299</v>
      </c>
      <c r="G174">
        <v>0.2</v>
      </c>
      <c r="H174">
        <v>0.3</v>
      </c>
      <c r="J174" s="2" t="s">
        <v>69</v>
      </c>
    </row>
    <row r="175" spans="2:10" x14ac:dyDescent="0.3">
      <c r="B175" s="47" t="s">
        <v>148</v>
      </c>
      <c r="C175" t="str">
        <f>VLOOKUP($B175,'标准费用表-2024年&amp;2025年优化'!$D:$E,2,0)</f>
        <v>洛阳正大食品有限公司</v>
      </c>
      <c r="D175" t="s">
        <v>121</v>
      </c>
      <c r="E175" s="36">
        <f t="shared" si="5"/>
        <v>0.91071681761727796</v>
      </c>
      <c r="F175" s="36">
        <f t="shared" si="4"/>
        <v>1.62075493415564</v>
      </c>
      <c r="G175">
        <v>0.2</v>
      </c>
      <c r="H175">
        <v>0.3</v>
      </c>
      <c r="J175" s="2" t="s">
        <v>69</v>
      </c>
    </row>
    <row r="176" spans="2:10" x14ac:dyDescent="0.3">
      <c r="B176" s="47" t="s">
        <v>148</v>
      </c>
      <c r="C176" t="str">
        <f>VLOOKUP($B176,'标准费用表-2024年&amp;2025年优化'!$D:$E,2,0)</f>
        <v>洛阳正大食品有限公司</v>
      </c>
      <c r="D176" t="s">
        <v>122</v>
      </c>
      <c r="E176" s="36">
        <f t="shared" si="5"/>
        <v>0.19139178206158999</v>
      </c>
      <c r="F176" s="36">
        <f t="shared" si="4"/>
        <v>0.94391195107560599</v>
      </c>
      <c r="G176">
        <v>0.2</v>
      </c>
      <c r="H176">
        <v>0.3</v>
      </c>
      <c r="J176" s="2" t="s">
        <v>69</v>
      </c>
    </row>
    <row r="177" spans="2:10" x14ac:dyDescent="0.3">
      <c r="B177" s="47" t="s">
        <v>148</v>
      </c>
      <c r="C177" t="str">
        <f>VLOOKUP($B177,'标准费用表-2024年&amp;2025年优化'!$D:$E,2,0)</f>
        <v>洛阳正大食品有限公司</v>
      </c>
      <c r="D177" t="s">
        <v>123</v>
      </c>
      <c r="E177" s="36">
        <f t="shared" si="5"/>
        <v>8.4494597780404093E-2</v>
      </c>
      <c r="F177" s="36">
        <f t="shared" si="4"/>
        <v>0.56704204936495595</v>
      </c>
      <c r="G177">
        <v>0.2</v>
      </c>
      <c r="H177">
        <v>0.3</v>
      </c>
      <c r="J177" s="2" t="s">
        <v>69</v>
      </c>
    </row>
    <row r="178" spans="2:10" x14ac:dyDescent="0.3">
      <c r="B178" s="47" t="s">
        <v>148</v>
      </c>
      <c r="C178" t="str">
        <f>VLOOKUP($B178,'标准费用表-2024年&amp;2025年优化'!$D:$E,2,0)</f>
        <v>洛阳正大食品有限公司</v>
      </c>
      <c r="D178" t="s">
        <v>124</v>
      </c>
      <c r="E178" s="36">
        <f t="shared" si="5"/>
        <v>0.26149957029147097</v>
      </c>
      <c r="F178" s="36">
        <f t="shared" si="4"/>
        <v>0.765674938787134</v>
      </c>
      <c r="G178">
        <v>0.2</v>
      </c>
      <c r="H178">
        <v>0.3</v>
      </c>
      <c r="J178" s="2" t="s">
        <v>69</v>
      </c>
    </row>
    <row r="179" spans="2:10" x14ac:dyDescent="0.3">
      <c r="B179" s="47" t="s">
        <v>148</v>
      </c>
      <c r="C179" t="str">
        <f>VLOOKUP($B179,'标准费用表-2024年&amp;2025年优化'!$D:$E,2,0)</f>
        <v>洛阳正大食品有限公司</v>
      </c>
      <c r="D179" t="s">
        <v>125</v>
      </c>
      <c r="E179" s="36">
        <f t="shared" si="5"/>
        <v>0.43197683213383697</v>
      </c>
      <c r="F179" s="36">
        <f t="shared" si="4"/>
        <v>0.57332747938921602</v>
      </c>
      <c r="G179">
        <v>0.2</v>
      </c>
      <c r="H179">
        <v>0.3</v>
      </c>
      <c r="J179" s="2" t="s">
        <v>69</v>
      </c>
    </row>
    <row r="180" spans="2:10" x14ac:dyDescent="0.3">
      <c r="B180" s="47" t="s">
        <v>148</v>
      </c>
      <c r="C180" t="str">
        <f>VLOOKUP($B180,'标准费用表-2024年&amp;2025年优化'!$D:$E,2,0)</f>
        <v>洛阳正大食品有限公司</v>
      </c>
      <c r="D180" t="s">
        <v>126</v>
      </c>
      <c r="E180" s="36">
        <f t="shared" si="5"/>
        <v>0.62664498548951297</v>
      </c>
      <c r="F180" s="36">
        <f t="shared" si="4"/>
        <v>0.584205773179862</v>
      </c>
      <c r="G180">
        <v>0.2</v>
      </c>
      <c r="H180">
        <v>0.3</v>
      </c>
      <c r="J180" s="2" t="s">
        <v>69</v>
      </c>
    </row>
    <row r="181" spans="2:10" x14ac:dyDescent="0.3">
      <c r="B181" s="47" t="s">
        <v>148</v>
      </c>
      <c r="C181" t="str">
        <f>VLOOKUP($B181,'标准费用表-2024年&amp;2025年优化'!$D:$E,2,0)</f>
        <v>洛阳正大食品有限公司</v>
      </c>
      <c r="D181" t="s">
        <v>127</v>
      </c>
      <c r="E181" s="36">
        <f t="shared" si="5"/>
        <v>0.36611287789018099</v>
      </c>
      <c r="F181" s="36">
        <f t="shared" si="4"/>
        <v>0.57916406130210296</v>
      </c>
      <c r="G181">
        <v>0.2</v>
      </c>
      <c r="H181">
        <v>0.3</v>
      </c>
      <c r="J181" s="2" t="s">
        <v>69</v>
      </c>
    </row>
    <row r="182" spans="2:10" x14ac:dyDescent="0.3">
      <c r="B182" s="47" t="s">
        <v>148</v>
      </c>
      <c r="C182" t="str">
        <f>VLOOKUP($B182,'标准费用表-2024年&amp;2025年优化'!$D:$E,2,0)</f>
        <v>洛阳正大食品有限公司</v>
      </c>
      <c r="D182" t="s">
        <v>128</v>
      </c>
      <c r="E182" s="36">
        <f t="shared" si="5"/>
        <v>0.33622343461726401</v>
      </c>
      <c r="F182" s="36">
        <f t="shared" ref="F182:F196" si="6">F158</f>
        <v>0.49669042625624499</v>
      </c>
      <c r="G182">
        <v>0.2</v>
      </c>
      <c r="H182">
        <v>0.3</v>
      </c>
      <c r="J182" s="2" t="s">
        <v>69</v>
      </c>
    </row>
    <row r="183" spans="2:10" x14ac:dyDescent="0.3">
      <c r="B183" s="47" t="s">
        <v>148</v>
      </c>
      <c r="C183" t="str">
        <f>VLOOKUP($B183,'标准费用表-2024年&amp;2025年优化'!$D:$E,2,0)</f>
        <v>洛阳正大食品有限公司</v>
      </c>
      <c r="D183" t="s">
        <v>129</v>
      </c>
      <c r="E183" s="36">
        <f t="shared" si="5"/>
        <v>0.42952266431303499</v>
      </c>
      <c r="F183" s="36">
        <f t="shared" si="6"/>
        <v>0.34693341079353301</v>
      </c>
      <c r="G183">
        <v>0.2</v>
      </c>
      <c r="H183">
        <v>0.3</v>
      </c>
      <c r="J183" s="2" t="s">
        <v>69</v>
      </c>
    </row>
    <row r="184" spans="2:10" x14ac:dyDescent="0.3">
      <c r="B184" s="47" t="s">
        <v>148</v>
      </c>
      <c r="C184" t="str">
        <f>VLOOKUP($B184,'标准费用表-2024年&amp;2025年优化'!$D:$E,2,0)</f>
        <v>洛阳正大食品有限公司</v>
      </c>
      <c r="D184" t="s">
        <v>130</v>
      </c>
      <c r="E184" s="36">
        <f t="shared" si="5"/>
        <v>0.74706465359807905</v>
      </c>
      <c r="F184" s="36">
        <f t="shared" si="6"/>
        <v>0.32026962374853801</v>
      </c>
      <c r="G184">
        <v>0.2</v>
      </c>
      <c r="H184">
        <v>0.3</v>
      </c>
      <c r="J184" s="2" t="s">
        <v>69</v>
      </c>
    </row>
    <row r="185" spans="2:10" x14ac:dyDescent="0.3">
      <c r="B185" s="47" t="s">
        <v>148</v>
      </c>
      <c r="C185" t="str">
        <f>VLOOKUP($B185,'标准费用表-2024年&amp;2025年优化'!$D:$E,2,0)</f>
        <v>洛阳正大食品有限公司</v>
      </c>
      <c r="D185" t="s">
        <v>131</v>
      </c>
      <c r="E185" s="36">
        <f t="shared" si="5"/>
        <v>0.12719188083769201</v>
      </c>
      <c r="F185" s="36">
        <f t="shared" si="6"/>
        <v>0.441619482778842</v>
      </c>
      <c r="G185">
        <v>0.2</v>
      </c>
      <c r="H185">
        <v>0.3</v>
      </c>
      <c r="J185" s="2" t="s">
        <v>69</v>
      </c>
    </row>
    <row r="186" spans="2:10" x14ac:dyDescent="0.3">
      <c r="B186" s="47" t="s">
        <v>148</v>
      </c>
      <c r="C186" t="str">
        <f>VLOOKUP($B186,'标准费用表-2024年&amp;2025年优化'!$D:$E,2,0)</f>
        <v>洛阳正大食品有限公司</v>
      </c>
      <c r="D186" t="s">
        <v>132</v>
      </c>
      <c r="E186" s="36">
        <f t="shared" si="5"/>
        <v>2.9448392514033601E-2</v>
      </c>
      <c r="F186" s="36">
        <f t="shared" si="6"/>
        <v>0.40237826225120998</v>
      </c>
      <c r="G186">
        <v>0.2</v>
      </c>
      <c r="H186">
        <v>0.3</v>
      </c>
      <c r="J186" s="2" t="s">
        <v>69</v>
      </c>
    </row>
    <row r="187" spans="2:10" x14ac:dyDescent="0.3">
      <c r="B187" s="47" t="s">
        <v>148</v>
      </c>
      <c r="C187" t="str">
        <f>VLOOKUP($B187,'标准费用表-2024年&amp;2025年优化'!$D:$E,2,0)</f>
        <v>洛阳正大食品有限公司</v>
      </c>
      <c r="D187" t="s">
        <v>133</v>
      </c>
      <c r="E187" s="36">
        <f t="shared" si="5"/>
        <v>0.157993792773546</v>
      </c>
      <c r="F187" s="36">
        <f t="shared" si="6"/>
        <v>0.361858546994063</v>
      </c>
      <c r="G187">
        <v>0.2</v>
      </c>
      <c r="H187">
        <v>0.3</v>
      </c>
      <c r="J187" s="2" t="s">
        <v>69</v>
      </c>
    </row>
    <row r="188" spans="2:10" x14ac:dyDescent="0.3">
      <c r="B188" s="47" t="s">
        <v>148</v>
      </c>
      <c r="C188" t="str">
        <f>VLOOKUP($B188,'标准费用表-2024年&amp;2025年优化'!$D:$E,2,0)</f>
        <v>洛阳正大食品有限公司</v>
      </c>
      <c r="D188" t="s">
        <v>134</v>
      </c>
      <c r="E188" s="36">
        <f t="shared" si="5"/>
        <v>0.103340950423305</v>
      </c>
      <c r="F188" s="36">
        <f t="shared" si="6"/>
        <v>0.363456806972283</v>
      </c>
      <c r="G188">
        <v>0.2</v>
      </c>
      <c r="H188">
        <v>0.3</v>
      </c>
      <c r="J188" s="2" t="s">
        <v>69</v>
      </c>
    </row>
    <row r="189" spans="2:10" x14ac:dyDescent="0.3">
      <c r="B189" s="47" t="s">
        <v>148</v>
      </c>
      <c r="C189" t="str">
        <f>VLOOKUP($B189,'标准费用表-2024年&amp;2025年优化'!$D:$E,2,0)</f>
        <v>洛阳正大食品有限公司</v>
      </c>
      <c r="D189" t="s">
        <v>135</v>
      </c>
      <c r="E189" s="36">
        <f t="shared" si="5"/>
        <v>6.8495704049582801E-2</v>
      </c>
      <c r="F189" s="36">
        <f t="shared" si="6"/>
        <v>0.451894868942464</v>
      </c>
      <c r="G189">
        <v>0.2</v>
      </c>
      <c r="H189">
        <v>0.3</v>
      </c>
      <c r="J189" s="2" t="s">
        <v>69</v>
      </c>
    </row>
    <row r="190" spans="2:10" x14ac:dyDescent="0.3">
      <c r="B190" s="47" t="s">
        <v>148</v>
      </c>
      <c r="C190" t="str">
        <f>VLOOKUP($B190,'标准费用表-2024年&amp;2025年优化'!$D:$E,2,0)</f>
        <v>洛阳正大食品有限公司</v>
      </c>
      <c r="D190" t="s">
        <v>136</v>
      </c>
      <c r="E190" s="36">
        <f t="shared" si="5"/>
        <v>1.18259346923783E-2</v>
      </c>
      <c r="F190" s="36">
        <f t="shared" si="6"/>
        <v>0.39514441386972199</v>
      </c>
      <c r="G190">
        <v>0.2</v>
      </c>
      <c r="H190">
        <v>0.3</v>
      </c>
      <c r="J190" s="2" t="s">
        <v>69</v>
      </c>
    </row>
    <row r="191" spans="2:10" x14ac:dyDescent="0.3">
      <c r="B191" s="47" t="s">
        <v>148</v>
      </c>
      <c r="C191" t="str">
        <f>VLOOKUP($B191,'标准费用表-2024年&amp;2025年优化'!$D:$E,2,0)</f>
        <v>洛阳正大食品有限公司</v>
      </c>
      <c r="D191" t="s">
        <v>137</v>
      </c>
      <c r="E191" s="36">
        <f t="shared" si="5"/>
        <v>6.1887567787871599E-2</v>
      </c>
      <c r="F191" s="36">
        <f t="shared" si="6"/>
        <v>0.28620023808151102</v>
      </c>
      <c r="G191">
        <v>0.2</v>
      </c>
      <c r="H191">
        <v>0.3</v>
      </c>
      <c r="J191" s="2" t="s">
        <v>69</v>
      </c>
    </row>
    <row r="192" spans="2:10" x14ac:dyDescent="0.3">
      <c r="B192" s="47" t="s">
        <v>148</v>
      </c>
      <c r="C192" t="str">
        <f>VLOOKUP($B192,'标准费用表-2024年&amp;2025年优化'!$D:$E,2,0)</f>
        <v>洛阳正大食品有限公司</v>
      </c>
      <c r="D192" t="s">
        <v>138</v>
      </c>
      <c r="E192" s="36">
        <f t="shared" si="5"/>
        <v>5.6790057052398701E-2</v>
      </c>
      <c r="F192" s="36">
        <f t="shared" si="6"/>
        <v>1.08096692827142</v>
      </c>
      <c r="G192">
        <v>0.2</v>
      </c>
      <c r="H192">
        <v>0.3</v>
      </c>
      <c r="J192" s="2" t="s">
        <v>69</v>
      </c>
    </row>
    <row r="193" spans="2:10" x14ac:dyDescent="0.3">
      <c r="B193" s="47" t="s">
        <v>148</v>
      </c>
      <c r="C193" t="str">
        <f>VLOOKUP($B193,'标准费用表-2024年&amp;2025年优化'!$D:$E,2,0)</f>
        <v>洛阳正大食品有限公司</v>
      </c>
      <c r="D193" t="s">
        <v>139</v>
      </c>
      <c r="E193" s="36">
        <f t="shared" si="5"/>
        <v>0.19868063990242399</v>
      </c>
      <c r="F193" s="36">
        <f t="shared" si="6"/>
        <v>0.46491828866614998</v>
      </c>
      <c r="G193">
        <v>0.2</v>
      </c>
      <c r="H193">
        <v>0.3</v>
      </c>
      <c r="J193" s="2" t="s">
        <v>69</v>
      </c>
    </row>
    <row r="194" spans="2:10" x14ac:dyDescent="0.3">
      <c r="B194" s="47" t="s">
        <v>148</v>
      </c>
      <c r="C194" t="str">
        <f>VLOOKUP($B194,'标准费用表-2024年&amp;2025年优化'!$D:$E,2,0)</f>
        <v>洛阳正大食品有限公司</v>
      </c>
      <c r="D194" t="s">
        <v>140</v>
      </c>
      <c r="E194" s="36">
        <f t="shared" si="5"/>
        <v>0.23270867429973899</v>
      </c>
      <c r="F194" s="36">
        <f t="shared" si="6"/>
        <v>0.29378571266650599</v>
      </c>
      <c r="G194">
        <v>0.2</v>
      </c>
      <c r="H194">
        <v>0.3</v>
      </c>
      <c r="J194" s="2" t="s">
        <v>69</v>
      </c>
    </row>
    <row r="195" spans="2:10" x14ac:dyDescent="0.3">
      <c r="B195" s="47" t="s">
        <v>148</v>
      </c>
      <c r="C195" t="str">
        <f>VLOOKUP($B195,'标准费用表-2024年&amp;2025年优化'!$D:$E,2,0)</f>
        <v>洛阳正大食品有限公司</v>
      </c>
      <c r="D195" t="s">
        <v>141</v>
      </c>
      <c r="E195" s="36">
        <f t="shared" si="5"/>
        <v>6.6541159359122304E-2</v>
      </c>
      <c r="F195" s="36">
        <f t="shared" si="6"/>
        <v>0.24359397644507599</v>
      </c>
      <c r="G195">
        <v>0.2</v>
      </c>
      <c r="H195">
        <v>0.3</v>
      </c>
      <c r="J195" s="2" t="s">
        <v>69</v>
      </c>
    </row>
    <row r="196" spans="2:10" x14ac:dyDescent="0.3">
      <c r="B196" s="47" t="s">
        <v>148</v>
      </c>
      <c r="C196" t="str">
        <f>VLOOKUP($B196,'标准费用表-2024年&amp;2025年优化'!$D:$E,2,0)</f>
        <v>洛阳正大食品有限公司</v>
      </c>
      <c r="D196" t="s">
        <v>142</v>
      </c>
      <c r="E196" s="36">
        <f t="shared" si="5"/>
        <v>1.9797788687821598E-2</v>
      </c>
      <c r="F196" s="36">
        <f t="shared" si="6"/>
        <v>9.6683244177081504E-2</v>
      </c>
      <c r="G196">
        <v>0.2</v>
      </c>
      <c r="H196">
        <v>0.3</v>
      </c>
      <c r="J196" s="2" t="s">
        <v>69</v>
      </c>
    </row>
    <row r="197" spans="2:10" x14ac:dyDescent="0.3">
      <c r="B197" s="47" t="s">
        <v>150</v>
      </c>
      <c r="C197" t="str">
        <f>VLOOKUP($B197,'标准费用表-2024年&amp;2025年优化'!$D:$E,2,0)</f>
        <v>正大食品（徐州）有限公司</v>
      </c>
      <c r="D197" t="s">
        <v>41</v>
      </c>
      <c r="E197" s="46">
        <f>IFERROR(VLOOKUP($B197,'标准费用表-2024年&amp;2025年优化'!$D:$K,8,0)*VLOOKUP('5.成本表'!$D197,系数辅助表!$C:$G,5,0)/VLOOKUP($D197,系数辅助表!$C:$E,3,0),0)</f>
        <v>0.43492335839950502</v>
      </c>
      <c r="I197" s="36">
        <f>VLOOKUP($D197,系数辅助表!$C:$F,4,0)</f>
        <v>1.33</v>
      </c>
      <c r="J197" s="2" t="s">
        <v>41</v>
      </c>
    </row>
    <row r="198" spans="2:10" x14ac:dyDescent="0.3">
      <c r="B198" s="47" t="s">
        <v>150</v>
      </c>
      <c r="C198" t="str">
        <f>VLOOKUP($B198,'标准费用表-2024年&amp;2025年优化'!$D:$E,2,0)</f>
        <v>正大食品（徐州）有限公司</v>
      </c>
      <c r="D198" t="s">
        <v>44</v>
      </c>
      <c r="E198" s="46">
        <f>IFERROR(VLOOKUP($B198,'标准费用表-2024年&amp;2025年优化'!$D:$K,8,0)*系数辅助表!$J$6*VLOOKUP('5.成本表'!$D198,系数辅助表!$C:$G,5,0)/VLOOKUP($D198,系数辅助表!$C:$E,3,0),0)</f>
        <v>0.248750685639018</v>
      </c>
      <c r="I198" s="36">
        <f>VLOOKUP($D198,系数辅助表!$C:$F,4,0)</f>
        <v>0.789027855994753</v>
      </c>
      <c r="J198" s="2" t="s">
        <v>200</v>
      </c>
    </row>
    <row r="199" spans="2:10" x14ac:dyDescent="0.3">
      <c r="B199" s="47" t="s">
        <v>150</v>
      </c>
      <c r="C199" t="str">
        <f>VLOOKUP($B199,'标准费用表-2024年&amp;2025年优化'!$D:$E,2,0)</f>
        <v>正大食品（徐州）有限公司</v>
      </c>
      <c r="D199" t="s">
        <v>45</v>
      </c>
      <c r="E199" s="46">
        <f>IFERROR(VLOOKUP($B199,'标准费用表-2024年&amp;2025年优化'!$D:$K,8,0)*系数辅助表!$J$6*VLOOKUP('5.成本表'!$D199,系数辅助表!$C:$G,5,0)/VLOOKUP($D199,系数辅助表!$C:$E,3,0),0)</f>
        <v>0.66481695497840798</v>
      </c>
      <c r="I199" s="36">
        <f>VLOOKUP($D199,系数辅助表!$C:$F,4,0)</f>
        <v>2.1087744754070901</v>
      </c>
      <c r="J199" s="2" t="s">
        <v>200</v>
      </c>
    </row>
    <row r="200" spans="2:10" x14ac:dyDescent="0.3">
      <c r="B200" s="47" t="s">
        <v>150</v>
      </c>
      <c r="C200" t="str">
        <f>VLOOKUP($B200,'标准费用表-2024年&amp;2025年优化'!$D:$E,2,0)</f>
        <v>正大食品（徐州）有限公司</v>
      </c>
      <c r="D200" t="s">
        <v>46</v>
      </c>
      <c r="E200" s="46">
        <f>IFERROR(VLOOKUP($B200,'标准费用表-2024年&amp;2025年优化'!$D:$K,8,0)*系数辅助表!$J$6*VLOOKUP('5.成本表'!$D200,系数辅助表!$C:$G,5,0)/VLOOKUP($D200,系数辅助表!$C:$E,3,0),0)</f>
        <v>1.2305056962575101</v>
      </c>
      <c r="I200" s="36">
        <f>VLOOKUP($D200,系数辅助表!$C:$F,4,0)</f>
        <v>3.9031179705625099</v>
      </c>
      <c r="J200" s="2" t="s">
        <v>200</v>
      </c>
    </row>
    <row r="201" spans="2:10" x14ac:dyDescent="0.3">
      <c r="B201" s="47" t="s">
        <v>150</v>
      </c>
      <c r="C201" t="str">
        <f>VLOOKUP($B201,'标准费用表-2024年&amp;2025年优化'!$D:$E,2,0)</f>
        <v>正大食品（徐州）有限公司</v>
      </c>
      <c r="D201" t="s">
        <v>47</v>
      </c>
      <c r="E201" s="46">
        <f>IFERROR(VLOOKUP($B201,'标准费用表-2024年&amp;2025年优化'!$D:$K,8,0)*系数辅助表!$J$6*VLOOKUP('5.成本表'!$D201,系数辅助表!$C:$G,5,0)/VLOOKUP($D201,系数辅助表!$C:$E,3,0),0)</f>
        <v>0.25859704519328902</v>
      </c>
      <c r="I201" s="36">
        <f>VLOOKUP($D201,系数辅助表!$C:$F,4,0)</f>
        <v>0.82026013963048305</v>
      </c>
      <c r="J201" s="2" t="s">
        <v>200</v>
      </c>
    </row>
    <row r="202" spans="2:10" x14ac:dyDescent="0.3">
      <c r="B202" s="47" t="s">
        <v>150</v>
      </c>
      <c r="C202" t="str">
        <f>VLOOKUP($B202,'标准费用表-2024年&amp;2025年优化'!$D:$E,2,0)</f>
        <v>正大食品（徐州）有限公司</v>
      </c>
      <c r="D202" t="s">
        <v>48</v>
      </c>
      <c r="E202" s="46">
        <f>IFERROR(VLOOKUP($B202,'标准费用表-2024年&amp;2025年优化'!$D:$K,8,0)*系数辅助表!$J$6*VLOOKUP('5.成本表'!$D202,系数辅助表!$C:$G,5,0)/VLOOKUP($D202,系数辅助表!$C:$E,3,0),0)</f>
        <v>0.114164009997966</v>
      </c>
      <c r="I202" s="36">
        <f>VLOOKUP($D202,系数辅助表!$C:$F,4,0)</f>
        <v>0.36212396283071502</v>
      </c>
      <c r="J202" s="2" t="s">
        <v>200</v>
      </c>
    </row>
    <row r="203" spans="2:10" x14ac:dyDescent="0.3">
      <c r="B203" s="47" t="s">
        <v>150</v>
      </c>
      <c r="C203" t="str">
        <f>VLOOKUP($B203,'标准费用表-2024年&amp;2025年优化'!$D:$E,2,0)</f>
        <v>正大食品（徐州）有限公司</v>
      </c>
      <c r="D203" t="s">
        <v>49</v>
      </c>
      <c r="E203" s="46">
        <f>IFERROR(VLOOKUP($B203,'标准费用表-2024年&amp;2025年优化'!$D:$K,8,0)*系数辅助表!$J$6*VLOOKUP('5.成本表'!$D203,系数辅助表!$C:$G,5,0)/VLOOKUP($D203,系数辅助表!$C:$E,3,0),0)</f>
        <v>0.35332246488476599</v>
      </c>
      <c r="I203" s="36">
        <f>VLOOKUP($D203,系数辅助表!$C:$F,4,0)</f>
        <v>1.1207256222295201</v>
      </c>
      <c r="J203" s="2" t="s">
        <v>200</v>
      </c>
    </row>
    <row r="204" spans="2:10" x14ac:dyDescent="0.3">
      <c r="B204" s="47" t="s">
        <v>150</v>
      </c>
      <c r="C204" t="str">
        <f>VLOOKUP($B204,'标准费用表-2024年&amp;2025年优化'!$D:$E,2,0)</f>
        <v>正大食品（徐州）有限公司</v>
      </c>
      <c r="D204" t="s">
        <v>50</v>
      </c>
      <c r="E204" s="46">
        <f>IFERROR(VLOOKUP($B204,'标准费用表-2024年&amp;2025年优化'!$D:$K,8,0)*系数辅助表!$J$6*VLOOKUP('5.成本表'!$D204,系数辅助表!$C:$G,5,0)/VLOOKUP($D204,系数辅助表!$C:$E,3,0),0)</f>
        <v>0.583661070389218</v>
      </c>
      <c r="I204" s="36">
        <f>VLOOKUP($D204,系数辅助表!$C:$F,4,0)</f>
        <v>1.8513510498021799</v>
      </c>
      <c r="J204" s="2" t="s">
        <v>200</v>
      </c>
    </row>
    <row r="205" spans="2:10" x14ac:dyDescent="0.3">
      <c r="B205" s="47" t="s">
        <v>150</v>
      </c>
      <c r="C205" t="str">
        <f>VLOOKUP($B205,'标准费用表-2024年&amp;2025年优化'!$D:$E,2,0)</f>
        <v>正大食品（徐州）有限公司</v>
      </c>
      <c r="D205" t="s">
        <v>51</v>
      </c>
      <c r="E205" s="46">
        <f>IFERROR(VLOOKUP($B205,'标准费用表-2024年&amp;2025年优化'!$D:$K,8,0)*系数辅助表!$J$6*VLOOKUP('5.成本表'!$D205,系数辅助表!$C:$G,5,0)/VLOOKUP($D205,系数辅助表!$C:$E,3,0),0)</f>
        <v>0.84668495108442898</v>
      </c>
      <c r="I205" s="36">
        <f>VLOOKUP($D205,系数辅助表!$C:$F,4,0)</f>
        <v>2.68565294580391</v>
      </c>
      <c r="J205" s="2" t="s">
        <v>200</v>
      </c>
    </row>
    <row r="206" spans="2:10" x14ac:dyDescent="0.3">
      <c r="B206" s="47" t="s">
        <v>150</v>
      </c>
      <c r="C206" t="str">
        <f>VLOOKUP($B206,'标准费用表-2024年&amp;2025年优化'!$D:$E,2,0)</f>
        <v>正大食品（徐州）有限公司</v>
      </c>
      <c r="D206" t="s">
        <v>52</v>
      </c>
      <c r="E206" s="46">
        <f>IFERROR(VLOOKUP($B206,'标准费用表-2024年&amp;2025年优化'!$D:$K,8,0)*系数辅助表!$J$6*VLOOKUP('5.成本表'!$D206,系数辅助表!$C:$G,5,0)/VLOOKUP($D206,系数辅助表!$C:$E,3,0),0)</f>
        <v>0.49466966350282099</v>
      </c>
      <c r="I206" s="36">
        <f>VLOOKUP($D206,系数辅助表!$C:$F,4,0)</f>
        <v>1.5690736410097099</v>
      </c>
      <c r="J206" s="2" t="s">
        <v>200</v>
      </c>
    </row>
    <row r="207" spans="2:10" x14ac:dyDescent="0.3">
      <c r="B207" s="47" t="s">
        <v>150</v>
      </c>
      <c r="C207" t="str">
        <f>VLOOKUP($B207,'标准费用表-2024年&amp;2025年优化'!$D:$E,2,0)</f>
        <v>正大食品（徐州）有限公司</v>
      </c>
      <c r="D207" t="s">
        <v>53</v>
      </c>
      <c r="E207" s="46">
        <f>IFERROR(VLOOKUP($B207,'标准费用表-2024年&amp;2025年优化'!$D:$K,8,0)*系数辅助表!$J$6*VLOOKUP('5.成本表'!$D207,系数辅助表!$C:$G,5,0)/VLOOKUP($D207,系数辅助表!$C:$E,3,0),0)</f>
        <v>0.45428484849356698</v>
      </c>
      <c r="I207" s="36">
        <f>VLOOKUP($D207,系数辅助表!$C:$F,4,0)</f>
        <v>1.44097452072131</v>
      </c>
      <c r="J207" s="2" t="s">
        <v>200</v>
      </c>
    </row>
    <row r="208" spans="2:10" x14ac:dyDescent="0.3">
      <c r="B208" s="47" t="s">
        <v>150</v>
      </c>
      <c r="C208" t="str">
        <f>VLOOKUP($B208,'标准费用表-2024年&amp;2025年优化'!$D:$E,2,0)</f>
        <v>正大食品（徐州）有限公司</v>
      </c>
      <c r="D208" t="s">
        <v>54</v>
      </c>
      <c r="E208" s="46">
        <f>IFERROR(VLOOKUP($B208,'标准费用表-2024年&amp;2025年优化'!$D:$K,8,0)*系数辅助表!$J$6*VLOOKUP('5.成本表'!$D208,系数辅助表!$C:$G,5,0)/VLOOKUP($D208,系数辅助表!$C:$E,3,0),0)</f>
        <v>0.580345146685327</v>
      </c>
      <c r="I208" s="36">
        <f>VLOOKUP($D208,系数辅助表!$C:$F,4,0)</f>
        <v>1.8408330640366199</v>
      </c>
      <c r="J208" s="2" t="s">
        <v>200</v>
      </c>
    </row>
    <row r="209" spans="2:10" x14ac:dyDescent="0.3">
      <c r="B209" s="47" t="s">
        <v>150</v>
      </c>
      <c r="C209" t="str">
        <f>VLOOKUP($B209,'标准费用表-2024年&amp;2025年优化'!$D:$E,2,0)</f>
        <v>正大食品（徐州）有限公司</v>
      </c>
      <c r="D209" t="s">
        <v>55</v>
      </c>
      <c r="E209" s="46">
        <f>IFERROR(VLOOKUP($B209,'标准费用表-2024年&amp;2025年优化'!$D:$K,8,0)*系数辅助表!$J$6*VLOOKUP('5.成本表'!$D209,系数辅助表!$C:$G,5,0)/VLOOKUP($D209,系数辅助表!$C:$E,3,0),0)</f>
        <v>1.00938875174192</v>
      </c>
      <c r="I209" s="36">
        <f>VLOOKUP($D209,系数辅助表!$C:$F,4,0)</f>
        <v>3.2017433061789502</v>
      </c>
      <c r="J209" s="2" t="s">
        <v>200</v>
      </c>
    </row>
    <row r="210" spans="2:10" x14ac:dyDescent="0.3">
      <c r="B210" s="47" t="s">
        <v>150</v>
      </c>
      <c r="C210" t="str">
        <f>VLOOKUP($B210,'标准费用表-2024年&amp;2025年优化'!$D:$E,2,0)</f>
        <v>正大食品（徐州）有限公司</v>
      </c>
      <c r="D210" t="s">
        <v>56</v>
      </c>
      <c r="E210" s="46">
        <f>IFERROR(VLOOKUP($B210,'标准费用表-2024年&amp;2025年优化'!$D:$K,8,0)*系数辅助表!$J$6*VLOOKUP('5.成本表'!$D210,系数辅助表!$C:$G,5,0)/VLOOKUP($D210,系数辅助表!$C:$E,3,0),0)</f>
        <v>0.17185400649344201</v>
      </c>
      <c r="I210" s="36">
        <f>VLOOKUP($D210,系数辅助表!$C:$F,4,0)</f>
        <v>0.54511447049599404</v>
      </c>
      <c r="J210" s="2" t="s">
        <v>200</v>
      </c>
    </row>
    <row r="211" spans="2:10" x14ac:dyDescent="0.3">
      <c r="B211" s="47" t="s">
        <v>150</v>
      </c>
      <c r="C211" t="str">
        <f>VLOOKUP($B211,'标准费用表-2024年&amp;2025年优化'!$D:$E,2,0)</f>
        <v>正大食品（徐州）有限公司</v>
      </c>
      <c r="D211" t="s">
        <v>57</v>
      </c>
      <c r="E211" s="46">
        <f>IFERROR(VLOOKUP($B211,'标准费用表-2024年&amp;2025年优化'!$D:$K,8,0)*系数辅助表!$J$6*VLOOKUP('5.成本表'!$D211,系数辅助表!$C:$G,5,0)/VLOOKUP($D211,系数辅助表!$C:$E,3,0),0)</f>
        <v>3.9788893795715097E-2</v>
      </c>
      <c r="I211" s="36">
        <f>VLOOKUP($D211,系数辅助表!$C:$F,4,0)</f>
        <v>0.126208880523832</v>
      </c>
      <c r="J211" s="2" t="s">
        <v>200</v>
      </c>
    </row>
    <row r="212" spans="2:10" x14ac:dyDescent="0.3">
      <c r="B212" s="47" t="s">
        <v>150</v>
      </c>
      <c r="C212" t="str">
        <f>VLOOKUP($B212,'标准费用表-2024年&amp;2025年优化'!$D:$E,2,0)</f>
        <v>正大食品（徐州）有限公司</v>
      </c>
      <c r="D212" t="s">
        <v>58</v>
      </c>
      <c r="E212" s="46">
        <f>IFERROR(VLOOKUP($B212,'标准费用表-2024年&amp;2025年优化'!$D:$K,8,0)*系数辅助表!$J$6*VLOOKUP('5.成本表'!$D212,系数辅助表!$C:$G,5,0)/VLOOKUP($D212,系数辅助表!$C:$E,3,0),0)</f>
        <v>0.213471694186807</v>
      </c>
      <c r="I212" s="36">
        <f>VLOOKUP($D212,系数辅助表!$C:$F,4,0)</f>
        <v>0.67712421675176204</v>
      </c>
      <c r="J212" s="2" t="s">
        <v>200</v>
      </c>
    </row>
    <row r="213" spans="2:10" x14ac:dyDescent="0.3">
      <c r="B213" s="47" t="s">
        <v>150</v>
      </c>
      <c r="C213" t="str">
        <f>VLOOKUP($B213,'标准费用表-2024年&amp;2025年优化'!$D:$E,2,0)</f>
        <v>正大食品（徐州）有限公司</v>
      </c>
      <c r="D213" t="s">
        <v>59</v>
      </c>
      <c r="E213" s="46">
        <f>IFERROR(VLOOKUP($B213,'标准费用表-2024年&amp;2025年优化'!$D:$K,8,0)*系数辅助表!$J$6*VLOOKUP('5.成本表'!$D213,系数辅助表!$C:$G,5,0)/VLOOKUP($D213,系数辅助表!$C:$E,3,0),0)</f>
        <v>0.139628066258002</v>
      </c>
      <c r="I213" s="36">
        <f>VLOOKUP($D213,系数辅助表!$C:$F,4,0)</f>
        <v>0.44289499533730498</v>
      </c>
      <c r="J213" s="2" t="s">
        <v>200</v>
      </c>
    </row>
    <row r="214" spans="2:10" x14ac:dyDescent="0.3">
      <c r="B214" s="47" t="s">
        <v>150</v>
      </c>
      <c r="C214" t="str">
        <f>VLOOKUP($B214,'标准费用表-2024年&amp;2025年优化'!$D:$E,2,0)</f>
        <v>正大食品（徐州）有限公司</v>
      </c>
      <c r="D214" t="s">
        <v>60</v>
      </c>
      <c r="E214" s="46">
        <f>IFERROR(VLOOKUP($B214,'标准费用表-2024年&amp;2025年优化'!$D:$K,8,0)*系数辅助表!$J$6*VLOOKUP('5.成本表'!$D214,系数辅助表!$C:$G,5,0)/VLOOKUP($D214,系数辅助表!$C:$E,3,0),0)</f>
        <v>9.2547268669853799E-2</v>
      </c>
      <c r="I214" s="36">
        <f>VLOOKUP($D214,系数辅助表!$C:$F,4,0)</f>
        <v>0.29355646915769201</v>
      </c>
      <c r="J214" s="2" t="s">
        <v>200</v>
      </c>
    </row>
    <row r="215" spans="2:10" x14ac:dyDescent="0.3">
      <c r="B215" s="47" t="s">
        <v>150</v>
      </c>
      <c r="C215" t="str">
        <f>VLOOKUP($B215,'标准费用表-2024年&amp;2025年优化'!$D:$E,2,0)</f>
        <v>正大食品（徐州）有限公司</v>
      </c>
      <c r="D215" t="s">
        <v>61</v>
      </c>
      <c r="E215" s="46">
        <f>IFERROR(VLOOKUP($B215,'标准费用表-2024年&amp;2025年优化'!$D:$K,8,0)*系数辅助表!$J$6*VLOOKUP('5.成本表'!$D215,系数辅助表!$C:$G,5,0)/VLOOKUP($D215,系数辅助表!$C:$E,3,0),0)</f>
        <v>1.5978490482489501E-2</v>
      </c>
      <c r="I215" s="36">
        <f>VLOOKUP($D215,系数辅助表!$C:$F,4,0)</f>
        <v>5.0683173214352499E-2</v>
      </c>
      <c r="J215" s="2" t="s">
        <v>200</v>
      </c>
    </row>
    <row r="216" spans="2:10" x14ac:dyDescent="0.3">
      <c r="B216" s="47" t="s">
        <v>150</v>
      </c>
      <c r="C216" t="str">
        <f>VLOOKUP($B216,'标准费用表-2024年&amp;2025年优化'!$D:$E,2,0)</f>
        <v>正大食品（徐州）有限公司</v>
      </c>
      <c r="D216" t="s">
        <v>62</v>
      </c>
      <c r="E216" s="46">
        <f>IFERROR(VLOOKUP($B216,'标准费用表-2024年&amp;2025年优化'!$D:$K,8,0)*系数辅助表!$J$6*VLOOKUP('5.成本表'!$D216,系数辅助表!$C:$G,5,0)/VLOOKUP($D216,系数辅助表!$C:$E,3,0),0)</f>
        <v>8.3618753071607196E-2</v>
      </c>
      <c r="I216" s="36">
        <f>VLOOKUP($D216,系数辅助表!$C:$F,4,0)</f>
        <v>0.26523555216563399</v>
      </c>
      <c r="J216" s="2" t="s">
        <v>200</v>
      </c>
    </row>
    <row r="217" spans="2:10" x14ac:dyDescent="0.3">
      <c r="B217" s="47" t="s">
        <v>150</v>
      </c>
      <c r="C217" t="str">
        <f>VLOOKUP($B217,'标准费用表-2024年&amp;2025年优化'!$D:$E,2,0)</f>
        <v>正大食品（徐州）有限公司</v>
      </c>
      <c r="D217" t="s">
        <v>63</v>
      </c>
      <c r="E217" s="46">
        <f>IFERROR(VLOOKUP($B217,'标准费用表-2024年&amp;2025年优化'!$D:$K,8,0)*系数辅助表!$J$6*VLOOKUP('5.成本表'!$D217,系数辅助表!$C:$G,5,0)/VLOOKUP($D217,系数辅助表!$C:$E,3,0),0)</f>
        <v>7.6731303674170803E-2</v>
      </c>
      <c r="I217" s="36">
        <f>VLOOKUP($D217,系数辅助表!$C:$F,4,0)</f>
        <v>0.24338882069886</v>
      </c>
      <c r="J217" s="2" t="s">
        <v>200</v>
      </c>
    </row>
    <row r="218" spans="2:10" x14ac:dyDescent="0.3">
      <c r="B218" s="47" t="s">
        <v>150</v>
      </c>
      <c r="C218" t="str">
        <f>VLOOKUP($B218,'标准费用表-2024年&amp;2025年优化'!$D:$E,2,0)</f>
        <v>正大食品（徐州）有限公司</v>
      </c>
      <c r="D218" t="s">
        <v>64</v>
      </c>
      <c r="E218" s="46">
        <f>IFERROR(VLOOKUP($B218,'标准费用表-2024年&amp;2025年优化'!$D:$K,8,0)*系数辅助表!$J$6*VLOOKUP('5.成本表'!$D218,系数辅助表!$C:$G,5,0)/VLOOKUP($D218,系数辅助表!$C:$E,3,0),0)</f>
        <v>0.26844531077799899</v>
      </c>
      <c r="I218" s="36">
        <f>VLOOKUP($D218,系数辅助表!$C:$F,4,0)</f>
        <v>0.85149846912336002</v>
      </c>
      <c r="J218" s="2" t="s">
        <v>200</v>
      </c>
    </row>
    <row r="219" spans="2:10" x14ac:dyDescent="0.3">
      <c r="B219" s="47" t="s">
        <v>150</v>
      </c>
      <c r="C219" t="str">
        <f>VLOOKUP($B219,'标准费用表-2024年&amp;2025年优化'!$D:$E,2,0)</f>
        <v>正大食品（徐州）有限公司</v>
      </c>
      <c r="D219" t="s">
        <v>65</v>
      </c>
      <c r="E219" s="46">
        <f>IFERROR(VLOOKUP($B219,'标准费用表-2024年&amp;2025年优化'!$D:$K,8,0)*系数辅助表!$J$6*VLOOKUP('5.成本表'!$D219,系数辅助表!$C:$G,5,0)/VLOOKUP($D219,系数辅助表!$C:$E,3,0),0)</f>
        <v>0.31442194077797198</v>
      </c>
      <c r="I219" s="36">
        <f>VLOOKUP($D219,系数辅助表!$C:$F,4,0)</f>
        <v>0.99733461707829196</v>
      </c>
      <c r="J219" s="2" t="s">
        <v>200</v>
      </c>
    </row>
    <row r="220" spans="2:10" x14ac:dyDescent="0.3">
      <c r="B220" s="47" t="s">
        <v>150</v>
      </c>
      <c r="C220" t="str">
        <f>VLOOKUP($B220,'标准费用表-2024年&amp;2025年优化'!$D:$E,2,0)</f>
        <v>正大食品（徐州）有限公司</v>
      </c>
      <c r="D220" t="s">
        <v>66</v>
      </c>
      <c r="E220" s="46">
        <f>IFERROR(VLOOKUP($B220,'标准费用表-2024年&amp;2025年优化'!$D:$K,8,0)*系数辅助表!$J$6*VLOOKUP('5.成本表'!$D220,系数辅助表!$C:$G,5,0)/VLOOKUP($D220,系数辅助表!$C:$E,3,0),0)</f>
        <v>8.9906405639022802E-2</v>
      </c>
      <c r="I220" s="36">
        <f>VLOOKUP($D220,系数辅助表!$C:$F,4,0)</f>
        <v>0.28517975055754302</v>
      </c>
      <c r="J220" s="2" t="s">
        <v>200</v>
      </c>
    </row>
    <row r="221" spans="2:10" x14ac:dyDescent="0.3">
      <c r="B221" s="47" t="s">
        <v>150</v>
      </c>
      <c r="C221" t="str">
        <f>VLOOKUP($B221,'标准费用表-2024年&amp;2025年优化'!$D:$E,2,0)</f>
        <v>正大食品（徐州）有限公司</v>
      </c>
      <c r="D221" t="s">
        <v>67</v>
      </c>
      <c r="E221" s="46">
        <f>IFERROR(VLOOKUP($B221,'标准费用表-2024年&amp;2025年优化'!$D:$K,8,0)*系数辅助表!$J$6*VLOOKUP('5.成本表'!$D221,系数辅助表!$C:$G,5,0)/VLOOKUP($D221,系数辅助表!$C:$E,3,0),0)</f>
        <v>2.67495793230258E-2</v>
      </c>
      <c r="I221" s="36">
        <f>VLOOKUP($D221,系数辅助表!$C:$F,4,0)</f>
        <v>8.4848663503333893E-2</v>
      </c>
      <c r="J221" s="2" t="s">
        <v>200</v>
      </c>
    </row>
    <row r="222" spans="2:10" x14ac:dyDescent="0.3">
      <c r="B222" s="47" t="s">
        <v>150</v>
      </c>
      <c r="C222" t="str">
        <f>VLOOKUP($B222,'标准费用表-2024年&amp;2025年优化'!$D:$E,2,0)</f>
        <v>正大食品（徐州）有限公司</v>
      </c>
      <c r="D222" t="s">
        <v>68</v>
      </c>
      <c r="E222" s="36">
        <f>IFERROR(VLOOKUP($B222,'标准费用表-2024年&amp;2025年优化'!$D:$K,8,0)*VLOOKUP("白条",系数辅助表!$C:$G,5,0)*VLOOKUP('5.成本表'!$D222,系数辅助表!$C:$G,5,0)/VLOOKUP('5.成本表'!$D222,系数辅助表!$C:$E,3,0),)</f>
        <v>0.65186375555870801</v>
      </c>
      <c r="F222" s="36">
        <f>IFERROR(VLOOKUP($B222,'标准费用表-2024年&amp;2025年优化'!$D:$L,9,0)*VLOOKUP('5.成本表'!$D222,系数辅助表!$C:$G,5,0)/VLOOKUP($D222,系数辅助表!$C:$E,3,0),0)</f>
        <v>0.893863905102663</v>
      </c>
      <c r="I222" s="36">
        <f>VLOOKUP($D222,系数辅助表!$C:$F,4,0)</f>
        <v>2.2799999999999998</v>
      </c>
      <c r="J222" s="2" t="s">
        <v>69</v>
      </c>
    </row>
    <row r="223" spans="2:10" x14ac:dyDescent="0.3">
      <c r="B223" s="47" t="s">
        <v>150</v>
      </c>
      <c r="C223" t="str">
        <f>VLOOKUP($B223,'标准费用表-2024年&amp;2025年优化'!$D:$E,2,0)</f>
        <v>正大食品（徐州）有限公司</v>
      </c>
      <c r="D223" t="s">
        <v>70</v>
      </c>
      <c r="E223" s="36">
        <f>IFERROR(VLOOKUP($B223,'标准费用表-2024年&amp;2025年优化'!$D:$K,8,0)*VLOOKUP("白条",系数辅助表!$C:$G,5,0)*VLOOKUP('5.成本表'!$D223,系数辅助表!$C:$G,5,0)/VLOOKUP('5.成本表'!$D223,系数辅助表!$C:$E,3,0),)</f>
        <v>0.43564035385766697</v>
      </c>
      <c r="F223" s="36">
        <f>IFERROR(VLOOKUP($B223,'标准费用表-2024年&amp;2025年优化'!$D:$L,9,0)*VLOOKUP('5.成本表'!$D223,系数辅助表!$C:$G,5,0)/VLOOKUP($D223,系数辅助表!$C:$E,3,0),0)</f>
        <v>0.59736898178326503</v>
      </c>
      <c r="I223" s="36">
        <f>VLOOKUP($D223,系数辅助表!$C:$F,4,0)</f>
        <v>1.5237233215154999</v>
      </c>
      <c r="J223" s="2" t="s">
        <v>69</v>
      </c>
    </row>
    <row r="224" spans="2:10" x14ac:dyDescent="0.3">
      <c r="B224" s="47" t="s">
        <v>150</v>
      </c>
      <c r="C224" t="str">
        <f>VLOOKUP($B224,'标准费用表-2024年&amp;2025年优化'!$D:$E,2,0)</f>
        <v>正大食品（徐州）有限公司</v>
      </c>
      <c r="D224" t="s">
        <v>71</v>
      </c>
      <c r="E224" s="36">
        <f>IFERROR(VLOOKUP($B224,'标准费用表-2024年&amp;2025年优化'!$D:$K,8,0)*VLOOKUP("白条",系数辅助表!$C:$G,5,0)*VLOOKUP('5.成本表'!$D224,系数辅助表!$C:$G,5,0)/VLOOKUP('5.成本表'!$D224,系数辅助表!$C:$E,3,0),)</f>
        <v>1.1529572599658</v>
      </c>
      <c r="F224" s="36">
        <f>IFERROR(VLOOKUP($B224,'标准费用表-2024年&amp;2025年优化'!$D:$L,9,0)*VLOOKUP('5.成本表'!$D224,系数辅助表!$C:$G,5,0)/VLOOKUP($D224,系数辅助表!$C:$E,3,0),0)</f>
        <v>1.58098509085873</v>
      </c>
      <c r="I224" s="36">
        <f>VLOOKUP($D224,系数辅助表!$C:$F,4,0)</f>
        <v>4.0326564106466396</v>
      </c>
      <c r="J224" s="2" t="s">
        <v>69</v>
      </c>
    </row>
    <row r="225" spans="2:10" x14ac:dyDescent="0.3">
      <c r="B225" s="47" t="s">
        <v>150</v>
      </c>
      <c r="C225" t="str">
        <f>VLOOKUP($B225,'标准费用表-2024年&amp;2025年优化'!$D:$E,2,0)</f>
        <v>正大食品（徐州）有限公司</v>
      </c>
      <c r="D225" t="s">
        <v>72</v>
      </c>
      <c r="E225" s="36">
        <f>IFERROR(VLOOKUP($B225,'标准费用表-2024年&amp;2025年优化'!$D:$K,8,0)*VLOOKUP("白条",系数辅助表!$C:$G,5,0)*VLOOKUP('5.成本表'!$D225,系数辅助表!$C:$G,5,0)/VLOOKUP('5.成本表'!$D225,系数辅助表!$C:$E,3,0),)</f>
        <v>0.67147112362675898</v>
      </c>
      <c r="F225" s="36">
        <f>IFERROR(VLOOKUP($B225,'标准费用表-2024年&amp;2025年优化'!$D:$L,9,0)*VLOOKUP('5.成本表'!$D225,系数辅助表!$C:$G,5,0)/VLOOKUP($D225,系数辅助表!$C:$E,3,0),0)</f>
        <v>0.92075038013772803</v>
      </c>
      <c r="I225" s="36">
        <f>VLOOKUP($D225,系数辅助表!$C:$F,4,0)</f>
        <v>2.34857997367385</v>
      </c>
      <c r="J225" s="2" t="s">
        <v>69</v>
      </c>
    </row>
    <row r="226" spans="2:10" x14ac:dyDescent="0.3">
      <c r="B226" s="47" t="s">
        <v>150</v>
      </c>
      <c r="C226" t="str">
        <f>VLOOKUP($B226,'标准费用表-2024年&amp;2025年优化'!$D:$E,2,0)</f>
        <v>正大食品（徐州）有限公司</v>
      </c>
      <c r="D226" t="s">
        <v>73</v>
      </c>
      <c r="E226" s="36">
        <f>IFERROR(VLOOKUP($B226,'标准费用表-2024年&amp;2025年优化'!$D:$K,8,0)*VLOOKUP("白条",系数辅助表!$C:$G,5,0)*VLOOKUP('5.成本表'!$D226,系数辅助表!$C:$G,5,0)/VLOOKUP('5.成本表'!$D226,系数辅助表!$C:$E,3,0),)</f>
        <v>0.403376990403429</v>
      </c>
      <c r="F226" s="36">
        <f>IFERROR(VLOOKUP($B226,'标准费用表-2024年&amp;2025年优化'!$D:$L,9,0)*VLOOKUP('5.成本表'!$D226,系数辅助表!$C:$G,5,0)/VLOOKUP($D226,系数辅助表!$C:$E,3,0),0)</f>
        <v>0.55312805597165204</v>
      </c>
      <c r="I226" s="36">
        <f>VLOOKUP($D226,系数辅助表!$C:$F,4,0)</f>
        <v>1.41087693598112</v>
      </c>
      <c r="J226" s="2" t="s">
        <v>69</v>
      </c>
    </row>
    <row r="227" spans="2:10" x14ac:dyDescent="0.3">
      <c r="B227" s="47" t="s">
        <v>150</v>
      </c>
      <c r="C227" t="str">
        <f>VLOOKUP($B227,'标准费用表-2024年&amp;2025年优化'!$D:$E,2,0)</f>
        <v>正大食品（徐州）有限公司</v>
      </c>
      <c r="D227" t="s">
        <v>74</v>
      </c>
      <c r="E227" s="36">
        <f>IFERROR(VLOOKUP($B227,'标准费用表-2024年&amp;2025年优化'!$D:$K,8,0)*VLOOKUP("白条",系数辅助表!$C:$G,5,0)*VLOOKUP('5.成本表'!$D227,系数辅助表!$C:$G,5,0)/VLOOKUP('5.成本表'!$D227,系数辅助表!$C:$E,3,0),)</f>
        <v>0.54467856974836204</v>
      </c>
      <c r="F227" s="36">
        <f>IFERROR(VLOOKUP($B227,'标准费用表-2024年&amp;2025年优化'!$D:$L,9,0)*VLOOKUP('5.成本表'!$D227,系数辅助表!$C:$G,5,0)/VLOOKUP($D227,系数辅助表!$C:$E,3,0),0)</f>
        <v>0.74688692112313004</v>
      </c>
      <c r="I227" s="36">
        <f>VLOOKUP($D227,系数辅助表!$C:$F,4,0)</f>
        <v>1.9051022985038799</v>
      </c>
      <c r="J227" s="2" t="s">
        <v>69</v>
      </c>
    </row>
    <row r="228" spans="2:10" x14ac:dyDescent="0.3">
      <c r="B228" s="47" t="s">
        <v>150</v>
      </c>
      <c r="C228" t="str">
        <f>VLOOKUP($B228,'标准费用表-2024年&amp;2025年优化'!$D:$E,2,0)</f>
        <v>正大食品（徐州）有限公司</v>
      </c>
      <c r="D228" t="s">
        <v>75</v>
      </c>
      <c r="E228" s="36">
        <f>IFERROR(VLOOKUP($B228,'标准费用表-2024年&amp;2025年优化'!$D:$K,8,0)*VLOOKUP("白条",系数辅助表!$C:$G,5,0)*VLOOKUP('5.成本表'!$D228,系数辅助表!$C:$G,5,0)/VLOOKUP('5.成本表'!$D228,系数辅助表!$C:$E,3,0),)</f>
        <v>0.40784825994934198</v>
      </c>
      <c r="F228" s="36">
        <f>IFERROR(VLOOKUP($B228,'标准费用表-2024年&amp;2025年优化'!$D:$L,9,0)*VLOOKUP('5.成本表'!$D228,系数辅助表!$C:$G,5,0)/VLOOKUP($D228,系数辅助表!$C:$E,3,0),0)</f>
        <v>0.559259255049672</v>
      </c>
      <c r="I228" s="36">
        <f>VLOOKUP($D228,系数辅助表!$C:$F,4,0)</f>
        <v>1.42651593182611</v>
      </c>
      <c r="J228" s="2" t="s">
        <v>69</v>
      </c>
    </row>
    <row r="229" spans="2:10" x14ac:dyDescent="0.3">
      <c r="B229" s="47" t="s">
        <v>150</v>
      </c>
      <c r="C229" t="str">
        <f>VLOOKUP($B229,'标准费用表-2024年&amp;2025年优化'!$D:$E,2,0)</f>
        <v>正大食品（徐州）有限公司</v>
      </c>
      <c r="D229" t="s">
        <v>76</v>
      </c>
      <c r="E229" s="36">
        <f>IFERROR(VLOOKUP($B229,'标准费用表-2024年&amp;2025年优化'!$D:$K,8,0)*VLOOKUP("白条",系数辅助表!$C:$G,5,0)*VLOOKUP('5.成本表'!$D229,系数辅助表!$C:$G,5,0)/VLOOKUP('5.成本表'!$D229,系数辅助表!$C:$E,3,0),)</f>
        <v>0.415586757323407</v>
      </c>
      <c r="F229" s="36">
        <f>IFERROR(VLOOKUP($B229,'标准费用表-2024年&amp;2025年优化'!$D:$L,9,0)*VLOOKUP('5.成本表'!$D229,系数辅助表!$C:$G,5,0)/VLOOKUP($D229,系数辅助表!$C:$E,3,0),0)</f>
        <v>0.56987061888670598</v>
      </c>
      <c r="I229" s="36">
        <f>VLOOKUP($D229,系数辅助表!$C:$F,4,0)</f>
        <v>1.4535825908670701</v>
      </c>
      <c r="J229" s="2" t="s">
        <v>69</v>
      </c>
    </row>
    <row r="230" spans="2:10" x14ac:dyDescent="0.3">
      <c r="B230" s="47" t="s">
        <v>150</v>
      </c>
      <c r="C230" t="str">
        <f>VLOOKUP($B230,'标准费用表-2024年&amp;2025年优化'!$D:$E,2,0)</f>
        <v>正大食品（徐州）有限公司</v>
      </c>
      <c r="D230" t="s">
        <v>77</v>
      </c>
      <c r="E230" s="36">
        <f>IFERROR(VLOOKUP($B230,'标准费用表-2024年&amp;2025年优化'!$D:$K,8,0)*VLOOKUP("白条",系数辅助表!$C:$G,5,0)*VLOOKUP('5.成本表'!$D230,系数辅助表!$C:$G,5,0)/VLOOKUP('5.成本表'!$D230,系数辅助表!$C:$E,3,0),)</f>
        <v>0.41200023218649801</v>
      </c>
      <c r="F230" s="36">
        <f>IFERROR(VLOOKUP($B230,'标准费用表-2024年&amp;2025年优化'!$D:$L,9,0)*VLOOKUP('5.成本表'!$D230,系数辅助表!$C:$G,5,0)/VLOOKUP($D230,系数辅助表!$C:$E,3,0),0)</f>
        <v>0.56495261978445699</v>
      </c>
      <c r="I230" s="36">
        <f>VLOOKUP($D230,系数辅助表!$C:$F,4,0)</f>
        <v>1.4410381331603499</v>
      </c>
      <c r="J230" s="2" t="s">
        <v>69</v>
      </c>
    </row>
    <row r="231" spans="2:10" x14ac:dyDescent="0.3">
      <c r="B231" s="47" t="s">
        <v>150</v>
      </c>
      <c r="C231" t="str">
        <f>VLOOKUP($B231,'标准费用表-2024年&amp;2025年优化'!$D:$E,2,0)</f>
        <v>正大食品（徐州）有限公司</v>
      </c>
      <c r="D231" t="s">
        <v>78</v>
      </c>
      <c r="E231" s="36">
        <f>IFERROR(VLOOKUP($B231,'标准费用表-2024年&amp;2025年优化'!$D:$K,8,0)*VLOOKUP("白条",系数辅助表!$C:$G,5,0)*VLOOKUP('5.成本表'!$D231,系数辅助表!$C:$G,5,0)/VLOOKUP('5.成本表'!$D231,系数辅助表!$C:$E,3,0),)</f>
        <v>0.35333092057250598</v>
      </c>
      <c r="F231" s="36">
        <f>IFERROR(VLOOKUP($B231,'标准费用表-2024年&amp;2025年优化'!$D:$L,9,0)*VLOOKUP('5.成本表'!$D231,系数辅助表!$C:$G,5,0)/VLOOKUP($D231,系数辅助表!$C:$E,3,0),0)</f>
        <v>0.48450271051772698</v>
      </c>
      <c r="I231" s="36">
        <f>VLOOKUP($D231,系数辅助表!$C:$F,4,0)</f>
        <v>1.2358326291892801</v>
      </c>
      <c r="J231" s="2" t="s">
        <v>69</v>
      </c>
    </row>
    <row r="232" spans="2:10" x14ac:dyDescent="0.3">
      <c r="B232" s="47" t="s">
        <v>150</v>
      </c>
      <c r="C232" t="str">
        <f>VLOOKUP($B232,'标准费用表-2024年&amp;2025年优化'!$D:$E,2,0)</f>
        <v>正大食品（徐州）有限公司</v>
      </c>
      <c r="D232" t="s">
        <v>79</v>
      </c>
      <c r="E232" s="36">
        <f>IFERROR(VLOOKUP($B232,'标准费用表-2024年&amp;2025年优化'!$D:$K,8,0)*VLOOKUP("白条",系数辅助表!$C:$G,5,0)*VLOOKUP('5.成本表'!$D232,系数辅助表!$C:$G,5,0)/VLOOKUP('5.成本表'!$D232,系数辅助表!$C:$E,3,0),)</f>
        <v>0.24679819648828499</v>
      </c>
      <c r="F232" s="36">
        <f>IFERROR(VLOOKUP($B232,'标准费用表-2024年&amp;2025年优化'!$D:$L,9,0)*VLOOKUP('5.成本表'!$D232,系数辅助表!$C:$G,5,0)/VLOOKUP($D232,系数辅助表!$C:$E,3,0),0)</f>
        <v>0.33842041040651899</v>
      </c>
      <c r="I232" s="36">
        <f>VLOOKUP($D232,系数辅助表!$C:$F,4,0)</f>
        <v>0.86321701919291904</v>
      </c>
      <c r="J232" s="2" t="s">
        <v>69</v>
      </c>
    </row>
    <row r="233" spans="2:10" x14ac:dyDescent="0.3">
      <c r="B233" s="47" t="s">
        <v>150</v>
      </c>
      <c r="C233" t="str">
        <f>VLOOKUP($B233,'标准费用表-2024年&amp;2025年优化'!$D:$E,2,0)</f>
        <v>正大食品（徐州）有限公司</v>
      </c>
      <c r="D233" t="s">
        <v>80</v>
      </c>
      <c r="E233" s="36">
        <f>IFERROR(VLOOKUP($B233,'标准费用表-2024年&amp;2025年优化'!$D:$K,8,0)*VLOOKUP("白条",系数辅助表!$C:$G,5,0)*VLOOKUP('5.成本表'!$D233,系数辅助表!$C:$G,5,0)/VLOOKUP('5.成本表'!$D233,系数辅助表!$C:$E,3,0),)</f>
        <v>0.22783036476749199</v>
      </c>
      <c r="F233" s="36">
        <f>IFERROR(VLOOKUP($B233,'标准费用表-2024年&amp;2025年优化'!$D:$L,9,0)*VLOOKUP('5.成本表'!$D233,系数辅助表!$C:$G,5,0)/VLOOKUP($D233,系数辅助表!$C:$E,3,0),0)</f>
        <v>0.31241089539866801</v>
      </c>
      <c r="I233" s="36">
        <f>VLOOKUP($D233,系数辅助表!$C:$F,4,0)</f>
        <v>0.796873928394225</v>
      </c>
      <c r="J233" s="2" t="s">
        <v>69</v>
      </c>
    </row>
    <row r="234" spans="2:10" x14ac:dyDescent="0.3">
      <c r="B234" s="47" t="s">
        <v>150</v>
      </c>
      <c r="C234" t="str">
        <f>VLOOKUP($B234,'标准费用表-2024年&amp;2025年优化'!$D:$E,2,0)</f>
        <v>正大食品（徐州）有限公司</v>
      </c>
      <c r="D234" t="s">
        <v>81</v>
      </c>
      <c r="E234" s="36">
        <f>IFERROR(VLOOKUP($B234,'标准费用表-2024年&amp;2025年优化'!$D:$K,8,0)*VLOOKUP("白条",系数辅助表!$C:$G,5,0)*VLOOKUP('5.成本表'!$D234,系数辅助表!$C:$G,5,0)/VLOOKUP('5.成本表'!$D234,系数辅助表!$C:$E,3,0),)</f>
        <v>0.31415507556512101</v>
      </c>
      <c r="F234" s="36">
        <f>IFERROR(VLOOKUP($B234,'标准费用表-2024年&amp;2025年优化'!$D:$L,9,0)*VLOOKUP('5.成本表'!$D234,系数辅助表!$C:$G,5,0)/VLOOKUP($D234,系数辅助表!$C:$E,3,0),0)</f>
        <v>0.43078308965311102</v>
      </c>
      <c r="I234" s="36">
        <f>VLOOKUP($D234,系数辅助表!$C:$F,4,0)</f>
        <v>1.09880870991909</v>
      </c>
      <c r="J234" s="2" t="s">
        <v>69</v>
      </c>
    </row>
    <row r="235" spans="2:10" x14ac:dyDescent="0.3">
      <c r="B235" s="47" t="s">
        <v>150</v>
      </c>
      <c r="C235" t="str">
        <f>VLOOKUP($B235,'标准费用表-2024年&amp;2025年优化'!$D:$E,2,0)</f>
        <v>正大食品（徐州）有限公司</v>
      </c>
      <c r="D235" t="s">
        <v>82</v>
      </c>
      <c r="E235" s="36">
        <f>IFERROR(VLOOKUP($B235,'标准费用表-2024年&amp;2025年优化'!$D:$K,8,0)*VLOOKUP("白条",系数辅助表!$C:$G,5,0)*VLOOKUP('5.成本表'!$D235,系数辅助表!$C:$G,5,0)/VLOOKUP('5.成本表'!$D235,系数辅助表!$C:$E,3,0),)</f>
        <v>0.28624002860533898</v>
      </c>
      <c r="F235" s="36">
        <f>IFERROR(VLOOKUP($B235,'标准费用表-2024年&amp;2025年优化'!$D:$L,9,0)*VLOOKUP('5.成本表'!$D235,系数辅助表!$C:$G,5,0)/VLOOKUP($D235,系数辅助表!$C:$E,3,0),0)</f>
        <v>0.39250476435305198</v>
      </c>
      <c r="I235" s="36">
        <f>VLOOKUP($D235,系数辅助表!$C:$F,4,0)</f>
        <v>1.0011712718416299</v>
      </c>
      <c r="J235" s="2" t="s">
        <v>69</v>
      </c>
    </row>
    <row r="236" spans="2:10" x14ac:dyDescent="0.3">
      <c r="B236" s="47" t="s">
        <v>150</v>
      </c>
      <c r="C236" t="str">
        <f>VLOOKUP($B236,'标准费用表-2024年&amp;2025年优化'!$D:$E,2,0)</f>
        <v>正大食品（徐州）有限公司</v>
      </c>
      <c r="D236" t="s">
        <v>83</v>
      </c>
      <c r="E236" s="36">
        <f>IFERROR(VLOOKUP($B236,'标准费用表-2024年&amp;2025年优化'!$D:$K,8,0)*VLOOKUP("白条",系数辅助表!$C:$G,5,0)*VLOOKUP('5.成本表'!$D236,系数辅助表!$C:$G,5,0)/VLOOKUP('5.成本表'!$D236,系数辅助表!$C:$E,3,0),)</f>
        <v>0.25741549820104698</v>
      </c>
      <c r="F236" s="36">
        <f>IFERROR(VLOOKUP($B236,'标准费用表-2024年&amp;2025年优化'!$D:$L,9,0)*VLOOKUP('5.成本表'!$D236,系数辅助表!$C:$G,5,0)/VLOOKUP($D236,系数辅助表!$C:$E,3,0),0)</f>
        <v>0.35297931583682401</v>
      </c>
      <c r="I236" s="36">
        <f>VLOOKUP($D236,系数辅助表!$C:$F,4,0)</f>
        <v>0.90035276680685095</v>
      </c>
      <c r="J236" s="2" t="s">
        <v>69</v>
      </c>
    </row>
    <row r="237" spans="2:10" x14ac:dyDescent="0.3">
      <c r="B237" s="47" t="s">
        <v>150</v>
      </c>
      <c r="C237" t="str">
        <f>VLOOKUP($B237,'标准费用表-2024年&amp;2025年优化'!$D:$E,2,0)</f>
        <v>正大食品（徐州）有限公司</v>
      </c>
      <c r="D237" t="s">
        <v>84</v>
      </c>
      <c r="E237" s="36">
        <f>IFERROR(VLOOKUP($B237,'标准费用表-2024年&amp;2025年优化'!$D:$K,8,0)*VLOOKUP("白条",系数辅助表!$C:$G,5,0)*VLOOKUP('5.成本表'!$D237,系数辅助表!$C:$G,5,0)/VLOOKUP('5.成本表'!$D237,系数辅助表!$C:$E,3,0),)</f>
        <v>0.25855245321279402</v>
      </c>
      <c r="F237" s="36">
        <f>IFERROR(VLOOKUP($B237,'标准费用表-2024年&amp;2025年优化'!$D:$L,9,0)*VLOOKUP('5.成本表'!$D237,系数辅助表!$C:$G,5,0)/VLOOKUP($D237,系数辅助表!$C:$E,3,0),0)</f>
        <v>0.35453835794962801</v>
      </c>
      <c r="I237" s="36">
        <f>VLOOKUP($D237,系数辅助表!$C:$F,4,0)</f>
        <v>0.90432945273957599</v>
      </c>
      <c r="J237" s="2" t="s">
        <v>69</v>
      </c>
    </row>
    <row r="238" spans="2:10" x14ac:dyDescent="0.3">
      <c r="B238" s="47" t="s">
        <v>150</v>
      </c>
      <c r="C238" t="str">
        <f>VLOOKUP($B238,'标准费用表-2024年&amp;2025年优化'!$D:$E,2,0)</f>
        <v>正大食品（徐州）有限公司</v>
      </c>
      <c r="D238" t="s">
        <v>85</v>
      </c>
      <c r="E238" s="36">
        <f>IFERROR(VLOOKUP($B238,'标准费用表-2024年&amp;2025年优化'!$D:$K,8,0)*VLOOKUP("白条",系数辅助表!$C:$G,5,0)*VLOOKUP('5.成本表'!$D238,系数辅助表!$C:$G,5,0)/VLOOKUP('5.成本表'!$D238,系数辅助表!$C:$E,3,0),)</f>
        <v>0.32146468223460201</v>
      </c>
      <c r="F238" s="36">
        <f>IFERROR(VLOOKUP($B238,'标准费用表-2024年&amp;2025年优化'!$D:$L,9,0)*VLOOKUP('5.成本表'!$D238,系数辅助表!$C:$G,5,0)/VLOOKUP($D238,系数辅助表!$C:$E,3,0),0)</f>
        <v>0.44080633992071899</v>
      </c>
      <c r="I238" s="36">
        <f>VLOOKUP($D238,系数辅助表!$C:$F,4,0)</f>
        <v>1.12437525363977</v>
      </c>
      <c r="J238" s="2" t="s">
        <v>69</v>
      </c>
    </row>
    <row r="239" spans="2:10" x14ac:dyDescent="0.3">
      <c r="B239" s="47" t="s">
        <v>150</v>
      </c>
      <c r="C239" t="str">
        <f>VLOOKUP($B239,'标准费用表-2024年&amp;2025年优化'!$D:$E,2,0)</f>
        <v>正大食品（徐州）有限公司</v>
      </c>
      <c r="D239" t="s">
        <v>86</v>
      </c>
      <c r="E239" s="36">
        <f>IFERROR(VLOOKUP($B239,'标准费用表-2024年&amp;2025年优化'!$D:$K,8,0)*VLOOKUP("白条",系数辅助表!$C:$G,5,0)*VLOOKUP('5.成本表'!$D239,系数辅助表!$C:$G,5,0)/VLOOKUP('5.成本表'!$D239,系数辅助表!$C:$E,3,0),)</f>
        <v>0.281094082211368</v>
      </c>
      <c r="F239" s="36">
        <f>IFERROR(VLOOKUP($B239,'标准费用表-2024年&amp;2025年优化'!$D:$L,9,0)*VLOOKUP('5.成本表'!$D239,系数辅助表!$C:$G,5,0)/VLOOKUP($D239,系数辅助表!$C:$E,3,0),0)</f>
        <v>0.38544841906626498</v>
      </c>
      <c r="I239" s="36">
        <f>VLOOKUP($D239,系数辅助表!$C:$F,4,0)</f>
        <v>0.98317248347795105</v>
      </c>
      <c r="J239" s="2" t="s">
        <v>69</v>
      </c>
    </row>
    <row r="240" spans="2:10" x14ac:dyDescent="0.3">
      <c r="B240" s="47" t="s">
        <v>150</v>
      </c>
      <c r="C240" t="str">
        <f>VLOOKUP($B240,'标准费用表-2024年&amp;2025年优化'!$D:$E,2,0)</f>
        <v>正大食品（徐州）有限公司</v>
      </c>
      <c r="D240" t="s">
        <v>87</v>
      </c>
      <c r="E240" s="36">
        <f>IFERROR(VLOOKUP($B240,'标准费用表-2024年&amp;2025年优化'!$D:$K,8,0)*VLOOKUP("白条",系数辅助表!$C:$G,5,0)*VLOOKUP('5.成本表'!$D240,系数辅助表!$C:$G,5,0)/VLOOKUP('5.成本表'!$D240,系数辅助表!$C:$E,3,0),)</f>
        <v>0.20359440859695699</v>
      </c>
      <c r="F240" s="36">
        <f>IFERROR(VLOOKUP($B240,'标准费用表-2024年&amp;2025年优化'!$D:$L,9,0)*VLOOKUP('5.成本表'!$D240,系数辅助表!$C:$G,5,0)/VLOOKUP($D240,系数辅助表!$C:$E,3,0),0)</f>
        <v>0.27917749924532098</v>
      </c>
      <c r="I240" s="36">
        <f>VLOOKUP($D240,系数辅助表!$C:$F,4,0)</f>
        <v>0.71210471151782795</v>
      </c>
      <c r="J240" s="2" t="s">
        <v>69</v>
      </c>
    </row>
    <row r="241" spans="2:10" x14ac:dyDescent="0.3">
      <c r="B241" s="47" t="s">
        <v>150</v>
      </c>
      <c r="C241" t="str">
        <f>VLOOKUP($B241,'标准费用表-2024年&amp;2025年优化'!$D:$E,2,0)</f>
        <v>正大食品（徐州）有限公司</v>
      </c>
      <c r="D241" t="s">
        <v>88</v>
      </c>
      <c r="E241" s="36">
        <f>IFERROR(VLOOKUP($B241,'标准费用表-2024年&amp;2025年优化'!$D:$K,8,0)*VLOOKUP("白条",系数辅助表!$C:$G,5,0)*VLOOKUP('5.成本表'!$D241,系数辅助表!$C:$G,5,0)/VLOOKUP('5.成本表'!$D241,系数辅助表!$C:$E,3,0),)</f>
        <v>0.76896799230338397</v>
      </c>
      <c r="F241" s="36">
        <f>IFERROR(VLOOKUP($B241,'标准费用表-2024年&amp;2025年优化'!$D:$L,9,0)*VLOOKUP('5.成本表'!$D241,系数辅助表!$C:$G,5,0)/VLOOKUP($D241,系数辅助表!$C:$E,3,0),0)</f>
        <v>1.0544423227061199</v>
      </c>
      <c r="I241" s="36">
        <f>VLOOKUP($D241,系数辅助表!$C:$F,4,0)</f>
        <v>2.6895912029178799</v>
      </c>
      <c r="J241" s="2" t="s">
        <v>69</v>
      </c>
    </row>
    <row r="242" spans="2:10" x14ac:dyDescent="0.3">
      <c r="B242" s="47" t="s">
        <v>150</v>
      </c>
      <c r="C242" t="str">
        <f>VLOOKUP($B242,'标准费用表-2024年&amp;2025年优化'!$D:$E,2,0)</f>
        <v>正大食品（徐州）有限公司</v>
      </c>
      <c r="D242" t="s">
        <v>89</v>
      </c>
      <c r="E242" s="36">
        <f>IFERROR(VLOOKUP($B242,'标准费用表-2024年&amp;2025年优化'!$D:$K,8,0)*VLOOKUP("白条",系数辅助表!$C:$G,5,0)*VLOOKUP('5.成本表'!$D242,系数辅助表!$C:$G,5,0)/VLOOKUP('5.成本表'!$D242,系数辅助表!$C:$E,3,0),)</f>
        <v>0.330729158932203</v>
      </c>
      <c r="F242" s="36">
        <f>IFERROR(VLOOKUP($B242,'标准费用表-2024年&amp;2025年优化'!$D:$L,9,0)*VLOOKUP('5.成本表'!$D242,系数辅助表!$C:$G,5,0)/VLOOKUP($D242,系数辅助表!$C:$E,3,0),0)</f>
        <v>0.45351019290998701</v>
      </c>
      <c r="I242" s="36">
        <f>VLOOKUP($D242,系数辅助表!$C:$F,4,0)</f>
        <v>1.1567792747107399</v>
      </c>
      <c r="J242" s="2" t="s">
        <v>69</v>
      </c>
    </row>
    <row r="243" spans="2:10" x14ac:dyDescent="0.3">
      <c r="B243" s="47" t="s">
        <v>150</v>
      </c>
      <c r="C243" t="str">
        <f>VLOOKUP($B243,'标准费用表-2024年&amp;2025年优化'!$D:$E,2,0)</f>
        <v>正大食品（徐州）有限公司</v>
      </c>
      <c r="D243" t="s">
        <v>90</v>
      </c>
      <c r="E243" s="36">
        <f>IFERROR(VLOOKUP($B243,'标准费用表-2024年&amp;2025年优化'!$D:$K,8,0)*VLOOKUP("白条",系数辅助表!$C:$G,5,0)*VLOOKUP('5.成本表'!$D243,系数辅助表!$C:$G,5,0)/VLOOKUP('5.成本表'!$D243,系数辅助表!$C:$E,3,0),)</f>
        <v>0.20899049150175</v>
      </c>
      <c r="F243" s="36">
        <f>IFERROR(VLOOKUP($B243,'标准费用表-2024年&amp;2025年优化'!$D:$L,9,0)*VLOOKUP('5.成本表'!$D243,系数辅助表!$C:$G,5,0)/VLOOKUP($D243,系数辅助表!$C:$E,3,0),0)</f>
        <v>0.28657684258417898</v>
      </c>
      <c r="I243" s="36">
        <f>VLOOKUP($D243,系数辅助表!$C:$F,4,0)</f>
        <v>0.73097839320056501</v>
      </c>
      <c r="J243" s="2" t="s">
        <v>69</v>
      </c>
    </row>
    <row r="244" spans="2:10" x14ac:dyDescent="0.3">
      <c r="B244" s="47" t="s">
        <v>150</v>
      </c>
      <c r="C244" t="str">
        <f>VLOOKUP($B244,'标准费用表-2024年&amp;2025年优化'!$D:$E,2,0)</f>
        <v>正大食品（徐州）有限公司</v>
      </c>
      <c r="D244" t="s">
        <v>91</v>
      </c>
      <c r="E244" s="36">
        <f>IFERROR(VLOOKUP($B244,'标准费用表-2024年&amp;2025年优化'!$D:$K,8,0)*VLOOKUP("白条",系数辅助表!$C:$G,5,0)*VLOOKUP('5.成本表'!$D244,系数辅助表!$C:$G,5,0)/VLOOKUP('5.成本表'!$D244,系数辅助表!$C:$E,3,0),)</f>
        <v>0.173285570636009</v>
      </c>
      <c r="F244" s="36">
        <f>IFERROR(VLOOKUP($B244,'标准费用表-2024年&amp;2025年优化'!$D:$L,9,0)*VLOOKUP('5.成本表'!$D244,系数辅助表!$C:$G,5,0)/VLOOKUP($D244,系数辅助表!$C:$E,3,0),0)</f>
        <v>0.23761670371424201</v>
      </c>
      <c r="I244" s="36">
        <f>VLOOKUP($D244,系数辅助表!$C:$F,4,0)</f>
        <v>0.60609459826688905</v>
      </c>
      <c r="J244" s="2" t="s">
        <v>69</v>
      </c>
    </row>
    <row r="245" spans="2:10" x14ac:dyDescent="0.3">
      <c r="B245" s="47" t="s">
        <v>150</v>
      </c>
      <c r="C245" t="str">
        <f>VLOOKUP($B245,'标准费用表-2024年&amp;2025年优化'!$D:$E,2,0)</f>
        <v>正大食品（徐州）有限公司</v>
      </c>
      <c r="D245" t="s">
        <v>92</v>
      </c>
      <c r="E245" s="36">
        <f>IFERROR(VLOOKUP($B245,'标准费用表-2024年&amp;2025年优化'!$D:$K,8,0)*VLOOKUP("白条",系数辅助表!$C:$G,5,0)*VLOOKUP('5.成本表'!$D245,系数辅助表!$C:$G,5,0)/VLOOKUP('5.成本表'!$D245,系数辅助表!$C:$E,3,0),)</f>
        <v>6.8777608472366095E-2</v>
      </c>
      <c r="F245" s="36">
        <f>IFERROR(VLOOKUP($B245,'标准费用表-2024年&amp;2025年优化'!$D:$L,9,0)*VLOOKUP('5.成本表'!$D245,系数辅助表!$C:$G,5,0)/VLOOKUP($D245,系数辅助表!$C:$E,3,0),0)</f>
        <v>9.4310845124437007E-2</v>
      </c>
      <c r="I245" s="36">
        <f>VLOOKUP($D245,系数辅助表!$C:$F,4,0)</f>
        <v>0.24056092393508099</v>
      </c>
      <c r="J245" s="2" t="s">
        <v>69</v>
      </c>
    </row>
    <row r="246" spans="2:10" x14ac:dyDescent="0.3">
      <c r="B246" s="47" t="s">
        <v>150</v>
      </c>
      <c r="C246" t="str">
        <f>VLOOKUP($B246,'标准费用表-2024年&amp;2025年优化'!$D:$E,2,0)</f>
        <v>正大食品（徐州）有限公司</v>
      </c>
      <c r="D246" t="s">
        <v>93</v>
      </c>
      <c r="E246" s="36">
        <f>E222</f>
        <v>0.65186375555870801</v>
      </c>
      <c r="F246" s="36">
        <f>F222</f>
        <v>0.893863905102663</v>
      </c>
      <c r="G246">
        <v>0.2</v>
      </c>
      <c r="H246">
        <v>0.3</v>
      </c>
      <c r="J246" s="2" t="s">
        <v>69</v>
      </c>
    </row>
    <row r="247" spans="2:10" x14ac:dyDescent="0.3">
      <c r="B247" s="47" t="s">
        <v>150</v>
      </c>
      <c r="C247" t="str">
        <f>VLOOKUP($B247,'标准费用表-2024年&amp;2025年优化'!$D:$E,2,0)</f>
        <v>正大食品（徐州）有限公司</v>
      </c>
      <c r="D247" t="s">
        <v>96</v>
      </c>
      <c r="E247" s="36">
        <f t="shared" ref="E247:F247" si="7">E223</f>
        <v>0.43564035385766697</v>
      </c>
      <c r="F247" s="36">
        <f t="shared" si="7"/>
        <v>0.59736898178326503</v>
      </c>
      <c r="G247">
        <v>0.2</v>
      </c>
      <c r="H247">
        <v>0.3</v>
      </c>
      <c r="J247" s="2" t="s">
        <v>69</v>
      </c>
    </row>
    <row r="248" spans="2:10" x14ac:dyDescent="0.3">
      <c r="B248" s="47" t="s">
        <v>150</v>
      </c>
      <c r="C248" t="str">
        <f>VLOOKUP($B248,'标准费用表-2024年&amp;2025年优化'!$D:$E,2,0)</f>
        <v>正大食品（徐州）有限公司</v>
      </c>
      <c r="D248" t="s">
        <v>97</v>
      </c>
      <c r="E248" s="36">
        <f t="shared" ref="E248:F248" si="8">E224</f>
        <v>1.1529572599658</v>
      </c>
      <c r="F248" s="36">
        <f t="shared" si="8"/>
        <v>1.58098509085873</v>
      </c>
      <c r="G248">
        <v>0.2</v>
      </c>
      <c r="H248">
        <v>0.3</v>
      </c>
      <c r="J248" s="2" t="s">
        <v>69</v>
      </c>
    </row>
    <row r="249" spans="2:10" x14ac:dyDescent="0.3">
      <c r="B249" s="47" t="s">
        <v>150</v>
      </c>
      <c r="C249" t="str">
        <f>VLOOKUP($B249,'标准费用表-2024年&amp;2025年优化'!$D:$E,2,0)</f>
        <v>正大食品（徐州）有限公司</v>
      </c>
      <c r="D249" t="s">
        <v>98</v>
      </c>
      <c r="E249" s="36">
        <f t="shared" ref="E249:F249" si="9">E225</f>
        <v>0.67147112362675898</v>
      </c>
      <c r="F249" s="36">
        <f t="shared" si="9"/>
        <v>0.92075038013772803</v>
      </c>
      <c r="G249">
        <v>0.2</v>
      </c>
      <c r="H249">
        <v>0.3</v>
      </c>
      <c r="J249" s="2" t="s">
        <v>69</v>
      </c>
    </row>
    <row r="250" spans="2:10" x14ac:dyDescent="0.3">
      <c r="B250" s="47" t="s">
        <v>150</v>
      </c>
      <c r="C250" t="str">
        <f>VLOOKUP($B250,'标准费用表-2024年&amp;2025年优化'!$D:$E,2,0)</f>
        <v>正大食品（徐州）有限公司</v>
      </c>
      <c r="D250" t="s">
        <v>99</v>
      </c>
      <c r="E250" s="36">
        <f t="shared" ref="E250:F250" si="10">E226</f>
        <v>0.403376990403429</v>
      </c>
      <c r="F250" s="36">
        <f t="shared" si="10"/>
        <v>0.55312805597165204</v>
      </c>
      <c r="G250">
        <v>0.2</v>
      </c>
      <c r="H250">
        <v>0.3</v>
      </c>
      <c r="J250" s="2" t="s">
        <v>69</v>
      </c>
    </row>
    <row r="251" spans="2:10" x14ac:dyDescent="0.3">
      <c r="B251" s="47" t="s">
        <v>150</v>
      </c>
      <c r="C251" t="str">
        <f>VLOOKUP($B251,'标准费用表-2024年&amp;2025年优化'!$D:$E,2,0)</f>
        <v>正大食品（徐州）有限公司</v>
      </c>
      <c r="D251" t="s">
        <v>100</v>
      </c>
      <c r="E251" s="36">
        <f t="shared" ref="E251:F251" si="11">E227</f>
        <v>0.54467856974836204</v>
      </c>
      <c r="F251" s="36">
        <f t="shared" si="11"/>
        <v>0.74688692112313004</v>
      </c>
      <c r="G251">
        <v>0.2</v>
      </c>
      <c r="H251">
        <v>0.3</v>
      </c>
      <c r="J251" s="2" t="s">
        <v>69</v>
      </c>
    </row>
    <row r="252" spans="2:10" x14ac:dyDescent="0.3">
      <c r="B252" s="47" t="s">
        <v>150</v>
      </c>
      <c r="C252" t="str">
        <f>VLOOKUP($B252,'标准费用表-2024年&amp;2025年优化'!$D:$E,2,0)</f>
        <v>正大食品（徐州）有限公司</v>
      </c>
      <c r="D252" t="s">
        <v>101</v>
      </c>
      <c r="E252" s="36">
        <f t="shared" ref="E252:F252" si="12">E228</f>
        <v>0.40784825994934198</v>
      </c>
      <c r="F252" s="36">
        <f t="shared" si="12"/>
        <v>0.559259255049672</v>
      </c>
      <c r="G252">
        <v>0.2</v>
      </c>
      <c r="H252">
        <v>0.3</v>
      </c>
      <c r="J252" s="2" t="s">
        <v>69</v>
      </c>
    </row>
    <row r="253" spans="2:10" x14ac:dyDescent="0.3">
      <c r="B253" s="47" t="s">
        <v>150</v>
      </c>
      <c r="C253" t="str">
        <f>VLOOKUP($B253,'标准费用表-2024年&amp;2025年优化'!$D:$E,2,0)</f>
        <v>正大食品（徐州）有限公司</v>
      </c>
      <c r="D253" t="s">
        <v>102</v>
      </c>
      <c r="E253" s="36">
        <f t="shared" ref="E253:F253" si="13">E229</f>
        <v>0.415586757323407</v>
      </c>
      <c r="F253" s="36">
        <f t="shared" si="13"/>
        <v>0.56987061888670598</v>
      </c>
      <c r="G253">
        <v>0.2</v>
      </c>
      <c r="H253">
        <v>0.3</v>
      </c>
      <c r="J253" s="2" t="s">
        <v>69</v>
      </c>
    </row>
    <row r="254" spans="2:10" x14ac:dyDescent="0.3">
      <c r="B254" s="47" t="s">
        <v>150</v>
      </c>
      <c r="C254" t="str">
        <f>VLOOKUP($B254,'标准费用表-2024年&amp;2025年优化'!$D:$E,2,0)</f>
        <v>正大食品（徐州）有限公司</v>
      </c>
      <c r="D254" t="s">
        <v>103</v>
      </c>
      <c r="E254" s="36">
        <f t="shared" ref="E254:F254" si="14">E230</f>
        <v>0.41200023218649801</v>
      </c>
      <c r="F254" s="36">
        <f t="shared" si="14"/>
        <v>0.56495261978445699</v>
      </c>
      <c r="G254">
        <v>0.2</v>
      </c>
      <c r="H254">
        <v>0.3</v>
      </c>
      <c r="J254" s="2" t="s">
        <v>69</v>
      </c>
    </row>
    <row r="255" spans="2:10" x14ac:dyDescent="0.3">
      <c r="B255" s="47" t="s">
        <v>150</v>
      </c>
      <c r="C255" t="str">
        <f>VLOOKUP($B255,'标准费用表-2024年&amp;2025年优化'!$D:$E,2,0)</f>
        <v>正大食品（徐州）有限公司</v>
      </c>
      <c r="D255" t="s">
        <v>104</v>
      </c>
      <c r="E255" s="36">
        <f t="shared" ref="E255:F255" si="15">E231</f>
        <v>0.35333092057250598</v>
      </c>
      <c r="F255" s="36">
        <f t="shared" si="15"/>
        <v>0.48450271051772698</v>
      </c>
      <c r="G255">
        <v>0.2</v>
      </c>
      <c r="H255">
        <v>0.3</v>
      </c>
      <c r="J255" s="2" t="s">
        <v>69</v>
      </c>
    </row>
    <row r="256" spans="2:10" x14ac:dyDescent="0.3">
      <c r="B256" s="47" t="s">
        <v>150</v>
      </c>
      <c r="C256" t="str">
        <f>VLOOKUP($B256,'标准费用表-2024年&amp;2025年优化'!$D:$E,2,0)</f>
        <v>正大食品（徐州）有限公司</v>
      </c>
      <c r="D256" t="s">
        <v>105</v>
      </c>
      <c r="E256" s="36">
        <f t="shared" ref="E256:F256" si="16">E232</f>
        <v>0.24679819648828499</v>
      </c>
      <c r="F256" s="36">
        <f t="shared" si="16"/>
        <v>0.33842041040651899</v>
      </c>
      <c r="G256">
        <v>0.2</v>
      </c>
      <c r="H256">
        <v>0.3</v>
      </c>
      <c r="J256" s="2" t="s">
        <v>69</v>
      </c>
    </row>
    <row r="257" spans="2:10" x14ac:dyDescent="0.3">
      <c r="B257" s="47" t="s">
        <v>150</v>
      </c>
      <c r="C257" t="str">
        <f>VLOOKUP($B257,'标准费用表-2024年&amp;2025年优化'!$D:$E,2,0)</f>
        <v>正大食品（徐州）有限公司</v>
      </c>
      <c r="D257" t="s">
        <v>106</v>
      </c>
      <c r="E257" s="36">
        <f t="shared" ref="E257:F257" si="17">E233</f>
        <v>0.22783036476749199</v>
      </c>
      <c r="F257" s="36">
        <f t="shared" si="17"/>
        <v>0.31241089539866801</v>
      </c>
      <c r="G257">
        <v>0.2</v>
      </c>
      <c r="H257">
        <v>0.3</v>
      </c>
      <c r="J257" s="2" t="s">
        <v>69</v>
      </c>
    </row>
    <row r="258" spans="2:10" x14ac:dyDescent="0.3">
      <c r="B258" s="47" t="s">
        <v>150</v>
      </c>
      <c r="C258" t="str">
        <f>VLOOKUP($B258,'标准费用表-2024年&amp;2025年优化'!$D:$E,2,0)</f>
        <v>正大食品（徐州）有限公司</v>
      </c>
      <c r="D258" t="s">
        <v>107</v>
      </c>
      <c r="E258" s="36">
        <f t="shared" ref="E258:F258" si="18">E234</f>
        <v>0.31415507556512101</v>
      </c>
      <c r="F258" s="36">
        <f t="shared" si="18"/>
        <v>0.43078308965311102</v>
      </c>
      <c r="G258">
        <v>0.2</v>
      </c>
      <c r="H258">
        <v>0.3</v>
      </c>
      <c r="J258" s="2" t="s">
        <v>69</v>
      </c>
    </row>
    <row r="259" spans="2:10" x14ac:dyDescent="0.3">
      <c r="B259" s="47" t="s">
        <v>150</v>
      </c>
      <c r="C259" t="str">
        <f>VLOOKUP($B259,'标准费用表-2024年&amp;2025年优化'!$D:$E,2,0)</f>
        <v>正大食品（徐州）有限公司</v>
      </c>
      <c r="D259" t="s">
        <v>108</v>
      </c>
      <c r="E259" s="36">
        <f t="shared" ref="E259:F259" si="19">E235</f>
        <v>0.28624002860533898</v>
      </c>
      <c r="F259" s="36">
        <f t="shared" si="19"/>
        <v>0.39250476435305198</v>
      </c>
      <c r="G259">
        <v>0.2</v>
      </c>
      <c r="H259">
        <v>0.3</v>
      </c>
      <c r="J259" s="2" t="s">
        <v>69</v>
      </c>
    </row>
    <row r="260" spans="2:10" x14ac:dyDescent="0.3">
      <c r="B260" s="47" t="s">
        <v>150</v>
      </c>
      <c r="C260" t="str">
        <f>VLOOKUP($B260,'标准费用表-2024年&amp;2025年优化'!$D:$E,2,0)</f>
        <v>正大食品（徐州）有限公司</v>
      </c>
      <c r="D260" t="s">
        <v>109</v>
      </c>
      <c r="E260" s="36">
        <f t="shared" ref="E260:F260" si="20">E236</f>
        <v>0.25741549820104698</v>
      </c>
      <c r="F260" s="36">
        <f t="shared" si="20"/>
        <v>0.35297931583682401</v>
      </c>
      <c r="G260">
        <v>0.2</v>
      </c>
      <c r="H260">
        <v>0.3</v>
      </c>
      <c r="J260" s="2" t="s">
        <v>69</v>
      </c>
    </row>
    <row r="261" spans="2:10" x14ac:dyDescent="0.3">
      <c r="B261" s="47" t="s">
        <v>150</v>
      </c>
      <c r="C261" t="str">
        <f>VLOOKUP($B261,'标准费用表-2024年&amp;2025年优化'!$D:$E,2,0)</f>
        <v>正大食品（徐州）有限公司</v>
      </c>
      <c r="D261" t="s">
        <v>110</v>
      </c>
      <c r="E261" s="36">
        <f t="shared" ref="E261:F261" si="21">E237</f>
        <v>0.25855245321279402</v>
      </c>
      <c r="F261" s="36">
        <f t="shared" si="21"/>
        <v>0.35453835794962801</v>
      </c>
      <c r="G261">
        <v>0.2</v>
      </c>
      <c r="H261">
        <v>0.3</v>
      </c>
      <c r="J261" s="2" t="s">
        <v>69</v>
      </c>
    </row>
    <row r="262" spans="2:10" x14ac:dyDescent="0.3">
      <c r="B262" s="47" t="s">
        <v>150</v>
      </c>
      <c r="C262" t="str">
        <f>VLOOKUP($B262,'标准费用表-2024年&amp;2025年优化'!$D:$E,2,0)</f>
        <v>正大食品（徐州）有限公司</v>
      </c>
      <c r="D262" t="s">
        <v>111</v>
      </c>
      <c r="E262" s="36">
        <f t="shared" ref="E262:F262" si="22">E238</f>
        <v>0.32146468223460201</v>
      </c>
      <c r="F262" s="36">
        <f t="shared" si="22"/>
        <v>0.44080633992071899</v>
      </c>
      <c r="G262">
        <v>0.2</v>
      </c>
      <c r="H262">
        <v>0.3</v>
      </c>
      <c r="J262" s="2" t="s">
        <v>69</v>
      </c>
    </row>
    <row r="263" spans="2:10" x14ac:dyDescent="0.3">
      <c r="B263" s="47" t="s">
        <v>150</v>
      </c>
      <c r="C263" t="str">
        <f>VLOOKUP($B263,'标准费用表-2024年&amp;2025年优化'!$D:$E,2,0)</f>
        <v>正大食品（徐州）有限公司</v>
      </c>
      <c r="D263" t="s">
        <v>112</v>
      </c>
      <c r="E263" s="36">
        <f t="shared" ref="E263:F263" si="23">E239</f>
        <v>0.281094082211368</v>
      </c>
      <c r="F263" s="36">
        <f t="shared" si="23"/>
        <v>0.38544841906626498</v>
      </c>
      <c r="G263">
        <v>0.2</v>
      </c>
      <c r="H263">
        <v>0.3</v>
      </c>
      <c r="J263" s="2" t="s">
        <v>69</v>
      </c>
    </row>
    <row r="264" spans="2:10" x14ac:dyDescent="0.3">
      <c r="B264" s="47" t="s">
        <v>150</v>
      </c>
      <c r="C264" t="str">
        <f>VLOOKUP($B264,'标准费用表-2024年&amp;2025年优化'!$D:$E,2,0)</f>
        <v>正大食品（徐州）有限公司</v>
      </c>
      <c r="D264" t="s">
        <v>113</v>
      </c>
      <c r="E264" s="36">
        <f t="shared" ref="E264:F264" si="24">E240</f>
        <v>0.20359440859695699</v>
      </c>
      <c r="F264" s="36">
        <f t="shared" si="24"/>
        <v>0.27917749924532098</v>
      </c>
      <c r="G264">
        <v>0.2</v>
      </c>
      <c r="H264">
        <v>0.3</v>
      </c>
      <c r="J264" s="2" t="s">
        <v>69</v>
      </c>
    </row>
    <row r="265" spans="2:10" x14ac:dyDescent="0.3">
      <c r="B265" s="47" t="s">
        <v>150</v>
      </c>
      <c r="C265" t="str">
        <f>VLOOKUP($B265,'标准费用表-2024年&amp;2025年优化'!$D:$E,2,0)</f>
        <v>正大食品（徐州）有限公司</v>
      </c>
      <c r="D265" t="s">
        <v>114</v>
      </c>
      <c r="E265" s="36">
        <f t="shared" ref="E265:F265" si="25">E241</f>
        <v>0.76896799230338397</v>
      </c>
      <c r="F265" s="36">
        <f t="shared" si="25"/>
        <v>1.0544423227061199</v>
      </c>
      <c r="G265">
        <v>0.2</v>
      </c>
      <c r="H265">
        <v>0.3</v>
      </c>
      <c r="J265" s="2" t="s">
        <v>69</v>
      </c>
    </row>
    <row r="266" spans="2:10" x14ac:dyDescent="0.3">
      <c r="B266" s="47" t="s">
        <v>150</v>
      </c>
      <c r="C266" t="str">
        <f>VLOOKUP($B266,'标准费用表-2024年&amp;2025年优化'!$D:$E,2,0)</f>
        <v>正大食品（徐州）有限公司</v>
      </c>
      <c r="D266" t="s">
        <v>115</v>
      </c>
      <c r="E266" s="36">
        <f t="shared" ref="E266:F266" si="26">E242</f>
        <v>0.330729158932203</v>
      </c>
      <c r="F266" s="36">
        <f t="shared" si="26"/>
        <v>0.45351019290998701</v>
      </c>
      <c r="G266">
        <v>0.2</v>
      </c>
      <c r="H266">
        <v>0.3</v>
      </c>
      <c r="J266" s="2" t="s">
        <v>69</v>
      </c>
    </row>
    <row r="267" spans="2:10" x14ac:dyDescent="0.3">
      <c r="B267" s="47" t="s">
        <v>150</v>
      </c>
      <c r="C267" t="str">
        <f>VLOOKUP($B267,'标准费用表-2024年&amp;2025年优化'!$D:$E,2,0)</f>
        <v>正大食品（徐州）有限公司</v>
      </c>
      <c r="D267" t="s">
        <v>116</v>
      </c>
      <c r="E267" s="36">
        <f t="shared" ref="E267:F267" si="27">E243</f>
        <v>0.20899049150175</v>
      </c>
      <c r="F267" s="36">
        <f t="shared" si="27"/>
        <v>0.28657684258417898</v>
      </c>
      <c r="G267">
        <v>0.2</v>
      </c>
      <c r="H267">
        <v>0.3</v>
      </c>
      <c r="J267" s="2" t="s">
        <v>69</v>
      </c>
    </row>
    <row r="268" spans="2:10" x14ac:dyDescent="0.3">
      <c r="B268" s="47" t="s">
        <v>150</v>
      </c>
      <c r="C268" t="str">
        <f>VLOOKUP($B268,'标准费用表-2024年&amp;2025年优化'!$D:$E,2,0)</f>
        <v>正大食品（徐州）有限公司</v>
      </c>
      <c r="D268" t="s">
        <v>117</v>
      </c>
      <c r="E268" s="36">
        <f t="shared" ref="E268:F268" si="28">E244</f>
        <v>0.173285570636009</v>
      </c>
      <c r="F268" s="36">
        <f t="shared" si="28"/>
        <v>0.23761670371424201</v>
      </c>
      <c r="G268">
        <v>0.2</v>
      </c>
      <c r="H268">
        <v>0.3</v>
      </c>
      <c r="J268" s="2" t="s">
        <v>69</v>
      </c>
    </row>
    <row r="269" spans="2:10" x14ac:dyDescent="0.3">
      <c r="B269" s="47" t="s">
        <v>150</v>
      </c>
      <c r="C269" t="str">
        <f>VLOOKUP($B269,'标准费用表-2024年&amp;2025年优化'!$D:$E,2,0)</f>
        <v>正大食品（徐州）有限公司</v>
      </c>
      <c r="D269" t="s">
        <v>118</v>
      </c>
      <c r="E269" s="36">
        <f t="shared" ref="E269:F269" si="29">E245</f>
        <v>6.8777608472366095E-2</v>
      </c>
      <c r="F269" s="36">
        <f t="shared" si="29"/>
        <v>9.4310845124437007E-2</v>
      </c>
      <c r="G269">
        <v>0.2</v>
      </c>
      <c r="H269">
        <v>0.3</v>
      </c>
      <c r="J269" s="2" t="s">
        <v>69</v>
      </c>
    </row>
    <row r="270" spans="2:10" x14ac:dyDescent="0.3">
      <c r="B270" s="47" t="s">
        <v>150</v>
      </c>
      <c r="C270" t="str">
        <f>VLOOKUP($B270,'标准费用表-2024年&amp;2025年优化'!$D:$E,2,0)</f>
        <v>正大食品（徐州）有限公司</v>
      </c>
      <c r="D270" t="s">
        <v>119</v>
      </c>
      <c r="E270" s="36">
        <f>E198</f>
        <v>0.248750685639018</v>
      </c>
      <c r="F270" s="36">
        <f t="shared" ref="F270" si="30">F246</f>
        <v>0.893863905102663</v>
      </c>
      <c r="G270">
        <v>0.2</v>
      </c>
      <c r="H270">
        <v>0.3</v>
      </c>
      <c r="J270" s="2" t="s">
        <v>69</v>
      </c>
    </row>
    <row r="271" spans="2:10" x14ac:dyDescent="0.3">
      <c r="B271" s="47" t="s">
        <v>150</v>
      </c>
      <c r="C271" t="str">
        <f>VLOOKUP($B271,'标准费用表-2024年&amp;2025年优化'!$D:$E,2,0)</f>
        <v>正大食品（徐州）有限公司</v>
      </c>
      <c r="D271" t="s">
        <v>120</v>
      </c>
      <c r="E271" s="36">
        <f t="shared" ref="E271:E293" si="31">E199</f>
        <v>0.66481695497840798</v>
      </c>
      <c r="F271" s="36">
        <f t="shared" ref="F271" si="32">F247</f>
        <v>0.59736898178326503</v>
      </c>
      <c r="G271">
        <v>0.2</v>
      </c>
      <c r="H271">
        <v>0.3</v>
      </c>
      <c r="J271" s="2" t="s">
        <v>69</v>
      </c>
    </row>
    <row r="272" spans="2:10" x14ac:dyDescent="0.3">
      <c r="B272" s="47" t="s">
        <v>150</v>
      </c>
      <c r="C272" t="str">
        <f>VLOOKUP($B272,'标准费用表-2024年&amp;2025年优化'!$D:$E,2,0)</f>
        <v>正大食品（徐州）有限公司</v>
      </c>
      <c r="D272" t="s">
        <v>121</v>
      </c>
      <c r="E272" s="36">
        <f t="shared" si="31"/>
        <v>1.2305056962575101</v>
      </c>
      <c r="F272" s="36">
        <f t="shared" ref="F272" si="33">F248</f>
        <v>1.58098509085873</v>
      </c>
      <c r="G272">
        <v>0.2</v>
      </c>
      <c r="H272">
        <v>0.3</v>
      </c>
      <c r="J272" s="2" t="s">
        <v>69</v>
      </c>
    </row>
    <row r="273" spans="2:10" x14ac:dyDescent="0.3">
      <c r="B273" s="47" t="s">
        <v>150</v>
      </c>
      <c r="C273" t="str">
        <f>VLOOKUP($B273,'标准费用表-2024年&amp;2025年优化'!$D:$E,2,0)</f>
        <v>正大食品（徐州）有限公司</v>
      </c>
      <c r="D273" t="s">
        <v>122</v>
      </c>
      <c r="E273" s="36">
        <f t="shared" si="31"/>
        <v>0.25859704519328902</v>
      </c>
      <c r="F273" s="36">
        <f t="shared" ref="F273" si="34">F249</f>
        <v>0.92075038013772803</v>
      </c>
      <c r="G273">
        <v>0.2</v>
      </c>
      <c r="H273">
        <v>0.3</v>
      </c>
      <c r="J273" s="2" t="s">
        <v>69</v>
      </c>
    </row>
    <row r="274" spans="2:10" x14ac:dyDescent="0.3">
      <c r="B274" s="47" t="s">
        <v>150</v>
      </c>
      <c r="C274" t="str">
        <f>VLOOKUP($B274,'标准费用表-2024年&amp;2025年优化'!$D:$E,2,0)</f>
        <v>正大食品（徐州）有限公司</v>
      </c>
      <c r="D274" t="s">
        <v>123</v>
      </c>
      <c r="E274" s="36">
        <f t="shared" si="31"/>
        <v>0.114164009997966</v>
      </c>
      <c r="F274" s="36">
        <f t="shared" ref="F274" si="35">F250</f>
        <v>0.55312805597165204</v>
      </c>
      <c r="G274">
        <v>0.2</v>
      </c>
      <c r="H274">
        <v>0.3</v>
      </c>
      <c r="J274" s="2" t="s">
        <v>69</v>
      </c>
    </row>
    <row r="275" spans="2:10" x14ac:dyDescent="0.3">
      <c r="B275" s="47" t="s">
        <v>150</v>
      </c>
      <c r="C275" t="str">
        <f>VLOOKUP($B275,'标准费用表-2024年&amp;2025年优化'!$D:$E,2,0)</f>
        <v>正大食品（徐州）有限公司</v>
      </c>
      <c r="D275" t="s">
        <v>124</v>
      </c>
      <c r="E275" s="36">
        <f t="shared" si="31"/>
        <v>0.35332246488476599</v>
      </c>
      <c r="F275" s="36">
        <f t="shared" ref="F275" si="36">F251</f>
        <v>0.74688692112313004</v>
      </c>
      <c r="G275">
        <v>0.2</v>
      </c>
      <c r="H275">
        <v>0.3</v>
      </c>
      <c r="J275" s="2" t="s">
        <v>69</v>
      </c>
    </row>
    <row r="276" spans="2:10" x14ac:dyDescent="0.3">
      <c r="B276" s="47" t="s">
        <v>150</v>
      </c>
      <c r="C276" t="str">
        <f>VLOOKUP($B276,'标准费用表-2024年&amp;2025年优化'!$D:$E,2,0)</f>
        <v>正大食品（徐州）有限公司</v>
      </c>
      <c r="D276" t="s">
        <v>125</v>
      </c>
      <c r="E276" s="36">
        <f t="shared" si="31"/>
        <v>0.583661070389218</v>
      </c>
      <c r="F276" s="36">
        <f t="shared" ref="F276" si="37">F252</f>
        <v>0.559259255049672</v>
      </c>
      <c r="G276">
        <v>0.2</v>
      </c>
      <c r="H276">
        <v>0.3</v>
      </c>
      <c r="J276" s="2" t="s">
        <v>69</v>
      </c>
    </row>
    <row r="277" spans="2:10" x14ac:dyDescent="0.3">
      <c r="B277" s="47" t="s">
        <v>150</v>
      </c>
      <c r="C277" t="str">
        <f>VLOOKUP($B277,'标准费用表-2024年&amp;2025年优化'!$D:$E,2,0)</f>
        <v>正大食品（徐州）有限公司</v>
      </c>
      <c r="D277" t="s">
        <v>126</v>
      </c>
      <c r="E277" s="36">
        <f t="shared" si="31"/>
        <v>0.84668495108442898</v>
      </c>
      <c r="F277" s="36">
        <f t="shared" ref="F277" si="38">F253</f>
        <v>0.56987061888670598</v>
      </c>
      <c r="G277">
        <v>0.2</v>
      </c>
      <c r="H277">
        <v>0.3</v>
      </c>
      <c r="J277" s="2" t="s">
        <v>69</v>
      </c>
    </row>
    <row r="278" spans="2:10" x14ac:dyDescent="0.3">
      <c r="B278" s="47" t="s">
        <v>150</v>
      </c>
      <c r="C278" t="str">
        <f>VLOOKUP($B278,'标准费用表-2024年&amp;2025年优化'!$D:$E,2,0)</f>
        <v>正大食品（徐州）有限公司</v>
      </c>
      <c r="D278" t="s">
        <v>127</v>
      </c>
      <c r="E278" s="36">
        <f t="shared" si="31"/>
        <v>0.49466966350282099</v>
      </c>
      <c r="F278" s="36">
        <f t="shared" ref="F278:F293" si="39">F254</f>
        <v>0.56495261978445699</v>
      </c>
      <c r="G278">
        <v>0.2</v>
      </c>
      <c r="H278">
        <v>0.3</v>
      </c>
      <c r="J278" s="2" t="s">
        <v>69</v>
      </c>
    </row>
    <row r="279" spans="2:10" x14ac:dyDescent="0.3">
      <c r="B279" s="47" t="s">
        <v>150</v>
      </c>
      <c r="C279" t="str">
        <f>VLOOKUP($B279,'标准费用表-2024年&amp;2025年优化'!$D:$E,2,0)</f>
        <v>正大食品（徐州）有限公司</v>
      </c>
      <c r="D279" t="s">
        <v>128</v>
      </c>
      <c r="E279" s="36">
        <f t="shared" si="31"/>
        <v>0.45428484849356698</v>
      </c>
      <c r="F279" s="36">
        <f t="shared" si="39"/>
        <v>0.48450271051772698</v>
      </c>
      <c r="G279">
        <v>0.2</v>
      </c>
      <c r="H279">
        <v>0.3</v>
      </c>
      <c r="J279" s="2" t="s">
        <v>69</v>
      </c>
    </row>
    <row r="280" spans="2:10" x14ac:dyDescent="0.3">
      <c r="B280" s="47" t="s">
        <v>150</v>
      </c>
      <c r="C280" t="str">
        <f>VLOOKUP($B280,'标准费用表-2024年&amp;2025年优化'!$D:$E,2,0)</f>
        <v>正大食品（徐州）有限公司</v>
      </c>
      <c r="D280" t="s">
        <v>129</v>
      </c>
      <c r="E280" s="36">
        <f t="shared" si="31"/>
        <v>0.580345146685327</v>
      </c>
      <c r="F280" s="36">
        <f t="shared" si="39"/>
        <v>0.33842041040651899</v>
      </c>
      <c r="G280">
        <v>0.2</v>
      </c>
      <c r="H280">
        <v>0.3</v>
      </c>
      <c r="J280" s="2" t="s">
        <v>69</v>
      </c>
    </row>
    <row r="281" spans="2:10" x14ac:dyDescent="0.3">
      <c r="B281" s="47" t="s">
        <v>150</v>
      </c>
      <c r="C281" t="str">
        <f>VLOOKUP($B281,'标准费用表-2024年&amp;2025年优化'!$D:$E,2,0)</f>
        <v>正大食品（徐州）有限公司</v>
      </c>
      <c r="D281" t="s">
        <v>130</v>
      </c>
      <c r="E281" s="36">
        <f t="shared" si="31"/>
        <v>1.00938875174192</v>
      </c>
      <c r="F281" s="36">
        <f t="shared" si="39"/>
        <v>0.31241089539866801</v>
      </c>
      <c r="G281">
        <v>0.2</v>
      </c>
      <c r="H281">
        <v>0.3</v>
      </c>
      <c r="J281" s="2" t="s">
        <v>69</v>
      </c>
    </row>
    <row r="282" spans="2:10" x14ac:dyDescent="0.3">
      <c r="B282" s="47" t="s">
        <v>150</v>
      </c>
      <c r="C282" t="str">
        <f>VLOOKUP($B282,'标准费用表-2024年&amp;2025年优化'!$D:$E,2,0)</f>
        <v>正大食品（徐州）有限公司</v>
      </c>
      <c r="D282" t="s">
        <v>131</v>
      </c>
      <c r="E282" s="36">
        <f t="shared" si="31"/>
        <v>0.17185400649344201</v>
      </c>
      <c r="F282" s="36">
        <f t="shared" si="39"/>
        <v>0.43078308965311102</v>
      </c>
      <c r="G282">
        <v>0.2</v>
      </c>
      <c r="H282">
        <v>0.3</v>
      </c>
      <c r="J282" s="2" t="s">
        <v>69</v>
      </c>
    </row>
    <row r="283" spans="2:10" x14ac:dyDescent="0.3">
      <c r="B283" s="47" t="s">
        <v>150</v>
      </c>
      <c r="C283" t="str">
        <f>VLOOKUP($B283,'标准费用表-2024年&amp;2025年优化'!$D:$E,2,0)</f>
        <v>正大食品（徐州）有限公司</v>
      </c>
      <c r="D283" t="s">
        <v>132</v>
      </c>
      <c r="E283" s="36">
        <f t="shared" si="31"/>
        <v>3.9788893795715097E-2</v>
      </c>
      <c r="F283" s="36">
        <f t="shared" si="39"/>
        <v>0.39250476435305198</v>
      </c>
      <c r="G283">
        <v>0.2</v>
      </c>
      <c r="H283">
        <v>0.3</v>
      </c>
      <c r="J283" s="2" t="s">
        <v>69</v>
      </c>
    </row>
    <row r="284" spans="2:10" x14ac:dyDescent="0.3">
      <c r="B284" s="47" t="s">
        <v>150</v>
      </c>
      <c r="C284" t="str">
        <f>VLOOKUP($B284,'标准费用表-2024年&amp;2025年优化'!$D:$E,2,0)</f>
        <v>正大食品（徐州）有限公司</v>
      </c>
      <c r="D284" t="s">
        <v>133</v>
      </c>
      <c r="E284" s="36">
        <f t="shared" si="31"/>
        <v>0.213471694186807</v>
      </c>
      <c r="F284" s="36">
        <f t="shared" si="39"/>
        <v>0.35297931583682401</v>
      </c>
      <c r="G284">
        <v>0.2</v>
      </c>
      <c r="H284">
        <v>0.3</v>
      </c>
      <c r="J284" s="2" t="s">
        <v>69</v>
      </c>
    </row>
    <row r="285" spans="2:10" x14ac:dyDescent="0.3">
      <c r="B285" s="47" t="s">
        <v>150</v>
      </c>
      <c r="C285" t="str">
        <f>VLOOKUP($B285,'标准费用表-2024年&amp;2025年优化'!$D:$E,2,0)</f>
        <v>正大食品（徐州）有限公司</v>
      </c>
      <c r="D285" t="s">
        <v>134</v>
      </c>
      <c r="E285" s="36">
        <f t="shared" si="31"/>
        <v>0.139628066258002</v>
      </c>
      <c r="F285" s="36">
        <f t="shared" si="39"/>
        <v>0.35453835794962801</v>
      </c>
      <c r="G285">
        <v>0.2</v>
      </c>
      <c r="H285">
        <v>0.3</v>
      </c>
      <c r="J285" s="2" t="s">
        <v>69</v>
      </c>
    </row>
    <row r="286" spans="2:10" x14ac:dyDescent="0.3">
      <c r="B286" s="47" t="s">
        <v>150</v>
      </c>
      <c r="C286" t="str">
        <f>VLOOKUP($B286,'标准费用表-2024年&amp;2025年优化'!$D:$E,2,0)</f>
        <v>正大食品（徐州）有限公司</v>
      </c>
      <c r="D286" t="s">
        <v>135</v>
      </c>
      <c r="E286" s="36">
        <f t="shared" si="31"/>
        <v>9.2547268669853799E-2</v>
      </c>
      <c r="F286" s="36">
        <f t="shared" si="39"/>
        <v>0.44080633992071899</v>
      </c>
      <c r="G286">
        <v>0.2</v>
      </c>
      <c r="H286">
        <v>0.3</v>
      </c>
      <c r="J286" s="2" t="s">
        <v>69</v>
      </c>
    </row>
    <row r="287" spans="2:10" x14ac:dyDescent="0.3">
      <c r="B287" s="47" t="s">
        <v>150</v>
      </c>
      <c r="C287" t="str">
        <f>VLOOKUP($B287,'标准费用表-2024年&amp;2025年优化'!$D:$E,2,0)</f>
        <v>正大食品（徐州）有限公司</v>
      </c>
      <c r="D287" t="s">
        <v>136</v>
      </c>
      <c r="E287" s="36">
        <f t="shared" si="31"/>
        <v>1.5978490482489501E-2</v>
      </c>
      <c r="F287" s="36">
        <f t="shared" si="39"/>
        <v>0.38544841906626498</v>
      </c>
      <c r="G287">
        <v>0.2</v>
      </c>
      <c r="H287">
        <v>0.3</v>
      </c>
      <c r="J287" s="2" t="s">
        <v>69</v>
      </c>
    </row>
    <row r="288" spans="2:10" x14ac:dyDescent="0.3">
      <c r="B288" s="47" t="s">
        <v>150</v>
      </c>
      <c r="C288" t="str">
        <f>VLOOKUP($B288,'标准费用表-2024年&amp;2025年优化'!$D:$E,2,0)</f>
        <v>正大食品（徐州）有限公司</v>
      </c>
      <c r="D288" t="s">
        <v>137</v>
      </c>
      <c r="E288" s="36">
        <f t="shared" si="31"/>
        <v>8.3618753071607196E-2</v>
      </c>
      <c r="F288" s="36">
        <f t="shared" si="39"/>
        <v>0.27917749924532098</v>
      </c>
      <c r="G288">
        <v>0.2</v>
      </c>
      <c r="H288">
        <v>0.3</v>
      </c>
      <c r="J288" s="2" t="s">
        <v>69</v>
      </c>
    </row>
    <row r="289" spans="2:10" x14ac:dyDescent="0.3">
      <c r="B289" s="47" t="s">
        <v>150</v>
      </c>
      <c r="C289" t="str">
        <f>VLOOKUP($B289,'标准费用表-2024年&amp;2025年优化'!$D:$E,2,0)</f>
        <v>正大食品（徐州）有限公司</v>
      </c>
      <c r="D289" t="s">
        <v>138</v>
      </c>
      <c r="E289" s="36">
        <f t="shared" si="31"/>
        <v>7.6731303674170803E-2</v>
      </c>
      <c r="F289" s="36">
        <f t="shared" si="39"/>
        <v>1.0544423227061199</v>
      </c>
      <c r="G289">
        <v>0.2</v>
      </c>
      <c r="H289">
        <v>0.3</v>
      </c>
      <c r="J289" s="2" t="s">
        <v>69</v>
      </c>
    </row>
    <row r="290" spans="2:10" x14ac:dyDescent="0.3">
      <c r="B290" s="47" t="s">
        <v>150</v>
      </c>
      <c r="C290" t="str">
        <f>VLOOKUP($B290,'标准费用表-2024年&amp;2025年优化'!$D:$E,2,0)</f>
        <v>正大食品（徐州）有限公司</v>
      </c>
      <c r="D290" t="s">
        <v>139</v>
      </c>
      <c r="E290" s="36">
        <f t="shared" si="31"/>
        <v>0.26844531077799899</v>
      </c>
      <c r="F290" s="36">
        <f t="shared" si="39"/>
        <v>0.45351019290998701</v>
      </c>
      <c r="G290">
        <v>0.2</v>
      </c>
      <c r="H290">
        <v>0.3</v>
      </c>
      <c r="J290" s="2" t="s">
        <v>69</v>
      </c>
    </row>
    <row r="291" spans="2:10" x14ac:dyDescent="0.3">
      <c r="B291" s="47" t="s">
        <v>150</v>
      </c>
      <c r="C291" t="str">
        <f>VLOOKUP($B291,'标准费用表-2024年&amp;2025年优化'!$D:$E,2,0)</f>
        <v>正大食品（徐州）有限公司</v>
      </c>
      <c r="D291" t="s">
        <v>140</v>
      </c>
      <c r="E291" s="36">
        <f t="shared" si="31"/>
        <v>0.31442194077797198</v>
      </c>
      <c r="F291" s="36">
        <f t="shared" si="39"/>
        <v>0.28657684258417898</v>
      </c>
      <c r="G291">
        <v>0.2</v>
      </c>
      <c r="H291">
        <v>0.3</v>
      </c>
      <c r="J291" s="2" t="s">
        <v>69</v>
      </c>
    </row>
    <row r="292" spans="2:10" x14ac:dyDescent="0.3">
      <c r="B292" s="47" t="s">
        <v>150</v>
      </c>
      <c r="C292" t="str">
        <f>VLOOKUP($B292,'标准费用表-2024年&amp;2025年优化'!$D:$E,2,0)</f>
        <v>正大食品（徐州）有限公司</v>
      </c>
      <c r="D292" t="s">
        <v>141</v>
      </c>
      <c r="E292" s="36">
        <f t="shared" si="31"/>
        <v>8.9906405639022802E-2</v>
      </c>
      <c r="F292" s="36">
        <f t="shared" si="39"/>
        <v>0.23761670371424201</v>
      </c>
      <c r="G292">
        <v>0.2</v>
      </c>
      <c r="H292">
        <v>0.3</v>
      </c>
      <c r="J292" s="2" t="s">
        <v>69</v>
      </c>
    </row>
    <row r="293" spans="2:10" x14ac:dyDescent="0.3">
      <c r="B293" s="47" t="s">
        <v>150</v>
      </c>
      <c r="C293" t="str">
        <f>VLOOKUP($B293,'标准费用表-2024年&amp;2025年优化'!$D:$E,2,0)</f>
        <v>正大食品（徐州）有限公司</v>
      </c>
      <c r="D293" t="s">
        <v>142</v>
      </c>
      <c r="E293" s="36">
        <f t="shared" si="31"/>
        <v>2.67495793230258E-2</v>
      </c>
      <c r="F293" s="36">
        <f t="shared" si="39"/>
        <v>9.4310845124437007E-2</v>
      </c>
      <c r="G293">
        <v>0.2</v>
      </c>
      <c r="H293">
        <v>0.3</v>
      </c>
      <c r="J293" s="2" t="s">
        <v>69</v>
      </c>
    </row>
    <row r="294" spans="2:10" x14ac:dyDescent="0.3">
      <c r="B294" s="47" t="s">
        <v>152</v>
      </c>
      <c r="C294" t="str">
        <f>VLOOKUP($B294,'标准费用表-2024年&amp;2025年优化'!$D:$E,2,0)</f>
        <v>内蒙古正大鸿业食品有限公司</v>
      </c>
      <c r="D294" t="s">
        <v>41</v>
      </c>
      <c r="E294" s="46">
        <f>IFERROR(VLOOKUP($B294,'标准费用表-2024年&amp;2025年优化'!$D:$K,8,0)*VLOOKUP('5.成本表'!$D294,系数辅助表!$C:$G,5,0)/VLOOKUP($D294,系数辅助表!$C:$E,3,0),0)</f>
        <v>0.46173369241353501</v>
      </c>
      <c r="I294" s="36">
        <f>VLOOKUP($D294,系数辅助表!$C:$F,4,0)</f>
        <v>1.33</v>
      </c>
      <c r="J294" s="2" t="s">
        <v>41</v>
      </c>
    </row>
    <row r="295" spans="2:10" x14ac:dyDescent="0.3">
      <c r="B295" s="47" t="s">
        <v>152</v>
      </c>
      <c r="C295" t="str">
        <f>VLOOKUP($B295,'标准费用表-2024年&amp;2025年优化'!$D:$E,2,0)</f>
        <v>内蒙古正大鸿业食品有限公司</v>
      </c>
      <c r="D295" t="s">
        <v>44</v>
      </c>
      <c r="E295" s="46">
        <f>IFERROR(VLOOKUP($B295,'标准费用表-2024年&amp;2025年优化'!$D:$K,8,0)*系数辅助表!$J$6*VLOOKUP('5.成本表'!$D295,系数辅助表!$C:$G,5,0)/VLOOKUP($D295,系数辅助表!$C:$E,3,0),0)</f>
        <v>0.26408462629638502</v>
      </c>
      <c r="I295" s="36">
        <f>VLOOKUP($D295,系数辅助表!$C:$F,4,0)</f>
        <v>0.789027855994753</v>
      </c>
      <c r="J295" s="2" t="s">
        <v>200</v>
      </c>
    </row>
    <row r="296" spans="2:10" x14ac:dyDescent="0.3">
      <c r="B296" s="47" t="s">
        <v>152</v>
      </c>
      <c r="C296" t="str">
        <f>VLOOKUP($B296,'标准费用表-2024年&amp;2025年优化'!$D:$E,2,0)</f>
        <v>内蒙古正大鸿业食品有限公司</v>
      </c>
      <c r="D296" t="s">
        <v>45</v>
      </c>
      <c r="E296" s="46">
        <f>IFERROR(VLOOKUP($B296,'标准费用表-2024年&amp;2025年优化'!$D:$K,8,0)*系数辅助表!$J$6*VLOOKUP('5.成本表'!$D296,系数辅助表!$C:$G,5,0)/VLOOKUP($D296,系数辅助表!$C:$E,3,0),0)</f>
        <v>0.70579880678501705</v>
      </c>
      <c r="I296" s="36">
        <f>VLOOKUP($D296,系数辅助表!$C:$F,4,0)</f>
        <v>2.1087744754070901</v>
      </c>
      <c r="J296" s="2" t="s">
        <v>200</v>
      </c>
    </row>
    <row r="297" spans="2:10" x14ac:dyDescent="0.3">
      <c r="B297" s="47" t="s">
        <v>152</v>
      </c>
      <c r="C297" t="str">
        <f>VLOOKUP($B297,'标准费用表-2024年&amp;2025年优化'!$D:$E,2,0)</f>
        <v>内蒙古正大鸿业食品有限公司</v>
      </c>
      <c r="D297" t="s">
        <v>46</v>
      </c>
      <c r="E297" s="46">
        <f>IFERROR(VLOOKUP($B297,'标准费用表-2024年&amp;2025年优化'!$D:$K,8,0)*系数辅助表!$J$6*VLOOKUP('5.成本表'!$D297,系数辅助表!$C:$G,5,0)/VLOOKUP($D297,系数辅助表!$C:$E,3,0),0)</f>
        <v>1.30635875883901</v>
      </c>
      <c r="I297" s="36">
        <f>VLOOKUP($D297,系数辅助表!$C:$F,4,0)</f>
        <v>3.9031179705625099</v>
      </c>
      <c r="J297" s="2" t="s">
        <v>200</v>
      </c>
    </row>
    <row r="298" spans="2:10" x14ac:dyDescent="0.3">
      <c r="B298" s="47" t="s">
        <v>152</v>
      </c>
      <c r="C298" t="str">
        <f>VLOOKUP($B298,'标准费用表-2024年&amp;2025年优化'!$D:$E,2,0)</f>
        <v>内蒙古正大鸿业食品有限公司</v>
      </c>
      <c r="D298" t="s">
        <v>47</v>
      </c>
      <c r="E298" s="46">
        <f>IFERROR(VLOOKUP($B298,'标准费用表-2024年&amp;2025年优化'!$D:$K,8,0)*系数辅助表!$J$6*VLOOKUP('5.成本表'!$D298,系数辅助表!$C:$G,5,0)/VLOOKUP($D298,系数辅助表!$C:$E,3,0),0)</f>
        <v>0.27453795299411798</v>
      </c>
      <c r="I298" s="36">
        <f>VLOOKUP($D298,系数辅助表!$C:$F,4,0)</f>
        <v>0.82026013963048305</v>
      </c>
      <c r="J298" s="2" t="s">
        <v>200</v>
      </c>
    </row>
    <row r="299" spans="2:10" x14ac:dyDescent="0.3">
      <c r="B299" s="47" t="s">
        <v>152</v>
      </c>
      <c r="C299" t="str">
        <f>VLOOKUP($B299,'标准费用表-2024年&amp;2025年优化'!$D:$E,2,0)</f>
        <v>内蒙古正大鸿业食品有限公司</v>
      </c>
      <c r="D299" t="s">
        <v>48</v>
      </c>
      <c r="E299" s="46">
        <f>IFERROR(VLOOKUP($B299,'标准费用表-2024年&amp;2025年优化'!$D:$K,8,0)*系数辅助表!$J$6*VLOOKUP('5.成本表'!$D299,系数辅助表!$C:$G,5,0)/VLOOKUP($D299,系数辅助表!$C:$E,3,0),0)</f>
        <v>0.121201514839486</v>
      </c>
      <c r="I299" s="36">
        <f>VLOOKUP($D299,系数辅助表!$C:$F,4,0)</f>
        <v>0.36212396283071502</v>
      </c>
      <c r="J299" s="2" t="s">
        <v>200</v>
      </c>
    </row>
    <row r="300" spans="2:10" x14ac:dyDescent="0.3">
      <c r="B300" s="47" t="s">
        <v>152</v>
      </c>
      <c r="C300" t="str">
        <f>VLOOKUP($B300,'标准费用表-2024年&amp;2025年优化'!$D:$E,2,0)</f>
        <v>内蒙古正大鸿业食品有限公司</v>
      </c>
      <c r="D300" t="s">
        <v>49</v>
      </c>
      <c r="E300" s="46">
        <f>IFERROR(VLOOKUP($B300,'标准费用表-2024年&amp;2025年优化'!$D:$K,8,0)*系数辅助表!$J$6*VLOOKUP('5.成本表'!$D300,系数辅助表!$C:$G,5,0)/VLOOKUP($D300,系数辅助表!$C:$E,3,0),0)</f>
        <v>0.37510260870845002</v>
      </c>
      <c r="I300" s="36">
        <f>VLOOKUP($D300,系数辅助表!$C:$F,4,0)</f>
        <v>1.1207256222295201</v>
      </c>
      <c r="J300" s="2" t="s">
        <v>200</v>
      </c>
    </row>
    <row r="301" spans="2:10" x14ac:dyDescent="0.3">
      <c r="B301" s="47" t="s">
        <v>152</v>
      </c>
      <c r="C301" t="str">
        <f>VLOOKUP($B301,'标准费用表-2024年&amp;2025年优化'!$D:$E,2,0)</f>
        <v>内蒙古正大鸿业食品有限公司</v>
      </c>
      <c r="D301" t="s">
        <v>50</v>
      </c>
      <c r="E301" s="46">
        <f>IFERROR(VLOOKUP($B301,'标准费用表-2024年&amp;2025年优化'!$D:$K,8,0)*系数辅助表!$J$6*VLOOKUP('5.成本表'!$D301,系数辅助表!$C:$G,5,0)/VLOOKUP($D301,系数辅助表!$C:$E,3,0),0)</f>
        <v>0.61964016405230704</v>
      </c>
      <c r="I301" s="36">
        <f>VLOOKUP($D301,系数辅助表!$C:$F,4,0)</f>
        <v>1.8513510498021799</v>
      </c>
      <c r="J301" s="2" t="s">
        <v>200</v>
      </c>
    </row>
    <row r="302" spans="2:10" x14ac:dyDescent="0.3">
      <c r="B302" s="47" t="s">
        <v>152</v>
      </c>
      <c r="C302" t="str">
        <f>VLOOKUP($B302,'标准费用表-2024年&amp;2025年优化'!$D:$E,2,0)</f>
        <v>内蒙古正大鸿业食品有限公司</v>
      </c>
      <c r="D302" t="s">
        <v>51</v>
      </c>
      <c r="E302" s="46">
        <f>IFERROR(VLOOKUP($B302,'标准费用表-2024年&amp;2025年优化'!$D:$K,8,0)*系数辅助表!$J$6*VLOOKUP('5.成本表'!$D302,系数辅助表!$C:$G,5,0)/VLOOKUP($D302,系数辅助表!$C:$E,3,0),0)</f>
        <v>0.89887783956657596</v>
      </c>
      <c r="I302" s="36">
        <f>VLOOKUP($D302,系数辅助表!$C:$F,4,0)</f>
        <v>2.68565294580391</v>
      </c>
      <c r="J302" s="2" t="s">
        <v>200</v>
      </c>
    </row>
    <row r="303" spans="2:10" x14ac:dyDescent="0.3">
      <c r="B303" s="47" t="s">
        <v>152</v>
      </c>
      <c r="C303" t="str">
        <f>VLOOKUP($B303,'标准费用表-2024年&amp;2025年优化'!$D:$E,2,0)</f>
        <v>内蒙古正大鸿业食品有限公司</v>
      </c>
      <c r="D303" t="s">
        <v>52</v>
      </c>
      <c r="E303" s="46">
        <f>IFERROR(VLOOKUP($B303,'标准费用表-2024年&amp;2025年优化'!$D:$K,8,0)*系数辅助表!$J$6*VLOOKUP('5.成本表'!$D303,系数辅助表!$C:$G,5,0)/VLOOKUP($D303,系数辅助表!$C:$E,3,0),0)</f>
        <v>0.52516298755403501</v>
      </c>
      <c r="I303" s="36">
        <f>VLOOKUP($D303,系数辅助表!$C:$F,4,0)</f>
        <v>1.5690736410097099</v>
      </c>
      <c r="J303" s="2" t="s">
        <v>200</v>
      </c>
    </row>
    <row r="304" spans="2:10" x14ac:dyDescent="0.3">
      <c r="B304" s="47" t="s">
        <v>152</v>
      </c>
      <c r="C304" t="str">
        <f>VLOOKUP($B304,'标准费用表-2024年&amp;2025年优化'!$D:$E,2,0)</f>
        <v>内蒙古正大鸿业食品有限公司</v>
      </c>
      <c r="D304" t="s">
        <v>53</v>
      </c>
      <c r="E304" s="46">
        <f>IFERROR(VLOOKUP($B304,'标准费用表-2024年&amp;2025年优化'!$D:$K,8,0)*系数辅助表!$J$6*VLOOKUP('5.成本表'!$D304,系数辅助表!$C:$G,5,0)/VLOOKUP($D304,系数辅助表!$C:$E,3,0),0)</f>
        <v>0.482288698575213</v>
      </c>
      <c r="I304" s="36">
        <f>VLOOKUP($D304,系数辅助表!$C:$F,4,0)</f>
        <v>1.44097452072131</v>
      </c>
      <c r="J304" s="2" t="s">
        <v>200</v>
      </c>
    </row>
    <row r="305" spans="2:10" x14ac:dyDescent="0.3">
      <c r="B305" s="47" t="s">
        <v>152</v>
      </c>
      <c r="C305" t="str">
        <f>VLOOKUP($B305,'标准费用表-2024年&amp;2025年优化'!$D:$E,2,0)</f>
        <v>内蒙古正大鸿业食品有限公司</v>
      </c>
      <c r="D305" t="s">
        <v>54</v>
      </c>
      <c r="E305" s="46">
        <f>IFERROR(VLOOKUP($B305,'标准费用表-2024年&amp;2025年优化'!$D:$K,8,0)*系数辅助表!$J$6*VLOOKUP('5.成本表'!$D305,系数辅助表!$C:$G,5,0)/VLOOKUP($D305,系数辅助表!$C:$E,3,0),0)</f>
        <v>0.61611983416891403</v>
      </c>
      <c r="I305" s="36">
        <f>VLOOKUP($D305,系数辅助表!$C:$F,4,0)</f>
        <v>1.8408330640366199</v>
      </c>
      <c r="J305" s="2" t="s">
        <v>200</v>
      </c>
    </row>
    <row r="306" spans="2:10" x14ac:dyDescent="0.3">
      <c r="B306" s="47" t="s">
        <v>152</v>
      </c>
      <c r="C306" t="str">
        <f>VLOOKUP($B306,'标准费用表-2024年&amp;2025年优化'!$D:$E,2,0)</f>
        <v>内蒙古正大鸿业食品有限公司</v>
      </c>
      <c r="D306" t="s">
        <v>55</v>
      </c>
      <c r="E306" s="46">
        <f>IFERROR(VLOOKUP($B306,'标准费用表-2024年&amp;2025年优化'!$D:$K,8,0)*系数辅助表!$J$6*VLOOKUP('5.成本表'!$D306,系数辅助表!$C:$G,5,0)/VLOOKUP($D306,系数辅助表!$C:$E,3,0),0)</f>
        <v>1.0716113228261499</v>
      </c>
      <c r="I306" s="36">
        <f>VLOOKUP($D306,系数辅助表!$C:$F,4,0)</f>
        <v>3.2017433061789502</v>
      </c>
      <c r="J306" s="2" t="s">
        <v>200</v>
      </c>
    </row>
    <row r="307" spans="2:10" x14ac:dyDescent="0.3">
      <c r="B307" s="47" t="s">
        <v>152</v>
      </c>
      <c r="C307" t="str">
        <f>VLOOKUP($B307,'标准费用表-2024年&amp;2025年优化'!$D:$E,2,0)</f>
        <v>内蒙古正大鸿业食品有限公司</v>
      </c>
      <c r="D307" t="s">
        <v>56</v>
      </c>
      <c r="E307" s="46">
        <f>IFERROR(VLOOKUP($B307,'标准费用表-2024年&amp;2025年优化'!$D:$K,8,0)*系数辅助表!$J$6*VLOOKUP('5.成本表'!$D307,系数辅助表!$C:$G,5,0)/VLOOKUP($D307,系数辅助表!$C:$E,3,0),0)</f>
        <v>0.182447742669612</v>
      </c>
      <c r="I307" s="36">
        <f>VLOOKUP($D307,系数辅助表!$C:$F,4,0)</f>
        <v>0.54511447049599404</v>
      </c>
      <c r="J307" s="2" t="s">
        <v>200</v>
      </c>
    </row>
    <row r="308" spans="2:10" x14ac:dyDescent="0.3">
      <c r="B308" s="47" t="s">
        <v>152</v>
      </c>
      <c r="C308" t="str">
        <f>VLOOKUP($B308,'标准费用表-2024年&amp;2025年优化'!$D:$E,2,0)</f>
        <v>内蒙古正大鸿业食品有限公司</v>
      </c>
      <c r="D308" t="s">
        <v>57</v>
      </c>
      <c r="E308" s="46">
        <f>IFERROR(VLOOKUP($B308,'标准费用表-2024年&amp;2025年优化'!$D:$K,8,0)*系数辅助表!$J$6*VLOOKUP('5.成本表'!$D308,系数辅助表!$C:$G,5,0)/VLOOKUP($D308,系数辅助表!$C:$E,3,0),0)</f>
        <v>4.2241632909653402E-2</v>
      </c>
      <c r="I308" s="36">
        <f>VLOOKUP($D308,系数辅助表!$C:$F,4,0)</f>
        <v>0.126208880523832</v>
      </c>
      <c r="J308" s="2" t="s">
        <v>200</v>
      </c>
    </row>
    <row r="309" spans="2:10" x14ac:dyDescent="0.3">
      <c r="B309" s="47" t="s">
        <v>152</v>
      </c>
      <c r="C309" t="str">
        <f>VLOOKUP($B309,'标准费用表-2024年&amp;2025年优化'!$D:$E,2,0)</f>
        <v>内蒙古正大鸿业食品有限公司</v>
      </c>
      <c r="D309" t="s">
        <v>58</v>
      </c>
      <c r="E309" s="46">
        <f>IFERROR(VLOOKUP($B309,'标准费用表-2024年&amp;2025年优化'!$D:$K,8,0)*系数辅助表!$J$6*VLOOKUP('5.成本表'!$D309,系数辅助表!$C:$G,5,0)/VLOOKUP($D309,系数辅助表!$C:$E,3,0),0)</f>
        <v>0.22663090330528299</v>
      </c>
      <c r="I309" s="36">
        <f>VLOOKUP($D309,系数辅助表!$C:$F,4,0)</f>
        <v>0.67712421675176204</v>
      </c>
      <c r="J309" s="2" t="s">
        <v>200</v>
      </c>
    </row>
    <row r="310" spans="2:10" x14ac:dyDescent="0.3">
      <c r="B310" s="47" t="s">
        <v>152</v>
      </c>
      <c r="C310" t="str">
        <f>VLOOKUP($B310,'标准费用表-2024年&amp;2025年优化'!$D:$E,2,0)</f>
        <v>内蒙古正大鸿业食品有限公司</v>
      </c>
      <c r="D310" t="s">
        <v>59</v>
      </c>
      <c r="E310" s="46">
        <f>IFERROR(VLOOKUP($B310,'标准费用表-2024年&amp;2025年优化'!$D:$K,8,0)*系数辅助表!$J$6*VLOOKUP('5.成本表'!$D310,系数辅助表!$C:$G,5,0)/VLOOKUP($D310,系数辅助表!$C:$E,3,0),0)</f>
        <v>0.14823527261243999</v>
      </c>
      <c r="I310" s="36">
        <f>VLOOKUP($D310,系数辅助表!$C:$F,4,0)</f>
        <v>0.44289499533730498</v>
      </c>
      <c r="J310" s="2" t="s">
        <v>200</v>
      </c>
    </row>
    <row r="311" spans="2:10" x14ac:dyDescent="0.3">
      <c r="B311" s="47" t="s">
        <v>152</v>
      </c>
      <c r="C311" t="str">
        <f>VLOOKUP($B311,'标准费用表-2024年&amp;2025年优化'!$D:$E,2,0)</f>
        <v>内蒙古正大鸿业食品有限公司</v>
      </c>
      <c r="D311" t="s">
        <v>60</v>
      </c>
      <c r="E311" s="46">
        <f>IFERROR(VLOOKUP($B311,'标准费用表-2024年&amp;2025年优化'!$D:$K,8,0)*系数辅助表!$J$6*VLOOKUP('5.成本表'!$D311,系数辅助表!$C:$G,5,0)/VLOOKUP($D311,系数辅助表!$C:$E,3,0),0)</f>
        <v>9.8252235159250301E-2</v>
      </c>
      <c r="I311" s="36">
        <f>VLOOKUP($D311,系数辅助表!$C:$F,4,0)</f>
        <v>0.29355646915769201</v>
      </c>
      <c r="J311" s="2" t="s">
        <v>200</v>
      </c>
    </row>
    <row r="312" spans="2:10" x14ac:dyDescent="0.3">
      <c r="B312" s="47" t="s">
        <v>152</v>
      </c>
      <c r="C312" t="str">
        <f>VLOOKUP($B312,'标准费用表-2024年&amp;2025年优化'!$D:$E,2,0)</f>
        <v>内蒙古正大鸿业食品有限公司</v>
      </c>
      <c r="D312" t="s">
        <v>61</v>
      </c>
      <c r="E312" s="46">
        <f>IFERROR(VLOOKUP($B312,'标准费用表-2024年&amp;2025年优化'!$D:$K,8,0)*系数辅助表!$J$6*VLOOKUP('5.成本表'!$D312,系数辅助表!$C:$G,5,0)/VLOOKUP($D312,系数辅助表!$C:$E,3,0),0)</f>
        <v>1.6963465555918499E-2</v>
      </c>
      <c r="I312" s="36">
        <f>VLOOKUP($D312,系数辅助表!$C:$F,4,0)</f>
        <v>5.0683173214352499E-2</v>
      </c>
      <c r="J312" s="2" t="s">
        <v>200</v>
      </c>
    </row>
    <row r="313" spans="2:10" x14ac:dyDescent="0.3">
      <c r="B313" s="47" t="s">
        <v>152</v>
      </c>
      <c r="C313" t="str">
        <f>VLOOKUP($B313,'标准费用表-2024年&amp;2025年优化'!$D:$E,2,0)</f>
        <v>内蒙古正大鸿业食品有限公司</v>
      </c>
      <c r="D313" t="s">
        <v>62</v>
      </c>
      <c r="E313" s="46">
        <f>IFERROR(VLOOKUP($B313,'标准费用表-2024年&amp;2025年优化'!$D:$K,8,0)*系数辅助表!$J$6*VLOOKUP('5.成本表'!$D313,系数辅助表!$C:$G,5,0)/VLOOKUP($D313,系数辅助表!$C:$E,3,0),0)</f>
        <v>8.8773331818392198E-2</v>
      </c>
      <c r="I313" s="36">
        <f>VLOOKUP($D313,系数辅助表!$C:$F,4,0)</f>
        <v>0.26523555216563399</v>
      </c>
      <c r="J313" s="2" t="s">
        <v>200</v>
      </c>
    </row>
    <row r="314" spans="2:10" x14ac:dyDescent="0.3">
      <c r="B314" s="47" t="s">
        <v>152</v>
      </c>
      <c r="C314" t="str">
        <f>VLOOKUP($B314,'标准费用表-2024年&amp;2025年优化'!$D:$E,2,0)</f>
        <v>内蒙古正大鸿业食品有限公司</v>
      </c>
      <c r="D314" t="s">
        <v>63</v>
      </c>
      <c r="E314" s="46">
        <f>IFERROR(VLOOKUP($B314,'标准费用表-2024年&amp;2025年优化'!$D:$K,8,0)*系数辅助表!$J$6*VLOOKUP('5.成本表'!$D314,系数辅助表!$C:$G,5,0)/VLOOKUP($D314,系数辅助表!$C:$E,3,0),0)</f>
        <v>8.14613137807947E-2</v>
      </c>
      <c r="I314" s="36">
        <f>VLOOKUP($D314,系数辅助表!$C:$F,4,0)</f>
        <v>0.24338882069886</v>
      </c>
      <c r="J314" s="2" t="s">
        <v>200</v>
      </c>
    </row>
    <row r="315" spans="2:10" x14ac:dyDescent="0.3">
      <c r="B315" s="47" t="s">
        <v>152</v>
      </c>
      <c r="C315" t="str">
        <f>VLOOKUP($B315,'标准费用表-2024年&amp;2025年优化'!$D:$E,2,0)</f>
        <v>内蒙古正大鸿业食品有限公司</v>
      </c>
      <c r="D315" t="s">
        <v>64</v>
      </c>
      <c r="E315" s="46">
        <f>IFERROR(VLOOKUP($B315,'标准费用表-2024年&amp;2025年优化'!$D:$K,8,0)*系数辅助表!$J$6*VLOOKUP('5.成本表'!$D315,系数辅助表!$C:$G,5,0)/VLOOKUP($D315,系数辅助表!$C:$E,3,0),0)</f>
        <v>0.28499330321727201</v>
      </c>
      <c r="I315" s="36">
        <f>VLOOKUP($D315,系数辅助表!$C:$F,4,0)</f>
        <v>0.85149846912336002</v>
      </c>
      <c r="J315" s="2" t="s">
        <v>200</v>
      </c>
    </row>
    <row r="316" spans="2:10" x14ac:dyDescent="0.3">
      <c r="B316" s="47" t="s">
        <v>152</v>
      </c>
      <c r="C316" t="str">
        <f>VLOOKUP($B316,'标准费用表-2024年&amp;2025年优化'!$D:$E,2,0)</f>
        <v>内蒙古正大鸿业食品有限公司</v>
      </c>
      <c r="D316" t="s">
        <v>65</v>
      </c>
      <c r="E316" s="46">
        <f>IFERROR(VLOOKUP($B316,'标准费用表-2024年&amp;2025年优化'!$D:$K,8,0)*系数辅助表!$J$6*VLOOKUP('5.成本表'!$D316,系数辅助表!$C:$G,5,0)/VLOOKUP($D316,系数辅助表!$C:$E,3,0),0)</f>
        <v>0.33380410798236798</v>
      </c>
      <c r="I316" s="36">
        <f>VLOOKUP($D316,系数辅助表!$C:$F,4,0)</f>
        <v>0.99733461707829196</v>
      </c>
      <c r="J316" s="2" t="s">
        <v>200</v>
      </c>
    </row>
    <row r="317" spans="2:10" x14ac:dyDescent="0.3">
      <c r="B317" s="47" t="s">
        <v>152</v>
      </c>
      <c r="C317" t="str">
        <f>VLOOKUP($B317,'标准费用表-2024年&amp;2025年优化'!$D:$E,2,0)</f>
        <v>内蒙古正大鸿业食品有限公司</v>
      </c>
      <c r="D317" t="s">
        <v>66</v>
      </c>
      <c r="E317" s="46">
        <f>IFERROR(VLOOKUP($B317,'标准费用表-2024年&amp;2025年优化'!$D:$K,8,0)*系数辅助表!$J$6*VLOOKUP('5.成本表'!$D317,系数辅助表!$C:$G,5,0)/VLOOKUP($D317,系数辅助表!$C:$E,3,0),0)</f>
        <v>9.5448579262562602E-2</v>
      </c>
      <c r="I317" s="36">
        <f>VLOOKUP($D317,系数辅助表!$C:$F,4,0)</f>
        <v>0.28517975055754302</v>
      </c>
      <c r="J317" s="2" t="s">
        <v>200</v>
      </c>
    </row>
    <row r="318" spans="2:10" x14ac:dyDescent="0.3">
      <c r="B318" s="47" t="s">
        <v>152</v>
      </c>
      <c r="C318" t="str">
        <f>VLOOKUP($B318,'标准费用表-2024年&amp;2025年优化'!$D:$E,2,0)</f>
        <v>内蒙古正大鸿业食品有限公司</v>
      </c>
      <c r="D318" t="s">
        <v>67</v>
      </c>
      <c r="E318" s="46">
        <f>IFERROR(VLOOKUP($B318,'标准费用表-2024年&amp;2025年优化'!$D:$K,8,0)*系数辅助表!$J$6*VLOOKUP('5.成本表'!$D318,系数辅助表!$C:$G,5,0)/VLOOKUP($D318,系数辅助表!$C:$E,3,0),0)</f>
        <v>2.8398525378772799E-2</v>
      </c>
      <c r="I318" s="36">
        <f>VLOOKUP($D318,系数辅助表!$C:$F,4,0)</f>
        <v>8.4848663503333893E-2</v>
      </c>
      <c r="J318" s="2" t="s">
        <v>200</v>
      </c>
    </row>
    <row r="319" spans="2:10" x14ac:dyDescent="0.3">
      <c r="B319" s="47" t="s">
        <v>152</v>
      </c>
      <c r="C319" t="str">
        <f>VLOOKUP($B319,'标准费用表-2024年&amp;2025年优化'!$D:$E,2,0)</f>
        <v>内蒙古正大鸿业食品有限公司</v>
      </c>
      <c r="D319" t="s">
        <v>68</v>
      </c>
      <c r="E319" s="36">
        <f>IFERROR(VLOOKUP($B319,'标准费用表-2024年&amp;2025年优化'!$D:$K,8,0)*VLOOKUP("白条",系数辅助表!$C:$G,5,0)*VLOOKUP('5.成本表'!$D319,系数辅助表!$C:$G,5,0)/VLOOKUP('5.成本表'!$D319,系数辅助表!$C:$E,3,0),)</f>
        <v>0.69204712276731695</v>
      </c>
      <c r="F319" s="36">
        <f>IFERROR(VLOOKUP($B319,'标准费用表-2024年&amp;2025年优化'!$D:$L,9,0)*VLOOKUP('5.成本表'!$D319,系数辅助表!$C:$G,5,0)/VLOOKUP($D319,系数辅助表!$C:$E,3,0),0)</f>
        <v>0.90808335952582298</v>
      </c>
      <c r="I319" s="36">
        <f>VLOOKUP($D319,系数辅助表!$C:$F,4,0)</f>
        <v>2.2799999999999998</v>
      </c>
      <c r="J319" s="2" t="s">
        <v>69</v>
      </c>
    </row>
    <row r="320" spans="2:10" x14ac:dyDescent="0.3">
      <c r="B320" s="47" t="s">
        <v>152</v>
      </c>
      <c r="C320" t="str">
        <f>VLOOKUP($B320,'标准费用表-2024年&amp;2025年优化'!$D:$E,2,0)</f>
        <v>内蒙古正大鸿业食品有限公司</v>
      </c>
      <c r="D320" t="s">
        <v>70</v>
      </c>
      <c r="E320" s="36">
        <f>IFERROR(VLOOKUP($B320,'标准费用表-2024年&amp;2025年优化'!$D:$K,8,0)*VLOOKUP("白条",系数辅助表!$C:$G,5,0)*VLOOKUP('5.成本表'!$D320,系数辅助表!$C:$G,5,0)/VLOOKUP('5.成本表'!$D320,系数辅助表!$C:$E,3,0),)</f>
        <v>0.46249488620537699</v>
      </c>
      <c r="F320" s="36">
        <f>IFERROR(VLOOKUP($B320,'标准费用表-2024年&amp;2025年优化'!$D:$L,9,0)*VLOOKUP('5.成本表'!$D320,系数辅助表!$C:$G,5,0)/VLOOKUP($D320,系数辅助表!$C:$E,3,0),0)</f>
        <v>0.60687183894282404</v>
      </c>
      <c r="I320" s="36">
        <f>VLOOKUP($D320,系数辅助表!$C:$F,4,0)</f>
        <v>1.5237233215154999</v>
      </c>
      <c r="J320" s="2" t="s">
        <v>69</v>
      </c>
    </row>
    <row r="321" spans="2:10" x14ac:dyDescent="0.3">
      <c r="B321" s="47" t="s">
        <v>152</v>
      </c>
      <c r="C321" t="str">
        <f>VLOOKUP($B321,'标准费用表-2024年&amp;2025年优化'!$D:$E,2,0)</f>
        <v>内蒙古正大鸿业食品有限公司</v>
      </c>
      <c r="D321" t="s">
        <v>71</v>
      </c>
      <c r="E321" s="36">
        <f>IFERROR(VLOOKUP($B321,'标准费用表-2024年&amp;2025年优化'!$D:$K,8,0)*VLOOKUP("白条",系数辅助表!$C:$G,5,0)*VLOOKUP('5.成本表'!$D321,系数辅助表!$C:$G,5,0)/VLOOKUP('5.成本表'!$D321,系数辅助表!$C:$E,3,0),)</f>
        <v>1.2240299412707001</v>
      </c>
      <c r="F321" s="36">
        <f>IFERROR(VLOOKUP($B321,'标准费用表-2024年&amp;2025年优化'!$D:$L,9,0)*VLOOKUP('5.成本表'!$D321,系数辅助表!$C:$G,5,0)/VLOOKUP($D321,系数辅助表!$C:$E,3,0),0)</f>
        <v>1.6061351671900601</v>
      </c>
      <c r="I321" s="36">
        <f>VLOOKUP($D321,系数辅助表!$C:$F,4,0)</f>
        <v>4.0326564106466396</v>
      </c>
      <c r="J321" s="2" t="s">
        <v>69</v>
      </c>
    </row>
    <row r="322" spans="2:10" x14ac:dyDescent="0.3">
      <c r="B322" s="47" t="s">
        <v>152</v>
      </c>
      <c r="C322" t="str">
        <f>VLOOKUP($B322,'标准费用表-2024年&amp;2025年优化'!$D:$E,2,0)</f>
        <v>内蒙古正大鸿业食品有限公司</v>
      </c>
      <c r="D322" t="s">
        <v>72</v>
      </c>
      <c r="E322" s="36">
        <f>IFERROR(VLOOKUP($B322,'标准费用表-2024年&amp;2025年优化'!$D:$K,8,0)*VLOOKUP("白条",系数辅助表!$C:$G,5,0)*VLOOKUP('5.成本表'!$D322,系数辅助表!$C:$G,5,0)/VLOOKUP('5.成本表'!$D322,系数辅助表!$C:$E,3,0),)</f>
        <v>0.71286316375874204</v>
      </c>
      <c r="F322" s="36">
        <f>IFERROR(VLOOKUP($B322,'标准费用表-2024年&amp;2025年优化'!$D:$L,9,0)*VLOOKUP('5.成本表'!$D322,系数辅助表!$C:$G,5,0)/VLOOKUP($D322,系数辅助表!$C:$E,3,0),0)</f>
        <v>0.93539754061790403</v>
      </c>
      <c r="I322" s="36">
        <f>VLOOKUP($D322,系数辅助表!$C:$F,4,0)</f>
        <v>2.34857997367385</v>
      </c>
      <c r="J322" s="2" t="s">
        <v>69</v>
      </c>
    </row>
    <row r="323" spans="2:10" x14ac:dyDescent="0.3">
      <c r="B323" s="47" t="s">
        <v>152</v>
      </c>
      <c r="C323" t="str">
        <f>VLOOKUP($B323,'标准费用表-2024年&amp;2025年优化'!$D:$E,2,0)</f>
        <v>内蒙古正大鸿业食品有限公司</v>
      </c>
      <c r="D323" t="s">
        <v>73</v>
      </c>
      <c r="E323" s="36">
        <f>IFERROR(VLOOKUP($B323,'标准费用表-2024年&amp;2025年优化'!$D:$K,8,0)*VLOOKUP("白条",系数辅助表!$C:$G,5,0)*VLOOKUP('5.成本表'!$D323,系数辅助表!$C:$G,5,0)/VLOOKUP('5.成本表'!$D323,系数辅助表!$C:$E,3,0),)</f>
        <v>0.42824268601951998</v>
      </c>
      <c r="F323" s="36">
        <f>IFERROR(VLOOKUP($B323,'标准费用表-2024年&amp;2025年优化'!$D:$L,9,0)*VLOOKUP('5.成本表'!$D323,系数辅助表!$C:$G,5,0)/VLOOKUP($D323,系数辅助表!$C:$E,3,0),0)</f>
        <v>0.56192713504528002</v>
      </c>
      <c r="I323" s="36">
        <f>VLOOKUP($D323,系数辅助表!$C:$F,4,0)</f>
        <v>1.41087693598112</v>
      </c>
      <c r="J323" s="2" t="s">
        <v>69</v>
      </c>
    </row>
    <row r="324" spans="2:10" x14ac:dyDescent="0.3">
      <c r="B324" s="47" t="s">
        <v>152</v>
      </c>
      <c r="C324" t="str">
        <f>VLOOKUP($B324,'标准费用表-2024年&amp;2025年优化'!$D:$E,2,0)</f>
        <v>内蒙古正大鸿业食品有限公司</v>
      </c>
      <c r="D324" t="s">
        <v>74</v>
      </c>
      <c r="E324" s="36">
        <f>IFERROR(VLOOKUP($B324,'标准费用表-2024年&amp;2025年优化'!$D:$K,8,0)*VLOOKUP("白条",系数辅助表!$C:$G,5,0)*VLOOKUP('5.成本表'!$D324,系数辅助表!$C:$G,5,0)/VLOOKUP('5.成本表'!$D324,系数辅助表!$C:$E,3,0),)</f>
        <v>0.57825463344605799</v>
      </c>
      <c r="F324" s="36">
        <f>IFERROR(VLOOKUP($B324,'标准费用表-2024年&amp;2025年优化'!$D:$L,9,0)*VLOOKUP('5.成本表'!$D324,系数辅助表!$C:$G,5,0)/VLOOKUP($D324,系数辅助表!$C:$E,3,0),0)</f>
        <v>0.75876828748498604</v>
      </c>
      <c r="I324" s="36">
        <f>VLOOKUP($D324,系数辅助表!$C:$F,4,0)</f>
        <v>1.9051022985038799</v>
      </c>
      <c r="J324" s="2" t="s">
        <v>69</v>
      </c>
    </row>
    <row r="325" spans="2:10" x14ac:dyDescent="0.3">
      <c r="B325" s="47" t="s">
        <v>152</v>
      </c>
      <c r="C325" t="str">
        <f>VLOOKUP($B325,'标准费用表-2024年&amp;2025年优化'!$D:$E,2,0)</f>
        <v>内蒙古正大鸿业食品有限公司</v>
      </c>
      <c r="D325" t="s">
        <v>75</v>
      </c>
      <c r="E325" s="36">
        <f>IFERROR(VLOOKUP($B325,'标准费用表-2024年&amp;2025年优化'!$D:$K,8,0)*VLOOKUP("白条",系数辅助表!$C:$G,5,0)*VLOOKUP('5.成本表'!$D325,系数辅助表!$C:$G,5,0)/VLOOKUP('5.成本表'!$D325,系数辅助表!$C:$E,3,0),)</f>
        <v>0.43298958166754398</v>
      </c>
      <c r="F325" s="36">
        <f>IFERROR(VLOOKUP($B325,'标准费用表-2024年&amp;2025年优化'!$D:$L,9,0)*VLOOKUP('5.成本表'!$D325,系数辅助表!$C:$G,5,0)/VLOOKUP($D325,系数辅助表!$C:$E,3,0),0)</f>
        <v>0.56815586832884502</v>
      </c>
      <c r="I325" s="36">
        <f>VLOOKUP($D325,系数辅助表!$C:$F,4,0)</f>
        <v>1.42651593182611</v>
      </c>
      <c r="J325" s="2" t="s">
        <v>69</v>
      </c>
    </row>
    <row r="326" spans="2:10" x14ac:dyDescent="0.3">
      <c r="B326" s="47" t="s">
        <v>152</v>
      </c>
      <c r="C326" t="str">
        <f>VLOOKUP($B326,'标准费用表-2024年&amp;2025年优化'!$D:$E,2,0)</f>
        <v>内蒙古正大鸿业食品有限公司</v>
      </c>
      <c r="D326" t="s">
        <v>76</v>
      </c>
      <c r="E326" s="36">
        <f>IFERROR(VLOOKUP($B326,'标准费用表-2024年&amp;2025年优化'!$D:$K,8,0)*VLOOKUP("白条",系数辅助表!$C:$G,5,0)*VLOOKUP('5.成本表'!$D326,系数辅助表!$C:$G,5,0)/VLOOKUP('5.成本表'!$D326,系数辅助表!$C:$E,3,0),)</f>
        <v>0.441205109523781</v>
      </c>
      <c r="F326" s="36">
        <f>IFERROR(VLOOKUP($B326,'标准费用表-2024年&amp;2025年优化'!$D:$L,9,0)*VLOOKUP('5.成本表'!$D326,系数辅助表!$C:$G,5,0)/VLOOKUP($D326,系数辅助表!$C:$E,3,0),0)</f>
        <v>0.57893603616790401</v>
      </c>
      <c r="I326" s="36">
        <f>VLOOKUP($D326,系数辅助表!$C:$F,4,0)</f>
        <v>1.4535825908670701</v>
      </c>
      <c r="J326" s="2" t="s">
        <v>69</v>
      </c>
    </row>
    <row r="327" spans="2:10" x14ac:dyDescent="0.3">
      <c r="B327" s="47" t="s">
        <v>152</v>
      </c>
      <c r="C327" t="str">
        <f>VLOOKUP($B327,'标准费用表-2024年&amp;2025年优化'!$D:$E,2,0)</f>
        <v>内蒙古正大鸿业食品有限公司</v>
      </c>
      <c r="D327" t="s">
        <v>77</v>
      </c>
      <c r="E327" s="36">
        <f>IFERROR(VLOOKUP($B327,'标准费用表-2024年&amp;2025年优化'!$D:$K,8,0)*VLOOKUP("白条",系数辅助表!$C:$G,5,0)*VLOOKUP('5.成本表'!$D327,系数辅助表!$C:$G,5,0)/VLOOKUP('5.成本表'!$D327,系数辅助表!$C:$E,3,0),)</f>
        <v>0.43739749730333599</v>
      </c>
      <c r="F327" s="36">
        <f>IFERROR(VLOOKUP($B327,'标准费用表-2024年&amp;2025年优化'!$D:$L,9,0)*VLOOKUP('5.成本表'!$D327,系数辅助表!$C:$G,5,0)/VLOOKUP($D327,系数辅助表!$C:$E,3,0),0)</f>
        <v>0.57393980226538199</v>
      </c>
      <c r="I327" s="36">
        <f>VLOOKUP($D327,系数辅助表!$C:$F,4,0)</f>
        <v>1.4410381331603499</v>
      </c>
      <c r="J327" s="2" t="s">
        <v>69</v>
      </c>
    </row>
    <row r="328" spans="2:10" x14ac:dyDescent="0.3">
      <c r="B328" s="47" t="s">
        <v>152</v>
      </c>
      <c r="C328" t="str">
        <f>VLOOKUP($B328,'标准费用表-2024年&amp;2025年优化'!$D:$E,2,0)</f>
        <v>内蒙古正大鸿业食品有限公司</v>
      </c>
      <c r="D328" t="s">
        <v>78</v>
      </c>
      <c r="E328" s="36">
        <f>IFERROR(VLOOKUP($B328,'标准费用表-2024年&amp;2025年优化'!$D:$K,8,0)*VLOOKUP("白条",系数辅助表!$C:$G,5,0)*VLOOKUP('5.成本表'!$D328,系数辅助表!$C:$G,5,0)/VLOOKUP('5.成本表'!$D328,系数辅助表!$C:$E,3,0),)</f>
        <v>0.37511158563702102</v>
      </c>
      <c r="F328" s="36">
        <f>IFERROR(VLOOKUP($B328,'标准费用表-2024年&amp;2025年优化'!$D:$L,9,0)*VLOOKUP('5.成本表'!$D328,系数辅助表!$C:$G,5,0)/VLOOKUP($D328,系数辅助表!$C:$E,3,0),0)</f>
        <v>0.49221010777448598</v>
      </c>
      <c r="I328" s="36">
        <f>VLOOKUP($D328,系数辅助表!$C:$F,4,0)</f>
        <v>1.2358326291892801</v>
      </c>
      <c r="J328" s="2" t="s">
        <v>69</v>
      </c>
    </row>
    <row r="329" spans="2:10" x14ac:dyDescent="0.3">
      <c r="B329" s="47" t="s">
        <v>152</v>
      </c>
      <c r="C329" t="str">
        <f>VLOOKUP($B329,'标准费用表-2024年&amp;2025年优化'!$D:$E,2,0)</f>
        <v>内蒙古正大鸿业食品有限公司</v>
      </c>
      <c r="D329" t="s">
        <v>79</v>
      </c>
      <c r="E329" s="36">
        <f>IFERROR(VLOOKUP($B329,'标准费用表-2024年&amp;2025年优化'!$D:$K,8,0)*VLOOKUP("白条",系数辅助表!$C:$G,5,0)*VLOOKUP('5.成本表'!$D329,系数辅助表!$C:$G,5,0)/VLOOKUP('5.成本表'!$D329,系数辅助表!$C:$E,3,0),)</f>
        <v>0.26201177827028099</v>
      </c>
      <c r="F329" s="36">
        <f>IFERROR(VLOOKUP($B329,'标准费用表-2024年&amp;2025年优化'!$D:$L,9,0)*VLOOKUP('5.成本表'!$D329,系数辅助表!$C:$G,5,0)/VLOOKUP($D329,系数辅助表!$C:$E,3,0),0)</f>
        <v>0.343803952100251</v>
      </c>
      <c r="I329" s="36">
        <f>VLOOKUP($D329,系数辅助表!$C:$F,4,0)</f>
        <v>0.86321701919291904</v>
      </c>
      <c r="J329" s="2" t="s">
        <v>69</v>
      </c>
    </row>
    <row r="330" spans="2:10" x14ac:dyDescent="0.3">
      <c r="B330" s="47" t="s">
        <v>152</v>
      </c>
      <c r="C330" t="str">
        <f>VLOOKUP($B330,'标准费用表-2024年&amp;2025年优化'!$D:$E,2,0)</f>
        <v>内蒙古正大鸿业食品有限公司</v>
      </c>
      <c r="D330" t="s">
        <v>80</v>
      </c>
      <c r="E330" s="36">
        <f>IFERROR(VLOOKUP($B330,'标准费用表-2024年&amp;2025年优化'!$D:$K,8,0)*VLOOKUP("白条",系数辅助表!$C:$G,5,0)*VLOOKUP('5.成本表'!$D330,系数辅助表!$C:$G,5,0)/VLOOKUP('5.成本表'!$D330,系数辅助表!$C:$E,3,0),)</f>
        <v>0.241874697084874</v>
      </c>
      <c r="F330" s="36">
        <f>IFERROR(VLOOKUP($B330,'标准费用表-2024年&amp;2025年优化'!$D:$L,9,0)*VLOOKUP('5.成本表'!$D330,系数辅助表!$C:$G,5,0)/VLOOKUP($D330,系数辅助表!$C:$E,3,0),0)</f>
        <v>0.31738068158542498</v>
      </c>
      <c r="I330" s="36">
        <f>VLOOKUP($D330,系数辅助表!$C:$F,4,0)</f>
        <v>0.796873928394225</v>
      </c>
      <c r="J330" s="2" t="s">
        <v>69</v>
      </c>
    </row>
    <row r="331" spans="2:10" x14ac:dyDescent="0.3">
      <c r="B331" s="47" t="s">
        <v>152</v>
      </c>
      <c r="C331" t="str">
        <f>VLOOKUP($B331,'标准费用表-2024年&amp;2025年优化'!$D:$E,2,0)</f>
        <v>内蒙古正大鸿业食品有限公司</v>
      </c>
      <c r="D331" t="s">
        <v>81</v>
      </c>
      <c r="E331" s="36">
        <f>IFERROR(VLOOKUP($B331,'标准费用表-2024年&amp;2025年优化'!$D:$K,8,0)*VLOOKUP("白条",系数辅助表!$C:$G,5,0)*VLOOKUP('5.成本表'!$D331,系数辅助表!$C:$G,5,0)/VLOOKUP('5.成本表'!$D331,系数辅助表!$C:$E,3,0),)</f>
        <v>0.33352079218033798</v>
      </c>
      <c r="F331" s="36">
        <f>IFERROR(VLOOKUP($B331,'标准费用表-2024年&amp;2025年优化'!$D:$L,9,0)*VLOOKUP('5.成本表'!$D331,系数辅助表!$C:$G,5,0)/VLOOKUP($D331,系数辅助表!$C:$E,3,0),0)</f>
        <v>0.43763592314892902</v>
      </c>
      <c r="I331" s="36">
        <f>VLOOKUP($D331,系数辅助表!$C:$F,4,0)</f>
        <v>1.09880870991909</v>
      </c>
      <c r="J331" s="2" t="s">
        <v>69</v>
      </c>
    </row>
    <row r="332" spans="2:10" x14ac:dyDescent="0.3">
      <c r="B332" s="47" t="s">
        <v>152</v>
      </c>
      <c r="C332" t="str">
        <f>VLOOKUP($B332,'标准费用表-2024年&amp;2025年优化'!$D:$E,2,0)</f>
        <v>内蒙古正大鸿业食品有限公司</v>
      </c>
      <c r="D332" t="s">
        <v>82</v>
      </c>
      <c r="E332" s="36">
        <f>IFERROR(VLOOKUP($B332,'标准费用表-2024年&amp;2025年优化'!$D:$K,8,0)*VLOOKUP("白条",系数辅助表!$C:$G,5,0)*VLOOKUP('5.成本表'!$D332,系数辅助表!$C:$G,5,0)/VLOOKUP('5.成本表'!$D332,系数辅助表!$C:$E,3,0),)</f>
        <v>0.30388495529618198</v>
      </c>
      <c r="F332" s="36">
        <f>IFERROR(VLOOKUP($B332,'标准费用表-2024年&amp;2025年优化'!$D:$L,9,0)*VLOOKUP('5.成本表'!$D332,系数辅助表!$C:$G,5,0)/VLOOKUP($D332,系数辅助表!$C:$E,3,0),0)</f>
        <v>0.39874867192749502</v>
      </c>
      <c r="I332" s="36">
        <f>VLOOKUP($D332,系数辅助表!$C:$F,4,0)</f>
        <v>1.0011712718416299</v>
      </c>
      <c r="J332" s="2" t="s">
        <v>69</v>
      </c>
    </row>
    <row r="333" spans="2:10" x14ac:dyDescent="0.3">
      <c r="B333" s="47" t="s">
        <v>152</v>
      </c>
      <c r="C333" t="str">
        <f>VLOOKUP($B333,'标准费用表-2024年&amp;2025年优化'!$D:$E,2,0)</f>
        <v>内蒙古正大鸿业食品有限公司</v>
      </c>
      <c r="D333" t="s">
        <v>83</v>
      </c>
      <c r="E333" s="36">
        <f>IFERROR(VLOOKUP($B333,'标准费用表-2024年&amp;2025年优化'!$D:$K,8,0)*VLOOKUP("白条",系数辅助表!$C:$G,5,0)*VLOOKUP('5.成本表'!$D333,系数辅助表!$C:$G,5,0)/VLOOKUP('5.成本表'!$D333,系数辅助表!$C:$E,3,0),)</f>
        <v>0.27328357094047101</v>
      </c>
      <c r="F333" s="36">
        <f>IFERROR(VLOOKUP($B333,'标准费用表-2024年&amp;2025年优化'!$D:$L,9,0)*VLOOKUP('5.成本表'!$D333,系数辅助表!$C:$G,5,0)/VLOOKUP($D333,系数辅助表!$C:$E,3,0),0)</f>
        <v>0.35859445843874299</v>
      </c>
      <c r="I333" s="36">
        <f>VLOOKUP($D333,系数辅助表!$C:$F,4,0)</f>
        <v>0.90035276680685095</v>
      </c>
      <c r="J333" s="2" t="s">
        <v>69</v>
      </c>
    </row>
    <row r="334" spans="2:10" x14ac:dyDescent="0.3">
      <c r="B334" s="47" t="s">
        <v>152</v>
      </c>
      <c r="C334" t="str">
        <f>VLOOKUP($B334,'标准费用表-2024年&amp;2025年优化'!$D:$E,2,0)</f>
        <v>内蒙古正大鸿业食品有限公司</v>
      </c>
      <c r="D334" t="s">
        <v>84</v>
      </c>
      <c r="E334" s="36">
        <f>IFERROR(VLOOKUP($B334,'标准费用表-2024年&amp;2025年优化'!$D:$K,8,0)*VLOOKUP("白条",系数辅助表!$C:$G,5,0)*VLOOKUP('5.成本表'!$D334,系数辅助表!$C:$G,5,0)/VLOOKUP('5.成本表'!$D334,系数辅助表!$C:$E,3,0),)</f>
        <v>0.274490612193933</v>
      </c>
      <c r="F334" s="36">
        <f>IFERROR(VLOOKUP($B334,'标准费用表-2024年&amp;2025年优化'!$D:$L,9,0)*VLOOKUP('5.成本表'!$D334,系数辅助表!$C:$G,5,0)/VLOOKUP($D334,系数辅助表!$C:$E,3,0),0)</f>
        <v>0.36017830156223801</v>
      </c>
      <c r="I334" s="36">
        <f>VLOOKUP($D334,系数辅助表!$C:$F,4,0)</f>
        <v>0.90432945273957599</v>
      </c>
      <c r="J334" s="2" t="s">
        <v>69</v>
      </c>
    </row>
    <row r="335" spans="2:10" x14ac:dyDescent="0.3">
      <c r="B335" s="47" t="s">
        <v>152</v>
      </c>
      <c r="C335" t="str">
        <f>VLOOKUP($B335,'标准费用表-2024年&amp;2025年优化'!$D:$E,2,0)</f>
        <v>内蒙古正大鸿业食品有限公司</v>
      </c>
      <c r="D335" t="s">
        <v>85</v>
      </c>
      <c r="E335" s="36">
        <f>IFERROR(VLOOKUP($B335,'标准费用表-2024年&amp;2025年优化'!$D:$K,8,0)*VLOOKUP("白条",系数辅助表!$C:$G,5,0)*VLOOKUP('5.成本表'!$D335,系数辅助表!$C:$G,5,0)/VLOOKUP('5.成本表'!$D335,系数辅助表!$C:$E,3,0),)</f>
        <v>0.34128099087376002</v>
      </c>
      <c r="F335" s="36">
        <f>IFERROR(VLOOKUP($B335,'标准费用表-2024年&amp;2025年优化'!$D:$L,9,0)*VLOOKUP('5.成本表'!$D335,系数辅助表!$C:$G,5,0)/VLOOKUP($D335,系数辅助表!$C:$E,3,0),0)</f>
        <v>0.44781862179513099</v>
      </c>
      <c r="I335" s="36">
        <f>VLOOKUP($D335,系数辅助表!$C:$F,4,0)</f>
        <v>1.12437525363977</v>
      </c>
      <c r="J335" s="2" t="s">
        <v>69</v>
      </c>
    </row>
    <row r="336" spans="2:10" x14ac:dyDescent="0.3">
      <c r="B336" s="47" t="s">
        <v>152</v>
      </c>
      <c r="C336" t="str">
        <f>VLOOKUP($B336,'标准费用表-2024年&amp;2025年优化'!$D:$E,2,0)</f>
        <v>内蒙古正大鸿业食品有限公司</v>
      </c>
      <c r="D336" t="s">
        <v>86</v>
      </c>
      <c r="E336" s="36">
        <f>IFERROR(VLOOKUP($B336,'标准费用表-2024年&amp;2025年优化'!$D:$K,8,0)*VLOOKUP("白条",系数辅助表!$C:$G,5,0)*VLOOKUP('5.成本表'!$D336,系数辅助表!$C:$G,5,0)/VLOOKUP('5.成本表'!$D336,系数辅助表!$C:$E,3,0),)</f>
        <v>0.29842179314689199</v>
      </c>
      <c r="F336" s="36">
        <f>IFERROR(VLOOKUP($B336,'标准费用表-2024年&amp;2025年优化'!$D:$L,9,0)*VLOOKUP('5.成本表'!$D336,系数辅助表!$C:$G,5,0)/VLOOKUP($D336,系数辅助表!$C:$E,3,0),0)</f>
        <v>0.39158007534649297</v>
      </c>
      <c r="I336" s="36">
        <f>VLOOKUP($D336,系数辅助表!$C:$F,4,0)</f>
        <v>0.98317248347795105</v>
      </c>
      <c r="J336" s="2" t="s">
        <v>69</v>
      </c>
    </row>
    <row r="337" spans="2:10" x14ac:dyDescent="0.3">
      <c r="B337" s="47" t="s">
        <v>152</v>
      </c>
      <c r="C337" t="str">
        <f>VLOOKUP($B337,'标准费用表-2024年&amp;2025年优化'!$D:$E,2,0)</f>
        <v>内蒙古正大鸿业食品有限公司</v>
      </c>
      <c r="D337" t="s">
        <v>87</v>
      </c>
      <c r="E337" s="36">
        <f>IFERROR(VLOOKUP($B337,'标准费用表-2024年&amp;2025年优化'!$D:$K,8,0)*VLOOKUP("白条",系数辅助表!$C:$G,5,0)*VLOOKUP('5.成本表'!$D337,系数辅助表!$C:$G,5,0)/VLOOKUP('5.成本表'!$D337,系数辅助表!$C:$E,3,0),)</f>
        <v>0.21614474417323001</v>
      </c>
      <c r="F337" s="36">
        <f>IFERROR(VLOOKUP($B337,'标准费用表-2024年&amp;2025年优化'!$D:$L,9,0)*VLOOKUP('5.成本表'!$D337,系数辅助表!$C:$G,5,0)/VLOOKUP($D337,系数辅助表!$C:$E,3,0),0)</f>
        <v>0.28361861349529699</v>
      </c>
      <c r="I337" s="36">
        <f>VLOOKUP($D337,系数辅助表!$C:$F,4,0)</f>
        <v>0.71210471151782795</v>
      </c>
      <c r="J337" s="2" t="s">
        <v>69</v>
      </c>
    </row>
    <row r="338" spans="2:10" x14ac:dyDescent="0.3">
      <c r="B338" s="47" t="s">
        <v>152</v>
      </c>
      <c r="C338" t="str">
        <f>VLOOKUP($B338,'标准费用表-2024年&amp;2025年优化'!$D:$E,2,0)</f>
        <v>内蒙古正大鸿业食品有限公司</v>
      </c>
      <c r="D338" t="s">
        <v>88</v>
      </c>
      <c r="E338" s="36">
        <f>IFERROR(VLOOKUP($B338,'标准费用表-2024年&amp;2025年优化'!$D:$K,8,0)*VLOOKUP("白条",系数辅助表!$C:$G,5,0)*VLOOKUP('5.成本表'!$D338,系数辅助表!$C:$G,5,0)/VLOOKUP('5.成本表'!$D338,系数辅助表!$C:$E,3,0),)</f>
        <v>0.81637011114017999</v>
      </c>
      <c r="F338" s="36">
        <f>IFERROR(VLOOKUP($B338,'标准费用表-2024年&amp;2025年优化'!$D:$L,9,0)*VLOOKUP('5.成本表'!$D338,系数辅助表!$C:$G,5,0)/VLOOKUP($D338,系数辅助表!$C:$E,3,0),0)</f>
        <v>1.07121623477929</v>
      </c>
      <c r="I338" s="36">
        <f>VLOOKUP($D338,系数辅助表!$C:$F,4,0)</f>
        <v>2.6895912029178799</v>
      </c>
      <c r="J338" s="2" t="s">
        <v>69</v>
      </c>
    </row>
    <row r="339" spans="2:10" x14ac:dyDescent="0.3">
      <c r="B339" s="47" t="s">
        <v>152</v>
      </c>
      <c r="C339" t="str">
        <f>VLOOKUP($B339,'标准费用表-2024年&amp;2025年优化'!$D:$E,2,0)</f>
        <v>内蒙古正大鸿业食品有限公司</v>
      </c>
      <c r="D339" t="s">
        <v>89</v>
      </c>
      <c r="E339" s="36">
        <f>IFERROR(VLOOKUP($B339,'标准费用表-2024年&amp;2025年优化'!$D:$K,8,0)*VLOOKUP("白条",系数辅助表!$C:$G,5,0)*VLOOKUP('5.成本表'!$D339,系数辅助表!$C:$G,5,0)/VLOOKUP('5.成本表'!$D339,系数辅助表!$C:$E,3,0),)</f>
        <v>0.351116565237032</v>
      </c>
      <c r="F339" s="36">
        <f>IFERROR(VLOOKUP($B339,'标准费用表-2024年&amp;2025年优化'!$D:$L,9,0)*VLOOKUP('5.成本表'!$D339,系数辅助表!$C:$G,5,0)/VLOOKUP($D339,系数辅助表!$C:$E,3,0),0)</f>
        <v>0.46072456579349802</v>
      </c>
      <c r="I339" s="36">
        <f>VLOOKUP($D339,系数辅助表!$C:$F,4,0)</f>
        <v>1.1567792747107399</v>
      </c>
      <c r="J339" s="2" t="s">
        <v>69</v>
      </c>
    </row>
    <row r="340" spans="2:10" x14ac:dyDescent="0.3">
      <c r="B340" s="47" t="s">
        <v>152</v>
      </c>
      <c r="C340" t="str">
        <f>VLOOKUP($B340,'标准费用表-2024年&amp;2025年优化'!$D:$E,2,0)</f>
        <v>内蒙古正大鸿业食品有限公司</v>
      </c>
      <c r="D340" t="s">
        <v>90</v>
      </c>
      <c r="E340" s="36">
        <f>IFERROR(VLOOKUP($B340,'标准费用表-2024年&amp;2025年优化'!$D:$K,8,0)*VLOOKUP("白条",系数辅助表!$C:$G,5,0)*VLOOKUP('5.成本表'!$D340,系数辅助表!$C:$G,5,0)/VLOOKUP('5.成本表'!$D340,系数辅助表!$C:$E,3,0),)</f>
        <v>0.22187346220154699</v>
      </c>
      <c r="F340" s="36">
        <f>IFERROR(VLOOKUP($B340,'标准费用表-2024年&amp;2025年优化'!$D:$L,9,0)*VLOOKUP('5.成本表'!$D340,系数辅助表!$C:$G,5,0)/VLOOKUP($D340,系数辅助表!$C:$E,3,0),0)</f>
        <v>0.29113566449050798</v>
      </c>
      <c r="I340" s="36">
        <f>VLOOKUP($D340,系数辅助表!$C:$F,4,0)</f>
        <v>0.73097839320056501</v>
      </c>
      <c r="J340" s="2" t="s">
        <v>69</v>
      </c>
    </row>
    <row r="341" spans="2:10" x14ac:dyDescent="0.3">
      <c r="B341" s="47" t="s">
        <v>152</v>
      </c>
      <c r="C341" t="str">
        <f>VLOOKUP($B341,'标准费用表-2024年&amp;2025年优化'!$D:$E,2,0)</f>
        <v>内蒙古正大鸿业食品有限公司</v>
      </c>
      <c r="D341" t="s">
        <v>91</v>
      </c>
      <c r="E341" s="36">
        <f>IFERROR(VLOOKUP($B341,'标准费用表-2024年&amp;2025年优化'!$D:$K,8,0)*VLOOKUP("白条",系数辅助表!$C:$G,5,0)*VLOOKUP('5.成本表'!$D341,系数辅助表!$C:$G,5,0)/VLOOKUP('5.成本表'!$D341,系数辅助表!$C:$E,3,0),)</f>
        <v>0.183967553883953</v>
      </c>
      <c r="F341" s="36">
        <f>IFERROR(VLOOKUP($B341,'标准费用表-2024年&amp;2025年优化'!$D:$L,9,0)*VLOOKUP('5.成本表'!$D341,系数辅助表!$C:$G,5,0)/VLOOKUP($D341,系数辅助表!$C:$E,3,0),0)</f>
        <v>0.241396674993268</v>
      </c>
      <c r="I341" s="36">
        <f>VLOOKUP($D341,系数辅助表!$C:$F,4,0)</f>
        <v>0.60609459826688905</v>
      </c>
      <c r="J341" s="2" t="s">
        <v>69</v>
      </c>
    </row>
    <row r="342" spans="2:10" x14ac:dyDescent="0.3">
      <c r="B342" s="47" t="s">
        <v>152</v>
      </c>
      <c r="C342" t="str">
        <f>VLOOKUP($B342,'标准费用表-2024年&amp;2025年优化'!$D:$E,2,0)</f>
        <v>内蒙古正大鸿业食品有限公司</v>
      </c>
      <c r="D342" t="s">
        <v>92</v>
      </c>
      <c r="E342" s="36">
        <f>IFERROR(VLOOKUP($B342,'标准费用表-2024年&amp;2025年优化'!$D:$K,8,0)*VLOOKUP("白条",系数辅助表!$C:$G,5,0)*VLOOKUP('5.成本表'!$D342,系数辅助表!$C:$G,5,0)/VLOOKUP('5.成本表'!$D342,系数辅助表!$C:$E,3,0),)</f>
        <v>7.3017322482245794E-2</v>
      </c>
      <c r="F342" s="36">
        <f>IFERROR(VLOOKUP($B342,'标准费用表-2024年&amp;2025年优化'!$D:$L,9,0)*VLOOKUP('5.成本表'!$D342,系数辅助表!$C:$G,5,0)/VLOOKUP($D342,系数辅助表!$C:$E,3,0),0)</f>
        <v>9.5811128060352801E-2</v>
      </c>
      <c r="I342" s="36">
        <f>VLOOKUP($D342,系数辅助表!$C:$F,4,0)</f>
        <v>0.24056092393508099</v>
      </c>
      <c r="J342" s="2" t="s">
        <v>69</v>
      </c>
    </row>
    <row r="343" spans="2:10" x14ac:dyDescent="0.3">
      <c r="B343" s="47" t="s">
        <v>152</v>
      </c>
      <c r="C343" t="str">
        <f>VLOOKUP($B343,'标准费用表-2024年&amp;2025年优化'!$D:$E,2,0)</f>
        <v>内蒙古正大鸿业食品有限公司</v>
      </c>
      <c r="D343" t="s">
        <v>93</v>
      </c>
      <c r="E343" s="36">
        <f>E319</f>
        <v>0.69204712276731695</v>
      </c>
      <c r="F343" s="36">
        <f>F319</f>
        <v>0.90808335952582298</v>
      </c>
      <c r="G343">
        <v>0.2</v>
      </c>
      <c r="H343">
        <v>0.3</v>
      </c>
      <c r="J343" s="2" t="s">
        <v>69</v>
      </c>
    </row>
    <row r="344" spans="2:10" x14ac:dyDescent="0.3">
      <c r="B344" s="47" t="s">
        <v>152</v>
      </c>
      <c r="C344" t="str">
        <f>VLOOKUP($B344,'标准费用表-2024年&amp;2025年优化'!$D:$E,2,0)</f>
        <v>内蒙古正大鸿业食品有限公司</v>
      </c>
      <c r="D344" t="s">
        <v>96</v>
      </c>
      <c r="E344" s="36">
        <f t="shared" ref="E344:F344" si="40">E320</f>
        <v>0.46249488620537699</v>
      </c>
      <c r="F344" s="36">
        <f t="shared" si="40"/>
        <v>0.60687183894282404</v>
      </c>
      <c r="G344">
        <v>0.2</v>
      </c>
      <c r="H344">
        <v>0.3</v>
      </c>
      <c r="J344" s="2" t="s">
        <v>69</v>
      </c>
    </row>
    <row r="345" spans="2:10" x14ac:dyDescent="0.3">
      <c r="B345" s="47" t="s">
        <v>152</v>
      </c>
      <c r="C345" t="str">
        <f>VLOOKUP($B345,'标准费用表-2024年&amp;2025年优化'!$D:$E,2,0)</f>
        <v>内蒙古正大鸿业食品有限公司</v>
      </c>
      <c r="D345" t="s">
        <v>97</v>
      </c>
      <c r="E345" s="36">
        <f t="shared" ref="E345:F345" si="41">E321</f>
        <v>1.2240299412707001</v>
      </c>
      <c r="F345" s="36">
        <f t="shared" si="41"/>
        <v>1.6061351671900601</v>
      </c>
      <c r="G345">
        <v>0.2</v>
      </c>
      <c r="H345">
        <v>0.3</v>
      </c>
      <c r="J345" s="2" t="s">
        <v>69</v>
      </c>
    </row>
    <row r="346" spans="2:10" x14ac:dyDescent="0.3">
      <c r="B346" s="47" t="s">
        <v>152</v>
      </c>
      <c r="C346" t="str">
        <f>VLOOKUP($B346,'标准费用表-2024年&amp;2025年优化'!$D:$E,2,0)</f>
        <v>内蒙古正大鸿业食品有限公司</v>
      </c>
      <c r="D346" t="s">
        <v>98</v>
      </c>
      <c r="E346" s="36">
        <f t="shared" ref="E346:F346" si="42">E322</f>
        <v>0.71286316375874204</v>
      </c>
      <c r="F346" s="36">
        <f t="shared" si="42"/>
        <v>0.93539754061790403</v>
      </c>
      <c r="G346">
        <v>0.2</v>
      </c>
      <c r="H346">
        <v>0.3</v>
      </c>
      <c r="J346" s="2" t="s">
        <v>69</v>
      </c>
    </row>
    <row r="347" spans="2:10" x14ac:dyDescent="0.3">
      <c r="B347" s="47" t="s">
        <v>152</v>
      </c>
      <c r="C347" t="str">
        <f>VLOOKUP($B347,'标准费用表-2024年&amp;2025年优化'!$D:$E,2,0)</f>
        <v>内蒙古正大鸿业食品有限公司</v>
      </c>
      <c r="D347" t="s">
        <v>99</v>
      </c>
      <c r="E347" s="36">
        <f t="shared" ref="E347:F347" si="43">E323</f>
        <v>0.42824268601951998</v>
      </c>
      <c r="F347" s="36">
        <f t="shared" si="43"/>
        <v>0.56192713504528002</v>
      </c>
      <c r="G347">
        <v>0.2</v>
      </c>
      <c r="H347">
        <v>0.3</v>
      </c>
      <c r="J347" s="2" t="s">
        <v>69</v>
      </c>
    </row>
    <row r="348" spans="2:10" x14ac:dyDescent="0.3">
      <c r="B348" s="47" t="s">
        <v>152</v>
      </c>
      <c r="C348" t="str">
        <f>VLOOKUP($B348,'标准费用表-2024年&amp;2025年优化'!$D:$E,2,0)</f>
        <v>内蒙古正大鸿业食品有限公司</v>
      </c>
      <c r="D348" t="s">
        <v>100</v>
      </c>
      <c r="E348" s="36">
        <f t="shared" ref="E348:F348" si="44">E324</f>
        <v>0.57825463344605799</v>
      </c>
      <c r="F348" s="36">
        <f t="shared" si="44"/>
        <v>0.75876828748498604</v>
      </c>
      <c r="G348">
        <v>0.2</v>
      </c>
      <c r="H348">
        <v>0.3</v>
      </c>
      <c r="J348" s="2" t="s">
        <v>69</v>
      </c>
    </row>
    <row r="349" spans="2:10" x14ac:dyDescent="0.3">
      <c r="B349" s="47" t="s">
        <v>152</v>
      </c>
      <c r="C349" t="str">
        <f>VLOOKUP($B349,'标准费用表-2024年&amp;2025年优化'!$D:$E,2,0)</f>
        <v>内蒙古正大鸿业食品有限公司</v>
      </c>
      <c r="D349" t="s">
        <v>101</v>
      </c>
      <c r="E349" s="36">
        <f t="shared" ref="E349:F349" si="45">E325</f>
        <v>0.43298958166754398</v>
      </c>
      <c r="F349" s="36">
        <f t="shared" si="45"/>
        <v>0.56815586832884502</v>
      </c>
      <c r="G349">
        <v>0.2</v>
      </c>
      <c r="H349">
        <v>0.3</v>
      </c>
      <c r="J349" s="2" t="s">
        <v>69</v>
      </c>
    </row>
    <row r="350" spans="2:10" x14ac:dyDescent="0.3">
      <c r="B350" s="47" t="s">
        <v>152</v>
      </c>
      <c r="C350" t="str">
        <f>VLOOKUP($B350,'标准费用表-2024年&amp;2025年优化'!$D:$E,2,0)</f>
        <v>内蒙古正大鸿业食品有限公司</v>
      </c>
      <c r="D350" t="s">
        <v>102</v>
      </c>
      <c r="E350" s="36">
        <f t="shared" ref="E350:F350" si="46">E326</f>
        <v>0.441205109523781</v>
      </c>
      <c r="F350" s="36">
        <f t="shared" si="46"/>
        <v>0.57893603616790401</v>
      </c>
      <c r="G350">
        <v>0.2</v>
      </c>
      <c r="H350">
        <v>0.3</v>
      </c>
      <c r="J350" s="2" t="s">
        <v>69</v>
      </c>
    </row>
    <row r="351" spans="2:10" x14ac:dyDescent="0.3">
      <c r="B351" s="47" t="s">
        <v>152</v>
      </c>
      <c r="C351" t="str">
        <f>VLOOKUP($B351,'标准费用表-2024年&amp;2025年优化'!$D:$E,2,0)</f>
        <v>内蒙古正大鸿业食品有限公司</v>
      </c>
      <c r="D351" t="s">
        <v>103</v>
      </c>
      <c r="E351" s="36">
        <f t="shared" ref="E351:F351" si="47">E327</f>
        <v>0.43739749730333599</v>
      </c>
      <c r="F351" s="36">
        <f t="shared" si="47"/>
        <v>0.57393980226538199</v>
      </c>
      <c r="G351">
        <v>0.2</v>
      </c>
      <c r="H351">
        <v>0.3</v>
      </c>
      <c r="J351" s="2" t="s">
        <v>69</v>
      </c>
    </row>
    <row r="352" spans="2:10" x14ac:dyDescent="0.3">
      <c r="B352" s="47" t="s">
        <v>152</v>
      </c>
      <c r="C352" t="str">
        <f>VLOOKUP($B352,'标准费用表-2024年&amp;2025年优化'!$D:$E,2,0)</f>
        <v>内蒙古正大鸿业食品有限公司</v>
      </c>
      <c r="D352" t="s">
        <v>104</v>
      </c>
      <c r="E352" s="36">
        <f t="shared" ref="E352:F352" si="48">E328</f>
        <v>0.37511158563702102</v>
      </c>
      <c r="F352" s="36">
        <f t="shared" si="48"/>
        <v>0.49221010777448598</v>
      </c>
      <c r="G352">
        <v>0.2</v>
      </c>
      <c r="H352">
        <v>0.3</v>
      </c>
      <c r="J352" s="2" t="s">
        <v>69</v>
      </c>
    </row>
    <row r="353" spans="2:10" x14ac:dyDescent="0.3">
      <c r="B353" s="47" t="s">
        <v>152</v>
      </c>
      <c r="C353" t="str">
        <f>VLOOKUP($B353,'标准费用表-2024年&amp;2025年优化'!$D:$E,2,0)</f>
        <v>内蒙古正大鸿业食品有限公司</v>
      </c>
      <c r="D353" t="s">
        <v>105</v>
      </c>
      <c r="E353" s="36">
        <f t="shared" ref="E353:F353" si="49">E329</f>
        <v>0.26201177827028099</v>
      </c>
      <c r="F353" s="36">
        <f t="shared" si="49"/>
        <v>0.343803952100251</v>
      </c>
      <c r="G353">
        <v>0.2</v>
      </c>
      <c r="H353">
        <v>0.3</v>
      </c>
      <c r="J353" s="2" t="s">
        <v>69</v>
      </c>
    </row>
    <row r="354" spans="2:10" x14ac:dyDescent="0.3">
      <c r="B354" s="47" t="s">
        <v>152</v>
      </c>
      <c r="C354" t="str">
        <f>VLOOKUP($B354,'标准费用表-2024年&amp;2025年优化'!$D:$E,2,0)</f>
        <v>内蒙古正大鸿业食品有限公司</v>
      </c>
      <c r="D354" t="s">
        <v>106</v>
      </c>
      <c r="E354" s="36">
        <f t="shared" ref="E354:F354" si="50">E330</f>
        <v>0.241874697084874</v>
      </c>
      <c r="F354" s="36">
        <f t="shared" si="50"/>
        <v>0.31738068158542498</v>
      </c>
      <c r="G354">
        <v>0.2</v>
      </c>
      <c r="H354">
        <v>0.3</v>
      </c>
      <c r="J354" s="2" t="s">
        <v>69</v>
      </c>
    </row>
    <row r="355" spans="2:10" x14ac:dyDescent="0.3">
      <c r="B355" s="47" t="s">
        <v>152</v>
      </c>
      <c r="C355" t="str">
        <f>VLOOKUP($B355,'标准费用表-2024年&amp;2025年优化'!$D:$E,2,0)</f>
        <v>内蒙古正大鸿业食品有限公司</v>
      </c>
      <c r="D355" t="s">
        <v>107</v>
      </c>
      <c r="E355" s="36">
        <f t="shared" ref="E355:F355" si="51">E331</f>
        <v>0.33352079218033798</v>
      </c>
      <c r="F355" s="36">
        <f t="shared" si="51"/>
        <v>0.43763592314892902</v>
      </c>
      <c r="G355">
        <v>0.2</v>
      </c>
      <c r="H355">
        <v>0.3</v>
      </c>
      <c r="J355" s="2" t="s">
        <v>69</v>
      </c>
    </row>
    <row r="356" spans="2:10" x14ac:dyDescent="0.3">
      <c r="B356" s="47" t="s">
        <v>152</v>
      </c>
      <c r="C356" t="str">
        <f>VLOOKUP($B356,'标准费用表-2024年&amp;2025年优化'!$D:$E,2,0)</f>
        <v>内蒙古正大鸿业食品有限公司</v>
      </c>
      <c r="D356" t="s">
        <v>108</v>
      </c>
      <c r="E356" s="36">
        <f t="shared" ref="E356:F356" si="52">E332</f>
        <v>0.30388495529618198</v>
      </c>
      <c r="F356" s="36">
        <f t="shared" si="52"/>
        <v>0.39874867192749502</v>
      </c>
      <c r="G356">
        <v>0.2</v>
      </c>
      <c r="H356">
        <v>0.3</v>
      </c>
      <c r="J356" s="2" t="s">
        <v>69</v>
      </c>
    </row>
    <row r="357" spans="2:10" x14ac:dyDescent="0.3">
      <c r="B357" s="47" t="s">
        <v>152</v>
      </c>
      <c r="C357" t="str">
        <f>VLOOKUP($B357,'标准费用表-2024年&amp;2025年优化'!$D:$E,2,0)</f>
        <v>内蒙古正大鸿业食品有限公司</v>
      </c>
      <c r="D357" t="s">
        <v>109</v>
      </c>
      <c r="E357" s="36">
        <f t="shared" ref="E357:F357" si="53">E333</f>
        <v>0.27328357094047101</v>
      </c>
      <c r="F357" s="36">
        <f t="shared" si="53"/>
        <v>0.35859445843874299</v>
      </c>
      <c r="G357">
        <v>0.2</v>
      </c>
      <c r="H357">
        <v>0.3</v>
      </c>
      <c r="J357" s="2" t="s">
        <v>69</v>
      </c>
    </row>
    <row r="358" spans="2:10" x14ac:dyDescent="0.3">
      <c r="B358" s="47" t="s">
        <v>152</v>
      </c>
      <c r="C358" t="str">
        <f>VLOOKUP($B358,'标准费用表-2024年&amp;2025年优化'!$D:$E,2,0)</f>
        <v>内蒙古正大鸿业食品有限公司</v>
      </c>
      <c r="D358" t="s">
        <v>110</v>
      </c>
      <c r="E358" s="36">
        <f t="shared" ref="E358:F358" si="54">E334</f>
        <v>0.274490612193933</v>
      </c>
      <c r="F358" s="36">
        <f t="shared" si="54"/>
        <v>0.36017830156223801</v>
      </c>
      <c r="G358">
        <v>0.2</v>
      </c>
      <c r="H358">
        <v>0.3</v>
      </c>
      <c r="J358" s="2" t="s">
        <v>69</v>
      </c>
    </row>
    <row r="359" spans="2:10" x14ac:dyDescent="0.3">
      <c r="B359" s="47" t="s">
        <v>152</v>
      </c>
      <c r="C359" t="str">
        <f>VLOOKUP($B359,'标准费用表-2024年&amp;2025年优化'!$D:$E,2,0)</f>
        <v>内蒙古正大鸿业食品有限公司</v>
      </c>
      <c r="D359" t="s">
        <v>111</v>
      </c>
      <c r="E359" s="36">
        <f t="shared" ref="E359:F359" si="55">E335</f>
        <v>0.34128099087376002</v>
      </c>
      <c r="F359" s="36">
        <f t="shared" si="55"/>
        <v>0.44781862179513099</v>
      </c>
      <c r="G359">
        <v>0.2</v>
      </c>
      <c r="H359">
        <v>0.3</v>
      </c>
      <c r="J359" s="2" t="s">
        <v>69</v>
      </c>
    </row>
    <row r="360" spans="2:10" x14ac:dyDescent="0.3">
      <c r="B360" s="47" t="s">
        <v>152</v>
      </c>
      <c r="C360" t="str">
        <f>VLOOKUP($B360,'标准费用表-2024年&amp;2025年优化'!$D:$E,2,0)</f>
        <v>内蒙古正大鸿业食品有限公司</v>
      </c>
      <c r="D360" t="s">
        <v>112</v>
      </c>
      <c r="E360" s="36">
        <f t="shared" ref="E360:F360" si="56">E336</f>
        <v>0.29842179314689199</v>
      </c>
      <c r="F360" s="36">
        <f t="shared" si="56"/>
        <v>0.39158007534649297</v>
      </c>
      <c r="G360">
        <v>0.2</v>
      </c>
      <c r="H360">
        <v>0.3</v>
      </c>
      <c r="J360" s="2" t="s">
        <v>69</v>
      </c>
    </row>
    <row r="361" spans="2:10" x14ac:dyDescent="0.3">
      <c r="B361" s="47" t="s">
        <v>152</v>
      </c>
      <c r="C361" t="str">
        <f>VLOOKUP($B361,'标准费用表-2024年&amp;2025年优化'!$D:$E,2,0)</f>
        <v>内蒙古正大鸿业食品有限公司</v>
      </c>
      <c r="D361" t="s">
        <v>113</v>
      </c>
      <c r="E361" s="36">
        <f t="shared" ref="E361:F361" si="57">E337</f>
        <v>0.21614474417323001</v>
      </c>
      <c r="F361" s="36">
        <f t="shared" si="57"/>
        <v>0.28361861349529699</v>
      </c>
      <c r="G361">
        <v>0.2</v>
      </c>
      <c r="H361">
        <v>0.3</v>
      </c>
      <c r="J361" s="2" t="s">
        <v>69</v>
      </c>
    </row>
    <row r="362" spans="2:10" x14ac:dyDescent="0.3">
      <c r="B362" s="47" t="s">
        <v>152</v>
      </c>
      <c r="C362" t="str">
        <f>VLOOKUP($B362,'标准费用表-2024年&amp;2025年优化'!$D:$E,2,0)</f>
        <v>内蒙古正大鸿业食品有限公司</v>
      </c>
      <c r="D362" t="s">
        <v>114</v>
      </c>
      <c r="E362" s="36">
        <f t="shared" ref="E362:F362" si="58">E338</f>
        <v>0.81637011114017999</v>
      </c>
      <c r="F362" s="36">
        <f t="shared" si="58"/>
        <v>1.07121623477929</v>
      </c>
      <c r="G362">
        <v>0.2</v>
      </c>
      <c r="H362">
        <v>0.3</v>
      </c>
      <c r="J362" s="2" t="s">
        <v>69</v>
      </c>
    </row>
    <row r="363" spans="2:10" x14ac:dyDescent="0.3">
      <c r="B363" s="47" t="s">
        <v>152</v>
      </c>
      <c r="C363" t="str">
        <f>VLOOKUP($B363,'标准费用表-2024年&amp;2025年优化'!$D:$E,2,0)</f>
        <v>内蒙古正大鸿业食品有限公司</v>
      </c>
      <c r="D363" t="s">
        <v>115</v>
      </c>
      <c r="E363" s="36">
        <f t="shared" ref="E363:F363" si="59">E339</f>
        <v>0.351116565237032</v>
      </c>
      <c r="F363" s="36">
        <f t="shared" si="59"/>
        <v>0.46072456579349802</v>
      </c>
      <c r="G363">
        <v>0.2</v>
      </c>
      <c r="H363">
        <v>0.3</v>
      </c>
      <c r="J363" s="2" t="s">
        <v>69</v>
      </c>
    </row>
    <row r="364" spans="2:10" x14ac:dyDescent="0.3">
      <c r="B364" s="47" t="s">
        <v>152</v>
      </c>
      <c r="C364" t="str">
        <f>VLOOKUP($B364,'标准费用表-2024年&amp;2025年优化'!$D:$E,2,0)</f>
        <v>内蒙古正大鸿业食品有限公司</v>
      </c>
      <c r="D364" t="s">
        <v>116</v>
      </c>
      <c r="E364" s="36">
        <f t="shared" ref="E364:F364" si="60">E340</f>
        <v>0.22187346220154699</v>
      </c>
      <c r="F364" s="36">
        <f t="shared" si="60"/>
        <v>0.29113566449050798</v>
      </c>
      <c r="G364">
        <v>0.2</v>
      </c>
      <c r="H364">
        <v>0.3</v>
      </c>
      <c r="J364" s="2" t="s">
        <v>69</v>
      </c>
    </row>
    <row r="365" spans="2:10" x14ac:dyDescent="0.3">
      <c r="B365" s="47" t="s">
        <v>152</v>
      </c>
      <c r="C365" t="str">
        <f>VLOOKUP($B365,'标准费用表-2024年&amp;2025年优化'!$D:$E,2,0)</f>
        <v>内蒙古正大鸿业食品有限公司</v>
      </c>
      <c r="D365" t="s">
        <v>117</v>
      </c>
      <c r="E365" s="36">
        <f t="shared" ref="E365:F365" si="61">E341</f>
        <v>0.183967553883953</v>
      </c>
      <c r="F365" s="36">
        <f t="shared" si="61"/>
        <v>0.241396674993268</v>
      </c>
      <c r="G365">
        <v>0.2</v>
      </c>
      <c r="H365">
        <v>0.3</v>
      </c>
      <c r="J365" s="2" t="s">
        <v>69</v>
      </c>
    </row>
    <row r="366" spans="2:10" x14ac:dyDescent="0.3">
      <c r="B366" s="47" t="s">
        <v>152</v>
      </c>
      <c r="C366" t="str">
        <f>VLOOKUP($B366,'标准费用表-2024年&amp;2025年优化'!$D:$E,2,0)</f>
        <v>内蒙古正大鸿业食品有限公司</v>
      </c>
      <c r="D366" t="s">
        <v>118</v>
      </c>
      <c r="E366" s="36">
        <f t="shared" ref="E366:F366" si="62">E342</f>
        <v>7.3017322482245794E-2</v>
      </c>
      <c r="F366" s="36">
        <f t="shared" si="62"/>
        <v>9.5811128060352801E-2</v>
      </c>
      <c r="G366">
        <v>0.2</v>
      </c>
      <c r="H366">
        <v>0.3</v>
      </c>
      <c r="J366" s="2" t="s">
        <v>69</v>
      </c>
    </row>
    <row r="367" spans="2:10" x14ac:dyDescent="0.3">
      <c r="B367" s="47" t="s">
        <v>152</v>
      </c>
      <c r="C367" t="str">
        <f>VLOOKUP($B367,'标准费用表-2024年&amp;2025年优化'!$D:$E,2,0)</f>
        <v>内蒙古正大鸿业食品有限公司</v>
      </c>
      <c r="D367" t="s">
        <v>119</v>
      </c>
      <c r="E367" s="36">
        <f>E295</f>
        <v>0.26408462629638502</v>
      </c>
      <c r="F367" s="36">
        <f t="shared" ref="F367" si="63">F343</f>
        <v>0.90808335952582298</v>
      </c>
      <c r="G367">
        <v>0.2</v>
      </c>
      <c r="H367">
        <v>0.3</v>
      </c>
      <c r="J367" s="2" t="s">
        <v>69</v>
      </c>
    </row>
    <row r="368" spans="2:10" x14ac:dyDescent="0.3">
      <c r="B368" s="47" t="s">
        <v>152</v>
      </c>
      <c r="C368" t="str">
        <f>VLOOKUP($B368,'标准费用表-2024年&amp;2025年优化'!$D:$E,2,0)</f>
        <v>内蒙古正大鸿业食品有限公司</v>
      </c>
      <c r="D368" t="s">
        <v>120</v>
      </c>
      <c r="E368" s="36">
        <f t="shared" ref="E368:E390" si="64">E296</f>
        <v>0.70579880678501705</v>
      </c>
      <c r="F368" s="36">
        <f t="shared" ref="F368" si="65">F344</f>
        <v>0.60687183894282404</v>
      </c>
      <c r="G368">
        <v>0.2</v>
      </c>
      <c r="H368">
        <v>0.3</v>
      </c>
      <c r="J368" s="2" t="s">
        <v>69</v>
      </c>
    </row>
    <row r="369" spans="2:10" x14ac:dyDescent="0.3">
      <c r="B369" s="47" t="s">
        <v>152</v>
      </c>
      <c r="C369" t="str">
        <f>VLOOKUP($B369,'标准费用表-2024年&amp;2025年优化'!$D:$E,2,0)</f>
        <v>内蒙古正大鸿业食品有限公司</v>
      </c>
      <c r="D369" t="s">
        <v>121</v>
      </c>
      <c r="E369" s="36">
        <f t="shared" si="64"/>
        <v>1.30635875883901</v>
      </c>
      <c r="F369" s="36">
        <f t="shared" ref="F369" si="66">F345</f>
        <v>1.6061351671900601</v>
      </c>
      <c r="G369">
        <v>0.2</v>
      </c>
      <c r="H369">
        <v>0.3</v>
      </c>
      <c r="J369" s="2" t="s">
        <v>69</v>
      </c>
    </row>
    <row r="370" spans="2:10" x14ac:dyDescent="0.3">
      <c r="B370" s="47" t="s">
        <v>152</v>
      </c>
      <c r="C370" t="str">
        <f>VLOOKUP($B370,'标准费用表-2024年&amp;2025年优化'!$D:$E,2,0)</f>
        <v>内蒙古正大鸿业食品有限公司</v>
      </c>
      <c r="D370" t="s">
        <v>122</v>
      </c>
      <c r="E370" s="36">
        <f t="shared" si="64"/>
        <v>0.27453795299411798</v>
      </c>
      <c r="F370" s="36">
        <f t="shared" ref="F370" si="67">F346</f>
        <v>0.93539754061790403</v>
      </c>
      <c r="G370">
        <v>0.2</v>
      </c>
      <c r="H370">
        <v>0.3</v>
      </c>
      <c r="J370" s="2" t="s">
        <v>69</v>
      </c>
    </row>
    <row r="371" spans="2:10" x14ac:dyDescent="0.3">
      <c r="B371" s="47" t="s">
        <v>152</v>
      </c>
      <c r="C371" t="str">
        <f>VLOOKUP($B371,'标准费用表-2024年&amp;2025年优化'!$D:$E,2,0)</f>
        <v>内蒙古正大鸿业食品有限公司</v>
      </c>
      <c r="D371" t="s">
        <v>123</v>
      </c>
      <c r="E371" s="36">
        <f t="shared" si="64"/>
        <v>0.121201514839486</v>
      </c>
      <c r="F371" s="36">
        <f t="shared" ref="F371" si="68">F347</f>
        <v>0.56192713504528002</v>
      </c>
      <c r="G371">
        <v>0.2</v>
      </c>
      <c r="H371">
        <v>0.3</v>
      </c>
      <c r="J371" s="2" t="s">
        <v>69</v>
      </c>
    </row>
    <row r="372" spans="2:10" x14ac:dyDescent="0.3">
      <c r="B372" s="47" t="s">
        <v>152</v>
      </c>
      <c r="C372" t="str">
        <f>VLOOKUP($B372,'标准费用表-2024年&amp;2025年优化'!$D:$E,2,0)</f>
        <v>内蒙古正大鸿业食品有限公司</v>
      </c>
      <c r="D372" t="s">
        <v>124</v>
      </c>
      <c r="E372" s="36">
        <f t="shared" si="64"/>
        <v>0.37510260870845002</v>
      </c>
      <c r="F372" s="36">
        <f t="shared" ref="F372" si="69">F348</f>
        <v>0.75876828748498604</v>
      </c>
      <c r="G372">
        <v>0.2</v>
      </c>
      <c r="H372">
        <v>0.3</v>
      </c>
      <c r="J372" s="2" t="s">
        <v>69</v>
      </c>
    </row>
    <row r="373" spans="2:10" x14ac:dyDescent="0.3">
      <c r="B373" s="47" t="s">
        <v>152</v>
      </c>
      <c r="C373" t="str">
        <f>VLOOKUP($B373,'标准费用表-2024年&amp;2025年优化'!$D:$E,2,0)</f>
        <v>内蒙古正大鸿业食品有限公司</v>
      </c>
      <c r="D373" t="s">
        <v>125</v>
      </c>
      <c r="E373" s="36">
        <f t="shared" si="64"/>
        <v>0.61964016405230704</v>
      </c>
      <c r="F373" s="36">
        <f t="shared" ref="F373" si="70">F349</f>
        <v>0.56815586832884502</v>
      </c>
      <c r="G373">
        <v>0.2</v>
      </c>
      <c r="H373">
        <v>0.3</v>
      </c>
      <c r="J373" s="2" t="s">
        <v>69</v>
      </c>
    </row>
    <row r="374" spans="2:10" x14ac:dyDescent="0.3">
      <c r="B374" s="47" t="s">
        <v>152</v>
      </c>
      <c r="C374" t="str">
        <f>VLOOKUP($B374,'标准费用表-2024年&amp;2025年优化'!$D:$E,2,0)</f>
        <v>内蒙古正大鸿业食品有限公司</v>
      </c>
      <c r="D374" t="s">
        <v>126</v>
      </c>
      <c r="E374" s="36">
        <f t="shared" si="64"/>
        <v>0.89887783956657596</v>
      </c>
      <c r="F374" s="36">
        <f t="shared" ref="F374" si="71">F350</f>
        <v>0.57893603616790401</v>
      </c>
      <c r="G374">
        <v>0.2</v>
      </c>
      <c r="H374">
        <v>0.3</v>
      </c>
      <c r="J374" s="2" t="s">
        <v>69</v>
      </c>
    </row>
    <row r="375" spans="2:10" x14ac:dyDescent="0.3">
      <c r="B375" s="47" t="s">
        <v>152</v>
      </c>
      <c r="C375" t="str">
        <f>VLOOKUP($B375,'标准费用表-2024年&amp;2025年优化'!$D:$E,2,0)</f>
        <v>内蒙古正大鸿业食品有限公司</v>
      </c>
      <c r="D375" t="s">
        <v>127</v>
      </c>
      <c r="E375" s="36">
        <f t="shared" si="64"/>
        <v>0.52516298755403501</v>
      </c>
      <c r="F375" s="36">
        <f t="shared" ref="F375" si="72">F351</f>
        <v>0.57393980226538199</v>
      </c>
      <c r="G375">
        <v>0.2</v>
      </c>
      <c r="H375">
        <v>0.3</v>
      </c>
      <c r="J375" s="2" t="s">
        <v>69</v>
      </c>
    </row>
    <row r="376" spans="2:10" x14ac:dyDescent="0.3">
      <c r="B376" s="47" t="s">
        <v>152</v>
      </c>
      <c r="C376" t="str">
        <f>VLOOKUP($B376,'标准费用表-2024年&amp;2025年优化'!$D:$E,2,0)</f>
        <v>内蒙古正大鸿业食品有限公司</v>
      </c>
      <c r="D376" t="s">
        <v>128</v>
      </c>
      <c r="E376" s="36">
        <f t="shared" si="64"/>
        <v>0.482288698575213</v>
      </c>
      <c r="F376" s="36">
        <f t="shared" ref="F376" si="73">F352</f>
        <v>0.49221010777448598</v>
      </c>
      <c r="G376">
        <v>0.2</v>
      </c>
      <c r="H376">
        <v>0.3</v>
      </c>
      <c r="J376" s="2" t="s">
        <v>69</v>
      </c>
    </row>
    <row r="377" spans="2:10" x14ac:dyDescent="0.3">
      <c r="B377" s="47" t="s">
        <v>152</v>
      </c>
      <c r="C377" t="str">
        <f>VLOOKUP($B377,'标准费用表-2024年&amp;2025年优化'!$D:$E,2,0)</f>
        <v>内蒙古正大鸿业食品有限公司</v>
      </c>
      <c r="D377" t="s">
        <v>129</v>
      </c>
      <c r="E377" s="36">
        <f t="shared" si="64"/>
        <v>0.61611983416891403</v>
      </c>
      <c r="F377" s="36">
        <f t="shared" ref="F377" si="74">F353</f>
        <v>0.343803952100251</v>
      </c>
      <c r="G377">
        <v>0.2</v>
      </c>
      <c r="H377">
        <v>0.3</v>
      </c>
      <c r="J377" s="2" t="s">
        <v>69</v>
      </c>
    </row>
    <row r="378" spans="2:10" x14ac:dyDescent="0.3">
      <c r="B378" s="47" t="s">
        <v>152</v>
      </c>
      <c r="C378" t="str">
        <f>VLOOKUP($B378,'标准费用表-2024年&amp;2025年优化'!$D:$E,2,0)</f>
        <v>内蒙古正大鸿业食品有限公司</v>
      </c>
      <c r="D378" t="s">
        <v>130</v>
      </c>
      <c r="E378" s="36">
        <f t="shared" si="64"/>
        <v>1.0716113228261499</v>
      </c>
      <c r="F378" s="36">
        <f t="shared" ref="F378" si="75">F354</f>
        <v>0.31738068158542498</v>
      </c>
      <c r="G378">
        <v>0.2</v>
      </c>
      <c r="H378">
        <v>0.3</v>
      </c>
      <c r="J378" s="2" t="s">
        <v>69</v>
      </c>
    </row>
    <row r="379" spans="2:10" x14ac:dyDescent="0.3">
      <c r="B379" s="47" t="s">
        <v>152</v>
      </c>
      <c r="C379" t="str">
        <f>VLOOKUP($B379,'标准费用表-2024年&amp;2025年优化'!$D:$E,2,0)</f>
        <v>内蒙古正大鸿业食品有限公司</v>
      </c>
      <c r="D379" t="s">
        <v>131</v>
      </c>
      <c r="E379" s="36">
        <f t="shared" si="64"/>
        <v>0.182447742669612</v>
      </c>
      <c r="F379" s="36">
        <f t="shared" ref="F379" si="76">F355</f>
        <v>0.43763592314892902</v>
      </c>
      <c r="G379">
        <v>0.2</v>
      </c>
      <c r="H379">
        <v>0.3</v>
      </c>
      <c r="J379" s="2" t="s">
        <v>69</v>
      </c>
    </row>
    <row r="380" spans="2:10" x14ac:dyDescent="0.3">
      <c r="B380" s="47" t="s">
        <v>152</v>
      </c>
      <c r="C380" t="str">
        <f>VLOOKUP($B380,'标准费用表-2024年&amp;2025年优化'!$D:$E,2,0)</f>
        <v>内蒙古正大鸿业食品有限公司</v>
      </c>
      <c r="D380" t="s">
        <v>132</v>
      </c>
      <c r="E380" s="36">
        <f t="shared" si="64"/>
        <v>4.2241632909653402E-2</v>
      </c>
      <c r="F380" s="36">
        <f t="shared" ref="F380" si="77">F356</f>
        <v>0.39874867192749502</v>
      </c>
      <c r="G380">
        <v>0.2</v>
      </c>
      <c r="H380">
        <v>0.3</v>
      </c>
      <c r="J380" s="2" t="s">
        <v>69</v>
      </c>
    </row>
    <row r="381" spans="2:10" x14ac:dyDescent="0.3">
      <c r="B381" s="47" t="s">
        <v>152</v>
      </c>
      <c r="C381" t="str">
        <f>VLOOKUP($B381,'标准费用表-2024年&amp;2025年优化'!$D:$E,2,0)</f>
        <v>内蒙古正大鸿业食品有限公司</v>
      </c>
      <c r="D381" t="s">
        <v>133</v>
      </c>
      <c r="E381" s="36">
        <f t="shared" si="64"/>
        <v>0.22663090330528299</v>
      </c>
      <c r="F381" s="36">
        <f t="shared" ref="F381" si="78">F357</f>
        <v>0.35859445843874299</v>
      </c>
      <c r="G381">
        <v>0.2</v>
      </c>
      <c r="H381">
        <v>0.3</v>
      </c>
      <c r="J381" s="2" t="s">
        <v>69</v>
      </c>
    </row>
    <row r="382" spans="2:10" x14ac:dyDescent="0.3">
      <c r="B382" s="47" t="s">
        <v>152</v>
      </c>
      <c r="C382" t="str">
        <f>VLOOKUP($B382,'标准费用表-2024年&amp;2025年优化'!$D:$E,2,0)</f>
        <v>内蒙古正大鸿业食品有限公司</v>
      </c>
      <c r="D382" t="s">
        <v>134</v>
      </c>
      <c r="E382" s="36">
        <f t="shared" si="64"/>
        <v>0.14823527261243999</v>
      </c>
      <c r="F382" s="36">
        <f t="shared" ref="F382" si="79">F358</f>
        <v>0.36017830156223801</v>
      </c>
      <c r="G382">
        <v>0.2</v>
      </c>
      <c r="H382">
        <v>0.3</v>
      </c>
      <c r="J382" s="2" t="s">
        <v>69</v>
      </c>
    </row>
    <row r="383" spans="2:10" x14ac:dyDescent="0.3">
      <c r="B383" s="47" t="s">
        <v>152</v>
      </c>
      <c r="C383" t="str">
        <f>VLOOKUP($B383,'标准费用表-2024年&amp;2025年优化'!$D:$E,2,0)</f>
        <v>内蒙古正大鸿业食品有限公司</v>
      </c>
      <c r="D383" t="s">
        <v>135</v>
      </c>
      <c r="E383" s="36">
        <f t="shared" si="64"/>
        <v>9.8252235159250301E-2</v>
      </c>
      <c r="F383" s="36">
        <f t="shared" ref="F383" si="80">F359</f>
        <v>0.44781862179513099</v>
      </c>
      <c r="G383">
        <v>0.2</v>
      </c>
      <c r="H383">
        <v>0.3</v>
      </c>
      <c r="J383" s="2" t="s">
        <v>69</v>
      </c>
    </row>
    <row r="384" spans="2:10" x14ac:dyDescent="0.3">
      <c r="B384" s="47" t="s">
        <v>152</v>
      </c>
      <c r="C384" t="str">
        <f>VLOOKUP($B384,'标准费用表-2024年&amp;2025年优化'!$D:$E,2,0)</f>
        <v>内蒙古正大鸿业食品有限公司</v>
      </c>
      <c r="D384" t="s">
        <v>136</v>
      </c>
      <c r="E384" s="36">
        <f t="shared" si="64"/>
        <v>1.6963465555918499E-2</v>
      </c>
      <c r="F384" s="36">
        <f t="shared" ref="F384" si="81">F360</f>
        <v>0.39158007534649297</v>
      </c>
      <c r="G384">
        <v>0.2</v>
      </c>
      <c r="H384">
        <v>0.3</v>
      </c>
      <c r="J384" s="2" t="s">
        <v>69</v>
      </c>
    </row>
    <row r="385" spans="2:10" x14ac:dyDescent="0.3">
      <c r="B385" s="47" t="s">
        <v>152</v>
      </c>
      <c r="C385" t="str">
        <f>VLOOKUP($B385,'标准费用表-2024年&amp;2025年优化'!$D:$E,2,0)</f>
        <v>内蒙古正大鸿业食品有限公司</v>
      </c>
      <c r="D385" t="s">
        <v>137</v>
      </c>
      <c r="E385" s="36">
        <f t="shared" si="64"/>
        <v>8.8773331818392198E-2</v>
      </c>
      <c r="F385" s="36">
        <f t="shared" ref="F385" si="82">F361</f>
        <v>0.28361861349529699</v>
      </c>
      <c r="G385">
        <v>0.2</v>
      </c>
      <c r="H385">
        <v>0.3</v>
      </c>
      <c r="J385" s="2" t="s">
        <v>69</v>
      </c>
    </row>
    <row r="386" spans="2:10" x14ac:dyDescent="0.3">
      <c r="B386" s="47" t="s">
        <v>152</v>
      </c>
      <c r="C386" t="str">
        <f>VLOOKUP($B386,'标准费用表-2024年&amp;2025年优化'!$D:$E,2,0)</f>
        <v>内蒙古正大鸿业食品有限公司</v>
      </c>
      <c r="D386" t="s">
        <v>138</v>
      </c>
      <c r="E386" s="36">
        <f t="shared" si="64"/>
        <v>8.14613137807947E-2</v>
      </c>
      <c r="F386" s="36">
        <f t="shared" ref="F386" si="83">F362</f>
        <v>1.07121623477929</v>
      </c>
      <c r="G386">
        <v>0.2</v>
      </c>
      <c r="H386">
        <v>0.3</v>
      </c>
      <c r="J386" s="2" t="s">
        <v>69</v>
      </c>
    </row>
    <row r="387" spans="2:10" x14ac:dyDescent="0.3">
      <c r="B387" s="47" t="s">
        <v>152</v>
      </c>
      <c r="C387" t="str">
        <f>VLOOKUP($B387,'标准费用表-2024年&amp;2025年优化'!$D:$E,2,0)</f>
        <v>内蒙古正大鸿业食品有限公司</v>
      </c>
      <c r="D387" t="s">
        <v>139</v>
      </c>
      <c r="E387" s="36">
        <f t="shared" si="64"/>
        <v>0.28499330321727201</v>
      </c>
      <c r="F387" s="36">
        <f t="shared" ref="F387" si="84">F363</f>
        <v>0.46072456579349802</v>
      </c>
      <c r="G387">
        <v>0.2</v>
      </c>
      <c r="H387">
        <v>0.3</v>
      </c>
      <c r="J387" s="2" t="s">
        <v>69</v>
      </c>
    </row>
    <row r="388" spans="2:10" x14ac:dyDescent="0.3">
      <c r="B388" s="47" t="s">
        <v>152</v>
      </c>
      <c r="C388" t="str">
        <f>VLOOKUP($B388,'标准费用表-2024年&amp;2025年优化'!$D:$E,2,0)</f>
        <v>内蒙古正大鸿业食品有限公司</v>
      </c>
      <c r="D388" t="s">
        <v>140</v>
      </c>
      <c r="E388" s="36">
        <f t="shared" si="64"/>
        <v>0.33380410798236798</v>
      </c>
      <c r="F388" s="36">
        <f t="shared" ref="F388" si="85">F364</f>
        <v>0.29113566449050798</v>
      </c>
      <c r="G388">
        <v>0.2</v>
      </c>
      <c r="H388">
        <v>0.3</v>
      </c>
      <c r="J388" s="2" t="s">
        <v>69</v>
      </c>
    </row>
    <row r="389" spans="2:10" x14ac:dyDescent="0.3">
      <c r="B389" s="47" t="s">
        <v>152</v>
      </c>
      <c r="C389" t="str">
        <f>VLOOKUP($B389,'标准费用表-2024年&amp;2025年优化'!$D:$E,2,0)</f>
        <v>内蒙古正大鸿业食品有限公司</v>
      </c>
      <c r="D389" t="s">
        <v>141</v>
      </c>
      <c r="E389" s="36">
        <f t="shared" si="64"/>
        <v>9.5448579262562602E-2</v>
      </c>
      <c r="F389" s="36">
        <f t="shared" ref="F389" si="86">F365</f>
        <v>0.241396674993268</v>
      </c>
      <c r="G389">
        <v>0.2</v>
      </c>
      <c r="H389">
        <v>0.3</v>
      </c>
      <c r="J389" s="2" t="s">
        <v>69</v>
      </c>
    </row>
    <row r="390" spans="2:10" x14ac:dyDescent="0.3">
      <c r="B390" s="47" t="s">
        <v>152</v>
      </c>
      <c r="C390" t="str">
        <f>VLOOKUP($B390,'标准费用表-2024年&amp;2025年优化'!$D:$E,2,0)</f>
        <v>内蒙古正大鸿业食品有限公司</v>
      </c>
      <c r="D390" t="s">
        <v>142</v>
      </c>
      <c r="E390" s="36">
        <f t="shared" si="64"/>
        <v>2.8398525378772799E-2</v>
      </c>
      <c r="F390" s="36">
        <f t="shared" ref="F390" si="87">F366</f>
        <v>9.5811128060352801E-2</v>
      </c>
      <c r="G390">
        <v>0.2</v>
      </c>
      <c r="H390">
        <v>0.3</v>
      </c>
      <c r="J390" s="2" t="s">
        <v>69</v>
      </c>
    </row>
    <row r="391" spans="2:10" x14ac:dyDescent="0.3">
      <c r="B391" s="47" t="s">
        <v>154</v>
      </c>
      <c r="C391" t="str">
        <f>VLOOKUP($B391,'标准费用表-2024年&amp;2025年优化'!$D:$E,2,0)</f>
        <v>大同正大食品有限公司</v>
      </c>
      <c r="D391" t="s">
        <v>41</v>
      </c>
      <c r="E391" s="46">
        <f>IFERROR(VLOOKUP($B391,'标准费用表-2024年&amp;2025年优化'!$D:$K,8,0)*VLOOKUP('5.成本表'!$D391,系数辅助表!$C:$G,5,0)/VLOOKUP($D391,系数辅助表!$C:$E,3,0),0)</f>
        <v>0.59714433482017704</v>
      </c>
      <c r="I391" s="36">
        <f>VLOOKUP($D391,系数辅助表!$C:$F,4,0)</f>
        <v>1.33</v>
      </c>
      <c r="J391" s="2" t="s">
        <v>41</v>
      </c>
    </row>
    <row r="392" spans="2:10" x14ac:dyDescent="0.3">
      <c r="B392" s="47" t="s">
        <v>154</v>
      </c>
      <c r="C392" t="str">
        <f>VLOOKUP($B392,'标准费用表-2024年&amp;2025年优化'!$D:$E,2,0)</f>
        <v>大同正大食品有限公司</v>
      </c>
      <c r="D392" t="s">
        <v>44</v>
      </c>
      <c r="E392" s="46">
        <f>IFERROR(VLOOKUP($B392,'标准费用表-2024年&amp;2025年优化'!$D:$K,8,0)*系数辅助表!$J$6*VLOOKUP('5.成本表'!$D392,系数辅助表!$C:$G,5,0)/VLOOKUP($D392,系数辅助表!$C:$E,3,0),0)</f>
        <v>0.34153158215873702</v>
      </c>
      <c r="I392" s="36">
        <f>VLOOKUP($D392,系数辅助表!$C:$F,4,0)</f>
        <v>0.789027855994753</v>
      </c>
      <c r="J392" s="2" t="s">
        <v>200</v>
      </c>
    </row>
    <row r="393" spans="2:10" x14ac:dyDescent="0.3">
      <c r="B393" s="47" t="s">
        <v>154</v>
      </c>
      <c r="C393" t="str">
        <f>VLOOKUP($B393,'标准费用表-2024年&amp;2025年优化'!$D:$E,2,0)</f>
        <v>大同正大食品有限公司</v>
      </c>
      <c r="D393" t="s">
        <v>45</v>
      </c>
      <c r="E393" s="46">
        <f>IFERROR(VLOOKUP($B393,'标准费用表-2024年&amp;2025年优化'!$D:$K,8,0)*系数辅助表!$J$6*VLOOKUP('5.成本表'!$D393,系数辅助表!$C:$G,5,0)/VLOOKUP($D393,系数辅助表!$C:$E,3,0),0)</f>
        <v>0.91278536940086497</v>
      </c>
      <c r="I393" s="36">
        <f>VLOOKUP($D393,系数辅助表!$C:$F,4,0)</f>
        <v>2.1087744754070901</v>
      </c>
      <c r="J393" s="2" t="s">
        <v>200</v>
      </c>
    </row>
    <row r="394" spans="2:10" x14ac:dyDescent="0.3">
      <c r="B394" s="47" t="s">
        <v>154</v>
      </c>
      <c r="C394" t="str">
        <f>VLOOKUP($B394,'标准费用表-2024年&amp;2025年优化'!$D:$E,2,0)</f>
        <v>大同正大食品有限公司</v>
      </c>
      <c r="D394" t="s">
        <v>46</v>
      </c>
      <c r="E394" s="46">
        <f>IFERROR(VLOOKUP($B394,'标准费用表-2024年&amp;2025年优化'!$D:$K,8,0)*系数辅助表!$J$6*VLOOKUP('5.成本表'!$D394,系数辅助表!$C:$G,5,0)/VLOOKUP($D394,系数辅助表!$C:$E,3,0),0)</f>
        <v>1.68946894043152</v>
      </c>
      <c r="I394" s="36">
        <f>VLOOKUP($D394,系数辅助表!$C:$F,4,0)</f>
        <v>3.9031179705625099</v>
      </c>
      <c r="J394" s="2" t="s">
        <v>200</v>
      </c>
    </row>
    <row r="395" spans="2:10" x14ac:dyDescent="0.3">
      <c r="B395" s="47" t="s">
        <v>154</v>
      </c>
      <c r="C395" t="str">
        <f>VLOOKUP($B395,'标准费用表-2024年&amp;2025年优化'!$D:$E,2,0)</f>
        <v>大同正大食品有限公司</v>
      </c>
      <c r="D395" t="s">
        <v>47</v>
      </c>
      <c r="E395" s="46">
        <f>IFERROR(VLOOKUP($B395,'标准费用表-2024年&amp;2025年优化'!$D:$K,8,0)*系数辅助表!$J$6*VLOOKUP('5.成本表'!$D395,系数辅助表!$C:$G,5,0)/VLOOKUP($D395,系数辅助表!$C:$E,3,0),0)</f>
        <v>0.35505051075358701</v>
      </c>
      <c r="I395" s="36">
        <f>VLOOKUP($D395,系数辅助表!$C:$F,4,0)</f>
        <v>0.82026013963048305</v>
      </c>
      <c r="J395" s="2" t="s">
        <v>200</v>
      </c>
    </row>
    <row r="396" spans="2:10" x14ac:dyDescent="0.3">
      <c r="B396" s="47" t="s">
        <v>154</v>
      </c>
      <c r="C396" t="str">
        <f>VLOOKUP($B396,'标准费用表-2024年&amp;2025年优化'!$D:$E,2,0)</f>
        <v>大同正大食品有限公司</v>
      </c>
      <c r="D396" t="s">
        <v>48</v>
      </c>
      <c r="E396" s="46">
        <f>IFERROR(VLOOKUP($B396,'标准费用表-2024年&amp;2025年优化'!$D:$K,8,0)*系数辅助表!$J$6*VLOOKUP('5.成本表'!$D396,系数辅助表!$C:$G,5,0)/VLOOKUP($D396,系数辅助表!$C:$E,3,0),0)</f>
        <v>0.15674575875048499</v>
      </c>
      <c r="I396" s="36">
        <f>VLOOKUP($D396,系数辅助表!$C:$F,4,0)</f>
        <v>0.36212396283071502</v>
      </c>
      <c r="J396" s="2" t="s">
        <v>200</v>
      </c>
    </row>
    <row r="397" spans="2:10" x14ac:dyDescent="0.3">
      <c r="B397" s="47" t="s">
        <v>154</v>
      </c>
      <c r="C397" t="str">
        <f>VLOOKUP($B397,'标准费用表-2024年&amp;2025年优化'!$D:$E,2,0)</f>
        <v>大同正大食品有限公司</v>
      </c>
      <c r="D397" t="s">
        <v>49</v>
      </c>
      <c r="E397" s="46">
        <f>IFERROR(VLOOKUP($B397,'标准费用表-2024年&amp;2025年优化'!$D:$K,8,0)*系数辅助表!$J$6*VLOOKUP('5.成本表'!$D397,系数辅助表!$C:$G,5,0)/VLOOKUP($D397,系数辅助表!$C:$E,3,0),0)</f>
        <v>0.48510732798314399</v>
      </c>
      <c r="I397" s="36">
        <f>VLOOKUP($D397,系数辅助表!$C:$F,4,0)</f>
        <v>1.1207256222295201</v>
      </c>
      <c r="J397" s="2" t="s">
        <v>200</v>
      </c>
    </row>
    <row r="398" spans="2:10" x14ac:dyDescent="0.3">
      <c r="B398" s="47" t="s">
        <v>154</v>
      </c>
      <c r="C398" t="str">
        <f>VLOOKUP($B398,'标准费用表-2024年&amp;2025年优化'!$D:$E,2,0)</f>
        <v>大同正大食品有限公司</v>
      </c>
      <c r="D398" t="s">
        <v>50</v>
      </c>
      <c r="E398" s="46">
        <f>IFERROR(VLOOKUP($B398,'标准费用表-2024年&amp;2025年优化'!$D:$K,8,0)*系数辅助表!$J$6*VLOOKUP('5.成本表'!$D398,系数辅助表!$C:$G,5,0)/VLOOKUP($D398,系数辅助表!$C:$E,3,0),0)</f>
        <v>0.80135935425628502</v>
      </c>
      <c r="I398" s="36">
        <f>VLOOKUP($D398,系数辅助表!$C:$F,4,0)</f>
        <v>1.8513510498021799</v>
      </c>
      <c r="J398" s="2" t="s">
        <v>200</v>
      </c>
    </row>
    <row r="399" spans="2:10" x14ac:dyDescent="0.3">
      <c r="B399" s="47" t="s">
        <v>154</v>
      </c>
      <c r="C399" t="str">
        <f>VLOOKUP($B399,'标准费用表-2024年&amp;2025年优化'!$D:$E,2,0)</f>
        <v>大同正大食品有限公司</v>
      </c>
      <c r="D399" t="s">
        <v>51</v>
      </c>
      <c r="E399" s="46">
        <f>IFERROR(VLOOKUP($B399,'标准费用表-2024年&amp;2025年优化'!$D:$K,8,0)*系数辅助表!$J$6*VLOOKUP('5.成本表'!$D399,系数辅助表!$C:$G,5,0)/VLOOKUP($D399,系数辅助表!$C:$E,3,0),0)</f>
        <v>1.1624878548214099</v>
      </c>
      <c r="I399" s="36">
        <f>VLOOKUP($D399,系数辅助表!$C:$F,4,0)</f>
        <v>2.68565294580391</v>
      </c>
      <c r="J399" s="2" t="s">
        <v>200</v>
      </c>
    </row>
    <row r="400" spans="2:10" x14ac:dyDescent="0.3">
      <c r="B400" s="47" t="s">
        <v>154</v>
      </c>
      <c r="C400" t="str">
        <f>VLOOKUP($B400,'标准费用表-2024年&amp;2025年优化'!$D:$E,2,0)</f>
        <v>大同正大食品有限公司</v>
      </c>
      <c r="D400" t="s">
        <v>52</v>
      </c>
      <c r="E400" s="46">
        <f>IFERROR(VLOOKUP($B400,'标准费用表-2024年&amp;2025年优化'!$D:$K,8,0)*系数辅助表!$J$6*VLOOKUP('5.成本表'!$D400,系数辅助表!$C:$G,5,0)/VLOOKUP($D400,系数辅助表!$C:$E,3,0),0)</f>
        <v>0.67917526493663005</v>
      </c>
      <c r="I400" s="36">
        <f>VLOOKUP($D400,系数辅助表!$C:$F,4,0)</f>
        <v>1.5690736410097099</v>
      </c>
      <c r="J400" s="2" t="s">
        <v>200</v>
      </c>
    </row>
    <row r="401" spans="2:10" x14ac:dyDescent="0.3">
      <c r="B401" s="47" t="s">
        <v>154</v>
      </c>
      <c r="C401" t="str">
        <f>VLOOKUP($B401,'标准费用表-2024年&amp;2025年优化'!$D:$E,2,0)</f>
        <v>大同正大食品有限公司</v>
      </c>
      <c r="D401" t="s">
        <v>53</v>
      </c>
      <c r="E401" s="46">
        <f>IFERROR(VLOOKUP($B401,'标准费用表-2024年&amp;2025年优化'!$D:$K,8,0)*系数辅助表!$J$6*VLOOKUP('5.成本表'!$D401,系数辅助表!$C:$G,5,0)/VLOOKUP($D401,系数辅助表!$C:$E,3,0),0)</f>
        <v>0.62372741871314696</v>
      </c>
      <c r="I401" s="36">
        <f>VLOOKUP($D401,系数辅助表!$C:$F,4,0)</f>
        <v>1.44097452072131</v>
      </c>
      <c r="J401" s="2" t="s">
        <v>200</v>
      </c>
    </row>
    <row r="402" spans="2:10" x14ac:dyDescent="0.3">
      <c r="B402" s="47" t="s">
        <v>154</v>
      </c>
      <c r="C402" t="str">
        <f>VLOOKUP($B402,'标准费用表-2024年&amp;2025年优化'!$D:$E,2,0)</f>
        <v>大同正大食品有限公司</v>
      </c>
      <c r="D402" t="s">
        <v>54</v>
      </c>
      <c r="E402" s="46">
        <f>IFERROR(VLOOKUP($B402,'标准费用表-2024年&amp;2025年优化'!$D:$K,8,0)*系数辅助表!$J$6*VLOOKUP('5.成本表'!$D402,系数辅助表!$C:$G,5,0)/VLOOKUP($D402,系数辅助表!$C:$E,3,0),0)</f>
        <v>0.79680663245775696</v>
      </c>
      <c r="I402" s="36">
        <f>VLOOKUP($D402,系数辅助表!$C:$F,4,0)</f>
        <v>1.8408330640366199</v>
      </c>
      <c r="J402" s="2" t="s">
        <v>200</v>
      </c>
    </row>
    <row r="403" spans="2:10" x14ac:dyDescent="0.3">
      <c r="B403" s="47" t="s">
        <v>154</v>
      </c>
      <c r="C403" t="str">
        <f>VLOOKUP($B403,'标准费用表-2024年&amp;2025年优化'!$D:$E,2,0)</f>
        <v>大同正大食品有限公司</v>
      </c>
      <c r="D403" t="s">
        <v>55</v>
      </c>
      <c r="E403" s="46">
        <f>IFERROR(VLOOKUP($B403,'标准费用表-2024年&amp;2025年优化'!$D:$K,8,0)*系数辅助表!$J$6*VLOOKUP('5.成本表'!$D403,系数辅助表!$C:$G,5,0)/VLOOKUP($D403,系数辅助表!$C:$E,3,0),0)</f>
        <v>1.38587813943126</v>
      </c>
      <c r="I403" s="36">
        <f>VLOOKUP($D403,系数辅助表!$C:$F,4,0)</f>
        <v>3.2017433061789502</v>
      </c>
      <c r="J403" s="2" t="s">
        <v>200</v>
      </c>
    </row>
    <row r="404" spans="2:10" x14ac:dyDescent="0.3">
      <c r="B404" s="47" t="s">
        <v>154</v>
      </c>
      <c r="C404" t="str">
        <f>VLOOKUP($B404,'标准费用表-2024年&amp;2025年优化'!$D:$E,2,0)</f>
        <v>大同正大食品有限公司</v>
      </c>
      <c r="D404" t="s">
        <v>56</v>
      </c>
      <c r="E404" s="46">
        <f>IFERROR(VLOOKUP($B404,'标准费用表-2024年&amp;2025年优化'!$D:$K,8,0)*系数辅助表!$J$6*VLOOKUP('5.成本表'!$D404,系数辅助表!$C:$G,5,0)/VLOOKUP($D404,系数辅助表!$C:$E,3,0),0)</f>
        <v>0.23595340285090899</v>
      </c>
      <c r="I404" s="36">
        <f>VLOOKUP($D404,系数辅助表!$C:$F,4,0)</f>
        <v>0.54511447049599404</v>
      </c>
      <c r="J404" s="2" t="s">
        <v>200</v>
      </c>
    </row>
    <row r="405" spans="2:10" x14ac:dyDescent="0.3">
      <c r="B405" s="47" t="s">
        <v>154</v>
      </c>
      <c r="C405" t="str">
        <f>VLOOKUP($B405,'标准费用表-2024年&amp;2025年优化'!$D:$E,2,0)</f>
        <v>大同正大食品有限公司</v>
      </c>
      <c r="D405" t="s">
        <v>57</v>
      </c>
      <c r="E405" s="46">
        <f>IFERROR(VLOOKUP($B405,'标准费用表-2024年&amp;2025年优化'!$D:$K,8,0)*系数辅助表!$J$6*VLOOKUP('5.成本表'!$D405,系数辅助表!$C:$G,5,0)/VLOOKUP($D405,系数辅助表!$C:$E,3,0),0)</f>
        <v>5.4629653845926898E-2</v>
      </c>
      <c r="I405" s="36">
        <f>VLOOKUP($D405,系数辅助表!$C:$F,4,0)</f>
        <v>0.126208880523832</v>
      </c>
      <c r="J405" s="2" t="s">
        <v>200</v>
      </c>
    </row>
    <row r="406" spans="2:10" x14ac:dyDescent="0.3">
      <c r="B406" s="47" t="s">
        <v>154</v>
      </c>
      <c r="C406" t="str">
        <f>VLOOKUP($B406,'标准费用表-2024年&amp;2025年优化'!$D:$E,2,0)</f>
        <v>大同正大食品有限公司</v>
      </c>
      <c r="D406" t="s">
        <v>58</v>
      </c>
      <c r="E406" s="46">
        <f>IFERROR(VLOOKUP($B406,'标准费用表-2024年&amp;2025年优化'!$D:$K,8,0)*系数辅助表!$J$6*VLOOKUP('5.成本表'!$D406,系数辅助表!$C:$G,5,0)/VLOOKUP($D406,系数辅助表!$C:$E,3,0),0)</f>
        <v>0.29309396785956099</v>
      </c>
      <c r="I406" s="36">
        <f>VLOOKUP($D406,系数辅助表!$C:$F,4,0)</f>
        <v>0.67712421675176204</v>
      </c>
      <c r="J406" s="2" t="s">
        <v>200</v>
      </c>
    </row>
    <row r="407" spans="2:10" x14ac:dyDescent="0.3">
      <c r="B407" s="47" t="s">
        <v>154</v>
      </c>
      <c r="C407" t="str">
        <f>VLOOKUP($B407,'标准费用表-2024年&amp;2025年优化'!$D:$E,2,0)</f>
        <v>大同正大食品有限公司</v>
      </c>
      <c r="D407" t="s">
        <v>59</v>
      </c>
      <c r="E407" s="46">
        <f>IFERROR(VLOOKUP($B407,'标准费用表-2024年&amp;2025年优化'!$D:$K,8,0)*系数辅助表!$J$6*VLOOKUP('5.成本表'!$D407,系数辅助表!$C:$G,5,0)/VLOOKUP($D407,系数辅助表!$C:$E,3,0),0)</f>
        <v>0.19170758971118301</v>
      </c>
      <c r="I407" s="36">
        <f>VLOOKUP($D407,系数辅助表!$C:$F,4,0)</f>
        <v>0.44289499533730498</v>
      </c>
      <c r="J407" s="2" t="s">
        <v>200</v>
      </c>
    </row>
    <row r="408" spans="2:10" x14ac:dyDescent="0.3">
      <c r="B408" s="47" t="s">
        <v>154</v>
      </c>
      <c r="C408" t="str">
        <f>VLOOKUP($B408,'标准费用表-2024年&amp;2025年优化'!$D:$E,2,0)</f>
        <v>大同正大食品有限公司</v>
      </c>
      <c r="D408" t="s">
        <v>60</v>
      </c>
      <c r="E408" s="46">
        <f>IFERROR(VLOOKUP($B408,'标准费用表-2024年&amp;2025年优化'!$D:$K,8,0)*系数辅助表!$J$6*VLOOKUP('5.成本表'!$D408,系数辅助表!$C:$G,5,0)/VLOOKUP($D408,系数辅助表!$C:$E,3,0),0)</f>
        <v>0.12706624310235501</v>
      </c>
      <c r="I408" s="36">
        <f>VLOOKUP($D408,系数辅助表!$C:$F,4,0)</f>
        <v>0.29355646915769201</v>
      </c>
      <c r="J408" s="2" t="s">
        <v>200</v>
      </c>
    </row>
    <row r="409" spans="2:10" x14ac:dyDescent="0.3">
      <c r="B409" s="47" t="s">
        <v>154</v>
      </c>
      <c r="C409" t="str">
        <f>VLOOKUP($B409,'标准费用表-2024年&amp;2025年优化'!$D:$E,2,0)</f>
        <v>大同正大食品有限公司</v>
      </c>
      <c r="D409" t="s">
        <v>61</v>
      </c>
      <c r="E409" s="46">
        <f>IFERROR(VLOOKUP($B409,'标准费用表-2024年&amp;2025年优化'!$D:$K,8,0)*系数辅助表!$J$6*VLOOKUP('5.成本表'!$D409,系数辅助表!$C:$G,5,0)/VLOOKUP($D409,系数辅助表!$C:$E,3,0),0)</f>
        <v>2.1938267711600599E-2</v>
      </c>
      <c r="I409" s="36">
        <f>VLOOKUP($D409,系数辅助表!$C:$F,4,0)</f>
        <v>5.0683173214352499E-2</v>
      </c>
      <c r="J409" s="2" t="s">
        <v>200</v>
      </c>
    </row>
    <row r="410" spans="2:10" x14ac:dyDescent="0.3">
      <c r="B410" s="47" t="s">
        <v>154</v>
      </c>
      <c r="C410" t="str">
        <f>VLOOKUP($B410,'标准费用表-2024年&amp;2025年优化'!$D:$E,2,0)</f>
        <v>大同正大食品有限公司</v>
      </c>
      <c r="D410" t="s">
        <v>62</v>
      </c>
      <c r="E410" s="46">
        <f>IFERROR(VLOOKUP($B410,'标准费用表-2024年&amp;2025年优化'!$D:$K,8,0)*系数辅助表!$J$6*VLOOKUP('5.成本表'!$D410,系数辅助表!$C:$G,5,0)/VLOOKUP($D410,系数辅助表!$C:$E,3,0),0)</f>
        <v>0.114807502786666</v>
      </c>
      <c r="I410" s="36">
        <f>VLOOKUP($D410,系数辅助表!$C:$F,4,0)</f>
        <v>0.26523555216563399</v>
      </c>
      <c r="J410" s="2" t="s">
        <v>200</v>
      </c>
    </row>
    <row r="411" spans="2:10" x14ac:dyDescent="0.3">
      <c r="B411" s="47" t="s">
        <v>154</v>
      </c>
      <c r="C411" t="str">
        <f>VLOOKUP($B411,'标准费用表-2024年&amp;2025年优化'!$D:$E,2,0)</f>
        <v>大同正大食品有限公司</v>
      </c>
      <c r="D411" t="s">
        <v>63</v>
      </c>
      <c r="E411" s="46">
        <f>IFERROR(VLOOKUP($B411,'标准费用表-2024年&amp;2025年优化'!$D:$K,8,0)*系数辅助表!$J$6*VLOOKUP('5.成本表'!$D411,系数辅助表!$C:$G,5,0)/VLOOKUP($D411,系数辅助表!$C:$E,3,0),0)</f>
        <v>0.10535112085267601</v>
      </c>
      <c r="I411" s="36">
        <f>VLOOKUP($D411,系数辅助表!$C:$F,4,0)</f>
        <v>0.24338882069886</v>
      </c>
      <c r="J411" s="2" t="s">
        <v>200</v>
      </c>
    </row>
    <row r="412" spans="2:10" x14ac:dyDescent="0.3">
      <c r="B412" s="47" t="s">
        <v>154</v>
      </c>
      <c r="C412" t="str">
        <f>VLOOKUP($B412,'标准费用表-2024年&amp;2025年优化'!$D:$E,2,0)</f>
        <v>大同正大食品有限公司</v>
      </c>
      <c r="D412" t="s">
        <v>64</v>
      </c>
      <c r="E412" s="46">
        <f>IFERROR(VLOOKUP($B412,'标准费用表-2024年&amp;2025年优化'!$D:$K,8,0)*系数辅助表!$J$6*VLOOKUP('5.成本表'!$D412,系数辅助表!$C:$G,5,0)/VLOOKUP($D412,系数辅助表!$C:$E,3,0),0)</f>
        <v>0.36857205630440698</v>
      </c>
      <c r="I412" s="36">
        <f>VLOOKUP($D412,系数辅助表!$C:$F,4,0)</f>
        <v>0.85149846912336002</v>
      </c>
      <c r="J412" s="2" t="s">
        <v>200</v>
      </c>
    </row>
    <row r="413" spans="2:10" x14ac:dyDescent="0.3">
      <c r="B413" s="47" t="s">
        <v>154</v>
      </c>
      <c r="C413" t="str">
        <f>VLOOKUP($B413,'标准费用表-2024年&amp;2025年优化'!$D:$E,2,0)</f>
        <v>大同正大食品有限公司</v>
      </c>
      <c r="D413" t="s">
        <v>65</v>
      </c>
      <c r="E413" s="46">
        <f>IFERROR(VLOOKUP($B413,'标准费用表-2024年&amp;2025年优化'!$D:$K,8,0)*系数辅助表!$J$6*VLOOKUP('5.成本表'!$D413,系数辅助表!$C:$G,5,0)/VLOOKUP($D413,系数辅助表!$C:$E,3,0),0)</f>
        <v>0.431697394616055</v>
      </c>
      <c r="I413" s="36">
        <f>VLOOKUP($D413,系数辅助表!$C:$F,4,0)</f>
        <v>0.99733461707829196</v>
      </c>
      <c r="J413" s="2" t="s">
        <v>200</v>
      </c>
    </row>
    <row r="414" spans="2:10" x14ac:dyDescent="0.3">
      <c r="B414" s="47" t="s">
        <v>154</v>
      </c>
      <c r="C414" t="str">
        <f>VLOOKUP($B414,'标准费用表-2024年&amp;2025年优化'!$D:$E,2,0)</f>
        <v>大同正大食品有限公司</v>
      </c>
      <c r="D414" t="s">
        <v>66</v>
      </c>
      <c r="E414" s="46">
        <f>IFERROR(VLOOKUP($B414,'标准费用表-2024年&amp;2025年优化'!$D:$K,8,0)*系数辅助表!$J$6*VLOOKUP('5.成本表'!$D414,系数辅助表!$C:$G,5,0)/VLOOKUP($D414,系数辅助表!$C:$E,3,0),0)</f>
        <v>0.123440371170114</v>
      </c>
      <c r="I414" s="36">
        <f>VLOOKUP($D414,系数辅助表!$C:$F,4,0)</f>
        <v>0.28517975055754302</v>
      </c>
      <c r="J414" s="2" t="s">
        <v>200</v>
      </c>
    </row>
    <row r="415" spans="2:10" x14ac:dyDescent="0.3">
      <c r="B415" s="47" t="s">
        <v>154</v>
      </c>
      <c r="C415" t="str">
        <f>VLOOKUP($B415,'标准费用表-2024年&amp;2025年优化'!$D:$E,2,0)</f>
        <v>大同正大食品有限公司</v>
      </c>
      <c r="D415" t="s">
        <v>67</v>
      </c>
      <c r="E415" s="46">
        <f>IFERROR(VLOOKUP($B415,'标准费用表-2024年&amp;2025年优化'!$D:$K,8,0)*系数辅助表!$J$6*VLOOKUP('5.成本表'!$D415,系数辅助表!$C:$G,5,0)/VLOOKUP($D415,系数辅助表!$C:$E,3,0),0)</f>
        <v>3.6726838057971702E-2</v>
      </c>
      <c r="I415" s="36">
        <f>VLOOKUP($D415,系数辅助表!$C:$F,4,0)</f>
        <v>8.4848663503333893E-2</v>
      </c>
      <c r="J415" s="2" t="s">
        <v>200</v>
      </c>
    </row>
    <row r="416" spans="2:10" x14ac:dyDescent="0.3">
      <c r="B416" s="47" t="s">
        <v>154</v>
      </c>
      <c r="C416" t="str">
        <f>VLOOKUP($B416,'标准费用表-2024年&amp;2025年优化'!$D:$E,2,0)</f>
        <v>大同正大食品有限公司</v>
      </c>
      <c r="D416" t="s">
        <v>68</v>
      </c>
      <c r="E416" s="36">
        <f>IFERROR(VLOOKUP($B416,'标准费用表-2024年&amp;2025年优化'!$D:$K,8,0)*VLOOKUP("白条",系数辅助表!$C:$G,5,0)*VLOOKUP('5.成本表'!$D416,系数辅助表!$C:$G,5,0)/VLOOKUP('5.成本表'!$D416,系数辅助表!$C:$E,3,0),)</f>
        <v>0.895000788504282</v>
      </c>
      <c r="F416" s="36">
        <f>IFERROR(VLOOKUP($B416,'标准费用表-2024年&amp;2025年优化'!$D:$L,9,0)*VLOOKUP('5.成本表'!$D416,系数辅助表!$C:$G,5,0)/VLOOKUP($D416,系数辅助表!$C:$E,3,0),0)</f>
        <v>0.90195884668357895</v>
      </c>
      <c r="I416" s="36">
        <f>VLOOKUP($D416,系数辅助表!$C:$F,4,0)</f>
        <v>2.2799999999999998</v>
      </c>
      <c r="J416" s="2" t="s">
        <v>69</v>
      </c>
    </row>
    <row r="417" spans="2:10" x14ac:dyDescent="0.3">
      <c r="B417" s="47" t="s">
        <v>154</v>
      </c>
      <c r="C417" t="str">
        <f>VLOOKUP($B417,'标准费用表-2024年&amp;2025年优化'!$D:$E,2,0)</f>
        <v>大同正大食品有限公司</v>
      </c>
      <c r="D417" t="s">
        <v>70</v>
      </c>
      <c r="E417" s="36">
        <f>IFERROR(VLOOKUP($B417,'标准费用表-2024年&amp;2025年优化'!$D:$K,8,0)*VLOOKUP("白条",系数辅助表!$C:$G,5,0)*VLOOKUP('5.成本表'!$D417,系数辅助表!$C:$G,5,0)/VLOOKUP('5.成本表'!$D417,系数辅助表!$C:$E,3,0),)</f>
        <v>0.59812876062225195</v>
      </c>
      <c r="F417" s="36">
        <f>IFERROR(VLOOKUP($B417,'标准费用表-2024年&amp;2025年优化'!$D:$L,9,0)*VLOOKUP('5.成本表'!$D417,系数辅助表!$C:$G,5,0)/VLOOKUP($D417,系数辅助表!$C:$E,3,0),0)</f>
        <v>0.60277882883289102</v>
      </c>
      <c r="I417" s="36">
        <f>VLOOKUP($D417,系数辅助表!$C:$F,4,0)</f>
        <v>1.5237233215154999</v>
      </c>
      <c r="J417" s="2" t="s">
        <v>69</v>
      </c>
    </row>
    <row r="418" spans="2:10" x14ac:dyDescent="0.3">
      <c r="B418" s="47" t="s">
        <v>154</v>
      </c>
      <c r="C418" t="str">
        <f>VLOOKUP($B418,'标准费用表-2024年&amp;2025年优化'!$D:$E,2,0)</f>
        <v>大同正大食品有限公司</v>
      </c>
      <c r="D418" t="s">
        <v>71</v>
      </c>
      <c r="E418" s="36">
        <f>IFERROR(VLOOKUP($B418,'标准费用表-2024年&amp;2025年优化'!$D:$K,8,0)*VLOOKUP("白条",系数辅助表!$C:$G,5,0)*VLOOKUP('5.成本表'!$D418,系数辅助表!$C:$G,5,0)/VLOOKUP('5.成本表'!$D418,系数辅助表!$C:$E,3,0),)</f>
        <v>1.5829959067085899</v>
      </c>
      <c r="F418" s="36">
        <f>IFERROR(VLOOKUP($B418,'标准费用表-2024年&amp;2025年优化'!$D:$L,9,0)*VLOOKUP('5.成本表'!$D418,系数辅助表!$C:$G,5,0)/VLOOKUP($D418,系数辅助表!$C:$E,3,0),0)</f>
        <v>1.59530268649912</v>
      </c>
      <c r="I418" s="36">
        <f>VLOOKUP($D418,系数辅助表!$C:$F,4,0)</f>
        <v>4.0326564106466396</v>
      </c>
      <c r="J418" s="2" t="s">
        <v>69</v>
      </c>
    </row>
    <row r="419" spans="2:10" x14ac:dyDescent="0.3">
      <c r="B419" s="47" t="s">
        <v>154</v>
      </c>
      <c r="C419" t="str">
        <f>VLOOKUP($B419,'标准费用表-2024年&amp;2025年优化'!$D:$E,2,0)</f>
        <v>大同正大食品有限公司</v>
      </c>
      <c r="D419" t="s">
        <v>72</v>
      </c>
      <c r="E419" s="36">
        <f>IFERROR(VLOOKUP($B419,'标准费用表-2024年&amp;2025年优化'!$D:$K,8,0)*VLOOKUP("白条",系数辅助表!$C:$G,5,0)*VLOOKUP('5.成本表'!$D419,系数辅助表!$C:$G,5,0)/VLOOKUP('5.成本表'!$D419,系数辅助表!$C:$E,3,0),)</f>
        <v>0.92192145978222195</v>
      </c>
      <c r="F419" s="36">
        <f>IFERROR(VLOOKUP($B419,'标准费用表-2024年&amp;2025年优化'!$D:$L,9,0)*VLOOKUP('5.成本表'!$D419,系数辅助表!$C:$G,5,0)/VLOOKUP($D419,系数辅助表!$C:$E,3,0),0)</f>
        <v>0.92908880894693902</v>
      </c>
      <c r="I419" s="36">
        <f>VLOOKUP($D419,系数辅助表!$C:$F,4,0)</f>
        <v>2.34857997367385</v>
      </c>
      <c r="J419" s="2" t="s">
        <v>69</v>
      </c>
    </row>
    <row r="420" spans="2:10" x14ac:dyDescent="0.3">
      <c r="B420" s="47" t="s">
        <v>154</v>
      </c>
      <c r="C420" t="str">
        <f>VLOOKUP($B420,'标准费用表-2024年&amp;2025年优化'!$D:$E,2,0)</f>
        <v>大同正大食品有限公司</v>
      </c>
      <c r="D420" t="s">
        <v>73</v>
      </c>
      <c r="E420" s="36">
        <f>IFERROR(VLOOKUP($B420,'标准费用表-2024年&amp;2025年优化'!$D:$K,8,0)*VLOOKUP("白条",系数辅助表!$C:$G,5,0)*VLOOKUP('5.成本表'!$D420,系数辅助表!$C:$G,5,0)/VLOOKUP('5.成本表'!$D420,系数辅助表!$C:$E,3,0),)</f>
        <v>0.553831565870882</v>
      </c>
      <c r="F420" s="36">
        <f>IFERROR(VLOOKUP($B420,'标准费用表-2024年&amp;2025年优化'!$D:$L,9,0)*VLOOKUP('5.成本表'!$D420,系数辅助表!$C:$G,5,0)/VLOOKUP($D420,系数辅助表!$C:$E,3,0),0)</f>
        <v>0.55813725174999795</v>
      </c>
      <c r="I420" s="36">
        <f>VLOOKUP($D420,系数辅助表!$C:$F,4,0)</f>
        <v>1.41087693598112</v>
      </c>
      <c r="J420" s="2" t="s">
        <v>69</v>
      </c>
    </row>
    <row r="421" spans="2:10" x14ac:dyDescent="0.3">
      <c r="B421" s="47" t="s">
        <v>154</v>
      </c>
      <c r="C421" t="str">
        <f>VLOOKUP($B421,'标准费用表-2024年&amp;2025年优化'!$D:$E,2,0)</f>
        <v>大同正大食品有限公司</v>
      </c>
      <c r="D421" t="s">
        <v>74</v>
      </c>
      <c r="E421" s="36">
        <f>IFERROR(VLOOKUP($B421,'标准费用表-2024年&amp;2025年优化'!$D:$K,8,0)*VLOOKUP("白条",系数辅助表!$C:$G,5,0)*VLOOKUP('5.成本表'!$D421,系数辅助表!$C:$G,5,0)/VLOOKUP('5.成本表'!$D421,系数辅助表!$C:$E,3,0),)</f>
        <v>0.74783686813258399</v>
      </c>
      <c r="F421" s="36">
        <f>IFERROR(VLOOKUP($B421,'标准费用表-2024年&amp;2025年优化'!$D:$L,9,0)*VLOOKUP('5.成本表'!$D421,系数辅助表!$C:$G,5,0)/VLOOKUP($D421,系数辅助表!$C:$E,3,0),0)</f>
        <v>0.75365082104069903</v>
      </c>
      <c r="I421" s="36">
        <f>VLOOKUP($D421,系数辅助表!$C:$F,4,0)</f>
        <v>1.9051022985038799</v>
      </c>
      <c r="J421" s="2" t="s">
        <v>69</v>
      </c>
    </row>
    <row r="422" spans="2:10" x14ac:dyDescent="0.3">
      <c r="B422" s="47" t="s">
        <v>154</v>
      </c>
      <c r="C422" t="str">
        <f>VLOOKUP($B422,'标准费用表-2024年&amp;2025年优化'!$D:$E,2,0)</f>
        <v>大同正大食品有限公司</v>
      </c>
      <c r="D422" t="s">
        <v>75</v>
      </c>
      <c r="E422" s="36">
        <f>IFERROR(VLOOKUP($B422,'标准费用表-2024年&amp;2025年优化'!$D:$K,8,0)*VLOOKUP("白条",系数辅助表!$C:$G,5,0)*VLOOKUP('5.成本表'!$D422,系数辅助表!$C:$G,5,0)/VLOOKUP('5.成本表'!$D422,系数辅助表!$C:$E,3,0),)</f>
        <v>0.55997056306942605</v>
      </c>
      <c r="F422" s="36">
        <f>IFERROR(VLOOKUP($B422,'标准费用表-2024年&amp;2025年优化'!$D:$L,9,0)*VLOOKUP('5.成本表'!$D422,系数辅助表!$C:$G,5,0)/VLOOKUP($D422,系数辅助表!$C:$E,3,0),0)</f>
        <v>0.56432397572176796</v>
      </c>
      <c r="I422" s="36">
        <f>VLOOKUP($D422,系数辅助表!$C:$F,4,0)</f>
        <v>1.42651593182611</v>
      </c>
      <c r="J422" s="2" t="s">
        <v>69</v>
      </c>
    </row>
    <row r="423" spans="2:10" x14ac:dyDescent="0.3">
      <c r="B423" s="47" t="s">
        <v>154</v>
      </c>
      <c r="C423" t="str">
        <f>VLOOKUP($B423,'标准费用表-2024年&amp;2025年优化'!$D:$E,2,0)</f>
        <v>大同正大食品有限公司</v>
      </c>
      <c r="D423" t="s">
        <v>76</v>
      </c>
      <c r="E423" s="36">
        <f>IFERROR(VLOOKUP($B423,'标准费用表-2024年&amp;2025年优化'!$D:$K,8,0)*VLOOKUP("白条",系数辅助表!$C:$G,5,0)*VLOOKUP('5.成本表'!$D423,系数辅助表!$C:$G,5,0)/VLOOKUP('5.成本表'!$D423,系数辅助表!$C:$E,3,0),)</f>
        <v>0.57059542323777501</v>
      </c>
      <c r="F423" s="36">
        <f>IFERROR(VLOOKUP($B423,'标准费用表-2024年&amp;2025年优化'!$D:$L,9,0)*VLOOKUP('5.成本表'!$D423,系数辅助表!$C:$G,5,0)/VLOOKUP($D423,系数辅助表!$C:$E,3,0),0)</f>
        <v>0.57503143737622597</v>
      </c>
      <c r="I423" s="36">
        <f>VLOOKUP($D423,系数辅助表!$C:$F,4,0)</f>
        <v>1.4535825908670701</v>
      </c>
      <c r="J423" s="2" t="s">
        <v>69</v>
      </c>
    </row>
    <row r="424" spans="2:10" x14ac:dyDescent="0.3">
      <c r="B424" s="47" t="s">
        <v>154</v>
      </c>
      <c r="C424" t="str">
        <f>VLOOKUP($B424,'标准费用表-2024年&amp;2025年优化'!$D:$E,2,0)</f>
        <v>大同正大食品有限公司</v>
      </c>
      <c r="D424" t="s">
        <v>77</v>
      </c>
      <c r="E424" s="36">
        <f>IFERROR(VLOOKUP($B424,'标准费用表-2024年&amp;2025年优化'!$D:$K,8,0)*VLOOKUP("白条",系数辅助表!$C:$G,5,0)*VLOOKUP('5.成本表'!$D424,系数辅助表!$C:$G,5,0)/VLOOKUP('5.成本表'!$D424,系数辅助表!$C:$E,3,0),)</f>
        <v>0.56567116905405801</v>
      </c>
      <c r="F424" s="36">
        <f>IFERROR(VLOOKUP($B424,'标准费用表-2024年&amp;2025年优化'!$D:$L,9,0)*VLOOKUP('5.成本表'!$D424,系数辅助表!$C:$G,5,0)/VLOOKUP($D424,系数辅助表!$C:$E,3,0),0)</f>
        <v>0.57006890026858204</v>
      </c>
      <c r="I424" s="36">
        <f>VLOOKUP($D424,系数辅助表!$C:$F,4,0)</f>
        <v>1.4410381331603499</v>
      </c>
      <c r="J424" s="2" t="s">
        <v>69</v>
      </c>
    </row>
    <row r="425" spans="2:10" x14ac:dyDescent="0.3">
      <c r="B425" s="47" t="s">
        <v>154</v>
      </c>
      <c r="C425" t="str">
        <f>VLOOKUP($B425,'标准费用表-2024年&amp;2025年优化'!$D:$E,2,0)</f>
        <v>大同正大食品有限公司</v>
      </c>
      <c r="D425" t="s">
        <v>78</v>
      </c>
      <c r="E425" s="36">
        <f>IFERROR(VLOOKUP($B425,'标准费用表-2024年&amp;2025年优化'!$D:$K,8,0)*VLOOKUP("白条",系数辅助表!$C:$G,5,0)*VLOOKUP('5.成本表'!$D425,系数辅助表!$C:$G,5,0)/VLOOKUP('5.成本表'!$D425,系数辅助表!$C:$E,3,0),)</f>
        <v>0.48511893753672097</v>
      </c>
      <c r="F425" s="36">
        <f>IFERROR(VLOOKUP($B425,'标准费用表-2024年&amp;2025年优化'!$D:$L,9,0)*VLOOKUP('5.成本表'!$D425,系数辅助表!$C:$G,5,0)/VLOOKUP($D425,系数辅助表!$C:$E,3,0),0)</f>
        <v>0.48889042671819999</v>
      </c>
      <c r="I425" s="36">
        <f>VLOOKUP($D425,系数辅助表!$C:$F,4,0)</f>
        <v>1.2358326291892801</v>
      </c>
      <c r="J425" s="2" t="s">
        <v>69</v>
      </c>
    </row>
    <row r="426" spans="2:10" x14ac:dyDescent="0.3">
      <c r="B426" s="47" t="s">
        <v>154</v>
      </c>
      <c r="C426" t="str">
        <f>VLOOKUP($B426,'标准费用表-2024年&amp;2025年优化'!$D:$E,2,0)</f>
        <v>大同正大食品有限公司</v>
      </c>
      <c r="D426" t="s">
        <v>79</v>
      </c>
      <c r="E426" s="36">
        <f>IFERROR(VLOOKUP($B426,'标准费用表-2024年&amp;2025年优化'!$D:$K,8,0)*VLOOKUP("白条",系数辅助表!$C:$G,5,0)*VLOOKUP('5.成本表'!$D426,系数辅助表!$C:$G,5,0)/VLOOKUP('5.成本表'!$D426,系数辅助表!$C:$E,3,0),)</f>
        <v>0.33885083895964002</v>
      </c>
      <c r="F426" s="36">
        <f>IFERROR(VLOOKUP($B426,'标准费用表-2024年&amp;2025年优化'!$D:$L,9,0)*VLOOKUP('5.成本表'!$D426,系数辅助表!$C:$G,5,0)/VLOOKUP($D426,系数辅助表!$C:$E,3,0),0)</f>
        <v>0.34148518731091299</v>
      </c>
      <c r="I426" s="36">
        <f>VLOOKUP($D426,系数辅助表!$C:$F,4,0)</f>
        <v>0.86321701919291904</v>
      </c>
      <c r="J426" s="2" t="s">
        <v>69</v>
      </c>
    </row>
    <row r="427" spans="2:10" x14ac:dyDescent="0.3">
      <c r="B427" s="47" t="s">
        <v>154</v>
      </c>
      <c r="C427" t="str">
        <f>VLOOKUP($B427,'标准费用表-2024年&amp;2025年优化'!$D:$E,2,0)</f>
        <v>大同正大食品有限公司</v>
      </c>
      <c r="D427" t="s">
        <v>80</v>
      </c>
      <c r="E427" s="36">
        <f>IFERROR(VLOOKUP($B427,'标准费用表-2024年&amp;2025年优化'!$D:$K,8,0)*VLOOKUP("白条",系数辅助表!$C:$G,5,0)*VLOOKUP('5.成本表'!$D427,系数辅助表!$C:$G,5,0)/VLOOKUP('5.成本表'!$D427,系数辅助表!$C:$E,3,0),)</f>
        <v>0.31280824309269101</v>
      </c>
      <c r="F427" s="36">
        <f>IFERROR(VLOOKUP($B427,'标准费用表-2024年&amp;2025年优化'!$D:$L,9,0)*VLOOKUP('5.成本表'!$D427,系数辅助表!$C:$G,5,0)/VLOOKUP($D427,系数辅助表!$C:$E,3,0),0)</f>
        <v>0.315240126932749</v>
      </c>
      <c r="I427" s="36">
        <f>VLOOKUP($D427,系数辅助表!$C:$F,4,0)</f>
        <v>0.796873928394225</v>
      </c>
      <c r="J427" s="2" t="s">
        <v>69</v>
      </c>
    </row>
    <row r="428" spans="2:10" x14ac:dyDescent="0.3">
      <c r="B428" s="47" t="s">
        <v>154</v>
      </c>
      <c r="C428" t="str">
        <f>VLOOKUP($B428,'标准费用表-2024年&amp;2025年优化'!$D:$E,2,0)</f>
        <v>大同正大食品有限公司</v>
      </c>
      <c r="D428" t="s">
        <v>81</v>
      </c>
      <c r="E428" s="36">
        <f>IFERROR(VLOOKUP($B428,'标准费用表-2024年&amp;2025年优化'!$D:$K,8,0)*VLOOKUP("白条",系数辅助表!$C:$G,5,0)*VLOOKUP('5.成本表'!$D428,系数辅助表!$C:$G,5,0)/VLOOKUP('5.成本表'!$D428,系数辅助表!$C:$E,3,0),)</f>
        <v>0.43133099201445402</v>
      </c>
      <c r="F428" s="36">
        <f>IFERROR(VLOOKUP($B428,'标准费用表-2024年&amp;2025年优化'!$D:$L,9,0)*VLOOKUP('5.成本表'!$D428,系数辅助表!$C:$G,5,0)/VLOOKUP($D428,系数辅助表!$C:$E,3,0),0)</f>
        <v>0.43468431435284699</v>
      </c>
      <c r="I428" s="36">
        <f>VLOOKUP($D428,系数辅助表!$C:$F,4,0)</f>
        <v>1.09880870991909</v>
      </c>
      <c r="J428" s="2" t="s">
        <v>69</v>
      </c>
    </row>
    <row r="429" spans="2:10" x14ac:dyDescent="0.3">
      <c r="B429" s="47" t="s">
        <v>154</v>
      </c>
      <c r="C429" t="str">
        <f>VLOOKUP($B429,'标准费用表-2024年&amp;2025年优化'!$D:$E,2,0)</f>
        <v>大同正大食品有限公司</v>
      </c>
      <c r="D429" t="s">
        <v>82</v>
      </c>
      <c r="E429" s="36">
        <f>IFERROR(VLOOKUP($B429,'标准费用表-2024年&amp;2025年优化'!$D:$K,8,0)*VLOOKUP("白条",系数辅助表!$C:$G,5,0)*VLOOKUP('5.成本表'!$D429,系数辅助表!$C:$G,5,0)/VLOOKUP('5.成本表'!$D429,系数辅助表!$C:$E,3,0),)</f>
        <v>0.39300398145881299</v>
      </c>
      <c r="F429" s="36">
        <f>IFERROR(VLOOKUP($B429,'标准费用表-2024年&amp;2025年优化'!$D:$L,9,0)*VLOOKUP('5.成本表'!$D429,系数辅助表!$C:$G,5,0)/VLOOKUP($D429,系数辅助表!$C:$E,3,0),0)</f>
        <v>0.39605933582588099</v>
      </c>
      <c r="I429" s="36">
        <f>VLOOKUP($D429,系数辅助表!$C:$F,4,0)</f>
        <v>1.0011712718416299</v>
      </c>
      <c r="J429" s="2" t="s">
        <v>69</v>
      </c>
    </row>
    <row r="430" spans="2:10" x14ac:dyDescent="0.3">
      <c r="B430" s="47" t="s">
        <v>154</v>
      </c>
      <c r="C430" t="str">
        <f>VLOOKUP($B430,'标准费用表-2024年&amp;2025年优化'!$D:$E,2,0)</f>
        <v>大同正大食品有限公司</v>
      </c>
      <c r="D430" t="s">
        <v>83</v>
      </c>
      <c r="E430" s="36">
        <f>IFERROR(VLOOKUP($B430,'标准费用表-2024年&amp;2025年优化'!$D:$K,8,0)*VLOOKUP("白条",系数辅助表!$C:$G,5,0)*VLOOKUP('5.成本表'!$D430,系数辅助表!$C:$G,5,0)/VLOOKUP('5.成本表'!$D430,系数辅助表!$C:$E,3,0),)</f>
        <v>0.353428261501817</v>
      </c>
      <c r="F430" s="36">
        <f>IFERROR(VLOOKUP($B430,'标准费用表-2024年&amp;2025年优化'!$D:$L,9,0)*VLOOKUP('5.成本表'!$D430,系数辅助表!$C:$G,5,0)/VLOOKUP($D430,系数辅助表!$C:$E,3,0),0)</f>
        <v>0.356175939981349</v>
      </c>
      <c r="I430" s="36">
        <f>VLOOKUP($D430,系数辅助表!$C:$F,4,0)</f>
        <v>0.90035276680685095</v>
      </c>
      <c r="J430" s="2" t="s">
        <v>69</v>
      </c>
    </row>
    <row r="431" spans="2:10" x14ac:dyDescent="0.3">
      <c r="B431" s="47" t="s">
        <v>154</v>
      </c>
      <c r="C431" t="str">
        <f>VLOOKUP($B431,'标准费用表-2024年&amp;2025年优化'!$D:$E,2,0)</f>
        <v>大同正大食品有限公司</v>
      </c>
      <c r="D431" t="s">
        <v>84</v>
      </c>
      <c r="E431" s="36">
        <f>IFERROR(VLOOKUP($B431,'标准费用表-2024年&amp;2025年优化'!$D:$K,8,0)*VLOOKUP("白条",系数辅助表!$C:$G,5,0)*VLOOKUP('5.成本表'!$D431,系数辅助表!$C:$G,5,0)/VLOOKUP('5.成本表'!$D431,系数辅助表!$C:$E,3,0),)</f>
        <v>0.354989286521739</v>
      </c>
      <c r="F431" s="36">
        <f>IFERROR(VLOOKUP($B431,'标准费用表-2024年&amp;2025年优化'!$D:$L,9,0)*VLOOKUP('5.成本表'!$D431,系数辅助表!$C:$G,5,0)/VLOOKUP($D431,系数辅助表!$C:$E,3,0),0)</f>
        <v>0.35774910097148299</v>
      </c>
      <c r="I431" s="36">
        <f>VLOOKUP($D431,系数辅助表!$C:$F,4,0)</f>
        <v>0.90432945273957599</v>
      </c>
      <c r="J431" s="2" t="s">
        <v>69</v>
      </c>
    </row>
    <row r="432" spans="2:10" x14ac:dyDescent="0.3">
      <c r="B432" s="47" t="s">
        <v>154</v>
      </c>
      <c r="C432" t="str">
        <f>VLOOKUP($B432,'标准费用表-2024年&amp;2025年优化'!$D:$E,2,0)</f>
        <v>大同正大食品有限公司</v>
      </c>
      <c r="D432" t="s">
        <v>85</v>
      </c>
      <c r="E432" s="36">
        <f>IFERROR(VLOOKUP($B432,'标准费用表-2024年&amp;2025年优化'!$D:$K,8,0)*VLOOKUP("白条",系数辅助表!$C:$G,5,0)*VLOOKUP('5.成本表'!$D432,系数辅助表!$C:$G,5,0)/VLOOKUP('5.成本表'!$D432,系数辅助表!$C:$E,3,0),)</f>
        <v>0.44136699060626899</v>
      </c>
      <c r="F432" s="36">
        <f>IFERROR(VLOOKUP($B432,'标准费用表-2024年&amp;2025年优化'!$D:$L,9,0)*VLOOKUP('5.成本表'!$D432,系数辅助表!$C:$G,5,0)/VLOOKUP($D432,系数辅助表!$C:$E,3,0),0)</f>
        <v>0.44479833640898297</v>
      </c>
      <c r="I432" s="36">
        <f>VLOOKUP($D432,系数辅助表!$C:$F,4,0)</f>
        <v>1.12437525363977</v>
      </c>
      <c r="J432" s="2" t="s">
        <v>69</v>
      </c>
    </row>
    <row r="433" spans="2:10" x14ac:dyDescent="0.3">
      <c r="B433" s="47" t="s">
        <v>154</v>
      </c>
      <c r="C433" t="str">
        <f>VLOOKUP($B433,'标准费用表-2024年&amp;2025年优化'!$D:$E,2,0)</f>
        <v>大同正大食品有限公司</v>
      </c>
      <c r="D433" t="s">
        <v>86</v>
      </c>
      <c r="E433" s="36">
        <f>IFERROR(VLOOKUP($B433,'标准费用表-2024年&amp;2025年优化'!$D:$K,8,0)*VLOOKUP("白条",系数辅助表!$C:$G,5,0)*VLOOKUP('5.成本表'!$D433,系数辅助表!$C:$G,5,0)/VLOOKUP('5.成本表'!$D433,系数辅助表!$C:$E,3,0),)</f>
        <v>0.38593866138091198</v>
      </c>
      <c r="F433" s="36">
        <f>IFERROR(VLOOKUP($B433,'标准费用表-2024年&amp;2025年优化'!$D:$L,9,0)*VLOOKUP('5.成本表'!$D433,系数辅助表!$C:$G,5,0)/VLOOKUP($D433,系数辅助表!$C:$E,3,0),0)</f>
        <v>0.38893908740736999</v>
      </c>
      <c r="I433" s="36">
        <f>VLOOKUP($D433,系数辅助表!$C:$F,4,0)</f>
        <v>0.98317248347795105</v>
      </c>
      <c r="J433" s="2" t="s">
        <v>69</v>
      </c>
    </row>
    <row r="434" spans="2:10" x14ac:dyDescent="0.3">
      <c r="B434" s="47" t="s">
        <v>154</v>
      </c>
      <c r="C434" t="str">
        <f>VLOOKUP($B434,'标准费用表-2024年&amp;2025年优化'!$D:$E,2,0)</f>
        <v>大同正大食品有限公司</v>
      </c>
      <c r="D434" t="s">
        <v>87</v>
      </c>
      <c r="E434" s="36">
        <f>IFERROR(VLOOKUP($B434,'标准费用表-2024年&amp;2025年优化'!$D:$K,8,0)*VLOOKUP("白条",系数辅助表!$C:$G,5,0)*VLOOKUP('5.成本表'!$D434,系数辅助表!$C:$G,5,0)/VLOOKUP('5.成本表'!$D434,系数辅助表!$C:$E,3,0),)</f>
        <v>0.27953257820441701</v>
      </c>
      <c r="F434" s="36">
        <f>IFERROR(VLOOKUP($B434,'标准费用表-2024年&amp;2025年优化'!$D:$L,9,0)*VLOOKUP('5.成本表'!$D434,系数辅助表!$C:$G,5,0)/VLOOKUP($D434,系数辅助表!$C:$E,3,0),0)</f>
        <v>0.28170576505200101</v>
      </c>
      <c r="I434" s="36">
        <f>VLOOKUP($D434,系数辅助表!$C:$F,4,0)</f>
        <v>0.71210471151782795</v>
      </c>
      <c r="J434" s="2" t="s">
        <v>69</v>
      </c>
    </row>
    <row r="435" spans="2:10" x14ac:dyDescent="0.3">
      <c r="B435" s="47" t="s">
        <v>154</v>
      </c>
      <c r="C435" t="str">
        <f>VLOOKUP($B435,'标准费用表-2024年&amp;2025年优化'!$D:$E,2,0)</f>
        <v>大同正大食品有限公司</v>
      </c>
      <c r="D435" t="s">
        <v>88</v>
      </c>
      <c r="E435" s="36">
        <f>IFERROR(VLOOKUP($B435,'标准费用表-2024年&amp;2025年优化'!$D:$K,8,0)*VLOOKUP("白条",系数辅助表!$C:$G,5,0)*VLOOKUP('5.成本表'!$D435,系数辅助表!$C:$G,5,0)/VLOOKUP('5.成本表'!$D435,系数辅助表!$C:$E,3,0),)</f>
        <v>1.05578344182706</v>
      </c>
      <c r="F435" s="36">
        <f>IFERROR(VLOOKUP($B435,'标准费用表-2024年&amp;2025年优化'!$D:$L,9,0)*VLOOKUP('5.成本表'!$D435,系数辅助表!$C:$G,5,0)/VLOOKUP($D435,系数辅助表!$C:$E,3,0),0)</f>
        <v>1.0639914822079499</v>
      </c>
      <c r="I435" s="36">
        <f>VLOOKUP($D435,系数辅助表!$C:$F,4,0)</f>
        <v>2.6895912029178799</v>
      </c>
      <c r="J435" s="2" t="s">
        <v>69</v>
      </c>
    </row>
    <row r="436" spans="2:10" x14ac:dyDescent="0.3">
      <c r="B436" s="47" t="s">
        <v>154</v>
      </c>
      <c r="C436" t="str">
        <f>VLOOKUP($B436,'标准费用表-2024年&amp;2025年优化'!$D:$E,2,0)</f>
        <v>大同正大食品有限公司</v>
      </c>
      <c r="D436" t="s">
        <v>89</v>
      </c>
      <c r="E436" s="36">
        <f>IFERROR(VLOOKUP($B436,'标准费用表-2024年&amp;2025年优化'!$D:$K,8,0)*VLOOKUP("白条",系数辅助表!$C:$G,5,0)*VLOOKUP('5.成本表'!$D436,系数辅助表!$C:$G,5,0)/VLOOKUP('5.成本表'!$D436,系数辅助表!$C:$E,3,0),)</f>
        <v>0.45408700131207202</v>
      </c>
      <c r="F436" s="36">
        <f>IFERROR(VLOOKUP($B436,'标准费用表-2024年&amp;2025年优化'!$D:$L,9,0)*VLOOKUP('5.成本表'!$D436,系数辅助表!$C:$G,5,0)/VLOOKUP($D436,系数辅助表!$C:$E,3,0),0)</f>
        <v>0.45761723705507401</v>
      </c>
      <c r="I436" s="36">
        <f>VLOOKUP($D436,系数辅助表!$C:$F,4,0)</f>
        <v>1.1567792747107399</v>
      </c>
      <c r="J436" s="2" t="s">
        <v>69</v>
      </c>
    </row>
    <row r="437" spans="2:10" x14ac:dyDescent="0.3">
      <c r="B437" s="47" t="s">
        <v>154</v>
      </c>
      <c r="C437" t="str">
        <f>VLOOKUP($B437,'标准费用表-2024年&amp;2025年优化'!$D:$E,2,0)</f>
        <v>大同正大食品有限公司</v>
      </c>
      <c r="D437" t="s">
        <v>90</v>
      </c>
      <c r="E437" s="36">
        <f>IFERROR(VLOOKUP($B437,'标准费用表-2024年&amp;2025年优化'!$D:$K,8,0)*VLOOKUP("白条",系数辅助表!$C:$G,5,0)*VLOOKUP('5.成本表'!$D437,系数辅助表!$C:$G,5,0)/VLOOKUP('5.成本表'!$D437,系数辅助表!$C:$E,3,0),)</f>
        <v>0.28694133258513099</v>
      </c>
      <c r="F437" s="36">
        <f>IFERROR(VLOOKUP($B437,'标准费用表-2024年&amp;2025年优化'!$D:$L,9,0)*VLOOKUP('5.成本表'!$D437,系数辅助表!$C:$G,5,0)/VLOOKUP($D437,系数辅助表!$C:$E,3,0),0)</f>
        <v>0.28917211775517399</v>
      </c>
      <c r="I437" s="36">
        <f>VLOOKUP($D437,系数辅助表!$C:$F,4,0)</f>
        <v>0.73097839320056501</v>
      </c>
      <c r="J437" s="2" t="s">
        <v>69</v>
      </c>
    </row>
    <row r="438" spans="2:10" x14ac:dyDescent="0.3">
      <c r="B438" s="47" t="s">
        <v>154</v>
      </c>
      <c r="C438" t="str">
        <f>VLOOKUP($B438,'标准费用表-2024年&amp;2025年优化'!$D:$E,2,0)</f>
        <v>大同正大食品有限公司</v>
      </c>
      <c r="D438" t="s">
        <v>91</v>
      </c>
      <c r="E438" s="36">
        <f>IFERROR(VLOOKUP($B438,'标准费用表-2024年&amp;2025年优化'!$D:$K,8,0)*VLOOKUP("白条",系数辅助表!$C:$G,5,0)*VLOOKUP('5.成本表'!$D438,系数辅助表!$C:$G,5,0)/VLOOKUP('5.成本表'!$D438,系数辅助表!$C:$E,3,0),)</f>
        <v>0.237918922525023</v>
      </c>
      <c r="F438" s="36">
        <f>IFERROR(VLOOKUP($B438,'标准费用表-2024年&amp;2025年优化'!$D:$L,9,0)*VLOOKUP('5.成本表'!$D438,系数辅助表!$C:$G,5,0)/VLOOKUP($D438,系数辅助表!$C:$E,3,0),0)</f>
        <v>0.23976858983945201</v>
      </c>
      <c r="I438" s="36">
        <f>VLOOKUP($D438,系数辅助表!$C:$F,4,0)</f>
        <v>0.60609459826688905</v>
      </c>
      <c r="J438" s="2" t="s">
        <v>69</v>
      </c>
    </row>
    <row r="439" spans="2:10" x14ac:dyDescent="0.3">
      <c r="B439" s="47" t="s">
        <v>154</v>
      </c>
      <c r="C439" t="str">
        <f>VLOOKUP($B439,'标准费用表-2024年&amp;2025年优化'!$D:$E,2,0)</f>
        <v>大同正大食品有限公司</v>
      </c>
      <c r="D439" t="s">
        <v>92</v>
      </c>
      <c r="E439" s="36">
        <f>IFERROR(VLOOKUP($B439,'标准费用表-2024年&amp;2025年优化'!$D:$K,8,0)*VLOOKUP("白条",系数辅助表!$C:$G,5,0)*VLOOKUP('5.成本表'!$D439,系数辅助表!$C:$G,5,0)/VLOOKUP('5.成本表'!$D439,系数辅助表!$C:$E,3,0),)</f>
        <v>9.4430796756673693E-2</v>
      </c>
      <c r="F439" s="36">
        <f>IFERROR(VLOOKUP($B439,'标准费用表-2024年&amp;2025年优化'!$D:$L,9,0)*VLOOKUP('5.成本表'!$D439,系数辅助表!$C:$G,5,0)/VLOOKUP($D439,系数辅助表!$C:$E,3,0),0)</f>
        <v>9.5164935749834201E-2</v>
      </c>
      <c r="I439" s="36">
        <f>VLOOKUP($D439,系数辅助表!$C:$F,4,0)</f>
        <v>0.24056092393508099</v>
      </c>
      <c r="J439" s="2" t="s">
        <v>69</v>
      </c>
    </row>
    <row r="440" spans="2:10" x14ac:dyDescent="0.3">
      <c r="B440" s="47" t="s">
        <v>154</v>
      </c>
      <c r="C440" t="str">
        <f>VLOOKUP($B440,'标准费用表-2024年&amp;2025年优化'!$D:$E,2,0)</f>
        <v>大同正大食品有限公司</v>
      </c>
      <c r="D440" t="s">
        <v>93</v>
      </c>
      <c r="E440" s="36">
        <f>E416</f>
        <v>0.895000788504282</v>
      </c>
      <c r="F440" s="36">
        <f>F416</f>
        <v>0.90195884668357895</v>
      </c>
      <c r="G440">
        <v>0.2</v>
      </c>
      <c r="H440">
        <v>0.3</v>
      </c>
      <c r="J440" s="2" t="s">
        <v>69</v>
      </c>
    </row>
    <row r="441" spans="2:10" x14ac:dyDescent="0.3">
      <c r="B441" s="47" t="s">
        <v>154</v>
      </c>
      <c r="C441" t="str">
        <f>VLOOKUP($B441,'标准费用表-2024年&amp;2025年优化'!$D:$E,2,0)</f>
        <v>大同正大食品有限公司</v>
      </c>
      <c r="D441" t="s">
        <v>96</v>
      </c>
      <c r="E441" s="36">
        <f t="shared" ref="E441:F441" si="88">E417</f>
        <v>0.59812876062225195</v>
      </c>
      <c r="F441" s="36">
        <f t="shared" si="88"/>
        <v>0.60277882883289102</v>
      </c>
      <c r="G441">
        <v>0.2</v>
      </c>
      <c r="H441">
        <v>0.3</v>
      </c>
      <c r="J441" s="2" t="s">
        <v>69</v>
      </c>
    </row>
    <row r="442" spans="2:10" x14ac:dyDescent="0.3">
      <c r="B442" s="47" t="s">
        <v>154</v>
      </c>
      <c r="C442" t="str">
        <f>VLOOKUP($B442,'标准费用表-2024年&amp;2025年优化'!$D:$E,2,0)</f>
        <v>大同正大食品有限公司</v>
      </c>
      <c r="D442" t="s">
        <v>97</v>
      </c>
      <c r="E442" s="36">
        <f t="shared" ref="E442:F442" si="89">E418</f>
        <v>1.5829959067085899</v>
      </c>
      <c r="F442" s="36">
        <f t="shared" si="89"/>
        <v>1.59530268649912</v>
      </c>
      <c r="G442">
        <v>0.2</v>
      </c>
      <c r="H442">
        <v>0.3</v>
      </c>
      <c r="J442" s="2" t="s">
        <v>69</v>
      </c>
    </row>
    <row r="443" spans="2:10" x14ac:dyDescent="0.3">
      <c r="B443" s="47" t="s">
        <v>154</v>
      </c>
      <c r="C443" t="str">
        <f>VLOOKUP($B443,'标准费用表-2024年&amp;2025年优化'!$D:$E,2,0)</f>
        <v>大同正大食品有限公司</v>
      </c>
      <c r="D443" t="s">
        <v>98</v>
      </c>
      <c r="E443" s="36">
        <f t="shared" ref="E443:F443" si="90">E419</f>
        <v>0.92192145978222195</v>
      </c>
      <c r="F443" s="36">
        <f t="shared" si="90"/>
        <v>0.92908880894693902</v>
      </c>
      <c r="G443">
        <v>0.2</v>
      </c>
      <c r="H443">
        <v>0.3</v>
      </c>
      <c r="J443" s="2" t="s">
        <v>69</v>
      </c>
    </row>
    <row r="444" spans="2:10" x14ac:dyDescent="0.3">
      <c r="B444" s="47" t="s">
        <v>154</v>
      </c>
      <c r="C444" t="str">
        <f>VLOOKUP($B444,'标准费用表-2024年&amp;2025年优化'!$D:$E,2,0)</f>
        <v>大同正大食品有限公司</v>
      </c>
      <c r="D444" t="s">
        <v>99</v>
      </c>
      <c r="E444" s="36">
        <f t="shared" ref="E444:F444" si="91">E420</f>
        <v>0.553831565870882</v>
      </c>
      <c r="F444" s="36">
        <f t="shared" si="91"/>
        <v>0.55813725174999795</v>
      </c>
      <c r="G444">
        <v>0.2</v>
      </c>
      <c r="H444">
        <v>0.3</v>
      </c>
      <c r="J444" s="2" t="s">
        <v>69</v>
      </c>
    </row>
    <row r="445" spans="2:10" x14ac:dyDescent="0.3">
      <c r="B445" s="47" t="s">
        <v>154</v>
      </c>
      <c r="C445" t="str">
        <f>VLOOKUP($B445,'标准费用表-2024年&amp;2025年优化'!$D:$E,2,0)</f>
        <v>大同正大食品有限公司</v>
      </c>
      <c r="D445" t="s">
        <v>100</v>
      </c>
      <c r="E445" s="36">
        <f t="shared" ref="E445:F445" si="92">E421</f>
        <v>0.74783686813258399</v>
      </c>
      <c r="F445" s="36">
        <f t="shared" si="92"/>
        <v>0.75365082104069903</v>
      </c>
      <c r="G445">
        <v>0.2</v>
      </c>
      <c r="H445">
        <v>0.3</v>
      </c>
      <c r="J445" s="2" t="s">
        <v>69</v>
      </c>
    </row>
    <row r="446" spans="2:10" x14ac:dyDescent="0.3">
      <c r="B446" s="47" t="s">
        <v>154</v>
      </c>
      <c r="C446" t="str">
        <f>VLOOKUP($B446,'标准费用表-2024年&amp;2025年优化'!$D:$E,2,0)</f>
        <v>大同正大食品有限公司</v>
      </c>
      <c r="D446" t="s">
        <v>101</v>
      </c>
      <c r="E446" s="36">
        <f t="shared" ref="E446:F446" si="93">E422</f>
        <v>0.55997056306942605</v>
      </c>
      <c r="F446" s="36">
        <f t="shared" si="93"/>
        <v>0.56432397572176796</v>
      </c>
      <c r="G446">
        <v>0.2</v>
      </c>
      <c r="H446">
        <v>0.3</v>
      </c>
      <c r="J446" s="2" t="s">
        <v>69</v>
      </c>
    </row>
    <row r="447" spans="2:10" x14ac:dyDescent="0.3">
      <c r="B447" s="47" t="s">
        <v>154</v>
      </c>
      <c r="C447" t="str">
        <f>VLOOKUP($B447,'标准费用表-2024年&amp;2025年优化'!$D:$E,2,0)</f>
        <v>大同正大食品有限公司</v>
      </c>
      <c r="D447" t="s">
        <v>102</v>
      </c>
      <c r="E447" s="36">
        <f t="shared" ref="E447:F447" si="94">E423</f>
        <v>0.57059542323777501</v>
      </c>
      <c r="F447" s="36">
        <f t="shared" si="94"/>
        <v>0.57503143737622597</v>
      </c>
      <c r="G447">
        <v>0.2</v>
      </c>
      <c r="H447">
        <v>0.3</v>
      </c>
      <c r="J447" s="2" t="s">
        <v>69</v>
      </c>
    </row>
    <row r="448" spans="2:10" x14ac:dyDescent="0.3">
      <c r="B448" s="47" t="s">
        <v>154</v>
      </c>
      <c r="C448" t="str">
        <f>VLOOKUP($B448,'标准费用表-2024年&amp;2025年优化'!$D:$E,2,0)</f>
        <v>大同正大食品有限公司</v>
      </c>
      <c r="D448" t="s">
        <v>103</v>
      </c>
      <c r="E448" s="36">
        <f t="shared" ref="E448:F448" si="95">E424</f>
        <v>0.56567116905405801</v>
      </c>
      <c r="F448" s="36">
        <f t="shared" si="95"/>
        <v>0.57006890026858204</v>
      </c>
      <c r="G448">
        <v>0.2</v>
      </c>
      <c r="H448">
        <v>0.3</v>
      </c>
      <c r="J448" s="2" t="s">
        <v>69</v>
      </c>
    </row>
    <row r="449" spans="2:10" x14ac:dyDescent="0.3">
      <c r="B449" s="47" t="s">
        <v>154</v>
      </c>
      <c r="C449" t="str">
        <f>VLOOKUP($B449,'标准费用表-2024年&amp;2025年优化'!$D:$E,2,0)</f>
        <v>大同正大食品有限公司</v>
      </c>
      <c r="D449" t="s">
        <v>104</v>
      </c>
      <c r="E449" s="36">
        <f t="shared" ref="E449:F449" si="96">E425</f>
        <v>0.48511893753672097</v>
      </c>
      <c r="F449" s="36">
        <f t="shared" si="96"/>
        <v>0.48889042671819999</v>
      </c>
      <c r="G449">
        <v>0.2</v>
      </c>
      <c r="H449">
        <v>0.3</v>
      </c>
      <c r="J449" s="2" t="s">
        <v>69</v>
      </c>
    </row>
    <row r="450" spans="2:10" x14ac:dyDescent="0.3">
      <c r="B450" s="47" t="s">
        <v>154</v>
      </c>
      <c r="C450" t="str">
        <f>VLOOKUP($B450,'标准费用表-2024年&amp;2025年优化'!$D:$E,2,0)</f>
        <v>大同正大食品有限公司</v>
      </c>
      <c r="D450" t="s">
        <v>105</v>
      </c>
      <c r="E450" s="36">
        <f t="shared" ref="E450:F450" si="97">E426</f>
        <v>0.33885083895964002</v>
      </c>
      <c r="F450" s="36">
        <f t="shared" si="97"/>
        <v>0.34148518731091299</v>
      </c>
      <c r="G450">
        <v>0.2</v>
      </c>
      <c r="H450">
        <v>0.3</v>
      </c>
      <c r="J450" s="2" t="s">
        <v>69</v>
      </c>
    </row>
    <row r="451" spans="2:10" x14ac:dyDescent="0.3">
      <c r="B451" s="47" t="s">
        <v>154</v>
      </c>
      <c r="C451" t="str">
        <f>VLOOKUP($B451,'标准费用表-2024年&amp;2025年优化'!$D:$E,2,0)</f>
        <v>大同正大食品有限公司</v>
      </c>
      <c r="D451" t="s">
        <v>106</v>
      </c>
      <c r="E451" s="36">
        <f t="shared" ref="E451:F451" si="98">E427</f>
        <v>0.31280824309269101</v>
      </c>
      <c r="F451" s="36">
        <f t="shared" si="98"/>
        <v>0.315240126932749</v>
      </c>
      <c r="G451">
        <v>0.2</v>
      </c>
      <c r="H451">
        <v>0.3</v>
      </c>
      <c r="J451" s="2" t="s">
        <v>69</v>
      </c>
    </row>
    <row r="452" spans="2:10" x14ac:dyDescent="0.3">
      <c r="B452" s="47" t="s">
        <v>154</v>
      </c>
      <c r="C452" t="str">
        <f>VLOOKUP($B452,'标准费用表-2024年&amp;2025年优化'!$D:$E,2,0)</f>
        <v>大同正大食品有限公司</v>
      </c>
      <c r="D452" t="s">
        <v>107</v>
      </c>
      <c r="E452" s="36">
        <f t="shared" ref="E452:F452" si="99">E428</f>
        <v>0.43133099201445402</v>
      </c>
      <c r="F452" s="36">
        <f t="shared" si="99"/>
        <v>0.43468431435284699</v>
      </c>
      <c r="G452">
        <v>0.2</v>
      </c>
      <c r="H452">
        <v>0.3</v>
      </c>
      <c r="J452" s="2" t="s">
        <v>69</v>
      </c>
    </row>
    <row r="453" spans="2:10" x14ac:dyDescent="0.3">
      <c r="B453" s="47" t="s">
        <v>154</v>
      </c>
      <c r="C453" t="str">
        <f>VLOOKUP($B453,'标准费用表-2024年&amp;2025年优化'!$D:$E,2,0)</f>
        <v>大同正大食品有限公司</v>
      </c>
      <c r="D453" t="s">
        <v>108</v>
      </c>
      <c r="E453" s="36">
        <f t="shared" ref="E453:F453" si="100">E429</f>
        <v>0.39300398145881299</v>
      </c>
      <c r="F453" s="36">
        <f t="shared" si="100"/>
        <v>0.39605933582588099</v>
      </c>
      <c r="G453">
        <v>0.2</v>
      </c>
      <c r="H453">
        <v>0.3</v>
      </c>
      <c r="J453" s="2" t="s">
        <v>69</v>
      </c>
    </row>
    <row r="454" spans="2:10" x14ac:dyDescent="0.3">
      <c r="B454" s="47" t="s">
        <v>154</v>
      </c>
      <c r="C454" t="str">
        <f>VLOOKUP($B454,'标准费用表-2024年&amp;2025年优化'!$D:$E,2,0)</f>
        <v>大同正大食品有限公司</v>
      </c>
      <c r="D454" t="s">
        <v>109</v>
      </c>
      <c r="E454" s="36">
        <f t="shared" ref="E454:F454" si="101">E430</f>
        <v>0.353428261501817</v>
      </c>
      <c r="F454" s="36">
        <f t="shared" si="101"/>
        <v>0.356175939981349</v>
      </c>
      <c r="G454">
        <v>0.2</v>
      </c>
      <c r="H454">
        <v>0.3</v>
      </c>
      <c r="J454" s="2" t="s">
        <v>69</v>
      </c>
    </row>
    <row r="455" spans="2:10" x14ac:dyDescent="0.3">
      <c r="B455" s="47" t="s">
        <v>154</v>
      </c>
      <c r="C455" t="str">
        <f>VLOOKUP($B455,'标准费用表-2024年&amp;2025年优化'!$D:$E,2,0)</f>
        <v>大同正大食品有限公司</v>
      </c>
      <c r="D455" t="s">
        <v>110</v>
      </c>
      <c r="E455" s="36">
        <f t="shared" ref="E455:F455" si="102">E431</f>
        <v>0.354989286521739</v>
      </c>
      <c r="F455" s="36">
        <f t="shared" si="102"/>
        <v>0.35774910097148299</v>
      </c>
      <c r="G455">
        <v>0.2</v>
      </c>
      <c r="H455">
        <v>0.3</v>
      </c>
      <c r="J455" s="2" t="s">
        <v>69</v>
      </c>
    </row>
    <row r="456" spans="2:10" x14ac:dyDescent="0.3">
      <c r="B456" s="47" t="s">
        <v>154</v>
      </c>
      <c r="C456" t="str">
        <f>VLOOKUP($B456,'标准费用表-2024年&amp;2025年优化'!$D:$E,2,0)</f>
        <v>大同正大食品有限公司</v>
      </c>
      <c r="D456" t="s">
        <v>111</v>
      </c>
      <c r="E456" s="36">
        <f t="shared" ref="E456:F456" si="103">E432</f>
        <v>0.44136699060626899</v>
      </c>
      <c r="F456" s="36">
        <f t="shared" si="103"/>
        <v>0.44479833640898297</v>
      </c>
      <c r="G456">
        <v>0.2</v>
      </c>
      <c r="H456">
        <v>0.3</v>
      </c>
      <c r="J456" s="2" t="s">
        <v>69</v>
      </c>
    </row>
    <row r="457" spans="2:10" x14ac:dyDescent="0.3">
      <c r="B457" s="47" t="s">
        <v>154</v>
      </c>
      <c r="C457" t="str">
        <f>VLOOKUP($B457,'标准费用表-2024年&amp;2025年优化'!$D:$E,2,0)</f>
        <v>大同正大食品有限公司</v>
      </c>
      <c r="D457" t="s">
        <v>112</v>
      </c>
      <c r="E457" s="36">
        <f t="shared" ref="E457:F457" si="104">E433</f>
        <v>0.38593866138091198</v>
      </c>
      <c r="F457" s="36">
        <f t="shared" si="104"/>
        <v>0.38893908740736999</v>
      </c>
      <c r="G457">
        <v>0.2</v>
      </c>
      <c r="H457">
        <v>0.3</v>
      </c>
      <c r="J457" s="2" t="s">
        <v>69</v>
      </c>
    </row>
    <row r="458" spans="2:10" x14ac:dyDescent="0.3">
      <c r="B458" s="47" t="s">
        <v>154</v>
      </c>
      <c r="C458" t="str">
        <f>VLOOKUP($B458,'标准费用表-2024年&amp;2025年优化'!$D:$E,2,0)</f>
        <v>大同正大食品有限公司</v>
      </c>
      <c r="D458" t="s">
        <v>113</v>
      </c>
      <c r="E458" s="36">
        <f t="shared" ref="E458:F458" si="105">E434</f>
        <v>0.27953257820441701</v>
      </c>
      <c r="F458" s="36">
        <f t="shared" si="105"/>
        <v>0.28170576505200101</v>
      </c>
      <c r="G458">
        <v>0.2</v>
      </c>
      <c r="H458">
        <v>0.3</v>
      </c>
      <c r="J458" s="2" t="s">
        <v>69</v>
      </c>
    </row>
    <row r="459" spans="2:10" x14ac:dyDescent="0.3">
      <c r="B459" s="47" t="s">
        <v>154</v>
      </c>
      <c r="C459" t="str">
        <f>VLOOKUP($B459,'标准费用表-2024年&amp;2025年优化'!$D:$E,2,0)</f>
        <v>大同正大食品有限公司</v>
      </c>
      <c r="D459" t="s">
        <v>114</v>
      </c>
      <c r="E459" s="36">
        <f t="shared" ref="E459:F459" si="106">E435</f>
        <v>1.05578344182706</v>
      </c>
      <c r="F459" s="36">
        <f t="shared" si="106"/>
        <v>1.0639914822079499</v>
      </c>
      <c r="G459">
        <v>0.2</v>
      </c>
      <c r="H459">
        <v>0.3</v>
      </c>
      <c r="J459" s="2" t="s">
        <v>69</v>
      </c>
    </row>
    <row r="460" spans="2:10" x14ac:dyDescent="0.3">
      <c r="B460" s="47" t="s">
        <v>154</v>
      </c>
      <c r="C460" t="str">
        <f>VLOOKUP($B460,'标准费用表-2024年&amp;2025年优化'!$D:$E,2,0)</f>
        <v>大同正大食品有限公司</v>
      </c>
      <c r="D460" t="s">
        <v>115</v>
      </c>
      <c r="E460" s="36">
        <f t="shared" ref="E460:F460" si="107">E436</f>
        <v>0.45408700131207202</v>
      </c>
      <c r="F460" s="36">
        <f t="shared" si="107"/>
        <v>0.45761723705507401</v>
      </c>
      <c r="G460">
        <v>0.2</v>
      </c>
      <c r="H460">
        <v>0.3</v>
      </c>
      <c r="J460" s="2" t="s">
        <v>69</v>
      </c>
    </row>
    <row r="461" spans="2:10" x14ac:dyDescent="0.3">
      <c r="B461" s="47" t="s">
        <v>154</v>
      </c>
      <c r="C461" t="str">
        <f>VLOOKUP($B461,'标准费用表-2024年&amp;2025年优化'!$D:$E,2,0)</f>
        <v>大同正大食品有限公司</v>
      </c>
      <c r="D461" t="s">
        <v>116</v>
      </c>
      <c r="E461" s="36">
        <f t="shared" ref="E461:F461" si="108">E437</f>
        <v>0.28694133258513099</v>
      </c>
      <c r="F461" s="36">
        <f t="shared" si="108"/>
        <v>0.28917211775517399</v>
      </c>
      <c r="G461">
        <v>0.2</v>
      </c>
      <c r="H461">
        <v>0.3</v>
      </c>
      <c r="J461" s="2" t="s">
        <v>69</v>
      </c>
    </row>
    <row r="462" spans="2:10" x14ac:dyDescent="0.3">
      <c r="B462" s="47" t="s">
        <v>154</v>
      </c>
      <c r="C462" t="str">
        <f>VLOOKUP($B462,'标准费用表-2024年&amp;2025年优化'!$D:$E,2,0)</f>
        <v>大同正大食品有限公司</v>
      </c>
      <c r="D462" t="s">
        <v>117</v>
      </c>
      <c r="E462" s="36">
        <f t="shared" ref="E462:F462" si="109">E438</f>
        <v>0.237918922525023</v>
      </c>
      <c r="F462" s="36">
        <f t="shared" si="109"/>
        <v>0.23976858983945201</v>
      </c>
      <c r="G462">
        <v>0.2</v>
      </c>
      <c r="H462">
        <v>0.3</v>
      </c>
      <c r="J462" s="2" t="s">
        <v>69</v>
      </c>
    </row>
    <row r="463" spans="2:10" x14ac:dyDescent="0.3">
      <c r="B463" s="47" t="s">
        <v>154</v>
      </c>
      <c r="C463" t="str">
        <f>VLOOKUP($B463,'标准费用表-2024年&amp;2025年优化'!$D:$E,2,0)</f>
        <v>大同正大食品有限公司</v>
      </c>
      <c r="D463" t="s">
        <v>118</v>
      </c>
      <c r="E463" s="36">
        <f t="shared" ref="E463:F463" si="110">E439</f>
        <v>9.4430796756673693E-2</v>
      </c>
      <c r="F463" s="36">
        <f t="shared" si="110"/>
        <v>9.5164935749834201E-2</v>
      </c>
      <c r="G463">
        <v>0.2</v>
      </c>
      <c r="H463">
        <v>0.3</v>
      </c>
      <c r="J463" s="2" t="s">
        <v>69</v>
      </c>
    </row>
    <row r="464" spans="2:10" x14ac:dyDescent="0.3">
      <c r="B464" s="47" t="s">
        <v>154</v>
      </c>
      <c r="C464" t="str">
        <f>VLOOKUP($B464,'标准费用表-2024年&amp;2025年优化'!$D:$E,2,0)</f>
        <v>大同正大食品有限公司</v>
      </c>
      <c r="D464" t="s">
        <v>119</v>
      </c>
      <c r="E464" s="36">
        <f>E392</f>
        <v>0.34153158215873702</v>
      </c>
      <c r="F464" s="36">
        <f t="shared" ref="F464" si="111">F440</f>
        <v>0.90195884668357895</v>
      </c>
      <c r="G464">
        <v>0.2</v>
      </c>
      <c r="H464">
        <v>0.3</v>
      </c>
      <c r="J464" s="2" t="s">
        <v>69</v>
      </c>
    </row>
    <row r="465" spans="2:10" x14ac:dyDescent="0.3">
      <c r="B465" s="47" t="s">
        <v>154</v>
      </c>
      <c r="C465" t="str">
        <f>VLOOKUP($B465,'标准费用表-2024年&amp;2025年优化'!$D:$E,2,0)</f>
        <v>大同正大食品有限公司</v>
      </c>
      <c r="D465" t="s">
        <v>120</v>
      </c>
      <c r="E465" s="36">
        <f t="shared" ref="E465:E487" si="112">E393</f>
        <v>0.91278536940086497</v>
      </c>
      <c r="F465" s="36">
        <f t="shared" ref="F465" si="113">F441</f>
        <v>0.60277882883289102</v>
      </c>
      <c r="G465">
        <v>0.2</v>
      </c>
      <c r="H465">
        <v>0.3</v>
      </c>
      <c r="J465" s="2" t="s">
        <v>69</v>
      </c>
    </row>
    <row r="466" spans="2:10" x14ac:dyDescent="0.3">
      <c r="B466" s="47" t="s">
        <v>154</v>
      </c>
      <c r="C466" t="str">
        <f>VLOOKUP($B466,'标准费用表-2024年&amp;2025年优化'!$D:$E,2,0)</f>
        <v>大同正大食品有限公司</v>
      </c>
      <c r="D466" t="s">
        <v>121</v>
      </c>
      <c r="E466" s="36">
        <f t="shared" si="112"/>
        <v>1.68946894043152</v>
      </c>
      <c r="F466" s="36">
        <f t="shared" ref="F466" si="114">F442</f>
        <v>1.59530268649912</v>
      </c>
      <c r="G466">
        <v>0.2</v>
      </c>
      <c r="H466">
        <v>0.3</v>
      </c>
      <c r="J466" s="2" t="s">
        <v>69</v>
      </c>
    </row>
    <row r="467" spans="2:10" x14ac:dyDescent="0.3">
      <c r="B467" s="47" t="s">
        <v>154</v>
      </c>
      <c r="C467" t="str">
        <f>VLOOKUP($B467,'标准费用表-2024年&amp;2025年优化'!$D:$E,2,0)</f>
        <v>大同正大食品有限公司</v>
      </c>
      <c r="D467" t="s">
        <v>122</v>
      </c>
      <c r="E467" s="36">
        <f t="shared" si="112"/>
        <v>0.35505051075358701</v>
      </c>
      <c r="F467" s="36">
        <f t="shared" ref="F467" si="115">F443</f>
        <v>0.92908880894693902</v>
      </c>
      <c r="G467">
        <v>0.2</v>
      </c>
      <c r="H467">
        <v>0.3</v>
      </c>
      <c r="J467" s="2" t="s">
        <v>69</v>
      </c>
    </row>
    <row r="468" spans="2:10" x14ac:dyDescent="0.3">
      <c r="B468" s="47" t="s">
        <v>154</v>
      </c>
      <c r="C468" t="str">
        <f>VLOOKUP($B468,'标准费用表-2024年&amp;2025年优化'!$D:$E,2,0)</f>
        <v>大同正大食品有限公司</v>
      </c>
      <c r="D468" t="s">
        <v>123</v>
      </c>
      <c r="E468" s="36">
        <f t="shared" si="112"/>
        <v>0.15674575875048499</v>
      </c>
      <c r="F468" s="36">
        <f t="shared" ref="F468" si="116">F444</f>
        <v>0.55813725174999795</v>
      </c>
      <c r="G468">
        <v>0.2</v>
      </c>
      <c r="H468">
        <v>0.3</v>
      </c>
      <c r="J468" s="2" t="s">
        <v>69</v>
      </c>
    </row>
    <row r="469" spans="2:10" x14ac:dyDescent="0.3">
      <c r="B469" s="47" t="s">
        <v>154</v>
      </c>
      <c r="C469" t="str">
        <f>VLOOKUP($B469,'标准费用表-2024年&amp;2025年优化'!$D:$E,2,0)</f>
        <v>大同正大食品有限公司</v>
      </c>
      <c r="D469" t="s">
        <v>124</v>
      </c>
      <c r="E469" s="36">
        <f t="shared" si="112"/>
        <v>0.48510732798314399</v>
      </c>
      <c r="F469" s="36">
        <f t="shared" ref="F469" si="117">F445</f>
        <v>0.75365082104069903</v>
      </c>
      <c r="G469">
        <v>0.2</v>
      </c>
      <c r="H469">
        <v>0.3</v>
      </c>
      <c r="J469" s="2" t="s">
        <v>69</v>
      </c>
    </row>
    <row r="470" spans="2:10" x14ac:dyDescent="0.3">
      <c r="B470" s="47" t="s">
        <v>154</v>
      </c>
      <c r="C470" t="str">
        <f>VLOOKUP($B470,'标准费用表-2024年&amp;2025年优化'!$D:$E,2,0)</f>
        <v>大同正大食品有限公司</v>
      </c>
      <c r="D470" t="s">
        <v>125</v>
      </c>
      <c r="E470" s="36">
        <f t="shared" si="112"/>
        <v>0.80135935425628502</v>
      </c>
      <c r="F470" s="36">
        <f t="shared" ref="F470" si="118">F446</f>
        <v>0.56432397572176796</v>
      </c>
      <c r="G470">
        <v>0.2</v>
      </c>
      <c r="H470">
        <v>0.3</v>
      </c>
      <c r="J470" s="2" t="s">
        <v>69</v>
      </c>
    </row>
    <row r="471" spans="2:10" x14ac:dyDescent="0.3">
      <c r="B471" s="47" t="s">
        <v>154</v>
      </c>
      <c r="C471" t="str">
        <f>VLOOKUP($B471,'标准费用表-2024年&amp;2025年优化'!$D:$E,2,0)</f>
        <v>大同正大食品有限公司</v>
      </c>
      <c r="D471" t="s">
        <v>126</v>
      </c>
      <c r="E471" s="36">
        <f t="shared" si="112"/>
        <v>1.1624878548214099</v>
      </c>
      <c r="F471" s="36">
        <f t="shared" ref="F471" si="119">F447</f>
        <v>0.57503143737622597</v>
      </c>
      <c r="G471">
        <v>0.2</v>
      </c>
      <c r="H471">
        <v>0.3</v>
      </c>
      <c r="J471" s="2" t="s">
        <v>69</v>
      </c>
    </row>
    <row r="472" spans="2:10" x14ac:dyDescent="0.3">
      <c r="B472" s="47" t="s">
        <v>154</v>
      </c>
      <c r="C472" t="str">
        <f>VLOOKUP($B472,'标准费用表-2024年&amp;2025年优化'!$D:$E,2,0)</f>
        <v>大同正大食品有限公司</v>
      </c>
      <c r="D472" t="s">
        <v>127</v>
      </c>
      <c r="E472" s="36">
        <f t="shared" si="112"/>
        <v>0.67917526493663005</v>
      </c>
      <c r="F472" s="36">
        <f t="shared" ref="F472" si="120">F448</f>
        <v>0.57006890026858204</v>
      </c>
      <c r="G472">
        <v>0.2</v>
      </c>
      <c r="H472">
        <v>0.3</v>
      </c>
      <c r="J472" s="2" t="s">
        <v>69</v>
      </c>
    </row>
    <row r="473" spans="2:10" x14ac:dyDescent="0.3">
      <c r="B473" s="47" t="s">
        <v>154</v>
      </c>
      <c r="C473" t="str">
        <f>VLOOKUP($B473,'标准费用表-2024年&amp;2025年优化'!$D:$E,2,0)</f>
        <v>大同正大食品有限公司</v>
      </c>
      <c r="D473" t="s">
        <v>128</v>
      </c>
      <c r="E473" s="36">
        <f t="shared" si="112"/>
        <v>0.62372741871314696</v>
      </c>
      <c r="F473" s="36">
        <f t="shared" ref="F473" si="121">F449</f>
        <v>0.48889042671819999</v>
      </c>
      <c r="G473">
        <v>0.2</v>
      </c>
      <c r="H473">
        <v>0.3</v>
      </c>
      <c r="J473" s="2" t="s">
        <v>69</v>
      </c>
    </row>
    <row r="474" spans="2:10" x14ac:dyDescent="0.3">
      <c r="B474" s="47" t="s">
        <v>154</v>
      </c>
      <c r="C474" t="str">
        <f>VLOOKUP($B474,'标准费用表-2024年&amp;2025年优化'!$D:$E,2,0)</f>
        <v>大同正大食品有限公司</v>
      </c>
      <c r="D474" t="s">
        <v>129</v>
      </c>
      <c r="E474" s="36">
        <f t="shared" si="112"/>
        <v>0.79680663245775696</v>
      </c>
      <c r="F474" s="36">
        <f t="shared" ref="F474" si="122">F450</f>
        <v>0.34148518731091299</v>
      </c>
      <c r="G474">
        <v>0.2</v>
      </c>
      <c r="H474">
        <v>0.3</v>
      </c>
      <c r="J474" s="2" t="s">
        <v>69</v>
      </c>
    </row>
    <row r="475" spans="2:10" x14ac:dyDescent="0.3">
      <c r="B475" s="47" t="s">
        <v>154</v>
      </c>
      <c r="C475" t="str">
        <f>VLOOKUP($B475,'标准费用表-2024年&amp;2025年优化'!$D:$E,2,0)</f>
        <v>大同正大食品有限公司</v>
      </c>
      <c r="D475" t="s">
        <v>130</v>
      </c>
      <c r="E475" s="36">
        <f t="shared" si="112"/>
        <v>1.38587813943126</v>
      </c>
      <c r="F475" s="36">
        <f t="shared" ref="F475" si="123">F451</f>
        <v>0.315240126932749</v>
      </c>
      <c r="G475">
        <v>0.2</v>
      </c>
      <c r="H475">
        <v>0.3</v>
      </c>
      <c r="J475" s="2" t="s">
        <v>69</v>
      </c>
    </row>
    <row r="476" spans="2:10" x14ac:dyDescent="0.3">
      <c r="B476" s="47" t="s">
        <v>154</v>
      </c>
      <c r="C476" t="str">
        <f>VLOOKUP($B476,'标准费用表-2024年&amp;2025年优化'!$D:$E,2,0)</f>
        <v>大同正大食品有限公司</v>
      </c>
      <c r="D476" t="s">
        <v>131</v>
      </c>
      <c r="E476" s="36">
        <f t="shared" si="112"/>
        <v>0.23595340285090899</v>
      </c>
      <c r="F476" s="36">
        <f t="shared" ref="F476" si="124">F452</f>
        <v>0.43468431435284699</v>
      </c>
      <c r="G476">
        <v>0.2</v>
      </c>
      <c r="H476">
        <v>0.3</v>
      </c>
      <c r="J476" s="2" t="s">
        <v>69</v>
      </c>
    </row>
    <row r="477" spans="2:10" x14ac:dyDescent="0.3">
      <c r="B477" s="47" t="s">
        <v>154</v>
      </c>
      <c r="C477" t="str">
        <f>VLOOKUP($B477,'标准费用表-2024年&amp;2025年优化'!$D:$E,2,0)</f>
        <v>大同正大食品有限公司</v>
      </c>
      <c r="D477" t="s">
        <v>132</v>
      </c>
      <c r="E477" s="36">
        <f t="shared" si="112"/>
        <v>5.4629653845926898E-2</v>
      </c>
      <c r="F477" s="36">
        <f t="shared" ref="F477" si="125">F453</f>
        <v>0.39605933582588099</v>
      </c>
      <c r="G477">
        <v>0.2</v>
      </c>
      <c r="H477">
        <v>0.3</v>
      </c>
      <c r="J477" s="2" t="s">
        <v>69</v>
      </c>
    </row>
    <row r="478" spans="2:10" x14ac:dyDescent="0.3">
      <c r="B478" s="47" t="s">
        <v>154</v>
      </c>
      <c r="C478" t="str">
        <f>VLOOKUP($B478,'标准费用表-2024年&amp;2025年优化'!$D:$E,2,0)</f>
        <v>大同正大食品有限公司</v>
      </c>
      <c r="D478" t="s">
        <v>133</v>
      </c>
      <c r="E478" s="36">
        <f t="shared" si="112"/>
        <v>0.29309396785956099</v>
      </c>
      <c r="F478" s="36">
        <f t="shared" ref="F478" si="126">F454</f>
        <v>0.356175939981349</v>
      </c>
      <c r="G478">
        <v>0.2</v>
      </c>
      <c r="H478">
        <v>0.3</v>
      </c>
      <c r="J478" s="2" t="s">
        <v>69</v>
      </c>
    </row>
    <row r="479" spans="2:10" x14ac:dyDescent="0.3">
      <c r="B479" s="47" t="s">
        <v>154</v>
      </c>
      <c r="C479" t="str">
        <f>VLOOKUP($B479,'标准费用表-2024年&amp;2025年优化'!$D:$E,2,0)</f>
        <v>大同正大食品有限公司</v>
      </c>
      <c r="D479" t="s">
        <v>134</v>
      </c>
      <c r="E479" s="36">
        <f t="shared" si="112"/>
        <v>0.19170758971118301</v>
      </c>
      <c r="F479" s="36">
        <f t="shared" ref="F479" si="127">F455</f>
        <v>0.35774910097148299</v>
      </c>
      <c r="G479">
        <v>0.2</v>
      </c>
      <c r="H479">
        <v>0.3</v>
      </c>
      <c r="J479" s="2" t="s">
        <v>69</v>
      </c>
    </row>
    <row r="480" spans="2:10" x14ac:dyDescent="0.3">
      <c r="B480" s="47" t="s">
        <v>154</v>
      </c>
      <c r="C480" t="str">
        <f>VLOOKUP($B480,'标准费用表-2024年&amp;2025年优化'!$D:$E,2,0)</f>
        <v>大同正大食品有限公司</v>
      </c>
      <c r="D480" t="s">
        <v>135</v>
      </c>
      <c r="E480" s="36">
        <f t="shared" si="112"/>
        <v>0.12706624310235501</v>
      </c>
      <c r="F480" s="36">
        <f t="shared" ref="F480" si="128">F456</f>
        <v>0.44479833640898297</v>
      </c>
      <c r="G480">
        <v>0.2</v>
      </c>
      <c r="H480">
        <v>0.3</v>
      </c>
      <c r="J480" s="2" t="s">
        <v>69</v>
      </c>
    </row>
    <row r="481" spans="2:10" x14ac:dyDescent="0.3">
      <c r="B481" s="47" t="s">
        <v>154</v>
      </c>
      <c r="C481" t="str">
        <f>VLOOKUP($B481,'标准费用表-2024年&amp;2025年优化'!$D:$E,2,0)</f>
        <v>大同正大食品有限公司</v>
      </c>
      <c r="D481" t="s">
        <v>136</v>
      </c>
      <c r="E481" s="36">
        <f t="shared" si="112"/>
        <v>2.1938267711600599E-2</v>
      </c>
      <c r="F481" s="36">
        <f t="shared" ref="F481" si="129">F457</f>
        <v>0.38893908740736999</v>
      </c>
      <c r="G481">
        <v>0.2</v>
      </c>
      <c r="H481">
        <v>0.3</v>
      </c>
      <c r="J481" s="2" t="s">
        <v>69</v>
      </c>
    </row>
    <row r="482" spans="2:10" x14ac:dyDescent="0.3">
      <c r="B482" s="47" t="s">
        <v>154</v>
      </c>
      <c r="C482" t="str">
        <f>VLOOKUP($B482,'标准费用表-2024年&amp;2025年优化'!$D:$E,2,0)</f>
        <v>大同正大食品有限公司</v>
      </c>
      <c r="D482" t="s">
        <v>137</v>
      </c>
      <c r="E482" s="36">
        <f t="shared" si="112"/>
        <v>0.114807502786666</v>
      </c>
      <c r="F482" s="36">
        <f t="shared" ref="F482" si="130">F458</f>
        <v>0.28170576505200101</v>
      </c>
      <c r="G482">
        <v>0.2</v>
      </c>
      <c r="H482">
        <v>0.3</v>
      </c>
      <c r="J482" s="2" t="s">
        <v>69</v>
      </c>
    </row>
    <row r="483" spans="2:10" x14ac:dyDescent="0.3">
      <c r="B483" s="47" t="s">
        <v>154</v>
      </c>
      <c r="C483" t="str">
        <f>VLOOKUP($B483,'标准费用表-2024年&amp;2025年优化'!$D:$E,2,0)</f>
        <v>大同正大食品有限公司</v>
      </c>
      <c r="D483" t="s">
        <v>138</v>
      </c>
      <c r="E483" s="36">
        <f t="shared" si="112"/>
        <v>0.10535112085267601</v>
      </c>
      <c r="F483" s="36">
        <f t="shared" ref="F483" si="131">F459</f>
        <v>1.0639914822079499</v>
      </c>
      <c r="G483">
        <v>0.2</v>
      </c>
      <c r="H483">
        <v>0.3</v>
      </c>
      <c r="J483" s="2" t="s">
        <v>69</v>
      </c>
    </row>
    <row r="484" spans="2:10" x14ac:dyDescent="0.3">
      <c r="B484" s="47" t="s">
        <v>154</v>
      </c>
      <c r="C484" t="str">
        <f>VLOOKUP($B484,'标准费用表-2024年&amp;2025年优化'!$D:$E,2,0)</f>
        <v>大同正大食品有限公司</v>
      </c>
      <c r="D484" t="s">
        <v>139</v>
      </c>
      <c r="E484" s="36">
        <f t="shared" si="112"/>
        <v>0.36857205630440698</v>
      </c>
      <c r="F484" s="36">
        <f t="shared" ref="F484" si="132">F460</f>
        <v>0.45761723705507401</v>
      </c>
      <c r="G484">
        <v>0.2</v>
      </c>
      <c r="H484">
        <v>0.3</v>
      </c>
      <c r="J484" s="2" t="s">
        <v>69</v>
      </c>
    </row>
    <row r="485" spans="2:10" x14ac:dyDescent="0.3">
      <c r="B485" s="47" t="s">
        <v>154</v>
      </c>
      <c r="C485" t="str">
        <f>VLOOKUP($B485,'标准费用表-2024年&amp;2025年优化'!$D:$E,2,0)</f>
        <v>大同正大食品有限公司</v>
      </c>
      <c r="D485" t="s">
        <v>140</v>
      </c>
      <c r="E485" s="36">
        <f t="shared" si="112"/>
        <v>0.431697394616055</v>
      </c>
      <c r="F485" s="36">
        <f t="shared" ref="F485" si="133">F461</f>
        <v>0.28917211775517399</v>
      </c>
      <c r="G485">
        <v>0.2</v>
      </c>
      <c r="H485">
        <v>0.3</v>
      </c>
      <c r="J485" s="2" t="s">
        <v>69</v>
      </c>
    </row>
    <row r="486" spans="2:10" x14ac:dyDescent="0.3">
      <c r="B486" s="47" t="s">
        <v>154</v>
      </c>
      <c r="C486" t="str">
        <f>VLOOKUP($B486,'标准费用表-2024年&amp;2025年优化'!$D:$E,2,0)</f>
        <v>大同正大食品有限公司</v>
      </c>
      <c r="D486" t="s">
        <v>141</v>
      </c>
      <c r="E486" s="36">
        <f t="shared" si="112"/>
        <v>0.123440371170114</v>
      </c>
      <c r="F486" s="36">
        <f t="shared" ref="F486" si="134">F462</f>
        <v>0.23976858983945201</v>
      </c>
      <c r="G486">
        <v>0.2</v>
      </c>
      <c r="H486">
        <v>0.3</v>
      </c>
      <c r="J486" s="2" t="s">
        <v>69</v>
      </c>
    </row>
    <row r="487" spans="2:10" x14ac:dyDescent="0.3">
      <c r="B487" s="47" t="s">
        <v>154</v>
      </c>
      <c r="C487" t="str">
        <f>VLOOKUP($B487,'标准费用表-2024年&amp;2025年优化'!$D:$E,2,0)</f>
        <v>大同正大食品有限公司</v>
      </c>
      <c r="D487" t="s">
        <v>142</v>
      </c>
      <c r="E487" s="36">
        <f t="shared" si="112"/>
        <v>3.6726838057971702E-2</v>
      </c>
      <c r="F487" s="36">
        <f t="shared" ref="F487" si="135">F463</f>
        <v>9.5164935749834201E-2</v>
      </c>
      <c r="G487">
        <v>0.2</v>
      </c>
      <c r="H487">
        <v>0.3</v>
      </c>
      <c r="J487" s="2" t="s">
        <v>69</v>
      </c>
    </row>
    <row r="488" spans="2:10" x14ac:dyDescent="0.3">
      <c r="B488" s="47" t="s">
        <v>156</v>
      </c>
      <c r="C488" t="str">
        <f>VLOOKUP($B488,'标准费用表-2024年&amp;2025年优化'!$D:$E,2,0)</f>
        <v>庆阳正大食品有限公司</v>
      </c>
      <c r="D488" t="s">
        <v>41</v>
      </c>
      <c r="E488" s="46">
        <f>IFERROR(VLOOKUP($B488,'标准费用表-2024年&amp;2025年优化'!$D:$K,8,0)*VLOOKUP('5.成本表'!$D488,系数辅助表!$C:$G,5,0)/VLOOKUP($D488,系数辅助表!$C:$E,3,0),0)</f>
        <v>0.48133105671723198</v>
      </c>
      <c r="I488" s="36">
        <f>VLOOKUP($D488,系数辅助表!$C:$F,4,0)</f>
        <v>1.33</v>
      </c>
      <c r="J488" s="2" t="s">
        <v>41</v>
      </c>
    </row>
    <row r="489" spans="2:10" x14ac:dyDescent="0.3">
      <c r="B489" s="47" t="s">
        <v>156</v>
      </c>
      <c r="C489" t="str">
        <f>VLOOKUP($B489,'标准费用表-2024年&amp;2025年优化'!$D:$E,2,0)</f>
        <v>庆阳正大食品有限公司</v>
      </c>
      <c r="D489" t="s">
        <v>44</v>
      </c>
      <c r="E489" s="46">
        <f>IFERROR(VLOOKUP($B489,'标准费用表-2024年&amp;2025年优化'!$D:$K,8,0)*系数辅助表!$J$6*VLOOKUP('5.成本表'!$D489,系数辅助表!$C:$G,5,0)/VLOOKUP($D489,系数辅助表!$C:$E,3,0),0)</f>
        <v>0.27529317077466198</v>
      </c>
      <c r="I489" s="36">
        <f>VLOOKUP($D489,系数辅助表!$C:$F,4,0)</f>
        <v>0.789027855994753</v>
      </c>
      <c r="J489" s="2" t="s">
        <v>200</v>
      </c>
    </row>
    <row r="490" spans="2:10" x14ac:dyDescent="0.3">
      <c r="B490" s="47" t="s">
        <v>156</v>
      </c>
      <c r="C490" t="str">
        <f>VLOOKUP($B490,'标准费用表-2024年&amp;2025年优化'!$D:$E,2,0)</f>
        <v>庆阳正大食品有限公司</v>
      </c>
      <c r="D490" t="s">
        <v>45</v>
      </c>
      <c r="E490" s="46">
        <f>IFERROR(VLOOKUP($B490,'标准费用表-2024年&amp;2025年优化'!$D:$K,8,0)*系数辅助表!$J$6*VLOOKUP('5.成本表'!$D490,系数辅助表!$C:$G,5,0)/VLOOKUP($D490,系数辅助表!$C:$E,3,0),0)</f>
        <v>0.73575502737048104</v>
      </c>
      <c r="I490" s="36">
        <f>VLOOKUP($D490,系数辅助表!$C:$F,4,0)</f>
        <v>2.1087744754070901</v>
      </c>
      <c r="J490" s="2" t="s">
        <v>200</v>
      </c>
    </row>
    <row r="491" spans="2:10" x14ac:dyDescent="0.3">
      <c r="B491" s="47" t="s">
        <v>156</v>
      </c>
      <c r="C491" t="str">
        <f>VLOOKUP($B491,'标准费用表-2024年&amp;2025年优化'!$D:$E,2,0)</f>
        <v>庆阳正大食品有限公司</v>
      </c>
      <c r="D491" t="s">
        <v>46</v>
      </c>
      <c r="E491" s="46">
        <f>IFERROR(VLOOKUP($B491,'标准费用表-2024年&amp;2025年优化'!$D:$K,8,0)*系数辅助表!$J$6*VLOOKUP('5.成本表'!$D491,系数辅助表!$C:$G,5,0)/VLOOKUP($D491,系数辅助表!$C:$E,3,0),0)</f>
        <v>1.36180454702586</v>
      </c>
      <c r="I491" s="36">
        <f>VLOOKUP($D491,系数辅助表!$C:$F,4,0)</f>
        <v>3.9031179705625099</v>
      </c>
      <c r="J491" s="2" t="s">
        <v>200</v>
      </c>
    </row>
    <row r="492" spans="2:10" x14ac:dyDescent="0.3">
      <c r="B492" s="47" t="s">
        <v>156</v>
      </c>
      <c r="C492" t="str">
        <f>VLOOKUP($B492,'标准费用表-2024年&amp;2025年优化'!$D:$E,2,0)</f>
        <v>庆阳正大食品有限公司</v>
      </c>
      <c r="D492" t="s">
        <v>47</v>
      </c>
      <c r="E492" s="46">
        <f>IFERROR(VLOOKUP($B492,'标准费用表-2024年&amp;2025年优化'!$D:$K,8,0)*系数辅助表!$J$6*VLOOKUP('5.成本表'!$D492,系数辅助表!$C:$G,5,0)/VLOOKUP($D492,系数辅助表!$C:$E,3,0),0)</f>
        <v>0.28619016804451602</v>
      </c>
      <c r="I492" s="36">
        <f>VLOOKUP($D492,系数辅助表!$C:$F,4,0)</f>
        <v>0.82026013963048305</v>
      </c>
      <c r="J492" s="2" t="s">
        <v>200</v>
      </c>
    </row>
    <row r="493" spans="2:10" x14ac:dyDescent="0.3">
      <c r="B493" s="47" t="s">
        <v>156</v>
      </c>
      <c r="C493" t="str">
        <f>VLOOKUP($B493,'标准费用表-2024年&amp;2025年优化'!$D:$E,2,0)</f>
        <v>庆阳正大食品有限公司</v>
      </c>
      <c r="D493" t="s">
        <v>48</v>
      </c>
      <c r="E493" s="46">
        <f>IFERROR(VLOOKUP($B493,'标准费用表-2024年&amp;2025年优化'!$D:$K,8,0)*系数辅助表!$J$6*VLOOKUP('5.成本表'!$D493,系数辅助表!$C:$G,5,0)/VLOOKUP($D493,系数辅助表!$C:$E,3,0),0)</f>
        <v>0.126345671047913</v>
      </c>
      <c r="I493" s="36">
        <f>VLOOKUP($D493,系数辅助表!$C:$F,4,0)</f>
        <v>0.36212396283071502</v>
      </c>
      <c r="J493" s="2" t="s">
        <v>200</v>
      </c>
    </row>
    <row r="494" spans="2:10" x14ac:dyDescent="0.3">
      <c r="B494" s="47" t="s">
        <v>156</v>
      </c>
      <c r="C494" t="str">
        <f>VLOOKUP($B494,'标准费用表-2024年&amp;2025年优化'!$D:$E,2,0)</f>
        <v>庆阳正大食品有限公司</v>
      </c>
      <c r="D494" t="s">
        <v>49</v>
      </c>
      <c r="E494" s="46">
        <f>IFERROR(VLOOKUP($B494,'标准费用表-2024年&amp;2025年优化'!$D:$K,8,0)*系数辅助表!$J$6*VLOOKUP('5.成本表'!$D494,系数辅助表!$C:$G,5,0)/VLOOKUP($D494,系数辅助表!$C:$E,3,0),0)</f>
        <v>0.39102308970194699</v>
      </c>
      <c r="I494" s="36">
        <f>VLOOKUP($D494,系数辅助表!$C:$F,4,0)</f>
        <v>1.1207256222295201</v>
      </c>
      <c r="J494" s="2" t="s">
        <v>200</v>
      </c>
    </row>
    <row r="495" spans="2:10" x14ac:dyDescent="0.3">
      <c r="B495" s="47" t="s">
        <v>156</v>
      </c>
      <c r="C495" t="str">
        <f>VLOOKUP($B495,'标准费用表-2024年&amp;2025年优化'!$D:$E,2,0)</f>
        <v>庆阳正大食品有限公司</v>
      </c>
      <c r="D495" t="s">
        <v>50</v>
      </c>
      <c r="E495" s="46">
        <f>IFERROR(VLOOKUP($B495,'标准费用表-2024年&amp;2025年优化'!$D:$K,8,0)*系数辅助表!$J$6*VLOOKUP('5.成本表'!$D495,系数辅助表!$C:$G,5,0)/VLOOKUP($D495,系数辅助表!$C:$E,3,0),0)</f>
        <v>0.64593955314098594</v>
      </c>
      <c r="I495" s="36">
        <f>VLOOKUP($D495,系数辅助表!$C:$F,4,0)</f>
        <v>1.8513510498021799</v>
      </c>
      <c r="J495" s="2" t="s">
        <v>200</v>
      </c>
    </row>
    <row r="496" spans="2:10" x14ac:dyDescent="0.3">
      <c r="B496" s="47" t="s">
        <v>156</v>
      </c>
      <c r="C496" t="str">
        <f>VLOOKUP($B496,'标准费用表-2024年&amp;2025年优化'!$D:$E,2,0)</f>
        <v>庆阳正大食品有限公司</v>
      </c>
      <c r="D496" t="s">
        <v>51</v>
      </c>
      <c r="E496" s="46">
        <f>IFERROR(VLOOKUP($B496,'标准费用表-2024年&amp;2025年优化'!$D:$K,8,0)*系数辅助表!$J$6*VLOOKUP('5.成本表'!$D496,系数辅助表!$C:$G,5,0)/VLOOKUP($D496,系数辅助表!$C:$E,3,0),0)</f>
        <v>0.93702891404075495</v>
      </c>
      <c r="I496" s="36">
        <f>VLOOKUP($D496,系数辅助表!$C:$F,4,0)</f>
        <v>2.68565294580391</v>
      </c>
      <c r="J496" s="2" t="s">
        <v>200</v>
      </c>
    </row>
    <row r="497" spans="2:10" x14ac:dyDescent="0.3">
      <c r="B497" s="47" t="s">
        <v>156</v>
      </c>
      <c r="C497" t="str">
        <f>VLOOKUP($B497,'标准费用表-2024年&amp;2025年优化'!$D:$E,2,0)</f>
        <v>庆阳正大食品有限公司</v>
      </c>
      <c r="D497" t="s">
        <v>52</v>
      </c>
      <c r="E497" s="46">
        <f>IFERROR(VLOOKUP($B497,'标准费用表-2024年&amp;2025年优化'!$D:$K,8,0)*系数辅助表!$J$6*VLOOKUP('5.成本表'!$D497,系数辅助表!$C:$G,5,0)/VLOOKUP($D497,系数辅助表!$C:$E,3,0),0)</f>
        <v>0.54745248159575799</v>
      </c>
      <c r="I497" s="36">
        <f>VLOOKUP($D497,系数辅助表!$C:$F,4,0)</f>
        <v>1.5690736410097099</v>
      </c>
      <c r="J497" s="2" t="s">
        <v>200</v>
      </c>
    </row>
    <row r="498" spans="2:10" x14ac:dyDescent="0.3">
      <c r="B498" s="47" t="s">
        <v>156</v>
      </c>
      <c r="C498" t="str">
        <f>VLOOKUP($B498,'标准费用表-2024年&amp;2025年优化'!$D:$E,2,0)</f>
        <v>庆阳正大食品有限公司</v>
      </c>
      <c r="D498" t="s">
        <v>53</v>
      </c>
      <c r="E498" s="46">
        <f>IFERROR(VLOOKUP($B498,'标准费用表-2024年&amp;2025年优化'!$D:$K,8,0)*系数辅助表!$J$6*VLOOKUP('5.成本表'!$D498,系数辅助表!$C:$G,5,0)/VLOOKUP($D498,系数辅助表!$C:$E,3,0),0)</f>
        <v>0.50275847905869897</v>
      </c>
      <c r="I498" s="36">
        <f>VLOOKUP($D498,系数辅助表!$C:$F,4,0)</f>
        <v>1.44097452072131</v>
      </c>
      <c r="J498" s="2" t="s">
        <v>200</v>
      </c>
    </row>
    <row r="499" spans="2:10" x14ac:dyDescent="0.3">
      <c r="B499" s="47" t="s">
        <v>156</v>
      </c>
      <c r="C499" t="str">
        <f>VLOOKUP($B499,'标准费用表-2024年&amp;2025年优化'!$D:$E,2,0)</f>
        <v>庆阳正大食品有限公司</v>
      </c>
      <c r="D499" t="s">
        <v>54</v>
      </c>
      <c r="E499" s="46">
        <f>IFERROR(VLOOKUP($B499,'标准费用表-2024年&amp;2025年优化'!$D:$K,8,0)*系数辅助表!$J$6*VLOOKUP('5.成本表'!$D499,系数辅助表!$C:$G,5,0)/VLOOKUP($D499,系数辅助表!$C:$E,3,0),0)</f>
        <v>0.64226980988722904</v>
      </c>
      <c r="I499" s="36">
        <f>VLOOKUP($D499,系数辅助表!$C:$F,4,0)</f>
        <v>1.8408330640366199</v>
      </c>
      <c r="J499" s="2" t="s">
        <v>200</v>
      </c>
    </row>
    <row r="500" spans="2:10" x14ac:dyDescent="0.3">
      <c r="B500" s="47" t="s">
        <v>156</v>
      </c>
      <c r="C500" t="str">
        <f>VLOOKUP($B500,'标准费用表-2024年&amp;2025年优化'!$D:$E,2,0)</f>
        <v>庆阳正大食品有限公司</v>
      </c>
      <c r="D500" t="s">
        <v>55</v>
      </c>
      <c r="E500" s="46">
        <f>IFERROR(VLOOKUP($B500,'标准费用表-2024年&amp;2025年优化'!$D:$K,8,0)*系数辅助表!$J$6*VLOOKUP('5.成本表'!$D500,系数辅助表!$C:$G,5,0)/VLOOKUP($D500,系数辅助表!$C:$E,3,0),0)</f>
        <v>1.11709372497796</v>
      </c>
      <c r="I500" s="36">
        <f>VLOOKUP($D500,系数辅助表!$C:$F,4,0)</f>
        <v>3.2017433061789502</v>
      </c>
      <c r="J500" s="2" t="s">
        <v>200</v>
      </c>
    </row>
    <row r="501" spans="2:10" x14ac:dyDescent="0.3">
      <c r="B501" s="47" t="s">
        <v>156</v>
      </c>
      <c r="C501" t="str">
        <f>VLOOKUP($B501,'标准费用表-2024年&amp;2025年优化'!$D:$E,2,0)</f>
        <v>庆阳正大食品有限公司</v>
      </c>
      <c r="D501" t="s">
        <v>56</v>
      </c>
      <c r="E501" s="46">
        <f>IFERROR(VLOOKUP($B501,'标准费用表-2024年&amp;2025年优化'!$D:$K,8,0)*系数辅助表!$J$6*VLOOKUP('5.成本表'!$D501,系数辅助表!$C:$G,5,0)/VLOOKUP($D501,系数辅助表!$C:$E,3,0),0)</f>
        <v>0.19019137268455499</v>
      </c>
      <c r="I501" s="36">
        <f>VLOOKUP($D501,系数辅助表!$C:$F,4,0)</f>
        <v>0.54511447049599404</v>
      </c>
      <c r="J501" s="2" t="s">
        <v>200</v>
      </c>
    </row>
    <row r="502" spans="2:10" x14ac:dyDescent="0.3">
      <c r="B502" s="47" t="s">
        <v>156</v>
      </c>
      <c r="C502" t="str">
        <f>VLOOKUP($B502,'标准费用表-2024年&amp;2025年优化'!$D:$E,2,0)</f>
        <v>庆阳正大食品有限公司</v>
      </c>
      <c r="D502" t="s">
        <v>57</v>
      </c>
      <c r="E502" s="46">
        <f>IFERROR(VLOOKUP($B502,'标准费用表-2024年&amp;2025年优化'!$D:$K,8,0)*系数辅助表!$J$6*VLOOKUP('5.成本表'!$D502,系数辅助表!$C:$G,5,0)/VLOOKUP($D502,系数辅助表!$C:$E,3,0),0)</f>
        <v>4.40344946447076E-2</v>
      </c>
      <c r="I502" s="36">
        <f>VLOOKUP($D502,系数辅助表!$C:$F,4,0)</f>
        <v>0.126208880523832</v>
      </c>
      <c r="J502" s="2" t="s">
        <v>200</v>
      </c>
    </row>
    <row r="503" spans="2:10" x14ac:dyDescent="0.3">
      <c r="B503" s="47" t="s">
        <v>156</v>
      </c>
      <c r="C503" t="str">
        <f>VLOOKUP($B503,'标准费用表-2024年&amp;2025年优化'!$D:$E,2,0)</f>
        <v>庆阳正大食品有限公司</v>
      </c>
      <c r="D503" t="s">
        <v>58</v>
      </c>
      <c r="E503" s="46">
        <f>IFERROR(VLOOKUP($B503,'标准费用表-2024年&amp;2025年优化'!$D:$K,8,0)*系数辅助表!$J$6*VLOOKUP('5.成本表'!$D503,系数辅助表!$C:$G,5,0)/VLOOKUP($D503,系数辅助表!$C:$E,3,0),0)</f>
        <v>0.23624979932158699</v>
      </c>
      <c r="I503" s="36">
        <f>VLOOKUP($D503,系数辅助表!$C:$F,4,0)</f>
        <v>0.67712421675176204</v>
      </c>
      <c r="J503" s="2" t="s">
        <v>200</v>
      </c>
    </row>
    <row r="504" spans="2:10" x14ac:dyDescent="0.3">
      <c r="B504" s="47" t="s">
        <v>156</v>
      </c>
      <c r="C504" t="str">
        <f>VLOOKUP($B504,'标准费用表-2024年&amp;2025年优化'!$D:$E,2,0)</f>
        <v>庆阳正大食品有限公司</v>
      </c>
      <c r="D504" t="s">
        <v>59</v>
      </c>
      <c r="E504" s="46">
        <f>IFERROR(VLOOKUP($B504,'标准费用表-2024年&amp;2025年优化'!$D:$K,8,0)*系数辅助表!$J$6*VLOOKUP('5.成本表'!$D504,系数辅助表!$C:$G,5,0)/VLOOKUP($D504,系数辅助表!$C:$E,3,0),0)</f>
        <v>0.15452682267208401</v>
      </c>
      <c r="I504" s="36">
        <f>VLOOKUP($D504,系数辅助表!$C:$F,4,0)</f>
        <v>0.44289499533730498</v>
      </c>
      <c r="J504" s="2" t="s">
        <v>200</v>
      </c>
    </row>
    <row r="505" spans="2:10" x14ac:dyDescent="0.3">
      <c r="B505" s="47" t="s">
        <v>156</v>
      </c>
      <c r="C505" t="str">
        <f>VLOOKUP($B505,'标准费用表-2024年&amp;2025年优化'!$D:$E,2,0)</f>
        <v>庆阳正大食品有限公司</v>
      </c>
      <c r="D505" t="s">
        <v>60</v>
      </c>
      <c r="E505" s="46">
        <f>IFERROR(VLOOKUP($B505,'标准费用表-2024年&amp;2025年优化'!$D:$K,8,0)*系数辅助表!$J$6*VLOOKUP('5.成本表'!$D505,系数辅助表!$C:$G,5,0)/VLOOKUP($D505,系数辅助表!$C:$E,3,0),0)</f>
        <v>0.102422355030736</v>
      </c>
      <c r="I505" s="36">
        <f>VLOOKUP($D505,系数辅助表!$C:$F,4,0)</f>
        <v>0.29355646915769201</v>
      </c>
      <c r="J505" s="2" t="s">
        <v>200</v>
      </c>
    </row>
    <row r="506" spans="2:10" x14ac:dyDescent="0.3">
      <c r="B506" s="47" t="s">
        <v>156</v>
      </c>
      <c r="C506" t="str">
        <f>VLOOKUP($B506,'标准费用表-2024年&amp;2025年优化'!$D:$E,2,0)</f>
        <v>庆阳正大食品有限公司</v>
      </c>
      <c r="D506" t="s">
        <v>61</v>
      </c>
      <c r="E506" s="46">
        <f>IFERROR(VLOOKUP($B506,'标准费用表-2024年&amp;2025年优化'!$D:$K,8,0)*系数辅助表!$J$6*VLOOKUP('5.成本表'!$D506,系数辅助表!$C:$G,5,0)/VLOOKUP($D506,系数辅助表!$C:$E,3,0),0)</f>
        <v>1.7683445968469502E-2</v>
      </c>
      <c r="I506" s="36">
        <f>VLOOKUP($D506,系数辅助表!$C:$F,4,0)</f>
        <v>5.0683173214352499E-2</v>
      </c>
      <c r="J506" s="2" t="s">
        <v>200</v>
      </c>
    </row>
    <row r="507" spans="2:10" x14ac:dyDescent="0.3">
      <c r="B507" s="47" t="s">
        <v>156</v>
      </c>
      <c r="C507" t="str">
        <f>VLOOKUP($B507,'标准费用表-2024年&amp;2025年优化'!$D:$E,2,0)</f>
        <v>庆阳正大食品有限公司</v>
      </c>
      <c r="D507" t="s">
        <v>62</v>
      </c>
      <c r="E507" s="46">
        <f>IFERROR(VLOOKUP($B507,'标准费用表-2024年&amp;2025年优化'!$D:$K,8,0)*系数辅助表!$J$6*VLOOKUP('5.成本表'!$D507,系数辅助表!$C:$G,5,0)/VLOOKUP($D507,系数辅助表!$C:$E,3,0),0)</f>
        <v>9.2541138570817597E-2</v>
      </c>
      <c r="I507" s="36">
        <f>VLOOKUP($D507,系数辅助表!$C:$F,4,0)</f>
        <v>0.26523555216563399</v>
      </c>
      <c r="J507" s="2" t="s">
        <v>200</v>
      </c>
    </row>
    <row r="508" spans="2:10" x14ac:dyDescent="0.3">
      <c r="B508" s="47" t="s">
        <v>156</v>
      </c>
      <c r="C508" t="str">
        <f>VLOOKUP($B508,'标准费用表-2024年&amp;2025年优化'!$D:$E,2,0)</f>
        <v>庆阳正大食品有限公司</v>
      </c>
      <c r="D508" t="s">
        <v>63</v>
      </c>
      <c r="E508" s="46">
        <f>IFERROR(VLOOKUP($B508,'标准费用表-2024年&amp;2025年优化'!$D:$K,8,0)*系数辅助表!$J$6*VLOOKUP('5.成本表'!$D508,系数辅助表!$C:$G,5,0)/VLOOKUP($D508,系数辅助表!$C:$E,3,0),0)</f>
        <v>8.4918776532701204E-2</v>
      </c>
      <c r="I508" s="36">
        <f>VLOOKUP($D508,系数辅助表!$C:$F,4,0)</f>
        <v>0.24338882069886</v>
      </c>
      <c r="J508" s="2" t="s">
        <v>200</v>
      </c>
    </row>
    <row r="509" spans="2:10" x14ac:dyDescent="0.3">
      <c r="B509" s="47" t="s">
        <v>156</v>
      </c>
      <c r="C509" t="str">
        <f>VLOOKUP($B509,'标准费用表-2024年&amp;2025年优化'!$D:$E,2,0)</f>
        <v>庆阳正大食品有限公司</v>
      </c>
      <c r="D509" t="s">
        <v>64</v>
      </c>
      <c r="E509" s="46">
        <f>IFERROR(VLOOKUP($B509,'标准费用表-2024年&amp;2025年优化'!$D:$K,8,0)*系数辅助表!$J$6*VLOOKUP('5.成本表'!$D509,系数辅助表!$C:$G,5,0)/VLOOKUP($D509,系数辅助表!$C:$E,3,0),0)</f>
        <v>0.29708927472428698</v>
      </c>
      <c r="I509" s="36">
        <f>VLOOKUP($D509,系数辅助表!$C:$F,4,0)</f>
        <v>0.85149846912336002</v>
      </c>
      <c r="J509" s="2" t="s">
        <v>200</v>
      </c>
    </row>
    <row r="510" spans="2:10" x14ac:dyDescent="0.3">
      <c r="B510" s="47" t="s">
        <v>156</v>
      </c>
      <c r="C510" t="str">
        <f>VLOOKUP($B510,'标准费用表-2024年&amp;2025年优化'!$D:$E,2,0)</f>
        <v>庆阳正大食品有限公司</v>
      </c>
      <c r="D510" t="s">
        <v>65</v>
      </c>
      <c r="E510" s="46">
        <f>IFERROR(VLOOKUP($B510,'标准费用表-2024年&amp;2025年优化'!$D:$K,8,0)*系数辅助表!$J$6*VLOOKUP('5.成本表'!$D510,系数辅助表!$C:$G,5,0)/VLOOKUP($D510,系数辅助表!$C:$E,3,0),0)</f>
        <v>0.347971756602522</v>
      </c>
      <c r="I510" s="36">
        <f>VLOOKUP($D510,系数辅助表!$C:$F,4,0)</f>
        <v>0.99733461707829196</v>
      </c>
      <c r="J510" s="2" t="s">
        <v>200</v>
      </c>
    </row>
    <row r="511" spans="2:10" x14ac:dyDescent="0.3">
      <c r="B511" s="47" t="s">
        <v>156</v>
      </c>
      <c r="C511" t="str">
        <f>VLOOKUP($B511,'标准费用表-2024年&amp;2025年优化'!$D:$E,2,0)</f>
        <v>庆阳正大食品有限公司</v>
      </c>
      <c r="D511" t="s">
        <v>66</v>
      </c>
      <c r="E511" s="46">
        <f>IFERROR(VLOOKUP($B511,'标准费用表-2024年&amp;2025年优化'!$D:$K,8,0)*系数辅助表!$J$6*VLOOKUP('5.成本表'!$D511,系数辅助表!$C:$G,5,0)/VLOOKUP($D511,系数辅助表!$C:$E,3,0),0)</f>
        <v>9.9499703559559893E-2</v>
      </c>
      <c r="I511" s="36">
        <f>VLOOKUP($D511,系数辅助表!$C:$F,4,0)</f>
        <v>0.28517975055754302</v>
      </c>
      <c r="J511" s="2" t="s">
        <v>200</v>
      </c>
    </row>
    <row r="512" spans="2:10" x14ac:dyDescent="0.3">
      <c r="B512" s="47" t="s">
        <v>156</v>
      </c>
      <c r="C512" t="str">
        <f>VLOOKUP($B512,'标准费用表-2024年&amp;2025年优化'!$D:$E,2,0)</f>
        <v>庆阳正大食品有限公司</v>
      </c>
      <c r="D512" t="s">
        <v>67</v>
      </c>
      <c r="E512" s="46">
        <f>IFERROR(VLOOKUP($B512,'标准费用表-2024年&amp;2025年优化'!$D:$K,8,0)*系数辅助表!$J$6*VLOOKUP('5.成本表'!$D512,系数辅助表!$C:$G,5,0)/VLOOKUP($D512,系数辅助表!$C:$E,3,0),0)</f>
        <v>2.96038440650193E-2</v>
      </c>
      <c r="I512" s="36">
        <f>VLOOKUP($D512,系数辅助表!$C:$F,4,0)</f>
        <v>8.4848663503333893E-2</v>
      </c>
      <c r="J512" s="2" t="s">
        <v>200</v>
      </c>
    </row>
    <row r="513" spans="2:10" x14ac:dyDescent="0.3">
      <c r="B513" s="47" t="s">
        <v>156</v>
      </c>
      <c r="C513" t="str">
        <f>VLOOKUP($B513,'标准费用表-2024年&amp;2025年优化'!$D:$E,2,0)</f>
        <v>庆阳正大食品有限公司</v>
      </c>
      <c r="D513" t="s">
        <v>68</v>
      </c>
      <c r="E513" s="36">
        <f>IFERROR(VLOOKUP($B513,'标准费用表-2024年&amp;2025年优化'!$D:$K,8,0)*VLOOKUP("白条",系数辅助表!$C:$G,5,0)*VLOOKUP('5.成本表'!$D513,系数辅助表!$C:$G,5,0)/VLOOKUP('5.成本表'!$D513,系数辅助表!$C:$E,3,0),)</f>
        <v>0.72141968059238104</v>
      </c>
      <c r="F513" s="36">
        <f>IFERROR(VLOOKUP($B513,'标准费用表-2024年&amp;2025年优化'!$D:$L,9,0)*VLOOKUP('5.成本表'!$D513,系数辅助表!$C:$G,5,0)/VLOOKUP($D513,系数辅助表!$C:$E,3,0),0)</f>
        <v>0.93408395485170304</v>
      </c>
      <c r="I513" s="36">
        <f>VLOOKUP($D513,系数辅助表!$C:$F,4,0)</f>
        <v>2.2799999999999998</v>
      </c>
      <c r="J513" s="2" t="s">
        <v>69</v>
      </c>
    </row>
    <row r="514" spans="2:10" x14ac:dyDescent="0.3">
      <c r="B514" s="47" t="s">
        <v>156</v>
      </c>
      <c r="C514" t="str">
        <f>VLOOKUP($B514,'标准费用表-2024年&amp;2025年优化'!$D:$E,2,0)</f>
        <v>庆阳正大食品有限公司</v>
      </c>
      <c r="D514" t="s">
        <v>70</v>
      </c>
      <c r="E514" s="36">
        <f>IFERROR(VLOOKUP($B514,'标准费用表-2024年&amp;2025年优化'!$D:$K,8,0)*VLOOKUP("白条",系数辅助表!$C:$G,5,0)*VLOOKUP('5.成本表'!$D514,系数辅助表!$C:$G,5,0)/VLOOKUP('5.成本表'!$D514,系数辅助表!$C:$E,3,0),)</f>
        <v>0.48212455785915398</v>
      </c>
      <c r="F514" s="36">
        <f>IFERROR(VLOOKUP($B514,'标准费用表-2024年&amp;2025年优化'!$D:$L,9,0)*VLOOKUP('5.成本表'!$D514,系数辅助表!$C:$G,5,0)/VLOOKUP($D514,系数辅助表!$C:$E,3,0),0)</f>
        <v>0.62424802906182797</v>
      </c>
      <c r="I514" s="36">
        <f>VLOOKUP($D514,系数辅助表!$C:$F,4,0)</f>
        <v>1.5237233215154999</v>
      </c>
      <c r="J514" s="2" t="s">
        <v>69</v>
      </c>
    </row>
    <row r="515" spans="2:10" x14ac:dyDescent="0.3">
      <c r="B515" s="47" t="s">
        <v>156</v>
      </c>
      <c r="C515" t="str">
        <f>VLOOKUP($B515,'标准费用表-2024年&amp;2025年优化'!$D:$E,2,0)</f>
        <v>庆阳正大食品有限公司</v>
      </c>
      <c r="D515" t="s">
        <v>71</v>
      </c>
      <c r="E515" s="36">
        <f>IFERROR(VLOOKUP($B515,'标准费用表-2024年&amp;2025年优化'!$D:$K,8,0)*VLOOKUP("白条",系数辅助表!$C:$G,5,0)*VLOOKUP('5.成本表'!$D515,系数辅助表!$C:$G,5,0)/VLOOKUP('5.成本表'!$D515,系数辅助表!$C:$E,3,0),)</f>
        <v>1.2759814472401401</v>
      </c>
      <c r="F515" s="36">
        <f>IFERROR(VLOOKUP($B515,'标准费用表-2024年&amp;2025年优化'!$D:$L,9,0)*VLOOKUP('5.成本表'!$D515,系数辅助表!$C:$G,5,0)/VLOOKUP($D515,系数辅助表!$C:$E,3,0),0)</f>
        <v>1.65212265290127</v>
      </c>
      <c r="I515" s="36">
        <f>VLOOKUP($D515,系数辅助表!$C:$F,4,0)</f>
        <v>4.0326564106466396</v>
      </c>
      <c r="J515" s="2" t="s">
        <v>69</v>
      </c>
    </row>
    <row r="516" spans="2:10" x14ac:dyDescent="0.3">
      <c r="B516" s="47" t="s">
        <v>156</v>
      </c>
      <c r="C516" t="str">
        <f>VLOOKUP($B516,'标准费用表-2024年&amp;2025年优化'!$D:$E,2,0)</f>
        <v>庆阳正大食品有限公司</v>
      </c>
      <c r="D516" t="s">
        <v>72</v>
      </c>
      <c r="E516" s="36">
        <f>IFERROR(VLOOKUP($B516,'标准费用表-2024年&amp;2025年优化'!$D:$K,8,0)*VLOOKUP("白条",系数辅助表!$C:$G,5,0)*VLOOKUP('5.成本表'!$D516,系数辅助表!$C:$G,5,0)/VLOOKUP('5.成本表'!$D516,系数辅助表!$C:$E,3,0),)</f>
        <v>0.74311921686555005</v>
      </c>
      <c r="F516" s="36">
        <f>IFERROR(VLOOKUP($B516,'标准费用表-2024年&amp;2025年优化'!$D:$L,9,0)*VLOOKUP('5.成本表'!$D516,系数辅助表!$C:$G,5,0)/VLOOKUP($D516,系数辅助表!$C:$E,3,0),0)</f>
        <v>0.96218020618192202</v>
      </c>
      <c r="I516" s="36">
        <f>VLOOKUP($D516,系数辅助表!$C:$F,4,0)</f>
        <v>2.34857997367385</v>
      </c>
      <c r="J516" s="2" t="s">
        <v>69</v>
      </c>
    </row>
    <row r="517" spans="2:10" x14ac:dyDescent="0.3">
      <c r="B517" s="47" t="s">
        <v>156</v>
      </c>
      <c r="C517" t="str">
        <f>VLOOKUP($B517,'标准费用表-2024年&amp;2025年优化'!$D:$E,2,0)</f>
        <v>庆阳正大食品有限公司</v>
      </c>
      <c r="D517" t="s">
        <v>73</v>
      </c>
      <c r="E517" s="36">
        <f>IFERROR(VLOOKUP($B517,'标准费用表-2024年&amp;2025年优化'!$D:$K,8,0)*VLOOKUP("白条",系数辅助表!$C:$G,5,0)*VLOOKUP('5.成本表'!$D517,系数辅助表!$C:$G,5,0)/VLOOKUP('5.成本表'!$D517,系数辅助表!$C:$E,3,0),)</f>
        <v>0.44641859145204299</v>
      </c>
      <c r="F517" s="36">
        <f>IFERROR(VLOOKUP($B517,'标准费用表-2024年&amp;2025年优化'!$D:$L,9,0)*VLOOKUP('5.成本表'!$D517,系数辅助表!$C:$G,5,0)/VLOOKUP($D517,系数辅助表!$C:$E,3,0),0)</f>
        <v>0.57801645095188603</v>
      </c>
      <c r="I517" s="36">
        <f>VLOOKUP($D517,系数辅助表!$C:$F,4,0)</f>
        <v>1.41087693598112</v>
      </c>
      <c r="J517" s="2" t="s">
        <v>69</v>
      </c>
    </row>
    <row r="518" spans="2:10" x14ac:dyDescent="0.3">
      <c r="B518" s="47" t="s">
        <v>156</v>
      </c>
      <c r="C518" t="str">
        <f>VLOOKUP($B518,'标准费用表-2024年&amp;2025年优化'!$D:$E,2,0)</f>
        <v>庆阳正大食品有限公司</v>
      </c>
      <c r="D518" t="s">
        <v>74</v>
      </c>
      <c r="E518" s="36">
        <f>IFERROR(VLOOKUP($B518,'标准费用表-2024年&amp;2025年优化'!$D:$K,8,0)*VLOOKUP("白条",系数辅助表!$C:$G,5,0)*VLOOKUP('5.成本表'!$D518,系数辅助表!$C:$G,5,0)/VLOOKUP('5.成本表'!$D518,系数辅助表!$C:$E,3,0),)</f>
        <v>0.602797496351964</v>
      </c>
      <c r="F518" s="36">
        <f>IFERROR(VLOOKUP($B518,'标准费用表-2024年&amp;2025年优化'!$D:$L,9,0)*VLOOKUP('5.成本表'!$D518,系数辅助表!$C:$G,5,0)/VLOOKUP($D518,系数辅助表!$C:$E,3,0),0)</f>
        <v>0.78049363569454899</v>
      </c>
      <c r="I518" s="36">
        <f>VLOOKUP($D518,系数辅助表!$C:$F,4,0)</f>
        <v>1.9051022985038799</v>
      </c>
      <c r="J518" s="2" t="s">
        <v>69</v>
      </c>
    </row>
    <row r="519" spans="2:10" x14ac:dyDescent="0.3">
      <c r="B519" s="47" t="s">
        <v>156</v>
      </c>
      <c r="C519" t="str">
        <f>VLOOKUP($B519,'标准费用表-2024年&amp;2025年优化'!$D:$E,2,0)</f>
        <v>庆阳正大食品有限公司</v>
      </c>
      <c r="D519" t="s">
        <v>75</v>
      </c>
      <c r="E519" s="36">
        <f>IFERROR(VLOOKUP($B519,'标准费用表-2024年&amp;2025年优化'!$D:$K,8,0)*VLOOKUP("白条",系数辅助表!$C:$G,5,0)*VLOOKUP('5.成本表'!$D519,系数辅助表!$C:$G,5,0)/VLOOKUP('5.成本表'!$D519,系数辅助表!$C:$E,3,0),)</f>
        <v>0.45136695960435802</v>
      </c>
      <c r="F519" s="36">
        <f>IFERROR(VLOOKUP($B519,'标准费用表-2024年&amp;2025年优化'!$D:$L,9,0)*VLOOKUP('5.成本表'!$D519,系数辅助表!$C:$G,5,0)/VLOOKUP($D519,系数辅助表!$C:$E,3,0),0)</f>
        <v>0.584423527745218</v>
      </c>
      <c r="I519" s="36">
        <f>VLOOKUP($D519,系数辅助表!$C:$F,4,0)</f>
        <v>1.42651593182611</v>
      </c>
      <c r="J519" s="2" t="s">
        <v>69</v>
      </c>
    </row>
    <row r="520" spans="2:10" x14ac:dyDescent="0.3">
      <c r="B520" s="47" t="s">
        <v>156</v>
      </c>
      <c r="C520" t="str">
        <f>VLOOKUP($B520,'标准费用表-2024年&amp;2025年优化'!$D:$E,2,0)</f>
        <v>庆阳正大食品有限公司</v>
      </c>
      <c r="D520" t="s">
        <v>76</v>
      </c>
      <c r="E520" s="36">
        <f>IFERROR(VLOOKUP($B520,'标准费用表-2024年&amp;2025年优化'!$D:$K,8,0)*VLOOKUP("白条",系数辅助表!$C:$G,5,0)*VLOOKUP('5.成本表'!$D520,系数辅助表!$C:$G,5,0)/VLOOKUP('5.成本表'!$D520,系数辅助表!$C:$E,3,0),)</f>
        <v>0.45993117913068798</v>
      </c>
      <c r="F520" s="36">
        <f>IFERROR(VLOOKUP($B520,'标准费用表-2024年&amp;2025年优化'!$D:$L,9,0)*VLOOKUP('5.成本表'!$D520,系数辅助表!$C:$G,5,0)/VLOOKUP($D520,系数辅助表!$C:$E,3,0),0)</f>
        <v>0.595512357535395</v>
      </c>
      <c r="I520" s="36">
        <f>VLOOKUP($D520,系数辅助表!$C:$F,4,0)</f>
        <v>1.4535825908670701</v>
      </c>
      <c r="J520" s="2" t="s">
        <v>69</v>
      </c>
    </row>
    <row r="521" spans="2:10" x14ac:dyDescent="0.3">
      <c r="B521" s="47" t="s">
        <v>156</v>
      </c>
      <c r="C521" t="str">
        <f>VLOOKUP($B521,'标准费用表-2024年&amp;2025年优化'!$D:$E,2,0)</f>
        <v>庆阳正大食品有限公司</v>
      </c>
      <c r="D521" t="s">
        <v>77</v>
      </c>
      <c r="E521" s="36">
        <f>IFERROR(VLOOKUP($B521,'标准费用表-2024年&amp;2025年优化'!$D:$K,8,0)*VLOOKUP("白条",系数辅助表!$C:$G,5,0)*VLOOKUP('5.成本表'!$D521,系数辅助表!$C:$G,5,0)/VLOOKUP('5.成本表'!$D521,系数辅助表!$C:$E,3,0),)</f>
        <v>0.455961960414904</v>
      </c>
      <c r="F521" s="36">
        <f>IFERROR(VLOOKUP($B521,'标准费用表-2024年&amp;2025年优化'!$D:$L,9,0)*VLOOKUP('5.成本表'!$D521,系数辅助表!$C:$G,5,0)/VLOOKUP($D521,系数辅助表!$C:$E,3,0),0)</f>
        <v>0.59037306952391899</v>
      </c>
      <c r="I521" s="36">
        <f>VLOOKUP($D521,系数辅助表!$C:$F,4,0)</f>
        <v>1.4410381331603499</v>
      </c>
      <c r="J521" s="2" t="s">
        <v>69</v>
      </c>
    </row>
    <row r="522" spans="2:10" x14ac:dyDescent="0.3">
      <c r="B522" s="47" t="s">
        <v>156</v>
      </c>
      <c r="C522" t="str">
        <f>VLOOKUP($B522,'标准费用表-2024年&amp;2025年优化'!$D:$E,2,0)</f>
        <v>庆阳正大食品有限公司</v>
      </c>
      <c r="D522" t="s">
        <v>78</v>
      </c>
      <c r="E522" s="36">
        <f>IFERROR(VLOOKUP($B522,'标准费用表-2024年&amp;2025年优化'!$D:$K,8,0)*VLOOKUP("白条",系数辅助表!$C:$G,5,0)*VLOOKUP('5.成本表'!$D522,系数辅助表!$C:$G,5,0)/VLOOKUP('5.成本表'!$D522,系数辅助表!$C:$E,3,0),)</f>
        <v>0.39103244763832001</v>
      </c>
      <c r="F522" s="36">
        <f>IFERROR(VLOOKUP($B522,'标准费用表-2024年&amp;2025年优化'!$D:$L,9,0)*VLOOKUP('5.成本表'!$D522,系数辅助表!$C:$G,5,0)/VLOOKUP($D522,系数辅助表!$C:$E,3,0),0)</f>
        <v>0.50630325868767401</v>
      </c>
      <c r="I522" s="36">
        <f>VLOOKUP($D522,系数辅助表!$C:$F,4,0)</f>
        <v>1.2358326291892801</v>
      </c>
      <c r="J522" s="2" t="s">
        <v>69</v>
      </c>
    </row>
    <row r="523" spans="2:10" x14ac:dyDescent="0.3">
      <c r="B523" s="47" t="s">
        <v>156</v>
      </c>
      <c r="C523" t="str">
        <f>VLOOKUP($B523,'标准费用表-2024年&amp;2025年优化'!$D:$E,2,0)</f>
        <v>庆阳正大食品有限公司</v>
      </c>
      <c r="D523" t="s">
        <v>79</v>
      </c>
      <c r="E523" s="36">
        <f>IFERROR(VLOOKUP($B523,'标准费用表-2024年&amp;2025年优化'!$D:$K,8,0)*VLOOKUP("白条",系数辅助表!$C:$G,5,0)*VLOOKUP('5.成本表'!$D523,系数辅助表!$C:$G,5,0)/VLOOKUP('5.成本表'!$D523,系数辅助表!$C:$E,3,0),)</f>
        <v>0.27313234485441301</v>
      </c>
      <c r="F523" s="36">
        <f>IFERROR(VLOOKUP($B523,'标准费用表-2024年&amp;2025年优化'!$D:$L,9,0)*VLOOKUP('5.成本表'!$D523,系数辅助表!$C:$G,5,0)/VLOOKUP($D523,系数辅助表!$C:$E,3,0),0)</f>
        <v>0.35364788034342998</v>
      </c>
      <c r="I523" s="36">
        <f>VLOOKUP($D523,系数辅助表!$C:$F,4,0)</f>
        <v>0.86321701919291904</v>
      </c>
      <c r="J523" s="2" t="s">
        <v>69</v>
      </c>
    </row>
    <row r="524" spans="2:10" x14ac:dyDescent="0.3">
      <c r="B524" s="47" t="s">
        <v>156</v>
      </c>
      <c r="C524" t="str">
        <f>VLOOKUP($B524,'标准费用表-2024年&amp;2025年优化'!$D:$E,2,0)</f>
        <v>庆阳正大食品有限公司</v>
      </c>
      <c r="D524" t="s">
        <v>80</v>
      </c>
      <c r="E524" s="36">
        <f>IFERROR(VLOOKUP($B524,'标准费用表-2024年&amp;2025年优化'!$D:$K,8,0)*VLOOKUP("白条",系数辅助表!$C:$G,5,0)*VLOOKUP('5.成本表'!$D524,系数辅助表!$C:$G,5,0)/VLOOKUP('5.成本表'!$D524,系数辅助表!$C:$E,3,0),)</f>
        <v>0.25214058548006901</v>
      </c>
      <c r="F524" s="36">
        <f>IFERROR(VLOOKUP($B524,'标准费用表-2024年&amp;2025年优化'!$D:$L,9,0)*VLOOKUP('5.成本表'!$D524,系数辅助表!$C:$G,5,0)/VLOOKUP($D524,系数辅助表!$C:$E,3,0),0)</f>
        <v>0.32646804848802202</v>
      </c>
      <c r="I524" s="36">
        <f>VLOOKUP($D524,系数辅助表!$C:$F,4,0)</f>
        <v>0.796873928394225</v>
      </c>
      <c r="J524" s="2" t="s">
        <v>69</v>
      </c>
    </row>
    <row r="525" spans="2:10" x14ac:dyDescent="0.3">
      <c r="B525" s="47" t="s">
        <v>156</v>
      </c>
      <c r="C525" t="str">
        <f>VLOOKUP($B525,'标准费用表-2024年&amp;2025年优化'!$D:$E,2,0)</f>
        <v>庆阳正大食品有限公司</v>
      </c>
      <c r="D525" t="s">
        <v>81</v>
      </c>
      <c r="E525" s="36">
        <f>IFERROR(VLOOKUP($B525,'标准费用表-2024年&amp;2025年优化'!$D:$K,8,0)*VLOOKUP("白条",系数辅助表!$C:$G,5,0)*VLOOKUP('5.成本表'!$D525,系数辅助表!$C:$G,5,0)/VLOOKUP('5.成本表'!$D525,系数辅助表!$C:$E,3,0),)</f>
        <v>0.34767641602717198</v>
      </c>
      <c r="F525" s="36">
        <f>IFERROR(VLOOKUP($B525,'标准费用表-2024年&amp;2025年优化'!$D:$L,9,0)*VLOOKUP('5.成本表'!$D525,系数辅助表!$C:$G,5,0)/VLOOKUP($D525,系数辅助表!$C:$E,3,0),0)</f>
        <v>0.450166484818736</v>
      </c>
      <c r="I525" s="36">
        <f>VLOOKUP($D525,系数辅助表!$C:$F,4,0)</f>
        <v>1.09880870991909</v>
      </c>
      <c r="J525" s="2" t="s">
        <v>69</v>
      </c>
    </row>
    <row r="526" spans="2:10" x14ac:dyDescent="0.3">
      <c r="B526" s="47" t="s">
        <v>156</v>
      </c>
      <c r="C526" t="str">
        <f>VLOOKUP($B526,'标准费用表-2024年&amp;2025年优化'!$D:$E,2,0)</f>
        <v>庆阳正大食品有限公司</v>
      </c>
      <c r="D526" t="s">
        <v>82</v>
      </c>
      <c r="E526" s="36">
        <f>IFERROR(VLOOKUP($B526,'标准费用表-2024年&amp;2025年优化'!$D:$K,8,0)*VLOOKUP("白条",系数辅助表!$C:$G,5,0)*VLOOKUP('5.成本表'!$D526,系数辅助表!$C:$G,5,0)/VLOOKUP('5.成本表'!$D526,系数辅助表!$C:$E,3,0),)</f>
        <v>0.31678274524133998</v>
      </c>
      <c r="F526" s="36">
        <f>IFERROR(VLOOKUP($B526,'标准费用表-2024年&amp;2025年优化'!$D:$L,9,0)*VLOOKUP('5.成本表'!$D526,系数辅助表!$C:$G,5,0)/VLOOKUP($D526,系数辅助表!$C:$E,3,0),0)</f>
        <v>0.41016579872181502</v>
      </c>
      <c r="I526" s="36">
        <f>VLOOKUP($D526,系数辅助表!$C:$F,4,0)</f>
        <v>1.0011712718416299</v>
      </c>
      <c r="J526" s="2" t="s">
        <v>69</v>
      </c>
    </row>
    <row r="527" spans="2:10" x14ac:dyDescent="0.3">
      <c r="B527" s="47" t="s">
        <v>156</v>
      </c>
      <c r="C527" t="str">
        <f>VLOOKUP($B527,'标准费用表-2024年&amp;2025年优化'!$D:$E,2,0)</f>
        <v>庆阳正大食品有限公司</v>
      </c>
      <c r="D527" t="s">
        <v>83</v>
      </c>
      <c r="E527" s="36">
        <f>IFERROR(VLOOKUP($B527,'标准费用表-2024年&amp;2025年优化'!$D:$K,8,0)*VLOOKUP("白条",系数辅助表!$C:$G,5,0)*VLOOKUP('5.成本表'!$D527,系数辅助表!$C:$G,5,0)/VLOOKUP('5.成本表'!$D527,系数辅助表!$C:$E,3,0),)</f>
        <v>0.284882546250116</v>
      </c>
      <c r="F527" s="36">
        <f>IFERROR(VLOOKUP($B527,'标准费用表-2024年&amp;2025年优化'!$D:$L,9,0)*VLOOKUP('5.成本表'!$D527,系数辅助表!$C:$G,5,0)/VLOOKUP($D527,系数辅助表!$C:$E,3,0),0)</f>
        <v>0.36886187420202499</v>
      </c>
      <c r="I527" s="36">
        <f>VLOOKUP($D527,系数辅助表!$C:$F,4,0)</f>
        <v>0.90035276680685095</v>
      </c>
      <c r="J527" s="2" t="s">
        <v>69</v>
      </c>
    </row>
    <row r="528" spans="2:10" x14ac:dyDescent="0.3">
      <c r="B528" s="47" t="s">
        <v>156</v>
      </c>
      <c r="C528" t="str">
        <f>VLOOKUP($B528,'标准费用表-2024年&amp;2025年优化'!$D:$E,2,0)</f>
        <v>庆阳正大食品有限公司</v>
      </c>
      <c r="D528" t="s">
        <v>84</v>
      </c>
      <c r="E528" s="36">
        <f>IFERROR(VLOOKUP($B528,'标准费用表-2024年&amp;2025年优化'!$D:$K,8,0)*VLOOKUP("白条",系数辅助表!$C:$G,5,0)*VLOOKUP('5.成本表'!$D528,系数辅助表!$C:$G,5,0)/VLOOKUP('5.成本表'!$D528,系数辅助表!$C:$E,3,0),)</f>
        <v>0.286140817958626</v>
      </c>
      <c r="F528" s="36">
        <f>IFERROR(VLOOKUP($B528,'标准费用表-2024年&amp;2025年优化'!$D:$L,9,0)*VLOOKUP('5.成本表'!$D528,系数辅助表!$C:$G,5,0)/VLOOKUP($D528,系数辅助表!$C:$E,3,0),0)</f>
        <v>0.37049106653677999</v>
      </c>
      <c r="I528" s="36">
        <f>VLOOKUP($D528,系数辅助表!$C:$F,4,0)</f>
        <v>0.90432945273957599</v>
      </c>
      <c r="J528" s="2" t="s">
        <v>69</v>
      </c>
    </row>
    <row r="529" spans="2:10" x14ac:dyDescent="0.3">
      <c r="B529" s="47" t="s">
        <v>156</v>
      </c>
      <c r="C529" t="str">
        <f>VLOOKUP($B529,'标准费用表-2024年&amp;2025年优化'!$D:$E,2,0)</f>
        <v>庆阳正大食品有限公司</v>
      </c>
      <c r="D529" t="s">
        <v>85</v>
      </c>
      <c r="E529" s="36">
        <f>IFERROR(VLOOKUP($B529,'标准费用表-2024年&amp;2025年优化'!$D:$K,8,0)*VLOOKUP("白条",系数辅助表!$C:$G,5,0)*VLOOKUP('5.成本表'!$D529,系数辅助表!$C:$G,5,0)/VLOOKUP('5.成本表'!$D529,系数辅助表!$C:$E,3,0),)</f>
        <v>0.35576598085384997</v>
      </c>
      <c r="F529" s="36">
        <f>IFERROR(VLOOKUP($B529,'标准费用表-2024年&amp;2025年优化'!$D:$L,9,0)*VLOOKUP('5.成本表'!$D529,系数辅助表!$C:$G,5,0)/VLOOKUP($D529,系数辅助表!$C:$E,3,0),0)</f>
        <v>0.460640738446149</v>
      </c>
      <c r="I529" s="36">
        <f>VLOOKUP($D529,系数辅助表!$C:$F,4,0)</f>
        <v>1.12437525363977</v>
      </c>
      <c r="J529" s="2" t="s">
        <v>69</v>
      </c>
    </row>
    <row r="530" spans="2:10" x14ac:dyDescent="0.3">
      <c r="B530" s="47" t="s">
        <v>156</v>
      </c>
      <c r="C530" t="str">
        <f>VLOOKUP($B530,'标准费用表-2024年&amp;2025年优化'!$D:$E,2,0)</f>
        <v>庆阳正大食品有限公司</v>
      </c>
      <c r="D530" t="s">
        <v>86</v>
      </c>
      <c r="E530" s="36">
        <f>IFERROR(VLOOKUP($B530,'标准费用表-2024年&amp;2025年优化'!$D:$K,8,0)*VLOOKUP("白条",系数辅助表!$C:$G,5,0)*VLOOKUP('5.成本表'!$D530,系数辅助表!$C:$G,5,0)/VLOOKUP('5.成本表'!$D530,系数辅助表!$C:$E,3,0),)</f>
        <v>0.31108771008678998</v>
      </c>
      <c r="F530" s="36">
        <f>IFERROR(VLOOKUP($B530,'标准费用表-2024年&amp;2025年优化'!$D:$L,9,0)*VLOOKUP('5.成本表'!$D530,系数辅助表!$C:$G,5,0)/VLOOKUP($D530,系数辅助表!$C:$E,3,0),0)</f>
        <v>0.40279194810020003</v>
      </c>
      <c r="I530" s="36">
        <f>VLOOKUP($D530,系数辅助表!$C:$F,4,0)</f>
        <v>0.98317248347795105</v>
      </c>
      <c r="J530" s="2" t="s">
        <v>69</v>
      </c>
    </row>
    <row r="531" spans="2:10" x14ac:dyDescent="0.3">
      <c r="B531" s="47" t="s">
        <v>156</v>
      </c>
      <c r="C531" t="str">
        <f>VLOOKUP($B531,'标准费用表-2024年&amp;2025年优化'!$D:$E,2,0)</f>
        <v>庆阳正大食品有限公司</v>
      </c>
      <c r="D531" t="s">
        <v>87</v>
      </c>
      <c r="E531" s="36">
        <f>IFERROR(VLOOKUP($B531,'标准费用表-2024年&amp;2025年优化'!$D:$K,8,0)*VLOOKUP("白条",系数辅助表!$C:$G,5,0)*VLOOKUP('5.成本表'!$D531,系数辅助表!$C:$G,5,0)/VLOOKUP('5.成本表'!$D531,系数辅助表!$C:$E,3,0),)</f>
        <v>0.225318576110316</v>
      </c>
      <c r="F531" s="36">
        <f>IFERROR(VLOOKUP($B531,'标准费用表-2024年&amp;2025年优化'!$D:$L,9,0)*VLOOKUP('5.成本表'!$D531,系数辅助表!$C:$G,5,0)/VLOOKUP($D531,系数辅助表!$C:$E,3,0),0)</f>
        <v>0.29173929175574698</v>
      </c>
      <c r="I531" s="36">
        <f>VLOOKUP($D531,系数辅助表!$C:$F,4,0)</f>
        <v>0.71210471151782795</v>
      </c>
      <c r="J531" s="2" t="s">
        <v>69</v>
      </c>
    </row>
    <row r="532" spans="2:10" x14ac:dyDescent="0.3">
      <c r="B532" s="47" t="s">
        <v>156</v>
      </c>
      <c r="C532" t="str">
        <f>VLOOKUP($B532,'标准费用表-2024年&amp;2025年优化'!$D:$E,2,0)</f>
        <v>庆阳正大食品有限公司</v>
      </c>
      <c r="D532" t="s">
        <v>88</v>
      </c>
      <c r="E532" s="36">
        <f>IFERROR(VLOOKUP($B532,'标准费用表-2024年&amp;2025年优化'!$D:$K,8,0)*VLOOKUP("白条",系数辅助表!$C:$G,5,0)*VLOOKUP('5.成本表'!$D532,系数辅助表!$C:$G,5,0)/VLOOKUP('5.成本表'!$D532,系数辅助表!$C:$E,3,0),)</f>
        <v>0.85101930988293695</v>
      </c>
      <c r="F532" s="36">
        <f>IFERROR(VLOOKUP($B532,'标准费用表-2024年&amp;2025年优化'!$D:$L,9,0)*VLOOKUP('5.成本表'!$D532,系数辅助表!$C:$G,5,0)/VLOOKUP($D532,系数辅助表!$C:$E,3,0),0)</f>
        <v>1.1018877139280201</v>
      </c>
      <c r="I532" s="36">
        <f>VLOOKUP($D532,系数辅助表!$C:$F,4,0)</f>
        <v>2.6895912029178799</v>
      </c>
      <c r="J532" s="2" t="s">
        <v>69</v>
      </c>
    </row>
    <row r="533" spans="2:10" x14ac:dyDescent="0.3">
      <c r="B533" s="47" t="s">
        <v>156</v>
      </c>
      <c r="C533" t="str">
        <f>VLOOKUP($B533,'标准费用表-2024年&amp;2025年优化'!$D:$E,2,0)</f>
        <v>庆阳正大食品有限公司</v>
      </c>
      <c r="D533" t="s">
        <v>89</v>
      </c>
      <c r="E533" s="36">
        <f>IFERROR(VLOOKUP($B533,'标准费用表-2024年&amp;2025年优化'!$D:$K,8,0)*VLOOKUP("白条",系数辅助表!$C:$G,5,0)*VLOOKUP('5.成本表'!$D533,系数辅助表!$C:$G,5,0)/VLOOKUP('5.成本表'!$D533,系数辅助表!$C:$E,3,0),)</f>
        <v>0.366019006525311</v>
      </c>
      <c r="F533" s="36">
        <f>IFERROR(VLOOKUP($B533,'标准费用表-2024年&amp;2025年优化'!$D:$L,9,0)*VLOOKUP('5.成本表'!$D533,系数辅助表!$C:$G,5,0)/VLOOKUP($D533,系数辅助表!$C:$E,3,0),0)</f>
        <v>0.47391621044398902</v>
      </c>
      <c r="I533" s="36">
        <f>VLOOKUP($D533,系数辅助表!$C:$F,4,0)</f>
        <v>1.1567792747107399</v>
      </c>
      <c r="J533" s="2" t="s">
        <v>69</v>
      </c>
    </row>
    <row r="534" spans="2:10" x14ac:dyDescent="0.3">
      <c r="B534" s="47" t="s">
        <v>156</v>
      </c>
      <c r="C534" t="str">
        <f>VLOOKUP($B534,'标准费用表-2024年&amp;2025年优化'!$D:$E,2,0)</f>
        <v>庆阳正大食品有限公司</v>
      </c>
      <c r="D534" t="s">
        <v>90</v>
      </c>
      <c r="E534" s="36">
        <f>IFERROR(VLOOKUP($B534,'标准费用表-2024年&amp;2025年优化'!$D:$K,8,0)*VLOOKUP("白条",系数辅助表!$C:$G,5,0)*VLOOKUP('5.成本表'!$D534,系数辅助表!$C:$G,5,0)/VLOOKUP('5.成本表'!$D534,系数辅助表!$C:$E,3,0),)</f>
        <v>0.23129043813275599</v>
      </c>
      <c r="F534" s="36">
        <f>IFERROR(VLOOKUP($B534,'标准费用表-2024年&amp;2025年优化'!$D:$L,9,0)*VLOOKUP('5.成本表'!$D534,系数辅助表!$C:$G,5,0)/VLOOKUP($D534,系数辅助表!$C:$E,3,0),0)</f>
        <v>0.29947157387365198</v>
      </c>
      <c r="I534" s="36">
        <f>VLOOKUP($D534,系数辅助表!$C:$F,4,0)</f>
        <v>0.73097839320056501</v>
      </c>
      <c r="J534" s="2" t="s">
        <v>69</v>
      </c>
    </row>
    <row r="535" spans="2:10" x14ac:dyDescent="0.3">
      <c r="B535" s="47" t="s">
        <v>156</v>
      </c>
      <c r="C535" t="str">
        <f>VLOOKUP($B535,'标准费用表-2024年&amp;2025年优化'!$D:$E,2,0)</f>
        <v>庆阳正大食品有限公司</v>
      </c>
      <c r="D535" t="s">
        <v>91</v>
      </c>
      <c r="E535" s="36">
        <f>IFERROR(VLOOKUP($B535,'标准费用表-2024年&amp;2025年优化'!$D:$K,8,0)*VLOOKUP("白条",系数辅助表!$C:$G,5,0)*VLOOKUP('5.成本表'!$D535,系数辅助表!$C:$G,5,0)/VLOOKUP('5.成本表'!$D535,系数辅助表!$C:$E,3,0),)</f>
        <v>0.19177568925020499</v>
      </c>
      <c r="F535" s="36">
        <f>IFERROR(VLOOKUP($B535,'标准费用表-2024年&amp;2025年优化'!$D:$L,9,0)*VLOOKUP('5.成本表'!$D535,系数辅助表!$C:$G,5,0)/VLOOKUP($D535,系数辅助表!$C:$E,3,0),0)</f>
        <v>0.248308438317276</v>
      </c>
      <c r="I535" s="36">
        <f>VLOOKUP($D535,系数辅助表!$C:$F,4,0)</f>
        <v>0.60609459826688905</v>
      </c>
      <c r="J535" s="2" t="s">
        <v>69</v>
      </c>
    </row>
    <row r="536" spans="2:10" x14ac:dyDescent="0.3">
      <c r="B536" s="47" t="s">
        <v>156</v>
      </c>
      <c r="C536" t="str">
        <f>VLOOKUP($B536,'标准费用表-2024年&amp;2025年优化'!$D:$E,2,0)</f>
        <v>庆阳正大食品有限公司</v>
      </c>
      <c r="D536" t="s">
        <v>92</v>
      </c>
      <c r="E536" s="36">
        <f>IFERROR(VLOOKUP($B536,'标准费用表-2024年&amp;2025年优化'!$D:$K,8,0)*VLOOKUP("白条",系数辅助表!$C:$G,5,0)*VLOOKUP('5.成本表'!$D536,系数辅助表!$C:$G,5,0)/VLOOKUP('5.成本表'!$D536,系数辅助表!$C:$E,3,0),)</f>
        <v>7.61163968895852E-2</v>
      </c>
      <c r="F536" s="36">
        <f>IFERROR(VLOOKUP($B536,'标准费用表-2024年&amp;2025年优化'!$D:$L,9,0)*VLOOKUP('5.成本表'!$D536,系数辅助表!$C:$G,5,0)/VLOOKUP($D536,系数辅助表!$C:$E,3,0),0)</f>
        <v>9.8554429478973707E-2</v>
      </c>
      <c r="I536" s="36">
        <f>VLOOKUP($D536,系数辅助表!$C:$F,4,0)</f>
        <v>0.24056092393508099</v>
      </c>
      <c r="J536" s="2" t="s">
        <v>69</v>
      </c>
    </row>
    <row r="537" spans="2:10" x14ac:dyDescent="0.3">
      <c r="B537" s="47" t="s">
        <v>156</v>
      </c>
      <c r="C537" t="str">
        <f>VLOOKUP($B537,'标准费用表-2024年&amp;2025年优化'!$D:$E,2,0)</f>
        <v>庆阳正大食品有限公司</v>
      </c>
      <c r="D537" t="s">
        <v>93</v>
      </c>
      <c r="E537" s="36">
        <f>E513</f>
        <v>0.72141968059238104</v>
      </c>
      <c r="F537" s="36">
        <f>F513</f>
        <v>0.93408395485170304</v>
      </c>
      <c r="G537">
        <v>0.2</v>
      </c>
      <c r="H537">
        <v>0.3</v>
      </c>
      <c r="J537" s="2" t="s">
        <v>69</v>
      </c>
    </row>
    <row r="538" spans="2:10" x14ac:dyDescent="0.3">
      <c r="B538" s="47" t="s">
        <v>156</v>
      </c>
      <c r="C538" t="str">
        <f>VLOOKUP($B538,'标准费用表-2024年&amp;2025年优化'!$D:$E,2,0)</f>
        <v>庆阳正大食品有限公司</v>
      </c>
      <c r="D538" t="s">
        <v>96</v>
      </c>
      <c r="E538" s="36">
        <f t="shared" ref="E538:F538" si="136">E514</f>
        <v>0.48212455785915398</v>
      </c>
      <c r="F538" s="36">
        <f t="shared" si="136"/>
        <v>0.62424802906182797</v>
      </c>
      <c r="G538">
        <v>0.2</v>
      </c>
      <c r="H538">
        <v>0.3</v>
      </c>
      <c r="J538" s="2" t="s">
        <v>69</v>
      </c>
    </row>
    <row r="539" spans="2:10" x14ac:dyDescent="0.3">
      <c r="B539" s="47" t="s">
        <v>156</v>
      </c>
      <c r="C539" t="str">
        <f>VLOOKUP($B539,'标准费用表-2024年&amp;2025年优化'!$D:$E,2,0)</f>
        <v>庆阳正大食品有限公司</v>
      </c>
      <c r="D539" t="s">
        <v>97</v>
      </c>
      <c r="E539" s="36">
        <f t="shared" ref="E539:F539" si="137">E515</f>
        <v>1.2759814472401401</v>
      </c>
      <c r="F539" s="36">
        <f t="shared" si="137"/>
        <v>1.65212265290127</v>
      </c>
      <c r="G539">
        <v>0.2</v>
      </c>
      <c r="H539">
        <v>0.3</v>
      </c>
      <c r="J539" s="2" t="s">
        <v>69</v>
      </c>
    </row>
    <row r="540" spans="2:10" x14ac:dyDescent="0.3">
      <c r="B540" s="47" t="s">
        <v>156</v>
      </c>
      <c r="C540" t="str">
        <f>VLOOKUP($B540,'标准费用表-2024年&amp;2025年优化'!$D:$E,2,0)</f>
        <v>庆阳正大食品有限公司</v>
      </c>
      <c r="D540" t="s">
        <v>98</v>
      </c>
      <c r="E540" s="36">
        <f t="shared" ref="E540:F540" si="138">E516</f>
        <v>0.74311921686555005</v>
      </c>
      <c r="F540" s="36">
        <f t="shared" si="138"/>
        <v>0.96218020618192202</v>
      </c>
      <c r="G540">
        <v>0.2</v>
      </c>
      <c r="H540">
        <v>0.3</v>
      </c>
      <c r="J540" s="2" t="s">
        <v>69</v>
      </c>
    </row>
    <row r="541" spans="2:10" x14ac:dyDescent="0.3">
      <c r="B541" s="47" t="s">
        <v>156</v>
      </c>
      <c r="C541" t="str">
        <f>VLOOKUP($B541,'标准费用表-2024年&amp;2025年优化'!$D:$E,2,0)</f>
        <v>庆阳正大食品有限公司</v>
      </c>
      <c r="D541" t="s">
        <v>99</v>
      </c>
      <c r="E541" s="36">
        <f t="shared" ref="E541:F541" si="139">E517</f>
        <v>0.44641859145204299</v>
      </c>
      <c r="F541" s="36">
        <f t="shared" si="139"/>
        <v>0.57801645095188603</v>
      </c>
      <c r="G541">
        <v>0.2</v>
      </c>
      <c r="H541">
        <v>0.3</v>
      </c>
      <c r="J541" s="2" t="s">
        <v>69</v>
      </c>
    </row>
    <row r="542" spans="2:10" x14ac:dyDescent="0.3">
      <c r="B542" s="47" t="s">
        <v>156</v>
      </c>
      <c r="C542" t="str">
        <f>VLOOKUP($B542,'标准费用表-2024年&amp;2025年优化'!$D:$E,2,0)</f>
        <v>庆阳正大食品有限公司</v>
      </c>
      <c r="D542" t="s">
        <v>100</v>
      </c>
      <c r="E542" s="36">
        <f t="shared" ref="E542:F542" si="140">E518</f>
        <v>0.602797496351964</v>
      </c>
      <c r="F542" s="36">
        <f t="shared" si="140"/>
        <v>0.78049363569454899</v>
      </c>
      <c r="G542">
        <v>0.2</v>
      </c>
      <c r="H542">
        <v>0.3</v>
      </c>
      <c r="J542" s="2" t="s">
        <v>69</v>
      </c>
    </row>
    <row r="543" spans="2:10" x14ac:dyDescent="0.3">
      <c r="B543" s="47" t="s">
        <v>156</v>
      </c>
      <c r="C543" t="str">
        <f>VLOOKUP($B543,'标准费用表-2024年&amp;2025年优化'!$D:$E,2,0)</f>
        <v>庆阳正大食品有限公司</v>
      </c>
      <c r="D543" t="s">
        <v>101</v>
      </c>
      <c r="E543" s="36">
        <f t="shared" ref="E543:F543" si="141">E519</f>
        <v>0.45136695960435802</v>
      </c>
      <c r="F543" s="36">
        <f t="shared" si="141"/>
        <v>0.584423527745218</v>
      </c>
      <c r="G543">
        <v>0.2</v>
      </c>
      <c r="H543">
        <v>0.3</v>
      </c>
      <c r="J543" s="2" t="s">
        <v>69</v>
      </c>
    </row>
    <row r="544" spans="2:10" x14ac:dyDescent="0.3">
      <c r="B544" s="47" t="s">
        <v>156</v>
      </c>
      <c r="C544" t="str">
        <f>VLOOKUP($B544,'标准费用表-2024年&amp;2025年优化'!$D:$E,2,0)</f>
        <v>庆阳正大食品有限公司</v>
      </c>
      <c r="D544" t="s">
        <v>102</v>
      </c>
      <c r="E544" s="36">
        <f t="shared" ref="E544:F544" si="142">E520</f>
        <v>0.45993117913068798</v>
      </c>
      <c r="F544" s="36">
        <f t="shared" si="142"/>
        <v>0.595512357535395</v>
      </c>
      <c r="G544">
        <v>0.2</v>
      </c>
      <c r="H544">
        <v>0.3</v>
      </c>
      <c r="J544" s="2" t="s">
        <v>69</v>
      </c>
    </row>
    <row r="545" spans="2:10" x14ac:dyDescent="0.3">
      <c r="B545" s="47" t="s">
        <v>156</v>
      </c>
      <c r="C545" t="str">
        <f>VLOOKUP($B545,'标准费用表-2024年&amp;2025年优化'!$D:$E,2,0)</f>
        <v>庆阳正大食品有限公司</v>
      </c>
      <c r="D545" t="s">
        <v>103</v>
      </c>
      <c r="E545" s="36">
        <f t="shared" ref="E545:F545" si="143">E521</f>
        <v>0.455961960414904</v>
      </c>
      <c r="F545" s="36">
        <f t="shared" si="143"/>
        <v>0.59037306952391899</v>
      </c>
      <c r="G545">
        <v>0.2</v>
      </c>
      <c r="H545">
        <v>0.3</v>
      </c>
      <c r="J545" s="2" t="s">
        <v>69</v>
      </c>
    </row>
    <row r="546" spans="2:10" x14ac:dyDescent="0.3">
      <c r="B546" s="47" t="s">
        <v>156</v>
      </c>
      <c r="C546" t="str">
        <f>VLOOKUP($B546,'标准费用表-2024年&amp;2025年优化'!$D:$E,2,0)</f>
        <v>庆阳正大食品有限公司</v>
      </c>
      <c r="D546" t="s">
        <v>104</v>
      </c>
      <c r="E546" s="36">
        <f t="shared" ref="E546:F546" si="144">E522</f>
        <v>0.39103244763832001</v>
      </c>
      <c r="F546" s="36">
        <f t="shared" si="144"/>
        <v>0.50630325868767401</v>
      </c>
      <c r="G546">
        <v>0.2</v>
      </c>
      <c r="H546">
        <v>0.3</v>
      </c>
      <c r="J546" s="2" t="s">
        <v>69</v>
      </c>
    </row>
    <row r="547" spans="2:10" x14ac:dyDescent="0.3">
      <c r="B547" s="47" t="s">
        <v>156</v>
      </c>
      <c r="C547" t="str">
        <f>VLOOKUP($B547,'标准费用表-2024年&amp;2025年优化'!$D:$E,2,0)</f>
        <v>庆阳正大食品有限公司</v>
      </c>
      <c r="D547" t="s">
        <v>105</v>
      </c>
      <c r="E547" s="36">
        <f t="shared" ref="E547:F547" si="145">E523</f>
        <v>0.27313234485441301</v>
      </c>
      <c r="F547" s="36">
        <f t="shared" si="145"/>
        <v>0.35364788034342998</v>
      </c>
      <c r="G547">
        <v>0.2</v>
      </c>
      <c r="H547">
        <v>0.3</v>
      </c>
      <c r="J547" s="2" t="s">
        <v>69</v>
      </c>
    </row>
    <row r="548" spans="2:10" x14ac:dyDescent="0.3">
      <c r="B548" s="47" t="s">
        <v>156</v>
      </c>
      <c r="C548" t="str">
        <f>VLOOKUP($B548,'标准费用表-2024年&amp;2025年优化'!$D:$E,2,0)</f>
        <v>庆阳正大食品有限公司</v>
      </c>
      <c r="D548" t="s">
        <v>106</v>
      </c>
      <c r="E548" s="36">
        <f t="shared" ref="E548:F548" si="146">E524</f>
        <v>0.25214058548006901</v>
      </c>
      <c r="F548" s="36">
        <f t="shared" si="146"/>
        <v>0.32646804848802202</v>
      </c>
      <c r="G548">
        <v>0.2</v>
      </c>
      <c r="H548">
        <v>0.3</v>
      </c>
      <c r="J548" s="2" t="s">
        <v>69</v>
      </c>
    </row>
    <row r="549" spans="2:10" x14ac:dyDescent="0.3">
      <c r="B549" s="47" t="s">
        <v>156</v>
      </c>
      <c r="C549" t="str">
        <f>VLOOKUP($B549,'标准费用表-2024年&amp;2025年优化'!$D:$E,2,0)</f>
        <v>庆阳正大食品有限公司</v>
      </c>
      <c r="D549" t="s">
        <v>107</v>
      </c>
      <c r="E549" s="36">
        <f t="shared" ref="E549:F549" si="147">E525</f>
        <v>0.34767641602717198</v>
      </c>
      <c r="F549" s="36">
        <f t="shared" si="147"/>
        <v>0.450166484818736</v>
      </c>
      <c r="G549">
        <v>0.2</v>
      </c>
      <c r="H549">
        <v>0.3</v>
      </c>
      <c r="J549" s="2" t="s">
        <v>69</v>
      </c>
    </row>
    <row r="550" spans="2:10" x14ac:dyDescent="0.3">
      <c r="B550" s="47" t="s">
        <v>156</v>
      </c>
      <c r="C550" t="str">
        <f>VLOOKUP($B550,'标准费用表-2024年&amp;2025年优化'!$D:$E,2,0)</f>
        <v>庆阳正大食品有限公司</v>
      </c>
      <c r="D550" t="s">
        <v>108</v>
      </c>
      <c r="E550" s="36">
        <f t="shared" ref="E550:F550" si="148">E526</f>
        <v>0.31678274524133998</v>
      </c>
      <c r="F550" s="36">
        <f t="shared" si="148"/>
        <v>0.41016579872181502</v>
      </c>
      <c r="G550">
        <v>0.2</v>
      </c>
      <c r="H550">
        <v>0.3</v>
      </c>
      <c r="J550" s="2" t="s">
        <v>69</v>
      </c>
    </row>
    <row r="551" spans="2:10" x14ac:dyDescent="0.3">
      <c r="B551" s="47" t="s">
        <v>156</v>
      </c>
      <c r="C551" t="str">
        <f>VLOOKUP($B551,'标准费用表-2024年&amp;2025年优化'!$D:$E,2,0)</f>
        <v>庆阳正大食品有限公司</v>
      </c>
      <c r="D551" t="s">
        <v>109</v>
      </c>
      <c r="E551" s="36">
        <f t="shared" ref="E551:F551" si="149">E527</f>
        <v>0.284882546250116</v>
      </c>
      <c r="F551" s="36">
        <f t="shared" si="149"/>
        <v>0.36886187420202499</v>
      </c>
      <c r="G551">
        <v>0.2</v>
      </c>
      <c r="H551">
        <v>0.3</v>
      </c>
      <c r="J551" s="2" t="s">
        <v>69</v>
      </c>
    </row>
    <row r="552" spans="2:10" x14ac:dyDescent="0.3">
      <c r="B552" s="47" t="s">
        <v>156</v>
      </c>
      <c r="C552" t="str">
        <f>VLOOKUP($B552,'标准费用表-2024年&amp;2025年优化'!$D:$E,2,0)</f>
        <v>庆阳正大食品有限公司</v>
      </c>
      <c r="D552" t="s">
        <v>110</v>
      </c>
      <c r="E552" s="36">
        <f t="shared" ref="E552:F552" si="150">E528</f>
        <v>0.286140817958626</v>
      </c>
      <c r="F552" s="36">
        <f t="shared" si="150"/>
        <v>0.37049106653677999</v>
      </c>
      <c r="G552">
        <v>0.2</v>
      </c>
      <c r="H552">
        <v>0.3</v>
      </c>
      <c r="J552" s="2" t="s">
        <v>69</v>
      </c>
    </row>
    <row r="553" spans="2:10" x14ac:dyDescent="0.3">
      <c r="B553" s="47" t="s">
        <v>156</v>
      </c>
      <c r="C553" t="str">
        <f>VLOOKUP($B553,'标准费用表-2024年&amp;2025年优化'!$D:$E,2,0)</f>
        <v>庆阳正大食品有限公司</v>
      </c>
      <c r="D553" t="s">
        <v>111</v>
      </c>
      <c r="E553" s="36">
        <f t="shared" ref="E553:F553" si="151">E529</f>
        <v>0.35576598085384997</v>
      </c>
      <c r="F553" s="36">
        <f t="shared" si="151"/>
        <v>0.460640738446149</v>
      </c>
      <c r="G553">
        <v>0.2</v>
      </c>
      <c r="H553">
        <v>0.3</v>
      </c>
      <c r="J553" s="2" t="s">
        <v>69</v>
      </c>
    </row>
    <row r="554" spans="2:10" x14ac:dyDescent="0.3">
      <c r="B554" s="47" t="s">
        <v>156</v>
      </c>
      <c r="C554" t="str">
        <f>VLOOKUP($B554,'标准费用表-2024年&amp;2025年优化'!$D:$E,2,0)</f>
        <v>庆阳正大食品有限公司</v>
      </c>
      <c r="D554" t="s">
        <v>112</v>
      </c>
      <c r="E554" s="36">
        <f t="shared" ref="E554:F554" si="152">E530</f>
        <v>0.31108771008678998</v>
      </c>
      <c r="F554" s="36">
        <f t="shared" si="152"/>
        <v>0.40279194810020003</v>
      </c>
      <c r="G554">
        <v>0.2</v>
      </c>
      <c r="H554">
        <v>0.3</v>
      </c>
      <c r="J554" s="2" t="s">
        <v>69</v>
      </c>
    </row>
    <row r="555" spans="2:10" x14ac:dyDescent="0.3">
      <c r="B555" s="47" t="s">
        <v>156</v>
      </c>
      <c r="C555" t="str">
        <f>VLOOKUP($B555,'标准费用表-2024年&amp;2025年优化'!$D:$E,2,0)</f>
        <v>庆阳正大食品有限公司</v>
      </c>
      <c r="D555" t="s">
        <v>113</v>
      </c>
      <c r="E555" s="36">
        <f t="shared" ref="E555:F555" si="153">E531</f>
        <v>0.225318576110316</v>
      </c>
      <c r="F555" s="36">
        <f t="shared" si="153"/>
        <v>0.29173929175574698</v>
      </c>
      <c r="G555">
        <v>0.2</v>
      </c>
      <c r="H555">
        <v>0.3</v>
      </c>
      <c r="J555" s="2" t="s">
        <v>69</v>
      </c>
    </row>
    <row r="556" spans="2:10" x14ac:dyDescent="0.3">
      <c r="B556" s="47" t="s">
        <v>156</v>
      </c>
      <c r="C556" t="str">
        <f>VLOOKUP($B556,'标准费用表-2024年&amp;2025年优化'!$D:$E,2,0)</f>
        <v>庆阳正大食品有限公司</v>
      </c>
      <c r="D556" t="s">
        <v>114</v>
      </c>
      <c r="E556" s="36">
        <f t="shared" ref="E556:F556" si="154">E532</f>
        <v>0.85101930988293695</v>
      </c>
      <c r="F556" s="36">
        <f t="shared" si="154"/>
        <v>1.1018877139280201</v>
      </c>
      <c r="G556">
        <v>0.2</v>
      </c>
      <c r="H556">
        <v>0.3</v>
      </c>
      <c r="J556" s="2" t="s">
        <v>69</v>
      </c>
    </row>
    <row r="557" spans="2:10" x14ac:dyDescent="0.3">
      <c r="B557" s="47" t="s">
        <v>156</v>
      </c>
      <c r="C557" t="str">
        <f>VLOOKUP($B557,'标准费用表-2024年&amp;2025年优化'!$D:$E,2,0)</f>
        <v>庆阳正大食品有限公司</v>
      </c>
      <c r="D557" t="s">
        <v>115</v>
      </c>
      <c r="E557" s="36">
        <f t="shared" ref="E557:F557" si="155">E533</f>
        <v>0.366019006525311</v>
      </c>
      <c r="F557" s="36">
        <f t="shared" si="155"/>
        <v>0.47391621044398902</v>
      </c>
      <c r="G557">
        <v>0.2</v>
      </c>
      <c r="H557">
        <v>0.3</v>
      </c>
      <c r="J557" s="2" t="s">
        <v>69</v>
      </c>
    </row>
    <row r="558" spans="2:10" x14ac:dyDescent="0.3">
      <c r="B558" s="47" t="s">
        <v>156</v>
      </c>
      <c r="C558" t="str">
        <f>VLOOKUP($B558,'标准费用表-2024年&amp;2025年优化'!$D:$E,2,0)</f>
        <v>庆阳正大食品有限公司</v>
      </c>
      <c r="D558" t="s">
        <v>116</v>
      </c>
      <c r="E558" s="36">
        <f t="shared" ref="E558:F558" si="156">E534</f>
        <v>0.23129043813275599</v>
      </c>
      <c r="F558" s="36">
        <f t="shared" si="156"/>
        <v>0.29947157387365198</v>
      </c>
      <c r="G558">
        <v>0.2</v>
      </c>
      <c r="H558">
        <v>0.3</v>
      </c>
      <c r="J558" s="2" t="s">
        <v>69</v>
      </c>
    </row>
    <row r="559" spans="2:10" x14ac:dyDescent="0.3">
      <c r="B559" s="47" t="s">
        <v>156</v>
      </c>
      <c r="C559" t="str">
        <f>VLOOKUP($B559,'标准费用表-2024年&amp;2025年优化'!$D:$E,2,0)</f>
        <v>庆阳正大食品有限公司</v>
      </c>
      <c r="D559" t="s">
        <v>117</v>
      </c>
      <c r="E559" s="36">
        <f t="shared" ref="E559:F559" si="157">E535</f>
        <v>0.19177568925020499</v>
      </c>
      <c r="F559" s="36">
        <f t="shared" si="157"/>
        <v>0.248308438317276</v>
      </c>
      <c r="G559">
        <v>0.2</v>
      </c>
      <c r="H559">
        <v>0.3</v>
      </c>
      <c r="J559" s="2" t="s">
        <v>69</v>
      </c>
    </row>
    <row r="560" spans="2:10" x14ac:dyDescent="0.3">
      <c r="B560" s="47" t="s">
        <v>156</v>
      </c>
      <c r="C560" t="str">
        <f>VLOOKUP($B560,'标准费用表-2024年&amp;2025年优化'!$D:$E,2,0)</f>
        <v>庆阳正大食品有限公司</v>
      </c>
      <c r="D560" t="s">
        <v>118</v>
      </c>
      <c r="E560" s="36">
        <f t="shared" ref="E560:F560" si="158">E536</f>
        <v>7.61163968895852E-2</v>
      </c>
      <c r="F560" s="36">
        <f t="shared" si="158"/>
        <v>9.8554429478973707E-2</v>
      </c>
      <c r="G560">
        <v>0.2</v>
      </c>
      <c r="H560">
        <v>0.3</v>
      </c>
      <c r="J560" s="2" t="s">
        <v>69</v>
      </c>
    </row>
    <row r="561" spans="2:10" x14ac:dyDescent="0.3">
      <c r="B561" s="47" t="s">
        <v>156</v>
      </c>
      <c r="C561" t="str">
        <f>VLOOKUP($B561,'标准费用表-2024年&amp;2025年优化'!$D:$E,2,0)</f>
        <v>庆阳正大食品有限公司</v>
      </c>
      <c r="D561" t="s">
        <v>119</v>
      </c>
      <c r="E561" s="36">
        <f>E489</f>
        <v>0.27529317077466198</v>
      </c>
      <c r="F561" s="36">
        <f t="shared" ref="F561" si="159">F537</f>
        <v>0.93408395485170304</v>
      </c>
      <c r="G561">
        <v>0.2</v>
      </c>
      <c r="H561">
        <v>0.3</v>
      </c>
      <c r="J561" s="2" t="s">
        <v>69</v>
      </c>
    </row>
    <row r="562" spans="2:10" x14ac:dyDescent="0.3">
      <c r="B562" s="47" t="s">
        <v>156</v>
      </c>
      <c r="C562" t="str">
        <f>VLOOKUP($B562,'标准费用表-2024年&amp;2025年优化'!$D:$E,2,0)</f>
        <v>庆阳正大食品有限公司</v>
      </c>
      <c r="D562" t="s">
        <v>120</v>
      </c>
      <c r="E562" s="36">
        <f t="shared" ref="E562:E584" si="160">E490</f>
        <v>0.73575502737048104</v>
      </c>
      <c r="F562" s="36">
        <f t="shared" ref="F562" si="161">F538</f>
        <v>0.62424802906182797</v>
      </c>
      <c r="G562">
        <v>0.2</v>
      </c>
      <c r="H562">
        <v>0.3</v>
      </c>
      <c r="J562" s="2" t="s">
        <v>69</v>
      </c>
    </row>
    <row r="563" spans="2:10" x14ac:dyDescent="0.3">
      <c r="B563" s="47" t="s">
        <v>156</v>
      </c>
      <c r="C563" t="str">
        <f>VLOOKUP($B563,'标准费用表-2024年&amp;2025年优化'!$D:$E,2,0)</f>
        <v>庆阳正大食品有限公司</v>
      </c>
      <c r="D563" t="s">
        <v>121</v>
      </c>
      <c r="E563" s="36">
        <f t="shared" si="160"/>
        <v>1.36180454702586</v>
      </c>
      <c r="F563" s="36">
        <f t="shared" ref="F563" si="162">F539</f>
        <v>1.65212265290127</v>
      </c>
      <c r="G563">
        <v>0.2</v>
      </c>
      <c r="H563">
        <v>0.3</v>
      </c>
      <c r="J563" s="2" t="s">
        <v>69</v>
      </c>
    </row>
    <row r="564" spans="2:10" x14ac:dyDescent="0.3">
      <c r="B564" s="47" t="s">
        <v>156</v>
      </c>
      <c r="C564" t="str">
        <f>VLOOKUP($B564,'标准费用表-2024年&amp;2025年优化'!$D:$E,2,0)</f>
        <v>庆阳正大食品有限公司</v>
      </c>
      <c r="D564" t="s">
        <v>122</v>
      </c>
      <c r="E564" s="36">
        <f t="shared" si="160"/>
        <v>0.28619016804451602</v>
      </c>
      <c r="F564" s="36">
        <f t="shared" ref="F564" si="163">F540</f>
        <v>0.96218020618192202</v>
      </c>
      <c r="G564">
        <v>0.2</v>
      </c>
      <c r="H564">
        <v>0.3</v>
      </c>
      <c r="J564" s="2" t="s">
        <v>69</v>
      </c>
    </row>
    <row r="565" spans="2:10" x14ac:dyDescent="0.3">
      <c r="B565" s="47" t="s">
        <v>156</v>
      </c>
      <c r="C565" t="str">
        <f>VLOOKUP($B565,'标准费用表-2024年&amp;2025年优化'!$D:$E,2,0)</f>
        <v>庆阳正大食品有限公司</v>
      </c>
      <c r="D565" t="s">
        <v>123</v>
      </c>
      <c r="E565" s="36">
        <f t="shared" si="160"/>
        <v>0.126345671047913</v>
      </c>
      <c r="F565" s="36">
        <f t="shared" ref="F565" si="164">F541</f>
        <v>0.57801645095188603</v>
      </c>
      <c r="G565">
        <v>0.2</v>
      </c>
      <c r="H565">
        <v>0.3</v>
      </c>
      <c r="J565" s="2" t="s">
        <v>69</v>
      </c>
    </row>
    <row r="566" spans="2:10" x14ac:dyDescent="0.3">
      <c r="B566" s="47" t="s">
        <v>156</v>
      </c>
      <c r="C566" t="str">
        <f>VLOOKUP($B566,'标准费用表-2024年&amp;2025年优化'!$D:$E,2,0)</f>
        <v>庆阳正大食品有限公司</v>
      </c>
      <c r="D566" t="s">
        <v>124</v>
      </c>
      <c r="E566" s="36">
        <f t="shared" si="160"/>
        <v>0.39102308970194699</v>
      </c>
      <c r="F566" s="36">
        <f t="shared" ref="F566" si="165">F542</f>
        <v>0.78049363569454899</v>
      </c>
      <c r="G566">
        <v>0.2</v>
      </c>
      <c r="H566">
        <v>0.3</v>
      </c>
      <c r="J566" s="2" t="s">
        <v>69</v>
      </c>
    </row>
    <row r="567" spans="2:10" x14ac:dyDescent="0.3">
      <c r="B567" s="47" t="s">
        <v>156</v>
      </c>
      <c r="C567" t="str">
        <f>VLOOKUP($B567,'标准费用表-2024年&amp;2025年优化'!$D:$E,2,0)</f>
        <v>庆阳正大食品有限公司</v>
      </c>
      <c r="D567" t="s">
        <v>125</v>
      </c>
      <c r="E567" s="36">
        <f t="shared" si="160"/>
        <v>0.64593955314098594</v>
      </c>
      <c r="F567" s="36">
        <f t="shared" ref="F567" si="166">F543</f>
        <v>0.584423527745218</v>
      </c>
      <c r="G567">
        <v>0.2</v>
      </c>
      <c r="H567">
        <v>0.3</v>
      </c>
      <c r="J567" s="2" t="s">
        <v>69</v>
      </c>
    </row>
    <row r="568" spans="2:10" x14ac:dyDescent="0.3">
      <c r="B568" s="47" t="s">
        <v>156</v>
      </c>
      <c r="C568" t="str">
        <f>VLOOKUP($B568,'标准费用表-2024年&amp;2025年优化'!$D:$E,2,0)</f>
        <v>庆阳正大食品有限公司</v>
      </c>
      <c r="D568" t="s">
        <v>126</v>
      </c>
      <c r="E568" s="36">
        <f t="shared" si="160"/>
        <v>0.93702891404075495</v>
      </c>
      <c r="F568" s="36">
        <f t="shared" ref="F568" si="167">F544</f>
        <v>0.595512357535395</v>
      </c>
      <c r="G568">
        <v>0.2</v>
      </c>
      <c r="H568">
        <v>0.3</v>
      </c>
      <c r="J568" s="2" t="s">
        <v>69</v>
      </c>
    </row>
    <row r="569" spans="2:10" x14ac:dyDescent="0.3">
      <c r="B569" s="47" t="s">
        <v>156</v>
      </c>
      <c r="C569" t="str">
        <f>VLOOKUP($B569,'标准费用表-2024年&amp;2025年优化'!$D:$E,2,0)</f>
        <v>庆阳正大食品有限公司</v>
      </c>
      <c r="D569" t="s">
        <v>127</v>
      </c>
      <c r="E569" s="36">
        <f t="shared" si="160"/>
        <v>0.54745248159575799</v>
      </c>
      <c r="F569" s="36">
        <f t="shared" ref="F569" si="168">F545</f>
        <v>0.59037306952391899</v>
      </c>
      <c r="G569">
        <v>0.2</v>
      </c>
      <c r="H569">
        <v>0.3</v>
      </c>
      <c r="J569" s="2" t="s">
        <v>69</v>
      </c>
    </row>
    <row r="570" spans="2:10" x14ac:dyDescent="0.3">
      <c r="B570" s="47" t="s">
        <v>156</v>
      </c>
      <c r="C570" t="str">
        <f>VLOOKUP($B570,'标准费用表-2024年&amp;2025年优化'!$D:$E,2,0)</f>
        <v>庆阳正大食品有限公司</v>
      </c>
      <c r="D570" t="s">
        <v>128</v>
      </c>
      <c r="E570" s="36">
        <f t="shared" si="160"/>
        <v>0.50275847905869897</v>
      </c>
      <c r="F570" s="36">
        <f t="shared" ref="F570" si="169">F546</f>
        <v>0.50630325868767401</v>
      </c>
      <c r="G570">
        <v>0.2</v>
      </c>
      <c r="H570">
        <v>0.3</v>
      </c>
      <c r="J570" s="2" t="s">
        <v>69</v>
      </c>
    </row>
    <row r="571" spans="2:10" x14ac:dyDescent="0.3">
      <c r="B571" s="47" t="s">
        <v>156</v>
      </c>
      <c r="C571" t="str">
        <f>VLOOKUP($B571,'标准费用表-2024年&amp;2025年优化'!$D:$E,2,0)</f>
        <v>庆阳正大食品有限公司</v>
      </c>
      <c r="D571" t="s">
        <v>129</v>
      </c>
      <c r="E571" s="36">
        <f t="shared" si="160"/>
        <v>0.64226980988722904</v>
      </c>
      <c r="F571" s="36">
        <f t="shared" ref="F571" si="170">F547</f>
        <v>0.35364788034342998</v>
      </c>
      <c r="G571">
        <v>0.2</v>
      </c>
      <c r="H571">
        <v>0.3</v>
      </c>
      <c r="J571" s="2" t="s">
        <v>69</v>
      </c>
    </row>
    <row r="572" spans="2:10" x14ac:dyDescent="0.3">
      <c r="B572" s="47" t="s">
        <v>156</v>
      </c>
      <c r="C572" t="str">
        <f>VLOOKUP($B572,'标准费用表-2024年&amp;2025年优化'!$D:$E,2,0)</f>
        <v>庆阳正大食品有限公司</v>
      </c>
      <c r="D572" t="s">
        <v>130</v>
      </c>
      <c r="E572" s="36">
        <f t="shared" si="160"/>
        <v>1.11709372497796</v>
      </c>
      <c r="F572" s="36">
        <f t="shared" ref="F572" si="171">F548</f>
        <v>0.32646804848802202</v>
      </c>
      <c r="G572">
        <v>0.2</v>
      </c>
      <c r="H572">
        <v>0.3</v>
      </c>
      <c r="J572" s="2" t="s">
        <v>69</v>
      </c>
    </row>
    <row r="573" spans="2:10" x14ac:dyDescent="0.3">
      <c r="B573" s="47" t="s">
        <v>156</v>
      </c>
      <c r="C573" t="str">
        <f>VLOOKUP($B573,'标准费用表-2024年&amp;2025年优化'!$D:$E,2,0)</f>
        <v>庆阳正大食品有限公司</v>
      </c>
      <c r="D573" t="s">
        <v>131</v>
      </c>
      <c r="E573" s="36">
        <f t="shared" si="160"/>
        <v>0.19019137268455499</v>
      </c>
      <c r="F573" s="36">
        <f t="shared" ref="F573" si="172">F549</f>
        <v>0.450166484818736</v>
      </c>
      <c r="G573">
        <v>0.2</v>
      </c>
      <c r="H573">
        <v>0.3</v>
      </c>
      <c r="J573" s="2" t="s">
        <v>69</v>
      </c>
    </row>
    <row r="574" spans="2:10" x14ac:dyDescent="0.3">
      <c r="B574" s="47" t="s">
        <v>156</v>
      </c>
      <c r="C574" t="str">
        <f>VLOOKUP($B574,'标准费用表-2024年&amp;2025年优化'!$D:$E,2,0)</f>
        <v>庆阳正大食品有限公司</v>
      </c>
      <c r="D574" t="s">
        <v>132</v>
      </c>
      <c r="E574" s="36">
        <f t="shared" si="160"/>
        <v>4.40344946447076E-2</v>
      </c>
      <c r="F574" s="36">
        <f t="shared" ref="F574" si="173">F550</f>
        <v>0.41016579872181502</v>
      </c>
      <c r="G574">
        <v>0.2</v>
      </c>
      <c r="H574">
        <v>0.3</v>
      </c>
      <c r="J574" s="2" t="s">
        <v>69</v>
      </c>
    </row>
    <row r="575" spans="2:10" x14ac:dyDescent="0.3">
      <c r="B575" s="47" t="s">
        <v>156</v>
      </c>
      <c r="C575" t="str">
        <f>VLOOKUP($B575,'标准费用表-2024年&amp;2025年优化'!$D:$E,2,0)</f>
        <v>庆阳正大食品有限公司</v>
      </c>
      <c r="D575" t="s">
        <v>133</v>
      </c>
      <c r="E575" s="36">
        <f t="shared" si="160"/>
        <v>0.23624979932158699</v>
      </c>
      <c r="F575" s="36">
        <f t="shared" ref="F575" si="174">F551</f>
        <v>0.36886187420202499</v>
      </c>
      <c r="G575">
        <v>0.2</v>
      </c>
      <c r="H575">
        <v>0.3</v>
      </c>
      <c r="J575" s="2" t="s">
        <v>69</v>
      </c>
    </row>
    <row r="576" spans="2:10" x14ac:dyDescent="0.3">
      <c r="B576" s="47" t="s">
        <v>156</v>
      </c>
      <c r="C576" t="str">
        <f>VLOOKUP($B576,'标准费用表-2024年&amp;2025年优化'!$D:$E,2,0)</f>
        <v>庆阳正大食品有限公司</v>
      </c>
      <c r="D576" t="s">
        <v>134</v>
      </c>
      <c r="E576" s="36">
        <f t="shared" si="160"/>
        <v>0.15452682267208401</v>
      </c>
      <c r="F576" s="36">
        <f t="shared" ref="F576" si="175">F552</f>
        <v>0.37049106653677999</v>
      </c>
      <c r="G576">
        <v>0.2</v>
      </c>
      <c r="H576">
        <v>0.3</v>
      </c>
      <c r="J576" s="2" t="s">
        <v>69</v>
      </c>
    </row>
    <row r="577" spans="2:10" x14ac:dyDescent="0.3">
      <c r="B577" s="47" t="s">
        <v>156</v>
      </c>
      <c r="C577" t="str">
        <f>VLOOKUP($B577,'标准费用表-2024年&amp;2025年优化'!$D:$E,2,0)</f>
        <v>庆阳正大食品有限公司</v>
      </c>
      <c r="D577" t="s">
        <v>135</v>
      </c>
      <c r="E577" s="36">
        <f t="shared" si="160"/>
        <v>0.102422355030736</v>
      </c>
      <c r="F577" s="36">
        <f t="shared" ref="F577" si="176">F553</f>
        <v>0.460640738446149</v>
      </c>
      <c r="G577">
        <v>0.2</v>
      </c>
      <c r="H577">
        <v>0.3</v>
      </c>
      <c r="J577" s="2" t="s">
        <v>69</v>
      </c>
    </row>
    <row r="578" spans="2:10" x14ac:dyDescent="0.3">
      <c r="B578" s="47" t="s">
        <v>156</v>
      </c>
      <c r="C578" t="str">
        <f>VLOOKUP($B578,'标准费用表-2024年&amp;2025年优化'!$D:$E,2,0)</f>
        <v>庆阳正大食品有限公司</v>
      </c>
      <c r="D578" t="s">
        <v>136</v>
      </c>
      <c r="E578" s="36">
        <f t="shared" si="160"/>
        <v>1.7683445968469502E-2</v>
      </c>
      <c r="F578" s="36">
        <f t="shared" ref="F578" si="177">F554</f>
        <v>0.40279194810020003</v>
      </c>
      <c r="G578">
        <v>0.2</v>
      </c>
      <c r="H578">
        <v>0.3</v>
      </c>
      <c r="J578" s="2" t="s">
        <v>69</v>
      </c>
    </row>
    <row r="579" spans="2:10" x14ac:dyDescent="0.3">
      <c r="B579" s="47" t="s">
        <v>156</v>
      </c>
      <c r="C579" t="str">
        <f>VLOOKUP($B579,'标准费用表-2024年&amp;2025年优化'!$D:$E,2,0)</f>
        <v>庆阳正大食品有限公司</v>
      </c>
      <c r="D579" t="s">
        <v>137</v>
      </c>
      <c r="E579" s="36">
        <f t="shared" si="160"/>
        <v>9.2541138570817597E-2</v>
      </c>
      <c r="F579" s="36">
        <f t="shared" ref="F579" si="178">F555</f>
        <v>0.29173929175574698</v>
      </c>
      <c r="G579">
        <v>0.2</v>
      </c>
      <c r="H579">
        <v>0.3</v>
      </c>
      <c r="J579" s="2" t="s">
        <v>69</v>
      </c>
    </row>
    <row r="580" spans="2:10" x14ac:dyDescent="0.3">
      <c r="B580" s="47" t="s">
        <v>156</v>
      </c>
      <c r="C580" t="str">
        <f>VLOOKUP($B580,'标准费用表-2024年&amp;2025年优化'!$D:$E,2,0)</f>
        <v>庆阳正大食品有限公司</v>
      </c>
      <c r="D580" t="s">
        <v>138</v>
      </c>
      <c r="E580" s="36">
        <f t="shared" si="160"/>
        <v>8.4918776532701204E-2</v>
      </c>
      <c r="F580" s="36">
        <f t="shared" ref="F580" si="179">F556</f>
        <v>1.1018877139280201</v>
      </c>
      <c r="G580">
        <v>0.2</v>
      </c>
      <c r="H580">
        <v>0.3</v>
      </c>
      <c r="J580" s="2" t="s">
        <v>69</v>
      </c>
    </row>
    <row r="581" spans="2:10" x14ac:dyDescent="0.3">
      <c r="B581" s="47" t="s">
        <v>156</v>
      </c>
      <c r="C581" t="str">
        <f>VLOOKUP($B581,'标准费用表-2024年&amp;2025年优化'!$D:$E,2,0)</f>
        <v>庆阳正大食品有限公司</v>
      </c>
      <c r="D581" t="s">
        <v>139</v>
      </c>
      <c r="E581" s="36">
        <f t="shared" si="160"/>
        <v>0.29708927472428698</v>
      </c>
      <c r="F581" s="36">
        <f t="shared" ref="F581" si="180">F557</f>
        <v>0.47391621044398902</v>
      </c>
      <c r="G581">
        <v>0.2</v>
      </c>
      <c r="H581">
        <v>0.3</v>
      </c>
      <c r="J581" s="2" t="s">
        <v>69</v>
      </c>
    </row>
    <row r="582" spans="2:10" x14ac:dyDescent="0.3">
      <c r="B582" s="47" t="s">
        <v>156</v>
      </c>
      <c r="C582" t="str">
        <f>VLOOKUP($B582,'标准费用表-2024年&amp;2025年优化'!$D:$E,2,0)</f>
        <v>庆阳正大食品有限公司</v>
      </c>
      <c r="D582" t="s">
        <v>140</v>
      </c>
      <c r="E582" s="36">
        <f t="shared" si="160"/>
        <v>0.347971756602522</v>
      </c>
      <c r="F582" s="36">
        <f t="shared" ref="F582" si="181">F558</f>
        <v>0.29947157387365198</v>
      </c>
      <c r="G582">
        <v>0.2</v>
      </c>
      <c r="H582">
        <v>0.3</v>
      </c>
      <c r="J582" s="2" t="s">
        <v>69</v>
      </c>
    </row>
    <row r="583" spans="2:10" x14ac:dyDescent="0.3">
      <c r="B583" s="47" t="s">
        <v>156</v>
      </c>
      <c r="C583" t="str">
        <f>VLOOKUP($B583,'标准费用表-2024年&amp;2025年优化'!$D:$E,2,0)</f>
        <v>庆阳正大食品有限公司</v>
      </c>
      <c r="D583" t="s">
        <v>141</v>
      </c>
      <c r="E583" s="36">
        <f t="shared" si="160"/>
        <v>9.9499703559559893E-2</v>
      </c>
      <c r="F583" s="36">
        <f t="shared" ref="F583" si="182">F559</f>
        <v>0.248308438317276</v>
      </c>
      <c r="G583">
        <v>0.2</v>
      </c>
      <c r="H583">
        <v>0.3</v>
      </c>
      <c r="J583" s="2" t="s">
        <v>69</v>
      </c>
    </row>
    <row r="584" spans="2:10" x14ac:dyDescent="0.3">
      <c r="B584" s="47" t="s">
        <v>156</v>
      </c>
      <c r="C584" t="str">
        <f>VLOOKUP($B584,'标准费用表-2024年&amp;2025年优化'!$D:$E,2,0)</f>
        <v>庆阳正大食品有限公司</v>
      </c>
      <c r="D584" t="s">
        <v>142</v>
      </c>
      <c r="E584" s="36">
        <f t="shared" si="160"/>
        <v>2.96038440650193E-2</v>
      </c>
      <c r="F584" s="36">
        <f t="shared" ref="F584" si="183">F560</f>
        <v>9.8554429478973707E-2</v>
      </c>
      <c r="G584">
        <v>0.2</v>
      </c>
      <c r="H584">
        <v>0.3</v>
      </c>
      <c r="J584" s="2" t="s">
        <v>69</v>
      </c>
    </row>
    <row r="585" spans="2:10" x14ac:dyDescent="0.3">
      <c r="B585" s="47" t="s">
        <v>158</v>
      </c>
      <c r="C585" t="str">
        <f>VLOOKUP($B585,'标准费用表-2024年&amp;2025年优化'!$D:$E,2,0)</f>
        <v>成都正大农牧食品有限公司</v>
      </c>
      <c r="D585" t="s">
        <v>41</v>
      </c>
      <c r="E585" s="46">
        <f>IFERROR(VLOOKUP($B585,'标准费用表-2024年&amp;2025年优化'!$D:$K,8,0)*VLOOKUP('5.成本表'!$D585,系数辅助表!$C:$G,5,0)/VLOOKUP($D585,系数辅助表!$C:$E,3,0),0)</f>
        <v>0.47552447552447602</v>
      </c>
      <c r="I585" s="36">
        <f>VLOOKUP($D585,系数辅助表!$C:$F,4,0)</f>
        <v>1.33</v>
      </c>
      <c r="J585" s="2" t="s">
        <v>41</v>
      </c>
    </row>
    <row r="586" spans="2:10" x14ac:dyDescent="0.3">
      <c r="B586" s="47" t="s">
        <v>158</v>
      </c>
      <c r="C586" t="str">
        <f>VLOOKUP($B586,'标准费用表-2024年&amp;2025年优化'!$D:$E,2,0)</f>
        <v>成都正大农牧食品有限公司</v>
      </c>
      <c r="D586" t="s">
        <v>44</v>
      </c>
      <c r="E586" s="46">
        <f>IFERROR(VLOOKUP($B586,'标准费用表-2024年&amp;2025年优化'!$D:$K,8,0)*系数辅助表!$J$6*VLOOKUP('5.成本表'!$D586,系数辅助表!$C:$G,5,0)/VLOOKUP($D586,系数辅助表!$C:$E,3,0),0)</f>
        <v>0.27197214644929102</v>
      </c>
      <c r="I586" s="36">
        <f>VLOOKUP($D586,系数辅助表!$C:$F,4,0)</f>
        <v>0.789027855994753</v>
      </c>
      <c r="J586" s="2" t="s">
        <v>200</v>
      </c>
    </row>
    <row r="587" spans="2:10" x14ac:dyDescent="0.3">
      <c r="B587" s="47" t="s">
        <v>158</v>
      </c>
      <c r="C587" t="str">
        <f>VLOOKUP($B587,'标准费用表-2024年&amp;2025年优化'!$D:$E,2,0)</f>
        <v>成都正大农牧食品有限公司</v>
      </c>
      <c r="D587" t="s">
        <v>45</v>
      </c>
      <c r="E587" s="46">
        <f>IFERROR(VLOOKUP($B587,'标准费用表-2024年&amp;2025年优化'!$D:$K,8,0)*系数辅助表!$J$6*VLOOKUP('5.成本表'!$D587,系数辅助表!$C:$G,5,0)/VLOOKUP($D587,系数辅助表!$C:$E,3,0),0)</f>
        <v>0.72687917935530699</v>
      </c>
      <c r="I587" s="36">
        <f>VLOOKUP($D587,系数辅助表!$C:$F,4,0)</f>
        <v>2.1087744754070901</v>
      </c>
      <c r="J587" s="2" t="s">
        <v>200</v>
      </c>
    </row>
    <row r="588" spans="2:10" x14ac:dyDescent="0.3">
      <c r="B588" s="47" t="s">
        <v>158</v>
      </c>
      <c r="C588" t="str">
        <f>VLOOKUP($B588,'标准费用表-2024年&amp;2025年优化'!$D:$E,2,0)</f>
        <v>成都正大农牧食品有限公司</v>
      </c>
      <c r="D588" t="s">
        <v>46</v>
      </c>
      <c r="E588" s="46">
        <f>IFERROR(VLOOKUP($B588,'标准费用表-2024年&amp;2025年优化'!$D:$K,8,0)*系数辅助表!$J$6*VLOOKUP('5.成本表'!$D588,系数辅助表!$C:$G,5,0)/VLOOKUP($D588,系数辅助表!$C:$E,3,0),0)</f>
        <v>1.34537629341409</v>
      </c>
      <c r="I588" s="36">
        <f>VLOOKUP($D588,系数辅助表!$C:$F,4,0)</f>
        <v>3.9031179705625099</v>
      </c>
      <c r="J588" s="2" t="s">
        <v>200</v>
      </c>
    </row>
    <row r="589" spans="2:10" x14ac:dyDescent="0.3">
      <c r="B589" s="47" t="s">
        <v>158</v>
      </c>
      <c r="C589" t="str">
        <f>VLOOKUP($B589,'标准费用表-2024年&amp;2025年优化'!$D:$E,2,0)</f>
        <v>成都正大农牧食品有限公司</v>
      </c>
      <c r="D589" t="s">
        <v>47</v>
      </c>
      <c r="E589" s="46">
        <f>IFERROR(VLOOKUP($B589,'标准费用表-2024年&amp;2025年优化'!$D:$K,8,0)*系数辅助表!$J$6*VLOOKUP('5.成本表'!$D589,系数辅助表!$C:$G,5,0)/VLOOKUP($D589,系数辅助表!$C:$E,3,0),0)</f>
        <v>0.28273768679667599</v>
      </c>
      <c r="I589" s="36">
        <f>VLOOKUP($D589,系数辅助表!$C:$F,4,0)</f>
        <v>0.82026013963048305</v>
      </c>
      <c r="J589" s="2" t="s">
        <v>200</v>
      </c>
    </row>
    <row r="590" spans="2:10" x14ac:dyDescent="0.3">
      <c r="B590" s="47" t="s">
        <v>158</v>
      </c>
      <c r="C590" t="str">
        <f>VLOOKUP($B590,'标准费用表-2024年&amp;2025年优化'!$D:$E,2,0)</f>
        <v>成都正大农牧食品有限公司</v>
      </c>
      <c r="D590" t="s">
        <v>48</v>
      </c>
      <c r="E590" s="46">
        <f>IFERROR(VLOOKUP($B590,'标准费用表-2024年&amp;2025年优化'!$D:$K,8,0)*系数辅助表!$J$6*VLOOKUP('5.成本表'!$D590,系数辅助表!$C:$G,5,0)/VLOOKUP($D590,系数辅助表!$C:$E,3,0),0)</f>
        <v>0.12482148849818001</v>
      </c>
      <c r="I590" s="36">
        <f>VLOOKUP($D590,系数辅助表!$C:$F,4,0)</f>
        <v>0.36212396283071502</v>
      </c>
      <c r="J590" s="2" t="s">
        <v>200</v>
      </c>
    </row>
    <row r="591" spans="2:10" x14ac:dyDescent="0.3">
      <c r="B591" s="47" t="s">
        <v>158</v>
      </c>
      <c r="C591" t="str">
        <f>VLOOKUP($B591,'标准费用表-2024年&amp;2025年优化'!$D:$E,2,0)</f>
        <v>成都正大农牧食品有限公司</v>
      </c>
      <c r="D591" t="s">
        <v>49</v>
      </c>
      <c r="E591" s="46">
        <f>IFERROR(VLOOKUP($B591,'标准费用表-2024年&amp;2025年优化'!$D:$K,8,0)*系数辅助表!$J$6*VLOOKUP('5.成本表'!$D591,系数辅助表!$C:$G,5,0)/VLOOKUP($D591,系数辅助表!$C:$E,3,0),0)</f>
        <v>0.38630594692275</v>
      </c>
      <c r="I591" s="36">
        <f>VLOOKUP($D591,系数辅助表!$C:$F,4,0)</f>
        <v>1.1207256222295201</v>
      </c>
      <c r="J591" s="2" t="s">
        <v>200</v>
      </c>
    </row>
    <row r="592" spans="2:10" x14ac:dyDescent="0.3">
      <c r="B592" s="47" t="s">
        <v>158</v>
      </c>
      <c r="C592" t="str">
        <f>VLOOKUP($B592,'标准费用表-2024年&amp;2025年优化'!$D:$E,2,0)</f>
        <v>成都正大农牧食品有限公司</v>
      </c>
      <c r="D592" t="s">
        <v>50</v>
      </c>
      <c r="E592" s="46">
        <f>IFERROR(VLOOKUP($B592,'标准费用表-2024年&amp;2025年优化'!$D:$K,8,0)*系数辅助表!$J$6*VLOOKUP('5.成本表'!$D592,系数辅助表!$C:$G,5,0)/VLOOKUP($D592,系数辅助表!$C:$E,3,0),0)</f>
        <v>0.63814720230763999</v>
      </c>
      <c r="I592" s="36">
        <f>VLOOKUP($D592,系数辅助表!$C:$F,4,0)</f>
        <v>1.8513510498021799</v>
      </c>
      <c r="J592" s="2" t="s">
        <v>200</v>
      </c>
    </row>
    <row r="593" spans="2:10" x14ac:dyDescent="0.3">
      <c r="B593" s="47" t="s">
        <v>158</v>
      </c>
      <c r="C593" t="str">
        <f>VLOOKUP($B593,'标准费用表-2024年&amp;2025年优化'!$D:$E,2,0)</f>
        <v>成都正大农牧食品有限公司</v>
      </c>
      <c r="D593" t="s">
        <v>51</v>
      </c>
      <c r="E593" s="46">
        <f>IFERROR(VLOOKUP($B593,'标准费用表-2024年&amp;2025年优化'!$D:$K,8,0)*系数辅助表!$J$6*VLOOKUP('5.成本表'!$D593,系数辅助表!$C:$G,5,0)/VLOOKUP($D593,系数辅助表!$C:$E,3,0),0)</f>
        <v>0.92572498009881099</v>
      </c>
      <c r="I593" s="36">
        <f>VLOOKUP($D593,系数辅助表!$C:$F,4,0)</f>
        <v>2.68565294580391</v>
      </c>
      <c r="J593" s="2" t="s">
        <v>200</v>
      </c>
    </row>
    <row r="594" spans="2:10" x14ac:dyDescent="0.3">
      <c r="B594" s="47" t="s">
        <v>158</v>
      </c>
      <c r="C594" t="str">
        <f>VLOOKUP($B594,'标准费用表-2024年&amp;2025年优化'!$D:$E,2,0)</f>
        <v>成都正大农牧食品有限公司</v>
      </c>
      <c r="D594" t="s">
        <v>52</v>
      </c>
      <c r="E594" s="46">
        <f>IFERROR(VLOOKUP($B594,'标准费用表-2024年&amp;2025年优化'!$D:$K,8,0)*系数辅助表!$J$6*VLOOKUP('5.成本表'!$D594,系数辅助表!$C:$G,5,0)/VLOOKUP($D594,系数辅助表!$C:$E,3,0),0)</f>
        <v>0.54084823855097697</v>
      </c>
      <c r="I594" s="36">
        <f>VLOOKUP($D594,系数辅助表!$C:$F,4,0)</f>
        <v>1.5690736410097099</v>
      </c>
      <c r="J594" s="2" t="s">
        <v>200</v>
      </c>
    </row>
    <row r="595" spans="2:10" x14ac:dyDescent="0.3">
      <c r="B595" s="47" t="s">
        <v>158</v>
      </c>
      <c r="C595" t="str">
        <f>VLOOKUP($B595,'标准费用表-2024年&amp;2025年优化'!$D:$E,2,0)</f>
        <v>成都正大农牧食品有限公司</v>
      </c>
      <c r="D595" t="s">
        <v>53</v>
      </c>
      <c r="E595" s="46">
        <f>IFERROR(VLOOKUP($B595,'标准费用表-2024年&amp;2025年优化'!$D:$K,8,0)*系数辅助表!$J$6*VLOOKUP('5.成本表'!$D595,系数辅助表!$C:$G,5,0)/VLOOKUP($D595,系数辅助表!$C:$E,3,0),0)</f>
        <v>0.49669340619822</v>
      </c>
      <c r="I595" s="36">
        <f>VLOOKUP($D595,系数辅助表!$C:$F,4,0)</f>
        <v>1.44097452072131</v>
      </c>
      <c r="J595" s="2" t="s">
        <v>200</v>
      </c>
    </row>
    <row r="596" spans="2:10" x14ac:dyDescent="0.3">
      <c r="B596" s="47" t="s">
        <v>158</v>
      </c>
      <c r="C596" t="str">
        <f>VLOOKUP($B596,'标准费用表-2024年&amp;2025年优化'!$D:$E,2,0)</f>
        <v>成都正大农牧食品有限公司</v>
      </c>
      <c r="D596" t="s">
        <v>54</v>
      </c>
      <c r="E596" s="46">
        <f>IFERROR(VLOOKUP($B596,'标准费用表-2024年&amp;2025年优化'!$D:$K,8,0)*系数辅助表!$J$6*VLOOKUP('5.成本表'!$D596,系数辅助表!$C:$G,5,0)/VLOOKUP($D596,系数辅助表!$C:$E,3,0),0)</f>
        <v>0.63452172933701201</v>
      </c>
      <c r="I596" s="36">
        <f>VLOOKUP($D596,系数辅助表!$C:$F,4,0)</f>
        <v>1.8408330640366199</v>
      </c>
      <c r="J596" s="2" t="s">
        <v>200</v>
      </c>
    </row>
    <row r="597" spans="2:10" x14ac:dyDescent="0.3">
      <c r="B597" s="47" t="s">
        <v>158</v>
      </c>
      <c r="C597" t="str">
        <f>VLOOKUP($B597,'标准费用表-2024年&amp;2025年优化'!$D:$E,2,0)</f>
        <v>成都正大农牧食品有限公司</v>
      </c>
      <c r="D597" t="s">
        <v>55</v>
      </c>
      <c r="E597" s="46">
        <f>IFERROR(VLOOKUP($B597,'标准费用表-2024年&amp;2025年优化'!$D:$K,8,0)*系数辅助表!$J$6*VLOOKUP('5.成本表'!$D597,系数辅助表!$C:$G,5,0)/VLOOKUP($D597,系数辅助表!$C:$E,3,0),0)</f>
        <v>1.1036175627327001</v>
      </c>
      <c r="I597" s="36">
        <f>VLOOKUP($D597,系数辅助表!$C:$F,4,0)</f>
        <v>3.2017433061789502</v>
      </c>
      <c r="J597" s="2" t="s">
        <v>200</v>
      </c>
    </row>
    <row r="598" spans="2:10" x14ac:dyDescent="0.3">
      <c r="B598" s="47" t="s">
        <v>158</v>
      </c>
      <c r="C598" t="str">
        <f>VLOOKUP($B598,'标准费用表-2024年&amp;2025年优化'!$D:$E,2,0)</f>
        <v>成都正大农牧食品有限公司</v>
      </c>
      <c r="D598" t="s">
        <v>56</v>
      </c>
      <c r="E598" s="46">
        <f>IFERROR(VLOOKUP($B598,'标准费用表-2024年&amp;2025年优化'!$D:$K,8,0)*系数辅助表!$J$6*VLOOKUP('5.成本表'!$D598,系数辅助表!$C:$G,5,0)/VLOOKUP($D598,系数辅助表!$C:$E,3,0),0)</f>
        <v>0.18789698167811</v>
      </c>
      <c r="I598" s="36">
        <f>VLOOKUP($D598,系数辅助表!$C:$F,4,0)</f>
        <v>0.54511447049599404</v>
      </c>
      <c r="J598" s="2" t="s">
        <v>200</v>
      </c>
    </row>
    <row r="599" spans="2:10" x14ac:dyDescent="0.3">
      <c r="B599" s="47" t="s">
        <v>158</v>
      </c>
      <c r="C599" t="str">
        <f>VLOOKUP($B599,'标准费用表-2024年&amp;2025年优化'!$D:$E,2,0)</f>
        <v>成都正大农牧食品有限公司</v>
      </c>
      <c r="D599" t="s">
        <v>57</v>
      </c>
      <c r="E599" s="46">
        <f>IFERROR(VLOOKUP($B599,'标准费用表-2024年&amp;2025年优化'!$D:$K,8,0)*系数辅助表!$J$6*VLOOKUP('5.成本表'!$D599,系数辅助表!$C:$G,5,0)/VLOOKUP($D599,系数辅助表!$C:$E,3,0),0)</f>
        <v>4.3503280494138701E-2</v>
      </c>
      <c r="I599" s="36">
        <f>VLOOKUP($D599,系数辅助表!$C:$F,4,0)</f>
        <v>0.126208880523832</v>
      </c>
      <c r="J599" s="2" t="s">
        <v>200</v>
      </c>
    </row>
    <row r="600" spans="2:10" x14ac:dyDescent="0.3">
      <c r="B600" s="47" t="s">
        <v>158</v>
      </c>
      <c r="C600" t="str">
        <f>VLOOKUP($B600,'标准费用表-2024年&amp;2025年优化'!$D:$E,2,0)</f>
        <v>成都正大农牧食品有限公司</v>
      </c>
      <c r="D600" t="s">
        <v>58</v>
      </c>
      <c r="E600" s="46">
        <f>IFERROR(VLOOKUP($B600,'标准费用表-2024年&amp;2025年优化'!$D:$K,8,0)*系数辅助表!$J$6*VLOOKUP('5.成本表'!$D600,系数辅助表!$C:$G,5,0)/VLOOKUP($D600,系数辅助表!$C:$E,3,0),0)</f>
        <v>0.23339977827601099</v>
      </c>
      <c r="I600" s="36">
        <f>VLOOKUP($D600,系数辅助表!$C:$F,4,0)</f>
        <v>0.67712421675176204</v>
      </c>
      <c r="J600" s="2" t="s">
        <v>200</v>
      </c>
    </row>
    <row r="601" spans="2:10" x14ac:dyDescent="0.3">
      <c r="B601" s="47" t="s">
        <v>158</v>
      </c>
      <c r="C601" t="str">
        <f>VLOOKUP($B601,'标准费用表-2024年&amp;2025年优化'!$D:$E,2,0)</f>
        <v>成都正大农牧食品有限公司</v>
      </c>
      <c r="D601" t="s">
        <v>59</v>
      </c>
      <c r="E601" s="46">
        <f>IFERROR(VLOOKUP($B601,'标准费用表-2024年&amp;2025年优化'!$D:$K,8,0)*系数辅助表!$J$6*VLOOKUP('5.成本表'!$D601,系数辅助表!$C:$G,5,0)/VLOOKUP($D601,系数辅助表!$C:$E,3,0),0)</f>
        <v>0.152662674224187</v>
      </c>
      <c r="I601" s="36">
        <f>VLOOKUP($D601,系数辅助表!$C:$F,4,0)</f>
        <v>0.44289499533730498</v>
      </c>
      <c r="J601" s="2" t="s">
        <v>200</v>
      </c>
    </row>
    <row r="602" spans="2:10" x14ac:dyDescent="0.3">
      <c r="B602" s="47" t="s">
        <v>158</v>
      </c>
      <c r="C602" t="str">
        <f>VLOOKUP($B602,'标准费用表-2024年&amp;2025年优化'!$D:$E,2,0)</f>
        <v>成都正大农牧食品有限公司</v>
      </c>
      <c r="D602" t="s">
        <v>60</v>
      </c>
      <c r="E602" s="46">
        <f>IFERROR(VLOOKUP($B602,'标准费用表-2024年&amp;2025年优化'!$D:$K,8,0)*系数辅助表!$J$6*VLOOKUP('5.成本表'!$D602,系数辅助表!$C:$G,5,0)/VLOOKUP($D602,系数辅助表!$C:$E,3,0),0)</f>
        <v>0.101186773590188</v>
      </c>
      <c r="I602" s="36">
        <f>VLOOKUP($D602,系数辅助表!$C:$F,4,0)</f>
        <v>0.29355646915769201</v>
      </c>
      <c r="J602" s="2" t="s">
        <v>200</v>
      </c>
    </row>
    <row r="603" spans="2:10" x14ac:dyDescent="0.3">
      <c r="B603" s="47" t="s">
        <v>158</v>
      </c>
      <c r="C603" t="str">
        <f>VLOOKUP($B603,'标准费用表-2024年&amp;2025年优化'!$D:$E,2,0)</f>
        <v>成都正大农牧食品有限公司</v>
      </c>
      <c r="D603" t="s">
        <v>61</v>
      </c>
      <c r="E603" s="46">
        <f>IFERROR(VLOOKUP($B603,'标准费用表-2024年&amp;2025年优化'!$D:$K,8,0)*系数辅助表!$J$6*VLOOKUP('5.成本表'!$D603,系数辅助表!$C:$G,5,0)/VLOOKUP($D603,系数辅助表!$C:$E,3,0),0)</f>
        <v>1.7470120101894498E-2</v>
      </c>
      <c r="I603" s="36">
        <f>VLOOKUP($D603,系数辅助表!$C:$F,4,0)</f>
        <v>5.0683173214352499E-2</v>
      </c>
      <c r="J603" s="2" t="s">
        <v>200</v>
      </c>
    </row>
    <row r="604" spans="2:10" x14ac:dyDescent="0.3">
      <c r="B604" s="47" t="s">
        <v>158</v>
      </c>
      <c r="C604" t="str">
        <f>VLOOKUP($B604,'标准费用表-2024年&amp;2025年优化'!$D:$E,2,0)</f>
        <v>成都正大农牧食品有限公司</v>
      </c>
      <c r="D604" t="s">
        <v>62</v>
      </c>
      <c r="E604" s="46">
        <f>IFERROR(VLOOKUP($B604,'标准费用表-2024年&amp;2025年优化'!$D:$K,8,0)*系数辅助表!$J$6*VLOOKUP('5.成本表'!$D604,系数辅助表!$C:$G,5,0)/VLOOKUP($D604,系数辅助表!$C:$E,3,0),0)</f>
        <v>9.1424760088102699E-2</v>
      </c>
      <c r="I604" s="36">
        <f>VLOOKUP($D604,系数辅助表!$C:$F,4,0)</f>
        <v>0.26523555216563399</v>
      </c>
      <c r="J604" s="2" t="s">
        <v>200</v>
      </c>
    </row>
    <row r="605" spans="2:10" x14ac:dyDescent="0.3">
      <c r="B605" s="47" t="s">
        <v>158</v>
      </c>
      <c r="C605" t="str">
        <f>VLOOKUP($B605,'标准费用表-2024年&amp;2025年优化'!$D:$E,2,0)</f>
        <v>成都正大农牧食品有限公司</v>
      </c>
      <c r="D605" t="s">
        <v>63</v>
      </c>
      <c r="E605" s="46">
        <f>IFERROR(VLOOKUP($B605,'标准费用表-2024年&amp;2025年优化'!$D:$K,8,0)*系数辅助表!$J$6*VLOOKUP('5.成本表'!$D605,系数辅助表!$C:$G,5,0)/VLOOKUP($D605,系数辅助表!$C:$E,3,0),0)</f>
        <v>8.3894351111059806E-2</v>
      </c>
      <c r="I605" s="36">
        <f>VLOOKUP($D605,系数辅助表!$C:$F,4,0)</f>
        <v>0.24338882069886</v>
      </c>
      <c r="J605" s="2" t="s">
        <v>200</v>
      </c>
    </row>
    <row r="606" spans="2:10" x14ac:dyDescent="0.3">
      <c r="B606" s="47" t="s">
        <v>158</v>
      </c>
      <c r="C606" t="str">
        <f>VLOOKUP($B606,'标准费用表-2024年&amp;2025年优化'!$D:$E,2,0)</f>
        <v>成都正大农牧食品有限公司</v>
      </c>
      <c r="D606" t="s">
        <v>64</v>
      </c>
      <c r="E606" s="46">
        <f>IFERROR(VLOOKUP($B606,'标准费用表-2024年&amp;2025年优化'!$D:$K,8,0)*系数辅助表!$J$6*VLOOKUP('5.成本表'!$D606,系数辅助表!$C:$G,5,0)/VLOOKUP($D606,系数辅助表!$C:$E,3,0),0)</f>
        <v>0.29350531110691902</v>
      </c>
      <c r="I606" s="36">
        <f>VLOOKUP($D606,系数辅助表!$C:$F,4,0)</f>
        <v>0.85149846912336002</v>
      </c>
      <c r="J606" s="2" t="s">
        <v>200</v>
      </c>
    </row>
    <row r="607" spans="2:10" x14ac:dyDescent="0.3">
      <c r="B607" s="47" t="s">
        <v>158</v>
      </c>
      <c r="C607" t="str">
        <f>VLOOKUP($B607,'标准费用表-2024年&amp;2025年优化'!$D:$E,2,0)</f>
        <v>成都正大农牧食品有限公司</v>
      </c>
      <c r="D607" t="s">
        <v>65</v>
      </c>
      <c r="E607" s="46">
        <f>IFERROR(VLOOKUP($B607,'标准费用表-2024年&amp;2025年优化'!$D:$K,8,0)*系数辅助表!$J$6*VLOOKUP('5.成本表'!$D607,系数辅助表!$C:$G,5,0)/VLOOKUP($D607,系数辅助表!$C:$E,3,0),0)</f>
        <v>0.34377396751473899</v>
      </c>
      <c r="I607" s="36">
        <f>VLOOKUP($D607,系数辅助表!$C:$F,4,0)</f>
        <v>0.99733461707829196</v>
      </c>
      <c r="J607" s="2" t="s">
        <v>200</v>
      </c>
    </row>
    <row r="608" spans="2:10" x14ac:dyDescent="0.3">
      <c r="B608" s="47" t="s">
        <v>158</v>
      </c>
      <c r="C608" t="str">
        <f>VLOOKUP($B608,'标准费用表-2024年&amp;2025年优化'!$D:$E,2,0)</f>
        <v>成都正大农牧食品有限公司</v>
      </c>
      <c r="D608" t="s">
        <v>66</v>
      </c>
      <c r="E608" s="46">
        <f>IFERROR(VLOOKUP($B608,'标准费用表-2024年&amp;2025年优化'!$D:$K,8,0)*系数辅助表!$J$6*VLOOKUP('5.成本表'!$D608,系数辅助表!$C:$G,5,0)/VLOOKUP($D608,系数辅助表!$C:$E,3,0),0)</f>
        <v>9.8299379792142594E-2</v>
      </c>
      <c r="I608" s="36">
        <f>VLOOKUP($D608,系数辅助表!$C:$F,4,0)</f>
        <v>0.28517975055754302</v>
      </c>
      <c r="J608" s="2" t="s">
        <v>200</v>
      </c>
    </row>
    <row r="609" spans="2:10" x14ac:dyDescent="0.3">
      <c r="B609" s="47" t="s">
        <v>158</v>
      </c>
      <c r="C609" t="str">
        <f>VLOOKUP($B609,'标准费用表-2024年&amp;2025年优化'!$D:$E,2,0)</f>
        <v>成都正大农牧食品有限公司</v>
      </c>
      <c r="D609" t="s">
        <v>67</v>
      </c>
      <c r="E609" s="46">
        <f>IFERROR(VLOOKUP($B609,'标准费用表-2024年&amp;2025年优化'!$D:$K,8,0)*系数辅助表!$J$6*VLOOKUP('5.成本表'!$D609,系数辅助表!$C:$G,5,0)/VLOOKUP($D609,系数辅助表!$C:$E,3,0),0)</f>
        <v>2.9246715386571601E-2</v>
      </c>
      <c r="I609" s="36">
        <f>VLOOKUP($D609,系数辅助表!$C:$F,4,0)</f>
        <v>8.4848663503333893E-2</v>
      </c>
      <c r="J609" s="2" t="s">
        <v>200</v>
      </c>
    </row>
    <row r="610" spans="2:10" x14ac:dyDescent="0.3">
      <c r="B610" s="47" t="s">
        <v>158</v>
      </c>
      <c r="C610" t="str">
        <f>VLOOKUP($B610,'标准费用表-2024年&amp;2025年优化'!$D:$E,2,0)</f>
        <v>成都正大农牧食品有限公司</v>
      </c>
      <c r="D610" t="s">
        <v>68</v>
      </c>
      <c r="E610" s="36">
        <f>IFERROR(VLOOKUP($B610,'标准费用表-2024年&amp;2025年优化'!$D:$K,8,0)*VLOOKUP("白条",系数辅助表!$C:$G,5,0)*VLOOKUP('5.成本表'!$D610,系数辅助表!$C:$G,5,0)/VLOOKUP('5.成本表'!$D610,系数辅助表!$C:$E,3,0),)</f>
        <v>0.71271676834320696</v>
      </c>
      <c r="F610" s="36">
        <f>IFERROR(VLOOKUP($B610,'标准费用表-2024年&amp;2025年优化'!$D:$L,9,0)*VLOOKUP('5.成本表'!$D610,系数辅助表!$C:$G,5,0)/VLOOKUP($D610,系数辅助表!$C:$E,3,0),0)</f>
        <v>2.09622578924473</v>
      </c>
      <c r="I610" s="36">
        <f>VLOOKUP($D610,系数辅助表!$C:$F,4,0)</f>
        <v>2.2799999999999998</v>
      </c>
      <c r="J610" s="2" t="s">
        <v>69</v>
      </c>
    </row>
    <row r="611" spans="2:10" x14ac:dyDescent="0.3">
      <c r="B611" s="47" t="s">
        <v>158</v>
      </c>
      <c r="C611" t="str">
        <f>VLOOKUP($B611,'标准费用表-2024年&amp;2025年优化'!$D:$E,2,0)</f>
        <v>成都正大农牧食品有限公司</v>
      </c>
      <c r="D611" t="s">
        <v>70</v>
      </c>
      <c r="E611" s="36">
        <f>IFERROR(VLOOKUP($B611,'标准费用表-2024年&amp;2025年优化'!$D:$K,8,0)*VLOOKUP("白条",系数辅助表!$C:$G,5,0)*VLOOKUP('5.成本表'!$D611,系数辅助表!$C:$G,5,0)/VLOOKUP('5.成本表'!$D611,系数辅助表!$C:$E,3,0),)</f>
        <v>0.47630840419285198</v>
      </c>
      <c r="F611" s="36">
        <f>IFERROR(VLOOKUP($B611,'标准费用表-2024年&amp;2025年优化'!$D:$L,9,0)*VLOOKUP('5.成本表'!$D611,系数辅助表!$C:$G,5,0)/VLOOKUP($D611,系数辅助表!$C:$E,3,0),0)</f>
        <v>1.4009070711554501</v>
      </c>
      <c r="I611" s="36">
        <f>VLOOKUP($D611,系数辅助表!$C:$F,4,0)</f>
        <v>1.5237233215154999</v>
      </c>
      <c r="J611" s="2" t="s">
        <v>69</v>
      </c>
    </row>
    <row r="612" spans="2:10" x14ac:dyDescent="0.3">
      <c r="B612" s="47" t="s">
        <v>158</v>
      </c>
      <c r="C612" t="str">
        <f>VLOOKUP($B612,'标准费用表-2024年&amp;2025年优化'!$D:$E,2,0)</f>
        <v>成都正大农牧食品有限公司</v>
      </c>
      <c r="D612" t="s">
        <v>71</v>
      </c>
      <c r="E612" s="36">
        <f>IFERROR(VLOOKUP($B612,'标准费用表-2024年&amp;2025年优化'!$D:$K,8,0)*VLOOKUP("白条",系数辅助表!$C:$G,5,0)*VLOOKUP('5.成本表'!$D612,系数辅助表!$C:$G,5,0)/VLOOKUP('5.成本表'!$D612,系数辅助表!$C:$E,3,0),)</f>
        <v>1.2605885284362199</v>
      </c>
      <c r="F612" s="36">
        <f>IFERROR(VLOOKUP($B612,'标准费用表-2024年&amp;2025年优化'!$D:$L,9,0)*VLOOKUP('5.成本表'!$D612,系数辅助表!$C:$G,5,0)/VLOOKUP($D612,系数辅助表!$C:$E,3,0),0)</f>
        <v>3.7076133189300702</v>
      </c>
      <c r="I612" s="36">
        <f>VLOOKUP($D612,系数辅助表!$C:$F,4,0)</f>
        <v>4.0326564106466396</v>
      </c>
      <c r="J612" s="2" t="s">
        <v>69</v>
      </c>
    </row>
    <row r="613" spans="2:10" x14ac:dyDescent="0.3">
      <c r="B613" s="47" t="s">
        <v>158</v>
      </c>
      <c r="C613" t="str">
        <f>VLOOKUP($B613,'标准费用表-2024年&amp;2025年优化'!$D:$E,2,0)</f>
        <v>成都正大农牧食品有限公司</v>
      </c>
      <c r="D613" t="s">
        <v>72</v>
      </c>
      <c r="E613" s="36">
        <f>IFERROR(VLOOKUP($B613,'标准费用表-2024年&amp;2025年优化'!$D:$K,8,0)*VLOOKUP("白条",系数辅助表!$C:$G,5,0)*VLOOKUP('5.成本表'!$D613,系数辅助表!$C:$G,5,0)/VLOOKUP('5.成本表'!$D613,系数辅助表!$C:$E,3,0),)</f>
        <v>0.73415453027736999</v>
      </c>
      <c r="F613" s="36">
        <f>IFERROR(VLOOKUP($B613,'标准费用表-2024年&amp;2025年优化'!$D:$L,9,0)*VLOOKUP('5.成本表'!$D613,系数辅助表!$C:$G,5,0)/VLOOKUP($D613,系数辅助表!$C:$E,3,0),0)</f>
        <v>2.15927803022756</v>
      </c>
      <c r="I613" s="36">
        <f>VLOOKUP($D613,系数辅助表!$C:$F,4,0)</f>
        <v>2.34857997367385</v>
      </c>
      <c r="J613" s="2" t="s">
        <v>69</v>
      </c>
    </row>
    <row r="614" spans="2:10" x14ac:dyDescent="0.3">
      <c r="B614" s="47" t="s">
        <v>158</v>
      </c>
      <c r="C614" t="str">
        <f>VLOOKUP($B614,'标准费用表-2024年&amp;2025年优化'!$D:$E,2,0)</f>
        <v>成都正大农牧食品有限公司</v>
      </c>
      <c r="D614" t="s">
        <v>73</v>
      </c>
      <c r="E614" s="36">
        <f>IFERROR(VLOOKUP($B614,'标准费用表-2024年&amp;2025年优化'!$D:$K,8,0)*VLOOKUP("白条",系数辅助表!$C:$G,5,0)*VLOOKUP('5.成本表'!$D614,系数辅助表!$C:$G,5,0)/VLOOKUP('5.成本表'!$D614,系数辅助表!$C:$E,3,0),)</f>
        <v>0.441033179974751</v>
      </c>
      <c r="F614" s="36">
        <f>IFERROR(VLOOKUP($B614,'标准费用表-2024年&amp;2025年优化'!$D:$L,9,0)*VLOOKUP('5.成本表'!$D614,系数辅助表!$C:$G,5,0)/VLOOKUP($D614,系数辅助表!$C:$E,3,0),0)</f>
        <v>1.2971564116904399</v>
      </c>
      <c r="I614" s="36">
        <f>VLOOKUP($D614,系数辅助表!$C:$F,4,0)</f>
        <v>1.41087693598112</v>
      </c>
      <c r="J614" s="2" t="s">
        <v>69</v>
      </c>
    </row>
    <row r="615" spans="2:10" x14ac:dyDescent="0.3">
      <c r="B615" s="47" t="s">
        <v>158</v>
      </c>
      <c r="C615" t="str">
        <f>VLOOKUP($B615,'标准费用表-2024年&amp;2025年优化'!$D:$E,2,0)</f>
        <v>成都正大农牧食品有限公司</v>
      </c>
      <c r="D615" t="s">
        <v>74</v>
      </c>
      <c r="E615" s="36">
        <f>IFERROR(VLOOKUP($B615,'标准费用表-2024年&amp;2025年优化'!$D:$K,8,0)*VLOOKUP("白条",系数辅助表!$C:$G,5,0)*VLOOKUP('5.成本表'!$D615,系数辅助表!$C:$G,5,0)/VLOOKUP('5.成本表'!$D615,系数辅助表!$C:$E,3,0),)</f>
        <v>0.59552559366355295</v>
      </c>
      <c r="F615" s="36">
        <f>IFERROR(VLOOKUP($B615,'标准费用表-2024年&amp;2025年优化'!$D:$L,9,0)*VLOOKUP('5.成本表'!$D615,系数辅助表!$C:$G,5,0)/VLOOKUP($D615,系数辅助表!$C:$E,3,0),0)</f>
        <v>1.7515458637163299</v>
      </c>
      <c r="I615" s="36">
        <f>VLOOKUP($D615,系数辅助表!$C:$F,4,0)</f>
        <v>1.9051022985038799</v>
      </c>
      <c r="J615" s="2" t="s">
        <v>69</v>
      </c>
    </row>
    <row r="616" spans="2:10" x14ac:dyDescent="0.3">
      <c r="B616" s="47" t="s">
        <v>158</v>
      </c>
      <c r="C616" t="str">
        <f>VLOOKUP($B616,'标准费用表-2024年&amp;2025年优化'!$D:$E,2,0)</f>
        <v>成都正大农牧食品有限公司</v>
      </c>
      <c r="D616" t="s">
        <v>75</v>
      </c>
      <c r="E616" s="36">
        <f>IFERROR(VLOOKUP($B616,'标准费用表-2024年&amp;2025年优化'!$D:$K,8,0)*VLOOKUP("白条",系数辅助表!$C:$G,5,0)*VLOOKUP('5.成本表'!$D616,系数辅助表!$C:$G,5,0)/VLOOKUP('5.成本表'!$D616,系数辅助表!$C:$E,3,0),)</f>
        <v>0.44592185303561699</v>
      </c>
      <c r="F616" s="36">
        <f>IFERROR(VLOOKUP($B616,'标准费用表-2024年&amp;2025年优化'!$D:$L,9,0)*VLOOKUP('5.成本表'!$D616,系数辅助表!$C:$G,5,0)/VLOOKUP($D616,系数辅助表!$C:$E,3,0),0)</f>
        <v>1.31153486186946</v>
      </c>
      <c r="I616" s="36">
        <f>VLOOKUP($D616,系数辅助表!$C:$F,4,0)</f>
        <v>1.42651593182611</v>
      </c>
      <c r="J616" s="2" t="s">
        <v>69</v>
      </c>
    </row>
    <row r="617" spans="2:10" x14ac:dyDescent="0.3">
      <c r="B617" s="47" t="s">
        <v>158</v>
      </c>
      <c r="C617" t="str">
        <f>VLOOKUP($B617,'标准费用表-2024年&amp;2025年优化'!$D:$E,2,0)</f>
        <v>成都正大农牧食品有限公司</v>
      </c>
      <c r="D617" t="s">
        <v>76</v>
      </c>
      <c r="E617" s="36">
        <f>IFERROR(VLOOKUP($B617,'标准费用表-2024年&amp;2025年优化'!$D:$K,8,0)*VLOOKUP("白条",系数辅助表!$C:$G,5,0)*VLOOKUP('5.成本表'!$D617,系数辅助表!$C:$G,5,0)/VLOOKUP('5.成本表'!$D617,系数辅助表!$C:$E,3,0),)</f>
        <v>0.45438275731698602</v>
      </c>
      <c r="F617" s="36">
        <f>IFERROR(VLOOKUP($B617,'标准费用表-2024年&amp;2025年优化'!$D:$L,9,0)*VLOOKUP('5.成本表'!$D617,系数辅助表!$C:$G,5,0)/VLOOKUP($D617,系数辅助表!$C:$E,3,0),0)</f>
        <v>1.3364198744617199</v>
      </c>
      <c r="I617" s="36">
        <f>VLOOKUP($D617,系数辅助表!$C:$F,4,0)</f>
        <v>1.4535825908670701</v>
      </c>
      <c r="J617" s="2" t="s">
        <v>69</v>
      </c>
    </row>
    <row r="618" spans="2:10" x14ac:dyDescent="0.3">
      <c r="B618" s="47" t="s">
        <v>158</v>
      </c>
      <c r="C618" t="str">
        <f>VLOOKUP($B618,'标准费用表-2024年&amp;2025年优化'!$D:$E,2,0)</f>
        <v>成都正大农牧食品有限公司</v>
      </c>
      <c r="D618" t="s">
        <v>77</v>
      </c>
      <c r="E618" s="36">
        <f>IFERROR(VLOOKUP($B618,'标准费用表-2024年&amp;2025年优化'!$D:$K,8,0)*VLOOKUP("白条",系数辅助表!$C:$G,5,0)*VLOOKUP('5.成本表'!$D618,系数辅助表!$C:$G,5,0)/VLOOKUP('5.成本表'!$D618,系数辅助表!$C:$E,3,0),)</f>
        <v>0.45046142163393599</v>
      </c>
      <c r="F618" s="36">
        <f>IFERROR(VLOOKUP($B618,'标准费用表-2024年&amp;2025年优化'!$D:$L,9,0)*VLOOKUP('5.成本表'!$D618,系数辅助表!$C:$G,5,0)/VLOOKUP($D618,系数辅助表!$C:$E,3,0),0)</f>
        <v>1.3248865342174601</v>
      </c>
      <c r="I618" s="36">
        <f>VLOOKUP($D618,系数辅助表!$C:$F,4,0)</f>
        <v>1.4410381331603499</v>
      </c>
      <c r="J618" s="2" t="s">
        <v>69</v>
      </c>
    </row>
    <row r="619" spans="2:10" x14ac:dyDescent="0.3">
      <c r="B619" s="47" t="s">
        <v>158</v>
      </c>
      <c r="C619" t="str">
        <f>VLOOKUP($B619,'标准费用表-2024年&amp;2025年优化'!$D:$E,2,0)</f>
        <v>成都正大农牧食品有限公司</v>
      </c>
      <c r="D619" t="s">
        <v>78</v>
      </c>
      <c r="E619" s="36">
        <f>IFERROR(VLOOKUP($B619,'标准费用表-2024年&amp;2025年优化'!$D:$K,8,0)*VLOOKUP("白条",系数辅助表!$C:$G,5,0)*VLOOKUP('5.成本表'!$D619,系数辅助表!$C:$G,5,0)/VLOOKUP('5.成本表'!$D619,系数辅助表!$C:$E,3,0),)</f>
        <v>0.38631519196880298</v>
      </c>
      <c r="F619" s="36">
        <f>IFERROR(VLOOKUP($B619,'标准费用表-2024年&amp;2025年优化'!$D:$L,9,0)*VLOOKUP('5.成本表'!$D619,系数辅助表!$C:$G,5,0)/VLOOKUP($D619,系数辅助表!$C:$E,3,0),0)</f>
        <v>1.1362211528494199</v>
      </c>
      <c r="I619" s="36">
        <f>VLOOKUP($D619,系数辅助表!$C:$F,4,0)</f>
        <v>1.2358326291892801</v>
      </c>
      <c r="J619" s="2" t="s">
        <v>69</v>
      </c>
    </row>
    <row r="620" spans="2:10" x14ac:dyDescent="0.3">
      <c r="B620" s="47" t="s">
        <v>158</v>
      </c>
      <c r="C620" t="str">
        <f>VLOOKUP($B620,'标准费用表-2024年&amp;2025年优化'!$D:$E,2,0)</f>
        <v>成都正大农牧食品有限公司</v>
      </c>
      <c r="D620" t="s">
        <v>79</v>
      </c>
      <c r="E620" s="36">
        <f>IFERROR(VLOOKUP($B620,'标准费用表-2024年&amp;2025年优化'!$D:$K,8,0)*VLOOKUP("白条",系数辅助表!$C:$G,5,0)*VLOOKUP('5.成本表'!$D620,系数辅助表!$C:$G,5,0)/VLOOKUP('5.成本表'!$D620,系数辅助表!$C:$E,3,0),)</f>
        <v>0.26983738785001499</v>
      </c>
      <c r="F620" s="36">
        <f>IFERROR(VLOOKUP($B620,'标准费用表-2024年&amp;2025年优化'!$D:$L,9,0)*VLOOKUP('5.成本表'!$D620,系数辅助表!$C:$G,5,0)/VLOOKUP($D620,系数辅助表!$C:$E,3,0),0)</f>
        <v>0.793639376029455</v>
      </c>
      <c r="I620" s="36">
        <f>VLOOKUP($D620,系数辅助表!$C:$F,4,0)</f>
        <v>0.86321701919291904</v>
      </c>
      <c r="J620" s="2" t="s">
        <v>69</v>
      </c>
    </row>
    <row r="621" spans="2:10" x14ac:dyDescent="0.3">
      <c r="B621" s="47" t="s">
        <v>158</v>
      </c>
      <c r="C621" t="str">
        <f>VLOOKUP($B621,'标准费用表-2024年&amp;2025年优化'!$D:$E,2,0)</f>
        <v>成都正大农牧食品有限公司</v>
      </c>
      <c r="D621" t="s">
        <v>80</v>
      </c>
      <c r="E621" s="36">
        <f>IFERROR(VLOOKUP($B621,'标准费用表-2024年&amp;2025年优化'!$D:$K,8,0)*VLOOKUP("白条",系数辅助表!$C:$G,5,0)*VLOOKUP('5.成本表'!$D621,系数辅助表!$C:$G,5,0)/VLOOKUP('5.成本表'!$D621,系数辅助表!$C:$E,3,0),)</f>
        <v>0.24909886448337201</v>
      </c>
      <c r="F621" s="36">
        <f>IFERROR(VLOOKUP($B621,'标准费用表-2024年&amp;2025年优化'!$D:$L,9,0)*VLOOKUP('5.成本表'!$D621,系数辅助表!$C:$G,5,0)/VLOOKUP($D621,系数辅助表!$C:$E,3,0),0)</f>
        <v>0.73264371906874204</v>
      </c>
      <c r="I621" s="36">
        <f>VLOOKUP($D621,系数辅助表!$C:$F,4,0)</f>
        <v>0.796873928394225</v>
      </c>
      <c r="J621" s="2" t="s">
        <v>69</v>
      </c>
    </row>
    <row r="622" spans="2:10" x14ac:dyDescent="0.3">
      <c r="B622" s="47" t="s">
        <v>158</v>
      </c>
      <c r="C622" t="str">
        <f>VLOOKUP($B622,'标准费用表-2024年&amp;2025年优化'!$D:$E,2,0)</f>
        <v>成都正大农牧食品有限公司</v>
      </c>
      <c r="D622" t="s">
        <v>81</v>
      </c>
      <c r="E622" s="36">
        <f>IFERROR(VLOOKUP($B622,'标准费用表-2024年&amp;2025年优化'!$D:$K,8,0)*VLOOKUP("白条",系数辅助表!$C:$G,5,0)*VLOOKUP('5.成本表'!$D622,系数辅助表!$C:$G,5,0)/VLOOKUP('5.成本表'!$D622,系数辅助表!$C:$E,3,0),)</f>
        <v>0.34348218980741202</v>
      </c>
      <c r="F622" s="36">
        <f>IFERROR(VLOOKUP($B622,'标准费用表-2024年&amp;2025年优化'!$D:$L,9,0)*VLOOKUP('5.成本表'!$D622,系数辅助表!$C:$G,5,0)/VLOOKUP($D622,系数辅助表!$C:$E,3,0),0)</f>
        <v>1.01024173472768</v>
      </c>
      <c r="I622" s="36">
        <f>VLOOKUP($D622,系数辅助表!$C:$F,4,0)</f>
        <v>1.09880870991909</v>
      </c>
      <c r="J622" s="2" t="s">
        <v>69</v>
      </c>
    </row>
    <row r="623" spans="2:10" x14ac:dyDescent="0.3">
      <c r="B623" s="47" t="s">
        <v>158</v>
      </c>
      <c r="C623" t="str">
        <f>VLOOKUP($B623,'标准费用表-2024年&amp;2025年优化'!$D:$E,2,0)</f>
        <v>成都正大农牧食品有限公司</v>
      </c>
      <c r="D623" t="s">
        <v>82</v>
      </c>
      <c r="E623" s="36">
        <f>IFERROR(VLOOKUP($B623,'标准费用表-2024年&amp;2025年优化'!$D:$K,8,0)*VLOOKUP("白条",系数辅助表!$C:$G,5,0)*VLOOKUP('5.成本表'!$D623,系数辅助表!$C:$G,5,0)/VLOOKUP('5.成本表'!$D623,系数辅助表!$C:$E,3,0),)</f>
        <v>0.31296120764255497</v>
      </c>
      <c r="F623" s="36">
        <f>IFERROR(VLOOKUP($B623,'标准费用表-2024年&amp;2025年优化'!$D:$L,9,0)*VLOOKUP('5.成本表'!$D623,系数辅助表!$C:$G,5,0)/VLOOKUP($D623,系数辅助表!$C:$E,3,0),0)</f>
        <v>0.92047414012516204</v>
      </c>
      <c r="I623" s="36">
        <f>VLOOKUP($D623,系数辅助表!$C:$F,4,0)</f>
        <v>1.0011712718416299</v>
      </c>
      <c r="J623" s="2" t="s">
        <v>69</v>
      </c>
    </row>
    <row r="624" spans="2:10" x14ac:dyDescent="0.3">
      <c r="B624" s="47" t="s">
        <v>158</v>
      </c>
      <c r="C624" t="str">
        <f>VLOOKUP($B624,'标准费用表-2024年&amp;2025年优化'!$D:$E,2,0)</f>
        <v>成都正大农牧食品有限公司</v>
      </c>
      <c r="D624" t="s">
        <v>83</v>
      </c>
      <c r="E624" s="36">
        <f>IFERROR(VLOOKUP($B624,'标准费用表-2024年&amp;2025年优化'!$D:$K,8,0)*VLOOKUP("白条",系数辅助表!$C:$G,5,0)*VLOOKUP('5.成本表'!$D624,系数辅助表!$C:$G,5,0)/VLOOKUP('5.成本表'!$D624,系数辅助表!$C:$E,3,0),)</f>
        <v>0.28144583961730002</v>
      </c>
      <c r="F624" s="36">
        <f>IFERROR(VLOOKUP($B624,'标准费用表-2024年&amp;2025年优化'!$D:$L,9,0)*VLOOKUP('5.成本表'!$D624,系数辅助表!$C:$G,5,0)/VLOOKUP($D624,系数辅助表!$C:$E,3,0),0)</f>
        <v>0.82778188122735297</v>
      </c>
      <c r="I624" s="36">
        <f>VLOOKUP($D624,系数辅助表!$C:$F,4,0)</f>
        <v>0.90035276680685095</v>
      </c>
      <c r="J624" s="2" t="s">
        <v>69</v>
      </c>
    </row>
    <row r="625" spans="2:10" x14ac:dyDescent="0.3">
      <c r="B625" s="47" t="s">
        <v>158</v>
      </c>
      <c r="C625" t="str">
        <f>VLOOKUP($B625,'标准费用表-2024年&amp;2025年优化'!$D:$E,2,0)</f>
        <v>成都正大农牧食品有限公司</v>
      </c>
      <c r="D625" t="s">
        <v>84</v>
      </c>
      <c r="E625" s="36">
        <f>IFERROR(VLOOKUP($B625,'标准费用表-2024年&amp;2025年优化'!$D:$K,8,0)*VLOOKUP("白条",系数辅助表!$C:$G,5,0)*VLOOKUP('5.成本表'!$D625,系数辅助表!$C:$G,5,0)/VLOOKUP('5.成本表'!$D625,系数辅助表!$C:$E,3,0),)</f>
        <v>0.28268893205005802</v>
      </c>
      <c r="F625" s="36">
        <f>IFERROR(VLOOKUP($B625,'标准费用表-2024年&amp;2025年优化'!$D:$L,9,0)*VLOOKUP('5.成本表'!$D625,系数辅助表!$C:$G,5,0)/VLOOKUP($D625,系数辅助表!$C:$E,3,0),0)</f>
        <v>0.83143803544134698</v>
      </c>
      <c r="I625" s="36">
        <f>VLOOKUP($D625,系数辅助表!$C:$F,4,0)</f>
        <v>0.90432945273957599</v>
      </c>
      <c r="J625" s="2" t="s">
        <v>69</v>
      </c>
    </row>
    <row r="626" spans="2:10" x14ac:dyDescent="0.3">
      <c r="B626" s="47" t="s">
        <v>158</v>
      </c>
      <c r="C626" t="str">
        <f>VLOOKUP($B626,'标准费用表-2024年&amp;2025年优化'!$D:$E,2,0)</f>
        <v>成都正大农牧食品有限公司</v>
      </c>
      <c r="D626" t="s">
        <v>85</v>
      </c>
      <c r="E626" s="36">
        <f>IFERROR(VLOOKUP($B626,'标准费用表-2024年&amp;2025年优化'!$D:$K,8,0)*VLOOKUP("白条",系数辅助表!$C:$G,5,0)*VLOOKUP('5.成本表'!$D626,系数辅助表!$C:$G,5,0)/VLOOKUP('5.成本表'!$D626,系数辅助表!$C:$E,3,0),)</f>
        <v>0.35147416542947701</v>
      </c>
      <c r="F626" s="36">
        <f>IFERROR(VLOOKUP($B626,'标准费用表-2024年&amp;2025年优化'!$D:$L,9,0)*VLOOKUP('5.成本表'!$D626,系数辅助表!$C:$G,5,0)/VLOOKUP($D626,系数辅助表!$C:$E,3,0),0)</f>
        <v>1.03374754538082</v>
      </c>
      <c r="I626" s="36">
        <f>VLOOKUP($D626,系数辅助表!$C:$F,4,0)</f>
        <v>1.12437525363977</v>
      </c>
      <c r="J626" s="2" t="s">
        <v>69</v>
      </c>
    </row>
    <row r="627" spans="2:10" x14ac:dyDescent="0.3">
      <c r="B627" s="47" t="s">
        <v>158</v>
      </c>
      <c r="C627" t="str">
        <f>VLOOKUP($B627,'标准费用表-2024年&amp;2025年优化'!$D:$E,2,0)</f>
        <v>成都正大农牧食品有限公司</v>
      </c>
      <c r="D627" t="s">
        <v>86</v>
      </c>
      <c r="E627" s="36">
        <f>IFERROR(VLOOKUP($B627,'标准费用表-2024年&amp;2025年优化'!$D:$K,8,0)*VLOOKUP("白条",系数辅助表!$C:$G,5,0)*VLOOKUP('5.成本表'!$D627,系数辅助表!$C:$G,5,0)/VLOOKUP('5.成本表'!$D627,系数辅助表!$C:$E,3,0),)</f>
        <v>0.30733487506507501</v>
      </c>
      <c r="F627" s="36">
        <f>IFERROR(VLOOKUP($B627,'标准费用表-2024年&amp;2025年优化'!$D:$L,9,0)*VLOOKUP('5.成本表'!$D627,系数辅助表!$C:$G,5,0)/VLOOKUP($D627,系数辅助表!$C:$E,3,0),0)</f>
        <v>0.90392610313257304</v>
      </c>
      <c r="I627" s="36">
        <f>VLOOKUP($D627,系数辅助表!$C:$F,4,0)</f>
        <v>0.98317248347795105</v>
      </c>
      <c r="J627" s="2" t="s">
        <v>69</v>
      </c>
    </row>
    <row r="628" spans="2:10" x14ac:dyDescent="0.3">
      <c r="B628" s="47" t="s">
        <v>158</v>
      </c>
      <c r="C628" t="str">
        <f>VLOOKUP($B628,'标准费用表-2024年&amp;2025年优化'!$D:$E,2,0)</f>
        <v>成都正大农牧食品有限公司</v>
      </c>
      <c r="D628" t="s">
        <v>87</v>
      </c>
      <c r="E628" s="36">
        <f>IFERROR(VLOOKUP($B628,'标准费用表-2024年&amp;2025年优化'!$D:$K,8,0)*VLOOKUP("白条",系数辅助表!$C:$G,5,0)*VLOOKUP('5.成本表'!$D628,系数辅助表!$C:$G,5,0)/VLOOKUP('5.成本表'!$D628,系数辅助表!$C:$E,3,0),)</f>
        <v>0.22260042487498199</v>
      </c>
      <c r="F628" s="36">
        <f>IFERROR(VLOOKUP($B628,'标准费用表-2024年&amp;2025年优化'!$D:$L,9,0)*VLOOKUP('5.成本表'!$D628,系数辅助表!$C:$G,5,0)/VLOOKUP($D628,系数辅助表!$C:$E,3,0),0)</f>
        <v>0.654707131985241</v>
      </c>
      <c r="I628" s="36">
        <f>VLOOKUP($D628,系数辅助表!$C:$F,4,0)</f>
        <v>0.71210471151782795</v>
      </c>
      <c r="J628" s="2" t="s">
        <v>69</v>
      </c>
    </row>
    <row r="629" spans="2:10" x14ac:dyDescent="0.3">
      <c r="B629" s="47" t="s">
        <v>158</v>
      </c>
      <c r="C629" t="str">
        <f>VLOOKUP($B629,'标准费用表-2024年&amp;2025年优化'!$D:$E,2,0)</f>
        <v>成都正大农牧食品有限公司</v>
      </c>
      <c r="D629" t="s">
        <v>88</v>
      </c>
      <c r="E629" s="36">
        <f>IFERROR(VLOOKUP($B629,'标准费用表-2024年&amp;2025年优化'!$D:$K,8,0)*VLOOKUP("白条",系数辅助表!$C:$G,5,0)*VLOOKUP('5.成本表'!$D629,系数辅助表!$C:$G,5,0)/VLOOKUP('5.成本表'!$D629,系数辅助表!$C:$E,3,0),)</f>
        <v>0.84075296066138305</v>
      </c>
      <c r="F629" s="36">
        <f>IFERROR(VLOOKUP($B629,'标准费用表-2024年&amp;2025年优化'!$D:$L,9,0)*VLOOKUP('5.成本表'!$D629,系数辅助表!$C:$G,5,0)/VLOOKUP($D629,系数辅助表!$C:$E,3,0),0)</f>
        <v>2.4728028254746599</v>
      </c>
      <c r="I629" s="36">
        <f>VLOOKUP($D629,系数辅助表!$C:$F,4,0)</f>
        <v>2.6895912029178799</v>
      </c>
      <c r="J629" s="2" t="s">
        <v>69</v>
      </c>
    </row>
    <row r="630" spans="2:10" x14ac:dyDescent="0.3">
      <c r="B630" s="47" t="s">
        <v>158</v>
      </c>
      <c r="C630" t="str">
        <f>VLOOKUP($B630,'标准费用表-2024年&amp;2025年优化'!$D:$E,2,0)</f>
        <v>成都正大农牧食品有限公司</v>
      </c>
      <c r="D630" t="s">
        <v>89</v>
      </c>
      <c r="E630" s="36">
        <f>IFERROR(VLOOKUP($B630,'标准费用表-2024年&amp;2025年优化'!$D:$K,8,0)*VLOOKUP("白条",系数辅助表!$C:$G,5,0)*VLOOKUP('5.成本表'!$D630,系数辅助表!$C:$G,5,0)/VLOOKUP('5.成本表'!$D630,系数辅助表!$C:$E,3,0),)</f>
        <v>0.36160350278870101</v>
      </c>
      <c r="F630" s="36">
        <f>IFERROR(VLOOKUP($B630,'标准费用表-2024年&amp;2025年优化'!$D:$L,9,0)*VLOOKUP('5.成本表'!$D630,系数辅助表!$C:$G,5,0)/VLOOKUP($D630,系数辅助表!$C:$E,3,0),0)</f>
        <v>1.0635397140844201</v>
      </c>
      <c r="I630" s="36">
        <f>VLOOKUP($D630,系数辅助表!$C:$F,4,0)</f>
        <v>1.1567792747107399</v>
      </c>
      <c r="J630" s="2" t="s">
        <v>69</v>
      </c>
    </row>
    <row r="631" spans="2:10" x14ac:dyDescent="0.3">
      <c r="B631" s="47" t="s">
        <v>158</v>
      </c>
      <c r="C631" t="str">
        <f>VLOOKUP($B631,'标准费用表-2024年&amp;2025年优化'!$D:$E,2,0)</f>
        <v>成都正大农牧食品有限公司</v>
      </c>
      <c r="D631" t="s">
        <v>90</v>
      </c>
      <c r="E631" s="36">
        <f>IFERROR(VLOOKUP($B631,'标准费用表-2024年&amp;2025年优化'!$D:$K,8,0)*VLOOKUP("白条",系数辅助表!$C:$G,5,0)*VLOOKUP('5.成本表'!$D631,系数辅助表!$C:$G,5,0)/VLOOKUP('5.成本表'!$D631,系数辅助表!$C:$E,3,0),)</f>
        <v>0.22850024479413</v>
      </c>
      <c r="F631" s="36">
        <f>IFERROR(VLOOKUP($B631,'标准费用表-2024年&amp;2025年优化'!$D:$L,9,0)*VLOOKUP('5.成本表'!$D631,系数辅助表!$C:$G,5,0)/VLOOKUP($D631,系数辅助表!$C:$E,3,0),0)</f>
        <v>0.67205954351214803</v>
      </c>
      <c r="I631" s="36">
        <f>VLOOKUP($D631,系数辅助表!$C:$F,4,0)</f>
        <v>0.73097839320056501</v>
      </c>
      <c r="J631" s="2" t="s">
        <v>69</v>
      </c>
    </row>
    <row r="632" spans="2:10" x14ac:dyDescent="0.3">
      <c r="B632" s="47" t="s">
        <v>158</v>
      </c>
      <c r="C632" t="str">
        <f>VLOOKUP($B632,'标准费用表-2024年&amp;2025年优化'!$D:$E,2,0)</f>
        <v>成都正大农牧食品有限公司</v>
      </c>
      <c r="D632" t="s">
        <v>91</v>
      </c>
      <c r="E632" s="36">
        <f>IFERROR(VLOOKUP($B632,'标准费用表-2024年&amp;2025年优化'!$D:$K,8,0)*VLOOKUP("白条",系数辅助表!$C:$G,5,0)*VLOOKUP('5.成本表'!$D632,系数辅助表!$C:$G,5,0)/VLOOKUP('5.成本表'!$D632,系数辅助表!$C:$E,3,0),)</f>
        <v>0.18946218569607501</v>
      </c>
      <c r="F632" s="36">
        <f>IFERROR(VLOOKUP($B632,'标准费用表-2024年&amp;2025年优化'!$D:$L,9,0)*VLOOKUP('5.成本表'!$D632,系数辅助表!$C:$G,5,0)/VLOOKUP($D632,系数辅助表!$C:$E,3,0),0)</f>
        <v>0.55724172263551597</v>
      </c>
      <c r="I632" s="36">
        <f>VLOOKUP($D632,系数辅助表!$C:$F,4,0)</f>
        <v>0.60609459826688905</v>
      </c>
      <c r="J632" s="2" t="s">
        <v>69</v>
      </c>
    </row>
    <row r="633" spans="2:10" x14ac:dyDescent="0.3">
      <c r="B633" s="47" t="s">
        <v>158</v>
      </c>
      <c r="C633" t="str">
        <f>VLOOKUP($B633,'标准费用表-2024年&amp;2025年优化'!$D:$E,2,0)</f>
        <v>成都正大农牧食品有限公司</v>
      </c>
      <c r="D633" t="s">
        <v>92</v>
      </c>
      <c r="E633" s="36">
        <f>IFERROR(VLOOKUP($B633,'标准费用表-2024年&amp;2025年优化'!$D:$K,8,0)*VLOOKUP("白条",系数辅助表!$C:$G,5,0)*VLOOKUP('5.成本表'!$D633,系数辅助表!$C:$G,5,0)/VLOOKUP('5.成本表'!$D633,系数辅助表!$C:$E,3,0),)</f>
        <v>7.5198159779240006E-2</v>
      </c>
      <c r="F633" s="36">
        <f>IFERROR(VLOOKUP($B633,'标准费用表-2024年&amp;2025年优化'!$D:$L,9,0)*VLOOKUP('5.成本表'!$D633,系数辅助表!$C:$G,5,0)/VLOOKUP($D633,系数辅助表!$C:$E,3,0),0)</f>
        <v>0.22117105817423499</v>
      </c>
      <c r="I633" s="36">
        <f>VLOOKUP($D633,系数辅助表!$C:$F,4,0)</f>
        <v>0.24056092393508099</v>
      </c>
      <c r="J633" s="2" t="s">
        <v>69</v>
      </c>
    </row>
    <row r="634" spans="2:10" x14ac:dyDescent="0.3">
      <c r="B634" s="47" t="s">
        <v>158</v>
      </c>
      <c r="C634" t="str">
        <f>VLOOKUP($B634,'标准费用表-2024年&amp;2025年优化'!$D:$E,2,0)</f>
        <v>成都正大农牧食品有限公司</v>
      </c>
      <c r="D634" t="s">
        <v>93</v>
      </c>
      <c r="E634" s="36">
        <f>E610</f>
        <v>0.71271676834320696</v>
      </c>
      <c r="F634" s="36">
        <f>F610</f>
        <v>2.09622578924473</v>
      </c>
      <c r="G634">
        <v>0.2</v>
      </c>
      <c r="H634">
        <v>0.3</v>
      </c>
      <c r="J634" s="2" t="s">
        <v>69</v>
      </c>
    </row>
    <row r="635" spans="2:10" x14ac:dyDescent="0.3">
      <c r="B635" s="47" t="s">
        <v>158</v>
      </c>
      <c r="C635" t="str">
        <f>VLOOKUP($B635,'标准费用表-2024年&amp;2025年优化'!$D:$E,2,0)</f>
        <v>成都正大农牧食品有限公司</v>
      </c>
      <c r="D635" t="s">
        <v>96</v>
      </c>
      <c r="E635" s="36">
        <f t="shared" ref="E635:F635" si="184">E611</f>
        <v>0.47630840419285198</v>
      </c>
      <c r="F635" s="36">
        <f t="shared" si="184"/>
        <v>1.4009070711554501</v>
      </c>
      <c r="G635">
        <v>0.2</v>
      </c>
      <c r="H635">
        <v>0.3</v>
      </c>
      <c r="J635" s="2" t="s">
        <v>69</v>
      </c>
    </row>
    <row r="636" spans="2:10" x14ac:dyDescent="0.3">
      <c r="B636" s="47" t="s">
        <v>158</v>
      </c>
      <c r="C636" t="str">
        <f>VLOOKUP($B636,'标准费用表-2024年&amp;2025年优化'!$D:$E,2,0)</f>
        <v>成都正大农牧食品有限公司</v>
      </c>
      <c r="D636" t="s">
        <v>97</v>
      </c>
      <c r="E636" s="36">
        <f t="shared" ref="E636:F636" si="185">E612</f>
        <v>1.2605885284362199</v>
      </c>
      <c r="F636" s="36">
        <f t="shared" si="185"/>
        <v>3.7076133189300702</v>
      </c>
      <c r="G636">
        <v>0.2</v>
      </c>
      <c r="H636">
        <v>0.3</v>
      </c>
      <c r="J636" s="2" t="s">
        <v>69</v>
      </c>
    </row>
    <row r="637" spans="2:10" x14ac:dyDescent="0.3">
      <c r="B637" s="47" t="s">
        <v>158</v>
      </c>
      <c r="C637" t="str">
        <f>VLOOKUP($B637,'标准费用表-2024年&amp;2025年优化'!$D:$E,2,0)</f>
        <v>成都正大农牧食品有限公司</v>
      </c>
      <c r="D637" t="s">
        <v>98</v>
      </c>
      <c r="E637" s="36">
        <f t="shared" ref="E637:F637" si="186">E613</f>
        <v>0.73415453027736999</v>
      </c>
      <c r="F637" s="36">
        <f t="shared" si="186"/>
        <v>2.15927803022756</v>
      </c>
      <c r="G637">
        <v>0.2</v>
      </c>
      <c r="H637">
        <v>0.3</v>
      </c>
      <c r="J637" s="2" t="s">
        <v>69</v>
      </c>
    </row>
    <row r="638" spans="2:10" x14ac:dyDescent="0.3">
      <c r="B638" s="47" t="s">
        <v>158</v>
      </c>
      <c r="C638" t="str">
        <f>VLOOKUP($B638,'标准费用表-2024年&amp;2025年优化'!$D:$E,2,0)</f>
        <v>成都正大农牧食品有限公司</v>
      </c>
      <c r="D638" t="s">
        <v>99</v>
      </c>
      <c r="E638" s="36">
        <f t="shared" ref="E638:F638" si="187">E614</f>
        <v>0.441033179974751</v>
      </c>
      <c r="F638" s="36">
        <f t="shared" si="187"/>
        <v>1.2971564116904399</v>
      </c>
      <c r="G638">
        <v>0.2</v>
      </c>
      <c r="H638">
        <v>0.3</v>
      </c>
      <c r="J638" s="2" t="s">
        <v>69</v>
      </c>
    </row>
    <row r="639" spans="2:10" x14ac:dyDescent="0.3">
      <c r="B639" s="47" t="s">
        <v>158</v>
      </c>
      <c r="C639" t="str">
        <f>VLOOKUP($B639,'标准费用表-2024年&amp;2025年优化'!$D:$E,2,0)</f>
        <v>成都正大农牧食品有限公司</v>
      </c>
      <c r="D639" t="s">
        <v>100</v>
      </c>
      <c r="E639" s="36">
        <f t="shared" ref="E639:F639" si="188">E615</f>
        <v>0.59552559366355295</v>
      </c>
      <c r="F639" s="36">
        <f t="shared" si="188"/>
        <v>1.7515458637163299</v>
      </c>
      <c r="G639">
        <v>0.2</v>
      </c>
      <c r="H639">
        <v>0.3</v>
      </c>
      <c r="J639" s="2" t="s">
        <v>69</v>
      </c>
    </row>
    <row r="640" spans="2:10" x14ac:dyDescent="0.3">
      <c r="B640" s="47" t="s">
        <v>158</v>
      </c>
      <c r="C640" t="str">
        <f>VLOOKUP($B640,'标准费用表-2024年&amp;2025年优化'!$D:$E,2,0)</f>
        <v>成都正大农牧食品有限公司</v>
      </c>
      <c r="D640" t="s">
        <v>101</v>
      </c>
      <c r="E640" s="36">
        <f t="shared" ref="E640:F640" si="189">E616</f>
        <v>0.44592185303561699</v>
      </c>
      <c r="F640" s="36">
        <f t="shared" si="189"/>
        <v>1.31153486186946</v>
      </c>
      <c r="G640">
        <v>0.2</v>
      </c>
      <c r="H640">
        <v>0.3</v>
      </c>
      <c r="J640" s="2" t="s">
        <v>69</v>
      </c>
    </row>
    <row r="641" spans="2:10" x14ac:dyDescent="0.3">
      <c r="B641" s="47" t="s">
        <v>158</v>
      </c>
      <c r="C641" t="str">
        <f>VLOOKUP($B641,'标准费用表-2024年&amp;2025年优化'!$D:$E,2,0)</f>
        <v>成都正大农牧食品有限公司</v>
      </c>
      <c r="D641" t="s">
        <v>102</v>
      </c>
      <c r="E641" s="36">
        <f t="shared" ref="E641:F641" si="190">E617</f>
        <v>0.45438275731698602</v>
      </c>
      <c r="F641" s="36">
        <f t="shared" si="190"/>
        <v>1.3364198744617199</v>
      </c>
      <c r="G641">
        <v>0.2</v>
      </c>
      <c r="H641">
        <v>0.3</v>
      </c>
      <c r="J641" s="2" t="s">
        <v>69</v>
      </c>
    </row>
    <row r="642" spans="2:10" x14ac:dyDescent="0.3">
      <c r="B642" s="47" t="s">
        <v>158</v>
      </c>
      <c r="C642" t="str">
        <f>VLOOKUP($B642,'标准费用表-2024年&amp;2025年优化'!$D:$E,2,0)</f>
        <v>成都正大农牧食品有限公司</v>
      </c>
      <c r="D642" t="s">
        <v>103</v>
      </c>
      <c r="E642" s="36">
        <f t="shared" ref="E642:F642" si="191">E618</f>
        <v>0.45046142163393599</v>
      </c>
      <c r="F642" s="36">
        <f t="shared" si="191"/>
        <v>1.3248865342174601</v>
      </c>
      <c r="G642">
        <v>0.2</v>
      </c>
      <c r="H642">
        <v>0.3</v>
      </c>
      <c r="J642" s="2" t="s">
        <v>69</v>
      </c>
    </row>
    <row r="643" spans="2:10" x14ac:dyDescent="0.3">
      <c r="B643" s="47" t="s">
        <v>158</v>
      </c>
      <c r="C643" t="str">
        <f>VLOOKUP($B643,'标准费用表-2024年&amp;2025年优化'!$D:$E,2,0)</f>
        <v>成都正大农牧食品有限公司</v>
      </c>
      <c r="D643" t="s">
        <v>104</v>
      </c>
      <c r="E643" s="36">
        <f t="shared" ref="E643:F643" si="192">E619</f>
        <v>0.38631519196880298</v>
      </c>
      <c r="F643" s="36">
        <f t="shared" si="192"/>
        <v>1.1362211528494199</v>
      </c>
      <c r="G643">
        <v>0.2</v>
      </c>
      <c r="H643">
        <v>0.3</v>
      </c>
      <c r="J643" s="2" t="s">
        <v>69</v>
      </c>
    </row>
    <row r="644" spans="2:10" x14ac:dyDescent="0.3">
      <c r="B644" s="47" t="s">
        <v>158</v>
      </c>
      <c r="C644" t="str">
        <f>VLOOKUP($B644,'标准费用表-2024年&amp;2025年优化'!$D:$E,2,0)</f>
        <v>成都正大农牧食品有限公司</v>
      </c>
      <c r="D644" t="s">
        <v>105</v>
      </c>
      <c r="E644" s="36">
        <f t="shared" ref="E644:F644" si="193">E620</f>
        <v>0.26983738785001499</v>
      </c>
      <c r="F644" s="36">
        <f t="shared" si="193"/>
        <v>0.793639376029455</v>
      </c>
      <c r="G644">
        <v>0.2</v>
      </c>
      <c r="H644">
        <v>0.3</v>
      </c>
      <c r="J644" s="2" t="s">
        <v>69</v>
      </c>
    </row>
    <row r="645" spans="2:10" x14ac:dyDescent="0.3">
      <c r="B645" s="47" t="s">
        <v>158</v>
      </c>
      <c r="C645" t="str">
        <f>VLOOKUP($B645,'标准费用表-2024年&amp;2025年优化'!$D:$E,2,0)</f>
        <v>成都正大农牧食品有限公司</v>
      </c>
      <c r="D645" t="s">
        <v>106</v>
      </c>
      <c r="E645" s="36">
        <f t="shared" ref="E645:F645" si="194">E621</f>
        <v>0.24909886448337201</v>
      </c>
      <c r="F645" s="36">
        <f t="shared" si="194"/>
        <v>0.73264371906874204</v>
      </c>
      <c r="G645">
        <v>0.2</v>
      </c>
      <c r="H645">
        <v>0.3</v>
      </c>
      <c r="J645" s="2" t="s">
        <v>69</v>
      </c>
    </row>
    <row r="646" spans="2:10" x14ac:dyDescent="0.3">
      <c r="B646" s="47" t="s">
        <v>158</v>
      </c>
      <c r="C646" t="str">
        <f>VLOOKUP($B646,'标准费用表-2024年&amp;2025年优化'!$D:$E,2,0)</f>
        <v>成都正大农牧食品有限公司</v>
      </c>
      <c r="D646" t="s">
        <v>107</v>
      </c>
      <c r="E646" s="36">
        <f t="shared" ref="E646:F646" si="195">E622</f>
        <v>0.34348218980741202</v>
      </c>
      <c r="F646" s="36">
        <f t="shared" si="195"/>
        <v>1.01024173472768</v>
      </c>
      <c r="G646">
        <v>0.2</v>
      </c>
      <c r="H646">
        <v>0.3</v>
      </c>
      <c r="J646" s="2" t="s">
        <v>69</v>
      </c>
    </row>
    <row r="647" spans="2:10" x14ac:dyDescent="0.3">
      <c r="B647" s="47" t="s">
        <v>158</v>
      </c>
      <c r="C647" t="str">
        <f>VLOOKUP($B647,'标准费用表-2024年&amp;2025年优化'!$D:$E,2,0)</f>
        <v>成都正大农牧食品有限公司</v>
      </c>
      <c r="D647" t="s">
        <v>108</v>
      </c>
      <c r="E647" s="36">
        <f t="shared" ref="E647:F647" si="196">E623</f>
        <v>0.31296120764255497</v>
      </c>
      <c r="F647" s="36">
        <f t="shared" si="196"/>
        <v>0.92047414012516204</v>
      </c>
      <c r="G647">
        <v>0.2</v>
      </c>
      <c r="H647">
        <v>0.3</v>
      </c>
      <c r="J647" s="2" t="s">
        <v>69</v>
      </c>
    </row>
    <row r="648" spans="2:10" x14ac:dyDescent="0.3">
      <c r="B648" s="47" t="s">
        <v>158</v>
      </c>
      <c r="C648" t="str">
        <f>VLOOKUP($B648,'标准费用表-2024年&amp;2025年优化'!$D:$E,2,0)</f>
        <v>成都正大农牧食品有限公司</v>
      </c>
      <c r="D648" t="s">
        <v>109</v>
      </c>
      <c r="E648" s="36">
        <f t="shared" ref="E648:F648" si="197">E624</f>
        <v>0.28144583961730002</v>
      </c>
      <c r="F648" s="36">
        <f t="shared" si="197"/>
        <v>0.82778188122735297</v>
      </c>
      <c r="G648">
        <v>0.2</v>
      </c>
      <c r="H648">
        <v>0.3</v>
      </c>
      <c r="J648" s="2" t="s">
        <v>69</v>
      </c>
    </row>
    <row r="649" spans="2:10" x14ac:dyDescent="0.3">
      <c r="B649" s="47" t="s">
        <v>158</v>
      </c>
      <c r="C649" t="str">
        <f>VLOOKUP($B649,'标准费用表-2024年&amp;2025年优化'!$D:$E,2,0)</f>
        <v>成都正大农牧食品有限公司</v>
      </c>
      <c r="D649" t="s">
        <v>110</v>
      </c>
      <c r="E649" s="36">
        <f t="shared" ref="E649:F649" si="198">E625</f>
        <v>0.28268893205005802</v>
      </c>
      <c r="F649" s="36">
        <f t="shared" si="198"/>
        <v>0.83143803544134698</v>
      </c>
      <c r="G649">
        <v>0.2</v>
      </c>
      <c r="H649">
        <v>0.3</v>
      </c>
      <c r="J649" s="2" t="s">
        <v>69</v>
      </c>
    </row>
    <row r="650" spans="2:10" x14ac:dyDescent="0.3">
      <c r="B650" s="47" t="s">
        <v>158</v>
      </c>
      <c r="C650" t="str">
        <f>VLOOKUP($B650,'标准费用表-2024年&amp;2025年优化'!$D:$E,2,0)</f>
        <v>成都正大农牧食品有限公司</v>
      </c>
      <c r="D650" t="s">
        <v>111</v>
      </c>
      <c r="E650" s="36">
        <f t="shared" ref="E650:F650" si="199">E626</f>
        <v>0.35147416542947701</v>
      </c>
      <c r="F650" s="36">
        <f t="shared" si="199"/>
        <v>1.03374754538082</v>
      </c>
      <c r="G650">
        <v>0.2</v>
      </c>
      <c r="H650">
        <v>0.3</v>
      </c>
      <c r="J650" s="2" t="s">
        <v>69</v>
      </c>
    </row>
    <row r="651" spans="2:10" x14ac:dyDescent="0.3">
      <c r="B651" s="47" t="s">
        <v>158</v>
      </c>
      <c r="C651" t="str">
        <f>VLOOKUP($B651,'标准费用表-2024年&amp;2025年优化'!$D:$E,2,0)</f>
        <v>成都正大农牧食品有限公司</v>
      </c>
      <c r="D651" t="s">
        <v>112</v>
      </c>
      <c r="E651" s="36">
        <f t="shared" ref="E651:F651" si="200">E627</f>
        <v>0.30733487506507501</v>
      </c>
      <c r="F651" s="36">
        <f t="shared" si="200"/>
        <v>0.90392610313257304</v>
      </c>
      <c r="G651">
        <v>0.2</v>
      </c>
      <c r="H651">
        <v>0.3</v>
      </c>
      <c r="J651" s="2" t="s">
        <v>69</v>
      </c>
    </row>
    <row r="652" spans="2:10" x14ac:dyDescent="0.3">
      <c r="B652" s="47" t="s">
        <v>158</v>
      </c>
      <c r="C652" t="str">
        <f>VLOOKUP($B652,'标准费用表-2024年&amp;2025年优化'!$D:$E,2,0)</f>
        <v>成都正大农牧食品有限公司</v>
      </c>
      <c r="D652" t="s">
        <v>113</v>
      </c>
      <c r="E652" s="36">
        <f t="shared" ref="E652:F652" si="201">E628</f>
        <v>0.22260042487498199</v>
      </c>
      <c r="F652" s="36">
        <f t="shared" si="201"/>
        <v>0.654707131985241</v>
      </c>
      <c r="G652">
        <v>0.2</v>
      </c>
      <c r="H652">
        <v>0.3</v>
      </c>
      <c r="J652" s="2" t="s">
        <v>69</v>
      </c>
    </row>
    <row r="653" spans="2:10" x14ac:dyDescent="0.3">
      <c r="B653" s="47" t="s">
        <v>158</v>
      </c>
      <c r="C653" t="str">
        <f>VLOOKUP($B653,'标准费用表-2024年&amp;2025年优化'!$D:$E,2,0)</f>
        <v>成都正大农牧食品有限公司</v>
      </c>
      <c r="D653" t="s">
        <v>114</v>
      </c>
      <c r="E653" s="36">
        <f t="shared" ref="E653:F653" si="202">E629</f>
        <v>0.84075296066138305</v>
      </c>
      <c r="F653" s="36">
        <f t="shared" si="202"/>
        <v>2.4728028254746599</v>
      </c>
      <c r="G653">
        <v>0.2</v>
      </c>
      <c r="H653">
        <v>0.3</v>
      </c>
      <c r="J653" s="2" t="s">
        <v>69</v>
      </c>
    </row>
    <row r="654" spans="2:10" x14ac:dyDescent="0.3">
      <c r="B654" s="47" t="s">
        <v>158</v>
      </c>
      <c r="C654" t="str">
        <f>VLOOKUP($B654,'标准费用表-2024年&amp;2025年优化'!$D:$E,2,0)</f>
        <v>成都正大农牧食品有限公司</v>
      </c>
      <c r="D654" t="s">
        <v>115</v>
      </c>
      <c r="E654" s="36">
        <f t="shared" ref="E654:F654" si="203">E630</f>
        <v>0.36160350278870101</v>
      </c>
      <c r="F654" s="36">
        <f t="shared" si="203"/>
        <v>1.0635397140844201</v>
      </c>
      <c r="G654">
        <v>0.2</v>
      </c>
      <c r="H654">
        <v>0.3</v>
      </c>
      <c r="J654" s="2" t="s">
        <v>69</v>
      </c>
    </row>
    <row r="655" spans="2:10" x14ac:dyDescent="0.3">
      <c r="B655" s="47" t="s">
        <v>158</v>
      </c>
      <c r="C655" t="str">
        <f>VLOOKUP($B655,'标准费用表-2024年&amp;2025年优化'!$D:$E,2,0)</f>
        <v>成都正大农牧食品有限公司</v>
      </c>
      <c r="D655" t="s">
        <v>116</v>
      </c>
      <c r="E655" s="36">
        <f t="shared" ref="E655:F655" si="204">E631</f>
        <v>0.22850024479413</v>
      </c>
      <c r="F655" s="36">
        <f t="shared" si="204"/>
        <v>0.67205954351214803</v>
      </c>
      <c r="G655">
        <v>0.2</v>
      </c>
      <c r="H655">
        <v>0.3</v>
      </c>
      <c r="J655" s="2" t="s">
        <v>69</v>
      </c>
    </row>
    <row r="656" spans="2:10" x14ac:dyDescent="0.3">
      <c r="B656" s="47" t="s">
        <v>158</v>
      </c>
      <c r="C656" t="str">
        <f>VLOOKUP($B656,'标准费用表-2024年&amp;2025年优化'!$D:$E,2,0)</f>
        <v>成都正大农牧食品有限公司</v>
      </c>
      <c r="D656" t="s">
        <v>117</v>
      </c>
      <c r="E656" s="36">
        <f t="shared" ref="E656:F656" si="205">E632</f>
        <v>0.18946218569607501</v>
      </c>
      <c r="F656" s="36">
        <f t="shared" si="205"/>
        <v>0.55724172263551597</v>
      </c>
      <c r="G656">
        <v>0.2</v>
      </c>
      <c r="H656">
        <v>0.3</v>
      </c>
      <c r="J656" s="2" t="s">
        <v>69</v>
      </c>
    </row>
    <row r="657" spans="2:10" x14ac:dyDescent="0.3">
      <c r="B657" s="47" t="s">
        <v>158</v>
      </c>
      <c r="C657" t="str">
        <f>VLOOKUP($B657,'标准费用表-2024年&amp;2025年优化'!$D:$E,2,0)</f>
        <v>成都正大农牧食品有限公司</v>
      </c>
      <c r="D657" t="s">
        <v>118</v>
      </c>
      <c r="E657" s="36">
        <f t="shared" ref="E657:F657" si="206">E633</f>
        <v>7.5198159779240006E-2</v>
      </c>
      <c r="F657" s="36">
        <f t="shared" si="206"/>
        <v>0.22117105817423499</v>
      </c>
      <c r="G657">
        <v>0.2</v>
      </c>
      <c r="H657">
        <v>0.3</v>
      </c>
      <c r="J657" s="2" t="s">
        <v>69</v>
      </c>
    </row>
    <row r="658" spans="2:10" x14ac:dyDescent="0.3">
      <c r="B658" s="47" t="s">
        <v>158</v>
      </c>
      <c r="C658" t="str">
        <f>VLOOKUP($B658,'标准费用表-2024年&amp;2025年优化'!$D:$E,2,0)</f>
        <v>成都正大农牧食品有限公司</v>
      </c>
      <c r="D658" t="s">
        <v>119</v>
      </c>
      <c r="E658" s="36">
        <f>E586</f>
        <v>0.27197214644929102</v>
      </c>
      <c r="F658" s="36">
        <f t="shared" ref="F658" si="207">F634</f>
        <v>2.09622578924473</v>
      </c>
      <c r="G658">
        <v>0.2</v>
      </c>
      <c r="H658">
        <v>0.3</v>
      </c>
      <c r="J658" s="2" t="s">
        <v>69</v>
      </c>
    </row>
    <row r="659" spans="2:10" x14ac:dyDescent="0.3">
      <c r="B659" s="47" t="s">
        <v>158</v>
      </c>
      <c r="C659" t="str">
        <f>VLOOKUP($B659,'标准费用表-2024年&amp;2025年优化'!$D:$E,2,0)</f>
        <v>成都正大农牧食品有限公司</v>
      </c>
      <c r="D659" t="s">
        <v>120</v>
      </c>
      <c r="E659" s="36">
        <f t="shared" ref="E659:E681" si="208">E587</f>
        <v>0.72687917935530699</v>
      </c>
      <c r="F659" s="36">
        <f t="shared" ref="F659" si="209">F635</f>
        <v>1.4009070711554501</v>
      </c>
      <c r="G659">
        <v>0.2</v>
      </c>
      <c r="H659">
        <v>0.3</v>
      </c>
      <c r="J659" s="2" t="s">
        <v>69</v>
      </c>
    </row>
    <row r="660" spans="2:10" x14ac:dyDescent="0.3">
      <c r="B660" s="47" t="s">
        <v>158</v>
      </c>
      <c r="C660" t="str">
        <f>VLOOKUP($B660,'标准费用表-2024年&amp;2025年优化'!$D:$E,2,0)</f>
        <v>成都正大农牧食品有限公司</v>
      </c>
      <c r="D660" t="s">
        <v>121</v>
      </c>
      <c r="E660" s="36">
        <f t="shared" si="208"/>
        <v>1.34537629341409</v>
      </c>
      <c r="F660" s="36">
        <f t="shared" ref="F660" si="210">F636</f>
        <v>3.7076133189300702</v>
      </c>
      <c r="G660">
        <v>0.2</v>
      </c>
      <c r="H660">
        <v>0.3</v>
      </c>
      <c r="J660" s="2" t="s">
        <v>69</v>
      </c>
    </row>
    <row r="661" spans="2:10" x14ac:dyDescent="0.3">
      <c r="B661" s="47" t="s">
        <v>158</v>
      </c>
      <c r="C661" t="str">
        <f>VLOOKUP($B661,'标准费用表-2024年&amp;2025年优化'!$D:$E,2,0)</f>
        <v>成都正大农牧食品有限公司</v>
      </c>
      <c r="D661" t="s">
        <v>122</v>
      </c>
      <c r="E661" s="36">
        <f t="shared" si="208"/>
        <v>0.28273768679667599</v>
      </c>
      <c r="F661" s="36">
        <f t="shared" ref="F661" si="211">F637</f>
        <v>2.15927803022756</v>
      </c>
      <c r="G661">
        <v>0.2</v>
      </c>
      <c r="H661">
        <v>0.3</v>
      </c>
      <c r="J661" s="2" t="s">
        <v>69</v>
      </c>
    </row>
    <row r="662" spans="2:10" x14ac:dyDescent="0.3">
      <c r="B662" s="47" t="s">
        <v>158</v>
      </c>
      <c r="C662" t="str">
        <f>VLOOKUP($B662,'标准费用表-2024年&amp;2025年优化'!$D:$E,2,0)</f>
        <v>成都正大农牧食品有限公司</v>
      </c>
      <c r="D662" t="s">
        <v>123</v>
      </c>
      <c r="E662" s="36">
        <f t="shared" si="208"/>
        <v>0.12482148849818001</v>
      </c>
      <c r="F662" s="36">
        <f t="shared" ref="F662" si="212">F638</f>
        <v>1.2971564116904399</v>
      </c>
      <c r="G662">
        <v>0.2</v>
      </c>
      <c r="H662">
        <v>0.3</v>
      </c>
      <c r="J662" s="2" t="s">
        <v>69</v>
      </c>
    </row>
    <row r="663" spans="2:10" x14ac:dyDescent="0.3">
      <c r="B663" s="47" t="s">
        <v>158</v>
      </c>
      <c r="C663" t="str">
        <f>VLOOKUP($B663,'标准费用表-2024年&amp;2025年优化'!$D:$E,2,0)</f>
        <v>成都正大农牧食品有限公司</v>
      </c>
      <c r="D663" t="s">
        <v>124</v>
      </c>
      <c r="E663" s="36">
        <f t="shared" si="208"/>
        <v>0.38630594692275</v>
      </c>
      <c r="F663" s="36">
        <f t="shared" ref="F663" si="213">F639</f>
        <v>1.7515458637163299</v>
      </c>
      <c r="G663">
        <v>0.2</v>
      </c>
      <c r="H663">
        <v>0.3</v>
      </c>
      <c r="J663" s="2" t="s">
        <v>69</v>
      </c>
    </row>
    <row r="664" spans="2:10" x14ac:dyDescent="0.3">
      <c r="B664" s="47" t="s">
        <v>158</v>
      </c>
      <c r="C664" t="str">
        <f>VLOOKUP($B664,'标准费用表-2024年&amp;2025年优化'!$D:$E,2,0)</f>
        <v>成都正大农牧食品有限公司</v>
      </c>
      <c r="D664" t="s">
        <v>125</v>
      </c>
      <c r="E664" s="36">
        <f t="shared" si="208"/>
        <v>0.63814720230763999</v>
      </c>
      <c r="F664" s="36">
        <f t="shared" ref="F664" si="214">F640</f>
        <v>1.31153486186946</v>
      </c>
      <c r="G664">
        <v>0.2</v>
      </c>
      <c r="H664">
        <v>0.3</v>
      </c>
      <c r="J664" s="2" t="s">
        <v>69</v>
      </c>
    </row>
    <row r="665" spans="2:10" x14ac:dyDescent="0.3">
      <c r="B665" s="47" t="s">
        <v>158</v>
      </c>
      <c r="C665" t="str">
        <f>VLOOKUP($B665,'标准费用表-2024年&amp;2025年优化'!$D:$E,2,0)</f>
        <v>成都正大农牧食品有限公司</v>
      </c>
      <c r="D665" t="s">
        <v>126</v>
      </c>
      <c r="E665" s="36">
        <f t="shared" si="208"/>
        <v>0.92572498009881099</v>
      </c>
      <c r="F665" s="36">
        <f t="shared" ref="F665" si="215">F641</f>
        <v>1.3364198744617199</v>
      </c>
      <c r="G665">
        <v>0.2</v>
      </c>
      <c r="H665">
        <v>0.3</v>
      </c>
      <c r="J665" s="2" t="s">
        <v>69</v>
      </c>
    </row>
    <row r="666" spans="2:10" x14ac:dyDescent="0.3">
      <c r="B666" s="47" t="s">
        <v>158</v>
      </c>
      <c r="C666" t="str">
        <f>VLOOKUP($B666,'标准费用表-2024年&amp;2025年优化'!$D:$E,2,0)</f>
        <v>成都正大农牧食品有限公司</v>
      </c>
      <c r="D666" t="s">
        <v>127</v>
      </c>
      <c r="E666" s="36">
        <f t="shared" si="208"/>
        <v>0.54084823855097697</v>
      </c>
      <c r="F666" s="36">
        <f t="shared" ref="F666" si="216">F642</f>
        <v>1.3248865342174601</v>
      </c>
      <c r="G666">
        <v>0.2</v>
      </c>
      <c r="H666">
        <v>0.3</v>
      </c>
      <c r="J666" s="2" t="s">
        <v>69</v>
      </c>
    </row>
    <row r="667" spans="2:10" x14ac:dyDescent="0.3">
      <c r="B667" s="47" t="s">
        <v>158</v>
      </c>
      <c r="C667" t="str">
        <f>VLOOKUP($B667,'标准费用表-2024年&amp;2025年优化'!$D:$E,2,0)</f>
        <v>成都正大农牧食品有限公司</v>
      </c>
      <c r="D667" t="s">
        <v>128</v>
      </c>
      <c r="E667" s="36">
        <f t="shared" si="208"/>
        <v>0.49669340619822</v>
      </c>
      <c r="F667" s="36">
        <f t="shared" ref="F667" si="217">F643</f>
        <v>1.1362211528494199</v>
      </c>
      <c r="G667">
        <v>0.2</v>
      </c>
      <c r="H667">
        <v>0.3</v>
      </c>
      <c r="J667" s="2" t="s">
        <v>69</v>
      </c>
    </row>
    <row r="668" spans="2:10" x14ac:dyDescent="0.3">
      <c r="B668" s="47" t="s">
        <v>158</v>
      </c>
      <c r="C668" t="str">
        <f>VLOOKUP($B668,'标准费用表-2024年&amp;2025年优化'!$D:$E,2,0)</f>
        <v>成都正大农牧食品有限公司</v>
      </c>
      <c r="D668" t="s">
        <v>129</v>
      </c>
      <c r="E668" s="36">
        <f t="shared" si="208"/>
        <v>0.63452172933701201</v>
      </c>
      <c r="F668" s="36">
        <f t="shared" ref="F668" si="218">F644</f>
        <v>0.793639376029455</v>
      </c>
      <c r="G668">
        <v>0.2</v>
      </c>
      <c r="H668">
        <v>0.3</v>
      </c>
      <c r="J668" s="2" t="s">
        <v>69</v>
      </c>
    </row>
    <row r="669" spans="2:10" x14ac:dyDescent="0.3">
      <c r="B669" s="47" t="s">
        <v>158</v>
      </c>
      <c r="C669" t="str">
        <f>VLOOKUP($B669,'标准费用表-2024年&amp;2025年优化'!$D:$E,2,0)</f>
        <v>成都正大农牧食品有限公司</v>
      </c>
      <c r="D669" t="s">
        <v>130</v>
      </c>
      <c r="E669" s="36">
        <f t="shared" si="208"/>
        <v>1.1036175627327001</v>
      </c>
      <c r="F669" s="36">
        <f t="shared" ref="F669" si="219">F645</f>
        <v>0.73264371906874204</v>
      </c>
      <c r="G669">
        <v>0.2</v>
      </c>
      <c r="H669">
        <v>0.3</v>
      </c>
      <c r="J669" s="2" t="s">
        <v>69</v>
      </c>
    </row>
    <row r="670" spans="2:10" x14ac:dyDescent="0.3">
      <c r="B670" s="47" t="s">
        <v>158</v>
      </c>
      <c r="C670" t="str">
        <f>VLOOKUP($B670,'标准费用表-2024年&amp;2025年优化'!$D:$E,2,0)</f>
        <v>成都正大农牧食品有限公司</v>
      </c>
      <c r="D670" t="s">
        <v>131</v>
      </c>
      <c r="E670" s="36">
        <f t="shared" si="208"/>
        <v>0.18789698167811</v>
      </c>
      <c r="F670" s="36">
        <f t="shared" ref="F670" si="220">F646</f>
        <v>1.01024173472768</v>
      </c>
      <c r="G670">
        <v>0.2</v>
      </c>
      <c r="H670">
        <v>0.3</v>
      </c>
      <c r="J670" s="2" t="s">
        <v>69</v>
      </c>
    </row>
    <row r="671" spans="2:10" x14ac:dyDescent="0.3">
      <c r="B671" s="47" t="s">
        <v>158</v>
      </c>
      <c r="C671" t="str">
        <f>VLOOKUP($B671,'标准费用表-2024年&amp;2025年优化'!$D:$E,2,0)</f>
        <v>成都正大农牧食品有限公司</v>
      </c>
      <c r="D671" t="s">
        <v>132</v>
      </c>
      <c r="E671" s="36">
        <f t="shared" si="208"/>
        <v>4.3503280494138701E-2</v>
      </c>
      <c r="F671" s="36">
        <f t="shared" ref="F671" si="221">F647</f>
        <v>0.92047414012516204</v>
      </c>
      <c r="G671">
        <v>0.2</v>
      </c>
      <c r="H671">
        <v>0.3</v>
      </c>
      <c r="J671" s="2" t="s">
        <v>69</v>
      </c>
    </row>
    <row r="672" spans="2:10" x14ac:dyDescent="0.3">
      <c r="B672" s="47" t="s">
        <v>158</v>
      </c>
      <c r="C672" t="str">
        <f>VLOOKUP($B672,'标准费用表-2024年&amp;2025年优化'!$D:$E,2,0)</f>
        <v>成都正大农牧食品有限公司</v>
      </c>
      <c r="D672" t="s">
        <v>133</v>
      </c>
      <c r="E672" s="36">
        <f t="shared" si="208"/>
        <v>0.23339977827601099</v>
      </c>
      <c r="F672" s="36">
        <f t="shared" ref="F672" si="222">F648</f>
        <v>0.82778188122735297</v>
      </c>
      <c r="G672">
        <v>0.2</v>
      </c>
      <c r="H672">
        <v>0.3</v>
      </c>
      <c r="J672" s="2" t="s">
        <v>69</v>
      </c>
    </row>
    <row r="673" spans="2:10" x14ac:dyDescent="0.3">
      <c r="B673" s="47" t="s">
        <v>158</v>
      </c>
      <c r="C673" t="str">
        <f>VLOOKUP($B673,'标准费用表-2024年&amp;2025年优化'!$D:$E,2,0)</f>
        <v>成都正大农牧食品有限公司</v>
      </c>
      <c r="D673" t="s">
        <v>134</v>
      </c>
      <c r="E673" s="36">
        <f t="shared" si="208"/>
        <v>0.152662674224187</v>
      </c>
      <c r="F673" s="36">
        <f t="shared" ref="F673" si="223">F649</f>
        <v>0.83143803544134698</v>
      </c>
      <c r="G673">
        <v>0.2</v>
      </c>
      <c r="H673">
        <v>0.3</v>
      </c>
      <c r="J673" s="2" t="s">
        <v>69</v>
      </c>
    </row>
    <row r="674" spans="2:10" x14ac:dyDescent="0.3">
      <c r="B674" s="47" t="s">
        <v>158</v>
      </c>
      <c r="C674" t="str">
        <f>VLOOKUP($B674,'标准费用表-2024年&amp;2025年优化'!$D:$E,2,0)</f>
        <v>成都正大农牧食品有限公司</v>
      </c>
      <c r="D674" t="s">
        <v>135</v>
      </c>
      <c r="E674" s="36">
        <f t="shared" si="208"/>
        <v>0.101186773590188</v>
      </c>
      <c r="F674" s="36">
        <f t="shared" ref="F674" si="224">F650</f>
        <v>1.03374754538082</v>
      </c>
      <c r="G674">
        <v>0.2</v>
      </c>
      <c r="H674">
        <v>0.3</v>
      </c>
      <c r="J674" s="2" t="s">
        <v>69</v>
      </c>
    </row>
    <row r="675" spans="2:10" x14ac:dyDescent="0.3">
      <c r="B675" s="47" t="s">
        <v>158</v>
      </c>
      <c r="C675" t="str">
        <f>VLOOKUP($B675,'标准费用表-2024年&amp;2025年优化'!$D:$E,2,0)</f>
        <v>成都正大农牧食品有限公司</v>
      </c>
      <c r="D675" t="s">
        <v>136</v>
      </c>
      <c r="E675" s="36">
        <f t="shared" si="208"/>
        <v>1.7470120101894498E-2</v>
      </c>
      <c r="F675" s="36">
        <f t="shared" ref="F675" si="225">F651</f>
        <v>0.90392610313257304</v>
      </c>
      <c r="G675">
        <v>0.2</v>
      </c>
      <c r="H675">
        <v>0.3</v>
      </c>
      <c r="J675" s="2" t="s">
        <v>69</v>
      </c>
    </row>
    <row r="676" spans="2:10" x14ac:dyDescent="0.3">
      <c r="B676" s="47" t="s">
        <v>158</v>
      </c>
      <c r="C676" t="str">
        <f>VLOOKUP($B676,'标准费用表-2024年&amp;2025年优化'!$D:$E,2,0)</f>
        <v>成都正大农牧食品有限公司</v>
      </c>
      <c r="D676" t="s">
        <v>137</v>
      </c>
      <c r="E676" s="36">
        <f t="shared" si="208"/>
        <v>9.1424760088102699E-2</v>
      </c>
      <c r="F676" s="36">
        <f t="shared" ref="F676" si="226">F652</f>
        <v>0.654707131985241</v>
      </c>
      <c r="G676">
        <v>0.2</v>
      </c>
      <c r="H676">
        <v>0.3</v>
      </c>
      <c r="J676" s="2" t="s">
        <v>69</v>
      </c>
    </row>
    <row r="677" spans="2:10" x14ac:dyDescent="0.3">
      <c r="B677" s="47" t="s">
        <v>158</v>
      </c>
      <c r="C677" t="str">
        <f>VLOOKUP($B677,'标准费用表-2024年&amp;2025年优化'!$D:$E,2,0)</f>
        <v>成都正大农牧食品有限公司</v>
      </c>
      <c r="D677" t="s">
        <v>138</v>
      </c>
      <c r="E677" s="36">
        <f t="shared" si="208"/>
        <v>8.3894351111059806E-2</v>
      </c>
      <c r="F677" s="36">
        <f t="shared" ref="F677" si="227">F653</f>
        <v>2.4728028254746599</v>
      </c>
      <c r="G677">
        <v>0.2</v>
      </c>
      <c r="H677">
        <v>0.3</v>
      </c>
      <c r="J677" s="2" t="s">
        <v>69</v>
      </c>
    </row>
    <row r="678" spans="2:10" x14ac:dyDescent="0.3">
      <c r="B678" s="47" t="s">
        <v>158</v>
      </c>
      <c r="C678" t="str">
        <f>VLOOKUP($B678,'标准费用表-2024年&amp;2025年优化'!$D:$E,2,0)</f>
        <v>成都正大农牧食品有限公司</v>
      </c>
      <c r="D678" t="s">
        <v>139</v>
      </c>
      <c r="E678" s="36">
        <f t="shared" si="208"/>
        <v>0.29350531110691902</v>
      </c>
      <c r="F678" s="36">
        <f t="shared" ref="F678" si="228">F654</f>
        <v>1.0635397140844201</v>
      </c>
      <c r="G678">
        <v>0.2</v>
      </c>
      <c r="H678">
        <v>0.3</v>
      </c>
      <c r="J678" s="2" t="s">
        <v>69</v>
      </c>
    </row>
    <row r="679" spans="2:10" x14ac:dyDescent="0.3">
      <c r="B679" s="47" t="s">
        <v>158</v>
      </c>
      <c r="C679" t="str">
        <f>VLOOKUP($B679,'标准费用表-2024年&amp;2025年优化'!$D:$E,2,0)</f>
        <v>成都正大农牧食品有限公司</v>
      </c>
      <c r="D679" t="s">
        <v>140</v>
      </c>
      <c r="E679" s="36">
        <f t="shared" si="208"/>
        <v>0.34377396751473899</v>
      </c>
      <c r="F679" s="36">
        <f t="shared" ref="F679" si="229">F655</f>
        <v>0.67205954351214803</v>
      </c>
      <c r="G679">
        <v>0.2</v>
      </c>
      <c r="H679">
        <v>0.3</v>
      </c>
      <c r="J679" s="2" t="s">
        <v>69</v>
      </c>
    </row>
    <row r="680" spans="2:10" x14ac:dyDescent="0.3">
      <c r="B680" s="47" t="s">
        <v>158</v>
      </c>
      <c r="C680" t="str">
        <f>VLOOKUP($B680,'标准费用表-2024年&amp;2025年优化'!$D:$E,2,0)</f>
        <v>成都正大农牧食品有限公司</v>
      </c>
      <c r="D680" t="s">
        <v>141</v>
      </c>
      <c r="E680" s="36">
        <f t="shared" si="208"/>
        <v>9.8299379792142594E-2</v>
      </c>
      <c r="F680" s="36">
        <f t="shared" ref="F680" si="230">F656</f>
        <v>0.55724172263551597</v>
      </c>
      <c r="G680">
        <v>0.2</v>
      </c>
      <c r="H680">
        <v>0.3</v>
      </c>
      <c r="J680" s="2" t="s">
        <v>69</v>
      </c>
    </row>
    <row r="681" spans="2:10" x14ac:dyDescent="0.3">
      <c r="B681" s="47" t="s">
        <v>158</v>
      </c>
      <c r="C681" t="str">
        <f>VLOOKUP($B681,'标准费用表-2024年&amp;2025年优化'!$D:$E,2,0)</f>
        <v>成都正大农牧食品有限公司</v>
      </c>
      <c r="D681" t="s">
        <v>142</v>
      </c>
      <c r="E681" s="36">
        <f t="shared" si="208"/>
        <v>2.9246715386571601E-2</v>
      </c>
      <c r="F681" s="36">
        <f t="shared" ref="F681" si="231">F657</f>
        <v>0.22117105817423499</v>
      </c>
      <c r="G681">
        <v>0.2</v>
      </c>
      <c r="H681">
        <v>0.3</v>
      </c>
      <c r="J681" s="2" t="s">
        <v>69</v>
      </c>
    </row>
    <row r="682" spans="2:10" x14ac:dyDescent="0.3">
      <c r="B682" s="47" t="s">
        <v>160</v>
      </c>
      <c r="C682" t="str">
        <f>VLOOKUP($B682,'标准费用表-2024年&amp;2025年优化'!$D:$E,2,0)</f>
        <v>正大食品（长沙）有限公司</v>
      </c>
      <c r="D682" t="s">
        <v>41</v>
      </c>
      <c r="E682" s="46">
        <f>IFERROR(VLOOKUP($B682,'标准费用表-2024年&amp;2025年优化'!$D:$K,8,0)*VLOOKUP('5.成本表'!$D682,系数辅助表!$C:$G,5,0)/VLOOKUP($D682,系数辅助表!$C:$E,3,0),0)</f>
        <v>0.76339997928315495</v>
      </c>
      <c r="I682" s="36">
        <f>VLOOKUP($D682,系数辅助表!$C:$F,4,0)</f>
        <v>1.33</v>
      </c>
      <c r="J682" s="2" t="s">
        <v>41</v>
      </c>
    </row>
    <row r="683" spans="2:10" x14ac:dyDescent="0.3">
      <c r="B683" s="47" t="s">
        <v>160</v>
      </c>
      <c r="C683" t="str">
        <f>VLOOKUP($B683,'标准费用表-2024年&amp;2025年优化'!$D:$E,2,0)</f>
        <v>正大食品（长沙）有限公司</v>
      </c>
      <c r="D683" t="s">
        <v>44</v>
      </c>
      <c r="E683" s="46">
        <f>IFERROR(VLOOKUP($B683,'标准费用表-2024年&amp;2025年优化'!$D:$K,8,0)*系数辅助表!$J$6*VLOOKUP('5.成本表'!$D683,系数辅助表!$C:$G,5,0)/VLOOKUP($D683,系数辅助表!$C:$E,3,0),0)</f>
        <v>0.43662007247048101</v>
      </c>
      <c r="I683" s="36">
        <f>VLOOKUP($D683,系数辅助表!$C:$F,4,0)</f>
        <v>0.789027855994753</v>
      </c>
      <c r="J683" s="2" t="s">
        <v>200</v>
      </c>
    </row>
    <row r="684" spans="2:10" x14ac:dyDescent="0.3">
      <c r="B684" s="47" t="s">
        <v>160</v>
      </c>
      <c r="C684" t="str">
        <f>VLOOKUP($B684,'标准费用表-2024年&amp;2025年优化'!$D:$E,2,0)</f>
        <v>正大食品（长沙）有限公司</v>
      </c>
      <c r="D684" t="s">
        <v>45</v>
      </c>
      <c r="E684" s="46">
        <f>IFERROR(VLOOKUP($B684,'标准费用表-2024年&amp;2025年优化'!$D:$K,8,0)*系数辅助表!$J$6*VLOOKUP('5.成本表'!$D684,系数辅助表!$C:$G,5,0)/VLOOKUP($D684,系数辅助表!$C:$E,3,0),0)</f>
        <v>1.16692111346987</v>
      </c>
      <c r="I684" s="36">
        <f>VLOOKUP($D684,系数辅助表!$C:$F,4,0)</f>
        <v>2.1087744754070901</v>
      </c>
      <c r="J684" s="2" t="s">
        <v>200</v>
      </c>
    </row>
    <row r="685" spans="2:10" x14ac:dyDescent="0.3">
      <c r="B685" s="47" t="s">
        <v>160</v>
      </c>
      <c r="C685" t="str">
        <f>VLOOKUP($B685,'标准费用表-2024年&amp;2025年优化'!$D:$E,2,0)</f>
        <v>正大食品（长沙）有限公司</v>
      </c>
      <c r="D685" t="s">
        <v>46</v>
      </c>
      <c r="E685" s="46">
        <f>IFERROR(VLOOKUP($B685,'标准费用表-2024年&amp;2025年优化'!$D:$K,8,0)*系数辅助表!$J$6*VLOOKUP('5.成本表'!$D685,系数辅助表!$C:$G,5,0)/VLOOKUP($D685,系数辅助表!$C:$E,3,0),0)</f>
        <v>2.1598472578884098</v>
      </c>
      <c r="I685" s="36">
        <f>VLOOKUP($D685,系数辅助表!$C:$F,4,0)</f>
        <v>3.9031179705625099</v>
      </c>
      <c r="J685" s="2" t="s">
        <v>200</v>
      </c>
    </row>
    <row r="686" spans="2:10" x14ac:dyDescent="0.3">
      <c r="B686" s="47" t="s">
        <v>160</v>
      </c>
      <c r="C686" t="str">
        <f>VLOOKUP($B686,'标准费用表-2024年&amp;2025年优化'!$D:$E,2,0)</f>
        <v>正大食品（长沙）有限公司</v>
      </c>
      <c r="D686" t="s">
        <v>47</v>
      </c>
      <c r="E686" s="46">
        <f>IFERROR(VLOOKUP($B686,'标准费用表-2024年&amp;2025年优化'!$D:$K,8,0)*系数辅助表!$J$6*VLOOKUP('5.成本表'!$D686,系数辅助表!$C:$G,5,0)/VLOOKUP($D686,系数辅助表!$C:$E,3,0),0)</f>
        <v>0.45390291215838902</v>
      </c>
      <c r="I686" s="36">
        <f>VLOOKUP($D686,系数辅助表!$C:$F,4,0)</f>
        <v>0.82026013963048305</v>
      </c>
      <c r="J686" s="2" t="s">
        <v>200</v>
      </c>
    </row>
    <row r="687" spans="2:10" x14ac:dyDescent="0.3">
      <c r="B687" s="47" t="s">
        <v>160</v>
      </c>
      <c r="C687" t="str">
        <f>VLOOKUP($B687,'标准费用表-2024年&amp;2025年优化'!$D:$E,2,0)</f>
        <v>正大食品（长沙）有限公司</v>
      </c>
      <c r="D687" t="s">
        <v>48</v>
      </c>
      <c r="E687" s="46">
        <f>IFERROR(VLOOKUP($B687,'标准费用表-2024年&amp;2025年优化'!$D:$K,8,0)*系数辅助表!$J$6*VLOOKUP('5.成本表'!$D687,系数辅助表!$C:$G,5,0)/VLOOKUP($D687,系数辅助表!$C:$E,3,0),0)</f>
        <v>0.200386576586842</v>
      </c>
      <c r="I687" s="36">
        <f>VLOOKUP($D687,系数辅助表!$C:$F,4,0)</f>
        <v>0.36212396283071502</v>
      </c>
      <c r="J687" s="2" t="s">
        <v>200</v>
      </c>
    </row>
    <row r="688" spans="2:10" x14ac:dyDescent="0.3">
      <c r="B688" s="47" t="s">
        <v>160</v>
      </c>
      <c r="C688" t="str">
        <f>VLOOKUP($B688,'标准费用表-2024年&amp;2025年优化'!$D:$E,2,0)</f>
        <v>正大食品（长沙）有限公司</v>
      </c>
      <c r="D688" t="s">
        <v>49</v>
      </c>
      <c r="E688" s="46">
        <f>IFERROR(VLOOKUP($B688,'标准费用表-2024年&amp;2025年优化'!$D:$K,8,0)*系数辅助表!$J$6*VLOOKUP('5.成本表'!$D688,系数辅助表!$C:$G,5,0)/VLOOKUP($D688,系数辅助表!$C:$E,3,0),0)</f>
        <v>0.62016986939005103</v>
      </c>
      <c r="I688" s="36">
        <f>VLOOKUP($D688,系数辅助表!$C:$F,4,0)</f>
        <v>1.1207256222295201</v>
      </c>
      <c r="J688" s="2" t="s">
        <v>200</v>
      </c>
    </row>
    <row r="689" spans="2:10" x14ac:dyDescent="0.3">
      <c r="B689" s="47" t="s">
        <v>160</v>
      </c>
      <c r="C689" t="str">
        <f>VLOOKUP($B689,'标准费用表-2024年&amp;2025年优化'!$D:$E,2,0)</f>
        <v>正大食品（长沙）有限公司</v>
      </c>
      <c r="D689" t="s">
        <v>50</v>
      </c>
      <c r="E689" s="46">
        <f>IFERROR(VLOOKUP($B689,'标准费用表-2024年&amp;2025年优化'!$D:$K,8,0)*系数辅助表!$J$6*VLOOKUP('5.成本表'!$D689,系数辅助表!$C:$G,5,0)/VLOOKUP($D689,系数辅助表!$C:$E,3,0),0)</f>
        <v>1.02447210626529</v>
      </c>
      <c r="I689" s="36">
        <f>VLOOKUP($D689,系数辅助表!$C:$F,4,0)</f>
        <v>1.8513510498021799</v>
      </c>
      <c r="J689" s="2" t="s">
        <v>200</v>
      </c>
    </row>
    <row r="690" spans="2:10" x14ac:dyDescent="0.3">
      <c r="B690" s="47" t="s">
        <v>160</v>
      </c>
      <c r="C690" t="str">
        <f>VLOOKUP($B690,'标准费用表-2024年&amp;2025年优化'!$D:$E,2,0)</f>
        <v>正大食品（长沙）有限公司</v>
      </c>
      <c r="D690" t="s">
        <v>51</v>
      </c>
      <c r="E690" s="46">
        <f>IFERROR(VLOOKUP($B690,'标准费用表-2024年&amp;2025年优化'!$D:$K,8,0)*系数辅助表!$J$6*VLOOKUP('5.成本表'!$D690,系数辅助表!$C:$G,5,0)/VLOOKUP($D690,系数辅助表!$C:$E,3,0),0)</f>
        <v>1.4861452291175601</v>
      </c>
      <c r="I690" s="36">
        <f>VLOOKUP($D690,系数辅助表!$C:$F,4,0)</f>
        <v>2.68565294580391</v>
      </c>
      <c r="J690" s="2" t="s">
        <v>200</v>
      </c>
    </row>
    <row r="691" spans="2:10" x14ac:dyDescent="0.3">
      <c r="B691" s="47" t="s">
        <v>160</v>
      </c>
      <c r="C691" t="str">
        <f>VLOOKUP($B691,'标准费用表-2024年&amp;2025年优化'!$D:$E,2,0)</f>
        <v>正大食品（长沙）有限公司</v>
      </c>
      <c r="D691" t="s">
        <v>52</v>
      </c>
      <c r="E691" s="46">
        <f>IFERROR(VLOOKUP($B691,'标准费用表-2024年&amp;2025年优化'!$D:$K,8,0)*系数辅助表!$J$6*VLOOKUP('5.成本表'!$D691,系数辅助表!$C:$G,5,0)/VLOOKUP($D691,系数辅助表!$C:$E,3,0),0)</f>
        <v>0.86826978495641105</v>
      </c>
      <c r="I691" s="36">
        <f>VLOOKUP($D691,系数辅助表!$C:$F,4,0)</f>
        <v>1.5690736410097099</v>
      </c>
      <c r="J691" s="2" t="s">
        <v>200</v>
      </c>
    </row>
    <row r="692" spans="2:10" x14ac:dyDescent="0.3">
      <c r="B692" s="47" t="s">
        <v>160</v>
      </c>
      <c r="C692" t="str">
        <f>VLOOKUP($B692,'标准费用表-2024年&amp;2025年优化'!$D:$E,2,0)</f>
        <v>正大食品（长沙）有限公司</v>
      </c>
      <c r="D692" t="s">
        <v>53</v>
      </c>
      <c r="E692" s="46">
        <f>IFERROR(VLOOKUP($B692,'标准费用表-2024年&amp;2025年优化'!$D:$K,8,0)*系数辅助表!$J$6*VLOOKUP('5.成本表'!$D692,系数辅助表!$C:$G,5,0)/VLOOKUP($D692,系数辅助表!$C:$E,3,0),0)</f>
        <v>0.79738426835672804</v>
      </c>
      <c r="I692" s="36">
        <f>VLOOKUP($D692,系数辅助表!$C:$F,4,0)</f>
        <v>1.44097452072131</v>
      </c>
      <c r="J692" s="2" t="s">
        <v>200</v>
      </c>
    </row>
    <row r="693" spans="2:10" x14ac:dyDescent="0.3">
      <c r="B693" s="47" t="s">
        <v>160</v>
      </c>
      <c r="C693" t="str">
        <f>VLOOKUP($B693,'标准费用表-2024年&amp;2025年优化'!$D:$E,2,0)</f>
        <v>正大食品（长沙）有限公司</v>
      </c>
      <c r="D693" t="s">
        <v>54</v>
      </c>
      <c r="E693" s="46">
        <f>IFERROR(VLOOKUP($B693,'标准费用表-2024年&amp;2025年优化'!$D:$K,8,0)*系数辅助表!$J$6*VLOOKUP('5.成本表'!$D693,系数辅助表!$C:$G,5,0)/VLOOKUP($D693,系数辅助表!$C:$E,3,0),0)</f>
        <v>1.0186518254319701</v>
      </c>
      <c r="I693" s="36">
        <f>VLOOKUP($D693,系数辅助表!$C:$F,4,0)</f>
        <v>1.8408330640366199</v>
      </c>
      <c r="J693" s="2" t="s">
        <v>200</v>
      </c>
    </row>
    <row r="694" spans="2:10" x14ac:dyDescent="0.3">
      <c r="B694" s="47" t="s">
        <v>160</v>
      </c>
      <c r="C694" t="str">
        <f>VLOOKUP($B694,'标准费用表-2024年&amp;2025年优化'!$D:$E,2,0)</f>
        <v>正大食品（长沙）有限公司</v>
      </c>
      <c r="D694" t="s">
        <v>55</v>
      </c>
      <c r="E694" s="46">
        <f>IFERROR(VLOOKUP($B694,'标准费用表-2024年&amp;2025年优化'!$D:$K,8,0)*系数辅助表!$J$6*VLOOKUP('5.成本表'!$D694,系数辅助表!$C:$G,5,0)/VLOOKUP($D694,系数辅助表!$C:$E,3,0),0)</f>
        <v>1.7717313574605</v>
      </c>
      <c r="I694" s="36">
        <f>VLOOKUP($D694,系数辅助表!$C:$F,4,0)</f>
        <v>3.2017433061789502</v>
      </c>
      <c r="J694" s="2" t="s">
        <v>200</v>
      </c>
    </row>
    <row r="695" spans="2:10" x14ac:dyDescent="0.3">
      <c r="B695" s="47" t="s">
        <v>160</v>
      </c>
      <c r="C695" t="str">
        <f>VLOOKUP($B695,'标准费用表-2024年&amp;2025年优化'!$D:$E,2,0)</f>
        <v>正大食品（长沙）有限公司</v>
      </c>
      <c r="D695" t="s">
        <v>56</v>
      </c>
      <c r="E695" s="46">
        <f>IFERROR(VLOOKUP($B695,'标准费用表-2024年&amp;2025年优化'!$D:$K,8,0)*系数辅助表!$J$6*VLOOKUP('5.成本表'!$D695,系数辅助表!$C:$G,5,0)/VLOOKUP($D695,系数辅助表!$C:$E,3,0),0)</f>
        <v>0.30164704300915302</v>
      </c>
      <c r="I695" s="36">
        <f>VLOOKUP($D695,系数辅助表!$C:$F,4,0)</f>
        <v>0.54511447049599404</v>
      </c>
      <c r="J695" s="2" t="s">
        <v>200</v>
      </c>
    </row>
    <row r="696" spans="2:10" x14ac:dyDescent="0.3">
      <c r="B696" s="47" t="s">
        <v>160</v>
      </c>
      <c r="C696" t="str">
        <f>VLOOKUP($B696,'标准费用表-2024年&amp;2025年优化'!$D:$E,2,0)</f>
        <v>正大食品（长沙）有限公司</v>
      </c>
      <c r="D696" t="s">
        <v>57</v>
      </c>
      <c r="E696" s="46">
        <f>IFERROR(VLOOKUP($B696,'标准费用表-2024年&amp;2025年优化'!$D:$K,8,0)*系数辅助表!$J$6*VLOOKUP('5.成本表'!$D696,系数辅助表!$C:$G,5,0)/VLOOKUP($D696,系数辅助表!$C:$E,3,0),0)</f>
        <v>6.9839524855887999E-2</v>
      </c>
      <c r="I696" s="36">
        <f>VLOOKUP($D696,系数辅助表!$C:$F,4,0)</f>
        <v>0.126208880523832</v>
      </c>
      <c r="J696" s="2" t="s">
        <v>200</v>
      </c>
    </row>
    <row r="697" spans="2:10" x14ac:dyDescent="0.3">
      <c r="B697" s="47" t="s">
        <v>160</v>
      </c>
      <c r="C697" t="str">
        <f>VLOOKUP($B697,'标准费用表-2024年&amp;2025年优化'!$D:$E,2,0)</f>
        <v>正大食品（长沙）有限公司</v>
      </c>
      <c r="D697" t="s">
        <v>58</v>
      </c>
      <c r="E697" s="46">
        <f>IFERROR(VLOOKUP($B697,'标准费用表-2024年&amp;2025年优化'!$D:$K,8,0)*系数辅助表!$J$6*VLOOKUP('5.成本表'!$D697,系数辅助表!$C:$G,5,0)/VLOOKUP($D697,系数辅助表!$C:$E,3,0),0)</f>
        <v>0.37469656152626102</v>
      </c>
      <c r="I697" s="36">
        <f>VLOOKUP($D697,系数辅助表!$C:$F,4,0)</f>
        <v>0.67712421675176204</v>
      </c>
      <c r="J697" s="2" t="s">
        <v>200</v>
      </c>
    </row>
    <row r="698" spans="2:10" x14ac:dyDescent="0.3">
      <c r="B698" s="47" t="s">
        <v>160</v>
      </c>
      <c r="C698" t="str">
        <f>VLOOKUP($B698,'标准费用表-2024年&amp;2025年优化'!$D:$E,2,0)</f>
        <v>正大食品（长沙）有限公司</v>
      </c>
      <c r="D698" t="s">
        <v>59</v>
      </c>
      <c r="E698" s="46">
        <f>IFERROR(VLOOKUP($B698,'标准费用表-2024年&amp;2025年优化'!$D:$K,8,0)*系数辅助表!$J$6*VLOOKUP('5.成本表'!$D698,系数辅助表!$C:$G,5,0)/VLOOKUP($D698,系数辅助表!$C:$E,3,0),0)</f>
        <v>0.24508240550923399</v>
      </c>
      <c r="I698" s="36">
        <f>VLOOKUP($D698,系数辅助表!$C:$F,4,0)</f>
        <v>0.44289499533730498</v>
      </c>
      <c r="J698" s="2" t="s">
        <v>200</v>
      </c>
    </row>
    <row r="699" spans="2:10" x14ac:dyDescent="0.3">
      <c r="B699" s="47" t="s">
        <v>160</v>
      </c>
      <c r="C699" t="str">
        <f>VLOOKUP($B699,'标准费用表-2024年&amp;2025年优化'!$D:$E,2,0)</f>
        <v>正大食品（长沙）有限公司</v>
      </c>
      <c r="D699" t="s">
        <v>60</v>
      </c>
      <c r="E699" s="46">
        <f>IFERROR(VLOOKUP($B699,'标准费用表-2024年&amp;2025年优化'!$D:$K,8,0)*系数辅助表!$J$6*VLOOKUP('5.成本表'!$D699,系数辅助表!$C:$G,5,0)/VLOOKUP($D699,系数辅助表!$C:$E,3,0),0)</f>
        <v>0.16244375387256599</v>
      </c>
      <c r="I699" s="36">
        <f>VLOOKUP($D699,系数辅助表!$C:$F,4,0)</f>
        <v>0.29355646915769201</v>
      </c>
      <c r="J699" s="2" t="s">
        <v>200</v>
      </c>
    </row>
    <row r="700" spans="2:10" x14ac:dyDescent="0.3">
      <c r="B700" s="47" t="s">
        <v>160</v>
      </c>
      <c r="C700" t="str">
        <f>VLOOKUP($B700,'标准费用表-2024年&amp;2025年优化'!$D:$E,2,0)</f>
        <v>正大食品（长沙）有限公司</v>
      </c>
      <c r="D700" t="s">
        <v>61</v>
      </c>
      <c r="E700" s="46">
        <f>IFERROR(VLOOKUP($B700,'标准费用表-2024年&amp;2025年优化'!$D:$K,8,0)*系数辅助表!$J$6*VLOOKUP('5.成本表'!$D700,系数辅助表!$C:$G,5,0)/VLOOKUP($D700,系数辅助表!$C:$E,3,0),0)</f>
        <v>2.8046273136941899E-2</v>
      </c>
      <c r="I700" s="36">
        <f>VLOOKUP($D700,系数辅助表!$C:$F,4,0)</f>
        <v>5.0683173214352499E-2</v>
      </c>
      <c r="J700" s="2" t="s">
        <v>200</v>
      </c>
    </row>
    <row r="701" spans="2:10" x14ac:dyDescent="0.3">
      <c r="B701" s="47" t="s">
        <v>160</v>
      </c>
      <c r="C701" t="str">
        <f>VLOOKUP($B701,'标准费用表-2024年&amp;2025年优化'!$D:$E,2,0)</f>
        <v>正大食品（长沙）有限公司</v>
      </c>
      <c r="D701" t="s">
        <v>62</v>
      </c>
      <c r="E701" s="46">
        <f>IFERROR(VLOOKUP($B701,'标准费用表-2024年&amp;2025年优化'!$D:$K,8,0)*系数辅助表!$J$6*VLOOKUP('5.成本表'!$D701,系数辅助表!$C:$G,5,0)/VLOOKUP($D701,系数辅助表!$C:$E,3,0),0)</f>
        <v>0.146771961380635</v>
      </c>
      <c r="I701" s="36">
        <f>VLOOKUP($D701,系数辅助表!$C:$F,4,0)</f>
        <v>0.26523555216563399</v>
      </c>
      <c r="J701" s="2" t="s">
        <v>200</v>
      </c>
    </row>
    <row r="702" spans="2:10" x14ac:dyDescent="0.3">
      <c r="B702" s="47" t="s">
        <v>160</v>
      </c>
      <c r="C702" t="str">
        <f>VLOOKUP($B702,'标准费用表-2024年&amp;2025年优化'!$D:$E,2,0)</f>
        <v>正大食品（长沙）有限公司</v>
      </c>
      <c r="D702" t="s">
        <v>63</v>
      </c>
      <c r="E702" s="46">
        <f>IFERROR(VLOOKUP($B702,'标准费用表-2024年&amp;2025年优化'!$D:$K,8,0)*系数辅助表!$J$6*VLOOKUP('5.成本表'!$D702,系数辅助表!$C:$G,5,0)/VLOOKUP($D702,系数辅助表!$C:$E,3,0),0)</f>
        <v>0.134682753878271</v>
      </c>
      <c r="I702" s="36">
        <f>VLOOKUP($D702,系数辅助表!$C:$F,4,0)</f>
        <v>0.24338882069886</v>
      </c>
      <c r="J702" s="2" t="s">
        <v>200</v>
      </c>
    </row>
    <row r="703" spans="2:10" x14ac:dyDescent="0.3">
      <c r="B703" s="47" t="s">
        <v>160</v>
      </c>
      <c r="C703" t="str">
        <f>VLOOKUP($B703,'标准费用表-2024年&amp;2025年优化'!$D:$E,2,0)</f>
        <v>正大食品（长沙）有限公司</v>
      </c>
      <c r="D703" t="s">
        <v>64</v>
      </c>
      <c r="E703" s="46">
        <f>IFERROR(VLOOKUP($B703,'标准费用表-2024年&amp;2025年优化'!$D:$K,8,0)*系数辅助表!$J$6*VLOOKUP('5.成本表'!$D703,系数辅助表!$C:$G,5,0)/VLOOKUP($D703,系数辅助表!$C:$E,3,0),0)</f>
        <v>0.47118909740953102</v>
      </c>
      <c r="I703" s="36">
        <f>VLOOKUP($D703,系数辅助表!$C:$F,4,0)</f>
        <v>0.85149846912336002</v>
      </c>
      <c r="J703" s="2" t="s">
        <v>200</v>
      </c>
    </row>
    <row r="704" spans="2:10" x14ac:dyDescent="0.3">
      <c r="B704" s="47" t="s">
        <v>160</v>
      </c>
      <c r="C704" t="str">
        <f>VLOOKUP($B704,'标准费用表-2024年&amp;2025年优化'!$D:$E,2,0)</f>
        <v>正大食品（长沙）有限公司</v>
      </c>
      <c r="D704" t="s">
        <v>65</v>
      </c>
      <c r="E704" s="46">
        <f>IFERROR(VLOOKUP($B704,'标准费用表-2024年&amp;2025年优化'!$D:$K,8,0)*系数辅助表!$J$6*VLOOKUP('5.成本表'!$D704,系数辅助表!$C:$G,5,0)/VLOOKUP($D704,系数辅助表!$C:$E,3,0),0)</f>
        <v>0.55188965697167802</v>
      </c>
      <c r="I704" s="36">
        <f>VLOOKUP($D704,系数辅助表!$C:$F,4,0)</f>
        <v>0.99733461707829196</v>
      </c>
      <c r="J704" s="2" t="s">
        <v>200</v>
      </c>
    </row>
    <row r="705" spans="2:10" x14ac:dyDescent="0.3">
      <c r="B705" s="47" t="s">
        <v>160</v>
      </c>
      <c r="C705" t="str">
        <f>VLOOKUP($B705,'标准费用表-2024年&amp;2025年优化'!$D:$E,2,0)</f>
        <v>正大食品（长沙）有限公司</v>
      </c>
      <c r="D705" t="s">
        <v>66</v>
      </c>
      <c r="E705" s="46">
        <f>IFERROR(VLOOKUP($B705,'标准费用表-2024年&amp;2025年优化'!$D:$K,8,0)*系数辅助表!$J$6*VLOOKUP('5.成本表'!$D705,系数辅助表!$C:$G,5,0)/VLOOKUP($D705,系数辅助表!$C:$E,3,0),0)</f>
        <v>0.15780837445665</v>
      </c>
      <c r="I705" s="36">
        <f>VLOOKUP($D705,系数辅助表!$C:$F,4,0)</f>
        <v>0.28517975055754302</v>
      </c>
      <c r="J705" s="2" t="s">
        <v>200</v>
      </c>
    </row>
    <row r="706" spans="2:10" x14ac:dyDescent="0.3">
      <c r="B706" s="47" t="s">
        <v>160</v>
      </c>
      <c r="C706" t="str">
        <f>VLOOKUP($B706,'标准费用表-2024年&amp;2025年优化'!$D:$E,2,0)</f>
        <v>正大食品（长沙）有限公司</v>
      </c>
      <c r="D706" t="s">
        <v>67</v>
      </c>
      <c r="E706" s="46">
        <f>IFERROR(VLOOKUP($B706,'标准费用表-2024年&amp;2025年优化'!$D:$K,8,0)*系数辅助表!$J$6*VLOOKUP('5.成本表'!$D706,系数辅助表!$C:$G,5,0)/VLOOKUP($D706,系数辅助表!$C:$E,3,0),0)</f>
        <v>4.6952245508675002E-2</v>
      </c>
      <c r="I706" s="36">
        <f>VLOOKUP($D706,系数辅助表!$C:$F,4,0)</f>
        <v>8.4848663503333893E-2</v>
      </c>
      <c r="J706" s="2" t="s">
        <v>200</v>
      </c>
    </row>
    <row r="707" spans="2:10" x14ac:dyDescent="0.3">
      <c r="B707" s="47" t="s">
        <v>160</v>
      </c>
      <c r="C707" t="str">
        <f>VLOOKUP($B707,'标准费用表-2024年&amp;2025年优化'!$D:$E,2,0)</f>
        <v>正大食品（长沙）有限公司</v>
      </c>
      <c r="D707" t="s">
        <v>68</v>
      </c>
      <c r="E707" s="36">
        <f>IFERROR(VLOOKUP($B707,'标准费用表-2024年&amp;2025年优化'!$D:$K,8,0)*VLOOKUP("白条",系数辅助表!$C:$G,5,0)*VLOOKUP('5.成本表'!$D707,系数辅助表!$C:$G,5,0)/VLOOKUP('5.成本表'!$D707,系数辅助表!$C:$E,3,0),)</f>
        <v>1.1441849877188</v>
      </c>
      <c r="F707" s="36">
        <f>IFERROR(VLOOKUP($B707,'标准费用表-2024年&amp;2025年优化'!$D:$L,9,0)*VLOOKUP('5.成本表'!$D707,系数辅助表!$C:$G,5,0)/VLOOKUP($D707,系数辅助表!$C:$E,3,0),0)</f>
        <v>1.0481128946223599</v>
      </c>
      <c r="I707" s="36">
        <f>VLOOKUP($D707,系数辅助表!$C:$F,4,0)</f>
        <v>2.2799999999999998</v>
      </c>
      <c r="J707" s="2" t="s">
        <v>69</v>
      </c>
    </row>
    <row r="708" spans="2:10" x14ac:dyDescent="0.3">
      <c r="B708" s="47" t="s">
        <v>160</v>
      </c>
      <c r="C708" t="str">
        <f>VLOOKUP($B708,'标准费用表-2024年&amp;2025年优化'!$D:$E,2,0)</f>
        <v>正大食品（长沙）有限公司</v>
      </c>
      <c r="D708" t="s">
        <v>70</v>
      </c>
      <c r="E708" s="36">
        <f>IFERROR(VLOOKUP($B708,'标准费用表-2024年&amp;2025年优化'!$D:$K,8,0)*VLOOKUP("白条",系数辅助表!$C:$G,5,0)*VLOOKUP('5.成本表'!$D708,系数辅助表!$C:$G,5,0)/VLOOKUP('5.成本表'!$D708,系数辅助表!$C:$E,3,0),)</f>
        <v>0.76465848680485105</v>
      </c>
      <c r="F708" s="36">
        <f>IFERROR(VLOOKUP($B708,'标准费用表-2024年&amp;2025年优化'!$D:$L,9,0)*VLOOKUP('5.成本表'!$D708,系数辅助表!$C:$G,5,0)/VLOOKUP($D708,系数辅助表!$C:$E,3,0),0)</f>
        <v>0.70045353557772405</v>
      </c>
      <c r="I708" s="36">
        <f>VLOOKUP($D708,系数辅助表!$C:$F,4,0)</f>
        <v>1.5237233215154999</v>
      </c>
      <c r="J708" s="2" t="s">
        <v>69</v>
      </c>
    </row>
    <row r="709" spans="2:10" x14ac:dyDescent="0.3">
      <c r="B709" s="47" t="s">
        <v>160</v>
      </c>
      <c r="C709" t="str">
        <f>VLOOKUP($B709,'标准费用表-2024年&amp;2025年优化'!$D:$E,2,0)</f>
        <v>正大食品（长沙）有限公司</v>
      </c>
      <c r="D709" t="s">
        <v>71</v>
      </c>
      <c r="E709" s="36">
        <f>IFERROR(VLOOKUP($B709,'标准费用表-2024年&amp;2025年优化'!$D:$K,8,0)*VLOOKUP("白条",系数辅助表!$C:$G,5,0)*VLOOKUP('5.成本表'!$D709,系数辅助表!$C:$G,5,0)/VLOOKUP('5.成本表'!$D709,系数辅助表!$C:$E,3,0),)</f>
        <v>2.0237302305657301</v>
      </c>
      <c r="F709" s="36">
        <f>IFERROR(VLOOKUP($B709,'标准费用表-2024年&amp;2025年优化'!$D:$L,9,0)*VLOOKUP('5.成本表'!$D709,系数辅助表!$C:$G,5,0)/VLOOKUP($D709,系数辅助表!$C:$E,3,0),0)</f>
        <v>1.85380665946504</v>
      </c>
      <c r="I709" s="36">
        <f>VLOOKUP($D709,系数辅助表!$C:$F,4,0)</f>
        <v>4.0326564106466396</v>
      </c>
      <c r="J709" s="2" t="s">
        <v>69</v>
      </c>
    </row>
    <row r="710" spans="2:10" x14ac:dyDescent="0.3">
      <c r="B710" s="47" t="s">
        <v>160</v>
      </c>
      <c r="C710" t="str">
        <f>VLOOKUP($B710,'标准费用表-2024年&amp;2025年优化'!$D:$E,2,0)</f>
        <v>正大食品（长沙）有限公司</v>
      </c>
      <c r="D710" t="s">
        <v>72</v>
      </c>
      <c r="E710" s="36">
        <f>IFERROR(VLOOKUP($B710,'标准费用表-2024年&amp;2025年优化'!$D:$K,8,0)*VLOOKUP("白条",系数辅助表!$C:$G,5,0)*VLOOKUP('5.成本表'!$D710,系数辅助表!$C:$G,5,0)/VLOOKUP('5.成本表'!$D710,系数辅助表!$C:$E,3,0),)</f>
        <v>1.17860085453274</v>
      </c>
      <c r="F710" s="36">
        <f>IFERROR(VLOOKUP($B710,'标准费用表-2024年&amp;2025年优化'!$D:$L,9,0)*VLOOKUP('5.成本表'!$D710,系数辅助表!$C:$G,5,0)/VLOOKUP($D710,系数辅助表!$C:$E,3,0),0)</f>
        <v>1.07963901511378</v>
      </c>
      <c r="I710" s="36">
        <f>VLOOKUP($D710,系数辅助表!$C:$F,4,0)</f>
        <v>2.34857997367385</v>
      </c>
      <c r="J710" s="2" t="s">
        <v>69</v>
      </c>
    </row>
    <row r="711" spans="2:10" x14ac:dyDescent="0.3">
      <c r="B711" s="47" t="s">
        <v>160</v>
      </c>
      <c r="C711" t="str">
        <f>VLOOKUP($B711,'标准费用表-2024年&amp;2025年优化'!$D:$E,2,0)</f>
        <v>正大食品（长沙）有限公司</v>
      </c>
      <c r="D711" t="s">
        <v>73</v>
      </c>
      <c r="E711" s="36">
        <f>IFERROR(VLOOKUP($B711,'标准费用表-2024年&amp;2025年优化'!$D:$K,8,0)*VLOOKUP("白条",系数辅助表!$C:$G,5,0)*VLOOKUP('5.成本表'!$D711,系数辅助表!$C:$G,5,0)/VLOOKUP('5.成本表'!$D711,系数辅助表!$C:$E,3,0),)</f>
        <v>0.70802816213522002</v>
      </c>
      <c r="F711" s="36">
        <f>IFERROR(VLOOKUP($B711,'标准费用表-2024年&amp;2025年优化'!$D:$L,9,0)*VLOOKUP('5.成本表'!$D711,系数辅助表!$C:$G,5,0)/VLOOKUP($D711,系数辅助表!$C:$E,3,0),0)</f>
        <v>0.64857820584522197</v>
      </c>
      <c r="I711" s="36">
        <f>VLOOKUP($D711,系数辅助表!$C:$F,4,0)</f>
        <v>1.41087693598112</v>
      </c>
      <c r="J711" s="2" t="s">
        <v>69</v>
      </c>
    </row>
    <row r="712" spans="2:10" x14ac:dyDescent="0.3">
      <c r="B712" s="47" t="s">
        <v>160</v>
      </c>
      <c r="C712" t="str">
        <f>VLOOKUP($B712,'标准费用表-2024年&amp;2025年优化'!$D:$E,2,0)</f>
        <v>正大食品（长沙）有限公司</v>
      </c>
      <c r="D712" t="s">
        <v>74</v>
      </c>
      <c r="E712" s="36">
        <f>IFERROR(VLOOKUP($B712,'标准费用表-2024年&amp;2025年优化'!$D:$K,8,0)*VLOOKUP("白条",系数辅助表!$C:$G,5,0)*VLOOKUP('5.成本表'!$D712,系数辅助表!$C:$G,5,0)/VLOOKUP('5.成本表'!$D712,系数辅助表!$C:$E,3,0),)</f>
        <v>0.95604800439329796</v>
      </c>
      <c r="F712" s="36">
        <f>IFERROR(VLOOKUP($B712,'标准费用表-2024年&amp;2025年优化'!$D:$L,9,0)*VLOOKUP('5.成本表'!$D712,系数辅助表!$C:$G,5,0)/VLOOKUP($D712,系数辅助表!$C:$E,3,0),0)</f>
        <v>0.87577293185816596</v>
      </c>
      <c r="I712" s="36">
        <f>VLOOKUP($D712,系数辅助表!$C:$F,4,0)</f>
        <v>1.9051022985038799</v>
      </c>
      <c r="J712" s="2" t="s">
        <v>69</v>
      </c>
    </row>
    <row r="713" spans="2:10" x14ac:dyDescent="0.3">
      <c r="B713" s="47" t="s">
        <v>160</v>
      </c>
      <c r="C713" t="str">
        <f>VLOOKUP($B713,'标准费用表-2024年&amp;2025年优化'!$D:$E,2,0)</f>
        <v>正大食品（长沙）有限公司</v>
      </c>
      <c r="D713" t="s">
        <v>75</v>
      </c>
      <c r="E713" s="36">
        <f>IFERROR(VLOOKUP($B713,'标准费用表-2024年&amp;2025年优化'!$D:$K,8,0)*VLOOKUP("白条",系数辅助表!$C:$G,5,0)*VLOOKUP('5.成本表'!$D713,系数辅助表!$C:$G,5,0)/VLOOKUP('5.成本表'!$D713,系数辅助表!$C:$E,3,0),)</f>
        <v>0.71587636576190095</v>
      </c>
      <c r="F713" s="36">
        <f>IFERROR(VLOOKUP($B713,'标准费用表-2024年&amp;2025年优化'!$D:$L,9,0)*VLOOKUP('5.成本表'!$D713,系数辅助表!$C:$G,5,0)/VLOOKUP($D713,系数辅助表!$C:$E,3,0),0)</f>
        <v>0.65576743093473</v>
      </c>
      <c r="I713" s="36">
        <f>VLOOKUP($D713,系数辅助表!$C:$F,4,0)</f>
        <v>1.42651593182611</v>
      </c>
      <c r="J713" s="2" t="s">
        <v>69</v>
      </c>
    </row>
    <row r="714" spans="2:10" x14ac:dyDescent="0.3">
      <c r="B714" s="47" t="s">
        <v>160</v>
      </c>
      <c r="C714" t="str">
        <f>VLOOKUP($B714,'标准费用表-2024年&amp;2025年优化'!$D:$E,2,0)</f>
        <v>正大食品（长沙）有限公司</v>
      </c>
      <c r="D714" t="s">
        <v>76</v>
      </c>
      <c r="E714" s="36">
        <f>IFERROR(VLOOKUP($B714,'标准费用表-2024年&amp;2025年优化'!$D:$K,8,0)*VLOOKUP("白条",系数辅助表!$C:$G,5,0)*VLOOKUP('5.成本表'!$D714,系数辅助表!$C:$G,5,0)/VLOOKUP('5.成本表'!$D714,系数辅助表!$C:$E,3,0),)</f>
        <v>0.72945937670153704</v>
      </c>
      <c r="F714" s="36">
        <f>IFERROR(VLOOKUP($B714,'标准费用表-2024年&amp;2025年优化'!$D:$L,9,0)*VLOOKUP('5.成本表'!$D714,系数辅助表!$C:$G,5,0)/VLOOKUP($D714,系数辅助表!$C:$E,3,0),0)</f>
        <v>0.66820993723086097</v>
      </c>
      <c r="I714" s="36">
        <f>VLOOKUP($D714,系数辅助表!$C:$F,4,0)</f>
        <v>1.4535825908670701</v>
      </c>
      <c r="J714" s="2" t="s">
        <v>69</v>
      </c>
    </row>
    <row r="715" spans="2:10" x14ac:dyDescent="0.3">
      <c r="B715" s="47" t="s">
        <v>160</v>
      </c>
      <c r="C715" t="str">
        <f>VLOOKUP($B715,'标准费用表-2024年&amp;2025年优化'!$D:$E,2,0)</f>
        <v>正大食品（长沙）有限公司</v>
      </c>
      <c r="D715" t="s">
        <v>77</v>
      </c>
      <c r="E715" s="36">
        <f>IFERROR(VLOOKUP($B715,'标准费用表-2024年&amp;2025年优化'!$D:$K,8,0)*VLOOKUP("白条",系数辅助表!$C:$G,5,0)*VLOOKUP('5.成本表'!$D715,系数辅助表!$C:$G,5,0)/VLOOKUP('5.成本表'!$D715,系数辅助表!$C:$E,3,0),)</f>
        <v>0.72316412223350901</v>
      </c>
      <c r="F715" s="36">
        <f>IFERROR(VLOOKUP($B715,'标准费用表-2024年&amp;2025年优化'!$D:$L,9,0)*VLOOKUP('5.成本表'!$D715,系数辅助表!$C:$G,5,0)/VLOOKUP($D715,系数辅助表!$C:$E,3,0),0)</f>
        <v>0.66244326710872903</v>
      </c>
      <c r="I715" s="36">
        <f>VLOOKUP($D715,系数辅助表!$C:$F,4,0)</f>
        <v>1.4410381331603499</v>
      </c>
      <c r="J715" s="2" t="s">
        <v>69</v>
      </c>
    </row>
    <row r="716" spans="2:10" x14ac:dyDescent="0.3">
      <c r="B716" s="47" t="s">
        <v>160</v>
      </c>
      <c r="C716" t="str">
        <f>VLOOKUP($B716,'标准费用表-2024年&amp;2025年优化'!$D:$E,2,0)</f>
        <v>正大食品（长沙）有限公司</v>
      </c>
      <c r="D716" t="s">
        <v>78</v>
      </c>
      <c r="E716" s="36">
        <f>IFERROR(VLOOKUP($B716,'标准费用表-2024年&amp;2025年优化'!$D:$K,8,0)*VLOOKUP("白条",系数辅助表!$C:$G,5,0)*VLOOKUP('5.成本表'!$D716,系数辅助表!$C:$G,5,0)/VLOOKUP('5.成本表'!$D716,系数辅助表!$C:$E,3,0),)</f>
        <v>0.62018471125062602</v>
      </c>
      <c r="F716" s="36">
        <f>IFERROR(VLOOKUP($B716,'标准费用表-2024年&amp;2025年优化'!$D:$L,9,0)*VLOOKUP('5.成本表'!$D716,系数辅助表!$C:$G,5,0)/VLOOKUP($D716,系数辅助表!$C:$E,3,0),0)</f>
        <v>0.56811057642470997</v>
      </c>
      <c r="I716" s="36">
        <f>VLOOKUP($D716,系数辅助表!$C:$F,4,0)</f>
        <v>1.2358326291892801</v>
      </c>
      <c r="J716" s="2" t="s">
        <v>69</v>
      </c>
    </row>
    <row r="717" spans="2:10" x14ac:dyDescent="0.3">
      <c r="B717" s="47" t="s">
        <v>160</v>
      </c>
      <c r="C717" t="str">
        <f>VLOOKUP($B717,'标准费用表-2024年&amp;2025年优化'!$D:$E,2,0)</f>
        <v>正大食品（长沙）有限公司</v>
      </c>
      <c r="D717" t="s">
        <v>79</v>
      </c>
      <c r="E717" s="36">
        <f>IFERROR(VLOOKUP($B717,'标准费用表-2024年&amp;2025年优化'!$D:$K,8,0)*VLOOKUP("白条",系数辅助表!$C:$G,5,0)*VLOOKUP('5.成本表'!$D717,系数辅助表!$C:$G,5,0)/VLOOKUP('5.成本表'!$D717,系数辅助表!$C:$E,3,0),)</f>
        <v>0.43319296250171502</v>
      </c>
      <c r="F717" s="36">
        <f>IFERROR(VLOOKUP($B717,'标准费用表-2024年&amp;2025年优化'!$D:$L,9,0)*VLOOKUP('5.成本表'!$D717,系数辅助表!$C:$G,5,0)/VLOOKUP($D717,系数辅助表!$C:$E,3,0),0)</f>
        <v>0.396819688014728</v>
      </c>
      <c r="I717" s="36">
        <f>VLOOKUP($D717,系数辅助表!$C:$F,4,0)</f>
        <v>0.86321701919291904</v>
      </c>
      <c r="J717" s="2" t="s">
        <v>69</v>
      </c>
    </row>
    <row r="718" spans="2:10" x14ac:dyDescent="0.3">
      <c r="B718" s="47" t="s">
        <v>160</v>
      </c>
      <c r="C718" t="str">
        <f>VLOOKUP($B718,'标准费用表-2024年&amp;2025年优化'!$D:$E,2,0)</f>
        <v>正大食品（长沙）有限公司</v>
      </c>
      <c r="D718" t="s">
        <v>80</v>
      </c>
      <c r="E718" s="36">
        <f>IFERROR(VLOOKUP($B718,'标准费用表-2024年&amp;2025年优化'!$D:$K,8,0)*VLOOKUP("白条",系数辅助表!$C:$G,5,0)*VLOOKUP('5.成本表'!$D718,系数辅助表!$C:$G,5,0)/VLOOKUP('5.成本表'!$D718,系数辅助表!$C:$E,3,0),)</f>
        <v>0.39989964297069303</v>
      </c>
      <c r="F718" s="36">
        <f>IFERROR(VLOOKUP($B718,'标准费用表-2024年&amp;2025年优化'!$D:$L,9,0)*VLOOKUP('5.成本表'!$D718,系数辅助表!$C:$G,5,0)/VLOOKUP($D718,系数辅助表!$C:$E,3,0),0)</f>
        <v>0.36632185953437102</v>
      </c>
      <c r="I718" s="36">
        <f>VLOOKUP($D718,系数辅助表!$C:$F,4,0)</f>
        <v>0.796873928394225</v>
      </c>
      <c r="J718" s="2" t="s">
        <v>69</v>
      </c>
    </row>
    <row r="719" spans="2:10" x14ac:dyDescent="0.3">
      <c r="B719" s="47" t="s">
        <v>160</v>
      </c>
      <c r="C719" t="str">
        <f>VLOOKUP($B719,'标准费用表-2024年&amp;2025年优化'!$D:$E,2,0)</f>
        <v>正大食品（长沙）有限公司</v>
      </c>
      <c r="D719" t="s">
        <v>81</v>
      </c>
      <c r="E719" s="36">
        <f>IFERROR(VLOOKUP($B719,'标准费用表-2024年&amp;2025年优化'!$D:$K,8,0)*VLOOKUP("白条",系数辅助表!$C:$G,5,0)*VLOOKUP('5.成本表'!$D719,系数辅助表!$C:$G,5,0)/VLOOKUP('5.成本表'!$D719,系数辅助表!$C:$E,3,0),)</f>
        <v>0.55142124134389503</v>
      </c>
      <c r="F719" s="36">
        <f>IFERROR(VLOOKUP($B719,'标准费用表-2024年&amp;2025年优化'!$D:$L,9,0)*VLOOKUP('5.成本表'!$D719,系数辅助表!$C:$G,5,0)/VLOOKUP($D719,系数辅助表!$C:$E,3,0),0)</f>
        <v>0.50512086736384199</v>
      </c>
      <c r="I719" s="36">
        <f>VLOOKUP($D719,系数辅助表!$C:$F,4,0)</f>
        <v>1.09880870991909</v>
      </c>
      <c r="J719" s="2" t="s">
        <v>69</v>
      </c>
    </row>
    <row r="720" spans="2:10" x14ac:dyDescent="0.3">
      <c r="B720" s="47" t="s">
        <v>160</v>
      </c>
      <c r="C720" t="str">
        <f>VLOOKUP($B720,'标准费用表-2024年&amp;2025年优化'!$D:$E,2,0)</f>
        <v>正大食品（长沙）有限公司</v>
      </c>
      <c r="D720" t="s">
        <v>82</v>
      </c>
      <c r="E720" s="36">
        <f>IFERROR(VLOOKUP($B720,'标准费用表-2024年&amp;2025年优化'!$D:$K,8,0)*VLOOKUP("白条",系数辅助表!$C:$G,5,0)*VLOOKUP('5.成本表'!$D720,系数辅助表!$C:$G,5,0)/VLOOKUP('5.成本表'!$D720,系数辅助表!$C:$E,3,0),)</f>
        <v>0.50242330674409297</v>
      </c>
      <c r="F720" s="36">
        <f>IFERROR(VLOOKUP($B720,'标准费用表-2024年&amp;2025年优化'!$D:$L,9,0)*VLOOKUP('5.成本表'!$D720,系数辅助表!$C:$G,5,0)/VLOOKUP($D720,系数辅助表!$C:$E,3,0),0)</f>
        <v>0.46023707006258102</v>
      </c>
      <c r="I720" s="36">
        <f>VLOOKUP($D720,系数辅助表!$C:$F,4,0)</f>
        <v>1.0011712718416299</v>
      </c>
      <c r="J720" s="2" t="s">
        <v>69</v>
      </c>
    </row>
    <row r="721" spans="2:10" x14ac:dyDescent="0.3">
      <c r="B721" s="47" t="s">
        <v>160</v>
      </c>
      <c r="C721" t="str">
        <f>VLOOKUP($B721,'标准费用表-2024年&amp;2025年优化'!$D:$E,2,0)</f>
        <v>正大食品（长沙）有限公司</v>
      </c>
      <c r="D721" t="s">
        <v>83</v>
      </c>
      <c r="E721" s="36">
        <f>IFERROR(VLOOKUP($B721,'标准费用表-2024年&amp;2025年优化'!$D:$K,8,0)*VLOOKUP("白条",系数辅助表!$C:$G,5,0)*VLOOKUP('5.成本表'!$D721,系数辅助表!$C:$G,5,0)/VLOOKUP('5.成本表'!$D721,系数辅助表!$C:$E,3,0),)</f>
        <v>0.45182899975065099</v>
      </c>
      <c r="F721" s="36">
        <f>IFERROR(VLOOKUP($B721,'标准费用表-2024年&amp;2025年优化'!$D:$L,9,0)*VLOOKUP('5.成本表'!$D721,系数辅助表!$C:$G,5,0)/VLOOKUP($D721,系数辅助表!$C:$E,3,0),0)</f>
        <v>0.41389094061367698</v>
      </c>
      <c r="I721" s="36">
        <f>VLOOKUP($D721,系数辅助表!$C:$F,4,0)</f>
        <v>0.90035276680685095</v>
      </c>
      <c r="J721" s="2" t="s">
        <v>69</v>
      </c>
    </row>
    <row r="722" spans="2:10" x14ac:dyDescent="0.3">
      <c r="B722" s="47" t="s">
        <v>160</v>
      </c>
      <c r="C722" t="str">
        <f>VLOOKUP($B722,'标准费用表-2024年&amp;2025年优化'!$D:$E,2,0)</f>
        <v>正大食品（长沙）有限公司</v>
      </c>
      <c r="D722" t="s">
        <v>84</v>
      </c>
      <c r="E722" s="36">
        <f>IFERROR(VLOOKUP($B722,'标准费用表-2024年&amp;2025年优化'!$D:$K,8,0)*VLOOKUP("白条",系数辅助表!$C:$G,5,0)*VLOOKUP('5.成本表'!$D722,系数辅助表!$C:$G,5,0)/VLOOKUP('5.成本表'!$D722,系数辅助表!$C:$E,3,0),)</f>
        <v>0.45382464200727302</v>
      </c>
      <c r="F722" s="36">
        <f>IFERROR(VLOOKUP($B722,'标准费用表-2024年&amp;2025年优化'!$D:$L,9,0)*VLOOKUP('5.成本表'!$D722,系数辅助表!$C:$G,5,0)/VLOOKUP($D722,系数辅助表!$C:$E,3,0),0)</f>
        <v>0.41571901772067299</v>
      </c>
      <c r="I722" s="36">
        <f>VLOOKUP($D722,系数辅助表!$C:$F,4,0)</f>
        <v>0.90432945273957599</v>
      </c>
      <c r="J722" s="2" t="s">
        <v>69</v>
      </c>
    </row>
    <row r="723" spans="2:10" x14ac:dyDescent="0.3">
      <c r="B723" s="47" t="s">
        <v>160</v>
      </c>
      <c r="C723" t="str">
        <f>VLOOKUP($B723,'标准费用表-2024年&amp;2025年优化'!$D:$E,2,0)</f>
        <v>正大食品（长沙）有限公司</v>
      </c>
      <c r="D723" t="s">
        <v>85</v>
      </c>
      <c r="E723" s="36">
        <f>IFERROR(VLOOKUP($B723,'标准费用表-2024年&amp;2025年优化'!$D:$K,8,0)*VLOOKUP("白条",系数辅助表!$C:$G,5,0)*VLOOKUP('5.成本表'!$D723,系数辅助表!$C:$G,5,0)/VLOOKUP('5.成本表'!$D723,系数辅助表!$C:$E,3,0),)</f>
        <v>0.56425144113032399</v>
      </c>
      <c r="F723" s="36">
        <f>IFERROR(VLOOKUP($B723,'标准费用表-2024年&amp;2025年优化'!$D:$L,9,0)*VLOOKUP('5.成本表'!$D723,系数辅助表!$C:$G,5,0)/VLOOKUP($D723,系数辅助表!$C:$E,3,0),0)</f>
        <v>0.51687377269040802</v>
      </c>
      <c r="I723" s="36">
        <f>VLOOKUP($D723,系数辅助表!$C:$F,4,0)</f>
        <v>1.12437525363977</v>
      </c>
      <c r="J723" s="2" t="s">
        <v>69</v>
      </c>
    </row>
    <row r="724" spans="2:10" x14ac:dyDescent="0.3">
      <c r="B724" s="47" t="s">
        <v>160</v>
      </c>
      <c r="C724" t="str">
        <f>VLOOKUP($B724,'标准费用表-2024年&amp;2025年优化'!$D:$E,2,0)</f>
        <v>正大食品（长沙）有限公司</v>
      </c>
      <c r="D724" t="s">
        <v>86</v>
      </c>
      <c r="E724" s="36">
        <f>IFERROR(VLOOKUP($B724,'标准费用表-2024年&amp;2025年优化'!$D:$K,8,0)*VLOOKUP("白条",系数辅助表!$C:$G,5,0)*VLOOKUP('5.成本表'!$D724,系数辅助表!$C:$G,5,0)/VLOOKUP('5.成本表'!$D724,系数辅助表!$C:$E,3,0),)</f>
        <v>0.49339087540950999</v>
      </c>
      <c r="F724" s="36">
        <f>IFERROR(VLOOKUP($B724,'标准费用表-2024年&amp;2025年优化'!$D:$L,9,0)*VLOOKUP('5.成本表'!$D724,系数辅助表!$C:$G,5,0)/VLOOKUP($D724,系数辅助表!$C:$E,3,0),0)</f>
        <v>0.45196305156628702</v>
      </c>
      <c r="I724" s="36">
        <f>VLOOKUP($D724,系数辅助表!$C:$F,4,0)</f>
        <v>0.98317248347795105</v>
      </c>
      <c r="J724" s="2" t="s">
        <v>69</v>
      </c>
    </row>
    <row r="725" spans="2:10" x14ac:dyDescent="0.3">
      <c r="B725" s="47" t="s">
        <v>160</v>
      </c>
      <c r="C725" t="str">
        <f>VLOOKUP($B725,'标准费用表-2024年&amp;2025年优化'!$D:$E,2,0)</f>
        <v>正大食品（长沙）有限公司</v>
      </c>
      <c r="D725" t="s">
        <v>87</v>
      </c>
      <c r="E725" s="36">
        <f>IFERROR(VLOOKUP($B725,'标准费用表-2024年&amp;2025年优化'!$D:$K,8,0)*VLOOKUP("白条",系数辅助表!$C:$G,5,0)*VLOOKUP('5.成本表'!$D725,系数辅助表!$C:$G,5,0)/VLOOKUP('5.成本表'!$D725,系数辅助表!$C:$E,3,0),)</f>
        <v>0.35735943886075699</v>
      </c>
      <c r="F725" s="36">
        <f>IFERROR(VLOOKUP($B725,'标准费用表-2024年&amp;2025年优化'!$D:$L,9,0)*VLOOKUP('5.成本表'!$D725,系数辅助表!$C:$G,5,0)/VLOOKUP($D725,系数辅助表!$C:$E,3,0),0)</f>
        <v>0.32735356599262</v>
      </c>
      <c r="I725" s="36">
        <f>VLOOKUP($D725,系数辅助表!$C:$F,4,0)</f>
        <v>0.71210471151782795</v>
      </c>
      <c r="J725" s="2" t="s">
        <v>69</v>
      </c>
    </row>
    <row r="726" spans="2:10" x14ac:dyDescent="0.3">
      <c r="B726" s="47" t="s">
        <v>160</v>
      </c>
      <c r="C726" t="str">
        <f>VLOOKUP($B726,'标准费用表-2024年&amp;2025年优化'!$D:$E,2,0)</f>
        <v>正大食品（长沙）有限公司</v>
      </c>
      <c r="D726" t="s">
        <v>88</v>
      </c>
      <c r="E726" s="36">
        <f>IFERROR(VLOOKUP($B726,'标准费用表-2024年&amp;2025年优化'!$D:$K,8,0)*VLOOKUP("白条",系数辅助表!$C:$G,5,0)*VLOOKUP('5.成本表'!$D726,系数辅助表!$C:$G,5,0)/VLOOKUP('5.成本表'!$D726,系数辅助表!$C:$E,3,0),)</f>
        <v>1.3497324024031601</v>
      </c>
      <c r="F726" s="36">
        <f>IFERROR(VLOOKUP($B726,'标准费用表-2024年&amp;2025年优化'!$D:$L,9,0)*VLOOKUP('5.成本表'!$D726,系数辅助表!$C:$G,5,0)/VLOOKUP($D726,系数辅助表!$C:$E,3,0),0)</f>
        <v>1.23640141273733</v>
      </c>
      <c r="I726" s="36">
        <f>VLOOKUP($D726,系数辅助表!$C:$F,4,0)</f>
        <v>2.6895912029178799</v>
      </c>
      <c r="J726" s="2" t="s">
        <v>69</v>
      </c>
    </row>
    <row r="727" spans="2:10" x14ac:dyDescent="0.3">
      <c r="B727" s="47" t="s">
        <v>160</v>
      </c>
      <c r="C727" t="str">
        <f>VLOOKUP($B727,'标准费用表-2024年&amp;2025年优化'!$D:$E,2,0)</f>
        <v>正大食品（长沙）有限公司</v>
      </c>
      <c r="D727" t="s">
        <v>89</v>
      </c>
      <c r="E727" s="36">
        <f>IFERROR(VLOOKUP($B727,'标准费用表-2024年&amp;2025年优化'!$D:$K,8,0)*VLOOKUP("白条",系数辅助表!$C:$G,5,0)*VLOOKUP('5.成本表'!$D727,系数辅助表!$C:$G,5,0)/VLOOKUP('5.成本表'!$D727,系数辅助表!$C:$E,3,0),)</f>
        <v>0.58051292992468195</v>
      </c>
      <c r="F727" s="36">
        <f>IFERROR(VLOOKUP($B727,'标准费用表-2024年&amp;2025年优化'!$D:$L,9,0)*VLOOKUP('5.成本表'!$D727,系数辅助表!$C:$G,5,0)/VLOOKUP($D727,系数辅助表!$C:$E,3,0),0)</f>
        <v>0.53176985704220803</v>
      </c>
      <c r="I727" s="36">
        <f>VLOOKUP($D727,系数辅助表!$C:$F,4,0)</f>
        <v>1.1567792747107399</v>
      </c>
      <c r="J727" s="2" t="s">
        <v>69</v>
      </c>
    </row>
    <row r="728" spans="2:10" x14ac:dyDescent="0.3">
      <c r="B728" s="47" t="s">
        <v>160</v>
      </c>
      <c r="C728" t="str">
        <f>VLOOKUP($B728,'标准费用表-2024年&amp;2025年优化'!$D:$E,2,0)</f>
        <v>正大食品（长沙）有限公司</v>
      </c>
      <c r="D728" t="s">
        <v>90</v>
      </c>
      <c r="E728" s="36">
        <f>IFERROR(VLOOKUP($B728,'标准费用表-2024年&amp;2025年优化'!$D:$K,8,0)*VLOOKUP("白条",系数辅助表!$C:$G,5,0)*VLOOKUP('5.成本表'!$D728,系数辅助表!$C:$G,5,0)/VLOOKUP('5.成本表'!$D728,系数辅助表!$C:$E,3,0),)</f>
        <v>0.366830922739867</v>
      </c>
      <c r="F728" s="36">
        <f>IFERROR(VLOOKUP($B728,'标准费用表-2024年&amp;2025年优化'!$D:$L,9,0)*VLOOKUP('5.成本表'!$D728,系数辅助表!$C:$G,5,0)/VLOOKUP($D728,系数辅助表!$C:$E,3,0),0)</f>
        <v>0.33602977175607401</v>
      </c>
      <c r="I728" s="36">
        <f>VLOOKUP($D728,系数辅助表!$C:$F,4,0)</f>
        <v>0.73097839320056501</v>
      </c>
      <c r="J728" s="2" t="s">
        <v>69</v>
      </c>
    </row>
    <row r="729" spans="2:10" x14ac:dyDescent="0.3">
      <c r="B729" s="47" t="s">
        <v>160</v>
      </c>
      <c r="C729" t="str">
        <f>VLOOKUP($B729,'标准费用表-2024年&amp;2025年优化'!$D:$E,2,0)</f>
        <v>正大食品（长沙）有限公司</v>
      </c>
      <c r="D729" t="s">
        <v>91</v>
      </c>
      <c r="E729" s="36">
        <f>IFERROR(VLOOKUP($B729,'标准费用表-2024年&amp;2025年优化'!$D:$K,8,0)*VLOOKUP("白条",系数辅助表!$C:$G,5,0)*VLOOKUP('5.成本表'!$D729,系数辅助表!$C:$G,5,0)/VLOOKUP('5.成本表'!$D729,系数辅助表!$C:$E,3,0),)</f>
        <v>0.304159798453698</v>
      </c>
      <c r="F729" s="36">
        <f>IFERROR(VLOOKUP($B729,'标准费用表-2024年&amp;2025年优化'!$D:$L,9,0)*VLOOKUP('5.成本表'!$D729,系数辅助表!$C:$G,5,0)/VLOOKUP($D729,系数辅助表!$C:$E,3,0),0)</f>
        <v>0.27862086131775798</v>
      </c>
      <c r="I729" s="36">
        <f>VLOOKUP($D729,系数辅助表!$C:$F,4,0)</f>
        <v>0.60609459826688905</v>
      </c>
      <c r="J729" s="2" t="s">
        <v>69</v>
      </c>
    </row>
    <row r="730" spans="2:10" x14ac:dyDescent="0.3">
      <c r="B730" s="47" t="s">
        <v>160</v>
      </c>
      <c r="C730" t="str">
        <f>VLOOKUP($B730,'标准费用表-2024年&amp;2025年优化'!$D:$E,2,0)</f>
        <v>正大食品（长沙）有限公司</v>
      </c>
      <c r="D730" t="s">
        <v>92</v>
      </c>
      <c r="E730" s="36">
        <f>IFERROR(VLOOKUP($B730,'标准费用表-2024年&amp;2025年优化'!$D:$K,8,0)*VLOOKUP("白条",系数辅助表!$C:$G,5,0)*VLOOKUP('5.成本表'!$D730,系数辅助表!$C:$G,5,0)/VLOOKUP('5.成本表'!$D730,系数辅助表!$C:$E,3,0),)</f>
        <v>0.12072201657819499</v>
      </c>
      <c r="F730" s="36">
        <f>IFERROR(VLOOKUP($B730,'标准费用表-2024年&amp;2025年优化'!$D:$L,9,0)*VLOOKUP('5.成本表'!$D730,系数辅助表!$C:$G,5,0)/VLOOKUP($D730,系数辅助表!$C:$E,3,0),0)</f>
        <v>0.110585529087118</v>
      </c>
      <c r="I730" s="36">
        <f>VLOOKUP($D730,系数辅助表!$C:$F,4,0)</f>
        <v>0.24056092393508099</v>
      </c>
      <c r="J730" s="2" t="s">
        <v>69</v>
      </c>
    </row>
    <row r="731" spans="2:10" x14ac:dyDescent="0.3">
      <c r="B731" s="47" t="s">
        <v>160</v>
      </c>
      <c r="C731" t="str">
        <f>VLOOKUP($B731,'标准费用表-2024年&amp;2025年优化'!$D:$E,2,0)</f>
        <v>正大食品（长沙）有限公司</v>
      </c>
      <c r="D731" t="s">
        <v>93</v>
      </c>
      <c r="E731" s="36">
        <f>E707</f>
        <v>1.1441849877188</v>
      </c>
      <c r="F731" s="36">
        <f>F707</f>
        <v>1.0481128946223599</v>
      </c>
      <c r="G731">
        <v>0.2</v>
      </c>
      <c r="H731">
        <v>0.3</v>
      </c>
      <c r="J731" s="2" t="s">
        <v>69</v>
      </c>
    </row>
    <row r="732" spans="2:10" x14ac:dyDescent="0.3">
      <c r="B732" s="47" t="s">
        <v>160</v>
      </c>
      <c r="C732" t="str">
        <f>VLOOKUP($B732,'标准费用表-2024年&amp;2025年优化'!$D:$E,2,0)</f>
        <v>正大食品（长沙）有限公司</v>
      </c>
      <c r="D732" t="s">
        <v>96</v>
      </c>
      <c r="E732" s="36">
        <f t="shared" ref="E732:F732" si="232">E708</f>
        <v>0.76465848680485105</v>
      </c>
      <c r="F732" s="36">
        <f t="shared" si="232"/>
        <v>0.70045353557772405</v>
      </c>
      <c r="G732">
        <v>0.2</v>
      </c>
      <c r="H732">
        <v>0.3</v>
      </c>
      <c r="J732" s="2" t="s">
        <v>69</v>
      </c>
    </row>
    <row r="733" spans="2:10" x14ac:dyDescent="0.3">
      <c r="B733" s="47" t="s">
        <v>160</v>
      </c>
      <c r="C733" t="str">
        <f>VLOOKUP($B733,'标准费用表-2024年&amp;2025年优化'!$D:$E,2,0)</f>
        <v>正大食品（长沙）有限公司</v>
      </c>
      <c r="D733" t="s">
        <v>97</v>
      </c>
      <c r="E733" s="36">
        <f t="shared" ref="E733:F733" si="233">E709</f>
        <v>2.0237302305657301</v>
      </c>
      <c r="F733" s="36">
        <f t="shared" si="233"/>
        <v>1.85380665946504</v>
      </c>
      <c r="G733">
        <v>0.2</v>
      </c>
      <c r="H733">
        <v>0.3</v>
      </c>
      <c r="J733" s="2" t="s">
        <v>69</v>
      </c>
    </row>
    <row r="734" spans="2:10" x14ac:dyDescent="0.3">
      <c r="B734" s="47" t="s">
        <v>160</v>
      </c>
      <c r="C734" t="str">
        <f>VLOOKUP($B734,'标准费用表-2024年&amp;2025年优化'!$D:$E,2,0)</f>
        <v>正大食品（长沙）有限公司</v>
      </c>
      <c r="D734" t="s">
        <v>98</v>
      </c>
      <c r="E734" s="36">
        <f t="shared" ref="E734:F734" si="234">E710</f>
        <v>1.17860085453274</v>
      </c>
      <c r="F734" s="36">
        <f t="shared" si="234"/>
        <v>1.07963901511378</v>
      </c>
      <c r="G734">
        <v>0.2</v>
      </c>
      <c r="H734">
        <v>0.3</v>
      </c>
      <c r="J734" s="2" t="s">
        <v>69</v>
      </c>
    </row>
    <row r="735" spans="2:10" x14ac:dyDescent="0.3">
      <c r="B735" s="47" t="s">
        <v>160</v>
      </c>
      <c r="C735" t="str">
        <f>VLOOKUP($B735,'标准费用表-2024年&amp;2025年优化'!$D:$E,2,0)</f>
        <v>正大食品（长沙）有限公司</v>
      </c>
      <c r="D735" t="s">
        <v>99</v>
      </c>
      <c r="E735" s="36">
        <f t="shared" ref="E735:F735" si="235">E711</f>
        <v>0.70802816213522002</v>
      </c>
      <c r="F735" s="36">
        <f t="shared" si="235"/>
        <v>0.64857820584522197</v>
      </c>
      <c r="G735">
        <v>0.2</v>
      </c>
      <c r="H735">
        <v>0.3</v>
      </c>
      <c r="J735" s="2" t="s">
        <v>69</v>
      </c>
    </row>
    <row r="736" spans="2:10" x14ac:dyDescent="0.3">
      <c r="B736" s="47" t="s">
        <v>160</v>
      </c>
      <c r="C736" t="str">
        <f>VLOOKUP($B736,'标准费用表-2024年&amp;2025年优化'!$D:$E,2,0)</f>
        <v>正大食品（长沙）有限公司</v>
      </c>
      <c r="D736" t="s">
        <v>100</v>
      </c>
      <c r="E736" s="36">
        <f t="shared" ref="E736:F736" si="236">E712</f>
        <v>0.95604800439329796</v>
      </c>
      <c r="F736" s="36">
        <f t="shared" si="236"/>
        <v>0.87577293185816596</v>
      </c>
      <c r="G736">
        <v>0.2</v>
      </c>
      <c r="H736">
        <v>0.3</v>
      </c>
      <c r="J736" s="2" t="s">
        <v>69</v>
      </c>
    </row>
    <row r="737" spans="2:10" x14ac:dyDescent="0.3">
      <c r="B737" s="47" t="s">
        <v>160</v>
      </c>
      <c r="C737" t="str">
        <f>VLOOKUP($B737,'标准费用表-2024年&amp;2025年优化'!$D:$E,2,0)</f>
        <v>正大食品（长沙）有限公司</v>
      </c>
      <c r="D737" t="s">
        <v>101</v>
      </c>
      <c r="E737" s="36">
        <f t="shared" ref="E737:F737" si="237">E713</f>
        <v>0.71587636576190095</v>
      </c>
      <c r="F737" s="36">
        <f t="shared" si="237"/>
        <v>0.65576743093473</v>
      </c>
      <c r="G737">
        <v>0.2</v>
      </c>
      <c r="H737">
        <v>0.3</v>
      </c>
      <c r="J737" s="2" t="s">
        <v>69</v>
      </c>
    </row>
    <row r="738" spans="2:10" x14ac:dyDescent="0.3">
      <c r="B738" s="47" t="s">
        <v>160</v>
      </c>
      <c r="C738" t="str">
        <f>VLOOKUP($B738,'标准费用表-2024年&amp;2025年优化'!$D:$E,2,0)</f>
        <v>正大食品（长沙）有限公司</v>
      </c>
      <c r="D738" t="s">
        <v>102</v>
      </c>
      <c r="E738" s="36">
        <f t="shared" ref="E738:F738" si="238">E714</f>
        <v>0.72945937670153704</v>
      </c>
      <c r="F738" s="36">
        <f t="shared" si="238"/>
        <v>0.66820993723086097</v>
      </c>
      <c r="G738">
        <v>0.2</v>
      </c>
      <c r="H738">
        <v>0.3</v>
      </c>
      <c r="J738" s="2" t="s">
        <v>69</v>
      </c>
    </row>
    <row r="739" spans="2:10" x14ac:dyDescent="0.3">
      <c r="B739" s="47" t="s">
        <v>160</v>
      </c>
      <c r="C739" t="str">
        <f>VLOOKUP($B739,'标准费用表-2024年&amp;2025年优化'!$D:$E,2,0)</f>
        <v>正大食品（长沙）有限公司</v>
      </c>
      <c r="D739" t="s">
        <v>103</v>
      </c>
      <c r="E739" s="36">
        <f t="shared" ref="E739:F739" si="239">E715</f>
        <v>0.72316412223350901</v>
      </c>
      <c r="F739" s="36">
        <f t="shared" si="239"/>
        <v>0.66244326710872903</v>
      </c>
      <c r="G739">
        <v>0.2</v>
      </c>
      <c r="H739">
        <v>0.3</v>
      </c>
      <c r="J739" s="2" t="s">
        <v>69</v>
      </c>
    </row>
    <row r="740" spans="2:10" x14ac:dyDescent="0.3">
      <c r="B740" s="47" t="s">
        <v>160</v>
      </c>
      <c r="C740" t="str">
        <f>VLOOKUP($B740,'标准费用表-2024年&amp;2025年优化'!$D:$E,2,0)</f>
        <v>正大食品（长沙）有限公司</v>
      </c>
      <c r="D740" t="s">
        <v>104</v>
      </c>
      <c r="E740" s="36">
        <f t="shared" ref="E740:F740" si="240">E716</f>
        <v>0.62018471125062602</v>
      </c>
      <c r="F740" s="36">
        <f t="shared" si="240"/>
        <v>0.56811057642470997</v>
      </c>
      <c r="G740">
        <v>0.2</v>
      </c>
      <c r="H740">
        <v>0.3</v>
      </c>
      <c r="J740" s="2" t="s">
        <v>69</v>
      </c>
    </row>
    <row r="741" spans="2:10" x14ac:dyDescent="0.3">
      <c r="B741" s="47" t="s">
        <v>160</v>
      </c>
      <c r="C741" t="str">
        <f>VLOOKUP($B741,'标准费用表-2024年&amp;2025年优化'!$D:$E,2,0)</f>
        <v>正大食品（长沙）有限公司</v>
      </c>
      <c r="D741" t="s">
        <v>105</v>
      </c>
      <c r="E741" s="36">
        <f t="shared" ref="E741:F741" si="241">E717</f>
        <v>0.43319296250171502</v>
      </c>
      <c r="F741" s="36">
        <f t="shared" si="241"/>
        <v>0.396819688014728</v>
      </c>
      <c r="G741">
        <v>0.2</v>
      </c>
      <c r="H741">
        <v>0.3</v>
      </c>
      <c r="J741" s="2" t="s">
        <v>69</v>
      </c>
    </row>
    <row r="742" spans="2:10" x14ac:dyDescent="0.3">
      <c r="B742" s="47" t="s">
        <v>160</v>
      </c>
      <c r="C742" t="str">
        <f>VLOOKUP($B742,'标准费用表-2024年&amp;2025年优化'!$D:$E,2,0)</f>
        <v>正大食品（长沙）有限公司</v>
      </c>
      <c r="D742" t="s">
        <v>106</v>
      </c>
      <c r="E742" s="36">
        <f t="shared" ref="E742:F742" si="242">E718</f>
        <v>0.39989964297069303</v>
      </c>
      <c r="F742" s="36">
        <f t="shared" si="242"/>
        <v>0.36632185953437102</v>
      </c>
      <c r="G742">
        <v>0.2</v>
      </c>
      <c r="H742">
        <v>0.3</v>
      </c>
      <c r="J742" s="2" t="s">
        <v>69</v>
      </c>
    </row>
    <row r="743" spans="2:10" x14ac:dyDescent="0.3">
      <c r="B743" s="47" t="s">
        <v>160</v>
      </c>
      <c r="C743" t="str">
        <f>VLOOKUP($B743,'标准费用表-2024年&amp;2025年优化'!$D:$E,2,0)</f>
        <v>正大食品（长沙）有限公司</v>
      </c>
      <c r="D743" t="s">
        <v>107</v>
      </c>
      <c r="E743" s="36">
        <f t="shared" ref="E743:F743" si="243">E719</f>
        <v>0.55142124134389503</v>
      </c>
      <c r="F743" s="36">
        <f t="shared" si="243"/>
        <v>0.50512086736384199</v>
      </c>
      <c r="G743">
        <v>0.2</v>
      </c>
      <c r="H743">
        <v>0.3</v>
      </c>
      <c r="J743" s="2" t="s">
        <v>69</v>
      </c>
    </row>
    <row r="744" spans="2:10" x14ac:dyDescent="0.3">
      <c r="B744" s="47" t="s">
        <v>160</v>
      </c>
      <c r="C744" t="str">
        <f>VLOOKUP($B744,'标准费用表-2024年&amp;2025年优化'!$D:$E,2,0)</f>
        <v>正大食品（长沙）有限公司</v>
      </c>
      <c r="D744" t="s">
        <v>108</v>
      </c>
      <c r="E744" s="36">
        <f t="shared" ref="E744:F744" si="244">E720</f>
        <v>0.50242330674409297</v>
      </c>
      <c r="F744" s="36">
        <f t="shared" si="244"/>
        <v>0.46023707006258102</v>
      </c>
      <c r="G744">
        <v>0.2</v>
      </c>
      <c r="H744">
        <v>0.3</v>
      </c>
      <c r="J744" s="2" t="s">
        <v>69</v>
      </c>
    </row>
    <row r="745" spans="2:10" x14ac:dyDescent="0.3">
      <c r="B745" s="47" t="s">
        <v>160</v>
      </c>
      <c r="C745" t="str">
        <f>VLOOKUP($B745,'标准费用表-2024年&amp;2025年优化'!$D:$E,2,0)</f>
        <v>正大食品（长沙）有限公司</v>
      </c>
      <c r="D745" t="s">
        <v>109</v>
      </c>
      <c r="E745" s="36">
        <f t="shared" ref="E745:F745" si="245">E721</f>
        <v>0.45182899975065099</v>
      </c>
      <c r="F745" s="36">
        <f t="shared" si="245"/>
        <v>0.41389094061367698</v>
      </c>
      <c r="G745">
        <v>0.2</v>
      </c>
      <c r="H745">
        <v>0.3</v>
      </c>
      <c r="J745" s="2" t="s">
        <v>69</v>
      </c>
    </row>
    <row r="746" spans="2:10" x14ac:dyDescent="0.3">
      <c r="B746" s="47" t="s">
        <v>160</v>
      </c>
      <c r="C746" t="str">
        <f>VLOOKUP($B746,'标准费用表-2024年&amp;2025年优化'!$D:$E,2,0)</f>
        <v>正大食品（长沙）有限公司</v>
      </c>
      <c r="D746" t="s">
        <v>110</v>
      </c>
      <c r="E746" s="36">
        <f t="shared" ref="E746:F746" si="246">E722</f>
        <v>0.45382464200727302</v>
      </c>
      <c r="F746" s="36">
        <f t="shared" si="246"/>
        <v>0.41571901772067299</v>
      </c>
      <c r="G746">
        <v>0.2</v>
      </c>
      <c r="H746">
        <v>0.3</v>
      </c>
      <c r="J746" s="2" t="s">
        <v>69</v>
      </c>
    </row>
    <row r="747" spans="2:10" x14ac:dyDescent="0.3">
      <c r="B747" s="47" t="s">
        <v>160</v>
      </c>
      <c r="C747" t="str">
        <f>VLOOKUP($B747,'标准费用表-2024年&amp;2025年优化'!$D:$E,2,0)</f>
        <v>正大食品（长沙）有限公司</v>
      </c>
      <c r="D747" t="s">
        <v>111</v>
      </c>
      <c r="E747" s="36">
        <f t="shared" ref="E747:F747" si="247">E723</f>
        <v>0.56425144113032399</v>
      </c>
      <c r="F747" s="36">
        <f t="shared" si="247"/>
        <v>0.51687377269040802</v>
      </c>
      <c r="G747">
        <v>0.2</v>
      </c>
      <c r="H747">
        <v>0.3</v>
      </c>
      <c r="J747" s="2" t="s">
        <v>69</v>
      </c>
    </row>
    <row r="748" spans="2:10" x14ac:dyDescent="0.3">
      <c r="B748" s="47" t="s">
        <v>160</v>
      </c>
      <c r="C748" t="str">
        <f>VLOOKUP($B748,'标准费用表-2024年&amp;2025年优化'!$D:$E,2,0)</f>
        <v>正大食品（长沙）有限公司</v>
      </c>
      <c r="D748" t="s">
        <v>112</v>
      </c>
      <c r="E748" s="36">
        <f t="shared" ref="E748:F748" si="248">E724</f>
        <v>0.49339087540950999</v>
      </c>
      <c r="F748" s="36">
        <f t="shared" si="248"/>
        <v>0.45196305156628702</v>
      </c>
      <c r="G748">
        <v>0.2</v>
      </c>
      <c r="H748">
        <v>0.3</v>
      </c>
      <c r="J748" s="2" t="s">
        <v>69</v>
      </c>
    </row>
    <row r="749" spans="2:10" x14ac:dyDescent="0.3">
      <c r="B749" s="47" t="s">
        <v>160</v>
      </c>
      <c r="C749" t="str">
        <f>VLOOKUP($B749,'标准费用表-2024年&amp;2025年优化'!$D:$E,2,0)</f>
        <v>正大食品（长沙）有限公司</v>
      </c>
      <c r="D749" t="s">
        <v>113</v>
      </c>
      <c r="E749" s="36">
        <f t="shared" ref="E749:F749" si="249">E725</f>
        <v>0.35735943886075699</v>
      </c>
      <c r="F749" s="36">
        <f t="shared" si="249"/>
        <v>0.32735356599262</v>
      </c>
      <c r="G749">
        <v>0.2</v>
      </c>
      <c r="H749">
        <v>0.3</v>
      </c>
      <c r="J749" s="2" t="s">
        <v>69</v>
      </c>
    </row>
    <row r="750" spans="2:10" x14ac:dyDescent="0.3">
      <c r="B750" s="47" t="s">
        <v>160</v>
      </c>
      <c r="C750" t="str">
        <f>VLOOKUP($B750,'标准费用表-2024年&amp;2025年优化'!$D:$E,2,0)</f>
        <v>正大食品（长沙）有限公司</v>
      </c>
      <c r="D750" t="s">
        <v>114</v>
      </c>
      <c r="E750" s="36">
        <f t="shared" ref="E750:F750" si="250">E726</f>
        <v>1.3497324024031601</v>
      </c>
      <c r="F750" s="36">
        <f t="shared" si="250"/>
        <v>1.23640141273733</v>
      </c>
      <c r="G750">
        <v>0.2</v>
      </c>
      <c r="H750">
        <v>0.3</v>
      </c>
      <c r="J750" s="2" t="s">
        <v>69</v>
      </c>
    </row>
    <row r="751" spans="2:10" x14ac:dyDescent="0.3">
      <c r="B751" s="47" t="s">
        <v>160</v>
      </c>
      <c r="C751" t="str">
        <f>VLOOKUP($B751,'标准费用表-2024年&amp;2025年优化'!$D:$E,2,0)</f>
        <v>正大食品（长沙）有限公司</v>
      </c>
      <c r="D751" t="s">
        <v>115</v>
      </c>
      <c r="E751" s="36">
        <f t="shared" ref="E751:F751" si="251">E727</f>
        <v>0.58051292992468195</v>
      </c>
      <c r="F751" s="36">
        <f t="shared" si="251"/>
        <v>0.53176985704220803</v>
      </c>
      <c r="G751">
        <v>0.2</v>
      </c>
      <c r="H751">
        <v>0.3</v>
      </c>
      <c r="J751" s="2" t="s">
        <v>69</v>
      </c>
    </row>
    <row r="752" spans="2:10" x14ac:dyDescent="0.3">
      <c r="B752" s="47" t="s">
        <v>160</v>
      </c>
      <c r="C752" t="str">
        <f>VLOOKUP($B752,'标准费用表-2024年&amp;2025年优化'!$D:$E,2,0)</f>
        <v>正大食品（长沙）有限公司</v>
      </c>
      <c r="D752" t="s">
        <v>116</v>
      </c>
      <c r="E752" s="36">
        <f t="shared" ref="E752:F752" si="252">E728</f>
        <v>0.366830922739867</v>
      </c>
      <c r="F752" s="36">
        <f t="shared" si="252"/>
        <v>0.33602977175607401</v>
      </c>
      <c r="G752">
        <v>0.2</v>
      </c>
      <c r="H752">
        <v>0.3</v>
      </c>
      <c r="J752" s="2" t="s">
        <v>69</v>
      </c>
    </row>
    <row r="753" spans="2:10" x14ac:dyDescent="0.3">
      <c r="B753" s="47" t="s">
        <v>160</v>
      </c>
      <c r="C753" t="str">
        <f>VLOOKUP($B753,'标准费用表-2024年&amp;2025年优化'!$D:$E,2,0)</f>
        <v>正大食品（长沙）有限公司</v>
      </c>
      <c r="D753" t="s">
        <v>117</v>
      </c>
      <c r="E753" s="36">
        <f t="shared" ref="E753:F753" si="253">E729</f>
        <v>0.304159798453698</v>
      </c>
      <c r="F753" s="36">
        <f t="shared" si="253"/>
        <v>0.27862086131775798</v>
      </c>
      <c r="G753">
        <v>0.2</v>
      </c>
      <c r="H753">
        <v>0.3</v>
      </c>
      <c r="J753" s="2" t="s">
        <v>69</v>
      </c>
    </row>
    <row r="754" spans="2:10" x14ac:dyDescent="0.3">
      <c r="B754" s="47" t="s">
        <v>160</v>
      </c>
      <c r="C754" t="str">
        <f>VLOOKUP($B754,'标准费用表-2024年&amp;2025年优化'!$D:$E,2,0)</f>
        <v>正大食品（长沙）有限公司</v>
      </c>
      <c r="D754" t="s">
        <v>118</v>
      </c>
      <c r="E754" s="36">
        <f t="shared" ref="E754:F754" si="254">E730</f>
        <v>0.12072201657819499</v>
      </c>
      <c r="F754" s="36">
        <f t="shared" si="254"/>
        <v>0.110585529087118</v>
      </c>
      <c r="G754">
        <v>0.2</v>
      </c>
      <c r="H754">
        <v>0.3</v>
      </c>
      <c r="J754" s="2" t="s">
        <v>69</v>
      </c>
    </row>
    <row r="755" spans="2:10" x14ac:dyDescent="0.3">
      <c r="B755" s="47" t="s">
        <v>160</v>
      </c>
      <c r="C755" t="str">
        <f>VLOOKUP($B755,'标准费用表-2024年&amp;2025年优化'!$D:$E,2,0)</f>
        <v>正大食品（长沙）有限公司</v>
      </c>
      <c r="D755" t="s">
        <v>119</v>
      </c>
      <c r="E755" s="36">
        <f>E683</f>
        <v>0.43662007247048101</v>
      </c>
      <c r="F755" s="36">
        <f t="shared" ref="F755" si="255">F731</f>
        <v>1.0481128946223599</v>
      </c>
      <c r="G755">
        <v>0.2</v>
      </c>
      <c r="H755">
        <v>0.3</v>
      </c>
      <c r="J755" s="2" t="s">
        <v>69</v>
      </c>
    </row>
    <row r="756" spans="2:10" x14ac:dyDescent="0.3">
      <c r="B756" s="47" t="s">
        <v>160</v>
      </c>
      <c r="C756" t="str">
        <f>VLOOKUP($B756,'标准费用表-2024年&amp;2025年优化'!$D:$E,2,0)</f>
        <v>正大食品（长沙）有限公司</v>
      </c>
      <c r="D756" t="s">
        <v>120</v>
      </c>
      <c r="E756" s="36">
        <f t="shared" ref="E756:E778" si="256">E684</f>
        <v>1.16692111346987</v>
      </c>
      <c r="F756" s="36">
        <f t="shared" ref="F756" si="257">F732</f>
        <v>0.70045353557772405</v>
      </c>
      <c r="G756">
        <v>0.2</v>
      </c>
      <c r="H756">
        <v>0.3</v>
      </c>
      <c r="J756" s="2" t="s">
        <v>69</v>
      </c>
    </row>
    <row r="757" spans="2:10" x14ac:dyDescent="0.3">
      <c r="B757" s="47" t="s">
        <v>160</v>
      </c>
      <c r="C757" t="str">
        <f>VLOOKUP($B757,'标准费用表-2024年&amp;2025年优化'!$D:$E,2,0)</f>
        <v>正大食品（长沙）有限公司</v>
      </c>
      <c r="D757" t="s">
        <v>121</v>
      </c>
      <c r="E757" s="36">
        <f t="shared" si="256"/>
        <v>2.1598472578884098</v>
      </c>
      <c r="F757" s="36">
        <f t="shared" ref="F757" si="258">F733</f>
        <v>1.85380665946504</v>
      </c>
      <c r="G757">
        <v>0.2</v>
      </c>
      <c r="H757">
        <v>0.3</v>
      </c>
      <c r="J757" s="2" t="s">
        <v>69</v>
      </c>
    </row>
    <row r="758" spans="2:10" x14ac:dyDescent="0.3">
      <c r="B758" s="47" t="s">
        <v>160</v>
      </c>
      <c r="C758" t="str">
        <f>VLOOKUP($B758,'标准费用表-2024年&amp;2025年优化'!$D:$E,2,0)</f>
        <v>正大食品（长沙）有限公司</v>
      </c>
      <c r="D758" t="s">
        <v>122</v>
      </c>
      <c r="E758" s="36">
        <f t="shared" si="256"/>
        <v>0.45390291215838902</v>
      </c>
      <c r="F758" s="36">
        <f t="shared" ref="F758" si="259">F734</f>
        <v>1.07963901511378</v>
      </c>
      <c r="G758">
        <v>0.2</v>
      </c>
      <c r="H758">
        <v>0.3</v>
      </c>
      <c r="J758" s="2" t="s">
        <v>69</v>
      </c>
    </row>
    <row r="759" spans="2:10" x14ac:dyDescent="0.3">
      <c r="B759" s="47" t="s">
        <v>160</v>
      </c>
      <c r="C759" t="str">
        <f>VLOOKUP($B759,'标准费用表-2024年&amp;2025年优化'!$D:$E,2,0)</f>
        <v>正大食品（长沙）有限公司</v>
      </c>
      <c r="D759" t="s">
        <v>123</v>
      </c>
      <c r="E759" s="36">
        <f t="shared" si="256"/>
        <v>0.200386576586842</v>
      </c>
      <c r="F759" s="36">
        <f t="shared" ref="F759" si="260">F735</f>
        <v>0.64857820584522197</v>
      </c>
      <c r="G759">
        <v>0.2</v>
      </c>
      <c r="H759">
        <v>0.3</v>
      </c>
      <c r="J759" s="2" t="s">
        <v>69</v>
      </c>
    </row>
    <row r="760" spans="2:10" x14ac:dyDescent="0.3">
      <c r="B760" s="47" t="s">
        <v>160</v>
      </c>
      <c r="C760" t="str">
        <f>VLOOKUP($B760,'标准费用表-2024年&amp;2025年优化'!$D:$E,2,0)</f>
        <v>正大食品（长沙）有限公司</v>
      </c>
      <c r="D760" t="s">
        <v>124</v>
      </c>
      <c r="E760" s="36">
        <f t="shared" si="256"/>
        <v>0.62016986939005103</v>
      </c>
      <c r="F760" s="36">
        <f t="shared" ref="F760" si="261">F736</f>
        <v>0.87577293185816596</v>
      </c>
      <c r="G760">
        <v>0.2</v>
      </c>
      <c r="H760">
        <v>0.3</v>
      </c>
      <c r="J760" s="2" t="s">
        <v>69</v>
      </c>
    </row>
    <row r="761" spans="2:10" x14ac:dyDescent="0.3">
      <c r="B761" s="47" t="s">
        <v>160</v>
      </c>
      <c r="C761" t="str">
        <f>VLOOKUP($B761,'标准费用表-2024年&amp;2025年优化'!$D:$E,2,0)</f>
        <v>正大食品（长沙）有限公司</v>
      </c>
      <c r="D761" t="s">
        <v>125</v>
      </c>
      <c r="E761" s="36">
        <f t="shared" si="256"/>
        <v>1.02447210626529</v>
      </c>
      <c r="F761" s="36">
        <f t="shared" ref="F761" si="262">F737</f>
        <v>0.65576743093473</v>
      </c>
      <c r="G761">
        <v>0.2</v>
      </c>
      <c r="H761">
        <v>0.3</v>
      </c>
      <c r="J761" s="2" t="s">
        <v>69</v>
      </c>
    </row>
    <row r="762" spans="2:10" x14ac:dyDescent="0.3">
      <c r="B762" s="47" t="s">
        <v>160</v>
      </c>
      <c r="C762" t="str">
        <f>VLOOKUP($B762,'标准费用表-2024年&amp;2025年优化'!$D:$E,2,0)</f>
        <v>正大食品（长沙）有限公司</v>
      </c>
      <c r="D762" t="s">
        <v>126</v>
      </c>
      <c r="E762" s="36">
        <f t="shared" si="256"/>
        <v>1.4861452291175601</v>
      </c>
      <c r="F762" s="36">
        <f t="shared" ref="F762" si="263">F738</f>
        <v>0.66820993723086097</v>
      </c>
      <c r="G762">
        <v>0.2</v>
      </c>
      <c r="H762">
        <v>0.3</v>
      </c>
      <c r="J762" s="2" t="s">
        <v>69</v>
      </c>
    </row>
    <row r="763" spans="2:10" x14ac:dyDescent="0.3">
      <c r="B763" s="47" t="s">
        <v>160</v>
      </c>
      <c r="C763" t="str">
        <f>VLOOKUP($B763,'标准费用表-2024年&amp;2025年优化'!$D:$E,2,0)</f>
        <v>正大食品（长沙）有限公司</v>
      </c>
      <c r="D763" t="s">
        <v>127</v>
      </c>
      <c r="E763" s="36">
        <f t="shared" si="256"/>
        <v>0.86826978495641105</v>
      </c>
      <c r="F763" s="36">
        <f t="shared" ref="F763" si="264">F739</f>
        <v>0.66244326710872903</v>
      </c>
      <c r="G763">
        <v>0.2</v>
      </c>
      <c r="H763">
        <v>0.3</v>
      </c>
      <c r="J763" s="2" t="s">
        <v>69</v>
      </c>
    </row>
    <row r="764" spans="2:10" x14ac:dyDescent="0.3">
      <c r="B764" s="47" t="s">
        <v>160</v>
      </c>
      <c r="C764" t="str">
        <f>VLOOKUP($B764,'标准费用表-2024年&amp;2025年优化'!$D:$E,2,0)</f>
        <v>正大食品（长沙）有限公司</v>
      </c>
      <c r="D764" t="s">
        <v>128</v>
      </c>
      <c r="E764" s="36">
        <f t="shared" si="256"/>
        <v>0.79738426835672804</v>
      </c>
      <c r="F764" s="36">
        <f t="shared" ref="F764" si="265">F740</f>
        <v>0.56811057642470997</v>
      </c>
      <c r="G764">
        <v>0.2</v>
      </c>
      <c r="H764">
        <v>0.3</v>
      </c>
      <c r="J764" s="2" t="s">
        <v>69</v>
      </c>
    </row>
    <row r="765" spans="2:10" x14ac:dyDescent="0.3">
      <c r="B765" s="47" t="s">
        <v>160</v>
      </c>
      <c r="C765" t="str">
        <f>VLOOKUP($B765,'标准费用表-2024年&amp;2025年优化'!$D:$E,2,0)</f>
        <v>正大食品（长沙）有限公司</v>
      </c>
      <c r="D765" t="s">
        <v>129</v>
      </c>
      <c r="E765" s="36">
        <f t="shared" si="256"/>
        <v>1.0186518254319701</v>
      </c>
      <c r="F765" s="36">
        <f t="shared" ref="F765" si="266">F741</f>
        <v>0.396819688014728</v>
      </c>
      <c r="G765">
        <v>0.2</v>
      </c>
      <c r="H765">
        <v>0.3</v>
      </c>
      <c r="J765" s="2" t="s">
        <v>69</v>
      </c>
    </row>
    <row r="766" spans="2:10" x14ac:dyDescent="0.3">
      <c r="B766" s="47" t="s">
        <v>160</v>
      </c>
      <c r="C766" t="str">
        <f>VLOOKUP($B766,'标准费用表-2024年&amp;2025年优化'!$D:$E,2,0)</f>
        <v>正大食品（长沙）有限公司</v>
      </c>
      <c r="D766" t="s">
        <v>130</v>
      </c>
      <c r="E766" s="36">
        <f t="shared" si="256"/>
        <v>1.7717313574605</v>
      </c>
      <c r="F766" s="36">
        <f t="shared" ref="F766" si="267">F742</f>
        <v>0.36632185953437102</v>
      </c>
      <c r="G766">
        <v>0.2</v>
      </c>
      <c r="H766">
        <v>0.3</v>
      </c>
      <c r="J766" s="2" t="s">
        <v>69</v>
      </c>
    </row>
    <row r="767" spans="2:10" x14ac:dyDescent="0.3">
      <c r="B767" s="47" t="s">
        <v>160</v>
      </c>
      <c r="C767" t="str">
        <f>VLOOKUP($B767,'标准费用表-2024年&amp;2025年优化'!$D:$E,2,0)</f>
        <v>正大食品（长沙）有限公司</v>
      </c>
      <c r="D767" t="s">
        <v>131</v>
      </c>
      <c r="E767" s="36">
        <f t="shared" si="256"/>
        <v>0.30164704300915302</v>
      </c>
      <c r="F767" s="36">
        <f t="shared" ref="F767" si="268">F743</f>
        <v>0.50512086736384199</v>
      </c>
      <c r="G767">
        <v>0.2</v>
      </c>
      <c r="H767">
        <v>0.3</v>
      </c>
      <c r="J767" s="2" t="s">
        <v>69</v>
      </c>
    </row>
    <row r="768" spans="2:10" x14ac:dyDescent="0.3">
      <c r="B768" s="47" t="s">
        <v>160</v>
      </c>
      <c r="C768" t="str">
        <f>VLOOKUP($B768,'标准费用表-2024年&amp;2025年优化'!$D:$E,2,0)</f>
        <v>正大食品（长沙）有限公司</v>
      </c>
      <c r="D768" t="s">
        <v>132</v>
      </c>
      <c r="E768" s="36">
        <f t="shared" si="256"/>
        <v>6.9839524855887999E-2</v>
      </c>
      <c r="F768" s="36">
        <f t="shared" ref="F768" si="269">F744</f>
        <v>0.46023707006258102</v>
      </c>
      <c r="G768">
        <v>0.2</v>
      </c>
      <c r="H768">
        <v>0.3</v>
      </c>
      <c r="J768" s="2" t="s">
        <v>69</v>
      </c>
    </row>
    <row r="769" spans="2:10" x14ac:dyDescent="0.3">
      <c r="B769" s="47" t="s">
        <v>160</v>
      </c>
      <c r="C769" t="str">
        <f>VLOOKUP($B769,'标准费用表-2024年&amp;2025年优化'!$D:$E,2,0)</f>
        <v>正大食品（长沙）有限公司</v>
      </c>
      <c r="D769" t="s">
        <v>133</v>
      </c>
      <c r="E769" s="36">
        <f t="shared" si="256"/>
        <v>0.37469656152626102</v>
      </c>
      <c r="F769" s="36">
        <f t="shared" ref="F769" si="270">F745</f>
        <v>0.41389094061367698</v>
      </c>
      <c r="G769">
        <v>0.2</v>
      </c>
      <c r="H769">
        <v>0.3</v>
      </c>
      <c r="J769" s="2" t="s">
        <v>69</v>
      </c>
    </row>
    <row r="770" spans="2:10" x14ac:dyDescent="0.3">
      <c r="B770" s="47" t="s">
        <v>160</v>
      </c>
      <c r="C770" t="str">
        <f>VLOOKUP($B770,'标准费用表-2024年&amp;2025年优化'!$D:$E,2,0)</f>
        <v>正大食品（长沙）有限公司</v>
      </c>
      <c r="D770" t="s">
        <v>134</v>
      </c>
      <c r="E770" s="36">
        <f t="shared" si="256"/>
        <v>0.24508240550923399</v>
      </c>
      <c r="F770" s="36">
        <f t="shared" ref="F770" si="271">F746</f>
        <v>0.41571901772067299</v>
      </c>
      <c r="G770">
        <v>0.2</v>
      </c>
      <c r="H770">
        <v>0.3</v>
      </c>
      <c r="J770" s="2" t="s">
        <v>69</v>
      </c>
    </row>
    <row r="771" spans="2:10" x14ac:dyDescent="0.3">
      <c r="B771" s="47" t="s">
        <v>160</v>
      </c>
      <c r="C771" t="str">
        <f>VLOOKUP($B771,'标准费用表-2024年&amp;2025年优化'!$D:$E,2,0)</f>
        <v>正大食品（长沙）有限公司</v>
      </c>
      <c r="D771" t="s">
        <v>135</v>
      </c>
      <c r="E771" s="36">
        <f t="shared" si="256"/>
        <v>0.16244375387256599</v>
      </c>
      <c r="F771" s="36">
        <f t="shared" ref="F771" si="272">F747</f>
        <v>0.51687377269040802</v>
      </c>
      <c r="G771">
        <v>0.2</v>
      </c>
      <c r="H771">
        <v>0.3</v>
      </c>
      <c r="J771" s="2" t="s">
        <v>69</v>
      </c>
    </row>
    <row r="772" spans="2:10" x14ac:dyDescent="0.3">
      <c r="B772" s="47" t="s">
        <v>160</v>
      </c>
      <c r="C772" t="str">
        <f>VLOOKUP($B772,'标准费用表-2024年&amp;2025年优化'!$D:$E,2,0)</f>
        <v>正大食品（长沙）有限公司</v>
      </c>
      <c r="D772" t="s">
        <v>136</v>
      </c>
      <c r="E772" s="36">
        <f t="shared" si="256"/>
        <v>2.8046273136941899E-2</v>
      </c>
      <c r="F772" s="36">
        <f t="shared" ref="F772" si="273">F748</f>
        <v>0.45196305156628702</v>
      </c>
      <c r="G772">
        <v>0.2</v>
      </c>
      <c r="H772">
        <v>0.3</v>
      </c>
      <c r="J772" s="2" t="s">
        <v>69</v>
      </c>
    </row>
    <row r="773" spans="2:10" x14ac:dyDescent="0.3">
      <c r="B773" s="47" t="s">
        <v>160</v>
      </c>
      <c r="C773" t="str">
        <f>VLOOKUP($B773,'标准费用表-2024年&amp;2025年优化'!$D:$E,2,0)</f>
        <v>正大食品（长沙）有限公司</v>
      </c>
      <c r="D773" t="s">
        <v>137</v>
      </c>
      <c r="E773" s="36">
        <f t="shared" si="256"/>
        <v>0.146771961380635</v>
      </c>
      <c r="F773" s="36">
        <f t="shared" ref="F773" si="274">F749</f>
        <v>0.32735356599262</v>
      </c>
      <c r="G773">
        <v>0.2</v>
      </c>
      <c r="H773">
        <v>0.3</v>
      </c>
      <c r="J773" s="2" t="s">
        <v>69</v>
      </c>
    </row>
    <row r="774" spans="2:10" x14ac:dyDescent="0.3">
      <c r="B774" s="47" t="s">
        <v>160</v>
      </c>
      <c r="C774" t="str">
        <f>VLOOKUP($B774,'标准费用表-2024年&amp;2025年优化'!$D:$E,2,0)</f>
        <v>正大食品（长沙）有限公司</v>
      </c>
      <c r="D774" t="s">
        <v>138</v>
      </c>
      <c r="E774" s="36">
        <f t="shared" si="256"/>
        <v>0.134682753878271</v>
      </c>
      <c r="F774" s="36">
        <f t="shared" ref="F774" si="275">F750</f>
        <v>1.23640141273733</v>
      </c>
      <c r="G774">
        <v>0.2</v>
      </c>
      <c r="H774">
        <v>0.3</v>
      </c>
      <c r="J774" s="2" t="s">
        <v>69</v>
      </c>
    </row>
    <row r="775" spans="2:10" x14ac:dyDescent="0.3">
      <c r="B775" s="47" t="s">
        <v>160</v>
      </c>
      <c r="C775" t="str">
        <f>VLOOKUP($B775,'标准费用表-2024年&amp;2025年优化'!$D:$E,2,0)</f>
        <v>正大食品（长沙）有限公司</v>
      </c>
      <c r="D775" t="s">
        <v>139</v>
      </c>
      <c r="E775" s="36">
        <f t="shared" si="256"/>
        <v>0.47118909740953102</v>
      </c>
      <c r="F775" s="36">
        <f t="shared" ref="F775" si="276">F751</f>
        <v>0.53176985704220803</v>
      </c>
      <c r="G775">
        <v>0.2</v>
      </c>
      <c r="H775">
        <v>0.3</v>
      </c>
      <c r="J775" s="2" t="s">
        <v>69</v>
      </c>
    </row>
    <row r="776" spans="2:10" x14ac:dyDescent="0.3">
      <c r="B776" s="47" t="s">
        <v>160</v>
      </c>
      <c r="C776" t="str">
        <f>VLOOKUP($B776,'标准费用表-2024年&amp;2025年优化'!$D:$E,2,0)</f>
        <v>正大食品（长沙）有限公司</v>
      </c>
      <c r="D776" t="s">
        <v>140</v>
      </c>
      <c r="E776" s="36">
        <f t="shared" si="256"/>
        <v>0.55188965697167802</v>
      </c>
      <c r="F776" s="36">
        <f t="shared" ref="F776" si="277">F752</f>
        <v>0.33602977175607401</v>
      </c>
      <c r="G776">
        <v>0.2</v>
      </c>
      <c r="H776">
        <v>0.3</v>
      </c>
      <c r="J776" s="2" t="s">
        <v>69</v>
      </c>
    </row>
    <row r="777" spans="2:10" x14ac:dyDescent="0.3">
      <c r="B777" s="47" t="s">
        <v>160</v>
      </c>
      <c r="C777" t="str">
        <f>VLOOKUP($B777,'标准费用表-2024年&amp;2025年优化'!$D:$E,2,0)</f>
        <v>正大食品（长沙）有限公司</v>
      </c>
      <c r="D777" t="s">
        <v>141</v>
      </c>
      <c r="E777" s="36">
        <f t="shared" si="256"/>
        <v>0.15780837445665</v>
      </c>
      <c r="F777" s="36">
        <f t="shared" ref="F777" si="278">F753</f>
        <v>0.27862086131775798</v>
      </c>
      <c r="G777">
        <v>0.2</v>
      </c>
      <c r="H777">
        <v>0.3</v>
      </c>
      <c r="J777" s="2" t="s">
        <v>69</v>
      </c>
    </row>
    <row r="778" spans="2:10" x14ac:dyDescent="0.3">
      <c r="B778" s="47" t="s">
        <v>160</v>
      </c>
      <c r="C778" t="str">
        <f>VLOOKUP($B778,'标准费用表-2024年&amp;2025年优化'!$D:$E,2,0)</f>
        <v>正大食品（长沙）有限公司</v>
      </c>
      <c r="D778" t="s">
        <v>142</v>
      </c>
      <c r="E778" s="36">
        <f t="shared" si="256"/>
        <v>4.6952245508675002E-2</v>
      </c>
      <c r="F778" s="36">
        <f t="shared" ref="F778" si="279">F754</f>
        <v>0.110585529087118</v>
      </c>
      <c r="G778">
        <v>0.2</v>
      </c>
      <c r="H778">
        <v>0.3</v>
      </c>
      <c r="J778" s="2" t="s">
        <v>69</v>
      </c>
    </row>
    <row r="779" spans="2:10" x14ac:dyDescent="0.3">
      <c r="B779" s="47" t="s">
        <v>162</v>
      </c>
      <c r="C779" t="str">
        <f>VLOOKUP($B779,'标准费用表-2024年&amp;2025年优化'!$D:$E,2,0)</f>
        <v>庆阳正大食品有限公司-OEM</v>
      </c>
      <c r="D779" t="s">
        <v>41</v>
      </c>
      <c r="E779" s="46">
        <f>IFERROR(VLOOKUP($B779,'标准费用表-2024年&amp;2025年优化'!$D:$K,8,0)*VLOOKUP('5.成本表'!$D779,系数辅助表!$C:$G,5,0)/VLOOKUP($D779,系数辅助表!$C:$E,3,0),0)</f>
        <v>0.48133105671723198</v>
      </c>
      <c r="I779" s="36">
        <f>VLOOKUP($D779,系数辅助表!$C:$F,4,0)</f>
        <v>1.33</v>
      </c>
      <c r="J779" s="2" t="s">
        <v>41</v>
      </c>
    </row>
    <row r="780" spans="2:10" x14ac:dyDescent="0.3">
      <c r="B780" s="47" t="s">
        <v>162</v>
      </c>
      <c r="C780" t="str">
        <f>VLOOKUP($B780,'标准费用表-2024年&amp;2025年优化'!$D:$E,2,0)</f>
        <v>庆阳正大食品有限公司-OEM</v>
      </c>
      <c r="D780" t="s">
        <v>44</v>
      </c>
      <c r="E780" s="46">
        <f>IFERROR(VLOOKUP($B780,'标准费用表-2024年&amp;2025年优化'!$D:$K,8,0)*系数辅助表!$J$6*VLOOKUP('5.成本表'!$D780,系数辅助表!$C:$G,5,0)/VLOOKUP($D780,系数辅助表!$C:$E,3,0),0)</f>
        <v>0.27529317077466198</v>
      </c>
      <c r="I780" s="36">
        <f>VLOOKUP($D780,系数辅助表!$C:$F,4,0)</f>
        <v>0.789027855994753</v>
      </c>
      <c r="J780" s="2" t="s">
        <v>200</v>
      </c>
    </row>
    <row r="781" spans="2:10" x14ac:dyDescent="0.3">
      <c r="B781" s="47" t="s">
        <v>162</v>
      </c>
      <c r="C781" t="str">
        <f>VLOOKUP($B781,'标准费用表-2024年&amp;2025年优化'!$D:$E,2,0)</f>
        <v>庆阳正大食品有限公司-OEM</v>
      </c>
      <c r="D781" t="s">
        <v>45</v>
      </c>
      <c r="E781" s="46">
        <f>IFERROR(VLOOKUP($B781,'标准费用表-2024年&amp;2025年优化'!$D:$K,8,0)*系数辅助表!$J$6*VLOOKUP('5.成本表'!$D781,系数辅助表!$C:$G,5,0)/VLOOKUP($D781,系数辅助表!$C:$E,3,0),0)</f>
        <v>0.73575502737048104</v>
      </c>
      <c r="I781" s="36">
        <f>VLOOKUP($D781,系数辅助表!$C:$F,4,0)</f>
        <v>2.1087744754070901</v>
      </c>
      <c r="J781" s="2" t="s">
        <v>200</v>
      </c>
    </row>
    <row r="782" spans="2:10" x14ac:dyDescent="0.3">
      <c r="B782" s="47" t="s">
        <v>162</v>
      </c>
      <c r="C782" t="str">
        <f>VLOOKUP($B782,'标准费用表-2024年&amp;2025年优化'!$D:$E,2,0)</f>
        <v>庆阳正大食品有限公司-OEM</v>
      </c>
      <c r="D782" t="s">
        <v>46</v>
      </c>
      <c r="E782" s="46">
        <f>IFERROR(VLOOKUP($B782,'标准费用表-2024年&amp;2025年优化'!$D:$K,8,0)*系数辅助表!$J$6*VLOOKUP('5.成本表'!$D782,系数辅助表!$C:$G,5,0)/VLOOKUP($D782,系数辅助表!$C:$E,3,0),0)</f>
        <v>1.36180454702586</v>
      </c>
      <c r="I782" s="36">
        <f>VLOOKUP($D782,系数辅助表!$C:$F,4,0)</f>
        <v>3.9031179705625099</v>
      </c>
      <c r="J782" s="2" t="s">
        <v>200</v>
      </c>
    </row>
    <row r="783" spans="2:10" x14ac:dyDescent="0.3">
      <c r="B783" s="47" t="s">
        <v>162</v>
      </c>
      <c r="C783" t="str">
        <f>VLOOKUP($B783,'标准费用表-2024年&amp;2025年优化'!$D:$E,2,0)</f>
        <v>庆阳正大食品有限公司-OEM</v>
      </c>
      <c r="D783" t="s">
        <v>47</v>
      </c>
      <c r="E783" s="46">
        <f>IFERROR(VLOOKUP($B783,'标准费用表-2024年&amp;2025年优化'!$D:$K,8,0)*系数辅助表!$J$6*VLOOKUP('5.成本表'!$D783,系数辅助表!$C:$G,5,0)/VLOOKUP($D783,系数辅助表!$C:$E,3,0),0)</f>
        <v>0.28619016804451602</v>
      </c>
      <c r="I783" s="36">
        <f>VLOOKUP($D783,系数辅助表!$C:$F,4,0)</f>
        <v>0.82026013963048305</v>
      </c>
      <c r="J783" s="2" t="s">
        <v>200</v>
      </c>
    </row>
    <row r="784" spans="2:10" x14ac:dyDescent="0.3">
      <c r="B784" s="47" t="s">
        <v>162</v>
      </c>
      <c r="C784" t="str">
        <f>VLOOKUP($B784,'标准费用表-2024年&amp;2025年优化'!$D:$E,2,0)</f>
        <v>庆阳正大食品有限公司-OEM</v>
      </c>
      <c r="D784" t="s">
        <v>48</v>
      </c>
      <c r="E784" s="46">
        <f>IFERROR(VLOOKUP($B784,'标准费用表-2024年&amp;2025年优化'!$D:$K,8,0)*系数辅助表!$J$6*VLOOKUP('5.成本表'!$D784,系数辅助表!$C:$G,5,0)/VLOOKUP($D784,系数辅助表!$C:$E,3,0),0)</f>
        <v>0.126345671047913</v>
      </c>
      <c r="I784" s="36">
        <f>VLOOKUP($D784,系数辅助表!$C:$F,4,0)</f>
        <v>0.36212396283071502</v>
      </c>
      <c r="J784" s="2" t="s">
        <v>200</v>
      </c>
    </row>
    <row r="785" spans="2:10" x14ac:dyDescent="0.3">
      <c r="B785" s="47" t="s">
        <v>162</v>
      </c>
      <c r="C785" t="str">
        <f>VLOOKUP($B785,'标准费用表-2024年&amp;2025年优化'!$D:$E,2,0)</f>
        <v>庆阳正大食品有限公司-OEM</v>
      </c>
      <c r="D785" t="s">
        <v>49</v>
      </c>
      <c r="E785" s="46">
        <f>IFERROR(VLOOKUP($B785,'标准费用表-2024年&amp;2025年优化'!$D:$K,8,0)*系数辅助表!$J$6*VLOOKUP('5.成本表'!$D785,系数辅助表!$C:$G,5,0)/VLOOKUP($D785,系数辅助表!$C:$E,3,0),0)</f>
        <v>0.39102308970194699</v>
      </c>
      <c r="I785" s="36">
        <f>VLOOKUP($D785,系数辅助表!$C:$F,4,0)</f>
        <v>1.1207256222295201</v>
      </c>
      <c r="J785" s="2" t="s">
        <v>200</v>
      </c>
    </row>
    <row r="786" spans="2:10" x14ac:dyDescent="0.3">
      <c r="B786" s="47" t="s">
        <v>162</v>
      </c>
      <c r="C786" t="str">
        <f>VLOOKUP($B786,'标准费用表-2024年&amp;2025年优化'!$D:$E,2,0)</f>
        <v>庆阳正大食品有限公司-OEM</v>
      </c>
      <c r="D786" t="s">
        <v>50</v>
      </c>
      <c r="E786" s="46">
        <f>IFERROR(VLOOKUP($B786,'标准费用表-2024年&amp;2025年优化'!$D:$K,8,0)*系数辅助表!$J$6*VLOOKUP('5.成本表'!$D786,系数辅助表!$C:$G,5,0)/VLOOKUP($D786,系数辅助表!$C:$E,3,0),0)</f>
        <v>0.64593955314098594</v>
      </c>
      <c r="I786" s="36">
        <f>VLOOKUP($D786,系数辅助表!$C:$F,4,0)</f>
        <v>1.8513510498021799</v>
      </c>
      <c r="J786" s="2" t="s">
        <v>200</v>
      </c>
    </row>
    <row r="787" spans="2:10" x14ac:dyDescent="0.3">
      <c r="B787" s="47" t="s">
        <v>162</v>
      </c>
      <c r="C787" t="str">
        <f>VLOOKUP($B787,'标准费用表-2024年&amp;2025年优化'!$D:$E,2,0)</f>
        <v>庆阳正大食品有限公司-OEM</v>
      </c>
      <c r="D787" t="s">
        <v>51</v>
      </c>
      <c r="E787" s="46">
        <f>IFERROR(VLOOKUP($B787,'标准费用表-2024年&amp;2025年优化'!$D:$K,8,0)*系数辅助表!$J$6*VLOOKUP('5.成本表'!$D787,系数辅助表!$C:$G,5,0)/VLOOKUP($D787,系数辅助表!$C:$E,3,0),0)</f>
        <v>0.93702891404075495</v>
      </c>
      <c r="I787" s="36">
        <f>VLOOKUP($D787,系数辅助表!$C:$F,4,0)</f>
        <v>2.68565294580391</v>
      </c>
      <c r="J787" s="2" t="s">
        <v>200</v>
      </c>
    </row>
    <row r="788" spans="2:10" x14ac:dyDescent="0.3">
      <c r="B788" s="47" t="s">
        <v>162</v>
      </c>
      <c r="C788" t="str">
        <f>VLOOKUP($B788,'标准费用表-2024年&amp;2025年优化'!$D:$E,2,0)</f>
        <v>庆阳正大食品有限公司-OEM</v>
      </c>
      <c r="D788" t="s">
        <v>52</v>
      </c>
      <c r="E788" s="46">
        <f>IFERROR(VLOOKUP($B788,'标准费用表-2024年&amp;2025年优化'!$D:$K,8,0)*系数辅助表!$J$6*VLOOKUP('5.成本表'!$D788,系数辅助表!$C:$G,5,0)/VLOOKUP($D788,系数辅助表!$C:$E,3,0),0)</f>
        <v>0.54745248159575799</v>
      </c>
      <c r="I788" s="36">
        <f>VLOOKUP($D788,系数辅助表!$C:$F,4,0)</f>
        <v>1.5690736410097099</v>
      </c>
      <c r="J788" s="2" t="s">
        <v>200</v>
      </c>
    </row>
    <row r="789" spans="2:10" x14ac:dyDescent="0.3">
      <c r="B789" s="47" t="s">
        <v>162</v>
      </c>
      <c r="C789" t="str">
        <f>VLOOKUP($B789,'标准费用表-2024年&amp;2025年优化'!$D:$E,2,0)</f>
        <v>庆阳正大食品有限公司-OEM</v>
      </c>
      <c r="D789" t="s">
        <v>53</v>
      </c>
      <c r="E789" s="46">
        <f>IFERROR(VLOOKUP($B789,'标准费用表-2024年&amp;2025年优化'!$D:$K,8,0)*系数辅助表!$J$6*VLOOKUP('5.成本表'!$D789,系数辅助表!$C:$G,5,0)/VLOOKUP($D789,系数辅助表!$C:$E,3,0),0)</f>
        <v>0.50275847905869897</v>
      </c>
      <c r="I789" s="36">
        <f>VLOOKUP($D789,系数辅助表!$C:$F,4,0)</f>
        <v>1.44097452072131</v>
      </c>
      <c r="J789" s="2" t="s">
        <v>200</v>
      </c>
    </row>
    <row r="790" spans="2:10" x14ac:dyDescent="0.3">
      <c r="B790" s="47" t="s">
        <v>162</v>
      </c>
      <c r="C790" t="str">
        <f>VLOOKUP($B790,'标准费用表-2024年&amp;2025年优化'!$D:$E,2,0)</f>
        <v>庆阳正大食品有限公司-OEM</v>
      </c>
      <c r="D790" t="s">
        <v>54</v>
      </c>
      <c r="E790" s="46">
        <f>IFERROR(VLOOKUP($B790,'标准费用表-2024年&amp;2025年优化'!$D:$K,8,0)*系数辅助表!$J$6*VLOOKUP('5.成本表'!$D790,系数辅助表!$C:$G,5,0)/VLOOKUP($D790,系数辅助表!$C:$E,3,0),0)</f>
        <v>0.64226980988722904</v>
      </c>
      <c r="I790" s="36">
        <f>VLOOKUP($D790,系数辅助表!$C:$F,4,0)</f>
        <v>1.8408330640366199</v>
      </c>
      <c r="J790" s="2" t="s">
        <v>200</v>
      </c>
    </row>
    <row r="791" spans="2:10" x14ac:dyDescent="0.3">
      <c r="B791" s="47" t="s">
        <v>162</v>
      </c>
      <c r="C791" t="str">
        <f>VLOOKUP($B791,'标准费用表-2024年&amp;2025年优化'!$D:$E,2,0)</f>
        <v>庆阳正大食品有限公司-OEM</v>
      </c>
      <c r="D791" t="s">
        <v>55</v>
      </c>
      <c r="E791" s="46">
        <f>IFERROR(VLOOKUP($B791,'标准费用表-2024年&amp;2025年优化'!$D:$K,8,0)*系数辅助表!$J$6*VLOOKUP('5.成本表'!$D791,系数辅助表!$C:$G,5,0)/VLOOKUP($D791,系数辅助表!$C:$E,3,0),0)</f>
        <v>1.11709372497796</v>
      </c>
      <c r="I791" s="36">
        <f>VLOOKUP($D791,系数辅助表!$C:$F,4,0)</f>
        <v>3.2017433061789502</v>
      </c>
      <c r="J791" s="2" t="s">
        <v>200</v>
      </c>
    </row>
    <row r="792" spans="2:10" x14ac:dyDescent="0.3">
      <c r="B792" s="47" t="s">
        <v>162</v>
      </c>
      <c r="C792" t="str">
        <f>VLOOKUP($B792,'标准费用表-2024年&amp;2025年优化'!$D:$E,2,0)</f>
        <v>庆阳正大食品有限公司-OEM</v>
      </c>
      <c r="D792" t="s">
        <v>56</v>
      </c>
      <c r="E792" s="46">
        <f>IFERROR(VLOOKUP($B792,'标准费用表-2024年&amp;2025年优化'!$D:$K,8,0)*系数辅助表!$J$6*VLOOKUP('5.成本表'!$D792,系数辅助表!$C:$G,5,0)/VLOOKUP($D792,系数辅助表!$C:$E,3,0),0)</f>
        <v>0.19019137268455499</v>
      </c>
      <c r="I792" s="36">
        <f>VLOOKUP($D792,系数辅助表!$C:$F,4,0)</f>
        <v>0.54511447049599404</v>
      </c>
      <c r="J792" s="2" t="s">
        <v>200</v>
      </c>
    </row>
    <row r="793" spans="2:10" x14ac:dyDescent="0.3">
      <c r="B793" s="47" t="s">
        <v>162</v>
      </c>
      <c r="C793" t="str">
        <f>VLOOKUP($B793,'标准费用表-2024年&amp;2025年优化'!$D:$E,2,0)</f>
        <v>庆阳正大食品有限公司-OEM</v>
      </c>
      <c r="D793" t="s">
        <v>57</v>
      </c>
      <c r="E793" s="46">
        <f>IFERROR(VLOOKUP($B793,'标准费用表-2024年&amp;2025年优化'!$D:$K,8,0)*系数辅助表!$J$6*VLOOKUP('5.成本表'!$D793,系数辅助表!$C:$G,5,0)/VLOOKUP($D793,系数辅助表!$C:$E,3,0),0)</f>
        <v>4.40344946447076E-2</v>
      </c>
      <c r="I793" s="36">
        <f>VLOOKUP($D793,系数辅助表!$C:$F,4,0)</f>
        <v>0.126208880523832</v>
      </c>
      <c r="J793" s="2" t="s">
        <v>200</v>
      </c>
    </row>
    <row r="794" spans="2:10" x14ac:dyDescent="0.3">
      <c r="B794" s="47" t="s">
        <v>162</v>
      </c>
      <c r="C794" t="str">
        <f>VLOOKUP($B794,'标准费用表-2024年&amp;2025年优化'!$D:$E,2,0)</f>
        <v>庆阳正大食品有限公司-OEM</v>
      </c>
      <c r="D794" t="s">
        <v>58</v>
      </c>
      <c r="E794" s="46">
        <f>IFERROR(VLOOKUP($B794,'标准费用表-2024年&amp;2025年优化'!$D:$K,8,0)*系数辅助表!$J$6*VLOOKUP('5.成本表'!$D794,系数辅助表!$C:$G,5,0)/VLOOKUP($D794,系数辅助表!$C:$E,3,0),0)</f>
        <v>0.23624979932158699</v>
      </c>
      <c r="I794" s="36">
        <f>VLOOKUP($D794,系数辅助表!$C:$F,4,0)</f>
        <v>0.67712421675176204</v>
      </c>
      <c r="J794" s="2" t="s">
        <v>200</v>
      </c>
    </row>
    <row r="795" spans="2:10" x14ac:dyDescent="0.3">
      <c r="B795" s="47" t="s">
        <v>162</v>
      </c>
      <c r="C795" t="str">
        <f>VLOOKUP($B795,'标准费用表-2024年&amp;2025年优化'!$D:$E,2,0)</f>
        <v>庆阳正大食品有限公司-OEM</v>
      </c>
      <c r="D795" t="s">
        <v>59</v>
      </c>
      <c r="E795" s="46">
        <f>IFERROR(VLOOKUP($B795,'标准费用表-2024年&amp;2025年优化'!$D:$K,8,0)*系数辅助表!$J$6*VLOOKUP('5.成本表'!$D795,系数辅助表!$C:$G,5,0)/VLOOKUP($D795,系数辅助表!$C:$E,3,0),0)</f>
        <v>0.15452682267208401</v>
      </c>
      <c r="I795" s="36">
        <f>VLOOKUP($D795,系数辅助表!$C:$F,4,0)</f>
        <v>0.44289499533730498</v>
      </c>
      <c r="J795" s="2" t="s">
        <v>200</v>
      </c>
    </row>
    <row r="796" spans="2:10" x14ac:dyDescent="0.3">
      <c r="B796" s="47" t="s">
        <v>162</v>
      </c>
      <c r="C796" t="str">
        <f>VLOOKUP($B796,'标准费用表-2024年&amp;2025年优化'!$D:$E,2,0)</f>
        <v>庆阳正大食品有限公司-OEM</v>
      </c>
      <c r="D796" t="s">
        <v>60</v>
      </c>
      <c r="E796" s="46">
        <f>IFERROR(VLOOKUP($B796,'标准费用表-2024年&amp;2025年优化'!$D:$K,8,0)*系数辅助表!$J$6*VLOOKUP('5.成本表'!$D796,系数辅助表!$C:$G,5,0)/VLOOKUP($D796,系数辅助表!$C:$E,3,0),0)</f>
        <v>0.102422355030736</v>
      </c>
      <c r="I796" s="36">
        <f>VLOOKUP($D796,系数辅助表!$C:$F,4,0)</f>
        <v>0.29355646915769201</v>
      </c>
      <c r="J796" s="2" t="s">
        <v>200</v>
      </c>
    </row>
    <row r="797" spans="2:10" x14ac:dyDescent="0.3">
      <c r="B797" s="47" t="s">
        <v>162</v>
      </c>
      <c r="C797" t="str">
        <f>VLOOKUP($B797,'标准费用表-2024年&amp;2025年优化'!$D:$E,2,0)</f>
        <v>庆阳正大食品有限公司-OEM</v>
      </c>
      <c r="D797" t="s">
        <v>61</v>
      </c>
      <c r="E797" s="46">
        <f>IFERROR(VLOOKUP($B797,'标准费用表-2024年&amp;2025年优化'!$D:$K,8,0)*系数辅助表!$J$6*VLOOKUP('5.成本表'!$D797,系数辅助表!$C:$G,5,0)/VLOOKUP($D797,系数辅助表!$C:$E,3,0),0)</f>
        <v>1.7683445968469502E-2</v>
      </c>
      <c r="I797" s="36">
        <f>VLOOKUP($D797,系数辅助表!$C:$F,4,0)</f>
        <v>5.0683173214352499E-2</v>
      </c>
      <c r="J797" s="2" t="s">
        <v>200</v>
      </c>
    </row>
    <row r="798" spans="2:10" x14ac:dyDescent="0.3">
      <c r="B798" s="47" t="s">
        <v>162</v>
      </c>
      <c r="C798" t="str">
        <f>VLOOKUP($B798,'标准费用表-2024年&amp;2025年优化'!$D:$E,2,0)</f>
        <v>庆阳正大食品有限公司-OEM</v>
      </c>
      <c r="D798" t="s">
        <v>62</v>
      </c>
      <c r="E798" s="46">
        <f>IFERROR(VLOOKUP($B798,'标准费用表-2024年&amp;2025年优化'!$D:$K,8,0)*系数辅助表!$J$6*VLOOKUP('5.成本表'!$D798,系数辅助表!$C:$G,5,0)/VLOOKUP($D798,系数辅助表!$C:$E,3,0),0)</f>
        <v>9.2541138570817597E-2</v>
      </c>
      <c r="I798" s="36">
        <f>VLOOKUP($D798,系数辅助表!$C:$F,4,0)</f>
        <v>0.26523555216563399</v>
      </c>
      <c r="J798" s="2" t="s">
        <v>200</v>
      </c>
    </row>
    <row r="799" spans="2:10" x14ac:dyDescent="0.3">
      <c r="B799" s="47" t="s">
        <v>162</v>
      </c>
      <c r="C799" t="str">
        <f>VLOOKUP($B799,'标准费用表-2024年&amp;2025年优化'!$D:$E,2,0)</f>
        <v>庆阳正大食品有限公司-OEM</v>
      </c>
      <c r="D799" t="s">
        <v>63</v>
      </c>
      <c r="E799" s="46">
        <f>IFERROR(VLOOKUP($B799,'标准费用表-2024年&amp;2025年优化'!$D:$K,8,0)*系数辅助表!$J$6*VLOOKUP('5.成本表'!$D799,系数辅助表!$C:$G,5,0)/VLOOKUP($D799,系数辅助表!$C:$E,3,0),0)</f>
        <v>8.4918776532701204E-2</v>
      </c>
      <c r="I799" s="36">
        <f>VLOOKUP($D799,系数辅助表!$C:$F,4,0)</f>
        <v>0.24338882069886</v>
      </c>
      <c r="J799" s="2" t="s">
        <v>200</v>
      </c>
    </row>
    <row r="800" spans="2:10" x14ac:dyDescent="0.3">
      <c r="B800" s="47" t="s">
        <v>162</v>
      </c>
      <c r="C800" t="str">
        <f>VLOOKUP($B800,'标准费用表-2024年&amp;2025年优化'!$D:$E,2,0)</f>
        <v>庆阳正大食品有限公司-OEM</v>
      </c>
      <c r="D800" t="s">
        <v>64</v>
      </c>
      <c r="E800" s="46">
        <f>IFERROR(VLOOKUP($B800,'标准费用表-2024年&amp;2025年优化'!$D:$K,8,0)*系数辅助表!$J$6*VLOOKUP('5.成本表'!$D800,系数辅助表!$C:$G,5,0)/VLOOKUP($D800,系数辅助表!$C:$E,3,0),0)</f>
        <v>0.29708927472428698</v>
      </c>
      <c r="I800" s="36">
        <f>VLOOKUP($D800,系数辅助表!$C:$F,4,0)</f>
        <v>0.85149846912336002</v>
      </c>
      <c r="J800" s="2" t="s">
        <v>200</v>
      </c>
    </row>
    <row r="801" spans="2:10" x14ac:dyDescent="0.3">
      <c r="B801" s="47" t="s">
        <v>162</v>
      </c>
      <c r="C801" t="str">
        <f>VLOOKUP($B801,'标准费用表-2024年&amp;2025年优化'!$D:$E,2,0)</f>
        <v>庆阳正大食品有限公司-OEM</v>
      </c>
      <c r="D801" t="s">
        <v>65</v>
      </c>
      <c r="E801" s="46">
        <f>IFERROR(VLOOKUP($B801,'标准费用表-2024年&amp;2025年优化'!$D:$K,8,0)*系数辅助表!$J$6*VLOOKUP('5.成本表'!$D801,系数辅助表!$C:$G,5,0)/VLOOKUP($D801,系数辅助表!$C:$E,3,0),0)</f>
        <v>0.347971756602522</v>
      </c>
      <c r="I801" s="36">
        <f>VLOOKUP($D801,系数辅助表!$C:$F,4,0)</f>
        <v>0.99733461707829196</v>
      </c>
      <c r="J801" s="2" t="s">
        <v>200</v>
      </c>
    </row>
    <row r="802" spans="2:10" x14ac:dyDescent="0.3">
      <c r="B802" s="47" t="s">
        <v>162</v>
      </c>
      <c r="C802" t="str">
        <f>VLOOKUP($B802,'标准费用表-2024年&amp;2025年优化'!$D:$E,2,0)</f>
        <v>庆阳正大食品有限公司-OEM</v>
      </c>
      <c r="D802" t="s">
        <v>66</v>
      </c>
      <c r="E802" s="46">
        <f>IFERROR(VLOOKUP($B802,'标准费用表-2024年&amp;2025年优化'!$D:$K,8,0)*系数辅助表!$J$6*VLOOKUP('5.成本表'!$D802,系数辅助表!$C:$G,5,0)/VLOOKUP($D802,系数辅助表!$C:$E,3,0),0)</f>
        <v>9.9499703559559893E-2</v>
      </c>
      <c r="I802" s="36">
        <f>VLOOKUP($D802,系数辅助表!$C:$F,4,0)</f>
        <v>0.28517975055754302</v>
      </c>
      <c r="J802" s="2" t="s">
        <v>200</v>
      </c>
    </row>
    <row r="803" spans="2:10" x14ac:dyDescent="0.3">
      <c r="B803" s="47" t="s">
        <v>162</v>
      </c>
      <c r="C803" t="str">
        <f>VLOOKUP($B803,'标准费用表-2024年&amp;2025年优化'!$D:$E,2,0)</f>
        <v>庆阳正大食品有限公司-OEM</v>
      </c>
      <c r="D803" t="s">
        <v>67</v>
      </c>
      <c r="E803" s="46">
        <f>IFERROR(VLOOKUP($B803,'标准费用表-2024年&amp;2025年优化'!$D:$K,8,0)*系数辅助表!$J$6*VLOOKUP('5.成本表'!$D803,系数辅助表!$C:$G,5,0)/VLOOKUP($D803,系数辅助表!$C:$E,3,0),0)</f>
        <v>2.96038440650193E-2</v>
      </c>
      <c r="I803" s="36">
        <f>VLOOKUP($D803,系数辅助表!$C:$F,4,0)</f>
        <v>8.4848663503333893E-2</v>
      </c>
      <c r="J803" s="2" t="s">
        <v>200</v>
      </c>
    </row>
    <row r="804" spans="2:10" x14ac:dyDescent="0.3">
      <c r="B804" s="47" t="s">
        <v>162</v>
      </c>
      <c r="C804" t="str">
        <f>VLOOKUP($B804,'标准费用表-2024年&amp;2025年优化'!$D:$E,2,0)</f>
        <v>庆阳正大食品有限公司-OEM</v>
      </c>
      <c r="D804" t="s">
        <v>68</v>
      </c>
      <c r="E804" s="36">
        <f>IFERROR(VLOOKUP($B804,'标准费用表-2024年&amp;2025年优化'!$D:$K,8,0)*VLOOKUP("白条",系数辅助表!$C:$G,5,0)*VLOOKUP('5.成本表'!$D804,系数辅助表!$C:$G,5,0)/VLOOKUP('5.成本表'!$D804,系数辅助表!$C:$E,3,0),)</f>
        <v>0.72141968059238104</v>
      </c>
      <c r="F804" s="36">
        <f>IFERROR(VLOOKUP($B804,'标准费用表-2024年&amp;2025年优化'!$D:$L,9,0)*VLOOKUP('5.成本表'!$D804,系数辅助表!$C:$G,5,0)/VLOOKUP($D804,系数辅助表!$C:$E,3,0),0)</f>
        <v>0.93408395485170304</v>
      </c>
      <c r="I804" s="36">
        <f>VLOOKUP($D804,系数辅助表!$C:$F,4,0)</f>
        <v>2.2799999999999998</v>
      </c>
      <c r="J804" s="2" t="s">
        <v>69</v>
      </c>
    </row>
    <row r="805" spans="2:10" x14ac:dyDescent="0.3">
      <c r="B805" s="47" t="s">
        <v>162</v>
      </c>
      <c r="C805" t="str">
        <f>VLOOKUP($B805,'标准费用表-2024年&amp;2025年优化'!$D:$E,2,0)</f>
        <v>庆阳正大食品有限公司-OEM</v>
      </c>
      <c r="D805" t="s">
        <v>70</v>
      </c>
      <c r="E805" s="36">
        <f>IFERROR(VLOOKUP($B805,'标准费用表-2024年&amp;2025年优化'!$D:$K,8,0)*VLOOKUP("白条",系数辅助表!$C:$G,5,0)*VLOOKUP('5.成本表'!$D805,系数辅助表!$C:$G,5,0)/VLOOKUP('5.成本表'!$D805,系数辅助表!$C:$E,3,0),)</f>
        <v>0.48212455785915398</v>
      </c>
      <c r="F805" s="36">
        <f>IFERROR(VLOOKUP($B805,'标准费用表-2024年&amp;2025年优化'!$D:$L,9,0)*VLOOKUP('5.成本表'!$D805,系数辅助表!$C:$G,5,0)/VLOOKUP($D805,系数辅助表!$C:$E,3,0),0)</f>
        <v>0.62424802906182797</v>
      </c>
      <c r="I805" s="36">
        <f>VLOOKUP($D805,系数辅助表!$C:$F,4,0)</f>
        <v>1.5237233215154999</v>
      </c>
      <c r="J805" s="2" t="s">
        <v>69</v>
      </c>
    </row>
    <row r="806" spans="2:10" x14ac:dyDescent="0.3">
      <c r="B806" s="47" t="s">
        <v>162</v>
      </c>
      <c r="C806" t="str">
        <f>VLOOKUP($B806,'标准费用表-2024年&amp;2025年优化'!$D:$E,2,0)</f>
        <v>庆阳正大食品有限公司-OEM</v>
      </c>
      <c r="D806" t="s">
        <v>71</v>
      </c>
      <c r="E806" s="36">
        <f>IFERROR(VLOOKUP($B806,'标准费用表-2024年&amp;2025年优化'!$D:$K,8,0)*VLOOKUP("白条",系数辅助表!$C:$G,5,0)*VLOOKUP('5.成本表'!$D806,系数辅助表!$C:$G,5,0)/VLOOKUP('5.成本表'!$D806,系数辅助表!$C:$E,3,0),)</f>
        <v>1.2759814472401401</v>
      </c>
      <c r="F806" s="36">
        <f>IFERROR(VLOOKUP($B806,'标准费用表-2024年&amp;2025年优化'!$D:$L,9,0)*VLOOKUP('5.成本表'!$D806,系数辅助表!$C:$G,5,0)/VLOOKUP($D806,系数辅助表!$C:$E,3,0),0)</f>
        <v>1.65212265290127</v>
      </c>
      <c r="I806" s="36">
        <f>VLOOKUP($D806,系数辅助表!$C:$F,4,0)</f>
        <v>4.0326564106466396</v>
      </c>
      <c r="J806" s="2" t="s">
        <v>69</v>
      </c>
    </row>
    <row r="807" spans="2:10" x14ac:dyDescent="0.3">
      <c r="B807" s="47" t="s">
        <v>162</v>
      </c>
      <c r="C807" t="str">
        <f>VLOOKUP($B807,'标准费用表-2024年&amp;2025年优化'!$D:$E,2,0)</f>
        <v>庆阳正大食品有限公司-OEM</v>
      </c>
      <c r="D807" t="s">
        <v>72</v>
      </c>
      <c r="E807" s="36">
        <f>IFERROR(VLOOKUP($B807,'标准费用表-2024年&amp;2025年优化'!$D:$K,8,0)*VLOOKUP("白条",系数辅助表!$C:$G,5,0)*VLOOKUP('5.成本表'!$D807,系数辅助表!$C:$G,5,0)/VLOOKUP('5.成本表'!$D807,系数辅助表!$C:$E,3,0),)</f>
        <v>0.74311921686555005</v>
      </c>
      <c r="F807" s="36">
        <f>IFERROR(VLOOKUP($B807,'标准费用表-2024年&amp;2025年优化'!$D:$L,9,0)*VLOOKUP('5.成本表'!$D807,系数辅助表!$C:$G,5,0)/VLOOKUP($D807,系数辅助表!$C:$E,3,0),0)</f>
        <v>0.96218020618192202</v>
      </c>
      <c r="I807" s="36">
        <f>VLOOKUP($D807,系数辅助表!$C:$F,4,0)</f>
        <v>2.34857997367385</v>
      </c>
      <c r="J807" s="2" t="s">
        <v>69</v>
      </c>
    </row>
    <row r="808" spans="2:10" x14ac:dyDescent="0.3">
      <c r="B808" s="47" t="s">
        <v>162</v>
      </c>
      <c r="C808" t="str">
        <f>VLOOKUP($B808,'标准费用表-2024年&amp;2025年优化'!$D:$E,2,0)</f>
        <v>庆阳正大食品有限公司-OEM</v>
      </c>
      <c r="D808" t="s">
        <v>73</v>
      </c>
      <c r="E808" s="36">
        <f>IFERROR(VLOOKUP($B808,'标准费用表-2024年&amp;2025年优化'!$D:$K,8,0)*VLOOKUP("白条",系数辅助表!$C:$G,5,0)*VLOOKUP('5.成本表'!$D808,系数辅助表!$C:$G,5,0)/VLOOKUP('5.成本表'!$D808,系数辅助表!$C:$E,3,0),)</f>
        <v>0.44641859145204299</v>
      </c>
      <c r="F808" s="36">
        <f>IFERROR(VLOOKUP($B808,'标准费用表-2024年&amp;2025年优化'!$D:$L,9,0)*VLOOKUP('5.成本表'!$D808,系数辅助表!$C:$G,5,0)/VLOOKUP($D808,系数辅助表!$C:$E,3,0),0)</f>
        <v>0.57801645095188603</v>
      </c>
      <c r="I808" s="36">
        <f>VLOOKUP($D808,系数辅助表!$C:$F,4,0)</f>
        <v>1.41087693598112</v>
      </c>
      <c r="J808" s="2" t="s">
        <v>69</v>
      </c>
    </row>
    <row r="809" spans="2:10" x14ac:dyDescent="0.3">
      <c r="B809" s="47" t="s">
        <v>162</v>
      </c>
      <c r="C809" t="str">
        <f>VLOOKUP($B809,'标准费用表-2024年&amp;2025年优化'!$D:$E,2,0)</f>
        <v>庆阳正大食品有限公司-OEM</v>
      </c>
      <c r="D809" t="s">
        <v>74</v>
      </c>
      <c r="E809" s="36">
        <f>IFERROR(VLOOKUP($B809,'标准费用表-2024年&amp;2025年优化'!$D:$K,8,0)*VLOOKUP("白条",系数辅助表!$C:$G,5,0)*VLOOKUP('5.成本表'!$D809,系数辅助表!$C:$G,5,0)/VLOOKUP('5.成本表'!$D809,系数辅助表!$C:$E,3,0),)</f>
        <v>0.602797496351964</v>
      </c>
      <c r="F809" s="36">
        <f>IFERROR(VLOOKUP($B809,'标准费用表-2024年&amp;2025年优化'!$D:$L,9,0)*VLOOKUP('5.成本表'!$D809,系数辅助表!$C:$G,5,0)/VLOOKUP($D809,系数辅助表!$C:$E,3,0),0)</f>
        <v>0.78049363569454899</v>
      </c>
      <c r="I809" s="36">
        <f>VLOOKUP($D809,系数辅助表!$C:$F,4,0)</f>
        <v>1.9051022985038799</v>
      </c>
      <c r="J809" s="2" t="s">
        <v>69</v>
      </c>
    </row>
    <row r="810" spans="2:10" x14ac:dyDescent="0.3">
      <c r="B810" s="47" t="s">
        <v>162</v>
      </c>
      <c r="C810" t="str">
        <f>VLOOKUP($B810,'标准费用表-2024年&amp;2025年优化'!$D:$E,2,0)</f>
        <v>庆阳正大食品有限公司-OEM</v>
      </c>
      <c r="D810" t="s">
        <v>75</v>
      </c>
      <c r="E810" s="36">
        <f>IFERROR(VLOOKUP($B810,'标准费用表-2024年&amp;2025年优化'!$D:$K,8,0)*VLOOKUP("白条",系数辅助表!$C:$G,5,0)*VLOOKUP('5.成本表'!$D810,系数辅助表!$C:$G,5,0)/VLOOKUP('5.成本表'!$D810,系数辅助表!$C:$E,3,0),)</f>
        <v>0.45136695960435802</v>
      </c>
      <c r="F810" s="36">
        <f>IFERROR(VLOOKUP($B810,'标准费用表-2024年&amp;2025年优化'!$D:$L,9,0)*VLOOKUP('5.成本表'!$D810,系数辅助表!$C:$G,5,0)/VLOOKUP($D810,系数辅助表!$C:$E,3,0),0)</f>
        <v>0.584423527745218</v>
      </c>
      <c r="I810" s="36">
        <f>VLOOKUP($D810,系数辅助表!$C:$F,4,0)</f>
        <v>1.42651593182611</v>
      </c>
      <c r="J810" s="2" t="s">
        <v>69</v>
      </c>
    </row>
    <row r="811" spans="2:10" x14ac:dyDescent="0.3">
      <c r="B811" s="47" t="s">
        <v>162</v>
      </c>
      <c r="C811" t="str">
        <f>VLOOKUP($B811,'标准费用表-2024年&amp;2025年优化'!$D:$E,2,0)</f>
        <v>庆阳正大食品有限公司-OEM</v>
      </c>
      <c r="D811" t="s">
        <v>76</v>
      </c>
      <c r="E811" s="36">
        <f>IFERROR(VLOOKUP($B811,'标准费用表-2024年&amp;2025年优化'!$D:$K,8,0)*VLOOKUP("白条",系数辅助表!$C:$G,5,0)*VLOOKUP('5.成本表'!$D811,系数辅助表!$C:$G,5,0)/VLOOKUP('5.成本表'!$D811,系数辅助表!$C:$E,3,0),)</f>
        <v>0.45993117913068798</v>
      </c>
      <c r="F811" s="36">
        <f>IFERROR(VLOOKUP($B811,'标准费用表-2024年&amp;2025年优化'!$D:$L,9,0)*VLOOKUP('5.成本表'!$D811,系数辅助表!$C:$G,5,0)/VLOOKUP($D811,系数辅助表!$C:$E,3,0),0)</f>
        <v>0.595512357535395</v>
      </c>
      <c r="I811" s="36">
        <f>VLOOKUP($D811,系数辅助表!$C:$F,4,0)</f>
        <v>1.4535825908670701</v>
      </c>
      <c r="J811" s="2" t="s">
        <v>69</v>
      </c>
    </row>
    <row r="812" spans="2:10" x14ac:dyDescent="0.3">
      <c r="B812" s="47" t="s">
        <v>162</v>
      </c>
      <c r="C812" t="str">
        <f>VLOOKUP($B812,'标准费用表-2024年&amp;2025年优化'!$D:$E,2,0)</f>
        <v>庆阳正大食品有限公司-OEM</v>
      </c>
      <c r="D812" t="s">
        <v>77</v>
      </c>
      <c r="E812" s="36">
        <f>IFERROR(VLOOKUP($B812,'标准费用表-2024年&amp;2025年优化'!$D:$K,8,0)*VLOOKUP("白条",系数辅助表!$C:$G,5,0)*VLOOKUP('5.成本表'!$D812,系数辅助表!$C:$G,5,0)/VLOOKUP('5.成本表'!$D812,系数辅助表!$C:$E,3,0),)</f>
        <v>0.455961960414904</v>
      </c>
      <c r="F812" s="36">
        <f>IFERROR(VLOOKUP($B812,'标准费用表-2024年&amp;2025年优化'!$D:$L,9,0)*VLOOKUP('5.成本表'!$D812,系数辅助表!$C:$G,5,0)/VLOOKUP($D812,系数辅助表!$C:$E,3,0),0)</f>
        <v>0.59037306952391899</v>
      </c>
      <c r="I812" s="36">
        <f>VLOOKUP($D812,系数辅助表!$C:$F,4,0)</f>
        <v>1.4410381331603499</v>
      </c>
      <c r="J812" s="2" t="s">
        <v>69</v>
      </c>
    </row>
    <row r="813" spans="2:10" x14ac:dyDescent="0.3">
      <c r="B813" s="47" t="s">
        <v>162</v>
      </c>
      <c r="C813" t="str">
        <f>VLOOKUP($B813,'标准费用表-2024年&amp;2025年优化'!$D:$E,2,0)</f>
        <v>庆阳正大食品有限公司-OEM</v>
      </c>
      <c r="D813" t="s">
        <v>78</v>
      </c>
      <c r="E813" s="36">
        <f>IFERROR(VLOOKUP($B813,'标准费用表-2024年&amp;2025年优化'!$D:$K,8,0)*VLOOKUP("白条",系数辅助表!$C:$G,5,0)*VLOOKUP('5.成本表'!$D813,系数辅助表!$C:$G,5,0)/VLOOKUP('5.成本表'!$D813,系数辅助表!$C:$E,3,0),)</f>
        <v>0.39103244763832001</v>
      </c>
      <c r="F813" s="36">
        <f>IFERROR(VLOOKUP($B813,'标准费用表-2024年&amp;2025年优化'!$D:$L,9,0)*VLOOKUP('5.成本表'!$D813,系数辅助表!$C:$G,5,0)/VLOOKUP($D813,系数辅助表!$C:$E,3,0),0)</f>
        <v>0.50630325868767401</v>
      </c>
      <c r="I813" s="36">
        <f>VLOOKUP($D813,系数辅助表!$C:$F,4,0)</f>
        <v>1.2358326291892801</v>
      </c>
      <c r="J813" s="2" t="s">
        <v>69</v>
      </c>
    </row>
    <row r="814" spans="2:10" x14ac:dyDescent="0.3">
      <c r="B814" s="47" t="s">
        <v>162</v>
      </c>
      <c r="C814" t="str">
        <f>VLOOKUP($B814,'标准费用表-2024年&amp;2025年优化'!$D:$E,2,0)</f>
        <v>庆阳正大食品有限公司-OEM</v>
      </c>
      <c r="D814" t="s">
        <v>79</v>
      </c>
      <c r="E814" s="36">
        <f>IFERROR(VLOOKUP($B814,'标准费用表-2024年&amp;2025年优化'!$D:$K,8,0)*VLOOKUP("白条",系数辅助表!$C:$G,5,0)*VLOOKUP('5.成本表'!$D814,系数辅助表!$C:$G,5,0)/VLOOKUP('5.成本表'!$D814,系数辅助表!$C:$E,3,0),)</f>
        <v>0.27313234485441301</v>
      </c>
      <c r="F814" s="36">
        <f>IFERROR(VLOOKUP($B814,'标准费用表-2024年&amp;2025年优化'!$D:$L,9,0)*VLOOKUP('5.成本表'!$D814,系数辅助表!$C:$G,5,0)/VLOOKUP($D814,系数辅助表!$C:$E,3,0),0)</f>
        <v>0.35364788034342998</v>
      </c>
      <c r="I814" s="36">
        <f>VLOOKUP($D814,系数辅助表!$C:$F,4,0)</f>
        <v>0.86321701919291904</v>
      </c>
      <c r="J814" s="2" t="s">
        <v>69</v>
      </c>
    </row>
    <row r="815" spans="2:10" x14ac:dyDescent="0.3">
      <c r="B815" s="47" t="s">
        <v>162</v>
      </c>
      <c r="C815" t="str">
        <f>VLOOKUP($B815,'标准费用表-2024年&amp;2025年优化'!$D:$E,2,0)</f>
        <v>庆阳正大食品有限公司-OEM</v>
      </c>
      <c r="D815" t="s">
        <v>80</v>
      </c>
      <c r="E815" s="36">
        <f>IFERROR(VLOOKUP($B815,'标准费用表-2024年&amp;2025年优化'!$D:$K,8,0)*VLOOKUP("白条",系数辅助表!$C:$G,5,0)*VLOOKUP('5.成本表'!$D815,系数辅助表!$C:$G,5,0)/VLOOKUP('5.成本表'!$D815,系数辅助表!$C:$E,3,0),)</f>
        <v>0.25214058548006901</v>
      </c>
      <c r="F815" s="36">
        <f>IFERROR(VLOOKUP($B815,'标准费用表-2024年&amp;2025年优化'!$D:$L,9,0)*VLOOKUP('5.成本表'!$D815,系数辅助表!$C:$G,5,0)/VLOOKUP($D815,系数辅助表!$C:$E,3,0),0)</f>
        <v>0.32646804848802202</v>
      </c>
      <c r="I815" s="36">
        <f>VLOOKUP($D815,系数辅助表!$C:$F,4,0)</f>
        <v>0.796873928394225</v>
      </c>
      <c r="J815" s="2" t="s">
        <v>69</v>
      </c>
    </row>
    <row r="816" spans="2:10" x14ac:dyDescent="0.3">
      <c r="B816" s="47" t="s">
        <v>162</v>
      </c>
      <c r="C816" t="str">
        <f>VLOOKUP($B816,'标准费用表-2024年&amp;2025年优化'!$D:$E,2,0)</f>
        <v>庆阳正大食品有限公司-OEM</v>
      </c>
      <c r="D816" t="s">
        <v>81</v>
      </c>
      <c r="E816" s="36">
        <f>IFERROR(VLOOKUP($B816,'标准费用表-2024年&amp;2025年优化'!$D:$K,8,0)*VLOOKUP("白条",系数辅助表!$C:$G,5,0)*VLOOKUP('5.成本表'!$D816,系数辅助表!$C:$G,5,0)/VLOOKUP('5.成本表'!$D816,系数辅助表!$C:$E,3,0),)</f>
        <v>0.34767641602717198</v>
      </c>
      <c r="F816" s="36">
        <f>IFERROR(VLOOKUP($B816,'标准费用表-2024年&amp;2025年优化'!$D:$L,9,0)*VLOOKUP('5.成本表'!$D816,系数辅助表!$C:$G,5,0)/VLOOKUP($D816,系数辅助表!$C:$E,3,0),0)</f>
        <v>0.450166484818736</v>
      </c>
      <c r="I816" s="36">
        <f>VLOOKUP($D816,系数辅助表!$C:$F,4,0)</f>
        <v>1.09880870991909</v>
      </c>
      <c r="J816" s="2" t="s">
        <v>69</v>
      </c>
    </row>
    <row r="817" spans="2:10" x14ac:dyDescent="0.3">
      <c r="B817" s="47" t="s">
        <v>162</v>
      </c>
      <c r="C817" t="str">
        <f>VLOOKUP($B817,'标准费用表-2024年&amp;2025年优化'!$D:$E,2,0)</f>
        <v>庆阳正大食品有限公司-OEM</v>
      </c>
      <c r="D817" t="s">
        <v>82</v>
      </c>
      <c r="E817" s="36">
        <f>IFERROR(VLOOKUP($B817,'标准费用表-2024年&amp;2025年优化'!$D:$K,8,0)*VLOOKUP("白条",系数辅助表!$C:$G,5,0)*VLOOKUP('5.成本表'!$D817,系数辅助表!$C:$G,5,0)/VLOOKUP('5.成本表'!$D817,系数辅助表!$C:$E,3,0),)</f>
        <v>0.31678274524133998</v>
      </c>
      <c r="F817" s="36">
        <f>IFERROR(VLOOKUP($B817,'标准费用表-2024年&amp;2025年优化'!$D:$L,9,0)*VLOOKUP('5.成本表'!$D817,系数辅助表!$C:$G,5,0)/VLOOKUP($D817,系数辅助表!$C:$E,3,0),0)</f>
        <v>0.41016579872181502</v>
      </c>
      <c r="I817" s="36">
        <f>VLOOKUP($D817,系数辅助表!$C:$F,4,0)</f>
        <v>1.0011712718416299</v>
      </c>
      <c r="J817" s="2" t="s">
        <v>69</v>
      </c>
    </row>
    <row r="818" spans="2:10" x14ac:dyDescent="0.3">
      <c r="B818" s="47" t="s">
        <v>162</v>
      </c>
      <c r="C818" t="str">
        <f>VLOOKUP($B818,'标准费用表-2024年&amp;2025年优化'!$D:$E,2,0)</f>
        <v>庆阳正大食品有限公司-OEM</v>
      </c>
      <c r="D818" t="s">
        <v>83</v>
      </c>
      <c r="E818" s="36">
        <f>IFERROR(VLOOKUP($B818,'标准费用表-2024年&amp;2025年优化'!$D:$K,8,0)*VLOOKUP("白条",系数辅助表!$C:$G,5,0)*VLOOKUP('5.成本表'!$D818,系数辅助表!$C:$G,5,0)/VLOOKUP('5.成本表'!$D818,系数辅助表!$C:$E,3,0),)</f>
        <v>0.284882546250116</v>
      </c>
      <c r="F818" s="36">
        <f>IFERROR(VLOOKUP($B818,'标准费用表-2024年&amp;2025年优化'!$D:$L,9,0)*VLOOKUP('5.成本表'!$D818,系数辅助表!$C:$G,5,0)/VLOOKUP($D818,系数辅助表!$C:$E,3,0),0)</f>
        <v>0.36886187420202499</v>
      </c>
      <c r="I818" s="36">
        <f>VLOOKUP($D818,系数辅助表!$C:$F,4,0)</f>
        <v>0.90035276680685095</v>
      </c>
      <c r="J818" s="2" t="s">
        <v>69</v>
      </c>
    </row>
    <row r="819" spans="2:10" x14ac:dyDescent="0.3">
      <c r="B819" s="47" t="s">
        <v>162</v>
      </c>
      <c r="C819" t="str">
        <f>VLOOKUP($B819,'标准费用表-2024年&amp;2025年优化'!$D:$E,2,0)</f>
        <v>庆阳正大食品有限公司-OEM</v>
      </c>
      <c r="D819" t="s">
        <v>84</v>
      </c>
      <c r="E819" s="36">
        <f>IFERROR(VLOOKUP($B819,'标准费用表-2024年&amp;2025年优化'!$D:$K,8,0)*VLOOKUP("白条",系数辅助表!$C:$G,5,0)*VLOOKUP('5.成本表'!$D819,系数辅助表!$C:$G,5,0)/VLOOKUP('5.成本表'!$D819,系数辅助表!$C:$E,3,0),)</f>
        <v>0.286140817958626</v>
      </c>
      <c r="F819" s="36">
        <f>IFERROR(VLOOKUP($B819,'标准费用表-2024年&amp;2025年优化'!$D:$L,9,0)*VLOOKUP('5.成本表'!$D819,系数辅助表!$C:$G,5,0)/VLOOKUP($D819,系数辅助表!$C:$E,3,0),0)</f>
        <v>0.37049106653677999</v>
      </c>
      <c r="I819" s="36">
        <f>VLOOKUP($D819,系数辅助表!$C:$F,4,0)</f>
        <v>0.90432945273957599</v>
      </c>
      <c r="J819" s="2" t="s">
        <v>69</v>
      </c>
    </row>
    <row r="820" spans="2:10" x14ac:dyDescent="0.3">
      <c r="B820" s="47" t="s">
        <v>162</v>
      </c>
      <c r="C820" t="str">
        <f>VLOOKUP($B820,'标准费用表-2024年&amp;2025年优化'!$D:$E,2,0)</f>
        <v>庆阳正大食品有限公司-OEM</v>
      </c>
      <c r="D820" t="s">
        <v>85</v>
      </c>
      <c r="E820" s="36">
        <f>IFERROR(VLOOKUP($B820,'标准费用表-2024年&amp;2025年优化'!$D:$K,8,0)*VLOOKUP("白条",系数辅助表!$C:$G,5,0)*VLOOKUP('5.成本表'!$D820,系数辅助表!$C:$G,5,0)/VLOOKUP('5.成本表'!$D820,系数辅助表!$C:$E,3,0),)</f>
        <v>0.35576598085384997</v>
      </c>
      <c r="F820" s="36">
        <f>IFERROR(VLOOKUP($B820,'标准费用表-2024年&amp;2025年优化'!$D:$L,9,0)*VLOOKUP('5.成本表'!$D820,系数辅助表!$C:$G,5,0)/VLOOKUP($D820,系数辅助表!$C:$E,3,0),0)</f>
        <v>0.460640738446149</v>
      </c>
      <c r="I820" s="36">
        <f>VLOOKUP($D820,系数辅助表!$C:$F,4,0)</f>
        <v>1.12437525363977</v>
      </c>
      <c r="J820" s="2" t="s">
        <v>69</v>
      </c>
    </row>
    <row r="821" spans="2:10" x14ac:dyDescent="0.3">
      <c r="B821" s="47" t="s">
        <v>162</v>
      </c>
      <c r="C821" t="str">
        <f>VLOOKUP($B821,'标准费用表-2024年&amp;2025年优化'!$D:$E,2,0)</f>
        <v>庆阳正大食品有限公司-OEM</v>
      </c>
      <c r="D821" t="s">
        <v>86</v>
      </c>
      <c r="E821" s="36">
        <f>IFERROR(VLOOKUP($B821,'标准费用表-2024年&amp;2025年优化'!$D:$K,8,0)*VLOOKUP("白条",系数辅助表!$C:$G,5,0)*VLOOKUP('5.成本表'!$D821,系数辅助表!$C:$G,5,0)/VLOOKUP('5.成本表'!$D821,系数辅助表!$C:$E,3,0),)</f>
        <v>0.31108771008678998</v>
      </c>
      <c r="F821" s="36">
        <f>IFERROR(VLOOKUP($B821,'标准费用表-2024年&amp;2025年优化'!$D:$L,9,0)*VLOOKUP('5.成本表'!$D821,系数辅助表!$C:$G,5,0)/VLOOKUP($D821,系数辅助表!$C:$E,3,0),0)</f>
        <v>0.40279194810020003</v>
      </c>
      <c r="I821" s="36">
        <f>VLOOKUP($D821,系数辅助表!$C:$F,4,0)</f>
        <v>0.98317248347795105</v>
      </c>
      <c r="J821" s="2" t="s">
        <v>69</v>
      </c>
    </row>
    <row r="822" spans="2:10" x14ac:dyDescent="0.3">
      <c r="B822" s="47" t="s">
        <v>162</v>
      </c>
      <c r="C822" t="str">
        <f>VLOOKUP($B822,'标准费用表-2024年&amp;2025年优化'!$D:$E,2,0)</f>
        <v>庆阳正大食品有限公司-OEM</v>
      </c>
      <c r="D822" t="s">
        <v>87</v>
      </c>
      <c r="E822" s="36">
        <f>IFERROR(VLOOKUP($B822,'标准费用表-2024年&amp;2025年优化'!$D:$K,8,0)*VLOOKUP("白条",系数辅助表!$C:$G,5,0)*VLOOKUP('5.成本表'!$D822,系数辅助表!$C:$G,5,0)/VLOOKUP('5.成本表'!$D822,系数辅助表!$C:$E,3,0),)</f>
        <v>0.225318576110316</v>
      </c>
      <c r="F822" s="36">
        <f>IFERROR(VLOOKUP($B822,'标准费用表-2024年&amp;2025年优化'!$D:$L,9,0)*VLOOKUP('5.成本表'!$D822,系数辅助表!$C:$G,5,0)/VLOOKUP($D822,系数辅助表!$C:$E,3,0),0)</f>
        <v>0.29173929175574698</v>
      </c>
      <c r="I822" s="36">
        <f>VLOOKUP($D822,系数辅助表!$C:$F,4,0)</f>
        <v>0.71210471151782795</v>
      </c>
      <c r="J822" s="2" t="s">
        <v>69</v>
      </c>
    </row>
    <row r="823" spans="2:10" x14ac:dyDescent="0.3">
      <c r="B823" s="47" t="s">
        <v>162</v>
      </c>
      <c r="C823" t="str">
        <f>VLOOKUP($B823,'标准费用表-2024年&amp;2025年优化'!$D:$E,2,0)</f>
        <v>庆阳正大食品有限公司-OEM</v>
      </c>
      <c r="D823" t="s">
        <v>88</v>
      </c>
      <c r="E823" s="36">
        <f>IFERROR(VLOOKUP($B823,'标准费用表-2024年&amp;2025年优化'!$D:$K,8,0)*VLOOKUP("白条",系数辅助表!$C:$G,5,0)*VLOOKUP('5.成本表'!$D823,系数辅助表!$C:$G,5,0)/VLOOKUP('5.成本表'!$D823,系数辅助表!$C:$E,3,0),)</f>
        <v>0.85101930988293695</v>
      </c>
      <c r="F823" s="36">
        <f>IFERROR(VLOOKUP($B823,'标准费用表-2024年&amp;2025年优化'!$D:$L,9,0)*VLOOKUP('5.成本表'!$D823,系数辅助表!$C:$G,5,0)/VLOOKUP($D823,系数辅助表!$C:$E,3,0),0)</f>
        <v>1.1018877139280201</v>
      </c>
      <c r="I823" s="36">
        <f>VLOOKUP($D823,系数辅助表!$C:$F,4,0)</f>
        <v>2.6895912029178799</v>
      </c>
      <c r="J823" s="2" t="s">
        <v>69</v>
      </c>
    </row>
    <row r="824" spans="2:10" x14ac:dyDescent="0.3">
      <c r="B824" s="47" t="s">
        <v>162</v>
      </c>
      <c r="C824" t="str">
        <f>VLOOKUP($B824,'标准费用表-2024年&amp;2025年优化'!$D:$E,2,0)</f>
        <v>庆阳正大食品有限公司-OEM</v>
      </c>
      <c r="D824" t="s">
        <v>89</v>
      </c>
      <c r="E824" s="36">
        <f>IFERROR(VLOOKUP($B824,'标准费用表-2024年&amp;2025年优化'!$D:$K,8,0)*VLOOKUP("白条",系数辅助表!$C:$G,5,0)*VLOOKUP('5.成本表'!$D824,系数辅助表!$C:$G,5,0)/VLOOKUP('5.成本表'!$D824,系数辅助表!$C:$E,3,0),)</f>
        <v>0.366019006525311</v>
      </c>
      <c r="F824" s="36">
        <f>IFERROR(VLOOKUP($B824,'标准费用表-2024年&amp;2025年优化'!$D:$L,9,0)*VLOOKUP('5.成本表'!$D824,系数辅助表!$C:$G,5,0)/VLOOKUP($D824,系数辅助表!$C:$E,3,0),0)</f>
        <v>0.47391621044398902</v>
      </c>
      <c r="I824" s="36">
        <f>VLOOKUP($D824,系数辅助表!$C:$F,4,0)</f>
        <v>1.1567792747107399</v>
      </c>
      <c r="J824" s="2" t="s">
        <v>69</v>
      </c>
    </row>
    <row r="825" spans="2:10" x14ac:dyDescent="0.3">
      <c r="B825" s="47" t="s">
        <v>162</v>
      </c>
      <c r="C825" t="str">
        <f>VLOOKUP($B825,'标准费用表-2024年&amp;2025年优化'!$D:$E,2,0)</f>
        <v>庆阳正大食品有限公司-OEM</v>
      </c>
      <c r="D825" t="s">
        <v>90</v>
      </c>
      <c r="E825" s="36">
        <f>IFERROR(VLOOKUP($B825,'标准费用表-2024年&amp;2025年优化'!$D:$K,8,0)*VLOOKUP("白条",系数辅助表!$C:$G,5,0)*VLOOKUP('5.成本表'!$D825,系数辅助表!$C:$G,5,0)/VLOOKUP('5.成本表'!$D825,系数辅助表!$C:$E,3,0),)</f>
        <v>0.23129043813275599</v>
      </c>
      <c r="F825" s="36">
        <f>IFERROR(VLOOKUP($B825,'标准费用表-2024年&amp;2025年优化'!$D:$L,9,0)*VLOOKUP('5.成本表'!$D825,系数辅助表!$C:$G,5,0)/VLOOKUP($D825,系数辅助表!$C:$E,3,0),0)</f>
        <v>0.29947157387365198</v>
      </c>
      <c r="I825" s="36">
        <f>VLOOKUP($D825,系数辅助表!$C:$F,4,0)</f>
        <v>0.73097839320056501</v>
      </c>
      <c r="J825" s="2" t="s">
        <v>69</v>
      </c>
    </row>
    <row r="826" spans="2:10" x14ac:dyDescent="0.3">
      <c r="B826" s="47" t="s">
        <v>162</v>
      </c>
      <c r="C826" t="str">
        <f>VLOOKUP($B826,'标准费用表-2024年&amp;2025年优化'!$D:$E,2,0)</f>
        <v>庆阳正大食品有限公司-OEM</v>
      </c>
      <c r="D826" t="s">
        <v>91</v>
      </c>
      <c r="E826" s="36">
        <f>IFERROR(VLOOKUP($B826,'标准费用表-2024年&amp;2025年优化'!$D:$K,8,0)*VLOOKUP("白条",系数辅助表!$C:$G,5,0)*VLOOKUP('5.成本表'!$D826,系数辅助表!$C:$G,5,0)/VLOOKUP('5.成本表'!$D826,系数辅助表!$C:$E,3,0),)</f>
        <v>0.19177568925020499</v>
      </c>
      <c r="F826" s="36">
        <f>IFERROR(VLOOKUP($B826,'标准费用表-2024年&amp;2025年优化'!$D:$L,9,0)*VLOOKUP('5.成本表'!$D826,系数辅助表!$C:$G,5,0)/VLOOKUP($D826,系数辅助表!$C:$E,3,0),0)</f>
        <v>0.248308438317276</v>
      </c>
      <c r="I826" s="36">
        <f>VLOOKUP($D826,系数辅助表!$C:$F,4,0)</f>
        <v>0.60609459826688905</v>
      </c>
      <c r="J826" s="2" t="s">
        <v>69</v>
      </c>
    </row>
    <row r="827" spans="2:10" x14ac:dyDescent="0.3">
      <c r="B827" s="47" t="s">
        <v>162</v>
      </c>
      <c r="C827" t="str">
        <f>VLOOKUP($B827,'标准费用表-2024年&amp;2025年优化'!$D:$E,2,0)</f>
        <v>庆阳正大食品有限公司-OEM</v>
      </c>
      <c r="D827" t="s">
        <v>92</v>
      </c>
      <c r="E827" s="36">
        <f>IFERROR(VLOOKUP($B827,'标准费用表-2024年&amp;2025年优化'!$D:$K,8,0)*VLOOKUP("白条",系数辅助表!$C:$G,5,0)*VLOOKUP('5.成本表'!$D827,系数辅助表!$C:$G,5,0)/VLOOKUP('5.成本表'!$D827,系数辅助表!$C:$E,3,0),)</f>
        <v>7.61163968895852E-2</v>
      </c>
      <c r="F827" s="36">
        <f>IFERROR(VLOOKUP($B827,'标准费用表-2024年&amp;2025年优化'!$D:$L,9,0)*VLOOKUP('5.成本表'!$D827,系数辅助表!$C:$G,5,0)/VLOOKUP($D827,系数辅助表!$C:$E,3,0),0)</f>
        <v>9.8554429478973707E-2</v>
      </c>
      <c r="I827" s="36">
        <f>VLOOKUP($D827,系数辅助表!$C:$F,4,0)</f>
        <v>0.24056092393508099</v>
      </c>
      <c r="J827" s="2" t="s">
        <v>69</v>
      </c>
    </row>
    <row r="828" spans="2:10" x14ac:dyDescent="0.3">
      <c r="B828" s="47" t="s">
        <v>162</v>
      </c>
      <c r="C828" t="str">
        <f>VLOOKUP($B828,'标准费用表-2024年&amp;2025年优化'!$D:$E,2,0)</f>
        <v>庆阳正大食品有限公司-OEM</v>
      </c>
      <c r="D828" t="s">
        <v>93</v>
      </c>
      <c r="E828" s="36">
        <f>E804</f>
        <v>0.72141968059238104</v>
      </c>
      <c r="F828" s="36">
        <f>F804</f>
        <v>0.93408395485170304</v>
      </c>
      <c r="G828">
        <v>0.2</v>
      </c>
      <c r="H828">
        <v>0.3</v>
      </c>
      <c r="J828" s="2" t="s">
        <v>69</v>
      </c>
    </row>
    <row r="829" spans="2:10" x14ac:dyDescent="0.3">
      <c r="B829" s="47" t="s">
        <v>162</v>
      </c>
      <c r="C829" t="str">
        <f>VLOOKUP($B829,'标准费用表-2024年&amp;2025年优化'!$D:$E,2,0)</f>
        <v>庆阳正大食品有限公司-OEM</v>
      </c>
      <c r="D829" t="s">
        <v>96</v>
      </c>
      <c r="E829" s="36">
        <f t="shared" ref="E829:F829" si="280">E805</f>
        <v>0.48212455785915398</v>
      </c>
      <c r="F829" s="36">
        <f t="shared" si="280"/>
        <v>0.62424802906182797</v>
      </c>
      <c r="G829">
        <v>0.2</v>
      </c>
      <c r="H829">
        <v>0.3</v>
      </c>
      <c r="J829" s="2" t="s">
        <v>69</v>
      </c>
    </row>
    <row r="830" spans="2:10" x14ac:dyDescent="0.3">
      <c r="B830" s="47" t="s">
        <v>162</v>
      </c>
      <c r="C830" t="str">
        <f>VLOOKUP($B830,'标准费用表-2024年&amp;2025年优化'!$D:$E,2,0)</f>
        <v>庆阳正大食品有限公司-OEM</v>
      </c>
      <c r="D830" t="s">
        <v>97</v>
      </c>
      <c r="E830" s="36">
        <f t="shared" ref="E830:F830" si="281">E806</f>
        <v>1.2759814472401401</v>
      </c>
      <c r="F830" s="36">
        <f t="shared" si="281"/>
        <v>1.65212265290127</v>
      </c>
      <c r="G830">
        <v>0.2</v>
      </c>
      <c r="H830">
        <v>0.3</v>
      </c>
      <c r="J830" s="2" t="s">
        <v>69</v>
      </c>
    </row>
    <row r="831" spans="2:10" x14ac:dyDescent="0.3">
      <c r="B831" s="47" t="s">
        <v>162</v>
      </c>
      <c r="C831" t="str">
        <f>VLOOKUP($B831,'标准费用表-2024年&amp;2025年优化'!$D:$E,2,0)</f>
        <v>庆阳正大食品有限公司-OEM</v>
      </c>
      <c r="D831" t="s">
        <v>98</v>
      </c>
      <c r="E831" s="36">
        <f t="shared" ref="E831:F831" si="282">E807</f>
        <v>0.74311921686555005</v>
      </c>
      <c r="F831" s="36">
        <f t="shared" si="282"/>
        <v>0.96218020618192202</v>
      </c>
      <c r="G831">
        <v>0.2</v>
      </c>
      <c r="H831">
        <v>0.3</v>
      </c>
      <c r="J831" s="2" t="s">
        <v>69</v>
      </c>
    </row>
    <row r="832" spans="2:10" x14ac:dyDescent="0.3">
      <c r="B832" s="47" t="s">
        <v>162</v>
      </c>
      <c r="C832" t="str">
        <f>VLOOKUP($B832,'标准费用表-2024年&amp;2025年优化'!$D:$E,2,0)</f>
        <v>庆阳正大食品有限公司-OEM</v>
      </c>
      <c r="D832" t="s">
        <v>99</v>
      </c>
      <c r="E832" s="36">
        <f t="shared" ref="E832:F832" si="283">E808</f>
        <v>0.44641859145204299</v>
      </c>
      <c r="F832" s="36">
        <f t="shared" si="283"/>
        <v>0.57801645095188603</v>
      </c>
      <c r="G832">
        <v>0.2</v>
      </c>
      <c r="H832">
        <v>0.3</v>
      </c>
      <c r="J832" s="2" t="s">
        <v>69</v>
      </c>
    </row>
    <row r="833" spans="2:10" x14ac:dyDescent="0.3">
      <c r="B833" s="47" t="s">
        <v>162</v>
      </c>
      <c r="C833" t="str">
        <f>VLOOKUP($B833,'标准费用表-2024年&amp;2025年优化'!$D:$E,2,0)</f>
        <v>庆阳正大食品有限公司-OEM</v>
      </c>
      <c r="D833" t="s">
        <v>100</v>
      </c>
      <c r="E833" s="36">
        <f t="shared" ref="E833:F833" si="284">E809</f>
        <v>0.602797496351964</v>
      </c>
      <c r="F833" s="36">
        <f t="shared" si="284"/>
        <v>0.78049363569454899</v>
      </c>
      <c r="G833">
        <v>0.2</v>
      </c>
      <c r="H833">
        <v>0.3</v>
      </c>
      <c r="J833" s="2" t="s">
        <v>69</v>
      </c>
    </row>
    <row r="834" spans="2:10" x14ac:dyDescent="0.3">
      <c r="B834" s="47" t="s">
        <v>162</v>
      </c>
      <c r="C834" t="str">
        <f>VLOOKUP($B834,'标准费用表-2024年&amp;2025年优化'!$D:$E,2,0)</f>
        <v>庆阳正大食品有限公司-OEM</v>
      </c>
      <c r="D834" t="s">
        <v>101</v>
      </c>
      <c r="E834" s="36">
        <f t="shared" ref="E834:F834" si="285">E810</f>
        <v>0.45136695960435802</v>
      </c>
      <c r="F834" s="36">
        <f t="shared" si="285"/>
        <v>0.584423527745218</v>
      </c>
      <c r="G834">
        <v>0.2</v>
      </c>
      <c r="H834">
        <v>0.3</v>
      </c>
      <c r="J834" s="2" t="s">
        <v>69</v>
      </c>
    </row>
    <row r="835" spans="2:10" x14ac:dyDescent="0.3">
      <c r="B835" s="47" t="s">
        <v>162</v>
      </c>
      <c r="C835" t="str">
        <f>VLOOKUP($B835,'标准费用表-2024年&amp;2025年优化'!$D:$E,2,0)</f>
        <v>庆阳正大食品有限公司-OEM</v>
      </c>
      <c r="D835" t="s">
        <v>102</v>
      </c>
      <c r="E835" s="36">
        <f t="shared" ref="E835:F835" si="286">E811</f>
        <v>0.45993117913068798</v>
      </c>
      <c r="F835" s="36">
        <f t="shared" si="286"/>
        <v>0.595512357535395</v>
      </c>
      <c r="G835">
        <v>0.2</v>
      </c>
      <c r="H835">
        <v>0.3</v>
      </c>
      <c r="J835" s="2" t="s">
        <v>69</v>
      </c>
    </row>
    <row r="836" spans="2:10" x14ac:dyDescent="0.3">
      <c r="B836" s="47" t="s">
        <v>162</v>
      </c>
      <c r="C836" t="str">
        <f>VLOOKUP($B836,'标准费用表-2024年&amp;2025年优化'!$D:$E,2,0)</f>
        <v>庆阳正大食品有限公司-OEM</v>
      </c>
      <c r="D836" t="s">
        <v>103</v>
      </c>
      <c r="E836" s="36">
        <f t="shared" ref="E836:F836" si="287">E812</f>
        <v>0.455961960414904</v>
      </c>
      <c r="F836" s="36">
        <f t="shared" si="287"/>
        <v>0.59037306952391899</v>
      </c>
      <c r="G836">
        <v>0.2</v>
      </c>
      <c r="H836">
        <v>0.3</v>
      </c>
      <c r="J836" s="2" t="s">
        <v>69</v>
      </c>
    </row>
    <row r="837" spans="2:10" x14ac:dyDescent="0.3">
      <c r="B837" s="47" t="s">
        <v>162</v>
      </c>
      <c r="C837" t="str">
        <f>VLOOKUP($B837,'标准费用表-2024年&amp;2025年优化'!$D:$E,2,0)</f>
        <v>庆阳正大食品有限公司-OEM</v>
      </c>
      <c r="D837" t="s">
        <v>104</v>
      </c>
      <c r="E837" s="36">
        <f t="shared" ref="E837:F837" si="288">E813</f>
        <v>0.39103244763832001</v>
      </c>
      <c r="F837" s="36">
        <f t="shared" si="288"/>
        <v>0.50630325868767401</v>
      </c>
      <c r="G837">
        <v>0.2</v>
      </c>
      <c r="H837">
        <v>0.3</v>
      </c>
      <c r="J837" s="2" t="s">
        <v>69</v>
      </c>
    </row>
    <row r="838" spans="2:10" x14ac:dyDescent="0.3">
      <c r="B838" s="47" t="s">
        <v>162</v>
      </c>
      <c r="C838" t="str">
        <f>VLOOKUP($B838,'标准费用表-2024年&amp;2025年优化'!$D:$E,2,0)</f>
        <v>庆阳正大食品有限公司-OEM</v>
      </c>
      <c r="D838" t="s">
        <v>105</v>
      </c>
      <c r="E838" s="36">
        <f t="shared" ref="E838:F838" si="289">E814</f>
        <v>0.27313234485441301</v>
      </c>
      <c r="F838" s="36">
        <f t="shared" si="289"/>
        <v>0.35364788034342998</v>
      </c>
      <c r="G838">
        <v>0.2</v>
      </c>
      <c r="H838">
        <v>0.3</v>
      </c>
      <c r="J838" s="2" t="s">
        <v>69</v>
      </c>
    </row>
    <row r="839" spans="2:10" x14ac:dyDescent="0.3">
      <c r="B839" s="47" t="s">
        <v>162</v>
      </c>
      <c r="C839" t="str">
        <f>VLOOKUP($B839,'标准费用表-2024年&amp;2025年优化'!$D:$E,2,0)</f>
        <v>庆阳正大食品有限公司-OEM</v>
      </c>
      <c r="D839" t="s">
        <v>106</v>
      </c>
      <c r="E839" s="36">
        <f t="shared" ref="E839:F839" si="290">E815</f>
        <v>0.25214058548006901</v>
      </c>
      <c r="F839" s="36">
        <f t="shared" si="290"/>
        <v>0.32646804848802202</v>
      </c>
      <c r="G839">
        <v>0.2</v>
      </c>
      <c r="H839">
        <v>0.3</v>
      </c>
      <c r="J839" s="2" t="s">
        <v>69</v>
      </c>
    </row>
    <row r="840" spans="2:10" x14ac:dyDescent="0.3">
      <c r="B840" s="47" t="s">
        <v>162</v>
      </c>
      <c r="C840" t="str">
        <f>VLOOKUP($B840,'标准费用表-2024年&amp;2025年优化'!$D:$E,2,0)</f>
        <v>庆阳正大食品有限公司-OEM</v>
      </c>
      <c r="D840" t="s">
        <v>107</v>
      </c>
      <c r="E840" s="36">
        <f t="shared" ref="E840:F840" si="291">E816</f>
        <v>0.34767641602717198</v>
      </c>
      <c r="F840" s="36">
        <f t="shared" si="291"/>
        <v>0.450166484818736</v>
      </c>
      <c r="G840">
        <v>0.2</v>
      </c>
      <c r="H840">
        <v>0.3</v>
      </c>
      <c r="J840" s="2" t="s">
        <v>69</v>
      </c>
    </row>
    <row r="841" spans="2:10" x14ac:dyDescent="0.3">
      <c r="B841" s="47" t="s">
        <v>162</v>
      </c>
      <c r="C841" t="str">
        <f>VLOOKUP($B841,'标准费用表-2024年&amp;2025年优化'!$D:$E,2,0)</f>
        <v>庆阳正大食品有限公司-OEM</v>
      </c>
      <c r="D841" t="s">
        <v>108</v>
      </c>
      <c r="E841" s="36">
        <f t="shared" ref="E841:F841" si="292">E817</f>
        <v>0.31678274524133998</v>
      </c>
      <c r="F841" s="36">
        <f t="shared" si="292"/>
        <v>0.41016579872181502</v>
      </c>
      <c r="G841">
        <v>0.2</v>
      </c>
      <c r="H841">
        <v>0.3</v>
      </c>
      <c r="J841" s="2" t="s">
        <v>69</v>
      </c>
    </row>
    <row r="842" spans="2:10" x14ac:dyDescent="0.3">
      <c r="B842" s="47" t="s">
        <v>162</v>
      </c>
      <c r="C842" t="str">
        <f>VLOOKUP($B842,'标准费用表-2024年&amp;2025年优化'!$D:$E,2,0)</f>
        <v>庆阳正大食品有限公司-OEM</v>
      </c>
      <c r="D842" t="s">
        <v>109</v>
      </c>
      <c r="E842" s="36">
        <f t="shared" ref="E842:F842" si="293">E818</f>
        <v>0.284882546250116</v>
      </c>
      <c r="F842" s="36">
        <f t="shared" si="293"/>
        <v>0.36886187420202499</v>
      </c>
      <c r="G842">
        <v>0.2</v>
      </c>
      <c r="H842">
        <v>0.3</v>
      </c>
      <c r="J842" s="2" t="s">
        <v>69</v>
      </c>
    </row>
    <row r="843" spans="2:10" x14ac:dyDescent="0.3">
      <c r="B843" s="47" t="s">
        <v>162</v>
      </c>
      <c r="C843" t="str">
        <f>VLOOKUP($B843,'标准费用表-2024年&amp;2025年优化'!$D:$E,2,0)</f>
        <v>庆阳正大食品有限公司-OEM</v>
      </c>
      <c r="D843" t="s">
        <v>110</v>
      </c>
      <c r="E843" s="36">
        <f t="shared" ref="E843:F843" si="294">E819</f>
        <v>0.286140817958626</v>
      </c>
      <c r="F843" s="36">
        <f t="shared" si="294"/>
        <v>0.37049106653677999</v>
      </c>
      <c r="G843">
        <v>0.2</v>
      </c>
      <c r="H843">
        <v>0.3</v>
      </c>
      <c r="J843" s="2" t="s">
        <v>69</v>
      </c>
    </row>
    <row r="844" spans="2:10" x14ac:dyDescent="0.3">
      <c r="B844" s="47" t="s">
        <v>162</v>
      </c>
      <c r="C844" t="str">
        <f>VLOOKUP($B844,'标准费用表-2024年&amp;2025年优化'!$D:$E,2,0)</f>
        <v>庆阳正大食品有限公司-OEM</v>
      </c>
      <c r="D844" t="s">
        <v>111</v>
      </c>
      <c r="E844" s="36">
        <f t="shared" ref="E844:F844" si="295">E820</f>
        <v>0.35576598085384997</v>
      </c>
      <c r="F844" s="36">
        <f t="shared" si="295"/>
        <v>0.460640738446149</v>
      </c>
      <c r="G844">
        <v>0.2</v>
      </c>
      <c r="H844">
        <v>0.3</v>
      </c>
      <c r="J844" s="2" t="s">
        <v>69</v>
      </c>
    </row>
    <row r="845" spans="2:10" x14ac:dyDescent="0.3">
      <c r="B845" s="47" t="s">
        <v>162</v>
      </c>
      <c r="C845" t="str">
        <f>VLOOKUP($B845,'标准费用表-2024年&amp;2025年优化'!$D:$E,2,0)</f>
        <v>庆阳正大食品有限公司-OEM</v>
      </c>
      <c r="D845" t="s">
        <v>112</v>
      </c>
      <c r="E845" s="36">
        <f t="shared" ref="E845:F845" si="296">E821</f>
        <v>0.31108771008678998</v>
      </c>
      <c r="F845" s="36">
        <f t="shared" si="296"/>
        <v>0.40279194810020003</v>
      </c>
      <c r="G845">
        <v>0.2</v>
      </c>
      <c r="H845">
        <v>0.3</v>
      </c>
      <c r="J845" s="2" t="s">
        <v>69</v>
      </c>
    </row>
    <row r="846" spans="2:10" x14ac:dyDescent="0.3">
      <c r="B846" s="47" t="s">
        <v>162</v>
      </c>
      <c r="C846" t="str">
        <f>VLOOKUP($B846,'标准费用表-2024年&amp;2025年优化'!$D:$E,2,0)</f>
        <v>庆阳正大食品有限公司-OEM</v>
      </c>
      <c r="D846" t="s">
        <v>113</v>
      </c>
      <c r="E846" s="36">
        <f t="shared" ref="E846:F846" si="297">E822</f>
        <v>0.225318576110316</v>
      </c>
      <c r="F846" s="36">
        <f t="shared" si="297"/>
        <v>0.29173929175574698</v>
      </c>
      <c r="G846">
        <v>0.2</v>
      </c>
      <c r="H846">
        <v>0.3</v>
      </c>
      <c r="J846" s="2" t="s">
        <v>69</v>
      </c>
    </row>
    <row r="847" spans="2:10" x14ac:dyDescent="0.3">
      <c r="B847" s="47" t="s">
        <v>162</v>
      </c>
      <c r="C847" t="str">
        <f>VLOOKUP($B847,'标准费用表-2024年&amp;2025年优化'!$D:$E,2,0)</f>
        <v>庆阳正大食品有限公司-OEM</v>
      </c>
      <c r="D847" t="s">
        <v>114</v>
      </c>
      <c r="E847" s="36">
        <f t="shared" ref="E847:F847" si="298">E823</f>
        <v>0.85101930988293695</v>
      </c>
      <c r="F847" s="36">
        <f t="shared" si="298"/>
        <v>1.1018877139280201</v>
      </c>
      <c r="G847">
        <v>0.2</v>
      </c>
      <c r="H847">
        <v>0.3</v>
      </c>
      <c r="J847" s="2" t="s">
        <v>69</v>
      </c>
    </row>
    <row r="848" spans="2:10" x14ac:dyDescent="0.3">
      <c r="B848" s="47" t="s">
        <v>162</v>
      </c>
      <c r="C848" t="str">
        <f>VLOOKUP($B848,'标准费用表-2024年&amp;2025年优化'!$D:$E,2,0)</f>
        <v>庆阳正大食品有限公司-OEM</v>
      </c>
      <c r="D848" t="s">
        <v>115</v>
      </c>
      <c r="E848" s="36">
        <f t="shared" ref="E848:F848" si="299">E824</f>
        <v>0.366019006525311</v>
      </c>
      <c r="F848" s="36">
        <f t="shared" si="299"/>
        <v>0.47391621044398902</v>
      </c>
      <c r="G848">
        <v>0.2</v>
      </c>
      <c r="H848">
        <v>0.3</v>
      </c>
      <c r="J848" s="2" t="s">
        <v>69</v>
      </c>
    </row>
    <row r="849" spans="2:10" x14ac:dyDescent="0.3">
      <c r="B849" s="47" t="s">
        <v>162</v>
      </c>
      <c r="C849" t="str">
        <f>VLOOKUP($B849,'标准费用表-2024年&amp;2025年优化'!$D:$E,2,0)</f>
        <v>庆阳正大食品有限公司-OEM</v>
      </c>
      <c r="D849" t="s">
        <v>116</v>
      </c>
      <c r="E849" s="36">
        <f t="shared" ref="E849:F849" si="300">E825</f>
        <v>0.23129043813275599</v>
      </c>
      <c r="F849" s="36">
        <f t="shared" si="300"/>
        <v>0.29947157387365198</v>
      </c>
      <c r="G849">
        <v>0.2</v>
      </c>
      <c r="H849">
        <v>0.3</v>
      </c>
      <c r="J849" s="2" t="s">
        <v>69</v>
      </c>
    </row>
    <row r="850" spans="2:10" x14ac:dyDescent="0.3">
      <c r="B850" s="47" t="s">
        <v>162</v>
      </c>
      <c r="C850" t="str">
        <f>VLOOKUP($B850,'标准费用表-2024年&amp;2025年优化'!$D:$E,2,0)</f>
        <v>庆阳正大食品有限公司-OEM</v>
      </c>
      <c r="D850" t="s">
        <v>117</v>
      </c>
      <c r="E850" s="36">
        <f t="shared" ref="E850:F850" si="301">E826</f>
        <v>0.19177568925020499</v>
      </c>
      <c r="F850" s="36">
        <f t="shared" si="301"/>
        <v>0.248308438317276</v>
      </c>
      <c r="G850">
        <v>0.2</v>
      </c>
      <c r="H850">
        <v>0.3</v>
      </c>
      <c r="J850" s="2" t="s">
        <v>69</v>
      </c>
    </row>
    <row r="851" spans="2:10" x14ac:dyDescent="0.3">
      <c r="B851" s="47" t="s">
        <v>162</v>
      </c>
      <c r="C851" t="str">
        <f>VLOOKUP($B851,'标准费用表-2024年&amp;2025年优化'!$D:$E,2,0)</f>
        <v>庆阳正大食品有限公司-OEM</v>
      </c>
      <c r="D851" t="s">
        <v>118</v>
      </c>
      <c r="E851" s="36">
        <f t="shared" ref="E851:F851" si="302">E827</f>
        <v>7.61163968895852E-2</v>
      </c>
      <c r="F851" s="36">
        <f t="shared" si="302"/>
        <v>9.8554429478973707E-2</v>
      </c>
      <c r="G851">
        <v>0.2</v>
      </c>
      <c r="H851">
        <v>0.3</v>
      </c>
      <c r="J851" s="2" t="s">
        <v>69</v>
      </c>
    </row>
    <row r="852" spans="2:10" x14ac:dyDescent="0.3">
      <c r="B852" s="47" t="s">
        <v>162</v>
      </c>
      <c r="C852" t="str">
        <f>VLOOKUP($B852,'标准费用表-2024年&amp;2025年优化'!$D:$E,2,0)</f>
        <v>庆阳正大食品有限公司-OEM</v>
      </c>
      <c r="D852" t="s">
        <v>119</v>
      </c>
      <c r="E852" s="36">
        <f>E780</f>
        <v>0.27529317077466198</v>
      </c>
      <c r="F852" s="36">
        <f t="shared" ref="F852" si="303">F828</f>
        <v>0.93408395485170304</v>
      </c>
      <c r="G852">
        <v>0.2</v>
      </c>
      <c r="H852">
        <v>0.3</v>
      </c>
      <c r="J852" s="2" t="s">
        <v>69</v>
      </c>
    </row>
    <row r="853" spans="2:10" x14ac:dyDescent="0.3">
      <c r="B853" s="47" t="s">
        <v>162</v>
      </c>
      <c r="C853" t="str">
        <f>VLOOKUP($B853,'标准费用表-2024年&amp;2025年优化'!$D:$E,2,0)</f>
        <v>庆阳正大食品有限公司-OEM</v>
      </c>
      <c r="D853" t="s">
        <v>120</v>
      </c>
      <c r="E853" s="36">
        <f t="shared" ref="E853:E875" si="304">E781</f>
        <v>0.73575502737048104</v>
      </c>
      <c r="F853" s="36">
        <f t="shared" ref="F853" si="305">F829</f>
        <v>0.62424802906182797</v>
      </c>
      <c r="G853">
        <v>0.2</v>
      </c>
      <c r="H853">
        <v>0.3</v>
      </c>
      <c r="J853" s="2" t="s">
        <v>69</v>
      </c>
    </row>
    <row r="854" spans="2:10" x14ac:dyDescent="0.3">
      <c r="B854" s="47" t="s">
        <v>162</v>
      </c>
      <c r="C854" t="str">
        <f>VLOOKUP($B854,'标准费用表-2024年&amp;2025年优化'!$D:$E,2,0)</f>
        <v>庆阳正大食品有限公司-OEM</v>
      </c>
      <c r="D854" t="s">
        <v>121</v>
      </c>
      <c r="E854" s="36">
        <f t="shared" si="304"/>
        <v>1.36180454702586</v>
      </c>
      <c r="F854" s="36">
        <f t="shared" ref="F854" si="306">F830</f>
        <v>1.65212265290127</v>
      </c>
      <c r="G854">
        <v>0.2</v>
      </c>
      <c r="H854">
        <v>0.3</v>
      </c>
      <c r="J854" s="2" t="s">
        <v>69</v>
      </c>
    </row>
    <row r="855" spans="2:10" x14ac:dyDescent="0.3">
      <c r="B855" s="47" t="s">
        <v>162</v>
      </c>
      <c r="C855" t="str">
        <f>VLOOKUP($B855,'标准费用表-2024年&amp;2025年优化'!$D:$E,2,0)</f>
        <v>庆阳正大食品有限公司-OEM</v>
      </c>
      <c r="D855" t="s">
        <v>122</v>
      </c>
      <c r="E855" s="36">
        <f t="shared" si="304"/>
        <v>0.28619016804451602</v>
      </c>
      <c r="F855" s="36">
        <f t="shared" ref="F855" si="307">F831</f>
        <v>0.96218020618192202</v>
      </c>
      <c r="G855">
        <v>0.2</v>
      </c>
      <c r="H855">
        <v>0.3</v>
      </c>
      <c r="J855" s="2" t="s">
        <v>69</v>
      </c>
    </row>
    <row r="856" spans="2:10" x14ac:dyDescent="0.3">
      <c r="B856" s="47" t="s">
        <v>162</v>
      </c>
      <c r="C856" t="str">
        <f>VLOOKUP($B856,'标准费用表-2024年&amp;2025年优化'!$D:$E,2,0)</f>
        <v>庆阳正大食品有限公司-OEM</v>
      </c>
      <c r="D856" t="s">
        <v>123</v>
      </c>
      <c r="E856" s="36">
        <f t="shared" si="304"/>
        <v>0.126345671047913</v>
      </c>
      <c r="F856" s="36">
        <f t="shared" ref="F856" si="308">F832</f>
        <v>0.57801645095188603</v>
      </c>
      <c r="G856">
        <v>0.2</v>
      </c>
      <c r="H856">
        <v>0.3</v>
      </c>
      <c r="J856" s="2" t="s">
        <v>69</v>
      </c>
    </row>
    <row r="857" spans="2:10" x14ac:dyDescent="0.3">
      <c r="B857" s="47" t="s">
        <v>162</v>
      </c>
      <c r="C857" t="str">
        <f>VLOOKUP($B857,'标准费用表-2024年&amp;2025年优化'!$D:$E,2,0)</f>
        <v>庆阳正大食品有限公司-OEM</v>
      </c>
      <c r="D857" t="s">
        <v>124</v>
      </c>
      <c r="E857" s="36">
        <f t="shared" si="304"/>
        <v>0.39102308970194699</v>
      </c>
      <c r="F857" s="36">
        <f t="shared" ref="F857" si="309">F833</f>
        <v>0.78049363569454899</v>
      </c>
      <c r="G857">
        <v>0.2</v>
      </c>
      <c r="H857">
        <v>0.3</v>
      </c>
      <c r="J857" s="2" t="s">
        <v>69</v>
      </c>
    </row>
    <row r="858" spans="2:10" x14ac:dyDescent="0.3">
      <c r="B858" s="47" t="s">
        <v>162</v>
      </c>
      <c r="C858" t="str">
        <f>VLOOKUP($B858,'标准费用表-2024年&amp;2025年优化'!$D:$E,2,0)</f>
        <v>庆阳正大食品有限公司-OEM</v>
      </c>
      <c r="D858" t="s">
        <v>125</v>
      </c>
      <c r="E858" s="36">
        <f t="shared" si="304"/>
        <v>0.64593955314098594</v>
      </c>
      <c r="F858" s="36">
        <f t="shared" ref="F858" si="310">F834</f>
        <v>0.584423527745218</v>
      </c>
      <c r="G858">
        <v>0.2</v>
      </c>
      <c r="H858">
        <v>0.3</v>
      </c>
      <c r="J858" s="2" t="s">
        <v>69</v>
      </c>
    </row>
    <row r="859" spans="2:10" x14ac:dyDescent="0.3">
      <c r="B859" s="47" t="s">
        <v>162</v>
      </c>
      <c r="C859" t="str">
        <f>VLOOKUP($B859,'标准费用表-2024年&amp;2025年优化'!$D:$E,2,0)</f>
        <v>庆阳正大食品有限公司-OEM</v>
      </c>
      <c r="D859" t="s">
        <v>126</v>
      </c>
      <c r="E859" s="36">
        <f t="shared" si="304"/>
        <v>0.93702891404075495</v>
      </c>
      <c r="F859" s="36">
        <f t="shared" ref="F859" si="311">F835</f>
        <v>0.595512357535395</v>
      </c>
      <c r="G859">
        <v>0.2</v>
      </c>
      <c r="H859">
        <v>0.3</v>
      </c>
      <c r="J859" s="2" t="s">
        <v>69</v>
      </c>
    </row>
    <row r="860" spans="2:10" x14ac:dyDescent="0.3">
      <c r="B860" s="47" t="s">
        <v>162</v>
      </c>
      <c r="C860" t="str">
        <f>VLOOKUP($B860,'标准费用表-2024年&amp;2025年优化'!$D:$E,2,0)</f>
        <v>庆阳正大食品有限公司-OEM</v>
      </c>
      <c r="D860" t="s">
        <v>127</v>
      </c>
      <c r="E860" s="36">
        <f t="shared" si="304"/>
        <v>0.54745248159575799</v>
      </c>
      <c r="F860" s="36">
        <f t="shared" ref="F860" si="312">F836</f>
        <v>0.59037306952391899</v>
      </c>
      <c r="G860">
        <v>0.2</v>
      </c>
      <c r="H860">
        <v>0.3</v>
      </c>
      <c r="J860" s="2" t="s">
        <v>69</v>
      </c>
    </row>
    <row r="861" spans="2:10" x14ac:dyDescent="0.3">
      <c r="B861" s="47" t="s">
        <v>162</v>
      </c>
      <c r="C861" t="str">
        <f>VLOOKUP($B861,'标准费用表-2024年&amp;2025年优化'!$D:$E,2,0)</f>
        <v>庆阳正大食品有限公司-OEM</v>
      </c>
      <c r="D861" t="s">
        <v>128</v>
      </c>
      <c r="E861" s="36">
        <f t="shared" si="304"/>
        <v>0.50275847905869897</v>
      </c>
      <c r="F861" s="36">
        <f t="shared" ref="F861" si="313">F837</f>
        <v>0.50630325868767401</v>
      </c>
      <c r="G861">
        <v>0.2</v>
      </c>
      <c r="H861">
        <v>0.3</v>
      </c>
      <c r="J861" s="2" t="s">
        <v>69</v>
      </c>
    </row>
    <row r="862" spans="2:10" x14ac:dyDescent="0.3">
      <c r="B862" s="47" t="s">
        <v>162</v>
      </c>
      <c r="C862" t="str">
        <f>VLOOKUP($B862,'标准费用表-2024年&amp;2025年优化'!$D:$E,2,0)</f>
        <v>庆阳正大食品有限公司-OEM</v>
      </c>
      <c r="D862" t="s">
        <v>129</v>
      </c>
      <c r="E862" s="36">
        <f t="shared" si="304"/>
        <v>0.64226980988722904</v>
      </c>
      <c r="F862" s="36">
        <f t="shared" ref="F862" si="314">F838</f>
        <v>0.35364788034342998</v>
      </c>
      <c r="G862">
        <v>0.2</v>
      </c>
      <c r="H862">
        <v>0.3</v>
      </c>
      <c r="J862" s="2" t="s">
        <v>69</v>
      </c>
    </row>
    <row r="863" spans="2:10" x14ac:dyDescent="0.3">
      <c r="B863" s="47" t="s">
        <v>162</v>
      </c>
      <c r="C863" t="str">
        <f>VLOOKUP($B863,'标准费用表-2024年&amp;2025年优化'!$D:$E,2,0)</f>
        <v>庆阳正大食品有限公司-OEM</v>
      </c>
      <c r="D863" t="s">
        <v>130</v>
      </c>
      <c r="E863" s="36">
        <f t="shared" si="304"/>
        <v>1.11709372497796</v>
      </c>
      <c r="F863" s="36">
        <f t="shared" ref="F863" si="315">F839</f>
        <v>0.32646804848802202</v>
      </c>
      <c r="G863">
        <v>0.2</v>
      </c>
      <c r="H863">
        <v>0.3</v>
      </c>
      <c r="J863" s="2" t="s">
        <v>69</v>
      </c>
    </row>
    <row r="864" spans="2:10" x14ac:dyDescent="0.3">
      <c r="B864" s="47" t="s">
        <v>162</v>
      </c>
      <c r="C864" t="str">
        <f>VLOOKUP($B864,'标准费用表-2024年&amp;2025年优化'!$D:$E,2,0)</f>
        <v>庆阳正大食品有限公司-OEM</v>
      </c>
      <c r="D864" t="s">
        <v>131</v>
      </c>
      <c r="E864" s="36">
        <f t="shared" si="304"/>
        <v>0.19019137268455499</v>
      </c>
      <c r="F864" s="36">
        <f t="shared" ref="F864" si="316">F840</f>
        <v>0.450166484818736</v>
      </c>
      <c r="G864">
        <v>0.2</v>
      </c>
      <c r="H864">
        <v>0.3</v>
      </c>
      <c r="J864" s="2" t="s">
        <v>69</v>
      </c>
    </row>
    <row r="865" spans="2:10" x14ac:dyDescent="0.3">
      <c r="B865" s="47" t="s">
        <v>162</v>
      </c>
      <c r="C865" t="str">
        <f>VLOOKUP($B865,'标准费用表-2024年&amp;2025年优化'!$D:$E,2,0)</f>
        <v>庆阳正大食品有限公司-OEM</v>
      </c>
      <c r="D865" t="s">
        <v>132</v>
      </c>
      <c r="E865" s="36">
        <f t="shared" si="304"/>
        <v>4.40344946447076E-2</v>
      </c>
      <c r="F865" s="36">
        <f t="shared" ref="F865" si="317">F841</f>
        <v>0.41016579872181502</v>
      </c>
      <c r="G865">
        <v>0.2</v>
      </c>
      <c r="H865">
        <v>0.3</v>
      </c>
      <c r="J865" s="2" t="s">
        <v>69</v>
      </c>
    </row>
    <row r="866" spans="2:10" x14ac:dyDescent="0.3">
      <c r="B866" s="47" t="s">
        <v>162</v>
      </c>
      <c r="C866" t="str">
        <f>VLOOKUP($B866,'标准费用表-2024年&amp;2025年优化'!$D:$E,2,0)</f>
        <v>庆阳正大食品有限公司-OEM</v>
      </c>
      <c r="D866" t="s">
        <v>133</v>
      </c>
      <c r="E866" s="36">
        <f t="shared" si="304"/>
        <v>0.23624979932158699</v>
      </c>
      <c r="F866" s="36">
        <f t="shared" ref="F866" si="318">F842</f>
        <v>0.36886187420202499</v>
      </c>
      <c r="G866">
        <v>0.2</v>
      </c>
      <c r="H866">
        <v>0.3</v>
      </c>
      <c r="J866" s="2" t="s">
        <v>69</v>
      </c>
    </row>
    <row r="867" spans="2:10" x14ac:dyDescent="0.3">
      <c r="B867" s="47" t="s">
        <v>162</v>
      </c>
      <c r="C867" t="str">
        <f>VLOOKUP($B867,'标准费用表-2024年&amp;2025年优化'!$D:$E,2,0)</f>
        <v>庆阳正大食品有限公司-OEM</v>
      </c>
      <c r="D867" t="s">
        <v>134</v>
      </c>
      <c r="E867" s="36">
        <f t="shared" si="304"/>
        <v>0.15452682267208401</v>
      </c>
      <c r="F867" s="36">
        <f t="shared" ref="F867" si="319">F843</f>
        <v>0.37049106653677999</v>
      </c>
      <c r="G867">
        <v>0.2</v>
      </c>
      <c r="H867">
        <v>0.3</v>
      </c>
      <c r="J867" s="2" t="s">
        <v>69</v>
      </c>
    </row>
    <row r="868" spans="2:10" x14ac:dyDescent="0.3">
      <c r="B868" s="47" t="s">
        <v>162</v>
      </c>
      <c r="C868" t="str">
        <f>VLOOKUP($B868,'标准费用表-2024年&amp;2025年优化'!$D:$E,2,0)</f>
        <v>庆阳正大食品有限公司-OEM</v>
      </c>
      <c r="D868" t="s">
        <v>135</v>
      </c>
      <c r="E868" s="36">
        <f t="shared" si="304"/>
        <v>0.102422355030736</v>
      </c>
      <c r="F868" s="36">
        <f t="shared" ref="F868" si="320">F844</f>
        <v>0.460640738446149</v>
      </c>
      <c r="G868">
        <v>0.2</v>
      </c>
      <c r="H868">
        <v>0.3</v>
      </c>
      <c r="J868" s="2" t="s">
        <v>69</v>
      </c>
    </row>
    <row r="869" spans="2:10" x14ac:dyDescent="0.3">
      <c r="B869" s="47" t="s">
        <v>162</v>
      </c>
      <c r="C869" t="str">
        <f>VLOOKUP($B869,'标准费用表-2024年&amp;2025年优化'!$D:$E,2,0)</f>
        <v>庆阳正大食品有限公司-OEM</v>
      </c>
      <c r="D869" t="s">
        <v>136</v>
      </c>
      <c r="E869" s="36">
        <f t="shared" si="304"/>
        <v>1.7683445968469502E-2</v>
      </c>
      <c r="F869" s="36">
        <f t="shared" ref="F869" si="321">F845</f>
        <v>0.40279194810020003</v>
      </c>
      <c r="G869">
        <v>0.2</v>
      </c>
      <c r="H869">
        <v>0.3</v>
      </c>
      <c r="J869" s="2" t="s">
        <v>69</v>
      </c>
    </row>
    <row r="870" spans="2:10" x14ac:dyDescent="0.3">
      <c r="B870" s="47" t="s">
        <v>162</v>
      </c>
      <c r="C870" t="str">
        <f>VLOOKUP($B870,'标准费用表-2024年&amp;2025年优化'!$D:$E,2,0)</f>
        <v>庆阳正大食品有限公司-OEM</v>
      </c>
      <c r="D870" t="s">
        <v>137</v>
      </c>
      <c r="E870" s="36">
        <f t="shared" si="304"/>
        <v>9.2541138570817597E-2</v>
      </c>
      <c r="F870" s="36">
        <f t="shared" ref="F870" si="322">F846</f>
        <v>0.29173929175574698</v>
      </c>
      <c r="G870">
        <v>0.2</v>
      </c>
      <c r="H870">
        <v>0.3</v>
      </c>
      <c r="J870" s="2" t="s">
        <v>69</v>
      </c>
    </row>
    <row r="871" spans="2:10" x14ac:dyDescent="0.3">
      <c r="B871" s="47" t="s">
        <v>162</v>
      </c>
      <c r="C871" t="str">
        <f>VLOOKUP($B871,'标准费用表-2024年&amp;2025年优化'!$D:$E,2,0)</f>
        <v>庆阳正大食品有限公司-OEM</v>
      </c>
      <c r="D871" t="s">
        <v>138</v>
      </c>
      <c r="E871" s="36">
        <f t="shared" si="304"/>
        <v>8.4918776532701204E-2</v>
      </c>
      <c r="F871" s="36">
        <f t="shared" ref="F871" si="323">F847</f>
        <v>1.1018877139280201</v>
      </c>
      <c r="G871">
        <v>0.2</v>
      </c>
      <c r="H871">
        <v>0.3</v>
      </c>
      <c r="J871" s="2" t="s">
        <v>69</v>
      </c>
    </row>
    <row r="872" spans="2:10" x14ac:dyDescent="0.3">
      <c r="B872" s="47" t="s">
        <v>162</v>
      </c>
      <c r="C872" t="str">
        <f>VLOOKUP($B872,'标准费用表-2024年&amp;2025年优化'!$D:$E,2,0)</f>
        <v>庆阳正大食品有限公司-OEM</v>
      </c>
      <c r="D872" t="s">
        <v>139</v>
      </c>
      <c r="E872" s="36">
        <f t="shared" si="304"/>
        <v>0.29708927472428698</v>
      </c>
      <c r="F872" s="36">
        <f t="shared" ref="F872" si="324">F848</f>
        <v>0.47391621044398902</v>
      </c>
      <c r="G872">
        <v>0.2</v>
      </c>
      <c r="H872">
        <v>0.3</v>
      </c>
      <c r="J872" s="2" t="s">
        <v>69</v>
      </c>
    </row>
    <row r="873" spans="2:10" x14ac:dyDescent="0.3">
      <c r="B873" s="47" t="s">
        <v>162</v>
      </c>
      <c r="C873" t="str">
        <f>VLOOKUP($B873,'标准费用表-2024年&amp;2025年优化'!$D:$E,2,0)</f>
        <v>庆阳正大食品有限公司-OEM</v>
      </c>
      <c r="D873" t="s">
        <v>140</v>
      </c>
      <c r="E873" s="36">
        <f t="shared" si="304"/>
        <v>0.347971756602522</v>
      </c>
      <c r="F873" s="36">
        <f t="shared" ref="F873" si="325">F849</f>
        <v>0.29947157387365198</v>
      </c>
      <c r="G873">
        <v>0.2</v>
      </c>
      <c r="H873">
        <v>0.3</v>
      </c>
      <c r="J873" s="2" t="s">
        <v>69</v>
      </c>
    </row>
    <row r="874" spans="2:10" x14ac:dyDescent="0.3">
      <c r="B874" s="47" t="s">
        <v>162</v>
      </c>
      <c r="C874" t="str">
        <f>VLOOKUP($B874,'标准费用表-2024年&amp;2025年优化'!$D:$E,2,0)</f>
        <v>庆阳正大食品有限公司-OEM</v>
      </c>
      <c r="D874" t="s">
        <v>141</v>
      </c>
      <c r="E874" s="36">
        <f t="shared" si="304"/>
        <v>9.9499703559559893E-2</v>
      </c>
      <c r="F874" s="36">
        <f t="shared" ref="F874" si="326">F850</f>
        <v>0.248308438317276</v>
      </c>
      <c r="G874">
        <v>0.2</v>
      </c>
      <c r="H874">
        <v>0.3</v>
      </c>
      <c r="J874" s="2" t="s">
        <v>69</v>
      </c>
    </row>
    <row r="875" spans="2:10" x14ac:dyDescent="0.3">
      <c r="B875" s="47" t="s">
        <v>162</v>
      </c>
      <c r="C875" t="str">
        <f>VLOOKUP($B875,'标准费用表-2024年&amp;2025年优化'!$D:$E,2,0)</f>
        <v>庆阳正大食品有限公司-OEM</v>
      </c>
      <c r="D875" t="s">
        <v>142</v>
      </c>
      <c r="E875" s="36">
        <f t="shared" si="304"/>
        <v>2.96038440650193E-2</v>
      </c>
      <c r="F875" s="36">
        <f t="shared" ref="F875" si="327">F851</f>
        <v>9.8554429478973707E-2</v>
      </c>
      <c r="G875">
        <v>0.2</v>
      </c>
      <c r="H875">
        <v>0.3</v>
      </c>
      <c r="J875" s="2" t="s">
        <v>69</v>
      </c>
    </row>
    <row r="876" spans="2:10" x14ac:dyDescent="0.3">
      <c r="B876" s="47" t="s">
        <v>164</v>
      </c>
      <c r="C876" t="str">
        <f>VLOOKUP($B876,'标准费用表-2024年&amp;2025年优化'!$D:$E,2,0)</f>
        <v>正大畜牧(阜新)有限公司</v>
      </c>
      <c r="D876" t="s">
        <v>41</v>
      </c>
      <c r="E876" s="46">
        <f>IFERROR(VLOOKUP($B876,'标准费用表-2024年&amp;2025年优化'!$D:$K,8,0)*VLOOKUP('5.成本表'!$D876,系数辅助表!$C:$G,5,0)/VLOOKUP($D876,系数辅助表!$C:$E,3,0),0)</f>
        <v>0.536605581011945</v>
      </c>
      <c r="I876" s="36">
        <f>VLOOKUP($D876,系数辅助表!$C:$F,4,0)</f>
        <v>1.33</v>
      </c>
      <c r="J876" s="2" t="s">
        <v>41</v>
      </c>
    </row>
    <row r="877" spans="2:10" x14ac:dyDescent="0.3">
      <c r="B877" s="47" t="s">
        <v>164</v>
      </c>
      <c r="C877" t="str">
        <f>VLOOKUP($B877,'标准费用表-2024年&amp;2025年优化'!$D:$E,2,0)</f>
        <v>正大畜牧(阜新)有限公司</v>
      </c>
      <c r="D877" t="s">
        <v>44</v>
      </c>
      <c r="E877" s="46">
        <f>IFERROR(VLOOKUP($B877,'标准费用表-2024年&amp;2025年优化'!$D:$K,8,0)*系数辅助表!$J$6*VLOOKUP('5.成本表'!$D877,系数辅助表!$C:$G,5,0)/VLOOKUP($D877,系数辅助表!$C:$E,3,0),0)</f>
        <v>0.30690696100032</v>
      </c>
      <c r="I877" s="36">
        <f>VLOOKUP($D877,系数辅助表!$C:$F,4,0)</f>
        <v>0.789027855994753</v>
      </c>
      <c r="J877" s="2" t="s">
        <v>200</v>
      </c>
    </row>
    <row r="878" spans="2:10" x14ac:dyDescent="0.3">
      <c r="B878" s="47" t="s">
        <v>164</v>
      </c>
      <c r="C878" t="str">
        <f>VLOOKUP($B878,'标准费用表-2024年&amp;2025年优化'!$D:$E,2,0)</f>
        <v>正大畜牧(阜新)有限公司</v>
      </c>
      <c r="D878" t="s">
        <v>45</v>
      </c>
      <c r="E878" s="46">
        <f>IFERROR(VLOOKUP($B878,'标准费用表-2024年&amp;2025年优化'!$D:$K,8,0)*系数辅助表!$J$6*VLOOKUP('5.成本表'!$D878,系数辅助表!$C:$G,5,0)/VLOOKUP($D878,系数辅助表!$C:$E,3,0),0)</f>
        <v>0.82024678947017604</v>
      </c>
      <c r="I878" s="36">
        <f>VLOOKUP($D878,系数辅助表!$C:$F,4,0)</f>
        <v>2.1087744754070901</v>
      </c>
      <c r="J878" s="2" t="s">
        <v>200</v>
      </c>
    </row>
    <row r="879" spans="2:10" x14ac:dyDescent="0.3">
      <c r="B879" s="47" t="s">
        <v>164</v>
      </c>
      <c r="C879" t="str">
        <f>VLOOKUP($B879,'标准费用表-2024年&amp;2025年优化'!$D:$E,2,0)</f>
        <v>正大畜牧(阜新)有限公司</v>
      </c>
      <c r="D879" t="s">
        <v>46</v>
      </c>
      <c r="E879" s="46">
        <f>IFERROR(VLOOKUP($B879,'标准费用表-2024年&amp;2025年优化'!$D:$K,8,0)*系数辅助表!$J$6*VLOOKUP('5.成本表'!$D879,系数辅助表!$C:$G,5,0)/VLOOKUP($D879,系数辅助表!$C:$E,3,0),0)</f>
        <v>1.51818984040919</v>
      </c>
      <c r="I879" s="36">
        <f>VLOOKUP($D879,系数辅助表!$C:$F,4,0)</f>
        <v>3.9031179705625099</v>
      </c>
      <c r="J879" s="2" t="s">
        <v>200</v>
      </c>
    </row>
    <row r="880" spans="2:10" x14ac:dyDescent="0.3">
      <c r="B880" s="47" t="s">
        <v>164</v>
      </c>
      <c r="C880" t="str">
        <f>VLOOKUP($B880,'标准费用表-2024年&amp;2025年优化'!$D:$E,2,0)</f>
        <v>正大畜牧(阜新)有限公司</v>
      </c>
      <c r="D880" t="s">
        <v>47</v>
      </c>
      <c r="E880" s="46">
        <f>IFERROR(VLOOKUP($B880,'标准费用表-2024年&amp;2025年优化'!$D:$K,8,0)*系数辅助表!$J$6*VLOOKUP('5.成本表'!$D880,系数辅助表!$C:$G,5,0)/VLOOKUP($D880,系数辅助表!$C:$E,3,0),0)</f>
        <v>0.31905533470210401</v>
      </c>
      <c r="I880" s="36">
        <f>VLOOKUP($D880,系数辅助表!$C:$F,4,0)</f>
        <v>0.82026013963048305</v>
      </c>
      <c r="J880" s="2" t="s">
        <v>200</v>
      </c>
    </row>
    <row r="881" spans="2:10" x14ac:dyDescent="0.3">
      <c r="B881" s="47" t="s">
        <v>164</v>
      </c>
      <c r="C881" t="str">
        <f>VLOOKUP($B881,'标准费用表-2024年&amp;2025年优化'!$D:$E,2,0)</f>
        <v>正大畜牧(阜新)有限公司</v>
      </c>
      <c r="D881" t="s">
        <v>48</v>
      </c>
      <c r="E881" s="46">
        <f>IFERROR(VLOOKUP($B881,'标准费用表-2024年&amp;2025年优化'!$D:$K,8,0)*系数辅助表!$J$6*VLOOKUP('5.成本表'!$D881,系数辅助表!$C:$G,5,0)/VLOOKUP($D881,系数辅助表!$C:$E,3,0),0)</f>
        <v>0.14085480518004301</v>
      </c>
      <c r="I881" s="36">
        <f>VLOOKUP($D881,系数辅助表!$C:$F,4,0)</f>
        <v>0.36212396283071502</v>
      </c>
      <c r="J881" s="2" t="s">
        <v>200</v>
      </c>
    </row>
    <row r="882" spans="2:10" x14ac:dyDescent="0.3">
      <c r="B882" s="47" t="s">
        <v>164</v>
      </c>
      <c r="C882" t="str">
        <f>VLOOKUP($B882,'标准费用表-2024年&amp;2025年优化'!$D:$E,2,0)</f>
        <v>正大畜牧(阜新)有限公司</v>
      </c>
      <c r="D882" t="s">
        <v>49</v>
      </c>
      <c r="E882" s="46">
        <f>IFERROR(VLOOKUP($B882,'标准费用表-2024年&amp;2025年优化'!$D:$K,8,0)*系数辅助表!$J$6*VLOOKUP('5.成本表'!$D882,系数辅助表!$C:$G,5,0)/VLOOKUP($D882,系数辅助表!$C:$E,3,0),0)</f>
        <v>0.43592693492426199</v>
      </c>
      <c r="I882" s="36">
        <f>VLOOKUP($D882,系数辅助表!$C:$F,4,0)</f>
        <v>1.1207256222295201</v>
      </c>
      <c r="J882" s="2" t="s">
        <v>200</v>
      </c>
    </row>
    <row r="883" spans="2:10" x14ac:dyDescent="0.3">
      <c r="B883" s="47" t="s">
        <v>164</v>
      </c>
      <c r="C883" t="str">
        <f>VLOOKUP($B883,'标准费用表-2024年&amp;2025年优化'!$D:$E,2,0)</f>
        <v>正大畜牧(阜新)有限公司</v>
      </c>
      <c r="D883" t="s">
        <v>50</v>
      </c>
      <c r="E883" s="46">
        <f>IFERROR(VLOOKUP($B883,'标准费用表-2024年&amp;2025年优化'!$D:$K,8,0)*系数辅助表!$J$6*VLOOKUP('5.成本表'!$D883,系数辅助表!$C:$G,5,0)/VLOOKUP($D883,系数辅助表!$C:$E,3,0),0)</f>
        <v>0.72011719246996597</v>
      </c>
      <c r="I883" s="36">
        <f>VLOOKUP($D883,系数辅助表!$C:$F,4,0)</f>
        <v>1.8513510498021799</v>
      </c>
      <c r="J883" s="2" t="s">
        <v>200</v>
      </c>
    </row>
    <row r="884" spans="2:10" x14ac:dyDescent="0.3">
      <c r="B884" s="47" t="s">
        <v>164</v>
      </c>
      <c r="C884" t="str">
        <f>VLOOKUP($B884,'标准费用表-2024年&amp;2025年优化'!$D:$E,2,0)</f>
        <v>正大畜牧(阜新)有限公司</v>
      </c>
      <c r="D884" t="s">
        <v>51</v>
      </c>
      <c r="E884" s="46">
        <f>IFERROR(VLOOKUP($B884,'标准费用表-2024年&amp;2025年优化'!$D:$K,8,0)*系数辅助表!$J$6*VLOOKUP('5.成本表'!$D884,系数辅助表!$C:$G,5,0)/VLOOKUP($D884,系数辅助表!$C:$E,3,0),0)</f>
        <v>1.04463432771848</v>
      </c>
      <c r="I884" s="36">
        <f>VLOOKUP($D884,系数辅助表!$C:$F,4,0)</f>
        <v>2.68565294580391</v>
      </c>
      <c r="J884" s="2" t="s">
        <v>200</v>
      </c>
    </row>
    <row r="885" spans="2:10" x14ac:dyDescent="0.3">
      <c r="B885" s="47" t="s">
        <v>164</v>
      </c>
      <c r="C885" t="str">
        <f>VLOOKUP($B885,'标准费用表-2024年&amp;2025年优化'!$D:$E,2,0)</f>
        <v>正大畜牧(阜新)有限公司</v>
      </c>
      <c r="D885" t="s">
        <v>52</v>
      </c>
      <c r="E885" s="46">
        <f>IFERROR(VLOOKUP($B885,'标准费用表-2024年&amp;2025年优化'!$D:$K,8,0)*系数辅助表!$J$6*VLOOKUP('5.成本表'!$D885,系数辅助表!$C:$G,5,0)/VLOOKUP($D885,系数辅助表!$C:$E,3,0),0)</f>
        <v>0.61032017955928897</v>
      </c>
      <c r="I885" s="36">
        <f>VLOOKUP($D885,系数辅助表!$C:$F,4,0)</f>
        <v>1.5690736410097099</v>
      </c>
      <c r="J885" s="2" t="s">
        <v>200</v>
      </c>
    </row>
    <row r="886" spans="2:10" x14ac:dyDescent="0.3">
      <c r="B886" s="47" t="s">
        <v>164</v>
      </c>
      <c r="C886" t="str">
        <f>VLOOKUP($B886,'标准费用表-2024年&amp;2025年优化'!$D:$E,2,0)</f>
        <v>正大畜牧(阜新)有限公司</v>
      </c>
      <c r="D886" t="s">
        <v>53</v>
      </c>
      <c r="E886" s="46">
        <f>IFERROR(VLOOKUP($B886,'标准费用表-2024年&amp;2025年优化'!$D:$K,8,0)*系数辅助表!$J$6*VLOOKUP('5.成本表'!$D886,系数辅助表!$C:$G,5,0)/VLOOKUP($D886,系数辅助表!$C:$E,3,0),0)</f>
        <v>0.56049366023448699</v>
      </c>
      <c r="I886" s="36">
        <f>VLOOKUP($D886,系数辅助表!$C:$F,4,0)</f>
        <v>1.44097452072131</v>
      </c>
      <c r="J886" s="2" t="s">
        <v>200</v>
      </c>
    </row>
    <row r="887" spans="2:10" x14ac:dyDescent="0.3">
      <c r="B887" s="47" t="s">
        <v>164</v>
      </c>
      <c r="C887" t="str">
        <f>VLOOKUP($B887,'标准费用表-2024年&amp;2025年优化'!$D:$E,2,0)</f>
        <v>正大畜牧(阜新)有限公司</v>
      </c>
      <c r="D887" t="s">
        <v>54</v>
      </c>
      <c r="E887" s="46">
        <f>IFERROR(VLOOKUP($B887,'标准费用表-2024年&amp;2025年优化'!$D:$K,8,0)*系数辅助表!$J$6*VLOOKUP('5.成本表'!$D887,系数辅助表!$C:$G,5,0)/VLOOKUP($D887,系数辅助表!$C:$E,3,0),0)</f>
        <v>0.71602602759837597</v>
      </c>
      <c r="I887" s="36">
        <f>VLOOKUP($D887,系数辅助表!$C:$F,4,0)</f>
        <v>1.8408330640366199</v>
      </c>
      <c r="J887" s="2" t="s">
        <v>200</v>
      </c>
    </row>
    <row r="888" spans="2:10" x14ac:dyDescent="0.3">
      <c r="B888" s="47" t="s">
        <v>164</v>
      </c>
      <c r="C888" t="str">
        <f>VLOOKUP($B888,'标准费用表-2024年&amp;2025年优化'!$D:$E,2,0)</f>
        <v>正大畜牧(阜新)有限公司</v>
      </c>
      <c r="D888" t="s">
        <v>55</v>
      </c>
      <c r="E888" s="46">
        <f>IFERROR(VLOOKUP($B888,'标准费用表-2024年&amp;2025年优化'!$D:$K,8,0)*系数辅助表!$J$6*VLOOKUP('5.成本表'!$D888,系数辅助表!$C:$G,5,0)/VLOOKUP($D888,系数辅助表!$C:$E,3,0),0)</f>
        <v>1.24537720758116</v>
      </c>
      <c r="I888" s="36">
        <f>VLOOKUP($D888,系数辅助表!$C:$F,4,0)</f>
        <v>3.2017433061789502</v>
      </c>
      <c r="J888" s="2" t="s">
        <v>200</v>
      </c>
    </row>
    <row r="889" spans="2:10" x14ac:dyDescent="0.3">
      <c r="B889" s="47" t="s">
        <v>164</v>
      </c>
      <c r="C889" t="str">
        <f>VLOOKUP($B889,'标准费用表-2024年&amp;2025年优化'!$D:$E,2,0)</f>
        <v>正大畜牧(阜新)有限公司</v>
      </c>
      <c r="D889" t="s">
        <v>56</v>
      </c>
      <c r="E889" s="46">
        <f>IFERROR(VLOOKUP($B889,'标准费用表-2024年&amp;2025年优化'!$D:$K,8,0)*系数辅助表!$J$6*VLOOKUP('5.成本表'!$D889,系数辅助表!$C:$G,5,0)/VLOOKUP($D889,系数辅助表!$C:$E,3,0),0)</f>
        <v>0.212032343682346</v>
      </c>
      <c r="I889" s="36">
        <f>VLOOKUP($D889,系数辅助表!$C:$F,4,0)</f>
        <v>0.54511447049599404</v>
      </c>
      <c r="J889" s="2" t="s">
        <v>200</v>
      </c>
    </row>
    <row r="890" spans="2:10" x14ac:dyDescent="0.3">
      <c r="B890" s="47" t="s">
        <v>164</v>
      </c>
      <c r="C890" t="str">
        <f>VLOOKUP($B890,'标准费用表-2024年&amp;2025年优化'!$D:$E,2,0)</f>
        <v>正大畜牧(阜新)有限公司</v>
      </c>
      <c r="D890" t="s">
        <v>57</v>
      </c>
      <c r="E890" s="46">
        <f>IFERROR(VLOOKUP($B890,'标准费用表-2024年&amp;2025年优化'!$D:$K,8,0)*系数辅助表!$J$6*VLOOKUP('5.成本表'!$D890,系数辅助表!$C:$G,5,0)/VLOOKUP($D890,系数辅助表!$C:$E,3,0),0)</f>
        <v>4.9091275648294998E-2</v>
      </c>
      <c r="I890" s="36">
        <f>VLOOKUP($D890,系数辅助表!$C:$F,4,0)</f>
        <v>0.126208880523832</v>
      </c>
      <c r="J890" s="2" t="s">
        <v>200</v>
      </c>
    </row>
    <row r="891" spans="2:10" x14ac:dyDescent="0.3">
      <c r="B891" s="47" t="s">
        <v>164</v>
      </c>
      <c r="C891" t="str">
        <f>VLOOKUP($B891,'标准费用表-2024年&amp;2025年优化'!$D:$E,2,0)</f>
        <v>正大畜牧(阜新)有限公司</v>
      </c>
      <c r="D891" t="s">
        <v>58</v>
      </c>
      <c r="E891" s="46">
        <f>IFERROR(VLOOKUP($B891,'标准费用表-2024年&amp;2025年优化'!$D:$K,8,0)*系数辅助表!$J$6*VLOOKUP('5.成本表'!$D891,系数辅助表!$C:$G,5,0)/VLOOKUP($D891,系数辅助表!$C:$E,3,0),0)</f>
        <v>0.26337997322161399</v>
      </c>
      <c r="I891" s="36">
        <f>VLOOKUP($D891,系数辅助表!$C:$F,4,0)</f>
        <v>0.67712421675176204</v>
      </c>
      <c r="J891" s="2" t="s">
        <v>200</v>
      </c>
    </row>
    <row r="892" spans="2:10" x14ac:dyDescent="0.3">
      <c r="B892" s="47" t="s">
        <v>164</v>
      </c>
      <c r="C892" t="str">
        <f>VLOOKUP($B892,'标准费用表-2024年&amp;2025年优化'!$D:$E,2,0)</f>
        <v>正大畜牧(阜新)有限公司</v>
      </c>
      <c r="D892" t="s">
        <v>59</v>
      </c>
      <c r="E892" s="46">
        <f>IFERROR(VLOOKUP($B892,'标准费用表-2024年&amp;2025年优化'!$D:$K,8,0)*系数辅助表!$J$6*VLOOKUP('5.成本表'!$D892,系数辅助表!$C:$G,5,0)/VLOOKUP($D892,系数辅助表!$C:$E,3,0),0)</f>
        <v>0.17227219042837799</v>
      </c>
      <c r="I892" s="36">
        <f>VLOOKUP($D892,系数辅助表!$C:$F,4,0)</f>
        <v>0.44289499533730498</v>
      </c>
      <c r="J892" s="2" t="s">
        <v>200</v>
      </c>
    </row>
    <row r="893" spans="2:10" x14ac:dyDescent="0.3">
      <c r="B893" s="47" t="s">
        <v>164</v>
      </c>
      <c r="C893" t="str">
        <f>VLOOKUP($B893,'标准费用表-2024年&amp;2025年优化'!$D:$E,2,0)</f>
        <v>正大畜牧(阜新)有限公司</v>
      </c>
      <c r="D893" t="s">
        <v>60</v>
      </c>
      <c r="E893" s="46">
        <f>IFERROR(VLOOKUP($B893,'标准费用表-2024年&amp;2025年优化'!$D:$K,8,0)*系数辅助表!$J$6*VLOOKUP('5.成本表'!$D893,系数辅助表!$C:$G,5,0)/VLOOKUP($D893,系数辅助表!$C:$E,3,0),0)</f>
        <v>0.114184211807816</v>
      </c>
      <c r="I893" s="36">
        <f>VLOOKUP($D893,系数辅助表!$C:$F,4,0)</f>
        <v>0.29355646915769201</v>
      </c>
      <c r="J893" s="2" t="s">
        <v>200</v>
      </c>
    </row>
    <row r="894" spans="2:10" x14ac:dyDescent="0.3">
      <c r="B894" s="47" t="s">
        <v>164</v>
      </c>
      <c r="C894" t="str">
        <f>VLOOKUP($B894,'标准费用表-2024年&amp;2025年优化'!$D:$E,2,0)</f>
        <v>正大畜牧(阜新)有限公司</v>
      </c>
      <c r="D894" t="s">
        <v>61</v>
      </c>
      <c r="E894" s="46">
        <f>IFERROR(VLOOKUP($B894,'标准费用表-2024年&amp;2025年优化'!$D:$K,8,0)*系数辅助表!$J$6*VLOOKUP('5.成本表'!$D894,系数辅助表!$C:$G,5,0)/VLOOKUP($D894,系数辅助表!$C:$E,3,0),0)</f>
        <v>1.9714156536918499E-2</v>
      </c>
      <c r="I894" s="36">
        <f>VLOOKUP($D894,系数辅助表!$C:$F,4,0)</f>
        <v>5.0683173214352499E-2</v>
      </c>
      <c r="J894" s="2" t="s">
        <v>200</v>
      </c>
    </row>
    <row r="895" spans="2:10" x14ac:dyDescent="0.3">
      <c r="B895" s="47" t="s">
        <v>164</v>
      </c>
      <c r="C895" t="str">
        <f>VLOOKUP($B895,'标准费用表-2024年&amp;2025年优化'!$D:$E,2,0)</f>
        <v>正大畜牧(阜新)有限公司</v>
      </c>
      <c r="D895" t="s">
        <v>62</v>
      </c>
      <c r="E895" s="46">
        <f>IFERROR(VLOOKUP($B895,'标准费用表-2024年&amp;2025年优化'!$D:$K,8,0)*系数辅助表!$J$6*VLOOKUP('5.成本表'!$D895,系数辅助表!$C:$G,5,0)/VLOOKUP($D895,系数辅助表!$C:$E,3,0),0)</f>
        <v>0.103168267946345</v>
      </c>
      <c r="I895" s="36">
        <f>VLOOKUP($D895,系数辅助表!$C:$F,4,0)</f>
        <v>0.26523555216563399</v>
      </c>
      <c r="J895" s="2" t="s">
        <v>200</v>
      </c>
    </row>
    <row r="896" spans="2:10" x14ac:dyDescent="0.3">
      <c r="B896" s="47" t="s">
        <v>164</v>
      </c>
      <c r="C896" t="str">
        <f>VLOOKUP($B896,'标准费用表-2024年&amp;2025年优化'!$D:$E,2,0)</f>
        <v>正大畜牧(阜新)有限公司</v>
      </c>
      <c r="D896" t="s">
        <v>63</v>
      </c>
      <c r="E896" s="46">
        <f>IFERROR(VLOOKUP($B896,'标准费用表-2024年&amp;2025年优化'!$D:$K,8,0)*系数辅助表!$J$6*VLOOKUP('5.成本表'!$D896,系数辅助表!$C:$G,5,0)/VLOOKUP($D896,系数辅助表!$C:$E,3,0),0)</f>
        <v>9.4670578148302403E-2</v>
      </c>
      <c r="I896" s="36">
        <f>VLOOKUP($D896,系数辅助表!$C:$F,4,0)</f>
        <v>0.24338882069886</v>
      </c>
      <c r="J896" s="2" t="s">
        <v>200</v>
      </c>
    </row>
    <row r="897" spans="2:10" x14ac:dyDescent="0.3">
      <c r="B897" s="47" t="s">
        <v>164</v>
      </c>
      <c r="C897" t="str">
        <f>VLOOKUP($B897,'标准费用表-2024年&amp;2025年优化'!$D:$E,2,0)</f>
        <v>正大畜牧(阜新)有限公司</v>
      </c>
      <c r="D897" t="s">
        <v>64</v>
      </c>
      <c r="E897" s="46">
        <f>IFERROR(VLOOKUP($B897,'标准费用表-2024年&amp;2025年优化'!$D:$K,8,0)*系数辅助表!$J$6*VLOOKUP('5.成本表'!$D897,系数辅助表!$C:$G,5,0)/VLOOKUP($D897,系数辅助表!$C:$E,3,0),0)</f>
        <v>0.33120606005171599</v>
      </c>
      <c r="I897" s="36">
        <f>VLOOKUP($D897,系数辅助表!$C:$F,4,0)</f>
        <v>0.85149846912336002</v>
      </c>
      <c r="J897" s="2" t="s">
        <v>200</v>
      </c>
    </row>
    <row r="898" spans="2:10" x14ac:dyDescent="0.3">
      <c r="B898" s="47" t="s">
        <v>164</v>
      </c>
      <c r="C898" t="str">
        <f>VLOOKUP($B898,'标准费用表-2024年&amp;2025年优化'!$D:$E,2,0)</f>
        <v>正大畜牧(阜新)有限公司</v>
      </c>
      <c r="D898" t="s">
        <v>65</v>
      </c>
      <c r="E898" s="46">
        <f>IFERROR(VLOOKUP($B898,'标准费用表-2024年&amp;2025年优化'!$D:$K,8,0)*系数辅助表!$J$6*VLOOKUP('5.成本表'!$D898,系数辅助表!$C:$G,5,0)/VLOOKUP($D898,系数辅助表!$C:$E,3,0),0)</f>
        <v>0.38793172395925102</v>
      </c>
      <c r="I898" s="36">
        <f>VLOOKUP($D898,系数辅助表!$C:$F,4,0)</f>
        <v>0.99733461707829196</v>
      </c>
      <c r="J898" s="2" t="s">
        <v>200</v>
      </c>
    </row>
    <row r="899" spans="2:10" x14ac:dyDescent="0.3">
      <c r="B899" s="47" t="s">
        <v>164</v>
      </c>
      <c r="C899" t="str">
        <f>VLOOKUP($B899,'标准费用表-2024年&amp;2025年优化'!$D:$E,2,0)</f>
        <v>正大畜牧(阜新)有限公司</v>
      </c>
      <c r="D899" t="s">
        <v>66</v>
      </c>
      <c r="E899" s="46">
        <f>IFERROR(VLOOKUP($B899,'标准费用表-2024年&amp;2025年优化'!$D:$K,8,0)*系数辅助表!$J$6*VLOOKUP('5.成本表'!$D899,系数辅助表!$C:$G,5,0)/VLOOKUP($D899,系数辅助表!$C:$E,3,0),0)</f>
        <v>0.110925932357738</v>
      </c>
      <c r="I899" s="36">
        <f>VLOOKUP($D899,系数辅助表!$C:$F,4,0)</f>
        <v>0.28517975055754302</v>
      </c>
      <c r="J899" s="2" t="s">
        <v>200</v>
      </c>
    </row>
    <row r="900" spans="2:10" x14ac:dyDescent="0.3">
      <c r="B900" s="47" t="s">
        <v>164</v>
      </c>
      <c r="C900" t="str">
        <f>VLOOKUP($B900,'标准费用表-2024年&amp;2025年优化'!$D:$E,2,0)</f>
        <v>正大畜牧(阜新)有限公司</v>
      </c>
      <c r="D900" t="s">
        <v>67</v>
      </c>
      <c r="E900" s="46">
        <f>IFERROR(VLOOKUP($B900,'标准费用表-2024年&amp;2025年优化'!$D:$K,8,0)*系数辅助表!$J$6*VLOOKUP('5.成本表'!$D900,系数辅助表!$C:$G,5,0)/VLOOKUP($D900,系数辅助表!$C:$E,3,0),0)</f>
        <v>3.3003455154212102E-2</v>
      </c>
      <c r="I900" s="36">
        <f>VLOOKUP($D900,系数辅助表!$C:$F,4,0)</f>
        <v>8.4848663503333893E-2</v>
      </c>
      <c r="J900" s="2" t="s">
        <v>200</v>
      </c>
    </row>
    <row r="901" spans="2:10" x14ac:dyDescent="0.3">
      <c r="B901" s="47" t="s">
        <v>164</v>
      </c>
      <c r="C901" t="str">
        <f>VLOOKUP($B901,'标准费用表-2024年&amp;2025年优化'!$D:$E,2,0)</f>
        <v>正大畜牧(阜新)有限公司</v>
      </c>
      <c r="D901" t="s">
        <v>68</v>
      </c>
      <c r="E901" s="36">
        <f>IFERROR(VLOOKUP($B901,'标准费用表-2024年&amp;2025年优化'!$D:$K,8,0)*VLOOKUP("白条",系数辅助表!$C:$G,5,0)*VLOOKUP('5.成本表'!$D901,系数辅助表!$C:$G,5,0)/VLOOKUP('5.成本表'!$D901,系数辅助表!$C:$E,3,0),)</f>
        <v>0.80426521716247201</v>
      </c>
      <c r="F901" s="36">
        <f>IFERROR(VLOOKUP($B901,'标准费用表-2024年&amp;2025年优化'!$D:$L,9,0)*VLOOKUP('5.成本表'!$D901,系数辅助表!$C:$G,5,0)/VLOOKUP($D901,系数辅助表!$C:$E,3,0),0)</f>
        <v>0</v>
      </c>
      <c r="I901" s="36">
        <f>VLOOKUP($D901,系数辅助表!$C:$F,4,0)</f>
        <v>2.2799999999999998</v>
      </c>
      <c r="J901" s="2" t="s">
        <v>69</v>
      </c>
    </row>
    <row r="902" spans="2:10" x14ac:dyDescent="0.3">
      <c r="B902" s="47" t="s">
        <v>164</v>
      </c>
      <c r="C902" t="str">
        <f>VLOOKUP($B902,'标准费用表-2024年&amp;2025年优化'!$D:$E,2,0)</f>
        <v>正大畜牧(阜新)有限公司</v>
      </c>
      <c r="D902" t="s">
        <v>70</v>
      </c>
      <c r="E902" s="36">
        <f>IFERROR(VLOOKUP($B902,'标准费用表-2024年&amp;2025年优化'!$D:$K,8,0)*VLOOKUP("白条",系数辅助表!$C:$G,5,0)*VLOOKUP('5.成本表'!$D902,系数辅助表!$C:$G,5,0)/VLOOKUP('5.成本表'!$D902,系数辅助表!$C:$E,3,0),)</f>
        <v>0.53749020529569502</v>
      </c>
      <c r="F902" s="36">
        <f>IFERROR(VLOOKUP($B902,'标准费用表-2024年&amp;2025年优化'!$D:$L,9,0)*VLOOKUP('5.成本表'!$D902,系数辅助表!$C:$G,5,0)/VLOOKUP($D902,系数辅助表!$C:$E,3,0),0)</f>
        <v>0</v>
      </c>
      <c r="I902" s="36">
        <f>VLOOKUP($D902,系数辅助表!$C:$F,4,0)</f>
        <v>1.5237233215154999</v>
      </c>
      <c r="J902" s="2" t="s">
        <v>69</v>
      </c>
    </row>
    <row r="903" spans="2:10" x14ac:dyDescent="0.3">
      <c r="B903" s="47" t="s">
        <v>164</v>
      </c>
      <c r="C903" t="str">
        <f>VLOOKUP($B903,'标准费用表-2024年&amp;2025年优化'!$D:$E,2,0)</f>
        <v>正大畜牧(阜新)有限公司</v>
      </c>
      <c r="D903" t="s">
        <v>71</v>
      </c>
      <c r="E903" s="36">
        <f>IFERROR(VLOOKUP($B903,'标准费用表-2024年&amp;2025年优化'!$D:$K,8,0)*VLOOKUP("白条",系数辅助表!$C:$G,5,0)*VLOOKUP('5.成本表'!$D903,系数辅助表!$C:$G,5,0)/VLOOKUP('5.成本表'!$D903,系数辅助表!$C:$E,3,0),)</f>
        <v>1.4225110894080499</v>
      </c>
      <c r="F903" s="36">
        <f>IFERROR(VLOOKUP($B903,'标准费用表-2024年&amp;2025年优化'!$D:$L,9,0)*VLOOKUP('5.成本表'!$D903,系数辅助表!$C:$G,5,0)/VLOOKUP($D903,系数辅助表!$C:$E,3,0),0)</f>
        <v>0</v>
      </c>
      <c r="I903" s="36">
        <f>VLOOKUP($D903,系数辅助表!$C:$F,4,0)</f>
        <v>4.0326564106466396</v>
      </c>
      <c r="J903" s="2" t="s">
        <v>69</v>
      </c>
    </row>
    <row r="904" spans="2:10" x14ac:dyDescent="0.3">
      <c r="B904" s="47" t="s">
        <v>164</v>
      </c>
      <c r="C904" t="str">
        <f>VLOOKUP($B904,'标准费用表-2024年&amp;2025年优化'!$D:$E,2,0)</f>
        <v>正大畜牧(阜新)有限公司</v>
      </c>
      <c r="D904" t="s">
        <v>72</v>
      </c>
      <c r="E904" s="36">
        <f>IFERROR(VLOOKUP($B904,'标准费用表-2024年&amp;2025年优化'!$D:$K,8,0)*VLOOKUP("白条",系数辅助表!$C:$G,5,0)*VLOOKUP('5.成本表'!$D904,系数辅助表!$C:$G,5,0)/VLOOKUP('5.成本表'!$D904,系数辅助表!$C:$E,3,0),)</f>
        <v>0.82845665901326104</v>
      </c>
      <c r="F904" s="36">
        <f>IFERROR(VLOOKUP($B904,'标准费用表-2024年&amp;2025年优化'!$D:$L,9,0)*VLOOKUP('5.成本表'!$D904,系数辅助表!$C:$G,5,0)/VLOOKUP($D904,系数辅助表!$C:$E,3,0),0)</f>
        <v>0</v>
      </c>
      <c r="I904" s="36">
        <f>VLOOKUP($D904,系数辅助表!$C:$F,4,0)</f>
        <v>2.34857997367385</v>
      </c>
      <c r="J904" s="2" t="s">
        <v>69</v>
      </c>
    </row>
    <row r="905" spans="2:10" x14ac:dyDescent="0.3">
      <c r="B905" s="47" t="s">
        <v>164</v>
      </c>
      <c r="C905" t="str">
        <f>VLOOKUP($B905,'标准费用表-2024年&amp;2025年优化'!$D:$E,2,0)</f>
        <v>正大畜牧(阜新)有限公司</v>
      </c>
      <c r="D905" t="s">
        <v>73</v>
      </c>
      <c r="E905" s="36">
        <f>IFERROR(VLOOKUP($B905,'标准费用表-2024年&amp;2025年优化'!$D:$K,8,0)*VLOOKUP("白条",系数辅助表!$C:$G,5,0)*VLOOKUP('5.成本表'!$D905,系数辅助表!$C:$G,5,0)/VLOOKUP('5.成本表'!$D905,系数辅助表!$C:$E,3,0),)</f>
        <v>0.49768387952034299</v>
      </c>
      <c r="F905" s="36">
        <f>IFERROR(VLOOKUP($B905,'标准费用表-2024年&amp;2025年优化'!$D:$L,9,0)*VLOOKUP('5.成本表'!$D905,系数辅助表!$C:$G,5,0)/VLOOKUP($D905,系数辅助表!$C:$E,3,0),0)</f>
        <v>0</v>
      </c>
      <c r="I905" s="36">
        <f>VLOOKUP($D905,系数辅助表!$C:$F,4,0)</f>
        <v>1.41087693598112</v>
      </c>
      <c r="J905" s="2" t="s">
        <v>69</v>
      </c>
    </row>
    <row r="906" spans="2:10" x14ac:dyDescent="0.3">
      <c r="B906" s="47" t="s">
        <v>164</v>
      </c>
      <c r="C906" t="str">
        <f>VLOOKUP($B906,'标准费用表-2024年&amp;2025年优化'!$D:$E,2,0)</f>
        <v>正大畜牧(阜新)有限公司</v>
      </c>
      <c r="D906" t="s">
        <v>74</v>
      </c>
      <c r="E906" s="36">
        <f>IFERROR(VLOOKUP($B906,'标准费用表-2024年&amp;2025年优化'!$D:$K,8,0)*VLOOKUP("白条",系数辅助表!$C:$G,5,0)*VLOOKUP('5.成本表'!$D906,系数辅助表!$C:$G,5,0)/VLOOKUP('5.成本表'!$D906,系数辅助表!$C:$E,3,0),)</f>
        <v>0.67202083939602897</v>
      </c>
      <c r="F906" s="36">
        <f>IFERROR(VLOOKUP($B906,'标准费用表-2024年&amp;2025年优化'!$D:$L,9,0)*VLOOKUP('5.成本表'!$D906,系数辅助表!$C:$G,5,0)/VLOOKUP($D906,系数辅助表!$C:$E,3,0),0)</f>
        <v>0</v>
      </c>
      <c r="I906" s="36">
        <f>VLOOKUP($D906,系数辅助表!$C:$F,4,0)</f>
        <v>1.9051022985038799</v>
      </c>
      <c r="J906" s="2" t="s">
        <v>69</v>
      </c>
    </row>
    <row r="907" spans="2:10" x14ac:dyDescent="0.3">
      <c r="B907" s="47" t="s">
        <v>164</v>
      </c>
      <c r="C907" t="str">
        <f>VLOOKUP($B907,'标准费用表-2024年&amp;2025年优化'!$D:$E,2,0)</f>
        <v>正大畜牧(阜新)有限公司</v>
      </c>
      <c r="D907" t="s">
        <v>75</v>
      </c>
      <c r="E907" s="36">
        <f>IFERROR(VLOOKUP($B907,'标准费用表-2024年&amp;2025年优化'!$D:$K,8,0)*VLOOKUP("白条",系数辅助表!$C:$G,5,0)*VLOOKUP('5.成本表'!$D907,系数辅助表!$C:$G,5,0)/VLOOKUP('5.成本表'!$D907,系数辅助表!$C:$E,3,0),)</f>
        <v>0.50320050249818205</v>
      </c>
      <c r="F907" s="36">
        <f>IFERROR(VLOOKUP($B907,'标准费用表-2024年&amp;2025年优化'!$D:$L,9,0)*VLOOKUP('5.成本表'!$D907,系数辅助表!$C:$G,5,0)/VLOOKUP($D907,系数辅助表!$C:$E,3,0),0)</f>
        <v>0</v>
      </c>
      <c r="I907" s="36">
        <f>VLOOKUP($D907,系数辅助表!$C:$F,4,0)</f>
        <v>1.42651593182611</v>
      </c>
      <c r="J907" s="2" t="s">
        <v>69</v>
      </c>
    </row>
    <row r="908" spans="2:10" x14ac:dyDescent="0.3">
      <c r="B908" s="47" t="s">
        <v>164</v>
      </c>
      <c r="C908" t="str">
        <f>VLOOKUP($B908,'标准费用表-2024年&amp;2025年优化'!$D:$E,2,0)</f>
        <v>正大畜牧(阜新)有限公司</v>
      </c>
      <c r="D908" t="s">
        <v>76</v>
      </c>
      <c r="E908" s="36">
        <f>IFERROR(VLOOKUP($B908,'标准费用表-2024年&amp;2025年优化'!$D:$K,8,0)*VLOOKUP("白条",系数辅助表!$C:$G,5,0)*VLOOKUP('5.成本表'!$D908,系数辅助表!$C:$G,5,0)/VLOOKUP('5.成本表'!$D908,系数辅助表!$C:$E,3,0),)</f>
        <v>0.51274820969618196</v>
      </c>
      <c r="F908" s="36">
        <f>IFERROR(VLOOKUP($B908,'标准费用表-2024年&amp;2025年优化'!$D:$L,9,0)*VLOOKUP('5.成本表'!$D908,系数辅助表!$C:$G,5,0)/VLOOKUP($D908,系数辅助表!$C:$E,3,0),0)</f>
        <v>0</v>
      </c>
      <c r="I908" s="36">
        <f>VLOOKUP($D908,系数辅助表!$C:$F,4,0)</f>
        <v>1.4535825908670701</v>
      </c>
      <c r="J908" s="2" t="s">
        <v>69</v>
      </c>
    </row>
    <row r="909" spans="2:10" x14ac:dyDescent="0.3">
      <c r="B909" s="47" t="s">
        <v>164</v>
      </c>
      <c r="C909" t="str">
        <f>VLOOKUP($B909,'标准费用表-2024年&amp;2025年优化'!$D:$E,2,0)</f>
        <v>正大畜牧(阜新)有限公司</v>
      </c>
      <c r="D909" t="s">
        <v>77</v>
      </c>
      <c r="E909" s="36">
        <f>IFERROR(VLOOKUP($B909,'标准费用表-2024年&amp;2025年优化'!$D:$K,8,0)*VLOOKUP("白条",系数辅助表!$C:$G,5,0)*VLOOKUP('5.成本表'!$D909,系数辅助表!$C:$G,5,0)/VLOOKUP('5.成本表'!$D909,系数辅助表!$C:$E,3,0),)</f>
        <v>0.50832317855509301</v>
      </c>
      <c r="F909" s="36">
        <f>IFERROR(VLOOKUP($B909,'标准费用表-2024年&amp;2025年优化'!$D:$L,9,0)*VLOOKUP('5.成本表'!$D909,系数辅助表!$C:$G,5,0)/VLOOKUP($D909,系数辅助表!$C:$E,3,0),0)</f>
        <v>0</v>
      </c>
      <c r="I909" s="36">
        <f>VLOOKUP($D909,系数辅助表!$C:$F,4,0)</f>
        <v>1.4410381331603499</v>
      </c>
      <c r="J909" s="2" t="s">
        <v>69</v>
      </c>
    </row>
    <row r="910" spans="2:10" x14ac:dyDescent="0.3">
      <c r="B910" s="47" t="s">
        <v>164</v>
      </c>
      <c r="C910" t="str">
        <f>VLOOKUP($B910,'标准费用表-2024年&amp;2025年优化'!$D:$E,2,0)</f>
        <v>正大畜牧(阜新)有限公司</v>
      </c>
      <c r="D910" t="s">
        <v>78</v>
      </c>
      <c r="E910" s="36">
        <f>IFERROR(VLOOKUP($B910,'标准费用表-2024年&amp;2025年优化'!$D:$K,8,0)*VLOOKUP("白条",系数辅助表!$C:$G,5,0)*VLOOKUP('5.成本表'!$D910,系数辅助表!$C:$G,5,0)/VLOOKUP('5.成本表'!$D910,系数辅助表!$C:$E,3,0),)</f>
        <v>0.43593736749621997</v>
      </c>
      <c r="F910" s="36">
        <f>IFERROR(VLOOKUP($B910,'标准费用表-2024年&amp;2025年优化'!$D:$L,9,0)*VLOOKUP('5.成本表'!$D910,系数辅助表!$C:$G,5,0)/VLOOKUP($D910,系数辅助表!$C:$E,3,0),0)</f>
        <v>0</v>
      </c>
      <c r="I910" s="36">
        <f>VLOOKUP($D910,系数辅助表!$C:$F,4,0)</f>
        <v>1.2358326291892801</v>
      </c>
      <c r="J910" s="2" t="s">
        <v>69</v>
      </c>
    </row>
    <row r="911" spans="2:10" x14ac:dyDescent="0.3">
      <c r="B911" s="47" t="s">
        <v>164</v>
      </c>
      <c r="C911" t="str">
        <f>VLOOKUP($B911,'标准费用表-2024年&amp;2025年优化'!$D:$E,2,0)</f>
        <v>正大畜牧(阜新)有限公司</v>
      </c>
      <c r="D911" t="s">
        <v>79</v>
      </c>
      <c r="E911" s="36">
        <f>IFERROR(VLOOKUP($B911,'标准费用表-2024年&amp;2025年优化'!$D:$K,8,0)*VLOOKUP("白条",系数辅助表!$C:$G,5,0)*VLOOKUP('5.成本表'!$D911,系数辅助表!$C:$G,5,0)/VLOOKUP('5.成本表'!$D911,系数辅助表!$C:$E,3,0),)</f>
        <v>0.304497992719094</v>
      </c>
      <c r="F911" s="36">
        <f>IFERROR(VLOOKUP($B911,'标准费用表-2024年&amp;2025年优化'!$D:$L,9,0)*VLOOKUP('5.成本表'!$D911,系数辅助表!$C:$G,5,0)/VLOOKUP($D911,系数辅助表!$C:$E,3,0),0)</f>
        <v>0</v>
      </c>
      <c r="I911" s="36">
        <f>VLOOKUP($D911,系数辅助表!$C:$F,4,0)</f>
        <v>0.86321701919291904</v>
      </c>
      <c r="J911" s="2" t="s">
        <v>69</v>
      </c>
    </row>
    <row r="912" spans="2:10" x14ac:dyDescent="0.3">
      <c r="B912" s="47" t="s">
        <v>164</v>
      </c>
      <c r="C912" t="str">
        <f>VLOOKUP($B912,'标准费用表-2024年&amp;2025年优化'!$D:$E,2,0)</f>
        <v>正大畜牧(阜新)有限公司</v>
      </c>
      <c r="D912" t="s">
        <v>80</v>
      </c>
      <c r="E912" s="36">
        <f>IFERROR(VLOOKUP($B912,'标准费用表-2024年&amp;2025年优化'!$D:$K,8,0)*VLOOKUP("白条",系数辅助表!$C:$G,5,0)*VLOOKUP('5.成本表'!$D912,系数辅助表!$C:$G,5,0)/VLOOKUP('5.成本表'!$D912,系数辅助表!$C:$E,3,0),)</f>
        <v>0.281095606610129</v>
      </c>
      <c r="F912" s="36">
        <f>IFERROR(VLOOKUP($B912,'标准费用表-2024年&amp;2025年优化'!$D:$L,9,0)*VLOOKUP('5.成本表'!$D912,系数辅助表!$C:$G,5,0)/VLOOKUP($D912,系数辅助表!$C:$E,3,0),0)</f>
        <v>0</v>
      </c>
      <c r="I912" s="36">
        <f>VLOOKUP($D912,系数辅助表!$C:$F,4,0)</f>
        <v>0.796873928394225</v>
      </c>
      <c r="J912" s="2" t="s">
        <v>69</v>
      </c>
    </row>
    <row r="913" spans="2:10" x14ac:dyDescent="0.3">
      <c r="B913" s="47" t="s">
        <v>164</v>
      </c>
      <c r="C913" t="str">
        <f>VLOOKUP($B913,'标准费用表-2024年&amp;2025年优化'!$D:$E,2,0)</f>
        <v>正大畜牧(阜新)有限公司</v>
      </c>
      <c r="D913" t="s">
        <v>81</v>
      </c>
      <c r="E913" s="36">
        <f>IFERROR(VLOOKUP($B913,'标准费用表-2024年&amp;2025年优化'!$D:$K,8,0)*VLOOKUP("白条",系数辅助表!$C:$G,5,0)*VLOOKUP('5.成本表'!$D913,系数辅助表!$C:$G,5,0)/VLOOKUP('5.成本表'!$D913,系数辅助表!$C:$E,3,0),)</f>
        <v>0.38760246741363602</v>
      </c>
      <c r="F913" s="36">
        <f>IFERROR(VLOOKUP($B913,'标准费用表-2024年&amp;2025年优化'!$D:$L,9,0)*VLOOKUP('5.成本表'!$D913,系数辅助表!$C:$G,5,0)/VLOOKUP($D913,系数辅助表!$C:$E,3,0),0)</f>
        <v>0</v>
      </c>
      <c r="I913" s="36">
        <f>VLOOKUP($D913,系数辅助表!$C:$F,4,0)</f>
        <v>1.09880870991909</v>
      </c>
      <c r="J913" s="2" t="s">
        <v>69</v>
      </c>
    </row>
    <row r="914" spans="2:10" x14ac:dyDescent="0.3">
      <c r="B914" s="47" t="s">
        <v>164</v>
      </c>
      <c r="C914" t="str">
        <f>VLOOKUP($B914,'标准费用表-2024年&amp;2025年优化'!$D:$E,2,0)</f>
        <v>正大畜牧(阜新)有限公司</v>
      </c>
      <c r="D914" t="s">
        <v>82</v>
      </c>
      <c r="E914" s="36">
        <f>IFERROR(VLOOKUP($B914,'标准费用表-2024年&amp;2025年优化'!$D:$K,8,0)*VLOOKUP("白条",系数辅助表!$C:$G,5,0)*VLOOKUP('5.成本表'!$D914,系数辅助表!$C:$G,5,0)/VLOOKUP('5.成本表'!$D914,系数辅助表!$C:$E,3,0),)</f>
        <v>0.35316106594935798</v>
      </c>
      <c r="F914" s="36">
        <f>IFERROR(VLOOKUP($B914,'标准费用表-2024年&amp;2025年优化'!$D:$L,9,0)*VLOOKUP('5.成本表'!$D914,系数辅助表!$C:$G,5,0)/VLOOKUP($D914,系数辅助表!$C:$E,3,0),0)</f>
        <v>0</v>
      </c>
      <c r="I914" s="36">
        <f>VLOOKUP($D914,系数辅助表!$C:$F,4,0)</f>
        <v>1.0011712718416299</v>
      </c>
      <c r="J914" s="2" t="s">
        <v>69</v>
      </c>
    </row>
    <row r="915" spans="2:10" x14ac:dyDescent="0.3">
      <c r="B915" s="47" t="s">
        <v>164</v>
      </c>
      <c r="C915" t="str">
        <f>VLOOKUP($B915,'标准费用表-2024年&amp;2025年优化'!$D:$E,2,0)</f>
        <v>正大畜牧(阜新)有限公司</v>
      </c>
      <c r="D915" t="s">
        <v>83</v>
      </c>
      <c r="E915" s="36">
        <f>IFERROR(VLOOKUP($B915,'标准费用表-2024年&amp;2025年优化'!$D:$K,8,0)*VLOOKUP("白条",系数辅助表!$C:$G,5,0)*VLOOKUP('5.成本表'!$D915,系数辅助表!$C:$G,5,0)/VLOOKUP('5.成本表'!$D915,系数辅助表!$C:$E,3,0),)</f>
        <v>0.31759754978892302</v>
      </c>
      <c r="F915" s="36">
        <f>IFERROR(VLOOKUP($B915,'标准费用表-2024年&amp;2025年优化'!$D:$L,9,0)*VLOOKUP('5.成本表'!$D915,系数辅助表!$C:$G,5,0)/VLOOKUP($D915,系数辅助表!$C:$E,3,0),0)</f>
        <v>0</v>
      </c>
      <c r="I915" s="36">
        <f>VLOOKUP($D915,系数辅助表!$C:$F,4,0)</f>
        <v>0.90035276680685095</v>
      </c>
      <c r="J915" s="2" t="s">
        <v>69</v>
      </c>
    </row>
    <row r="916" spans="2:10" x14ac:dyDescent="0.3">
      <c r="B916" s="47" t="s">
        <v>164</v>
      </c>
      <c r="C916" t="str">
        <f>VLOOKUP($B916,'标准费用表-2024年&amp;2025年优化'!$D:$E,2,0)</f>
        <v>正大畜牧(阜新)有限公司</v>
      </c>
      <c r="D916" t="s">
        <v>84</v>
      </c>
      <c r="E916" s="36">
        <f>IFERROR(VLOOKUP($B916,'标准费用表-2024年&amp;2025年优化'!$D:$K,8,0)*VLOOKUP("白条",系数辅助表!$C:$G,5,0)*VLOOKUP('5.成本表'!$D916,系数辅助表!$C:$G,5,0)/VLOOKUP('5.成本表'!$D916,系数辅助表!$C:$E,3,0),)</f>
        <v>0.31900031740965501</v>
      </c>
      <c r="F916" s="36">
        <f>IFERROR(VLOOKUP($B916,'标准费用表-2024年&amp;2025年优化'!$D:$L,9,0)*VLOOKUP('5.成本表'!$D916,系数辅助表!$C:$G,5,0)/VLOOKUP($D916,系数辅助表!$C:$E,3,0),0)</f>
        <v>0</v>
      </c>
      <c r="I916" s="36">
        <f>VLOOKUP($D916,系数辅助表!$C:$F,4,0)</f>
        <v>0.90432945273957599</v>
      </c>
      <c r="J916" s="2" t="s">
        <v>69</v>
      </c>
    </row>
    <row r="917" spans="2:10" x14ac:dyDescent="0.3">
      <c r="B917" s="47" t="s">
        <v>164</v>
      </c>
      <c r="C917" t="str">
        <f>VLOOKUP($B917,'标准费用表-2024年&amp;2025年优化'!$D:$E,2,0)</f>
        <v>正大畜牧(阜新)有限公司</v>
      </c>
      <c r="D917" t="s">
        <v>85</v>
      </c>
      <c r="E917" s="36">
        <f>IFERROR(VLOOKUP($B917,'标准费用表-2024年&amp;2025年优化'!$D:$K,8,0)*VLOOKUP("白条",系数辅助表!$C:$G,5,0)*VLOOKUP('5.成本表'!$D917,系数辅助表!$C:$G,5,0)/VLOOKUP('5.成本表'!$D917,系数辅助表!$C:$E,3,0),)</f>
        <v>0.39662101207925299</v>
      </c>
      <c r="F917" s="36">
        <f>IFERROR(VLOOKUP($B917,'标准费用表-2024年&amp;2025年优化'!$D:$L,9,0)*VLOOKUP('5.成本表'!$D917,系数辅助表!$C:$G,5,0)/VLOOKUP($D917,系数辅助表!$C:$E,3,0),0)</f>
        <v>0</v>
      </c>
      <c r="I917" s="36">
        <f>VLOOKUP($D917,系数辅助表!$C:$F,4,0)</f>
        <v>1.12437525363977</v>
      </c>
      <c r="J917" s="2" t="s">
        <v>69</v>
      </c>
    </row>
    <row r="918" spans="2:10" x14ac:dyDescent="0.3">
      <c r="B918" s="47" t="s">
        <v>164</v>
      </c>
      <c r="C918" t="str">
        <f>VLOOKUP($B918,'标准费用表-2024年&amp;2025年优化'!$D:$E,2,0)</f>
        <v>正大畜牧(阜新)有限公司</v>
      </c>
      <c r="D918" t="s">
        <v>86</v>
      </c>
      <c r="E918" s="36">
        <f>IFERROR(VLOOKUP($B918,'标准费用表-2024年&amp;2025年优化'!$D:$K,8,0)*VLOOKUP("白条",系数辅助表!$C:$G,5,0)*VLOOKUP('5.成本表'!$D918,系数辅助表!$C:$G,5,0)/VLOOKUP('5.成本表'!$D918,系数辅助表!$C:$E,3,0),)</f>
        <v>0.34681203111077302</v>
      </c>
      <c r="F918" s="36">
        <f>IFERROR(VLOOKUP($B918,'标准费用表-2024年&amp;2025年优化'!$D:$L,9,0)*VLOOKUP('5.成本表'!$D918,系数辅助表!$C:$G,5,0)/VLOOKUP($D918,系数辅助表!$C:$E,3,0),0)</f>
        <v>0</v>
      </c>
      <c r="I918" s="36">
        <f>VLOOKUP($D918,系数辅助表!$C:$F,4,0)</f>
        <v>0.98317248347795105</v>
      </c>
      <c r="J918" s="2" t="s">
        <v>69</v>
      </c>
    </row>
    <row r="919" spans="2:10" x14ac:dyDescent="0.3">
      <c r="B919" s="47" t="s">
        <v>164</v>
      </c>
      <c r="C919" t="str">
        <f>VLOOKUP($B919,'标准费用表-2024年&amp;2025年优化'!$D:$E,2,0)</f>
        <v>正大畜牧(阜新)有限公司</v>
      </c>
      <c r="D919" t="s">
        <v>87</v>
      </c>
      <c r="E919" s="36">
        <f>IFERROR(VLOOKUP($B919,'标准费用表-2024年&amp;2025年优化'!$D:$K,8,0)*VLOOKUP("白条",系数辅助表!$C:$G,5,0)*VLOOKUP('5.成本表'!$D919,系数辅助表!$C:$G,5,0)/VLOOKUP('5.成本表'!$D919,系数辅助表!$C:$E,3,0),)</f>
        <v>0.25119344318039699</v>
      </c>
      <c r="F919" s="36">
        <f>IFERROR(VLOOKUP($B919,'标准费用表-2024年&amp;2025年优化'!$D:$L,9,0)*VLOOKUP('5.成本表'!$D919,系数辅助表!$C:$G,5,0)/VLOOKUP($D919,系数辅助表!$C:$E,3,0),0)</f>
        <v>0</v>
      </c>
      <c r="I919" s="36">
        <f>VLOOKUP($D919,系数辅助表!$C:$F,4,0)</f>
        <v>0.71210471151782795</v>
      </c>
      <c r="J919" s="2" t="s">
        <v>69</v>
      </c>
    </row>
    <row r="920" spans="2:10" x14ac:dyDescent="0.3">
      <c r="B920" s="47" t="s">
        <v>164</v>
      </c>
      <c r="C920" t="str">
        <f>VLOOKUP($B920,'标准费用表-2024年&amp;2025年优化'!$D:$E,2,0)</f>
        <v>正大畜牧(阜新)有限公司</v>
      </c>
      <c r="D920" t="s">
        <v>88</v>
      </c>
      <c r="E920" s="36">
        <f>IFERROR(VLOOKUP($B920,'标准费用表-2024年&amp;2025年优化'!$D:$K,8,0)*VLOOKUP("白条",系数辅助表!$C:$G,5,0)*VLOOKUP('5.成本表'!$D920,系数辅助表!$C:$G,5,0)/VLOOKUP('5.成本表'!$D920,系数辅助表!$C:$E,3,0),)</f>
        <v>0.948747654777643</v>
      </c>
      <c r="F920" s="36">
        <f>IFERROR(VLOOKUP($B920,'标准费用表-2024年&amp;2025年优化'!$D:$L,9,0)*VLOOKUP('5.成本表'!$D920,系数辅助表!$C:$G,5,0)/VLOOKUP($D920,系数辅助表!$C:$E,3,0),0)</f>
        <v>0</v>
      </c>
      <c r="I920" s="36">
        <f>VLOOKUP($D920,系数辅助表!$C:$F,4,0)</f>
        <v>2.6895912029178799</v>
      </c>
      <c r="J920" s="2" t="s">
        <v>69</v>
      </c>
    </row>
    <row r="921" spans="2:10" x14ac:dyDescent="0.3">
      <c r="B921" s="47" t="s">
        <v>164</v>
      </c>
      <c r="C921" t="str">
        <f>VLOOKUP($B921,'标准费用表-2024年&amp;2025年优化'!$D:$E,2,0)</f>
        <v>正大畜牧(阜新)有限公司</v>
      </c>
      <c r="D921" t="s">
        <v>89</v>
      </c>
      <c r="E921" s="36">
        <f>IFERROR(VLOOKUP($B921,'标准费用表-2024年&amp;2025年优化'!$D:$K,8,0)*VLOOKUP("白条",系数辅助表!$C:$G,5,0)*VLOOKUP('5.成本表'!$D921,系数辅助表!$C:$G,5,0)/VLOOKUP('5.成本表'!$D921,系数辅助表!$C:$E,3,0),)</f>
        <v>0.408051462536966</v>
      </c>
      <c r="F921" s="36">
        <f>IFERROR(VLOOKUP($B921,'标准费用表-2024年&amp;2025年优化'!$D:$L,9,0)*VLOOKUP('5.成本表'!$D921,系数辅助表!$C:$G,5,0)/VLOOKUP($D921,系数辅助表!$C:$E,3,0),0)</f>
        <v>0</v>
      </c>
      <c r="I921" s="36">
        <f>VLOOKUP($D921,系数辅助表!$C:$F,4,0)</f>
        <v>1.1567792747107399</v>
      </c>
      <c r="J921" s="2" t="s">
        <v>69</v>
      </c>
    </row>
    <row r="922" spans="2:10" x14ac:dyDescent="0.3">
      <c r="B922" s="47" t="s">
        <v>164</v>
      </c>
      <c r="C922" t="str">
        <f>VLOOKUP($B922,'标准费用表-2024年&amp;2025年优化'!$D:$E,2,0)</f>
        <v>正大畜牧(阜新)有限公司</v>
      </c>
      <c r="D922" t="s">
        <v>90</v>
      </c>
      <c r="E922" s="36">
        <f>IFERROR(VLOOKUP($B922,'标准费用表-2024年&amp;2025年优化'!$D:$K,8,0)*VLOOKUP("白条",系数辅助表!$C:$G,5,0)*VLOOKUP('5.成本表'!$D922,系数辅助表!$C:$G,5,0)/VLOOKUP('5.成本表'!$D922,系数辅助表!$C:$E,3,0),)</f>
        <v>0.25785109480198598</v>
      </c>
      <c r="F922" s="36">
        <f>IFERROR(VLOOKUP($B922,'标准费用表-2024年&amp;2025年优化'!$D:$L,9,0)*VLOOKUP('5.成本表'!$D922,系数辅助表!$C:$G,5,0)/VLOOKUP($D922,系数辅助表!$C:$E,3,0),0)</f>
        <v>0</v>
      </c>
      <c r="I922" s="36">
        <f>VLOOKUP($D922,系数辅助表!$C:$F,4,0)</f>
        <v>0.73097839320056501</v>
      </c>
      <c r="J922" s="2" t="s">
        <v>69</v>
      </c>
    </row>
    <row r="923" spans="2:10" x14ac:dyDescent="0.3">
      <c r="B923" s="47" t="s">
        <v>164</v>
      </c>
      <c r="C923" t="str">
        <f>VLOOKUP($B923,'标准费用表-2024年&amp;2025年优化'!$D:$E,2,0)</f>
        <v>正大畜牧(阜新)有限公司</v>
      </c>
      <c r="D923" t="s">
        <v>91</v>
      </c>
      <c r="E923" s="36">
        <f>IFERROR(VLOOKUP($B923,'标准费用表-2024年&amp;2025年优化'!$D:$K,8,0)*VLOOKUP("白条",系数辅助表!$C:$G,5,0)*VLOOKUP('5.成本表'!$D923,系数辅助表!$C:$G,5,0)/VLOOKUP('5.成本表'!$D923,系数辅助表!$C:$E,3,0),)</f>
        <v>0.21379859811233401</v>
      </c>
      <c r="F923" s="36">
        <f>IFERROR(VLOOKUP($B923,'标准费用表-2024年&amp;2025年优化'!$D:$L,9,0)*VLOOKUP('5.成本表'!$D923,系数辅助表!$C:$G,5,0)/VLOOKUP($D923,系数辅助表!$C:$E,3,0),0)</f>
        <v>0</v>
      </c>
      <c r="I923" s="36">
        <f>VLOOKUP($D923,系数辅助表!$C:$F,4,0)</f>
        <v>0.60609459826688905</v>
      </c>
      <c r="J923" s="2" t="s">
        <v>69</v>
      </c>
    </row>
    <row r="924" spans="2:10" x14ac:dyDescent="0.3">
      <c r="B924" s="47" t="s">
        <v>164</v>
      </c>
      <c r="C924" t="str">
        <f>VLOOKUP($B924,'标准费用表-2024年&amp;2025年优化'!$D:$E,2,0)</f>
        <v>正大畜牧(阜新)有限公司</v>
      </c>
      <c r="D924" t="s">
        <v>92</v>
      </c>
      <c r="E924" s="36">
        <f>IFERROR(VLOOKUP($B924,'标准费用表-2024年&amp;2025年优化'!$D:$K,8,0)*VLOOKUP("白条",系数辅助表!$C:$G,5,0)*VLOOKUP('5.成本表'!$D924,系数辅助表!$C:$G,5,0)/VLOOKUP('5.成本表'!$D924,系数辅助表!$C:$E,3,0),)</f>
        <v>8.4857361284847693E-2</v>
      </c>
      <c r="F924" s="36">
        <f>IFERROR(VLOOKUP($B924,'标准费用表-2024年&amp;2025年优化'!$D:$L,9,0)*VLOOKUP('5.成本表'!$D924,系数辅助表!$C:$G,5,0)/VLOOKUP($D924,系数辅助表!$C:$E,3,0),0)</f>
        <v>0</v>
      </c>
      <c r="I924" s="36">
        <f>VLOOKUP($D924,系数辅助表!$C:$F,4,0)</f>
        <v>0.24056092393508099</v>
      </c>
      <c r="J924" s="2" t="s">
        <v>69</v>
      </c>
    </row>
    <row r="925" spans="2:10" x14ac:dyDescent="0.3">
      <c r="B925" s="47" t="s">
        <v>164</v>
      </c>
      <c r="C925" t="str">
        <f>VLOOKUP($B925,'标准费用表-2024年&amp;2025年优化'!$D:$E,2,0)</f>
        <v>正大畜牧(阜新)有限公司</v>
      </c>
      <c r="D925" t="s">
        <v>93</v>
      </c>
      <c r="E925" s="36">
        <f>E901</f>
        <v>0.80426521716247201</v>
      </c>
      <c r="F925" s="36">
        <f>F901</f>
        <v>0</v>
      </c>
      <c r="G925">
        <v>0.2</v>
      </c>
      <c r="H925">
        <v>0.3</v>
      </c>
      <c r="J925" s="2" t="s">
        <v>69</v>
      </c>
    </row>
    <row r="926" spans="2:10" x14ac:dyDescent="0.3">
      <c r="B926" s="47" t="s">
        <v>164</v>
      </c>
      <c r="C926" t="str">
        <f>VLOOKUP($B926,'标准费用表-2024年&amp;2025年优化'!$D:$E,2,0)</f>
        <v>正大畜牧(阜新)有限公司</v>
      </c>
      <c r="D926" t="s">
        <v>96</v>
      </c>
      <c r="E926" s="36">
        <f t="shared" ref="E926:F926" si="328">E902</f>
        <v>0.53749020529569502</v>
      </c>
      <c r="F926" s="36">
        <f t="shared" si="328"/>
        <v>0</v>
      </c>
      <c r="G926">
        <v>0.2</v>
      </c>
      <c r="H926">
        <v>0.3</v>
      </c>
      <c r="J926" s="2" t="s">
        <v>69</v>
      </c>
    </row>
    <row r="927" spans="2:10" x14ac:dyDescent="0.3">
      <c r="B927" s="47" t="s">
        <v>164</v>
      </c>
      <c r="C927" t="str">
        <f>VLOOKUP($B927,'标准费用表-2024年&amp;2025年优化'!$D:$E,2,0)</f>
        <v>正大畜牧(阜新)有限公司</v>
      </c>
      <c r="D927" t="s">
        <v>97</v>
      </c>
      <c r="E927" s="36">
        <f t="shared" ref="E927:F927" si="329">E903</f>
        <v>1.4225110894080499</v>
      </c>
      <c r="F927" s="36">
        <f t="shared" si="329"/>
        <v>0</v>
      </c>
      <c r="G927">
        <v>0.2</v>
      </c>
      <c r="H927">
        <v>0.3</v>
      </c>
      <c r="J927" s="2" t="s">
        <v>69</v>
      </c>
    </row>
    <row r="928" spans="2:10" x14ac:dyDescent="0.3">
      <c r="B928" s="47" t="s">
        <v>164</v>
      </c>
      <c r="C928" t="str">
        <f>VLOOKUP($B928,'标准费用表-2024年&amp;2025年优化'!$D:$E,2,0)</f>
        <v>正大畜牧(阜新)有限公司</v>
      </c>
      <c r="D928" t="s">
        <v>98</v>
      </c>
      <c r="E928" s="36">
        <f t="shared" ref="E928:F928" si="330">E904</f>
        <v>0.82845665901326104</v>
      </c>
      <c r="F928" s="36">
        <f t="shared" si="330"/>
        <v>0</v>
      </c>
      <c r="G928">
        <v>0.2</v>
      </c>
      <c r="H928">
        <v>0.3</v>
      </c>
      <c r="J928" s="2" t="s">
        <v>69</v>
      </c>
    </row>
    <row r="929" spans="2:10" x14ac:dyDescent="0.3">
      <c r="B929" s="47" t="s">
        <v>164</v>
      </c>
      <c r="C929" t="str">
        <f>VLOOKUP($B929,'标准费用表-2024年&amp;2025年优化'!$D:$E,2,0)</f>
        <v>正大畜牧(阜新)有限公司</v>
      </c>
      <c r="D929" t="s">
        <v>99</v>
      </c>
      <c r="E929" s="36">
        <f t="shared" ref="E929:F929" si="331">E905</f>
        <v>0.49768387952034299</v>
      </c>
      <c r="F929" s="36">
        <f t="shared" si="331"/>
        <v>0</v>
      </c>
      <c r="G929">
        <v>0.2</v>
      </c>
      <c r="H929">
        <v>0.3</v>
      </c>
      <c r="J929" s="2" t="s">
        <v>69</v>
      </c>
    </row>
    <row r="930" spans="2:10" x14ac:dyDescent="0.3">
      <c r="B930" s="47" t="s">
        <v>164</v>
      </c>
      <c r="C930" t="str">
        <f>VLOOKUP($B930,'标准费用表-2024年&amp;2025年优化'!$D:$E,2,0)</f>
        <v>正大畜牧(阜新)有限公司</v>
      </c>
      <c r="D930" t="s">
        <v>100</v>
      </c>
      <c r="E930" s="36">
        <f t="shared" ref="E930:F930" si="332">E906</f>
        <v>0.67202083939602897</v>
      </c>
      <c r="F930" s="36">
        <f t="shared" si="332"/>
        <v>0</v>
      </c>
      <c r="G930">
        <v>0.2</v>
      </c>
      <c r="H930">
        <v>0.3</v>
      </c>
      <c r="J930" s="2" t="s">
        <v>69</v>
      </c>
    </row>
    <row r="931" spans="2:10" x14ac:dyDescent="0.3">
      <c r="B931" s="47" t="s">
        <v>164</v>
      </c>
      <c r="C931" t="str">
        <f>VLOOKUP($B931,'标准费用表-2024年&amp;2025年优化'!$D:$E,2,0)</f>
        <v>正大畜牧(阜新)有限公司</v>
      </c>
      <c r="D931" t="s">
        <v>101</v>
      </c>
      <c r="E931" s="36">
        <f t="shared" ref="E931:F931" si="333">E907</f>
        <v>0.50320050249818205</v>
      </c>
      <c r="F931" s="36">
        <f t="shared" si="333"/>
        <v>0</v>
      </c>
      <c r="G931">
        <v>0.2</v>
      </c>
      <c r="H931">
        <v>0.3</v>
      </c>
      <c r="J931" s="2" t="s">
        <v>69</v>
      </c>
    </row>
    <row r="932" spans="2:10" x14ac:dyDescent="0.3">
      <c r="B932" s="47" t="s">
        <v>164</v>
      </c>
      <c r="C932" t="str">
        <f>VLOOKUP($B932,'标准费用表-2024年&amp;2025年优化'!$D:$E,2,0)</f>
        <v>正大畜牧(阜新)有限公司</v>
      </c>
      <c r="D932" t="s">
        <v>102</v>
      </c>
      <c r="E932" s="36">
        <f t="shared" ref="E932:F932" si="334">E908</f>
        <v>0.51274820969618196</v>
      </c>
      <c r="F932" s="36">
        <f t="shared" si="334"/>
        <v>0</v>
      </c>
      <c r="G932">
        <v>0.2</v>
      </c>
      <c r="H932">
        <v>0.3</v>
      </c>
      <c r="J932" s="2" t="s">
        <v>69</v>
      </c>
    </row>
    <row r="933" spans="2:10" x14ac:dyDescent="0.3">
      <c r="B933" s="47" t="s">
        <v>164</v>
      </c>
      <c r="C933" t="str">
        <f>VLOOKUP($B933,'标准费用表-2024年&amp;2025年优化'!$D:$E,2,0)</f>
        <v>正大畜牧(阜新)有限公司</v>
      </c>
      <c r="D933" t="s">
        <v>103</v>
      </c>
      <c r="E933" s="36">
        <f t="shared" ref="E933:F933" si="335">E909</f>
        <v>0.50832317855509301</v>
      </c>
      <c r="F933" s="36">
        <f t="shared" si="335"/>
        <v>0</v>
      </c>
      <c r="G933">
        <v>0.2</v>
      </c>
      <c r="H933">
        <v>0.3</v>
      </c>
      <c r="J933" s="2" t="s">
        <v>69</v>
      </c>
    </row>
    <row r="934" spans="2:10" x14ac:dyDescent="0.3">
      <c r="B934" s="47" t="s">
        <v>164</v>
      </c>
      <c r="C934" t="str">
        <f>VLOOKUP($B934,'标准费用表-2024年&amp;2025年优化'!$D:$E,2,0)</f>
        <v>正大畜牧(阜新)有限公司</v>
      </c>
      <c r="D934" t="s">
        <v>104</v>
      </c>
      <c r="E934" s="36">
        <f t="shared" ref="E934:F934" si="336">E910</f>
        <v>0.43593736749621997</v>
      </c>
      <c r="F934" s="36">
        <f t="shared" si="336"/>
        <v>0</v>
      </c>
      <c r="G934">
        <v>0.2</v>
      </c>
      <c r="H934">
        <v>0.3</v>
      </c>
      <c r="J934" s="2" t="s">
        <v>69</v>
      </c>
    </row>
    <row r="935" spans="2:10" x14ac:dyDescent="0.3">
      <c r="B935" s="47" t="s">
        <v>164</v>
      </c>
      <c r="C935" t="str">
        <f>VLOOKUP($B935,'标准费用表-2024年&amp;2025年优化'!$D:$E,2,0)</f>
        <v>正大畜牧(阜新)有限公司</v>
      </c>
      <c r="D935" t="s">
        <v>105</v>
      </c>
      <c r="E935" s="36">
        <f t="shared" ref="E935:F935" si="337">E911</f>
        <v>0.304497992719094</v>
      </c>
      <c r="F935" s="36">
        <f t="shared" si="337"/>
        <v>0</v>
      </c>
      <c r="G935">
        <v>0.2</v>
      </c>
      <c r="H935">
        <v>0.3</v>
      </c>
      <c r="J935" s="2" t="s">
        <v>69</v>
      </c>
    </row>
    <row r="936" spans="2:10" x14ac:dyDescent="0.3">
      <c r="B936" s="47" t="s">
        <v>164</v>
      </c>
      <c r="C936" t="str">
        <f>VLOOKUP($B936,'标准费用表-2024年&amp;2025年优化'!$D:$E,2,0)</f>
        <v>正大畜牧(阜新)有限公司</v>
      </c>
      <c r="D936" t="s">
        <v>106</v>
      </c>
      <c r="E936" s="36">
        <f t="shared" ref="E936:F936" si="338">E912</f>
        <v>0.281095606610129</v>
      </c>
      <c r="F936" s="36">
        <f t="shared" si="338"/>
        <v>0</v>
      </c>
      <c r="G936">
        <v>0.2</v>
      </c>
      <c r="H936">
        <v>0.3</v>
      </c>
      <c r="J936" s="2" t="s">
        <v>69</v>
      </c>
    </row>
    <row r="937" spans="2:10" x14ac:dyDescent="0.3">
      <c r="B937" s="47" t="s">
        <v>164</v>
      </c>
      <c r="C937" t="str">
        <f>VLOOKUP($B937,'标准费用表-2024年&amp;2025年优化'!$D:$E,2,0)</f>
        <v>正大畜牧(阜新)有限公司</v>
      </c>
      <c r="D937" t="s">
        <v>107</v>
      </c>
      <c r="E937" s="36">
        <f t="shared" ref="E937:F937" si="339">E913</f>
        <v>0.38760246741363602</v>
      </c>
      <c r="F937" s="36">
        <f t="shared" si="339"/>
        <v>0</v>
      </c>
      <c r="G937">
        <v>0.2</v>
      </c>
      <c r="H937">
        <v>0.3</v>
      </c>
      <c r="J937" s="2" t="s">
        <v>69</v>
      </c>
    </row>
    <row r="938" spans="2:10" x14ac:dyDescent="0.3">
      <c r="B938" s="47" t="s">
        <v>164</v>
      </c>
      <c r="C938" t="str">
        <f>VLOOKUP($B938,'标准费用表-2024年&amp;2025年优化'!$D:$E,2,0)</f>
        <v>正大畜牧(阜新)有限公司</v>
      </c>
      <c r="D938" t="s">
        <v>108</v>
      </c>
      <c r="E938" s="36">
        <f t="shared" ref="E938:F938" si="340">E914</f>
        <v>0.35316106594935798</v>
      </c>
      <c r="F938" s="36">
        <f t="shared" si="340"/>
        <v>0</v>
      </c>
      <c r="G938">
        <v>0.2</v>
      </c>
      <c r="H938">
        <v>0.3</v>
      </c>
      <c r="J938" s="2" t="s">
        <v>69</v>
      </c>
    </row>
    <row r="939" spans="2:10" x14ac:dyDescent="0.3">
      <c r="B939" s="47" t="s">
        <v>164</v>
      </c>
      <c r="C939" t="str">
        <f>VLOOKUP($B939,'标准费用表-2024年&amp;2025年优化'!$D:$E,2,0)</f>
        <v>正大畜牧(阜新)有限公司</v>
      </c>
      <c r="D939" t="s">
        <v>109</v>
      </c>
      <c r="E939" s="36">
        <f t="shared" ref="E939:F939" si="341">E915</f>
        <v>0.31759754978892302</v>
      </c>
      <c r="F939" s="36">
        <f t="shared" si="341"/>
        <v>0</v>
      </c>
      <c r="G939">
        <v>0.2</v>
      </c>
      <c r="H939">
        <v>0.3</v>
      </c>
      <c r="J939" s="2" t="s">
        <v>69</v>
      </c>
    </row>
    <row r="940" spans="2:10" x14ac:dyDescent="0.3">
      <c r="B940" s="47" t="s">
        <v>164</v>
      </c>
      <c r="C940" t="str">
        <f>VLOOKUP($B940,'标准费用表-2024年&amp;2025年优化'!$D:$E,2,0)</f>
        <v>正大畜牧(阜新)有限公司</v>
      </c>
      <c r="D940" t="s">
        <v>110</v>
      </c>
      <c r="E940" s="36">
        <f t="shared" ref="E940:F940" si="342">E916</f>
        <v>0.31900031740965501</v>
      </c>
      <c r="F940" s="36">
        <f t="shared" si="342"/>
        <v>0</v>
      </c>
      <c r="G940">
        <v>0.2</v>
      </c>
      <c r="H940">
        <v>0.3</v>
      </c>
      <c r="J940" s="2" t="s">
        <v>69</v>
      </c>
    </row>
    <row r="941" spans="2:10" x14ac:dyDescent="0.3">
      <c r="B941" s="47" t="s">
        <v>164</v>
      </c>
      <c r="C941" t="str">
        <f>VLOOKUP($B941,'标准费用表-2024年&amp;2025年优化'!$D:$E,2,0)</f>
        <v>正大畜牧(阜新)有限公司</v>
      </c>
      <c r="D941" t="s">
        <v>111</v>
      </c>
      <c r="E941" s="36">
        <f t="shared" ref="E941:F941" si="343">E917</f>
        <v>0.39662101207925299</v>
      </c>
      <c r="F941" s="36">
        <f t="shared" si="343"/>
        <v>0</v>
      </c>
      <c r="G941">
        <v>0.2</v>
      </c>
      <c r="H941">
        <v>0.3</v>
      </c>
      <c r="J941" s="2" t="s">
        <v>69</v>
      </c>
    </row>
    <row r="942" spans="2:10" x14ac:dyDescent="0.3">
      <c r="B942" s="47" t="s">
        <v>164</v>
      </c>
      <c r="C942" t="str">
        <f>VLOOKUP($B942,'标准费用表-2024年&amp;2025年优化'!$D:$E,2,0)</f>
        <v>正大畜牧(阜新)有限公司</v>
      </c>
      <c r="D942" t="s">
        <v>112</v>
      </c>
      <c r="E942" s="36">
        <f t="shared" ref="E942:F942" si="344">E918</f>
        <v>0.34681203111077302</v>
      </c>
      <c r="F942" s="36">
        <f t="shared" si="344"/>
        <v>0</v>
      </c>
      <c r="G942">
        <v>0.2</v>
      </c>
      <c r="H942">
        <v>0.3</v>
      </c>
      <c r="J942" s="2" t="s">
        <v>69</v>
      </c>
    </row>
    <row r="943" spans="2:10" x14ac:dyDescent="0.3">
      <c r="B943" s="47" t="s">
        <v>164</v>
      </c>
      <c r="C943" t="str">
        <f>VLOOKUP($B943,'标准费用表-2024年&amp;2025年优化'!$D:$E,2,0)</f>
        <v>正大畜牧(阜新)有限公司</v>
      </c>
      <c r="D943" t="s">
        <v>113</v>
      </c>
      <c r="E943" s="36">
        <f t="shared" ref="E943:F943" si="345">E919</f>
        <v>0.25119344318039699</v>
      </c>
      <c r="F943" s="36">
        <f t="shared" si="345"/>
        <v>0</v>
      </c>
      <c r="G943">
        <v>0.2</v>
      </c>
      <c r="H943">
        <v>0.3</v>
      </c>
      <c r="J943" s="2" t="s">
        <v>69</v>
      </c>
    </row>
    <row r="944" spans="2:10" x14ac:dyDescent="0.3">
      <c r="B944" s="47" t="s">
        <v>164</v>
      </c>
      <c r="C944" t="str">
        <f>VLOOKUP($B944,'标准费用表-2024年&amp;2025年优化'!$D:$E,2,0)</f>
        <v>正大畜牧(阜新)有限公司</v>
      </c>
      <c r="D944" t="s">
        <v>114</v>
      </c>
      <c r="E944" s="36">
        <f t="shared" ref="E944:F944" si="346">E920</f>
        <v>0.948747654777643</v>
      </c>
      <c r="F944" s="36">
        <f t="shared" si="346"/>
        <v>0</v>
      </c>
      <c r="G944">
        <v>0.2</v>
      </c>
      <c r="H944">
        <v>0.3</v>
      </c>
      <c r="J944" s="2" t="s">
        <v>69</v>
      </c>
    </row>
    <row r="945" spans="2:10" x14ac:dyDescent="0.3">
      <c r="B945" s="47" t="s">
        <v>164</v>
      </c>
      <c r="C945" t="str">
        <f>VLOOKUP($B945,'标准费用表-2024年&amp;2025年优化'!$D:$E,2,0)</f>
        <v>正大畜牧(阜新)有限公司</v>
      </c>
      <c r="D945" t="s">
        <v>115</v>
      </c>
      <c r="E945" s="36">
        <f t="shared" ref="E945:F945" si="347">E921</f>
        <v>0.408051462536966</v>
      </c>
      <c r="F945" s="36">
        <f t="shared" si="347"/>
        <v>0</v>
      </c>
      <c r="G945">
        <v>0.2</v>
      </c>
      <c r="H945">
        <v>0.3</v>
      </c>
      <c r="J945" s="2" t="s">
        <v>69</v>
      </c>
    </row>
    <row r="946" spans="2:10" x14ac:dyDescent="0.3">
      <c r="B946" s="47" t="s">
        <v>164</v>
      </c>
      <c r="C946" t="str">
        <f>VLOOKUP($B946,'标准费用表-2024年&amp;2025年优化'!$D:$E,2,0)</f>
        <v>正大畜牧(阜新)有限公司</v>
      </c>
      <c r="D946" t="s">
        <v>116</v>
      </c>
      <c r="E946" s="36">
        <f t="shared" ref="E946:F946" si="348">E922</f>
        <v>0.25785109480198598</v>
      </c>
      <c r="F946" s="36">
        <f t="shared" si="348"/>
        <v>0</v>
      </c>
      <c r="G946">
        <v>0.2</v>
      </c>
      <c r="H946">
        <v>0.3</v>
      </c>
      <c r="J946" s="2" t="s">
        <v>69</v>
      </c>
    </row>
    <row r="947" spans="2:10" x14ac:dyDescent="0.3">
      <c r="B947" s="47" t="s">
        <v>164</v>
      </c>
      <c r="C947" t="str">
        <f>VLOOKUP($B947,'标准费用表-2024年&amp;2025年优化'!$D:$E,2,0)</f>
        <v>正大畜牧(阜新)有限公司</v>
      </c>
      <c r="D947" t="s">
        <v>117</v>
      </c>
      <c r="E947" s="36">
        <f t="shared" ref="E947:F947" si="349">E923</f>
        <v>0.21379859811233401</v>
      </c>
      <c r="F947" s="36">
        <f t="shared" si="349"/>
        <v>0</v>
      </c>
      <c r="G947">
        <v>0.2</v>
      </c>
      <c r="H947">
        <v>0.3</v>
      </c>
      <c r="J947" s="2" t="s">
        <v>69</v>
      </c>
    </row>
    <row r="948" spans="2:10" x14ac:dyDescent="0.3">
      <c r="B948" s="47" t="s">
        <v>164</v>
      </c>
      <c r="C948" t="str">
        <f>VLOOKUP($B948,'标准费用表-2024年&amp;2025年优化'!$D:$E,2,0)</f>
        <v>正大畜牧(阜新)有限公司</v>
      </c>
      <c r="D948" t="s">
        <v>118</v>
      </c>
      <c r="E948" s="36">
        <f t="shared" ref="E948:F948" si="350">E924</f>
        <v>8.4857361284847693E-2</v>
      </c>
      <c r="F948" s="36">
        <f t="shared" si="350"/>
        <v>0</v>
      </c>
      <c r="G948">
        <v>0.2</v>
      </c>
      <c r="H948">
        <v>0.3</v>
      </c>
      <c r="J948" s="2" t="s">
        <v>69</v>
      </c>
    </row>
    <row r="949" spans="2:10" x14ac:dyDescent="0.3">
      <c r="B949" s="47" t="s">
        <v>164</v>
      </c>
      <c r="C949" t="str">
        <f>VLOOKUP($B949,'标准费用表-2024年&amp;2025年优化'!$D:$E,2,0)</f>
        <v>正大畜牧(阜新)有限公司</v>
      </c>
      <c r="D949" t="s">
        <v>119</v>
      </c>
      <c r="E949" s="36">
        <f>E877</f>
        <v>0.30690696100032</v>
      </c>
      <c r="F949" s="36">
        <f t="shared" ref="F949" si="351">F925</f>
        <v>0</v>
      </c>
      <c r="G949">
        <v>0.2</v>
      </c>
      <c r="H949">
        <v>0.3</v>
      </c>
      <c r="J949" s="2" t="s">
        <v>69</v>
      </c>
    </row>
    <row r="950" spans="2:10" x14ac:dyDescent="0.3">
      <c r="B950" s="47" t="s">
        <v>164</v>
      </c>
      <c r="C950" t="str">
        <f>VLOOKUP($B950,'标准费用表-2024年&amp;2025年优化'!$D:$E,2,0)</f>
        <v>正大畜牧(阜新)有限公司</v>
      </c>
      <c r="D950" t="s">
        <v>120</v>
      </c>
      <c r="E950" s="36">
        <f t="shared" ref="E950:E972" si="352">E878</f>
        <v>0.82024678947017604</v>
      </c>
      <c r="F950" s="36">
        <f t="shared" ref="F950" si="353">F926</f>
        <v>0</v>
      </c>
      <c r="G950">
        <v>0.2</v>
      </c>
      <c r="H950">
        <v>0.3</v>
      </c>
      <c r="J950" s="2" t="s">
        <v>69</v>
      </c>
    </row>
    <row r="951" spans="2:10" x14ac:dyDescent="0.3">
      <c r="B951" s="47" t="s">
        <v>164</v>
      </c>
      <c r="C951" t="str">
        <f>VLOOKUP($B951,'标准费用表-2024年&amp;2025年优化'!$D:$E,2,0)</f>
        <v>正大畜牧(阜新)有限公司</v>
      </c>
      <c r="D951" t="s">
        <v>121</v>
      </c>
      <c r="E951" s="36">
        <f t="shared" si="352"/>
        <v>1.51818984040919</v>
      </c>
      <c r="F951" s="36">
        <f t="shared" ref="F951" si="354">F927</f>
        <v>0</v>
      </c>
      <c r="G951">
        <v>0.2</v>
      </c>
      <c r="H951">
        <v>0.3</v>
      </c>
      <c r="J951" s="2" t="s">
        <v>69</v>
      </c>
    </row>
    <row r="952" spans="2:10" x14ac:dyDescent="0.3">
      <c r="B952" s="47" t="s">
        <v>164</v>
      </c>
      <c r="C952" t="str">
        <f>VLOOKUP($B952,'标准费用表-2024年&amp;2025年优化'!$D:$E,2,0)</f>
        <v>正大畜牧(阜新)有限公司</v>
      </c>
      <c r="D952" t="s">
        <v>122</v>
      </c>
      <c r="E952" s="36">
        <f t="shared" si="352"/>
        <v>0.31905533470210401</v>
      </c>
      <c r="F952" s="36">
        <f t="shared" ref="F952" si="355">F928</f>
        <v>0</v>
      </c>
      <c r="G952">
        <v>0.2</v>
      </c>
      <c r="H952">
        <v>0.3</v>
      </c>
      <c r="J952" s="2" t="s">
        <v>69</v>
      </c>
    </row>
    <row r="953" spans="2:10" x14ac:dyDescent="0.3">
      <c r="B953" s="47" t="s">
        <v>164</v>
      </c>
      <c r="C953" t="str">
        <f>VLOOKUP($B953,'标准费用表-2024年&amp;2025年优化'!$D:$E,2,0)</f>
        <v>正大畜牧(阜新)有限公司</v>
      </c>
      <c r="D953" t="s">
        <v>123</v>
      </c>
      <c r="E953" s="36">
        <f t="shared" si="352"/>
        <v>0.14085480518004301</v>
      </c>
      <c r="F953" s="36">
        <f t="shared" ref="F953" si="356">F929</f>
        <v>0</v>
      </c>
      <c r="G953">
        <v>0.2</v>
      </c>
      <c r="H953">
        <v>0.3</v>
      </c>
      <c r="J953" s="2" t="s">
        <v>69</v>
      </c>
    </row>
    <row r="954" spans="2:10" x14ac:dyDescent="0.3">
      <c r="B954" s="47" t="s">
        <v>164</v>
      </c>
      <c r="C954" t="str">
        <f>VLOOKUP($B954,'标准费用表-2024年&amp;2025年优化'!$D:$E,2,0)</f>
        <v>正大畜牧(阜新)有限公司</v>
      </c>
      <c r="D954" t="s">
        <v>124</v>
      </c>
      <c r="E954" s="36">
        <f t="shared" si="352"/>
        <v>0.43592693492426199</v>
      </c>
      <c r="F954" s="36">
        <f t="shared" ref="F954" si="357">F930</f>
        <v>0</v>
      </c>
      <c r="G954">
        <v>0.2</v>
      </c>
      <c r="H954">
        <v>0.3</v>
      </c>
      <c r="J954" s="2" t="s">
        <v>69</v>
      </c>
    </row>
    <row r="955" spans="2:10" x14ac:dyDescent="0.3">
      <c r="B955" s="47" t="s">
        <v>164</v>
      </c>
      <c r="C955" t="str">
        <f>VLOOKUP($B955,'标准费用表-2024年&amp;2025年优化'!$D:$E,2,0)</f>
        <v>正大畜牧(阜新)有限公司</v>
      </c>
      <c r="D955" t="s">
        <v>125</v>
      </c>
      <c r="E955" s="36">
        <f t="shared" si="352"/>
        <v>0.72011719246996597</v>
      </c>
      <c r="F955" s="36">
        <f t="shared" ref="F955" si="358">F931</f>
        <v>0</v>
      </c>
      <c r="G955">
        <v>0.2</v>
      </c>
      <c r="H955">
        <v>0.3</v>
      </c>
      <c r="J955" s="2" t="s">
        <v>69</v>
      </c>
    </row>
    <row r="956" spans="2:10" x14ac:dyDescent="0.3">
      <c r="B956" s="47" t="s">
        <v>164</v>
      </c>
      <c r="C956" t="str">
        <f>VLOOKUP($B956,'标准费用表-2024年&amp;2025年优化'!$D:$E,2,0)</f>
        <v>正大畜牧(阜新)有限公司</v>
      </c>
      <c r="D956" t="s">
        <v>126</v>
      </c>
      <c r="E956" s="36">
        <f t="shared" si="352"/>
        <v>1.04463432771848</v>
      </c>
      <c r="F956" s="36">
        <f t="shared" ref="F956" si="359">F932</f>
        <v>0</v>
      </c>
      <c r="G956">
        <v>0.2</v>
      </c>
      <c r="H956">
        <v>0.3</v>
      </c>
      <c r="J956" s="2" t="s">
        <v>69</v>
      </c>
    </row>
    <row r="957" spans="2:10" x14ac:dyDescent="0.3">
      <c r="B957" s="47" t="s">
        <v>164</v>
      </c>
      <c r="C957" t="str">
        <f>VLOOKUP($B957,'标准费用表-2024年&amp;2025年优化'!$D:$E,2,0)</f>
        <v>正大畜牧(阜新)有限公司</v>
      </c>
      <c r="D957" t="s">
        <v>127</v>
      </c>
      <c r="E957" s="36">
        <f t="shared" si="352"/>
        <v>0.61032017955928897</v>
      </c>
      <c r="F957" s="36">
        <f t="shared" ref="F957" si="360">F933</f>
        <v>0</v>
      </c>
      <c r="G957">
        <v>0.2</v>
      </c>
      <c r="H957">
        <v>0.3</v>
      </c>
      <c r="J957" s="2" t="s">
        <v>69</v>
      </c>
    </row>
    <row r="958" spans="2:10" x14ac:dyDescent="0.3">
      <c r="B958" s="47" t="s">
        <v>164</v>
      </c>
      <c r="C958" t="str">
        <f>VLOOKUP($B958,'标准费用表-2024年&amp;2025年优化'!$D:$E,2,0)</f>
        <v>正大畜牧(阜新)有限公司</v>
      </c>
      <c r="D958" t="s">
        <v>128</v>
      </c>
      <c r="E958" s="36">
        <f t="shared" si="352"/>
        <v>0.56049366023448699</v>
      </c>
      <c r="F958" s="36">
        <f t="shared" ref="F958" si="361">F934</f>
        <v>0</v>
      </c>
      <c r="G958">
        <v>0.2</v>
      </c>
      <c r="H958">
        <v>0.3</v>
      </c>
      <c r="J958" s="2" t="s">
        <v>69</v>
      </c>
    </row>
    <row r="959" spans="2:10" x14ac:dyDescent="0.3">
      <c r="B959" s="47" t="s">
        <v>164</v>
      </c>
      <c r="C959" t="str">
        <f>VLOOKUP($B959,'标准费用表-2024年&amp;2025年优化'!$D:$E,2,0)</f>
        <v>正大畜牧(阜新)有限公司</v>
      </c>
      <c r="D959" t="s">
        <v>129</v>
      </c>
      <c r="E959" s="36">
        <f t="shared" si="352"/>
        <v>0.71602602759837597</v>
      </c>
      <c r="F959" s="36">
        <f t="shared" ref="F959" si="362">F935</f>
        <v>0</v>
      </c>
      <c r="G959">
        <v>0.2</v>
      </c>
      <c r="H959">
        <v>0.3</v>
      </c>
      <c r="J959" s="2" t="s">
        <v>69</v>
      </c>
    </row>
    <row r="960" spans="2:10" x14ac:dyDescent="0.3">
      <c r="B960" s="47" t="s">
        <v>164</v>
      </c>
      <c r="C960" t="str">
        <f>VLOOKUP($B960,'标准费用表-2024年&amp;2025年优化'!$D:$E,2,0)</f>
        <v>正大畜牧(阜新)有限公司</v>
      </c>
      <c r="D960" t="s">
        <v>130</v>
      </c>
      <c r="E960" s="36">
        <f t="shared" si="352"/>
        <v>1.24537720758116</v>
      </c>
      <c r="F960" s="36">
        <f t="shared" ref="F960" si="363">F936</f>
        <v>0</v>
      </c>
      <c r="G960">
        <v>0.2</v>
      </c>
      <c r="H960">
        <v>0.3</v>
      </c>
      <c r="J960" s="2" t="s">
        <v>69</v>
      </c>
    </row>
    <row r="961" spans="2:10" x14ac:dyDescent="0.3">
      <c r="B961" s="47" t="s">
        <v>164</v>
      </c>
      <c r="C961" t="str">
        <f>VLOOKUP($B961,'标准费用表-2024年&amp;2025年优化'!$D:$E,2,0)</f>
        <v>正大畜牧(阜新)有限公司</v>
      </c>
      <c r="D961" t="s">
        <v>131</v>
      </c>
      <c r="E961" s="36">
        <f t="shared" si="352"/>
        <v>0.212032343682346</v>
      </c>
      <c r="F961" s="36">
        <f t="shared" ref="F961" si="364">F937</f>
        <v>0</v>
      </c>
      <c r="G961">
        <v>0.2</v>
      </c>
      <c r="H961">
        <v>0.3</v>
      </c>
      <c r="J961" s="2" t="s">
        <v>69</v>
      </c>
    </row>
    <row r="962" spans="2:10" x14ac:dyDescent="0.3">
      <c r="B962" s="47" t="s">
        <v>164</v>
      </c>
      <c r="C962" t="str">
        <f>VLOOKUP($B962,'标准费用表-2024年&amp;2025年优化'!$D:$E,2,0)</f>
        <v>正大畜牧(阜新)有限公司</v>
      </c>
      <c r="D962" t="s">
        <v>132</v>
      </c>
      <c r="E962" s="36">
        <f t="shared" si="352"/>
        <v>4.9091275648294998E-2</v>
      </c>
      <c r="F962" s="36">
        <f t="shared" ref="F962" si="365">F938</f>
        <v>0</v>
      </c>
      <c r="G962">
        <v>0.2</v>
      </c>
      <c r="H962">
        <v>0.3</v>
      </c>
      <c r="J962" s="2" t="s">
        <v>69</v>
      </c>
    </row>
    <row r="963" spans="2:10" x14ac:dyDescent="0.3">
      <c r="B963" s="47" t="s">
        <v>164</v>
      </c>
      <c r="C963" t="str">
        <f>VLOOKUP($B963,'标准费用表-2024年&amp;2025年优化'!$D:$E,2,0)</f>
        <v>正大畜牧(阜新)有限公司</v>
      </c>
      <c r="D963" t="s">
        <v>133</v>
      </c>
      <c r="E963" s="36">
        <f t="shared" si="352"/>
        <v>0.26337997322161399</v>
      </c>
      <c r="F963" s="36">
        <f t="shared" ref="F963" si="366">F939</f>
        <v>0</v>
      </c>
      <c r="G963">
        <v>0.2</v>
      </c>
      <c r="H963">
        <v>0.3</v>
      </c>
      <c r="J963" s="2" t="s">
        <v>69</v>
      </c>
    </row>
    <row r="964" spans="2:10" x14ac:dyDescent="0.3">
      <c r="B964" s="47" t="s">
        <v>164</v>
      </c>
      <c r="C964" t="str">
        <f>VLOOKUP($B964,'标准费用表-2024年&amp;2025年优化'!$D:$E,2,0)</f>
        <v>正大畜牧(阜新)有限公司</v>
      </c>
      <c r="D964" t="s">
        <v>134</v>
      </c>
      <c r="E964" s="36">
        <f t="shared" si="352"/>
        <v>0.17227219042837799</v>
      </c>
      <c r="F964" s="36">
        <f t="shared" ref="F964" si="367">F940</f>
        <v>0</v>
      </c>
      <c r="G964">
        <v>0.2</v>
      </c>
      <c r="H964">
        <v>0.3</v>
      </c>
      <c r="J964" s="2" t="s">
        <v>69</v>
      </c>
    </row>
    <row r="965" spans="2:10" x14ac:dyDescent="0.3">
      <c r="B965" s="47" t="s">
        <v>164</v>
      </c>
      <c r="C965" t="str">
        <f>VLOOKUP($B965,'标准费用表-2024年&amp;2025年优化'!$D:$E,2,0)</f>
        <v>正大畜牧(阜新)有限公司</v>
      </c>
      <c r="D965" t="s">
        <v>135</v>
      </c>
      <c r="E965" s="36">
        <f t="shared" si="352"/>
        <v>0.114184211807816</v>
      </c>
      <c r="F965" s="36">
        <f t="shared" ref="F965" si="368">F941</f>
        <v>0</v>
      </c>
      <c r="G965">
        <v>0.2</v>
      </c>
      <c r="H965">
        <v>0.3</v>
      </c>
      <c r="J965" s="2" t="s">
        <v>69</v>
      </c>
    </row>
    <row r="966" spans="2:10" x14ac:dyDescent="0.3">
      <c r="B966" s="47" t="s">
        <v>164</v>
      </c>
      <c r="C966" t="str">
        <f>VLOOKUP($B966,'标准费用表-2024年&amp;2025年优化'!$D:$E,2,0)</f>
        <v>正大畜牧(阜新)有限公司</v>
      </c>
      <c r="D966" t="s">
        <v>136</v>
      </c>
      <c r="E966" s="36">
        <f t="shared" si="352"/>
        <v>1.9714156536918499E-2</v>
      </c>
      <c r="F966" s="36">
        <f t="shared" ref="F966" si="369">F942</f>
        <v>0</v>
      </c>
      <c r="G966">
        <v>0.2</v>
      </c>
      <c r="H966">
        <v>0.3</v>
      </c>
      <c r="J966" s="2" t="s">
        <v>69</v>
      </c>
    </row>
    <row r="967" spans="2:10" x14ac:dyDescent="0.3">
      <c r="B967" s="47" t="s">
        <v>164</v>
      </c>
      <c r="C967" t="str">
        <f>VLOOKUP($B967,'标准费用表-2024年&amp;2025年优化'!$D:$E,2,0)</f>
        <v>正大畜牧(阜新)有限公司</v>
      </c>
      <c r="D967" t="s">
        <v>137</v>
      </c>
      <c r="E967" s="36">
        <f t="shared" si="352"/>
        <v>0.103168267946345</v>
      </c>
      <c r="F967" s="36">
        <f t="shared" ref="F967" si="370">F943</f>
        <v>0</v>
      </c>
      <c r="G967">
        <v>0.2</v>
      </c>
      <c r="H967">
        <v>0.3</v>
      </c>
      <c r="J967" s="2" t="s">
        <v>69</v>
      </c>
    </row>
    <row r="968" spans="2:10" x14ac:dyDescent="0.3">
      <c r="B968" s="47" t="s">
        <v>164</v>
      </c>
      <c r="C968" t="str">
        <f>VLOOKUP($B968,'标准费用表-2024年&amp;2025年优化'!$D:$E,2,0)</f>
        <v>正大畜牧(阜新)有限公司</v>
      </c>
      <c r="D968" t="s">
        <v>138</v>
      </c>
      <c r="E968" s="36">
        <f t="shared" si="352"/>
        <v>9.4670578148302403E-2</v>
      </c>
      <c r="F968" s="36">
        <f t="shared" ref="F968" si="371">F944</f>
        <v>0</v>
      </c>
      <c r="G968">
        <v>0.2</v>
      </c>
      <c r="H968">
        <v>0.3</v>
      </c>
      <c r="J968" s="2" t="s">
        <v>69</v>
      </c>
    </row>
    <row r="969" spans="2:10" x14ac:dyDescent="0.3">
      <c r="B969" s="47" t="s">
        <v>164</v>
      </c>
      <c r="C969" t="str">
        <f>VLOOKUP($B969,'标准费用表-2024年&amp;2025年优化'!$D:$E,2,0)</f>
        <v>正大畜牧(阜新)有限公司</v>
      </c>
      <c r="D969" t="s">
        <v>139</v>
      </c>
      <c r="E969" s="36">
        <f t="shared" si="352"/>
        <v>0.33120606005171599</v>
      </c>
      <c r="F969" s="36">
        <f t="shared" ref="F969" si="372">F945</f>
        <v>0</v>
      </c>
      <c r="G969">
        <v>0.2</v>
      </c>
      <c r="H969">
        <v>0.3</v>
      </c>
      <c r="J969" s="2" t="s">
        <v>69</v>
      </c>
    </row>
    <row r="970" spans="2:10" x14ac:dyDescent="0.3">
      <c r="B970" s="47" t="s">
        <v>164</v>
      </c>
      <c r="C970" t="str">
        <f>VLOOKUP($B970,'标准费用表-2024年&amp;2025年优化'!$D:$E,2,0)</f>
        <v>正大畜牧(阜新)有限公司</v>
      </c>
      <c r="D970" t="s">
        <v>140</v>
      </c>
      <c r="E970" s="36">
        <f t="shared" si="352"/>
        <v>0.38793172395925102</v>
      </c>
      <c r="F970" s="36">
        <f t="shared" ref="F970" si="373">F946</f>
        <v>0</v>
      </c>
      <c r="G970">
        <v>0.2</v>
      </c>
      <c r="H970">
        <v>0.3</v>
      </c>
      <c r="J970" s="2" t="s">
        <v>69</v>
      </c>
    </row>
    <row r="971" spans="2:10" x14ac:dyDescent="0.3">
      <c r="B971" s="47" t="s">
        <v>164</v>
      </c>
      <c r="C971" t="str">
        <f>VLOOKUP($B971,'标准费用表-2024年&amp;2025年优化'!$D:$E,2,0)</f>
        <v>正大畜牧(阜新)有限公司</v>
      </c>
      <c r="D971" t="s">
        <v>141</v>
      </c>
      <c r="E971" s="36">
        <f t="shared" si="352"/>
        <v>0.110925932357738</v>
      </c>
      <c r="F971" s="36">
        <f t="shared" ref="F971" si="374">F947</f>
        <v>0</v>
      </c>
      <c r="G971">
        <v>0.2</v>
      </c>
      <c r="H971">
        <v>0.3</v>
      </c>
      <c r="J971" s="2" t="s">
        <v>69</v>
      </c>
    </row>
    <row r="972" spans="2:10" x14ac:dyDescent="0.3">
      <c r="B972" s="47" t="s">
        <v>164</v>
      </c>
      <c r="C972" t="str">
        <f>VLOOKUP($B972,'标准费用表-2024年&amp;2025年优化'!$D:$E,2,0)</f>
        <v>正大畜牧(阜新)有限公司</v>
      </c>
      <c r="D972" t="s">
        <v>142</v>
      </c>
      <c r="E972" s="36">
        <f t="shared" si="352"/>
        <v>3.3003455154212102E-2</v>
      </c>
      <c r="F972" s="36">
        <f t="shared" ref="F972" si="375">F948</f>
        <v>0</v>
      </c>
      <c r="G972">
        <v>0.2</v>
      </c>
      <c r="H972">
        <v>0.3</v>
      </c>
      <c r="J972" s="2" t="s">
        <v>69</v>
      </c>
    </row>
    <row r="973" spans="2:10" x14ac:dyDescent="0.3">
      <c r="B973" s="47" t="s">
        <v>166</v>
      </c>
      <c r="C973" t="str">
        <f>VLOOKUP($B973,'标准费用表-2024年&amp;2025年优化'!$D:$E,2,0)</f>
        <v>吉林中新正大食品有限公司</v>
      </c>
      <c r="D973" t="s">
        <v>41</v>
      </c>
      <c r="E973" s="46">
        <f>IFERROR(VLOOKUP($B973,'标准费用表-2024年&amp;2025年优化'!$D:$K,8,0)*VLOOKUP('5.成本表'!$D973,系数辅助表!$C:$G,5,0)/VLOOKUP($D973,系数辅助表!$C:$E,3,0),0)</f>
        <v>0.47549030715573298</v>
      </c>
      <c r="I973" s="36">
        <f>VLOOKUP($D973,系数辅助表!$C:$F,4,0)</f>
        <v>1.33</v>
      </c>
      <c r="J973" s="2" t="s">
        <v>41</v>
      </c>
    </row>
    <row r="974" spans="2:10" x14ac:dyDescent="0.3">
      <c r="B974" s="47" t="s">
        <v>166</v>
      </c>
      <c r="C974" t="str">
        <f>VLOOKUP($B974,'标准费用表-2024年&amp;2025年优化'!$D:$E,2,0)</f>
        <v>吉林中新正大食品有限公司</v>
      </c>
      <c r="D974" t="s">
        <v>44</v>
      </c>
      <c r="E974" s="46">
        <f>IFERROR(VLOOKUP($B974,'标准费用表-2024年&amp;2025年优化'!$D:$K,8,0)*系数辅助表!$J$6*VLOOKUP('5.成本表'!$D974,系数辅助表!$C:$G,5,0)/VLOOKUP($D974,系数辅助表!$C:$E,3,0),0)</f>
        <v>0.27195260414376099</v>
      </c>
      <c r="I974" s="36">
        <f>VLOOKUP($D974,系数辅助表!$C:$F,4,0)</f>
        <v>0.789027855994753</v>
      </c>
      <c r="J974" s="2" t="s">
        <v>200</v>
      </c>
    </row>
    <row r="975" spans="2:10" x14ac:dyDescent="0.3">
      <c r="B975" s="47" t="s">
        <v>166</v>
      </c>
      <c r="C975" t="str">
        <f>VLOOKUP($B975,'标准费用表-2024年&amp;2025年优化'!$D:$E,2,0)</f>
        <v>吉林中新正大食品有限公司</v>
      </c>
      <c r="D975" t="s">
        <v>45</v>
      </c>
      <c r="E975" s="46">
        <f>IFERROR(VLOOKUP($B975,'标准费用表-2024年&amp;2025年优化'!$D:$K,8,0)*系数辅助表!$J$6*VLOOKUP('5.成本表'!$D975,系数辅助表!$C:$G,5,0)/VLOOKUP($D975,系数辅助表!$C:$E,3,0),0)</f>
        <v>0.72682695012819198</v>
      </c>
      <c r="I975" s="36">
        <f>VLOOKUP($D975,系数辅助表!$C:$F,4,0)</f>
        <v>2.1087744754070901</v>
      </c>
      <c r="J975" s="2" t="s">
        <v>200</v>
      </c>
    </row>
    <row r="976" spans="2:10" x14ac:dyDescent="0.3">
      <c r="B976" s="47" t="s">
        <v>166</v>
      </c>
      <c r="C976" t="str">
        <f>VLOOKUP($B976,'标准费用表-2024年&amp;2025年优化'!$D:$E,2,0)</f>
        <v>吉林中新正大食品有限公司</v>
      </c>
      <c r="D976" t="s">
        <v>46</v>
      </c>
      <c r="E976" s="46">
        <f>IFERROR(VLOOKUP($B976,'标准费用表-2024年&amp;2025年优化'!$D:$K,8,0)*系数辅助表!$J$6*VLOOKUP('5.成本表'!$D976,系数辅助表!$C:$G,5,0)/VLOOKUP($D976,系数辅助表!$C:$E,3,0),0)</f>
        <v>1.34527962265232</v>
      </c>
      <c r="I976" s="36">
        <f>VLOOKUP($D976,系数辅助表!$C:$F,4,0)</f>
        <v>3.9031179705625099</v>
      </c>
      <c r="J976" s="2" t="s">
        <v>200</v>
      </c>
    </row>
    <row r="977" spans="2:10" x14ac:dyDescent="0.3">
      <c r="B977" s="47" t="s">
        <v>166</v>
      </c>
      <c r="C977" t="str">
        <f>VLOOKUP($B977,'标准费用表-2024年&amp;2025年优化'!$D:$E,2,0)</f>
        <v>吉林中新正大食品有限公司</v>
      </c>
      <c r="D977" t="s">
        <v>47</v>
      </c>
      <c r="E977" s="46">
        <f>IFERROR(VLOOKUP($B977,'标准费用表-2024年&amp;2025年优化'!$D:$K,8,0)*系数辅助表!$J$6*VLOOKUP('5.成本表'!$D977,系数辅助表!$C:$G,5,0)/VLOOKUP($D977,系数辅助表!$C:$E,3,0),0)</f>
        <v>0.28271737094326199</v>
      </c>
      <c r="I977" s="36">
        <f>VLOOKUP($D977,系数辅助表!$C:$F,4,0)</f>
        <v>0.82026013963048305</v>
      </c>
      <c r="J977" s="2" t="s">
        <v>200</v>
      </c>
    </row>
    <row r="978" spans="2:10" x14ac:dyDescent="0.3">
      <c r="B978" s="47" t="s">
        <v>166</v>
      </c>
      <c r="C978" t="str">
        <f>VLOOKUP($B978,'标准费用表-2024年&amp;2025年优化'!$D:$E,2,0)</f>
        <v>吉林中新正大食品有限公司</v>
      </c>
      <c r="D978" t="s">
        <v>48</v>
      </c>
      <c r="E978" s="46">
        <f>IFERROR(VLOOKUP($B978,'标准费用表-2024年&amp;2025年优化'!$D:$K,8,0)*系数辅助表!$J$6*VLOOKUP('5.成本表'!$D978,系数辅助表!$C:$G,5,0)/VLOOKUP($D978,系数辅助表!$C:$E,3,0),0)</f>
        <v>0.12481251956626301</v>
      </c>
      <c r="I978" s="36">
        <f>VLOOKUP($D978,系数辅助表!$C:$F,4,0)</f>
        <v>0.36212396283071502</v>
      </c>
      <c r="J978" s="2" t="s">
        <v>200</v>
      </c>
    </row>
    <row r="979" spans="2:10" x14ac:dyDescent="0.3">
      <c r="B979" s="47" t="s">
        <v>166</v>
      </c>
      <c r="C979" t="str">
        <f>VLOOKUP($B979,'标准费用表-2024年&amp;2025年优化'!$D:$E,2,0)</f>
        <v>吉林中新正大食品有限公司</v>
      </c>
      <c r="D979" t="s">
        <v>49</v>
      </c>
      <c r="E979" s="46">
        <f>IFERROR(VLOOKUP($B979,'标准费用表-2024年&amp;2025年优化'!$D:$K,8,0)*系数辅助表!$J$6*VLOOKUP('5.成本表'!$D979,系数辅助表!$C:$G,5,0)/VLOOKUP($D979,系数辅助表!$C:$E,3,0),0)</f>
        <v>0.38627818926836799</v>
      </c>
      <c r="I979" s="36">
        <f>VLOOKUP($D979,系数辅助表!$C:$F,4,0)</f>
        <v>1.1207256222295201</v>
      </c>
      <c r="J979" s="2" t="s">
        <v>200</v>
      </c>
    </row>
    <row r="980" spans="2:10" x14ac:dyDescent="0.3">
      <c r="B980" s="47" t="s">
        <v>166</v>
      </c>
      <c r="C980" t="str">
        <f>VLOOKUP($B980,'标准费用表-2024年&amp;2025年优化'!$D:$E,2,0)</f>
        <v>吉林中新正大食品有限公司</v>
      </c>
      <c r="D980" t="s">
        <v>50</v>
      </c>
      <c r="E980" s="46">
        <f>IFERROR(VLOOKUP($B980,'标准费用表-2024年&amp;2025年优化'!$D:$K,8,0)*系数辅助表!$J$6*VLOOKUP('5.成本表'!$D980,系数辅助表!$C:$G,5,0)/VLOOKUP($D980,系数辅助表!$C:$E,3,0),0)</f>
        <v>0.63810134883417502</v>
      </c>
      <c r="I980" s="36">
        <f>VLOOKUP($D980,系数辅助表!$C:$F,4,0)</f>
        <v>1.8513510498021799</v>
      </c>
      <c r="J980" s="2" t="s">
        <v>200</v>
      </c>
    </row>
    <row r="981" spans="2:10" x14ac:dyDescent="0.3">
      <c r="B981" s="47" t="s">
        <v>166</v>
      </c>
      <c r="C981" t="str">
        <f>VLOOKUP($B981,'标准费用表-2024年&amp;2025年优化'!$D:$E,2,0)</f>
        <v>吉林中新正大食品有限公司</v>
      </c>
      <c r="D981" t="s">
        <v>51</v>
      </c>
      <c r="E981" s="46">
        <f>IFERROR(VLOOKUP($B981,'标准费用表-2024年&amp;2025年优化'!$D:$K,8,0)*系数辅助表!$J$6*VLOOKUP('5.成本表'!$D981,系数辅助表!$C:$G,5,0)/VLOOKUP($D981,系数辅助表!$C:$E,3,0),0)</f>
        <v>0.92565846299169696</v>
      </c>
      <c r="I981" s="36">
        <f>VLOOKUP($D981,系数辅助表!$C:$F,4,0)</f>
        <v>2.68565294580391</v>
      </c>
      <c r="J981" s="2" t="s">
        <v>200</v>
      </c>
    </row>
    <row r="982" spans="2:10" x14ac:dyDescent="0.3">
      <c r="B982" s="47" t="s">
        <v>166</v>
      </c>
      <c r="C982" t="str">
        <f>VLOOKUP($B982,'标准费用表-2024年&amp;2025年优化'!$D:$E,2,0)</f>
        <v>吉林中新正大食品有限公司</v>
      </c>
      <c r="D982" t="s">
        <v>52</v>
      </c>
      <c r="E982" s="46">
        <f>IFERROR(VLOOKUP($B982,'标准费用表-2024年&amp;2025年优化'!$D:$K,8,0)*系数辅助表!$J$6*VLOOKUP('5.成本表'!$D982,系数辅助表!$C:$G,5,0)/VLOOKUP($D982,系数辅助表!$C:$E,3,0),0)</f>
        <v>0.54080937640402305</v>
      </c>
      <c r="I982" s="36">
        <f>VLOOKUP($D982,系数辅助表!$C:$F,4,0)</f>
        <v>1.5690736410097099</v>
      </c>
      <c r="J982" s="2" t="s">
        <v>200</v>
      </c>
    </row>
    <row r="983" spans="2:10" x14ac:dyDescent="0.3">
      <c r="B983" s="47" t="s">
        <v>166</v>
      </c>
      <c r="C983" t="str">
        <f>VLOOKUP($B983,'标准费用表-2024年&amp;2025年优化'!$D:$E,2,0)</f>
        <v>吉林中新正大食品有限公司</v>
      </c>
      <c r="D983" t="s">
        <v>53</v>
      </c>
      <c r="E983" s="46">
        <f>IFERROR(VLOOKUP($B983,'标准费用表-2024年&amp;2025年优化'!$D:$K,8,0)*系数辅助表!$J$6*VLOOKUP('5.成本表'!$D983,系数辅助表!$C:$G,5,0)/VLOOKUP($D983,系数辅助表!$C:$E,3,0),0)</f>
        <v>0.49665771675566101</v>
      </c>
      <c r="I983" s="36">
        <f>VLOOKUP($D983,系数辅助表!$C:$F,4,0)</f>
        <v>1.44097452072131</v>
      </c>
      <c r="J983" s="2" t="s">
        <v>200</v>
      </c>
    </row>
    <row r="984" spans="2:10" x14ac:dyDescent="0.3">
      <c r="B984" s="47" t="s">
        <v>166</v>
      </c>
      <c r="C984" t="str">
        <f>VLOOKUP($B984,'标准费用表-2024年&amp;2025年优化'!$D:$E,2,0)</f>
        <v>吉林中新正大食品有限公司</v>
      </c>
      <c r="D984" t="s">
        <v>54</v>
      </c>
      <c r="E984" s="46">
        <f>IFERROR(VLOOKUP($B984,'标准费用表-2024年&amp;2025年优化'!$D:$K,8,0)*系数辅助表!$J$6*VLOOKUP('5.成本表'!$D984,系数辅助表!$C:$G,5,0)/VLOOKUP($D984,系数辅助表!$C:$E,3,0),0)</f>
        <v>0.63447613636853495</v>
      </c>
      <c r="I984" s="36">
        <f>VLOOKUP($D984,系数辅助表!$C:$F,4,0)</f>
        <v>1.8408330640366199</v>
      </c>
      <c r="J984" s="2" t="s">
        <v>200</v>
      </c>
    </row>
    <row r="985" spans="2:10" x14ac:dyDescent="0.3">
      <c r="B985" s="47" t="s">
        <v>166</v>
      </c>
      <c r="C985" t="str">
        <f>VLOOKUP($B985,'标准费用表-2024年&amp;2025年优化'!$D:$E,2,0)</f>
        <v>吉林中新正大食品有限公司</v>
      </c>
      <c r="D985" t="s">
        <v>55</v>
      </c>
      <c r="E985" s="46">
        <f>IFERROR(VLOOKUP($B985,'标准费用表-2024年&amp;2025年优化'!$D:$K,8,0)*系数辅助表!$J$6*VLOOKUP('5.成本表'!$D985,系数辅助表!$C:$G,5,0)/VLOOKUP($D985,系数辅助表!$C:$E,3,0),0)</f>
        <v>1.10353826331958</v>
      </c>
      <c r="I985" s="36">
        <f>VLOOKUP($D985,系数辅助表!$C:$F,4,0)</f>
        <v>3.2017433061789502</v>
      </c>
      <c r="J985" s="2" t="s">
        <v>200</v>
      </c>
    </row>
    <row r="986" spans="2:10" x14ac:dyDescent="0.3">
      <c r="B986" s="47" t="s">
        <v>166</v>
      </c>
      <c r="C986" t="str">
        <f>VLOOKUP($B986,'标准费用表-2024年&amp;2025年优化'!$D:$E,2,0)</f>
        <v>吉林中新正大食品有限公司</v>
      </c>
      <c r="D986" t="s">
        <v>56</v>
      </c>
      <c r="E986" s="46">
        <f>IFERROR(VLOOKUP($B986,'标准费用表-2024年&amp;2025年优化'!$D:$K,8,0)*系数辅助表!$J$6*VLOOKUP('5.成本表'!$D986,系数辅助表!$C:$G,5,0)/VLOOKUP($D986,系数辅助表!$C:$E,3,0),0)</f>
        <v>0.187883480515318</v>
      </c>
      <c r="I986" s="36">
        <f>VLOOKUP($D986,系数辅助表!$C:$F,4,0)</f>
        <v>0.54511447049599404</v>
      </c>
      <c r="J986" s="2" t="s">
        <v>200</v>
      </c>
    </row>
    <row r="987" spans="2:10" x14ac:dyDescent="0.3">
      <c r="B987" s="47" t="s">
        <v>166</v>
      </c>
      <c r="C987" t="str">
        <f>VLOOKUP($B987,'标准费用表-2024年&amp;2025年优化'!$D:$E,2,0)</f>
        <v>吉林中新正大食品有限公司</v>
      </c>
      <c r="D987" t="s">
        <v>57</v>
      </c>
      <c r="E987" s="46">
        <f>IFERROR(VLOOKUP($B987,'标准费用表-2024年&amp;2025年优化'!$D:$K,8,0)*系数辅助表!$J$6*VLOOKUP('5.成本表'!$D987,系数辅助表!$C:$G,5,0)/VLOOKUP($D987,系数辅助表!$C:$E,3,0),0)</f>
        <v>4.3500154606396002E-2</v>
      </c>
      <c r="I987" s="36">
        <f>VLOOKUP($D987,系数辅助表!$C:$F,4,0)</f>
        <v>0.126208880523832</v>
      </c>
      <c r="J987" s="2" t="s">
        <v>200</v>
      </c>
    </row>
    <row r="988" spans="2:10" x14ac:dyDescent="0.3">
      <c r="B988" s="47" t="s">
        <v>166</v>
      </c>
      <c r="C988" t="str">
        <f>VLOOKUP($B988,'标准费用表-2024年&amp;2025年优化'!$D:$E,2,0)</f>
        <v>吉林中新正大食品有限公司</v>
      </c>
      <c r="D988" t="s">
        <v>58</v>
      </c>
      <c r="E988" s="46">
        <f>IFERROR(VLOOKUP($B988,'标准费用表-2024年&amp;2025年优化'!$D:$K,8,0)*系数辅助表!$J$6*VLOOKUP('5.成本表'!$D988,系数辅助表!$C:$G,5,0)/VLOOKUP($D988,系数辅助表!$C:$E,3,0),0)</f>
        <v>0.233383007552108</v>
      </c>
      <c r="I988" s="36">
        <f>VLOOKUP($D988,系数辅助表!$C:$F,4,0)</f>
        <v>0.67712421675176204</v>
      </c>
      <c r="J988" s="2" t="s">
        <v>200</v>
      </c>
    </row>
    <row r="989" spans="2:10" x14ac:dyDescent="0.3">
      <c r="B989" s="47" t="s">
        <v>166</v>
      </c>
      <c r="C989" t="str">
        <f>VLOOKUP($B989,'标准费用表-2024年&amp;2025年优化'!$D:$E,2,0)</f>
        <v>吉林中新正大食品有限公司</v>
      </c>
      <c r="D989" t="s">
        <v>59</v>
      </c>
      <c r="E989" s="46">
        <f>IFERROR(VLOOKUP($B989,'标准费用表-2024年&amp;2025年优化'!$D:$K,8,0)*系数辅助表!$J$6*VLOOKUP('5.成本表'!$D989,系数辅助表!$C:$G,5,0)/VLOOKUP($D989,系数辅助表!$C:$E,3,0),0)</f>
        <v>0.152651704789774</v>
      </c>
      <c r="I989" s="36">
        <f>VLOOKUP($D989,系数辅助表!$C:$F,4,0)</f>
        <v>0.44289499533730498</v>
      </c>
      <c r="J989" s="2" t="s">
        <v>200</v>
      </c>
    </row>
    <row r="990" spans="2:10" x14ac:dyDescent="0.3">
      <c r="B990" s="47" t="s">
        <v>166</v>
      </c>
      <c r="C990" t="str">
        <f>VLOOKUP($B990,'标准费用表-2024年&amp;2025年优化'!$D:$E,2,0)</f>
        <v>吉林中新正大食品有限公司</v>
      </c>
      <c r="D990" t="s">
        <v>60</v>
      </c>
      <c r="E990" s="46">
        <f>IFERROR(VLOOKUP($B990,'标准费用表-2024年&amp;2025年优化'!$D:$K,8,0)*系数辅助表!$J$6*VLOOKUP('5.成本表'!$D990,系数辅助表!$C:$G,5,0)/VLOOKUP($D990,系数辅助表!$C:$E,3,0),0)</f>
        <v>0.10117950290872001</v>
      </c>
      <c r="I990" s="36">
        <f>VLOOKUP($D990,系数辅助表!$C:$F,4,0)</f>
        <v>0.29355646915769201</v>
      </c>
      <c r="J990" s="2" t="s">
        <v>200</v>
      </c>
    </row>
    <row r="991" spans="2:10" x14ac:dyDescent="0.3">
      <c r="B991" s="47" t="s">
        <v>166</v>
      </c>
      <c r="C991" t="str">
        <f>VLOOKUP($B991,'标准费用表-2024年&amp;2025年优化'!$D:$E,2,0)</f>
        <v>吉林中新正大食品有限公司</v>
      </c>
      <c r="D991" t="s">
        <v>61</v>
      </c>
      <c r="E991" s="46">
        <f>IFERROR(VLOOKUP($B991,'标准费用表-2024年&amp;2025年优化'!$D:$K,8,0)*系数辅助表!$J$6*VLOOKUP('5.成本表'!$D991,系数辅助表!$C:$G,5,0)/VLOOKUP($D991,系数辅助表!$C:$E,3,0),0)</f>
        <v>1.7468864802669501E-2</v>
      </c>
      <c r="I991" s="36">
        <f>VLOOKUP($D991,系数辅助表!$C:$F,4,0)</f>
        <v>5.0683173214352499E-2</v>
      </c>
      <c r="J991" s="2" t="s">
        <v>200</v>
      </c>
    </row>
    <row r="992" spans="2:10" x14ac:dyDescent="0.3">
      <c r="B992" s="47" t="s">
        <v>166</v>
      </c>
      <c r="C992" t="str">
        <f>VLOOKUP($B992,'标准费用表-2024年&amp;2025年优化'!$D:$E,2,0)</f>
        <v>吉林中新正大食品有限公司</v>
      </c>
      <c r="D992" t="s">
        <v>62</v>
      </c>
      <c r="E992" s="46">
        <f>IFERROR(VLOOKUP($B992,'标准费用表-2024年&amp;2025年优化'!$D:$K,8,0)*系数辅助表!$J$6*VLOOKUP('5.成本表'!$D992,系数辅助表!$C:$G,5,0)/VLOOKUP($D992,系数辅助表!$C:$E,3,0),0)</f>
        <v>9.1418190847031802E-2</v>
      </c>
      <c r="I992" s="36">
        <f>VLOOKUP($D992,系数辅助表!$C:$F,4,0)</f>
        <v>0.26523555216563399</v>
      </c>
      <c r="J992" s="2" t="s">
        <v>200</v>
      </c>
    </row>
    <row r="993" spans="2:10" x14ac:dyDescent="0.3">
      <c r="B993" s="47" t="s">
        <v>166</v>
      </c>
      <c r="C993" t="str">
        <f>VLOOKUP($B993,'标准费用表-2024年&amp;2025年优化'!$D:$E,2,0)</f>
        <v>吉林中新正大食品有限公司</v>
      </c>
      <c r="D993" t="s">
        <v>63</v>
      </c>
      <c r="E993" s="46">
        <f>IFERROR(VLOOKUP($B993,'标准费用表-2024年&amp;2025年优化'!$D:$K,8,0)*系数辅助表!$J$6*VLOOKUP('5.成本表'!$D993,系数辅助表!$C:$G,5,0)/VLOOKUP($D993,系数辅助表!$C:$E,3,0),0)</f>
        <v>8.3888322960519304E-2</v>
      </c>
      <c r="I993" s="36">
        <f>VLOOKUP($D993,系数辅助表!$C:$F,4,0)</f>
        <v>0.24338882069886</v>
      </c>
      <c r="J993" s="2" t="s">
        <v>200</v>
      </c>
    </row>
    <row r="994" spans="2:10" x14ac:dyDescent="0.3">
      <c r="B994" s="47" t="s">
        <v>166</v>
      </c>
      <c r="C994" t="str">
        <f>VLOOKUP($B994,'标准费用表-2024年&amp;2025年优化'!$D:$E,2,0)</f>
        <v>吉林中新正大食品有限公司</v>
      </c>
      <c r="D994" t="s">
        <v>64</v>
      </c>
      <c r="E994" s="46">
        <f>IFERROR(VLOOKUP($B994,'标准费用表-2024年&amp;2025年优化'!$D:$K,8,0)*系数辅助表!$J$6*VLOOKUP('5.成本表'!$D994,系数辅助表!$C:$G,5,0)/VLOOKUP($D994,系数辅助表!$C:$E,3,0),0)</f>
        <v>0.293484221555879</v>
      </c>
      <c r="I994" s="36">
        <f>VLOOKUP($D994,系数辅助表!$C:$F,4,0)</f>
        <v>0.85149846912336002</v>
      </c>
      <c r="J994" s="2" t="s">
        <v>200</v>
      </c>
    </row>
    <row r="995" spans="2:10" x14ac:dyDescent="0.3">
      <c r="B995" s="47" t="s">
        <v>166</v>
      </c>
      <c r="C995" t="str">
        <f>VLOOKUP($B995,'标准费用表-2024年&amp;2025年优化'!$D:$E,2,0)</f>
        <v>吉林中新正大食品有限公司</v>
      </c>
      <c r="D995" t="s">
        <v>65</v>
      </c>
      <c r="E995" s="46">
        <f>IFERROR(VLOOKUP($B995,'标准费用表-2024年&amp;2025年优化'!$D:$K,8,0)*系数辅助表!$J$6*VLOOKUP('5.成本表'!$D995,系数辅助表!$C:$G,5,0)/VLOOKUP($D995,系数辅助表!$C:$E,3,0),0)</f>
        <v>0.34374926595616501</v>
      </c>
      <c r="I995" s="36">
        <f>VLOOKUP($D995,系数辅助表!$C:$F,4,0)</f>
        <v>0.99733461707829196</v>
      </c>
      <c r="J995" s="2" t="s">
        <v>200</v>
      </c>
    </row>
    <row r="996" spans="2:10" x14ac:dyDescent="0.3">
      <c r="B996" s="47" t="s">
        <v>166</v>
      </c>
      <c r="C996" t="str">
        <f>VLOOKUP($B996,'标准费用表-2024年&amp;2025年优化'!$D:$E,2,0)</f>
        <v>吉林中新正大食品有限公司</v>
      </c>
      <c r="D996" t="s">
        <v>66</v>
      </c>
      <c r="E996" s="46">
        <f>IFERROR(VLOOKUP($B996,'标准费用表-2024年&amp;2025年优化'!$D:$K,8,0)*系数辅助表!$J$6*VLOOKUP('5.成本表'!$D996,系数辅助表!$C:$G,5,0)/VLOOKUP($D996,系数辅助表!$C:$E,3,0),0)</f>
        <v>9.8292316581669301E-2</v>
      </c>
      <c r="I996" s="36">
        <f>VLOOKUP($D996,系数辅助表!$C:$F,4,0)</f>
        <v>0.28517975055754302</v>
      </c>
      <c r="J996" s="2" t="s">
        <v>200</v>
      </c>
    </row>
    <row r="997" spans="2:10" x14ac:dyDescent="0.3">
      <c r="B997" s="47" t="s">
        <v>166</v>
      </c>
      <c r="C997" t="str">
        <f>VLOOKUP($B997,'标准费用表-2024年&amp;2025年优化'!$D:$E,2,0)</f>
        <v>吉林中新正大食品有限公司</v>
      </c>
      <c r="D997" t="s">
        <v>67</v>
      </c>
      <c r="E997" s="46">
        <f>IFERROR(VLOOKUP($B997,'标准费用表-2024年&amp;2025年优化'!$D:$K,8,0)*系数辅助表!$J$6*VLOOKUP('5.成本表'!$D997,系数辅助表!$C:$G,5,0)/VLOOKUP($D997,系数辅助表!$C:$E,3,0),0)</f>
        <v>2.9244613891049799E-2</v>
      </c>
      <c r="I997" s="36">
        <f>VLOOKUP($D997,系数辅助表!$C:$F,4,0)</f>
        <v>8.4848663503333893E-2</v>
      </c>
      <c r="J997" s="2" t="s">
        <v>200</v>
      </c>
    </row>
    <row r="998" spans="2:10" x14ac:dyDescent="0.3">
      <c r="B998" s="47" t="s">
        <v>166</v>
      </c>
      <c r="C998" t="str">
        <f>VLOOKUP($B998,'标准费用表-2024年&amp;2025年优化'!$D:$E,2,0)</f>
        <v>吉林中新正大食品有限公司</v>
      </c>
      <c r="D998" t="s">
        <v>68</v>
      </c>
      <c r="E998" s="36">
        <f>IFERROR(VLOOKUP($B998,'标准费用表-2024年&amp;2025年优化'!$D:$K,8,0)*VLOOKUP("白条",系数辅助表!$C:$G,5,0)*VLOOKUP('5.成本表'!$D998,系数辅助表!$C:$G,5,0)/VLOOKUP('5.成本表'!$D998,系数辅助表!$C:$E,3,0),)</f>
        <v>0.71266555674295795</v>
      </c>
      <c r="F998" s="36">
        <f>IFERROR(VLOOKUP($B998,'标准费用表-2024年&amp;2025年优化'!$D:$L,9,0)*VLOOKUP('5.成本表'!$D998,系数辅助表!$C:$G,5,0)/VLOOKUP($D998,系数辅助表!$C:$E,3,0),0)</f>
        <v>0</v>
      </c>
      <c r="I998" s="36">
        <f>VLOOKUP($D998,系数辅助表!$C:$F,4,0)</f>
        <v>2.2799999999999998</v>
      </c>
      <c r="J998" s="2" t="s">
        <v>69</v>
      </c>
    </row>
    <row r="999" spans="2:10" x14ac:dyDescent="0.3">
      <c r="B999" s="47" t="s">
        <v>166</v>
      </c>
      <c r="C999" t="str">
        <f>VLOOKUP($B999,'标准费用表-2024年&amp;2025年优化'!$D:$E,2,0)</f>
        <v>吉林中新正大食品有限公司</v>
      </c>
      <c r="D999" t="s">
        <v>70</v>
      </c>
      <c r="E999" s="36">
        <f>IFERROR(VLOOKUP($B999,'标准费用表-2024年&amp;2025年优化'!$D:$K,8,0)*VLOOKUP("白条",系数辅助表!$C:$G,5,0)*VLOOKUP('5.成本表'!$D999,系数辅助表!$C:$G,5,0)/VLOOKUP('5.成本表'!$D999,系数辅助表!$C:$E,3,0),)</f>
        <v>0.47627417949564499</v>
      </c>
      <c r="F999" s="36">
        <f>IFERROR(VLOOKUP($B999,'标准费用表-2024年&amp;2025年优化'!$D:$L,9,0)*VLOOKUP('5.成本表'!$D999,系数辅助表!$C:$G,5,0)/VLOOKUP($D999,系数辅助表!$C:$E,3,0),0)</f>
        <v>0</v>
      </c>
      <c r="I999" s="36">
        <f>VLOOKUP($D999,系数辅助表!$C:$F,4,0)</f>
        <v>1.5237233215154999</v>
      </c>
      <c r="J999" s="2" t="s">
        <v>69</v>
      </c>
    </row>
    <row r="1000" spans="2:10" x14ac:dyDescent="0.3">
      <c r="B1000" s="47" t="s">
        <v>166</v>
      </c>
      <c r="C1000" t="str">
        <f>VLOOKUP($B1000,'标准费用表-2024年&amp;2025年优化'!$D:$E,2,0)</f>
        <v>吉林中新正大食品有限公司</v>
      </c>
      <c r="D1000" t="s">
        <v>71</v>
      </c>
      <c r="E1000" s="36">
        <f>IFERROR(VLOOKUP($B1000,'标准费用表-2024年&amp;2025年优化'!$D:$K,8,0)*VLOOKUP("白条",系数辅助表!$C:$G,5,0)*VLOOKUP('5.成本表'!$D1000,系数辅助表!$C:$G,5,0)/VLOOKUP('5.成本表'!$D1000,系数辅助表!$C:$E,3,0),)</f>
        <v>1.2604979500204201</v>
      </c>
      <c r="F1000" s="36">
        <f>IFERROR(VLOOKUP($B1000,'标准费用表-2024年&amp;2025年优化'!$D:$L,9,0)*VLOOKUP('5.成本表'!$D1000,系数辅助表!$C:$G,5,0)/VLOOKUP($D1000,系数辅助表!$C:$E,3,0),0)</f>
        <v>0</v>
      </c>
      <c r="I1000" s="36">
        <f>VLOOKUP($D1000,系数辅助表!$C:$F,4,0)</f>
        <v>4.0326564106466396</v>
      </c>
      <c r="J1000" s="2" t="s">
        <v>69</v>
      </c>
    </row>
    <row r="1001" spans="2:10" x14ac:dyDescent="0.3">
      <c r="B1001" s="47" t="s">
        <v>166</v>
      </c>
      <c r="C1001" t="str">
        <f>VLOOKUP($B1001,'标准费用表-2024年&amp;2025年优化'!$D:$E,2,0)</f>
        <v>吉林中新正大食品有限公司</v>
      </c>
      <c r="D1001" t="s">
        <v>72</v>
      </c>
      <c r="E1001" s="36">
        <f>IFERROR(VLOOKUP($B1001,'标准费用表-2024年&amp;2025年优化'!$D:$K,8,0)*VLOOKUP("白条",系数辅助表!$C:$G,5,0)*VLOOKUP('5.成本表'!$D1001,系数辅助表!$C:$G,5,0)/VLOOKUP('5.成本表'!$D1001,系数辅助表!$C:$E,3,0),)</f>
        <v>0.73410177828668399</v>
      </c>
      <c r="F1001" s="36">
        <f>IFERROR(VLOOKUP($B1001,'标准费用表-2024年&amp;2025年优化'!$D:$L,9,0)*VLOOKUP('5.成本表'!$D1001,系数辅助表!$C:$G,5,0)/VLOOKUP($D1001,系数辅助表!$C:$E,3,0),0)</f>
        <v>0</v>
      </c>
      <c r="I1001" s="36">
        <f>VLOOKUP($D1001,系数辅助表!$C:$F,4,0)</f>
        <v>2.34857997367385</v>
      </c>
      <c r="J1001" s="2" t="s">
        <v>69</v>
      </c>
    </row>
    <row r="1002" spans="2:10" x14ac:dyDescent="0.3">
      <c r="B1002" s="47" t="s">
        <v>166</v>
      </c>
      <c r="C1002" t="str">
        <f>VLOOKUP($B1002,'标准费用表-2024年&amp;2025年优化'!$D:$E,2,0)</f>
        <v>吉林中新正大食品有限公司</v>
      </c>
      <c r="D1002" t="s">
        <v>73</v>
      </c>
      <c r="E1002" s="36">
        <f>IFERROR(VLOOKUP($B1002,'标准费用表-2024年&amp;2025年优化'!$D:$K,8,0)*VLOOKUP("白条",系数辅助表!$C:$G,5,0)*VLOOKUP('5.成本表'!$D1002,系数辅助表!$C:$G,5,0)/VLOOKUP('5.成本表'!$D1002,系数辅助表!$C:$E,3,0),)</f>
        <v>0.441001489945959</v>
      </c>
      <c r="F1002" s="36">
        <f>IFERROR(VLOOKUP($B1002,'标准费用表-2024年&amp;2025年优化'!$D:$L,9,0)*VLOOKUP('5.成本表'!$D1002,系数辅助表!$C:$G,5,0)/VLOOKUP($D1002,系数辅助表!$C:$E,3,0),0)</f>
        <v>0</v>
      </c>
      <c r="I1002" s="36">
        <f>VLOOKUP($D1002,系数辅助表!$C:$F,4,0)</f>
        <v>1.41087693598112</v>
      </c>
      <c r="J1002" s="2" t="s">
        <v>69</v>
      </c>
    </row>
    <row r="1003" spans="2:10" x14ac:dyDescent="0.3">
      <c r="B1003" s="47" t="s">
        <v>166</v>
      </c>
      <c r="C1003" t="str">
        <f>VLOOKUP($B1003,'标准费用表-2024年&amp;2025年优化'!$D:$E,2,0)</f>
        <v>吉林中新正大食品有限公司</v>
      </c>
      <c r="D1003" t="s">
        <v>74</v>
      </c>
      <c r="E1003" s="36">
        <f>IFERROR(VLOOKUP($B1003,'标准费用表-2024年&amp;2025年优化'!$D:$K,8,0)*VLOOKUP("白条",系数辅助表!$C:$G,5,0)*VLOOKUP('5.成本表'!$D1003,系数辅助表!$C:$G,5,0)/VLOOKUP('5.成本表'!$D1003,系数辅助表!$C:$E,3,0),)</f>
        <v>0.59548280272612097</v>
      </c>
      <c r="F1003" s="36">
        <f>IFERROR(VLOOKUP($B1003,'标准费用表-2024年&amp;2025年优化'!$D:$L,9,0)*VLOOKUP('5.成本表'!$D1003,系数辅助表!$C:$G,5,0)/VLOOKUP($D1003,系数辅助表!$C:$E,3,0),0)</f>
        <v>0</v>
      </c>
      <c r="I1003" s="36">
        <f>VLOOKUP($D1003,系数辅助表!$C:$F,4,0)</f>
        <v>1.9051022985038799</v>
      </c>
      <c r="J1003" s="2" t="s">
        <v>69</v>
      </c>
    </row>
    <row r="1004" spans="2:10" x14ac:dyDescent="0.3">
      <c r="B1004" s="47" t="s">
        <v>166</v>
      </c>
      <c r="C1004" t="str">
        <f>VLOOKUP($B1004,'标准费用表-2024年&amp;2025年优化'!$D:$E,2,0)</f>
        <v>吉林中新正大食品有限公司</v>
      </c>
      <c r="D1004" t="s">
        <v>75</v>
      </c>
      <c r="E1004" s="36">
        <f>IFERROR(VLOOKUP($B1004,'标准费用表-2024年&amp;2025年优化'!$D:$K,8,0)*VLOOKUP("白条",系数辅助表!$C:$G,5,0)*VLOOKUP('5.成本表'!$D1004,系数辅助表!$C:$G,5,0)/VLOOKUP('5.成本表'!$D1004,系数辅助表!$C:$E,3,0),)</f>
        <v>0.44588981173577003</v>
      </c>
      <c r="F1004" s="36">
        <f>IFERROR(VLOOKUP($B1004,'标准费用表-2024年&amp;2025年优化'!$D:$L,9,0)*VLOOKUP('5.成本表'!$D1004,系数辅助表!$C:$G,5,0)/VLOOKUP($D1004,系数辅助表!$C:$E,3,0),0)</f>
        <v>0</v>
      </c>
      <c r="I1004" s="36">
        <f>VLOOKUP($D1004,系数辅助表!$C:$F,4,0)</f>
        <v>1.42651593182611</v>
      </c>
      <c r="J1004" s="2" t="s">
        <v>69</v>
      </c>
    </row>
    <row r="1005" spans="2:10" x14ac:dyDescent="0.3">
      <c r="B1005" s="47" t="s">
        <v>166</v>
      </c>
      <c r="C1005" t="str">
        <f>VLOOKUP($B1005,'标准费用表-2024年&amp;2025年优化'!$D:$E,2,0)</f>
        <v>吉林中新正大食品有限公司</v>
      </c>
      <c r="D1005" t="s">
        <v>76</v>
      </c>
      <c r="E1005" s="36">
        <f>IFERROR(VLOOKUP($B1005,'标准费用表-2024年&amp;2025年优化'!$D:$K,8,0)*VLOOKUP("白条",系数辅助表!$C:$G,5,0)*VLOOKUP('5.成本表'!$D1005,系数辅助表!$C:$G,5,0)/VLOOKUP('5.成本表'!$D1005,系数辅助表!$C:$E,3,0),)</f>
        <v>0.45435010806673398</v>
      </c>
      <c r="F1005" s="36">
        <f>IFERROR(VLOOKUP($B1005,'标准费用表-2024年&amp;2025年优化'!$D:$L,9,0)*VLOOKUP('5.成本表'!$D1005,系数辅助表!$C:$G,5,0)/VLOOKUP($D1005,系数辅助表!$C:$E,3,0),0)</f>
        <v>0</v>
      </c>
      <c r="I1005" s="36">
        <f>VLOOKUP($D1005,系数辅助表!$C:$F,4,0)</f>
        <v>1.4535825908670701</v>
      </c>
      <c r="J1005" s="2" t="s">
        <v>69</v>
      </c>
    </row>
    <row r="1006" spans="2:10" x14ac:dyDescent="0.3">
      <c r="B1006" s="47" t="s">
        <v>166</v>
      </c>
      <c r="C1006" t="str">
        <f>VLOOKUP($B1006,'标准费用表-2024年&amp;2025年优化'!$D:$E,2,0)</f>
        <v>吉林中新正大食品有限公司</v>
      </c>
      <c r="D1006" t="s">
        <v>77</v>
      </c>
      <c r="E1006" s="36">
        <f>IFERROR(VLOOKUP($B1006,'标准费用表-2024年&amp;2025年优化'!$D:$K,8,0)*VLOOKUP("白条",系数辅助表!$C:$G,5,0)*VLOOKUP('5.成本表'!$D1006,系数辅助表!$C:$G,5,0)/VLOOKUP('5.成本表'!$D1006,系数辅助表!$C:$E,3,0),)</f>
        <v>0.45042905414761097</v>
      </c>
      <c r="F1006" s="36">
        <f>IFERROR(VLOOKUP($B1006,'标准费用表-2024年&amp;2025年优化'!$D:$L,9,0)*VLOOKUP('5.成本表'!$D1006,系数辅助表!$C:$G,5,0)/VLOOKUP($D1006,系数辅助表!$C:$E,3,0),0)</f>
        <v>0</v>
      </c>
      <c r="I1006" s="36">
        <f>VLOOKUP($D1006,系数辅助表!$C:$F,4,0)</f>
        <v>1.4410381331603499</v>
      </c>
      <c r="J1006" s="2" t="s">
        <v>69</v>
      </c>
    </row>
    <row r="1007" spans="2:10" x14ac:dyDescent="0.3">
      <c r="B1007" s="47" t="s">
        <v>166</v>
      </c>
      <c r="C1007" t="str">
        <f>VLOOKUP($B1007,'标准费用表-2024年&amp;2025年优化'!$D:$E,2,0)</f>
        <v>吉林中新正大食品有限公司</v>
      </c>
      <c r="D1007" t="s">
        <v>78</v>
      </c>
      <c r="E1007" s="36">
        <f>IFERROR(VLOOKUP($B1007,'标准费用表-2024年&amp;2025年优化'!$D:$K,8,0)*VLOOKUP("白条",系数辅助表!$C:$G,5,0)*VLOOKUP('5.成本表'!$D1007,系数辅助表!$C:$G,5,0)/VLOOKUP('5.成本表'!$D1007,系数辅助表!$C:$E,3,0),)</f>
        <v>0.38628743365012702</v>
      </c>
      <c r="F1007" s="36">
        <f>IFERROR(VLOOKUP($B1007,'标准费用表-2024年&amp;2025年优化'!$D:$L,9,0)*VLOOKUP('5.成本表'!$D1007,系数辅助表!$C:$G,5,0)/VLOOKUP($D1007,系数辅助表!$C:$E,3,0),0)</f>
        <v>0</v>
      </c>
      <c r="I1007" s="36">
        <f>VLOOKUP($D1007,系数辅助表!$C:$F,4,0)</f>
        <v>1.2358326291892801</v>
      </c>
      <c r="J1007" s="2" t="s">
        <v>69</v>
      </c>
    </row>
    <row r="1008" spans="2:10" x14ac:dyDescent="0.3">
      <c r="B1008" s="47" t="s">
        <v>166</v>
      </c>
      <c r="C1008" t="str">
        <f>VLOOKUP($B1008,'标准费用表-2024年&amp;2025年优化'!$D:$E,2,0)</f>
        <v>吉林中新正大食品有限公司</v>
      </c>
      <c r="D1008" t="s">
        <v>79</v>
      </c>
      <c r="E1008" s="36">
        <f>IFERROR(VLOOKUP($B1008,'标准费用表-2024年&amp;2025年优化'!$D:$K,8,0)*VLOOKUP("白条",系数辅助表!$C:$G,5,0)*VLOOKUP('5.成本表'!$D1008,系数辅助表!$C:$G,5,0)/VLOOKUP('5.成本表'!$D1008,系数辅助表!$C:$E,3,0),)</f>
        <v>0.26981799893557801</v>
      </c>
      <c r="F1008" s="36">
        <f>IFERROR(VLOOKUP($B1008,'标准费用表-2024年&amp;2025年优化'!$D:$L,9,0)*VLOOKUP('5.成本表'!$D1008,系数辅助表!$C:$G,5,0)/VLOOKUP($D1008,系数辅助表!$C:$E,3,0),0)</f>
        <v>0</v>
      </c>
      <c r="I1008" s="36">
        <f>VLOOKUP($D1008,系数辅助表!$C:$F,4,0)</f>
        <v>0.86321701919291904</v>
      </c>
      <c r="J1008" s="2" t="s">
        <v>69</v>
      </c>
    </row>
    <row r="1009" spans="2:10" x14ac:dyDescent="0.3">
      <c r="B1009" s="47" t="s">
        <v>166</v>
      </c>
      <c r="C1009" t="str">
        <f>VLOOKUP($B1009,'标准费用表-2024年&amp;2025年优化'!$D:$E,2,0)</f>
        <v>吉林中新正大食品有限公司</v>
      </c>
      <c r="D1009" t="s">
        <v>80</v>
      </c>
      <c r="E1009" s="36">
        <f>IFERROR(VLOOKUP($B1009,'标准费用表-2024年&amp;2025年优化'!$D:$K,8,0)*VLOOKUP("白条",系数辅助表!$C:$G,5,0)*VLOOKUP('5.成本表'!$D1009,系数辅助表!$C:$G,5,0)/VLOOKUP('5.成本表'!$D1009,系数辅助表!$C:$E,3,0),)</f>
        <v>0.249080965716236</v>
      </c>
      <c r="F1009" s="36">
        <f>IFERROR(VLOOKUP($B1009,'标准费用表-2024年&amp;2025年优化'!$D:$L,9,0)*VLOOKUP('5.成本表'!$D1009,系数辅助表!$C:$G,5,0)/VLOOKUP($D1009,系数辅助表!$C:$E,3,0),0)</f>
        <v>0</v>
      </c>
      <c r="I1009" s="36">
        <f>VLOOKUP($D1009,系数辅助表!$C:$F,4,0)</f>
        <v>0.796873928394225</v>
      </c>
      <c r="J1009" s="2" t="s">
        <v>69</v>
      </c>
    </row>
    <row r="1010" spans="2:10" x14ac:dyDescent="0.3">
      <c r="B1010" s="47" t="s">
        <v>166</v>
      </c>
      <c r="C1010" t="str">
        <f>VLOOKUP($B1010,'标准费用表-2024年&amp;2025年优化'!$D:$E,2,0)</f>
        <v>吉林中新正大食品有限公司</v>
      </c>
      <c r="D1010" t="s">
        <v>81</v>
      </c>
      <c r="E1010" s="36">
        <f>IFERROR(VLOOKUP($B1010,'标准费用表-2024年&amp;2025年优化'!$D:$K,8,0)*VLOOKUP("白条",系数辅助表!$C:$G,5,0)*VLOOKUP('5.成本表'!$D1010,系数辅助表!$C:$G,5,0)/VLOOKUP('5.成本表'!$D1010,系数辅助表!$C:$E,3,0),)</f>
        <v>0.343457509214253</v>
      </c>
      <c r="F1010" s="36">
        <f>IFERROR(VLOOKUP($B1010,'标准费用表-2024年&amp;2025年优化'!$D:$L,9,0)*VLOOKUP('5.成本表'!$D1010,系数辅助表!$C:$G,5,0)/VLOOKUP($D1010,系数辅助表!$C:$E,3,0),0)</f>
        <v>0</v>
      </c>
      <c r="I1010" s="36">
        <f>VLOOKUP($D1010,系数辅助表!$C:$F,4,0)</f>
        <v>1.09880870991909</v>
      </c>
      <c r="J1010" s="2" t="s">
        <v>69</v>
      </c>
    </row>
    <row r="1011" spans="2:10" x14ac:dyDescent="0.3">
      <c r="B1011" s="47" t="s">
        <v>166</v>
      </c>
      <c r="C1011" t="str">
        <f>VLOOKUP($B1011,'标准费用表-2024年&amp;2025年优化'!$D:$E,2,0)</f>
        <v>吉林中新正大食品有限公司</v>
      </c>
      <c r="D1011" t="s">
        <v>82</v>
      </c>
      <c r="E1011" s="36">
        <f>IFERROR(VLOOKUP($B1011,'标准费用表-2024年&amp;2025年优化'!$D:$K,8,0)*VLOOKUP("白条",系数辅助表!$C:$G,5,0)*VLOOKUP('5.成本表'!$D1011,系数辅助表!$C:$G,5,0)/VLOOKUP('5.成本表'!$D1011,系数辅助表!$C:$E,3,0),)</f>
        <v>0.31293872010617102</v>
      </c>
      <c r="F1011" s="36">
        <f>IFERROR(VLOOKUP($B1011,'标准费用表-2024年&amp;2025年优化'!$D:$L,9,0)*VLOOKUP('5.成本表'!$D1011,系数辅助表!$C:$G,5,0)/VLOOKUP($D1011,系数辅助表!$C:$E,3,0),0)</f>
        <v>0</v>
      </c>
      <c r="I1011" s="36">
        <f>VLOOKUP($D1011,系数辅助表!$C:$F,4,0)</f>
        <v>1.0011712718416299</v>
      </c>
      <c r="J1011" s="2" t="s">
        <v>69</v>
      </c>
    </row>
    <row r="1012" spans="2:10" x14ac:dyDescent="0.3">
      <c r="B1012" s="47" t="s">
        <v>166</v>
      </c>
      <c r="C1012" t="str">
        <f>VLOOKUP($B1012,'标准费用表-2024年&amp;2025年优化'!$D:$E,2,0)</f>
        <v>吉林中新正大食品有限公司</v>
      </c>
      <c r="D1012" t="s">
        <v>83</v>
      </c>
      <c r="E1012" s="36">
        <f>IFERROR(VLOOKUP($B1012,'标准费用表-2024年&amp;2025年优化'!$D:$K,8,0)*VLOOKUP("白条",系数辅助表!$C:$G,5,0)*VLOOKUP('5.成本表'!$D1012,系数辅助表!$C:$G,5,0)/VLOOKUP('5.成本表'!$D1012,系数辅助表!$C:$E,3,0),)</f>
        <v>0.28142561658836301</v>
      </c>
      <c r="F1012" s="36">
        <f>IFERROR(VLOOKUP($B1012,'标准费用表-2024年&amp;2025年优化'!$D:$L,9,0)*VLOOKUP('5.成本表'!$D1012,系数辅助表!$C:$G,5,0)/VLOOKUP($D1012,系数辅助表!$C:$E,3,0),0)</f>
        <v>0</v>
      </c>
      <c r="I1012" s="36">
        <f>VLOOKUP($D1012,系数辅助表!$C:$F,4,0)</f>
        <v>0.90035276680685095</v>
      </c>
      <c r="J1012" s="2" t="s">
        <v>69</v>
      </c>
    </row>
    <row r="1013" spans="2:10" x14ac:dyDescent="0.3">
      <c r="B1013" s="47" t="s">
        <v>166</v>
      </c>
      <c r="C1013" t="str">
        <f>VLOOKUP($B1013,'标准费用表-2024年&amp;2025年优化'!$D:$E,2,0)</f>
        <v>吉林中新正大食品有限公司</v>
      </c>
      <c r="D1013" t="s">
        <v>84</v>
      </c>
      <c r="E1013" s="36">
        <f>IFERROR(VLOOKUP($B1013,'标准费用表-2024年&amp;2025年优化'!$D:$K,8,0)*VLOOKUP("白条",系数辅助表!$C:$G,5,0)*VLOOKUP('5.成本表'!$D1013,系数辅助表!$C:$G,5,0)/VLOOKUP('5.成本表'!$D1013,系数辅助表!$C:$E,3,0),)</f>
        <v>0.28266861969987001</v>
      </c>
      <c r="F1013" s="36">
        <f>IFERROR(VLOOKUP($B1013,'标准费用表-2024年&amp;2025年优化'!$D:$L,9,0)*VLOOKUP('5.成本表'!$D1013,系数辅助表!$C:$G,5,0)/VLOOKUP($D1013,系数辅助表!$C:$E,3,0),0)</f>
        <v>0</v>
      </c>
      <c r="I1013" s="36">
        <f>VLOOKUP($D1013,系数辅助表!$C:$F,4,0)</f>
        <v>0.90432945273957599</v>
      </c>
      <c r="J1013" s="2" t="s">
        <v>69</v>
      </c>
    </row>
    <row r="1014" spans="2:10" x14ac:dyDescent="0.3">
      <c r="B1014" s="47" t="s">
        <v>166</v>
      </c>
      <c r="C1014" t="str">
        <f>VLOOKUP($B1014,'标准费用表-2024年&amp;2025年优化'!$D:$E,2,0)</f>
        <v>吉林中新正大食品有限公司</v>
      </c>
      <c r="D1014" t="s">
        <v>85</v>
      </c>
      <c r="E1014" s="36">
        <f>IFERROR(VLOOKUP($B1014,'标准费用表-2024年&amp;2025年优化'!$D:$K,8,0)*VLOOKUP("白条",系数辅助表!$C:$G,5,0)*VLOOKUP('5.成本表'!$D1014,系数辅助表!$C:$G,5,0)/VLOOKUP('5.成本表'!$D1014,系数辅助表!$C:$E,3,0),)</f>
        <v>0.351448910580346</v>
      </c>
      <c r="F1014" s="36">
        <f>IFERROR(VLOOKUP($B1014,'标准费用表-2024年&amp;2025年优化'!$D:$L,9,0)*VLOOKUP('5.成本表'!$D1014,系数辅助表!$C:$G,5,0)/VLOOKUP($D1014,系数辅助表!$C:$E,3,0),0)</f>
        <v>0</v>
      </c>
      <c r="I1014" s="36">
        <f>VLOOKUP($D1014,系数辅助表!$C:$F,4,0)</f>
        <v>1.12437525363977</v>
      </c>
      <c r="J1014" s="2" t="s">
        <v>69</v>
      </c>
    </row>
    <row r="1015" spans="2:10" x14ac:dyDescent="0.3">
      <c r="B1015" s="47" t="s">
        <v>166</v>
      </c>
      <c r="C1015" t="str">
        <f>VLOOKUP($B1015,'标准费用表-2024年&amp;2025年优化'!$D:$E,2,0)</f>
        <v>吉林中新正大食品有限公司</v>
      </c>
      <c r="D1015" t="s">
        <v>86</v>
      </c>
      <c r="E1015" s="36">
        <f>IFERROR(VLOOKUP($B1015,'标准费用表-2024年&amp;2025年优化'!$D:$K,8,0)*VLOOKUP("白条",系数辅助表!$C:$G,5,0)*VLOOKUP('5.成本表'!$D1015,系数辅助表!$C:$G,5,0)/VLOOKUP('5.成本表'!$D1015,系数辅助表!$C:$E,3,0),)</f>
        <v>0.30731279180358401</v>
      </c>
      <c r="F1015" s="36">
        <f>IFERROR(VLOOKUP($B1015,'标准费用表-2024年&amp;2025年优化'!$D:$L,9,0)*VLOOKUP('5.成本表'!$D1015,系数辅助表!$C:$G,5,0)/VLOOKUP($D1015,系数辅助表!$C:$E,3,0),0)</f>
        <v>0</v>
      </c>
      <c r="I1015" s="36">
        <f>VLOOKUP($D1015,系数辅助表!$C:$F,4,0)</f>
        <v>0.98317248347795105</v>
      </c>
      <c r="J1015" s="2" t="s">
        <v>69</v>
      </c>
    </row>
    <row r="1016" spans="2:10" x14ac:dyDescent="0.3">
      <c r="B1016" s="47" t="s">
        <v>166</v>
      </c>
      <c r="C1016" t="str">
        <f>VLOOKUP($B1016,'标准费用表-2024年&amp;2025年优化'!$D:$E,2,0)</f>
        <v>吉林中新正大食品有限公司</v>
      </c>
      <c r="D1016" t="s">
        <v>87</v>
      </c>
      <c r="E1016" s="36">
        <f>IFERROR(VLOOKUP($B1016,'标准费用表-2024年&amp;2025年优化'!$D:$K,8,0)*VLOOKUP("白条",系数辅助表!$C:$G,5,0)*VLOOKUP('5.成本表'!$D1016,系数辅助表!$C:$G,5,0)/VLOOKUP('5.成本表'!$D1016,系数辅助表!$C:$E,3,0),)</f>
        <v>0.22258443012856899</v>
      </c>
      <c r="F1016" s="36">
        <f>IFERROR(VLOOKUP($B1016,'标准费用表-2024年&amp;2025年优化'!$D:$L,9,0)*VLOOKUP('5.成本表'!$D1016,系数辅助表!$C:$G,5,0)/VLOOKUP($D1016,系数辅助表!$C:$E,3,0),0)</f>
        <v>0</v>
      </c>
      <c r="I1016" s="36">
        <f>VLOOKUP($D1016,系数辅助表!$C:$F,4,0)</f>
        <v>0.71210471151782795</v>
      </c>
      <c r="J1016" s="2" t="s">
        <v>69</v>
      </c>
    </row>
    <row r="1017" spans="2:10" x14ac:dyDescent="0.3">
      <c r="B1017" s="47" t="s">
        <v>166</v>
      </c>
      <c r="C1017" t="str">
        <f>VLOOKUP($B1017,'标准费用表-2024年&amp;2025年优化'!$D:$E,2,0)</f>
        <v>吉林中新正大食品有限公司</v>
      </c>
      <c r="D1017" t="s">
        <v>88</v>
      </c>
      <c r="E1017" s="36">
        <f>IFERROR(VLOOKUP($B1017,'标准费用表-2024年&amp;2025年优化'!$D:$K,8,0)*VLOOKUP("白条",系数辅助表!$C:$G,5,0)*VLOOKUP('5.成本表'!$D1017,系数辅助表!$C:$G,5,0)/VLOOKUP('5.成本表'!$D1017,系数辅助表!$C:$E,3,0),)</f>
        <v>0.84069254913966496</v>
      </c>
      <c r="F1017" s="36">
        <f>IFERROR(VLOOKUP($B1017,'标准费用表-2024年&amp;2025年优化'!$D:$L,9,0)*VLOOKUP('5.成本表'!$D1017,系数辅助表!$C:$G,5,0)/VLOOKUP($D1017,系数辅助表!$C:$E,3,0),0)</f>
        <v>0</v>
      </c>
      <c r="I1017" s="36">
        <f>VLOOKUP($D1017,系数辅助表!$C:$F,4,0)</f>
        <v>2.6895912029178799</v>
      </c>
      <c r="J1017" s="2" t="s">
        <v>69</v>
      </c>
    </row>
    <row r="1018" spans="2:10" x14ac:dyDescent="0.3">
      <c r="B1018" s="47" t="s">
        <v>166</v>
      </c>
      <c r="C1018" t="str">
        <f>VLOOKUP($B1018,'标准费用表-2024年&amp;2025年优化'!$D:$E,2,0)</f>
        <v>吉林中新正大食品有限公司</v>
      </c>
      <c r="D1018" t="s">
        <v>89</v>
      </c>
      <c r="E1018" s="36">
        <f>IFERROR(VLOOKUP($B1018,'标准费用表-2024年&amp;2025年优化'!$D:$K,8,0)*VLOOKUP("白条",系数辅助表!$C:$G,5,0)*VLOOKUP('5.成本表'!$D1018,系数辅助表!$C:$G,5,0)/VLOOKUP('5.成本表'!$D1018,系数辅助表!$C:$E,3,0),)</f>
        <v>0.36157752010545902</v>
      </c>
      <c r="F1018" s="36">
        <f>IFERROR(VLOOKUP($B1018,'标准费用表-2024年&amp;2025年优化'!$D:$L,9,0)*VLOOKUP('5.成本表'!$D1018,系数辅助表!$C:$G,5,0)/VLOOKUP($D1018,系数辅助表!$C:$E,3,0),0)</f>
        <v>0</v>
      </c>
      <c r="I1018" s="36">
        <f>VLOOKUP($D1018,系数辅助表!$C:$F,4,0)</f>
        <v>1.1567792747107399</v>
      </c>
      <c r="J1018" s="2" t="s">
        <v>69</v>
      </c>
    </row>
    <row r="1019" spans="2:10" x14ac:dyDescent="0.3">
      <c r="B1019" s="47" t="s">
        <v>166</v>
      </c>
      <c r="C1019" t="str">
        <f>VLOOKUP($B1019,'标准费用表-2024年&amp;2025年优化'!$D:$E,2,0)</f>
        <v>吉林中新正大食品有限公司</v>
      </c>
      <c r="D1019" t="s">
        <v>90</v>
      </c>
      <c r="E1019" s="36">
        <f>IFERROR(VLOOKUP($B1019,'标准费用表-2024年&amp;2025年优化'!$D:$K,8,0)*VLOOKUP("白条",系数辅助表!$C:$G,5,0)*VLOOKUP('5.成本表'!$D1019,系数辅助表!$C:$G,5,0)/VLOOKUP('5.成本表'!$D1019,系数辅助表!$C:$E,3,0),)</f>
        <v>0.228483826121646</v>
      </c>
      <c r="F1019" s="36">
        <f>IFERROR(VLOOKUP($B1019,'标准费用表-2024年&amp;2025年优化'!$D:$L,9,0)*VLOOKUP('5.成本表'!$D1019,系数辅助表!$C:$G,5,0)/VLOOKUP($D1019,系数辅助表!$C:$E,3,0),0)</f>
        <v>0</v>
      </c>
      <c r="I1019" s="36">
        <f>VLOOKUP($D1019,系数辅助表!$C:$F,4,0)</f>
        <v>0.73097839320056501</v>
      </c>
      <c r="J1019" s="2" t="s">
        <v>69</v>
      </c>
    </row>
    <row r="1020" spans="2:10" x14ac:dyDescent="0.3">
      <c r="B1020" s="47" t="s">
        <v>166</v>
      </c>
      <c r="C1020" t="str">
        <f>VLOOKUP($B1020,'标准费用表-2024年&amp;2025年优化'!$D:$E,2,0)</f>
        <v>吉林中新正大食品有限公司</v>
      </c>
      <c r="D1020" t="s">
        <v>91</v>
      </c>
      <c r="E1020" s="36">
        <f>IFERROR(VLOOKUP($B1020,'标准费用表-2024年&amp;2025年优化'!$D:$K,8,0)*VLOOKUP("白条",系数辅助表!$C:$G,5,0)*VLOOKUP('5.成本表'!$D1020,系数辅助表!$C:$G,5,0)/VLOOKUP('5.成本表'!$D1020,系数辅助表!$C:$E,3,0),)</f>
        <v>0.18944857206700499</v>
      </c>
      <c r="F1020" s="36">
        <f>IFERROR(VLOOKUP($B1020,'标准费用表-2024年&amp;2025年优化'!$D:$L,9,0)*VLOOKUP('5.成本表'!$D1020,系数辅助表!$C:$G,5,0)/VLOOKUP($D1020,系数辅助表!$C:$E,3,0),0)</f>
        <v>0</v>
      </c>
      <c r="I1020" s="36">
        <f>VLOOKUP($D1020,系数辅助表!$C:$F,4,0)</f>
        <v>0.60609459826688905</v>
      </c>
      <c r="J1020" s="2" t="s">
        <v>69</v>
      </c>
    </row>
    <row r="1021" spans="2:10" x14ac:dyDescent="0.3">
      <c r="B1021" s="47" t="s">
        <v>166</v>
      </c>
      <c r="C1021" t="str">
        <f>VLOOKUP($B1021,'标准费用表-2024年&amp;2025年优化'!$D:$E,2,0)</f>
        <v>吉林中新正大食品有限公司</v>
      </c>
      <c r="D1021" t="s">
        <v>92</v>
      </c>
      <c r="E1021" s="36">
        <f>IFERROR(VLOOKUP($B1021,'标准费用表-2024年&amp;2025年优化'!$D:$K,8,0)*VLOOKUP("白条",系数辅助表!$C:$G,5,0)*VLOOKUP('5.成本表'!$D1021,系数辅助表!$C:$G,5,0)/VLOOKUP('5.成本表'!$D1021,系数辅助表!$C:$E,3,0),)</f>
        <v>7.5192756485436399E-2</v>
      </c>
      <c r="F1021" s="36">
        <f>IFERROR(VLOOKUP($B1021,'标准费用表-2024年&amp;2025年优化'!$D:$L,9,0)*VLOOKUP('5.成本表'!$D1021,系数辅助表!$C:$G,5,0)/VLOOKUP($D1021,系数辅助表!$C:$E,3,0),0)</f>
        <v>0</v>
      </c>
      <c r="I1021" s="36">
        <f>VLOOKUP($D1021,系数辅助表!$C:$F,4,0)</f>
        <v>0.24056092393508099</v>
      </c>
      <c r="J1021" s="2" t="s">
        <v>69</v>
      </c>
    </row>
    <row r="1022" spans="2:10" x14ac:dyDescent="0.3">
      <c r="B1022" s="47" t="s">
        <v>166</v>
      </c>
      <c r="C1022" t="str">
        <f>VLOOKUP($B1022,'标准费用表-2024年&amp;2025年优化'!$D:$E,2,0)</f>
        <v>吉林中新正大食品有限公司</v>
      </c>
      <c r="D1022" t="s">
        <v>93</v>
      </c>
      <c r="E1022" s="36">
        <f>E998</f>
        <v>0.71266555674295795</v>
      </c>
      <c r="F1022" s="36">
        <f>F998</f>
        <v>0</v>
      </c>
      <c r="G1022">
        <v>0.2</v>
      </c>
      <c r="H1022">
        <v>0.3</v>
      </c>
      <c r="J1022" s="2" t="s">
        <v>69</v>
      </c>
    </row>
    <row r="1023" spans="2:10" x14ac:dyDescent="0.3">
      <c r="B1023" s="47" t="s">
        <v>166</v>
      </c>
      <c r="C1023" t="str">
        <f>VLOOKUP($B1023,'标准费用表-2024年&amp;2025年优化'!$D:$E,2,0)</f>
        <v>吉林中新正大食品有限公司</v>
      </c>
      <c r="D1023" t="s">
        <v>96</v>
      </c>
      <c r="E1023" s="36">
        <f t="shared" ref="E1023:F1023" si="376">E999</f>
        <v>0.47627417949564499</v>
      </c>
      <c r="F1023" s="36">
        <f t="shared" si="376"/>
        <v>0</v>
      </c>
      <c r="G1023">
        <v>0.2</v>
      </c>
      <c r="H1023">
        <v>0.3</v>
      </c>
      <c r="J1023" s="2" t="s">
        <v>69</v>
      </c>
    </row>
    <row r="1024" spans="2:10" x14ac:dyDescent="0.3">
      <c r="B1024" s="47" t="s">
        <v>166</v>
      </c>
      <c r="C1024" t="str">
        <f>VLOOKUP($B1024,'标准费用表-2024年&amp;2025年优化'!$D:$E,2,0)</f>
        <v>吉林中新正大食品有限公司</v>
      </c>
      <c r="D1024" t="s">
        <v>97</v>
      </c>
      <c r="E1024" s="36">
        <f t="shared" ref="E1024:F1024" si="377">E1000</f>
        <v>1.2604979500204201</v>
      </c>
      <c r="F1024" s="36">
        <f t="shared" si="377"/>
        <v>0</v>
      </c>
      <c r="G1024">
        <v>0.2</v>
      </c>
      <c r="H1024">
        <v>0.3</v>
      </c>
      <c r="J1024" s="2" t="s">
        <v>69</v>
      </c>
    </row>
    <row r="1025" spans="2:10" x14ac:dyDescent="0.3">
      <c r="B1025" s="47" t="s">
        <v>166</v>
      </c>
      <c r="C1025" t="str">
        <f>VLOOKUP($B1025,'标准费用表-2024年&amp;2025年优化'!$D:$E,2,0)</f>
        <v>吉林中新正大食品有限公司</v>
      </c>
      <c r="D1025" t="s">
        <v>98</v>
      </c>
      <c r="E1025" s="36">
        <f t="shared" ref="E1025:F1025" si="378">E1001</f>
        <v>0.73410177828668399</v>
      </c>
      <c r="F1025" s="36">
        <f t="shared" si="378"/>
        <v>0</v>
      </c>
      <c r="G1025">
        <v>0.2</v>
      </c>
      <c r="H1025">
        <v>0.3</v>
      </c>
      <c r="J1025" s="2" t="s">
        <v>69</v>
      </c>
    </row>
    <row r="1026" spans="2:10" x14ac:dyDescent="0.3">
      <c r="B1026" s="47" t="s">
        <v>166</v>
      </c>
      <c r="C1026" t="str">
        <f>VLOOKUP($B1026,'标准费用表-2024年&amp;2025年优化'!$D:$E,2,0)</f>
        <v>吉林中新正大食品有限公司</v>
      </c>
      <c r="D1026" t="s">
        <v>99</v>
      </c>
      <c r="E1026" s="36">
        <f t="shared" ref="E1026:F1026" si="379">E1002</f>
        <v>0.441001489945959</v>
      </c>
      <c r="F1026" s="36">
        <f t="shared" si="379"/>
        <v>0</v>
      </c>
      <c r="G1026">
        <v>0.2</v>
      </c>
      <c r="H1026">
        <v>0.3</v>
      </c>
      <c r="J1026" s="2" t="s">
        <v>69</v>
      </c>
    </row>
    <row r="1027" spans="2:10" x14ac:dyDescent="0.3">
      <c r="B1027" s="47" t="s">
        <v>166</v>
      </c>
      <c r="C1027" t="str">
        <f>VLOOKUP($B1027,'标准费用表-2024年&amp;2025年优化'!$D:$E,2,0)</f>
        <v>吉林中新正大食品有限公司</v>
      </c>
      <c r="D1027" t="s">
        <v>100</v>
      </c>
      <c r="E1027" s="36">
        <f t="shared" ref="E1027:F1027" si="380">E1003</f>
        <v>0.59548280272612097</v>
      </c>
      <c r="F1027" s="36">
        <f t="shared" si="380"/>
        <v>0</v>
      </c>
      <c r="G1027">
        <v>0.2</v>
      </c>
      <c r="H1027">
        <v>0.3</v>
      </c>
      <c r="J1027" s="2" t="s">
        <v>69</v>
      </c>
    </row>
    <row r="1028" spans="2:10" x14ac:dyDescent="0.3">
      <c r="B1028" s="47" t="s">
        <v>166</v>
      </c>
      <c r="C1028" t="str">
        <f>VLOOKUP($B1028,'标准费用表-2024年&amp;2025年优化'!$D:$E,2,0)</f>
        <v>吉林中新正大食品有限公司</v>
      </c>
      <c r="D1028" t="s">
        <v>101</v>
      </c>
      <c r="E1028" s="36">
        <f t="shared" ref="E1028:F1028" si="381">E1004</f>
        <v>0.44588981173577003</v>
      </c>
      <c r="F1028" s="36">
        <f t="shared" si="381"/>
        <v>0</v>
      </c>
      <c r="G1028">
        <v>0.2</v>
      </c>
      <c r="H1028">
        <v>0.3</v>
      </c>
      <c r="J1028" s="2" t="s">
        <v>69</v>
      </c>
    </row>
    <row r="1029" spans="2:10" x14ac:dyDescent="0.3">
      <c r="B1029" s="47" t="s">
        <v>166</v>
      </c>
      <c r="C1029" t="str">
        <f>VLOOKUP($B1029,'标准费用表-2024年&amp;2025年优化'!$D:$E,2,0)</f>
        <v>吉林中新正大食品有限公司</v>
      </c>
      <c r="D1029" t="s">
        <v>102</v>
      </c>
      <c r="E1029" s="36">
        <f t="shared" ref="E1029:F1029" si="382">E1005</f>
        <v>0.45435010806673398</v>
      </c>
      <c r="F1029" s="36">
        <f t="shared" si="382"/>
        <v>0</v>
      </c>
      <c r="G1029">
        <v>0.2</v>
      </c>
      <c r="H1029">
        <v>0.3</v>
      </c>
      <c r="J1029" s="2" t="s">
        <v>69</v>
      </c>
    </row>
    <row r="1030" spans="2:10" x14ac:dyDescent="0.3">
      <c r="B1030" s="47" t="s">
        <v>166</v>
      </c>
      <c r="C1030" t="str">
        <f>VLOOKUP($B1030,'标准费用表-2024年&amp;2025年优化'!$D:$E,2,0)</f>
        <v>吉林中新正大食品有限公司</v>
      </c>
      <c r="D1030" t="s">
        <v>103</v>
      </c>
      <c r="E1030" s="36">
        <f t="shared" ref="E1030:F1030" si="383">E1006</f>
        <v>0.45042905414761097</v>
      </c>
      <c r="F1030" s="36">
        <f t="shared" si="383"/>
        <v>0</v>
      </c>
      <c r="G1030">
        <v>0.2</v>
      </c>
      <c r="H1030">
        <v>0.3</v>
      </c>
      <c r="J1030" s="2" t="s">
        <v>69</v>
      </c>
    </row>
    <row r="1031" spans="2:10" x14ac:dyDescent="0.3">
      <c r="B1031" s="47" t="s">
        <v>166</v>
      </c>
      <c r="C1031" t="str">
        <f>VLOOKUP($B1031,'标准费用表-2024年&amp;2025年优化'!$D:$E,2,0)</f>
        <v>吉林中新正大食品有限公司</v>
      </c>
      <c r="D1031" t="s">
        <v>104</v>
      </c>
      <c r="E1031" s="36">
        <f t="shared" ref="E1031:F1031" si="384">E1007</f>
        <v>0.38628743365012702</v>
      </c>
      <c r="F1031" s="36">
        <f t="shared" si="384"/>
        <v>0</v>
      </c>
      <c r="G1031">
        <v>0.2</v>
      </c>
      <c r="H1031">
        <v>0.3</v>
      </c>
      <c r="J1031" s="2" t="s">
        <v>69</v>
      </c>
    </row>
    <row r="1032" spans="2:10" x14ac:dyDescent="0.3">
      <c r="B1032" s="47" t="s">
        <v>166</v>
      </c>
      <c r="C1032" t="str">
        <f>VLOOKUP($B1032,'标准费用表-2024年&amp;2025年优化'!$D:$E,2,0)</f>
        <v>吉林中新正大食品有限公司</v>
      </c>
      <c r="D1032" t="s">
        <v>105</v>
      </c>
      <c r="E1032" s="36">
        <f t="shared" ref="E1032:F1032" si="385">E1008</f>
        <v>0.26981799893557801</v>
      </c>
      <c r="F1032" s="36">
        <f t="shared" si="385"/>
        <v>0</v>
      </c>
      <c r="G1032">
        <v>0.2</v>
      </c>
      <c r="H1032">
        <v>0.3</v>
      </c>
      <c r="J1032" s="2" t="s">
        <v>69</v>
      </c>
    </row>
    <row r="1033" spans="2:10" x14ac:dyDescent="0.3">
      <c r="B1033" s="47" t="s">
        <v>166</v>
      </c>
      <c r="C1033" t="str">
        <f>VLOOKUP($B1033,'标准费用表-2024年&amp;2025年优化'!$D:$E,2,0)</f>
        <v>吉林中新正大食品有限公司</v>
      </c>
      <c r="D1033" t="s">
        <v>106</v>
      </c>
      <c r="E1033" s="36">
        <f t="shared" ref="E1033:F1033" si="386">E1009</f>
        <v>0.249080965716236</v>
      </c>
      <c r="F1033" s="36">
        <f t="shared" si="386"/>
        <v>0</v>
      </c>
      <c r="G1033">
        <v>0.2</v>
      </c>
      <c r="H1033">
        <v>0.3</v>
      </c>
      <c r="J1033" s="2" t="s">
        <v>69</v>
      </c>
    </row>
    <row r="1034" spans="2:10" x14ac:dyDescent="0.3">
      <c r="B1034" s="47" t="s">
        <v>166</v>
      </c>
      <c r="C1034" t="str">
        <f>VLOOKUP($B1034,'标准费用表-2024年&amp;2025年优化'!$D:$E,2,0)</f>
        <v>吉林中新正大食品有限公司</v>
      </c>
      <c r="D1034" t="s">
        <v>107</v>
      </c>
      <c r="E1034" s="36">
        <f t="shared" ref="E1034:F1034" si="387">E1010</f>
        <v>0.343457509214253</v>
      </c>
      <c r="F1034" s="36">
        <f t="shared" si="387"/>
        <v>0</v>
      </c>
      <c r="G1034">
        <v>0.2</v>
      </c>
      <c r="H1034">
        <v>0.3</v>
      </c>
      <c r="J1034" s="2" t="s">
        <v>69</v>
      </c>
    </row>
    <row r="1035" spans="2:10" x14ac:dyDescent="0.3">
      <c r="B1035" s="47" t="s">
        <v>166</v>
      </c>
      <c r="C1035" t="str">
        <f>VLOOKUP($B1035,'标准费用表-2024年&amp;2025年优化'!$D:$E,2,0)</f>
        <v>吉林中新正大食品有限公司</v>
      </c>
      <c r="D1035" t="s">
        <v>108</v>
      </c>
      <c r="E1035" s="36">
        <f t="shared" ref="E1035:F1035" si="388">E1011</f>
        <v>0.31293872010617102</v>
      </c>
      <c r="F1035" s="36">
        <f t="shared" si="388"/>
        <v>0</v>
      </c>
      <c r="G1035">
        <v>0.2</v>
      </c>
      <c r="H1035">
        <v>0.3</v>
      </c>
      <c r="J1035" s="2" t="s">
        <v>69</v>
      </c>
    </row>
    <row r="1036" spans="2:10" x14ac:dyDescent="0.3">
      <c r="B1036" s="47" t="s">
        <v>166</v>
      </c>
      <c r="C1036" t="str">
        <f>VLOOKUP($B1036,'标准费用表-2024年&amp;2025年优化'!$D:$E,2,0)</f>
        <v>吉林中新正大食品有限公司</v>
      </c>
      <c r="D1036" t="s">
        <v>109</v>
      </c>
      <c r="E1036" s="36">
        <f t="shared" ref="E1036:F1036" si="389">E1012</f>
        <v>0.28142561658836301</v>
      </c>
      <c r="F1036" s="36">
        <f t="shared" si="389"/>
        <v>0</v>
      </c>
      <c r="G1036">
        <v>0.2</v>
      </c>
      <c r="H1036">
        <v>0.3</v>
      </c>
      <c r="J1036" s="2" t="s">
        <v>69</v>
      </c>
    </row>
    <row r="1037" spans="2:10" x14ac:dyDescent="0.3">
      <c r="B1037" s="47" t="s">
        <v>166</v>
      </c>
      <c r="C1037" t="str">
        <f>VLOOKUP($B1037,'标准费用表-2024年&amp;2025年优化'!$D:$E,2,0)</f>
        <v>吉林中新正大食品有限公司</v>
      </c>
      <c r="D1037" t="s">
        <v>110</v>
      </c>
      <c r="E1037" s="36">
        <f t="shared" ref="E1037:F1037" si="390">E1013</f>
        <v>0.28266861969987001</v>
      </c>
      <c r="F1037" s="36">
        <f t="shared" si="390"/>
        <v>0</v>
      </c>
      <c r="G1037">
        <v>0.2</v>
      </c>
      <c r="H1037">
        <v>0.3</v>
      </c>
      <c r="J1037" s="2" t="s">
        <v>69</v>
      </c>
    </row>
    <row r="1038" spans="2:10" x14ac:dyDescent="0.3">
      <c r="B1038" s="47" t="s">
        <v>166</v>
      </c>
      <c r="C1038" t="str">
        <f>VLOOKUP($B1038,'标准费用表-2024年&amp;2025年优化'!$D:$E,2,0)</f>
        <v>吉林中新正大食品有限公司</v>
      </c>
      <c r="D1038" t="s">
        <v>111</v>
      </c>
      <c r="E1038" s="36">
        <f t="shared" ref="E1038:F1038" si="391">E1014</f>
        <v>0.351448910580346</v>
      </c>
      <c r="F1038" s="36">
        <f t="shared" si="391"/>
        <v>0</v>
      </c>
      <c r="G1038">
        <v>0.2</v>
      </c>
      <c r="H1038">
        <v>0.3</v>
      </c>
      <c r="J1038" s="2" t="s">
        <v>69</v>
      </c>
    </row>
    <row r="1039" spans="2:10" x14ac:dyDescent="0.3">
      <c r="B1039" s="47" t="s">
        <v>166</v>
      </c>
      <c r="C1039" t="str">
        <f>VLOOKUP($B1039,'标准费用表-2024年&amp;2025年优化'!$D:$E,2,0)</f>
        <v>吉林中新正大食品有限公司</v>
      </c>
      <c r="D1039" t="s">
        <v>112</v>
      </c>
      <c r="E1039" s="36">
        <f t="shared" ref="E1039:F1039" si="392">E1015</f>
        <v>0.30731279180358401</v>
      </c>
      <c r="F1039" s="36">
        <f t="shared" si="392"/>
        <v>0</v>
      </c>
      <c r="G1039">
        <v>0.2</v>
      </c>
      <c r="H1039">
        <v>0.3</v>
      </c>
      <c r="J1039" s="2" t="s">
        <v>69</v>
      </c>
    </row>
    <row r="1040" spans="2:10" x14ac:dyDescent="0.3">
      <c r="B1040" s="47" t="s">
        <v>166</v>
      </c>
      <c r="C1040" t="str">
        <f>VLOOKUP($B1040,'标准费用表-2024年&amp;2025年优化'!$D:$E,2,0)</f>
        <v>吉林中新正大食品有限公司</v>
      </c>
      <c r="D1040" t="s">
        <v>113</v>
      </c>
      <c r="E1040" s="36">
        <f t="shared" ref="E1040:F1040" si="393">E1016</f>
        <v>0.22258443012856899</v>
      </c>
      <c r="F1040" s="36">
        <f t="shared" si="393"/>
        <v>0</v>
      </c>
      <c r="G1040">
        <v>0.2</v>
      </c>
      <c r="H1040">
        <v>0.3</v>
      </c>
      <c r="J1040" s="2" t="s">
        <v>69</v>
      </c>
    </row>
    <row r="1041" spans="2:10" x14ac:dyDescent="0.3">
      <c r="B1041" s="47" t="s">
        <v>166</v>
      </c>
      <c r="C1041" t="str">
        <f>VLOOKUP($B1041,'标准费用表-2024年&amp;2025年优化'!$D:$E,2,0)</f>
        <v>吉林中新正大食品有限公司</v>
      </c>
      <c r="D1041" t="s">
        <v>114</v>
      </c>
      <c r="E1041" s="36">
        <f t="shared" ref="E1041:F1041" si="394">E1017</f>
        <v>0.84069254913966496</v>
      </c>
      <c r="F1041" s="36">
        <f t="shared" si="394"/>
        <v>0</v>
      </c>
      <c r="G1041">
        <v>0.2</v>
      </c>
      <c r="H1041">
        <v>0.3</v>
      </c>
      <c r="J1041" s="2" t="s">
        <v>69</v>
      </c>
    </row>
    <row r="1042" spans="2:10" x14ac:dyDescent="0.3">
      <c r="B1042" s="47" t="s">
        <v>166</v>
      </c>
      <c r="C1042" t="str">
        <f>VLOOKUP($B1042,'标准费用表-2024年&amp;2025年优化'!$D:$E,2,0)</f>
        <v>吉林中新正大食品有限公司</v>
      </c>
      <c r="D1042" t="s">
        <v>115</v>
      </c>
      <c r="E1042" s="36">
        <f t="shared" ref="E1042:F1042" si="395">E1018</f>
        <v>0.36157752010545902</v>
      </c>
      <c r="F1042" s="36">
        <f t="shared" si="395"/>
        <v>0</v>
      </c>
      <c r="G1042">
        <v>0.2</v>
      </c>
      <c r="H1042">
        <v>0.3</v>
      </c>
      <c r="J1042" s="2" t="s">
        <v>69</v>
      </c>
    </row>
    <row r="1043" spans="2:10" x14ac:dyDescent="0.3">
      <c r="B1043" s="47" t="s">
        <v>166</v>
      </c>
      <c r="C1043" t="str">
        <f>VLOOKUP($B1043,'标准费用表-2024年&amp;2025年优化'!$D:$E,2,0)</f>
        <v>吉林中新正大食品有限公司</v>
      </c>
      <c r="D1043" t="s">
        <v>116</v>
      </c>
      <c r="E1043" s="36">
        <f t="shared" ref="E1043:F1043" si="396">E1019</f>
        <v>0.228483826121646</v>
      </c>
      <c r="F1043" s="36">
        <f t="shared" si="396"/>
        <v>0</v>
      </c>
      <c r="G1043">
        <v>0.2</v>
      </c>
      <c r="H1043">
        <v>0.3</v>
      </c>
      <c r="J1043" s="2" t="s">
        <v>69</v>
      </c>
    </row>
    <row r="1044" spans="2:10" x14ac:dyDescent="0.3">
      <c r="B1044" s="47" t="s">
        <v>166</v>
      </c>
      <c r="C1044" t="str">
        <f>VLOOKUP($B1044,'标准费用表-2024年&amp;2025年优化'!$D:$E,2,0)</f>
        <v>吉林中新正大食品有限公司</v>
      </c>
      <c r="D1044" t="s">
        <v>117</v>
      </c>
      <c r="E1044" s="36">
        <f t="shared" ref="E1044:F1044" si="397">E1020</f>
        <v>0.18944857206700499</v>
      </c>
      <c r="F1044" s="36">
        <f t="shared" si="397"/>
        <v>0</v>
      </c>
      <c r="G1044">
        <v>0.2</v>
      </c>
      <c r="H1044">
        <v>0.3</v>
      </c>
      <c r="J1044" s="2" t="s">
        <v>69</v>
      </c>
    </row>
    <row r="1045" spans="2:10" x14ac:dyDescent="0.3">
      <c r="B1045" s="47" t="s">
        <v>166</v>
      </c>
      <c r="C1045" t="str">
        <f>VLOOKUP($B1045,'标准费用表-2024年&amp;2025年优化'!$D:$E,2,0)</f>
        <v>吉林中新正大食品有限公司</v>
      </c>
      <c r="D1045" t="s">
        <v>118</v>
      </c>
      <c r="E1045" s="36">
        <f t="shared" ref="E1045:F1045" si="398">E1021</f>
        <v>7.5192756485436399E-2</v>
      </c>
      <c r="F1045" s="36">
        <f t="shared" si="398"/>
        <v>0</v>
      </c>
      <c r="G1045">
        <v>0.2</v>
      </c>
      <c r="H1045">
        <v>0.3</v>
      </c>
      <c r="J1045" s="2" t="s">
        <v>69</v>
      </c>
    </row>
    <row r="1046" spans="2:10" x14ac:dyDescent="0.3">
      <c r="B1046" s="47" t="s">
        <v>166</v>
      </c>
      <c r="C1046" t="str">
        <f>VLOOKUP($B1046,'标准费用表-2024年&amp;2025年优化'!$D:$E,2,0)</f>
        <v>吉林中新正大食品有限公司</v>
      </c>
      <c r="D1046" t="s">
        <v>119</v>
      </c>
      <c r="E1046" s="36">
        <f>E974</f>
        <v>0.27195260414376099</v>
      </c>
      <c r="F1046" s="36">
        <f t="shared" ref="F1046" si="399">F1022</f>
        <v>0</v>
      </c>
      <c r="G1046">
        <v>0.2</v>
      </c>
      <c r="H1046">
        <v>0.3</v>
      </c>
      <c r="J1046" s="2" t="s">
        <v>69</v>
      </c>
    </row>
    <row r="1047" spans="2:10" x14ac:dyDescent="0.3">
      <c r="B1047" s="47" t="s">
        <v>166</v>
      </c>
      <c r="C1047" t="str">
        <f>VLOOKUP($B1047,'标准费用表-2024年&amp;2025年优化'!$D:$E,2,0)</f>
        <v>吉林中新正大食品有限公司</v>
      </c>
      <c r="D1047" t="s">
        <v>120</v>
      </c>
      <c r="E1047" s="36">
        <f t="shared" ref="E1047:E1069" si="400">E975</f>
        <v>0.72682695012819198</v>
      </c>
      <c r="F1047" s="36">
        <f t="shared" ref="F1047" si="401">F1023</f>
        <v>0</v>
      </c>
      <c r="G1047">
        <v>0.2</v>
      </c>
      <c r="H1047">
        <v>0.3</v>
      </c>
      <c r="J1047" s="2" t="s">
        <v>69</v>
      </c>
    </row>
    <row r="1048" spans="2:10" x14ac:dyDescent="0.3">
      <c r="B1048" s="47" t="s">
        <v>166</v>
      </c>
      <c r="C1048" t="str">
        <f>VLOOKUP($B1048,'标准费用表-2024年&amp;2025年优化'!$D:$E,2,0)</f>
        <v>吉林中新正大食品有限公司</v>
      </c>
      <c r="D1048" t="s">
        <v>121</v>
      </c>
      <c r="E1048" s="36">
        <f t="shared" si="400"/>
        <v>1.34527962265232</v>
      </c>
      <c r="F1048" s="36">
        <f t="shared" ref="F1048" si="402">F1024</f>
        <v>0</v>
      </c>
      <c r="G1048">
        <v>0.2</v>
      </c>
      <c r="H1048">
        <v>0.3</v>
      </c>
      <c r="J1048" s="2" t="s">
        <v>69</v>
      </c>
    </row>
    <row r="1049" spans="2:10" x14ac:dyDescent="0.3">
      <c r="B1049" s="47" t="s">
        <v>166</v>
      </c>
      <c r="C1049" t="str">
        <f>VLOOKUP($B1049,'标准费用表-2024年&amp;2025年优化'!$D:$E,2,0)</f>
        <v>吉林中新正大食品有限公司</v>
      </c>
      <c r="D1049" t="s">
        <v>122</v>
      </c>
      <c r="E1049" s="36">
        <f t="shared" si="400"/>
        <v>0.28271737094326199</v>
      </c>
      <c r="F1049" s="36">
        <f t="shared" ref="F1049" si="403">F1025</f>
        <v>0</v>
      </c>
      <c r="G1049">
        <v>0.2</v>
      </c>
      <c r="H1049">
        <v>0.3</v>
      </c>
      <c r="J1049" s="2" t="s">
        <v>69</v>
      </c>
    </row>
    <row r="1050" spans="2:10" x14ac:dyDescent="0.3">
      <c r="B1050" s="47" t="s">
        <v>166</v>
      </c>
      <c r="C1050" t="str">
        <f>VLOOKUP($B1050,'标准费用表-2024年&amp;2025年优化'!$D:$E,2,0)</f>
        <v>吉林中新正大食品有限公司</v>
      </c>
      <c r="D1050" t="s">
        <v>123</v>
      </c>
      <c r="E1050" s="36">
        <f t="shared" si="400"/>
        <v>0.12481251956626301</v>
      </c>
      <c r="F1050" s="36">
        <f t="shared" ref="F1050" si="404">F1026</f>
        <v>0</v>
      </c>
      <c r="G1050">
        <v>0.2</v>
      </c>
      <c r="H1050">
        <v>0.3</v>
      </c>
      <c r="J1050" s="2" t="s">
        <v>69</v>
      </c>
    </row>
    <row r="1051" spans="2:10" x14ac:dyDescent="0.3">
      <c r="B1051" s="47" t="s">
        <v>166</v>
      </c>
      <c r="C1051" t="str">
        <f>VLOOKUP($B1051,'标准费用表-2024年&amp;2025年优化'!$D:$E,2,0)</f>
        <v>吉林中新正大食品有限公司</v>
      </c>
      <c r="D1051" t="s">
        <v>124</v>
      </c>
      <c r="E1051" s="36">
        <f t="shared" si="400"/>
        <v>0.38627818926836799</v>
      </c>
      <c r="F1051" s="36">
        <f t="shared" ref="F1051" si="405">F1027</f>
        <v>0</v>
      </c>
      <c r="G1051">
        <v>0.2</v>
      </c>
      <c r="H1051">
        <v>0.3</v>
      </c>
      <c r="J1051" s="2" t="s">
        <v>69</v>
      </c>
    </row>
    <row r="1052" spans="2:10" x14ac:dyDescent="0.3">
      <c r="B1052" s="47" t="s">
        <v>166</v>
      </c>
      <c r="C1052" t="str">
        <f>VLOOKUP($B1052,'标准费用表-2024年&amp;2025年优化'!$D:$E,2,0)</f>
        <v>吉林中新正大食品有限公司</v>
      </c>
      <c r="D1052" t="s">
        <v>125</v>
      </c>
      <c r="E1052" s="36">
        <f t="shared" si="400"/>
        <v>0.63810134883417502</v>
      </c>
      <c r="F1052" s="36">
        <f t="shared" ref="F1052" si="406">F1028</f>
        <v>0</v>
      </c>
      <c r="G1052">
        <v>0.2</v>
      </c>
      <c r="H1052">
        <v>0.3</v>
      </c>
      <c r="J1052" s="2" t="s">
        <v>69</v>
      </c>
    </row>
    <row r="1053" spans="2:10" x14ac:dyDescent="0.3">
      <c r="B1053" s="47" t="s">
        <v>166</v>
      </c>
      <c r="C1053" t="str">
        <f>VLOOKUP($B1053,'标准费用表-2024年&amp;2025年优化'!$D:$E,2,0)</f>
        <v>吉林中新正大食品有限公司</v>
      </c>
      <c r="D1053" t="s">
        <v>126</v>
      </c>
      <c r="E1053" s="36">
        <f t="shared" si="400"/>
        <v>0.92565846299169696</v>
      </c>
      <c r="F1053" s="36">
        <f t="shared" ref="F1053" si="407">F1029</f>
        <v>0</v>
      </c>
      <c r="G1053">
        <v>0.2</v>
      </c>
      <c r="H1053">
        <v>0.3</v>
      </c>
      <c r="J1053" s="2" t="s">
        <v>69</v>
      </c>
    </row>
    <row r="1054" spans="2:10" x14ac:dyDescent="0.3">
      <c r="B1054" s="47" t="s">
        <v>166</v>
      </c>
      <c r="C1054" t="str">
        <f>VLOOKUP($B1054,'标准费用表-2024年&amp;2025年优化'!$D:$E,2,0)</f>
        <v>吉林中新正大食品有限公司</v>
      </c>
      <c r="D1054" t="s">
        <v>127</v>
      </c>
      <c r="E1054" s="36">
        <f t="shared" si="400"/>
        <v>0.54080937640402305</v>
      </c>
      <c r="F1054" s="36">
        <f t="shared" ref="F1054" si="408">F1030</f>
        <v>0</v>
      </c>
      <c r="G1054">
        <v>0.2</v>
      </c>
      <c r="H1054">
        <v>0.3</v>
      </c>
      <c r="J1054" s="2" t="s">
        <v>69</v>
      </c>
    </row>
    <row r="1055" spans="2:10" x14ac:dyDescent="0.3">
      <c r="B1055" s="47" t="s">
        <v>166</v>
      </c>
      <c r="C1055" t="str">
        <f>VLOOKUP($B1055,'标准费用表-2024年&amp;2025年优化'!$D:$E,2,0)</f>
        <v>吉林中新正大食品有限公司</v>
      </c>
      <c r="D1055" t="s">
        <v>128</v>
      </c>
      <c r="E1055" s="36">
        <f t="shared" si="400"/>
        <v>0.49665771675566101</v>
      </c>
      <c r="F1055" s="36">
        <f t="shared" ref="F1055" si="409">F1031</f>
        <v>0</v>
      </c>
      <c r="G1055">
        <v>0.2</v>
      </c>
      <c r="H1055">
        <v>0.3</v>
      </c>
      <c r="J1055" s="2" t="s">
        <v>69</v>
      </c>
    </row>
    <row r="1056" spans="2:10" x14ac:dyDescent="0.3">
      <c r="B1056" s="47" t="s">
        <v>166</v>
      </c>
      <c r="C1056" t="str">
        <f>VLOOKUP($B1056,'标准费用表-2024年&amp;2025年优化'!$D:$E,2,0)</f>
        <v>吉林中新正大食品有限公司</v>
      </c>
      <c r="D1056" t="s">
        <v>129</v>
      </c>
      <c r="E1056" s="36">
        <f t="shared" si="400"/>
        <v>0.63447613636853495</v>
      </c>
      <c r="F1056" s="36">
        <f t="shared" ref="F1056" si="410">F1032</f>
        <v>0</v>
      </c>
      <c r="G1056">
        <v>0.2</v>
      </c>
      <c r="H1056">
        <v>0.3</v>
      </c>
      <c r="J1056" s="2" t="s">
        <v>69</v>
      </c>
    </row>
    <row r="1057" spans="2:10" x14ac:dyDescent="0.3">
      <c r="B1057" s="47" t="s">
        <v>166</v>
      </c>
      <c r="C1057" t="str">
        <f>VLOOKUP($B1057,'标准费用表-2024年&amp;2025年优化'!$D:$E,2,0)</f>
        <v>吉林中新正大食品有限公司</v>
      </c>
      <c r="D1057" t="s">
        <v>130</v>
      </c>
      <c r="E1057" s="36">
        <f t="shared" si="400"/>
        <v>1.10353826331958</v>
      </c>
      <c r="F1057" s="36">
        <f t="shared" ref="F1057" si="411">F1033</f>
        <v>0</v>
      </c>
      <c r="G1057">
        <v>0.2</v>
      </c>
      <c r="H1057">
        <v>0.3</v>
      </c>
      <c r="J1057" s="2" t="s">
        <v>69</v>
      </c>
    </row>
    <row r="1058" spans="2:10" x14ac:dyDescent="0.3">
      <c r="B1058" s="47" t="s">
        <v>166</v>
      </c>
      <c r="C1058" t="str">
        <f>VLOOKUP($B1058,'标准费用表-2024年&amp;2025年优化'!$D:$E,2,0)</f>
        <v>吉林中新正大食品有限公司</v>
      </c>
      <c r="D1058" t="s">
        <v>131</v>
      </c>
      <c r="E1058" s="36">
        <f t="shared" si="400"/>
        <v>0.187883480515318</v>
      </c>
      <c r="F1058" s="36">
        <f t="shared" ref="F1058" si="412">F1034</f>
        <v>0</v>
      </c>
      <c r="G1058">
        <v>0.2</v>
      </c>
      <c r="H1058">
        <v>0.3</v>
      </c>
      <c r="J1058" s="2" t="s">
        <v>69</v>
      </c>
    </row>
    <row r="1059" spans="2:10" x14ac:dyDescent="0.3">
      <c r="B1059" s="47" t="s">
        <v>166</v>
      </c>
      <c r="C1059" t="str">
        <f>VLOOKUP($B1059,'标准费用表-2024年&amp;2025年优化'!$D:$E,2,0)</f>
        <v>吉林中新正大食品有限公司</v>
      </c>
      <c r="D1059" t="s">
        <v>132</v>
      </c>
      <c r="E1059" s="36">
        <f t="shared" si="400"/>
        <v>4.3500154606396002E-2</v>
      </c>
      <c r="F1059" s="36">
        <f t="shared" ref="F1059" si="413">F1035</f>
        <v>0</v>
      </c>
      <c r="G1059">
        <v>0.2</v>
      </c>
      <c r="H1059">
        <v>0.3</v>
      </c>
      <c r="J1059" s="2" t="s">
        <v>69</v>
      </c>
    </row>
    <row r="1060" spans="2:10" x14ac:dyDescent="0.3">
      <c r="B1060" s="47" t="s">
        <v>166</v>
      </c>
      <c r="C1060" t="str">
        <f>VLOOKUP($B1060,'标准费用表-2024年&amp;2025年优化'!$D:$E,2,0)</f>
        <v>吉林中新正大食品有限公司</v>
      </c>
      <c r="D1060" t="s">
        <v>133</v>
      </c>
      <c r="E1060" s="36">
        <f t="shared" si="400"/>
        <v>0.233383007552108</v>
      </c>
      <c r="F1060" s="36">
        <f t="shared" ref="F1060" si="414">F1036</f>
        <v>0</v>
      </c>
      <c r="G1060">
        <v>0.2</v>
      </c>
      <c r="H1060">
        <v>0.3</v>
      </c>
      <c r="J1060" s="2" t="s">
        <v>69</v>
      </c>
    </row>
    <row r="1061" spans="2:10" x14ac:dyDescent="0.3">
      <c r="B1061" s="47" t="s">
        <v>166</v>
      </c>
      <c r="C1061" t="str">
        <f>VLOOKUP($B1061,'标准费用表-2024年&amp;2025年优化'!$D:$E,2,0)</f>
        <v>吉林中新正大食品有限公司</v>
      </c>
      <c r="D1061" t="s">
        <v>134</v>
      </c>
      <c r="E1061" s="36">
        <f t="shared" si="400"/>
        <v>0.152651704789774</v>
      </c>
      <c r="F1061" s="36">
        <f t="shared" ref="F1061" si="415">F1037</f>
        <v>0</v>
      </c>
      <c r="G1061">
        <v>0.2</v>
      </c>
      <c r="H1061">
        <v>0.3</v>
      </c>
      <c r="J1061" s="2" t="s">
        <v>69</v>
      </c>
    </row>
    <row r="1062" spans="2:10" x14ac:dyDescent="0.3">
      <c r="B1062" s="47" t="s">
        <v>166</v>
      </c>
      <c r="C1062" t="str">
        <f>VLOOKUP($B1062,'标准费用表-2024年&amp;2025年优化'!$D:$E,2,0)</f>
        <v>吉林中新正大食品有限公司</v>
      </c>
      <c r="D1062" t="s">
        <v>135</v>
      </c>
      <c r="E1062" s="36">
        <f t="shared" si="400"/>
        <v>0.10117950290872001</v>
      </c>
      <c r="F1062" s="36">
        <f t="shared" ref="F1062" si="416">F1038</f>
        <v>0</v>
      </c>
      <c r="G1062">
        <v>0.2</v>
      </c>
      <c r="H1062">
        <v>0.3</v>
      </c>
      <c r="J1062" s="2" t="s">
        <v>69</v>
      </c>
    </row>
    <row r="1063" spans="2:10" x14ac:dyDescent="0.3">
      <c r="B1063" s="47" t="s">
        <v>166</v>
      </c>
      <c r="C1063" t="str">
        <f>VLOOKUP($B1063,'标准费用表-2024年&amp;2025年优化'!$D:$E,2,0)</f>
        <v>吉林中新正大食品有限公司</v>
      </c>
      <c r="D1063" t="s">
        <v>136</v>
      </c>
      <c r="E1063" s="36">
        <f t="shared" si="400"/>
        <v>1.7468864802669501E-2</v>
      </c>
      <c r="F1063" s="36">
        <f t="shared" ref="F1063" si="417">F1039</f>
        <v>0</v>
      </c>
      <c r="G1063">
        <v>0.2</v>
      </c>
      <c r="H1063">
        <v>0.3</v>
      </c>
      <c r="J1063" s="2" t="s">
        <v>69</v>
      </c>
    </row>
    <row r="1064" spans="2:10" x14ac:dyDescent="0.3">
      <c r="B1064" s="47" t="s">
        <v>166</v>
      </c>
      <c r="C1064" t="str">
        <f>VLOOKUP($B1064,'标准费用表-2024年&amp;2025年优化'!$D:$E,2,0)</f>
        <v>吉林中新正大食品有限公司</v>
      </c>
      <c r="D1064" t="s">
        <v>137</v>
      </c>
      <c r="E1064" s="36">
        <f t="shared" si="400"/>
        <v>9.1418190847031802E-2</v>
      </c>
      <c r="F1064" s="36">
        <f t="shared" ref="F1064" si="418">F1040</f>
        <v>0</v>
      </c>
      <c r="G1064">
        <v>0.2</v>
      </c>
      <c r="H1064">
        <v>0.3</v>
      </c>
      <c r="J1064" s="2" t="s">
        <v>69</v>
      </c>
    </row>
    <row r="1065" spans="2:10" x14ac:dyDescent="0.3">
      <c r="B1065" s="47" t="s">
        <v>166</v>
      </c>
      <c r="C1065" t="str">
        <f>VLOOKUP($B1065,'标准费用表-2024年&amp;2025年优化'!$D:$E,2,0)</f>
        <v>吉林中新正大食品有限公司</v>
      </c>
      <c r="D1065" t="s">
        <v>138</v>
      </c>
      <c r="E1065" s="36">
        <f t="shared" si="400"/>
        <v>8.3888322960519304E-2</v>
      </c>
      <c r="F1065" s="36">
        <f t="shared" ref="F1065" si="419">F1041</f>
        <v>0</v>
      </c>
      <c r="G1065">
        <v>0.2</v>
      </c>
      <c r="H1065">
        <v>0.3</v>
      </c>
      <c r="J1065" s="2" t="s">
        <v>69</v>
      </c>
    </row>
    <row r="1066" spans="2:10" x14ac:dyDescent="0.3">
      <c r="B1066" s="47" t="s">
        <v>166</v>
      </c>
      <c r="C1066" t="str">
        <f>VLOOKUP($B1066,'标准费用表-2024年&amp;2025年优化'!$D:$E,2,0)</f>
        <v>吉林中新正大食品有限公司</v>
      </c>
      <c r="D1066" t="s">
        <v>139</v>
      </c>
      <c r="E1066" s="36">
        <f t="shared" si="400"/>
        <v>0.293484221555879</v>
      </c>
      <c r="F1066" s="36">
        <f t="shared" ref="F1066" si="420">F1042</f>
        <v>0</v>
      </c>
      <c r="G1066">
        <v>0.2</v>
      </c>
      <c r="H1066">
        <v>0.3</v>
      </c>
      <c r="J1066" s="2" t="s">
        <v>69</v>
      </c>
    </row>
    <row r="1067" spans="2:10" x14ac:dyDescent="0.3">
      <c r="B1067" s="47" t="s">
        <v>166</v>
      </c>
      <c r="C1067" t="str">
        <f>VLOOKUP($B1067,'标准费用表-2024年&amp;2025年优化'!$D:$E,2,0)</f>
        <v>吉林中新正大食品有限公司</v>
      </c>
      <c r="D1067" t="s">
        <v>140</v>
      </c>
      <c r="E1067" s="36">
        <f t="shared" si="400"/>
        <v>0.34374926595616501</v>
      </c>
      <c r="F1067" s="36">
        <f t="shared" ref="F1067" si="421">F1043</f>
        <v>0</v>
      </c>
      <c r="G1067">
        <v>0.2</v>
      </c>
      <c r="H1067">
        <v>0.3</v>
      </c>
      <c r="J1067" s="2" t="s">
        <v>69</v>
      </c>
    </row>
    <row r="1068" spans="2:10" x14ac:dyDescent="0.3">
      <c r="B1068" s="47" t="s">
        <v>166</v>
      </c>
      <c r="C1068" t="str">
        <f>VLOOKUP($B1068,'标准费用表-2024年&amp;2025年优化'!$D:$E,2,0)</f>
        <v>吉林中新正大食品有限公司</v>
      </c>
      <c r="D1068" t="s">
        <v>141</v>
      </c>
      <c r="E1068" s="36">
        <f t="shared" si="400"/>
        <v>9.8292316581669301E-2</v>
      </c>
      <c r="F1068" s="36">
        <f t="shared" ref="F1068" si="422">F1044</f>
        <v>0</v>
      </c>
      <c r="G1068">
        <v>0.2</v>
      </c>
      <c r="H1068">
        <v>0.3</v>
      </c>
      <c r="J1068" s="2" t="s">
        <v>69</v>
      </c>
    </row>
    <row r="1069" spans="2:10" x14ac:dyDescent="0.3">
      <c r="B1069" s="47" t="s">
        <v>166</v>
      </c>
      <c r="C1069" t="str">
        <f>VLOOKUP($B1069,'标准费用表-2024年&amp;2025年优化'!$D:$E,2,0)</f>
        <v>吉林中新正大食品有限公司</v>
      </c>
      <c r="D1069" t="s">
        <v>142</v>
      </c>
      <c r="E1069" s="36">
        <f t="shared" si="400"/>
        <v>2.9244613891049799E-2</v>
      </c>
      <c r="F1069" s="36">
        <f t="shared" ref="F1069" si="423">F1045</f>
        <v>0</v>
      </c>
      <c r="G1069">
        <v>0.2</v>
      </c>
      <c r="H1069">
        <v>0.3</v>
      </c>
      <c r="J1069" s="2" t="s">
        <v>69</v>
      </c>
    </row>
    <row r="1070" spans="2:10" x14ac:dyDescent="0.3">
      <c r="B1070" s="47" t="s">
        <v>168</v>
      </c>
      <c r="C1070" t="str">
        <f>VLOOKUP($B1070,'标准费用表-2024年&amp;2025年优化'!$D:$E,2,0)</f>
        <v>新疆正大畜禽有限公司</v>
      </c>
      <c r="D1070" t="s">
        <v>41</v>
      </c>
      <c r="E1070" s="46">
        <f>IFERROR(VLOOKUP($B1070,'标准费用表-2024年&amp;2025年优化'!$D:$K,8,0)*VLOOKUP('5.成本表'!$D1070,系数辅助表!$C:$G,5,0)/VLOOKUP($D1070,系数辅助表!$C:$E,3,0),0)</f>
        <v>0.480789346536803</v>
      </c>
      <c r="I1070" s="36">
        <f>VLOOKUP($D1070,系数辅助表!$C:$F,4,0)</f>
        <v>1.33</v>
      </c>
      <c r="J1070" s="2" t="s">
        <v>41</v>
      </c>
    </row>
    <row r="1071" spans="2:10" x14ac:dyDescent="0.3">
      <c r="B1071" s="47" t="s">
        <v>168</v>
      </c>
      <c r="C1071" t="str">
        <f>VLOOKUP($B1071,'标准费用表-2024年&amp;2025年优化'!$D:$E,2,0)</f>
        <v>新疆正大畜禽有限公司</v>
      </c>
      <c r="D1071" t="s">
        <v>44</v>
      </c>
      <c r="E1071" s="46">
        <f>IFERROR(VLOOKUP($B1071,'标准费用表-2024年&amp;2025年优化'!$D:$K,8,0)*系数辅助表!$J$6*VLOOKUP('5.成本表'!$D1071,系数辅助表!$C:$G,5,0)/VLOOKUP($D1071,系数辅助表!$C:$E,3,0),0)</f>
        <v>0.274983344281794</v>
      </c>
      <c r="I1071" s="36">
        <f>VLOOKUP($D1071,系数辅助表!$C:$F,4,0)</f>
        <v>0.789027855994753</v>
      </c>
      <c r="J1071" s="2" t="s">
        <v>200</v>
      </c>
    </row>
    <row r="1072" spans="2:10" x14ac:dyDescent="0.3">
      <c r="B1072" s="47" t="s">
        <v>168</v>
      </c>
      <c r="C1072" t="str">
        <f>VLOOKUP($B1072,'标准费用表-2024年&amp;2025年优化'!$D:$E,2,0)</f>
        <v>新疆正大畜禽有限公司</v>
      </c>
      <c r="D1072" t="s">
        <v>45</v>
      </c>
      <c r="E1072" s="46">
        <f>IFERROR(VLOOKUP($B1072,'标准费用表-2024年&amp;2025年优化'!$D:$K,8,0)*系数辅助表!$J$6*VLOOKUP('5.成本表'!$D1072,系数辅助表!$C:$G,5,0)/VLOOKUP($D1072,系数辅助表!$C:$E,3,0),0)</f>
        <v>0.73492697777121596</v>
      </c>
      <c r="I1072" s="36">
        <f>VLOOKUP($D1072,系数辅助表!$C:$F,4,0)</f>
        <v>2.1087744754070901</v>
      </c>
      <c r="J1072" s="2" t="s">
        <v>200</v>
      </c>
    </row>
    <row r="1073" spans="2:10" x14ac:dyDescent="0.3">
      <c r="B1073" s="47" t="s">
        <v>168</v>
      </c>
      <c r="C1073" t="str">
        <f>VLOOKUP($B1073,'标准费用表-2024年&amp;2025年优化'!$D:$E,2,0)</f>
        <v>新疆正大畜禽有限公司</v>
      </c>
      <c r="D1073" t="s">
        <v>46</v>
      </c>
      <c r="E1073" s="46">
        <f>IFERROR(VLOOKUP($B1073,'标准费用表-2024年&amp;2025年优化'!$D:$K,8,0)*系数辅助表!$J$6*VLOOKUP('5.成本表'!$D1073,系数辅助表!$C:$G,5,0)/VLOOKUP($D1073,系数辅助表!$C:$E,3,0),0)</f>
        <v>1.3602719150118101</v>
      </c>
      <c r="I1073" s="36">
        <f>VLOOKUP($D1073,系数辅助表!$C:$F,4,0)</f>
        <v>3.9031179705625099</v>
      </c>
      <c r="J1073" s="2" t="s">
        <v>200</v>
      </c>
    </row>
    <row r="1074" spans="2:10" x14ac:dyDescent="0.3">
      <c r="B1074" s="47" t="s">
        <v>168</v>
      </c>
      <c r="C1074" t="str">
        <f>VLOOKUP($B1074,'标准费用表-2024年&amp;2025年优化'!$D:$E,2,0)</f>
        <v>新疆正大畜禽有限公司</v>
      </c>
      <c r="D1074" t="s">
        <v>47</v>
      </c>
      <c r="E1074" s="46">
        <f>IFERROR(VLOOKUP($B1074,'标准费用表-2024年&amp;2025年优化'!$D:$K,8,0)*系数辅助表!$J$6*VLOOKUP('5.成本表'!$D1074,系数辅助表!$C:$G,5,0)/VLOOKUP($D1074,系数辅助表!$C:$E,3,0),0)</f>
        <v>0.285868077613398</v>
      </c>
      <c r="I1074" s="36">
        <f>VLOOKUP($D1074,系数辅助表!$C:$F,4,0)</f>
        <v>0.82026013963048305</v>
      </c>
      <c r="J1074" s="2" t="s">
        <v>200</v>
      </c>
    </row>
    <row r="1075" spans="2:10" x14ac:dyDescent="0.3">
      <c r="B1075" s="47" t="s">
        <v>168</v>
      </c>
      <c r="C1075" t="str">
        <f>VLOOKUP($B1075,'标准费用表-2024年&amp;2025年优化'!$D:$E,2,0)</f>
        <v>新疆正大畜禽有限公司</v>
      </c>
      <c r="D1075" t="s">
        <v>48</v>
      </c>
      <c r="E1075" s="46">
        <f>IFERROR(VLOOKUP($B1075,'标准费用表-2024年&amp;2025年优化'!$D:$K,8,0)*系数辅助表!$J$6*VLOOKUP('5.成本表'!$D1075,系数辅助表!$C:$G,5,0)/VLOOKUP($D1075,系数辅助表!$C:$E,3,0),0)</f>
        <v>0.12620347632495801</v>
      </c>
      <c r="I1075" s="36">
        <f>VLOOKUP($D1075,系数辅助表!$C:$F,4,0)</f>
        <v>0.36212396283071502</v>
      </c>
      <c r="J1075" s="2" t="s">
        <v>200</v>
      </c>
    </row>
    <row r="1076" spans="2:10" x14ac:dyDescent="0.3">
      <c r="B1076" s="47" t="s">
        <v>168</v>
      </c>
      <c r="C1076" t="str">
        <f>VLOOKUP($B1076,'标准费用表-2024年&amp;2025年优化'!$D:$E,2,0)</f>
        <v>新疆正大畜禽有限公司</v>
      </c>
      <c r="D1076" t="s">
        <v>49</v>
      </c>
      <c r="E1076" s="46">
        <f>IFERROR(VLOOKUP($B1076,'标准费用表-2024年&amp;2025年优化'!$D:$K,8,0)*系数辅助表!$J$6*VLOOKUP('5.成本表'!$D1076,系数辅助表!$C:$G,5,0)/VLOOKUP($D1076,系数辅助表!$C:$E,3,0),0)</f>
        <v>0.39058301589927302</v>
      </c>
      <c r="I1076" s="36">
        <f>VLOOKUP($D1076,系数辅助表!$C:$F,4,0)</f>
        <v>1.1207256222295201</v>
      </c>
      <c r="J1076" s="2" t="s">
        <v>200</v>
      </c>
    </row>
    <row r="1077" spans="2:10" x14ac:dyDescent="0.3">
      <c r="B1077" s="47" t="s">
        <v>168</v>
      </c>
      <c r="C1077" t="str">
        <f>VLOOKUP($B1077,'标准费用表-2024年&amp;2025年优化'!$D:$E,2,0)</f>
        <v>新疆正大畜禽有限公司</v>
      </c>
      <c r="D1077" t="s">
        <v>50</v>
      </c>
      <c r="E1077" s="46">
        <f>IFERROR(VLOOKUP($B1077,'标准费用表-2024年&amp;2025年优化'!$D:$K,8,0)*系数辅助表!$J$6*VLOOKUP('5.成本表'!$D1077,系数辅助表!$C:$G,5,0)/VLOOKUP($D1077,系数辅助表!$C:$E,3,0),0)</f>
        <v>0.64521258564741701</v>
      </c>
      <c r="I1077" s="36">
        <f>VLOOKUP($D1077,系数辅助表!$C:$F,4,0)</f>
        <v>1.8513510498021799</v>
      </c>
      <c r="J1077" s="2" t="s">
        <v>200</v>
      </c>
    </row>
    <row r="1078" spans="2:10" x14ac:dyDescent="0.3">
      <c r="B1078" s="47" t="s">
        <v>168</v>
      </c>
      <c r="C1078" t="str">
        <f>VLOOKUP($B1078,'标准费用表-2024年&amp;2025年优化'!$D:$E,2,0)</f>
        <v>新疆正大畜禽有限公司</v>
      </c>
      <c r="D1078" t="s">
        <v>51</v>
      </c>
      <c r="E1078" s="46">
        <f>IFERROR(VLOOKUP($B1078,'标准费用表-2024年&amp;2025年优化'!$D:$K,8,0)*系数辅助表!$J$6*VLOOKUP('5.成本表'!$D1078,系数辅助表!$C:$G,5,0)/VLOOKUP($D1078,系数辅助表!$C:$E,3,0),0)</f>
        <v>0.935974342358732</v>
      </c>
      <c r="I1078" s="36">
        <f>VLOOKUP($D1078,系数辅助表!$C:$F,4,0)</f>
        <v>2.68565294580391</v>
      </c>
      <c r="J1078" s="2" t="s">
        <v>200</v>
      </c>
    </row>
    <row r="1079" spans="2:10" x14ac:dyDescent="0.3">
      <c r="B1079" s="47" t="s">
        <v>168</v>
      </c>
      <c r="C1079" t="str">
        <f>VLOOKUP($B1079,'标准费用表-2024年&amp;2025年优化'!$D:$E,2,0)</f>
        <v>新疆正大畜禽有限公司</v>
      </c>
      <c r="D1079" t="s">
        <v>52</v>
      </c>
      <c r="E1079" s="46">
        <f>IFERROR(VLOOKUP($B1079,'标准费用表-2024年&amp;2025年优化'!$D:$K,8,0)*系数辅助表!$J$6*VLOOKUP('5.成本表'!$D1079,系数辅助表!$C:$G,5,0)/VLOOKUP($D1079,系数辅助表!$C:$E,3,0),0)</f>
        <v>0.54683635558759203</v>
      </c>
      <c r="I1079" s="36">
        <f>VLOOKUP($D1079,系数辅助表!$C:$F,4,0)</f>
        <v>1.5690736410097099</v>
      </c>
      <c r="J1079" s="2" t="s">
        <v>200</v>
      </c>
    </row>
    <row r="1080" spans="2:10" x14ac:dyDescent="0.3">
      <c r="B1080" s="47" t="s">
        <v>168</v>
      </c>
      <c r="C1080" t="str">
        <f>VLOOKUP($B1080,'标准费用表-2024年&amp;2025年优化'!$D:$E,2,0)</f>
        <v>新疆正大畜禽有限公司</v>
      </c>
      <c r="D1080" t="s">
        <v>53</v>
      </c>
      <c r="E1080" s="46">
        <f>IFERROR(VLOOKUP($B1080,'标准费用表-2024年&amp;2025年优化'!$D:$K,8,0)*系数辅助表!$J$6*VLOOKUP('5.成本表'!$D1080,系数辅助表!$C:$G,5,0)/VLOOKUP($D1080,系数辅助表!$C:$E,3,0),0)</f>
        <v>0.50219265355751297</v>
      </c>
      <c r="I1080" s="36">
        <f>VLOOKUP($D1080,系数辅助表!$C:$F,4,0)</f>
        <v>1.44097452072131</v>
      </c>
      <c r="J1080" s="2" t="s">
        <v>200</v>
      </c>
    </row>
    <row r="1081" spans="2:10" x14ac:dyDescent="0.3">
      <c r="B1081" s="47" t="s">
        <v>168</v>
      </c>
      <c r="C1081" t="str">
        <f>VLOOKUP($B1081,'标准费用表-2024年&amp;2025年优化'!$D:$E,2,0)</f>
        <v>新疆正大畜禽有限公司</v>
      </c>
      <c r="D1081" t="s">
        <v>54</v>
      </c>
      <c r="E1081" s="46">
        <f>IFERROR(VLOOKUP($B1081,'标准费用表-2024年&amp;2025年优化'!$D:$K,8,0)*系数辅助表!$J$6*VLOOKUP('5.成本表'!$D1081,系数辅助表!$C:$G,5,0)/VLOOKUP($D1081,系数辅助表!$C:$E,3,0),0)</f>
        <v>0.64154697247679704</v>
      </c>
      <c r="I1081" s="36">
        <f>VLOOKUP($D1081,系数辅助表!$C:$F,4,0)</f>
        <v>1.8408330640366199</v>
      </c>
      <c r="J1081" s="2" t="s">
        <v>200</v>
      </c>
    </row>
    <row r="1082" spans="2:10" x14ac:dyDescent="0.3">
      <c r="B1082" s="47" t="s">
        <v>168</v>
      </c>
      <c r="C1082" t="str">
        <f>VLOOKUP($B1082,'标准费用表-2024年&amp;2025年优化'!$D:$E,2,0)</f>
        <v>新疆正大畜禽有限公司</v>
      </c>
      <c r="D1082" t="s">
        <v>55</v>
      </c>
      <c r="E1082" s="46">
        <f>IFERROR(VLOOKUP($B1082,'标准费用表-2024年&amp;2025年优化'!$D:$K,8,0)*系数辅助表!$J$6*VLOOKUP('5.成本表'!$D1082,系数辅助表!$C:$G,5,0)/VLOOKUP($D1082,系数辅助表!$C:$E,3,0),0)</f>
        <v>1.1158365007975</v>
      </c>
      <c r="I1082" s="36">
        <f>VLOOKUP($D1082,系数辅助表!$C:$F,4,0)</f>
        <v>3.2017433061789502</v>
      </c>
      <c r="J1082" s="2" t="s">
        <v>200</v>
      </c>
    </row>
    <row r="1083" spans="2:10" x14ac:dyDescent="0.3">
      <c r="B1083" s="47" t="s">
        <v>168</v>
      </c>
      <c r="C1083" t="str">
        <f>VLOOKUP($B1083,'标准费用表-2024年&amp;2025年优化'!$D:$E,2,0)</f>
        <v>新疆正大畜禽有限公司</v>
      </c>
      <c r="D1083" t="s">
        <v>56</v>
      </c>
      <c r="E1083" s="46">
        <f>IFERROR(VLOOKUP($B1083,'标准费用表-2024年&amp;2025年优化'!$D:$K,8,0)*系数辅助表!$J$6*VLOOKUP('5.成本表'!$D1083,系数辅助表!$C:$G,5,0)/VLOOKUP($D1083,系数辅助表!$C:$E,3,0),0)</f>
        <v>0.18997732332834699</v>
      </c>
      <c r="I1083" s="36">
        <f>VLOOKUP($D1083,系数辅助表!$C:$F,4,0)</f>
        <v>0.54511447049599404</v>
      </c>
      <c r="J1083" s="2" t="s">
        <v>200</v>
      </c>
    </row>
    <row r="1084" spans="2:10" x14ac:dyDescent="0.3">
      <c r="B1084" s="47" t="s">
        <v>168</v>
      </c>
      <c r="C1084" t="str">
        <f>VLOOKUP($B1084,'标准费用表-2024年&amp;2025年优化'!$D:$E,2,0)</f>
        <v>新疆正大畜禽有限公司</v>
      </c>
      <c r="D1084" t="s">
        <v>57</v>
      </c>
      <c r="E1084" s="46">
        <f>IFERROR(VLOOKUP($B1084,'标准费用表-2024年&amp;2025年优化'!$D:$K,8,0)*系数辅助表!$J$6*VLOOKUP('5.成本表'!$D1084,系数辅助表!$C:$G,5,0)/VLOOKUP($D1084,系数辅助表!$C:$E,3,0),0)</f>
        <v>4.3984936375599103E-2</v>
      </c>
      <c r="I1084" s="36">
        <f>VLOOKUP($D1084,系数辅助表!$C:$F,4,0)</f>
        <v>0.126208880523832</v>
      </c>
      <c r="J1084" s="2" t="s">
        <v>200</v>
      </c>
    </row>
    <row r="1085" spans="2:10" x14ac:dyDescent="0.3">
      <c r="B1085" s="47" t="s">
        <v>168</v>
      </c>
      <c r="C1085" t="str">
        <f>VLOOKUP($B1085,'标准费用表-2024年&amp;2025年优化'!$D:$E,2,0)</f>
        <v>新疆正大畜禽有限公司</v>
      </c>
      <c r="D1085" t="s">
        <v>58</v>
      </c>
      <c r="E1085" s="46">
        <f>IFERROR(VLOOKUP($B1085,'标准费用表-2024年&amp;2025年优化'!$D:$K,8,0)*系数辅助表!$J$6*VLOOKUP('5.成本表'!$D1085,系数辅助表!$C:$G,5,0)/VLOOKUP($D1085,系数辅助表!$C:$E,3,0),0)</f>
        <v>0.23598391387822901</v>
      </c>
      <c r="I1085" s="36">
        <f>VLOOKUP($D1085,系数辅助表!$C:$F,4,0)</f>
        <v>0.67712421675176204</v>
      </c>
      <c r="J1085" s="2" t="s">
        <v>200</v>
      </c>
    </row>
    <row r="1086" spans="2:10" x14ac:dyDescent="0.3">
      <c r="B1086" s="47" t="s">
        <v>168</v>
      </c>
      <c r="C1086" t="str">
        <f>VLOOKUP($B1086,'标准费用表-2024年&amp;2025年优化'!$D:$E,2,0)</f>
        <v>新疆正大畜禽有限公司</v>
      </c>
      <c r="D1086" t="s">
        <v>59</v>
      </c>
      <c r="E1086" s="46">
        <f>IFERROR(VLOOKUP($B1086,'标准费用表-2024年&amp;2025年优化'!$D:$K,8,0)*系数辅助表!$J$6*VLOOKUP('5.成本表'!$D1086,系数辅助表!$C:$G,5,0)/VLOOKUP($D1086,系数辅助表!$C:$E,3,0),0)</f>
        <v>0.15435291169787499</v>
      </c>
      <c r="I1086" s="36">
        <f>VLOOKUP($D1086,系数辅助表!$C:$F,4,0)</f>
        <v>0.44289499533730498</v>
      </c>
      <c r="J1086" s="2" t="s">
        <v>200</v>
      </c>
    </row>
    <row r="1087" spans="2:10" x14ac:dyDescent="0.3">
      <c r="B1087" s="47" t="s">
        <v>168</v>
      </c>
      <c r="C1087" t="str">
        <f>VLOOKUP($B1087,'标准费用表-2024年&amp;2025年优化'!$D:$E,2,0)</f>
        <v>新疆正大畜禽有限公司</v>
      </c>
      <c r="D1087" t="s">
        <v>60</v>
      </c>
      <c r="E1087" s="46">
        <f>IFERROR(VLOOKUP($B1087,'标准费用表-2024年&amp;2025年优化'!$D:$K,8,0)*系数辅助表!$J$6*VLOOKUP('5.成本表'!$D1087,系数辅助表!$C:$G,5,0)/VLOOKUP($D1087,系数辅助表!$C:$E,3,0),0)</f>
        <v>0.102307084612073</v>
      </c>
      <c r="I1087" s="36">
        <f>VLOOKUP($D1087,系数辅助表!$C:$F,4,0)</f>
        <v>0.29355646915769201</v>
      </c>
      <c r="J1087" s="2" t="s">
        <v>200</v>
      </c>
    </row>
    <row r="1088" spans="2:10" x14ac:dyDescent="0.3">
      <c r="B1088" s="47" t="s">
        <v>168</v>
      </c>
      <c r="C1088" t="str">
        <f>VLOOKUP($B1088,'标准费用表-2024年&amp;2025年优化'!$D:$E,2,0)</f>
        <v>新疆正大畜禽有限公司</v>
      </c>
      <c r="D1088" t="s">
        <v>61</v>
      </c>
      <c r="E1088" s="46">
        <f>IFERROR(VLOOKUP($B1088,'标准费用表-2024年&amp;2025年优化'!$D:$K,8,0)*系数辅助表!$J$6*VLOOKUP('5.成本表'!$D1088,系数辅助表!$C:$G,5,0)/VLOOKUP($D1088,系数辅助表!$C:$E,3,0),0)</f>
        <v>1.7663544275918101E-2</v>
      </c>
      <c r="I1088" s="36">
        <f>VLOOKUP($D1088,系数辅助表!$C:$F,4,0)</f>
        <v>5.0683173214352499E-2</v>
      </c>
      <c r="J1088" s="2" t="s">
        <v>200</v>
      </c>
    </row>
    <row r="1089" spans="2:10" x14ac:dyDescent="0.3">
      <c r="B1089" s="47" t="s">
        <v>168</v>
      </c>
      <c r="C1089" t="str">
        <f>VLOOKUP($B1089,'标准费用表-2024年&amp;2025年优化'!$D:$E,2,0)</f>
        <v>新疆正大畜禽有限公司</v>
      </c>
      <c r="D1089" t="s">
        <v>62</v>
      </c>
      <c r="E1089" s="46">
        <f>IFERROR(VLOOKUP($B1089,'标准费用表-2024年&amp;2025年优化'!$D:$K,8,0)*系数辅助表!$J$6*VLOOKUP('5.成本表'!$D1089,系数辅助表!$C:$G,5,0)/VLOOKUP($D1089,系数辅助表!$C:$E,3,0),0)</f>
        <v>9.2436988888031299E-2</v>
      </c>
      <c r="I1089" s="36">
        <f>VLOOKUP($D1089,系数辅助表!$C:$F,4,0)</f>
        <v>0.26523555216563399</v>
      </c>
      <c r="J1089" s="2" t="s">
        <v>200</v>
      </c>
    </row>
    <row r="1090" spans="2:10" x14ac:dyDescent="0.3">
      <c r="B1090" s="47" t="s">
        <v>168</v>
      </c>
      <c r="C1090" t="str">
        <f>VLOOKUP($B1090,'标准费用表-2024年&amp;2025年优化'!$D:$E,2,0)</f>
        <v>新疆正大畜禽有限公司</v>
      </c>
      <c r="D1090" t="s">
        <v>63</v>
      </c>
      <c r="E1090" s="46">
        <f>IFERROR(VLOOKUP($B1090,'标准费用表-2024年&amp;2025年优化'!$D:$K,8,0)*系数辅助表!$J$6*VLOOKUP('5.成本表'!$D1090,系数辅助表!$C:$G,5,0)/VLOOKUP($D1090,系数辅助表!$C:$E,3,0),0)</f>
        <v>8.4823205376185595E-2</v>
      </c>
      <c r="I1090" s="36">
        <f>VLOOKUP($D1090,系数辅助表!$C:$F,4,0)</f>
        <v>0.24338882069886</v>
      </c>
      <c r="J1090" s="2" t="s">
        <v>200</v>
      </c>
    </row>
    <row r="1091" spans="2:10" x14ac:dyDescent="0.3">
      <c r="B1091" s="47" t="s">
        <v>168</v>
      </c>
      <c r="C1091" t="str">
        <f>VLOOKUP($B1091,'标准费用表-2024年&amp;2025年优化'!$D:$E,2,0)</f>
        <v>新疆正大畜禽有限公司</v>
      </c>
      <c r="D1091" t="s">
        <v>64</v>
      </c>
      <c r="E1091" s="46">
        <f>IFERROR(VLOOKUP($B1091,'标准费用表-2024年&amp;2025年优化'!$D:$K,8,0)*系数辅助表!$J$6*VLOOKUP('5.成本表'!$D1091,系数辅助表!$C:$G,5,0)/VLOOKUP($D1091,系数辅助表!$C:$E,3,0),0)</f>
        <v>0.29675491798090098</v>
      </c>
      <c r="I1091" s="36">
        <f>VLOOKUP($D1091,系数辅助表!$C:$F,4,0)</f>
        <v>0.85149846912336002</v>
      </c>
      <c r="J1091" s="2" t="s">
        <v>200</v>
      </c>
    </row>
    <row r="1092" spans="2:10" x14ac:dyDescent="0.3">
      <c r="B1092" s="47" t="s">
        <v>168</v>
      </c>
      <c r="C1092" t="str">
        <f>VLOOKUP($B1092,'标准费用表-2024年&amp;2025年优化'!$D:$E,2,0)</f>
        <v>新疆正大畜禽有限公司</v>
      </c>
      <c r="D1092" t="s">
        <v>65</v>
      </c>
      <c r="E1092" s="46">
        <f>IFERROR(VLOOKUP($B1092,'标准费用表-2024年&amp;2025年优化'!$D:$K,8,0)*系数辅助表!$J$6*VLOOKUP('5.成本表'!$D1092,系数辅助表!$C:$G,5,0)/VLOOKUP($D1092,系数辅助表!$C:$E,3,0),0)</f>
        <v>0.347580134577675</v>
      </c>
      <c r="I1092" s="36">
        <f>VLOOKUP($D1092,系数辅助表!$C:$F,4,0)</f>
        <v>0.99733461707829196</v>
      </c>
      <c r="J1092" s="2" t="s">
        <v>200</v>
      </c>
    </row>
    <row r="1093" spans="2:10" x14ac:dyDescent="0.3">
      <c r="B1093" s="47" t="s">
        <v>168</v>
      </c>
      <c r="C1093" t="str">
        <f>VLOOKUP($B1093,'标准费用表-2024年&amp;2025年优化'!$D:$E,2,0)</f>
        <v>新疆正大畜禽有限公司</v>
      </c>
      <c r="D1093" t="s">
        <v>66</v>
      </c>
      <c r="E1093" s="46">
        <f>IFERROR(VLOOKUP($B1093,'标准费用表-2024年&amp;2025年优化'!$D:$K,8,0)*系数辅助表!$J$6*VLOOKUP('5.成本表'!$D1093,系数辅助表!$C:$G,5,0)/VLOOKUP($D1093,系数辅助表!$C:$E,3,0),0)</f>
        <v>9.9387722415572394E-2</v>
      </c>
      <c r="I1093" s="36">
        <f>VLOOKUP($D1093,系数辅助表!$C:$F,4,0)</f>
        <v>0.28517975055754302</v>
      </c>
      <c r="J1093" s="2" t="s">
        <v>200</v>
      </c>
    </row>
    <row r="1094" spans="2:10" x14ac:dyDescent="0.3">
      <c r="B1094" s="47" t="s">
        <v>168</v>
      </c>
      <c r="C1094" t="str">
        <f>VLOOKUP($B1094,'标准费用表-2024年&amp;2025年优化'!$D:$E,2,0)</f>
        <v>新疆正大畜禽有限公司</v>
      </c>
      <c r="D1094" t="s">
        <v>67</v>
      </c>
      <c r="E1094" s="46">
        <f>IFERROR(VLOOKUP($B1094,'标准费用表-2024年&amp;2025年优化'!$D:$K,8,0)*系数辅助表!$J$6*VLOOKUP('5.成本表'!$D1094,系数辅助表!$C:$G,5,0)/VLOOKUP($D1094,系数辅助表!$C:$E,3,0),0)</f>
        <v>2.9570526655959401E-2</v>
      </c>
      <c r="I1094" s="36">
        <f>VLOOKUP($D1094,系数辅助表!$C:$F,4,0)</f>
        <v>8.4848663503333893E-2</v>
      </c>
      <c r="J1094" s="2" t="s">
        <v>200</v>
      </c>
    </row>
    <row r="1095" spans="2:10" x14ac:dyDescent="0.3">
      <c r="B1095" s="47" t="s">
        <v>168</v>
      </c>
      <c r="C1095" t="str">
        <f>VLOOKUP($B1095,'标准费用表-2024年&amp;2025年优化'!$D:$E,2,0)</f>
        <v>新疆正大畜禽有限公司</v>
      </c>
      <c r="D1095" t="s">
        <v>68</v>
      </c>
      <c r="E1095" s="36">
        <f>IFERROR(VLOOKUP($B1095,'标准费用表-2024年&amp;2025年优化'!$D:$K,8,0)*VLOOKUP("白条",系数辅助表!$C:$G,5,0)*VLOOKUP('5.成本表'!$D1095,系数辅助表!$C:$G,5,0)/VLOOKUP('5.成本表'!$D1095,系数辅助表!$C:$E,3,0),)</f>
        <v>0.72060776459426501</v>
      </c>
      <c r="F1095" s="36">
        <f>IFERROR(VLOOKUP($B1095,'标准费用表-2024年&amp;2025年优化'!$D:$L,9,0)*VLOOKUP('5.成本表'!$D1095,系数辅助表!$C:$G,5,0)/VLOOKUP($D1095,系数辅助表!$C:$E,3,0),0)</f>
        <v>0</v>
      </c>
      <c r="I1095" s="36">
        <f>VLOOKUP($D1095,系数辅助表!$C:$F,4,0)</f>
        <v>2.2799999999999998</v>
      </c>
      <c r="J1095" s="2" t="s">
        <v>69</v>
      </c>
    </row>
    <row r="1096" spans="2:10" x14ac:dyDescent="0.3">
      <c r="B1096" s="47" t="s">
        <v>168</v>
      </c>
      <c r="C1096" t="str">
        <f>VLOOKUP($B1096,'标准费用表-2024年&amp;2025年优化'!$D:$E,2,0)</f>
        <v>新疆正大畜禽有限公司</v>
      </c>
      <c r="D1096" t="s">
        <v>70</v>
      </c>
      <c r="E1096" s="36">
        <f>IFERROR(VLOOKUP($B1096,'标准费用表-2024年&amp;2025年优化'!$D:$K,8,0)*VLOOKUP("白条",系数辅助表!$C:$G,5,0)*VLOOKUP('5.成本表'!$D1096,系数辅助表!$C:$G,5,0)/VLOOKUP('5.成本表'!$D1096,系数辅助表!$C:$E,3,0),)</f>
        <v>0.48158195463922399</v>
      </c>
      <c r="F1096" s="36">
        <f>IFERROR(VLOOKUP($B1096,'标准费用表-2024年&amp;2025年优化'!$D:$L,9,0)*VLOOKUP('5.成本表'!$D1096,系数辅助表!$C:$G,5,0)/VLOOKUP($D1096,系数辅助表!$C:$E,3,0),0)</f>
        <v>0</v>
      </c>
      <c r="I1096" s="36">
        <f>VLOOKUP($D1096,系数辅助表!$C:$F,4,0)</f>
        <v>1.5237233215154999</v>
      </c>
      <c r="J1096" s="2" t="s">
        <v>69</v>
      </c>
    </row>
    <row r="1097" spans="2:10" x14ac:dyDescent="0.3">
      <c r="B1097" s="47" t="s">
        <v>168</v>
      </c>
      <c r="C1097" t="str">
        <f>VLOOKUP($B1097,'标准费用表-2024年&amp;2025年优化'!$D:$E,2,0)</f>
        <v>新疆正大畜禽有限公司</v>
      </c>
      <c r="D1097" t="s">
        <v>71</v>
      </c>
      <c r="E1097" s="36">
        <f>IFERROR(VLOOKUP($B1097,'标准费用表-2024年&amp;2025年优化'!$D:$K,8,0)*VLOOKUP("白条",系数辅助表!$C:$G,5,0)*VLOOKUP('5.成本表'!$D1097,系数辅助表!$C:$G,5,0)/VLOOKUP('5.成本表'!$D1097,系数辅助表!$C:$E,3,0),)</f>
        <v>1.2745454041459701</v>
      </c>
      <c r="F1097" s="36">
        <f>IFERROR(VLOOKUP($B1097,'标准费用表-2024年&amp;2025年优化'!$D:$L,9,0)*VLOOKUP('5.成本表'!$D1097,系数辅助表!$C:$G,5,0)/VLOOKUP($D1097,系数辅助表!$C:$E,3,0),0)</f>
        <v>0</v>
      </c>
      <c r="I1097" s="36">
        <f>VLOOKUP($D1097,系数辅助表!$C:$F,4,0)</f>
        <v>4.0326564106466396</v>
      </c>
      <c r="J1097" s="2" t="s">
        <v>69</v>
      </c>
    </row>
    <row r="1098" spans="2:10" x14ac:dyDescent="0.3">
      <c r="B1098" s="47" t="s">
        <v>168</v>
      </c>
      <c r="C1098" t="str">
        <f>VLOOKUP($B1098,'标准费用表-2024年&amp;2025年优化'!$D:$E,2,0)</f>
        <v>新疆正大畜禽有限公司</v>
      </c>
      <c r="D1098" t="s">
        <v>72</v>
      </c>
      <c r="E1098" s="36">
        <f>IFERROR(VLOOKUP($B1098,'标准费用表-2024年&amp;2025年优化'!$D:$K,8,0)*VLOOKUP("白条",系数辅助表!$C:$G,5,0)*VLOOKUP('5.成本表'!$D1098,系数辅助表!$C:$G,5,0)/VLOOKUP('5.成本表'!$D1098,系数辅助表!$C:$E,3,0),)</f>
        <v>0.742282879298234</v>
      </c>
      <c r="F1098" s="36">
        <f>IFERROR(VLOOKUP($B1098,'标准费用表-2024年&amp;2025年优化'!$D:$L,9,0)*VLOOKUP('5.成本表'!$D1098,系数辅助表!$C:$G,5,0)/VLOOKUP($D1098,系数辅助表!$C:$E,3,0),0)</f>
        <v>0</v>
      </c>
      <c r="I1098" s="36">
        <f>VLOOKUP($D1098,系数辅助表!$C:$F,4,0)</f>
        <v>2.34857997367385</v>
      </c>
      <c r="J1098" s="2" t="s">
        <v>69</v>
      </c>
    </row>
    <row r="1099" spans="2:10" x14ac:dyDescent="0.3">
      <c r="B1099" s="47" t="s">
        <v>168</v>
      </c>
      <c r="C1099" t="str">
        <f>VLOOKUP($B1099,'标准费用表-2024年&amp;2025年优化'!$D:$E,2,0)</f>
        <v>新疆正大畜禽有限公司</v>
      </c>
      <c r="D1099" t="s">
        <v>73</v>
      </c>
      <c r="E1099" s="36">
        <f>IFERROR(VLOOKUP($B1099,'标准费用表-2024年&amp;2025年优化'!$D:$K,8,0)*VLOOKUP("白条",系数辅助表!$C:$G,5,0)*VLOOKUP('5.成本表'!$D1099,系数辅助表!$C:$G,5,0)/VLOOKUP('5.成本表'!$D1099,系数辅助表!$C:$E,3,0),)</f>
        <v>0.44591617322586102</v>
      </c>
      <c r="F1099" s="36">
        <f>IFERROR(VLOOKUP($B1099,'标准费用表-2024年&amp;2025年优化'!$D:$L,9,0)*VLOOKUP('5.成本表'!$D1099,系数辅助表!$C:$G,5,0)/VLOOKUP($D1099,系数辅助表!$C:$E,3,0),0)</f>
        <v>0</v>
      </c>
      <c r="I1099" s="36">
        <f>VLOOKUP($D1099,系数辅助表!$C:$F,4,0)</f>
        <v>1.41087693598112</v>
      </c>
      <c r="J1099" s="2" t="s">
        <v>69</v>
      </c>
    </row>
    <row r="1100" spans="2:10" x14ac:dyDescent="0.3">
      <c r="B1100" s="47" t="s">
        <v>168</v>
      </c>
      <c r="C1100" t="str">
        <f>VLOOKUP($B1100,'标准费用表-2024年&amp;2025年优化'!$D:$E,2,0)</f>
        <v>新疆正大畜禽有限公司</v>
      </c>
      <c r="D1100" t="s">
        <v>74</v>
      </c>
      <c r="E1100" s="36">
        <f>IFERROR(VLOOKUP($B1100,'标准费用表-2024年&amp;2025年优化'!$D:$K,8,0)*VLOOKUP("白条",系数辅助表!$C:$G,5,0)*VLOOKUP('5.成本表'!$D1100,系数辅助表!$C:$G,5,0)/VLOOKUP('5.成本表'!$D1100,系数辅助表!$C:$E,3,0),)</f>
        <v>0.60211908274047199</v>
      </c>
      <c r="F1100" s="36">
        <f>IFERROR(VLOOKUP($B1100,'标准费用表-2024年&amp;2025年优化'!$D:$L,9,0)*VLOOKUP('5.成本表'!$D1100,系数辅助表!$C:$G,5,0)/VLOOKUP($D1100,系数辅助表!$C:$E,3,0),0)</f>
        <v>0</v>
      </c>
      <c r="I1100" s="36">
        <f>VLOOKUP($D1100,系数辅助表!$C:$F,4,0)</f>
        <v>1.9051022985038799</v>
      </c>
      <c r="J1100" s="2" t="s">
        <v>69</v>
      </c>
    </row>
    <row r="1101" spans="2:10" x14ac:dyDescent="0.3">
      <c r="B1101" s="47" t="s">
        <v>168</v>
      </c>
      <c r="C1101" t="str">
        <f>VLOOKUP($B1101,'标准费用表-2024年&amp;2025年优化'!$D:$E,2,0)</f>
        <v>新疆正大畜禽有限公司</v>
      </c>
      <c r="D1101" t="s">
        <v>75</v>
      </c>
      <c r="E1101" s="36">
        <f>IFERROR(VLOOKUP($B1101,'标准费用表-2024年&amp;2025年优化'!$D:$K,8,0)*VLOOKUP("白条",系数辅助表!$C:$G,5,0)*VLOOKUP('5.成本表'!$D1101,系数辅助表!$C:$G,5,0)/VLOOKUP('5.成本表'!$D1101,系数辅助表!$C:$E,3,0),)</f>
        <v>0.45085897227689398</v>
      </c>
      <c r="F1101" s="36">
        <f>IFERROR(VLOOKUP($B1101,'标准费用表-2024年&amp;2025年优化'!$D:$L,9,0)*VLOOKUP('5.成本表'!$D1101,系数辅助表!$C:$G,5,0)/VLOOKUP($D1101,系数辅助表!$C:$E,3,0),0)</f>
        <v>0</v>
      </c>
      <c r="I1101" s="36">
        <f>VLOOKUP($D1101,系数辅助表!$C:$F,4,0)</f>
        <v>1.42651593182611</v>
      </c>
      <c r="J1101" s="2" t="s">
        <v>69</v>
      </c>
    </row>
    <row r="1102" spans="2:10" x14ac:dyDescent="0.3">
      <c r="B1102" s="47" t="s">
        <v>168</v>
      </c>
      <c r="C1102" t="str">
        <f>VLOOKUP($B1102,'标准费用表-2024年&amp;2025年优化'!$D:$E,2,0)</f>
        <v>新疆正大畜禽有限公司</v>
      </c>
      <c r="D1102" t="s">
        <v>76</v>
      </c>
      <c r="E1102" s="36">
        <f>IFERROR(VLOOKUP($B1102,'标准费用表-2024年&amp;2025年优化'!$D:$K,8,0)*VLOOKUP("白条",系数辅助表!$C:$G,5,0)*VLOOKUP('5.成本表'!$D1102,系数辅助表!$C:$G,5,0)/VLOOKUP('5.成本表'!$D1102,系数辅助表!$C:$E,3,0),)</f>
        <v>0.45941355327099198</v>
      </c>
      <c r="F1102" s="36">
        <f>IFERROR(VLOOKUP($B1102,'标准费用表-2024年&amp;2025年优化'!$D:$L,9,0)*VLOOKUP('5.成本表'!$D1102,系数辅助表!$C:$G,5,0)/VLOOKUP($D1102,系数辅助表!$C:$E,3,0),0)</f>
        <v>0</v>
      </c>
      <c r="I1102" s="36">
        <f>VLOOKUP($D1102,系数辅助表!$C:$F,4,0)</f>
        <v>1.4535825908670701</v>
      </c>
      <c r="J1102" s="2" t="s">
        <v>69</v>
      </c>
    </row>
    <row r="1103" spans="2:10" x14ac:dyDescent="0.3">
      <c r="B1103" s="47" t="s">
        <v>168</v>
      </c>
      <c r="C1103" t="str">
        <f>VLOOKUP($B1103,'标准费用表-2024年&amp;2025年优化'!$D:$E,2,0)</f>
        <v>新疆正大畜禽有限公司</v>
      </c>
      <c r="D1103" t="s">
        <v>77</v>
      </c>
      <c r="E1103" s="36">
        <f>IFERROR(VLOOKUP($B1103,'标准费用表-2024年&amp;2025年优化'!$D:$K,8,0)*VLOOKUP("白条",系数辅助表!$C:$G,5,0)*VLOOKUP('5.成本表'!$D1103,系数辅助表!$C:$G,5,0)/VLOOKUP('5.成本表'!$D1103,系数辅助表!$C:$E,3,0),)</f>
        <v>0.45544880168060198</v>
      </c>
      <c r="F1103" s="36">
        <f>IFERROR(VLOOKUP($B1103,'标准费用表-2024年&amp;2025年优化'!$D:$L,9,0)*VLOOKUP('5.成本表'!$D1103,系数辅助表!$C:$G,5,0)/VLOOKUP($D1103,系数辅助表!$C:$E,3,0),0)</f>
        <v>0</v>
      </c>
      <c r="I1103" s="36">
        <f>VLOOKUP($D1103,系数辅助表!$C:$F,4,0)</f>
        <v>1.4410381331603499</v>
      </c>
      <c r="J1103" s="2" t="s">
        <v>69</v>
      </c>
    </row>
    <row r="1104" spans="2:10" x14ac:dyDescent="0.3">
      <c r="B1104" s="47" t="s">
        <v>168</v>
      </c>
      <c r="C1104" t="str">
        <f>VLOOKUP($B1104,'标准费用表-2024年&amp;2025年优化'!$D:$E,2,0)</f>
        <v>新疆正大畜禽有限公司</v>
      </c>
      <c r="D1104" t="s">
        <v>78</v>
      </c>
      <c r="E1104" s="36">
        <f>IFERROR(VLOOKUP($B1104,'标准费用表-2024年&amp;2025年优化'!$D:$K,8,0)*VLOOKUP("白条",系数辅助表!$C:$G,5,0)*VLOOKUP('5.成本表'!$D1104,系数辅助表!$C:$G,5,0)/VLOOKUP('5.成本表'!$D1104,系数辅助表!$C:$E,3,0),)</f>
        <v>0.39059236330383201</v>
      </c>
      <c r="F1104" s="36">
        <f>IFERROR(VLOOKUP($B1104,'标准费用表-2024年&amp;2025年优化'!$D:$L,9,0)*VLOOKUP('5.成本表'!$D1104,系数辅助表!$C:$G,5,0)/VLOOKUP($D1104,系数辅助表!$C:$E,3,0),0)</f>
        <v>0</v>
      </c>
      <c r="I1104" s="36">
        <f>VLOOKUP($D1104,系数辅助表!$C:$F,4,0)</f>
        <v>1.2358326291892801</v>
      </c>
      <c r="J1104" s="2" t="s">
        <v>69</v>
      </c>
    </row>
    <row r="1105" spans="2:10" x14ac:dyDescent="0.3">
      <c r="B1105" s="47" t="s">
        <v>168</v>
      </c>
      <c r="C1105" t="str">
        <f>VLOOKUP($B1105,'标准费用表-2024年&amp;2025年优化'!$D:$E,2,0)</f>
        <v>新疆正大畜禽有限公司</v>
      </c>
      <c r="D1105" t="s">
        <v>79</v>
      </c>
      <c r="E1105" s="36">
        <f>IFERROR(VLOOKUP($B1105,'标准费用表-2024年&amp;2025年优化'!$D:$K,8,0)*VLOOKUP("白条",系数辅助表!$C:$G,5,0)*VLOOKUP('5.成本表'!$D1105,系数辅助表!$C:$G,5,0)/VLOOKUP('5.成本表'!$D1105,系数辅助表!$C:$E,3,0),)</f>
        <v>0.27282495024575998</v>
      </c>
      <c r="F1105" s="36">
        <f>IFERROR(VLOOKUP($B1105,'标准费用表-2024年&amp;2025年优化'!$D:$L,9,0)*VLOOKUP('5.成本表'!$D1105,系数辅助表!$C:$G,5,0)/VLOOKUP($D1105,系数辅助表!$C:$E,3,0),0)</f>
        <v>0</v>
      </c>
      <c r="I1105" s="36">
        <f>VLOOKUP($D1105,系数辅助表!$C:$F,4,0)</f>
        <v>0.86321701919291904</v>
      </c>
      <c r="J1105" s="2" t="s">
        <v>69</v>
      </c>
    </row>
    <row r="1106" spans="2:10" x14ac:dyDescent="0.3">
      <c r="B1106" s="47" t="s">
        <v>168</v>
      </c>
      <c r="C1106" t="str">
        <f>VLOOKUP($B1106,'标准费用表-2024年&amp;2025年优化'!$D:$E,2,0)</f>
        <v>新疆正大畜禽有限公司</v>
      </c>
      <c r="D1106" t="s">
        <v>80</v>
      </c>
      <c r="E1106" s="36">
        <f>IFERROR(VLOOKUP($B1106,'标准费用表-2024年&amp;2025年优化'!$D:$K,8,0)*VLOOKUP("白条",系数辅助表!$C:$G,5,0)*VLOOKUP('5.成本表'!$D1106,系数辅助表!$C:$G,5,0)/VLOOKUP('5.成本表'!$D1106,系数辅助表!$C:$E,3,0),)</f>
        <v>0.25185681587877801</v>
      </c>
      <c r="F1106" s="36">
        <f>IFERROR(VLOOKUP($B1106,'标准费用表-2024年&amp;2025年优化'!$D:$L,9,0)*VLOOKUP('5.成本表'!$D1106,系数辅助表!$C:$G,5,0)/VLOOKUP($D1106,系数辅助表!$C:$E,3,0),0)</f>
        <v>0</v>
      </c>
      <c r="I1106" s="36">
        <f>VLOOKUP($D1106,系数辅助表!$C:$F,4,0)</f>
        <v>0.796873928394225</v>
      </c>
      <c r="J1106" s="2" t="s">
        <v>69</v>
      </c>
    </row>
    <row r="1107" spans="2:10" x14ac:dyDescent="0.3">
      <c r="B1107" s="47" t="s">
        <v>168</v>
      </c>
      <c r="C1107" t="str">
        <f>VLOOKUP($B1107,'标准费用表-2024年&amp;2025年优化'!$D:$E,2,0)</f>
        <v>新疆正大畜禽有限公司</v>
      </c>
      <c r="D1107" t="s">
        <v>81</v>
      </c>
      <c r="E1107" s="36">
        <f>IFERROR(VLOOKUP($B1107,'标准费用表-2024年&amp;2025年优化'!$D:$K,8,0)*VLOOKUP("白条",系数辅助表!$C:$G,5,0)*VLOOKUP('5.成本表'!$D1107,系数辅助表!$C:$G,5,0)/VLOOKUP('5.成本表'!$D1107,系数辅助表!$C:$E,3,0),)</f>
        <v>0.347285126391009</v>
      </c>
      <c r="F1107" s="36">
        <f>IFERROR(VLOOKUP($B1107,'标准费用表-2024年&amp;2025年优化'!$D:$L,9,0)*VLOOKUP('5.成本表'!$D1107,系数辅助表!$C:$G,5,0)/VLOOKUP($D1107,系数辅助表!$C:$E,3,0),0)</f>
        <v>0</v>
      </c>
      <c r="I1107" s="36">
        <f>VLOOKUP($D1107,系数辅助表!$C:$F,4,0)</f>
        <v>1.09880870991909</v>
      </c>
      <c r="J1107" s="2" t="s">
        <v>69</v>
      </c>
    </row>
    <row r="1108" spans="2:10" x14ac:dyDescent="0.3">
      <c r="B1108" s="47" t="s">
        <v>168</v>
      </c>
      <c r="C1108" t="str">
        <f>VLOOKUP($B1108,'标准费用表-2024年&amp;2025年优化'!$D:$E,2,0)</f>
        <v>新疆正大畜禽有限公司</v>
      </c>
      <c r="D1108" t="s">
        <v>82</v>
      </c>
      <c r="E1108" s="36">
        <f>IFERROR(VLOOKUP($B1108,'标准费用表-2024年&amp;2025年优化'!$D:$K,8,0)*VLOOKUP("白条",系数辅助表!$C:$G,5,0)*VLOOKUP('5.成本表'!$D1108,系数辅助表!$C:$G,5,0)/VLOOKUP('5.成本表'!$D1108,系数辅助表!$C:$E,3,0),)</f>
        <v>0.31642622463938302</v>
      </c>
      <c r="F1108" s="36">
        <f>IFERROR(VLOOKUP($B1108,'标准费用表-2024年&amp;2025年优化'!$D:$L,9,0)*VLOOKUP('5.成本表'!$D1108,系数辅助表!$C:$G,5,0)/VLOOKUP($D1108,系数辅助表!$C:$E,3,0),0)</f>
        <v>0</v>
      </c>
      <c r="I1108" s="36">
        <f>VLOOKUP($D1108,系数辅助表!$C:$F,4,0)</f>
        <v>1.0011712718416299</v>
      </c>
      <c r="J1108" s="2" t="s">
        <v>69</v>
      </c>
    </row>
    <row r="1109" spans="2:10" x14ac:dyDescent="0.3">
      <c r="B1109" s="47" t="s">
        <v>168</v>
      </c>
      <c r="C1109" t="str">
        <f>VLOOKUP($B1109,'标准费用表-2024年&amp;2025年优化'!$D:$E,2,0)</f>
        <v>新疆正大畜禽有限公司</v>
      </c>
      <c r="D1109" t="s">
        <v>83</v>
      </c>
      <c r="E1109" s="36">
        <f>IFERROR(VLOOKUP($B1109,'标准费用表-2024年&amp;2025年优化'!$D:$K,8,0)*VLOOKUP("白条",系数辅助表!$C:$G,5,0)*VLOOKUP('5.成本表'!$D1109,系数辅助表!$C:$G,5,0)/VLOOKUP('5.成本表'!$D1109,系数辅助表!$C:$E,3,0),)</f>
        <v>0.28456192747146802</v>
      </c>
      <c r="F1109" s="36">
        <f>IFERROR(VLOOKUP($B1109,'标准费用表-2024年&amp;2025年优化'!$D:$L,9,0)*VLOOKUP('5.成本表'!$D1109,系数辅助表!$C:$G,5,0)/VLOOKUP($D1109,系数辅助表!$C:$E,3,0),0)</f>
        <v>0</v>
      </c>
      <c r="I1109" s="36">
        <f>VLOOKUP($D1109,系数辅助表!$C:$F,4,0)</f>
        <v>0.90035276680685095</v>
      </c>
      <c r="J1109" s="2" t="s">
        <v>69</v>
      </c>
    </row>
    <row r="1110" spans="2:10" x14ac:dyDescent="0.3">
      <c r="B1110" s="47" t="s">
        <v>168</v>
      </c>
      <c r="C1110" t="str">
        <f>VLOOKUP($B1110,'标准费用表-2024年&amp;2025年优化'!$D:$E,2,0)</f>
        <v>新疆正大畜禽有限公司</v>
      </c>
      <c r="D1110" t="s">
        <v>84</v>
      </c>
      <c r="E1110" s="36">
        <f>IFERROR(VLOOKUP($B1110,'标准费用表-2024年&amp;2025年优化'!$D:$K,8,0)*VLOOKUP("白条",系数辅助表!$C:$G,5,0)*VLOOKUP('5.成本表'!$D1110,系数辅助表!$C:$G,5,0)/VLOOKUP('5.成本表'!$D1110,系数辅助表!$C:$E,3,0),)</f>
        <v>0.28581878306816699</v>
      </c>
      <c r="F1110" s="36">
        <f>IFERROR(VLOOKUP($B1110,'标准费用表-2024年&amp;2025年优化'!$D:$L,9,0)*VLOOKUP('5.成本表'!$D1110,系数辅助表!$C:$G,5,0)/VLOOKUP($D1110,系数辅助表!$C:$E,3,0),0)</f>
        <v>0</v>
      </c>
      <c r="I1110" s="36">
        <f>VLOOKUP($D1110,系数辅助表!$C:$F,4,0)</f>
        <v>0.90432945273957599</v>
      </c>
      <c r="J1110" s="2" t="s">
        <v>69</v>
      </c>
    </row>
    <row r="1111" spans="2:10" x14ac:dyDescent="0.3">
      <c r="B1111" s="47" t="s">
        <v>168</v>
      </c>
      <c r="C1111" t="str">
        <f>VLOOKUP($B1111,'标准费用表-2024年&amp;2025年优化'!$D:$E,2,0)</f>
        <v>新疆正大畜禽有限公司</v>
      </c>
      <c r="D1111" t="s">
        <v>85</v>
      </c>
      <c r="E1111" s="36">
        <f>IFERROR(VLOOKUP($B1111,'标准费用表-2024年&amp;2025年优化'!$D:$K,8,0)*VLOOKUP("白条",系数辅助表!$C:$G,5,0)*VLOOKUP('5.成本表'!$D1111,系数辅助表!$C:$G,5,0)/VLOOKUP('5.成本表'!$D1111,系数辅助表!$C:$E,3,0),)</f>
        <v>0.35536558688178099</v>
      </c>
      <c r="F1111" s="36">
        <f>IFERROR(VLOOKUP($B1111,'标准费用表-2024年&amp;2025年优化'!$D:$L,9,0)*VLOOKUP('5.成本表'!$D1111,系数辅助表!$C:$G,5,0)/VLOOKUP($D1111,系数辅助表!$C:$E,3,0),0)</f>
        <v>0</v>
      </c>
      <c r="I1111" s="36">
        <f>VLOOKUP($D1111,系数辅助表!$C:$F,4,0)</f>
        <v>1.12437525363977</v>
      </c>
      <c r="J1111" s="2" t="s">
        <v>69</v>
      </c>
    </row>
    <row r="1112" spans="2:10" x14ac:dyDescent="0.3">
      <c r="B1112" s="47" t="s">
        <v>168</v>
      </c>
      <c r="C1112" t="str">
        <f>VLOOKUP($B1112,'标准费用表-2024年&amp;2025年优化'!$D:$E,2,0)</f>
        <v>新疆正大畜禽有限公司</v>
      </c>
      <c r="D1112" t="s">
        <v>86</v>
      </c>
      <c r="E1112" s="36">
        <f>IFERROR(VLOOKUP($B1112,'标准费用表-2024年&amp;2025年优化'!$D:$K,8,0)*VLOOKUP("白条",系数辅助表!$C:$G,5,0)*VLOOKUP('5.成本表'!$D1112,系数辅助表!$C:$G,5,0)/VLOOKUP('5.成本表'!$D1112,系数辅助表!$C:$E,3,0),)</f>
        <v>0.31073759891650798</v>
      </c>
      <c r="F1112" s="36">
        <f>IFERROR(VLOOKUP($B1112,'标准费用表-2024年&amp;2025年优化'!$D:$L,9,0)*VLOOKUP('5.成本表'!$D1112,系数辅助表!$C:$G,5,0)/VLOOKUP($D1112,系数辅助表!$C:$E,3,0),0)</f>
        <v>0</v>
      </c>
      <c r="I1112" s="36">
        <f>VLOOKUP($D1112,系数辅助表!$C:$F,4,0)</f>
        <v>0.98317248347795105</v>
      </c>
      <c r="J1112" s="2" t="s">
        <v>69</v>
      </c>
    </row>
    <row r="1113" spans="2:10" x14ac:dyDescent="0.3">
      <c r="B1113" s="47" t="s">
        <v>168</v>
      </c>
      <c r="C1113" t="str">
        <f>VLOOKUP($B1113,'标准费用表-2024年&amp;2025年优化'!$D:$E,2,0)</f>
        <v>新疆正大畜禽有限公司</v>
      </c>
      <c r="D1113" t="s">
        <v>87</v>
      </c>
      <c r="E1113" s="36">
        <f>IFERROR(VLOOKUP($B1113,'标准费用表-2024年&amp;2025年优化'!$D:$K,8,0)*VLOOKUP("白条",系数辅助表!$C:$G,5,0)*VLOOKUP('5.成本表'!$D1113,系数辅助表!$C:$G,5,0)/VLOOKUP('5.成本表'!$D1113,系数辅助表!$C:$E,3,0),)</f>
        <v>0.22506499312452</v>
      </c>
      <c r="F1113" s="36">
        <f>IFERROR(VLOOKUP($B1113,'标准费用表-2024年&amp;2025年优化'!$D:$L,9,0)*VLOOKUP('5.成本表'!$D1113,系数辅助表!$C:$G,5,0)/VLOOKUP($D1113,系数辅助表!$C:$E,3,0),0)</f>
        <v>0</v>
      </c>
      <c r="I1113" s="36">
        <f>VLOOKUP($D1113,系数辅助表!$C:$F,4,0)</f>
        <v>0.71210471151782795</v>
      </c>
      <c r="J1113" s="2" t="s">
        <v>69</v>
      </c>
    </row>
    <row r="1114" spans="2:10" x14ac:dyDescent="0.3">
      <c r="B1114" s="47" t="s">
        <v>168</v>
      </c>
      <c r="C1114" t="str">
        <f>VLOOKUP($B1114,'标准费用表-2024年&amp;2025年优化'!$D:$E,2,0)</f>
        <v>新疆正大畜禽有限公司</v>
      </c>
      <c r="D1114" t="s">
        <v>88</v>
      </c>
      <c r="E1114" s="36">
        <f>IFERROR(VLOOKUP($B1114,'标准费用表-2024年&amp;2025年优化'!$D:$K,8,0)*VLOOKUP("白条",系数辅助表!$C:$G,5,0)*VLOOKUP('5.成本表'!$D1114,系数辅助表!$C:$G,5,0)/VLOOKUP('5.成本表'!$D1114,系数辅助表!$C:$E,3,0),)</f>
        <v>0.85006153702063902</v>
      </c>
      <c r="F1114" s="36">
        <f>IFERROR(VLOOKUP($B1114,'标准费用表-2024年&amp;2025年优化'!$D:$L,9,0)*VLOOKUP('5.成本表'!$D1114,系数辅助表!$C:$G,5,0)/VLOOKUP($D1114,系数辅助表!$C:$E,3,0),0)</f>
        <v>0</v>
      </c>
      <c r="I1114" s="36">
        <f>VLOOKUP($D1114,系数辅助表!$C:$F,4,0)</f>
        <v>2.6895912029178799</v>
      </c>
      <c r="J1114" s="2" t="s">
        <v>69</v>
      </c>
    </row>
    <row r="1115" spans="2:10" x14ac:dyDescent="0.3">
      <c r="B1115" s="47" t="s">
        <v>168</v>
      </c>
      <c r="C1115" t="str">
        <f>VLOOKUP($B1115,'标准费用表-2024年&amp;2025年优化'!$D:$E,2,0)</f>
        <v>新疆正大畜禽有限公司</v>
      </c>
      <c r="D1115" t="s">
        <v>89</v>
      </c>
      <c r="E1115" s="36">
        <f>IFERROR(VLOOKUP($B1115,'标准费用表-2024年&amp;2025年优化'!$D:$K,8,0)*VLOOKUP("白条",系数辅助表!$C:$G,5,0)*VLOOKUP('5.成本表'!$D1115,系数辅助表!$C:$G,5,0)/VLOOKUP('5.成本表'!$D1115,系数辅助表!$C:$E,3,0),)</f>
        <v>0.36560707336766801</v>
      </c>
      <c r="F1115" s="36">
        <f>IFERROR(VLOOKUP($B1115,'标准费用表-2024年&amp;2025年优化'!$D:$L,9,0)*VLOOKUP('5.成本表'!$D1115,系数辅助表!$C:$G,5,0)/VLOOKUP($D1115,系数辅助表!$C:$E,3,0),0)</f>
        <v>0</v>
      </c>
      <c r="I1115" s="36">
        <f>VLOOKUP($D1115,系数辅助表!$C:$F,4,0)</f>
        <v>1.1567792747107399</v>
      </c>
      <c r="J1115" s="2" t="s">
        <v>69</v>
      </c>
    </row>
    <row r="1116" spans="2:10" x14ac:dyDescent="0.3">
      <c r="B1116" s="47" t="s">
        <v>168</v>
      </c>
      <c r="C1116" t="str">
        <f>VLOOKUP($B1116,'标准费用表-2024年&amp;2025年优化'!$D:$E,2,0)</f>
        <v>新疆正大畜禽有限公司</v>
      </c>
      <c r="D1116" t="s">
        <v>90</v>
      </c>
      <c r="E1116" s="36">
        <f>IFERROR(VLOOKUP($B1116,'标准费用表-2024年&amp;2025年优化'!$D:$K,8,0)*VLOOKUP("白条",系数辅助表!$C:$G,5,0)*VLOOKUP('5.成本表'!$D1116,系数辅助表!$C:$G,5,0)/VLOOKUP('5.成本表'!$D1116,系数辅助表!$C:$E,3,0),)</f>
        <v>0.23103013416270499</v>
      </c>
      <c r="F1116" s="36">
        <f>IFERROR(VLOOKUP($B1116,'标准费用表-2024年&amp;2025年优化'!$D:$L,9,0)*VLOOKUP('5.成本表'!$D1116,系数辅助表!$C:$G,5,0)/VLOOKUP($D1116,系数辅助表!$C:$E,3,0),0)</f>
        <v>0</v>
      </c>
      <c r="I1116" s="36">
        <f>VLOOKUP($D1116,系数辅助表!$C:$F,4,0)</f>
        <v>0.73097839320056501</v>
      </c>
      <c r="J1116" s="2" t="s">
        <v>69</v>
      </c>
    </row>
    <row r="1117" spans="2:10" x14ac:dyDescent="0.3">
      <c r="B1117" s="47" t="s">
        <v>168</v>
      </c>
      <c r="C1117" t="str">
        <f>VLOOKUP($B1117,'标准费用表-2024年&amp;2025年优化'!$D:$E,2,0)</f>
        <v>新疆正大畜禽有限公司</v>
      </c>
      <c r="D1117" t="s">
        <v>91</v>
      </c>
      <c r="E1117" s="36">
        <f>IFERROR(VLOOKUP($B1117,'标准费用表-2024年&amp;2025年优化'!$D:$K,8,0)*VLOOKUP("白条",系数辅助表!$C:$G,5,0)*VLOOKUP('5.成本表'!$D1117,系数辅助表!$C:$G,5,0)/VLOOKUP('5.成本表'!$D1117,系数辅助表!$C:$E,3,0),)</f>
        <v>0.19155985683761501</v>
      </c>
      <c r="F1117" s="36">
        <f>IFERROR(VLOOKUP($B1117,'标准费用表-2024年&amp;2025年优化'!$D:$L,9,0)*VLOOKUP('5.成本表'!$D1117,系数辅助表!$C:$G,5,0)/VLOOKUP($D1117,系数辅助表!$C:$E,3,0),0)</f>
        <v>0</v>
      </c>
      <c r="I1117" s="36">
        <f>VLOOKUP($D1117,系数辅助表!$C:$F,4,0)</f>
        <v>0.60609459826688905</v>
      </c>
      <c r="J1117" s="2" t="s">
        <v>69</v>
      </c>
    </row>
    <row r="1118" spans="2:10" x14ac:dyDescent="0.3">
      <c r="B1118" s="47" t="s">
        <v>168</v>
      </c>
      <c r="C1118" t="str">
        <f>VLOOKUP($B1118,'标准费用表-2024年&amp;2025年优化'!$D:$E,2,0)</f>
        <v>新疆正大畜禽有限公司</v>
      </c>
      <c r="D1118" t="s">
        <v>92</v>
      </c>
      <c r="E1118" s="36">
        <f>IFERROR(VLOOKUP($B1118,'标准费用表-2024年&amp;2025年优化'!$D:$K,8,0)*VLOOKUP("白条",系数辅助表!$C:$G,5,0)*VLOOKUP('5.成本表'!$D1118,系数辅助表!$C:$G,5,0)/VLOOKUP('5.成本表'!$D1118,系数辅助表!$C:$E,3,0),)</f>
        <v>7.6030732300697207E-2</v>
      </c>
      <c r="F1118" s="36">
        <f>IFERROR(VLOOKUP($B1118,'标准费用表-2024年&amp;2025年优化'!$D:$L,9,0)*VLOOKUP('5.成本表'!$D1118,系数辅助表!$C:$G,5,0)/VLOOKUP($D1118,系数辅助表!$C:$E,3,0),0)</f>
        <v>0</v>
      </c>
      <c r="I1118" s="36">
        <f>VLOOKUP($D1118,系数辅助表!$C:$F,4,0)</f>
        <v>0.24056092393508099</v>
      </c>
      <c r="J1118" s="2" t="s">
        <v>69</v>
      </c>
    </row>
    <row r="1119" spans="2:10" x14ac:dyDescent="0.3">
      <c r="B1119" s="47" t="s">
        <v>168</v>
      </c>
      <c r="C1119" t="str">
        <f>VLOOKUP($B1119,'标准费用表-2024年&amp;2025年优化'!$D:$E,2,0)</f>
        <v>新疆正大畜禽有限公司</v>
      </c>
      <c r="D1119" t="s">
        <v>93</v>
      </c>
      <c r="E1119" s="36">
        <f>E1095</f>
        <v>0.72060776459426501</v>
      </c>
      <c r="F1119" s="36">
        <f>F1095</f>
        <v>0</v>
      </c>
      <c r="G1119">
        <v>0.2</v>
      </c>
      <c r="H1119">
        <v>0.3</v>
      </c>
      <c r="J1119" s="2" t="s">
        <v>69</v>
      </c>
    </row>
    <row r="1120" spans="2:10" x14ac:dyDescent="0.3">
      <c r="B1120" s="47" t="s">
        <v>168</v>
      </c>
      <c r="C1120" t="str">
        <f>VLOOKUP($B1120,'标准费用表-2024年&amp;2025年优化'!$D:$E,2,0)</f>
        <v>新疆正大畜禽有限公司</v>
      </c>
      <c r="D1120" t="s">
        <v>96</v>
      </c>
      <c r="E1120" s="36">
        <f t="shared" ref="E1120:F1120" si="424">E1096</f>
        <v>0.48158195463922399</v>
      </c>
      <c r="F1120" s="36">
        <f t="shared" si="424"/>
        <v>0</v>
      </c>
      <c r="G1120">
        <v>0.2</v>
      </c>
      <c r="H1120">
        <v>0.3</v>
      </c>
      <c r="J1120" s="2" t="s">
        <v>69</v>
      </c>
    </row>
    <row r="1121" spans="2:10" x14ac:dyDescent="0.3">
      <c r="B1121" s="47" t="s">
        <v>168</v>
      </c>
      <c r="C1121" t="str">
        <f>VLOOKUP($B1121,'标准费用表-2024年&amp;2025年优化'!$D:$E,2,0)</f>
        <v>新疆正大畜禽有限公司</v>
      </c>
      <c r="D1121" t="s">
        <v>97</v>
      </c>
      <c r="E1121" s="36">
        <f t="shared" ref="E1121:F1121" si="425">E1097</f>
        <v>1.2745454041459701</v>
      </c>
      <c r="F1121" s="36">
        <f t="shared" si="425"/>
        <v>0</v>
      </c>
      <c r="G1121">
        <v>0.2</v>
      </c>
      <c r="H1121">
        <v>0.3</v>
      </c>
      <c r="J1121" s="2" t="s">
        <v>69</v>
      </c>
    </row>
    <row r="1122" spans="2:10" x14ac:dyDescent="0.3">
      <c r="B1122" s="47" t="s">
        <v>168</v>
      </c>
      <c r="C1122" t="str">
        <f>VLOOKUP($B1122,'标准费用表-2024年&amp;2025年优化'!$D:$E,2,0)</f>
        <v>新疆正大畜禽有限公司</v>
      </c>
      <c r="D1122" t="s">
        <v>98</v>
      </c>
      <c r="E1122" s="36">
        <f t="shared" ref="E1122:F1122" si="426">E1098</f>
        <v>0.742282879298234</v>
      </c>
      <c r="F1122" s="36">
        <f t="shared" si="426"/>
        <v>0</v>
      </c>
      <c r="G1122">
        <v>0.2</v>
      </c>
      <c r="H1122">
        <v>0.3</v>
      </c>
      <c r="J1122" s="2" t="s">
        <v>69</v>
      </c>
    </row>
    <row r="1123" spans="2:10" x14ac:dyDescent="0.3">
      <c r="B1123" s="47" t="s">
        <v>168</v>
      </c>
      <c r="C1123" t="str">
        <f>VLOOKUP($B1123,'标准费用表-2024年&amp;2025年优化'!$D:$E,2,0)</f>
        <v>新疆正大畜禽有限公司</v>
      </c>
      <c r="D1123" t="s">
        <v>99</v>
      </c>
      <c r="E1123" s="36">
        <f t="shared" ref="E1123:F1123" si="427">E1099</f>
        <v>0.44591617322586102</v>
      </c>
      <c r="F1123" s="36">
        <f t="shared" si="427"/>
        <v>0</v>
      </c>
      <c r="G1123">
        <v>0.2</v>
      </c>
      <c r="H1123">
        <v>0.3</v>
      </c>
      <c r="J1123" s="2" t="s">
        <v>69</v>
      </c>
    </row>
    <row r="1124" spans="2:10" x14ac:dyDescent="0.3">
      <c r="B1124" s="47" t="s">
        <v>168</v>
      </c>
      <c r="C1124" t="str">
        <f>VLOOKUP($B1124,'标准费用表-2024年&amp;2025年优化'!$D:$E,2,0)</f>
        <v>新疆正大畜禽有限公司</v>
      </c>
      <c r="D1124" t="s">
        <v>100</v>
      </c>
      <c r="E1124" s="36">
        <f t="shared" ref="E1124:F1124" si="428">E1100</f>
        <v>0.60211908274047199</v>
      </c>
      <c r="F1124" s="36">
        <f t="shared" si="428"/>
        <v>0</v>
      </c>
      <c r="G1124">
        <v>0.2</v>
      </c>
      <c r="H1124">
        <v>0.3</v>
      </c>
      <c r="J1124" s="2" t="s">
        <v>69</v>
      </c>
    </row>
    <row r="1125" spans="2:10" x14ac:dyDescent="0.3">
      <c r="B1125" s="47" t="s">
        <v>168</v>
      </c>
      <c r="C1125" t="str">
        <f>VLOOKUP($B1125,'标准费用表-2024年&amp;2025年优化'!$D:$E,2,0)</f>
        <v>新疆正大畜禽有限公司</v>
      </c>
      <c r="D1125" t="s">
        <v>101</v>
      </c>
      <c r="E1125" s="36">
        <f t="shared" ref="E1125:F1125" si="429">E1101</f>
        <v>0.45085897227689398</v>
      </c>
      <c r="F1125" s="36">
        <f t="shared" si="429"/>
        <v>0</v>
      </c>
      <c r="G1125">
        <v>0.2</v>
      </c>
      <c r="H1125">
        <v>0.3</v>
      </c>
      <c r="J1125" s="2" t="s">
        <v>69</v>
      </c>
    </row>
    <row r="1126" spans="2:10" x14ac:dyDescent="0.3">
      <c r="B1126" s="47" t="s">
        <v>168</v>
      </c>
      <c r="C1126" t="str">
        <f>VLOOKUP($B1126,'标准费用表-2024年&amp;2025年优化'!$D:$E,2,0)</f>
        <v>新疆正大畜禽有限公司</v>
      </c>
      <c r="D1126" t="s">
        <v>102</v>
      </c>
      <c r="E1126" s="36">
        <f t="shared" ref="E1126:F1126" si="430">E1102</f>
        <v>0.45941355327099198</v>
      </c>
      <c r="F1126" s="36">
        <f t="shared" si="430"/>
        <v>0</v>
      </c>
      <c r="G1126">
        <v>0.2</v>
      </c>
      <c r="H1126">
        <v>0.3</v>
      </c>
      <c r="J1126" s="2" t="s">
        <v>69</v>
      </c>
    </row>
    <row r="1127" spans="2:10" x14ac:dyDescent="0.3">
      <c r="B1127" s="47" t="s">
        <v>168</v>
      </c>
      <c r="C1127" t="str">
        <f>VLOOKUP($B1127,'标准费用表-2024年&amp;2025年优化'!$D:$E,2,0)</f>
        <v>新疆正大畜禽有限公司</v>
      </c>
      <c r="D1127" t="s">
        <v>103</v>
      </c>
      <c r="E1127" s="36">
        <f t="shared" ref="E1127:F1127" si="431">E1103</f>
        <v>0.45544880168060198</v>
      </c>
      <c r="F1127" s="36">
        <f t="shared" si="431"/>
        <v>0</v>
      </c>
      <c r="G1127">
        <v>0.2</v>
      </c>
      <c r="H1127">
        <v>0.3</v>
      </c>
      <c r="J1127" s="2" t="s">
        <v>69</v>
      </c>
    </row>
    <row r="1128" spans="2:10" x14ac:dyDescent="0.3">
      <c r="B1128" s="47" t="s">
        <v>168</v>
      </c>
      <c r="C1128" t="str">
        <f>VLOOKUP($B1128,'标准费用表-2024年&amp;2025年优化'!$D:$E,2,0)</f>
        <v>新疆正大畜禽有限公司</v>
      </c>
      <c r="D1128" t="s">
        <v>104</v>
      </c>
      <c r="E1128" s="36">
        <f t="shared" ref="E1128:F1128" si="432">E1104</f>
        <v>0.39059236330383201</v>
      </c>
      <c r="F1128" s="36">
        <f t="shared" si="432"/>
        <v>0</v>
      </c>
      <c r="G1128">
        <v>0.2</v>
      </c>
      <c r="H1128">
        <v>0.3</v>
      </c>
      <c r="J1128" s="2" t="s">
        <v>69</v>
      </c>
    </row>
    <row r="1129" spans="2:10" x14ac:dyDescent="0.3">
      <c r="B1129" s="47" t="s">
        <v>168</v>
      </c>
      <c r="C1129" t="str">
        <f>VLOOKUP($B1129,'标准费用表-2024年&amp;2025年优化'!$D:$E,2,0)</f>
        <v>新疆正大畜禽有限公司</v>
      </c>
      <c r="D1129" t="s">
        <v>105</v>
      </c>
      <c r="E1129" s="36">
        <f t="shared" ref="E1129:F1129" si="433">E1105</f>
        <v>0.27282495024575998</v>
      </c>
      <c r="F1129" s="36">
        <f t="shared" si="433"/>
        <v>0</v>
      </c>
      <c r="G1129">
        <v>0.2</v>
      </c>
      <c r="H1129">
        <v>0.3</v>
      </c>
      <c r="J1129" s="2" t="s">
        <v>69</v>
      </c>
    </row>
    <row r="1130" spans="2:10" x14ac:dyDescent="0.3">
      <c r="B1130" s="47" t="s">
        <v>168</v>
      </c>
      <c r="C1130" t="str">
        <f>VLOOKUP($B1130,'标准费用表-2024年&amp;2025年优化'!$D:$E,2,0)</f>
        <v>新疆正大畜禽有限公司</v>
      </c>
      <c r="D1130" t="s">
        <v>106</v>
      </c>
      <c r="E1130" s="36">
        <f t="shared" ref="E1130:F1130" si="434">E1106</f>
        <v>0.25185681587877801</v>
      </c>
      <c r="F1130" s="36">
        <f t="shared" si="434"/>
        <v>0</v>
      </c>
      <c r="G1130">
        <v>0.2</v>
      </c>
      <c r="H1130">
        <v>0.3</v>
      </c>
      <c r="J1130" s="2" t="s">
        <v>69</v>
      </c>
    </row>
    <row r="1131" spans="2:10" x14ac:dyDescent="0.3">
      <c r="B1131" s="47" t="s">
        <v>168</v>
      </c>
      <c r="C1131" t="str">
        <f>VLOOKUP($B1131,'标准费用表-2024年&amp;2025年优化'!$D:$E,2,0)</f>
        <v>新疆正大畜禽有限公司</v>
      </c>
      <c r="D1131" t="s">
        <v>107</v>
      </c>
      <c r="E1131" s="36">
        <f t="shared" ref="E1131:F1131" si="435">E1107</f>
        <v>0.347285126391009</v>
      </c>
      <c r="F1131" s="36">
        <f t="shared" si="435"/>
        <v>0</v>
      </c>
      <c r="G1131">
        <v>0.2</v>
      </c>
      <c r="H1131">
        <v>0.3</v>
      </c>
      <c r="J1131" s="2" t="s">
        <v>69</v>
      </c>
    </row>
    <row r="1132" spans="2:10" x14ac:dyDescent="0.3">
      <c r="B1132" s="47" t="s">
        <v>168</v>
      </c>
      <c r="C1132" t="str">
        <f>VLOOKUP($B1132,'标准费用表-2024年&amp;2025年优化'!$D:$E,2,0)</f>
        <v>新疆正大畜禽有限公司</v>
      </c>
      <c r="D1132" t="s">
        <v>108</v>
      </c>
      <c r="E1132" s="36">
        <f t="shared" ref="E1132:F1132" si="436">E1108</f>
        <v>0.31642622463938302</v>
      </c>
      <c r="F1132" s="36">
        <f t="shared" si="436"/>
        <v>0</v>
      </c>
      <c r="G1132">
        <v>0.2</v>
      </c>
      <c r="H1132">
        <v>0.3</v>
      </c>
      <c r="J1132" s="2" t="s">
        <v>69</v>
      </c>
    </row>
    <row r="1133" spans="2:10" x14ac:dyDescent="0.3">
      <c r="B1133" s="47" t="s">
        <v>168</v>
      </c>
      <c r="C1133" t="str">
        <f>VLOOKUP($B1133,'标准费用表-2024年&amp;2025年优化'!$D:$E,2,0)</f>
        <v>新疆正大畜禽有限公司</v>
      </c>
      <c r="D1133" t="s">
        <v>109</v>
      </c>
      <c r="E1133" s="36">
        <f t="shared" ref="E1133:F1133" si="437">E1109</f>
        <v>0.28456192747146802</v>
      </c>
      <c r="F1133" s="36">
        <f t="shared" si="437"/>
        <v>0</v>
      </c>
      <c r="G1133">
        <v>0.2</v>
      </c>
      <c r="H1133">
        <v>0.3</v>
      </c>
      <c r="J1133" s="2" t="s">
        <v>69</v>
      </c>
    </row>
    <row r="1134" spans="2:10" x14ac:dyDescent="0.3">
      <c r="B1134" s="47" t="s">
        <v>168</v>
      </c>
      <c r="C1134" t="str">
        <f>VLOOKUP($B1134,'标准费用表-2024年&amp;2025年优化'!$D:$E,2,0)</f>
        <v>新疆正大畜禽有限公司</v>
      </c>
      <c r="D1134" t="s">
        <v>110</v>
      </c>
      <c r="E1134" s="36">
        <f t="shared" ref="E1134:F1134" si="438">E1110</f>
        <v>0.28581878306816699</v>
      </c>
      <c r="F1134" s="36">
        <f t="shared" si="438"/>
        <v>0</v>
      </c>
      <c r="G1134">
        <v>0.2</v>
      </c>
      <c r="H1134">
        <v>0.3</v>
      </c>
      <c r="J1134" s="2" t="s">
        <v>69</v>
      </c>
    </row>
    <row r="1135" spans="2:10" x14ac:dyDescent="0.3">
      <c r="B1135" s="47" t="s">
        <v>168</v>
      </c>
      <c r="C1135" t="str">
        <f>VLOOKUP($B1135,'标准费用表-2024年&amp;2025年优化'!$D:$E,2,0)</f>
        <v>新疆正大畜禽有限公司</v>
      </c>
      <c r="D1135" t="s">
        <v>111</v>
      </c>
      <c r="E1135" s="36">
        <f t="shared" ref="E1135:F1135" si="439">E1111</f>
        <v>0.35536558688178099</v>
      </c>
      <c r="F1135" s="36">
        <f t="shared" si="439"/>
        <v>0</v>
      </c>
      <c r="G1135">
        <v>0.2</v>
      </c>
      <c r="H1135">
        <v>0.3</v>
      </c>
      <c r="J1135" s="2" t="s">
        <v>69</v>
      </c>
    </row>
    <row r="1136" spans="2:10" x14ac:dyDescent="0.3">
      <c r="B1136" s="47" t="s">
        <v>168</v>
      </c>
      <c r="C1136" t="str">
        <f>VLOOKUP($B1136,'标准费用表-2024年&amp;2025年优化'!$D:$E,2,0)</f>
        <v>新疆正大畜禽有限公司</v>
      </c>
      <c r="D1136" t="s">
        <v>112</v>
      </c>
      <c r="E1136" s="36">
        <f t="shared" ref="E1136:F1136" si="440">E1112</f>
        <v>0.31073759891650798</v>
      </c>
      <c r="F1136" s="36">
        <f t="shared" si="440"/>
        <v>0</v>
      </c>
      <c r="G1136">
        <v>0.2</v>
      </c>
      <c r="H1136">
        <v>0.3</v>
      </c>
      <c r="J1136" s="2" t="s">
        <v>69</v>
      </c>
    </row>
    <row r="1137" spans="2:10" x14ac:dyDescent="0.3">
      <c r="B1137" s="47" t="s">
        <v>168</v>
      </c>
      <c r="C1137" t="str">
        <f>VLOOKUP($B1137,'标准费用表-2024年&amp;2025年优化'!$D:$E,2,0)</f>
        <v>新疆正大畜禽有限公司</v>
      </c>
      <c r="D1137" t="s">
        <v>113</v>
      </c>
      <c r="E1137" s="36">
        <f t="shared" ref="E1137:F1137" si="441">E1113</f>
        <v>0.22506499312452</v>
      </c>
      <c r="F1137" s="36">
        <f t="shared" si="441"/>
        <v>0</v>
      </c>
      <c r="G1137">
        <v>0.2</v>
      </c>
      <c r="H1137">
        <v>0.3</v>
      </c>
      <c r="J1137" s="2" t="s">
        <v>69</v>
      </c>
    </row>
    <row r="1138" spans="2:10" x14ac:dyDescent="0.3">
      <c r="B1138" s="47" t="s">
        <v>168</v>
      </c>
      <c r="C1138" t="str">
        <f>VLOOKUP($B1138,'标准费用表-2024年&amp;2025年优化'!$D:$E,2,0)</f>
        <v>新疆正大畜禽有限公司</v>
      </c>
      <c r="D1138" t="s">
        <v>114</v>
      </c>
      <c r="E1138" s="36">
        <f t="shared" ref="E1138:F1138" si="442">E1114</f>
        <v>0.85006153702063902</v>
      </c>
      <c r="F1138" s="36">
        <f t="shared" si="442"/>
        <v>0</v>
      </c>
      <c r="G1138">
        <v>0.2</v>
      </c>
      <c r="H1138">
        <v>0.3</v>
      </c>
      <c r="J1138" s="2" t="s">
        <v>69</v>
      </c>
    </row>
    <row r="1139" spans="2:10" x14ac:dyDescent="0.3">
      <c r="B1139" s="47" t="s">
        <v>168</v>
      </c>
      <c r="C1139" t="str">
        <f>VLOOKUP($B1139,'标准费用表-2024年&amp;2025年优化'!$D:$E,2,0)</f>
        <v>新疆正大畜禽有限公司</v>
      </c>
      <c r="D1139" t="s">
        <v>115</v>
      </c>
      <c r="E1139" s="36">
        <f t="shared" ref="E1139:F1139" si="443">E1115</f>
        <v>0.36560707336766801</v>
      </c>
      <c r="F1139" s="36">
        <f t="shared" si="443"/>
        <v>0</v>
      </c>
      <c r="G1139">
        <v>0.2</v>
      </c>
      <c r="H1139">
        <v>0.3</v>
      </c>
      <c r="J1139" s="2" t="s">
        <v>69</v>
      </c>
    </row>
    <row r="1140" spans="2:10" x14ac:dyDescent="0.3">
      <c r="B1140" s="47" t="s">
        <v>168</v>
      </c>
      <c r="C1140" t="str">
        <f>VLOOKUP($B1140,'标准费用表-2024年&amp;2025年优化'!$D:$E,2,0)</f>
        <v>新疆正大畜禽有限公司</v>
      </c>
      <c r="D1140" t="s">
        <v>116</v>
      </c>
      <c r="E1140" s="36">
        <f t="shared" ref="E1140:F1140" si="444">E1116</f>
        <v>0.23103013416270499</v>
      </c>
      <c r="F1140" s="36">
        <f t="shared" si="444"/>
        <v>0</v>
      </c>
      <c r="G1140">
        <v>0.2</v>
      </c>
      <c r="H1140">
        <v>0.3</v>
      </c>
      <c r="J1140" s="2" t="s">
        <v>69</v>
      </c>
    </row>
    <row r="1141" spans="2:10" x14ac:dyDescent="0.3">
      <c r="B1141" s="47" t="s">
        <v>168</v>
      </c>
      <c r="C1141" t="str">
        <f>VLOOKUP($B1141,'标准费用表-2024年&amp;2025年优化'!$D:$E,2,0)</f>
        <v>新疆正大畜禽有限公司</v>
      </c>
      <c r="D1141" t="s">
        <v>117</v>
      </c>
      <c r="E1141" s="36">
        <f t="shared" ref="E1141:F1141" si="445">E1117</f>
        <v>0.19155985683761501</v>
      </c>
      <c r="F1141" s="36">
        <f t="shared" si="445"/>
        <v>0</v>
      </c>
      <c r="G1141">
        <v>0.2</v>
      </c>
      <c r="H1141">
        <v>0.3</v>
      </c>
      <c r="J1141" s="2" t="s">
        <v>69</v>
      </c>
    </row>
    <row r="1142" spans="2:10" x14ac:dyDescent="0.3">
      <c r="B1142" s="47" t="s">
        <v>168</v>
      </c>
      <c r="C1142" t="str">
        <f>VLOOKUP($B1142,'标准费用表-2024年&amp;2025年优化'!$D:$E,2,0)</f>
        <v>新疆正大畜禽有限公司</v>
      </c>
      <c r="D1142" t="s">
        <v>118</v>
      </c>
      <c r="E1142" s="36">
        <f t="shared" ref="E1142:F1142" si="446">E1118</f>
        <v>7.6030732300697207E-2</v>
      </c>
      <c r="F1142" s="36">
        <f t="shared" si="446"/>
        <v>0</v>
      </c>
      <c r="G1142">
        <v>0.2</v>
      </c>
      <c r="H1142">
        <v>0.3</v>
      </c>
      <c r="J1142" s="2" t="s">
        <v>69</v>
      </c>
    </row>
    <row r="1143" spans="2:10" x14ac:dyDescent="0.3">
      <c r="B1143" s="47" t="s">
        <v>168</v>
      </c>
      <c r="C1143" t="str">
        <f>VLOOKUP($B1143,'标准费用表-2024年&amp;2025年优化'!$D:$E,2,0)</f>
        <v>新疆正大畜禽有限公司</v>
      </c>
      <c r="D1143" t="s">
        <v>119</v>
      </c>
      <c r="E1143" s="36">
        <f>E1071</f>
        <v>0.274983344281794</v>
      </c>
      <c r="F1143" s="36">
        <f t="shared" ref="F1143" si="447">F1119</f>
        <v>0</v>
      </c>
      <c r="G1143">
        <v>0.2</v>
      </c>
      <c r="H1143">
        <v>0.3</v>
      </c>
      <c r="J1143" s="2" t="s">
        <v>69</v>
      </c>
    </row>
    <row r="1144" spans="2:10" x14ac:dyDescent="0.3">
      <c r="B1144" s="47" t="s">
        <v>168</v>
      </c>
      <c r="C1144" t="str">
        <f>VLOOKUP($B1144,'标准费用表-2024年&amp;2025年优化'!$D:$E,2,0)</f>
        <v>新疆正大畜禽有限公司</v>
      </c>
      <c r="D1144" t="s">
        <v>120</v>
      </c>
      <c r="E1144" s="36">
        <f t="shared" ref="E1144:E1166" si="448">E1072</f>
        <v>0.73492697777121596</v>
      </c>
      <c r="F1144" s="36">
        <f t="shared" ref="F1144" si="449">F1120</f>
        <v>0</v>
      </c>
      <c r="G1144">
        <v>0.2</v>
      </c>
      <c r="H1144">
        <v>0.3</v>
      </c>
      <c r="J1144" s="2" t="s">
        <v>69</v>
      </c>
    </row>
    <row r="1145" spans="2:10" x14ac:dyDescent="0.3">
      <c r="B1145" s="47" t="s">
        <v>168</v>
      </c>
      <c r="C1145" t="str">
        <f>VLOOKUP($B1145,'标准费用表-2024年&amp;2025年优化'!$D:$E,2,0)</f>
        <v>新疆正大畜禽有限公司</v>
      </c>
      <c r="D1145" t="s">
        <v>121</v>
      </c>
      <c r="E1145" s="36">
        <f t="shared" si="448"/>
        <v>1.3602719150118101</v>
      </c>
      <c r="F1145" s="36">
        <f t="shared" ref="F1145" si="450">F1121</f>
        <v>0</v>
      </c>
      <c r="G1145">
        <v>0.2</v>
      </c>
      <c r="H1145">
        <v>0.3</v>
      </c>
      <c r="J1145" s="2" t="s">
        <v>69</v>
      </c>
    </row>
    <row r="1146" spans="2:10" x14ac:dyDescent="0.3">
      <c r="B1146" s="47" t="s">
        <v>168</v>
      </c>
      <c r="C1146" t="str">
        <f>VLOOKUP($B1146,'标准费用表-2024年&amp;2025年优化'!$D:$E,2,0)</f>
        <v>新疆正大畜禽有限公司</v>
      </c>
      <c r="D1146" t="s">
        <v>122</v>
      </c>
      <c r="E1146" s="36">
        <f t="shared" si="448"/>
        <v>0.285868077613398</v>
      </c>
      <c r="F1146" s="36">
        <f t="shared" ref="F1146" si="451">F1122</f>
        <v>0</v>
      </c>
      <c r="G1146">
        <v>0.2</v>
      </c>
      <c r="H1146">
        <v>0.3</v>
      </c>
      <c r="J1146" s="2" t="s">
        <v>69</v>
      </c>
    </row>
    <row r="1147" spans="2:10" x14ac:dyDescent="0.3">
      <c r="B1147" s="47" t="s">
        <v>168</v>
      </c>
      <c r="C1147" t="str">
        <f>VLOOKUP($B1147,'标准费用表-2024年&amp;2025年优化'!$D:$E,2,0)</f>
        <v>新疆正大畜禽有限公司</v>
      </c>
      <c r="D1147" t="s">
        <v>123</v>
      </c>
      <c r="E1147" s="36">
        <f t="shared" si="448"/>
        <v>0.12620347632495801</v>
      </c>
      <c r="F1147" s="36">
        <f t="shared" ref="F1147" si="452">F1123</f>
        <v>0</v>
      </c>
      <c r="G1147">
        <v>0.2</v>
      </c>
      <c r="H1147">
        <v>0.3</v>
      </c>
      <c r="J1147" s="2" t="s">
        <v>69</v>
      </c>
    </row>
    <row r="1148" spans="2:10" x14ac:dyDescent="0.3">
      <c r="B1148" s="47" t="s">
        <v>168</v>
      </c>
      <c r="C1148" t="str">
        <f>VLOOKUP($B1148,'标准费用表-2024年&amp;2025年优化'!$D:$E,2,0)</f>
        <v>新疆正大畜禽有限公司</v>
      </c>
      <c r="D1148" t="s">
        <v>124</v>
      </c>
      <c r="E1148" s="36">
        <f t="shared" si="448"/>
        <v>0.39058301589927302</v>
      </c>
      <c r="F1148" s="36">
        <f t="shared" ref="F1148" si="453">F1124</f>
        <v>0</v>
      </c>
      <c r="G1148">
        <v>0.2</v>
      </c>
      <c r="H1148">
        <v>0.3</v>
      </c>
      <c r="J1148" s="2" t="s">
        <v>69</v>
      </c>
    </row>
    <row r="1149" spans="2:10" x14ac:dyDescent="0.3">
      <c r="B1149" s="47" t="s">
        <v>168</v>
      </c>
      <c r="C1149" t="str">
        <f>VLOOKUP($B1149,'标准费用表-2024年&amp;2025年优化'!$D:$E,2,0)</f>
        <v>新疆正大畜禽有限公司</v>
      </c>
      <c r="D1149" t="s">
        <v>125</v>
      </c>
      <c r="E1149" s="36">
        <f t="shared" si="448"/>
        <v>0.64521258564741701</v>
      </c>
      <c r="F1149" s="36">
        <f t="shared" ref="F1149" si="454">F1125</f>
        <v>0</v>
      </c>
      <c r="G1149">
        <v>0.2</v>
      </c>
      <c r="H1149">
        <v>0.3</v>
      </c>
      <c r="J1149" s="2" t="s">
        <v>69</v>
      </c>
    </row>
    <row r="1150" spans="2:10" x14ac:dyDescent="0.3">
      <c r="B1150" s="47" t="s">
        <v>168</v>
      </c>
      <c r="C1150" t="str">
        <f>VLOOKUP($B1150,'标准费用表-2024年&amp;2025年优化'!$D:$E,2,0)</f>
        <v>新疆正大畜禽有限公司</v>
      </c>
      <c r="D1150" t="s">
        <v>126</v>
      </c>
      <c r="E1150" s="36">
        <f t="shared" si="448"/>
        <v>0.935974342358732</v>
      </c>
      <c r="F1150" s="36">
        <f t="shared" ref="F1150" si="455">F1126</f>
        <v>0</v>
      </c>
      <c r="G1150">
        <v>0.2</v>
      </c>
      <c r="H1150">
        <v>0.3</v>
      </c>
      <c r="J1150" s="2" t="s">
        <v>69</v>
      </c>
    </row>
    <row r="1151" spans="2:10" x14ac:dyDescent="0.3">
      <c r="B1151" s="47" t="s">
        <v>168</v>
      </c>
      <c r="C1151" t="str">
        <f>VLOOKUP($B1151,'标准费用表-2024年&amp;2025年优化'!$D:$E,2,0)</f>
        <v>新疆正大畜禽有限公司</v>
      </c>
      <c r="D1151" t="s">
        <v>127</v>
      </c>
      <c r="E1151" s="36">
        <f t="shared" si="448"/>
        <v>0.54683635558759203</v>
      </c>
      <c r="F1151" s="36">
        <f t="shared" ref="F1151" si="456">F1127</f>
        <v>0</v>
      </c>
      <c r="G1151">
        <v>0.2</v>
      </c>
      <c r="H1151">
        <v>0.3</v>
      </c>
      <c r="J1151" s="2" t="s">
        <v>69</v>
      </c>
    </row>
    <row r="1152" spans="2:10" x14ac:dyDescent="0.3">
      <c r="B1152" s="47" t="s">
        <v>168</v>
      </c>
      <c r="C1152" t="str">
        <f>VLOOKUP($B1152,'标准费用表-2024年&amp;2025年优化'!$D:$E,2,0)</f>
        <v>新疆正大畜禽有限公司</v>
      </c>
      <c r="D1152" t="s">
        <v>128</v>
      </c>
      <c r="E1152" s="36">
        <f t="shared" si="448"/>
        <v>0.50219265355751297</v>
      </c>
      <c r="F1152" s="36">
        <f t="shared" ref="F1152" si="457">F1128</f>
        <v>0</v>
      </c>
      <c r="G1152">
        <v>0.2</v>
      </c>
      <c r="H1152">
        <v>0.3</v>
      </c>
      <c r="J1152" s="2" t="s">
        <v>69</v>
      </c>
    </row>
    <row r="1153" spans="2:10" x14ac:dyDescent="0.3">
      <c r="B1153" s="47" t="s">
        <v>168</v>
      </c>
      <c r="C1153" t="str">
        <f>VLOOKUP($B1153,'标准费用表-2024年&amp;2025年优化'!$D:$E,2,0)</f>
        <v>新疆正大畜禽有限公司</v>
      </c>
      <c r="D1153" t="s">
        <v>129</v>
      </c>
      <c r="E1153" s="36">
        <f t="shared" si="448"/>
        <v>0.64154697247679704</v>
      </c>
      <c r="F1153" s="36">
        <f t="shared" ref="F1153" si="458">F1129</f>
        <v>0</v>
      </c>
      <c r="G1153">
        <v>0.2</v>
      </c>
      <c r="H1153">
        <v>0.3</v>
      </c>
      <c r="J1153" s="2" t="s">
        <v>69</v>
      </c>
    </row>
    <row r="1154" spans="2:10" x14ac:dyDescent="0.3">
      <c r="B1154" s="47" t="s">
        <v>168</v>
      </c>
      <c r="C1154" t="str">
        <f>VLOOKUP($B1154,'标准费用表-2024年&amp;2025年优化'!$D:$E,2,0)</f>
        <v>新疆正大畜禽有限公司</v>
      </c>
      <c r="D1154" t="s">
        <v>130</v>
      </c>
      <c r="E1154" s="36">
        <f t="shared" si="448"/>
        <v>1.1158365007975</v>
      </c>
      <c r="F1154" s="36">
        <f t="shared" ref="F1154" si="459">F1130</f>
        <v>0</v>
      </c>
      <c r="G1154">
        <v>0.2</v>
      </c>
      <c r="H1154">
        <v>0.3</v>
      </c>
      <c r="J1154" s="2" t="s">
        <v>69</v>
      </c>
    </row>
    <row r="1155" spans="2:10" x14ac:dyDescent="0.3">
      <c r="B1155" s="47" t="s">
        <v>168</v>
      </c>
      <c r="C1155" t="str">
        <f>VLOOKUP($B1155,'标准费用表-2024年&amp;2025年优化'!$D:$E,2,0)</f>
        <v>新疆正大畜禽有限公司</v>
      </c>
      <c r="D1155" t="s">
        <v>131</v>
      </c>
      <c r="E1155" s="36">
        <f t="shared" si="448"/>
        <v>0.18997732332834699</v>
      </c>
      <c r="F1155" s="36">
        <f t="shared" ref="F1155" si="460">F1131</f>
        <v>0</v>
      </c>
      <c r="G1155">
        <v>0.2</v>
      </c>
      <c r="H1155">
        <v>0.3</v>
      </c>
      <c r="J1155" s="2" t="s">
        <v>69</v>
      </c>
    </row>
    <row r="1156" spans="2:10" x14ac:dyDescent="0.3">
      <c r="B1156" s="47" t="s">
        <v>168</v>
      </c>
      <c r="C1156" t="str">
        <f>VLOOKUP($B1156,'标准费用表-2024年&amp;2025年优化'!$D:$E,2,0)</f>
        <v>新疆正大畜禽有限公司</v>
      </c>
      <c r="D1156" t="s">
        <v>132</v>
      </c>
      <c r="E1156" s="36">
        <f t="shared" si="448"/>
        <v>4.3984936375599103E-2</v>
      </c>
      <c r="F1156" s="36">
        <f t="shared" ref="F1156" si="461">F1132</f>
        <v>0</v>
      </c>
      <c r="G1156">
        <v>0.2</v>
      </c>
      <c r="H1156">
        <v>0.3</v>
      </c>
      <c r="J1156" s="2" t="s">
        <v>69</v>
      </c>
    </row>
    <row r="1157" spans="2:10" x14ac:dyDescent="0.3">
      <c r="B1157" s="47" t="s">
        <v>168</v>
      </c>
      <c r="C1157" t="str">
        <f>VLOOKUP($B1157,'标准费用表-2024年&amp;2025年优化'!$D:$E,2,0)</f>
        <v>新疆正大畜禽有限公司</v>
      </c>
      <c r="D1157" t="s">
        <v>133</v>
      </c>
      <c r="E1157" s="36">
        <f t="shared" si="448"/>
        <v>0.23598391387822901</v>
      </c>
      <c r="F1157" s="36">
        <f t="shared" ref="F1157" si="462">F1133</f>
        <v>0</v>
      </c>
      <c r="G1157">
        <v>0.2</v>
      </c>
      <c r="H1157">
        <v>0.3</v>
      </c>
      <c r="J1157" s="2" t="s">
        <v>69</v>
      </c>
    </row>
    <row r="1158" spans="2:10" x14ac:dyDescent="0.3">
      <c r="B1158" s="47" t="s">
        <v>168</v>
      </c>
      <c r="C1158" t="str">
        <f>VLOOKUP($B1158,'标准费用表-2024年&amp;2025年优化'!$D:$E,2,0)</f>
        <v>新疆正大畜禽有限公司</v>
      </c>
      <c r="D1158" t="s">
        <v>134</v>
      </c>
      <c r="E1158" s="36">
        <f t="shared" si="448"/>
        <v>0.15435291169787499</v>
      </c>
      <c r="F1158" s="36">
        <f t="shared" ref="F1158" si="463">F1134</f>
        <v>0</v>
      </c>
      <c r="G1158">
        <v>0.2</v>
      </c>
      <c r="H1158">
        <v>0.3</v>
      </c>
      <c r="J1158" s="2" t="s">
        <v>69</v>
      </c>
    </row>
    <row r="1159" spans="2:10" x14ac:dyDescent="0.3">
      <c r="B1159" s="47" t="s">
        <v>168</v>
      </c>
      <c r="C1159" t="str">
        <f>VLOOKUP($B1159,'标准费用表-2024年&amp;2025年优化'!$D:$E,2,0)</f>
        <v>新疆正大畜禽有限公司</v>
      </c>
      <c r="D1159" t="s">
        <v>135</v>
      </c>
      <c r="E1159" s="36">
        <f t="shared" si="448"/>
        <v>0.102307084612073</v>
      </c>
      <c r="F1159" s="36">
        <f t="shared" ref="F1159" si="464">F1135</f>
        <v>0</v>
      </c>
      <c r="G1159">
        <v>0.2</v>
      </c>
      <c r="H1159">
        <v>0.3</v>
      </c>
      <c r="J1159" s="2" t="s">
        <v>69</v>
      </c>
    </row>
    <row r="1160" spans="2:10" x14ac:dyDescent="0.3">
      <c r="B1160" s="47" t="s">
        <v>168</v>
      </c>
      <c r="C1160" t="str">
        <f>VLOOKUP($B1160,'标准费用表-2024年&amp;2025年优化'!$D:$E,2,0)</f>
        <v>新疆正大畜禽有限公司</v>
      </c>
      <c r="D1160" t="s">
        <v>136</v>
      </c>
      <c r="E1160" s="36">
        <f t="shared" si="448"/>
        <v>1.7663544275918101E-2</v>
      </c>
      <c r="F1160" s="36">
        <f t="shared" ref="F1160" si="465">F1136</f>
        <v>0</v>
      </c>
      <c r="G1160">
        <v>0.2</v>
      </c>
      <c r="H1160">
        <v>0.3</v>
      </c>
      <c r="J1160" s="2" t="s">
        <v>69</v>
      </c>
    </row>
    <row r="1161" spans="2:10" x14ac:dyDescent="0.3">
      <c r="B1161" s="47" t="s">
        <v>168</v>
      </c>
      <c r="C1161" t="str">
        <f>VLOOKUP($B1161,'标准费用表-2024年&amp;2025年优化'!$D:$E,2,0)</f>
        <v>新疆正大畜禽有限公司</v>
      </c>
      <c r="D1161" t="s">
        <v>137</v>
      </c>
      <c r="E1161" s="36">
        <f t="shared" si="448"/>
        <v>9.2436988888031299E-2</v>
      </c>
      <c r="F1161" s="36">
        <f t="shared" ref="F1161" si="466">F1137</f>
        <v>0</v>
      </c>
      <c r="G1161">
        <v>0.2</v>
      </c>
      <c r="H1161">
        <v>0.3</v>
      </c>
      <c r="J1161" s="2" t="s">
        <v>69</v>
      </c>
    </row>
    <row r="1162" spans="2:10" x14ac:dyDescent="0.3">
      <c r="B1162" s="47" t="s">
        <v>168</v>
      </c>
      <c r="C1162" t="str">
        <f>VLOOKUP($B1162,'标准费用表-2024年&amp;2025年优化'!$D:$E,2,0)</f>
        <v>新疆正大畜禽有限公司</v>
      </c>
      <c r="D1162" t="s">
        <v>138</v>
      </c>
      <c r="E1162" s="36">
        <f t="shared" si="448"/>
        <v>8.4823205376185595E-2</v>
      </c>
      <c r="F1162" s="36">
        <f t="shared" ref="F1162" si="467">F1138</f>
        <v>0</v>
      </c>
      <c r="G1162">
        <v>0.2</v>
      </c>
      <c r="H1162">
        <v>0.3</v>
      </c>
      <c r="J1162" s="2" t="s">
        <v>69</v>
      </c>
    </row>
    <row r="1163" spans="2:10" x14ac:dyDescent="0.3">
      <c r="B1163" s="47" t="s">
        <v>168</v>
      </c>
      <c r="C1163" t="str">
        <f>VLOOKUP($B1163,'标准费用表-2024年&amp;2025年优化'!$D:$E,2,0)</f>
        <v>新疆正大畜禽有限公司</v>
      </c>
      <c r="D1163" t="s">
        <v>139</v>
      </c>
      <c r="E1163" s="36">
        <f t="shared" si="448"/>
        <v>0.29675491798090098</v>
      </c>
      <c r="F1163" s="36">
        <f t="shared" ref="F1163" si="468">F1139</f>
        <v>0</v>
      </c>
      <c r="G1163">
        <v>0.2</v>
      </c>
      <c r="H1163">
        <v>0.3</v>
      </c>
      <c r="J1163" s="2" t="s">
        <v>69</v>
      </c>
    </row>
    <row r="1164" spans="2:10" x14ac:dyDescent="0.3">
      <c r="B1164" s="47" t="s">
        <v>168</v>
      </c>
      <c r="C1164" t="str">
        <f>VLOOKUP($B1164,'标准费用表-2024年&amp;2025年优化'!$D:$E,2,0)</f>
        <v>新疆正大畜禽有限公司</v>
      </c>
      <c r="D1164" t="s">
        <v>140</v>
      </c>
      <c r="E1164" s="36">
        <f t="shared" si="448"/>
        <v>0.347580134577675</v>
      </c>
      <c r="F1164" s="36">
        <f t="shared" ref="F1164" si="469">F1140</f>
        <v>0</v>
      </c>
      <c r="G1164">
        <v>0.2</v>
      </c>
      <c r="H1164">
        <v>0.3</v>
      </c>
      <c r="J1164" s="2" t="s">
        <v>69</v>
      </c>
    </row>
    <row r="1165" spans="2:10" x14ac:dyDescent="0.3">
      <c r="B1165" s="47" t="s">
        <v>168</v>
      </c>
      <c r="C1165" t="str">
        <f>VLOOKUP($B1165,'标准费用表-2024年&amp;2025年优化'!$D:$E,2,0)</f>
        <v>新疆正大畜禽有限公司</v>
      </c>
      <c r="D1165" t="s">
        <v>141</v>
      </c>
      <c r="E1165" s="36">
        <f t="shared" si="448"/>
        <v>9.9387722415572394E-2</v>
      </c>
      <c r="F1165" s="36">
        <f t="shared" ref="F1165" si="470">F1141</f>
        <v>0</v>
      </c>
      <c r="G1165">
        <v>0.2</v>
      </c>
      <c r="H1165">
        <v>0.3</v>
      </c>
      <c r="J1165" s="2" t="s">
        <v>69</v>
      </c>
    </row>
    <row r="1166" spans="2:10" x14ac:dyDescent="0.3">
      <c r="B1166" s="47" t="s">
        <v>168</v>
      </c>
      <c r="C1166" t="str">
        <f>VLOOKUP($B1166,'标准费用表-2024年&amp;2025年优化'!$D:$E,2,0)</f>
        <v>新疆正大畜禽有限公司</v>
      </c>
      <c r="D1166" t="s">
        <v>142</v>
      </c>
      <c r="E1166" s="36">
        <f t="shared" si="448"/>
        <v>2.9570526655959401E-2</v>
      </c>
      <c r="F1166" s="36">
        <f t="shared" ref="F1166" si="471">F1142</f>
        <v>0</v>
      </c>
      <c r="G1166">
        <v>0.2</v>
      </c>
      <c r="H1166">
        <v>0.3</v>
      </c>
      <c r="J1166" s="2" t="s">
        <v>69</v>
      </c>
    </row>
    <row r="1167" spans="2:10" x14ac:dyDescent="0.3">
      <c r="B1167" s="47" t="s">
        <v>170</v>
      </c>
      <c r="C1167" t="str">
        <f>VLOOKUP($B1167,'标准费用表-2024年&amp;2025年优化'!$D:$E,2,0)</f>
        <v>陕西正大食品有限公司</v>
      </c>
      <c r="D1167" t="s">
        <v>41</v>
      </c>
      <c r="E1167" s="46">
        <f>IFERROR(VLOOKUP($B1167,'标准费用表-2024年&amp;2025年优化'!$D:$K,8,0)*VLOOKUP('5.成本表'!$D1167,系数辅助表!$C:$G,5,0)/VLOOKUP($D1167,系数辅助表!$C:$E,3,0),0)</f>
        <v>0.54817404817404802</v>
      </c>
      <c r="I1167" s="36">
        <f>VLOOKUP($D1167,系数辅助表!$C:$F,4,0)</f>
        <v>1.33</v>
      </c>
      <c r="J1167" s="2" t="s">
        <v>41</v>
      </c>
    </row>
    <row r="1168" spans="2:10" x14ac:dyDescent="0.3">
      <c r="B1168" s="47" t="s">
        <v>170</v>
      </c>
      <c r="C1168" t="str">
        <f>VLOOKUP($B1168,'标准费用表-2024年&amp;2025年优化'!$D:$E,2,0)</f>
        <v>陕西正大食品有限公司</v>
      </c>
      <c r="D1168" t="s">
        <v>44</v>
      </c>
      <c r="E1168" s="46">
        <f>IFERROR(VLOOKUP($B1168,'标准费用表-2024年&amp;2025年优化'!$D:$K,8,0)*系数辅助表!$J$6*VLOOKUP('5.成本表'!$D1168,系数辅助表!$C:$G,5,0)/VLOOKUP($D1168,系数辅助表!$C:$E,3,0),0)</f>
        <v>0.31352344660126602</v>
      </c>
      <c r="I1168" s="36">
        <f>VLOOKUP($D1168,系数辅助表!$C:$F,4,0)</f>
        <v>0.789027855994753</v>
      </c>
      <c r="J1168" s="2" t="s">
        <v>200</v>
      </c>
    </row>
    <row r="1169" spans="2:10" x14ac:dyDescent="0.3">
      <c r="B1169" s="47" t="s">
        <v>170</v>
      </c>
      <c r="C1169" t="str">
        <f>VLOOKUP($B1169,'标准费用表-2024年&amp;2025年优化'!$D:$E,2,0)</f>
        <v>陕西正大食品有限公司</v>
      </c>
      <c r="D1169" t="s">
        <v>45</v>
      </c>
      <c r="E1169" s="46">
        <f>IFERROR(VLOOKUP($B1169,'标准费用表-2024年&amp;2025年优化'!$D:$K,8,0)*系数辅助表!$J$6*VLOOKUP('5.成本表'!$D1169,系数辅助表!$C:$G,5,0)/VLOOKUP($D1169,系数辅助表!$C:$E,3,0),0)</f>
        <v>0.83793016509014595</v>
      </c>
      <c r="I1169" s="36">
        <f>VLOOKUP($D1169,系数辅助表!$C:$F,4,0)</f>
        <v>2.1087744754070901</v>
      </c>
      <c r="J1169" s="2" t="s">
        <v>200</v>
      </c>
    </row>
    <row r="1170" spans="2:10" x14ac:dyDescent="0.3">
      <c r="B1170" s="47" t="s">
        <v>170</v>
      </c>
      <c r="C1170" t="str">
        <f>VLOOKUP($B1170,'标准费用表-2024年&amp;2025年优化'!$D:$E,2,0)</f>
        <v>陕西正大食品有限公司</v>
      </c>
      <c r="D1170" t="s">
        <v>46</v>
      </c>
      <c r="E1170" s="46">
        <f>IFERROR(VLOOKUP($B1170,'标准费用表-2024年&amp;2025年优化'!$D:$K,8,0)*系数辅助表!$J$6*VLOOKUP('5.成本表'!$D1170,系数辅助表!$C:$G,5,0)/VLOOKUP($D1170,系数辅助表!$C:$E,3,0),0)</f>
        <v>1.5509198937968001</v>
      </c>
      <c r="I1170" s="36">
        <f>VLOOKUP($D1170,系数辅助表!$C:$F,4,0)</f>
        <v>3.9031179705625099</v>
      </c>
      <c r="J1170" s="2" t="s">
        <v>200</v>
      </c>
    </row>
    <row r="1171" spans="2:10" x14ac:dyDescent="0.3">
      <c r="B1171" s="47" t="s">
        <v>170</v>
      </c>
      <c r="C1171" t="str">
        <f>VLOOKUP($B1171,'标准费用表-2024年&amp;2025年优化'!$D:$E,2,0)</f>
        <v>陕西正大食品有限公司</v>
      </c>
      <c r="D1171" t="s">
        <v>47</v>
      </c>
      <c r="E1171" s="46">
        <f>IFERROR(VLOOKUP($B1171,'标准费用表-2024年&amp;2025年优化'!$D:$K,8,0)*系数辅助表!$J$6*VLOOKUP('5.成本表'!$D1171,系数辅助表!$C:$G,5,0)/VLOOKUP($D1171,系数辅助表!$C:$E,3,0),0)</f>
        <v>0.32593372227950201</v>
      </c>
      <c r="I1171" s="36">
        <f>VLOOKUP($D1171,系数辅助表!$C:$F,4,0)</f>
        <v>0.82026013963048305</v>
      </c>
      <c r="J1171" s="2" t="s">
        <v>200</v>
      </c>
    </row>
    <row r="1172" spans="2:10" x14ac:dyDescent="0.3">
      <c r="B1172" s="47" t="s">
        <v>170</v>
      </c>
      <c r="C1172" t="str">
        <f>VLOOKUP($B1172,'标准费用表-2024年&amp;2025年优化'!$D:$E,2,0)</f>
        <v>陕西正大食品有限公司</v>
      </c>
      <c r="D1172" t="s">
        <v>48</v>
      </c>
      <c r="E1172" s="46">
        <f>IFERROR(VLOOKUP($B1172,'标准费用表-2024年&amp;2025年优化'!$D:$K,8,0)*系数辅助表!$J$6*VLOOKUP('5.成本表'!$D1172,系数辅助表!$C:$G,5,0)/VLOOKUP($D1172,系数辅助表!$C:$E,3,0),0)</f>
        <v>0.143891438129847</v>
      </c>
      <c r="I1172" s="36">
        <f>VLOOKUP($D1172,系数辅助表!$C:$F,4,0)</f>
        <v>0.36212396283071502</v>
      </c>
      <c r="J1172" s="2" t="s">
        <v>200</v>
      </c>
    </row>
    <row r="1173" spans="2:10" x14ac:dyDescent="0.3">
      <c r="B1173" s="47" t="s">
        <v>170</v>
      </c>
      <c r="C1173" t="str">
        <f>VLOOKUP($B1173,'标准费用表-2024年&amp;2025年优化'!$D:$E,2,0)</f>
        <v>陕西正大食品有限公司</v>
      </c>
      <c r="D1173" t="s">
        <v>49</v>
      </c>
      <c r="E1173" s="46">
        <f>IFERROR(VLOOKUP($B1173,'标准费用表-2024年&amp;2025年优化'!$D:$K,8,0)*系数辅助表!$J$6*VLOOKUP('5.成本表'!$D1173,系数辅助表!$C:$G,5,0)/VLOOKUP($D1173,系数辅助表!$C:$E,3,0),0)</f>
        <v>0.44532491103594801</v>
      </c>
      <c r="I1173" s="36">
        <f>VLOOKUP($D1173,系数辅助表!$C:$F,4,0)</f>
        <v>1.1207256222295201</v>
      </c>
      <c r="J1173" s="2" t="s">
        <v>200</v>
      </c>
    </row>
    <row r="1174" spans="2:10" x14ac:dyDescent="0.3">
      <c r="B1174" s="47" t="s">
        <v>170</v>
      </c>
      <c r="C1174" t="str">
        <f>VLOOKUP($B1174,'标准费用表-2024年&amp;2025年优化'!$D:$E,2,0)</f>
        <v>陕西正大食品有限公司</v>
      </c>
      <c r="D1174" t="s">
        <v>50</v>
      </c>
      <c r="E1174" s="46">
        <f>IFERROR(VLOOKUP($B1174,'标准费用表-2024年&amp;2025年优化'!$D:$K,8,0)*系数辅助表!$J$6*VLOOKUP('5.成本表'!$D1174,系数辅助表!$C:$G,5,0)/VLOOKUP($D1174,系数辅助表!$C:$E,3,0),0)</f>
        <v>0.73564191377130705</v>
      </c>
      <c r="I1174" s="36">
        <f>VLOOKUP($D1174,系数辅助表!$C:$F,4,0)</f>
        <v>1.8513510498021799</v>
      </c>
      <c r="J1174" s="2" t="s">
        <v>200</v>
      </c>
    </row>
    <row r="1175" spans="2:10" x14ac:dyDescent="0.3">
      <c r="B1175" s="47" t="s">
        <v>170</v>
      </c>
      <c r="C1175" t="str">
        <f>VLOOKUP($B1175,'标准费用表-2024年&amp;2025年优化'!$D:$E,2,0)</f>
        <v>陕西正大食品有限公司</v>
      </c>
      <c r="D1175" t="s">
        <v>51</v>
      </c>
      <c r="E1175" s="46">
        <f>IFERROR(VLOOKUP($B1175,'标准费用表-2024年&amp;2025年优化'!$D:$K,8,0)*系数辅助表!$J$6*VLOOKUP('5.成本表'!$D1175,系数辅助表!$C:$G,5,0)/VLOOKUP($D1175,系数辅助表!$C:$E,3,0),0)</f>
        <v>1.0671551853916901</v>
      </c>
      <c r="I1175" s="36">
        <f>VLOOKUP($D1175,系数辅助表!$C:$F,4,0)</f>
        <v>2.68565294580391</v>
      </c>
      <c r="J1175" s="2" t="s">
        <v>200</v>
      </c>
    </row>
    <row r="1176" spans="2:10" x14ac:dyDescent="0.3">
      <c r="B1176" s="47" t="s">
        <v>170</v>
      </c>
      <c r="C1176" t="str">
        <f>VLOOKUP($B1176,'标准费用表-2024年&amp;2025年优化'!$D:$E,2,0)</f>
        <v>陕西正大食品有限公司</v>
      </c>
      <c r="D1176" t="s">
        <v>52</v>
      </c>
      <c r="E1176" s="46">
        <f>IFERROR(VLOOKUP($B1176,'标准费用表-2024年&amp;2025年优化'!$D:$K,8,0)*系数辅助表!$J$6*VLOOKUP('5.成本表'!$D1176,系数辅助表!$C:$G,5,0)/VLOOKUP($D1176,系数辅助表!$C:$E,3,0),0)</f>
        <v>0.62347783055182104</v>
      </c>
      <c r="I1176" s="36">
        <f>VLOOKUP($D1176,系数辅助表!$C:$F,4,0)</f>
        <v>1.5690736410097099</v>
      </c>
      <c r="J1176" s="2" t="s">
        <v>200</v>
      </c>
    </row>
    <row r="1177" spans="2:10" x14ac:dyDescent="0.3">
      <c r="B1177" s="47" t="s">
        <v>170</v>
      </c>
      <c r="C1177" t="str">
        <f>VLOOKUP($B1177,'标准费用表-2024年&amp;2025年优化'!$D:$E,2,0)</f>
        <v>陕西正大食品有限公司</v>
      </c>
      <c r="D1177" t="s">
        <v>53</v>
      </c>
      <c r="E1177" s="46">
        <f>IFERROR(VLOOKUP($B1177,'标准费用表-2024年&amp;2025年优化'!$D:$K,8,0)*系数辅助表!$J$6*VLOOKUP('5.成本表'!$D1177,系数辅助表!$C:$G,5,0)/VLOOKUP($D1177,系数辅助表!$C:$E,3,0),0)</f>
        <v>0.57257712103406</v>
      </c>
      <c r="I1177" s="36">
        <f>VLOOKUP($D1177,系数辅助表!$C:$F,4,0)</f>
        <v>1.44097452072131</v>
      </c>
      <c r="J1177" s="2" t="s">
        <v>200</v>
      </c>
    </row>
    <row r="1178" spans="2:10" x14ac:dyDescent="0.3">
      <c r="B1178" s="47" t="s">
        <v>170</v>
      </c>
      <c r="C1178" t="str">
        <f>VLOOKUP($B1178,'标准费用表-2024年&amp;2025年优化'!$D:$E,2,0)</f>
        <v>陕西正大食品有限公司</v>
      </c>
      <c r="D1178" t="s">
        <v>54</v>
      </c>
      <c r="E1178" s="46">
        <f>IFERROR(VLOOKUP($B1178,'标准费用表-2024年&amp;2025年优化'!$D:$K,8,0)*系数辅助表!$J$6*VLOOKUP('5.成本表'!$D1178,系数辅助表!$C:$G,5,0)/VLOOKUP($D1178,系数辅助表!$C:$E,3,0),0)</f>
        <v>0.73146254909683295</v>
      </c>
      <c r="I1178" s="36">
        <f>VLOOKUP($D1178,系数辅助表!$C:$F,4,0)</f>
        <v>1.8408330640366199</v>
      </c>
      <c r="J1178" s="2" t="s">
        <v>200</v>
      </c>
    </row>
    <row r="1179" spans="2:10" x14ac:dyDescent="0.3">
      <c r="B1179" s="47" t="s">
        <v>170</v>
      </c>
      <c r="C1179" t="str">
        <f>VLOOKUP($B1179,'标准费用表-2024年&amp;2025年优化'!$D:$E,2,0)</f>
        <v>陕西正大食品有限公司</v>
      </c>
      <c r="D1179" t="s">
        <v>55</v>
      </c>
      <c r="E1179" s="46">
        <f>IFERROR(VLOOKUP($B1179,'标准费用表-2024年&amp;2025年优化'!$D:$K,8,0)*系数辅助表!$J$6*VLOOKUP('5.成本表'!$D1179,系数辅助表!$C:$G,5,0)/VLOOKUP($D1179,系数辅助表!$C:$E,3,0),0)</f>
        <v>1.2722258014835299</v>
      </c>
      <c r="I1179" s="36">
        <f>VLOOKUP($D1179,系数辅助表!$C:$F,4,0)</f>
        <v>3.2017433061789502</v>
      </c>
      <c r="J1179" s="2" t="s">
        <v>200</v>
      </c>
    </row>
    <row r="1180" spans="2:10" x14ac:dyDescent="0.3">
      <c r="B1180" s="47" t="s">
        <v>170</v>
      </c>
      <c r="C1180" t="str">
        <f>VLOOKUP($B1180,'标准费用表-2024年&amp;2025年优化'!$D:$E,2,0)</f>
        <v>陕西正大食品有限公司</v>
      </c>
      <c r="D1180" t="s">
        <v>56</v>
      </c>
      <c r="E1180" s="46">
        <f>IFERROR(VLOOKUP($B1180,'标准费用表-2024年&amp;2025年优化'!$D:$K,8,0)*系数辅助表!$J$6*VLOOKUP('5.成本表'!$D1180,系数辅助表!$C:$G,5,0)/VLOOKUP($D1180,系数辅助表!$C:$E,3,0),0)</f>
        <v>0.21660346499004299</v>
      </c>
      <c r="I1180" s="36">
        <f>VLOOKUP($D1180,系数辅助表!$C:$F,4,0)</f>
        <v>0.54511447049599404</v>
      </c>
      <c r="J1180" s="2" t="s">
        <v>200</v>
      </c>
    </row>
    <row r="1181" spans="2:10" x14ac:dyDescent="0.3">
      <c r="B1181" s="47" t="s">
        <v>170</v>
      </c>
      <c r="C1181" t="str">
        <f>VLOOKUP($B1181,'标准费用表-2024年&amp;2025年优化'!$D:$E,2,0)</f>
        <v>陕西正大食品有限公司</v>
      </c>
      <c r="D1181" t="s">
        <v>57</v>
      </c>
      <c r="E1181" s="46">
        <f>IFERROR(VLOOKUP($B1181,'标准费用表-2024年&amp;2025年优化'!$D:$K,8,0)*系数辅助表!$J$6*VLOOKUP('5.成本表'!$D1181,系数辅助表!$C:$G,5,0)/VLOOKUP($D1181,系数辅助表!$C:$E,3,0),0)</f>
        <v>5.0149615014076603E-2</v>
      </c>
      <c r="I1181" s="36">
        <f>VLOOKUP($D1181,系数辅助表!$C:$F,4,0)</f>
        <v>0.126208880523832</v>
      </c>
      <c r="J1181" s="2" t="s">
        <v>200</v>
      </c>
    </row>
    <row r="1182" spans="2:10" x14ac:dyDescent="0.3">
      <c r="B1182" s="47" t="s">
        <v>170</v>
      </c>
      <c r="C1182" t="str">
        <f>VLOOKUP($B1182,'标准费用表-2024年&amp;2025年优化'!$D:$E,2,0)</f>
        <v>陕西正大食品有限公司</v>
      </c>
      <c r="D1182" t="s">
        <v>58</v>
      </c>
      <c r="E1182" s="46">
        <f>IFERROR(VLOOKUP($B1182,'标准费用表-2024年&amp;2025年优化'!$D:$K,8,0)*系数辅助表!$J$6*VLOOKUP('5.成本表'!$D1182,系数辅助表!$C:$G,5,0)/VLOOKUP($D1182,系数辅助表!$C:$E,3,0),0)</f>
        <v>0.26905807773484602</v>
      </c>
      <c r="I1182" s="36">
        <f>VLOOKUP($D1182,系数辅助表!$C:$F,4,0)</f>
        <v>0.67712421675176204</v>
      </c>
      <c r="J1182" s="2" t="s">
        <v>200</v>
      </c>
    </row>
    <row r="1183" spans="2:10" x14ac:dyDescent="0.3">
      <c r="B1183" s="47" t="s">
        <v>170</v>
      </c>
      <c r="C1183" t="str">
        <f>VLOOKUP($B1183,'标准费用表-2024年&amp;2025年优化'!$D:$E,2,0)</f>
        <v>陕西正大食品有限公司</v>
      </c>
      <c r="D1183" t="s">
        <v>59</v>
      </c>
      <c r="E1183" s="46">
        <f>IFERROR(VLOOKUP($B1183,'标准费用表-2024年&amp;2025年优化'!$D:$K,8,0)*系数辅助表!$J$6*VLOOKUP('5.成本表'!$D1183,系数辅助表!$C:$G,5,0)/VLOOKUP($D1183,系数辅助表!$C:$E,3,0),0)</f>
        <v>0.17598613834177099</v>
      </c>
      <c r="I1183" s="36">
        <f>VLOOKUP($D1183,系数辅助表!$C:$F,4,0)</f>
        <v>0.44289499533730498</v>
      </c>
      <c r="J1183" s="2" t="s">
        <v>200</v>
      </c>
    </row>
    <row r="1184" spans="2:10" x14ac:dyDescent="0.3">
      <c r="B1184" s="47" t="s">
        <v>170</v>
      </c>
      <c r="C1184" t="str">
        <f>VLOOKUP($B1184,'标准费用表-2024年&amp;2025年优化'!$D:$E,2,0)</f>
        <v>陕西正大食品有限公司</v>
      </c>
      <c r="D1184" t="s">
        <v>60</v>
      </c>
      <c r="E1184" s="46">
        <f>IFERROR(VLOOKUP($B1184,'标准费用表-2024年&amp;2025年优化'!$D:$K,8,0)*系数辅助表!$J$6*VLOOKUP('5.成本表'!$D1184,系数辅助表!$C:$G,5,0)/VLOOKUP($D1184,系数辅助表!$C:$E,3,0),0)</f>
        <v>0.1166458639998</v>
      </c>
      <c r="I1184" s="36">
        <f>VLOOKUP($D1184,系数辅助表!$C:$F,4,0)</f>
        <v>0.29355646915769201</v>
      </c>
      <c r="J1184" s="2" t="s">
        <v>200</v>
      </c>
    </row>
    <row r="1185" spans="2:10" x14ac:dyDescent="0.3">
      <c r="B1185" s="47" t="s">
        <v>170</v>
      </c>
      <c r="C1185" t="str">
        <f>VLOOKUP($B1185,'标准费用表-2024年&amp;2025年优化'!$D:$E,2,0)</f>
        <v>陕西正大食品有限公司</v>
      </c>
      <c r="D1185" t="s">
        <v>61</v>
      </c>
      <c r="E1185" s="46">
        <f>IFERROR(VLOOKUP($B1185,'标准费用表-2024年&amp;2025年优化'!$D:$K,8,0)*系数辅助表!$J$6*VLOOKUP('5.成本表'!$D1185,系数辅助表!$C:$G,5,0)/VLOOKUP($D1185,系数辅助表!$C:$E,3,0),0)</f>
        <v>2.01391662285729E-2</v>
      </c>
      <c r="I1185" s="36">
        <f>VLOOKUP($D1185,系数辅助表!$C:$F,4,0)</f>
        <v>5.0683173214352499E-2</v>
      </c>
      <c r="J1185" s="2" t="s">
        <v>200</v>
      </c>
    </row>
    <row r="1186" spans="2:10" x14ac:dyDescent="0.3">
      <c r="B1186" s="47" t="s">
        <v>170</v>
      </c>
      <c r="C1186" t="str">
        <f>VLOOKUP($B1186,'标准费用表-2024年&amp;2025年优化'!$D:$E,2,0)</f>
        <v>陕西正大食品有限公司</v>
      </c>
      <c r="D1186" t="s">
        <v>62</v>
      </c>
      <c r="E1186" s="46">
        <f>IFERROR(VLOOKUP($B1186,'标准费用表-2024年&amp;2025年优化'!$D:$K,8,0)*系数辅助表!$J$6*VLOOKUP('5.成本表'!$D1186,系数辅助表!$C:$G,5,0)/VLOOKUP($D1186,系数辅助表!$C:$E,3,0),0)</f>
        <v>0.10539243176823</v>
      </c>
      <c r="I1186" s="36">
        <f>VLOOKUP($D1186,系数辅助表!$C:$F,4,0)</f>
        <v>0.26523555216563399</v>
      </c>
      <c r="J1186" s="2" t="s">
        <v>200</v>
      </c>
    </row>
    <row r="1187" spans="2:10" x14ac:dyDescent="0.3">
      <c r="B1187" s="47" t="s">
        <v>170</v>
      </c>
      <c r="C1187" t="str">
        <f>VLOOKUP($B1187,'标准费用表-2024年&amp;2025年优化'!$D:$E,2,0)</f>
        <v>陕西正大食品有限公司</v>
      </c>
      <c r="D1187" t="s">
        <v>63</v>
      </c>
      <c r="E1187" s="46">
        <f>IFERROR(VLOOKUP($B1187,'标准费用表-2024年&amp;2025年优化'!$D:$K,8,0)*系数辅助表!$J$6*VLOOKUP('5.成本表'!$D1187,系数辅助表!$C:$G,5,0)/VLOOKUP($D1187,系数辅助表!$C:$E,3,0),0)</f>
        <v>9.6711543641916101E-2</v>
      </c>
      <c r="I1187" s="36">
        <f>VLOOKUP($D1187,系数辅助表!$C:$F,4,0)</f>
        <v>0.24338882069886</v>
      </c>
      <c r="J1187" s="2" t="s">
        <v>200</v>
      </c>
    </row>
    <row r="1188" spans="2:10" x14ac:dyDescent="0.3">
      <c r="B1188" s="47" t="s">
        <v>170</v>
      </c>
      <c r="C1188" t="str">
        <f>VLOOKUP($B1188,'标准费用表-2024年&amp;2025年优化'!$D:$E,2,0)</f>
        <v>陕西正大食品有限公司</v>
      </c>
      <c r="D1188" t="s">
        <v>64</v>
      </c>
      <c r="E1188" s="46">
        <f>IFERROR(VLOOKUP($B1188,'标准费用表-2024年&amp;2025年优化'!$D:$K,8,0)*系数辅助表!$J$6*VLOOKUP('5.成本表'!$D1188,系数辅助表!$C:$G,5,0)/VLOOKUP($D1188,系数辅助表!$C:$E,3,0),0)</f>
        <v>0.33834640030381002</v>
      </c>
      <c r="I1188" s="36">
        <f>VLOOKUP($D1188,系数辅助表!$C:$F,4,0)</f>
        <v>0.85149846912336002</v>
      </c>
      <c r="J1188" s="2" t="s">
        <v>200</v>
      </c>
    </row>
    <row r="1189" spans="2:10" x14ac:dyDescent="0.3">
      <c r="B1189" s="47" t="s">
        <v>170</v>
      </c>
      <c r="C1189" t="str">
        <f>VLOOKUP($B1189,'标准费用表-2024年&amp;2025年优化'!$D:$E,2,0)</f>
        <v>陕西正大食品有限公司</v>
      </c>
      <c r="D1189" t="s">
        <v>65</v>
      </c>
      <c r="E1189" s="46">
        <f>IFERROR(VLOOKUP($B1189,'标准费用表-2024年&amp;2025年优化'!$D:$K,8,0)*系数辅助表!$J$6*VLOOKUP('5.成本表'!$D1189,系数辅助表!$C:$G,5,0)/VLOOKUP($D1189,系数辅助表!$C:$E,3,0),0)</f>
        <v>0.396294990329491</v>
      </c>
      <c r="I1189" s="36">
        <f>VLOOKUP($D1189,系数辅助表!$C:$F,4,0)</f>
        <v>0.99733461707829196</v>
      </c>
      <c r="J1189" s="2" t="s">
        <v>200</v>
      </c>
    </row>
    <row r="1190" spans="2:10" x14ac:dyDescent="0.3">
      <c r="B1190" s="47" t="s">
        <v>170</v>
      </c>
      <c r="C1190" t="str">
        <f>VLOOKUP($B1190,'标准费用表-2024年&amp;2025年优化'!$D:$E,2,0)</f>
        <v>陕西正大食品有限公司</v>
      </c>
      <c r="D1190" t="s">
        <v>66</v>
      </c>
      <c r="E1190" s="46">
        <f>IFERROR(VLOOKUP($B1190,'标准费用表-2024年&amp;2025年优化'!$D:$K,8,0)*系数辅助表!$J$6*VLOOKUP('5.成本表'!$D1190,系数辅助表!$C:$G,5,0)/VLOOKUP($D1190,系数辅助表!$C:$E,3,0),0)</f>
        <v>0.11331734059372001</v>
      </c>
      <c r="I1190" s="36">
        <f>VLOOKUP($D1190,系数辅助表!$C:$F,4,0)</f>
        <v>0.28517975055754302</v>
      </c>
      <c r="J1190" s="2" t="s">
        <v>200</v>
      </c>
    </row>
    <row r="1191" spans="2:10" x14ac:dyDescent="0.3">
      <c r="B1191" s="47" t="s">
        <v>170</v>
      </c>
      <c r="C1191" t="str">
        <f>VLOOKUP($B1191,'标准费用表-2024年&amp;2025年优化'!$D:$E,2,0)</f>
        <v>陕西正大食品有限公司</v>
      </c>
      <c r="D1191" t="s">
        <v>67</v>
      </c>
      <c r="E1191" s="46">
        <f>IFERROR(VLOOKUP($B1191,'标准费用表-2024年&amp;2025年优化'!$D:$K,8,0)*系数辅助表!$J$6*VLOOKUP('5.成本表'!$D1191,系数辅助表!$C:$G,5,0)/VLOOKUP($D1191,系数辅助表!$C:$E,3,0),0)</f>
        <v>3.3714963570631203E-2</v>
      </c>
      <c r="I1191" s="36">
        <f>VLOOKUP($D1191,系数辅助表!$C:$F,4,0)</f>
        <v>8.4848663503333893E-2</v>
      </c>
      <c r="J1191" s="2" t="s">
        <v>200</v>
      </c>
    </row>
    <row r="1192" spans="2:10" x14ac:dyDescent="0.3">
      <c r="B1192" s="47" t="s">
        <v>170</v>
      </c>
      <c r="C1192" t="str">
        <f>VLOOKUP($B1192,'标准费用表-2024年&amp;2025年优化'!$D:$E,2,0)</f>
        <v>陕西正大食品有限公司</v>
      </c>
      <c r="D1192" t="s">
        <v>68</v>
      </c>
      <c r="E1192" s="36">
        <f>IFERROR(VLOOKUP($B1192,'标准费用表-2024年&amp;2025年优化'!$D:$K,8,0)*VLOOKUP("白条",系数辅助表!$C:$G,5,0)*VLOOKUP('5.成本表'!$D1192,系数辅助表!$C:$G,5,0)/VLOOKUP('5.成本表'!$D1192,系数辅助表!$C:$E,3,0),)</f>
        <v>0.82160405239564205</v>
      </c>
      <c r="F1192" s="36">
        <f>IFERROR(VLOOKUP($B1192,'标准费用表-2024年&amp;2025年优化'!$D:$L,9,0)*VLOOKUP('5.成本表'!$D1192,系数辅助表!$C:$G,5,0)/VLOOKUP($D1192,系数辅助表!$C:$E,3,0),0)</f>
        <v>0</v>
      </c>
      <c r="I1192" s="36">
        <f>VLOOKUP($D1192,系数辅助表!$C:$F,4,0)</f>
        <v>2.2799999999999998</v>
      </c>
      <c r="J1192" s="2" t="s">
        <v>69</v>
      </c>
    </row>
    <row r="1193" spans="2:10" x14ac:dyDescent="0.3">
      <c r="B1193" s="47" t="s">
        <v>170</v>
      </c>
      <c r="C1193" t="str">
        <f>VLOOKUP($B1193,'标准费用表-2024年&amp;2025年优化'!$D:$E,2,0)</f>
        <v>陕西正大食品有限公司</v>
      </c>
      <c r="D1193" t="s">
        <v>70</v>
      </c>
      <c r="E1193" s="36">
        <f>IFERROR(VLOOKUP($B1193,'标准费用表-2024年&amp;2025年优化'!$D:$K,8,0)*VLOOKUP("白条",系数辅助表!$C:$G,5,0)*VLOOKUP('5.成本表'!$D1193,系数辅助表!$C:$G,5,0)/VLOOKUP('5.成本表'!$D1193,系数辅助表!$C:$E,3,0),)</f>
        <v>0.54907774372231599</v>
      </c>
      <c r="F1193" s="36">
        <f>IFERROR(VLOOKUP($B1193,'标准费用表-2024年&amp;2025年优化'!$D:$L,9,0)*VLOOKUP('5.成本表'!$D1193,系数辅助表!$C:$G,5,0)/VLOOKUP($D1193,系数辅助表!$C:$E,3,0),0)</f>
        <v>0</v>
      </c>
      <c r="I1193" s="36">
        <f>VLOOKUP($D1193,系数辅助表!$C:$F,4,0)</f>
        <v>1.5237233215154999</v>
      </c>
      <c r="J1193" s="2" t="s">
        <v>69</v>
      </c>
    </row>
    <row r="1194" spans="2:10" x14ac:dyDescent="0.3">
      <c r="B1194" s="47" t="s">
        <v>170</v>
      </c>
      <c r="C1194" t="str">
        <f>VLOOKUP($B1194,'标准费用表-2024年&amp;2025年优化'!$D:$E,2,0)</f>
        <v>陕西正大食品有限公司</v>
      </c>
      <c r="D1194" t="s">
        <v>71</v>
      </c>
      <c r="E1194" s="36">
        <f>IFERROR(VLOOKUP($B1194,'标准费用表-2024年&amp;2025年优化'!$D:$K,8,0)*VLOOKUP("白条",系数辅助表!$C:$G,5,0)*VLOOKUP('5.成本表'!$D1194,系数辅助表!$C:$G,5,0)/VLOOKUP('5.成本表'!$D1194,系数辅助表!$C:$E,3,0),)</f>
        <v>1.45317844250287</v>
      </c>
      <c r="F1194" s="36">
        <f>IFERROR(VLOOKUP($B1194,'标准费用表-2024年&amp;2025年优化'!$D:$L,9,0)*VLOOKUP('5.成本表'!$D1194,系数辅助表!$C:$G,5,0)/VLOOKUP($D1194,系数辅助表!$C:$E,3,0),0)</f>
        <v>0</v>
      </c>
      <c r="I1194" s="36">
        <f>VLOOKUP($D1194,系数辅助表!$C:$F,4,0)</f>
        <v>4.0326564106466396</v>
      </c>
      <c r="J1194" s="2" t="s">
        <v>69</v>
      </c>
    </row>
    <row r="1195" spans="2:10" x14ac:dyDescent="0.3">
      <c r="B1195" s="47" t="s">
        <v>170</v>
      </c>
      <c r="C1195" t="str">
        <f>VLOOKUP($B1195,'标准费用表-2024年&amp;2025年优化'!$D:$E,2,0)</f>
        <v>陕西正大食品有限公司</v>
      </c>
      <c r="D1195" t="s">
        <v>72</v>
      </c>
      <c r="E1195" s="36">
        <f>IFERROR(VLOOKUP($B1195,'标准费用表-2024年&amp;2025年优化'!$D:$K,8,0)*VLOOKUP("白条",系数辅助表!$C:$G,5,0)*VLOOKUP('5.成本表'!$D1195,系数辅助表!$C:$G,5,0)/VLOOKUP('5.成本表'!$D1195,系数辅助表!$C:$E,3,0),)</f>
        <v>0.84631702795863495</v>
      </c>
      <c r="F1195" s="36">
        <f>IFERROR(VLOOKUP($B1195,'标准费用表-2024年&amp;2025年优化'!$D:$L,9,0)*VLOOKUP('5.成本表'!$D1195,系数辅助表!$C:$G,5,0)/VLOOKUP($D1195,系数辅助表!$C:$E,3,0),0)</f>
        <v>0</v>
      </c>
      <c r="I1195" s="36">
        <f>VLOOKUP($D1195,系数辅助表!$C:$F,4,0)</f>
        <v>2.34857997367385</v>
      </c>
      <c r="J1195" s="2" t="s">
        <v>69</v>
      </c>
    </row>
    <row r="1196" spans="2:10" x14ac:dyDescent="0.3">
      <c r="B1196" s="47" t="s">
        <v>170</v>
      </c>
      <c r="C1196" t="str">
        <f>VLOOKUP($B1196,'标准费用表-2024年&amp;2025年优化'!$D:$E,2,0)</f>
        <v>陕西正大食品有限公司</v>
      </c>
      <c r="D1196" t="s">
        <v>73</v>
      </c>
      <c r="E1196" s="36">
        <f>IFERROR(VLOOKUP($B1196,'标准费用表-2024年&amp;2025年优化'!$D:$K,8,0)*VLOOKUP("白条",系数辅助表!$C:$G,5,0)*VLOOKUP('5.成本表'!$D1196,系数辅助表!$C:$G,5,0)/VLOOKUP('5.成本表'!$D1196,系数辅助表!$C:$E,3,0),)</f>
        <v>0.50841324913756003</v>
      </c>
      <c r="F1196" s="36">
        <f>IFERROR(VLOOKUP($B1196,'标准费用表-2024年&amp;2025年优化'!$D:$L,9,0)*VLOOKUP('5.成本表'!$D1196,系数辅助表!$C:$G,5,0)/VLOOKUP($D1196,系数辅助表!$C:$E,3,0),0)</f>
        <v>0</v>
      </c>
      <c r="I1196" s="36">
        <f>VLOOKUP($D1196,系数辅助表!$C:$F,4,0)</f>
        <v>1.41087693598112</v>
      </c>
      <c r="J1196" s="2" t="s">
        <v>69</v>
      </c>
    </row>
    <row r="1197" spans="2:10" x14ac:dyDescent="0.3">
      <c r="B1197" s="47" t="s">
        <v>170</v>
      </c>
      <c r="C1197" t="str">
        <f>VLOOKUP($B1197,'标准费用表-2024年&amp;2025年优化'!$D:$E,2,0)</f>
        <v>陕西正大食品有限公司</v>
      </c>
      <c r="D1197" t="s">
        <v>74</v>
      </c>
      <c r="E1197" s="36">
        <f>IFERROR(VLOOKUP($B1197,'标准费用表-2024年&amp;2025年优化'!$D:$K,8,0)*VLOOKUP("白条",系数辅助表!$C:$G,5,0)*VLOOKUP('5.成本表'!$D1197,系数辅助表!$C:$G,5,0)/VLOOKUP('5.成本表'!$D1197,系数辅助表!$C:$E,3,0),)</f>
        <v>0.68650867047326203</v>
      </c>
      <c r="F1197" s="36">
        <f>IFERROR(VLOOKUP($B1197,'标准费用表-2024年&amp;2025年优化'!$D:$L,9,0)*VLOOKUP('5.成本表'!$D1197,系数辅助表!$C:$G,5,0)/VLOOKUP($D1197,系数辅助表!$C:$E,3,0),0)</f>
        <v>0</v>
      </c>
      <c r="I1197" s="36">
        <f>VLOOKUP($D1197,系数辅助表!$C:$F,4,0)</f>
        <v>1.9051022985038799</v>
      </c>
      <c r="J1197" s="2" t="s">
        <v>69</v>
      </c>
    </row>
    <row r="1198" spans="2:10" x14ac:dyDescent="0.3">
      <c r="B1198" s="47" t="s">
        <v>170</v>
      </c>
      <c r="C1198" t="str">
        <f>VLOOKUP($B1198,'标准费用表-2024年&amp;2025年优化'!$D:$E,2,0)</f>
        <v>陕西正大食品有限公司</v>
      </c>
      <c r="D1198" t="s">
        <v>75</v>
      </c>
      <c r="E1198" s="36">
        <f>IFERROR(VLOOKUP($B1198,'标准费用表-2024年&amp;2025年优化'!$D:$K,8,0)*VLOOKUP("白条",系数辅助表!$C:$G,5,0)*VLOOKUP('5.成本表'!$D1198,系数辅助表!$C:$G,5,0)/VLOOKUP('5.成本表'!$D1198,系数辅助表!$C:$E,3,0),)</f>
        <v>0.51404880280494702</v>
      </c>
      <c r="F1198" s="36">
        <f>IFERROR(VLOOKUP($B1198,'标准费用表-2024年&amp;2025年优化'!$D:$L,9,0)*VLOOKUP('5.成本表'!$D1198,系数辅助表!$C:$G,5,0)/VLOOKUP($D1198,系数辅助表!$C:$E,3,0),0)</f>
        <v>0</v>
      </c>
      <c r="I1198" s="36">
        <f>VLOOKUP($D1198,系数辅助表!$C:$F,4,0)</f>
        <v>1.42651593182611</v>
      </c>
      <c r="J1198" s="2" t="s">
        <v>69</v>
      </c>
    </row>
    <row r="1199" spans="2:10" x14ac:dyDescent="0.3">
      <c r="B1199" s="47" t="s">
        <v>170</v>
      </c>
      <c r="C1199" t="str">
        <f>VLOOKUP($B1199,'标准费用表-2024年&amp;2025年优化'!$D:$E,2,0)</f>
        <v>陕西正大食品有限公司</v>
      </c>
      <c r="D1199" t="s">
        <v>76</v>
      </c>
      <c r="E1199" s="36">
        <f>IFERROR(VLOOKUP($B1199,'标准费用表-2024年&amp;2025年优化'!$D:$K,8,0)*VLOOKUP("白条",系数辅助表!$C:$G,5,0)*VLOOKUP('5.成本表'!$D1199,系数辅助表!$C:$G,5,0)/VLOOKUP('5.成本表'!$D1199,系数辅助表!$C:$E,3,0),)</f>
        <v>0.52380234524041402</v>
      </c>
      <c r="F1199" s="36">
        <f>IFERROR(VLOOKUP($B1199,'标准费用表-2024年&amp;2025年优化'!$D:$L,9,0)*VLOOKUP('5.成本表'!$D1199,系数辅助表!$C:$G,5,0)/VLOOKUP($D1199,系数辅助表!$C:$E,3,0),0)</f>
        <v>0</v>
      </c>
      <c r="I1199" s="36">
        <f>VLOOKUP($D1199,系数辅助表!$C:$F,4,0)</f>
        <v>1.4535825908670701</v>
      </c>
      <c r="J1199" s="2" t="s">
        <v>69</v>
      </c>
    </row>
    <row r="1200" spans="2:10" x14ac:dyDescent="0.3">
      <c r="B1200" s="47" t="s">
        <v>170</v>
      </c>
      <c r="C1200" t="str">
        <f>VLOOKUP($B1200,'标准费用表-2024年&amp;2025年优化'!$D:$E,2,0)</f>
        <v>陕西正大食品有限公司</v>
      </c>
      <c r="D1200" t="s">
        <v>77</v>
      </c>
      <c r="E1200" s="36">
        <f>IFERROR(VLOOKUP($B1200,'标准费用表-2024年&amp;2025年优化'!$D:$K,8,0)*VLOOKUP("白条",系数辅助表!$C:$G,5,0)*VLOOKUP('5.成本表'!$D1200,系数辅助表!$C:$G,5,0)/VLOOKUP('5.成本表'!$D1200,系数辅助表!$C:$E,3,0),)</f>
        <v>0.51928191660578704</v>
      </c>
      <c r="F1200" s="36">
        <f>IFERROR(VLOOKUP($B1200,'标准费用表-2024年&amp;2025年优化'!$D:$L,9,0)*VLOOKUP('5.成本表'!$D1200,系数辅助表!$C:$G,5,0)/VLOOKUP($D1200,系数辅助表!$C:$E,3,0),0)</f>
        <v>0</v>
      </c>
      <c r="I1200" s="36">
        <f>VLOOKUP($D1200,系数辅助表!$C:$F,4,0)</f>
        <v>1.4410381331603499</v>
      </c>
      <c r="J1200" s="2" t="s">
        <v>69</v>
      </c>
    </row>
    <row r="1201" spans="2:10" x14ac:dyDescent="0.3">
      <c r="B1201" s="47" t="s">
        <v>170</v>
      </c>
      <c r="C1201" t="str">
        <f>VLOOKUP($B1201,'标准费用表-2024年&amp;2025年优化'!$D:$E,2,0)</f>
        <v>陕西正大食品有限公司</v>
      </c>
      <c r="D1201" t="s">
        <v>78</v>
      </c>
      <c r="E1201" s="36">
        <f>IFERROR(VLOOKUP($B1201,'标准费用表-2024年&amp;2025年优化'!$D:$K,8,0)*VLOOKUP("白条",系数辅助表!$C:$G,5,0)*VLOOKUP('5.成本表'!$D1201,系数辅助表!$C:$G,5,0)/VLOOKUP('5.成本表'!$D1201,系数辅助表!$C:$E,3,0),)</f>
        <v>0.445335568519592</v>
      </c>
      <c r="F1201" s="36">
        <f>IFERROR(VLOOKUP($B1201,'标准费用表-2024年&amp;2025年优化'!$D:$L,9,0)*VLOOKUP('5.成本表'!$D1201,系数辅助表!$C:$G,5,0)/VLOOKUP($D1201,系数辅助表!$C:$E,3,0),0)</f>
        <v>0</v>
      </c>
      <c r="I1201" s="36">
        <f>VLOOKUP($D1201,系数辅助表!$C:$F,4,0)</f>
        <v>1.2358326291892801</v>
      </c>
      <c r="J1201" s="2" t="s">
        <v>69</v>
      </c>
    </row>
    <row r="1202" spans="2:10" x14ac:dyDescent="0.3">
      <c r="B1202" s="47" t="s">
        <v>170</v>
      </c>
      <c r="C1202" t="str">
        <f>VLOOKUP($B1202,'标准费用表-2024年&amp;2025年优化'!$D:$E,2,0)</f>
        <v>陕西正大食品有限公司</v>
      </c>
      <c r="D1202" t="s">
        <v>79</v>
      </c>
      <c r="E1202" s="36">
        <f>IFERROR(VLOOKUP($B1202,'标准费用表-2024年&amp;2025年优化'!$D:$K,8,0)*VLOOKUP("白条",系数辅助表!$C:$G,5,0)*VLOOKUP('5.成本表'!$D1202,系数辅助表!$C:$G,5,0)/VLOOKUP('5.成本表'!$D1202,系数辅助表!$C:$E,3,0),)</f>
        <v>0.31106254432710001</v>
      </c>
      <c r="F1202" s="36">
        <f>IFERROR(VLOOKUP($B1202,'标准费用表-2024年&amp;2025年优化'!$D:$L,9,0)*VLOOKUP('5.成本表'!$D1202,系数辅助表!$C:$G,5,0)/VLOOKUP($D1202,系数辅助表!$C:$E,3,0),0)</f>
        <v>0</v>
      </c>
      <c r="I1202" s="36">
        <f>VLOOKUP($D1202,系数辅助表!$C:$F,4,0)</f>
        <v>0.86321701919291904</v>
      </c>
      <c r="J1202" s="2" t="s">
        <v>69</v>
      </c>
    </row>
    <row r="1203" spans="2:10" x14ac:dyDescent="0.3">
      <c r="B1203" s="47" t="s">
        <v>170</v>
      </c>
      <c r="C1203" t="str">
        <f>VLOOKUP($B1203,'标准费用表-2024年&amp;2025年优化'!$D:$E,2,0)</f>
        <v>陕西正大食品有限公司</v>
      </c>
      <c r="D1203" t="s">
        <v>80</v>
      </c>
      <c r="E1203" s="36">
        <f>IFERROR(VLOOKUP($B1203,'标准费用表-2024年&amp;2025年优化'!$D:$K,8,0)*VLOOKUP("白条",系数辅助表!$C:$G,5,0)*VLOOKUP('5.成本表'!$D1203,系数辅助表!$C:$G,5,0)/VLOOKUP('5.成本表'!$D1203,系数辅助表!$C:$E,3,0),)</f>
        <v>0.28715563544611</v>
      </c>
      <c r="F1203" s="36">
        <f>IFERROR(VLOOKUP($B1203,'标准费用表-2024年&amp;2025年优化'!$D:$L,9,0)*VLOOKUP('5.成本表'!$D1203,系数辅助表!$C:$G,5,0)/VLOOKUP($D1203,系数辅助表!$C:$E,3,0),0)</f>
        <v>0</v>
      </c>
      <c r="I1203" s="36">
        <f>VLOOKUP($D1203,系数辅助表!$C:$F,4,0)</f>
        <v>0.796873928394225</v>
      </c>
      <c r="J1203" s="2" t="s">
        <v>69</v>
      </c>
    </row>
    <row r="1204" spans="2:10" x14ac:dyDescent="0.3">
      <c r="B1204" s="47" t="s">
        <v>170</v>
      </c>
      <c r="C1204" t="str">
        <f>VLOOKUP($B1204,'标准费用表-2024年&amp;2025年优化'!$D:$E,2,0)</f>
        <v>陕西正大食品有限公司</v>
      </c>
      <c r="D1204" t="s">
        <v>81</v>
      </c>
      <c r="E1204" s="36">
        <f>IFERROR(VLOOKUP($B1204,'标准费用表-2024年&amp;2025年优化'!$D:$K,8,0)*VLOOKUP("白条",系数辅助表!$C:$G,5,0)*VLOOKUP('5.成本表'!$D1204,系数辅助表!$C:$G,5,0)/VLOOKUP('5.成本表'!$D1204,系数辅助表!$C:$E,3,0),)</f>
        <v>0.39595863547243398</v>
      </c>
      <c r="F1204" s="36">
        <f>IFERROR(VLOOKUP($B1204,'标准费用表-2024年&amp;2025年优化'!$D:$L,9,0)*VLOOKUP('5.成本表'!$D1204,系数辅助表!$C:$G,5,0)/VLOOKUP($D1204,系数辅助表!$C:$E,3,0),0)</f>
        <v>0</v>
      </c>
      <c r="I1204" s="36">
        <f>VLOOKUP($D1204,系数辅助表!$C:$F,4,0)</f>
        <v>1.09880870991909</v>
      </c>
      <c r="J1204" s="2" t="s">
        <v>69</v>
      </c>
    </row>
    <row r="1205" spans="2:10" x14ac:dyDescent="0.3">
      <c r="B1205" s="47" t="s">
        <v>170</v>
      </c>
      <c r="C1205" t="str">
        <f>VLOOKUP($B1205,'标准费用表-2024年&amp;2025年优化'!$D:$E,2,0)</f>
        <v>陕西正大食品有限公司</v>
      </c>
      <c r="D1205" t="s">
        <v>82</v>
      </c>
      <c r="E1205" s="36">
        <f>IFERROR(VLOOKUP($B1205,'标准费用表-2024年&amp;2025年优化'!$D:$K,8,0)*VLOOKUP("白条",系数辅助表!$C:$G,5,0)*VLOOKUP('5.成本表'!$D1205,系数辅助表!$C:$G,5,0)/VLOOKUP('5.成本表'!$D1205,系数辅助表!$C:$E,3,0),)</f>
        <v>0.36077472547683398</v>
      </c>
      <c r="F1205" s="36">
        <f>IFERROR(VLOOKUP($B1205,'标准费用表-2024年&amp;2025年优化'!$D:$L,9,0)*VLOOKUP('5.成本表'!$D1205,系数辅助表!$C:$G,5,0)/VLOOKUP($D1205,系数辅助表!$C:$E,3,0),0)</f>
        <v>0</v>
      </c>
      <c r="I1205" s="36">
        <f>VLOOKUP($D1205,系数辅助表!$C:$F,4,0)</f>
        <v>1.0011712718416299</v>
      </c>
      <c r="J1205" s="2" t="s">
        <v>69</v>
      </c>
    </row>
    <row r="1206" spans="2:10" x14ac:dyDescent="0.3">
      <c r="B1206" s="47" t="s">
        <v>170</v>
      </c>
      <c r="C1206" t="str">
        <f>VLOOKUP($B1206,'标准费用表-2024年&amp;2025年优化'!$D:$E,2,0)</f>
        <v>陕西正大食品有限公司</v>
      </c>
      <c r="D1206" t="s">
        <v>83</v>
      </c>
      <c r="E1206" s="36">
        <f>IFERROR(VLOOKUP($B1206,'标准费用表-2024年&amp;2025年优化'!$D:$K,8,0)*VLOOKUP("白条",系数辅助表!$C:$G,5,0)*VLOOKUP('5.成本表'!$D1206,系数辅助表!$C:$G,5,0)/VLOOKUP('5.成本表'!$D1206,系数辅助表!$C:$E,3,0),)</f>
        <v>0.32444450955883197</v>
      </c>
      <c r="F1206" s="36">
        <f>IFERROR(VLOOKUP($B1206,'标准费用表-2024年&amp;2025年优化'!$D:$L,9,0)*VLOOKUP('5.成本表'!$D1206,系数辅助表!$C:$G,5,0)/VLOOKUP($D1206,系数辅助表!$C:$E,3,0),0)</f>
        <v>0</v>
      </c>
      <c r="I1206" s="36">
        <f>VLOOKUP($D1206,系数辅助表!$C:$F,4,0)</f>
        <v>0.90035276680685095</v>
      </c>
      <c r="J1206" s="2" t="s">
        <v>69</v>
      </c>
    </row>
    <row r="1207" spans="2:10" x14ac:dyDescent="0.3">
      <c r="B1207" s="47" t="s">
        <v>170</v>
      </c>
      <c r="C1207" t="str">
        <f>VLOOKUP($B1207,'标准费用表-2024年&amp;2025年优化'!$D:$E,2,0)</f>
        <v>陕西正大食品有限公司</v>
      </c>
      <c r="D1207" t="s">
        <v>84</v>
      </c>
      <c r="E1207" s="36">
        <f>IFERROR(VLOOKUP($B1207,'标准费用表-2024年&amp;2025年优化'!$D:$K,8,0)*VLOOKUP("白条",系数辅助表!$C:$G,5,0)*VLOOKUP('5.成本表'!$D1207,系数辅助表!$C:$G,5,0)/VLOOKUP('5.成本表'!$D1207,系数辅助表!$C:$E,3,0),)</f>
        <v>0.325877518891039</v>
      </c>
      <c r="F1207" s="36">
        <f>IFERROR(VLOOKUP($B1207,'标准费用表-2024年&amp;2025年优化'!$D:$L,9,0)*VLOOKUP('5.成本表'!$D1207,系数辅助表!$C:$G,5,0)/VLOOKUP($D1207,系数辅助表!$C:$E,3,0),0)</f>
        <v>0</v>
      </c>
      <c r="I1207" s="36">
        <f>VLOOKUP($D1207,系数辅助表!$C:$F,4,0)</f>
        <v>0.90432945273957599</v>
      </c>
      <c r="J1207" s="2" t="s">
        <v>69</v>
      </c>
    </row>
    <row r="1208" spans="2:10" x14ac:dyDescent="0.3">
      <c r="B1208" s="47" t="s">
        <v>170</v>
      </c>
      <c r="C1208" t="str">
        <f>VLOOKUP($B1208,'标准费用表-2024年&amp;2025年优化'!$D:$E,2,0)</f>
        <v>陕西正大食品有限公司</v>
      </c>
      <c r="D1208" t="s">
        <v>85</v>
      </c>
      <c r="E1208" s="36">
        <f>IFERROR(VLOOKUP($B1208,'标准费用表-2024年&amp;2025年优化'!$D:$K,8,0)*VLOOKUP("白条",系数辅助表!$C:$G,5,0)*VLOOKUP('5.成本表'!$D1208,系数辅助表!$C:$G,5,0)/VLOOKUP('5.成本表'!$D1208,系数辅助表!$C:$E,3,0),)</f>
        <v>0.405171607370092</v>
      </c>
      <c r="F1208" s="36">
        <f>IFERROR(VLOOKUP($B1208,'标准费用表-2024年&amp;2025年优化'!$D:$L,9,0)*VLOOKUP('5.成本表'!$D1208,系数辅助表!$C:$G,5,0)/VLOOKUP($D1208,系数辅助表!$C:$E,3,0),0)</f>
        <v>0</v>
      </c>
      <c r="I1208" s="36">
        <f>VLOOKUP($D1208,系数辅助表!$C:$F,4,0)</f>
        <v>1.12437525363977</v>
      </c>
      <c r="J1208" s="2" t="s">
        <v>69</v>
      </c>
    </row>
    <row r="1209" spans="2:10" x14ac:dyDescent="0.3">
      <c r="B1209" s="47" t="s">
        <v>170</v>
      </c>
      <c r="C1209" t="str">
        <f>VLOOKUP($B1209,'标准费用表-2024年&amp;2025年优化'!$D:$E,2,0)</f>
        <v>陕西正大食品有限公司</v>
      </c>
      <c r="D1209" t="s">
        <v>86</v>
      </c>
      <c r="E1209" s="36">
        <f>IFERROR(VLOOKUP($B1209,'标准费用表-2024年&amp;2025年优化'!$D:$K,8,0)*VLOOKUP("白条",系数辅助表!$C:$G,5,0)*VLOOKUP('5.成本表'!$D1209,系数辅助表!$C:$G,5,0)/VLOOKUP('5.成本表'!$D1209,系数辅助表!$C:$E,3,0),)</f>
        <v>0.35428881431112802</v>
      </c>
      <c r="F1209" s="36">
        <f>IFERROR(VLOOKUP($B1209,'标准费用表-2024年&amp;2025年优化'!$D:$L,9,0)*VLOOKUP('5.成本表'!$D1209,系数辅助表!$C:$G,5,0)/VLOOKUP($D1209,系数辅助表!$C:$E,3,0),0)</f>
        <v>0</v>
      </c>
      <c r="I1209" s="36">
        <f>VLOOKUP($D1209,系数辅助表!$C:$F,4,0)</f>
        <v>0.98317248347795105</v>
      </c>
      <c r="J1209" s="2" t="s">
        <v>69</v>
      </c>
    </row>
    <row r="1210" spans="2:10" x14ac:dyDescent="0.3">
      <c r="B1210" s="47" t="s">
        <v>170</v>
      </c>
      <c r="C1210" t="str">
        <f>VLOOKUP($B1210,'标准费用表-2024年&amp;2025年优化'!$D:$E,2,0)</f>
        <v>陕西正大食品有限公司</v>
      </c>
      <c r="D1210" t="s">
        <v>87</v>
      </c>
      <c r="E1210" s="36">
        <f>IFERROR(VLOOKUP($B1210,'标准费用表-2024年&amp;2025年优化'!$D:$K,8,0)*VLOOKUP("白条",系数辅助表!$C:$G,5,0)*VLOOKUP('5.成本表'!$D1210,系数辅助表!$C:$G,5,0)/VLOOKUP('5.成本表'!$D1210,系数辅助表!$C:$E,3,0),)</f>
        <v>0.25660882311977101</v>
      </c>
      <c r="F1210" s="36">
        <f>IFERROR(VLOOKUP($B1210,'标准费用表-2024年&amp;2025年优化'!$D:$L,9,0)*VLOOKUP('5.成本表'!$D1210,系数辅助表!$C:$G,5,0)/VLOOKUP($D1210,系数辅助表!$C:$E,3,0),0)</f>
        <v>0</v>
      </c>
      <c r="I1210" s="36">
        <f>VLOOKUP($D1210,系数辅助表!$C:$F,4,0)</f>
        <v>0.71210471151782795</v>
      </c>
      <c r="J1210" s="2" t="s">
        <v>69</v>
      </c>
    </row>
    <row r="1211" spans="2:10" x14ac:dyDescent="0.3">
      <c r="B1211" s="47" t="s">
        <v>170</v>
      </c>
      <c r="C1211" t="str">
        <f>VLOOKUP($B1211,'标准费用表-2024年&amp;2025年优化'!$D:$E,2,0)</f>
        <v>陕西正大食品有限公司</v>
      </c>
      <c r="D1211" t="s">
        <v>88</v>
      </c>
      <c r="E1211" s="36">
        <f>IFERROR(VLOOKUP($B1211,'标准费用表-2024年&amp;2025年优化'!$D:$K,8,0)*VLOOKUP("白条",系数辅助表!$C:$G,5,0)*VLOOKUP('5.成本表'!$D1211,系数辅助表!$C:$G,5,0)/VLOOKUP('5.成本表'!$D1211,系数辅助表!$C:$E,3,0),)</f>
        <v>0.969201329651317</v>
      </c>
      <c r="F1211" s="36">
        <f>IFERROR(VLOOKUP($B1211,'标准费用表-2024年&amp;2025年优化'!$D:$L,9,0)*VLOOKUP('5.成本表'!$D1211,系数辅助表!$C:$G,5,0)/VLOOKUP($D1211,系数辅助表!$C:$E,3,0),0)</f>
        <v>0</v>
      </c>
      <c r="I1211" s="36">
        <f>VLOOKUP($D1211,系数辅助表!$C:$F,4,0)</f>
        <v>2.6895912029178799</v>
      </c>
      <c r="J1211" s="2" t="s">
        <v>69</v>
      </c>
    </row>
    <row r="1212" spans="2:10" x14ac:dyDescent="0.3">
      <c r="B1212" s="47" t="s">
        <v>170</v>
      </c>
      <c r="C1212" t="str">
        <f>VLOOKUP($B1212,'标准费用表-2024年&amp;2025年优化'!$D:$E,2,0)</f>
        <v>陕西正大食品有限公司</v>
      </c>
      <c r="D1212" t="s">
        <v>89</v>
      </c>
      <c r="E1212" s="36">
        <f>IFERROR(VLOOKUP($B1212,'标准费用表-2024年&amp;2025年优化'!$D:$K,8,0)*VLOOKUP("白条",系数辅助表!$C:$G,5,0)*VLOOKUP('5.成本表'!$D1212,系数辅助表!$C:$G,5,0)/VLOOKUP('5.成本表'!$D1212,系数辅助表!$C:$E,3,0),)</f>
        <v>0.41684848238142003</v>
      </c>
      <c r="F1212" s="36">
        <f>IFERROR(VLOOKUP($B1212,'标准费用表-2024年&amp;2025年优化'!$D:$L,9,0)*VLOOKUP('5.成本表'!$D1212,系数辅助表!$C:$G,5,0)/VLOOKUP($D1212,系数辅助表!$C:$E,3,0),0)</f>
        <v>0</v>
      </c>
      <c r="I1212" s="36">
        <f>VLOOKUP($D1212,系数辅助表!$C:$F,4,0)</f>
        <v>1.1567792747107399</v>
      </c>
      <c r="J1212" s="2" t="s">
        <v>69</v>
      </c>
    </row>
    <row r="1213" spans="2:10" x14ac:dyDescent="0.3">
      <c r="B1213" s="47" t="s">
        <v>170</v>
      </c>
      <c r="C1213" t="str">
        <f>VLOOKUP($B1213,'标准费用表-2024年&amp;2025年优化'!$D:$E,2,0)</f>
        <v>陕西正大食品有限公司</v>
      </c>
      <c r="D1213" t="s">
        <v>90</v>
      </c>
      <c r="E1213" s="36">
        <f>IFERROR(VLOOKUP($B1213,'标准费用表-2024年&amp;2025年优化'!$D:$K,8,0)*VLOOKUP("白条",系数辅助表!$C:$G,5,0)*VLOOKUP('5.成本表'!$D1213,系数辅助表!$C:$G,5,0)/VLOOKUP('5.成本表'!$D1213,系数辅助表!$C:$E,3,0),)</f>
        <v>0.26341000441545598</v>
      </c>
      <c r="F1213" s="36">
        <f>IFERROR(VLOOKUP($B1213,'标准费用表-2024年&amp;2025年优化'!$D:$L,9,0)*VLOOKUP('5.成本表'!$D1213,系数辅助表!$C:$G,5,0)/VLOOKUP($D1213,系数辅助表!$C:$E,3,0),0)</f>
        <v>0</v>
      </c>
      <c r="I1213" s="36">
        <f>VLOOKUP($D1213,系数辅助表!$C:$F,4,0)</f>
        <v>0.73097839320056501</v>
      </c>
      <c r="J1213" s="2" t="s">
        <v>69</v>
      </c>
    </row>
    <row r="1214" spans="2:10" x14ac:dyDescent="0.3">
      <c r="B1214" s="47" t="s">
        <v>170</v>
      </c>
      <c r="C1214" t="str">
        <f>VLOOKUP($B1214,'标准费用表-2024年&amp;2025年优化'!$D:$E,2,0)</f>
        <v>陕西正大食品有限公司</v>
      </c>
      <c r="D1214" t="s">
        <v>91</v>
      </c>
      <c r="E1214" s="36">
        <f>IFERROR(VLOOKUP($B1214,'标准费用表-2024年&amp;2025年优化'!$D:$K,8,0)*VLOOKUP("白条",系数辅助表!$C:$G,5,0)*VLOOKUP('5.成本表'!$D1214,系数辅助表!$C:$G,5,0)/VLOOKUP('5.成本表'!$D1214,系数辅助表!$C:$E,3,0),)</f>
        <v>0.218407797399642</v>
      </c>
      <c r="F1214" s="36">
        <f>IFERROR(VLOOKUP($B1214,'标准费用表-2024年&amp;2025年优化'!$D:$L,9,0)*VLOOKUP('5.成本表'!$D1214,系数辅助表!$C:$G,5,0)/VLOOKUP($D1214,系数辅助表!$C:$E,3,0),0)</f>
        <v>0</v>
      </c>
      <c r="I1214" s="36">
        <f>VLOOKUP($D1214,系数辅助表!$C:$F,4,0)</f>
        <v>0.60609459826688905</v>
      </c>
      <c r="J1214" s="2" t="s">
        <v>69</v>
      </c>
    </row>
    <row r="1215" spans="2:10" x14ac:dyDescent="0.3">
      <c r="B1215" s="47" t="s">
        <v>170</v>
      </c>
      <c r="C1215" t="str">
        <f>VLOOKUP($B1215,'标准费用表-2024年&amp;2025年优化'!$D:$E,2,0)</f>
        <v>陕西正大食品有限公司</v>
      </c>
      <c r="D1215" t="s">
        <v>92</v>
      </c>
      <c r="E1215" s="36">
        <f>IFERROR(VLOOKUP($B1215,'标准费用表-2024年&amp;2025年优化'!$D:$K,8,0)*VLOOKUP("白条",系数辅助表!$C:$G,5,0)*VLOOKUP('5.成本表'!$D1215,系数辅助表!$C:$G,5,0)/VLOOKUP('5.成本表'!$D1215,系数辅助表!$C:$E,3,0),)</f>
        <v>8.6686767523290506E-2</v>
      </c>
      <c r="F1215" s="36">
        <f>IFERROR(VLOOKUP($B1215,'标准费用表-2024年&amp;2025年优化'!$D:$L,9,0)*VLOOKUP('5.成本表'!$D1215,系数辅助表!$C:$G,5,0)/VLOOKUP($D1215,系数辅助表!$C:$E,3,0),0)</f>
        <v>0</v>
      </c>
      <c r="I1215" s="36">
        <f>VLOOKUP($D1215,系数辅助表!$C:$F,4,0)</f>
        <v>0.24056092393508099</v>
      </c>
      <c r="J1215" s="2" t="s">
        <v>69</v>
      </c>
    </row>
    <row r="1216" spans="2:10" x14ac:dyDescent="0.3">
      <c r="B1216" s="47" t="s">
        <v>170</v>
      </c>
      <c r="C1216" t="str">
        <f>VLOOKUP($B1216,'标准费用表-2024年&amp;2025年优化'!$D:$E,2,0)</f>
        <v>陕西正大食品有限公司</v>
      </c>
      <c r="D1216" t="s">
        <v>93</v>
      </c>
      <c r="E1216" s="36">
        <f>E1192</f>
        <v>0.82160405239564205</v>
      </c>
      <c r="F1216" s="36">
        <f>F1192</f>
        <v>0</v>
      </c>
      <c r="G1216">
        <v>0.2</v>
      </c>
      <c r="H1216">
        <v>0.3</v>
      </c>
      <c r="J1216" s="2" t="s">
        <v>69</v>
      </c>
    </row>
    <row r="1217" spans="2:10" x14ac:dyDescent="0.3">
      <c r="B1217" s="47" t="s">
        <v>170</v>
      </c>
      <c r="C1217" t="str">
        <f>VLOOKUP($B1217,'标准费用表-2024年&amp;2025年优化'!$D:$E,2,0)</f>
        <v>陕西正大食品有限公司</v>
      </c>
      <c r="D1217" t="s">
        <v>96</v>
      </c>
      <c r="E1217" s="36">
        <f t="shared" ref="E1217:F1217" si="472">E1193</f>
        <v>0.54907774372231599</v>
      </c>
      <c r="F1217" s="36">
        <f t="shared" si="472"/>
        <v>0</v>
      </c>
      <c r="G1217">
        <v>0.2</v>
      </c>
      <c r="H1217">
        <v>0.3</v>
      </c>
      <c r="J1217" s="2" t="s">
        <v>69</v>
      </c>
    </row>
    <row r="1218" spans="2:10" x14ac:dyDescent="0.3">
      <c r="B1218" s="47" t="s">
        <v>170</v>
      </c>
      <c r="C1218" t="str">
        <f>VLOOKUP($B1218,'标准费用表-2024年&amp;2025年优化'!$D:$E,2,0)</f>
        <v>陕西正大食品有限公司</v>
      </c>
      <c r="D1218" t="s">
        <v>97</v>
      </c>
      <c r="E1218" s="36">
        <f t="shared" ref="E1218:F1218" si="473">E1194</f>
        <v>1.45317844250287</v>
      </c>
      <c r="F1218" s="36">
        <f t="shared" si="473"/>
        <v>0</v>
      </c>
      <c r="G1218">
        <v>0.2</v>
      </c>
      <c r="H1218">
        <v>0.3</v>
      </c>
      <c r="J1218" s="2" t="s">
        <v>69</v>
      </c>
    </row>
    <row r="1219" spans="2:10" x14ac:dyDescent="0.3">
      <c r="B1219" s="47" t="s">
        <v>170</v>
      </c>
      <c r="C1219" t="str">
        <f>VLOOKUP($B1219,'标准费用表-2024年&amp;2025年优化'!$D:$E,2,0)</f>
        <v>陕西正大食品有限公司</v>
      </c>
      <c r="D1219" t="s">
        <v>98</v>
      </c>
      <c r="E1219" s="36">
        <f t="shared" ref="E1219:F1219" si="474">E1195</f>
        <v>0.84631702795863495</v>
      </c>
      <c r="F1219" s="36">
        <f t="shared" si="474"/>
        <v>0</v>
      </c>
      <c r="G1219">
        <v>0.2</v>
      </c>
      <c r="H1219">
        <v>0.3</v>
      </c>
      <c r="J1219" s="2" t="s">
        <v>69</v>
      </c>
    </row>
    <row r="1220" spans="2:10" x14ac:dyDescent="0.3">
      <c r="B1220" s="47" t="s">
        <v>170</v>
      </c>
      <c r="C1220" t="str">
        <f>VLOOKUP($B1220,'标准费用表-2024年&amp;2025年优化'!$D:$E,2,0)</f>
        <v>陕西正大食品有限公司</v>
      </c>
      <c r="D1220" t="s">
        <v>99</v>
      </c>
      <c r="E1220" s="36">
        <f t="shared" ref="E1220:F1220" si="475">E1196</f>
        <v>0.50841324913756003</v>
      </c>
      <c r="F1220" s="36">
        <f t="shared" si="475"/>
        <v>0</v>
      </c>
      <c r="G1220">
        <v>0.2</v>
      </c>
      <c r="H1220">
        <v>0.3</v>
      </c>
      <c r="J1220" s="2" t="s">
        <v>69</v>
      </c>
    </row>
    <row r="1221" spans="2:10" x14ac:dyDescent="0.3">
      <c r="B1221" s="47" t="s">
        <v>170</v>
      </c>
      <c r="C1221" t="str">
        <f>VLOOKUP($B1221,'标准费用表-2024年&amp;2025年优化'!$D:$E,2,0)</f>
        <v>陕西正大食品有限公司</v>
      </c>
      <c r="D1221" t="s">
        <v>100</v>
      </c>
      <c r="E1221" s="36">
        <f t="shared" ref="E1221:F1221" si="476">E1197</f>
        <v>0.68650867047326203</v>
      </c>
      <c r="F1221" s="36">
        <f t="shared" si="476"/>
        <v>0</v>
      </c>
      <c r="G1221">
        <v>0.2</v>
      </c>
      <c r="H1221">
        <v>0.3</v>
      </c>
      <c r="J1221" s="2" t="s">
        <v>69</v>
      </c>
    </row>
    <row r="1222" spans="2:10" x14ac:dyDescent="0.3">
      <c r="B1222" s="47" t="s">
        <v>170</v>
      </c>
      <c r="C1222" t="str">
        <f>VLOOKUP($B1222,'标准费用表-2024年&amp;2025年优化'!$D:$E,2,0)</f>
        <v>陕西正大食品有限公司</v>
      </c>
      <c r="D1222" t="s">
        <v>101</v>
      </c>
      <c r="E1222" s="36">
        <f t="shared" ref="E1222:F1222" si="477">E1198</f>
        <v>0.51404880280494702</v>
      </c>
      <c r="F1222" s="36">
        <f t="shared" si="477"/>
        <v>0</v>
      </c>
      <c r="G1222">
        <v>0.2</v>
      </c>
      <c r="H1222">
        <v>0.3</v>
      </c>
      <c r="J1222" s="2" t="s">
        <v>69</v>
      </c>
    </row>
    <row r="1223" spans="2:10" x14ac:dyDescent="0.3">
      <c r="B1223" s="47" t="s">
        <v>170</v>
      </c>
      <c r="C1223" t="str">
        <f>VLOOKUP($B1223,'标准费用表-2024年&amp;2025年优化'!$D:$E,2,0)</f>
        <v>陕西正大食品有限公司</v>
      </c>
      <c r="D1223" t="s">
        <v>102</v>
      </c>
      <c r="E1223" s="36">
        <f t="shared" ref="E1223:F1223" si="478">E1199</f>
        <v>0.52380234524041402</v>
      </c>
      <c r="F1223" s="36">
        <f t="shared" si="478"/>
        <v>0</v>
      </c>
      <c r="G1223">
        <v>0.2</v>
      </c>
      <c r="H1223">
        <v>0.3</v>
      </c>
      <c r="J1223" s="2" t="s">
        <v>69</v>
      </c>
    </row>
    <row r="1224" spans="2:10" x14ac:dyDescent="0.3">
      <c r="B1224" s="47" t="s">
        <v>170</v>
      </c>
      <c r="C1224" t="str">
        <f>VLOOKUP($B1224,'标准费用表-2024年&amp;2025年优化'!$D:$E,2,0)</f>
        <v>陕西正大食品有限公司</v>
      </c>
      <c r="D1224" t="s">
        <v>103</v>
      </c>
      <c r="E1224" s="36">
        <f t="shared" ref="E1224:F1224" si="479">E1200</f>
        <v>0.51928191660578704</v>
      </c>
      <c r="F1224" s="36">
        <f t="shared" si="479"/>
        <v>0</v>
      </c>
      <c r="G1224">
        <v>0.2</v>
      </c>
      <c r="H1224">
        <v>0.3</v>
      </c>
      <c r="J1224" s="2" t="s">
        <v>69</v>
      </c>
    </row>
    <row r="1225" spans="2:10" x14ac:dyDescent="0.3">
      <c r="B1225" s="47" t="s">
        <v>170</v>
      </c>
      <c r="C1225" t="str">
        <f>VLOOKUP($B1225,'标准费用表-2024年&amp;2025年优化'!$D:$E,2,0)</f>
        <v>陕西正大食品有限公司</v>
      </c>
      <c r="D1225" t="s">
        <v>104</v>
      </c>
      <c r="E1225" s="36">
        <f t="shared" ref="E1225:F1225" si="480">E1201</f>
        <v>0.445335568519592</v>
      </c>
      <c r="F1225" s="36">
        <f t="shared" si="480"/>
        <v>0</v>
      </c>
      <c r="G1225">
        <v>0.2</v>
      </c>
      <c r="H1225">
        <v>0.3</v>
      </c>
      <c r="J1225" s="2" t="s">
        <v>69</v>
      </c>
    </row>
    <row r="1226" spans="2:10" x14ac:dyDescent="0.3">
      <c r="B1226" s="47" t="s">
        <v>170</v>
      </c>
      <c r="C1226" t="str">
        <f>VLOOKUP($B1226,'标准费用表-2024年&amp;2025年优化'!$D:$E,2,0)</f>
        <v>陕西正大食品有限公司</v>
      </c>
      <c r="D1226" t="s">
        <v>105</v>
      </c>
      <c r="E1226" s="36">
        <f t="shared" ref="E1226:F1226" si="481">E1202</f>
        <v>0.31106254432710001</v>
      </c>
      <c r="F1226" s="36">
        <f t="shared" si="481"/>
        <v>0</v>
      </c>
      <c r="G1226">
        <v>0.2</v>
      </c>
      <c r="H1226">
        <v>0.3</v>
      </c>
      <c r="J1226" s="2" t="s">
        <v>69</v>
      </c>
    </row>
    <row r="1227" spans="2:10" x14ac:dyDescent="0.3">
      <c r="B1227" s="47" t="s">
        <v>170</v>
      </c>
      <c r="C1227" t="str">
        <f>VLOOKUP($B1227,'标准费用表-2024年&amp;2025年优化'!$D:$E,2,0)</f>
        <v>陕西正大食品有限公司</v>
      </c>
      <c r="D1227" t="s">
        <v>106</v>
      </c>
      <c r="E1227" s="36">
        <f t="shared" ref="E1227:F1227" si="482">E1203</f>
        <v>0.28715563544611</v>
      </c>
      <c r="F1227" s="36">
        <f t="shared" si="482"/>
        <v>0</v>
      </c>
      <c r="G1227">
        <v>0.2</v>
      </c>
      <c r="H1227">
        <v>0.3</v>
      </c>
      <c r="J1227" s="2" t="s">
        <v>69</v>
      </c>
    </row>
    <row r="1228" spans="2:10" x14ac:dyDescent="0.3">
      <c r="B1228" s="47" t="s">
        <v>170</v>
      </c>
      <c r="C1228" t="str">
        <f>VLOOKUP($B1228,'标准费用表-2024年&amp;2025年优化'!$D:$E,2,0)</f>
        <v>陕西正大食品有限公司</v>
      </c>
      <c r="D1228" t="s">
        <v>107</v>
      </c>
      <c r="E1228" s="36">
        <f t="shared" ref="E1228:F1228" si="483">E1204</f>
        <v>0.39595863547243398</v>
      </c>
      <c r="F1228" s="36">
        <f t="shared" si="483"/>
        <v>0</v>
      </c>
      <c r="G1228">
        <v>0.2</v>
      </c>
      <c r="H1228">
        <v>0.3</v>
      </c>
      <c r="J1228" s="2" t="s">
        <v>69</v>
      </c>
    </row>
    <row r="1229" spans="2:10" x14ac:dyDescent="0.3">
      <c r="B1229" s="47" t="s">
        <v>170</v>
      </c>
      <c r="C1229" t="str">
        <f>VLOOKUP($B1229,'标准费用表-2024年&amp;2025年优化'!$D:$E,2,0)</f>
        <v>陕西正大食品有限公司</v>
      </c>
      <c r="D1229" t="s">
        <v>108</v>
      </c>
      <c r="E1229" s="36">
        <f t="shared" ref="E1229:F1229" si="484">E1205</f>
        <v>0.36077472547683398</v>
      </c>
      <c r="F1229" s="36">
        <f t="shared" si="484"/>
        <v>0</v>
      </c>
      <c r="G1229">
        <v>0.2</v>
      </c>
      <c r="H1229">
        <v>0.3</v>
      </c>
      <c r="J1229" s="2" t="s">
        <v>69</v>
      </c>
    </row>
    <row r="1230" spans="2:10" x14ac:dyDescent="0.3">
      <c r="B1230" s="47" t="s">
        <v>170</v>
      </c>
      <c r="C1230" t="str">
        <f>VLOOKUP($B1230,'标准费用表-2024年&amp;2025年优化'!$D:$E,2,0)</f>
        <v>陕西正大食品有限公司</v>
      </c>
      <c r="D1230" t="s">
        <v>109</v>
      </c>
      <c r="E1230" s="36">
        <f t="shared" ref="E1230:F1230" si="485">E1206</f>
        <v>0.32444450955883197</v>
      </c>
      <c r="F1230" s="36">
        <f t="shared" si="485"/>
        <v>0</v>
      </c>
      <c r="G1230">
        <v>0.2</v>
      </c>
      <c r="H1230">
        <v>0.3</v>
      </c>
      <c r="J1230" s="2" t="s">
        <v>69</v>
      </c>
    </row>
    <row r="1231" spans="2:10" x14ac:dyDescent="0.3">
      <c r="B1231" s="47" t="s">
        <v>170</v>
      </c>
      <c r="C1231" t="str">
        <f>VLOOKUP($B1231,'标准费用表-2024年&amp;2025年优化'!$D:$E,2,0)</f>
        <v>陕西正大食品有限公司</v>
      </c>
      <c r="D1231" t="s">
        <v>110</v>
      </c>
      <c r="E1231" s="36">
        <f t="shared" ref="E1231:F1231" si="486">E1207</f>
        <v>0.325877518891039</v>
      </c>
      <c r="F1231" s="36">
        <f t="shared" si="486"/>
        <v>0</v>
      </c>
      <c r="G1231">
        <v>0.2</v>
      </c>
      <c r="H1231">
        <v>0.3</v>
      </c>
      <c r="J1231" s="2" t="s">
        <v>69</v>
      </c>
    </row>
    <row r="1232" spans="2:10" x14ac:dyDescent="0.3">
      <c r="B1232" s="47" t="s">
        <v>170</v>
      </c>
      <c r="C1232" t="str">
        <f>VLOOKUP($B1232,'标准费用表-2024年&amp;2025年优化'!$D:$E,2,0)</f>
        <v>陕西正大食品有限公司</v>
      </c>
      <c r="D1232" t="s">
        <v>111</v>
      </c>
      <c r="E1232" s="36">
        <f t="shared" ref="E1232:F1232" si="487">E1208</f>
        <v>0.405171607370092</v>
      </c>
      <c r="F1232" s="36">
        <f t="shared" si="487"/>
        <v>0</v>
      </c>
      <c r="G1232">
        <v>0.2</v>
      </c>
      <c r="H1232">
        <v>0.3</v>
      </c>
      <c r="J1232" s="2" t="s">
        <v>69</v>
      </c>
    </row>
    <row r="1233" spans="2:10" x14ac:dyDescent="0.3">
      <c r="B1233" s="47" t="s">
        <v>170</v>
      </c>
      <c r="C1233" t="str">
        <f>VLOOKUP($B1233,'标准费用表-2024年&amp;2025年优化'!$D:$E,2,0)</f>
        <v>陕西正大食品有限公司</v>
      </c>
      <c r="D1233" t="s">
        <v>112</v>
      </c>
      <c r="E1233" s="36">
        <f t="shared" ref="E1233:F1233" si="488">E1209</f>
        <v>0.35428881431112802</v>
      </c>
      <c r="F1233" s="36">
        <f t="shared" si="488"/>
        <v>0</v>
      </c>
      <c r="G1233">
        <v>0.2</v>
      </c>
      <c r="H1233">
        <v>0.3</v>
      </c>
      <c r="J1233" s="2" t="s">
        <v>69</v>
      </c>
    </row>
    <row r="1234" spans="2:10" x14ac:dyDescent="0.3">
      <c r="B1234" s="47" t="s">
        <v>170</v>
      </c>
      <c r="C1234" t="str">
        <f>VLOOKUP($B1234,'标准费用表-2024年&amp;2025年优化'!$D:$E,2,0)</f>
        <v>陕西正大食品有限公司</v>
      </c>
      <c r="D1234" t="s">
        <v>113</v>
      </c>
      <c r="E1234" s="36">
        <f t="shared" ref="E1234:F1234" si="489">E1210</f>
        <v>0.25660882311977101</v>
      </c>
      <c r="F1234" s="36">
        <f t="shared" si="489"/>
        <v>0</v>
      </c>
      <c r="G1234">
        <v>0.2</v>
      </c>
      <c r="H1234">
        <v>0.3</v>
      </c>
      <c r="J1234" s="2" t="s">
        <v>69</v>
      </c>
    </row>
    <row r="1235" spans="2:10" x14ac:dyDescent="0.3">
      <c r="B1235" s="47" t="s">
        <v>170</v>
      </c>
      <c r="C1235" t="str">
        <f>VLOOKUP($B1235,'标准费用表-2024年&amp;2025年优化'!$D:$E,2,0)</f>
        <v>陕西正大食品有限公司</v>
      </c>
      <c r="D1235" t="s">
        <v>114</v>
      </c>
      <c r="E1235" s="36">
        <f t="shared" ref="E1235:F1235" si="490">E1211</f>
        <v>0.969201329651317</v>
      </c>
      <c r="F1235" s="36">
        <f t="shared" si="490"/>
        <v>0</v>
      </c>
      <c r="G1235">
        <v>0.2</v>
      </c>
      <c r="H1235">
        <v>0.3</v>
      </c>
      <c r="J1235" s="2" t="s">
        <v>69</v>
      </c>
    </row>
    <row r="1236" spans="2:10" x14ac:dyDescent="0.3">
      <c r="B1236" s="47" t="s">
        <v>170</v>
      </c>
      <c r="C1236" t="str">
        <f>VLOOKUP($B1236,'标准费用表-2024年&amp;2025年优化'!$D:$E,2,0)</f>
        <v>陕西正大食品有限公司</v>
      </c>
      <c r="D1236" t="s">
        <v>115</v>
      </c>
      <c r="E1236" s="36">
        <f t="shared" ref="E1236:F1236" si="491">E1212</f>
        <v>0.41684848238142003</v>
      </c>
      <c r="F1236" s="36">
        <f t="shared" si="491"/>
        <v>0</v>
      </c>
      <c r="G1236">
        <v>0.2</v>
      </c>
      <c r="H1236">
        <v>0.3</v>
      </c>
      <c r="J1236" s="2" t="s">
        <v>69</v>
      </c>
    </row>
    <row r="1237" spans="2:10" x14ac:dyDescent="0.3">
      <c r="B1237" s="47" t="s">
        <v>170</v>
      </c>
      <c r="C1237" t="str">
        <f>VLOOKUP($B1237,'标准费用表-2024年&amp;2025年优化'!$D:$E,2,0)</f>
        <v>陕西正大食品有限公司</v>
      </c>
      <c r="D1237" t="s">
        <v>116</v>
      </c>
      <c r="E1237" s="36">
        <f t="shared" ref="E1237:F1237" si="492">E1213</f>
        <v>0.26341000441545598</v>
      </c>
      <c r="F1237" s="36">
        <f t="shared" si="492"/>
        <v>0</v>
      </c>
      <c r="G1237">
        <v>0.2</v>
      </c>
      <c r="H1237">
        <v>0.3</v>
      </c>
      <c r="J1237" s="2" t="s">
        <v>69</v>
      </c>
    </row>
    <row r="1238" spans="2:10" x14ac:dyDescent="0.3">
      <c r="B1238" s="47" t="s">
        <v>170</v>
      </c>
      <c r="C1238" t="str">
        <f>VLOOKUP($B1238,'标准费用表-2024年&amp;2025年优化'!$D:$E,2,0)</f>
        <v>陕西正大食品有限公司</v>
      </c>
      <c r="D1238" t="s">
        <v>117</v>
      </c>
      <c r="E1238" s="36">
        <f t="shared" ref="E1238:F1238" si="493">E1214</f>
        <v>0.218407797399642</v>
      </c>
      <c r="F1238" s="36">
        <f t="shared" si="493"/>
        <v>0</v>
      </c>
      <c r="G1238">
        <v>0.2</v>
      </c>
      <c r="H1238">
        <v>0.3</v>
      </c>
      <c r="J1238" s="2" t="s">
        <v>69</v>
      </c>
    </row>
    <row r="1239" spans="2:10" x14ac:dyDescent="0.3">
      <c r="B1239" s="47" t="s">
        <v>170</v>
      </c>
      <c r="C1239" t="str">
        <f>VLOOKUP($B1239,'标准费用表-2024年&amp;2025年优化'!$D:$E,2,0)</f>
        <v>陕西正大食品有限公司</v>
      </c>
      <c r="D1239" t="s">
        <v>118</v>
      </c>
      <c r="E1239" s="36">
        <f t="shared" ref="E1239:F1239" si="494">E1215</f>
        <v>8.6686767523290506E-2</v>
      </c>
      <c r="F1239" s="36">
        <f t="shared" si="494"/>
        <v>0</v>
      </c>
      <c r="G1239">
        <v>0.2</v>
      </c>
      <c r="H1239">
        <v>0.3</v>
      </c>
      <c r="J1239" s="2" t="s">
        <v>69</v>
      </c>
    </row>
    <row r="1240" spans="2:10" x14ac:dyDescent="0.3">
      <c r="B1240" s="47" t="s">
        <v>170</v>
      </c>
      <c r="C1240" t="str">
        <f>VLOOKUP($B1240,'标准费用表-2024年&amp;2025年优化'!$D:$E,2,0)</f>
        <v>陕西正大食品有限公司</v>
      </c>
      <c r="D1240" t="s">
        <v>119</v>
      </c>
      <c r="E1240" s="36">
        <f>E1168</f>
        <v>0.31352344660126602</v>
      </c>
      <c r="F1240" s="36">
        <f t="shared" ref="F1240" si="495">F1216</f>
        <v>0</v>
      </c>
      <c r="G1240">
        <v>0.2</v>
      </c>
      <c r="H1240">
        <v>0.3</v>
      </c>
      <c r="J1240" s="2" t="s">
        <v>69</v>
      </c>
    </row>
    <row r="1241" spans="2:10" x14ac:dyDescent="0.3">
      <c r="B1241" s="47" t="s">
        <v>170</v>
      </c>
      <c r="C1241" t="str">
        <f>VLOOKUP($B1241,'标准费用表-2024年&amp;2025年优化'!$D:$E,2,0)</f>
        <v>陕西正大食品有限公司</v>
      </c>
      <c r="D1241" t="s">
        <v>120</v>
      </c>
      <c r="E1241" s="36">
        <f t="shared" ref="E1241:E1263" si="496">E1169</f>
        <v>0.83793016509014595</v>
      </c>
      <c r="F1241" s="36">
        <f t="shared" ref="F1241" si="497">F1217</f>
        <v>0</v>
      </c>
      <c r="G1241">
        <v>0.2</v>
      </c>
      <c r="H1241">
        <v>0.3</v>
      </c>
      <c r="J1241" s="2" t="s">
        <v>69</v>
      </c>
    </row>
    <row r="1242" spans="2:10" x14ac:dyDescent="0.3">
      <c r="B1242" s="47" t="s">
        <v>170</v>
      </c>
      <c r="C1242" t="str">
        <f>VLOOKUP($B1242,'标准费用表-2024年&amp;2025年优化'!$D:$E,2,0)</f>
        <v>陕西正大食品有限公司</v>
      </c>
      <c r="D1242" t="s">
        <v>121</v>
      </c>
      <c r="E1242" s="36">
        <f t="shared" si="496"/>
        <v>1.5509198937968001</v>
      </c>
      <c r="F1242" s="36">
        <f t="shared" ref="F1242" si="498">F1218</f>
        <v>0</v>
      </c>
      <c r="G1242">
        <v>0.2</v>
      </c>
      <c r="H1242">
        <v>0.3</v>
      </c>
      <c r="J1242" s="2" t="s">
        <v>69</v>
      </c>
    </row>
    <row r="1243" spans="2:10" x14ac:dyDescent="0.3">
      <c r="B1243" s="47" t="s">
        <v>170</v>
      </c>
      <c r="C1243" t="str">
        <f>VLOOKUP($B1243,'标准费用表-2024年&amp;2025年优化'!$D:$E,2,0)</f>
        <v>陕西正大食品有限公司</v>
      </c>
      <c r="D1243" t="s">
        <v>122</v>
      </c>
      <c r="E1243" s="36">
        <f t="shared" si="496"/>
        <v>0.32593372227950201</v>
      </c>
      <c r="F1243" s="36">
        <f t="shared" ref="F1243" si="499">F1219</f>
        <v>0</v>
      </c>
      <c r="G1243">
        <v>0.2</v>
      </c>
      <c r="H1243">
        <v>0.3</v>
      </c>
      <c r="J1243" s="2" t="s">
        <v>69</v>
      </c>
    </row>
    <row r="1244" spans="2:10" x14ac:dyDescent="0.3">
      <c r="B1244" s="47" t="s">
        <v>170</v>
      </c>
      <c r="C1244" t="str">
        <f>VLOOKUP($B1244,'标准费用表-2024年&amp;2025年优化'!$D:$E,2,0)</f>
        <v>陕西正大食品有限公司</v>
      </c>
      <c r="D1244" t="s">
        <v>123</v>
      </c>
      <c r="E1244" s="36">
        <f t="shared" si="496"/>
        <v>0.143891438129847</v>
      </c>
      <c r="F1244" s="36">
        <f t="shared" ref="F1244" si="500">F1220</f>
        <v>0</v>
      </c>
      <c r="G1244">
        <v>0.2</v>
      </c>
      <c r="H1244">
        <v>0.3</v>
      </c>
      <c r="J1244" s="2" t="s">
        <v>69</v>
      </c>
    </row>
    <row r="1245" spans="2:10" x14ac:dyDescent="0.3">
      <c r="B1245" s="47" t="s">
        <v>170</v>
      </c>
      <c r="C1245" t="str">
        <f>VLOOKUP($B1245,'标准费用表-2024年&amp;2025年优化'!$D:$E,2,0)</f>
        <v>陕西正大食品有限公司</v>
      </c>
      <c r="D1245" t="s">
        <v>124</v>
      </c>
      <c r="E1245" s="36">
        <f t="shared" si="496"/>
        <v>0.44532491103594801</v>
      </c>
      <c r="F1245" s="36">
        <f t="shared" ref="F1245" si="501">F1221</f>
        <v>0</v>
      </c>
      <c r="G1245">
        <v>0.2</v>
      </c>
      <c r="H1245">
        <v>0.3</v>
      </c>
      <c r="J1245" s="2" t="s">
        <v>69</v>
      </c>
    </row>
    <row r="1246" spans="2:10" x14ac:dyDescent="0.3">
      <c r="B1246" s="47" t="s">
        <v>170</v>
      </c>
      <c r="C1246" t="str">
        <f>VLOOKUP($B1246,'标准费用表-2024年&amp;2025年优化'!$D:$E,2,0)</f>
        <v>陕西正大食品有限公司</v>
      </c>
      <c r="D1246" t="s">
        <v>125</v>
      </c>
      <c r="E1246" s="36">
        <f t="shared" si="496"/>
        <v>0.73564191377130705</v>
      </c>
      <c r="F1246" s="36">
        <f t="shared" ref="F1246" si="502">F1222</f>
        <v>0</v>
      </c>
      <c r="G1246">
        <v>0.2</v>
      </c>
      <c r="H1246">
        <v>0.3</v>
      </c>
      <c r="J1246" s="2" t="s">
        <v>69</v>
      </c>
    </row>
    <row r="1247" spans="2:10" x14ac:dyDescent="0.3">
      <c r="B1247" s="47" t="s">
        <v>170</v>
      </c>
      <c r="C1247" t="str">
        <f>VLOOKUP($B1247,'标准费用表-2024年&amp;2025年优化'!$D:$E,2,0)</f>
        <v>陕西正大食品有限公司</v>
      </c>
      <c r="D1247" t="s">
        <v>126</v>
      </c>
      <c r="E1247" s="36">
        <f t="shared" si="496"/>
        <v>1.0671551853916901</v>
      </c>
      <c r="F1247" s="36">
        <f t="shared" ref="F1247" si="503">F1223</f>
        <v>0</v>
      </c>
      <c r="G1247">
        <v>0.2</v>
      </c>
      <c r="H1247">
        <v>0.3</v>
      </c>
      <c r="J1247" s="2" t="s">
        <v>69</v>
      </c>
    </row>
    <row r="1248" spans="2:10" x14ac:dyDescent="0.3">
      <c r="B1248" s="47" t="s">
        <v>170</v>
      </c>
      <c r="C1248" t="str">
        <f>VLOOKUP($B1248,'标准费用表-2024年&amp;2025年优化'!$D:$E,2,0)</f>
        <v>陕西正大食品有限公司</v>
      </c>
      <c r="D1248" t="s">
        <v>127</v>
      </c>
      <c r="E1248" s="36">
        <f t="shared" si="496"/>
        <v>0.62347783055182104</v>
      </c>
      <c r="F1248" s="36">
        <f t="shared" ref="F1248" si="504">F1224</f>
        <v>0</v>
      </c>
      <c r="G1248">
        <v>0.2</v>
      </c>
      <c r="H1248">
        <v>0.3</v>
      </c>
      <c r="J1248" s="2" t="s">
        <v>69</v>
      </c>
    </row>
    <row r="1249" spans="2:10" x14ac:dyDescent="0.3">
      <c r="B1249" s="47" t="s">
        <v>170</v>
      </c>
      <c r="C1249" t="str">
        <f>VLOOKUP($B1249,'标准费用表-2024年&amp;2025年优化'!$D:$E,2,0)</f>
        <v>陕西正大食品有限公司</v>
      </c>
      <c r="D1249" t="s">
        <v>128</v>
      </c>
      <c r="E1249" s="36">
        <f t="shared" si="496"/>
        <v>0.57257712103406</v>
      </c>
      <c r="F1249" s="36">
        <f t="shared" ref="F1249" si="505">F1225</f>
        <v>0</v>
      </c>
      <c r="G1249">
        <v>0.2</v>
      </c>
      <c r="H1249">
        <v>0.3</v>
      </c>
      <c r="J1249" s="2" t="s">
        <v>69</v>
      </c>
    </row>
    <row r="1250" spans="2:10" x14ac:dyDescent="0.3">
      <c r="B1250" s="47" t="s">
        <v>170</v>
      </c>
      <c r="C1250" t="str">
        <f>VLOOKUP($B1250,'标准费用表-2024年&amp;2025年优化'!$D:$E,2,0)</f>
        <v>陕西正大食品有限公司</v>
      </c>
      <c r="D1250" t="s">
        <v>129</v>
      </c>
      <c r="E1250" s="36">
        <f t="shared" si="496"/>
        <v>0.73146254909683295</v>
      </c>
      <c r="F1250" s="36">
        <f t="shared" ref="F1250" si="506">F1226</f>
        <v>0</v>
      </c>
      <c r="G1250">
        <v>0.2</v>
      </c>
      <c r="H1250">
        <v>0.3</v>
      </c>
      <c r="J1250" s="2" t="s">
        <v>69</v>
      </c>
    </row>
    <row r="1251" spans="2:10" x14ac:dyDescent="0.3">
      <c r="B1251" s="47" t="s">
        <v>170</v>
      </c>
      <c r="C1251" t="str">
        <f>VLOOKUP($B1251,'标准费用表-2024年&amp;2025年优化'!$D:$E,2,0)</f>
        <v>陕西正大食品有限公司</v>
      </c>
      <c r="D1251" t="s">
        <v>130</v>
      </c>
      <c r="E1251" s="36">
        <f t="shared" si="496"/>
        <v>1.2722258014835299</v>
      </c>
      <c r="F1251" s="36">
        <f t="shared" ref="F1251" si="507">F1227</f>
        <v>0</v>
      </c>
      <c r="G1251">
        <v>0.2</v>
      </c>
      <c r="H1251">
        <v>0.3</v>
      </c>
      <c r="J1251" s="2" t="s">
        <v>69</v>
      </c>
    </row>
    <row r="1252" spans="2:10" x14ac:dyDescent="0.3">
      <c r="B1252" s="47" t="s">
        <v>170</v>
      </c>
      <c r="C1252" t="str">
        <f>VLOOKUP($B1252,'标准费用表-2024年&amp;2025年优化'!$D:$E,2,0)</f>
        <v>陕西正大食品有限公司</v>
      </c>
      <c r="D1252" t="s">
        <v>131</v>
      </c>
      <c r="E1252" s="36">
        <f t="shared" si="496"/>
        <v>0.21660346499004299</v>
      </c>
      <c r="F1252" s="36">
        <f t="shared" ref="F1252" si="508">F1228</f>
        <v>0</v>
      </c>
      <c r="G1252">
        <v>0.2</v>
      </c>
      <c r="H1252">
        <v>0.3</v>
      </c>
      <c r="J1252" s="2" t="s">
        <v>69</v>
      </c>
    </row>
    <row r="1253" spans="2:10" x14ac:dyDescent="0.3">
      <c r="B1253" s="47" t="s">
        <v>170</v>
      </c>
      <c r="C1253" t="str">
        <f>VLOOKUP($B1253,'标准费用表-2024年&amp;2025年优化'!$D:$E,2,0)</f>
        <v>陕西正大食品有限公司</v>
      </c>
      <c r="D1253" t="s">
        <v>132</v>
      </c>
      <c r="E1253" s="36">
        <f t="shared" si="496"/>
        <v>5.0149615014076603E-2</v>
      </c>
      <c r="F1253" s="36">
        <f t="shared" ref="F1253" si="509">F1229</f>
        <v>0</v>
      </c>
      <c r="G1253">
        <v>0.2</v>
      </c>
      <c r="H1253">
        <v>0.3</v>
      </c>
      <c r="J1253" s="2" t="s">
        <v>69</v>
      </c>
    </row>
    <row r="1254" spans="2:10" x14ac:dyDescent="0.3">
      <c r="B1254" s="47" t="s">
        <v>170</v>
      </c>
      <c r="C1254" t="str">
        <f>VLOOKUP($B1254,'标准费用表-2024年&amp;2025年优化'!$D:$E,2,0)</f>
        <v>陕西正大食品有限公司</v>
      </c>
      <c r="D1254" t="s">
        <v>133</v>
      </c>
      <c r="E1254" s="36">
        <f t="shared" si="496"/>
        <v>0.26905807773484602</v>
      </c>
      <c r="F1254" s="36">
        <f t="shared" ref="F1254" si="510">F1230</f>
        <v>0</v>
      </c>
      <c r="G1254">
        <v>0.2</v>
      </c>
      <c r="H1254">
        <v>0.3</v>
      </c>
      <c r="J1254" s="2" t="s">
        <v>69</v>
      </c>
    </row>
    <row r="1255" spans="2:10" x14ac:dyDescent="0.3">
      <c r="B1255" s="47" t="s">
        <v>170</v>
      </c>
      <c r="C1255" t="str">
        <f>VLOOKUP($B1255,'标准费用表-2024年&amp;2025年优化'!$D:$E,2,0)</f>
        <v>陕西正大食品有限公司</v>
      </c>
      <c r="D1255" t="s">
        <v>134</v>
      </c>
      <c r="E1255" s="36">
        <f t="shared" si="496"/>
        <v>0.17598613834177099</v>
      </c>
      <c r="F1255" s="36">
        <f t="shared" ref="F1255" si="511">F1231</f>
        <v>0</v>
      </c>
      <c r="G1255">
        <v>0.2</v>
      </c>
      <c r="H1255">
        <v>0.3</v>
      </c>
      <c r="J1255" s="2" t="s">
        <v>69</v>
      </c>
    </row>
    <row r="1256" spans="2:10" x14ac:dyDescent="0.3">
      <c r="B1256" s="47" t="s">
        <v>170</v>
      </c>
      <c r="C1256" t="str">
        <f>VLOOKUP($B1256,'标准费用表-2024年&amp;2025年优化'!$D:$E,2,0)</f>
        <v>陕西正大食品有限公司</v>
      </c>
      <c r="D1256" t="s">
        <v>135</v>
      </c>
      <c r="E1256" s="36">
        <f t="shared" si="496"/>
        <v>0.1166458639998</v>
      </c>
      <c r="F1256" s="36">
        <f t="shared" ref="F1256" si="512">F1232</f>
        <v>0</v>
      </c>
      <c r="G1256">
        <v>0.2</v>
      </c>
      <c r="H1256">
        <v>0.3</v>
      </c>
      <c r="J1256" s="2" t="s">
        <v>69</v>
      </c>
    </row>
    <row r="1257" spans="2:10" x14ac:dyDescent="0.3">
      <c r="B1257" s="47" t="s">
        <v>170</v>
      </c>
      <c r="C1257" t="str">
        <f>VLOOKUP($B1257,'标准费用表-2024年&amp;2025年优化'!$D:$E,2,0)</f>
        <v>陕西正大食品有限公司</v>
      </c>
      <c r="D1257" t="s">
        <v>136</v>
      </c>
      <c r="E1257" s="36">
        <f t="shared" si="496"/>
        <v>2.01391662285729E-2</v>
      </c>
      <c r="F1257" s="36">
        <f t="shared" ref="F1257" si="513">F1233</f>
        <v>0</v>
      </c>
      <c r="G1257">
        <v>0.2</v>
      </c>
      <c r="H1257">
        <v>0.3</v>
      </c>
      <c r="J1257" s="2" t="s">
        <v>69</v>
      </c>
    </row>
    <row r="1258" spans="2:10" x14ac:dyDescent="0.3">
      <c r="B1258" s="47" t="s">
        <v>170</v>
      </c>
      <c r="C1258" t="str">
        <f>VLOOKUP($B1258,'标准费用表-2024年&amp;2025年优化'!$D:$E,2,0)</f>
        <v>陕西正大食品有限公司</v>
      </c>
      <c r="D1258" t="s">
        <v>137</v>
      </c>
      <c r="E1258" s="36">
        <f t="shared" si="496"/>
        <v>0.10539243176823</v>
      </c>
      <c r="F1258" s="36">
        <f t="shared" ref="F1258" si="514">F1234</f>
        <v>0</v>
      </c>
      <c r="G1258">
        <v>0.2</v>
      </c>
      <c r="H1258">
        <v>0.3</v>
      </c>
      <c r="J1258" s="2" t="s">
        <v>69</v>
      </c>
    </row>
    <row r="1259" spans="2:10" x14ac:dyDescent="0.3">
      <c r="B1259" s="47" t="s">
        <v>170</v>
      </c>
      <c r="C1259" t="str">
        <f>VLOOKUP($B1259,'标准费用表-2024年&amp;2025年优化'!$D:$E,2,0)</f>
        <v>陕西正大食品有限公司</v>
      </c>
      <c r="D1259" t="s">
        <v>138</v>
      </c>
      <c r="E1259" s="36">
        <f t="shared" si="496"/>
        <v>9.6711543641916101E-2</v>
      </c>
      <c r="F1259" s="36">
        <f t="shared" ref="F1259" si="515">F1235</f>
        <v>0</v>
      </c>
      <c r="G1259">
        <v>0.2</v>
      </c>
      <c r="H1259">
        <v>0.3</v>
      </c>
      <c r="J1259" s="2" t="s">
        <v>69</v>
      </c>
    </row>
    <row r="1260" spans="2:10" x14ac:dyDescent="0.3">
      <c r="B1260" s="47" t="s">
        <v>170</v>
      </c>
      <c r="C1260" t="str">
        <f>VLOOKUP($B1260,'标准费用表-2024年&amp;2025年优化'!$D:$E,2,0)</f>
        <v>陕西正大食品有限公司</v>
      </c>
      <c r="D1260" t="s">
        <v>139</v>
      </c>
      <c r="E1260" s="36">
        <f t="shared" si="496"/>
        <v>0.33834640030381002</v>
      </c>
      <c r="F1260" s="36">
        <f t="shared" ref="F1260" si="516">F1236</f>
        <v>0</v>
      </c>
      <c r="G1260">
        <v>0.2</v>
      </c>
      <c r="H1260">
        <v>0.3</v>
      </c>
      <c r="J1260" s="2" t="s">
        <v>69</v>
      </c>
    </row>
    <row r="1261" spans="2:10" x14ac:dyDescent="0.3">
      <c r="B1261" s="47" t="s">
        <v>170</v>
      </c>
      <c r="C1261" t="str">
        <f>VLOOKUP($B1261,'标准费用表-2024年&amp;2025年优化'!$D:$E,2,0)</f>
        <v>陕西正大食品有限公司</v>
      </c>
      <c r="D1261" t="s">
        <v>140</v>
      </c>
      <c r="E1261" s="36">
        <f t="shared" si="496"/>
        <v>0.396294990329491</v>
      </c>
      <c r="F1261" s="36">
        <f t="shared" ref="F1261" si="517">F1237</f>
        <v>0</v>
      </c>
      <c r="G1261">
        <v>0.2</v>
      </c>
      <c r="H1261">
        <v>0.3</v>
      </c>
      <c r="J1261" s="2" t="s">
        <v>69</v>
      </c>
    </row>
    <row r="1262" spans="2:10" x14ac:dyDescent="0.3">
      <c r="B1262" s="47" t="s">
        <v>170</v>
      </c>
      <c r="C1262" t="str">
        <f>VLOOKUP($B1262,'标准费用表-2024年&amp;2025年优化'!$D:$E,2,0)</f>
        <v>陕西正大食品有限公司</v>
      </c>
      <c r="D1262" t="s">
        <v>141</v>
      </c>
      <c r="E1262" s="36">
        <f t="shared" si="496"/>
        <v>0.11331734059372001</v>
      </c>
      <c r="F1262" s="36">
        <f t="shared" ref="F1262" si="518">F1238</f>
        <v>0</v>
      </c>
      <c r="G1262">
        <v>0.2</v>
      </c>
      <c r="H1262">
        <v>0.3</v>
      </c>
      <c r="J1262" s="2" t="s">
        <v>69</v>
      </c>
    </row>
    <row r="1263" spans="2:10" x14ac:dyDescent="0.3">
      <c r="B1263" s="47" t="s">
        <v>170</v>
      </c>
      <c r="C1263" t="str">
        <f>VLOOKUP($B1263,'标准费用表-2024年&amp;2025年优化'!$D:$E,2,0)</f>
        <v>陕西正大食品有限公司</v>
      </c>
      <c r="D1263" t="s">
        <v>142</v>
      </c>
      <c r="E1263" s="36">
        <f t="shared" si="496"/>
        <v>3.3714963570631203E-2</v>
      </c>
      <c r="F1263" s="36">
        <f t="shared" ref="F1263" si="519">F1239</f>
        <v>0</v>
      </c>
      <c r="G1263">
        <v>0.2</v>
      </c>
      <c r="H1263">
        <v>0.3</v>
      </c>
      <c r="J1263" s="2" t="s">
        <v>69</v>
      </c>
    </row>
    <row r="1264" spans="2:10" x14ac:dyDescent="0.3">
      <c r="B1264" s="47" t="s">
        <v>172</v>
      </c>
      <c r="C1264" t="str">
        <f>VLOOKUP($B1264,'标准费用表-2024年&amp;2025年优化'!$D:$E,2,0)</f>
        <v>正大食品（利辛）有限公司</v>
      </c>
      <c r="D1264" t="s">
        <v>41</v>
      </c>
      <c r="E1264" s="46">
        <f>IFERROR(VLOOKUP($B1264,'标准费用表-2024年&amp;2025年优化'!$D:$K,8,0)*VLOOKUP('5.成本表'!$D1264,系数辅助表!$C:$G,5,0)/VLOOKUP($D1264,系数辅助表!$C:$E,3,0),0)</f>
        <v>0.54487179487179505</v>
      </c>
      <c r="I1264" s="36">
        <f>VLOOKUP($D1264,系数辅助表!$C:$F,4,0)</f>
        <v>1.33</v>
      </c>
      <c r="J1264" s="2" t="s">
        <v>41</v>
      </c>
    </row>
    <row r="1265" spans="2:10" x14ac:dyDescent="0.3">
      <c r="B1265" s="47" t="s">
        <v>172</v>
      </c>
      <c r="C1265" t="str">
        <f>VLOOKUP($B1265,'标准费用表-2024年&amp;2025年优化'!$D:$E,2,0)</f>
        <v>正大食品（利辛）有限公司</v>
      </c>
      <c r="D1265" t="s">
        <v>44</v>
      </c>
      <c r="E1265" s="46">
        <f>IFERROR(VLOOKUP($B1265,'标准费用表-2024年&amp;2025年优化'!$D:$K,8,0)*系数辅助表!$J$6*VLOOKUP('5.成本表'!$D1265,系数辅助表!$C:$G,5,0)/VLOOKUP($D1265,系数辅助表!$C:$E,3,0),0)</f>
        <v>0.31163475113981298</v>
      </c>
      <c r="I1265" s="36">
        <f>VLOOKUP($D1265,系数辅助表!$C:$F,4,0)</f>
        <v>0.789027855994753</v>
      </c>
      <c r="J1265" s="2" t="s">
        <v>200</v>
      </c>
    </row>
    <row r="1266" spans="2:10" x14ac:dyDescent="0.3">
      <c r="B1266" s="47" t="s">
        <v>172</v>
      </c>
      <c r="C1266" t="str">
        <f>VLOOKUP($B1266,'标准费用表-2024年&amp;2025年优化'!$D:$E,2,0)</f>
        <v>正大食品（利辛）有限公司</v>
      </c>
      <c r="D1266" t="s">
        <v>45</v>
      </c>
      <c r="E1266" s="46">
        <f>IFERROR(VLOOKUP($B1266,'标准费用表-2024年&amp;2025年优化'!$D:$K,8,0)*系数辅助表!$J$6*VLOOKUP('5.成本表'!$D1266,系数辅助表!$C:$G,5,0)/VLOOKUP($D1266,系数辅助表!$C:$E,3,0),0)</f>
        <v>0.83288239301128897</v>
      </c>
      <c r="I1266" s="36">
        <f>VLOOKUP($D1266,系数辅助表!$C:$F,4,0)</f>
        <v>2.1087744754070901</v>
      </c>
      <c r="J1266" s="2" t="s">
        <v>200</v>
      </c>
    </row>
    <row r="1267" spans="2:10" x14ac:dyDescent="0.3">
      <c r="B1267" s="47" t="s">
        <v>172</v>
      </c>
      <c r="C1267" t="str">
        <f>VLOOKUP($B1267,'标准费用表-2024年&amp;2025年优化'!$D:$E,2,0)</f>
        <v>正大食品（利辛）有限公司</v>
      </c>
      <c r="D1267" t="s">
        <v>46</v>
      </c>
      <c r="E1267" s="46">
        <f>IFERROR(VLOOKUP($B1267,'标准费用表-2024年&amp;2025年优化'!$D:$K,8,0)*系数辅助表!$J$6*VLOOKUP('5.成本表'!$D1267,系数辅助表!$C:$G,5,0)/VLOOKUP($D1267,系数辅助表!$C:$E,3,0),0)</f>
        <v>1.54157700287031</v>
      </c>
      <c r="I1267" s="36">
        <f>VLOOKUP($D1267,系数辅助表!$C:$F,4,0)</f>
        <v>3.9031179705625099</v>
      </c>
      <c r="J1267" s="2" t="s">
        <v>200</v>
      </c>
    </row>
    <row r="1268" spans="2:10" x14ac:dyDescent="0.3">
      <c r="B1268" s="47" t="s">
        <v>172</v>
      </c>
      <c r="C1268" t="str">
        <f>VLOOKUP($B1268,'标准费用表-2024年&amp;2025年优化'!$D:$E,2,0)</f>
        <v>正大食品（利辛）有限公司</v>
      </c>
      <c r="D1268" t="s">
        <v>47</v>
      </c>
      <c r="E1268" s="46">
        <f>IFERROR(VLOOKUP($B1268,'标准费用表-2024年&amp;2025年优化'!$D:$K,8,0)*系数辅助表!$J$6*VLOOKUP('5.成本表'!$D1268,系数辅助表!$C:$G,5,0)/VLOOKUP($D1268,系数辅助表!$C:$E,3,0),0)</f>
        <v>0.32397026612119201</v>
      </c>
      <c r="I1268" s="36">
        <f>VLOOKUP($D1268,系数辅助表!$C:$F,4,0)</f>
        <v>0.82026013963048305</v>
      </c>
      <c r="J1268" s="2" t="s">
        <v>200</v>
      </c>
    </row>
    <row r="1269" spans="2:10" x14ac:dyDescent="0.3">
      <c r="B1269" s="47" t="s">
        <v>172</v>
      </c>
      <c r="C1269" t="str">
        <f>VLOOKUP($B1269,'标准费用表-2024年&amp;2025年优化'!$D:$E,2,0)</f>
        <v>正大食品（利辛）有限公司</v>
      </c>
      <c r="D1269" t="s">
        <v>48</v>
      </c>
      <c r="E1269" s="46">
        <f>IFERROR(VLOOKUP($B1269,'标准费用表-2024年&amp;2025年优化'!$D:$K,8,0)*系数辅助表!$J$6*VLOOKUP('5.成本表'!$D1269,系数辅助表!$C:$G,5,0)/VLOOKUP($D1269,系数辅助表!$C:$E,3,0),0)</f>
        <v>0.14302462223749801</v>
      </c>
      <c r="I1269" s="36">
        <f>VLOOKUP($D1269,系数辅助表!$C:$F,4,0)</f>
        <v>0.36212396283071502</v>
      </c>
      <c r="J1269" s="2" t="s">
        <v>200</v>
      </c>
    </row>
    <row r="1270" spans="2:10" x14ac:dyDescent="0.3">
      <c r="B1270" s="47" t="s">
        <v>172</v>
      </c>
      <c r="C1270" t="str">
        <f>VLOOKUP($B1270,'标准费用表-2024年&amp;2025年优化'!$D:$E,2,0)</f>
        <v>正大食品（利辛）有限公司</v>
      </c>
      <c r="D1270" t="s">
        <v>49</v>
      </c>
      <c r="E1270" s="46">
        <f>IFERROR(VLOOKUP($B1270,'标准费用表-2024年&amp;2025年优化'!$D:$K,8,0)*系数辅助表!$J$6*VLOOKUP('5.成本表'!$D1270,系数辅助表!$C:$G,5,0)/VLOOKUP($D1270,系数辅助表!$C:$E,3,0),0)</f>
        <v>0.44264223084898402</v>
      </c>
      <c r="I1270" s="36">
        <f>VLOOKUP($D1270,系数辅助表!$C:$F,4,0)</f>
        <v>1.1207256222295201</v>
      </c>
      <c r="J1270" s="2" t="s">
        <v>200</v>
      </c>
    </row>
    <row r="1271" spans="2:10" x14ac:dyDescent="0.3">
      <c r="B1271" s="47" t="s">
        <v>172</v>
      </c>
      <c r="C1271" t="str">
        <f>VLOOKUP($B1271,'标准费用表-2024年&amp;2025年优化'!$D:$E,2,0)</f>
        <v>正大食品（利辛）有限公司</v>
      </c>
      <c r="D1271" t="s">
        <v>50</v>
      </c>
      <c r="E1271" s="46">
        <f>IFERROR(VLOOKUP($B1271,'标准费用表-2024年&amp;2025年优化'!$D:$K,8,0)*系数辅助表!$J$6*VLOOKUP('5.成本表'!$D1271,系数辅助表!$C:$G,5,0)/VLOOKUP($D1271,系数辅助表!$C:$E,3,0),0)</f>
        <v>0.73121033597750396</v>
      </c>
      <c r="I1271" s="36">
        <f>VLOOKUP($D1271,系数辅助表!$C:$F,4,0)</f>
        <v>1.8513510498021799</v>
      </c>
      <c r="J1271" s="2" t="s">
        <v>200</v>
      </c>
    </row>
    <row r="1272" spans="2:10" x14ac:dyDescent="0.3">
      <c r="B1272" s="47" t="s">
        <v>172</v>
      </c>
      <c r="C1272" t="str">
        <f>VLOOKUP($B1272,'标准费用表-2024年&amp;2025年优化'!$D:$E,2,0)</f>
        <v>正大食品（利辛）有限公司</v>
      </c>
      <c r="D1272" t="s">
        <v>51</v>
      </c>
      <c r="E1272" s="46">
        <f>IFERROR(VLOOKUP($B1272,'标准费用表-2024年&amp;2025年优化'!$D:$K,8,0)*系数辅助表!$J$6*VLOOKUP('5.成本表'!$D1272,系数辅助表!$C:$G,5,0)/VLOOKUP($D1272,系数辅助表!$C:$E,3,0),0)</f>
        <v>1.06072653969655</v>
      </c>
      <c r="I1272" s="36">
        <f>VLOOKUP($D1272,系数辅助表!$C:$F,4,0)</f>
        <v>2.68565294580391</v>
      </c>
      <c r="J1272" s="2" t="s">
        <v>200</v>
      </c>
    </row>
    <row r="1273" spans="2:10" x14ac:dyDescent="0.3">
      <c r="B1273" s="47" t="s">
        <v>172</v>
      </c>
      <c r="C1273" t="str">
        <f>VLOOKUP($B1273,'标准费用表-2024年&amp;2025年优化'!$D:$E,2,0)</f>
        <v>正大食品（利辛）有限公司</v>
      </c>
      <c r="D1273" t="s">
        <v>52</v>
      </c>
      <c r="E1273" s="46">
        <f>IFERROR(VLOOKUP($B1273,'标准费用表-2024年&amp;2025年优化'!$D:$K,8,0)*系数辅助表!$J$6*VLOOKUP('5.成本表'!$D1273,系数辅助表!$C:$G,5,0)/VLOOKUP($D1273,系数辅助表!$C:$E,3,0),0)</f>
        <v>0.61972194000632796</v>
      </c>
      <c r="I1273" s="36">
        <f>VLOOKUP($D1273,系数辅助表!$C:$F,4,0)</f>
        <v>1.5690736410097099</v>
      </c>
      <c r="J1273" s="2" t="s">
        <v>200</v>
      </c>
    </row>
    <row r="1274" spans="2:10" x14ac:dyDescent="0.3">
      <c r="B1274" s="47" t="s">
        <v>172</v>
      </c>
      <c r="C1274" t="str">
        <f>VLOOKUP($B1274,'标准费用表-2024年&amp;2025年优化'!$D:$E,2,0)</f>
        <v>正大食品（利辛）有限公司</v>
      </c>
      <c r="D1274" t="s">
        <v>53</v>
      </c>
      <c r="E1274" s="46">
        <f>IFERROR(VLOOKUP($B1274,'标准费用表-2024年&amp;2025年优化'!$D:$K,8,0)*系数辅助表!$J$6*VLOOKUP('5.成本表'!$D1274,系数辅助表!$C:$G,5,0)/VLOOKUP($D1274,系数辅助表!$C:$E,3,0),0)</f>
        <v>0.569127861268794</v>
      </c>
      <c r="I1274" s="36">
        <f>VLOOKUP($D1274,系数辅助表!$C:$F,4,0)</f>
        <v>1.44097452072131</v>
      </c>
      <c r="J1274" s="2" t="s">
        <v>200</v>
      </c>
    </row>
    <row r="1275" spans="2:10" x14ac:dyDescent="0.3">
      <c r="B1275" s="47" t="s">
        <v>172</v>
      </c>
      <c r="C1275" t="str">
        <f>VLOOKUP($B1275,'标准费用表-2024年&amp;2025年优化'!$D:$E,2,0)</f>
        <v>正大食品（利辛）有限公司</v>
      </c>
      <c r="D1275" t="s">
        <v>54</v>
      </c>
      <c r="E1275" s="46">
        <f>IFERROR(VLOOKUP($B1275,'标准费用表-2024年&amp;2025年优化'!$D:$K,8,0)*系数辅助表!$J$6*VLOOKUP('5.成本表'!$D1275,系数辅助表!$C:$G,5,0)/VLOOKUP($D1275,系数辅助表!$C:$E,3,0),0)</f>
        <v>0.72705614819866005</v>
      </c>
      <c r="I1275" s="36">
        <f>VLOOKUP($D1275,系数辅助表!$C:$F,4,0)</f>
        <v>1.8408330640366199</v>
      </c>
      <c r="J1275" s="2" t="s">
        <v>200</v>
      </c>
    </row>
    <row r="1276" spans="2:10" x14ac:dyDescent="0.3">
      <c r="B1276" s="47" t="s">
        <v>172</v>
      </c>
      <c r="C1276" t="str">
        <f>VLOOKUP($B1276,'标准费用表-2024年&amp;2025年优化'!$D:$E,2,0)</f>
        <v>正大食品（利辛）有限公司</v>
      </c>
      <c r="D1276" t="s">
        <v>55</v>
      </c>
      <c r="E1276" s="46">
        <f>IFERROR(VLOOKUP($B1276,'标准费用表-2024年&amp;2025年优化'!$D:$K,8,0)*系数辅助表!$J$6*VLOOKUP('5.成本表'!$D1276,系数辅助表!$C:$G,5,0)/VLOOKUP($D1276,系数辅助表!$C:$E,3,0),0)</f>
        <v>1.2645617906312201</v>
      </c>
      <c r="I1276" s="36">
        <f>VLOOKUP($D1276,系数辅助表!$C:$F,4,0)</f>
        <v>3.2017433061789502</v>
      </c>
      <c r="J1276" s="2" t="s">
        <v>200</v>
      </c>
    </row>
    <row r="1277" spans="2:10" x14ac:dyDescent="0.3">
      <c r="B1277" s="47" t="s">
        <v>172</v>
      </c>
      <c r="C1277" t="str">
        <f>VLOOKUP($B1277,'标准费用表-2024年&amp;2025年优化'!$D:$E,2,0)</f>
        <v>正大食品（利辛）有限公司</v>
      </c>
      <c r="D1277" t="s">
        <v>56</v>
      </c>
      <c r="E1277" s="46">
        <f>IFERROR(VLOOKUP($B1277,'标准费用表-2024年&amp;2025年优化'!$D:$K,8,0)*系数辅助表!$J$6*VLOOKUP('5.成本表'!$D1277,系数辅助表!$C:$G,5,0)/VLOOKUP($D1277,系数辅助表!$C:$E,3,0),0)</f>
        <v>0.21529862483950099</v>
      </c>
      <c r="I1277" s="36">
        <f>VLOOKUP($D1277,系数辅助表!$C:$F,4,0)</f>
        <v>0.54511447049599404</v>
      </c>
      <c r="J1277" s="2" t="s">
        <v>200</v>
      </c>
    </row>
    <row r="1278" spans="2:10" x14ac:dyDescent="0.3">
      <c r="B1278" s="47" t="s">
        <v>172</v>
      </c>
      <c r="C1278" t="str">
        <f>VLOOKUP($B1278,'标准费用表-2024年&amp;2025年优化'!$D:$E,2,0)</f>
        <v>正大食品（利辛）有限公司</v>
      </c>
      <c r="D1278" t="s">
        <v>57</v>
      </c>
      <c r="E1278" s="46">
        <f>IFERROR(VLOOKUP($B1278,'标准费用表-2024年&amp;2025年优化'!$D:$K,8,0)*系数辅助表!$J$6*VLOOKUP('5.成本表'!$D1278,系数辅助表!$C:$G,5,0)/VLOOKUP($D1278,系数辅助表!$C:$E,3,0),0)</f>
        <v>4.9847508899533897E-2</v>
      </c>
      <c r="I1278" s="36">
        <f>VLOOKUP($D1278,系数辅助表!$C:$F,4,0)</f>
        <v>0.126208880523832</v>
      </c>
      <c r="J1278" s="2" t="s">
        <v>200</v>
      </c>
    </row>
    <row r="1279" spans="2:10" x14ac:dyDescent="0.3">
      <c r="B1279" s="47" t="s">
        <v>172</v>
      </c>
      <c r="C1279" t="str">
        <f>VLOOKUP($B1279,'标准费用表-2024年&amp;2025年优化'!$D:$E,2,0)</f>
        <v>正大食品（利辛）有限公司</v>
      </c>
      <c r="D1279" t="s">
        <v>58</v>
      </c>
      <c r="E1279" s="46">
        <f>IFERROR(VLOOKUP($B1279,'标准费用表-2024年&amp;2025年优化'!$D:$K,8,0)*系数辅助表!$J$6*VLOOKUP('5.成本表'!$D1279,系数辅助表!$C:$G,5,0)/VLOOKUP($D1279,系数辅助表!$C:$E,3,0),0)</f>
        <v>0.267437245941263</v>
      </c>
      <c r="I1279" s="36">
        <f>VLOOKUP($D1279,系数辅助表!$C:$F,4,0)</f>
        <v>0.67712421675176204</v>
      </c>
      <c r="J1279" s="2" t="s">
        <v>200</v>
      </c>
    </row>
    <row r="1280" spans="2:10" x14ac:dyDescent="0.3">
      <c r="B1280" s="47" t="s">
        <v>172</v>
      </c>
      <c r="C1280" t="str">
        <f>VLOOKUP($B1280,'标准费用表-2024年&amp;2025年优化'!$D:$E,2,0)</f>
        <v>正大食品（利辛）有限公司</v>
      </c>
      <c r="D1280" t="s">
        <v>59</v>
      </c>
      <c r="E1280" s="46">
        <f>IFERROR(VLOOKUP($B1280,'标准费用表-2024年&amp;2025年优化'!$D:$K,8,0)*系数辅助表!$J$6*VLOOKUP('5.成本表'!$D1280,系数辅助表!$C:$G,5,0)/VLOOKUP($D1280,系数辅助表!$C:$E,3,0),0)</f>
        <v>0.17492598088188099</v>
      </c>
      <c r="I1280" s="36">
        <f>VLOOKUP($D1280,系数辅助表!$C:$F,4,0)</f>
        <v>0.44289499533730498</v>
      </c>
      <c r="J1280" s="2" t="s">
        <v>200</v>
      </c>
    </row>
    <row r="1281" spans="2:10" x14ac:dyDescent="0.3">
      <c r="B1281" s="47" t="s">
        <v>172</v>
      </c>
      <c r="C1281" t="str">
        <f>VLOOKUP($B1281,'标准费用表-2024年&amp;2025年优化'!$D:$E,2,0)</f>
        <v>正大食品（利辛）有限公司</v>
      </c>
      <c r="D1281" t="s">
        <v>60</v>
      </c>
      <c r="E1281" s="46">
        <f>IFERROR(VLOOKUP($B1281,'标准费用表-2024年&amp;2025年优化'!$D:$K,8,0)*系数辅助表!$J$6*VLOOKUP('5.成本表'!$D1281,系数辅助表!$C:$G,5,0)/VLOOKUP($D1281,系数辅助表!$C:$E,3,0),0)</f>
        <v>0.11594317807209099</v>
      </c>
      <c r="I1281" s="36">
        <f>VLOOKUP($D1281,系数辅助表!$C:$F,4,0)</f>
        <v>0.29355646915769201</v>
      </c>
      <c r="J1281" s="2" t="s">
        <v>200</v>
      </c>
    </row>
    <row r="1282" spans="2:10" x14ac:dyDescent="0.3">
      <c r="B1282" s="47" t="s">
        <v>172</v>
      </c>
      <c r="C1282" t="str">
        <f>VLOOKUP($B1282,'标准费用表-2024年&amp;2025年优化'!$D:$E,2,0)</f>
        <v>正大食品（利辛）有限公司</v>
      </c>
      <c r="D1282" t="s">
        <v>61</v>
      </c>
      <c r="E1282" s="46">
        <f>IFERROR(VLOOKUP($B1282,'标准费用表-2024年&amp;2025年优化'!$D:$K,8,0)*系数辅助表!$J$6*VLOOKUP('5.成本表'!$D1282,系数辅助表!$C:$G,5,0)/VLOOKUP($D1282,系数辅助表!$C:$E,3,0),0)</f>
        <v>2.0017845950087501E-2</v>
      </c>
      <c r="I1282" s="36">
        <f>VLOOKUP($D1282,系数辅助表!$C:$F,4,0)</f>
        <v>5.0683173214352499E-2</v>
      </c>
      <c r="J1282" s="2" t="s">
        <v>200</v>
      </c>
    </row>
    <row r="1283" spans="2:10" x14ac:dyDescent="0.3">
      <c r="B1283" s="47" t="s">
        <v>172</v>
      </c>
      <c r="C1283" t="str">
        <f>VLOOKUP($B1283,'标准费用表-2024年&amp;2025年优化'!$D:$E,2,0)</f>
        <v>正大食品（利辛）有限公司</v>
      </c>
      <c r="D1283" t="s">
        <v>62</v>
      </c>
      <c r="E1283" s="46">
        <f>IFERROR(VLOOKUP($B1283,'标准费用表-2024年&amp;2025年优化'!$D:$K,8,0)*系数辅助表!$J$6*VLOOKUP('5.成本表'!$D1283,系数辅助表!$C:$G,5,0)/VLOOKUP($D1283,系数辅助表!$C:$E,3,0),0)</f>
        <v>0.104757537600951</v>
      </c>
      <c r="I1283" s="36">
        <f>VLOOKUP($D1283,系数辅助表!$C:$F,4,0)</f>
        <v>0.26523555216563399</v>
      </c>
      <c r="J1283" s="2" t="s">
        <v>200</v>
      </c>
    </row>
    <row r="1284" spans="2:10" x14ac:dyDescent="0.3">
      <c r="B1284" s="47" t="s">
        <v>172</v>
      </c>
      <c r="C1284" t="str">
        <f>VLOOKUP($B1284,'标准费用表-2024年&amp;2025年优化'!$D:$E,2,0)</f>
        <v>正大食品（利辛）有限公司</v>
      </c>
      <c r="D1284" t="s">
        <v>63</v>
      </c>
      <c r="E1284" s="46">
        <f>IFERROR(VLOOKUP($B1284,'标准费用表-2024年&amp;2025年优化'!$D:$K,8,0)*系数辅助表!$J$6*VLOOKUP('5.成本表'!$D1284,系数辅助表!$C:$G,5,0)/VLOOKUP($D1284,系数辅助表!$C:$E,3,0),0)</f>
        <v>9.6128943981422701E-2</v>
      </c>
      <c r="I1284" s="36">
        <f>VLOOKUP($D1284,系数辅助表!$C:$F,4,0)</f>
        <v>0.24338882069886</v>
      </c>
      <c r="J1284" s="2" t="s">
        <v>200</v>
      </c>
    </row>
    <row r="1285" spans="2:10" x14ac:dyDescent="0.3">
      <c r="B1285" s="47" t="s">
        <v>172</v>
      </c>
      <c r="C1285" t="str">
        <f>VLOOKUP($B1285,'标准费用表-2024年&amp;2025年优化'!$D:$E,2,0)</f>
        <v>正大食品（利辛）有限公司</v>
      </c>
      <c r="D1285" t="s">
        <v>64</v>
      </c>
      <c r="E1285" s="46">
        <f>IFERROR(VLOOKUP($B1285,'标准费用表-2024年&amp;2025年优化'!$D:$K,8,0)*系数辅助表!$J$6*VLOOKUP('5.成本表'!$D1285,系数辅助表!$C:$G,5,0)/VLOOKUP($D1285,系数辅助表!$C:$E,3,0),0)</f>
        <v>0.33630816897667898</v>
      </c>
      <c r="I1285" s="36">
        <f>VLOOKUP($D1285,系数辅助表!$C:$F,4,0)</f>
        <v>0.85149846912336002</v>
      </c>
      <c r="J1285" s="2" t="s">
        <v>200</v>
      </c>
    </row>
    <row r="1286" spans="2:10" x14ac:dyDescent="0.3">
      <c r="B1286" s="47" t="s">
        <v>172</v>
      </c>
      <c r="C1286" t="str">
        <f>VLOOKUP($B1286,'标准费用表-2024年&amp;2025年优化'!$D:$E,2,0)</f>
        <v>正大食品（利辛）有限公司</v>
      </c>
      <c r="D1286" t="s">
        <v>65</v>
      </c>
      <c r="E1286" s="46">
        <f>IFERROR(VLOOKUP($B1286,'标准费用表-2024年&amp;2025年优化'!$D:$K,8,0)*系数辅助表!$J$6*VLOOKUP('5.成本表'!$D1286,系数辅助表!$C:$G,5,0)/VLOOKUP($D1286,系数辅助表!$C:$E,3,0),0)</f>
        <v>0.39390767111063901</v>
      </c>
      <c r="I1286" s="36">
        <f>VLOOKUP($D1286,系数辅助表!$C:$F,4,0)</f>
        <v>0.99733461707829196</v>
      </c>
      <c r="J1286" s="2" t="s">
        <v>200</v>
      </c>
    </row>
    <row r="1287" spans="2:10" x14ac:dyDescent="0.3">
      <c r="B1287" s="47" t="s">
        <v>172</v>
      </c>
      <c r="C1287" t="str">
        <f>VLOOKUP($B1287,'标准费用表-2024年&amp;2025年优化'!$D:$E,2,0)</f>
        <v>正大食品（利辛）有限公司</v>
      </c>
      <c r="D1287" t="s">
        <v>66</v>
      </c>
      <c r="E1287" s="46">
        <f>IFERROR(VLOOKUP($B1287,'标准费用表-2024年&amp;2025年优化'!$D:$K,8,0)*系数辅助表!$J$6*VLOOKUP('5.成本表'!$D1287,系数辅助表!$C:$G,5,0)/VLOOKUP($D1287,系数辅助表!$C:$E,3,0),0)</f>
        <v>0.11263470601183</v>
      </c>
      <c r="I1287" s="36">
        <f>VLOOKUP($D1287,系数辅助表!$C:$F,4,0)</f>
        <v>0.28517975055754302</v>
      </c>
      <c r="J1287" s="2" t="s">
        <v>200</v>
      </c>
    </row>
    <row r="1288" spans="2:10" x14ac:dyDescent="0.3">
      <c r="B1288" s="47" t="s">
        <v>172</v>
      </c>
      <c r="C1288" t="str">
        <f>VLOOKUP($B1288,'标准费用表-2024年&amp;2025年优化'!$D:$E,2,0)</f>
        <v>正大食品（利辛）有限公司</v>
      </c>
      <c r="D1288" t="s">
        <v>67</v>
      </c>
      <c r="E1288" s="46">
        <f>IFERROR(VLOOKUP($B1288,'标准费用表-2024年&amp;2025年优化'!$D:$K,8,0)*系数辅助表!$J$6*VLOOKUP('5.成本表'!$D1288,系数辅助表!$C:$G,5,0)/VLOOKUP($D1288,系数辅助表!$C:$E,3,0),0)</f>
        <v>3.3511861380446699E-2</v>
      </c>
      <c r="I1288" s="36">
        <f>VLOOKUP($D1288,系数辅助表!$C:$F,4,0)</f>
        <v>8.4848663503333893E-2</v>
      </c>
      <c r="J1288" s="2" t="s">
        <v>200</v>
      </c>
    </row>
    <row r="1289" spans="2:10" x14ac:dyDescent="0.3">
      <c r="B1289" s="47" t="s">
        <v>172</v>
      </c>
      <c r="C1289" t="str">
        <f>VLOOKUP($B1289,'标准费用表-2024年&amp;2025年优化'!$D:$E,2,0)</f>
        <v>正大食品（利辛）有限公司</v>
      </c>
      <c r="D1289" t="s">
        <v>68</v>
      </c>
      <c r="E1289" s="36">
        <f>IFERROR(VLOOKUP($B1289,'标准费用表-2024年&amp;2025年优化'!$D:$K,8,0)*VLOOKUP("白条",系数辅助表!$C:$G,5,0)*VLOOKUP('5.成本表'!$D1289,系数辅助表!$C:$G,5,0)/VLOOKUP('5.成本表'!$D1289,系数辅助表!$C:$E,3,0),)</f>
        <v>0.81665463039325803</v>
      </c>
      <c r="F1289" s="36">
        <f>IFERROR(VLOOKUP($B1289,'标准费用表-2024年&amp;2025年优化'!$D:$L,9,0)*VLOOKUP('5.成本表'!$D1289,系数辅助表!$C:$G,5,0)/VLOOKUP($D1289,系数辅助表!$C:$E,3,0),0)</f>
        <v>0.68127338150453598</v>
      </c>
      <c r="I1289" s="36">
        <f>VLOOKUP($D1289,系数辅助表!$C:$F,4,0)</f>
        <v>2.2799999999999998</v>
      </c>
      <c r="J1289" s="2" t="s">
        <v>69</v>
      </c>
    </row>
    <row r="1290" spans="2:10" x14ac:dyDescent="0.3">
      <c r="B1290" s="47" t="s">
        <v>172</v>
      </c>
      <c r="C1290" t="str">
        <f>VLOOKUP($B1290,'标准费用表-2024年&amp;2025年优化'!$D:$E,2,0)</f>
        <v>正大食品（利辛）有限公司</v>
      </c>
      <c r="D1290" t="s">
        <v>70</v>
      </c>
      <c r="E1290" s="36">
        <f>IFERROR(VLOOKUP($B1290,'标准费用表-2024年&amp;2025年优化'!$D:$K,8,0)*VLOOKUP("白条",系数辅助表!$C:$G,5,0)*VLOOKUP('5.成本表'!$D1290,系数辅助表!$C:$G,5,0)/VLOOKUP('5.成本表'!$D1290,系数辅助表!$C:$E,3,0),)</f>
        <v>0.54577004647097704</v>
      </c>
      <c r="F1290" s="36">
        <f>IFERROR(VLOOKUP($B1290,'标准费用表-2024年&amp;2025年优化'!$D:$L,9,0)*VLOOKUP('5.成本表'!$D1290,系数辅助表!$C:$G,5,0)/VLOOKUP($D1290,系数辅助表!$C:$E,3,0),0)</f>
        <v>0.45529479812552098</v>
      </c>
      <c r="I1290" s="36">
        <f>VLOOKUP($D1290,系数辅助表!$C:$F,4,0)</f>
        <v>1.5237233215154999</v>
      </c>
      <c r="J1290" s="2" t="s">
        <v>69</v>
      </c>
    </row>
    <row r="1291" spans="2:10" x14ac:dyDescent="0.3">
      <c r="B1291" s="47" t="s">
        <v>172</v>
      </c>
      <c r="C1291" t="str">
        <f>VLOOKUP($B1291,'标准费用表-2024年&amp;2025年优化'!$D:$E,2,0)</f>
        <v>正大食品（利辛）有限公司</v>
      </c>
      <c r="D1291" t="s">
        <v>71</v>
      </c>
      <c r="E1291" s="36">
        <f>IFERROR(VLOOKUP($B1291,'标准费用表-2024年&amp;2025年优化'!$D:$K,8,0)*VLOOKUP("白条",系数辅助表!$C:$G,5,0)*VLOOKUP('5.成本表'!$D1291,系数辅助表!$C:$G,5,0)/VLOOKUP('5.成本表'!$D1291,系数辅助表!$C:$E,3,0),)</f>
        <v>1.4444243554998399</v>
      </c>
      <c r="F1291" s="36">
        <f>IFERROR(VLOOKUP($B1291,'标准费用表-2024年&amp;2025年优化'!$D:$L,9,0)*VLOOKUP('5.成本表'!$D1291,系数辅助表!$C:$G,5,0)/VLOOKUP($D1291,系数辅助表!$C:$E,3,0),0)</f>
        <v>1.2049743286522701</v>
      </c>
      <c r="I1291" s="36">
        <f>VLOOKUP($D1291,系数辅助表!$C:$F,4,0)</f>
        <v>4.0326564106466396</v>
      </c>
      <c r="J1291" s="2" t="s">
        <v>69</v>
      </c>
    </row>
    <row r="1292" spans="2:10" x14ac:dyDescent="0.3">
      <c r="B1292" s="47" t="s">
        <v>172</v>
      </c>
      <c r="C1292" t="str">
        <f>VLOOKUP($B1292,'标准费用表-2024年&amp;2025年优化'!$D:$E,2,0)</f>
        <v>正大食品（利辛）有限公司</v>
      </c>
      <c r="D1292" t="s">
        <v>72</v>
      </c>
      <c r="E1292" s="36">
        <f>IFERROR(VLOOKUP($B1292,'标准费用表-2024年&amp;2025年优化'!$D:$K,8,0)*VLOOKUP("白条",系数辅助表!$C:$G,5,0)*VLOOKUP('5.成本表'!$D1292,系数辅助表!$C:$G,5,0)/VLOOKUP('5.成本表'!$D1292,系数辅助表!$C:$E,3,0),)</f>
        <v>0.84121873260948699</v>
      </c>
      <c r="F1292" s="36">
        <f>IFERROR(VLOOKUP($B1292,'标准费用表-2024年&amp;2025年优化'!$D:$L,9,0)*VLOOKUP('5.成本表'!$D1292,系数辅助表!$C:$G,5,0)/VLOOKUP($D1292,系数辅助表!$C:$E,3,0),0)</f>
        <v>0.70176535982395705</v>
      </c>
      <c r="I1292" s="36">
        <f>VLOOKUP($D1292,系数辅助表!$C:$F,4,0)</f>
        <v>2.34857997367385</v>
      </c>
      <c r="J1292" s="2" t="s">
        <v>69</v>
      </c>
    </row>
    <row r="1293" spans="2:10" x14ac:dyDescent="0.3">
      <c r="B1293" s="47" t="s">
        <v>172</v>
      </c>
      <c r="C1293" t="str">
        <f>VLOOKUP($B1293,'标准费用表-2024年&amp;2025年优化'!$D:$E,2,0)</f>
        <v>正大食品（利辛）有限公司</v>
      </c>
      <c r="D1293" t="s">
        <v>73</v>
      </c>
      <c r="E1293" s="36">
        <f>IFERROR(VLOOKUP($B1293,'标准费用表-2024年&amp;2025年优化'!$D:$K,8,0)*VLOOKUP("白条",系数辅助表!$C:$G,5,0)*VLOOKUP('5.成本表'!$D1293,系数辅助表!$C:$G,5,0)/VLOOKUP('5.成本表'!$D1293,系数辅助表!$C:$E,3,0),)</f>
        <v>0.50535051872106895</v>
      </c>
      <c r="F1293" s="36">
        <f>IFERROR(VLOOKUP($B1293,'标准费用表-2024年&amp;2025年优化'!$D:$L,9,0)*VLOOKUP('5.成本表'!$D1293,系数辅助表!$C:$G,5,0)/VLOOKUP($D1293,系数辅助表!$C:$E,3,0),0)</f>
        <v>0.42157583379939501</v>
      </c>
      <c r="I1293" s="36">
        <f>VLOOKUP($D1293,系数辅助表!$C:$F,4,0)</f>
        <v>1.41087693598112</v>
      </c>
      <c r="J1293" s="2" t="s">
        <v>69</v>
      </c>
    </row>
    <row r="1294" spans="2:10" x14ac:dyDescent="0.3">
      <c r="B1294" s="47" t="s">
        <v>172</v>
      </c>
      <c r="C1294" t="str">
        <f>VLOOKUP($B1294,'标准费用表-2024年&amp;2025年优化'!$D:$E,2,0)</f>
        <v>正大食品（利辛）有限公司</v>
      </c>
      <c r="D1294" t="s">
        <v>74</v>
      </c>
      <c r="E1294" s="36">
        <f>IFERROR(VLOOKUP($B1294,'标准费用表-2024年&amp;2025年优化'!$D:$K,8,0)*VLOOKUP("白条",系数辅助表!$C:$G,5,0)*VLOOKUP('5.成本表'!$D1294,系数辅助表!$C:$G,5,0)/VLOOKUP('5.成本表'!$D1294,系数辅助表!$C:$E,3,0),)</f>
        <v>0.68237307607282105</v>
      </c>
      <c r="F1294" s="36">
        <f>IFERROR(VLOOKUP($B1294,'标准费用表-2024年&amp;2025年优化'!$D:$L,9,0)*VLOOKUP('5.成本表'!$D1294,系数辅助表!$C:$G,5,0)/VLOOKUP($D1294,系数辅助表!$C:$E,3,0),0)</f>
        <v>0.569252405707808</v>
      </c>
      <c r="I1294" s="36">
        <f>VLOOKUP($D1294,系数辅助表!$C:$F,4,0)</f>
        <v>1.9051022985038799</v>
      </c>
      <c r="J1294" s="2" t="s">
        <v>69</v>
      </c>
    </row>
    <row r="1295" spans="2:10" x14ac:dyDescent="0.3">
      <c r="B1295" s="47" t="s">
        <v>172</v>
      </c>
      <c r="C1295" t="str">
        <f>VLOOKUP($B1295,'标准费用表-2024年&amp;2025年优化'!$D:$E,2,0)</f>
        <v>正大食品（利辛）有限公司</v>
      </c>
      <c r="D1295" t="s">
        <v>75</v>
      </c>
      <c r="E1295" s="36">
        <f>IFERROR(VLOOKUP($B1295,'标准费用表-2024年&amp;2025年优化'!$D:$K,8,0)*VLOOKUP("白条",系数辅助表!$C:$G,5,0)*VLOOKUP('5.成本表'!$D1295,系数辅助表!$C:$G,5,0)/VLOOKUP('5.成本表'!$D1295,系数辅助表!$C:$E,3,0),)</f>
        <v>0.51095212326997697</v>
      </c>
      <c r="F1295" s="36">
        <f>IFERROR(VLOOKUP($B1295,'标准费用表-2024年&amp;2025年优化'!$D:$L,9,0)*VLOOKUP('5.成本表'!$D1295,系数辅助表!$C:$G,5,0)/VLOOKUP($D1295,系数辅助表!$C:$E,3,0),0)</f>
        <v>0.42624883010757503</v>
      </c>
      <c r="I1295" s="36">
        <f>VLOOKUP($D1295,系数辅助表!$C:$F,4,0)</f>
        <v>1.42651593182611</v>
      </c>
      <c r="J1295" s="2" t="s">
        <v>69</v>
      </c>
    </row>
    <row r="1296" spans="2:10" x14ac:dyDescent="0.3">
      <c r="B1296" s="47" t="s">
        <v>172</v>
      </c>
      <c r="C1296" t="str">
        <f>VLOOKUP($B1296,'标准费用表-2024年&amp;2025年优化'!$D:$E,2,0)</f>
        <v>正大食品（利辛）有限公司</v>
      </c>
      <c r="D1296" t="s">
        <v>76</v>
      </c>
      <c r="E1296" s="36">
        <f>IFERROR(VLOOKUP($B1296,'标准费用表-2024年&amp;2025年优化'!$D:$K,8,0)*VLOOKUP("白条",系数辅助表!$C:$G,5,0)*VLOOKUP('5.成本表'!$D1296,系数辅助表!$C:$G,5,0)/VLOOKUP('5.成本表'!$D1296,系数辅助表!$C:$E,3,0),)</f>
        <v>0.52064690942571301</v>
      </c>
      <c r="F1296" s="36">
        <f>IFERROR(VLOOKUP($B1296,'标准费用表-2024年&amp;2025年优化'!$D:$L,9,0)*VLOOKUP('5.成本表'!$D1296,系数辅助表!$C:$G,5,0)/VLOOKUP($D1296,系数辅助表!$C:$E,3,0),0)</f>
        <v>0.43433645920005998</v>
      </c>
      <c r="I1296" s="36">
        <f>VLOOKUP($D1296,系数辅助表!$C:$F,4,0)</f>
        <v>1.4535825908670701</v>
      </c>
      <c r="J1296" s="2" t="s">
        <v>69</v>
      </c>
    </row>
    <row r="1297" spans="2:10" x14ac:dyDescent="0.3">
      <c r="B1297" s="47" t="s">
        <v>172</v>
      </c>
      <c r="C1297" t="str">
        <f>VLOOKUP($B1297,'标准费用表-2024年&amp;2025年优化'!$D:$E,2,0)</f>
        <v>正大食品（利辛）有限公司</v>
      </c>
      <c r="D1297" t="s">
        <v>77</v>
      </c>
      <c r="E1297" s="36">
        <f>IFERROR(VLOOKUP($B1297,'标准费用表-2024年&amp;2025年优化'!$D:$K,8,0)*VLOOKUP("白条",系数辅助表!$C:$G,5,0)*VLOOKUP('5.成本表'!$D1297,系数辅助表!$C:$G,5,0)/VLOOKUP('5.成本表'!$D1297,系数辅助表!$C:$E,3,0),)</f>
        <v>0.51615371228888496</v>
      </c>
      <c r="F1297" s="36">
        <f>IFERROR(VLOOKUP($B1297,'标准费用表-2024年&amp;2025年优化'!$D:$L,9,0)*VLOOKUP('5.成本表'!$D1297,系数辅助表!$C:$G,5,0)/VLOOKUP($D1297,系数辅助表!$C:$E,3,0),0)</f>
        <v>0.430588123620674</v>
      </c>
      <c r="I1297" s="36">
        <f>VLOOKUP($D1297,系数辅助表!$C:$F,4,0)</f>
        <v>1.4410381331603499</v>
      </c>
      <c r="J1297" s="2" t="s">
        <v>69</v>
      </c>
    </row>
    <row r="1298" spans="2:10" x14ac:dyDescent="0.3">
      <c r="B1298" s="47" t="s">
        <v>172</v>
      </c>
      <c r="C1298" t="str">
        <f>VLOOKUP($B1298,'标准费用表-2024年&amp;2025年优化'!$D:$E,2,0)</f>
        <v>正大食品（利辛）有限公司</v>
      </c>
      <c r="D1298" t="s">
        <v>78</v>
      </c>
      <c r="E1298" s="36">
        <f>IFERROR(VLOOKUP($B1298,'标准费用表-2024年&amp;2025年优化'!$D:$K,8,0)*VLOOKUP("白条",系数辅助表!$C:$G,5,0)*VLOOKUP('5.成本表'!$D1298,系数辅助表!$C:$G,5,0)/VLOOKUP('5.成本表'!$D1298,系数辅助表!$C:$E,3,0),)</f>
        <v>0.44265282413092</v>
      </c>
      <c r="F1298" s="36">
        <f>IFERROR(VLOOKUP($B1298,'标准费用表-2024年&amp;2025年优化'!$D:$L,9,0)*VLOOKUP('5.成本表'!$D1298,系数辅助表!$C:$G,5,0)/VLOOKUP($D1298,系数辅助表!$C:$E,3,0),0)</f>
        <v>0.36927187467606198</v>
      </c>
      <c r="I1298" s="36">
        <f>VLOOKUP($D1298,系数辅助表!$C:$F,4,0)</f>
        <v>1.2358326291892801</v>
      </c>
      <c r="J1298" s="2" t="s">
        <v>69</v>
      </c>
    </row>
    <row r="1299" spans="2:10" x14ac:dyDescent="0.3">
      <c r="B1299" s="47" t="s">
        <v>172</v>
      </c>
      <c r="C1299" t="str">
        <f>VLOOKUP($B1299,'标准费用表-2024年&amp;2025年优化'!$D:$E,2,0)</f>
        <v>正大食品（利辛）有限公司</v>
      </c>
      <c r="D1299" t="s">
        <v>79</v>
      </c>
      <c r="E1299" s="36">
        <f>IFERROR(VLOOKUP($B1299,'标准费用表-2024年&amp;2025年优化'!$D:$K,8,0)*VLOOKUP("白条",系数辅助表!$C:$G,5,0)*VLOOKUP('5.成本表'!$D1299,系数辅助表!$C:$G,5,0)/VLOOKUP('5.成本表'!$D1299,系数辅助表!$C:$E,3,0),)</f>
        <v>0.309188673578142</v>
      </c>
      <c r="F1299" s="36">
        <f>IFERROR(VLOOKUP($B1299,'标准费用表-2024年&amp;2025年优化'!$D:$L,9,0)*VLOOKUP('5.成本表'!$D1299,系数辅助表!$C:$G,5,0)/VLOOKUP($D1299,系数辅助表!$C:$E,3,0),0)</f>
        <v>0.25793279720957302</v>
      </c>
      <c r="I1299" s="36">
        <f>VLOOKUP($D1299,系数辅助表!$C:$F,4,0)</f>
        <v>0.86321701919291904</v>
      </c>
      <c r="J1299" s="2" t="s">
        <v>69</v>
      </c>
    </row>
    <row r="1300" spans="2:10" x14ac:dyDescent="0.3">
      <c r="B1300" s="47" t="s">
        <v>172</v>
      </c>
      <c r="C1300" t="str">
        <f>VLOOKUP($B1300,'标准费用表-2024年&amp;2025年优化'!$D:$E,2,0)</f>
        <v>正大食品（利辛）有限公司</v>
      </c>
      <c r="D1300" t="s">
        <v>80</v>
      </c>
      <c r="E1300" s="36">
        <f>IFERROR(VLOOKUP($B1300,'标准费用表-2024年&amp;2025年优化'!$D:$K,8,0)*VLOOKUP("白条",系数辅助表!$C:$G,5,0)*VLOOKUP('5.成本表'!$D1300,系数辅助表!$C:$G,5,0)/VLOOKUP('5.成本表'!$D1300,系数辅助表!$C:$E,3,0),)</f>
        <v>0.285425782220531</v>
      </c>
      <c r="F1300" s="36">
        <f>IFERROR(VLOOKUP($B1300,'标准费用表-2024年&amp;2025年优化'!$D:$L,9,0)*VLOOKUP('5.成本表'!$D1300,系数辅助表!$C:$G,5,0)/VLOOKUP($D1300,系数辅助表!$C:$E,3,0),0)</f>
        <v>0.23810920869734101</v>
      </c>
      <c r="I1300" s="36">
        <f>VLOOKUP($D1300,系数辅助表!$C:$F,4,0)</f>
        <v>0.796873928394225</v>
      </c>
      <c r="J1300" s="2" t="s">
        <v>69</v>
      </c>
    </row>
    <row r="1301" spans="2:10" x14ac:dyDescent="0.3">
      <c r="B1301" s="47" t="s">
        <v>172</v>
      </c>
      <c r="C1301" t="str">
        <f>VLOOKUP($B1301,'标准费用表-2024年&amp;2025年优化'!$D:$E,2,0)</f>
        <v>正大食品（利辛）有限公司</v>
      </c>
      <c r="D1301" t="s">
        <v>81</v>
      </c>
      <c r="E1301" s="36">
        <f>IFERROR(VLOOKUP($B1301,'标准费用表-2024年&amp;2025年优化'!$D:$K,8,0)*VLOOKUP("白条",系数辅助表!$C:$G,5,0)*VLOOKUP('5.成本表'!$D1301,系数辅助表!$C:$G,5,0)/VLOOKUP('5.成本表'!$D1301,系数辅助表!$C:$E,3,0),)</f>
        <v>0.39357334248766002</v>
      </c>
      <c r="F1301" s="36">
        <f>IFERROR(VLOOKUP($B1301,'标准费用表-2024年&amp;2025年优化'!$D:$L,9,0)*VLOOKUP('5.成本表'!$D1301,系数辅助表!$C:$G,5,0)/VLOOKUP($D1301,系数辅助表!$C:$E,3,0),0)</f>
        <v>0.328328563786497</v>
      </c>
      <c r="I1301" s="36">
        <f>VLOOKUP($D1301,系数辅助表!$C:$F,4,0)</f>
        <v>1.09880870991909</v>
      </c>
      <c r="J1301" s="2" t="s">
        <v>69</v>
      </c>
    </row>
    <row r="1302" spans="2:10" x14ac:dyDescent="0.3">
      <c r="B1302" s="47" t="s">
        <v>172</v>
      </c>
      <c r="C1302" t="str">
        <f>VLOOKUP($B1302,'标准费用表-2024年&amp;2025年优化'!$D:$E,2,0)</f>
        <v>正大食品（利辛）有限公司</v>
      </c>
      <c r="D1302" t="s">
        <v>82</v>
      </c>
      <c r="E1302" s="36">
        <f>IFERROR(VLOOKUP($B1302,'标准费用表-2024年&amp;2025年优化'!$D:$K,8,0)*VLOOKUP("白条",系数辅助表!$C:$G,5,0)*VLOOKUP('5.成本表'!$D1302,系数辅助表!$C:$G,5,0)/VLOOKUP('5.成本表'!$D1302,系数辅助表!$C:$E,3,0),)</f>
        <v>0.35860138375709399</v>
      </c>
      <c r="F1302" s="36">
        <f>IFERROR(VLOOKUP($B1302,'标准费用表-2024年&amp;2025年优化'!$D:$L,9,0)*VLOOKUP('5.成本表'!$D1302,系数辅助表!$C:$G,5,0)/VLOOKUP($D1302,系数辅助表!$C:$E,3,0),0)</f>
        <v>0.29915409554067801</v>
      </c>
      <c r="I1302" s="36">
        <f>VLOOKUP($D1302,系数辅助表!$C:$F,4,0)</f>
        <v>1.0011712718416299</v>
      </c>
      <c r="J1302" s="2" t="s">
        <v>69</v>
      </c>
    </row>
    <row r="1303" spans="2:10" x14ac:dyDescent="0.3">
      <c r="B1303" s="47" t="s">
        <v>172</v>
      </c>
      <c r="C1303" t="str">
        <f>VLOOKUP($B1303,'标准费用表-2024年&amp;2025年优化'!$D:$E,2,0)</f>
        <v>正大食品（利辛）有限公司</v>
      </c>
      <c r="D1303" t="s">
        <v>83</v>
      </c>
      <c r="E1303" s="36">
        <f>IFERROR(VLOOKUP($B1303,'标准费用表-2024年&amp;2025年优化'!$D:$K,8,0)*VLOOKUP("白条",系数辅助表!$C:$G,5,0)*VLOOKUP('5.成本表'!$D1303,系数辅助表!$C:$G,5,0)/VLOOKUP('5.成本表'!$D1303,系数辅助表!$C:$E,3,0),)</f>
        <v>0.32249002456149001</v>
      </c>
      <c r="F1303" s="36">
        <f>IFERROR(VLOOKUP($B1303,'标准费用表-2024年&amp;2025年优化'!$D:$L,9,0)*VLOOKUP('5.成本表'!$D1303,系数辅助表!$C:$G,5,0)/VLOOKUP($D1303,系数辅助表!$C:$E,3,0),0)</f>
        <v>0.26902911139889002</v>
      </c>
      <c r="I1303" s="36">
        <f>VLOOKUP($D1303,系数辅助表!$C:$F,4,0)</f>
        <v>0.90035276680685095</v>
      </c>
      <c r="J1303" s="2" t="s">
        <v>69</v>
      </c>
    </row>
    <row r="1304" spans="2:10" x14ac:dyDescent="0.3">
      <c r="B1304" s="47" t="s">
        <v>172</v>
      </c>
      <c r="C1304" t="str">
        <f>VLOOKUP($B1304,'标准费用表-2024年&amp;2025年优化'!$D:$E,2,0)</f>
        <v>正大食品（利辛）有限公司</v>
      </c>
      <c r="D1304" t="s">
        <v>84</v>
      </c>
      <c r="E1304" s="36">
        <f>IFERROR(VLOOKUP($B1304,'标准费用表-2024年&amp;2025年优化'!$D:$K,8,0)*VLOOKUP("白条",系数辅助表!$C:$G,5,0)*VLOOKUP('5.成本表'!$D1304,系数辅助表!$C:$G,5,0)/VLOOKUP('5.成本表'!$D1304,系数辅助表!$C:$E,3,0),)</f>
        <v>0.32391440130735799</v>
      </c>
      <c r="F1304" s="36">
        <f>IFERROR(VLOOKUP($B1304,'标准费用表-2024年&amp;2025年优化'!$D:$L,9,0)*VLOOKUP('5.成本表'!$D1304,系数辅助表!$C:$G,5,0)/VLOOKUP($D1304,系数辅助表!$C:$E,3,0),0)</f>
        <v>0.270217361518438</v>
      </c>
      <c r="I1304" s="36">
        <f>VLOOKUP($D1304,系数辅助表!$C:$F,4,0)</f>
        <v>0.90432945273957599</v>
      </c>
      <c r="J1304" s="2" t="s">
        <v>69</v>
      </c>
    </row>
    <row r="1305" spans="2:10" x14ac:dyDescent="0.3">
      <c r="B1305" s="47" t="s">
        <v>172</v>
      </c>
      <c r="C1305" t="str">
        <f>VLOOKUP($B1305,'标准费用表-2024年&amp;2025年优化'!$D:$E,2,0)</f>
        <v>正大食品（利辛）有限公司</v>
      </c>
      <c r="D1305" t="s">
        <v>85</v>
      </c>
      <c r="E1305" s="36">
        <f>IFERROR(VLOOKUP($B1305,'标准费用表-2024年&amp;2025年优化'!$D:$K,8,0)*VLOOKUP("白条",系数辅助表!$C:$G,5,0)*VLOOKUP('5.成本表'!$D1305,系数辅助表!$C:$G,5,0)/VLOOKUP('5.成本表'!$D1305,系数辅助表!$C:$E,3,0),)</f>
        <v>0.40273081455460902</v>
      </c>
      <c r="F1305" s="36">
        <f>IFERROR(VLOOKUP($B1305,'标准费用表-2024年&amp;2025年优化'!$D:$L,9,0)*VLOOKUP('5.成本表'!$D1305,系数辅助表!$C:$G,5,0)/VLOOKUP($D1305,系数辅助表!$C:$E,3,0),0)</f>
        <v>0.33596795224876502</v>
      </c>
      <c r="I1305" s="36">
        <f>VLOOKUP($D1305,系数辅助表!$C:$F,4,0)</f>
        <v>1.12437525363977</v>
      </c>
      <c r="J1305" s="2" t="s">
        <v>69</v>
      </c>
    </row>
    <row r="1306" spans="2:10" x14ac:dyDescent="0.3">
      <c r="B1306" s="47" t="s">
        <v>172</v>
      </c>
      <c r="C1306" t="str">
        <f>VLOOKUP($B1306,'标准费用表-2024年&amp;2025年优化'!$D:$E,2,0)</f>
        <v>正大食品（利辛）有限公司</v>
      </c>
      <c r="D1306" t="s">
        <v>86</v>
      </c>
      <c r="E1306" s="36">
        <f>IFERROR(VLOOKUP($B1306,'标准费用表-2024年&amp;2025年优化'!$D:$K,8,0)*VLOOKUP("白条",系数辅助表!$C:$G,5,0)*VLOOKUP('5.成本表'!$D1306,系数辅助表!$C:$G,5,0)/VLOOKUP('5.成本表'!$D1306,系数辅助表!$C:$E,3,0),)</f>
        <v>0.352154544345398</v>
      </c>
      <c r="F1306" s="36">
        <f>IFERROR(VLOOKUP($B1306,'标准费用表-2024年&amp;2025年优化'!$D:$L,9,0)*VLOOKUP('5.成本表'!$D1306,系数辅助表!$C:$G,5,0)/VLOOKUP($D1306,系数辅助表!$C:$E,3,0),0)</f>
        <v>0.29377598351808598</v>
      </c>
      <c r="I1306" s="36">
        <f>VLOOKUP($D1306,系数辅助表!$C:$F,4,0)</f>
        <v>0.98317248347795105</v>
      </c>
      <c r="J1306" s="2" t="s">
        <v>69</v>
      </c>
    </row>
    <row r="1307" spans="2:10" x14ac:dyDescent="0.3">
      <c r="B1307" s="47" t="s">
        <v>172</v>
      </c>
      <c r="C1307" t="str">
        <f>VLOOKUP($B1307,'标准费用表-2024年&amp;2025年优化'!$D:$E,2,0)</f>
        <v>正大食品（利辛）有限公司</v>
      </c>
      <c r="D1307" t="s">
        <v>87</v>
      </c>
      <c r="E1307" s="36">
        <f>IFERROR(VLOOKUP($B1307,'标准费用表-2024年&amp;2025年优化'!$D:$K,8,0)*VLOOKUP("白条",系数辅助表!$C:$G,5,0)*VLOOKUP('5.成本表'!$D1307,系数辅助表!$C:$G,5,0)/VLOOKUP('5.成本表'!$D1307,系数辅助表!$C:$E,3,0),)</f>
        <v>0.25506298683591699</v>
      </c>
      <c r="F1307" s="36">
        <f>IFERROR(VLOOKUP($B1307,'标准费用表-2024年&amp;2025年优化'!$D:$L,9,0)*VLOOKUP('5.成本表'!$D1307,系数辅助表!$C:$G,5,0)/VLOOKUP($D1307,系数辅助表!$C:$E,3,0),0)</f>
        <v>0.21277981789520301</v>
      </c>
      <c r="I1307" s="36">
        <f>VLOOKUP($D1307,系数辅助表!$C:$F,4,0)</f>
        <v>0.71210471151782795</v>
      </c>
      <c r="J1307" s="2" t="s">
        <v>69</v>
      </c>
    </row>
    <row r="1308" spans="2:10" x14ac:dyDescent="0.3">
      <c r="B1308" s="47" t="s">
        <v>172</v>
      </c>
      <c r="C1308" t="str">
        <f>VLOOKUP($B1308,'标准费用表-2024年&amp;2025年优化'!$D:$E,2,0)</f>
        <v>正大食品（利辛）有限公司</v>
      </c>
      <c r="D1308" t="s">
        <v>88</v>
      </c>
      <c r="E1308" s="36">
        <f>IFERROR(VLOOKUP($B1308,'标准费用表-2024年&amp;2025年优化'!$D:$K,8,0)*VLOOKUP("白条",系数辅助表!$C:$G,5,0)*VLOOKUP('5.成本表'!$D1308,系数辅助表!$C:$G,5,0)/VLOOKUP('5.成本表'!$D1308,系数辅助表!$C:$E,3,0),)</f>
        <v>0.963362767424502</v>
      </c>
      <c r="F1308" s="36">
        <f>IFERROR(VLOOKUP($B1308,'标准费用表-2024年&amp;2025年优化'!$D:$L,9,0)*VLOOKUP('5.成本表'!$D1308,系数辅助表!$C:$G,5,0)/VLOOKUP($D1308,系数辅助表!$C:$E,3,0),0)</f>
        <v>0.803660918279264</v>
      </c>
      <c r="I1308" s="36">
        <f>VLOOKUP($D1308,系数辅助表!$C:$F,4,0)</f>
        <v>2.6895912029178799</v>
      </c>
      <c r="J1308" s="2" t="s">
        <v>69</v>
      </c>
    </row>
    <row r="1309" spans="2:10" x14ac:dyDescent="0.3">
      <c r="B1309" s="47" t="s">
        <v>172</v>
      </c>
      <c r="C1309" t="str">
        <f>VLOOKUP($B1309,'标准费用表-2024年&amp;2025年优化'!$D:$E,2,0)</f>
        <v>正大食品（利辛）有限公司</v>
      </c>
      <c r="D1309" t="s">
        <v>89</v>
      </c>
      <c r="E1309" s="36">
        <f>IFERROR(VLOOKUP($B1309,'标准费用表-2024年&amp;2025年优化'!$D:$K,8,0)*VLOOKUP("白条",系数辅助表!$C:$G,5,0)*VLOOKUP('5.成本表'!$D1309,系数辅助表!$C:$G,5,0)/VLOOKUP('5.成本表'!$D1309,系数辅助表!$C:$E,3,0),)</f>
        <v>0.41433734694538699</v>
      </c>
      <c r="F1309" s="36">
        <f>IFERROR(VLOOKUP($B1309,'标准费用表-2024年&amp;2025年优化'!$D:$L,9,0)*VLOOKUP('5.成本表'!$D1309,系数辅助表!$C:$G,5,0)/VLOOKUP($D1309,系数辅助表!$C:$E,3,0),0)</f>
        <v>0.345650407077435</v>
      </c>
      <c r="I1309" s="36">
        <f>VLOOKUP($D1309,系数辅助表!$C:$F,4,0)</f>
        <v>1.1567792747107399</v>
      </c>
      <c r="J1309" s="2" t="s">
        <v>69</v>
      </c>
    </row>
    <row r="1310" spans="2:10" x14ac:dyDescent="0.3">
      <c r="B1310" s="47" t="s">
        <v>172</v>
      </c>
      <c r="C1310" t="str">
        <f>VLOOKUP($B1310,'标准费用表-2024年&amp;2025年优化'!$D:$E,2,0)</f>
        <v>正大食品（利辛）有限公司</v>
      </c>
      <c r="D1310" t="s">
        <v>90</v>
      </c>
      <c r="E1310" s="36">
        <f>IFERROR(VLOOKUP($B1310,'标准费用表-2024年&amp;2025年优化'!$D:$K,8,0)*VLOOKUP("白条",系数辅助表!$C:$G,5,0)*VLOOKUP('5.成本表'!$D1310,系数辅助表!$C:$G,5,0)/VLOOKUP('5.成本表'!$D1310,系数辅助表!$C:$E,3,0),)</f>
        <v>0.26182319715994101</v>
      </c>
      <c r="F1310" s="36">
        <f>IFERROR(VLOOKUP($B1310,'标准费用表-2024年&amp;2025年优化'!$D:$L,9,0)*VLOOKUP('5.成本表'!$D1310,系数辅助表!$C:$G,5,0)/VLOOKUP($D1310,系数辅助表!$C:$E,3,0),0)</f>
        <v>0.21841935164144799</v>
      </c>
      <c r="I1310" s="36">
        <f>VLOOKUP($D1310,系数辅助表!$C:$F,4,0)</f>
        <v>0.73097839320056501</v>
      </c>
      <c r="J1310" s="2" t="s">
        <v>69</v>
      </c>
    </row>
    <row r="1311" spans="2:10" x14ac:dyDescent="0.3">
      <c r="B1311" s="47" t="s">
        <v>172</v>
      </c>
      <c r="C1311" t="str">
        <f>VLOOKUP($B1311,'标准费用表-2024年&amp;2025年优化'!$D:$E,2,0)</f>
        <v>正大食品（利辛）有限公司</v>
      </c>
      <c r="D1311" t="s">
        <v>91</v>
      </c>
      <c r="E1311" s="36">
        <f>IFERROR(VLOOKUP($B1311,'标准费用表-2024年&amp;2025年优化'!$D:$K,8,0)*VLOOKUP("白条",系数辅助表!$C:$G,5,0)*VLOOKUP('5.成本表'!$D1311,系数辅助表!$C:$G,5,0)/VLOOKUP('5.成本表'!$D1311,系数辅助表!$C:$E,3,0),)</f>
        <v>0.21709208777675301</v>
      </c>
      <c r="F1311" s="36">
        <f>IFERROR(VLOOKUP($B1311,'标准费用表-2024年&amp;2025年优化'!$D:$L,9,0)*VLOOKUP('5.成本表'!$D1311,系数辅助表!$C:$G,5,0)/VLOOKUP($D1311,系数辅助表!$C:$E,3,0),0)</f>
        <v>0.181103559856543</v>
      </c>
      <c r="I1311" s="36">
        <f>VLOOKUP($D1311,系数辅助表!$C:$F,4,0)</f>
        <v>0.60609459826688905</v>
      </c>
      <c r="J1311" s="2" t="s">
        <v>69</v>
      </c>
    </row>
    <row r="1312" spans="2:10" x14ac:dyDescent="0.3">
      <c r="B1312" s="47" t="s">
        <v>172</v>
      </c>
      <c r="C1312" t="str">
        <f>VLOOKUP($B1312,'标准费用表-2024年&amp;2025年优化'!$D:$E,2,0)</f>
        <v>正大食品（利辛）有限公司</v>
      </c>
      <c r="D1312" t="s">
        <v>92</v>
      </c>
      <c r="E1312" s="36">
        <f>IFERROR(VLOOKUP($B1312,'标准费用表-2024年&amp;2025年优化'!$D:$K,8,0)*VLOOKUP("白条",系数辅助表!$C:$G,5,0)*VLOOKUP('5.成本表'!$D1312,系数辅助表!$C:$G,5,0)/VLOOKUP('5.成本表'!$D1312,系数辅助表!$C:$E,3,0),)</f>
        <v>8.6164558080379094E-2</v>
      </c>
      <c r="F1312" s="36">
        <f>IFERROR(VLOOKUP($B1312,'标准费用表-2024年&amp;2025年优化'!$D:$L,9,0)*VLOOKUP('5.成本表'!$D1312,系数辅助表!$C:$G,5,0)/VLOOKUP($D1312,系数辅助表!$C:$E,3,0),0)</f>
        <v>7.1880593906626405E-2</v>
      </c>
      <c r="I1312" s="36">
        <f>VLOOKUP($D1312,系数辅助表!$C:$F,4,0)</f>
        <v>0.24056092393508099</v>
      </c>
      <c r="J1312" s="2" t="s">
        <v>69</v>
      </c>
    </row>
    <row r="1313" spans="2:10" x14ac:dyDescent="0.3">
      <c r="B1313" s="47" t="s">
        <v>172</v>
      </c>
      <c r="C1313" t="str">
        <f>VLOOKUP($B1313,'标准费用表-2024年&amp;2025年优化'!$D:$E,2,0)</f>
        <v>正大食品（利辛）有限公司</v>
      </c>
      <c r="D1313" t="s">
        <v>93</v>
      </c>
      <c r="E1313" s="36">
        <f>E1289</f>
        <v>0.81665463039325803</v>
      </c>
      <c r="F1313" s="36">
        <f>F1289</f>
        <v>0.68127338150453598</v>
      </c>
      <c r="G1313">
        <v>0.2</v>
      </c>
      <c r="H1313">
        <v>0.3</v>
      </c>
      <c r="J1313" s="2" t="s">
        <v>69</v>
      </c>
    </row>
    <row r="1314" spans="2:10" x14ac:dyDescent="0.3">
      <c r="B1314" s="47" t="s">
        <v>172</v>
      </c>
      <c r="C1314" t="str">
        <f>VLOOKUP($B1314,'标准费用表-2024年&amp;2025年优化'!$D:$E,2,0)</f>
        <v>正大食品（利辛）有限公司</v>
      </c>
      <c r="D1314" t="s">
        <v>96</v>
      </c>
      <c r="E1314" s="36">
        <f t="shared" ref="E1314:F1314" si="520">E1290</f>
        <v>0.54577004647097704</v>
      </c>
      <c r="F1314" s="36">
        <f t="shared" si="520"/>
        <v>0.45529479812552098</v>
      </c>
      <c r="G1314">
        <v>0.2</v>
      </c>
      <c r="H1314">
        <v>0.3</v>
      </c>
      <c r="J1314" s="2" t="s">
        <v>69</v>
      </c>
    </row>
    <row r="1315" spans="2:10" x14ac:dyDescent="0.3">
      <c r="B1315" s="47" t="s">
        <v>172</v>
      </c>
      <c r="C1315" t="str">
        <f>VLOOKUP($B1315,'标准费用表-2024年&amp;2025年优化'!$D:$E,2,0)</f>
        <v>正大食品（利辛）有限公司</v>
      </c>
      <c r="D1315" t="s">
        <v>97</v>
      </c>
      <c r="E1315" s="36">
        <f t="shared" ref="E1315:F1315" si="521">E1291</f>
        <v>1.4444243554998399</v>
      </c>
      <c r="F1315" s="36">
        <f t="shared" si="521"/>
        <v>1.2049743286522701</v>
      </c>
      <c r="G1315">
        <v>0.2</v>
      </c>
      <c r="H1315">
        <v>0.3</v>
      </c>
      <c r="J1315" s="2" t="s">
        <v>69</v>
      </c>
    </row>
    <row r="1316" spans="2:10" x14ac:dyDescent="0.3">
      <c r="B1316" s="47" t="s">
        <v>172</v>
      </c>
      <c r="C1316" t="str">
        <f>VLOOKUP($B1316,'标准费用表-2024年&amp;2025年优化'!$D:$E,2,0)</f>
        <v>正大食品（利辛）有限公司</v>
      </c>
      <c r="D1316" t="s">
        <v>98</v>
      </c>
      <c r="E1316" s="36">
        <f t="shared" ref="E1316:F1316" si="522">E1292</f>
        <v>0.84121873260948699</v>
      </c>
      <c r="F1316" s="36">
        <f t="shared" si="522"/>
        <v>0.70176535982395705</v>
      </c>
      <c r="G1316">
        <v>0.2</v>
      </c>
      <c r="H1316">
        <v>0.3</v>
      </c>
      <c r="J1316" s="2" t="s">
        <v>69</v>
      </c>
    </row>
    <row r="1317" spans="2:10" x14ac:dyDescent="0.3">
      <c r="B1317" s="47" t="s">
        <v>172</v>
      </c>
      <c r="C1317" t="str">
        <f>VLOOKUP($B1317,'标准费用表-2024年&amp;2025年优化'!$D:$E,2,0)</f>
        <v>正大食品（利辛）有限公司</v>
      </c>
      <c r="D1317" t="s">
        <v>99</v>
      </c>
      <c r="E1317" s="36">
        <f t="shared" ref="E1317:F1317" si="523">E1293</f>
        <v>0.50535051872106895</v>
      </c>
      <c r="F1317" s="36">
        <f t="shared" si="523"/>
        <v>0.42157583379939501</v>
      </c>
      <c r="G1317">
        <v>0.2</v>
      </c>
      <c r="H1317">
        <v>0.3</v>
      </c>
      <c r="J1317" s="2" t="s">
        <v>69</v>
      </c>
    </row>
    <row r="1318" spans="2:10" x14ac:dyDescent="0.3">
      <c r="B1318" s="47" t="s">
        <v>172</v>
      </c>
      <c r="C1318" t="str">
        <f>VLOOKUP($B1318,'标准费用表-2024年&amp;2025年优化'!$D:$E,2,0)</f>
        <v>正大食品（利辛）有限公司</v>
      </c>
      <c r="D1318" t="s">
        <v>100</v>
      </c>
      <c r="E1318" s="36">
        <f t="shared" ref="E1318:F1318" si="524">E1294</f>
        <v>0.68237307607282105</v>
      </c>
      <c r="F1318" s="36">
        <f t="shared" si="524"/>
        <v>0.569252405707808</v>
      </c>
      <c r="G1318">
        <v>0.2</v>
      </c>
      <c r="H1318">
        <v>0.3</v>
      </c>
      <c r="J1318" s="2" t="s">
        <v>69</v>
      </c>
    </row>
    <row r="1319" spans="2:10" x14ac:dyDescent="0.3">
      <c r="B1319" s="47" t="s">
        <v>172</v>
      </c>
      <c r="C1319" t="str">
        <f>VLOOKUP($B1319,'标准费用表-2024年&amp;2025年优化'!$D:$E,2,0)</f>
        <v>正大食品（利辛）有限公司</v>
      </c>
      <c r="D1319" t="s">
        <v>101</v>
      </c>
      <c r="E1319" s="36">
        <f t="shared" ref="E1319:F1319" si="525">E1295</f>
        <v>0.51095212326997697</v>
      </c>
      <c r="F1319" s="36">
        <f t="shared" si="525"/>
        <v>0.42624883010757503</v>
      </c>
      <c r="G1319">
        <v>0.2</v>
      </c>
      <c r="H1319">
        <v>0.3</v>
      </c>
      <c r="J1319" s="2" t="s">
        <v>69</v>
      </c>
    </row>
    <row r="1320" spans="2:10" x14ac:dyDescent="0.3">
      <c r="B1320" s="47" t="s">
        <v>172</v>
      </c>
      <c r="C1320" t="str">
        <f>VLOOKUP($B1320,'标准费用表-2024年&amp;2025年优化'!$D:$E,2,0)</f>
        <v>正大食品（利辛）有限公司</v>
      </c>
      <c r="D1320" t="s">
        <v>102</v>
      </c>
      <c r="E1320" s="36">
        <f t="shared" ref="E1320:F1320" si="526">E1296</f>
        <v>0.52064690942571301</v>
      </c>
      <c r="F1320" s="36">
        <f t="shared" si="526"/>
        <v>0.43433645920005998</v>
      </c>
      <c r="G1320">
        <v>0.2</v>
      </c>
      <c r="H1320">
        <v>0.3</v>
      </c>
      <c r="J1320" s="2" t="s">
        <v>69</v>
      </c>
    </row>
    <row r="1321" spans="2:10" x14ac:dyDescent="0.3">
      <c r="B1321" s="47" t="s">
        <v>172</v>
      </c>
      <c r="C1321" t="str">
        <f>VLOOKUP($B1321,'标准费用表-2024年&amp;2025年优化'!$D:$E,2,0)</f>
        <v>正大食品（利辛）有限公司</v>
      </c>
      <c r="D1321" t="s">
        <v>103</v>
      </c>
      <c r="E1321" s="36">
        <f t="shared" ref="E1321:F1321" si="527">E1297</f>
        <v>0.51615371228888496</v>
      </c>
      <c r="F1321" s="36">
        <f t="shared" si="527"/>
        <v>0.430588123620674</v>
      </c>
      <c r="G1321">
        <v>0.2</v>
      </c>
      <c r="H1321">
        <v>0.3</v>
      </c>
      <c r="J1321" s="2" t="s">
        <v>69</v>
      </c>
    </row>
    <row r="1322" spans="2:10" x14ac:dyDescent="0.3">
      <c r="B1322" s="47" t="s">
        <v>172</v>
      </c>
      <c r="C1322" t="str">
        <f>VLOOKUP($B1322,'标准费用表-2024年&amp;2025年优化'!$D:$E,2,0)</f>
        <v>正大食品（利辛）有限公司</v>
      </c>
      <c r="D1322" t="s">
        <v>104</v>
      </c>
      <c r="E1322" s="36">
        <f t="shared" ref="E1322:F1322" si="528">E1298</f>
        <v>0.44265282413092</v>
      </c>
      <c r="F1322" s="36">
        <f t="shared" si="528"/>
        <v>0.36927187467606198</v>
      </c>
      <c r="G1322">
        <v>0.2</v>
      </c>
      <c r="H1322">
        <v>0.3</v>
      </c>
      <c r="J1322" s="2" t="s">
        <v>69</v>
      </c>
    </row>
    <row r="1323" spans="2:10" x14ac:dyDescent="0.3">
      <c r="B1323" s="47" t="s">
        <v>172</v>
      </c>
      <c r="C1323" t="str">
        <f>VLOOKUP($B1323,'标准费用表-2024年&amp;2025年优化'!$D:$E,2,0)</f>
        <v>正大食品（利辛）有限公司</v>
      </c>
      <c r="D1323" t="s">
        <v>105</v>
      </c>
      <c r="E1323" s="36">
        <f t="shared" ref="E1323:F1323" si="529">E1299</f>
        <v>0.309188673578142</v>
      </c>
      <c r="F1323" s="36">
        <f t="shared" si="529"/>
        <v>0.25793279720957302</v>
      </c>
      <c r="G1323">
        <v>0.2</v>
      </c>
      <c r="H1323">
        <v>0.3</v>
      </c>
      <c r="J1323" s="2" t="s">
        <v>69</v>
      </c>
    </row>
    <row r="1324" spans="2:10" x14ac:dyDescent="0.3">
      <c r="B1324" s="47" t="s">
        <v>172</v>
      </c>
      <c r="C1324" t="str">
        <f>VLOOKUP($B1324,'标准费用表-2024年&amp;2025年优化'!$D:$E,2,0)</f>
        <v>正大食品（利辛）有限公司</v>
      </c>
      <c r="D1324" t="s">
        <v>106</v>
      </c>
      <c r="E1324" s="36">
        <f t="shared" ref="E1324:F1324" si="530">E1300</f>
        <v>0.285425782220531</v>
      </c>
      <c r="F1324" s="36">
        <f t="shared" si="530"/>
        <v>0.23810920869734101</v>
      </c>
      <c r="G1324">
        <v>0.2</v>
      </c>
      <c r="H1324">
        <v>0.3</v>
      </c>
      <c r="J1324" s="2" t="s">
        <v>69</v>
      </c>
    </row>
    <row r="1325" spans="2:10" x14ac:dyDescent="0.3">
      <c r="B1325" s="47" t="s">
        <v>172</v>
      </c>
      <c r="C1325" t="str">
        <f>VLOOKUP($B1325,'标准费用表-2024年&amp;2025年优化'!$D:$E,2,0)</f>
        <v>正大食品（利辛）有限公司</v>
      </c>
      <c r="D1325" t="s">
        <v>107</v>
      </c>
      <c r="E1325" s="36">
        <f t="shared" ref="E1325:F1325" si="531">E1301</f>
        <v>0.39357334248766002</v>
      </c>
      <c r="F1325" s="36">
        <f t="shared" si="531"/>
        <v>0.328328563786497</v>
      </c>
      <c r="G1325">
        <v>0.2</v>
      </c>
      <c r="H1325">
        <v>0.3</v>
      </c>
      <c r="J1325" s="2" t="s">
        <v>69</v>
      </c>
    </row>
    <row r="1326" spans="2:10" x14ac:dyDescent="0.3">
      <c r="B1326" s="47" t="s">
        <v>172</v>
      </c>
      <c r="C1326" t="str">
        <f>VLOOKUP($B1326,'标准费用表-2024年&amp;2025年优化'!$D:$E,2,0)</f>
        <v>正大食品（利辛）有限公司</v>
      </c>
      <c r="D1326" t="s">
        <v>108</v>
      </c>
      <c r="E1326" s="36">
        <f t="shared" ref="E1326:F1326" si="532">E1302</f>
        <v>0.35860138375709399</v>
      </c>
      <c r="F1326" s="36">
        <f t="shared" si="532"/>
        <v>0.29915409554067801</v>
      </c>
      <c r="G1326">
        <v>0.2</v>
      </c>
      <c r="H1326">
        <v>0.3</v>
      </c>
      <c r="J1326" s="2" t="s">
        <v>69</v>
      </c>
    </row>
    <row r="1327" spans="2:10" x14ac:dyDescent="0.3">
      <c r="B1327" s="47" t="s">
        <v>172</v>
      </c>
      <c r="C1327" t="str">
        <f>VLOOKUP($B1327,'标准费用表-2024年&amp;2025年优化'!$D:$E,2,0)</f>
        <v>正大食品（利辛）有限公司</v>
      </c>
      <c r="D1327" t="s">
        <v>109</v>
      </c>
      <c r="E1327" s="36">
        <f t="shared" ref="E1327:F1327" si="533">E1303</f>
        <v>0.32249002456149001</v>
      </c>
      <c r="F1327" s="36">
        <f t="shared" si="533"/>
        <v>0.26902911139889002</v>
      </c>
      <c r="G1327">
        <v>0.2</v>
      </c>
      <c r="H1327">
        <v>0.3</v>
      </c>
      <c r="J1327" s="2" t="s">
        <v>69</v>
      </c>
    </row>
    <row r="1328" spans="2:10" x14ac:dyDescent="0.3">
      <c r="B1328" s="47" t="s">
        <v>172</v>
      </c>
      <c r="C1328" t="str">
        <f>VLOOKUP($B1328,'标准费用表-2024年&amp;2025年优化'!$D:$E,2,0)</f>
        <v>正大食品（利辛）有限公司</v>
      </c>
      <c r="D1328" t="s">
        <v>110</v>
      </c>
      <c r="E1328" s="36">
        <f t="shared" ref="E1328:F1328" si="534">E1304</f>
        <v>0.32391440130735799</v>
      </c>
      <c r="F1328" s="36">
        <f t="shared" si="534"/>
        <v>0.270217361518438</v>
      </c>
      <c r="G1328">
        <v>0.2</v>
      </c>
      <c r="H1328">
        <v>0.3</v>
      </c>
      <c r="J1328" s="2" t="s">
        <v>69</v>
      </c>
    </row>
    <row r="1329" spans="2:10" x14ac:dyDescent="0.3">
      <c r="B1329" s="47" t="s">
        <v>172</v>
      </c>
      <c r="C1329" t="str">
        <f>VLOOKUP($B1329,'标准费用表-2024年&amp;2025年优化'!$D:$E,2,0)</f>
        <v>正大食品（利辛）有限公司</v>
      </c>
      <c r="D1329" t="s">
        <v>111</v>
      </c>
      <c r="E1329" s="36">
        <f t="shared" ref="E1329:F1329" si="535">E1305</f>
        <v>0.40273081455460902</v>
      </c>
      <c r="F1329" s="36">
        <f t="shared" si="535"/>
        <v>0.33596795224876502</v>
      </c>
      <c r="G1329">
        <v>0.2</v>
      </c>
      <c r="H1329">
        <v>0.3</v>
      </c>
      <c r="J1329" s="2" t="s">
        <v>69</v>
      </c>
    </row>
    <row r="1330" spans="2:10" x14ac:dyDescent="0.3">
      <c r="B1330" s="47" t="s">
        <v>172</v>
      </c>
      <c r="C1330" t="str">
        <f>VLOOKUP($B1330,'标准费用表-2024年&amp;2025年优化'!$D:$E,2,0)</f>
        <v>正大食品（利辛）有限公司</v>
      </c>
      <c r="D1330" t="s">
        <v>112</v>
      </c>
      <c r="E1330" s="36">
        <f t="shared" ref="E1330:F1330" si="536">E1306</f>
        <v>0.352154544345398</v>
      </c>
      <c r="F1330" s="36">
        <f t="shared" si="536"/>
        <v>0.29377598351808598</v>
      </c>
      <c r="G1330">
        <v>0.2</v>
      </c>
      <c r="H1330">
        <v>0.3</v>
      </c>
      <c r="J1330" s="2" t="s">
        <v>69</v>
      </c>
    </row>
    <row r="1331" spans="2:10" x14ac:dyDescent="0.3">
      <c r="B1331" s="47" t="s">
        <v>172</v>
      </c>
      <c r="C1331" t="str">
        <f>VLOOKUP($B1331,'标准费用表-2024年&amp;2025年优化'!$D:$E,2,0)</f>
        <v>正大食品（利辛）有限公司</v>
      </c>
      <c r="D1331" t="s">
        <v>113</v>
      </c>
      <c r="E1331" s="36">
        <f t="shared" ref="E1331:F1331" si="537">E1307</f>
        <v>0.25506298683591699</v>
      </c>
      <c r="F1331" s="36">
        <f t="shared" si="537"/>
        <v>0.21277981789520301</v>
      </c>
      <c r="G1331">
        <v>0.2</v>
      </c>
      <c r="H1331">
        <v>0.3</v>
      </c>
      <c r="J1331" s="2" t="s">
        <v>69</v>
      </c>
    </row>
    <row r="1332" spans="2:10" x14ac:dyDescent="0.3">
      <c r="B1332" s="47" t="s">
        <v>172</v>
      </c>
      <c r="C1332" t="str">
        <f>VLOOKUP($B1332,'标准费用表-2024年&amp;2025年优化'!$D:$E,2,0)</f>
        <v>正大食品（利辛）有限公司</v>
      </c>
      <c r="D1332" t="s">
        <v>114</v>
      </c>
      <c r="E1332" s="36">
        <f t="shared" ref="E1332:F1332" si="538">E1308</f>
        <v>0.963362767424502</v>
      </c>
      <c r="F1332" s="36">
        <f t="shared" si="538"/>
        <v>0.803660918279264</v>
      </c>
      <c r="G1332">
        <v>0.2</v>
      </c>
      <c r="H1332">
        <v>0.3</v>
      </c>
      <c r="J1332" s="2" t="s">
        <v>69</v>
      </c>
    </row>
    <row r="1333" spans="2:10" x14ac:dyDescent="0.3">
      <c r="B1333" s="47" t="s">
        <v>172</v>
      </c>
      <c r="C1333" t="str">
        <f>VLOOKUP($B1333,'标准费用表-2024年&amp;2025年优化'!$D:$E,2,0)</f>
        <v>正大食品（利辛）有限公司</v>
      </c>
      <c r="D1333" t="s">
        <v>115</v>
      </c>
      <c r="E1333" s="36">
        <f t="shared" ref="E1333:F1333" si="539">E1309</f>
        <v>0.41433734694538699</v>
      </c>
      <c r="F1333" s="36">
        <f t="shared" si="539"/>
        <v>0.345650407077435</v>
      </c>
      <c r="G1333">
        <v>0.2</v>
      </c>
      <c r="H1333">
        <v>0.3</v>
      </c>
      <c r="J1333" s="2" t="s">
        <v>69</v>
      </c>
    </row>
    <row r="1334" spans="2:10" x14ac:dyDescent="0.3">
      <c r="B1334" s="47" t="s">
        <v>172</v>
      </c>
      <c r="C1334" t="str">
        <f>VLOOKUP($B1334,'标准费用表-2024年&amp;2025年优化'!$D:$E,2,0)</f>
        <v>正大食品（利辛）有限公司</v>
      </c>
      <c r="D1334" t="s">
        <v>116</v>
      </c>
      <c r="E1334" s="36">
        <f t="shared" ref="E1334:F1334" si="540">E1310</f>
        <v>0.26182319715994101</v>
      </c>
      <c r="F1334" s="36">
        <f t="shared" si="540"/>
        <v>0.21841935164144799</v>
      </c>
      <c r="G1334">
        <v>0.2</v>
      </c>
      <c r="H1334">
        <v>0.3</v>
      </c>
      <c r="J1334" s="2" t="s">
        <v>69</v>
      </c>
    </row>
    <row r="1335" spans="2:10" x14ac:dyDescent="0.3">
      <c r="B1335" s="47" t="s">
        <v>172</v>
      </c>
      <c r="C1335" t="str">
        <f>VLOOKUP($B1335,'标准费用表-2024年&amp;2025年优化'!$D:$E,2,0)</f>
        <v>正大食品（利辛）有限公司</v>
      </c>
      <c r="D1335" t="s">
        <v>117</v>
      </c>
      <c r="E1335" s="36">
        <f t="shared" ref="E1335:F1335" si="541">E1311</f>
        <v>0.21709208777675301</v>
      </c>
      <c r="F1335" s="36">
        <f t="shared" si="541"/>
        <v>0.181103559856543</v>
      </c>
      <c r="G1335">
        <v>0.2</v>
      </c>
      <c r="H1335">
        <v>0.3</v>
      </c>
      <c r="J1335" s="2" t="s">
        <v>69</v>
      </c>
    </row>
    <row r="1336" spans="2:10" x14ac:dyDescent="0.3">
      <c r="B1336" s="47" t="s">
        <v>172</v>
      </c>
      <c r="C1336" t="str">
        <f>VLOOKUP($B1336,'标准费用表-2024年&amp;2025年优化'!$D:$E,2,0)</f>
        <v>正大食品（利辛）有限公司</v>
      </c>
      <c r="D1336" t="s">
        <v>118</v>
      </c>
      <c r="E1336" s="36">
        <f t="shared" ref="E1336:F1336" si="542">E1312</f>
        <v>8.6164558080379094E-2</v>
      </c>
      <c r="F1336" s="36">
        <f t="shared" si="542"/>
        <v>7.1880593906626405E-2</v>
      </c>
      <c r="G1336">
        <v>0.2</v>
      </c>
      <c r="H1336">
        <v>0.3</v>
      </c>
      <c r="J1336" s="2" t="s">
        <v>69</v>
      </c>
    </row>
    <row r="1337" spans="2:10" x14ac:dyDescent="0.3">
      <c r="B1337" s="47" t="s">
        <v>172</v>
      </c>
      <c r="C1337" t="str">
        <f>VLOOKUP($B1337,'标准费用表-2024年&amp;2025年优化'!$D:$E,2,0)</f>
        <v>正大食品（利辛）有限公司</v>
      </c>
      <c r="D1337" t="s">
        <v>119</v>
      </c>
      <c r="E1337" s="36">
        <f>E1265</f>
        <v>0.31163475113981298</v>
      </c>
      <c r="F1337" s="36">
        <f t="shared" ref="F1337" si="543">F1313</f>
        <v>0.68127338150453598</v>
      </c>
      <c r="G1337">
        <v>0.2</v>
      </c>
      <c r="H1337">
        <v>0.3</v>
      </c>
      <c r="J1337" s="2" t="s">
        <v>69</v>
      </c>
    </row>
    <row r="1338" spans="2:10" x14ac:dyDescent="0.3">
      <c r="B1338" s="47" t="s">
        <v>172</v>
      </c>
      <c r="C1338" t="str">
        <f>VLOOKUP($B1338,'标准费用表-2024年&amp;2025年优化'!$D:$E,2,0)</f>
        <v>正大食品（利辛）有限公司</v>
      </c>
      <c r="D1338" t="s">
        <v>120</v>
      </c>
      <c r="E1338" s="36">
        <f t="shared" ref="E1338:E1360" si="544">E1266</f>
        <v>0.83288239301128897</v>
      </c>
      <c r="F1338" s="36">
        <f t="shared" ref="F1338" si="545">F1314</f>
        <v>0.45529479812552098</v>
      </c>
      <c r="G1338">
        <v>0.2</v>
      </c>
      <c r="H1338">
        <v>0.3</v>
      </c>
      <c r="J1338" s="2" t="s">
        <v>69</v>
      </c>
    </row>
    <row r="1339" spans="2:10" x14ac:dyDescent="0.3">
      <c r="B1339" s="47" t="s">
        <v>172</v>
      </c>
      <c r="C1339" t="str">
        <f>VLOOKUP($B1339,'标准费用表-2024年&amp;2025年优化'!$D:$E,2,0)</f>
        <v>正大食品（利辛）有限公司</v>
      </c>
      <c r="D1339" t="s">
        <v>121</v>
      </c>
      <c r="E1339" s="36">
        <f t="shared" si="544"/>
        <v>1.54157700287031</v>
      </c>
      <c r="F1339" s="36">
        <f t="shared" ref="F1339" si="546">F1315</f>
        <v>1.2049743286522701</v>
      </c>
      <c r="G1339">
        <v>0.2</v>
      </c>
      <c r="H1339">
        <v>0.3</v>
      </c>
      <c r="J1339" s="2" t="s">
        <v>69</v>
      </c>
    </row>
    <row r="1340" spans="2:10" x14ac:dyDescent="0.3">
      <c r="B1340" s="47" t="s">
        <v>172</v>
      </c>
      <c r="C1340" t="str">
        <f>VLOOKUP($B1340,'标准费用表-2024年&amp;2025年优化'!$D:$E,2,0)</f>
        <v>正大食品（利辛）有限公司</v>
      </c>
      <c r="D1340" t="s">
        <v>122</v>
      </c>
      <c r="E1340" s="36">
        <f t="shared" si="544"/>
        <v>0.32397026612119201</v>
      </c>
      <c r="F1340" s="36">
        <f t="shared" ref="F1340" si="547">F1316</f>
        <v>0.70176535982395705</v>
      </c>
      <c r="G1340">
        <v>0.2</v>
      </c>
      <c r="H1340">
        <v>0.3</v>
      </c>
      <c r="J1340" s="2" t="s">
        <v>69</v>
      </c>
    </row>
    <row r="1341" spans="2:10" x14ac:dyDescent="0.3">
      <c r="B1341" s="47" t="s">
        <v>172</v>
      </c>
      <c r="C1341" t="str">
        <f>VLOOKUP($B1341,'标准费用表-2024年&amp;2025年优化'!$D:$E,2,0)</f>
        <v>正大食品（利辛）有限公司</v>
      </c>
      <c r="D1341" t="s">
        <v>123</v>
      </c>
      <c r="E1341" s="36">
        <f t="shared" si="544"/>
        <v>0.14302462223749801</v>
      </c>
      <c r="F1341" s="36">
        <f t="shared" ref="F1341" si="548">F1317</f>
        <v>0.42157583379939501</v>
      </c>
      <c r="G1341">
        <v>0.2</v>
      </c>
      <c r="H1341">
        <v>0.3</v>
      </c>
      <c r="J1341" s="2" t="s">
        <v>69</v>
      </c>
    </row>
    <row r="1342" spans="2:10" x14ac:dyDescent="0.3">
      <c r="B1342" s="47" t="s">
        <v>172</v>
      </c>
      <c r="C1342" t="str">
        <f>VLOOKUP($B1342,'标准费用表-2024年&amp;2025年优化'!$D:$E,2,0)</f>
        <v>正大食品（利辛）有限公司</v>
      </c>
      <c r="D1342" t="s">
        <v>124</v>
      </c>
      <c r="E1342" s="36">
        <f t="shared" si="544"/>
        <v>0.44264223084898402</v>
      </c>
      <c r="F1342" s="36">
        <f t="shared" ref="F1342" si="549">F1318</f>
        <v>0.569252405707808</v>
      </c>
      <c r="G1342">
        <v>0.2</v>
      </c>
      <c r="H1342">
        <v>0.3</v>
      </c>
      <c r="J1342" s="2" t="s">
        <v>69</v>
      </c>
    </row>
    <row r="1343" spans="2:10" x14ac:dyDescent="0.3">
      <c r="B1343" s="47" t="s">
        <v>172</v>
      </c>
      <c r="C1343" t="str">
        <f>VLOOKUP($B1343,'标准费用表-2024年&amp;2025年优化'!$D:$E,2,0)</f>
        <v>正大食品（利辛）有限公司</v>
      </c>
      <c r="D1343" t="s">
        <v>125</v>
      </c>
      <c r="E1343" s="36">
        <f t="shared" si="544"/>
        <v>0.73121033597750396</v>
      </c>
      <c r="F1343" s="36">
        <f t="shared" ref="F1343" si="550">F1319</f>
        <v>0.42624883010757503</v>
      </c>
      <c r="G1343">
        <v>0.2</v>
      </c>
      <c r="H1343">
        <v>0.3</v>
      </c>
      <c r="J1343" s="2" t="s">
        <v>69</v>
      </c>
    </row>
    <row r="1344" spans="2:10" x14ac:dyDescent="0.3">
      <c r="B1344" s="47" t="s">
        <v>172</v>
      </c>
      <c r="C1344" t="str">
        <f>VLOOKUP($B1344,'标准费用表-2024年&amp;2025年优化'!$D:$E,2,0)</f>
        <v>正大食品（利辛）有限公司</v>
      </c>
      <c r="D1344" t="s">
        <v>126</v>
      </c>
      <c r="E1344" s="36">
        <f t="shared" si="544"/>
        <v>1.06072653969655</v>
      </c>
      <c r="F1344" s="36">
        <f t="shared" ref="F1344" si="551">F1320</f>
        <v>0.43433645920005998</v>
      </c>
      <c r="G1344">
        <v>0.2</v>
      </c>
      <c r="H1344">
        <v>0.3</v>
      </c>
      <c r="J1344" s="2" t="s">
        <v>69</v>
      </c>
    </row>
    <row r="1345" spans="2:10" x14ac:dyDescent="0.3">
      <c r="B1345" s="47" t="s">
        <v>172</v>
      </c>
      <c r="C1345" t="str">
        <f>VLOOKUP($B1345,'标准费用表-2024年&amp;2025年优化'!$D:$E,2,0)</f>
        <v>正大食品（利辛）有限公司</v>
      </c>
      <c r="D1345" t="s">
        <v>127</v>
      </c>
      <c r="E1345" s="36">
        <f t="shared" si="544"/>
        <v>0.61972194000632796</v>
      </c>
      <c r="F1345" s="36">
        <f t="shared" ref="F1345" si="552">F1321</f>
        <v>0.430588123620674</v>
      </c>
      <c r="G1345">
        <v>0.2</v>
      </c>
      <c r="H1345">
        <v>0.3</v>
      </c>
      <c r="J1345" s="2" t="s">
        <v>69</v>
      </c>
    </row>
    <row r="1346" spans="2:10" x14ac:dyDescent="0.3">
      <c r="B1346" s="47" t="s">
        <v>172</v>
      </c>
      <c r="C1346" t="str">
        <f>VLOOKUP($B1346,'标准费用表-2024年&amp;2025年优化'!$D:$E,2,0)</f>
        <v>正大食品（利辛）有限公司</v>
      </c>
      <c r="D1346" t="s">
        <v>128</v>
      </c>
      <c r="E1346" s="36">
        <f t="shared" si="544"/>
        <v>0.569127861268794</v>
      </c>
      <c r="F1346" s="36">
        <f t="shared" ref="F1346" si="553">F1322</f>
        <v>0.36927187467606198</v>
      </c>
      <c r="G1346">
        <v>0.2</v>
      </c>
      <c r="H1346">
        <v>0.3</v>
      </c>
      <c r="J1346" s="2" t="s">
        <v>69</v>
      </c>
    </row>
    <row r="1347" spans="2:10" x14ac:dyDescent="0.3">
      <c r="B1347" s="47" t="s">
        <v>172</v>
      </c>
      <c r="C1347" t="str">
        <f>VLOOKUP($B1347,'标准费用表-2024年&amp;2025年优化'!$D:$E,2,0)</f>
        <v>正大食品（利辛）有限公司</v>
      </c>
      <c r="D1347" t="s">
        <v>129</v>
      </c>
      <c r="E1347" s="36">
        <f t="shared" si="544"/>
        <v>0.72705614819866005</v>
      </c>
      <c r="F1347" s="36">
        <f t="shared" ref="F1347" si="554">F1323</f>
        <v>0.25793279720957302</v>
      </c>
      <c r="G1347">
        <v>0.2</v>
      </c>
      <c r="H1347">
        <v>0.3</v>
      </c>
      <c r="J1347" s="2" t="s">
        <v>69</v>
      </c>
    </row>
    <row r="1348" spans="2:10" x14ac:dyDescent="0.3">
      <c r="B1348" s="47" t="s">
        <v>172</v>
      </c>
      <c r="C1348" t="str">
        <f>VLOOKUP($B1348,'标准费用表-2024年&amp;2025年优化'!$D:$E,2,0)</f>
        <v>正大食品（利辛）有限公司</v>
      </c>
      <c r="D1348" t="s">
        <v>130</v>
      </c>
      <c r="E1348" s="36">
        <f t="shared" si="544"/>
        <v>1.2645617906312201</v>
      </c>
      <c r="F1348" s="36">
        <f t="shared" ref="F1348" si="555">F1324</f>
        <v>0.23810920869734101</v>
      </c>
      <c r="G1348">
        <v>0.2</v>
      </c>
      <c r="H1348">
        <v>0.3</v>
      </c>
      <c r="J1348" s="2" t="s">
        <v>69</v>
      </c>
    </row>
    <row r="1349" spans="2:10" x14ac:dyDescent="0.3">
      <c r="B1349" s="47" t="s">
        <v>172</v>
      </c>
      <c r="C1349" t="str">
        <f>VLOOKUP($B1349,'标准费用表-2024年&amp;2025年优化'!$D:$E,2,0)</f>
        <v>正大食品（利辛）有限公司</v>
      </c>
      <c r="D1349" t="s">
        <v>131</v>
      </c>
      <c r="E1349" s="36">
        <f t="shared" si="544"/>
        <v>0.21529862483950099</v>
      </c>
      <c r="F1349" s="36">
        <f t="shared" ref="F1349" si="556">F1325</f>
        <v>0.328328563786497</v>
      </c>
      <c r="G1349">
        <v>0.2</v>
      </c>
      <c r="H1349">
        <v>0.3</v>
      </c>
      <c r="J1349" s="2" t="s">
        <v>69</v>
      </c>
    </row>
    <row r="1350" spans="2:10" x14ac:dyDescent="0.3">
      <c r="B1350" s="47" t="s">
        <v>172</v>
      </c>
      <c r="C1350" t="str">
        <f>VLOOKUP($B1350,'标准费用表-2024年&amp;2025年优化'!$D:$E,2,0)</f>
        <v>正大食品（利辛）有限公司</v>
      </c>
      <c r="D1350" t="s">
        <v>132</v>
      </c>
      <c r="E1350" s="36">
        <f t="shared" si="544"/>
        <v>4.9847508899533897E-2</v>
      </c>
      <c r="F1350" s="36">
        <f t="shared" ref="F1350" si="557">F1326</f>
        <v>0.29915409554067801</v>
      </c>
      <c r="G1350">
        <v>0.2</v>
      </c>
      <c r="H1350">
        <v>0.3</v>
      </c>
      <c r="J1350" s="2" t="s">
        <v>69</v>
      </c>
    </row>
    <row r="1351" spans="2:10" x14ac:dyDescent="0.3">
      <c r="B1351" s="47" t="s">
        <v>172</v>
      </c>
      <c r="C1351" t="str">
        <f>VLOOKUP($B1351,'标准费用表-2024年&amp;2025年优化'!$D:$E,2,0)</f>
        <v>正大食品（利辛）有限公司</v>
      </c>
      <c r="D1351" t="s">
        <v>133</v>
      </c>
      <c r="E1351" s="36">
        <f t="shared" si="544"/>
        <v>0.267437245941263</v>
      </c>
      <c r="F1351" s="36">
        <f t="shared" ref="F1351" si="558">F1327</f>
        <v>0.26902911139889002</v>
      </c>
      <c r="G1351">
        <v>0.2</v>
      </c>
      <c r="H1351">
        <v>0.3</v>
      </c>
      <c r="J1351" s="2" t="s">
        <v>69</v>
      </c>
    </row>
    <row r="1352" spans="2:10" x14ac:dyDescent="0.3">
      <c r="B1352" s="47" t="s">
        <v>172</v>
      </c>
      <c r="C1352" t="str">
        <f>VLOOKUP($B1352,'标准费用表-2024年&amp;2025年优化'!$D:$E,2,0)</f>
        <v>正大食品（利辛）有限公司</v>
      </c>
      <c r="D1352" t="s">
        <v>134</v>
      </c>
      <c r="E1352" s="36">
        <f t="shared" si="544"/>
        <v>0.17492598088188099</v>
      </c>
      <c r="F1352" s="36">
        <f t="shared" ref="F1352" si="559">F1328</f>
        <v>0.270217361518438</v>
      </c>
      <c r="G1352">
        <v>0.2</v>
      </c>
      <c r="H1352">
        <v>0.3</v>
      </c>
      <c r="J1352" s="2" t="s">
        <v>69</v>
      </c>
    </row>
    <row r="1353" spans="2:10" x14ac:dyDescent="0.3">
      <c r="B1353" s="47" t="s">
        <v>172</v>
      </c>
      <c r="C1353" t="str">
        <f>VLOOKUP($B1353,'标准费用表-2024年&amp;2025年优化'!$D:$E,2,0)</f>
        <v>正大食品（利辛）有限公司</v>
      </c>
      <c r="D1353" t="s">
        <v>135</v>
      </c>
      <c r="E1353" s="36">
        <f t="shared" si="544"/>
        <v>0.11594317807209099</v>
      </c>
      <c r="F1353" s="36">
        <f t="shared" ref="F1353" si="560">F1329</f>
        <v>0.33596795224876502</v>
      </c>
      <c r="G1353">
        <v>0.2</v>
      </c>
      <c r="H1353">
        <v>0.3</v>
      </c>
      <c r="J1353" s="2" t="s">
        <v>69</v>
      </c>
    </row>
    <row r="1354" spans="2:10" x14ac:dyDescent="0.3">
      <c r="B1354" s="47" t="s">
        <v>172</v>
      </c>
      <c r="C1354" t="str">
        <f>VLOOKUP($B1354,'标准费用表-2024年&amp;2025年优化'!$D:$E,2,0)</f>
        <v>正大食品（利辛）有限公司</v>
      </c>
      <c r="D1354" t="s">
        <v>136</v>
      </c>
      <c r="E1354" s="36">
        <f t="shared" si="544"/>
        <v>2.0017845950087501E-2</v>
      </c>
      <c r="F1354" s="36">
        <f t="shared" ref="F1354" si="561">F1330</f>
        <v>0.29377598351808598</v>
      </c>
      <c r="G1354">
        <v>0.2</v>
      </c>
      <c r="H1354">
        <v>0.3</v>
      </c>
      <c r="J1354" s="2" t="s">
        <v>69</v>
      </c>
    </row>
    <row r="1355" spans="2:10" x14ac:dyDescent="0.3">
      <c r="B1355" s="47" t="s">
        <v>172</v>
      </c>
      <c r="C1355" t="str">
        <f>VLOOKUP($B1355,'标准费用表-2024年&amp;2025年优化'!$D:$E,2,0)</f>
        <v>正大食品（利辛）有限公司</v>
      </c>
      <c r="D1355" t="s">
        <v>137</v>
      </c>
      <c r="E1355" s="36">
        <f t="shared" si="544"/>
        <v>0.104757537600951</v>
      </c>
      <c r="F1355" s="36">
        <f t="shared" ref="F1355" si="562">F1331</f>
        <v>0.21277981789520301</v>
      </c>
      <c r="G1355">
        <v>0.2</v>
      </c>
      <c r="H1355">
        <v>0.3</v>
      </c>
      <c r="J1355" s="2" t="s">
        <v>69</v>
      </c>
    </row>
    <row r="1356" spans="2:10" x14ac:dyDescent="0.3">
      <c r="B1356" s="47" t="s">
        <v>172</v>
      </c>
      <c r="C1356" t="str">
        <f>VLOOKUP($B1356,'标准费用表-2024年&amp;2025年优化'!$D:$E,2,0)</f>
        <v>正大食品（利辛）有限公司</v>
      </c>
      <c r="D1356" t="s">
        <v>138</v>
      </c>
      <c r="E1356" s="36">
        <f t="shared" si="544"/>
        <v>9.6128943981422701E-2</v>
      </c>
      <c r="F1356" s="36">
        <f t="shared" ref="F1356" si="563">F1332</f>
        <v>0.803660918279264</v>
      </c>
      <c r="G1356">
        <v>0.2</v>
      </c>
      <c r="H1356">
        <v>0.3</v>
      </c>
      <c r="J1356" s="2" t="s">
        <v>69</v>
      </c>
    </row>
    <row r="1357" spans="2:10" x14ac:dyDescent="0.3">
      <c r="B1357" s="47" t="s">
        <v>172</v>
      </c>
      <c r="C1357" t="str">
        <f>VLOOKUP($B1357,'标准费用表-2024年&amp;2025年优化'!$D:$E,2,0)</f>
        <v>正大食品（利辛）有限公司</v>
      </c>
      <c r="D1357" t="s">
        <v>139</v>
      </c>
      <c r="E1357" s="36">
        <f t="shared" si="544"/>
        <v>0.33630816897667898</v>
      </c>
      <c r="F1357" s="36">
        <f t="shared" ref="F1357" si="564">F1333</f>
        <v>0.345650407077435</v>
      </c>
      <c r="G1357">
        <v>0.2</v>
      </c>
      <c r="H1357">
        <v>0.3</v>
      </c>
      <c r="J1357" s="2" t="s">
        <v>69</v>
      </c>
    </row>
    <row r="1358" spans="2:10" x14ac:dyDescent="0.3">
      <c r="B1358" s="47" t="s">
        <v>172</v>
      </c>
      <c r="C1358" t="str">
        <f>VLOOKUP($B1358,'标准费用表-2024年&amp;2025年优化'!$D:$E,2,0)</f>
        <v>正大食品（利辛）有限公司</v>
      </c>
      <c r="D1358" t="s">
        <v>140</v>
      </c>
      <c r="E1358" s="36">
        <f t="shared" si="544"/>
        <v>0.39390767111063901</v>
      </c>
      <c r="F1358" s="36">
        <f t="shared" ref="F1358" si="565">F1334</f>
        <v>0.21841935164144799</v>
      </c>
      <c r="G1358">
        <v>0.2</v>
      </c>
      <c r="H1358">
        <v>0.3</v>
      </c>
      <c r="J1358" s="2" t="s">
        <v>69</v>
      </c>
    </row>
    <row r="1359" spans="2:10" x14ac:dyDescent="0.3">
      <c r="B1359" s="47" t="s">
        <v>172</v>
      </c>
      <c r="C1359" t="str">
        <f>VLOOKUP($B1359,'标准费用表-2024年&amp;2025年优化'!$D:$E,2,0)</f>
        <v>正大食品（利辛）有限公司</v>
      </c>
      <c r="D1359" t="s">
        <v>141</v>
      </c>
      <c r="E1359" s="36">
        <f t="shared" si="544"/>
        <v>0.11263470601183</v>
      </c>
      <c r="F1359" s="36">
        <f t="shared" ref="F1359" si="566">F1335</f>
        <v>0.181103559856543</v>
      </c>
      <c r="G1359">
        <v>0.2</v>
      </c>
      <c r="H1359">
        <v>0.3</v>
      </c>
      <c r="J1359" s="2" t="s">
        <v>69</v>
      </c>
    </row>
    <row r="1360" spans="2:10" x14ac:dyDescent="0.3">
      <c r="B1360" s="47" t="s">
        <v>172</v>
      </c>
      <c r="C1360" t="str">
        <f>VLOOKUP($B1360,'标准费用表-2024年&amp;2025年优化'!$D:$E,2,0)</f>
        <v>正大食品（利辛）有限公司</v>
      </c>
      <c r="D1360" t="s">
        <v>142</v>
      </c>
      <c r="E1360" s="36">
        <f t="shared" si="544"/>
        <v>3.3511861380446699E-2</v>
      </c>
      <c r="F1360" s="36">
        <f t="shared" ref="F1360" si="567">F1336</f>
        <v>7.1880593906626405E-2</v>
      </c>
      <c r="G1360">
        <v>0.2</v>
      </c>
      <c r="H1360">
        <v>0.3</v>
      </c>
      <c r="J1360" s="2" t="s">
        <v>69</v>
      </c>
    </row>
    <row r="1361" spans="2:10" x14ac:dyDescent="0.3">
      <c r="B1361" s="47" t="s">
        <v>174</v>
      </c>
      <c r="C1361" t="str">
        <f>VLOOKUP($B1361,'标准费用表-2024年&amp;2025年优化'!$D:$E,2,0)</f>
        <v>昆明正大农牧食品有限公司</v>
      </c>
      <c r="D1361" t="s">
        <v>41</v>
      </c>
      <c r="E1361" s="46">
        <f>IFERROR(VLOOKUP($B1361,'标准费用表-2024年&amp;2025年优化'!$D:$K,8,0)*VLOOKUP('5.成本表'!$D1361,系数辅助表!$C:$G,5,0)/VLOOKUP($D1361,系数辅助表!$C:$E,3,0),0)</f>
        <v>0.64587044721178699</v>
      </c>
      <c r="I1361" s="36">
        <f>VLOOKUP($D1361,系数辅助表!$C:$F,4,0)</f>
        <v>1.33</v>
      </c>
      <c r="J1361" s="2" t="s">
        <v>41</v>
      </c>
    </row>
    <row r="1362" spans="2:10" x14ac:dyDescent="0.3">
      <c r="B1362" s="47" t="s">
        <v>174</v>
      </c>
      <c r="C1362" t="str">
        <f>VLOOKUP($B1362,'标准费用表-2024年&amp;2025年优化'!$D:$E,2,0)</f>
        <v>昆明正大农牧食品有限公司</v>
      </c>
      <c r="D1362" t="s">
        <v>44</v>
      </c>
      <c r="E1362" s="46">
        <f>IFERROR(VLOOKUP($B1362,'标准费用表-2024年&amp;2025年优化'!$D:$K,8,0)*系数辅助表!$J$6*VLOOKUP('5.成本表'!$D1362,系数辅助表!$C:$G,5,0)/VLOOKUP($D1362,系数辅助表!$C:$E,3,0),0)</f>
        <v>0.36940006434497802</v>
      </c>
      <c r="I1362" s="36">
        <f>VLOOKUP($D1362,系数辅助表!$C:$F,4,0)</f>
        <v>0.789027855994753</v>
      </c>
      <c r="J1362" s="2" t="s">
        <v>200</v>
      </c>
    </row>
    <row r="1363" spans="2:10" x14ac:dyDescent="0.3">
      <c r="B1363" s="47" t="s">
        <v>174</v>
      </c>
      <c r="C1363" t="str">
        <f>VLOOKUP($B1363,'标准费用表-2024年&amp;2025年优化'!$D:$E,2,0)</f>
        <v>昆明正大农牧食品有限公司</v>
      </c>
      <c r="D1363" t="s">
        <v>45</v>
      </c>
      <c r="E1363" s="46">
        <f>IFERROR(VLOOKUP($B1363,'标准费用表-2024年&amp;2025年优化'!$D:$K,8,0)*系数辅助表!$J$6*VLOOKUP('5.成本表'!$D1363,系数辅助表!$C:$G,5,0)/VLOOKUP($D1363,系数辅助表!$C:$E,3,0),0)</f>
        <v>0.98726733281468104</v>
      </c>
      <c r="I1363" s="36">
        <f>VLOOKUP($D1363,系数辅助表!$C:$F,4,0)</f>
        <v>2.1087744754070901</v>
      </c>
      <c r="J1363" s="2" t="s">
        <v>200</v>
      </c>
    </row>
    <row r="1364" spans="2:10" x14ac:dyDescent="0.3">
      <c r="B1364" s="47" t="s">
        <v>174</v>
      </c>
      <c r="C1364" t="str">
        <f>VLOOKUP($B1364,'标准费用表-2024年&amp;2025年优化'!$D:$E,2,0)</f>
        <v>昆明正大农牧食品有限公司</v>
      </c>
      <c r="D1364" t="s">
        <v>46</v>
      </c>
      <c r="E1364" s="46">
        <f>IFERROR(VLOOKUP($B1364,'标准费用表-2024年&amp;2025年优化'!$D:$K,8,0)*系数辅助表!$J$6*VLOOKUP('5.成本表'!$D1364,系数辅助表!$C:$G,5,0)/VLOOKUP($D1364,系数辅助表!$C:$E,3,0),0)</f>
        <v>1.82732715773906</v>
      </c>
      <c r="I1364" s="36">
        <f>VLOOKUP($D1364,系数辅助表!$C:$F,4,0)</f>
        <v>3.9031179705625099</v>
      </c>
      <c r="J1364" s="2" t="s">
        <v>200</v>
      </c>
    </row>
    <row r="1365" spans="2:10" x14ac:dyDescent="0.3">
      <c r="B1365" s="47" t="s">
        <v>174</v>
      </c>
      <c r="C1365" t="str">
        <f>VLOOKUP($B1365,'标准费用表-2024年&amp;2025年优化'!$D:$E,2,0)</f>
        <v>昆明正大农牧食品有限公司</v>
      </c>
      <c r="D1365" t="s">
        <v>47</v>
      </c>
      <c r="E1365" s="46">
        <f>IFERROR(VLOOKUP($B1365,'标准费用表-2024年&amp;2025年优化'!$D:$K,8,0)*系数辅助表!$J$6*VLOOKUP('5.成本表'!$D1365,系数辅助表!$C:$G,5,0)/VLOOKUP($D1365,系数辅助表!$C:$E,3,0),0)</f>
        <v>0.38402211792271101</v>
      </c>
      <c r="I1365" s="36">
        <f>VLOOKUP($D1365,系数辅助表!$C:$F,4,0)</f>
        <v>0.82026013963048305</v>
      </c>
      <c r="J1365" s="2" t="s">
        <v>200</v>
      </c>
    </row>
    <row r="1366" spans="2:10" x14ac:dyDescent="0.3">
      <c r="B1366" s="47" t="s">
        <v>174</v>
      </c>
      <c r="C1366" t="str">
        <f>VLOOKUP($B1366,'标准费用表-2024年&amp;2025年优化'!$D:$E,2,0)</f>
        <v>昆明正大农牧食品有限公司</v>
      </c>
      <c r="D1366" t="s">
        <v>48</v>
      </c>
      <c r="E1366" s="46">
        <f>IFERROR(VLOOKUP($B1366,'标准费用表-2024年&amp;2025年优化'!$D:$K,8,0)*系数辅助表!$J$6*VLOOKUP('5.成本表'!$D1366,系数辅助表!$C:$G,5,0)/VLOOKUP($D1366,系数辅助表!$C:$E,3,0),0)</f>
        <v>0.16953598552218199</v>
      </c>
      <c r="I1366" s="36">
        <f>VLOOKUP($D1366,系数辅助表!$C:$F,4,0)</f>
        <v>0.36212396283071502</v>
      </c>
      <c r="J1366" s="2" t="s">
        <v>200</v>
      </c>
    </row>
    <row r="1367" spans="2:10" x14ac:dyDescent="0.3">
      <c r="B1367" s="47" t="s">
        <v>174</v>
      </c>
      <c r="C1367" t="str">
        <f>VLOOKUP($B1367,'标准费用表-2024年&amp;2025年优化'!$D:$E,2,0)</f>
        <v>昆明正大农牧食品有限公司</v>
      </c>
      <c r="D1367" t="s">
        <v>49</v>
      </c>
      <c r="E1367" s="46">
        <f>IFERROR(VLOOKUP($B1367,'标准费用表-2024年&amp;2025年优化'!$D:$K,8,0)*系数辅助表!$J$6*VLOOKUP('5.成本表'!$D1367,系数辅助表!$C:$G,5,0)/VLOOKUP($D1367,系数辅助表!$C:$E,3,0),0)</f>
        <v>0.52469138297115303</v>
      </c>
      <c r="I1367" s="36">
        <f>VLOOKUP($D1367,系数辅助表!$C:$F,4,0)</f>
        <v>1.1207256222295201</v>
      </c>
      <c r="J1367" s="2" t="s">
        <v>200</v>
      </c>
    </row>
    <row r="1368" spans="2:10" x14ac:dyDescent="0.3">
      <c r="B1368" s="47" t="s">
        <v>174</v>
      </c>
      <c r="C1368" t="str">
        <f>VLOOKUP($B1368,'标准费用表-2024年&amp;2025年优化'!$D:$E,2,0)</f>
        <v>昆明正大农牧食品有限公司</v>
      </c>
      <c r="D1368" t="s">
        <v>50</v>
      </c>
      <c r="E1368" s="46">
        <f>IFERROR(VLOOKUP($B1368,'标准费用表-2024年&amp;2025年优化'!$D:$K,8,0)*系数辅助表!$J$6*VLOOKUP('5.成本表'!$D1368,系数辅助表!$C:$G,5,0)/VLOOKUP($D1368,系数辅助表!$C:$E,3,0),0)</f>
        <v>0.86674911630320794</v>
      </c>
      <c r="I1368" s="36">
        <f>VLOOKUP($D1368,系数辅助表!$C:$F,4,0)</f>
        <v>1.8513510498021799</v>
      </c>
      <c r="J1368" s="2" t="s">
        <v>200</v>
      </c>
    </row>
    <row r="1369" spans="2:10" x14ac:dyDescent="0.3">
      <c r="B1369" s="47" t="s">
        <v>174</v>
      </c>
      <c r="C1369" t="str">
        <f>VLOOKUP($B1369,'标准费用表-2024年&amp;2025年优化'!$D:$E,2,0)</f>
        <v>昆明正大农牧食品有限公司</v>
      </c>
      <c r="D1369" t="s">
        <v>51</v>
      </c>
      <c r="E1369" s="46">
        <f>IFERROR(VLOOKUP($B1369,'标准费用表-2024年&amp;2025年优化'!$D:$K,8,0)*系数辅助表!$J$6*VLOOKUP('5.成本表'!$D1369,系数辅助表!$C:$G,5,0)/VLOOKUP($D1369,系数辅助表!$C:$E,3,0),0)</f>
        <v>1.2573451791983901</v>
      </c>
      <c r="I1369" s="36">
        <f>VLOOKUP($D1369,系数辅助表!$C:$F,4,0)</f>
        <v>2.68565294580391</v>
      </c>
      <c r="J1369" s="2" t="s">
        <v>200</v>
      </c>
    </row>
    <row r="1370" spans="2:10" x14ac:dyDescent="0.3">
      <c r="B1370" s="47" t="s">
        <v>174</v>
      </c>
      <c r="C1370" t="str">
        <f>VLOOKUP($B1370,'标准费用表-2024年&amp;2025年优化'!$D:$E,2,0)</f>
        <v>昆明正大农牧食品有限公司</v>
      </c>
      <c r="D1370" t="s">
        <v>52</v>
      </c>
      <c r="E1370" s="46">
        <f>IFERROR(VLOOKUP($B1370,'标准费用表-2024年&amp;2025年优化'!$D:$K,8,0)*系数辅助表!$J$6*VLOOKUP('5.成本表'!$D1370,系数辅助表!$C:$G,5,0)/VLOOKUP($D1370,系数辅助表!$C:$E,3,0),0)</f>
        <v>0.73459498235364196</v>
      </c>
      <c r="I1370" s="36">
        <f>VLOOKUP($D1370,系数辅助表!$C:$F,4,0)</f>
        <v>1.5690736410097099</v>
      </c>
      <c r="J1370" s="2" t="s">
        <v>200</v>
      </c>
    </row>
    <row r="1371" spans="2:10" x14ac:dyDescent="0.3">
      <c r="B1371" s="47" t="s">
        <v>174</v>
      </c>
      <c r="C1371" t="str">
        <f>VLOOKUP($B1371,'标准费用表-2024年&amp;2025年优化'!$D:$E,2,0)</f>
        <v>昆明正大农牧食品有限公司</v>
      </c>
      <c r="D1371" t="s">
        <v>53</v>
      </c>
      <c r="E1371" s="46">
        <f>IFERROR(VLOOKUP($B1371,'标准费用表-2024年&amp;2025年优化'!$D:$K,8,0)*系数辅助表!$J$6*VLOOKUP('5.成本表'!$D1371,系数辅助表!$C:$G,5,0)/VLOOKUP($D1371,系数辅助表!$C:$E,3,0),0)</f>
        <v>0.67462267222852701</v>
      </c>
      <c r="I1371" s="36">
        <f>VLOOKUP($D1371,系数辅助表!$C:$F,4,0)</f>
        <v>1.44097452072131</v>
      </c>
      <c r="J1371" s="2" t="s">
        <v>200</v>
      </c>
    </row>
    <row r="1372" spans="2:10" x14ac:dyDescent="0.3">
      <c r="B1372" s="47" t="s">
        <v>174</v>
      </c>
      <c r="C1372" t="str">
        <f>VLOOKUP($B1372,'标准费用表-2024年&amp;2025年优化'!$D:$E,2,0)</f>
        <v>昆明正大农牧食品有限公司</v>
      </c>
      <c r="D1372" t="s">
        <v>54</v>
      </c>
      <c r="E1372" s="46">
        <f>IFERROR(VLOOKUP($B1372,'标准费用表-2024年&amp;2025年优化'!$D:$K,8,0)*系数辅助表!$J$6*VLOOKUP('5.成本表'!$D1372,系数辅助表!$C:$G,5,0)/VLOOKUP($D1372,系数辅助表!$C:$E,3,0),0)</f>
        <v>0.86182489900332904</v>
      </c>
      <c r="I1372" s="36">
        <f>VLOOKUP($D1372,系数辅助表!$C:$F,4,0)</f>
        <v>1.8408330640366199</v>
      </c>
      <c r="J1372" s="2" t="s">
        <v>200</v>
      </c>
    </row>
    <row r="1373" spans="2:10" x14ac:dyDescent="0.3">
      <c r="B1373" s="47" t="s">
        <v>174</v>
      </c>
      <c r="C1373" t="str">
        <f>VLOOKUP($B1373,'标准费用表-2024年&amp;2025年优化'!$D:$E,2,0)</f>
        <v>昆明正大农牧食品有限公司</v>
      </c>
      <c r="D1373" t="s">
        <v>55</v>
      </c>
      <c r="E1373" s="46">
        <f>IFERROR(VLOOKUP($B1373,'标准费用表-2024年&amp;2025年优化'!$D:$K,8,0)*系数辅助表!$J$6*VLOOKUP('5.成本表'!$D1373,系数辅助表!$C:$G,5,0)/VLOOKUP($D1373,系数辅助表!$C:$E,3,0),0)</f>
        <v>1.49896378731459</v>
      </c>
      <c r="I1373" s="36">
        <f>VLOOKUP($D1373,系数辅助表!$C:$F,4,0)</f>
        <v>3.2017433061789502</v>
      </c>
      <c r="J1373" s="2" t="s">
        <v>200</v>
      </c>
    </row>
    <row r="1374" spans="2:10" x14ac:dyDescent="0.3">
      <c r="B1374" s="47" t="s">
        <v>174</v>
      </c>
      <c r="C1374" t="str">
        <f>VLOOKUP($B1374,'标准费用表-2024年&amp;2025年优化'!$D:$E,2,0)</f>
        <v>昆明正大农牧食品有限公司</v>
      </c>
      <c r="D1374" t="s">
        <v>56</v>
      </c>
      <c r="E1374" s="46">
        <f>IFERROR(VLOOKUP($B1374,'标准费用表-2024年&amp;2025年优化'!$D:$K,8,0)*系数辅助表!$J$6*VLOOKUP('5.成本表'!$D1374,系数辅助表!$C:$G,5,0)/VLOOKUP($D1374,系数辅助表!$C:$E,3,0),0)</f>
        <v>0.25520685860036102</v>
      </c>
      <c r="I1374" s="36">
        <f>VLOOKUP($D1374,系数辅助表!$C:$F,4,0)</f>
        <v>0.54511447049599404</v>
      </c>
      <c r="J1374" s="2" t="s">
        <v>200</v>
      </c>
    </row>
    <row r="1375" spans="2:10" x14ac:dyDescent="0.3">
      <c r="B1375" s="47" t="s">
        <v>174</v>
      </c>
      <c r="C1375" t="str">
        <f>VLOOKUP($B1375,'标准费用表-2024年&amp;2025年优化'!$D:$E,2,0)</f>
        <v>昆明正大农牧食品有限公司</v>
      </c>
      <c r="D1375" t="s">
        <v>57</v>
      </c>
      <c r="E1375" s="46">
        <f>IFERROR(VLOOKUP($B1375,'标准费用表-2024年&amp;2025年优化'!$D:$K,8,0)*系数辅助表!$J$6*VLOOKUP('5.成本表'!$D1375,系数辅助表!$C:$G,5,0)/VLOOKUP($D1375,系数辅助表!$C:$E,3,0),0)</f>
        <v>5.9087354435203999E-2</v>
      </c>
      <c r="I1375" s="36">
        <f>VLOOKUP($D1375,系数辅助表!$C:$F,4,0)</f>
        <v>0.126208880523832</v>
      </c>
      <c r="J1375" s="2" t="s">
        <v>200</v>
      </c>
    </row>
    <row r="1376" spans="2:10" x14ac:dyDescent="0.3">
      <c r="B1376" s="47" t="s">
        <v>174</v>
      </c>
      <c r="C1376" t="str">
        <f>VLOOKUP($B1376,'标准费用表-2024年&amp;2025年优化'!$D:$E,2,0)</f>
        <v>昆明正大农牧食品有限公司</v>
      </c>
      <c r="D1376" t="s">
        <v>58</v>
      </c>
      <c r="E1376" s="46">
        <f>IFERROR(VLOOKUP($B1376,'标准费用表-2024年&amp;2025年优化'!$D:$K,8,0)*系数辅助表!$J$6*VLOOKUP('5.成本表'!$D1376,系数辅助表!$C:$G,5,0)/VLOOKUP($D1376,系数辅助表!$C:$E,3,0),0)</f>
        <v>0.31701001091057501</v>
      </c>
      <c r="I1376" s="36">
        <f>VLOOKUP($D1376,系数辅助表!$C:$F,4,0)</f>
        <v>0.67712421675176204</v>
      </c>
      <c r="J1376" s="2" t="s">
        <v>200</v>
      </c>
    </row>
    <row r="1377" spans="2:10" x14ac:dyDescent="0.3">
      <c r="B1377" s="47" t="s">
        <v>174</v>
      </c>
      <c r="C1377" t="str">
        <f>VLOOKUP($B1377,'标准费用表-2024年&amp;2025年优化'!$D:$E,2,0)</f>
        <v>昆明正大农牧食品有限公司</v>
      </c>
      <c r="D1377" t="s">
        <v>59</v>
      </c>
      <c r="E1377" s="46">
        <f>IFERROR(VLOOKUP($B1377,'标准费用表-2024年&amp;2025年优化'!$D:$K,8,0)*系数辅助表!$J$6*VLOOKUP('5.成本表'!$D1377,系数辅助表!$C:$G,5,0)/VLOOKUP($D1377,系数辅助表!$C:$E,3,0),0)</f>
        <v>0.20735065122562299</v>
      </c>
      <c r="I1377" s="36">
        <f>VLOOKUP($D1377,系数辅助表!$C:$F,4,0)</f>
        <v>0.44289499533730498</v>
      </c>
      <c r="J1377" s="2" t="s">
        <v>200</v>
      </c>
    </row>
    <row r="1378" spans="2:10" x14ac:dyDescent="0.3">
      <c r="B1378" s="47" t="s">
        <v>174</v>
      </c>
      <c r="C1378" t="str">
        <f>VLOOKUP($B1378,'标准费用表-2024年&amp;2025年优化'!$D:$E,2,0)</f>
        <v>昆明正大农牧食品有限公司</v>
      </c>
      <c r="D1378" t="s">
        <v>60</v>
      </c>
      <c r="E1378" s="46">
        <f>IFERROR(VLOOKUP($B1378,'标准费用表-2024年&amp;2025年优化'!$D:$K,8,0)*系数辅助表!$J$6*VLOOKUP('5.成本表'!$D1378,系数辅助表!$C:$G,5,0)/VLOOKUP($D1378,系数辅助表!$C:$E,3,0),0)</f>
        <v>0.13743466440614099</v>
      </c>
      <c r="I1378" s="36">
        <f>VLOOKUP($D1378,系数辅助表!$C:$F,4,0)</f>
        <v>0.29355646915769201</v>
      </c>
      <c r="J1378" s="2" t="s">
        <v>200</v>
      </c>
    </row>
    <row r="1379" spans="2:10" x14ac:dyDescent="0.3">
      <c r="B1379" s="47" t="s">
        <v>174</v>
      </c>
      <c r="C1379" t="str">
        <f>VLOOKUP($B1379,'标准费用表-2024年&amp;2025年优化'!$D:$E,2,0)</f>
        <v>昆明正大农牧食品有限公司</v>
      </c>
      <c r="D1379" t="s">
        <v>61</v>
      </c>
      <c r="E1379" s="46">
        <f>IFERROR(VLOOKUP($B1379,'标准费用表-2024年&amp;2025年优化'!$D:$K,8,0)*系数辅助表!$J$6*VLOOKUP('5.成本表'!$D1379,系数辅助表!$C:$G,5,0)/VLOOKUP($D1379,系数辅助表!$C:$E,3,0),0)</f>
        <v>2.37283985658347E-2</v>
      </c>
      <c r="I1379" s="36">
        <f>VLOOKUP($D1379,系数辅助表!$C:$F,4,0)</f>
        <v>5.0683173214352499E-2</v>
      </c>
      <c r="J1379" s="2" t="s">
        <v>200</v>
      </c>
    </row>
    <row r="1380" spans="2:10" x14ac:dyDescent="0.3">
      <c r="B1380" s="47" t="s">
        <v>174</v>
      </c>
      <c r="C1380" t="str">
        <f>VLOOKUP($B1380,'标准费用表-2024年&amp;2025年优化'!$D:$E,2,0)</f>
        <v>昆明正大农牧食品有限公司</v>
      </c>
      <c r="D1380" t="s">
        <v>62</v>
      </c>
      <c r="E1380" s="46">
        <f>IFERROR(VLOOKUP($B1380,'标准费用表-2024年&amp;2025年优化'!$D:$K,8,0)*系数辅助表!$J$6*VLOOKUP('5.成本表'!$D1380,系数辅助表!$C:$G,5,0)/VLOOKUP($D1380,系数辅助表!$C:$E,3,0),0)</f>
        <v>0.124175628644995</v>
      </c>
      <c r="I1380" s="36">
        <f>VLOOKUP($D1380,系数辅助表!$C:$F,4,0)</f>
        <v>0.26523555216563399</v>
      </c>
      <c r="J1380" s="2" t="s">
        <v>200</v>
      </c>
    </row>
    <row r="1381" spans="2:10" x14ac:dyDescent="0.3">
      <c r="B1381" s="47" t="s">
        <v>174</v>
      </c>
      <c r="C1381" t="str">
        <f>VLOOKUP($B1381,'标准费用表-2024年&amp;2025年优化'!$D:$E,2,0)</f>
        <v>昆明正大农牧食品有限公司</v>
      </c>
      <c r="D1381" t="s">
        <v>63</v>
      </c>
      <c r="E1381" s="46">
        <f>IFERROR(VLOOKUP($B1381,'标准费用表-2024年&amp;2025年优化'!$D:$K,8,0)*系数辅助表!$J$6*VLOOKUP('5.成本表'!$D1381,系数辅助表!$C:$G,5,0)/VLOOKUP($D1381,系数辅助表!$C:$E,3,0),0)</f>
        <v>0.113947619648558</v>
      </c>
      <c r="I1381" s="36">
        <f>VLOOKUP($D1381,系数辅助表!$C:$F,4,0)</f>
        <v>0.24338882069886</v>
      </c>
      <c r="J1381" s="2" t="s">
        <v>200</v>
      </c>
    </row>
    <row r="1382" spans="2:10" x14ac:dyDescent="0.3">
      <c r="B1382" s="47" t="s">
        <v>174</v>
      </c>
      <c r="C1382" t="str">
        <f>VLOOKUP($B1382,'标准费用表-2024年&amp;2025年优化'!$D:$E,2,0)</f>
        <v>昆明正大农牧食品有限公司</v>
      </c>
      <c r="D1382" t="s">
        <v>64</v>
      </c>
      <c r="E1382" s="46">
        <f>IFERROR(VLOOKUP($B1382,'标准费用表-2024年&amp;2025年优化'!$D:$K,8,0)*系数辅助表!$J$6*VLOOKUP('5.成本表'!$D1382,系数辅助表!$C:$G,5,0)/VLOOKUP($D1382,系数辅助表!$C:$E,3,0),0)</f>
        <v>0.39864700199622799</v>
      </c>
      <c r="I1382" s="36">
        <f>VLOOKUP($D1382,系数辅助表!$C:$F,4,0)</f>
        <v>0.85149846912336002</v>
      </c>
      <c r="J1382" s="2" t="s">
        <v>200</v>
      </c>
    </row>
    <row r="1383" spans="2:10" x14ac:dyDescent="0.3">
      <c r="B1383" s="47" t="s">
        <v>174</v>
      </c>
      <c r="C1383" t="str">
        <f>VLOOKUP($B1383,'标准费用表-2024年&amp;2025年优化'!$D:$E,2,0)</f>
        <v>昆明正大农牧食品有限公司</v>
      </c>
      <c r="D1383" t="s">
        <v>65</v>
      </c>
      <c r="E1383" s="46">
        <f>IFERROR(VLOOKUP($B1383,'标准费用表-2024年&amp;2025年优化'!$D:$K,8,0)*系数辅助表!$J$6*VLOOKUP('5.成本表'!$D1383,系数辅助表!$C:$G,5,0)/VLOOKUP($D1383,系数辅助表!$C:$E,3,0),0)</f>
        <v>0.46692327643834802</v>
      </c>
      <c r="I1383" s="36">
        <f>VLOOKUP($D1383,系数辅助表!$C:$F,4,0)</f>
        <v>0.99733461707829196</v>
      </c>
      <c r="J1383" s="2" t="s">
        <v>200</v>
      </c>
    </row>
    <row r="1384" spans="2:10" x14ac:dyDescent="0.3">
      <c r="B1384" s="47" t="s">
        <v>174</v>
      </c>
      <c r="C1384" t="str">
        <f>VLOOKUP($B1384,'标准费用表-2024年&amp;2025年优化'!$D:$E,2,0)</f>
        <v>昆明正大农牧食品有限公司</v>
      </c>
      <c r="D1384" t="s">
        <v>66</v>
      </c>
      <c r="E1384" s="46">
        <f>IFERROR(VLOOKUP($B1384,'标准费用表-2024年&amp;2025年优化'!$D:$K,8,0)*系数辅助表!$J$6*VLOOKUP('5.成本表'!$D1384,系数辅助表!$C:$G,5,0)/VLOOKUP($D1384,系数辅助表!$C:$E,3,0),0)</f>
        <v>0.13351292657852801</v>
      </c>
      <c r="I1384" s="36">
        <f>VLOOKUP($D1384,系数辅助表!$C:$F,4,0)</f>
        <v>0.28517975055754302</v>
      </c>
      <c r="J1384" s="2" t="s">
        <v>200</v>
      </c>
    </row>
    <row r="1385" spans="2:10" x14ac:dyDescent="0.3">
      <c r="B1385" s="47" t="s">
        <v>174</v>
      </c>
      <c r="C1385" t="str">
        <f>VLOOKUP($B1385,'标准费用表-2024年&amp;2025年优化'!$D:$E,2,0)</f>
        <v>昆明正大农牧食品有限公司</v>
      </c>
      <c r="D1385" t="s">
        <v>67</v>
      </c>
      <c r="E1385" s="46">
        <f>IFERROR(VLOOKUP($B1385,'标准费用表-2024年&amp;2025年优化'!$D:$K,8,0)*系数辅助表!$J$6*VLOOKUP('5.成本表'!$D1385,系数辅助表!$C:$G,5,0)/VLOOKUP($D1385,系数辅助表!$C:$E,3,0),0)</f>
        <v>3.97236948221577E-2</v>
      </c>
      <c r="I1385" s="36">
        <f>VLOOKUP($D1385,系数辅助表!$C:$F,4,0)</f>
        <v>8.4848663503333893E-2</v>
      </c>
      <c r="J1385" s="2" t="s">
        <v>200</v>
      </c>
    </row>
    <row r="1386" spans="2:10" x14ac:dyDescent="0.3">
      <c r="B1386" s="47" t="s">
        <v>174</v>
      </c>
      <c r="C1386" t="str">
        <f>VLOOKUP($B1386,'标准费用表-2024年&amp;2025年优化'!$D:$E,2,0)</f>
        <v>昆明正大农牧食品有限公司</v>
      </c>
      <c r="D1386" t="s">
        <v>68</v>
      </c>
      <c r="E1386" s="36">
        <f>IFERROR(VLOOKUP($B1386,'标准费用表-2024年&amp;2025年优化'!$D:$K,8,0)*VLOOKUP("白条",系数辅助表!$C:$G,5,0)*VLOOKUP('5.成本表'!$D1386,系数辅助表!$C:$G,5,0)/VLOOKUP('5.成本表'!$D1386,系数辅助表!$C:$E,3,0),)</f>
        <v>0.96803155588880696</v>
      </c>
      <c r="F1386" s="36">
        <f>IFERROR(VLOOKUP($B1386,'标准费用表-2024年&amp;2025年优化'!$D:$L,9,0)*VLOOKUP('5.成本表'!$D1386,系数辅助表!$C:$G,5,0)/VLOOKUP($D1386,系数辅助表!$C:$E,3,0),0)</f>
        <v>0</v>
      </c>
      <c r="I1386" s="36">
        <f>VLOOKUP($D1386,系数辅助表!$C:$F,4,0)</f>
        <v>2.2799999999999998</v>
      </c>
      <c r="J1386" s="2" t="s">
        <v>69</v>
      </c>
    </row>
    <row r="1387" spans="2:10" x14ac:dyDescent="0.3">
      <c r="B1387" s="47" t="s">
        <v>174</v>
      </c>
      <c r="C1387" t="str">
        <f>VLOOKUP($B1387,'标准费用表-2024年&amp;2025年优化'!$D:$E,2,0)</f>
        <v>昆明正大农牧食品有限公司</v>
      </c>
      <c r="D1387" t="s">
        <v>70</v>
      </c>
      <c r="E1387" s="36">
        <f>IFERROR(VLOOKUP($B1387,'标准费用表-2024年&amp;2025年优化'!$D:$K,8,0)*VLOOKUP("白条",系数辅助表!$C:$G,5,0)*VLOOKUP('5.成本表'!$D1387,系数辅助表!$C:$G,5,0)/VLOOKUP('5.成本表'!$D1387,系数辅助表!$C:$E,3,0),)</f>
        <v>0.646935200732766</v>
      </c>
      <c r="F1387" s="36">
        <f>IFERROR(VLOOKUP($B1387,'标准费用表-2024年&amp;2025年优化'!$D:$L,9,0)*VLOOKUP('5.成本表'!$D1387,系数辅助表!$C:$G,5,0)/VLOOKUP($D1387,系数辅助表!$C:$E,3,0),0)</f>
        <v>0</v>
      </c>
      <c r="I1387" s="36">
        <f>VLOOKUP($D1387,系数辅助表!$C:$F,4,0)</f>
        <v>1.5237233215154999</v>
      </c>
      <c r="J1387" s="2" t="s">
        <v>69</v>
      </c>
    </row>
    <row r="1388" spans="2:10" x14ac:dyDescent="0.3">
      <c r="B1388" s="47" t="s">
        <v>174</v>
      </c>
      <c r="C1388" t="str">
        <f>VLOOKUP($B1388,'标准费用表-2024年&amp;2025年优化'!$D:$E,2,0)</f>
        <v>昆明正大农牧食品有限公司</v>
      </c>
      <c r="D1388" t="s">
        <v>71</v>
      </c>
      <c r="E1388" s="36">
        <f>IFERROR(VLOOKUP($B1388,'标准费用表-2024年&amp;2025年优化'!$D:$K,8,0)*VLOOKUP("白条",系数辅助表!$C:$G,5,0)*VLOOKUP('5.成本表'!$D1388,系数辅助表!$C:$G,5,0)/VLOOKUP('5.成本表'!$D1388,系数辅助表!$C:$E,3,0),)</f>
        <v>1.71216607875581</v>
      </c>
      <c r="F1388" s="36">
        <f>IFERROR(VLOOKUP($B1388,'标准费用表-2024年&amp;2025年优化'!$D:$L,9,0)*VLOOKUP('5.成本表'!$D1388,系数辅助表!$C:$G,5,0)/VLOOKUP($D1388,系数辅助表!$C:$E,3,0),0)</f>
        <v>0</v>
      </c>
      <c r="I1388" s="36">
        <f>VLOOKUP($D1388,系数辅助表!$C:$F,4,0)</f>
        <v>4.0326564106466396</v>
      </c>
      <c r="J1388" s="2" t="s">
        <v>69</v>
      </c>
    </row>
    <row r="1389" spans="2:10" x14ac:dyDescent="0.3">
      <c r="B1389" s="47" t="s">
        <v>174</v>
      </c>
      <c r="C1389" t="str">
        <f>VLOOKUP($B1389,'标准费用表-2024年&amp;2025年优化'!$D:$E,2,0)</f>
        <v>昆明正大农牧食品有限公司</v>
      </c>
      <c r="D1389" t="s">
        <v>72</v>
      </c>
      <c r="E1389" s="36">
        <f>IFERROR(VLOOKUP($B1389,'标准费用表-2024年&amp;2025年优化'!$D:$K,8,0)*VLOOKUP("白条",系数辅助表!$C:$G,5,0)*VLOOKUP('5.成本表'!$D1389,系数辅助表!$C:$G,5,0)/VLOOKUP('5.成本表'!$D1389,系数辅助表!$C:$E,3,0),)</f>
        <v>0.99714891493192703</v>
      </c>
      <c r="F1389" s="36">
        <f>IFERROR(VLOOKUP($B1389,'标准费用表-2024年&amp;2025年优化'!$D:$L,9,0)*VLOOKUP('5.成本表'!$D1389,系数辅助表!$C:$G,5,0)/VLOOKUP($D1389,系数辅助表!$C:$E,3,0),0)</f>
        <v>0</v>
      </c>
      <c r="I1389" s="36">
        <f>VLOOKUP($D1389,系数辅助表!$C:$F,4,0)</f>
        <v>2.34857997367385</v>
      </c>
      <c r="J1389" s="2" t="s">
        <v>69</v>
      </c>
    </row>
    <row r="1390" spans="2:10" x14ac:dyDescent="0.3">
      <c r="B1390" s="47" t="s">
        <v>174</v>
      </c>
      <c r="C1390" t="str">
        <f>VLOOKUP($B1390,'标准费用表-2024年&amp;2025年优化'!$D:$E,2,0)</f>
        <v>昆明正大农牧食品有限公司</v>
      </c>
      <c r="D1390" t="s">
        <v>73</v>
      </c>
      <c r="E1390" s="36">
        <f>IFERROR(VLOOKUP($B1390,'标准费用表-2024年&amp;2025年优化'!$D:$K,8,0)*VLOOKUP("白条",系数辅助表!$C:$G,5,0)*VLOOKUP('5.成本表'!$D1390,系数辅助表!$C:$G,5,0)/VLOOKUP('5.成本表'!$D1390,系数辅助表!$C:$E,3,0),)</f>
        <v>0.59902341908133305</v>
      </c>
      <c r="F1390" s="36">
        <f>IFERROR(VLOOKUP($B1390,'标准费用表-2024年&amp;2025年优化'!$D:$L,9,0)*VLOOKUP('5.成本表'!$D1390,系数辅助表!$C:$G,5,0)/VLOOKUP($D1390,系数辅助表!$C:$E,3,0),0)</f>
        <v>0</v>
      </c>
      <c r="I1390" s="36">
        <f>VLOOKUP($D1390,系数辅助表!$C:$F,4,0)</f>
        <v>1.41087693598112</v>
      </c>
      <c r="J1390" s="2" t="s">
        <v>69</v>
      </c>
    </row>
    <row r="1391" spans="2:10" x14ac:dyDescent="0.3">
      <c r="B1391" s="47" t="s">
        <v>174</v>
      </c>
      <c r="C1391" t="str">
        <f>VLOOKUP($B1391,'标准费用表-2024年&amp;2025年优化'!$D:$E,2,0)</f>
        <v>昆明正大农牧食品有限公司</v>
      </c>
      <c r="D1391" t="s">
        <v>74</v>
      </c>
      <c r="E1391" s="36">
        <f>IFERROR(VLOOKUP($B1391,'标准费用表-2024年&amp;2025年优化'!$D:$K,8,0)*VLOOKUP("白条",系数辅助表!$C:$G,5,0)*VLOOKUP('5.成本表'!$D1391,系数辅助表!$C:$G,5,0)/VLOOKUP('5.成本表'!$D1391,系数辅助表!$C:$E,3,0),)</f>
        <v>0.80885927287195203</v>
      </c>
      <c r="F1391" s="36">
        <f>IFERROR(VLOOKUP($B1391,'标准费用表-2024年&amp;2025年优化'!$D:$L,9,0)*VLOOKUP('5.成本表'!$D1391,系数辅助表!$C:$G,5,0)/VLOOKUP($D1391,系数辅助表!$C:$E,3,0),0)</f>
        <v>0</v>
      </c>
      <c r="I1391" s="36">
        <f>VLOOKUP($D1391,系数辅助表!$C:$F,4,0)</f>
        <v>1.9051022985038799</v>
      </c>
      <c r="J1391" s="2" t="s">
        <v>69</v>
      </c>
    </row>
    <row r="1392" spans="2:10" x14ac:dyDescent="0.3">
      <c r="B1392" s="47" t="s">
        <v>174</v>
      </c>
      <c r="C1392" t="str">
        <f>VLOOKUP($B1392,'标准费用表-2024年&amp;2025年优化'!$D:$E,2,0)</f>
        <v>昆明正大农牧食品有限公司</v>
      </c>
      <c r="D1392" t="s">
        <v>75</v>
      </c>
      <c r="E1392" s="36">
        <f>IFERROR(VLOOKUP($B1392,'标准费用表-2024年&amp;2025年优化'!$D:$K,8,0)*VLOOKUP("白条",系数辅助表!$C:$G,5,0)*VLOOKUP('5.成本表'!$D1392,系数辅助表!$C:$G,5,0)/VLOOKUP('5.成本表'!$D1392,系数辅助表!$C:$E,3,0),)</f>
        <v>0.60566334955517698</v>
      </c>
      <c r="F1392" s="36">
        <f>IFERROR(VLOOKUP($B1392,'标准费用表-2024年&amp;2025年优化'!$D:$L,9,0)*VLOOKUP('5.成本表'!$D1392,系数辅助表!$C:$G,5,0)/VLOOKUP($D1392,系数辅助表!$C:$E,3,0),0)</f>
        <v>0</v>
      </c>
      <c r="I1392" s="36">
        <f>VLOOKUP($D1392,系数辅助表!$C:$F,4,0)</f>
        <v>1.42651593182611</v>
      </c>
      <c r="J1392" s="2" t="s">
        <v>69</v>
      </c>
    </row>
    <row r="1393" spans="2:10" x14ac:dyDescent="0.3">
      <c r="B1393" s="47" t="s">
        <v>174</v>
      </c>
      <c r="C1393" t="str">
        <f>VLOOKUP($B1393,'标准费用表-2024年&amp;2025年优化'!$D:$E,2,0)</f>
        <v>昆明正大农牧食品有限公司</v>
      </c>
      <c r="D1393" t="s">
        <v>76</v>
      </c>
      <c r="E1393" s="36">
        <f>IFERROR(VLOOKUP($B1393,'标准费用表-2024年&amp;2025年优化'!$D:$K,8,0)*VLOOKUP("白条",系数辅助表!$C:$G,5,0)*VLOOKUP('5.成本表'!$D1393,系数辅助表!$C:$G,5,0)/VLOOKUP('5.成本表'!$D1393,系数辅助表!$C:$E,3,0),)</f>
        <v>0.61715518291663796</v>
      </c>
      <c r="F1393" s="36">
        <f>IFERROR(VLOOKUP($B1393,'标准费用表-2024年&amp;2025年优化'!$D:$L,9,0)*VLOOKUP('5.成本表'!$D1393,系数辅助表!$C:$G,5,0)/VLOOKUP($D1393,系数辅助表!$C:$E,3,0),0)</f>
        <v>0</v>
      </c>
      <c r="I1393" s="36">
        <f>VLOOKUP($D1393,系数辅助表!$C:$F,4,0)</f>
        <v>1.4535825908670701</v>
      </c>
      <c r="J1393" s="2" t="s">
        <v>69</v>
      </c>
    </row>
    <row r="1394" spans="2:10" x14ac:dyDescent="0.3">
      <c r="B1394" s="47" t="s">
        <v>174</v>
      </c>
      <c r="C1394" t="str">
        <f>VLOOKUP($B1394,'标准费用表-2024年&amp;2025年优化'!$D:$E,2,0)</f>
        <v>昆明正大农牧食品有限公司</v>
      </c>
      <c r="D1394" t="s">
        <v>77</v>
      </c>
      <c r="E1394" s="36">
        <f>IFERROR(VLOOKUP($B1394,'标准费用表-2024年&amp;2025年优化'!$D:$K,8,0)*VLOOKUP("白条",系数辅助表!$C:$G,5,0)*VLOOKUP('5.成本表'!$D1394,系数辅助表!$C:$G,5,0)/VLOOKUP('5.成本表'!$D1394,系数辅助表!$C:$E,3,0),)</f>
        <v>0.61182911672733098</v>
      </c>
      <c r="F1394" s="36">
        <f>IFERROR(VLOOKUP($B1394,'标准费用表-2024年&amp;2025年优化'!$D:$L,9,0)*VLOOKUP('5.成本表'!$D1394,系数辅助表!$C:$G,5,0)/VLOOKUP($D1394,系数辅助表!$C:$E,3,0),0)</f>
        <v>0</v>
      </c>
      <c r="I1394" s="36">
        <f>VLOOKUP($D1394,系数辅助表!$C:$F,4,0)</f>
        <v>1.4410381331603499</v>
      </c>
      <c r="J1394" s="2" t="s">
        <v>69</v>
      </c>
    </row>
    <row r="1395" spans="2:10" x14ac:dyDescent="0.3">
      <c r="B1395" s="47" t="s">
        <v>174</v>
      </c>
      <c r="C1395" t="str">
        <f>VLOOKUP($B1395,'标准费用表-2024年&amp;2025年优化'!$D:$E,2,0)</f>
        <v>昆明正大农牧食品有限公司</v>
      </c>
      <c r="D1395" t="s">
        <v>78</v>
      </c>
      <c r="E1395" s="36">
        <f>IFERROR(VLOOKUP($B1395,'标准费用表-2024年&amp;2025年优化'!$D:$K,8,0)*VLOOKUP("白条",系数辅助表!$C:$G,5,0)*VLOOKUP('5.成本表'!$D1395,系数辅助表!$C:$G,5,0)/VLOOKUP('5.成本表'!$D1395,系数辅助表!$C:$E,3,0),)</f>
        <v>0.52470393984747798</v>
      </c>
      <c r="F1395" s="36">
        <f>IFERROR(VLOOKUP($B1395,'标准费用表-2024年&amp;2025年优化'!$D:$L,9,0)*VLOOKUP('5.成本表'!$D1395,系数辅助表!$C:$G,5,0)/VLOOKUP($D1395,系数辅助表!$C:$E,3,0),0)</f>
        <v>0</v>
      </c>
      <c r="I1395" s="36">
        <f>VLOOKUP($D1395,系数辅助表!$C:$F,4,0)</f>
        <v>1.2358326291892801</v>
      </c>
      <c r="J1395" s="2" t="s">
        <v>69</v>
      </c>
    </row>
    <row r="1396" spans="2:10" x14ac:dyDescent="0.3">
      <c r="B1396" s="47" t="s">
        <v>174</v>
      </c>
      <c r="C1396" t="str">
        <f>VLOOKUP($B1396,'标准费用表-2024年&amp;2025年优化'!$D:$E,2,0)</f>
        <v>昆明正大农牧食品有限公司</v>
      </c>
      <c r="D1396" t="s">
        <v>79</v>
      </c>
      <c r="E1396" s="36">
        <f>IFERROR(VLOOKUP($B1396,'标准费用表-2024年&amp;2025年优化'!$D:$K,8,0)*VLOOKUP("白条",系数辅助表!$C:$G,5,0)*VLOOKUP('5.成本表'!$D1396,系数辅助表!$C:$G,5,0)/VLOOKUP('5.成本表'!$D1396,系数辅助表!$C:$E,3,0),)</f>
        <v>0.36650057638553502</v>
      </c>
      <c r="F1396" s="36">
        <f>IFERROR(VLOOKUP($B1396,'标准费用表-2024年&amp;2025年优化'!$D:$L,9,0)*VLOOKUP('5.成本表'!$D1396,系数辅助表!$C:$G,5,0)/VLOOKUP($D1396,系数辅助表!$C:$E,3,0),0)</f>
        <v>0</v>
      </c>
      <c r="I1396" s="36">
        <f>VLOOKUP($D1396,系数辅助表!$C:$F,4,0)</f>
        <v>0.86321701919291904</v>
      </c>
      <c r="J1396" s="2" t="s">
        <v>69</v>
      </c>
    </row>
    <row r="1397" spans="2:10" x14ac:dyDescent="0.3">
      <c r="B1397" s="47" t="s">
        <v>174</v>
      </c>
      <c r="C1397" t="str">
        <f>VLOOKUP($B1397,'标准费用表-2024年&amp;2025年优化'!$D:$E,2,0)</f>
        <v>昆明正大农牧食品有限公司</v>
      </c>
      <c r="D1397" t="s">
        <v>80</v>
      </c>
      <c r="E1397" s="36">
        <f>IFERROR(VLOOKUP($B1397,'标准费用表-2024年&amp;2025年优化'!$D:$K,8,0)*VLOOKUP("白条",系数辅助表!$C:$G,5,0)*VLOOKUP('5.成本表'!$D1397,系数辅助表!$C:$G,5,0)/VLOOKUP('5.成本表'!$D1397,系数辅助表!$C:$E,3,0),)</f>
        <v>0.33833294243451201</v>
      </c>
      <c r="F1397" s="36">
        <f>IFERROR(VLOOKUP($B1397,'标准费用表-2024年&amp;2025年优化'!$D:$L,9,0)*VLOOKUP('5.成本表'!$D1397,系数辅助表!$C:$G,5,0)/VLOOKUP($D1397,系数辅助表!$C:$E,3,0),0)</f>
        <v>0</v>
      </c>
      <c r="I1397" s="36">
        <f>VLOOKUP($D1397,系数辅助表!$C:$F,4,0)</f>
        <v>0.796873928394225</v>
      </c>
      <c r="J1397" s="2" t="s">
        <v>69</v>
      </c>
    </row>
    <row r="1398" spans="2:10" x14ac:dyDescent="0.3">
      <c r="B1398" s="47" t="s">
        <v>174</v>
      </c>
      <c r="C1398" t="str">
        <f>VLOOKUP($B1398,'标准费用表-2024年&amp;2025年优化'!$D:$E,2,0)</f>
        <v>昆明正大农牧食品有限公司</v>
      </c>
      <c r="D1398" t="s">
        <v>81</v>
      </c>
      <c r="E1398" s="36">
        <f>IFERROR(VLOOKUP($B1398,'标准费用表-2024年&amp;2025年优化'!$D:$K,8,0)*VLOOKUP("白条",系数辅助表!$C:$G,5,0)*VLOOKUP('5.成本表'!$D1398,系数辅助表!$C:$G,5,0)/VLOOKUP('5.成本表'!$D1398,系数辅助表!$C:$E,3,0),)</f>
        <v>0.46652697591541498</v>
      </c>
      <c r="F1398" s="36">
        <f>IFERROR(VLOOKUP($B1398,'标准费用表-2024年&amp;2025年优化'!$D:$L,9,0)*VLOOKUP('5.成本表'!$D1398,系数辅助表!$C:$G,5,0)/VLOOKUP($D1398,系数辅助表!$C:$E,3,0),0)</f>
        <v>0</v>
      </c>
      <c r="I1398" s="36">
        <f>VLOOKUP($D1398,系数辅助表!$C:$F,4,0)</f>
        <v>1.09880870991909</v>
      </c>
      <c r="J1398" s="2" t="s">
        <v>69</v>
      </c>
    </row>
    <row r="1399" spans="2:10" x14ac:dyDescent="0.3">
      <c r="B1399" s="47" t="s">
        <v>174</v>
      </c>
      <c r="C1399" t="str">
        <f>VLOOKUP($B1399,'标准费用表-2024年&amp;2025年优化'!$D:$E,2,0)</f>
        <v>昆明正大农牧食品有限公司</v>
      </c>
      <c r="D1399" t="s">
        <v>82</v>
      </c>
      <c r="E1399" s="36">
        <f>IFERROR(VLOOKUP($B1399,'标准费用表-2024年&amp;2025年优化'!$D:$K,8,0)*VLOOKUP("白条",系数辅助表!$C:$G,5,0)*VLOOKUP('5.成本表'!$D1399,系数辅助表!$C:$G,5,0)/VLOOKUP('5.成本表'!$D1399,系数辅助表!$C:$E,3,0),)</f>
        <v>0.42507253683860902</v>
      </c>
      <c r="F1399" s="36">
        <f>IFERROR(VLOOKUP($B1399,'标准费用表-2024年&amp;2025年优化'!$D:$L,9,0)*VLOOKUP('5.成本表'!$D1399,系数辅助表!$C:$G,5,0)/VLOOKUP($D1399,系数辅助表!$C:$E,3,0),0)</f>
        <v>0</v>
      </c>
      <c r="I1399" s="36">
        <f>VLOOKUP($D1399,系数辅助表!$C:$F,4,0)</f>
        <v>1.0011712718416299</v>
      </c>
      <c r="J1399" s="2" t="s">
        <v>69</v>
      </c>
    </row>
    <row r="1400" spans="2:10" x14ac:dyDescent="0.3">
      <c r="B1400" s="47" t="s">
        <v>174</v>
      </c>
      <c r="C1400" t="str">
        <f>VLOOKUP($B1400,'标准费用表-2024年&amp;2025年优化'!$D:$E,2,0)</f>
        <v>昆明正大农牧食品有限公司</v>
      </c>
      <c r="D1400" t="s">
        <v>83</v>
      </c>
      <c r="E1400" s="36">
        <f>IFERROR(VLOOKUP($B1400,'标准费用表-2024年&amp;2025年优化'!$D:$K,8,0)*VLOOKUP("白条",系数辅助表!$C:$G,5,0)*VLOOKUP('5.成本表'!$D1400,系数辅助表!$C:$G,5,0)/VLOOKUP('5.成本表'!$D1400,系数辅助表!$C:$E,3,0),)</f>
        <v>0.38226749548281902</v>
      </c>
      <c r="F1400" s="36">
        <f>IFERROR(VLOOKUP($B1400,'标准费用表-2024年&amp;2025年优化'!$D:$L,9,0)*VLOOKUP('5.成本表'!$D1400,系数辅助表!$C:$G,5,0)/VLOOKUP($D1400,系数辅助表!$C:$E,3,0),0)</f>
        <v>0</v>
      </c>
      <c r="I1400" s="36">
        <f>VLOOKUP($D1400,系数辅助表!$C:$F,4,0)</f>
        <v>0.90035276680685095</v>
      </c>
      <c r="J1400" s="2" t="s">
        <v>69</v>
      </c>
    </row>
    <row r="1401" spans="2:10" x14ac:dyDescent="0.3">
      <c r="B1401" s="47" t="s">
        <v>174</v>
      </c>
      <c r="C1401" t="str">
        <f>VLOOKUP($B1401,'标准费用表-2024年&amp;2025年优化'!$D:$E,2,0)</f>
        <v>昆明正大农牧食品有限公司</v>
      </c>
      <c r="D1401" t="s">
        <v>84</v>
      </c>
      <c r="E1401" s="36">
        <f>IFERROR(VLOOKUP($B1401,'标准费用表-2024年&amp;2025年优化'!$D:$K,8,0)*VLOOKUP("白条",系数辅助表!$C:$G,5,0)*VLOOKUP('5.成本表'!$D1401,系数辅助表!$C:$G,5,0)/VLOOKUP('5.成本表'!$D1401,系数辅助表!$C:$E,3,0),)</f>
        <v>0.38395589788226497</v>
      </c>
      <c r="F1401" s="36">
        <f>IFERROR(VLOOKUP($B1401,'标准费用表-2024年&amp;2025年优化'!$D:$L,9,0)*VLOOKUP('5.成本表'!$D1401,系数辅助表!$C:$G,5,0)/VLOOKUP($D1401,系数辅助表!$C:$E,3,0),0)</f>
        <v>0</v>
      </c>
      <c r="I1401" s="36">
        <f>VLOOKUP($D1401,系数辅助表!$C:$F,4,0)</f>
        <v>0.90432945273957599</v>
      </c>
      <c r="J1401" s="2" t="s">
        <v>69</v>
      </c>
    </row>
    <row r="1402" spans="2:10" x14ac:dyDescent="0.3">
      <c r="B1402" s="47" t="s">
        <v>174</v>
      </c>
      <c r="C1402" t="str">
        <f>VLOOKUP($B1402,'标准费用表-2024年&amp;2025年优化'!$D:$E,2,0)</f>
        <v>昆明正大农牧食品有限公司</v>
      </c>
      <c r="D1402" t="s">
        <v>85</v>
      </c>
      <c r="E1402" s="36">
        <f>IFERROR(VLOOKUP($B1402,'标准费用表-2024年&amp;2025年优化'!$D:$K,8,0)*VLOOKUP("白条",系数辅助表!$C:$G,5,0)*VLOOKUP('5.成本表'!$D1402,系数辅助表!$C:$G,5,0)/VLOOKUP('5.成本表'!$D1402,系数辅助表!$C:$E,3,0),)</f>
        <v>0.47738189744902398</v>
      </c>
      <c r="F1402" s="36">
        <f>IFERROR(VLOOKUP($B1402,'标准费用表-2024年&amp;2025年优化'!$D:$L,9,0)*VLOOKUP('5.成本表'!$D1402,系数辅助表!$C:$G,5,0)/VLOOKUP($D1402,系数辅助表!$C:$E,3,0),0)</f>
        <v>0</v>
      </c>
      <c r="I1402" s="36">
        <f>VLOOKUP($D1402,系数辅助表!$C:$F,4,0)</f>
        <v>1.12437525363977</v>
      </c>
      <c r="J1402" s="2" t="s">
        <v>69</v>
      </c>
    </row>
    <row r="1403" spans="2:10" x14ac:dyDescent="0.3">
      <c r="B1403" s="47" t="s">
        <v>174</v>
      </c>
      <c r="C1403" t="str">
        <f>VLOOKUP($B1403,'标准费用表-2024年&amp;2025年优化'!$D:$E,2,0)</f>
        <v>昆明正大农牧食品有限公司</v>
      </c>
      <c r="D1403" t="s">
        <v>86</v>
      </c>
      <c r="E1403" s="36">
        <f>IFERROR(VLOOKUP($B1403,'标准费用表-2024年&amp;2025年优化'!$D:$K,8,0)*VLOOKUP("白条",系数辅助表!$C:$G,5,0)*VLOOKUP('5.成本表'!$D1403,系数辅助表!$C:$G,5,0)/VLOOKUP('5.成本表'!$D1403,系数辅助表!$C:$E,3,0),)</f>
        <v>0.41743069688079998</v>
      </c>
      <c r="F1403" s="36">
        <f>IFERROR(VLOOKUP($B1403,'标准费用表-2024年&amp;2025年优化'!$D:$L,9,0)*VLOOKUP('5.成本表'!$D1403,系数辅助表!$C:$G,5,0)/VLOOKUP($D1403,系数辅助表!$C:$E,3,0),0)</f>
        <v>0</v>
      </c>
      <c r="I1403" s="36">
        <f>VLOOKUP($D1403,系数辅助表!$C:$F,4,0)</f>
        <v>0.98317248347795105</v>
      </c>
      <c r="J1403" s="2" t="s">
        <v>69</v>
      </c>
    </row>
    <row r="1404" spans="2:10" x14ac:dyDescent="0.3">
      <c r="B1404" s="47" t="s">
        <v>174</v>
      </c>
      <c r="C1404" t="str">
        <f>VLOOKUP($B1404,'标准费用表-2024年&amp;2025年优化'!$D:$E,2,0)</f>
        <v>昆明正大农牧食品有限公司</v>
      </c>
      <c r="D1404" t="s">
        <v>87</v>
      </c>
      <c r="E1404" s="36">
        <f>IFERROR(VLOOKUP($B1404,'标准费用表-2024年&amp;2025年优化'!$D:$K,8,0)*VLOOKUP("白条",系数辅助表!$C:$G,5,0)*VLOOKUP('5.成本表'!$D1404,系数辅助表!$C:$G,5,0)/VLOOKUP('5.成本表'!$D1404,系数辅助表!$C:$E,3,0),)</f>
        <v>0.30234203151155797</v>
      </c>
      <c r="F1404" s="36">
        <f>IFERROR(VLOOKUP($B1404,'标准费用表-2024年&amp;2025年优化'!$D:$L,9,0)*VLOOKUP('5.成本表'!$D1404,系数辅助表!$C:$G,5,0)/VLOOKUP($D1404,系数辅助表!$C:$E,3,0),0)</f>
        <v>0</v>
      </c>
      <c r="I1404" s="36">
        <f>VLOOKUP($D1404,系数辅助表!$C:$F,4,0)</f>
        <v>0.71210471151782795</v>
      </c>
      <c r="J1404" s="2" t="s">
        <v>69</v>
      </c>
    </row>
    <row r="1405" spans="2:10" x14ac:dyDescent="0.3">
      <c r="B1405" s="47" t="s">
        <v>174</v>
      </c>
      <c r="C1405" t="str">
        <f>VLOOKUP($B1405,'标准费用表-2024年&amp;2025年优化'!$D:$E,2,0)</f>
        <v>昆明正大农牧食品有限公司</v>
      </c>
      <c r="D1405" t="s">
        <v>88</v>
      </c>
      <c r="E1405" s="36">
        <f>IFERROR(VLOOKUP($B1405,'标准费用表-2024年&amp;2025年优化'!$D:$K,8,0)*VLOOKUP("白条",系数辅助表!$C:$G,5,0)*VLOOKUP('5.成本表'!$D1405,系数辅助表!$C:$G,5,0)/VLOOKUP('5.成本表'!$D1405,系数辅助表!$C:$E,3,0),)</f>
        <v>1.14193384073046</v>
      </c>
      <c r="F1405" s="36">
        <f>IFERROR(VLOOKUP($B1405,'标准费用表-2024年&amp;2025年优化'!$D:$L,9,0)*VLOOKUP('5.成本表'!$D1405,系数辅助表!$C:$G,5,0)/VLOOKUP($D1405,系数辅助表!$C:$E,3,0),0)</f>
        <v>0</v>
      </c>
      <c r="I1405" s="36">
        <f>VLOOKUP($D1405,系数辅助表!$C:$F,4,0)</f>
        <v>2.6895912029178799</v>
      </c>
      <c r="J1405" s="2" t="s">
        <v>69</v>
      </c>
    </row>
    <row r="1406" spans="2:10" x14ac:dyDescent="0.3">
      <c r="B1406" s="47" t="s">
        <v>174</v>
      </c>
      <c r="C1406" t="str">
        <f>VLOOKUP($B1406,'标准费用表-2024年&amp;2025年优化'!$D:$E,2,0)</f>
        <v>昆明正大农牧食品有限公司</v>
      </c>
      <c r="D1406" t="s">
        <v>89</v>
      </c>
      <c r="E1406" s="36">
        <f>IFERROR(VLOOKUP($B1406,'标准费用表-2024年&amp;2025年优化'!$D:$K,8,0)*VLOOKUP("白条",系数辅助表!$C:$G,5,0)*VLOOKUP('5.成本表'!$D1406,系数辅助表!$C:$G,5,0)/VLOOKUP('5.成本表'!$D1406,系数辅助表!$C:$E,3,0),)</f>
        <v>0.49113984259568599</v>
      </c>
      <c r="F1406" s="36">
        <f>IFERROR(VLOOKUP($B1406,'标准费用表-2024年&amp;2025年优化'!$D:$L,9,0)*VLOOKUP('5.成本表'!$D1406,系数辅助表!$C:$G,5,0)/VLOOKUP($D1406,系数辅助表!$C:$E,3,0),0)</f>
        <v>0</v>
      </c>
      <c r="I1406" s="36">
        <f>VLOOKUP($D1406,系数辅助表!$C:$F,4,0)</f>
        <v>1.1567792747107399</v>
      </c>
      <c r="J1406" s="2" t="s">
        <v>69</v>
      </c>
    </row>
    <row r="1407" spans="2:10" x14ac:dyDescent="0.3">
      <c r="B1407" s="47" t="s">
        <v>174</v>
      </c>
      <c r="C1407" t="str">
        <f>VLOOKUP($B1407,'标准费用表-2024年&amp;2025年优化'!$D:$E,2,0)</f>
        <v>昆明正大农牧食品有限公司</v>
      </c>
      <c r="D1407" t="s">
        <v>90</v>
      </c>
      <c r="E1407" s="36">
        <f>IFERROR(VLOOKUP($B1407,'标准费用表-2024年&amp;2025年优化'!$D:$K,8,0)*VLOOKUP("白条",系数辅助表!$C:$G,5,0)*VLOOKUP('5.成本表'!$D1407,系数辅助表!$C:$G,5,0)/VLOOKUP('5.成本表'!$D1407,系数辅助表!$C:$E,3,0),)</f>
        <v>0.310355329513615</v>
      </c>
      <c r="F1407" s="36">
        <f>IFERROR(VLOOKUP($B1407,'标准费用表-2024年&amp;2025年优化'!$D:$L,9,0)*VLOOKUP('5.成本表'!$D1407,系数辅助表!$C:$G,5,0)/VLOOKUP($D1407,系数辅助表!$C:$E,3,0),0)</f>
        <v>0</v>
      </c>
      <c r="I1407" s="36">
        <f>VLOOKUP($D1407,系数辅助表!$C:$F,4,0)</f>
        <v>0.73097839320056501</v>
      </c>
      <c r="J1407" s="2" t="s">
        <v>69</v>
      </c>
    </row>
    <row r="1408" spans="2:10" x14ac:dyDescent="0.3">
      <c r="B1408" s="47" t="s">
        <v>174</v>
      </c>
      <c r="C1408" t="str">
        <f>VLOOKUP($B1408,'标准费用表-2024年&amp;2025年优化'!$D:$E,2,0)</f>
        <v>昆明正大农牧食品有限公司</v>
      </c>
      <c r="D1408" t="s">
        <v>91</v>
      </c>
      <c r="E1408" s="36">
        <f>IFERROR(VLOOKUP($B1408,'标准费用表-2024年&amp;2025年优化'!$D:$K,8,0)*VLOOKUP("白条",系数辅助表!$C:$G,5,0)*VLOOKUP('5.成本表'!$D1408,系数辅助表!$C:$G,5,0)/VLOOKUP('5.成本表'!$D1408,系数辅助表!$C:$E,3,0),)</f>
        <v>0.25733276183162201</v>
      </c>
      <c r="F1408" s="36">
        <f>IFERROR(VLOOKUP($B1408,'标准费用表-2024年&amp;2025年优化'!$D:$L,9,0)*VLOOKUP('5.成本表'!$D1408,系数辅助表!$C:$G,5,0)/VLOOKUP($D1408,系数辅助表!$C:$E,3,0),0)</f>
        <v>0</v>
      </c>
      <c r="I1408" s="36">
        <f>VLOOKUP($D1408,系数辅助表!$C:$F,4,0)</f>
        <v>0.60609459826688905</v>
      </c>
      <c r="J1408" s="2" t="s">
        <v>69</v>
      </c>
    </row>
    <row r="1409" spans="2:10" x14ac:dyDescent="0.3">
      <c r="B1409" s="47" t="s">
        <v>174</v>
      </c>
      <c r="C1409" t="str">
        <f>VLOOKUP($B1409,'标准费用表-2024年&amp;2025年优化'!$D:$E,2,0)</f>
        <v>昆明正大农牧食品有限公司</v>
      </c>
      <c r="D1409" t="s">
        <v>92</v>
      </c>
      <c r="E1409" s="36">
        <f>IFERROR(VLOOKUP($B1409,'标准费用表-2024年&amp;2025年优化'!$D:$K,8,0)*VLOOKUP("白条",系数辅助表!$C:$G,5,0)*VLOOKUP('5.成本表'!$D1409,系数辅助表!$C:$G,5,0)/VLOOKUP('5.成本表'!$D1409,系数辅助表!$C:$E,3,0),)</f>
        <v>0.102136212931108</v>
      </c>
      <c r="F1409" s="36">
        <f>IFERROR(VLOOKUP($B1409,'标准费用表-2024年&amp;2025年优化'!$D:$L,9,0)*VLOOKUP('5.成本表'!$D1409,系数辅助表!$C:$G,5,0)/VLOOKUP($D1409,系数辅助表!$C:$E,3,0),0)</f>
        <v>0</v>
      </c>
      <c r="I1409" s="36">
        <f>VLOOKUP($D1409,系数辅助表!$C:$F,4,0)</f>
        <v>0.24056092393508099</v>
      </c>
      <c r="J1409" s="2" t="s">
        <v>69</v>
      </c>
    </row>
    <row r="1410" spans="2:10" x14ac:dyDescent="0.3">
      <c r="B1410" s="47" t="s">
        <v>174</v>
      </c>
      <c r="C1410" t="str">
        <f>VLOOKUP($B1410,'标准费用表-2024年&amp;2025年优化'!$D:$E,2,0)</f>
        <v>昆明正大农牧食品有限公司</v>
      </c>
      <c r="D1410" t="s">
        <v>93</v>
      </c>
      <c r="E1410" s="36">
        <f>E1386</f>
        <v>0.96803155588880696</v>
      </c>
      <c r="F1410" s="36">
        <f>F1386</f>
        <v>0</v>
      </c>
      <c r="G1410">
        <v>0.2</v>
      </c>
      <c r="H1410">
        <v>0.3</v>
      </c>
      <c r="J1410" s="2" t="s">
        <v>69</v>
      </c>
    </row>
    <row r="1411" spans="2:10" x14ac:dyDescent="0.3">
      <c r="B1411" s="47" t="s">
        <v>174</v>
      </c>
      <c r="C1411" t="str">
        <f>VLOOKUP($B1411,'标准费用表-2024年&amp;2025年优化'!$D:$E,2,0)</f>
        <v>昆明正大农牧食品有限公司</v>
      </c>
      <c r="D1411" t="s">
        <v>96</v>
      </c>
      <c r="E1411" s="36">
        <f t="shared" ref="E1411:F1411" si="568">E1387</f>
        <v>0.646935200732766</v>
      </c>
      <c r="F1411" s="36">
        <f t="shared" si="568"/>
        <v>0</v>
      </c>
      <c r="G1411">
        <v>0.2</v>
      </c>
      <c r="H1411">
        <v>0.3</v>
      </c>
      <c r="J1411" s="2" t="s">
        <v>69</v>
      </c>
    </row>
    <row r="1412" spans="2:10" x14ac:dyDescent="0.3">
      <c r="B1412" s="47" t="s">
        <v>174</v>
      </c>
      <c r="C1412" t="str">
        <f>VLOOKUP($B1412,'标准费用表-2024年&amp;2025年优化'!$D:$E,2,0)</f>
        <v>昆明正大农牧食品有限公司</v>
      </c>
      <c r="D1412" t="s">
        <v>97</v>
      </c>
      <c r="E1412" s="36">
        <f t="shared" ref="E1412:F1412" si="569">E1388</f>
        <v>1.71216607875581</v>
      </c>
      <c r="F1412" s="36">
        <f t="shared" si="569"/>
        <v>0</v>
      </c>
      <c r="G1412">
        <v>0.2</v>
      </c>
      <c r="H1412">
        <v>0.3</v>
      </c>
      <c r="J1412" s="2" t="s">
        <v>69</v>
      </c>
    </row>
    <row r="1413" spans="2:10" x14ac:dyDescent="0.3">
      <c r="B1413" s="47" t="s">
        <v>174</v>
      </c>
      <c r="C1413" t="str">
        <f>VLOOKUP($B1413,'标准费用表-2024年&amp;2025年优化'!$D:$E,2,0)</f>
        <v>昆明正大农牧食品有限公司</v>
      </c>
      <c r="D1413" t="s">
        <v>98</v>
      </c>
      <c r="E1413" s="36">
        <f t="shared" ref="E1413:F1413" si="570">E1389</f>
        <v>0.99714891493192703</v>
      </c>
      <c r="F1413" s="36">
        <f t="shared" si="570"/>
        <v>0</v>
      </c>
      <c r="G1413">
        <v>0.2</v>
      </c>
      <c r="H1413">
        <v>0.3</v>
      </c>
      <c r="J1413" s="2" t="s">
        <v>69</v>
      </c>
    </row>
    <row r="1414" spans="2:10" x14ac:dyDescent="0.3">
      <c r="B1414" s="47" t="s">
        <v>174</v>
      </c>
      <c r="C1414" t="str">
        <f>VLOOKUP($B1414,'标准费用表-2024年&amp;2025年优化'!$D:$E,2,0)</f>
        <v>昆明正大农牧食品有限公司</v>
      </c>
      <c r="D1414" t="s">
        <v>99</v>
      </c>
      <c r="E1414" s="36">
        <f t="shared" ref="E1414:F1414" si="571">E1390</f>
        <v>0.59902341908133305</v>
      </c>
      <c r="F1414" s="36">
        <f t="shared" si="571"/>
        <v>0</v>
      </c>
      <c r="G1414">
        <v>0.2</v>
      </c>
      <c r="H1414">
        <v>0.3</v>
      </c>
      <c r="J1414" s="2" t="s">
        <v>69</v>
      </c>
    </row>
    <row r="1415" spans="2:10" x14ac:dyDescent="0.3">
      <c r="B1415" s="47" t="s">
        <v>174</v>
      </c>
      <c r="C1415" t="str">
        <f>VLOOKUP($B1415,'标准费用表-2024年&amp;2025年优化'!$D:$E,2,0)</f>
        <v>昆明正大农牧食品有限公司</v>
      </c>
      <c r="D1415" t="s">
        <v>100</v>
      </c>
      <c r="E1415" s="36">
        <f t="shared" ref="E1415:F1415" si="572">E1391</f>
        <v>0.80885927287195203</v>
      </c>
      <c r="F1415" s="36">
        <f t="shared" si="572"/>
        <v>0</v>
      </c>
      <c r="G1415">
        <v>0.2</v>
      </c>
      <c r="H1415">
        <v>0.3</v>
      </c>
      <c r="J1415" s="2" t="s">
        <v>69</v>
      </c>
    </row>
    <row r="1416" spans="2:10" x14ac:dyDescent="0.3">
      <c r="B1416" s="47" t="s">
        <v>174</v>
      </c>
      <c r="C1416" t="str">
        <f>VLOOKUP($B1416,'标准费用表-2024年&amp;2025年优化'!$D:$E,2,0)</f>
        <v>昆明正大农牧食品有限公司</v>
      </c>
      <c r="D1416" t="s">
        <v>101</v>
      </c>
      <c r="E1416" s="36">
        <f t="shared" ref="E1416:F1416" si="573">E1392</f>
        <v>0.60566334955517698</v>
      </c>
      <c r="F1416" s="36">
        <f t="shared" si="573"/>
        <v>0</v>
      </c>
      <c r="G1416">
        <v>0.2</v>
      </c>
      <c r="H1416">
        <v>0.3</v>
      </c>
      <c r="J1416" s="2" t="s">
        <v>69</v>
      </c>
    </row>
    <row r="1417" spans="2:10" x14ac:dyDescent="0.3">
      <c r="B1417" s="47" t="s">
        <v>174</v>
      </c>
      <c r="C1417" t="str">
        <f>VLOOKUP($B1417,'标准费用表-2024年&amp;2025年优化'!$D:$E,2,0)</f>
        <v>昆明正大农牧食品有限公司</v>
      </c>
      <c r="D1417" t="s">
        <v>102</v>
      </c>
      <c r="E1417" s="36">
        <f t="shared" ref="E1417:F1417" si="574">E1393</f>
        <v>0.61715518291663796</v>
      </c>
      <c r="F1417" s="36">
        <f t="shared" si="574"/>
        <v>0</v>
      </c>
      <c r="G1417">
        <v>0.2</v>
      </c>
      <c r="H1417">
        <v>0.3</v>
      </c>
      <c r="J1417" s="2" t="s">
        <v>69</v>
      </c>
    </row>
    <row r="1418" spans="2:10" x14ac:dyDescent="0.3">
      <c r="B1418" s="47" t="s">
        <v>174</v>
      </c>
      <c r="C1418" t="str">
        <f>VLOOKUP($B1418,'标准费用表-2024年&amp;2025年优化'!$D:$E,2,0)</f>
        <v>昆明正大农牧食品有限公司</v>
      </c>
      <c r="D1418" t="s">
        <v>103</v>
      </c>
      <c r="E1418" s="36">
        <f t="shared" ref="E1418:F1418" si="575">E1394</f>
        <v>0.61182911672733098</v>
      </c>
      <c r="F1418" s="36">
        <f t="shared" si="575"/>
        <v>0</v>
      </c>
      <c r="G1418">
        <v>0.2</v>
      </c>
      <c r="H1418">
        <v>0.3</v>
      </c>
      <c r="J1418" s="2" t="s">
        <v>69</v>
      </c>
    </row>
    <row r="1419" spans="2:10" x14ac:dyDescent="0.3">
      <c r="B1419" s="47" t="s">
        <v>174</v>
      </c>
      <c r="C1419" t="str">
        <f>VLOOKUP($B1419,'标准费用表-2024年&amp;2025年优化'!$D:$E,2,0)</f>
        <v>昆明正大农牧食品有限公司</v>
      </c>
      <c r="D1419" t="s">
        <v>104</v>
      </c>
      <c r="E1419" s="36">
        <f t="shared" ref="E1419:F1419" si="576">E1395</f>
        <v>0.52470393984747798</v>
      </c>
      <c r="F1419" s="36">
        <f t="shared" si="576"/>
        <v>0</v>
      </c>
      <c r="G1419">
        <v>0.2</v>
      </c>
      <c r="H1419">
        <v>0.3</v>
      </c>
      <c r="J1419" s="2" t="s">
        <v>69</v>
      </c>
    </row>
    <row r="1420" spans="2:10" x14ac:dyDescent="0.3">
      <c r="B1420" s="47" t="s">
        <v>174</v>
      </c>
      <c r="C1420" t="str">
        <f>VLOOKUP($B1420,'标准费用表-2024年&amp;2025年优化'!$D:$E,2,0)</f>
        <v>昆明正大农牧食品有限公司</v>
      </c>
      <c r="D1420" t="s">
        <v>105</v>
      </c>
      <c r="E1420" s="36">
        <f t="shared" ref="E1420:F1420" si="577">E1396</f>
        <v>0.36650057638553502</v>
      </c>
      <c r="F1420" s="36">
        <f t="shared" si="577"/>
        <v>0</v>
      </c>
      <c r="G1420">
        <v>0.2</v>
      </c>
      <c r="H1420">
        <v>0.3</v>
      </c>
      <c r="J1420" s="2" t="s">
        <v>69</v>
      </c>
    </row>
    <row r="1421" spans="2:10" x14ac:dyDescent="0.3">
      <c r="B1421" s="47" t="s">
        <v>174</v>
      </c>
      <c r="C1421" t="str">
        <f>VLOOKUP($B1421,'标准费用表-2024年&amp;2025年优化'!$D:$E,2,0)</f>
        <v>昆明正大农牧食品有限公司</v>
      </c>
      <c r="D1421" t="s">
        <v>106</v>
      </c>
      <c r="E1421" s="36">
        <f t="shared" ref="E1421:F1421" si="578">E1397</f>
        <v>0.33833294243451201</v>
      </c>
      <c r="F1421" s="36">
        <f t="shared" si="578"/>
        <v>0</v>
      </c>
      <c r="G1421">
        <v>0.2</v>
      </c>
      <c r="H1421">
        <v>0.3</v>
      </c>
      <c r="J1421" s="2" t="s">
        <v>69</v>
      </c>
    </row>
    <row r="1422" spans="2:10" x14ac:dyDescent="0.3">
      <c r="B1422" s="47" t="s">
        <v>174</v>
      </c>
      <c r="C1422" t="str">
        <f>VLOOKUP($B1422,'标准费用表-2024年&amp;2025年优化'!$D:$E,2,0)</f>
        <v>昆明正大农牧食品有限公司</v>
      </c>
      <c r="D1422" t="s">
        <v>107</v>
      </c>
      <c r="E1422" s="36">
        <f t="shared" ref="E1422:F1422" si="579">E1398</f>
        <v>0.46652697591541498</v>
      </c>
      <c r="F1422" s="36">
        <f t="shared" si="579"/>
        <v>0</v>
      </c>
      <c r="G1422">
        <v>0.2</v>
      </c>
      <c r="H1422">
        <v>0.3</v>
      </c>
      <c r="J1422" s="2" t="s">
        <v>69</v>
      </c>
    </row>
    <row r="1423" spans="2:10" x14ac:dyDescent="0.3">
      <c r="B1423" s="47" t="s">
        <v>174</v>
      </c>
      <c r="C1423" t="str">
        <f>VLOOKUP($B1423,'标准费用表-2024年&amp;2025年优化'!$D:$E,2,0)</f>
        <v>昆明正大农牧食品有限公司</v>
      </c>
      <c r="D1423" t="s">
        <v>108</v>
      </c>
      <c r="E1423" s="36">
        <f t="shared" ref="E1423:F1423" si="580">E1399</f>
        <v>0.42507253683860902</v>
      </c>
      <c r="F1423" s="36">
        <f t="shared" si="580"/>
        <v>0</v>
      </c>
      <c r="G1423">
        <v>0.2</v>
      </c>
      <c r="H1423">
        <v>0.3</v>
      </c>
      <c r="J1423" s="2" t="s">
        <v>69</v>
      </c>
    </row>
    <row r="1424" spans="2:10" x14ac:dyDescent="0.3">
      <c r="B1424" s="47" t="s">
        <v>174</v>
      </c>
      <c r="C1424" t="str">
        <f>VLOOKUP($B1424,'标准费用表-2024年&amp;2025年优化'!$D:$E,2,0)</f>
        <v>昆明正大农牧食品有限公司</v>
      </c>
      <c r="D1424" t="s">
        <v>109</v>
      </c>
      <c r="E1424" s="36">
        <f t="shared" ref="E1424:F1424" si="581">E1400</f>
        <v>0.38226749548281902</v>
      </c>
      <c r="F1424" s="36">
        <f t="shared" si="581"/>
        <v>0</v>
      </c>
      <c r="G1424">
        <v>0.2</v>
      </c>
      <c r="H1424">
        <v>0.3</v>
      </c>
      <c r="J1424" s="2" t="s">
        <v>69</v>
      </c>
    </row>
    <row r="1425" spans="2:10" x14ac:dyDescent="0.3">
      <c r="B1425" s="47" t="s">
        <v>174</v>
      </c>
      <c r="C1425" t="str">
        <f>VLOOKUP($B1425,'标准费用表-2024年&amp;2025年优化'!$D:$E,2,0)</f>
        <v>昆明正大农牧食品有限公司</v>
      </c>
      <c r="D1425" t="s">
        <v>110</v>
      </c>
      <c r="E1425" s="36">
        <f t="shared" ref="E1425:F1425" si="582">E1401</f>
        <v>0.38395589788226497</v>
      </c>
      <c r="F1425" s="36">
        <f t="shared" si="582"/>
        <v>0</v>
      </c>
      <c r="G1425">
        <v>0.2</v>
      </c>
      <c r="H1425">
        <v>0.3</v>
      </c>
      <c r="J1425" s="2" t="s">
        <v>69</v>
      </c>
    </row>
    <row r="1426" spans="2:10" x14ac:dyDescent="0.3">
      <c r="B1426" s="47" t="s">
        <v>174</v>
      </c>
      <c r="C1426" t="str">
        <f>VLOOKUP($B1426,'标准费用表-2024年&amp;2025年优化'!$D:$E,2,0)</f>
        <v>昆明正大农牧食品有限公司</v>
      </c>
      <c r="D1426" t="s">
        <v>111</v>
      </c>
      <c r="E1426" s="36">
        <f t="shared" ref="E1426:F1426" si="583">E1402</f>
        <v>0.47738189744902398</v>
      </c>
      <c r="F1426" s="36">
        <f t="shared" si="583"/>
        <v>0</v>
      </c>
      <c r="G1426">
        <v>0.2</v>
      </c>
      <c r="H1426">
        <v>0.3</v>
      </c>
      <c r="J1426" s="2" t="s">
        <v>69</v>
      </c>
    </row>
    <row r="1427" spans="2:10" x14ac:dyDescent="0.3">
      <c r="B1427" s="47" t="s">
        <v>174</v>
      </c>
      <c r="C1427" t="str">
        <f>VLOOKUP($B1427,'标准费用表-2024年&amp;2025年优化'!$D:$E,2,0)</f>
        <v>昆明正大农牧食品有限公司</v>
      </c>
      <c r="D1427" t="s">
        <v>112</v>
      </c>
      <c r="E1427" s="36">
        <f t="shared" ref="E1427:F1427" si="584">E1403</f>
        <v>0.41743069688079998</v>
      </c>
      <c r="F1427" s="36">
        <f t="shared" si="584"/>
        <v>0</v>
      </c>
      <c r="G1427">
        <v>0.2</v>
      </c>
      <c r="H1427">
        <v>0.3</v>
      </c>
      <c r="J1427" s="2" t="s">
        <v>69</v>
      </c>
    </row>
    <row r="1428" spans="2:10" x14ac:dyDescent="0.3">
      <c r="B1428" s="47" t="s">
        <v>174</v>
      </c>
      <c r="C1428" t="str">
        <f>VLOOKUP($B1428,'标准费用表-2024年&amp;2025年优化'!$D:$E,2,0)</f>
        <v>昆明正大农牧食品有限公司</v>
      </c>
      <c r="D1428" t="s">
        <v>113</v>
      </c>
      <c r="E1428" s="36">
        <f t="shared" ref="E1428:F1428" si="585">E1404</f>
        <v>0.30234203151155797</v>
      </c>
      <c r="F1428" s="36">
        <f t="shared" si="585"/>
        <v>0</v>
      </c>
      <c r="G1428">
        <v>0.2</v>
      </c>
      <c r="H1428">
        <v>0.3</v>
      </c>
      <c r="J1428" s="2" t="s">
        <v>69</v>
      </c>
    </row>
    <row r="1429" spans="2:10" x14ac:dyDescent="0.3">
      <c r="B1429" s="47" t="s">
        <v>174</v>
      </c>
      <c r="C1429" t="str">
        <f>VLOOKUP($B1429,'标准费用表-2024年&amp;2025年优化'!$D:$E,2,0)</f>
        <v>昆明正大农牧食品有限公司</v>
      </c>
      <c r="D1429" t="s">
        <v>114</v>
      </c>
      <c r="E1429" s="36">
        <f t="shared" ref="E1429:F1429" si="586">E1405</f>
        <v>1.14193384073046</v>
      </c>
      <c r="F1429" s="36">
        <f t="shared" si="586"/>
        <v>0</v>
      </c>
      <c r="G1429">
        <v>0.2</v>
      </c>
      <c r="H1429">
        <v>0.3</v>
      </c>
      <c r="J1429" s="2" t="s">
        <v>69</v>
      </c>
    </row>
    <row r="1430" spans="2:10" x14ac:dyDescent="0.3">
      <c r="B1430" s="47" t="s">
        <v>174</v>
      </c>
      <c r="C1430" t="str">
        <f>VLOOKUP($B1430,'标准费用表-2024年&amp;2025年优化'!$D:$E,2,0)</f>
        <v>昆明正大农牧食品有限公司</v>
      </c>
      <c r="D1430" t="s">
        <v>115</v>
      </c>
      <c r="E1430" s="36">
        <f t="shared" ref="E1430:F1430" si="587">E1406</f>
        <v>0.49113984259568599</v>
      </c>
      <c r="F1430" s="36">
        <f t="shared" si="587"/>
        <v>0</v>
      </c>
      <c r="G1430">
        <v>0.2</v>
      </c>
      <c r="H1430">
        <v>0.3</v>
      </c>
      <c r="J1430" s="2" t="s">
        <v>69</v>
      </c>
    </row>
    <row r="1431" spans="2:10" x14ac:dyDescent="0.3">
      <c r="B1431" s="47" t="s">
        <v>174</v>
      </c>
      <c r="C1431" t="str">
        <f>VLOOKUP($B1431,'标准费用表-2024年&amp;2025年优化'!$D:$E,2,0)</f>
        <v>昆明正大农牧食品有限公司</v>
      </c>
      <c r="D1431" t="s">
        <v>116</v>
      </c>
      <c r="E1431" s="36">
        <f t="shared" ref="E1431:F1431" si="588">E1407</f>
        <v>0.310355329513615</v>
      </c>
      <c r="F1431" s="36">
        <f t="shared" si="588"/>
        <v>0</v>
      </c>
      <c r="G1431">
        <v>0.2</v>
      </c>
      <c r="H1431">
        <v>0.3</v>
      </c>
      <c r="J1431" s="2" t="s">
        <v>69</v>
      </c>
    </row>
    <row r="1432" spans="2:10" x14ac:dyDescent="0.3">
      <c r="B1432" s="47" t="s">
        <v>174</v>
      </c>
      <c r="C1432" t="str">
        <f>VLOOKUP($B1432,'标准费用表-2024年&amp;2025年优化'!$D:$E,2,0)</f>
        <v>昆明正大农牧食品有限公司</v>
      </c>
      <c r="D1432" t="s">
        <v>117</v>
      </c>
      <c r="E1432" s="36">
        <f t="shared" ref="E1432:F1432" si="589">E1408</f>
        <v>0.25733276183162201</v>
      </c>
      <c r="F1432" s="36">
        <f t="shared" si="589"/>
        <v>0</v>
      </c>
      <c r="G1432">
        <v>0.2</v>
      </c>
      <c r="H1432">
        <v>0.3</v>
      </c>
      <c r="J1432" s="2" t="s">
        <v>69</v>
      </c>
    </row>
    <row r="1433" spans="2:10" x14ac:dyDescent="0.3">
      <c r="B1433" s="47" t="s">
        <v>174</v>
      </c>
      <c r="C1433" t="str">
        <f>VLOOKUP($B1433,'标准费用表-2024年&amp;2025年优化'!$D:$E,2,0)</f>
        <v>昆明正大农牧食品有限公司</v>
      </c>
      <c r="D1433" t="s">
        <v>118</v>
      </c>
      <c r="E1433" s="36">
        <f t="shared" ref="E1433:F1433" si="590">E1409</f>
        <v>0.102136212931108</v>
      </c>
      <c r="F1433" s="36">
        <f t="shared" si="590"/>
        <v>0</v>
      </c>
      <c r="G1433">
        <v>0.2</v>
      </c>
      <c r="H1433">
        <v>0.3</v>
      </c>
      <c r="J1433" s="2" t="s">
        <v>69</v>
      </c>
    </row>
    <row r="1434" spans="2:10" x14ac:dyDescent="0.3">
      <c r="B1434" s="47" t="s">
        <v>174</v>
      </c>
      <c r="C1434" t="str">
        <f>VLOOKUP($B1434,'标准费用表-2024年&amp;2025年优化'!$D:$E,2,0)</f>
        <v>昆明正大农牧食品有限公司</v>
      </c>
      <c r="D1434" t="s">
        <v>119</v>
      </c>
      <c r="E1434" s="36">
        <f>E1362</f>
        <v>0.36940006434497802</v>
      </c>
      <c r="F1434" s="36">
        <f t="shared" ref="F1434" si="591">F1410</f>
        <v>0</v>
      </c>
      <c r="G1434">
        <v>0.2</v>
      </c>
      <c r="H1434">
        <v>0.3</v>
      </c>
      <c r="J1434" s="2" t="s">
        <v>69</v>
      </c>
    </row>
    <row r="1435" spans="2:10" x14ac:dyDescent="0.3">
      <c r="B1435" s="47" t="s">
        <v>174</v>
      </c>
      <c r="C1435" t="str">
        <f>VLOOKUP($B1435,'标准费用表-2024年&amp;2025年优化'!$D:$E,2,0)</f>
        <v>昆明正大农牧食品有限公司</v>
      </c>
      <c r="D1435" t="s">
        <v>120</v>
      </c>
      <c r="E1435" s="36">
        <f t="shared" ref="E1435:E1457" si="592">E1363</f>
        <v>0.98726733281468104</v>
      </c>
      <c r="F1435" s="36">
        <f t="shared" ref="F1435" si="593">F1411</f>
        <v>0</v>
      </c>
      <c r="G1435">
        <v>0.2</v>
      </c>
      <c r="H1435">
        <v>0.3</v>
      </c>
      <c r="J1435" s="2" t="s">
        <v>69</v>
      </c>
    </row>
    <row r="1436" spans="2:10" x14ac:dyDescent="0.3">
      <c r="B1436" s="47" t="s">
        <v>174</v>
      </c>
      <c r="C1436" t="str">
        <f>VLOOKUP($B1436,'标准费用表-2024年&amp;2025年优化'!$D:$E,2,0)</f>
        <v>昆明正大农牧食品有限公司</v>
      </c>
      <c r="D1436" t="s">
        <v>121</v>
      </c>
      <c r="E1436" s="36">
        <f t="shared" si="592"/>
        <v>1.82732715773906</v>
      </c>
      <c r="F1436" s="36">
        <f t="shared" ref="F1436" si="594">F1412</f>
        <v>0</v>
      </c>
      <c r="G1436">
        <v>0.2</v>
      </c>
      <c r="H1436">
        <v>0.3</v>
      </c>
      <c r="J1436" s="2" t="s">
        <v>69</v>
      </c>
    </row>
    <row r="1437" spans="2:10" x14ac:dyDescent="0.3">
      <c r="B1437" s="47" t="s">
        <v>174</v>
      </c>
      <c r="C1437" t="str">
        <f>VLOOKUP($B1437,'标准费用表-2024年&amp;2025年优化'!$D:$E,2,0)</f>
        <v>昆明正大农牧食品有限公司</v>
      </c>
      <c r="D1437" t="s">
        <v>122</v>
      </c>
      <c r="E1437" s="36">
        <f t="shared" si="592"/>
        <v>0.38402211792271101</v>
      </c>
      <c r="F1437" s="36">
        <f t="shared" ref="F1437" si="595">F1413</f>
        <v>0</v>
      </c>
      <c r="G1437">
        <v>0.2</v>
      </c>
      <c r="H1437">
        <v>0.3</v>
      </c>
      <c r="J1437" s="2" t="s">
        <v>69</v>
      </c>
    </row>
    <row r="1438" spans="2:10" x14ac:dyDescent="0.3">
      <c r="B1438" s="47" t="s">
        <v>174</v>
      </c>
      <c r="C1438" t="str">
        <f>VLOOKUP($B1438,'标准费用表-2024年&amp;2025年优化'!$D:$E,2,0)</f>
        <v>昆明正大农牧食品有限公司</v>
      </c>
      <c r="D1438" t="s">
        <v>123</v>
      </c>
      <c r="E1438" s="36">
        <f t="shared" si="592"/>
        <v>0.16953598552218199</v>
      </c>
      <c r="F1438" s="36">
        <f t="shared" ref="F1438" si="596">F1414</f>
        <v>0</v>
      </c>
      <c r="G1438">
        <v>0.2</v>
      </c>
      <c r="H1438">
        <v>0.3</v>
      </c>
      <c r="J1438" s="2" t="s">
        <v>69</v>
      </c>
    </row>
    <row r="1439" spans="2:10" x14ac:dyDescent="0.3">
      <c r="B1439" s="47" t="s">
        <v>174</v>
      </c>
      <c r="C1439" t="str">
        <f>VLOOKUP($B1439,'标准费用表-2024年&amp;2025年优化'!$D:$E,2,0)</f>
        <v>昆明正大农牧食品有限公司</v>
      </c>
      <c r="D1439" t="s">
        <v>124</v>
      </c>
      <c r="E1439" s="36">
        <f t="shared" si="592"/>
        <v>0.52469138297115303</v>
      </c>
      <c r="F1439" s="36">
        <f t="shared" ref="F1439" si="597">F1415</f>
        <v>0</v>
      </c>
      <c r="G1439">
        <v>0.2</v>
      </c>
      <c r="H1439">
        <v>0.3</v>
      </c>
      <c r="J1439" s="2" t="s">
        <v>69</v>
      </c>
    </row>
    <row r="1440" spans="2:10" x14ac:dyDescent="0.3">
      <c r="B1440" s="47" t="s">
        <v>174</v>
      </c>
      <c r="C1440" t="str">
        <f>VLOOKUP($B1440,'标准费用表-2024年&amp;2025年优化'!$D:$E,2,0)</f>
        <v>昆明正大农牧食品有限公司</v>
      </c>
      <c r="D1440" t="s">
        <v>125</v>
      </c>
      <c r="E1440" s="36">
        <f t="shared" si="592"/>
        <v>0.86674911630320794</v>
      </c>
      <c r="F1440" s="36">
        <f t="shared" ref="F1440" si="598">F1416</f>
        <v>0</v>
      </c>
      <c r="G1440">
        <v>0.2</v>
      </c>
      <c r="H1440">
        <v>0.3</v>
      </c>
      <c r="J1440" s="2" t="s">
        <v>69</v>
      </c>
    </row>
    <row r="1441" spans="2:10" x14ac:dyDescent="0.3">
      <c r="B1441" s="47" t="s">
        <v>174</v>
      </c>
      <c r="C1441" t="str">
        <f>VLOOKUP($B1441,'标准费用表-2024年&amp;2025年优化'!$D:$E,2,0)</f>
        <v>昆明正大农牧食品有限公司</v>
      </c>
      <c r="D1441" t="s">
        <v>126</v>
      </c>
      <c r="E1441" s="36">
        <f t="shared" si="592"/>
        <v>1.2573451791983901</v>
      </c>
      <c r="F1441" s="36">
        <f t="shared" ref="F1441" si="599">F1417</f>
        <v>0</v>
      </c>
      <c r="G1441">
        <v>0.2</v>
      </c>
      <c r="H1441">
        <v>0.3</v>
      </c>
      <c r="J1441" s="2" t="s">
        <v>69</v>
      </c>
    </row>
    <row r="1442" spans="2:10" x14ac:dyDescent="0.3">
      <c r="B1442" s="47" t="s">
        <v>174</v>
      </c>
      <c r="C1442" t="str">
        <f>VLOOKUP($B1442,'标准费用表-2024年&amp;2025年优化'!$D:$E,2,0)</f>
        <v>昆明正大农牧食品有限公司</v>
      </c>
      <c r="D1442" t="s">
        <v>127</v>
      </c>
      <c r="E1442" s="36">
        <f t="shared" si="592"/>
        <v>0.73459498235364196</v>
      </c>
      <c r="F1442" s="36">
        <f t="shared" ref="F1442" si="600">F1418</f>
        <v>0</v>
      </c>
      <c r="G1442">
        <v>0.2</v>
      </c>
      <c r="H1442">
        <v>0.3</v>
      </c>
      <c r="J1442" s="2" t="s">
        <v>69</v>
      </c>
    </row>
    <row r="1443" spans="2:10" x14ac:dyDescent="0.3">
      <c r="B1443" s="47" t="s">
        <v>174</v>
      </c>
      <c r="C1443" t="str">
        <f>VLOOKUP($B1443,'标准费用表-2024年&amp;2025年优化'!$D:$E,2,0)</f>
        <v>昆明正大农牧食品有限公司</v>
      </c>
      <c r="D1443" t="s">
        <v>128</v>
      </c>
      <c r="E1443" s="36">
        <f t="shared" si="592"/>
        <v>0.67462267222852701</v>
      </c>
      <c r="F1443" s="36">
        <f t="shared" ref="F1443" si="601">F1419</f>
        <v>0</v>
      </c>
      <c r="G1443">
        <v>0.2</v>
      </c>
      <c r="H1443">
        <v>0.3</v>
      </c>
      <c r="J1443" s="2" t="s">
        <v>69</v>
      </c>
    </row>
    <row r="1444" spans="2:10" x14ac:dyDescent="0.3">
      <c r="B1444" s="47" t="s">
        <v>174</v>
      </c>
      <c r="C1444" t="str">
        <f>VLOOKUP($B1444,'标准费用表-2024年&amp;2025年优化'!$D:$E,2,0)</f>
        <v>昆明正大农牧食品有限公司</v>
      </c>
      <c r="D1444" t="s">
        <v>129</v>
      </c>
      <c r="E1444" s="36">
        <f t="shared" si="592"/>
        <v>0.86182489900332904</v>
      </c>
      <c r="F1444" s="36">
        <f t="shared" ref="F1444" si="602">F1420</f>
        <v>0</v>
      </c>
      <c r="G1444">
        <v>0.2</v>
      </c>
      <c r="H1444">
        <v>0.3</v>
      </c>
      <c r="J1444" s="2" t="s">
        <v>69</v>
      </c>
    </row>
    <row r="1445" spans="2:10" x14ac:dyDescent="0.3">
      <c r="B1445" s="47" t="s">
        <v>174</v>
      </c>
      <c r="C1445" t="str">
        <f>VLOOKUP($B1445,'标准费用表-2024年&amp;2025年优化'!$D:$E,2,0)</f>
        <v>昆明正大农牧食品有限公司</v>
      </c>
      <c r="D1445" t="s">
        <v>130</v>
      </c>
      <c r="E1445" s="36">
        <f t="shared" si="592"/>
        <v>1.49896378731459</v>
      </c>
      <c r="F1445" s="36">
        <f t="shared" ref="F1445" si="603">F1421</f>
        <v>0</v>
      </c>
      <c r="G1445">
        <v>0.2</v>
      </c>
      <c r="H1445">
        <v>0.3</v>
      </c>
      <c r="J1445" s="2" t="s">
        <v>69</v>
      </c>
    </row>
    <row r="1446" spans="2:10" x14ac:dyDescent="0.3">
      <c r="B1446" s="47" t="s">
        <v>174</v>
      </c>
      <c r="C1446" t="str">
        <f>VLOOKUP($B1446,'标准费用表-2024年&amp;2025年优化'!$D:$E,2,0)</f>
        <v>昆明正大农牧食品有限公司</v>
      </c>
      <c r="D1446" t="s">
        <v>131</v>
      </c>
      <c r="E1446" s="36">
        <f t="shared" si="592"/>
        <v>0.25520685860036102</v>
      </c>
      <c r="F1446" s="36">
        <f t="shared" ref="F1446" si="604">F1422</f>
        <v>0</v>
      </c>
      <c r="G1446">
        <v>0.2</v>
      </c>
      <c r="H1446">
        <v>0.3</v>
      </c>
      <c r="J1446" s="2" t="s">
        <v>69</v>
      </c>
    </row>
    <row r="1447" spans="2:10" x14ac:dyDescent="0.3">
      <c r="B1447" s="47" t="s">
        <v>174</v>
      </c>
      <c r="C1447" t="str">
        <f>VLOOKUP($B1447,'标准费用表-2024年&amp;2025年优化'!$D:$E,2,0)</f>
        <v>昆明正大农牧食品有限公司</v>
      </c>
      <c r="D1447" t="s">
        <v>132</v>
      </c>
      <c r="E1447" s="36">
        <f t="shared" si="592"/>
        <v>5.9087354435203999E-2</v>
      </c>
      <c r="F1447" s="36">
        <f t="shared" ref="F1447" si="605">F1423</f>
        <v>0</v>
      </c>
      <c r="G1447">
        <v>0.2</v>
      </c>
      <c r="H1447">
        <v>0.3</v>
      </c>
      <c r="J1447" s="2" t="s">
        <v>69</v>
      </c>
    </row>
    <row r="1448" spans="2:10" x14ac:dyDescent="0.3">
      <c r="B1448" s="47" t="s">
        <v>174</v>
      </c>
      <c r="C1448" t="str">
        <f>VLOOKUP($B1448,'标准费用表-2024年&amp;2025年优化'!$D:$E,2,0)</f>
        <v>昆明正大农牧食品有限公司</v>
      </c>
      <c r="D1448" t="s">
        <v>133</v>
      </c>
      <c r="E1448" s="36">
        <f t="shared" si="592"/>
        <v>0.31701001091057501</v>
      </c>
      <c r="F1448" s="36">
        <f t="shared" ref="F1448" si="606">F1424</f>
        <v>0</v>
      </c>
      <c r="G1448">
        <v>0.2</v>
      </c>
      <c r="H1448">
        <v>0.3</v>
      </c>
      <c r="J1448" s="2" t="s">
        <v>69</v>
      </c>
    </row>
    <row r="1449" spans="2:10" x14ac:dyDescent="0.3">
      <c r="B1449" s="47" t="s">
        <v>174</v>
      </c>
      <c r="C1449" t="str">
        <f>VLOOKUP($B1449,'标准费用表-2024年&amp;2025年优化'!$D:$E,2,0)</f>
        <v>昆明正大农牧食品有限公司</v>
      </c>
      <c r="D1449" t="s">
        <v>134</v>
      </c>
      <c r="E1449" s="36">
        <f t="shared" si="592"/>
        <v>0.20735065122562299</v>
      </c>
      <c r="F1449" s="36">
        <f t="shared" ref="F1449" si="607">F1425</f>
        <v>0</v>
      </c>
      <c r="G1449">
        <v>0.2</v>
      </c>
      <c r="H1449">
        <v>0.3</v>
      </c>
      <c r="J1449" s="2" t="s">
        <v>69</v>
      </c>
    </row>
    <row r="1450" spans="2:10" x14ac:dyDescent="0.3">
      <c r="B1450" s="47" t="s">
        <v>174</v>
      </c>
      <c r="C1450" t="str">
        <f>VLOOKUP($B1450,'标准费用表-2024年&amp;2025年优化'!$D:$E,2,0)</f>
        <v>昆明正大农牧食品有限公司</v>
      </c>
      <c r="D1450" t="s">
        <v>135</v>
      </c>
      <c r="E1450" s="36">
        <f t="shared" si="592"/>
        <v>0.13743466440614099</v>
      </c>
      <c r="F1450" s="36">
        <f t="shared" ref="F1450" si="608">F1426</f>
        <v>0</v>
      </c>
      <c r="G1450">
        <v>0.2</v>
      </c>
      <c r="H1450">
        <v>0.3</v>
      </c>
      <c r="J1450" s="2" t="s">
        <v>69</v>
      </c>
    </row>
    <row r="1451" spans="2:10" x14ac:dyDescent="0.3">
      <c r="B1451" s="47" t="s">
        <v>174</v>
      </c>
      <c r="C1451" t="str">
        <f>VLOOKUP($B1451,'标准费用表-2024年&amp;2025年优化'!$D:$E,2,0)</f>
        <v>昆明正大农牧食品有限公司</v>
      </c>
      <c r="D1451" t="s">
        <v>136</v>
      </c>
      <c r="E1451" s="36">
        <f t="shared" si="592"/>
        <v>2.37283985658347E-2</v>
      </c>
      <c r="F1451" s="36">
        <f t="shared" ref="F1451" si="609">F1427</f>
        <v>0</v>
      </c>
      <c r="G1451">
        <v>0.2</v>
      </c>
      <c r="H1451">
        <v>0.3</v>
      </c>
      <c r="J1451" s="2" t="s">
        <v>69</v>
      </c>
    </row>
    <row r="1452" spans="2:10" x14ac:dyDescent="0.3">
      <c r="B1452" s="47" t="s">
        <v>174</v>
      </c>
      <c r="C1452" t="str">
        <f>VLOOKUP($B1452,'标准费用表-2024年&amp;2025年优化'!$D:$E,2,0)</f>
        <v>昆明正大农牧食品有限公司</v>
      </c>
      <c r="D1452" t="s">
        <v>137</v>
      </c>
      <c r="E1452" s="36">
        <f t="shared" si="592"/>
        <v>0.124175628644995</v>
      </c>
      <c r="F1452" s="36">
        <f t="shared" ref="F1452" si="610">F1428</f>
        <v>0</v>
      </c>
      <c r="G1452">
        <v>0.2</v>
      </c>
      <c r="H1452">
        <v>0.3</v>
      </c>
      <c r="J1452" s="2" t="s">
        <v>69</v>
      </c>
    </row>
    <row r="1453" spans="2:10" x14ac:dyDescent="0.3">
      <c r="B1453" s="47" t="s">
        <v>174</v>
      </c>
      <c r="C1453" t="str">
        <f>VLOOKUP($B1453,'标准费用表-2024年&amp;2025年优化'!$D:$E,2,0)</f>
        <v>昆明正大农牧食品有限公司</v>
      </c>
      <c r="D1453" t="s">
        <v>138</v>
      </c>
      <c r="E1453" s="36">
        <f t="shared" si="592"/>
        <v>0.113947619648558</v>
      </c>
      <c r="F1453" s="36">
        <f t="shared" ref="F1453" si="611">F1429</f>
        <v>0</v>
      </c>
      <c r="G1453">
        <v>0.2</v>
      </c>
      <c r="H1453">
        <v>0.3</v>
      </c>
      <c r="J1453" s="2" t="s">
        <v>69</v>
      </c>
    </row>
    <row r="1454" spans="2:10" x14ac:dyDescent="0.3">
      <c r="B1454" s="47" t="s">
        <v>174</v>
      </c>
      <c r="C1454" t="str">
        <f>VLOOKUP($B1454,'标准费用表-2024年&amp;2025年优化'!$D:$E,2,0)</f>
        <v>昆明正大农牧食品有限公司</v>
      </c>
      <c r="D1454" t="s">
        <v>139</v>
      </c>
      <c r="E1454" s="36">
        <f t="shared" si="592"/>
        <v>0.39864700199622799</v>
      </c>
      <c r="F1454" s="36">
        <f t="shared" ref="F1454" si="612">F1430</f>
        <v>0</v>
      </c>
      <c r="G1454">
        <v>0.2</v>
      </c>
      <c r="H1454">
        <v>0.3</v>
      </c>
      <c r="J1454" s="2" t="s">
        <v>69</v>
      </c>
    </row>
    <row r="1455" spans="2:10" x14ac:dyDescent="0.3">
      <c r="B1455" s="47" t="s">
        <v>174</v>
      </c>
      <c r="C1455" t="str">
        <f>VLOOKUP($B1455,'标准费用表-2024年&amp;2025年优化'!$D:$E,2,0)</f>
        <v>昆明正大农牧食品有限公司</v>
      </c>
      <c r="D1455" t="s">
        <v>140</v>
      </c>
      <c r="E1455" s="36">
        <f t="shared" si="592"/>
        <v>0.46692327643834802</v>
      </c>
      <c r="F1455" s="36">
        <f t="shared" ref="F1455" si="613">F1431</f>
        <v>0</v>
      </c>
      <c r="G1455">
        <v>0.2</v>
      </c>
      <c r="H1455">
        <v>0.3</v>
      </c>
      <c r="J1455" s="2" t="s">
        <v>69</v>
      </c>
    </row>
    <row r="1456" spans="2:10" x14ac:dyDescent="0.3">
      <c r="B1456" s="47" t="s">
        <v>174</v>
      </c>
      <c r="C1456" t="str">
        <f>VLOOKUP($B1456,'标准费用表-2024年&amp;2025年优化'!$D:$E,2,0)</f>
        <v>昆明正大农牧食品有限公司</v>
      </c>
      <c r="D1456" t="s">
        <v>141</v>
      </c>
      <c r="E1456" s="36">
        <f t="shared" si="592"/>
        <v>0.13351292657852801</v>
      </c>
      <c r="F1456" s="36">
        <f t="shared" ref="F1456" si="614">F1432</f>
        <v>0</v>
      </c>
      <c r="G1456">
        <v>0.2</v>
      </c>
      <c r="H1456">
        <v>0.3</v>
      </c>
      <c r="J1456" s="2" t="s">
        <v>69</v>
      </c>
    </row>
    <row r="1457" spans="2:10" x14ac:dyDescent="0.3">
      <c r="B1457" s="47" t="s">
        <v>174</v>
      </c>
      <c r="C1457" t="str">
        <f>VLOOKUP($B1457,'标准费用表-2024年&amp;2025年优化'!$D:$E,2,0)</f>
        <v>昆明正大农牧食品有限公司</v>
      </c>
      <c r="D1457" t="s">
        <v>142</v>
      </c>
      <c r="E1457" s="36">
        <f t="shared" si="592"/>
        <v>3.97236948221577E-2</v>
      </c>
      <c r="F1457" s="36">
        <f t="shared" ref="F1457" si="615">F1433</f>
        <v>0</v>
      </c>
      <c r="G1457">
        <v>0.2</v>
      </c>
      <c r="H1457">
        <v>0.3</v>
      </c>
      <c r="J1457" s="2" t="s">
        <v>69</v>
      </c>
    </row>
    <row r="1458" spans="2:10" x14ac:dyDescent="0.3">
      <c r="B1458" s="47" t="s">
        <v>201</v>
      </c>
      <c r="C1458" t="str">
        <f>VLOOKUP($B1458,'标准费用表-2024年&amp;2025年优化'!$D:$E,2,0)</f>
        <v>正大食品（咸宁）有限公司</v>
      </c>
      <c r="D1458" t="s">
        <v>41</v>
      </c>
      <c r="E1458" s="46">
        <f>IFERROR(VLOOKUP($B1458,'标准费用表-2024年&amp;2025年优化'!$D:$K,8,0)*VLOOKUP('5.成本表'!$D1458,系数辅助表!$C:$G,5,0)/VLOOKUP($D1458,系数辅助表!$C:$E,3,0),0)</f>
        <v>0.71138884276637304</v>
      </c>
      <c r="I1458" s="36">
        <f>VLOOKUP($D1458,系数辅助表!$C:$F,4,0)</f>
        <v>1.33</v>
      </c>
      <c r="J1458" s="2" t="s">
        <v>41</v>
      </c>
    </row>
    <row r="1459" spans="2:10" x14ac:dyDescent="0.3">
      <c r="B1459" s="47" t="s">
        <v>201</v>
      </c>
      <c r="C1459" t="str">
        <f>VLOOKUP($B1459,'标准费用表-2024年&amp;2025年优化'!$D:$E,2,0)</f>
        <v>正大食品（咸宁）有限公司</v>
      </c>
      <c r="D1459" t="s">
        <v>44</v>
      </c>
      <c r="E1459" s="46">
        <f>IFERROR(VLOOKUP($B1459,'标准费用表-2024年&amp;2025年优化'!$D:$K,8,0)*系数辅助表!$J$6*VLOOKUP('5.成本表'!$D1459,系数辅助表!$C:$G,5,0)/VLOOKUP($D1459,系数辅助表!$C:$E,3,0),0)</f>
        <v>0.40687274890288799</v>
      </c>
      <c r="I1459" s="36">
        <f>VLOOKUP($D1459,系数辅助表!$C:$F,4,0)</f>
        <v>0.789027855994753</v>
      </c>
      <c r="J1459" s="2" t="s">
        <v>200</v>
      </c>
    </row>
    <row r="1460" spans="2:10" x14ac:dyDescent="0.3">
      <c r="B1460" s="47" t="s">
        <v>201</v>
      </c>
      <c r="C1460" t="str">
        <f>VLOOKUP($B1460,'标准费用表-2024年&amp;2025年优化'!$D:$E,2,0)</f>
        <v>正大食品（咸宁）有限公司</v>
      </c>
      <c r="D1460" t="s">
        <v>45</v>
      </c>
      <c r="E1460" s="46">
        <f>IFERROR(VLOOKUP($B1460,'标准费用表-2024年&amp;2025年优化'!$D:$K,8,0)*系数辅助表!$J$6*VLOOKUP('5.成本表'!$D1460,系数辅助表!$C:$G,5,0)/VLOOKUP($D1460,系数辅助表!$C:$E,3,0),0)</f>
        <v>1.08741771422432</v>
      </c>
      <c r="I1460" s="36">
        <f>VLOOKUP($D1460,系数辅助表!$C:$F,4,0)</f>
        <v>2.1087744754070901</v>
      </c>
      <c r="J1460" s="2" t="s">
        <v>200</v>
      </c>
    </row>
    <row r="1461" spans="2:10" x14ac:dyDescent="0.3">
      <c r="B1461" s="47" t="s">
        <v>201</v>
      </c>
      <c r="C1461" t="str">
        <f>VLOOKUP($B1461,'标准费用表-2024年&amp;2025年优化'!$D:$E,2,0)</f>
        <v>正大食品（咸宁）有限公司</v>
      </c>
      <c r="D1461" t="s">
        <v>46</v>
      </c>
      <c r="E1461" s="46">
        <f>IFERROR(VLOOKUP($B1461,'标准费用表-2024年&amp;2025年优化'!$D:$K,8,0)*系数辅助表!$J$6*VLOOKUP('5.成本表'!$D1461,系数辅助表!$C:$G,5,0)/VLOOKUP($D1461,系数辅助表!$C:$E,3,0),0)</f>
        <v>2.0126948952555002</v>
      </c>
      <c r="I1461" s="36">
        <f>VLOOKUP($D1461,系数辅助表!$C:$F,4,0)</f>
        <v>3.9031179705625099</v>
      </c>
      <c r="J1461" s="2" t="s">
        <v>200</v>
      </c>
    </row>
    <row r="1462" spans="2:10" x14ac:dyDescent="0.3">
      <c r="B1462" s="47" t="s">
        <v>201</v>
      </c>
      <c r="C1462" t="str">
        <f>VLOOKUP($B1462,'标准费用表-2024年&amp;2025年优化'!$D:$E,2,0)</f>
        <v>正大食品（咸宁）有限公司</v>
      </c>
      <c r="D1462" t="s">
        <v>47</v>
      </c>
      <c r="E1462" s="46">
        <f>IFERROR(VLOOKUP($B1462,'标准费用表-2024年&amp;2025年优化'!$D:$K,8,0)*系数辅助表!$J$6*VLOOKUP('5.成本表'!$D1462,系数辅助表!$C:$G,5,0)/VLOOKUP($D1462,系数辅助表!$C:$E,3,0),0)</f>
        <v>0.42297809296753303</v>
      </c>
      <c r="I1462" s="36">
        <f>VLOOKUP($D1462,系数辅助表!$C:$F,4,0)</f>
        <v>0.82026013963048305</v>
      </c>
      <c r="J1462" s="2" t="s">
        <v>200</v>
      </c>
    </row>
    <row r="1463" spans="2:10" x14ac:dyDescent="0.3">
      <c r="B1463" s="47" t="s">
        <v>201</v>
      </c>
      <c r="C1463" t="str">
        <f>VLOOKUP($B1463,'标准费用表-2024年&amp;2025年优化'!$D:$E,2,0)</f>
        <v>正大食品（咸宁）有限公司</v>
      </c>
      <c r="D1463" t="s">
        <v>48</v>
      </c>
      <c r="E1463" s="46">
        <f>IFERROR(VLOOKUP($B1463,'标准费用表-2024年&amp;2025年优化'!$D:$K,8,0)*系数辅助表!$J$6*VLOOKUP('5.成本表'!$D1463,系数辅助表!$C:$G,5,0)/VLOOKUP($D1463,系数辅助表!$C:$E,3,0),0)</f>
        <v>0.186734056448218</v>
      </c>
      <c r="I1463" s="36">
        <f>VLOOKUP($D1463,系数辅助表!$C:$F,4,0)</f>
        <v>0.36212396283071502</v>
      </c>
      <c r="J1463" s="2" t="s">
        <v>200</v>
      </c>
    </row>
    <row r="1464" spans="2:10" x14ac:dyDescent="0.3">
      <c r="B1464" s="47" t="s">
        <v>201</v>
      </c>
      <c r="C1464" t="str">
        <f>VLOOKUP($B1464,'标准费用表-2024年&amp;2025年优化'!$D:$E,2,0)</f>
        <v>正大食品（咸宁）有限公司</v>
      </c>
      <c r="D1464" t="s">
        <v>49</v>
      </c>
      <c r="E1464" s="46">
        <f>IFERROR(VLOOKUP($B1464,'标准费用表-2024年&amp;2025年优化'!$D:$K,8,0)*系数辅助表!$J$6*VLOOKUP('5.成本表'!$D1464,系数辅助表!$C:$G,5,0)/VLOOKUP($D1464,系数辅助表!$C:$E,3,0),0)</f>
        <v>0.57791713083125695</v>
      </c>
      <c r="I1464" s="36">
        <f>VLOOKUP($D1464,系数辅助表!$C:$F,4,0)</f>
        <v>1.1207256222295201</v>
      </c>
      <c r="J1464" s="2" t="s">
        <v>200</v>
      </c>
    </row>
    <row r="1465" spans="2:10" x14ac:dyDescent="0.3">
      <c r="B1465" s="47" t="s">
        <v>201</v>
      </c>
      <c r="C1465" t="str">
        <f>VLOOKUP($B1465,'标准费用表-2024年&amp;2025年优化'!$D:$E,2,0)</f>
        <v>正大食品（咸宁）有限公司</v>
      </c>
      <c r="D1465" t="s">
        <v>50</v>
      </c>
      <c r="E1465" s="46">
        <f>IFERROR(VLOOKUP($B1465,'标准费用表-2024年&amp;2025年优化'!$D:$K,8,0)*系数辅助表!$J$6*VLOOKUP('5.成本表'!$D1465,系数辅助表!$C:$G,5,0)/VLOOKUP($D1465,系数辅助表!$C:$E,3,0),0)</f>
        <v>0.95467388773948403</v>
      </c>
      <c r="I1465" s="36">
        <f>VLOOKUP($D1465,系数辅助表!$C:$F,4,0)</f>
        <v>1.8513510498021799</v>
      </c>
      <c r="J1465" s="2" t="s">
        <v>200</v>
      </c>
    </row>
    <row r="1466" spans="2:10" x14ac:dyDescent="0.3">
      <c r="B1466" s="47" t="s">
        <v>201</v>
      </c>
      <c r="C1466" t="str">
        <f>VLOOKUP($B1466,'标准费用表-2024年&amp;2025年优化'!$D:$E,2,0)</f>
        <v>正大食品（咸宁）有限公司</v>
      </c>
      <c r="D1466" t="s">
        <v>51</v>
      </c>
      <c r="E1466" s="46">
        <f>IFERROR(VLOOKUP($B1466,'标准费用表-2024年&amp;2025年优化'!$D:$K,8,0)*系数辅助表!$J$6*VLOOKUP('5.成本表'!$D1466,系数辅助表!$C:$G,5,0)/VLOOKUP($D1466,系数辅助表!$C:$E,3,0),0)</f>
        <v>1.3848927998628799</v>
      </c>
      <c r="I1466" s="36">
        <f>VLOOKUP($D1466,系数辅助表!$C:$F,4,0)</f>
        <v>2.68565294580391</v>
      </c>
      <c r="J1466" s="2" t="s">
        <v>200</v>
      </c>
    </row>
    <row r="1467" spans="2:10" x14ac:dyDescent="0.3">
      <c r="B1467" s="47" t="s">
        <v>201</v>
      </c>
      <c r="C1467" t="str">
        <f>VLOOKUP($B1467,'标准费用表-2024年&amp;2025年优化'!$D:$E,2,0)</f>
        <v>正大食品（咸宁）有限公司</v>
      </c>
      <c r="D1467" t="s">
        <v>52</v>
      </c>
      <c r="E1467" s="46">
        <f>IFERROR(VLOOKUP($B1467,'标准费用表-2024年&amp;2025年优化'!$D:$K,8,0)*系数辅助表!$J$6*VLOOKUP('5.成本表'!$D1467,系数辅助表!$C:$G,5,0)/VLOOKUP($D1467,系数辅助表!$C:$E,3,0),0)</f>
        <v>0.80911377297803799</v>
      </c>
      <c r="I1467" s="36">
        <f>VLOOKUP($D1467,系数辅助表!$C:$F,4,0)</f>
        <v>1.5690736410097099</v>
      </c>
      <c r="J1467" s="2" t="s">
        <v>200</v>
      </c>
    </row>
    <row r="1468" spans="2:10" x14ac:dyDescent="0.3">
      <c r="B1468" s="47" t="s">
        <v>201</v>
      </c>
      <c r="C1468" t="str">
        <f>VLOOKUP($B1468,'标准费用表-2024年&amp;2025年优化'!$D:$E,2,0)</f>
        <v>正大食品（咸宁）有限公司</v>
      </c>
      <c r="D1468" t="s">
        <v>53</v>
      </c>
      <c r="E1468" s="46">
        <f>IFERROR(VLOOKUP($B1468,'标准费用表-2024年&amp;2025年优化'!$D:$K,8,0)*系数辅助表!$J$6*VLOOKUP('5.成本表'!$D1468,系数辅助表!$C:$G,5,0)/VLOOKUP($D1468,系数辅助表!$C:$E,3,0),0)</f>
        <v>0.74305775124471596</v>
      </c>
      <c r="I1468" s="36">
        <f>VLOOKUP($D1468,系数辅助表!$C:$F,4,0)</f>
        <v>1.44097452072131</v>
      </c>
      <c r="J1468" s="2" t="s">
        <v>200</v>
      </c>
    </row>
    <row r="1469" spans="2:10" x14ac:dyDescent="0.3">
      <c r="B1469" s="47" t="s">
        <v>201</v>
      </c>
      <c r="C1469" t="str">
        <f>VLOOKUP($B1469,'标准费用表-2024年&amp;2025年优化'!$D:$E,2,0)</f>
        <v>正大食品（咸宁）有限公司</v>
      </c>
      <c r="D1469" t="s">
        <v>54</v>
      </c>
      <c r="E1469" s="46">
        <f>IFERROR(VLOOKUP($B1469,'标准费用表-2024年&amp;2025年优化'!$D:$K,8,0)*系数辅助表!$J$6*VLOOKUP('5.成本表'!$D1469,系数辅助表!$C:$G,5,0)/VLOOKUP($D1469,系数辅助表!$C:$E,3,0),0)</f>
        <v>0.94925014794520601</v>
      </c>
      <c r="I1469" s="36">
        <f>VLOOKUP($D1469,系数辅助表!$C:$F,4,0)</f>
        <v>1.8408330640366199</v>
      </c>
      <c r="J1469" s="2" t="s">
        <v>200</v>
      </c>
    </row>
    <row r="1470" spans="2:10" x14ac:dyDescent="0.3">
      <c r="B1470" s="47" t="s">
        <v>201</v>
      </c>
      <c r="C1470" t="str">
        <f>VLOOKUP($B1470,'标准费用表-2024年&amp;2025年优化'!$D:$E,2,0)</f>
        <v>正大食品（咸宁）有限公司</v>
      </c>
      <c r="D1470" t="s">
        <v>55</v>
      </c>
      <c r="E1470" s="46">
        <f>IFERROR(VLOOKUP($B1470,'标准费用表-2024年&amp;2025年优化'!$D:$K,8,0)*系数辅助表!$J$6*VLOOKUP('5.成本表'!$D1470,系数辅助表!$C:$G,5,0)/VLOOKUP($D1470,系数辅助表!$C:$E,3,0),0)</f>
        <v>1.6510216849367101</v>
      </c>
      <c r="I1470" s="36">
        <f>VLOOKUP($D1470,系数辅助表!$C:$F,4,0)</f>
        <v>3.2017433061789502</v>
      </c>
      <c r="J1470" s="2" t="s">
        <v>200</v>
      </c>
    </row>
    <row r="1471" spans="2:10" x14ac:dyDescent="0.3">
      <c r="B1471" s="47" t="s">
        <v>201</v>
      </c>
      <c r="C1471" t="str">
        <f>VLOOKUP($B1471,'标准费用表-2024年&amp;2025年优化'!$D:$E,2,0)</f>
        <v>正大食品（咸宁）有限公司</v>
      </c>
      <c r="D1471" t="s">
        <v>56</v>
      </c>
      <c r="E1471" s="46">
        <f>IFERROR(VLOOKUP($B1471,'标准费用表-2024年&amp;2025年优化'!$D:$K,8,0)*系数辅助表!$J$6*VLOOKUP('5.成本表'!$D1471,系数辅助表!$C:$G,5,0)/VLOOKUP($D1471,系数辅助表!$C:$E,3,0),0)</f>
        <v>0.28109555498243699</v>
      </c>
      <c r="I1471" s="36">
        <f>VLOOKUP($D1471,系数辅助表!$C:$F,4,0)</f>
        <v>0.54511447049599404</v>
      </c>
      <c r="J1471" s="2" t="s">
        <v>200</v>
      </c>
    </row>
    <row r="1472" spans="2:10" x14ac:dyDescent="0.3">
      <c r="B1472" s="47" t="s">
        <v>201</v>
      </c>
      <c r="C1472" t="str">
        <f>VLOOKUP($B1472,'标准费用表-2024年&amp;2025年优化'!$D:$E,2,0)</f>
        <v>正大食品（咸宁）有限公司</v>
      </c>
      <c r="D1472" t="s">
        <v>57</v>
      </c>
      <c r="E1472" s="46">
        <f>IFERROR(VLOOKUP($B1472,'标准费用表-2024年&amp;2025年优化'!$D:$K,8,0)*系数辅助表!$J$6*VLOOKUP('5.成本表'!$D1472,系数辅助表!$C:$G,5,0)/VLOOKUP($D1472,系数辅助表!$C:$E,3,0),0)</f>
        <v>6.5081294360574596E-2</v>
      </c>
      <c r="I1472" s="36">
        <f>VLOOKUP($D1472,系数辅助表!$C:$F,4,0)</f>
        <v>0.126208880523832</v>
      </c>
      <c r="J1472" s="2" t="s">
        <v>200</v>
      </c>
    </row>
    <row r="1473" spans="2:10" x14ac:dyDescent="0.3">
      <c r="B1473" s="47" t="s">
        <v>201</v>
      </c>
      <c r="C1473" t="str">
        <f>VLOOKUP($B1473,'标准费用表-2024年&amp;2025年优化'!$D:$E,2,0)</f>
        <v>正大食品（咸宁）有限公司</v>
      </c>
      <c r="D1473" t="s">
        <v>58</v>
      </c>
      <c r="E1473" s="46">
        <f>IFERROR(VLOOKUP($B1473,'标准费用表-2024年&amp;2025年优化'!$D:$K,8,0)*系数辅助表!$J$6*VLOOKUP('5.成本表'!$D1473,系数辅助表!$C:$G,5,0)/VLOOKUP($D1473,系数辅助表!$C:$E,3,0),0)</f>
        <v>0.34916814320980999</v>
      </c>
      <c r="I1473" s="36">
        <f>VLOOKUP($D1473,系数辅助表!$C:$F,4,0)</f>
        <v>0.67712421675176204</v>
      </c>
      <c r="J1473" s="2" t="s">
        <v>200</v>
      </c>
    </row>
    <row r="1474" spans="2:10" x14ac:dyDescent="0.3">
      <c r="B1474" s="47" t="s">
        <v>201</v>
      </c>
      <c r="C1474" t="str">
        <f>VLOOKUP($B1474,'标准费用表-2024年&amp;2025年优化'!$D:$E,2,0)</f>
        <v>正大食品（咸宁）有限公司</v>
      </c>
      <c r="D1474" t="s">
        <v>59</v>
      </c>
      <c r="E1474" s="46">
        <f>IFERROR(VLOOKUP($B1474,'标准费用表-2024年&amp;2025年优化'!$D:$K,8,0)*系数辅助表!$J$6*VLOOKUP('5.成本表'!$D1474,系数辅助表!$C:$G,5,0)/VLOOKUP($D1474,系数辅助表!$C:$E,3,0),0)</f>
        <v>0.22838471780066</v>
      </c>
      <c r="I1474" s="36">
        <f>VLOOKUP($D1474,系数辅助表!$C:$F,4,0)</f>
        <v>0.44289499533730498</v>
      </c>
      <c r="J1474" s="2" t="s">
        <v>200</v>
      </c>
    </row>
    <row r="1475" spans="2:10" x14ac:dyDescent="0.3">
      <c r="B1475" s="47" t="s">
        <v>201</v>
      </c>
      <c r="C1475" t="str">
        <f>VLOOKUP($B1475,'标准费用表-2024年&amp;2025年优化'!$D:$E,2,0)</f>
        <v>正大食品（咸宁）有限公司</v>
      </c>
      <c r="D1475" t="s">
        <v>60</v>
      </c>
      <c r="E1475" s="46">
        <f>IFERROR(VLOOKUP($B1475,'标准费用表-2024年&amp;2025年优化'!$D:$K,8,0)*系数辅助表!$J$6*VLOOKUP('5.成本表'!$D1475,系数辅助表!$C:$G,5,0)/VLOOKUP($D1475,系数辅助表!$C:$E,3,0),0)</f>
        <v>0.15137631283477801</v>
      </c>
      <c r="I1475" s="36">
        <f>VLOOKUP($D1475,系数辅助表!$C:$F,4,0)</f>
        <v>0.29355646915769201</v>
      </c>
      <c r="J1475" s="2" t="s">
        <v>200</v>
      </c>
    </row>
    <row r="1476" spans="2:10" x14ac:dyDescent="0.3">
      <c r="B1476" s="47" t="s">
        <v>201</v>
      </c>
      <c r="C1476" t="str">
        <f>VLOOKUP($B1476,'标准费用表-2024年&amp;2025年优化'!$D:$E,2,0)</f>
        <v>正大食品（咸宁）有限公司</v>
      </c>
      <c r="D1476" t="s">
        <v>61</v>
      </c>
      <c r="E1476" s="46">
        <f>IFERROR(VLOOKUP($B1476,'标准费用表-2024年&amp;2025年优化'!$D:$K,8,0)*系数辅助表!$J$6*VLOOKUP('5.成本表'!$D1476,系数辅助表!$C:$G,5,0)/VLOOKUP($D1476,系数辅助表!$C:$E,3,0),0)</f>
        <v>2.6135454980669302E-2</v>
      </c>
      <c r="I1476" s="36">
        <f>VLOOKUP($D1476,系数辅助表!$C:$F,4,0)</f>
        <v>5.0683173214352499E-2</v>
      </c>
      <c r="J1476" s="2" t="s">
        <v>200</v>
      </c>
    </row>
    <row r="1477" spans="2:10" x14ac:dyDescent="0.3">
      <c r="B1477" s="47" t="s">
        <v>201</v>
      </c>
      <c r="C1477" t="str">
        <f>VLOOKUP($B1477,'标准费用表-2024年&amp;2025年优化'!$D:$E,2,0)</f>
        <v>正大食品（咸宁）有限公司</v>
      </c>
      <c r="D1477" t="s">
        <v>62</v>
      </c>
      <c r="E1477" s="46">
        <f>IFERROR(VLOOKUP($B1477,'标准费用表-2024年&amp;2025年优化'!$D:$K,8,0)*系数辅助表!$J$6*VLOOKUP('5.成本表'!$D1477,系数辅助表!$C:$G,5,0)/VLOOKUP($D1477,系数辅助表!$C:$E,3,0),0)</f>
        <v>0.13677225385199099</v>
      </c>
      <c r="I1477" s="36">
        <f>VLOOKUP($D1477,系数辅助表!$C:$F,4,0)</f>
        <v>0.26523555216563399</v>
      </c>
      <c r="J1477" s="2" t="s">
        <v>200</v>
      </c>
    </row>
    <row r="1478" spans="2:10" x14ac:dyDescent="0.3">
      <c r="B1478" s="47" t="s">
        <v>201</v>
      </c>
      <c r="C1478" t="str">
        <f>VLOOKUP($B1478,'标准费用表-2024年&amp;2025年优化'!$D:$E,2,0)</f>
        <v>正大食品（咸宁）有限公司</v>
      </c>
      <c r="D1478" t="s">
        <v>63</v>
      </c>
      <c r="E1478" s="46">
        <f>IFERROR(VLOOKUP($B1478,'标准费用表-2024年&amp;2025年优化'!$D:$K,8,0)*系数辅助表!$J$6*VLOOKUP('5.成本表'!$D1478,系数辅助表!$C:$G,5,0)/VLOOKUP($D1478,系数辅助表!$C:$E,3,0),0)</f>
        <v>0.12550669507748799</v>
      </c>
      <c r="I1478" s="36">
        <f>VLOOKUP($D1478,系数辅助表!$C:$F,4,0)</f>
        <v>0.24338882069886</v>
      </c>
      <c r="J1478" s="2" t="s">
        <v>200</v>
      </c>
    </row>
    <row r="1479" spans="2:10" x14ac:dyDescent="0.3">
      <c r="B1479" s="47" t="s">
        <v>201</v>
      </c>
      <c r="C1479" t="str">
        <f>VLOOKUP($B1479,'标准费用表-2024年&amp;2025年优化'!$D:$E,2,0)</f>
        <v>正大食品（咸宁）有限公司</v>
      </c>
      <c r="D1479" t="s">
        <v>64</v>
      </c>
      <c r="E1479" s="46">
        <f>IFERROR(VLOOKUP($B1479,'标准费用表-2024年&amp;2025年优化'!$D:$K,8,0)*系数辅助表!$J$6*VLOOKUP('5.成本表'!$D1479,系数辅助表!$C:$G,5,0)/VLOOKUP($D1479,系数辅助表!$C:$E,3,0),0)</f>
        <v>0.43908655465913798</v>
      </c>
      <c r="I1479" s="36">
        <f>VLOOKUP($D1479,系数辅助表!$C:$F,4,0)</f>
        <v>0.85149846912336002</v>
      </c>
      <c r="J1479" s="2" t="s">
        <v>200</v>
      </c>
    </row>
    <row r="1480" spans="2:10" x14ac:dyDescent="0.3">
      <c r="B1480" s="47" t="s">
        <v>201</v>
      </c>
      <c r="C1480" t="str">
        <f>VLOOKUP($B1480,'标准费用表-2024年&amp;2025年优化'!$D:$E,2,0)</f>
        <v>正大食品（咸宁）有限公司</v>
      </c>
      <c r="D1480" t="s">
        <v>65</v>
      </c>
      <c r="E1480" s="46">
        <f>IFERROR(VLOOKUP($B1480,'标准费用表-2024年&amp;2025年优化'!$D:$K,8,0)*系数辅助表!$J$6*VLOOKUP('5.成本表'!$D1480,系数辅助表!$C:$G,5,0)/VLOOKUP($D1480,系数辅助表!$C:$E,3,0),0)</f>
        <v>0.51428891153033396</v>
      </c>
      <c r="I1480" s="36">
        <f>VLOOKUP($D1480,系数辅助表!$C:$F,4,0)</f>
        <v>0.99733461707829196</v>
      </c>
      <c r="J1480" s="2" t="s">
        <v>200</v>
      </c>
    </row>
    <row r="1481" spans="2:10" x14ac:dyDescent="0.3">
      <c r="B1481" s="47" t="s">
        <v>201</v>
      </c>
      <c r="C1481" t="str">
        <f>VLOOKUP($B1481,'标准费用表-2024年&amp;2025年优化'!$D:$E,2,0)</f>
        <v>正大食品（咸宁）有限公司</v>
      </c>
      <c r="D1481" t="s">
        <v>66</v>
      </c>
      <c r="E1481" s="46">
        <f>IFERROR(VLOOKUP($B1481,'标准费用表-2024年&amp;2025年优化'!$D:$K,8,0)*系数辅助表!$J$6*VLOOKUP('5.成本表'!$D1481,系数辅助表!$C:$G,5,0)/VLOOKUP($D1481,系数辅助表!$C:$E,3,0),0)</f>
        <v>0.147056746044159</v>
      </c>
      <c r="I1481" s="36">
        <f>VLOOKUP($D1481,系数辅助表!$C:$F,4,0)</f>
        <v>0.28517975055754302</v>
      </c>
      <c r="J1481" s="2" t="s">
        <v>200</v>
      </c>
    </row>
    <row r="1482" spans="2:10" x14ac:dyDescent="0.3">
      <c r="B1482" s="47" t="s">
        <v>201</v>
      </c>
      <c r="C1482" t="str">
        <f>VLOOKUP($B1482,'标准费用表-2024年&amp;2025年优化'!$D:$E,2,0)</f>
        <v>正大食品（咸宁）有限公司</v>
      </c>
      <c r="D1482" t="s">
        <v>67</v>
      </c>
      <c r="E1482" s="46">
        <f>IFERROR(VLOOKUP($B1482,'标准费用表-2024年&amp;2025年优化'!$D:$K,8,0)*系数辅助表!$J$6*VLOOKUP('5.成本表'!$D1482,系数辅助表!$C:$G,5,0)/VLOOKUP($D1482,系数辅助表!$C:$E,3,0),0)</f>
        <v>4.37533462197148E-2</v>
      </c>
      <c r="I1482" s="36">
        <f>VLOOKUP($D1482,系数辅助表!$C:$F,4,0)</f>
        <v>8.4848663503333893E-2</v>
      </c>
      <c r="J1482" s="2" t="s">
        <v>200</v>
      </c>
    </row>
    <row r="1483" spans="2:10" x14ac:dyDescent="0.3">
      <c r="B1483" s="47" t="s">
        <v>201</v>
      </c>
      <c r="C1483" t="str">
        <f>VLOOKUP($B1483,'标准费用表-2024年&amp;2025年优化'!$D:$E,2,0)</f>
        <v>正大食品（咸宁）有限公司</v>
      </c>
      <c r="D1483" t="s">
        <v>68</v>
      </c>
      <c r="E1483" s="36">
        <f>IFERROR(VLOOKUP($B1483,'标准费用表-2024年&amp;2025年优化'!$D:$K,8,0)*VLOOKUP("白条",系数辅助表!$C:$G,5,0)*VLOOKUP('5.成本表'!$D1483,系数辅助表!$C:$G,5,0)/VLOOKUP('5.成本表'!$D1483,系数辅助表!$C:$E,3,0),)</f>
        <v>1.0662306214473001</v>
      </c>
      <c r="F1483" s="36">
        <f>IFERROR(VLOOKUP($B1483,'标准费用表-2024年&amp;2025年优化'!$D:$L,9,0)*VLOOKUP('5.成本表'!$D1483,系数辅助表!$C:$G,5,0)/VLOOKUP($D1483,系数辅助表!$C:$E,3,0),0)</f>
        <v>0.76861612272306701</v>
      </c>
      <c r="I1483" s="36">
        <f>VLOOKUP($D1483,系数辅助表!$C:$F,4,0)</f>
        <v>2.2799999999999998</v>
      </c>
      <c r="J1483" s="2" t="s">
        <v>69</v>
      </c>
    </row>
    <row r="1484" spans="2:10" x14ac:dyDescent="0.3">
      <c r="B1484" s="47" t="s">
        <v>201</v>
      </c>
      <c r="C1484" t="str">
        <f>VLOOKUP($B1484,'标准费用表-2024年&amp;2025年优化'!$D:$E,2,0)</f>
        <v>正大食品（咸宁）有限公司</v>
      </c>
      <c r="D1484" t="s">
        <v>70</v>
      </c>
      <c r="E1484" s="36">
        <f>IFERROR(VLOOKUP($B1484,'标准费用表-2024年&amp;2025年优化'!$D:$K,8,0)*VLOOKUP("白条",系数辅助表!$C:$G,5,0)*VLOOKUP('5.成本表'!$D1484,系数辅助表!$C:$G,5,0)/VLOOKUP('5.成本表'!$D1484,系数辅助表!$C:$E,3,0),)</f>
        <v>0.71256160702334004</v>
      </c>
      <c r="F1484" s="36">
        <f>IFERROR(VLOOKUP($B1484,'标准费用表-2024年&amp;2025年优化'!$D:$L,9,0)*VLOOKUP('5.成本表'!$D1484,系数辅助表!$C:$G,5,0)/VLOOKUP($D1484,系数辅助表!$C:$E,3,0),0)</f>
        <v>0.51366592609033102</v>
      </c>
      <c r="I1484" s="36">
        <f>VLOOKUP($D1484,系数辅助表!$C:$F,4,0)</f>
        <v>1.5237233215154999</v>
      </c>
      <c r="J1484" s="2" t="s">
        <v>69</v>
      </c>
    </row>
    <row r="1485" spans="2:10" x14ac:dyDescent="0.3">
      <c r="B1485" s="47" t="s">
        <v>201</v>
      </c>
      <c r="C1485" t="str">
        <f>VLOOKUP($B1485,'标准费用表-2024年&amp;2025年优化'!$D:$E,2,0)</f>
        <v>正大食品（咸宁）有限公司</v>
      </c>
      <c r="D1485" t="s">
        <v>71</v>
      </c>
      <c r="E1485" s="36">
        <f>IFERROR(VLOOKUP($B1485,'标准费用表-2024年&amp;2025年优化'!$D:$K,8,0)*VLOOKUP("白条",系数辅助表!$C:$G,5,0)*VLOOKUP('5.成本表'!$D1485,系数辅助表!$C:$G,5,0)/VLOOKUP('5.成本表'!$D1485,系数辅助表!$C:$E,3,0),)</f>
        <v>1.88585164509088</v>
      </c>
      <c r="F1485" s="36">
        <f>IFERROR(VLOOKUP($B1485,'标准费用表-2024年&amp;2025年优化'!$D:$L,9,0)*VLOOKUP('5.成本表'!$D1485,系数辅助表!$C:$G,5,0)/VLOOKUP($D1485,系数辅助表!$C:$E,3,0),0)</f>
        <v>1.3594582169410301</v>
      </c>
      <c r="I1485" s="36">
        <f>VLOOKUP($D1485,系数辅助表!$C:$F,4,0)</f>
        <v>4.0326564106466396</v>
      </c>
      <c r="J1485" s="2" t="s">
        <v>69</v>
      </c>
    </row>
    <row r="1486" spans="2:10" x14ac:dyDescent="0.3">
      <c r="B1486" s="47" t="s">
        <v>201</v>
      </c>
      <c r="C1486" t="str">
        <f>VLOOKUP($B1486,'标准费用表-2024年&amp;2025年优化'!$D:$E,2,0)</f>
        <v>正大食品（咸宁）有限公司</v>
      </c>
      <c r="D1486" t="s">
        <v>72</v>
      </c>
      <c r="E1486" s="36">
        <f>IFERROR(VLOOKUP($B1486,'标准费用表-2024年&amp;2025年优化'!$D:$K,8,0)*VLOOKUP("白条",系数辅助表!$C:$G,5,0)*VLOOKUP('5.成本表'!$D1486,系数辅助表!$C:$G,5,0)/VLOOKUP('5.成本表'!$D1486,系数辅助表!$C:$E,3,0),)</f>
        <v>1.09830170388112</v>
      </c>
      <c r="F1486" s="36">
        <f>IFERROR(VLOOKUP($B1486,'标准费用表-2024年&amp;2025年优化'!$D:$L,9,0)*VLOOKUP('5.成本表'!$D1486,系数辅助表!$C:$G,5,0)/VLOOKUP($D1486,系数辅助表!$C:$E,3,0),0)</f>
        <v>0.79173527775010499</v>
      </c>
      <c r="I1486" s="36">
        <f>VLOOKUP($D1486,系数辅助表!$C:$F,4,0)</f>
        <v>2.34857997367385</v>
      </c>
      <c r="J1486" s="2" t="s">
        <v>69</v>
      </c>
    </row>
    <row r="1487" spans="2:10" x14ac:dyDescent="0.3">
      <c r="B1487" s="47" t="s">
        <v>201</v>
      </c>
      <c r="C1487" t="str">
        <f>VLOOKUP($B1487,'标准费用表-2024年&amp;2025年优化'!$D:$E,2,0)</f>
        <v>正大食品（咸宁）有限公司</v>
      </c>
      <c r="D1487" t="s">
        <v>73</v>
      </c>
      <c r="E1487" s="36">
        <f>IFERROR(VLOOKUP($B1487,'标准费用表-2024年&amp;2025年优化'!$D:$K,8,0)*VLOOKUP("白条",系数辅助表!$C:$G,5,0)*VLOOKUP('5.成本表'!$D1487,系数辅助表!$C:$G,5,0)/VLOOKUP('5.成本表'!$D1487,系数辅助表!$C:$E,3,0),)</f>
        <v>0.65978955799860395</v>
      </c>
      <c r="F1487" s="36">
        <f>IFERROR(VLOOKUP($B1487,'标准费用表-2024年&amp;2025年优化'!$D:$L,9,0)*VLOOKUP('5.成本表'!$D1487,系数辅助表!$C:$G,5,0)/VLOOKUP($D1487,系数辅助表!$C:$E,3,0),0)</f>
        <v>0.47562401761982998</v>
      </c>
      <c r="I1487" s="36">
        <f>VLOOKUP($D1487,系数辅助表!$C:$F,4,0)</f>
        <v>1.41087693598112</v>
      </c>
      <c r="J1487" s="2" t="s">
        <v>69</v>
      </c>
    </row>
    <row r="1488" spans="2:10" x14ac:dyDescent="0.3">
      <c r="B1488" s="47" t="s">
        <v>201</v>
      </c>
      <c r="C1488" t="str">
        <f>VLOOKUP($B1488,'标准费用表-2024年&amp;2025年优化'!$D:$E,2,0)</f>
        <v>正大食品（咸宁）有限公司</v>
      </c>
      <c r="D1488" t="s">
        <v>74</v>
      </c>
      <c r="E1488" s="36">
        <f>IFERROR(VLOOKUP($B1488,'标准费用表-2024年&amp;2025年优化'!$D:$K,8,0)*VLOOKUP("白条",系数辅助表!$C:$G,5,0)*VLOOKUP('5.成本表'!$D1488,系数辅助表!$C:$G,5,0)/VLOOKUP('5.成本表'!$D1488,系数辅助表!$C:$E,3,0),)</f>
        <v>0.890911582304593</v>
      </c>
      <c r="F1488" s="36">
        <f>IFERROR(VLOOKUP($B1488,'标准费用表-2024年&amp;2025年优化'!$D:$L,9,0)*VLOOKUP('5.成本表'!$D1488,系数辅助表!$C:$G,5,0)/VLOOKUP($D1488,系数辅助表!$C:$E,3,0),0)</f>
        <v>0.64223348336265496</v>
      </c>
      <c r="I1488" s="36">
        <f>VLOOKUP($D1488,系数辅助表!$C:$F,4,0)</f>
        <v>1.9051022985038799</v>
      </c>
      <c r="J1488" s="2" t="s">
        <v>69</v>
      </c>
    </row>
    <row r="1489" spans="2:10" x14ac:dyDescent="0.3">
      <c r="B1489" s="47" t="s">
        <v>201</v>
      </c>
      <c r="C1489" t="str">
        <f>VLOOKUP($B1489,'标准费用表-2024年&amp;2025年优化'!$D:$E,2,0)</f>
        <v>正大食品（咸宁）有限公司</v>
      </c>
      <c r="D1489" t="s">
        <v>75</v>
      </c>
      <c r="E1489" s="36">
        <f>IFERROR(VLOOKUP($B1489,'标准费用表-2024年&amp;2025年优化'!$D:$K,8,0)*VLOOKUP("白条",系数辅助表!$C:$G,5,0)*VLOOKUP('5.成本表'!$D1489,系数辅助表!$C:$G,5,0)/VLOOKUP('5.成本表'!$D1489,系数辅助表!$C:$E,3,0),)</f>
        <v>0.667103056357645</v>
      </c>
      <c r="F1489" s="36">
        <f>IFERROR(VLOOKUP($B1489,'标准费用表-2024年&amp;2025年优化'!$D:$L,9,0)*VLOOKUP('5.成本表'!$D1489,系数辅助表!$C:$G,5,0)/VLOOKUP($D1489,系数辅助表!$C:$E,3,0),0)</f>
        <v>0.480896116018802</v>
      </c>
      <c r="I1489" s="36">
        <f>VLOOKUP($D1489,系数辅助表!$C:$F,4,0)</f>
        <v>1.42651593182611</v>
      </c>
      <c r="J1489" s="2" t="s">
        <v>69</v>
      </c>
    </row>
    <row r="1490" spans="2:10" x14ac:dyDescent="0.3">
      <c r="B1490" s="47" t="s">
        <v>201</v>
      </c>
      <c r="C1490" t="str">
        <f>VLOOKUP($B1490,'标准费用表-2024年&amp;2025年优化'!$D:$E,2,0)</f>
        <v>正大食品（咸宁）有限公司</v>
      </c>
      <c r="D1490" t="s">
        <v>76</v>
      </c>
      <c r="E1490" s="36">
        <f>IFERROR(VLOOKUP($B1490,'标准费用表-2024年&amp;2025年优化'!$D:$K,8,0)*VLOOKUP("白条",系数辅助表!$C:$G,5,0)*VLOOKUP('5.成本表'!$D1490,系数辅助表!$C:$G,5,0)/VLOOKUP('5.成本表'!$D1490,系数辅助表!$C:$E,3,0),)</f>
        <v>0.67976064437946404</v>
      </c>
      <c r="F1490" s="36">
        <f>IFERROR(VLOOKUP($B1490,'标准费用表-2024年&amp;2025年优化'!$D:$L,9,0)*VLOOKUP('5.成本表'!$D1490,系数辅助表!$C:$G,5,0)/VLOOKUP($D1490,系数辅助表!$C:$E,3,0),0)</f>
        <v>0.49002062063596502</v>
      </c>
      <c r="I1490" s="36">
        <f>VLOOKUP($D1490,系数辅助表!$C:$F,4,0)</f>
        <v>1.4535825908670701</v>
      </c>
      <c r="J1490" s="2" t="s">
        <v>69</v>
      </c>
    </row>
    <row r="1491" spans="2:10" x14ac:dyDescent="0.3">
      <c r="B1491" s="47" t="s">
        <v>201</v>
      </c>
      <c r="C1491" t="str">
        <f>VLOOKUP($B1491,'标准费用表-2024年&amp;2025年优化'!$D:$E,2,0)</f>
        <v>正大食品（咸宁）有限公司</v>
      </c>
      <c r="D1491" t="s">
        <v>77</v>
      </c>
      <c r="E1491" s="36">
        <f>IFERROR(VLOOKUP($B1491,'标准费用表-2024年&amp;2025年优化'!$D:$K,8,0)*VLOOKUP("白条",系数辅助表!$C:$G,5,0)*VLOOKUP('5.成本表'!$D1491,系数辅助表!$C:$G,5,0)/VLOOKUP('5.成本表'!$D1491,系数辅助表!$C:$E,3,0),)</f>
        <v>0.67389429133720102</v>
      </c>
      <c r="F1491" s="36">
        <f>IFERROR(VLOOKUP($B1491,'标准费用表-2024年&amp;2025年优化'!$D:$L,9,0)*VLOOKUP('5.成本表'!$D1491,系数辅助表!$C:$G,5,0)/VLOOKUP($D1491,系数辅助表!$C:$E,3,0),0)</f>
        <v>0.48579172921306801</v>
      </c>
      <c r="I1491" s="36">
        <f>VLOOKUP($D1491,系数辅助表!$C:$F,4,0)</f>
        <v>1.4410381331603499</v>
      </c>
      <c r="J1491" s="2" t="s">
        <v>69</v>
      </c>
    </row>
    <row r="1492" spans="2:10" x14ac:dyDescent="0.3">
      <c r="B1492" s="47" t="s">
        <v>201</v>
      </c>
      <c r="C1492" t="str">
        <f>VLOOKUP($B1492,'标准费用表-2024年&amp;2025年优化'!$D:$E,2,0)</f>
        <v>正大食品（咸宁）有限公司</v>
      </c>
      <c r="D1492" t="s">
        <v>78</v>
      </c>
      <c r="E1492" s="36">
        <f>IFERROR(VLOOKUP($B1492,'标准费用表-2024年&amp;2025年优化'!$D:$K,8,0)*VLOOKUP("白条",系数辅助表!$C:$G,5,0)*VLOOKUP('5.成本表'!$D1492,系数辅助表!$C:$G,5,0)/VLOOKUP('5.成本表'!$D1492,系数辅助表!$C:$E,3,0),)</f>
        <v>0.57793096150234002</v>
      </c>
      <c r="F1492" s="36">
        <f>IFERROR(VLOOKUP($B1492,'标准费用表-2024年&amp;2025年优化'!$D:$L,9,0)*VLOOKUP('5.成本表'!$D1492,系数辅助表!$C:$G,5,0)/VLOOKUP($D1492,系数辅助表!$C:$E,3,0),0)</f>
        <v>0.41661442271145399</v>
      </c>
      <c r="I1492" s="36">
        <f>VLOOKUP($D1492,系数辅助表!$C:$F,4,0)</f>
        <v>1.2358326291892801</v>
      </c>
      <c r="J1492" s="2" t="s">
        <v>69</v>
      </c>
    </row>
    <row r="1493" spans="2:10" x14ac:dyDescent="0.3">
      <c r="B1493" s="47" t="s">
        <v>201</v>
      </c>
      <c r="C1493" t="str">
        <f>VLOOKUP($B1493,'标准费用表-2024年&amp;2025年优化'!$D:$E,2,0)</f>
        <v>正大食品（咸宁）有限公司</v>
      </c>
      <c r="D1493" t="s">
        <v>79</v>
      </c>
      <c r="E1493" s="36">
        <f>IFERROR(VLOOKUP($B1493,'标准费用表-2024年&amp;2025年优化'!$D:$K,8,0)*VLOOKUP("白条",系数辅助表!$C:$G,5,0)*VLOOKUP('5.成本表'!$D1493,系数辅助表!$C:$G,5,0)/VLOOKUP('5.成本表'!$D1493,系数辅助表!$C:$E,3,0),)</f>
        <v>0.40367913106050601</v>
      </c>
      <c r="F1493" s="36">
        <f>IFERROR(VLOOKUP($B1493,'标准费用表-2024年&amp;2025年优化'!$D:$L,9,0)*VLOOKUP('5.成本表'!$D1493,系数辅助表!$C:$G,5,0)/VLOOKUP($D1493,系数辅助表!$C:$E,3,0),0)</f>
        <v>0.29100110454413403</v>
      </c>
      <c r="I1493" s="36">
        <f>VLOOKUP($D1493,系数辅助表!$C:$F,4,0)</f>
        <v>0.86321701919291904</v>
      </c>
      <c r="J1493" s="2" t="s">
        <v>69</v>
      </c>
    </row>
    <row r="1494" spans="2:10" x14ac:dyDescent="0.3">
      <c r="B1494" s="47" t="s">
        <v>201</v>
      </c>
      <c r="C1494" t="str">
        <f>VLOOKUP($B1494,'标准费用表-2024年&amp;2025年优化'!$D:$E,2,0)</f>
        <v>正大食品（咸宁）有限公司</v>
      </c>
      <c r="D1494" t="s">
        <v>80</v>
      </c>
      <c r="E1494" s="36">
        <f>IFERROR(VLOOKUP($B1494,'标准费用表-2024年&amp;2025年优化'!$D:$K,8,0)*VLOOKUP("白条",系数辅助表!$C:$G,5,0)*VLOOKUP('5.成本表'!$D1494,系数辅助表!$C:$G,5,0)/VLOOKUP('5.成本表'!$D1494,系数辅助表!$C:$E,3,0),)</f>
        <v>0.37265411573988</v>
      </c>
      <c r="F1494" s="36">
        <f>IFERROR(VLOOKUP($B1494,'标准费用表-2024年&amp;2025年优化'!$D:$L,9,0)*VLOOKUP('5.成本表'!$D1494,系数辅助表!$C:$G,5,0)/VLOOKUP($D1494,系数辅助表!$C:$E,3,0),0)</f>
        <v>0.268636030325205</v>
      </c>
      <c r="I1494" s="36">
        <f>VLOOKUP($D1494,系数辅助表!$C:$F,4,0)</f>
        <v>0.796873928394225</v>
      </c>
      <c r="J1494" s="2" t="s">
        <v>69</v>
      </c>
    </row>
    <row r="1495" spans="2:10" x14ac:dyDescent="0.3">
      <c r="B1495" s="47" t="s">
        <v>201</v>
      </c>
      <c r="C1495" t="str">
        <f>VLOOKUP($B1495,'标准费用表-2024年&amp;2025年优化'!$D:$E,2,0)</f>
        <v>正大食品（咸宁）有限公司</v>
      </c>
      <c r="D1495" t="s">
        <v>81</v>
      </c>
      <c r="E1495" s="36">
        <f>IFERROR(VLOOKUP($B1495,'标准费用表-2024年&amp;2025年优化'!$D:$K,8,0)*VLOOKUP("白条",系数辅助表!$C:$G,5,0)*VLOOKUP('5.成本表'!$D1495,系数辅助表!$C:$G,5,0)/VLOOKUP('5.成本表'!$D1495,系数辅助表!$C:$E,3,0),)</f>
        <v>0.51385240948628697</v>
      </c>
      <c r="F1495" s="36">
        <f>IFERROR(VLOOKUP($B1495,'标准费用表-2024年&amp;2025年优化'!$D:$L,9,0)*VLOOKUP('5.成本表'!$D1495,系数辅助表!$C:$G,5,0)/VLOOKUP($D1495,系数辅助表!$C:$E,3,0),0)</f>
        <v>0.37042196940015099</v>
      </c>
      <c r="I1495" s="36">
        <f>VLOOKUP($D1495,系数辅助表!$C:$F,4,0)</f>
        <v>1.09880870991909</v>
      </c>
      <c r="J1495" s="2" t="s">
        <v>69</v>
      </c>
    </row>
    <row r="1496" spans="2:10" x14ac:dyDescent="0.3">
      <c r="B1496" s="47" t="s">
        <v>201</v>
      </c>
      <c r="C1496" t="str">
        <f>VLOOKUP($B1496,'标准费用表-2024年&amp;2025年优化'!$D:$E,2,0)</f>
        <v>正大食品（咸宁）有限公司</v>
      </c>
      <c r="D1496" t="s">
        <v>82</v>
      </c>
      <c r="E1496" s="36">
        <f>IFERROR(VLOOKUP($B1496,'标准费用表-2024年&amp;2025年优化'!$D:$K,8,0)*VLOOKUP("白条",系数辅助表!$C:$G,5,0)*VLOOKUP('5.成本表'!$D1496,系数辅助表!$C:$G,5,0)/VLOOKUP('5.成本表'!$D1496,系数辅助表!$C:$E,3,0),)</f>
        <v>0.46819274883810802</v>
      </c>
      <c r="F1496" s="36">
        <f>IFERROR(VLOOKUP($B1496,'标准费用表-2024年&amp;2025年优化'!$D:$L,9,0)*VLOOKUP('5.成本表'!$D1496,系数辅助表!$C:$G,5,0)/VLOOKUP($D1496,系数辅助表!$C:$E,3,0),0)</f>
        <v>0.33750718471255903</v>
      </c>
      <c r="I1496" s="36">
        <f>VLOOKUP($D1496,系数辅助表!$C:$F,4,0)</f>
        <v>1.0011712718416299</v>
      </c>
      <c r="J1496" s="2" t="s">
        <v>69</v>
      </c>
    </row>
    <row r="1497" spans="2:10" x14ac:dyDescent="0.3">
      <c r="B1497" s="47" t="s">
        <v>201</v>
      </c>
      <c r="C1497" t="str">
        <f>VLOOKUP($B1497,'标准费用表-2024年&amp;2025年优化'!$D:$E,2,0)</f>
        <v>正大食品（咸宁）有限公司</v>
      </c>
      <c r="D1497" t="s">
        <v>83</v>
      </c>
      <c r="E1497" s="36">
        <f>IFERROR(VLOOKUP($B1497,'标准费用表-2024年&amp;2025年优化'!$D:$K,8,0)*VLOOKUP("白条",系数辅助表!$C:$G,5,0)*VLOOKUP('5.成本表'!$D1497,系数辅助表!$C:$G,5,0)/VLOOKUP('5.成本表'!$D1497,系数辅助表!$C:$E,3,0),)</f>
        <v>0.42104547810274801</v>
      </c>
      <c r="F1497" s="36">
        <f>IFERROR(VLOOKUP($B1497,'标准费用表-2024年&amp;2025年优化'!$D:$L,9,0)*VLOOKUP('5.成本表'!$D1497,系数辅助表!$C:$G,5,0)/VLOOKUP($D1497,系数辅助表!$C:$E,3,0),0)</f>
        <v>0.30352002311669601</v>
      </c>
      <c r="I1497" s="36">
        <f>VLOOKUP($D1497,系数辅助表!$C:$F,4,0)</f>
        <v>0.90035276680685095</v>
      </c>
      <c r="J1497" s="2" t="s">
        <v>69</v>
      </c>
    </row>
    <row r="1498" spans="2:10" x14ac:dyDescent="0.3">
      <c r="B1498" s="47" t="s">
        <v>201</v>
      </c>
      <c r="C1498" t="str">
        <f>VLOOKUP($B1498,'标准费用表-2024年&amp;2025年优化'!$D:$E,2,0)</f>
        <v>正大食品（咸宁）有限公司</v>
      </c>
      <c r="D1498" t="s">
        <v>84</v>
      </c>
      <c r="E1498" s="36">
        <f>IFERROR(VLOOKUP($B1498,'标准费用表-2024年&amp;2025年优化'!$D:$K,8,0)*VLOOKUP("白条",系数辅助表!$C:$G,5,0)*VLOOKUP('5.成本表'!$D1498,系数辅助表!$C:$G,5,0)/VLOOKUP('5.成本表'!$D1498,系数辅助表!$C:$E,3,0),)</f>
        <v>0.42290515543316498</v>
      </c>
      <c r="F1498" s="36">
        <f>IFERROR(VLOOKUP($B1498,'标准费用表-2024年&amp;2025年优化'!$D:$L,9,0)*VLOOKUP('5.成本表'!$D1498,系数辅助表!$C:$G,5,0)/VLOOKUP($D1498,系数辅助表!$C:$E,3,0),0)</f>
        <v>0.30486061299515999</v>
      </c>
      <c r="I1498" s="36">
        <f>VLOOKUP($D1498,系数辅助表!$C:$F,4,0)</f>
        <v>0.90432945273957599</v>
      </c>
      <c r="J1498" s="2" t="s">
        <v>69</v>
      </c>
    </row>
    <row r="1499" spans="2:10" x14ac:dyDescent="0.3">
      <c r="B1499" s="47" t="s">
        <v>201</v>
      </c>
      <c r="C1499" t="str">
        <f>VLOOKUP($B1499,'标准费用表-2024年&amp;2025年优化'!$D:$E,2,0)</f>
        <v>正大食品（咸宁）有限公司</v>
      </c>
      <c r="D1499" t="s">
        <v>85</v>
      </c>
      <c r="E1499" s="36">
        <f>IFERROR(VLOOKUP($B1499,'标准费用表-2024年&amp;2025年优化'!$D:$K,8,0)*VLOOKUP("白条",系数辅助表!$C:$G,5,0)*VLOOKUP('5.成本表'!$D1499,系数辅助表!$C:$G,5,0)/VLOOKUP('5.成本表'!$D1499,系数辅助表!$C:$E,3,0),)</f>
        <v>0.525808476065041</v>
      </c>
      <c r="F1499" s="36">
        <f>IFERROR(VLOOKUP($B1499,'标准费用表-2024年&amp;2025年优化'!$D:$L,9,0)*VLOOKUP('5.成本表'!$D1499,系数辅助表!$C:$G,5,0)/VLOOKUP($D1499,系数辅助表!$C:$E,3,0),0)</f>
        <v>0.37904076663963199</v>
      </c>
      <c r="I1499" s="36">
        <f>VLOOKUP($D1499,系数辅助表!$C:$F,4,0)</f>
        <v>1.12437525363977</v>
      </c>
      <c r="J1499" s="2" t="s">
        <v>69</v>
      </c>
    </row>
    <row r="1500" spans="2:10" x14ac:dyDescent="0.3">
      <c r="B1500" s="47" t="s">
        <v>201</v>
      </c>
      <c r="C1500" t="str">
        <f>VLOOKUP($B1500,'标准费用表-2024年&amp;2025年优化'!$D:$E,2,0)</f>
        <v>正大食品（咸宁）有限公司</v>
      </c>
      <c r="D1500" t="s">
        <v>86</v>
      </c>
      <c r="E1500" s="36">
        <f>IFERROR(VLOOKUP($B1500,'标准费用表-2024年&amp;2025年优化'!$D:$K,8,0)*VLOOKUP("白条",系数辅助表!$C:$G,5,0)*VLOOKUP('5.成本表'!$D1500,系数辅助表!$C:$G,5,0)/VLOOKUP('5.成本表'!$D1500,系数辅助表!$C:$E,3,0),)</f>
        <v>0.45977570528446599</v>
      </c>
      <c r="F1500" s="36">
        <f>IFERROR(VLOOKUP($B1500,'标准费用表-2024年&amp;2025年优化'!$D:$L,9,0)*VLOOKUP('5.成本表'!$D1500,系数辅助表!$C:$G,5,0)/VLOOKUP($D1500,系数辅助表!$C:$E,3,0),0)</f>
        <v>0.33143957114861</v>
      </c>
      <c r="I1500" s="36">
        <f>VLOOKUP($D1500,系数辅助表!$C:$F,4,0)</f>
        <v>0.98317248347795105</v>
      </c>
      <c r="J1500" s="2" t="s">
        <v>69</v>
      </c>
    </row>
    <row r="1501" spans="2:10" x14ac:dyDescent="0.3">
      <c r="B1501" s="47" t="s">
        <v>201</v>
      </c>
      <c r="C1501" t="str">
        <f>VLOOKUP($B1501,'标准费用表-2024年&amp;2025年优化'!$D:$E,2,0)</f>
        <v>正大食品（咸宁）有限公司</v>
      </c>
      <c r="D1501" t="s">
        <v>87</v>
      </c>
      <c r="E1501" s="36">
        <f>IFERROR(VLOOKUP($B1501,'标准费用表-2024年&amp;2025年优化'!$D:$K,8,0)*VLOOKUP("白条",系数辅助表!$C:$G,5,0)*VLOOKUP('5.成本表'!$D1501,系数辅助表!$C:$G,5,0)/VLOOKUP('5.成本表'!$D1501,系数辅助表!$C:$E,3,0),)</f>
        <v>0.33301221451631802</v>
      </c>
      <c r="F1501" s="36">
        <f>IFERROR(VLOOKUP($B1501,'标准费用表-2024年&amp;2025年优化'!$D:$L,9,0)*VLOOKUP('5.成本表'!$D1501,系数辅助表!$C:$G,5,0)/VLOOKUP($D1501,系数辅助表!$C:$E,3,0),0)</f>
        <v>0.24005928172792201</v>
      </c>
      <c r="I1501" s="36">
        <f>VLOOKUP($D1501,系数辅助表!$C:$F,4,0)</f>
        <v>0.71210471151782795</v>
      </c>
      <c r="J1501" s="2" t="s">
        <v>69</v>
      </c>
    </row>
    <row r="1502" spans="2:10" x14ac:dyDescent="0.3">
      <c r="B1502" s="47" t="s">
        <v>201</v>
      </c>
      <c r="C1502" t="str">
        <f>VLOOKUP($B1502,'标准费用表-2024年&amp;2025年优化'!$D:$E,2,0)</f>
        <v>正大食品（咸宁）有限公司</v>
      </c>
      <c r="D1502" t="s">
        <v>88</v>
      </c>
      <c r="E1502" s="36">
        <f>IFERROR(VLOOKUP($B1502,'标准费用表-2024年&amp;2025年优化'!$D:$K,8,0)*VLOOKUP("白条",系数辅助表!$C:$G,5,0)*VLOOKUP('5.成本表'!$D1502,系数辅助表!$C:$G,5,0)/VLOOKUP('5.成本表'!$D1502,系数辅助表!$C:$E,3,0),)</f>
        <v>1.2577739033887401</v>
      </c>
      <c r="F1502" s="36">
        <f>IFERROR(VLOOKUP($B1502,'标准费用表-2024年&amp;2025年优化'!$D:$L,9,0)*VLOOKUP('5.成本表'!$D1502,系数辅助表!$C:$G,5,0)/VLOOKUP($D1502,系数辅助表!$C:$E,3,0),0)</f>
        <v>0.90669436934070802</v>
      </c>
      <c r="I1502" s="36">
        <f>VLOOKUP($D1502,系数辅助表!$C:$F,4,0)</f>
        <v>2.6895912029178799</v>
      </c>
      <c r="J1502" s="2" t="s">
        <v>69</v>
      </c>
    </row>
    <row r="1503" spans="2:10" x14ac:dyDescent="0.3">
      <c r="B1503" s="47" t="s">
        <v>201</v>
      </c>
      <c r="C1503" t="str">
        <f>VLOOKUP($B1503,'标准费用表-2024年&amp;2025年优化'!$D:$E,2,0)</f>
        <v>正大食品（咸宁）有限公司</v>
      </c>
      <c r="D1503" t="s">
        <v>89</v>
      </c>
      <c r="E1503" s="36">
        <f>IFERROR(VLOOKUP($B1503,'标准费用表-2024年&amp;2025年优化'!$D:$K,8,0)*VLOOKUP("白条",系数辅助表!$C:$G,5,0)*VLOOKUP('5.成本表'!$D1503,系数辅助表!$C:$G,5,0)/VLOOKUP('5.成本表'!$D1503,系数辅助表!$C:$E,3,0),)</f>
        <v>0.54096205480359305</v>
      </c>
      <c r="F1503" s="36">
        <f>IFERROR(VLOOKUP($B1503,'标准费用表-2024年&amp;2025年优化'!$D:$L,9,0)*VLOOKUP('5.成本表'!$D1503,系数辅助表!$C:$G,5,0)/VLOOKUP($D1503,系数辅助表!$C:$E,3,0),0)</f>
        <v>0.38996456183095302</v>
      </c>
      <c r="I1503" s="36">
        <f>VLOOKUP($D1503,系数辅助表!$C:$F,4,0)</f>
        <v>1.1567792747107399</v>
      </c>
      <c r="J1503" s="2" t="s">
        <v>69</v>
      </c>
    </row>
    <row r="1504" spans="2:10" x14ac:dyDescent="0.3">
      <c r="B1504" s="47" t="s">
        <v>201</v>
      </c>
      <c r="C1504" t="str">
        <f>VLOOKUP($B1504,'标准费用表-2024年&amp;2025年优化'!$D:$E,2,0)</f>
        <v>正大食品（咸宁）有限公司</v>
      </c>
      <c r="D1504" t="s">
        <v>90</v>
      </c>
      <c r="E1504" s="36">
        <f>IFERROR(VLOOKUP($B1504,'标准费用表-2024年&amp;2025年优化'!$D:$K,8,0)*VLOOKUP("白条",系数辅助表!$C:$G,5,0)*VLOOKUP('5.成本表'!$D1504,系数辅助表!$C:$G,5,0)/VLOOKUP('5.成本表'!$D1504,系数辅助表!$C:$E,3,0),)</f>
        <v>0.341838397564381</v>
      </c>
      <c r="F1504" s="36">
        <f>IFERROR(VLOOKUP($B1504,'标准费用表-2024年&amp;2025年优化'!$D:$L,9,0)*VLOOKUP('5.成本表'!$D1504,系数辅助表!$C:$G,5,0)/VLOOKUP($D1504,系数辅助表!$C:$E,3,0),0)</f>
        <v>0.246421832621121</v>
      </c>
      <c r="I1504" s="36">
        <f>VLOOKUP($D1504,系数辅助表!$C:$F,4,0)</f>
        <v>0.73097839320056501</v>
      </c>
      <c r="J1504" s="2" t="s">
        <v>69</v>
      </c>
    </row>
    <row r="1505" spans="2:10" x14ac:dyDescent="0.3">
      <c r="B1505" s="47" t="s">
        <v>201</v>
      </c>
      <c r="C1505" t="str">
        <f>VLOOKUP($B1505,'标准费用表-2024年&amp;2025年优化'!$D:$E,2,0)</f>
        <v>正大食品（咸宁）有限公司</v>
      </c>
      <c r="D1505" t="s">
        <v>91</v>
      </c>
      <c r="E1505" s="36">
        <f>IFERROR(VLOOKUP($B1505,'标准费用表-2024年&amp;2025年优化'!$D:$K,8,0)*VLOOKUP("白条",系数辅助表!$C:$G,5,0)*VLOOKUP('5.成本表'!$D1505,系数辅助表!$C:$G,5,0)/VLOOKUP('5.成本表'!$D1505,系数辅助表!$C:$E,3,0),)</f>
        <v>0.28343711410787598</v>
      </c>
      <c r="F1505" s="36">
        <f>IFERROR(VLOOKUP($B1505,'标准费用表-2024年&amp;2025年优化'!$D:$L,9,0)*VLOOKUP('5.成本表'!$D1505,系数辅助表!$C:$G,5,0)/VLOOKUP($D1505,系数辅助表!$C:$E,3,0),0)</f>
        <v>0.20432196496635599</v>
      </c>
      <c r="I1505" s="36">
        <f>VLOOKUP($D1505,系数辅助表!$C:$F,4,0)</f>
        <v>0.60609459826688905</v>
      </c>
      <c r="J1505" s="2" t="s">
        <v>69</v>
      </c>
    </row>
    <row r="1506" spans="2:10" x14ac:dyDescent="0.3">
      <c r="B1506" s="47" t="s">
        <v>201</v>
      </c>
      <c r="C1506" t="str">
        <f>VLOOKUP($B1506,'标准费用表-2024年&amp;2025年优化'!$D:$E,2,0)</f>
        <v>正大食品（咸宁）有限公司</v>
      </c>
      <c r="D1506" t="s">
        <v>92</v>
      </c>
      <c r="E1506" s="36">
        <f>IFERROR(VLOOKUP($B1506,'标准费用表-2024年&amp;2025年优化'!$D:$K,8,0)*VLOOKUP("白条",系数辅助表!$C:$G,5,0)*VLOOKUP('5.成本表'!$D1506,系数辅助表!$C:$G,5,0)/VLOOKUP('5.成本表'!$D1506,系数辅助表!$C:$E,3,0),)</f>
        <v>0.112497115536508</v>
      </c>
      <c r="F1506" s="36">
        <f>IFERROR(VLOOKUP($B1506,'标准费用表-2024年&amp;2025年优化'!$D:$L,9,0)*VLOOKUP('5.成本表'!$D1506,系数辅助表!$C:$G,5,0)/VLOOKUP($D1506,系数辅助表!$C:$E,3,0),0)</f>
        <v>8.1096054663886197E-2</v>
      </c>
      <c r="I1506" s="36">
        <f>VLOOKUP($D1506,系数辅助表!$C:$F,4,0)</f>
        <v>0.24056092393508099</v>
      </c>
      <c r="J1506" s="2" t="s">
        <v>69</v>
      </c>
    </row>
    <row r="1507" spans="2:10" x14ac:dyDescent="0.3">
      <c r="B1507" s="47" t="s">
        <v>201</v>
      </c>
      <c r="C1507" t="str">
        <f>VLOOKUP($B1507,'标准费用表-2024年&amp;2025年优化'!$D:$E,2,0)</f>
        <v>正大食品（咸宁）有限公司</v>
      </c>
      <c r="D1507" t="s">
        <v>93</v>
      </c>
      <c r="E1507" s="36">
        <f>E1483</f>
        <v>1.0662306214473001</v>
      </c>
      <c r="F1507" s="36">
        <f>F1483</f>
        <v>0.76861612272306701</v>
      </c>
      <c r="G1507">
        <v>0.2</v>
      </c>
      <c r="H1507">
        <v>0.3</v>
      </c>
      <c r="J1507" s="2" t="s">
        <v>69</v>
      </c>
    </row>
    <row r="1508" spans="2:10" x14ac:dyDescent="0.3">
      <c r="B1508" s="47" t="s">
        <v>201</v>
      </c>
      <c r="C1508" t="str">
        <f>VLOOKUP($B1508,'标准费用表-2024年&amp;2025年优化'!$D:$E,2,0)</f>
        <v>正大食品（咸宁）有限公司</v>
      </c>
      <c r="D1508" t="s">
        <v>96</v>
      </c>
      <c r="E1508" s="36">
        <f t="shared" ref="E1508:F1508" si="616">E1484</f>
        <v>0.71256160702334004</v>
      </c>
      <c r="F1508" s="36">
        <f t="shared" si="616"/>
        <v>0.51366592609033102</v>
      </c>
      <c r="G1508">
        <v>0.2</v>
      </c>
      <c r="H1508">
        <v>0.3</v>
      </c>
      <c r="J1508" s="2" t="s">
        <v>69</v>
      </c>
    </row>
    <row r="1509" spans="2:10" x14ac:dyDescent="0.3">
      <c r="B1509" s="47" t="s">
        <v>201</v>
      </c>
      <c r="C1509" t="str">
        <f>VLOOKUP($B1509,'标准费用表-2024年&amp;2025年优化'!$D:$E,2,0)</f>
        <v>正大食品（咸宁）有限公司</v>
      </c>
      <c r="D1509" t="s">
        <v>97</v>
      </c>
      <c r="E1509" s="36">
        <f t="shared" ref="E1509:F1509" si="617">E1485</f>
        <v>1.88585164509088</v>
      </c>
      <c r="F1509" s="36">
        <f t="shared" si="617"/>
        <v>1.3594582169410301</v>
      </c>
      <c r="G1509">
        <v>0.2</v>
      </c>
      <c r="H1509">
        <v>0.3</v>
      </c>
      <c r="J1509" s="2" t="s">
        <v>69</v>
      </c>
    </row>
    <row r="1510" spans="2:10" x14ac:dyDescent="0.3">
      <c r="B1510" s="47" t="s">
        <v>201</v>
      </c>
      <c r="C1510" t="str">
        <f>VLOOKUP($B1510,'标准费用表-2024年&amp;2025年优化'!$D:$E,2,0)</f>
        <v>正大食品（咸宁）有限公司</v>
      </c>
      <c r="D1510" t="s">
        <v>98</v>
      </c>
      <c r="E1510" s="36">
        <f t="shared" ref="E1510:F1510" si="618">E1486</f>
        <v>1.09830170388112</v>
      </c>
      <c r="F1510" s="36">
        <f t="shared" si="618"/>
        <v>0.79173527775010499</v>
      </c>
      <c r="G1510">
        <v>0.2</v>
      </c>
      <c r="H1510">
        <v>0.3</v>
      </c>
      <c r="J1510" s="2" t="s">
        <v>69</v>
      </c>
    </row>
    <row r="1511" spans="2:10" x14ac:dyDescent="0.3">
      <c r="B1511" s="47" t="s">
        <v>201</v>
      </c>
      <c r="C1511" t="str">
        <f>VLOOKUP($B1511,'标准费用表-2024年&amp;2025年优化'!$D:$E,2,0)</f>
        <v>正大食品（咸宁）有限公司</v>
      </c>
      <c r="D1511" t="s">
        <v>99</v>
      </c>
      <c r="E1511" s="36">
        <f t="shared" ref="E1511:F1511" si="619">E1487</f>
        <v>0.65978955799860395</v>
      </c>
      <c r="F1511" s="36">
        <f t="shared" si="619"/>
        <v>0.47562401761982998</v>
      </c>
      <c r="G1511">
        <v>0.2</v>
      </c>
      <c r="H1511">
        <v>0.3</v>
      </c>
      <c r="J1511" s="2" t="s">
        <v>69</v>
      </c>
    </row>
    <row r="1512" spans="2:10" x14ac:dyDescent="0.3">
      <c r="B1512" s="47" t="s">
        <v>201</v>
      </c>
      <c r="C1512" t="str">
        <f>VLOOKUP($B1512,'标准费用表-2024年&amp;2025年优化'!$D:$E,2,0)</f>
        <v>正大食品（咸宁）有限公司</v>
      </c>
      <c r="D1512" t="s">
        <v>100</v>
      </c>
      <c r="E1512" s="36">
        <f t="shared" ref="E1512:F1512" si="620">E1488</f>
        <v>0.890911582304593</v>
      </c>
      <c r="F1512" s="36">
        <f t="shared" si="620"/>
        <v>0.64223348336265496</v>
      </c>
      <c r="G1512">
        <v>0.2</v>
      </c>
      <c r="H1512">
        <v>0.3</v>
      </c>
      <c r="J1512" s="2" t="s">
        <v>69</v>
      </c>
    </row>
    <row r="1513" spans="2:10" x14ac:dyDescent="0.3">
      <c r="B1513" s="47" t="s">
        <v>201</v>
      </c>
      <c r="C1513" t="str">
        <f>VLOOKUP($B1513,'标准费用表-2024年&amp;2025年优化'!$D:$E,2,0)</f>
        <v>正大食品（咸宁）有限公司</v>
      </c>
      <c r="D1513" t="s">
        <v>101</v>
      </c>
      <c r="E1513" s="36">
        <f t="shared" ref="E1513:F1513" si="621">E1489</f>
        <v>0.667103056357645</v>
      </c>
      <c r="F1513" s="36">
        <f t="shared" si="621"/>
        <v>0.480896116018802</v>
      </c>
      <c r="G1513">
        <v>0.2</v>
      </c>
      <c r="H1513">
        <v>0.3</v>
      </c>
      <c r="J1513" s="2" t="s">
        <v>69</v>
      </c>
    </row>
    <row r="1514" spans="2:10" x14ac:dyDescent="0.3">
      <c r="B1514" s="47" t="s">
        <v>201</v>
      </c>
      <c r="C1514" t="str">
        <f>VLOOKUP($B1514,'标准费用表-2024年&amp;2025年优化'!$D:$E,2,0)</f>
        <v>正大食品（咸宁）有限公司</v>
      </c>
      <c r="D1514" t="s">
        <v>102</v>
      </c>
      <c r="E1514" s="36">
        <f t="shared" ref="E1514:F1514" si="622">E1490</f>
        <v>0.67976064437946404</v>
      </c>
      <c r="F1514" s="36">
        <f t="shared" si="622"/>
        <v>0.49002062063596502</v>
      </c>
      <c r="G1514">
        <v>0.2</v>
      </c>
      <c r="H1514">
        <v>0.3</v>
      </c>
      <c r="J1514" s="2" t="s">
        <v>69</v>
      </c>
    </row>
    <row r="1515" spans="2:10" x14ac:dyDescent="0.3">
      <c r="B1515" s="47" t="s">
        <v>201</v>
      </c>
      <c r="C1515" t="str">
        <f>VLOOKUP($B1515,'标准费用表-2024年&amp;2025年优化'!$D:$E,2,0)</f>
        <v>正大食品（咸宁）有限公司</v>
      </c>
      <c r="D1515" t="s">
        <v>103</v>
      </c>
      <c r="E1515" s="36">
        <f t="shared" ref="E1515:F1515" si="623">E1491</f>
        <v>0.67389429133720102</v>
      </c>
      <c r="F1515" s="36">
        <f t="shared" si="623"/>
        <v>0.48579172921306801</v>
      </c>
      <c r="G1515">
        <v>0.2</v>
      </c>
      <c r="H1515">
        <v>0.3</v>
      </c>
      <c r="J1515" s="2" t="s">
        <v>69</v>
      </c>
    </row>
    <row r="1516" spans="2:10" x14ac:dyDescent="0.3">
      <c r="B1516" s="47" t="s">
        <v>201</v>
      </c>
      <c r="C1516" t="str">
        <f>VLOOKUP($B1516,'标准费用表-2024年&amp;2025年优化'!$D:$E,2,0)</f>
        <v>正大食品（咸宁）有限公司</v>
      </c>
      <c r="D1516" t="s">
        <v>104</v>
      </c>
      <c r="E1516" s="36">
        <f t="shared" ref="E1516:F1516" si="624">E1492</f>
        <v>0.57793096150234002</v>
      </c>
      <c r="F1516" s="36">
        <f t="shared" si="624"/>
        <v>0.41661442271145399</v>
      </c>
      <c r="G1516">
        <v>0.2</v>
      </c>
      <c r="H1516">
        <v>0.3</v>
      </c>
      <c r="J1516" s="2" t="s">
        <v>69</v>
      </c>
    </row>
    <row r="1517" spans="2:10" x14ac:dyDescent="0.3">
      <c r="B1517" s="47" t="s">
        <v>201</v>
      </c>
      <c r="C1517" t="str">
        <f>VLOOKUP($B1517,'标准费用表-2024年&amp;2025年优化'!$D:$E,2,0)</f>
        <v>正大食品（咸宁）有限公司</v>
      </c>
      <c r="D1517" t="s">
        <v>105</v>
      </c>
      <c r="E1517" s="36">
        <f t="shared" ref="E1517:F1517" si="625">E1493</f>
        <v>0.40367913106050601</v>
      </c>
      <c r="F1517" s="36">
        <f t="shared" si="625"/>
        <v>0.29100110454413403</v>
      </c>
      <c r="G1517">
        <v>0.2</v>
      </c>
      <c r="H1517">
        <v>0.3</v>
      </c>
      <c r="J1517" s="2" t="s">
        <v>69</v>
      </c>
    </row>
    <row r="1518" spans="2:10" x14ac:dyDescent="0.3">
      <c r="B1518" s="47" t="s">
        <v>201</v>
      </c>
      <c r="C1518" t="str">
        <f>VLOOKUP($B1518,'标准费用表-2024年&amp;2025年优化'!$D:$E,2,0)</f>
        <v>正大食品（咸宁）有限公司</v>
      </c>
      <c r="D1518" t="s">
        <v>106</v>
      </c>
      <c r="E1518" s="36">
        <f t="shared" ref="E1518:F1518" si="626">E1494</f>
        <v>0.37265411573988</v>
      </c>
      <c r="F1518" s="36">
        <f t="shared" si="626"/>
        <v>0.268636030325205</v>
      </c>
      <c r="G1518">
        <v>0.2</v>
      </c>
      <c r="H1518">
        <v>0.3</v>
      </c>
      <c r="J1518" s="2" t="s">
        <v>69</v>
      </c>
    </row>
    <row r="1519" spans="2:10" x14ac:dyDescent="0.3">
      <c r="B1519" s="47" t="s">
        <v>201</v>
      </c>
      <c r="C1519" t="str">
        <f>VLOOKUP($B1519,'标准费用表-2024年&amp;2025年优化'!$D:$E,2,0)</f>
        <v>正大食品（咸宁）有限公司</v>
      </c>
      <c r="D1519" t="s">
        <v>107</v>
      </c>
      <c r="E1519" s="36">
        <f t="shared" ref="E1519:F1519" si="627">E1495</f>
        <v>0.51385240948628697</v>
      </c>
      <c r="F1519" s="36">
        <f t="shared" si="627"/>
        <v>0.37042196940015099</v>
      </c>
      <c r="G1519">
        <v>0.2</v>
      </c>
      <c r="H1519">
        <v>0.3</v>
      </c>
      <c r="J1519" s="2" t="s">
        <v>69</v>
      </c>
    </row>
    <row r="1520" spans="2:10" x14ac:dyDescent="0.3">
      <c r="B1520" s="47" t="s">
        <v>201</v>
      </c>
      <c r="C1520" t="str">
        <f>VLOOKUP($B1520,'标准费用表-2024年&amp;2025年优化'!$D:$E,2,0)</f>
        <v>正大食品（咸宁）有限公司</v>
      </c>
      <c r="D1520" t="s">
        <v>108</v>
      </c>
      <c r="E1520" s="36">
        <f t="shared" ref="E1520:F1520" si="628">E1496</f>
        <v>0.46819274883810802</v>
      </c>
      <c r="F1520" s="36">
        <f t="shared" si="628"/>
        <v>0.33750718471255903</v>
      </c>
      <c r="G1520">
        <v>0.2</v>
      </c>
      <c r="H1520">
        <v>0.3</v>
      </c>
      <c r="J1520" s="2" t="s">
        <v>69</v>
      </c>
    </row>
    <row r="1521" spans="2:10" x14ac:dyDescent="0.3">
      <c r="B1521" s="47" t="s">
        <v>201</v>
      </c>
      <c r="C1521" t="str">
        <f>VLOOKUP($B1521,'标准费用表-2024年&amp;2025年优化'!$D:$E,2,0)</f>
        <v>正大食品（咸宁）有限公司</v>
      </c>
      <c r="D1521" t="s">
        <v>109</v>
      </c>
      <c r="E1521" s="36">
        <f t="shared" ref="E1521:F1521" si="629">E1497</f>
        <v>0.42104547810274801</v>
      </c>
      <c r="F1521" s="36">
        <f t="shared" si="629"/>
        <v>0.30352002311669601</v>
      </c>
      <c r="G1521">
        <v>0.2</v>
      </c>
      <c r="H1521">
        <v>0.3</v>
      </c>
      <c r="J1521" s="2" t="s">
        <v>69</v>
      </c>
    </row>
    <row r="1522" spans="2:10" x14ac:dyDescent="0.3">
      <c r="B1522" s="47" t="s">
        <v>201</v>
      </c>
      <c r="C1522" t="str">
        <f>VLOOKUP($B1522,'标准费用表-2024年&amp;2025年优化'!$D:$E,2,0)</f>
        <v>正大食品（咸宁）有限公司</v>
      </c>
      <c r="D1522" t="s">
        <v>110</v>
      </c>
      <c r="E1522" s="36">
        <f t="shared" ref="E1522:F1522" si="630">E1498</f>
        <v>0.42290515543316498</v>
      </c>
      <c r="F1522" s="36">
        <f t="shared" si="630"/>
        <v>0.30486061299515999</v>
      </c>
      <c r="G1522">
        <v>0.2</v>
      </c>
      <c r="H1522">
        <v>0.3</v>
      </c>
      <c r="J1522" s="2" t="s">
        <v>69</v>
      </c>
    </row>
    <row r="1523" spans="2:10" x14ac:dyDescent="0.3">
      <c r="B1523" s="47" t="s">
        <v>201</v>
      </c>
      <c r="C1523" t="str">
        <f>VLOOKUP($B1523,'标准费用表-2024年&amp;2025年优化'!$D:$E,2,0)</f>
        <v>正大食品（咸宁）有限公司</v>
      </c>
      <c r="D1523" t="s">
        <v>111</v>
      </c>
      <c r="E1523" s="36">
        <f t="shared" ref="E1523:F1523" si="631">E1499</f>
        <v>0.525808476065041</v>
      </c>
      <c r="F1523" s="36">
        <f t="shared" si="631"/>
        <v>0.37904076663963199</v>
      </c>
      <c r="G1523">
        <v>0.2</v>
      </c>
      <c r="H1523">
        <v>0.3</v>
      </c>
      <c r="J1523" s="2" t="s">
        <v>69</v>
      </c>
    </row>
    <row r="1524" spans="2:10" x14ac:dyDescent="0.3">
      <c r="B1524" s="47" t="s">
        <v>201</v>
      </c>
      <c r="C1524" t="str">
        <f>VLOOKUP($B1524,'标准费用表-2024年&amp;2025年优化'!$D:$E,2,0)</f>
        <v>正大食品（咸宁）有限公司</v>
      </c>
      <c r="D1524" t="s">
        <v>112</v>
      </c>
      <c r="E1524" s="36">
        <f t="shared" ref="E1524:F1524" si="632">E1500</f>
        <v>0.45977570528446599</v>
      </c>
      <c r="F1524" s="36">
        <f t="shared" si="632"/>
        <v>0.33143957114861</v>
      </c>
      <c r="G1524">
        <v>0.2</v>
      </c>
      <c r="H1524">
        <v>0.3</v>
      </c>
      <c r="J1524" s="2" t="s">
        <v>69</v>
      </c>
    </row>
    <row r="1525" spans="2:10" x14ac:dyDescent="0.3">
      <c r="B1525" s="47" t="s">
        <v>201</v>
      </c>
      <c r="C1525" t="str">
        <f>VLOOKUP($B1525,'标准费用表-2024年&amp;2025年优化'!$D:$E,2,0)</f>
        <v>正大食品（咸宁）有限公司</v>
      </c>
      <c r="D1525" t="s">
        <v>113</v>
      </c>
      <c r="E1525" s="36">
        <f t="shared" ref="E1525:F1525" si="633">E1501</f>
        <v>0.33301221451631802</v>
      </c>
      <c r="F1525" s="36">
        <f t="shared" si="633"/>
        <v>0.24005928172792201</v>
      </c>
      <c r="G1525">
        <v>0.2</v>
      </c>
      <c r="H1525">
        <v>0.3</v>
      </c>
      <c r="J1525" s="2" t="s">
        <v>69</v>
      </c>
    </row>
    <row r="1526" spans="2:10" x14ac:dyDescent="0.3">
      <c r="B1526" s="47" t="s">
        <v>201</v>
      </c>
      <c r="C1526" t="str">
        <f>VLOOKUP($B1526,'标准费用表-2024年&amp;2025年优化'!$D:$E,2,0)</f>
        <v>正大食品（咸宁）有限公司</v>
      </c>
      <c r="D1526" t="s">
        <v>114</v>
      </c>
      <c r="E1526" s="36">
        <f t="shared" ref="E1526:F1526" si="634">E1502</f>
        <v>1.2577739033887401</v>
      </c>
      <c r="F1526" s="36">
        <f t="shared" si="634"/>
        <v>0.90669436934070802</v>
      </c>
      <c r="G1526">
        <v>0.2</v>
      </c>
      <c r="H1526">
        <v>0.3</v>
      </c>
      <c r="J1526" s="2" t="s">
        <v>69</v>
      </c>
    </row>
    <row r="1527" spans="2:10" x14ac:dyDescent="0.3">
      <c r="B1527" s="47" t="s">
        <v>201</v>
      </c>
      <c r="C1527" t="str">
        <f>VLOOKUP($B1527,'标准费用表-2024年&amp;2025年优化'!$D:$E,2,0)</f>
        <v>正大食品（咸宁）有限公司</v>
      </c>
      <c r="D1527" t="s">
        <v>115</v>
      </c>
      <c r="E1527" s="36">
        <f t="shared" ref="E1527:F1527" si="635">E1503</f>
        <v>0.54096205480359305</v>
      </c>
      <c r="F1527" s="36">
        <f t="shared" si="635"/>
        <v>0.38996456183095302</v>
      </c>
      <c r="G1527">
        <v>0.2</v>
      </c>
      <c r="H1527">
        <v>0.3</v>
      </c>
      <c r="J1527" s="2" t="s">
        <v>69</v>
      </c>
    </row>
    <row r="1528" spans="2:10" x14ac:dyDescent="0.3">
      <c r="B1528" s="47" t="s">
        <v>201</v>
      </c>
      <c r="C1528" t="str">
        <f>VLOOKUP($B1528,'标准费用表-2024年&amp;2025年优化'!$D:$E,2,0)</f>
        <v>正大食品（咸宁）有限公司</v>
      </c>
      <c r="D1528" t="s">
        <v>116</v>
      </c>
      <c r="E1528" s="36">
        <f t="shared" ref="E1528:F1528" si="636">E1504</f>
        <v>0.341838397564381</v>
      </c>
      <c r="F1528" s="36">
        <f t="shared" si="636"/>
        <v>0.246421832621121</v>
      </c>
      <c r="G1528">
        <v>0.2</v>
      </c>
      <c r="H1528">
        <v>0.3</v>
      </c>
      <c r="J1528" s="2" t="s">
        <v>69</v>
      </c>
    </row>
    <row r="1529" spans="2:10" x14ac:dyDescent="0.3">
      <c r="B1529" s="47" t="s">
        <v>201</v>
      </c>
      <c r="C1529" t="str">
        <f>VLOOKUP($B1529,'标准费用表-2024年&amp;2025年优化'!$D:$E,2,0)</f>
        <v>正大食品（咸宁）有限公司</v>
      </c>
      <c r="D1529" t="s">
        <v>117</v>
      </c>
      <c r="E1529" s="36">
        <f t="shared" ref="E1529:F1529" si="637">E1505</f>
        <v>0.28343711410787598</v>
      </c>
      <c r="F1529" s="36">
        <f t="shared" si="637"/>
        <v>0.20432196496635599</v>
      </c>
      <c r="G1529">
        <v>0.2</v>
      </c>
      <c r="H1529">
        <v>0.3</v>
      </c>
      <c r="J1529" s="2" t="s">
        <v>69</v>
      </c>
    </row>
    <row r="1530" spans="2:10" x14ac:dyDescent="0.3">
      <c r="B1530" s="47" t="s">
        <v>201</v>
      </c>
      <c r="C1530" t="str">
        <f>VLOOKUP($B1530,'标准费用表-2024年&amp;2025年优化'!$D:$E,2,0)</f>
        <v>正大食品（咸宁）有限公司</v>
      </c>
      <c r="D1530" t="s">
        <v>118</v>
      </c>
      <c r="E1530" s="36">
        <f t="shared" ref="E1530:F1530" si="638">E1506</f>
        <v>0.112497115536508</v>
      </c>
      <c r="F1530" s="36">
        <f t="shared" si="638"/>
        <v>8.1096054663886197E-2</v>
      </c>
      <c r="G1530">
        <v>0.2</v>
      </c>
      <c r="H1530">
        <v>0.3</v>
      </c>
      <c r="J1530" s="2" t="s">
        <v>69</v>
      </c>
    </row>
    <row r="1531" spans="2:10" x14ac:dyDescent="0.3">
      <c r="B1531" s="47" t="s">
        <v>201</v>
      </c>
      <c r="C1531" t="str">
        <f>VLOOKUP($B1531,'标准费用表-2024年&amp;2025年优化'!$D:$E,2,0)</f>
        <v>正大食品（咸宁）有限公司</v>
      </c>
      <c r="D1531" t="s">
        <v>119</v>
      </c>
      <c r="E1531" s="36">
        <f>E1459</f>
        <v>0.40687274890288799</v>
      </c>
      <c r="F1531" s="36">
        <f t="shared" ref="F1531" si="639">F1507</f>
        <v>0.76861612272306701</v>
      </c>
      <c r="G1531">
        <v>0.2</v>
      </c>
      <c r="H1531">
        <v>0.3</v>
      </c>
      <c r="J1531" s="2" t="s">
        <v>69</v>
      </c>
    </row>
    <row r="1532" spans="2:10" x14ac:dyDescent="0.3">
      <c r="B1532" s="47" t="s">
        <v>201</v>
      </c>
      <c r="C1532" t="str">
        <f>VLOOKUP($B1532,'标准费用表-2024年&amp;2025年优化'!$D:$E,2,0)</f>
        <v>正大食品（咸宁）有限公司</v>
      </c>
      <c r="D1532" t="s">
        <v>120</v>
      </c>
      <c r="E1532" s="36">
        <f t="shared" ref="E1532:E1554" si="640">E1460</f>
        <v>1.08741771422432</v>
      </c>
      <c r="F1532" s="36">
        <f t="shared" ref="F1532" si="641">F1508</f>
        <v>0.51366592609033102</v>
      </c>
      <c r="G1532">
        <v>0.2</v>
      </c>
      <c r="H1532">
        <v>0.3</v>
      </c>
      <c r="J1532" s="2" t="s">
        <v>69</v>
      </c>
    </row>
    <row r="1533" spans="2:10" x14ac:dyDescent="0.3">
      <c r="B1533" s="47" t="s">
        <v>201</v>
      </c>
      <c r="C1533" t="str">
        <f>VLOOKUP($B1533,'标准费用表-2024年&amp;2025年优化'!$D:$E,2,0)</f>
        <v>正大食品（咸宁）有限公司</v>
      </c>
      <c r="D1533" t="s">
        <v>121</v>
      </c>
      <c r="E1533" s="36">
        <f t="shared" si="640"/>
        <v>2.0126948952555002</v>
      </c>
      <c r="F1533" s="36">
        <f t="shared" ref="F1533" si="642">F1509</f>
        <v>1.3594582169410301</v>
      </c>
      <c r="G1533">
        <v>0.2</v>
      </c>
      <c r="H1533">
        <v>0.3</v>
      </c>
      <c r="J1533" s="2" t="s">
        <v>69</v>
      </c>
    </row>
    <row r="1534" spans="2:10" x14ac:dyDescent="0.3">
      <c r="B1534" s="47" t="s">
        <v>201</v>
      </c>
      <c r="C1534" t="str">
        <f>VLOOKUP($B1534,'标准费用表-2024年&amp;2025年优化'!$D:$E,2,0)</f>
        <v>正大食品（咸宁）有限公司</v>
      </c>
      <c r="D1534" t="s">
        <v>122</v>
      </c>
      <c r="E1534" s="36">
        <f t="shared" si="640"/>
        <v>0.42297809296753303</v>
      </c>
      <c r="F1534" s="36">
        <f t="shared" ref="F1534" si="643">F1510</f>
        <v>0.79173527775010499</v>
      </c>
      <c r="G1534">
        <v>0.2</v>
      </c>
      <c r="H1534">
        <v>0.3</v>
      </c>
      <c r="J1534" s="2" t="s">
        <v>69</v>
      </c>
    </row>
    <row r="1535" spans="2:10" x14ac:dyDescent="0.3">
      <c r="B1535" s="47" t="s">
        <v>201</v>
      </c>
      <c r="C1535" t="str">
        <f>VLOOKUP($B1535,'标准费用表-2024年&amp;2025年优化'!$D:$E,2,0)</f>
        <v>正大食品（咸宁）有限公司</v>
      </c>
      <c r="D1535" t="s">
        <v>123</v>
      </c>
      <c r="E1535" s="36">
        <f t="shared" si="640"/>
        <v>0.186734056448218</v>
      </c>
      <c r="F1535" s="36">
        <f t="shared" ref="F1535" si="644">F1511</f>
        <v>0.47562401761982998</v>
      </c>
      <c r="G1535">
        <v>0.2</v>
      </c>
      <c r="H1535">
        <v>0.3</v>
      </c>
      <c r="J1535" s="2" t="s">
        <v>69</v>
      </c>
    </row>
    <row r="1536" spans="2:10" x14ac:dyDescent="0.3">
      <c r="B1536" s="47" t="s">
        <v>201</v>
      </c>
      <c r="C1536" t="str">
        <f>VLOOKUP($B1536,'标准费用表-2024年&amp;2025年优化'!$D:$E,2,0)</f>
        <v>正大食品（咸宁）有限公司</v>
      </c>
      <c r="D1536" t="s">
        <v>124</v>
      </c>
      <c r="E1536" s="36">
        <f t="shared" si="640"/>
        <v>0.57791713083125695</v>
      </c>
      <c r="F1536" s="36">
        <f t="shared" ref="F1536" si="645">F1512</f>
        <v>0.64223348336265496</v>
      </c>
      <c r="G1536">
        <v>0.2</v>
      </c>
      <c r="H1536">
        <v>0.3</v>
      </c>
      <c r="J1536" s="2" t="s">
        <v>69</v>
      </c>
    </row>
    <row r="1537" spans="2:10" x14ac:dyDescent="0.3">
      <c r="B1537" s="47" t="s">
        <v>201</v>
      </c>
      <c r="C1537" t="str">
        <f>VLOOKUP($B1537,'标准费用表-2024年&amp;2025年优化'!$D:$E,2,0)</f>
        <v>正大食品（咸宁）有限公司</v>
      </c>
      <c r="D1537" t="s">
        <v>125</v>
      </c>
      <c r="E1537" s="36">
        <f t="shared" si="640"/>
        <v>0.95467388773948403</v>
      </c>
      <c r="F1537" s="36">
        <f t="shared" ref="F1537" si="646">F1513</f>
        <v>0.480896116018802</v>
      </c>
      <c r="G1537">
        <v>0.2</v>
      </c>
      <c r="H1537">
        <v>0.3</v>
      </c>
      <c r="J1537" s="2" t="s">
        <v>69</v>
      </c>
    </row>
    <row r="1538" spans="2:10" x14ac:dyDescent="0.3">
      <c r="B1538" s="47" t="s">
        <v>201</v>
      </c>
      <c r="C1538" t="str">
        <f>VLOOKUP($B1538,'标准费用表-2024年&amp;2025年优化'!$D:$E,2,0)</f>
        <v>正大食品（咸宁）有限公司</v>
      </c>
      <c r="D1538" t="s">
        <v>126</v>
      </c>
      <c r="E1538" s="36">
        <f t="shared" si="640"/>
        <v>1.3848927998628799</v>
      </c>
      <c r="F1538" s="36">
        <f t="shared" ref="F1538" si="647">F1514</f>
        <v>0.49002062063596502</v>
      </c>
      <c r="G1538">
        <v>0.2</v>
      </c>
      <c r="H1538">
        <v>0.3</v>
      </c>
      <c r="J1538" s="2" t="s">
        <v>69</v>
      </c>
    </row>
    <row r="1539" spans="2:10" x14ac:dyDescent="0.3">
      <c r="B1539" s="47" t="s">
        <v>201</v>
      </c>
      <c r="C1539" t="str">
        <f>VLOOKUP($B1539,'标准费用表-2024年&amp;2025年优化'!$D:$E,2,0)</f>
        <v>正大食品（咸宁）有限公司</v>
      </c>
      <c r="D1539" t="s">
        <v>127</v>
      </c>
      <c r="E1539" s="36">
        <f t="shared" si="640"/>
        <v>0.80911377297803799</v>
      </c>
      <c r="F1539" s="36">
        <f t="shared" ref="F1539" si="648">F1515</f>
        <v>0.48579172921306801</v>
      </c>
      <c r="G1539">
        <v>0.2</v>
      </c>
      <c r="H1539">
        <v>0.3</v>
      </c>
      <c r="J1539" s="2" t="s">
        <v>69</v>
      </c>
    </row>
    <row r="1540" spans="2:10" x14ac:dyDescent="0.3">
      <c r="B1540" s="47" t="s">
        <v>201</v>
      </c>
      <c r="C1540" t="str">
        <f>VLOOKUP($B1540,'标准费用表-2024年&amp;2025年优化'!$D:$E,2,0)</f>
        <v>正大食品（咸宁）有限公司</v>
      </c>
      <c r="D1540" t="s">
        <v>128</v>
      </c>
      <c r="E1540" s="36">
        <f t="shared" si="640"/>
        <v>0.74305775124471596</v>
      </c>
      <c r="F1540" s="36">
        <f t="shared" ref="F1540" si="649">F1516</f>
        <v>0.41661442271145399</v>
      </c>
      <c r="G1540">
        <v>0.2</v>
      </c>
      <c r="H1540">
        <v>0.3</v>
      </c>
      <c r="J1540" s="2" t="s">
        <v>69</v>
      </c>
    </row>
    <row r="1541" spans="2:10" x14ac:dyDescent="0.3">
      <c r="B1541" s="47" t="s">
        <v>201</v>
      </c>
      <c r="C1541" t="str">
        <f>VLOOKUP($B1541,'标准费用表-2024年&amp;2025年优化'!$D:$E,2,0)</f>
        <v>正大食品（咸宁）有限公司</v>
      </c>
      <c r="D1541" t="s">
        <v>129</v>
      </c>
      <c r="E1541" s="36">
        <f t="shared" si="640"/>
        <v>0.94925014794520601</v>
      </c>
      <c r="F1541" s="36">
        <f t="shared" ref="F1541" si="650">F1517</f>
        <v>0.29100110454413403</v>
      </c>
      <c r="G1541">
        <v>0.2</v>
      </c>
      <c r="H1541">
        <v>0.3</v>
      </c>
      <c r="J1541" s="2" t="s">
        <v>69</v>
      </c>
    </row>
    <row r="1542" spans="2:10" x14ac:dyDescent="0.3">
      <c r="B1542" s="47" t="s">
        <v>201</v>
      </c>
      <c r="C1542" t="str">
        <f>VLOOKUP($B1542,'标准费用表-2024年&amp;2025年优化'!$D:$E,2,0)</f>
        <v>正大食品（咸宁）有限公司</v>
      </c>
      <c r="D1542" t="s">
        <v>130</v>
      </c>
      <c r="E1542" s="36">
        <f t="shared" si="640"/>
        <v>1.6510216849367101</v>
      </c>
      <c r="F1542" s="36">
        <f t="shared" ref="F1542" si="651">F1518</f>
        <v>0.268636030325205</v>
      </c>
      <c r="G1542">
        <v>0.2</v>
      </c>
      <c r="H1542">
        <v>0.3</v>
      </c>
      <c r="J1542" s="2" t="s">
        <v>69</v>
      </c>
    </row>
    <row r="1543" spans="2:10" x14ac:dyDescent="0.3">
      <c r="B1543" s="47" t="s">
        <v>201</v>
      </c>
      <c r="C1543" t="str">
        <f>VLOOKUP($B1543,'标准费用表-2024年&amp;2025年优化'!$D:$E,2,0)</f>
        <v>正大食品（咸宁）有限公司</v>
      </c>
      <c r="D1543" t="s">
        <v>131</v>
      </c>
      <c r="E1543" s="36">
        <f t="shared" si="640"/>
        <v>0.28109555498243699</v>
      </c>
      <c r="F1543" s="36">
        <f t="shared" ref="F1543" si="652">F1519</f>
        <v>0.37042196940015099</v>
      </c>
      <c r="G1543">
        <v>0.2</v>
      </c>
      <c r="H1543">
        <v>0.3</v>
      </c>
      <c r="J1543" s="2" t="s">
        <v>69</v>
      </c>
    </row>
    <row r="1544" spans="2:10" x14ac:dyDescent="0.3">
      <c r="B1544" s="47" t="s">
        <v>201</v>
      </c>
      <c r="C1544" t="str">
        <f>VLOOKUP($B1544,'标准费用表-2024年&amp;2025年优化'!$D:$E,2,0)</f>
        <v>正大食品（咸宁）有限公司</v>
      </c>
      <c r="D1544" t="s">
        <v>132</v>
      </c>
      <c r="E1544" s="36">
        <f t="shared" si="640"/>
        <v>6.5081294360574596E-2</v>
      </c>
      <c r="F1544" s="36">
        <f t="shared" ref="F1544" si="653">F1520</f>
        <v>0.33750718471255903</v>
      </c>
      <c r="G1544">
        <v>0.2</v>
      </c>
      <c r="H1544">
        <v>0.3</v>
      </c>
      <c r="J1544" s="2" t="s">
        <v>69</v>
      </c>
    </row>
    <row r="1545" spans="2:10" x14ac:dyDescent="0.3">
      <c r="B1545" s="47" t="s">
        <v>201</v>
      </c>
      <c r="C1545" t="str">
        <f>VLOOKUP($B1545,'标准费用表-2024年&amp;2025年优化'!$D:$E,2,0)</f>
        <v>正大食品（咸宁）有限公司</v>
      </c>
      <c r="D1545" t="s">
        <v>133</v>
      </c>
      <c r="E1545" s="36">
        <f t="shared" si="640"/>
        <v>0.34916814320980999</v>
      </c>
      <c r="F1545" s="36">
        <f t="shared" ref="F1545" si="654">F1521</f>
        <v>0.30352002311669601</v>
      </c>
      <c r="G1545">
        <v>0.2</v>
      </c>
      <c r="H1545">
        <v>0.3</v>
      </c>
      <c r="J1545" s="2" t="s">
        <v>69</v>
      </c>
    </row>
    <row r="1546" spans="2:10" x14ac:dyDescent="0.3">
      <c r="B1546" s="47" t="s">
        <v>201</v>
      </c>
      <c r="C1546" t="str">
        <f>VLOOKUP($B1546,'标准费用表-2024年&amp;2025年优化'!$D:$E,2,0)</f>
        <v>正大食品（咸宁）有限公司</v>
      </c>
      <c r="D1546" t="s">
        <v>134</v>
      </c>
      <c r="E1546" s="36">
        <f t="shared" si="640"/>
        <v>0.22838471780066</v>
      </c>
      <c r="F1546" s="36">
        <f t="shared" ref="F1546" si="655">F1522</f>
        <v>0.30486061299515999</v>
      </c>
      <c r="G1546">
        <v>0.2</v>
      </c>
      <c r="H1546">
        <v>0.3</v>
      </c>
      <c r="J1546" s="2" t="s">
        <v>69</v>
      </c>
    </row>
    <row r="1547" spans="2:10" x14ac:dyDescent="0.3">
      <c r="B1547" s="47" t="s">
        <v>201</v>
      </c>
      <c r="C1547" t="str">
        <f>VLOOKUP($B1547,'标准费用表-2024年&amp;2025年优化'!$D:$E,2,0)</f>
        <v>正大食品（咸宁）有限公司</v>
      </c>
      <c r="D1547" t="s">
        <v>135</v>
      </c>
      <c r="E1547" s="36">
        <f t="shared" si="640"/>
        <v>0.15137631283477801</v>
      </c>
      <c r="F1547" s="36">
        <f t="shared" ref="F1547" si="656">F1523</f>
        <v>0.37904076663963199</v>
      </c>
      <c r="G1547">
        <v>0.2</v>
      </c>
      <c r="H1547">
        <v>0.3</v>
      </c>
      <c r="J1547" s="2" t="s">
        <v>69</v>
      </c>
    </row>
    <row r="1548" spans="2:10" x14ac:dyDescent="0.3">
      <c r="B1548" s="47" t="s">
        <v>201</v>
      </c>
      <c r="C1548" t="str">
        <f>VLOOKUP($B1548,'标准费用表-2024年&amp;2025年优化'!$D:$E,2,0)</f>
        <v>正大食品（咸宁）有限公司</v>
      </c>
      <c r="D1548" t="s">
        <v>136</v>
      </c>
      <c r="E1548" s="36">
        <f t="shared" si="640"/>
        <v>2.6135454980669302E-2</v>
      </c>
      <c r="F1548" s="36">
        <f t="shared" ref="F1548" si="657">F1524</f>
        <v>0.33143957114861</v>
      </c>
      <c r="G1548">
        <v>0.2</v>
      </c>
      <c r="H1548">
        <v>0.3</v>
      </c>
      <c r="J1548" s="2" t="s">
        <v>69</v>
      </c>
    </row>
    <row r="1549" spans="2:10" x14ac:dyDescent="0.3">
      <c r="B1549" s="47" t="s">
        <v>201</v>
      </c>
      <c r="C1549" t="str">
        <f>VLOOKUP($B1549,'标准费用表-2024年&amp;2025年优化'!$D:$E,2,0)</f>
        <v>正大食品（咸宁）有限公司</v>
      </c>
      <c r="D1549" t="s">
        <v>137</v>
      </c>
      <c r="E1549" s="36">
        <f t="shared" si="640"/>
        <v>0.13677225385199099</v>
      </c>
      <c r="F1549" s="36">
        <f t="shared" ref="F1549" si="658">F1525</f>
        <v>0.24005928172792201</v>
      </c>
      <c r="G1549">
        <v>0.2</v>
      </c>
      <c r="H1549">
        <v>0.3</v>
      </c>
      <c r="J1549" s="2" t="s">
        <v>69</v>
      </c>
    </row>
    <row r="1550" spans="2:10" x14ac:dyDescent="0.3">
      <c r="B1550" s="47" t="s">
        <v>201</v>
      </c>
      <c r="C1550" t="str">
        <f>VLOOKUP($B1550,'标准费用表-2024年&amp;2025年优化'!$D:$E,2,0)</f>
        <v>正大食品（咸宁）有限公司</v>
      </c>
      <c r="D1550" t="s">
        <v>138</v>
      </c>
      <c r="E1550" s="36">
        <f t="shared" si="640"/>
        <v>0.12550669507748799</v>
      </c>
      <c r="F1550" s="36">
        <f t="shared" ref="F1550" si="659">F1526</f>
        <v>0.90669436934070802</v>
      </c>
      <c r="G1550">
        <v>0.2</v>
      </c>
      <c r="H1550">
        <v>0.3</v>
      </c>
      <c r="J1550" s="2" t="s">
        <v>69</v>
      </c>
    </row>
    <row r="1551" spans="2:10" x14ac:dyDescent="0.3">
      <c r="B1551" s="47" t="s">
        <v>201</v>
      </c>
      <c r="C1551" t="str">
        <f>VLOOKUP($B1551,'标准费用表-2024年&amp;2025年优化'!$D:$E,2,0)</f>
        <v>正大食品（咸宁）有限公司</v>
      </c>
      <c r="D1551" t="s">
        <v>139</v>
      </c>
      <c r="E1551" s="36">
        <f t="shared" si="640"/>
        <v>0.43908655465913798</v>
      </c>
      <c r="F1551" s="36">
        <f t="shared" ref="F1551" si="660">F1527</f>
        <v>0.38996456183095302</v>
      </c>
      <c r="G1551">
        <v>0.2</v>
      </c>
      <c r="H1551">
        <v>0.3</v>
      </c>
      <c r="J1551" s="2" t="s">
        <v>69</v>
      </c>
    </row>
    <row r="1552" spans="2:10" x14ac:dyDescent="0.3">
      <c r="B1552" s="47" t="s">
        <v>201</v>
      </c>
      <c r="C1552" t="str">
        <f>VLOOKUP($B1552,'标准费用表-2024年&amp;2025年优化'!$D:$E,2,0)</f>
        <v>正大食品（咸宁）有限公司</v>
      </c>
      <c r="D1552" t="s">
        <v>140</v>
      </c>
      <c r="E1552" s="36">
        <f t="shared" si="640"/>
        <v>0.51428891153033396</v>
      </c>
      <c r="F1552" s="36">
        <f t="shared" ref="F1552" si="661">F1528</f>
        <v>0.246421832621121</v>
      </c>
      <c r="G1552">
        <v>0.2</v>
      </c>
      <c r="H1552">
        <v>0.3</v>
      </c>
      <c r="J1552" s="2" t="s">
        <v>69</v>
      </c>
    </row>
    <row r="1553" spans="2:10" x14ac:dyDescent="0.3">
      <c r="B1553" s="47" t="s">
        <v>201</v>
      </c>
      <c r="C1553" t="str">
        <f>VLOOKUP($B1553,'标准费用表-2024年&amp;2025年优化'!$D:$E,2,0)</f>
        <v>正大食品（咸宁）有限公司</v>
      </c>
      <c r="D1553" t="s">
        <v>141</v>
      </c>
      <c r="E1553" s="36">
        <f t="shared" si="640"/>
        <v>0.147056746044159</v>
      </c>
      <c r="F1553" s="36">
        <f t="shared" ref="F1553" si="662">F1529</f>
        <v>0.20432196496635599</v>
      </c>
      <c r="G1553">
        <v>0.2</v>
      </c>
      <c r="H1553">
        <v>0.3</v>
      </c>
      <c r="J1553" s="2" t="s">
        <v>69</v>
      </c>
    </row>
    <row r="1554" spans="2:10" x14ac:dyDescent="0.3">
      <c r="B1554" s="47" t="s">
        <v>201</v>
      </c>
      <c r="C1554" t="str">
        <f>VLOOKUP($B1554,'标准费用表-2024年&amp;2025年优化'!$D:$E,2,0)</f>
        <v>正大食品（咸宁）有限公司</v>
      </c>
      <c r="D1554" t="s">
        <v>142</v>
      </c>
      <c r="E1554" s="36">
        <f t="shared" si="640"/>
        <v>4.37533462197148E-2</v>
      </c>
      <c r="F1554" s="36">
        <f t="shared" ref="F1554" si="663">F1530</f>
        <v>8.1096054663886197E-2</v>
      </c>
      <c r="G1554">
        <v>0.2</v>
      </c>
      <c r="H1554">
        <v>0.3</v>
      </c>
      <c r="J1554" s="2" t="s">
        <v>69</v>
      </c>
    </row>
    <row r="1555" spans="2:10" x14ac:dyDescent="0.3">
      <c r="B1555" s="47" t="s">
        <v>177</v>
      </c>
      <c r="C1555" t="str">
        <f>VLOOKUP($B1555,'标准费用表-2024年&amp;2025年优化'!$D:$E,2,0)</f>
        <v>正大食品（宜昌）有限公司</v>
      </c>
      <c r="D1555" t="s">
        <v>41</v>
      </c>
      <c r="E1555" s="46">
        <f>IFERROR(VLOOKUP($B1555,'标准费用表-2024年&amp;2025年优化'!$D:$K,8,0)*VLOOKUP('5.成本表'!$D1555,系数辅助表!$C:$G,5,0)/VLOOKUP($D1555,系数辅助表!$C:$E,3,0),0)</f>
        <v>0.495337995337995</v>
      </c>
      <c r="I1555" s="36">
        <f>VLOOKUP($D1555,系数辅助表!$C:$F,4,0)</f>
        <v>1.33</v>
      </c>
      <c r="J1555" s="2" t="s">
        <v>41</v>
      </c>
    </row>
    <row r="1556" spans="2:10" x14ac:dyDescent="0.3">
      <c r="B1556" s="47" t="s">
        <v>177</v>
      </c>
      <c r="C1556" t="str">
        <f>VLOOKUP($B1556,'标准费用表-2024年&amp;2025年优化'!$D:$E,2,0)</f>
        <v>正大食品（宜昌）有限公司</v>
      </c>
      <c r="D1556" t="s">
        <v>44</v>
      </c>
      <c r="E1556" s="46">
        <f>IFERROR(VLOOKUP($B1556,'标准费用表-2024年&amp;2025年优化'!$D:$K,8,0)*系数辅助表!$J$6*VLOOKUP('5.成本表'!$D1556,系数辅助表!$C:$G,5,0)/VLOOKUP($D1556,系数辅助表!$C:$E,3,0),0)</f>
        <v>0.28330431921801102</v>
      </c>
      <c r="I1556" s="36">
        <f>VLOOKUP($D1556,系数辅助表!$C:$F,4,0)</f>
        <v>0.789027855994753</v>
      </c>
      <c r="J1556" s="2" t="s">
        <v>200</v>
      </c>
    </row>
    <row r="1557" spans="2:10" x14ac:dyDescent="0.3">
      <c r="B1557" s="47" t="s">
        <v>177</v>
      </c>
      <c r="C1557" t="str">
        <f>VLOOKUP($B1557,'标准费用表-2024年&amp;2025年优化'!$D:$E,2,0)</f>
        <v>正大食品（宜昌）有限公司</v>
      </c>
      <c r="D1557" t="s">
        <v>45</v>
      </c>
      <c r="E1557" s="46">
        <f>IFERROR(VLOOKUP($B1557,'标准费用表-2024年&amp;2025年优化'!$D:$K,8,0)*系数辅助表!$J$6*VLOOKUP('5.成本表'!$D1557,系数辅助表!$C:$G,5,0)/VLOOKUP($D1557,系数辅助表!$C:$E,3,0),0)</f>
        <v>0.757165811828445</v>
      </c>
      <c r="I1557" s="36">
        <f>VLOOKUP($D1557,系数辅助表!$C:$F,4,0)</f>
        <v>2.1087744754070901</v>
      </c>
      <c r="J1557" s="2" t="s">
        <v>200</v>
      </c>
    </row>
    <row r="1558" spans="2:10" x14ac:dyDescent="0.3">
      <c r="B1558" s="47" t="s">
        <v>177</v>
      </c>
      <c r="C1558" t="str">
        <f>VLOOKUP($B1558,'标准费用表-2024年&amp;2025年优化'!$D:$E,2,0)</f>
        <v>正大食品（宜昌）有限公司</v>
      </c>
      <c r="D1558" t="s">
        <v>46</v>
      </c>
      <c r="E1558" s="46">
        <f>IFERROR(VLOOKUP($B1558,'标准费用表-2024年&amp;2025年优化'!$D:$K,8,0)*系数辅助表!$J$6*VLOOKUP('5.成本表'!$D1558,系数辅助表!$C:$G,5,0)/VLOOKUP($D1558,系数辅助表!$C:$E,3,0),0)</f>
        <v>1.40143363897301</v>
      </c>
      <c r="I1558" s="36">
        <f>VLOOKUP($D1558,系数辅助表!$C:$F,4,0)</f>
        <v>3.9031179705625099</v>
      </c>
      <c r="J1558" s="2" t="s">
        <v>200</v>
      </c>
    </row>
    <row r="1559" spans="2:10" x14ac:dyDescent="0.3">
      <c r="B1559" s="47" t="s">
        <v>177</v>
      </c>
      <c r="C1559" t="str">
        <f>VLOOKUP($B1559,'标准费用表-2024年&amp;2025年优化'!$D:$E,2,0)</f>
        <v>正大食品（宜昌）有限公司</v>
      </c>
      <c r="D1559" t="s">
        <v>47</v>
      </c>
      <c r="E1559" s="46">
        <f>IFERROR(VLOOKUP($B1559,'标准费用表-2024年&amp;2025年优化'!$D:$K,8,0)*系数辅助表!$J$6*VLOOKUP('5.成本表'!$D1559,系数辅助表!$C:$G,5,0)/VLOOKUP($D1559,系数辅助表!$C:$E,3,0),0)</f>
        <v>0.29451842374653803</v>
      </c>
      <c r="I1559" s="36">
        <f>VLOOKUP($D1559,系数辅助表!$C:$F,4,0)</f>
        <v>0.82026013963048305</v>
      </c>
      <c r="J1559" s="2" t="s">
        <v>200</v>
      </c>
    </row>
    <row r="1560" spans="2:10" x14ac:dyDescent="0.3">
      <c r="B1560" s="47" t="s">
        <v>177</v>
      </c>
      <c r="C1560" t="str">
        <f>VLOOKUP($B1560,'标准费用表-2024年&amp;2025年优化'!$D:$E,2,0)</f>
        <v>正大食品（宜昌）有限公司</v>
      </c>
      <c r="D1560" t="s">
        <v>48</v>
      </c>
      <c r="E1560" s="46">
        <f>IFERROR(VLOOKUP($B1560,'标准费用表-2024年&amp;2025年优化'!$D:$K,8,0)*系数辅助表!$J$6*VLOOKUP('5.成本表'!$D1560,系数辅助表!$C:$G,5,0)/VLOOKUP($D1560,系数辅助表!$C:$E,3,0),0)</f>
        <v>0.130022383852271</v>
      </c>
      <c r="I1560" s="36">
        <f>VLOOKUP($D1560,系数辅助表!$C:$F,4,0)</f>
        <v>0.36212396283071502</v>
      </c>
      <c r="J1560" s="2" t="s">
        <v>200</v>
      </c>
    </row>
    <row r="1561" spans="2:10" x14ac:dyDescent="0.3">
      <c r="B1561" s="47" t="s">
        <v>177</v>
      </c>
      <c r="C1561" t="str">
        <f>VLOOKUP($B1561,'标准费用表-2024年&amp;2025年优化'!$D:$E,2,0)</f>
        <v>正大食品（宜昌）有限公司</v>
      </c>
      <c r="D1561" t="s">
        <v>49</v>
      </c>
      <c r="E1561" s="46">
        <f>IFERROR(VLOOKUP($B1561,'标准费用表-2024年&amp;2025年优化'!$D:$K,8,0)*系数辅助表!$J$6*VLOOKUP('5.成本表'!$D1561,系数辅助表!$C:$G,5,0)/VLOOKUP($D1561,系数辅助表!$C:$E,3,0),0)</f>
        <v>0.40240202804453101</v>
      </c>
      <c r="I1561" s="36">
        <f>VLOOKUP($D1561,系数辅助表!$C:$F,4,0)</f>
        <v>1.1207256222295201</v>
      </c>
      <c r="J1561" s="2" t="s">
        <v>200</v>
      </c>
    </row>
    <row r="1562" spans="2:10" x14ac:dyDescent="0.3">
      <c r="B1562" s="47" t="s">
        <v>177</v>
      </c>
      <c r="C1562" t="str">
        <f>VLOOKUP($B1562,'标准费用表-2024年&amp;2025年优化'!$D:$E,2,0)</f>
        <v>正大食品（宜昌）有限公司</v>
      </c>
      <c r="D1562" t="s">
        <v>50</v>
      </c>
      <c r="E1562" s="46">
        <f>IFERROR(VLOOKUP($B1562,'标准费用表-2024年&amp;2025年优化'!$D:$K,8,0)*系数辅助表!$J$6*VLOOKUP('5.成本表'!$D1562,系数辅助表!$C:$G,5,0)/VLOOKUP($D1562,系数辅助表!$C:$E,3,0),0)</f>
        <v>0.66473666907045803</v>
      </c>
      <c r="I1562" s="36">
        <f>VLOOKUP($D1562,系数辅助表!$C:$F,4,0)</f>
        <v>1.8513510498021799</v>
      </c>
      <c r="J1562" s="2" t="s">
        <v>200</v>
      </c>
    </row>
    <row r="1563" spans="2:10" x14ac:dyDescent="0.3">
      <c r="B1563" s="47" t="s">
        <v>177</v>
      </c>
      <c r="C1563" t="str">
        <f>VLOOKUP($B1563,'标准费用表-2024年&amp;2025年优化'!$D:$E,2,0)</f>
        <v>正大食品（宜昌）有限公司</v>
      </c>
      <c r="D1563" t="s">
        <v>51</v>
      </c>
      <c r="E1563" s="46">
        <f>IFERROR(VLOOKUP($B1563,'标准费用表-2024年&amp;2025年优化'!$D:$K,8,0)*系数辅助表!$J$6*VLOOKUP('5.成本表'!$D1563,系数辅助表!$C:$G,5,0)/VLOOKUP($D1563,系数辅助表!$C:$E,3,0),0)</f>
        <v>0.96429685426959499</v>
      </c>
      <c r="I1563" s="36">
        <f>VLOOKUP($D1563,系数辅助表!$C:$F,4,0)</f>
        <v>2.68565294580391</v>
      </c>
      <c r="J1563" s="2" t="s">
        <v>200</v>
      </c>
    </row>
    <row r="1564" spans="2:10" x14ac:dyDescent="0.3">
      <c r="B1564" s="47" t="s">
        <v>177</v>
      </c>
      <c r="C1564" t="str">
        <f>VLOOKUP($B1564,'标准费用表-2024年&amp;2025年优化'!$D:$E,2,0)</f>
        <v>正大食品（宜昌）有限公司</v>
      </c>
      <c r="D1564" t="s">
        <v>52</v>
      </c>
      <c r="E1564" s="46">
        <f>IFERROR(VLOOKUP($B1564,'标准费用表-2024年&amp;2025年优化'!$D:$K,8,0)*系数辅助表!$J$6*VLOOKUP('5.成本表'!$D1564,系数辅助表!$C:$G,5,0)/VLOOKUP($D1564,系数辅助表!$C:$E,3,0),0)</f>
        <v>0.563383581823935</v>
      </c>
      <c r="I1564" s="36">
        <f>VLOOKUP($D1564,系数辅助表!$C:$F,4,0)</f>
        <v>1.5690736410097099</v>
      </c>
      <c r="J1564" s="2" t="s">
        <v>200</v>
      </c>
    </row>
    <row r="1565" spans="2:10" x14ac:dyDescent="0.3">
      <c r="B1565" s="47" t="s">
        <v>177</v>
      </c>
      <c r="C1565" t="str">
        <f>VLOOKUP($B1565,'标准费用表-2024年&amp;2025年优化'!$D:$E,2,0)</f>
        <v>正大食品（宜昌）有限公司</v>
      </c>
      <c r="D1565" t="s">
        <v>53</v>
      </c>
      <c r="E1565" s="46">
        <f>IFERROR(VLOOKUP($B1565,'标准费用表-2024年&amp;2025年优化'!$D:$K,8,0)*系数辅助表!$J$6*VLOOKUP('5.成本表'!$D1565,系数辅助表!$C:$G,5,0)/VLOOKUP($D1565,系数辅助表!$C:$E,3,0),0)</f>
        <v>0.517388964789813</v>
      </c>
      <c r="I1565" s="36">
        <f>VLOOKUP($D1565,系数辅助表!$C:$F,4,0)</f>
        <v>1.44097452072131</v>
      </c>
      <c r="J1565" s="2" t="s">
        <v>200</v>
      </c>
    </row>
    <row r="1566" spans="2:10" x14ac:dyDescent="0.3">
      <c r="B1566" s="47" t="s">
        <v>177</v>
      </c>
      <c r="C1566" t="str">
        <f>VLOOKUP($B1566,'标准费用表-2024年&amp;2025年优化'!$D:$E,2,0)</f>
        <v>正大食品（宜昌）有限公司</v>
      </c>
      <c r="D1566" t="s">
        <v>54</v>
      </c>
      <c r="E1566" s="46">
        <f>IFERROR(VLOOKUP($B1566,'标准费用表-2024年&amp;2025年优化'!$D:$K,8,0)*系数辅助表!$J$6*VLOOKUP('5.成本表'!$D1566,系数辅助表!$C:$G,5,0)/VLOOKUP($D1566,系数辅助表!$C:$E,3,0),0)</f>
        <v>0.66096013472605397</v>
      </c>
      <c r="I1566" s="36">
        <f>VLOOKUP($D1566,系数辅助表!$C:$F,4,0)</f>
        <v>1.8408330640366199</v>
      </c>
      <c r="J1566" s="2" t="s">
        <v>200</v>
      </c>
    </row>
    <row r="1567" spans="2:10" x14ac:dyDescent="0.3">
      <c r="B1567" s="47" t="s">
        <v>177</v>
      </c>
      <c r="C1567" t="str">
        <f>VLOOKUP($B1567,'标准费用表-2024年&amp;2025年优化'!$D:$E,2,0)</f>
        <v>正大食品（宜昌）有限公司</v>
      </c>
      <c r="D1567" t="s">
        <v>55</v>
      </c>
      <c r="E1567" s="46">
        <f>IFERROR(VLOOKUP($B1567,'标准费用表-2024年&amp;2025年优化'!$D:$K,8,0)*系数辅助表!$J$6*VLOOKUP('5.成本表'!$D1567,系数辅助表!$C:$G,5,0)/VLOOKUP($D1567,系数辅助表!$C:$E,3,0),0)</f>
        <v>1.1496016278465699</v>
      </c>
      <c r="I1567" s="36">
        <f>VLOOKUP($D1567,系数辅助表!$C:$F,4,0)</f>
        <v>3.2017433061789502</v>
      </c>
      <c r="J1567" s="2" t="s">
        <v>200</v>
      </c>
    </row>
    <row r="1568" spans="2:10" x14ac:dyDescent="0.3">
      <c r="B1568" s="47" t="s">
        <v>177</v>
      </c>
      <c r="C1568" t="str">
        <f>VLOOKUP($B1568,'标准费用表-2024年&amp;2025年优化'!$D:$E,2,0)</f>
        <v>正大食品（宜昌）有限公司</v>
      </c>
      <c r="D1568" t="s">
        <v>56</v>
      </c>
      <c r="E1568" s="46">
        <f>IFERROR(VLOOKUP($B1568,'标准费用表-2024年&amp;2025年优化'!$D:$K,8,0)*系数辅助表!$J$6*VLOOKUP('5.成本表'!$D1568,系数辅助表!$C:$G,5,0)/VLOOKUP($D1568,系数辅助表!$C:$E,3,0),0)</f>
        <v>0.19572602258136401</v>
      </c>
      <c r="I1568" s="36">
        <f>VLOOKUP($D1568,系数辅助表!$C:$F,4,0)</f>
        <v>0.54511447049599404</v>
      </c>
      <c r="J1568" s="2" t="s">
        <v>200</v>
      </c>
    </row>
    <row r="1569" spans="2:10" x14ac:dyDescent="0.3">
      <c r="B1569" s="47" t="s">
        <v>177</v>
      </c>
      <c r="C1569" t="str">
        <f>VLOOKUP($B1569,'标准费用表-2024年&amp;2025年优化'!$D:$E,2,0)</f>
        <v>正大食品（宜昌）有限公司</v>
      </c>
      <c r="D1569" t="s">
        <v>57</v>
      </c>
      <c r="E1569" s="46">
        <f>IFERROR(VLOOKUP($B1569,'标准费用表-2024年&amp;2025年优化'!$D:$K,8,0)*系数辅助表!$J$6*VLOOKUP('5.成本表'!$D1569,系数辅助表!$C:$G,5,0)/VLOOKUP($D1569,系数辅助表!$C:$E,3,0),0)</f>
        <v>4.5315917181394501E-2</v>
      </c>
      <c r="I1569" s="36">
        <f>VLOOKUP($D1569,系数辅助表!$C:$F,4,0)</f>
        <v>0.126208880523832</v>
      </c>
      <c r="J1569" s="2" t="s">
        <v>200</v>
      </c>
    </row>
    <row r="1570" spans="2:10" x14ac:dyDescent="0.3">
      <c r="B1570" s="47" t="s">
        <v>177</v>
      </c>
      <c r="C1570" t="str">
        <f>VLOOKUP($B1570,'标准费用表-2024年&amp;2025年优化'!$D:$E,2,0)</f>
        <v>正大食品（宜昌）有限公司</v>
      </c>
      <c r="D1570" t="s">
        <v>58</v>
      </c>
      <c r="E1570" s="46">
        <f>IFERROR(VLOOKUP($B1570,'标准费用表-2024年&amp;2025年优化'!$D:$K,8,0)*系数辅助表!$J$6*VLOOKUP('5.成本表'!$D1570,系数辅助表!$C:$G,5,0)/VLOOKUP($D1570,系数辅助表!$C:$E,3,0),0)</f>
        <v>0.24312476903751201</v>
      </c>
      <c r="I1570" s="36">
        <f>VLOOKUP($D1570,系数辅助表!$C:$F,4,0)</f>
        <v>0.67712421675176204</v>
      </c>
      <c r="J1570" s="2" t="s">
        <v>200</v>
      </c>
    </row>
    <row r="1571" spans="2:10" x14ac:dyDescent="0.3">
      <c r="B1571" s="47" t="s">
        <v>177</v>
      </c>
      <c r="C1571" t="str">
        <f>VLOOKUP($B1571,'标准费用表-2024年&amp;2025年优化'!$D:$E,2,0)</f>
        <v>正大食品（宜昌）有限公司</v>
      </c>
      <c r="D1571" t="s">
        <v>59</v>
      </c>
      <c r="E1571" s="46">
        <f>IFERROR(VLOOKUP($B1571,'标准费用表-2024年&amp;2025年优化'!$D:$K,8,0)*系数辅助表!$J$6*VLOOKUP('5.成本表'!$D1571,系数辅助表!$C:$G,5,0)/VLOOKUP($D1571,系数辅助表!$C:$E,3,0),0)</f>
        <v>0.15902361898352799</v>
      </c>
      <c r="I1571" s="36">
        <f>VLOOKUP($D1571,系数辅助表!$C:$F,4,0)</f>
        <v>0.44289499533730498</v>
      </c>
      <c r="J1571" s="2" t="s">
        <v>200</v>
      </c>
    </row>
    <row r="1572" spans="2:10" x14ac:dyDescent="0.3">
      <c r="B1572" s="47" t="s">
        <v>177</v>
      </c>
      <c r="C1572" t="str">
        <f>VLOOKUP($B1572,'标准费用表-2024年&amp;2025年优化'!$D:$E,2,0)</f>
        <v>正大食品（宜昌）有限公司</v>
      </c>
      <c r="D1572" t="s">
        <v>60</v>
      </c>
      <c r="E1572" s="46">
        <f>IFERROR(VLOOKUP($B1572,'标准费用表-2024年&amp;2025年优化'!$D:$K,8,0)*系数辅助表!$J$6*VLOOKUP('5.成本表'!$D1572,系数辅助表!$C:$G,5,0)/VLOOKUP($D1572,系数辅助表!$C:$E,3,0),0)</f>
        <v>0.10540288915644599</v>
      </c>
      <c r="I1572" s="36">
        <f>VLOOKUP($D1572,系数辅助表!$C:$F,4,0)</f>
        <v>0.29355646915769201</v>
      </c>
      <c r="J1572" s="2" t="s">
        <v>200</v>
      </c>
    </row>
    <row r="1573" spans="2:10" x14ac:dyDescent="0.3">
      <c r="B1573" s="47" t="s">
        <v>177</v>
      </c>
      <c r="C1573" t="str">
        <f>VLOOKUP($B1573,'标准费用表-2024年&amp;2025年优化'!$D:$E,2,0)</f>
        <v>正大食品（宜昌）有限公司</v>
      </c>
      <c r="D1573" t="s">
        <v>61</v>
      </c>
      <c r="E1573" s="46">
        <f>IFERROR(VLOOKUP($B1573,'标准费用表-2024年&amp;2025年优化'!$D:$K,8,0)*系数辅助表!$J$6*VLOOKUP('5.成本表'!$D1573,系数辅助表!$C:$G,5,0)/VLOOKUP($D1573,系数辅助表!$C:$E,3,0),0)</f>
        <v>1.8198041772806799E-2</v>
      </c>
      <c r="I1573" s="36">
        <f>VLOOKUP($D1573,系数辅助表!$C:$F,4,0)</f>
        <v>5.0683173214352499E-2</v>
      </c>
      <c r="J1573" s="2" t="s">
        <v>200</v>
      </c>
    </row>
    <row r="1574" spans="2:10" x14ac:dyDescent="0.3">
      <c r="B1574" s="47" t="s">
        <v>177</v>
      </c>
      <c r="C1574" t="str">
        <f>VLOOKUP($B1574,'标准费用表-2024年&amp;2025年优化'!$D:$E,2,0)</f>
        <v>正大食品（宜昌）有限公司</v>
      </c>
      <c r="D1574" t="s">
        <v>62</v>
      </c>
      <c r="E1574" s="46">
        <f>IFERROR(VLOOKUP($B1574,'标准费用表-2024年&amp;2025年优化'!$D:$K,8,0)*系数辅助表!$J$6*VLOOKUP('5.成本表'!$D1574,系数辅助表!$C:$G,5,0)/VLOOKUP($D1574,系数辅助表!$C:$E,3,0),0)</f>
        <v>9.5234125091773605E-2</v>
      </c>
      <c r="I1574" s="36">
        <f>VLOOKUP($D1574,系数辅助表!$C:$F,4,0)</f>
        <v>0.26523555216563399</v>
      </c>
      <c r="J1574" s="2" t="s">
        <v>200</v>
      </c>
    </row>
    <row r="1575" spans="2:10" x14ac:dyDescent="0.3">
      <c r="B1575" s="47" t="s">
        <v>177</v>
      </c>
      <c r="C1575" t="str">
        <f>VLOOKUP($B1575,'标准费用表-2024年&amp;2025年优化'!$D:$E,2,0)</f>
        <v>正大食品（宜昌）有限公司</v>
      </c>
      <c r="D1575" t="s">
        <v>63</v>
      </c>
      <c r="E1575" s="46">
        <f>IFERROR(VLOOKUP($B1575,'标准费用表-2024年&amp;2025年优化'!$D:$K,8,0)*系数辅助表!$J$6*VLOOKUP('5.成本表'!$D1575,系数辅助表!$C:$G,5,0)/VLOOKUP($D1575,系数辅助表!$C:$E,3,0),0)</f>
        <v>8.7389949074020604E-2</v>
      </c>
      <c r="I1575" s="36">
        <f>VLOOKUP($D1575,系数辅助表!$C:$F,4,0)</f>
        <v>0.24338882069886</v>
      </c>
      <c r="J1575" s="2" t="s">
        <v>200</v>
      </c>
    </row>
    <row r="1576" spans="2:10" x14ac:dyDescent="0.3">
      <c r="B1576" s="47" t="s">
        <v>177</v>
      </c>
      <c r="C1576" t="str">
        <f>VLOOKUP($B1576,'标准费用表-2024年&amp;2025年优化'!$D:$E,2,0)</f>
        <v>正大食品（宜昌）有限公司</v>
      </c>
      <c r="D1576" t="s">
        <v>64</v>
      </c>
      <c r="E1576" s="46">
        <f>IFERROR(VLOOKUP($B1576,'标准费用表-2024年&amp;2025年优化'!$D:$K,8,0)*系数辅助表!$J$6*VLOOKUP('5.成本表'!$D1576,系数辅助表!$C:$G,5,0)/VLOOKUP($D1576,系数辅助表!$C:$E,3,0),0)</f>
        <v>0.30573469906970802</v>
      </c>
      <c r="I1576" s="36">
        <f>VLOOKUP($D1576,系数辅助表!$C:$F,4,0)</f>
        <v>0.85149846912336002</v>
      </c>
      <c r="J1576" s="2" t="s">
        <v>200</v>
      </c>
    </row>
    <row r="1577" spans="2:10" x14ac:dyDescent="0.3">
      <c r="B1577" s="47" t="s">
        <v>177</v>
      </c>
      <c r="C1577" t="str">
        <f>VLOOKUP($B1577,'标准费用表-2024年&amp;2025年优化'!$D:$E,2,0)</f>
        <v>正大食品（宜昌）有限公司</v>
      </c>
      <c r="D1577" t="s">
        <v>65</v>
      </c>
      <c r="E1577" s="46">
        <f>IFERROR(VLOOKUP($B1577,'标准费用表-2024年&amp;2025年优化'!$D:$K,8,0)*系数辅助表!$J$6*VLOOKUP('5.成本表'!$D1577,系数辅助表!$C:$G,5,0)/VLOOKUP($D1577,系数辅助表!$C:$E,3,0),0)</f>
        <v>0.35809788282785399</v>
      </c>
      <c r="I1577" s="36">
        <f>VLOOKUP($D1577,系数辅助表!$C:$F,4,0)</f>
        <v>0.99733461707829196</v>
      </c>
      <c r="J1577" s="2" t="s">
        <v>200</v>
      </c>
    </row>
    <row r="1578" spans="2:10" x14ac:dyDescent="0.3">
      <c r="B1578" s="47" t="s">
        <v>177</v>
      </c>
      <c r="C1578" t="str">
        <f>VLOOKUP($B1578,'标准费用表-2024年&amp;2025年优化'!$D:$E,2,0)</f>
        <v>正大食品（宜昌）有限公司</v>
      </c>
      <c r="D1578" t="s">
        <v>66</v>
      </c>
      <c r="E1578" s="46">
        <f>IFERROR(VLOOKUP($B1578,'标准费用表-2024年&amp;2025年优化'!$D:$K,8,0)*系数辅助表!$J$6*VLOOKUP('5.成本表'!$D1578,系数辅助表!$C:$G,5,0)/VLOOKUP($D1578,系数辅助表!$C:$E,3,0),0)</f>
        <v>0.102395187283482</v>
      </c>
      <c r="I1578" s="36">
        <f>VLOOKUP($D1578,系数辅助表!$C:$F,4,0)</f>
        <v>0.28517975055754302</v>
      </c>
      <c r="J1578" s="2" t="s">
        <v>200</v>
      </c>
    </row>
    <row r="1579" spans="2:10" x14ac:dyDescent="0.3">
      <c r="B1579" s="47" t="s">
        <v>177</v>
      </c>
      <c r="C1579" t="str">
        <f>VLOOKUP($B1579,'标准费用表-2024年&amp;2025年优化'!$D:$E,2,0)</f>
        <v>正大食品（宜昌）有限公司</v>
      </c>
      <c r="D1579" t="s">
        <v>67</v>
      </c>
      <c r="E1579" s="46">
        <f>IFERROR(VLOOKUP($B1579,'标准费用表-2024年&amp;2025年优化'!$D:$K,8,0)*系数辅助表!$J$6*VLOOKUP('5.成本表'!$D1579,系数辅助表!$C:$G,5,0)/VLOOKUP($D1579,系数辅助表!$C:$E,3,0),0)</f>
        <v>3.04653285276788E-2</v>
      </c>
      <c r="I1579" s="36">
        <f>VLOOKUP($D1579,系数辅助表!$C:$F,4,0)</f>
        <v>8.4848663503333893E-2</v>
      </c>
      <c r="J1579" s="2" t="s">
        <v>200</v>
      </c>
    </row>
    <row r="1580" spans="2:10" x14ac:dyDescent="0.3">
      <c r="B1580" s="47" t="s">
        <v>177</v>
      </c>
      <c r="C1580" t="str">
        <f>VLOOKUP($B1580,'标准费用表-2024年&amp;2025年优化'!$D:$E,2,0)</f>
        <v>正大食品（宜昌）有限公司</v>
      </c>
      <c r="D1580" t="s">
        <v>68</v>
      </c>
      <c r="E1580" s="36">
        <f>IFERROR(VLOOKUP($B1580,'标准费用表-2024年&amp;2025年优化'!$D:$K,8,0)*VLOOKUP("白条",系数辅助表!$C:$G,5,0)*VLOOKUP('5.成本表'!$D1580,系数辅助表!$C:$G,5,0)/VLOOKUP('5.成本表'!$D1580,系数辅助表!$C:$E,3,0),)</f>
        <v>0.74241330035750797</v>
      </c>
      <c r="F1580" s="36">
        <f>IFERROR(VLOOKUP($B1580,'标准费用表-2024年&amp;2025年优化'!$D:$L,9,0)*VLOOKUP('5.成本表'!$D1580,系数辅助表!$C:$G,5,0)/VLOOKUP($D1580,系数辅助表!$C:$E,3,0),0)</f>
        <v>0</v>
      </c>
      <c r="I1580" s="36">
        <f>VLOOKUP($D1580,系数辅助表!$C:$F,4,0)</f>
        <v>2.2799999999999998</v>
      </c>
      <c r="J1580" s="2" t="s">
        <v>69</v>
      </c>
    </row>
    <row r="1581" spans="2:10" x14ac:dyDescent="0.3">
      <c r="B1581" s="47" t="s">
        <v>177</v>
      </c>
      <c r="C1581" t="str">
        <f>VLOOKUP($B1581,'标准费用表-2024年&amp;2025年优化'!$D:$E,2,0)</f>
        <v>正大食品（宜昌）有限公司</v>
      </c>
      <c r="D1581" t="s">
        <v>70</v>
      </c>
      <c r="E1581" s="36">
        <f>IFERROR(VLOOKUP($B1581,'标准费用表-2024年&amp;2025年优化'!$D:$K,8,0)*VLOOKUP("白条",系数辅助表!$C:$G,5,0)*VLOOKUP('5.成本表'!$D1581,系数辅助表!$C:$G,5,0)/VLOOKUP('5.成本表'!$D1581,系数辅助表!$C:$E,3,0),)</f>
        <v>0.49615458770088799</v>
      </c>
      <c r="F1581" s="36">
        <f>IFERROR(VLOOKUP($B1581,'标准费用表-2024年&amp;2025年优化'!$D:$L,9,0)*VLOOKUP('5.成本表'!$D1581,系数辅助表!$C:$G,5,0)/VLOOKUP($D1581,系数辅助表!$C:$E,3,0),0)</f>
        <v>0</v>
      </c>
      <c r="I1581" s="36">
        <f>VLOOKUP($D1581,系数辅助表!$C:$F,4,0)</f>
        <v>1.5237233215154999</v>
      </c>
      <c r="J1581" s="2" t="s">
        <v>69</v>
      </c>
    </row>
    <row r="1582" spans="2:10" x14ac:dyDescent="0.3">
      <c r="B1582" s="47" t="s">
        <v>177</v>
      </c>
      <c r="C1582" t="str">
        <f>VLOOKUP($B1582,'标准费用表-2024年&amp;2025年优化'!$D:$E,2,0)</f>
        <v>正大食品（宜昌）有限公司</v>
      </c>
      <c r="D1582" t="s">
        <v>71</v>
      </c>
      <c r="E1582" s="36">
        <f>IFERROR(VLOOKUP($B1582,'标准费用表-2024年&amp;2025年优化'!$D:$K,8,0)*VLOOKUP("白条",系数辅助表!$C:$G,5,0)*VLOOKUP('5.成本表'!$D1582,系数辅助表!$C:$G,5,0)/VLOOKUP('5.成本表'!$D1582,系数辅助表!$C:$E,3,0),)</f>
        <v>1.3131130504544</v>
      </c>
      <c r="F1582" s="36">
        <f>IFERROR(VLOOKUP($B1582,'标准费用表-2024年&amp;2025年优化'!$D:$L,9,0)*VLOOKUP('5.成本表'!$D1582,系数辅助表!$C:$G,5,0)/VLOOKUP($D1582,系数辅助表!$C:$E,3,0),0)</f>
        <v>0</v>
      </c>
      <c r="I1582" s="36">
        <f>VLOOKUP($D1582,系数辅助表!$C:$F,4,0)</f>
        <v>4.0326564106466396</v>
      </c>
      <c r="J1582" s="2" t="s">
        <v>69</v>
      </c>
    </row>
    <row r="1583" spans="2:10" x14ac:dyDescent="0.3">
      <c r="B1583" s="47" t="s">
        <v>177</v>
      </c>
      <c r="C1583" t="str">
        <f>VLOOKUP($B1583,'标准费用表-2024年&amp;2025年优化'!$D:$E,2,0)</f>
        <v>正大食品（宜昌）有限公司</v>
      </c>
      <c r="D1583" t="s">
        <v>72</v>
      </c>
      <c r="E1583" s="36">
        <f>IFERROR(VLOOKUP($B1583,'标准费用表-2024年&amp;2025年优化'!$D:$K,8,0)*VLOOKUP("白条",系数辅助表!$C:$G,5,0)*VLOOKUP('5.成本表'!$D1583,系数辅助表!$C:$G,5,0)/VLOOKUP('5.成本表'!$D1583,系数辅助表!$C:$E,3,0),)</f>
        <v>0.76474430237226099</v>
      </c>
      <c r="F1583" s="36">
        <f>IFERROR(VLOOKUP($B1583,'标准费用表-2024年&amp;2025年优化'!$D:$L,9,0)*VLOOKUP('5.成本表'!$D1583,系数辅助表!$C:$G,5,0)/VLOOKUP($D1583,系数辅助表!$C:$E,3,0),0)</f>
        <v>0</v>
      </c>
      <c r="I1583" s="36">
        <f>VLOOKUP($D1583,系数辅助表!$C:$F,4,0)</f>
        <v>2.34857997367385</v>
      </c>
      <c r="J1583" s="2" t="s">
        <v>69</v>
      </c>
    </row>
    <row r="1584" spans="2:10" x14ac:dyDescent="0.3">
      <c r="B1584" s="47" t="s">
        <v>177</v>
      </c>
      <c r="C1584" t="str">
        <f>VLOOKUP($B1584,'标准费用表-2024年&amp;2025年优化'!$D:$E,2,0)</f>
        <v>正大食品（宜昌）有限公司</v>
      </c>
      <c r="D1584" t="s">
        <v>73</v>
      </c>
      <c r="E1584" s="36">
        <f>IFERROR(VLOOKUP($B1584,'标准费用表-2024年&amp;2025年优化'!$D:$K,8,0)*VLOOKUP("白条",系数辅助表!$C:$G,5,0)*VLOOKUP('5.成本表'!$D1584,系数辅助表!$C:$G,5,0)/VLOOKUP('5.成本表'!$D1584,系数辅助表!$C:$E,3,0),)</f>
        <v>0.45940956247369902</v>
      </c>
      <c r="F1584" s="36">
        <f>IFERROR(VLOOKUP($B1584,'标准费用表-2024年&amp;2025年优化'!$D:$L,9,0)*VLOOKUP('5.成本表'!$D1584,系数辅助表!$C:$G,5,0)/VLOOKUP($D1584,系数辅助表!$C:$E,3,0),0)</f>
        <v>0</v>
      </c>
      <c r="I1584" s="36">
        <f>VLOOKUP($D1584,系数辅助表!$C:$F,4,0)</f>
        <v>1.41087693598112</v>
      </c>
      <c r="J1584" s="2" t="s">
        <v>69</v>
      </c>
    </row>
    <row r="1585" spans="2:10" x14ac:dyDescent="0.3">
      <c r="B1585" s="47" t="s">
        <v>177</v>
      </c>
      <c r="C1585" t="str">
        <f>VLOOKUP($B1585,'标准费用表-2024年&amp;2025年优化'!$D:$E,2,0)</f>
        <v>正大食品（宜昌）有限公司</v>
      </c>
      <c r="D1585" t="s">
        <v>74</v>
      </c>
      <c r="E1585" s="36">
        <f>IFERROR(VLOOKUP($B1585,'标准费用表-2024年&amp;2025年优化'!$D:$K,8,0)*VLOOKUP("白条",系数辅助表!$C:$G,5,0)*VLOOKUP('5.成本表'!$D1585,系数辅助表!$C:$G,5,0)/VLOOKUP('5.成本表'!$D1585,系数辅助表!$C:$E,3,0),)</f>
        <v>0.62033916006620105</v>
      </c>
      <c r="F1585" s="36">
        <f>IFERROR(VLOOKUP($B1585,'标准费用表-2024年&amp;2025年优化'!$D:$L,9,0)*VLOOKUP('5.成本表'!$D1585,系数辅助表!$C:$G,5,0)/VLOOKUP($D1585,系数辅助表!$C:$E,3,0),0)</f>
        <v>0</v>
      </c>
      <c r="I1585" s="36">
        <f>VLOOKUP($D1585,系数辅助表!$C:$F,4,0)</f>
        <v>1.9051022985038799</v>
      </c>
      <c r="J1585" s="2" t="s">
        <v>69</v>
      </c>
    </row>
    <row r="1586" spans="2:10" x14ac:dyDescent="0.3">
      <c r="B1586" s="47" t="s">
        <v>177</v>
      </c>
      <c r="C1586" t="str">
        <f>VLOOKUP($B1586,'标准费用表-2024年&amp;2025年优化'!$D:$E,2,0)</f>
        <v>正大食品（宜昌）有限公司</v>
      </c>
      <c r="D1586" t="s">
        <v>75</v>
      </c>
      <c r="E1586" s="36">
        <f>IFERROR(VLOOKUP($B1586,'标准费用表-2024年&amp;2025年优化'!$D:$K,8,0)*VLOOKUP("白条",系数辅助表!$C:$G,5,0)*VLOOKUP('5.成本表'!$D1586,系数辅助表!$C:$G,5,0)/VLOOKUP('5.成本表'!$D1586,系数辅助表!$C:$E,3,0),)</f>
        <v>0.46450193024543401</v>
      </c>
      <c r="F1586" s="36">
        <f>IFERROR(VLOOKUP($B1586,'标准费用表-2024年&amp;2025年优化'!$D:$L,9,0)*VLOOKUP('5.成本表'!$D1586,系数辅助表!$C:$G,5,0)/VLOOKUP($D1586,系数辅助表!$C:$E,3,0),0)</f>
        <v>0</v>
      </c>
      <c r="I1586" s="36">
        <f>VLOOKUP($D1586,系数辅助表!$C:$F,4,0)</f>
        <v>1.42651593182611</v>
      </c>
      <c r="J1586" s="2" t="s">
        <v>69</v>
      </c>
    </row>
    <row r="1587" spans="2:10" x14ac:dyDescent="0.3">
      <c r="B1587" s="47" t="s">
        <v>177</v>
      </c>
      <c r="C1587" t="str">
        <f>VLOOKUP($B1587,'标准费用表-2024年&amp;2025年优化'!$D:$E,2,0)</f>
        <v>正大食品（宜昌）有限公司</v>
      </c>
      <c r="D1587" t="s">
        <v>76</v>
      </c>
      <c r="E1587" s="36">
        <f>IFERROR(VLOOKUP($B1587,'标准费用表-2024年&amp;2025年优化'!$D:$K,8,0)*VLOOKUP("白条",系数辅助表!$C:$G,5,0)*VLOOKUP('5.成本表'!$D1587,系数辅助表!$C:$G,5,0)/VLOOKUP('5.成本表'!$D1587,系数辅助表!$C:$E,3,0),)</f>
        <v>0.47331537220519299</v>
      </c>
      <c r="F1587" s="36">
        <f>IFERROR(VLOOKUP($B1587,'标准费用表-2024年&amp;2025年优化'!$D:$L,9,0)*VLOOKUP('5.成本表'!$D1587,系数辅助表!$C:$G,5,0)/VLOOKUP($D1587,系数辅助表!$C:$E,3,0),0)</f>
        <v>0</v>
      </c>
      <c r="I1587" s="36">
        <f>VLOOKUP($D1587,系数辅助表!$C:$F,4,0)</f>
        <v>1.4535825908670701</v>
      </c>
      <c r="J1587" s="2" t="s">
        <v>69</v>
      </c>
    </row>
    <row r="1588" spans="2:10" x14ac:dyDescent="0.3">
      <c r="B1588" s="47" t="s">
        <v>177</v>
      </c>
      <c r="C1588" t="str">
        <f>VLOOKUP($B1588,'标准费用表-2024年&amp;2025年优化'!$D:$E,2,0)</f>
        <v>正大食品（宜昌）有限公司</v>
      </c>
      <c r="D1588" t="s">
        <v>77</v>
      </c>
      <c r="E1588" s="36">
        <f>IFERROR(VLOOKUP($B1588,'标准费用表-2024年&amp;2025年优化'!$D:$K,8,0)*VLOOKUP("白条",系数辅助表!$C:$G,5,0)*VLOOKUP('5.成本表'!$D1588,系数辅助表!$C:$G,5,0)/VLOOKUP('5.成本表'!$D1588,系数辅助表!$C:$E,3,0),)</f>
        <v>0.46923064753534999</v>
      </c>
      <c r="F1588" s="36">
        <f>IFERROR(VLOOKUP($B1588,'标准费用表-2024年&amp;2025年优化'!$D:$L,9,0)*VLOOKUP('5.成本表'!$D1588,系数辅助表!$C:$G,5,0)/VLOOKUP($D1588,系数辅助表!$C:$E,3,0),0)</f>
        <v>0</v>
      </c>
      <c r="I1588" s="36">
        <f>VLOOKUP($D1588,系数辅助表!$C:$F,4,0)</f>
        <v>1.4410381331603499</v>
      </c>
      <c r="J1588" s="2" t="s">
        <v>69</v>
      </c>
    </row>
    <row r="1589" spans="2:10" x14ac:dyDescent="0.3">
      <c r="B1589" s="47" t="s">
        <v>177</v>
      </c>
      <c r="C1589" t="str">
        <f>VLOOKUP($B1589,'标准费用表-2024年&amp;2025年优化'!$D:$E,2,0)</f>
        <v>正大食品（宜昌）有限公司</v>
      </c>
      <c r="D1589" t="s">
        <v>78</v>
      </c>
      <c r="E1589" s="36">
        <f>IFERROR(VLOOKUP($B1589,'标准费用表-2024年&amp;2025年优化'!$D:$K,8,0)*VLOOKUP("白条",系数辅助表!$C:$G,5,0)*VLOOKUP('5.成本表'!$D1589,系数辅助表!$C:$G,5,0)/VLOOKUP('5.成本表'!$D1589,系数辅助表!$C:$E,3,0),)</f>
        <v>0.40241165830083703</v>
      </c>
      <c r="F1589" s="36">
        <f>IFERROR(VLOOKUP($B1589,'标准费用表-2024年&amp;2025年优化'!$D:$L,9,0)*VLOOKUP('5.成本表'!$D1589,系数辅助表!$C:$G,5,0)/VLOOKUP($D1589,系数辅助表!$C:$E,3,0),0)</f>
        <v>0</v>
      </c>
      <c r="I1589" s="36">
        <f>VLOOKUP($D1589,系数辅助表!$C:$F,4,0)</f>
        <v>1.2358326291892801</v>
      </c>
      <c r="J1589" s="2" t="s">
        <v>69</v>
      </c>
    </row>
    <row r="1590" spans="2:10" x14ac:dyDescent="0.3">
      <c r="B1590" s="47" t="s">
        <v>177</v>
      </c>
      <c r="C1590" t="str">
        <f>VLOOKUP($B1590,'标准费用表-2024年&amp;2025年优化'!$D:$E,2,0)</f>
        <v>正大食品（宜昌）有限公司</v>
      </c>
      <c r="D1590" t="s">
        <v>79</v>
      </c>
      <c r="E1590" s="36">
        <f>IFERROR(VLOOKUP($B1590,'标准费用表-2024年&amp;2025年优化'!$D:$K,8,0)*VLOOKUP("白条",系数辅助表!$C:$G,5,0)*VLOOKUP('5.成本表'!$D1590,系数辅助表!$C:$G,5,0)/VLOOKUP('5.成本表'!$D1590,系数辅助表!$C:$E,3,0),)</f>
        <v>0.28108061234376502</v>
      </c>
      <c r="F1590" s="36">
        <f>IFERROR(VLOOKUP($B1590,'标准费用表-2024年&amp;2025年优化'!$D:$L,9,0)*VLOOKUP('5.成本表'!$D1590,系数辅助表!$C:$G,5,0)/VLOOKUP($D1590,系数辅助表!$C:$E,3,0),0)</f>
        <v>0</v>
      </c>
      <c r="I1590" s="36">
        <f>VLOOKUP($D1590,系数辅助表!$C:$F,4,0)</f>
        <v>0.86321701919291904</v>
      </c>
      <c r="J1590" s="2" t="s">
        <v>69</v>
      </c>
    </row>
    <row r="1591" spans="2:10" x14ac:dyDescent="0.3">
      <c r="B1591" s="47" t="s">
        <v>177</v>
      </c>
      <c r="C1591" t="str">
        <f>VLOOKUP($B1591,'标准费用表-2024年&amp;2025年优化'!$D:$E,2,0)</f>
        <v>正大食品（宜昌）有限公司</v>
      </c>
      <c r="D1591" t="s">
        <v>80</v>
      </c>
      <c r="E1591" s="36">
        <f>IFERROR(VLOOKUP($B1591,'标准费用表-2024年&amp;2025年优化'!$D:$K,8,0)*VLOOKUP("白条",系数辅助表!$C:$G,5,0)*VLOOKUP('5.成本表'!$D1591,系数辅助表!$C:$G,5,0)/VLOOKUP('5.成本表'!$D1591,系数辅助表!$C:$E,3,0),)</f>
        <v>0.259477983836846</v>
      </c>
      <c r="F1591" s="36">
        <f>IFERROR(VLOOKUP($B1591,'标准费用表-2024年&amp;2025年优化'!$D:$L,9,0)*VLOOKUP('5.成本表'!$D1591,系数辅助表!$C:$G,5,0)/VLOOKUP($D1591,系数辅助表!$C:$E,3,0),0)</f>
        <v>0</v>
      </c>
      <c r="I1591" s="36">
        <f>VLOOKUP($D1591,系数辅助表!$C:$F,4,0)</f>
        <v>0.796873928394225</v>
      </c>
      <c r="J1591" s="2" t="s">
        <v>69</v>
      </c>
    </row>
    <row r="1592" spans="2:10" x14ac:dyDescent="0.3">
      <c r="B1592" s="47" t="s">
        <v>177</v>
      </c>
      <c r="C1592" t="str">
        <f>VLOOKUP($B1592,'标准费用表-2024年&amp;2025年优化'!$D:$E,2,0)</f>
        <v>正大食品（宜昌）有限公司</v>
      </c>
      <c r="D1592" t="s">
        <v>81</v>
      </c>
      <c r="E1592" s="36">
        <f>IFERROR(VLOOKUP($B1592,'标准费用表-2024年&amp;2025年优化'!$D:$K,8,0)*VLOOKUP("白条",系数辅助表!$C:$G,5,0)*VLOOKUP('5.成本表'!$D1592,系数辅助表!$C:$G,5,0)/VLOOKUP('5.成本表'!$D1592,系数辅助表!$C:$E,3,0),)</f>
        <v>0.35779394771605399</v>
      </c>
      <c r="F1592" s="36">
        <f>IFERROR(VLOOKUP($B1592,'标准费用表-2024年&amp;2025年优化'!$D:$L,9,0)*VLOOKUP('5.成本表'!$D1592,系数辅助表!$C:$G,5,0)/VLOOKUP($D1592,系数辅助表!$C:$E,3,0),0)</f>
        <v>0</v>
      </c>
      <c r="I1592" s="36">
        <f>VLOOKUP($D1592,系数辅助表!$C:$F,4,0)</f>
        <v>1.09880870991909</v>
      </c>
      <c r="J1592" s="2" t="s">
        <v>69</v>
      </c>
    </row>
    <row r="1593" spans="2:10" x14ac:dyDescent="0.3">
      <c r="B1593" s="47" t="s">
        <v>177</v>
      </c>
      <c r="C1593" t="str">
        <f>VLOOKUP($B1593,'标准费用表-2024年&amp;2025年优化'!$D:$E,2,0)</f>
        <v>正大食品（宜昌）有限公司</v>
      </c>
      <c r="D1593" t="s">
        <v>82</v>
      </c>
      <c r="E1593" s="36">
        <f>IFERROR(VLOOKUP($B1593,'标准费用表-2024年&amp;2025年优化'!$D:$K,8,0)*VLOOKUP("白条",系数辅助表!$C:$G,5,0)*VLOOKUP('5.成本表'!$D1593,系数辅助表!$C:$G,5,0)/VLOOKUP('5.成本表'!$D1593,系数辅助表!$C:$E,3,0),)</f>
        <v>0.32600125796099499</v>
      </c>
      <c r="F1593" s="36">
        <f>IFERROR(VLOOKUP($B1593,'标准费用表-2024年&amp;2025年优化'!$D:$L,9,0)*VLOOKUP('5.成本表'!$D1593,系数辅助表!$C:$G,5,0)/VLOOKUP($D1593,系数辅助表!$C:$E,3,0),0)</f>
        <v>0</v>
      </c>
      <c r="I1593" s="36">
        <f>VLOOKUP($D1593,系数辅助表!$C:$F,4,0)</f>
        <v>1.0011712718416299</v>
      </c>
      <c r="J1593" s="2" t="s">
        <v>69</v>
      </c>
    </row>
    <row r="1594" spans="2:10" x14ac:dyDescent="0.3">
      <c r="B1594" s="47" t="s">
        <v>177</v>
      </c>
      <c r="C1594" t="str">
        <f>VLOOKUP($B1594,'标准费用表-2024年&amp;2025年优化'!$D:$E,2,0)</f>
        <v>正大食品（宜昌）有限公司</v>
      </c>
      <c r="D1594" t="s">
        <v>83</v>
      </c>
      <c r="E1594" s="36">
        <f>IFERROR(VLOOKUP($B1594,'标准费用表-2024年&amp;2025年优化'!$D:$K,8,0)*VLOOKUP("白条",系数辅助表!$C:$G,5,0)*VLOOKUP('5.成本表'!$D1594,系数辅助表!$C:$G,5,0)/VLOOKUP('5.成本表'!$D1594,系数辅助表!$C:$E,3,0),)</f>
        <v>0.29317274960135398</v>
      </c>
      <c r="F1594" s="36">
        <f>IFERROR(VLOOKUP($B1594,'标准费用表-2024年&amp;2025年优化'!$D:$L,9,0)*VLOOKUP('5.成本表'!$D1594,系数辅助表!$C:$G,5,0)/VLOOKUP($D1594,系数辅助表!$C:$E,3,0),0)</f>
        <v>0</v>
      </c>
      <c r="I1594" s="36">
        <f>VLOOKUP($D1594,系数辅助表!$C:$F,4,0)</f>
        <v>0.90035276680685095</v>
      </c>
      <c r="J1594" s="2" t="s">
        <v>69</v>
      </c>
    </row>
    <row r="1595" spans="2:10" x14ac:dyDescent="0.3">
      <c r="B1595" s="47" t="s">
        <v>177</v>
      </c>
      <c r="C1595" t="str">
        <f>VLOOKUP($B1595,'标准费用表-2024年&amp;2025年优化'!$D:$E,2,0)</f>
        <v>正大食品（宜昌）有限公司</v>
      </c>
      <c r="D1595" t="s">
        <v>84</v>
      </c>
      <c r="E1595" s="36">
        <f>IFERROR(VLOOKUP($B1595,'标准费用表-2024年&amp;2025年优化'!$D:$K,8,0)*VLOOKUP("白条",系数辅助表!$C:$G,5,0)*VLOOKUP('5.成本表'!$D1595,系数辅助表!$C:$G,5,0)/VLOOKUP('5.成本表'!$D1595,系数辅助表!$C:$E,3,0),)</f>
        <v>0.294467637552144</v>
      </c>
      <c r="F1595" s="36">
        <f>IFERROR(VLOOKUP($B1595,'标准费用表-2024年&amp;2025年优化'!$D:$L,9,0)*VLOOKUP('5.成本表'!$D1595,系数辅助表!$C:$G,5,0)/VLOOKUP($D1595,系数辅助表!$C:$E,3,0),0)</f>
        <v>0</v>
      </c>
      <c r="I1595" s="36">
        <f>VLOOKUP($D1595,系数辅助表!$C:$F,4,0)</f>
        <v>0.90432945273957599</v>
      </c>
      <c r="J1595" s="2" t="s">
        <v>69</v>
      </c>
    </row>
    <row r="1596" spans="2:10" x14ac:dyDescent="0.3">
      <c r="B1596" s="47" t="s">
        <v>177</v>
      </c>
      <c r="C1596" t="str">
        <f>VLOOKUP($B1596,'标准费用表-2024年&amp;2025年优化'!$D:$E,2,0)</f>
        <v>正大食品（宜昌）有限公司</v>
      </c>
      <c r="D1596" t="s">
        <v>85</v>
      </c>
      <c r="E1596" s="36">
        <f>IFERROR(VLOOKUP($B1596,'标准费用表-2024年&amp;2025年优化'!$D:$K,8,0)*VLOOKUP("白条",系数辅助表!$C:$G,5,0)*VLOOKUP('5.成本表'!$D1596,系数辅助表!$C:$G,5,0)/VLOOKUP('5.成本表'!$D1596,系数辅助表!$C:$E,3,0),)</f>
        <v>0.36611892232237198</v>
      </c>
      <c r="F1596" s="36">
        <f>IFERROR(VLOOKUP($B1596,'标准费用表-2024年&amp;2025年优化'!$D:$L,9,0)*VLOOKUP('5.成本表'!$D1596,系数辅助表!$C:$G,5,0)/VLOOKUP($D1596,系数辅助表!$C:$E,3,0),0)</f>
        <v>0</v>
      </c>
      <c r="I1596" s="36">
        <f>VLOOKUP($D1596,系数辅助表!$C:$F,4,0)</f>
        <v>1.12437525363977</v>
      </c>
      <c r="J1596" s="2" t="s">
        <v>69</v>
      </c>
    </row>
    <row r="1597" spans="2:10" x14ac:dyDescent="0.3">
      <c r="B1597" s="47" t="s">
        <v>177</v>
      </c>
      <c r="C1597" t="str">
        <f>VLOOKUP($B1597,'标准费用表-2024年&amp;2025年优化'!$D:$E,2,0)</f>
        <v>正大食品（宜昌）有限公司</v>
      </c>
      <c r="D1597" t="s">
        <v>86</v>
      </c>
      <c r="E1597" s="36">
        <f>IFERROR(VLOOKUP($B1597,'标准费用表-2024年&amp;2025年优化'!$D:$K,8,0)*VLOOKUP("白条",系数辅助表!$C:$G,5,0)*VLOOKUP('5.成本表'!$D1597,系数辅助表!$C:$G,5,0)/VLOOKUP('5.成本表'!$D1597,系数辅助表!$C:$E,3,0),)</f>
        <v>0.32014049485945301</v>
      </c>
      <c r="F1597" s="36">
        <f>IFERROR(VLOOKUP($B1597,'标准费用表-2024年&amp;2025年优化'!$D:$L,9,0)*VLOOKUP('5.成本表'!$D1597,系数辅助表!$C:$G,5,0)/VLOOKUP($D1597,系数辅助表!$C:$E,3,0),0)</f>
        <v>0</v>
      </c>
      <c r="I1597" s="36">
        <f>VLOOKUP($D1597,系数辅助表!$C:$F,4,0)</f>
        <v>0.98317248347795105</v>
      </c>
      <c r="J1597" s="2" t="s">
        <v>69</v>
      </c>
    </row>
    <row r="1598" spans="2:10" x14ac:dyDescent="0.3">
      <c r="B1598" s="47" t="s">
        <v>177</v>
      </c>
      <c r="C1598" t="str">
        <f>VLOOKUP($B1598,'标准费用表-2024年&amp;2025年优化'!$D:$E,2,0)</f>
        <v>正大食品（宜昌）有限公司</v>
      </c>
      <c r="D1598" t="s">
        <v>87</v>
      </c>
      <c r="E1598" s="36">
        <f>IFERROR(VLOOKUP($B1598,'标准费用表-2024年&amp;2025年优化'!$D:$K,8,0)*VLOOKUP("白条",系数辅助表!$C:$G,5,0)*VLOOKUP('5.成本表'!$D1598,系数辅助表!$C:$G,5,0)/VLOOKUP('5.成本表'!$D1598,系数辅助表!$C:$E,3,0),)</f>
        <v>0.23187544257810599</v>
      </c>
      <c r="F1598" s="36">
        <f>IFERROR(VLOOKUP($B1598,'标准费用表-2024年&amp;2025年优化'!$D:$L,9,0)*VLOOKUP('5.成本表'!$D1598,系数辅助表!$C:$G,5,0)/VLOOKUP($D1598,系数辅助表!$C:$E,3,0),0)</f>
        <v>0</v>
      </c>
      <c r="I1598" s="36">
        <f>VLOOKUP($D1598,系数辅助表!$C:$F,4,0)</f>
        <v>0.71210471151782795</v>
      </c>
      <c r="J1598" s="2" t="s">
        <v>69</v>
      </c>
    </row>
    <row r="1599" spans="2:10" x14ac:dyDescent="0.3">
      <c r="B1599" s="47" t="s">
        <v>177</v>
      </c>
      <c r="C1599" t="str">
        <f>VLOOKUP($B1599,'标准费用表-2024年&amp;2025年优化'!$D:$E,2,0)</f>
        <v>正大食品（宜昌）有限公司</v>
      </c>
      <c r="D1599" t="s">
        <v>88</v>
      </c>
      <c r="E1599" s="36">
        <f>IFERROR(VLOOKUP($B1599,'标准费用表-2024年&amp;2025年优化'!$D:$K,8,0)*VLOOKUP("白条",系数辅助表!$C:$G,5,0)*VLOOKUP('5.成本表'!$D1599,系数辅助表!$C:$G,5,0)/VLOOKUP('5.成本表'!$D1599,系数辅助表!$C:$E,3,0),)</f>
        <v>0.87578433402227396</v>
      </c>
      <c r="F1599" s="36">
        <f>IFERROR(VLOOKUP($B1599,'标准费用表-2024年&amp;2025年优化'!$D:$L,9,0)*VLOOKUP('5.成本表'!$D1599,系数辅助表!$C:$G,5,0)/VLOOKUP($D1599,系数辅助表!$C:$E,3,0),0)</f>
        <v>0</v>
      </c>
      <c r="I1599" s="36">
        <f>VLOOKUP($D1599,系数辅助表!$C:$F,4,0)</f>
        <v>2.6895912029178799</v>
      </c>
      <c r="J1599" s="2" t="s">
        <v>69</v>
      </c>
    </row>
    <row r="1600" spans="2:10" x14ac:dyDescent="0.3">
      <c r="B1600" s="47" t="s">
        <v>177</v>
      </c>
      <c r="C1600" t="str">
        <f>VLOOKUP($B1600,'标准费用表-2024年&amp;2025年优化'!$D:$E,2,0)</f>
        <v>正大食品（宜昌）有限公司</v>
      </c>
      <c r="D1600" t="s">
        <v>89</v>
      </c>
      <c r="E1600" s="36">
        <f>IFERROR(VLOOKUP($B1600,'标准费用表-2024年&amp;2025年优化'!$D:$K,8,0)*VLOOKUP("白条",系数辅助表!$C:$G,5,0)*VLOOKUP('5.成本表'!$D1600,系数辅助表!$C:$G,5,0)/VLOOKUP('5.成本表'!$D1600,系数辅助表!$C:$E,3,0),)</f>
        <v>0.37667031540489698</v>
      </c>
      <c r="F1600" s="36">
        <f>IFERROR(VLOOKUP($B1600,'标准费用表-2024年&amp;2025年优化'!$D:$L,9,0)*VLOOKUP('5.成本表'!$D1600,系数辅助表!$C:$G,5,0)/VLOOKUP($D1600,系数辅助表!$C:$E,3,0),0)</f>
        <v>0</v>
      </c>
      <c r="I1600" s="36">
        <f>VLOOKUP($D1600,系数辅助表!$C:$F,4,0)</f>
        <v>1.1567792747107399</v>
      </c>
      <c r="J1600" s="2" t="s">
        <v>69</v>
      </c>
    </row>
    <row r="1601" spans="2:10" x14ac:dyDescent="0.3">
      <c r="B1601" s="47" t="s">
        <v>177</v>
      </c>
      <c r="C1601" t="str">
        <f>VLOOKUP($B1601,'标准费用表-2024年&amp;2025年优化'!$D:$E,2,0)</f>
        <v>正大食品（宜昌）有限公司</v>
      </c>
      <c r="D1601" t="s">
        <v>90</v>
      </c>
      <c r="E1601" s="36">
        <f>IFERROR(VLOOKUP($B1601,'标准费用表-2024年&amp;2025年优化'!$D:$K,8,0)*VLOOKUP("白条",系数辅助表!$C:$G,5,0)*VLOOKUP('5.成本表'!$D1601,系数辅助表!$C:$G,5,0)/VLOOKUP('5.成本表'!$D1601,系数辅助表!$C:$E,3,0),)</f>
        <v>0.23802108832721899</v>
      </c>
      <c r="F1601" s="36">
        <f>IFERROR(VLOOKUP($B1601,'标准费用表-2024年&amp;2025年优化'!$D:$L,9,0)*VLOOKUP('5.成本表'!$D1601,系数辅助表!$C:$G,5,0)/VLOOKUP($D1601,系数辅助表!$C:$E,3,0),0)</f>
        <v>0</v>
      </c>
      <c r="I1601" s="36">
        <f>VLOOKUP($D1601,系数辅助表!$C:$F,4,0)</f>
        <v>0.73097839320056501</v>
      </c>
      <c r="J1601" s="2" t="s">
        <v>69</v>
      </c>
    </row>
    <row r="1602" spans="2:10" x14ac:dyDescent="0.3">
      <c r="B1602" s="47" t="s">
        <v>177</v>
      </c>
      <c r="C1602" t="str">
        <f>VLOOKUP($B1602,'标准费用表-2024年&amp;2025年优化'!$D:$E,2,0)</f>
        <v>正大食品（宜昌）有限公司</v>
      </c>
      <c r="D1602" t="s">
        <v>91</v>
      </c>
      <c r="E1602" s="36">
        <f>IFERROR(VLOOKUP($B1602,'标准费用表-2024年&amp;2025年优化'!$D:$K,8,0)*VLOOKUP("白条",系数辅助表!$C:$G,5,0)*VLOOKUP('5.成本表'!$D1602,系数辅助表!$C:$G,5,0)/VLOOKUP('5.成本表'!$D1602,系数辅助表!$C:$E,3,0),)</f>
        <v>0.19735644343341199</v>
      </c>
      <c r="F1602" s="36">
        <f>IFERROR(VLOOKUP($B1602,'标准费用表-2024年&amp;2025年优化'!$D:$L,9,0)*VLOOKUP('5.成本表'!$D1602,系数辅助表!$C:$G,5,0)/VLOOKUP($D1602,系数辅助表!$C:$E,3,0),0)</f>
        <v>0</v>
      </c>
      <c r="I1602" s="36">
        <f>VLOOKUP($D1602,系数辅助表!$C:$F,4,0)</f>
        <v>0.60609459826688905</v>
      </c>
      <c r="J1602" s="2" t="s">
        <v>69</v>
      </c>
    </row>
    <row r="1603" spans="2:10" x14ac:dyDescent="0.3">
      <c r="B1603" s="47" t="s">
        <v>177</v>
      </c>
      <c r="C1603" t="str">
        <f>VLOOKUP($B1603,'标准费用表-2024年&amp;2025年优化'!$D:$E,2,0)</f>
        <v>正大食品（宜昌）有限公司</v>
      </c>
      <c r="D1603" t="s">
        <v>92</v>
      </c>
      <c r="E1603" s="36">
        <f>IFERROR(VLOOKUP($B1603,'标准费用表-2024年&amp;2025年优化'!$D:$K,8,0)*VLOOKUP("白条",系数辅助表!$C:$G,5,0)*VLOOKUP('5.成本表'!$D1603,系数辅助表!$C:$G,5,0)/VLOOKUP('5.成本表'!$D1603,系数辅助表!$C:$E,3,0),)</f>
        <v>7.8331416436708295E-2</v>
      </c>
      <c r="F1603" s="36">
        <f>IFERROR(VLOOKUP($B1603,'标准费用表-2024年&amp;2025年优化'!$D:$L,9,0)*VLOOKUP('5.成本表'!$D1603,系数辅助表!$C:$G,5,0)/VLOOKUP($D1603,系数辅助表!$C:$E,3,0),0)</f>
        <v>0</v>
      </c>
      <c r="I1603" s="36">
        <f>VLOOKUP($D1603,系数辅助表!$C:$F,4,0)</f>
        <v>0.24056092393508099</v>
      </c>
      <c r="J1603" s="2" t="s">
        <v>69</v>
      </c>
    </row>
    <row r="1604" spans="2:10" x14ac:dyDescent="0.3">
      <c r="B1604" s="47" t="s">
        <v>177</v>
      </c>
      <c r="C1604" t="str">
        <f>VLOOKUP($B1604,'标准费用表-2024年&amp;2025年优化'!$D:$E,2,0)</f>
        <v>正大食品（宜昌）有限公司</v>
      </c>
      <c r="D1604" t="s">
        <v>93</v>
      </c>
      <c r="E1604" s="36">
        <f>E1580</f>
        <v>0.74241330035750797</v>
      </c>
      <c r="F1604" s="36">
        <f>F1580</f>
        <v>0</v>
      </c>
      <c r="G1604">
        <v>0.2</v>
      </c>
      <c r="H1604">
        <v>0.3</v>
      </c>
      <c r="J1604" s="2" t="s">
        <v>69</v>
      </c>
    </row>
    <row r="1605" spans="2:10" x14ac:dyDescent="0.3">
      <c r="B1605" s="47" t="s">
        <v>177</v>
      </c>
      <c r="C1605" t="str">
        <f>VLOOKUP($B1605,'标准费用表-2024年&amp;2025年优化'!$D:$E,2,0)</f>
        <v>正大食品（宜昌）有限公司</v>
      </c>
      <c r="D1605" t="s">
        <v>96</v>
      </c>
      <c r="E1605" s="36">
        <f t="shared" ref="E1605:F1605" si="664">E1581</f>
        <v>0.49615458770088799</v>
      </c>
      <c r="F1605" s="36">
        <f t="shared" si="664"/>
        <v>0</v>
      </c>
      <c r="G1605">
        <v>0.2</v>
      </c>
      <c r="H1605">
        <v>0.3</v>
      </c>
      <c r="J1605" s="2" t="s">
        <v>69</v>
      </c>
    </row>
    <row r="1606" spans="2:10" x14ac:dyDescent="0.3">
      <c r="B1606" s="47" t="s">
        <v>177</v>
      </c>
      <c r="C1606" t="str">
        <f>VLOOKUP($B1606,'标准费用表-2024年&amp;2025年优化'!$D:$E,2,0)</f>
        <v>正大食品（宜昌）有限公司</v>
      </c>
      <c r="D1606" t="s">
        <v>97</v>
      </c>
      <c r="E1606" s="36">
        <f t="shared" ref="E1606:F1606" si="665">E1582</f>
        <v>1.3131130504544</v>
      </c>
      <c r="F1606" s="36">
        <f t="shared" si="665"/>
        <v>0</v>
      </c>
      <c r="G1606">
        <v>0.2</v>
      </c>
      <c r="H1606">
        <v>0.3</v>
      </c>
      <c r="J1606" s="2" t="s">
        <v>69</v>
      </c>
    </row>
    <row r="1607" spans="2:10" x14ac:dyDescent="0.3">
      <c r="B1607" s="47" t="s">
        <v>177</v>
      </c>
      <c r="C1607" t="str">
        <f>VLOOKUP($B1607,'标准费用表-2024年&amp;2025年优化'!$D:$E,2,0)</f>
        <v>正大食品（宜昌）有限公司</v>
      </c>
      <c r="D1607" t="s">
        <v>98</v>
      </c>
      <c r="E1607" s="36">
        <f t="shared" ref="E1607:F1607" si="666">E1583</f>
        <v>0.76474430237226099</v>
      </c>
      <c r="F1607" s="36">
        <f t="shared" si="666"/>
        <v>0</v>
      </c>
      <c r="G1607">
        <v>0.2</v>
      </c>
      <c r="H1607">
        <v>0.3</v>
      </c>
      <c r="J1607" s="2" t="s">
        <v>69</v>
      </c>
    </row>
    <row r="1608" spans="2:10" x14ac:dyDescent="0.3">
      <c r="B1608" s="47" t="s">
        <v>177</v>
      </c>
      <c r="C1608" t="str">
        <f>VLOOKUP($B1608,'标准费用表-2024年&amp;2025年优化'!$D:$E,2,0)</f>
        <v>正大食品（宜昌）有限公司</v>
      </c>
      <c r="D1608" t="s">
        <v>99</v>
      </c>
      <c r="E1608" s="36">
        <f t="shared" ref="E1608:F1608" si="667">E1584</f>
        <v>0.45940956247369902</v>
      </c>
      <c r="F1608" s="36">
        <f t="shared" si="667"/>
        <v>0</v>
      </c>
      <c r="G1608">
        <v>0.2</v>
      </c>
      <c r="H1608">
        <v>0.3</v>
      </c>
      <c r="J1608" s="2" t="s">
        <v>69</v>
      </c>
    </row>
    <row r="1609" spans="2:10" x14ac:dyDescent="0.3">
      <c r="B1609" s="47" t="s">
        <v>177</v>
      </c>
      <c r="C1609" t="str">
        <f>VLOOKUP($B1609,'标准费用表-2024年&amp;2025年优化'!$D:$E,2,0)</f>
        <v>正大食品（宜昌）有限公司</v>
      </c>
      <c r="D1609" t="s">
        <v>100</v>
      </c>
      <c r="E1609" s="36">
        <f t="shared" ref="E1609:F1609" si="668">E1585</f>
        <v>0.62033916006620105</v>
      </c>
      <c r="F1609" s="36">
        <f t="shared" si="668"/>
        <v>0</v>
      </c>
      <c r="G1609">
        <v>0.2</v>
      </c>
      <c r="H1609">
        <v>0.3</v>
      </c>
      <c r="J1609" s="2" t="s">
        <v>69</v>
      </c>
    </row>
    <row r="1610" spans="2:10" x14ac:dyDescent="0.3">
      <c r="B1610" s="47" t="s">
        <v>177</v>
      </c>
      <c r="C1610" t="str">
        <f>VLOOKUP($B1610,'标准费用表-2024年&amp;2025年优化'!$D:$E,2,0)</f>
        <v>正大食品（宜昌）有限公司</v>
      </c>
      <c r="D1610" t="s">
        <v>101</v>
      </c>
      <c r="E1610" s="36">
        <f t="shared" ref="E1610:F1610" si="669">E1586</f>
        <v>0.46450193024543401</v>
      </c>
      <c r="F1610" s="36">
        <f t="shared" si="669"/>
        <v>0</v>
      </c>
      <c r="G1610">
        <v>0.2</v>
      </c>
      <c r="H1610">
        <v>0.3</v>
      </c>
      <c r="J1610" s="2" t="s">
        <v>69</v>
      </c>
    </row>
    <row r="1611" spans="2:10" x14ac:dyDescent="0.3">
      <c r="B1611" s="47" t="s">
        <v>177</v>
      </c>
      <c r="C1611" t="str">
        <f>VLOOKUP($B1611,'标准费用表-2024年&amp;2025年优化'!$D:$E,2,0)</f>
        <v>正大食品（宜昌）有限公司</v>
      </c>
      <c r="D1611" t="s">
        <v>102</v>
      </c>
      <c r="E1611" s="36">
        <f t="shared" ref="E1611:F1611" si="670">E1587</f>
        <v>0.47331537220519299</v>
      </c>
      <c r="F1611" s="36">
        <f t="shared" si="670"/>
        <v>0</v>
      </c>
      <c r="G1611">
        <v>0.2</v>
      </c>
      <c r="H1611">
        <v>0.3</v>
      </c>
      <c r="J1611" s="2" t="s">
        <v>69</v>
      </c>
    </row>
    <row r="1612" spans="2:10" x14ac:dyDescent="0.3">
      <c r="B1612" s="47" t="s">
        <v>177</v>
      </c>
      <c r="C1612" t="str">
        <f>VLOOKUP($B1612,'标准费用表-2024年&amp;2025年优化'!$D:$E,2,0)</f>
        <v>正大食品（宜昌）有限公司</v>
      </c>
      <c r="D1612" t="s">
        <v>103</v>
      </c>
      <c r="E1612" s="36">
        <f t="shared" ref="E1612:F1612" si="671">E1588</f>
        <v>0.46923064753534999</v>
      </c>
      <c r="F1612" s="36">
        <f t="shared" si="671"/>
        <v>0</v>
      </c>
      <c r="G1612">
        <v>0.2</v>
      </c>
      <c r="H1612">
        <v>0.3</v>
      </c>
      <c r="J1612" s="2" t="s">
        <v>69</v>
      </c>
    </row>
    <row r="1613" spans="2:10" x14ac:dyDescent="0.3">
      <c r="B1613" s="47" t="s">
        <v>177</v>
      </c>
      <c r="C1613" t="str">
        <f>VLOOKUP($B1613,'标准费用表-2024年&amp;2025年优化'!$D:$E,2,0)</f>
        <v>正大食品（宜昌）有限公司</v>
      </c>
      <c r="D1613" t="s">
        <v>104</v>
      </c>
      <c r="E1613" s="36">
        <f t="shared" ref="E1613:F1613" si="672">E1589</f>
        <v>0.40241165830083703</v>
      </c>
      <c r="F1613" s="36">
        <f t="shared" si="672"/>
        <v>0</v>
      </c>
      <c r="G1613">
        <v>0.2</v>
      </c>
      <c r="H1613">
        <v>0.3</v>
      </c>
      <c r="J1613" s="2" t="s">
        <v>69</v>
      </c>
    </row>
    <row r="1614" spans="2:10" x14ac:dyDescent="0.3">
      <c r="B1614" s="47" t="s">
        <v>177</v>
      </c>
      <c r="C1614" t="str">
        <f>VLOOKUP($B1614,'标准费用表-2024年&amp;2025年优化'!$D:$E,2,0)</f>
        <v>正大食品（宜昌）有限公司</v>
      </c>
      <c r="D1614" t="s">
        <v>105</v>
      </c>
      <c r="E1614" s="36">
        <f t="shared" ref="E1614:F1614" si="673">E1590</f>
        <v>0.28108061234376502</v>
      </c>
      <c r="F1614" s="36">
        <f t="shared" si="673"/>
        <v>0</v>
      </c>
      <c r="G1614">
        <v>0.2</v>
      </c>
      <c r="H1614">
        <v>0.3</v>
      </c>
      <c r="J1614" s="2" t="s">
        <v>69</v>
      </c>
    </row>
    <row r="1615" spans="2:10" x14ac:dyDescent="0.3">
      <c r="B1615" s="47" t="s">
        <v>177</v>
      </c>
      <c r="C1615" t="str">
        <f>VLOOKUP($B1615,'标准费用表-2024年&amp;2025年优化'!$D:$E,2,0)</f>
        <v>正大食品（宜昌）有限公司</v>
      </c>
      <c r="D1615" t="s">
        <v>106</v>
      </c>
      <c r="E1615" s="36">
        <f t="shared" ref="E1615:F1615" si="674">E1591</f>
        <v>0.259477983836846</v>
      </c>
      <c r="F1615" s="36">
        <f t="shared" si="674"/>
        <v>0</v>
      </c>
      <c r="G1615">
        <v>0.2</v>
      </c>
      <c r="H1615">
        <v>0.3</v>
      </c>
      <c r="J1615" s="2" t="s">
        <v>69</v>
      </c>
    </row>
    <row r="1616" spans="2:10" x14ac:dyDescent="0.3">
      <c r="B1616" s="47" t="s">
        <v>177</v>
      </c>
      <c r="C1616" t="str">
        <f>VLOOKUP($B1616,'标准费用表-2024年&amp;2025年优化'!$D:$E,2,0)</f>
        <v>正大食品（宜昌）有限公司</v>
      </c>
      <c r="D1616" t="s">
        <v>107</v>
      </c>
      <c r="E1616" s="36">
        <f t="shared" ref="E1616:F1616" si="675">E1592</f>
        <v>0.35779394771605399</v>
      </c>
      <c r="F1616" s="36">
        <f t="shared" si="675"/>
        <v>0</v>
      </c>
      <c r="G1616">
        <v>0.2</v>
      </c>
      <c r="H1616">
        <v>0.3</v>
      </c>
      <c r="J1616" s="2" t="s">
        <v>69</v>
      </c>
    </row>
    <row r="1617" spans="2:10" x14ac:dyDescent="0.3">
      <c r="B1617" s="47" t="s">
        <v>177</v>
      </c>
      <c r="C1617" t="str">
        <f>VLOOKUP($B1617,'标准费用表-2024年&amp;2025年优化'!$D:$E,2,0)</f>
        <v>正大食品（宜昌）有限公司</v>
      </c>
      <c r="D1617" t="s">
        <v>108</v>
      </c>
      <c r="E1617" s="36">
        <f t="shared" ref="E1617:F1617" si="676">E1593</f>
        <v>0.32600125796099499</v>
      </c>
      <c r="F1617" s="36">
        <f t="shared" si="676"/>
        <v>0</v>
      </c>
      <c r="G1617">
        <v>0.2</v>
      </c>
      <c r="H1617">
        <v>0.3</v>
      </c>
      <c r="J1617" s="2" t="s">
        <v>69</v>
      </c>
    </row>
    <row r="1618" spans="2:10" x14ac:dyDescent="0.3">
      <c r="B1618" s="47" t="s">
        <v>177</v>
      </c>
      <c r="C1618" t="str">
        <f>VLOOKUP($B1618,'标准费用表-2024年&amp;2025年优化'!$D:$E,2,0)</f>
        <v>正大食品（宜昌）有限公司</v>
      </c>
      <c r="D1618" t="s">
        <v>109</v>
      </c>
      <c r="E1618" s="36">
        <f t="shared" ref="E1618:F1618" si="677">E1594</f>
        <v>0.29317274960135398</v>
      </c>
      <c r="F1618" s="36">
        <f t="shared" si="677"/>
        <v>0</v>
      </c>
      <c r="G1618">
        <v>0.2</v>
      </c>
      <c r="H1618">
        <v>0.3</v>
      </c>
      <c r="J1618" s="2" t="s">
        <v>69</v>
      </c>
    </row>
    <row r="1619" spans="2:10" x14ac:dyDescent="0.3">
      <c r="B1619" s="47" t="s">
        <v>177</v>
      </c>
      <c r="C1619" t="str">
        <f>VLOOKUP($B1619,'标准费用表-2024年&amp;2025年优化'!$D:$E,2,0)</f>
        <v>正大食品（宜昌）有限公司</v>
      </c>
      <c r="D1619" t="s">
        <v>110</v>
      </c>
      <c r="E1619" s="36">
        <f t="shared" ref="E1619:F1619" si="678">E1595</f>
        <v>0.294467637552144</v>
      </c>
      <c r="F1619" s="36">
        <f t="shared" si="678"/>
        <v>0</v>
      </c>
      <c r="G1619">
        <v>0.2</v>
      </c>
      <c r="H1619">
        <v>0.3</v>
      </c>
      <c r="J1619" s="2" t="s">
        <v>69</v>
      </c>
    </row>
    <row r="1620" spans="2:10" x14ac:dyDescent="0.3">
      <c r="B1620" s="47" t="s">
        <v>177</v>
      </c>
      <c r="C1620" t="str">
        <f>VLOOKUP($B1620,'标准费用表-2024年&amp;2025年优化'!$D:$E,2,0)</f>
        <v>正大食品（宜昌）有限公司</v>
      </c>
      <c r="D1620" t="s">
        <v>111</v>
      </c>
      <c r="E1620" s="36">
        <f t="shared" ref="E1620:F1620" si="679">E1596</f>
        <v>0.36611892232237198</v>
      </c>
      <c r="F1620" s="36">
        <f t="shared" si="679"/>
        <v>0</v>
      </c>
      <c r="G1620">
        <v>0.2</v>
      </c>
      <c r="H1620">
        <v>0.3</v>
      </c>
      <c r="J1620" s="2" t="s">
        <v>69</v>
      </c>
    </row>
    <row r="1621" spans="2:10" x14ac:dyDescent="0.3">
      <c r="B1621" s="47" t="s">
        <v>177</v>
      </c>
      <c r="C1621" t="str">
        <f>VLOOKUP($B1621,'标准费用表-2024年&amp;2025年优化'!$D:$E,2,0)</f>
        <v>正大食品（宜昌）有限公司</v>
      </c>
      <c r="D1621" t="s">
        <v>112</v>
      </c>
      <c r="E1621" s="36">
        <f t="shared" ref="E1621:F1621" si="680">E1597</f>
        <v>0.32014049485945301</v>
      </c>
      <c r="F1621" s="36">
        <f t="shared" si="680"/>
        <v>0</v>
      </c>
      <c r="G1621">
        <v>0.2</v>
      </c>
      <c r="H1621">
        <v>0.3</v>
      </c>
      <c r="J1621" s="2" t="s">
        <v>69</v>
      </c>
    </row>
    <row r="1622" spans="2:10" x14ac:dyDescent="0.3">
      <c r="B1622" s="47" t="s">
        <v>177</v>
      </c>
      <c r="C1622" t="str">
        <f>VLOOKUP($B1622,'标准费用表-2024年&amp;2025年优化'!$D:$E,2,0)</f>
        <v>正大食品（宜昌）有限公司</v>
      </c>
      <c r="D1622" t="s">
        <v>113</v>
      </c>
      <c r="E1622" s="36">
        <f t="shared" ref="E1622:F1622" si="681">E1598</f>
        <v>0.23187544257810599</v>
      </c>
      <c r="F1622" s="36">
        <f t="shared" si="681"/>
        <v>0</v>
      </c>
      <c r="G1622">
        <v>0.2</v>
      </c>
      <c r="H1622">
        <v>0.3</v>
      </c>
      <c r="J1622" s="2" t="s">
        <v>69</v>
      </c>
    </row>
    <row r="1623" spans="2:10" x14ac:dyDescent="0.3">
      <c r="B1623" s="47" t="s">
        <v>177</v>
      </c>
      <c r="C1623" t="str">
        <f>VLOOKUP($B1623,'标准费用表-2024年&amp;2025年优化'!$D:$E,2,0)</f>
        <v>正大食品（宜昌）有限公司</v>
      </c>
      <c r="D1623" t="s">
        <v>114</v>
      </c>
      <c r="E1623" s="36">
        <f t="shared" ref="E1623:F1623" si="682">E1599</f>
        <v>0.87578433402227396</v>
      </c>
      <c r="F1623" s="36">
        <f t="shared" si="682"/>
        <v>0</v>
      </c>
      <c r="G1623">
        <v>0.2</v>
      </c>
      <c r="H1623">
        <v>0.3</v>
      </c>
      <c r="J1623" s="2" t="s">
        <v>69</v>
      </c>
    </row>
    <row r="1624" spans="2:10" x14ac:dyDescent="0.3">
      <c r="B1624" s="47" t="s">
        <v>177</v>
      </c>
      <c r="C1624" t="str">
        <f>VLOOKUP($B1624,'标准费用表-2024年&amp;2025年优化'!$D:$E,2,0)</f>
        <v>正大食品（宜昌）有限公司</v>
      </c>
      <c r="D1624" t="s">
        <v>115</v>
      </c>
      <c r="E1624" s="36">
        <f t="shared" ref="E1624:F1624" si="683">E1600</f>
        <v>0.37667031540489698</v>
      </c>
      <c r="F1624" s="36">
        <f t="shared" si="683"/>
        <v>0</v>
      </c>
      <c r="G1624">
        <v>0.2</v>
      </c>
      <c r="H1624">
        <v>0.3</v>
      </c>
      <c r="J1624" s="2" t="s">
        <v>69</v>
      </c>
    </row>
    <row r="1625" spans="2:10" x14ac:dyDescent="0.3">
      <c r="B1625" s="47" t="s">
        <v>177</v>
      </c>
      <c r="C1625" t="str">
        <f>VLOOKUP($B1625,'标准费用表-2024年&amp;2025年优化'!$D:$E,2,0)</f>
        <v>正大食品（宜昌）有限公司</v>
      </c>
      <c r="D1625" t="s">
        <v>116</v>
      </c>
      <c r="E1625" s="36">
        <f t="shared" ref="E1625:F1625" si="684">E1601</f>
        <v>0.23802108832721899</v>
      </c>
      <c r="F1625" s="36">
        <f t="shared" si="684"/>
        <v>0</v>
      </c>
      <c r="G1625">
        <v>0.2</v>
      </c>
      <c r="H1625">
        <v>0.3</v>
      </c>
      <c r="J1625" s="2" t="s">
        <v>69</v>
      </c>
    </row>
    <row r="1626" spans="2:10" x14ac:dyDescent="0.3">
      <c r="B1626" s="47" t="s">
        <v>177</v>
      </c>
      <c r="C1626" t="str">
        <f>VLOOKUP($B1626,'标准费用表-2024年&amp;2025年优化'!$D:$E,2,0)</f>
        <v>正大食品（宜昌）有限公司</v>
      </c>
      <c r="D1626" t="s">
        <v>117</v>
      </c>
      <c r="E1626" s="36">
        <f t="shared" ref="E1626:F1626" si="685">E1602</f>
        <v>0.19735644343341199</v>
      </c>
      <c r="F1626" s="36">
        <f t="shared" si="685"/>
        <v>0</v>
      </c>
      <c r="G1626">
        <v>0.2</v>
      </c>
      <c r="H1626">
        <v>0.3</v>
      </c>
      <c r="J1626" s="2" t="s">
        <v>69</v>
      </c>
    </row>
    <row r="1627" spans="2:10" x14ac:dyDescent="0.3">
      <c r="B1627" s="47" t="s">
        <v>177</v>
      </c>
      <c r="C1627" t="str">
        <f>VLOOKUP($B1627,'标准费用表-2024年&amp;2025年优化'!$D:$E,2,0)</f>
        <v>正大食品（宜昌）有限公司</v>
      </c>
      <c r="D1627" t="s">
        <v>118</v>
      </c>
      <c r="E1627" s="36">
        <f t="shared" ref="E1627:F1627" si="686">E1603</f>
        <v>7.8331416436708295E-2</v>
      </c>
      <c r="F1627" s="36">
        <f t="shared" si="686"/>
        <v>0</v>
      </c>
      <c r="G1627">
        <v>0.2</v>
      </c>
      <c r="H1627">
        <v>0.3</v>
      </c>
      <c r="J1627" s="2" t="s">
        <v>69</v>
      </c>
    </row>
    <row r="1628" spans="2:10" x14ac:dyDescent="0.3">
      <c r="B1628" s="47" t="s">
        <v>177</v>
      </c>
      <c r="C1628" t="str">
        <f>VLOOKUP($B1628,'标准费用表-2024年&amp;2025年优化'!$D:$E,2,0)</f>
        <v>正大食品（宜昌）有限公司</v>
      </c>
      <c r="D1628" t="s">
        <v>119</v>
      </c>
      <c r="E1628" s="36">
        <f>E1556</f>
        <v>0.28330431921801102</v>
      </c>
      <c r="F1628" s="36">
        <f t="shared" ref="F1628" si="687">F1604</f>
        <v>0</v>
      </c>
      <c r="G1628">
        <v>0.2</v>
      </c>
      <c r="H1628">
        <v>0.3</v>
      </c>
      <c r="J1628" s="2" t="s">
        <v>69</v>
      </c>
    </row>
    <row r="1629" spans="2:10" x14ac:dyDescent="0.3">
      <c r="B1629" s="47" t="s">
        <v>177</v>
      </c>
      <c r="C1629" t="str">
        <f>VLOOKUP($B1629,'标准费用表-2024年&amp;2025年优化'!$D:$E,2,0)</f>
        <v>正大食品（宜昌）有限公司</v>
      </c>
      <c r="D1629" t="s">
        <v>120</v>
      </c>
      <c r="E1629" s="36">
        <f t="shared" ref="E1629:E1651" si="688">E1557</f>
        <v>0.757165811828445</v>
      </c>
      <c r="F1629" s="36">
        <f t="shared" ref="F1629" si="689">F1605</f>
        <v>0</v>
      </c>
      <c r="G1629">
        <v>0.2</v>
      </c>
      <c r="H1629">
        <v>0.3</v>
      </c>
      <c r="J1629" s="2" t="s">
        <v>69</v>
      </c>
    </row>
    <row r="1630" spans="2:10" x14ac:dyDescent="0.3">
      <c r="B1630" s="47" t="s">
        <v>177</v>
      </c>
      <c r="C1630" t="str">
        <f>VLOOKUP($B1630,'标准费用表-2024年&amp;2025年优化'!$D:$E,2,0)</f>
        <v>正大食品（宜昌）有限公司</v>
      </c>
      <c r="D1630" t="s">
        <v>121</v>
      </c>
      <c r="E1630" s="36">
        <f t="shared" si="688"/>
        <v>1.40143363897301</v>
      </c>
      <c r="F1630" s="36">
        <f t="shared" ref="F1630" si="690">F1606</f>
        <v>0</v>
      </c>
      <c r="G1630">
        <v>0.2</v>
      </c>
      <c r="H1630">
        <v>0.3</v>
      </c>
      <c r="J1630" s="2" t="s">
        <v>69</v>
      </c>
    </row>
    <row r="1631" spans="2:10" x14ac:dyDescent="0.3">
      <c r="B1631" s="47" t="s">
        <v>177</v>
      </c>
      <c r="C1631" t="str">
        <f>VLOOKUP($B1631,'标准费用表-2024年&amp;2025年优化'!$D:$E,2,0)</f>
        <v>正大食品（宜昌）有限公司</v>
      </c>
      <c r="D1631" t="s">
        <v>122</v>
      </c>
      <c r="E1631" s="36">
        <f t="shared" si="688"/>
        <v>0.29451842374653803</v>
      </c>
      <c r="F1631" s="36">
        <f t="shared" ref="F1631" si="691">F1607</f>
        <v>0</v>
      </c>
      <c r="G1631">
        <v>0.2</v>
      </c>
      <c r="H1631">
        <v>0.3</v>
      </c>
      <c r="J1631" s="2" t="s">
        <v>69</v>
      </c>
    </row>
    <row r="1632" spans="2:10" x14ac:dyDescent="0.3">
      <c r="B1632" s="47" t="s">
        <v>177</v>
      </c>
      <c r="C1632" t="str">
        <f>VLOOKUP($B1632,'标准费用表-2024年&amp;2025年优化'!$D:$E,2,0)</f>
        <v>正大食品（宜昌）有限公司</v>
      </c>
      <c r="D1632" t="s">
        <v>123</v>
      </c>
      <c r="E1632" s="36">
        <f t="shared" si="688"/>
        <v>0.130022383852271</v>
      </c>
      <c r="F1632" s="36">
        <f t="shared" ref="F1632" si="692">F1608</f>
        <v>0</v>
      </c>
      <c r="G1632">
        <v>0.2</v>
      </c>
      <c r="H1632">
        <v>0.3</v>
      </c>
      <c r="J1632" s="2" t="s">
        <v>69</v>
      </c>
    </row>
    <row r="1633" spans="2:10" x14ac:dyDescent="0.3">
      <c r="B1633" s="47" t="s">
        <v>177</v>
      </c>
      <c r="C1633" t="str">
        <f>VLOOKUP($B1633,'标准费用表-2024年&amp;2025年优化'!$D:$E,2,0)</f>
        <v>正大食品（宜昌）有限公司</v>
      </c>
      <c r="D1633" t="s">
        <v>124</v>
      </c>
      <c r="E1633" s="36">
        <f t="shared" si="688"/>
        <v>0.40240202804453101</v>
      </c>
      <c r="F1633" s="36">
        <f t="shared" ref="F1633" si="693">F1609</f>
        <v>0</v>
      </c>
      <c r="G1633">
        <v>0.2</v>
      </c>
      <c r="H1633">
        <v>0.3</v>
      </c>
      <c r="J1633" s="2" t="s">
        <v>69</v>
      </c>
    </row>
    <row r="1634" spans="2:10" x14ac:dyDescent="0.3">
      <c r="B1634" s="47" t="s">
        <v>177</v>
      </c>
      <c r="C1634" t="str">
        <f>VLOOKUP($B1634,'标准费用表-2024年&amp;2025年优化'!$D:$E,2,0)</f>
        <v>正大食品（宜昌）有限公司</v>
      </c>
      <c r="D1634" t="s">
        <v>125</v>
      </c>
      <c r="E1634" s="36">
        <f t="shared" si="688"/>
        <v>0.66473666907045803</v>
      </c>
      <c r="F1634" s="36">
        <f t="shared" ref="F1634" si="694">F1610</f>
        <v>0</v>
      </c>
      <c r="G1634">
        <v>0.2</v>
      </c>
      <c r="H1634">
        <v>0.3</v>
      </c>
      <c r="J1634" s="2" t="s">
        <v>69</v>
      </c>
    </row>
    <row r="1635" spans="2:10" x14ac:dyDescent="0.3">
      <c r="B1635" s="47" t="s">
        <v>177</v>
      </c>
      <c r="C1635" t="str">
        <f>VLOOKUP($B1635,'标准费用表-2024年&amp;2025年优化'!$D:$E,2,0)</f>
        <v>正大食品（宜昌）有限公司</v>
      </c>
      <c r="D1635" t="s">
        <v>126</v>
      </c>
      <c r="E1635" s="36">
        <f t="shared" si="688"/>
        <v>0.96429685426959499</v>
      </c>
      <c r="F1635" s="36">
        <f t="shared" ref="F1635" si="695">F1611</f>
        <v>0</v>
      </c>
      <c r="G1635">
        <v>0.2</v>
      </c>
      <c r="H1635">
        <v>0.3</v>
      </c>
      <c r="J1635" s="2" t="s">
        <v>69</v>
      </c>
    </row>
    <row r="1636" spans="2:10" x14ac:dyDescent="0.3">
      <c r="B1636" s="47" t="s">
        <v>177</v>
      </c>
      <c r="C1636" t="str">
        <f>VLOOKUP($B1636,'标准费用表-2024年&amp;2025年优化'!$D:$E,2,0)</f>
        <v>正大食品（宜昌）有限公司</v>
      </c>
      <c r="D1636" t="s">
        <v>127</v>
      </c>
      <c r="E1636" s="36">
        <f t="shared" si="688"/>
        <v>0.563383581823935</v>
      </c>
      <c r="F1636" s="36">
        <f t="shared" ref="F1636" si="696">F1612</f>
        <v>0</v>
      </c>
      <c r="G1636">
        <v>0.2</v>
      </c>
      <c r="H1636">
        <v>0.3</v>
      </c>
      <c r="J1636" s="2" t="s">
        <v>69</v>
      </c>
    </row>
    <row r="1637" spans="2:10" x14ac:dyDescent="0.3">
      <c r="B1637" s="47" t="s">
        <v>177</v>
      </c>
      <c r="C1637" t="str">
        <f>VLOOKUP($B1637,'标准费用表-2024年&amp;2025年优化'!$D:$E,2,0)</f>
        <v>正大食品（宜昌）有限公司</v>
      </c>
      <c r="D1637" t="s">
        <v>128</v>
      </c>
      <c r="E1637" s="36">
        <f t="shared" si="688"/>
        <v>0.517388964789813</v>
      </c>
      <c r="F1637" s="36">
        <f t="shared" ref="F1637" si="697">F1613</f>
        <v>0</v>
      </c>
      <c r="G1637">
        <v>0.2</v>
      </c>
      <c r="H1637">
        <v>0.3</v>
      </c>
      <c r="J1637" s="2" t="s">
        <v>69</v>
      </c>
    </row>
    <row r="1638" spans="2:10" x14ac:dyDescent="0.3">
      <c r="B1638" s="47" t="s">
        <v>177</v>
      </c>
      <c r="C1638" t="str">
        <f>VLOOKUP($B1638,'标准费用表-2024年&amp;2025年优化'!$D:$E,2,0)</f>
        <v>正大食品（宜昌）有限公司</v>
      </c>
      <c r="D1638" t="s">
        <v>129</v>
      </c>
      <c r="E1638" s="36">
        <f t="shared" si="688"/>
        <v>0.66096013472605397</v>
      </c>
      <c r="F1638" s="36">
        <f t="shared" ref="F1638" si="698">F1614</f>
        <v>0</v>
      </c>
      <c r="G1638">
        <v>0.2</v>
      </c>
      <c r="H1638">
        <v>0.3</v>
      </c>
      <c r="J1638" s="2" t="s">
        <v>69</v>
      </c>
    </row>
    <row r="1639" spans="2:10" x14ac:dyDescent="0.3">
      <c r="B1639" s="47" t="s">
        <v>177</v>
      </c>
      <c r="C1639" t="str">
        <f>VLOOKUP($B1639,'标准费用表-2024年&amp;2025年优化'!$D:$E,2,0)</f>
        <v>正大食品（宜昌）有限公司</v>
      </c>
      <c r="D1639" t="s">
        <v>130</v>
      </c>
      <c r="E1639" s="36">
        <f t="shared" si="688"/>
        <v>1.1496016278465699</v>
      </c>
      <c r="F1639" s="36">
        <f t="shared" ref="F1639" si="699">F1615</f>
        <v>0</v>
      </c>
      <c r="G1639">
        <v>0.2</v>
      </c>
      <c r="H1639">
        <v>0.3</v>
      </c>
      <c r="J1639" s="2" t="s">
        <v>69</v>
      </c>
    </row>
    <row r="1640" spans="2:10" x14ac:dyDescent="0.3">
      <c r="B1640" s="47" t="s">
        <v>177</v>
      </c>
      <c r="C1640" t="str">
        <f>VLOOKUP($B1640,'标准费用表-2024年&amp;2025年优化'!$D:$E,2,0)</f>
        <v>正大食品（宜昌）有限公司</v>
      </c>
      <c r="D1640" t="s">
        <v>131</v>
      </c>
      <c r="E1640" s="36">
        <f t="shared" si="688"/>
        <v>0.19572602258136401</v>
      </c>
      <c r="F1640" s="36">
        <f t="shared" ref="F1640" si="700">F1616</f>
        <v>0</v>
      </c>
      <c r="G1640">
        <v>0.2</v>
      </c>
      <c r="H1640">
        <v>0.3</v>
      </c>
      <c r="J1640" s="2" t="s">
        <v>69</v>
      </c>
    </row>
    <row r="1641" spans="2:10" x14ac:dyDescent="0.3">
      <c r="B1641" s="47" t="s">
        <v>177</v>
      </c>
      <c r="C1641" t="str">
        <f>VLOOKUP($B1641,'标准费用表-2024年&amp;2025年优化'!$D:$E,2,0)</f>
        <v>正大食品（宜昌）有限公司</v>
      </c>
      <c r="D1641" t="s">
        <v>132</v>
      </c>
      <c r="E1641" s="36">
        <f t="shared" si="688"/>
        <v>4.5315917181394501E-2</v>
      </c>
      <c r="F1641" s="36">
        <f t="shared" ref="F1641" si="701">F1617</f>
        <v>0</v>
      </c>
      <c r="G1641">
        <v>0.2</v>
      </c>
      <c r="H1641">
        <v>0.3</v>
      </c>
      <c r="J1641" s="2" t="s">
        <v>69</v>
      </c>
    </row>
    <row r="1642" spans="2:10" x14ac:dyDescent="0.3">
      <c r="B1642" s="47" t="s">
        <v>177</v>
      </c>
      <c r="C1642" t="str">
        <f>VLOOKUP($B1642,'标准费用表-2024年&amp;2025年优化'!$D:$E,2,0)</f>
        <v>正大食品（宜昌）有限公司</v>
      </c>
      <c r="D1642" t="s">
        <v>133</v>
      </c>
      <c r="E1642" s="36">
        <f t="shared" si="688"/>
        <v>0.24312476903751201</v>
      </c>
      <c r="F1642" s="36">
        <f t="shared" ref="F1642" si="702">F1618</f>
        <v>0</v>
      </c>
      <c r="G1642">
        <v>0.2</v>
      </c>
      <c r="H1642">
        <v>0.3</v>
      </c>
      <c r="J1642" s="2" t="s">
        <v>69</v>
      </c>
    </row>
    <row r="1643" spans="2:10" x14ac:dyDescent="0.3">
      <c r="B1643" s="47" t="s">
        <v>177</v>
      </c>
      <c r="C1643" t="str">
        <f>VLOOKUP($B1643,'标准费用表-2024年&amp;2025年优化'!$D:$E,2,0)</f>
        <v>正大食品（宜昌）有限公司</v>
      </c>
      <c r="D1643" t="s">
        <v>134</v>
      </c>
      <c r="E1643" s="36">
        <f t="shared" si="688"/>
        <v>0.15902361898352799</v>
      </c>
      <c r="F1643" s="36">
        <f t="shared" ref="F1643" si="703">F1619</f>
        <v>0</v>
      </c>
      <c r="G1643">
        <v>0.2</v>
      </c>
      <c r="H1643">
        <v>0.3</v>
      </c>
      <c r="J1643" s="2" t="s">
        <v>69</v>
      </c>
    </row>
    <row r="1644" spans="2:10" x14ac:dyDescent="0.3">
      <c r="B1644" s="47" t="s">
        <v>177</v>
      </c>
      <c r="C1644" t="str">
        <f>VLOOKUP($B1644,'标准费用表-2024年&amp;2025年优化'!$D:$E,2,0)</f>
        <v>正大食品（宜昌）有限公司</v>
      </c>
      <c r="D1644" t="s">
        <v>135</v>
      </c>
      <c r="E1644" s="36">
        <f t="shared" si="688"/>
        <v>0.10540288915644599</v>
      </c>
      <c r="F1644" s="36">
        <f t="shared" ref="F1644" si="704">F1620</f>
        <v>0</v>
      </c>
      <c r="G1644">
        <v>0.2</v>
      </c>
      <c r="H1644">
        <v>0.3</v>
      </c>
      <c r="J1644" s="2" t="s">
        <v>69</v>
      </c>
    </row>
    <row r="1645" spans="2:10" x14ac:dyDescent="0.3">
      <c r="B1645" s="47" t="s">
        <v>177</v>
      </c>
      <c r="C1645" t="str">
        <f>VLOOKUP($B1645,'标准费用表-2024年&amp;2025年优化'!$D:$E,2,0)</f>
        <v>正大食品（宜昌）有限公司</v>
      </c>
      <c r="D1645" t="s">
        <v>136</v>
      </c>
      <c r="E1645" s="36">
        <f t="shared" si="688"/>
        <v>1.8198041772806799E-2</v>
      </c>
      <c r="F1645" s="36">
        <f t="shared" ref="F1645" si="705">F1621</f>
        <v>0</v>
      </c>
      <c r="G1645">
        <v>0.2</v>
      </c>
      <c r="H1645">
        <v>0.3</v>
      </c>
      <c r="J1645" s="2" t="s">
        <v>69</v>
      </c>
    </row>
    <row r="1646" spans="2:10" x14ac:dyDescent="0.3">
      <c r="B1646" s="47" t="s">
        <v>177</v>
      </c>
      <c r="C1646" t="str">
        <f>VLOOKUP($B1646,'标准费用表-2024年&amp;2025年优化'!$D:$E,2,0)</f>
        <v>正大食品（宜昌）有限公司</v>
      </c>
      <c r="D1646" t="s">
        <v>137</v>
      </c>
      <c r="E1646" s="36">
        <f t="shared" si="688"/>
        <v>9.5234125091773605E-2</v>
      </c>
      <c r="F1646" s="36">
        <f t="shared" ref="F1646" si="706">F1622</f>
        <v>0</v>
      </c>
      <c r="G1646">
        <v>0.2</v>
      </c>
      <c r="H1646">
        <v>0.3</v>
      </c>
      <c r="J1646" s="2" t="s">
        <v>69</v>
      </c>
    </row>
    <row r="1647" spans="2:10" x14ac:dyDescent="0.3">
      <c r="B1647" s="47" t="s">
        <v>177</v>
      </c>
      <c r="C1647" t="str">
        <f>VLOOKUP($B1647,'标准费用表-2024年&amp;2025年优化'!$D:$E,2,0)</f>
        <v>正大食品（宜昌）有限公司</v>
      </c>
      <c r="D1647" t="s">
        <v>138</v>
      </c>
      <c r="E1647" s="36">
        <f t="shared" si="688"/>
        <v>8.7389949074020604E-2</v>
      </c>
      <c r="F1647" s="36">
        <f t="shared" ref="F1647" si="707">F1623</f>
        <v>0</v>
      </c>
      <c r="G1647">
        <v>0.2</v>
      </c>
      <c r="H1647">
        <v>0.3</v>
      </c>
      <c r="J1647" s="2" t="s">
        <v>69</v>
      </c>
    </row>
    <row r="1648" spans="2:10" x14ac:dyDescent="0.3">
      <c r="B1648" s="47" t="s">
        <v>177</v>
      </c>
      <c r="C1648" t="str">
        <f>VLOOKUP($B1648,'标准费用表-2024年&amp;2025年优化'!$D:$E,2,0)</f>
        <v>正大食品（宜昌）有限公司</v>
      </c>
      <c r="D1648" t="s">
        <v>139</v>
      </c>
      <c r="E1648" s="36">
        <f t="shared" si="688"/>
        <v>0.30573469906970802</v>
      </c>
      <c r="F1648" s="36">
        <f t="shared" ref="F1648" si="708">F1624</f>
        <v>0</v>
      </c>
      <c r="G1648">
        <v>0.2</v>
      </c>
      <c r="H1648">
        <v>0.3</v>
      </c>
      <c r="J1648" s="2" t="s">
        <v>69</v>
      </c>
    </row>
    <row r="1649" spans="2:10" x14ac:dyDescent="0.3">
      <c r="B1649" s="47" t="s">
        <v>177</v>
      </c>
      <c r="C1649" t="str">
        <f>VLOOKUP($B1649,'标准费用表-2024年&amp;2025年优化'!$D:$E,2,0)</f>
        <v>正大食品（宜昌）有限公司</v>
      </c>
      <c r="D1649" t="s">
        <v>140</v>
      </c>
      <c r="E1649" s="36">
        <f t="shared" si="688"/>
        <v>0.35809788282785399</v>
      </c>
      <c r="F1649" s="36">
        <f t="shared" ref="F1649" si="709">F1625</f>
        <v>0</v>
      </c>
      <c r="G1649">
        <v>0.2</v>
      </c>
      <c r="H1649">
        <v>0.3</v>
      </c>
      <c r="J1649" s="2" t="s">
        <v>69</v>
      </c>
    </row>
    <row r="1650" spans="2:10" x14ac:dyDescent="0.3">
      <c r="B1650" s="47" t="s">
        <v>177</v>
      </c>
      <c r="C1650" t="str">
        <f>VLOOKUP($B1650,'标准费用表-2024年&amp;2025年优化'!$D:$E,2,0)</f>
        <v>正大食品（宜昌）有限公司</v>
      </c>
      <c r="D1650" t="s">
        <v>141</v>
      </c>
      <c r="E1650" s="36">
        <f t="shared" si="688"/>
        <v>0.102395187283482</v>
      </c>
      <c r="F1650" s="36">
        <f t="shared" ref="F1650" si="710">F1626</f>
        <v>0</v>
      </c>
      <c r="G1650">
        <v>0.2</v>
      </c>
      <c r="H1650">
        <v>0.3</v>
      </c>
      <c r="J1650" s="2" t="s">
        <v>69</v>
      </c>
    </row>
    <row r="1651" spans="2:10" x14ac:dyDescent="0.3">
      <c r="B1651" s="47" t="s">
        <v>177</v>
      </c>
      <c r="C1651" t="str">
        <f>VLOOKUP($B1651,'标准费用表-2024年&amp;2025年优化'!$D:$E,2,0)</f>
        <v>正大食品（宜昌）有限公司</v>
      </c>
      <c r="D1651" t="s">
        <v>142</v>
      </c>
      <c r="E1651" s="36">
        <f t="shared" si="688"/>
        <v>3.04653285276788E-2</v>
      </c>
      <c r="F1651" s="36">
        <f t="shared" ref="F1651" si="711">F1627</f>
        <v>0</v>
      </c>
      <c r="G1651">
        <v>0.2</v>
      </c>
      <c r="H1651">
        <v>0.3</v>
      </c>
      <c r="J1651" s="2" t="s">
        <v>69</v>
      </c>
    </row>
    <row r="1652" spans="2:10" x14ac:dyDescent="0.3">
      <c r="B1652" s="47" t="s">
        <v>179</v>
      </c>
      <c r="C1652" t="str">
        <f>VLOOKUP($B1652,'标准费用表-2024年&amp;2025年优化'!$D:$E,2,0)</f>
        <v>江西正大畜禽有限公司高安分公司</v>
      </c>
      <c r="D1652" t="s">
        <v>41</v>
      </c>
      <c r="E1652" s="46">
        <f>IFERROR(VLOOKUP($B1652,'标准费用表-2024年&amp;2025年优化'!$D:$K,8,0)*VLOOKUP('5.成本表'!$D1652,系数辅助表!$C:$G,5,0)/VLOOKUP($D1652,系数辅助表!$C:$E,3,0),0)</f>
        <v>0.71277536342533998</v>
      </c>
      <c r="I1652" s="36">
        <f>VLOOKUP($D1652,系数辅助表!$C:$F,4,0)</f>
        <v>1.33</v>
      </c>
      <c r="J1652" s="2" t="s">
        <v>41</v>
      </c>
    </row>
    <row r="1653" spans="2:10" x14ac:dyDescent="0.3">
      <c r="B1653" s="47" t="s">
        <v>179</v>
      </c>
      <c r="C1653" t="str">
        <f>VLOOKUP($B1653,'标准费用表-2024年&amp;2025年优化'!$D:$E,2,0)</f>
        <v>江西正大畜禽有限公司高安分公司</v>
      </c>
      <c r="D1653" t="s">
        <v>44</v>
      </c>
      <c r="E1653" s="46">
        <f>IFERROR(VLOOKUP($B1653,'标准费用表-2024年&amp;2025年优化'!$D:$K,8,0)*系数辅助表!$J$6*VLOOKUP('5.成本表'!$D1653,系数辅助表!$C:$G,5,0)/VLOOKUP($D1653,系数辅助表!$C:$E,3,0),0)</f>
        <v>0.40766575750523099</v>
      </c>
      <c r="I1653" s="36">
        <f>VLOOKUP($D1653,系数辅助表!$C:$F,4,0)</f>
        <v>0.789027855994753</v>
      </c>
      <c r="J1653" s="2" t="s">
        <v>200</v>
      </c>
    </row>
    <row r="1654" spans="2:10" x14ac:dyDescent="0.3">
      <c r="B1654" s="47" t="s">
        <v>179</v>
      </c>
      <c r="C1654" t="str">
        <f>VLOOKUP($B1654,'标准费用表-2024年&amp;2025年优化'!$D:$E,2,0)</f>
        <v>江西正大畜禽有限公司高安分公司</v>
      </c>
      <c r="D1654" t="s">
        <v>45</v>
      </c>
      <c r="E1654" s="46">
        <f>IFERROR(VLOOKUP($B1654,'标准费用表-2024年&amp;2025年优化'!$D:$K,8,0)*系数辅助表!$J$6*VLOOKUP('5.成本表'!$D1654,系数辅助表!$C:$G,5,0)/VLOOKUP($D1654,系数辅助表!$C:$E,3,0),0)</f>
        <v>1.0895371277363901</v>
      </c>
      <c r="I1654" s="36">
        <f>VLOOKUP($D1654,系数辅助表!$C:$F,4,0)</f>
        <v>2.1087744754070901</v>
      </c>
      <c r="J1654" s="2" t="s">
        <v>200</v>
      </c>
    </row>
    <row r="1655" spans="2:10" x14ac:dyDescent="0.3">
      <c r="B1655" s="47" t="s">
        <v>179</v>
      </c>
      <c r="C1655" t="str">
        <f>VLOOKUP($B1655,'标准费用表-2024年&amp;2025年优化'!$D:$E,2,0)</f>
        <v>江西正大畜禽有限公司高安分公司</v>
      </c>
      <c r="D1655" t="s">
        <v>46</v>
      </c>
      <c r="E1655" s="46">
        <f>IFERROR(VLOOKUP($B1655,'标准费用表-2024年&amp;2025年优化'!$D:$K,8,0)*系数辅助表!$J$6*VLOOKUP('5.成本表'!$D1655,系数辅助表!$C:$G,5,0)/VLOOKUP($D1655,系数辅助表!$C:$E,3,0),0)</f>
        <v>2.0166177049549301</v>
      </c>
      <c r="I1655" s="36">
        <f>VLOOKUP($D1655,系数辅助表!$C:$F,4,0)</f>
        <v>3.9031179705625099</v>
      </c>
      <c r="J1655" s="2" t="s">
        <v>200</v>
      </c>
    </row>
    <row r="1656" spans="2:10" x14ac:dyDescent="0.3">
      <c r="B1656" s="47" t="s">
        <v>179</v>
      </c>
      <c r="C1656" t="str">
        <f>VLOOKUP($B1656,'标准费用表-2024年&amp;2025年优化'!$D:$E,2,0)</f>
        <v>江西正大畜禽有限公司高安分公司</v>
      </c>
      <c r="D1656" t="s">
        <v>47</v>
      </c>
      <c r="E1656" s="46">
        <f>IFERROR(VLOOKUP($B1656,'标准费用表-2024年&amp;2025年优化'!$D:$K,8,0)*系数辅助表!$J$6*VLOOKUP('5.成本表'!$D1656,系数辅助表!$C:$G,5,0)/VLOOKUP($D1656,系数辅助表!$C:$E,3,0),0)</f>
        <v>0.42380249142437298</v>
      </c>
      <c r="I1656" s="36">
        <f>VLOOKUP($D1656,系数辅助表!$C:$F,4,0)</f>
        <v>0.82026013963048305</v>
      </c>
      <c r="J1656" s="2" t="s">
        <v>200</v>
      </c>
    </row>
    <row r="1657" spans="2:10" x14ac:dyDescent="0.3">
      <c r="B1657" s="47" t="s">
        <v>179</v>
      </c>
      <c r="C1657" t="str">
        <f>VLOOKUP($B1657,'标准费用表-2024年&amp;2025年优化'!$D:$E,2,0)</f>
        <v>江西正大畜禽有限公司高安分公司</v>
      </c>
      <c r="D1657" t="s">
        <v>48</v>
      </c>
      <c r="E1657" s="46">
        <f>IFERROR(VLOOKUP($B1657,'标准费用表-2024年&amp;2025年优化'!$D:$K,8,0)*系数辅助表!$J$6*VLOOKUP('5.成本表'!$D1657,系数辅助表!$C:$G,5,0)/VLOOKUP($D1657,系数辅助表!$C:$E,3,0),0)</f>
        <v>0.18709800737271001</v>
      </c>
      <c r="I1657" s="36">
        <f>VLOOKUP($D1657,系数辅助表!$C:$F,4,0)</f>
        <v>0.36212396283071502</v>
      </c>
      <c r="J1657" s="2" t="s">
        <v>200</v>
      </c>
    </row>
    <row r="1658" spans="2:10" x14ac:dyDescent="0.3">
      <c r="B1658" s="47" t="s">
        <v>179</v>
      </c>
      <c r="C1658" t="str">
        <f>VLOOKUP($B1658,'标准费用表-2024年&amp;2025年优化'!$D:$E,2,0)</f>
        <v>江西正大畜禽有限公司高安分公司</v>
      </c>
      <c r="D1658" t="s">
        <v>49</v>
      </c>
      <c r="E1658" s="46">
        <f>IFERROR(VLOOKUP($B1658,'标准费用表-2024年&amp;2025年优化'!$D:$K,8,0)*系数辅助表!$J$6*VLOOKUP('5.成本表'!$D1658,系数辅助表!$C:$G,5,0)/VLOOKUP($D1658,系数辅助表!$C:$E,3,0),0)</f>
        <v>0.57904351065744697</v>
      </c>
      <c r="I1658" s="36">
        <f>VLOOKUP($D1658,系数辅助表!$C:$F,4,0)</f>
        <v>1.1207256222295201</v>
      </c>
      <c r="J1658" s="2" t="s">
        <v>200</v>
      </c>
    </row>
    <row r="1659" spans="2:10" x14ac:dyDescent="0.3">
      <c r="B1659" s="47" t="s">
        <v>179</v>
      </c>
      <c r="C1659" t="str">
        <f>VLOOKUP($B1659,'标准费用表-2024年&amp;2025年优化'!$D:$E,2,0)</f>
        <v>江西正大畜禽有限公司高安分公司</v>
      </c>
      <c r="D1659" t="s">
        <v>50</v>
      </c>
      <c r="E1659" s="46">
        <f>IFERROR(VLOOKUP($B1659,'标准费用表-2024年&amp;2025年优化'!$D:$K,8,0)*系数辅助表!$J$6*VLOOKUP('5.成本表'!$D1659,系数辅助表!$C:$G,5,0)/VLOOKUP($D1659,系数辅助表!$C:$E,3,0),0)</f>
        <v>0.956534579091881</v>
      </c>
      <c r="I1659" s="36">
        <f>VLOOKUP($D1659,系数辅助表!$C:$F,4,0)</f>
        <v>1.8513510498021799</v>
      </c>
      <c r="J1659" s="2" t="s">
        <v>200</v>
      </c>
    </row>
    <row r="1660" spans="2:10" x14ac:dyDescent="0.3">
      <c r="B1660" s="47" t="s">
        <v>179</v>
      </c>
      <c r="C1660" t="str">
        <f>VLOOKUP($B1660,'标准费用表-2024年&amp;2025年优化'!$D:$E,2,0)</f>
        <v>江西正大畜禽有限公司高安分公司</v>
      </c>
      <c r="D1660" t="s">
        <v>51</v>
      </c>
      <c r="E1660" s="46">
        <f>IFERROR(VLOOKUP($B1660,'标准费用表-2024年&amp;2025年优化'!$D:$K,8,0)*系数辅助表!$J$6*VLOOKUP('5.成本表'!$D1660,系数辅助表!$C:$G,5,0)/VLOOKUP($D1660,系数辅助表!$C:$E,3,0),0)</f>
        <v>1.38759200227094</v>
      </c>
      <c r="I1660" s="36">
        <f>VLOOKUP($D1660,系数辅助表!$C:$F,4,0)</f>
        <v>2.68565294580391</v>
      </c>
      <c r="J1660" s="2" t="s">
        <v>200</v>
      </c>
    </row>
    <row r="1661" spans="2:10" x14ac:dyDescent="0.3">
      <c r="B1661" s="47" t="s">
        <v>179</v>
      </c>
      <c r="C1661" t="str">
        <f>VLOOKUP($B1661,'标准费用表-2024年&amp;2025年优化'!$D:$E,2,0)</f>
        <v>江西正大畜禽有限公司高安分公司</v>
      </c>
      <c r="D1661" t="s">
        <v>52</v>
      </c>
      <c r="E1661" s="46">
        <f>IFERROR(VLOOKUP($B1661,'标准费用表-2024年&amp;2025年优化'!$D:$K,8,0)*系数辅助表!$J$6*VLOOKUP('5.成本表'!$D1661,系数辅助表!$C:$G,5,0)/VLOOKUP($D1661,系数辅助表!$C:$E,3,0),0)</f>
        <v>0.81069076279604801</v>
      </c>
      <c r="I1661" s="36">
        <f>VLOOKUP($D1661,系数辅助表!$C:$F,4,0)</f>
        <v>1.5690736410097099</v>
      </c>
      <c r="J1661" s="2" t="s">
        <v>200</v>
      </c>
    </row>
    <row r="1662" spans="2:10" x14ac:dyDescent="0.3">
      <c r="B1662" s="47" t="s">
        <v>179</v>
      </c>
      <c r="C1662" t="str">
        <f>VLOOKUP($B1662,'标准费用表-2024年&amp;2025年优化'!$D:$E,2,0)</f>
        <v>江西正大畜禽有限公司高安分公司</v>
      </c>
      <c r="D1662" t="s">
        <v>53</v>
      </c>
      <c r="E1662" s="46">
        <f>IFERROR(VLOOKUP($B1662,'标准费用表-2024年&amp;2025年优化'!$D:$K,8,0)*系数辅助表!$J$6*VLOOKUP('5.成本表'!$D1662,系数辅助表!$C:$G,5,0)/VLOOKUP($D1662,系数辅助表!$C:$E,3,0),0)</f>
        <v>0.74450599566600895</v>
      </c>
      <c r="I1662" s="36">
        <f>VLOOKUP($D1662,系数辅助表!$C:$F,4,0)</f>
        <v>1.44097452072131</v>
      </c>
      <c r="J1662" s="2" t="s">
        <v>200</v>
      </c>
    </row>
    <row r="1663" spans="2:10" x14ac:dyDescent="0.3">
      <c r="B1663" s="47" t="s">
        <v>179</v>
      </c>
      <c r="C1663" t="str">
        <f>VLOOKUP($B1663,'标准费用表-2024年&amp;2025年优化'!$D:$E,2,0)</f>
        <v>江西正大畜禽有限公司高安分公司</v>
      </c>
      <c r="D1663" t="s">
        <v>54</v>
      </c>
      <c r="E1663" s="46">
        <f>IFERROR(VLOOKUP($B1663,'标准费用表-2024年&amp;2025年优化'!$D:$K,8,0)*系数辅助表!$J$6*VLOOKUP('5.成本表'!$D1663,系数辅助表!$C:$G,5,0)/VLOOKUP($D1663,系数辅助表!$C:$E,3,0),0)</f>
        <v>0.95110026824725502</v>
      </c>
      <c r="I1663" s="36">
        <f>VLOOKUP($D1663,系数辅助表!$C:$F,4,0)</f>
        <v>1.8408330640366199</v>
      </c>
      <c r="J1663" s="2" t="s">
        <v>200</v>
      </c>
    </row>
    <row r="1664" spans="2:10" x14ac:dyDescent="0.3">
      <c r="B1664" s="47" t="s">
        <v>179</v>
      </c>
      <c r="C1664" t="str">
        <f>VLOOKUP($B1664,'标准费用表-2024年&amp;2025年优化'!$D:$E,2,0)</f>
        <v>江西正大畜禽有限公司高安分公司</v>
      </c>
      <c r="D1664" t="s">
        <v>55</v>
      </c>
      <c r="E1664" s="46">
        <f>IFERROR(VLOOKUP($B1664,'标准费用表-2024年&amp;2025年优化'!$D:$K,8,0)*系数辅助表!$J$6*VLOOKUP('5.成本表'!$D1664,系数辅助表!$C:$G,5,0)/VLOOKUP($D1664,系数辅助表!$C:$E,3,0),0)</f>
        <v>1.6542395814469499</v>
      </c>
      <c r="I1664" s="36">
        <f>VLOOKUP($D1664,系数辅助表!$C:$F,4,0)</f>
        <v>3.2017433061789502</v>
      </c>
      <c r="J1664" s="2" t="s">
        <v>200</v>
      </c>
    </row>
    <row r="1665" spans="2:10" x14ac:dyDescent="0.3">
      <c r="B1665" s="47" t="s">
        <v>179</v>
      </c>
      <c r="C1665" t="str">
        <f>VLOOKUP($B1665,'标准费用表-2024年&amp;2025年优化'!$D:$E,2,0)</f>
        <v>江西正大畜禽有限公司高安分公司</v>
      </c>
      <c r="D1665" t="s">
        <v>56</v>
      </c>
      <c r="E1665" s="46">
        <f>IFERROR(VLOOKUP($B1665,'标准费用表-2024年&amp;2025年优化'!$D:$K,8,0)*系数辅助表!$J$6*VLOOKUP('5.成本表'!$D1665,系数辅助表!$C:$G,5,0)/VLOOKUP($D1665,系数辅助表!$C:$E,3,0),0)</f>
        <v>0.28164341962508699</v>
      </c>
      <c r="I1665" s="36">
        <f>VLOOKUP($D1665,系数辅助表!$C:$F,4,0)</f>
        <v>0.54511447049599404</v>
      </c>
      <c r="J1665" s="2" t="s">
        <v>200</v>
      </c>
    </row>
    <row r="1666" spans="2:10" x14ac:dyDescent="0.3">
      <c r="B1666" s="47" t="s">
        <v>179</v>
      </c>
      <c r="C1666" t="str">
        <f>VLOOKUP($B1666,'标准费用表-2024年&amp;2025年优化'!$D:$E,2,0)</f>
        <v>江西正大畜禽有限公司高安分公司</v>
      </c>
      <c r="D1666" t="s">
        <v>57</v>
      </c>
      <c r="E1666" s="46">
        <f>IFERROR(VLOOKUP($B1666,'标准费用表-2024年&amp;2025年优化'!$D:$K,8,0)*系数辅助表!$J$6*VLOOKUP('5.成本表'!$D1666,系数辅助表!$C:$G,5,0)/VLOOKUP($D1666,系数辅助表!$C:$E,3,0),0)</f>
        <v>6.5208139981026494E-2</v>
      </c>
      <c r="I1666" s="36">
        <f>VLOOKUP($D1666,系数辅助表!$C:$F,4,0)</f>
        <v>0.126208880523832</v>
      </c>
      <c r="J1666" s="2" t="s">
        <v>200</v>
      </c>
    </row>
    <row r="1667" spans="2:10" x14ac:dyDescent="0.3">
      <c r="B1667" s="47" t="s">
        <v>179</v>
      </c>
      <c r="C1667" t="str">
        <f>VLOOKUP($B1667,'标准费用表-2024年&amp;2025年优化'!$D:$E,2,0)</f>
        <v>江西正大畜禽有限公司高安分公司</v>
      </c>
      <c r="D1667" t="s">
        <v>58</v>
      </c>
      <c r="E1667" s="46">
        <f>IFERROR(VLOOKUP($B1667,'标准费用表-2024年&amp;2025年优化'!$D:$K,8,0)*系数辅助表!$J$6*VLOOKUP('5.成本表'!$D1667,系数辅助表!$C:$G,5,0)/VLOOKUP($D1667,系数辅助表!$C:$E,3,0),0)</f>
        <v>0.34984868360475202</v>
      </c>
      <c r="I1667" s="36">
        <f>VLOOKUP($D1667,系数辅助表!$C:$F,4,0)</f>
        <v>0.67712421675176204</v>
      </c>
      <c r="J1667" s="2" t="s">
        <v>200</v>
      </c>
    </row>
    <row r="1668" spans="2:10" x14ac:dyDescent="0.3">
      <c r="B1668" s="47" t="s">
        <v>179</v>
      </c>
      <c r="C1668" t="str">
        <f>VLOOKUP($B1668,'标准费用表-2024年&amp;2025年优化'!$D:$E,2,0)</f>
        <v>江西正大畜禽有限公司高安分公司</v>
      </c>
      <c r="D1668" t="s">
        <v>59</v>
      </c>
      <c r="E1668" s="46">
        <f>IFERROR(VLOOKUP($B1668,'标准费用表-2024年&amp;2025年优化'!$D:$K,8,0)*系数辅助表!$J$6*VLOOKUP('5.成本表'!$D1668,系数辅助表!$C:$G,5,0)/VLOOKUP($D1668,系数辅助表!$C:$E,3,0),0)</f>
        <v>0.228829847257838</v>
      </c>
      <c r="I1668" s="36">
        <f>VLOOKUP($D1668,系数辅助表!$C:$F,4,0)</f>
        <v>0.44289499533730498</v>
      </c>
      <c r="J1668" s="2" t="s">
        <v>200</v>
      </c>
    </row>
    <row r="1669" spans="2:10" x14ac:dyDescent="0.3">
      <c r="B1669" s="47" t="s">
        <v>179</v>
      </c>
      <c r="C1669" t="str">
        <f>VLOOKUP($B1669,'标准费用表-2024年&amp;2025年优化'!$D:$E,2,0)</f>
        <v>江西正大畜禽有限公司高安分公司</v>
      </c>
      <c r="D1669" t="s">
        <v>60</v>
      </c>
      <c r="E1669" s="46">
        <f>IFERROR(VLOOKUP($B1669,'标准费用表-2024年&amp;2025年优化'!$D:$K,8,0)*系数辅助表!$J$6*VLOOKUP('5.成本表'!$D1669,系数辅助表!$C:$G,5,0)/VLOOKUP($D1669,系数辅助表!$C:$E,3,0),0)</f>
        <v>0.151671350333831</v>
      </c>
      <c r="I1669" s="36">
        <f>VLOOKUP($D1669,系数辅助表!$C:$F,4,0)</f>
        <v>0.29355646915769201</v>
      </c>
      <c r="J1669" s="2" t="s">
        <v>200</v>
      </c>
    </row>
    <row r="1670" spans="2:10" x14ac:dyDescent="0.3">
      <c r="B1670" s="47" t="s">
        <v>179</v>
      </c>
      <c r="C1670" t="str">
        <f>VLOOKUP($B1670,'标准费用表-2024年&amp;2025年优化'!$D:$E,2,0)</f>
        <v>江西正大畜禽有限公司高安分公司</v>
      </c>
      <c r="D1670" t="s">
        <v>61</v>
      </c>
      <c r="E1670" s="46">
        <f>IFERROR(VLOOKUP($B1670,'标准费用表-2024年&amp;2025年优化'!$D:$K,8,0)*系数辅助表!$J$6*VLOOKUP('5.成本表'!$D1670,系数辅助表!$C:$G,5,0)/VLOOKUP($D1670,系数辅助表!$C:$E,3,0),0)</f>
        <v>2.6186393856968301E-2</v>
      </c>
      <c r="I1670" s="36">
        <f>VLOOKUP($D1670,系数辅助表!$C:$F,4,0)</f>
        <v>5.0683173214352499E-2</v>
      </c>
      <c r="J1670" s="2" t="s">
        <v>200</v>
      </c>
    </row>
    <row r="1671" spans="2:10" x14ac:dyDescent="0.3">
      <c r="B1671" s="47" t="s">
        <v>179</v>
      </c>
      <c r="C1671" t="str">
        <f>VLOOKUP($B1671,'标准费用表-2024年&amp;2025年优化'!$D:$E,2,0)</f>
        <v>江西正大畜禽有限公司高安分公司</v>
      </c>
      <c r="D1671" t="s">
        <v>62</v>
      </c>
      <c r="E1671" s="46">
        <f>IFERROR(VLOOKUP($B1671,'标准费用表-2024年&amp;2025年优化'!$D:$K,8,0)*系数辅助表!$J$6*VLOOKUP('5.成本表'!$D1671,系数辅助表!$C:$G,5,0)/VLOOKUP($D1671,系数辅助表!$C:$E,3,0),0)</f>
        <v>0.13703882755140701</v>
      </c>
      <c r="I1671" s="36">
        <f>VLOOKUP($D1671,系数辅助表!$C:$F,4,0)</f>
        <v>0.26523555216563399</v>
      </c>
      <c r="J1671" s="2" t="s">
        <v>200</v>
      </c>
    </row>
    <row r="1672" spans="2:10" x14ac:dyDescent="0.3">
      <c r="B1672" s="47" t="s">
        <v>179</v>
      </c>
      <c r="C1672" t="str">
        <f>VLOOKUP($B1672,'标准费用表-2024年&amp;2025年优化'!$D:$E,2,0)</f>
        <v>江西正大畜禽有限公司高安分公司</v>
      </c>
      <c r="D1672" t="s">
        <v>63</v>
      </c>
      <c r="E1672" s="46">
        <f>IFERROR(VLOOKUP($B1672,'标准费用表-2024年&amp;2025年优化'!$D:$K,8,0)*系数辅助表!$J$6*VLOOKUP('5.成本表'!$D1672,系数辅助表!$C:$G,5,0)/VLOOKUP($D1672,系数辅助表!$C:$E,3,0),0)</f>
        <v>0.125751311825885</v>
      </c>
      <c r="I1672" s="36">
        <f>VLOOKUP($D1672,系数辅助表!$C:$F,4,0)</f>
        <v>0.24338882069886</v>
      </c>
      <c r="J1672" s="2" t="s">
        <v>200</v>
      </c>
    </row>
    <row r="1673" spans="2:10" x14ac:dyDescent="0.3">
      <c r="B1673" s="47" t="s">
        <v>179</v>
      </c>
      <c r="C1673" t="str">
        <f>VLOOKUP($B1673,'标准费用表-2024年&amp;2025年优化'!$D:$E,2,0)</f>
        <v>江西正大畜禽有限公司高安分公司</v>
      </c>
      <c r="D1673" t="s">
        <v>64</v>
      </c>
      <c r="E1673" s="46">
        <f>IFERROR(VLOOKUP($B1673,'标准费用表-2024年&amp;2025年优化'!$D:$K,8,0)*系数辅助表!$J$6*VLOOKUP('5.成本表'!$D1673,系数辅助表!$C:$G,5,0)/VLOOKUP($D1673,系数辅助表!$C:$E,3,0),0)</f>
        <v>0.43994234904683499</v>
      </c>
      <c r="I1673" s="36">
        <f>VLOOKUP($D1673,系数辅助表!$C:$F,4,0)</f>
        <v>0.85149846912336002</v>
      </c>
      <c r="J1673" s="2" t="s">
        <v>200</v>
      </c>
    </row>
    <row r="1674" spans="2:10" x14ac:dyDescent="0.3">
      <c r="B1674" s="47" t="s">
        <v>179</v>
      </c>
      <c r="C1674" t="str">
        <f>VLOOKUP($B1674,'标准费用表-2024年&amp;2025年优化'!$D:$E,2,0)</f>
        <v>江西正大畜禽有限公司高安分公司</v>
      </c>
      <c r="D1674" t="s">
        <v>65</v>
      </c>
      <c r="E1674" s="46">
        <f>IFERROR(VLOOKUP($B1674,'标准费用表-2024年&amp;2025年优化'!$D:$K,8,0)*系数辅助表!$J$6*VLOOKUP('5.成本表'!$D1674,系数辅助表!$C:$G,5,0)/VLOOKUP($D1674,系数辅助表!$C:$E,3,0),0)</f>
        <v>0.51529127782798501</v>
      </c>
      <c r="I1674" s="36">
        <f>VLOOKUP($D1674,系数辅助表!$C:$F,4,0)</f>
        <v>0.99733461707829196</v>
      </c>
      <c r="J1674" s="2" t="s">
        <v>200</v>
      </c>
    </row>
    <row r="1675" spans="2:10" x14ac:dyDescent="0.3">
      <c r="B1675" s="47" t="s">
        <v>179</v>
      </c>
      <c r="C1675" t="str">
        <f>VLOOKUP($B1675,'标准费用表-2024年&amp;2025年优化'!$D:$E,2,0)</f>
        <v>江西正大畜禽有限公司高安分公司</v>
      </c>
      <c r="D1675" t="s">
        <v>66</v>
      </c>
      <c r="E1675" s="46">
        <f>IFERROR(VLOOKUP($B1675,'标准费用表-2024年&amp;2025年优化'!$D:$K,8,0)*系数辅助表!$J$6*VLOOKUP('5.成本表'!$D1675,系数辅助表!$C:$G,5,0)/VLOOKUP($D1675,系数辅助表!$C:$E,3,0),0)</f>
        <v>0.14734336456299499</v>
      </c>
      <c r="I1675" s="36">
        <f>VLOOKUP($D1675,系数辅助表!$C:$F,4,0)</f>
        <v>0.28517975055754302</v>
      </c>
      <c r="J1675" s="2" t="s">
        <v>200</v>
      </c>
    </row>
    <row r="1676" spans="2:10" x14ac:dyDescent="0.3">
      <c r="B1676" s="47" t="s">
        <v>179</v>
      </c>
      <c r="C1676" t="str">
        <f>VLOOKUP($B1676,'标准费用表-2024年&amp;2025年优化'!$D:$E,2,0)</f>
        <v>江西正大畜禽有限公司高安分公司</v>
      </c>
      <c r="D1676" t="s">
        <v>67</v>
      </c>
      <c r="E1676" s="46">
        <f>IFERROR(VLOOKUP($B1676,'标准费用表-2024年&amp;2025年优化'!$D:$K,8,0)*系数辅助表!$J$6*VLOOKUP('5.成本表'!$D1676,系数辅助表!$C:$G,5,0)/VLOOKUP($D1676,系数辅助表!$C:$E,3,0),0)</f>
        <v>4.3838622955566703E-2</v>
      </c>
      <c r="I1676" s="36">
        <f>VLOOKUP($D1676,系数辅助表!$C:$F,4,0)</f>
        <v>8.4848663503333893E-2</v>
      </c>
      <c r="J1676" s="2" t="s">
        <v>200</v>
      </c>
    </row>
    <row r="1677" spans="2:10" x14ac:dyDescent="0.3">
      <c r="B1677" s="47" t="s">
        <v>179</v>
      </c>
      <c r="C1677" t="str">
        <f>VLOOKUP($B1677,'标准费用表-2024年&amp;2025年优化'!$D:$E,2,0)</f>
        <v>江西正大畜禽有限公司高安分公司</v>
      </c>
      <c r="D1677" t="s">
        <v>68</v>
      </c>
      <c r="E1677" s="36">
        <f>IFERROR(VLOOKUP($B1677,'标准费用表-2024年&amp;2025年优化'!$D:$K,8,0)*VLOOKUP("白条",系数辅助表!$C:$G,5,0)*VLOOKUP('5.成本表'!$D1677,系数辅助表!$C:$G,5,0)/VLOOKUP('5.成本表'!$D1677,系数辅助表!$C:$E,3,0),)</f>
        <v>1.0683087406065901</v>
      </c>
      <c r="F1677" s="36">
        <f>IFERROR(VLOOKUP($B1677,'标准费用表-2024年&amp;2025年优化'!$D:$L,9,0)*VLOOKUP('5.成本表'!$D1677,系数辅助表!$C:$G,5,0)/VLOOKUP($D1677,系数辅助表!$C:$E,3,0),0)</f>
        <v>0</v>
      </c>
      <c r="I1677" s="36">
        <f>VLOOKUP($D1677,系数辅助表!$C:$F,4,0)</f>
        <v>2.2799999999999998</v>
      </c>
      <c r="J1677" s="2" t="s">
        <v>69</v>
      </c>
    </row>
    <row r="1678" spans="2:10" x14ac:dyDescent="0.3">
      <c r="B1678" s="47" t="s">
        <v>179</v>
      </c>
      <c r="C1678" t="str">
        <f>VLOOKUP($B1678,'标准费用表-2024年&amp;2025年优化'!$D:$E,2,0)</f>
        <v>江西正大畜禽有限公司高安分公司</v>
      </c>
      <c r="D1678" t="s">
        <v>70</v>
      </c>
      <c r="E1678" s="36">
        <f>IFERROR(VLOOKUP($B1678,'标准费用表-2024年&amp;2025年优化'!$D:$K,8,0)*VLOOKUP("白条",系数辅助表!$C:$G,5,0)*VLOOKUP('5.成本表'!$D1678,系数辅助表!$C:$G,5,0)/VLOOKUP('5.成本表'!$D1678,系数辅助表!$C:$E,3,0),)</f>
        <v>0.71395041343908705</v>
      </c>
      <c r="F1678" s="36">
        <f>IFERROR(VLOOKUP($B1678,'标准费用表-2024年&amp;2025年优化'!$D:$L,9,0)*VLOOKUP('5.成本表'!$D1678,系数辅助表!$C:$G,5,0)/VLOOKUP($D1678,系数辅助表!$C:$E,3,0),0)</f>
        <v>0</v>
      </c>
      <c r="I1678" s="36">
        <f>VLOOKUP($D1678,系数辅助表!$C:$F,4,0)</f>
        <v>1.5237233215154999</v>
      </c>
      <c r="J1678" s="2" t="s">
        <v>69</v>
      </c>
    </row>
    <row r="1679" spans="2:10" x14ac:dyDescent="0.3">
      <c r="B1679" s="47" t="s">
        <v>179</v>
      </c>
      <c r="C1679" t="str">
        <f>VLOOKUP($B1679,'标准费用表-2024年&amp;2025年优化'!$D:$E,2,0)</f>
        <v>江西正大畜禽有限公司高安分公司</v>
      </c>
      <c r="D1679" t="s">
        <v>71</v>
      </c>
      <c r="E1679" s="36">
        <f>IFERROR(VLOOKUP($B1679,'标准费用表-2024年&amp;2025年优化'!$D:$K,8,0)*VLOOKUP("白条",系数辅助表!$C:$G,5,0)*VLOOKUP('5.成本表'!$D1679,系数辅助表!$C:$G,5,0)/VLOOKUP('5.成本表'!$D1679,系数辅助表!$C:$E,3,0),)</f>
        <v>1.88952723305132</v>
      </c>
      <c r="F1679" s="36">
        <f>IFERROR(VLOOKUP($B1679,'标准费用表-2024年&amp;2025年优化'!$D:$L,9,0)*VLOOKUP('5.成本表'!$D1679,系数辅助表!$C:$G,5,0)/VLOOKUP($D1679,系数辅助表!$C:$E,3,0),0)</f>
        <v>0</v>
      </c>
      <c r="I1679" s="36">
        <f>VLOOKUP($D1679,系数辅助表!$C:$F,4,0)</f>
        <v>4.0326564106466396</v>
      </c>
      <c r="J1679" s="2" t="s">
        <v>69</v>
      </c>
    </row>
    <row r="1680" spans="2:10" x14ac:dyDescent="0.3">
      <c r="B1680" s="47" t="s">
        <v>179</v>
      </c>
      <c r="C1680" t="str">
        <f>VLOOKUP($B1680,'标准费用表-2024年&amp;2025年优化'!$D:$E,2,0)</f>
        <v>江西正大畜禽有限公司高安分公司</v>
      </c>
      <c r="D1680" t="s">
        <v>72</v>
      </c>
      <c r="E1680" s="36">
        <f>IFERROR(VLOOKUP($B1680,'标准费用表-2024年&amp;2025年优化'!$D:$K,8,0)*VLOOKUP("白条",系数辅助表!$C:$G,5,0)*VLOOKUP('5.成本表'!$D1680,系数辅助表!$C:$G,5,0)/VLOOKUP('5.成本表'!$D1680,系数辅助表!$C:$E,3,0),)</f>
        <v>1.10044233065324</v>
      </c>
      <c r="F1680" s="36">
        <f>IFERROR(VLOOKUP($B1680,'标准费用表-2024年&amp;2025年优化'!$D:$L,9,0)*VLOOKUP('5.成本表'!$D1680,系数辅助表!$C:$G,5,0)/VLOOKUP($D1680,系数辅助表!$C:$E,3,0),0)</f>
        <v>0</v>
      </c>
      <c r="I1680" s="36">
        <f>VLOOKUP($D1680,系数辅助表!$C:$F,4,0)</f>
        <v>2.34857997367385</v>
      </c>
      <c r="J1680" s="2" t="s">
        <v>69</v>
      </c>
    </row>
    <row r="1681" spans="2:10" x14ac:dyDescent="0.3">
      <c r="B1681" s="47" t="s">
        <v>179</v>
      </c>
      <c r="C1681" t="str">
        <f>VLOOKUP($B1681,'标准费用表-2024年&amp;2025年优化'!$D:$E,2,0)</f>
        <v>江西正大畜禽有限公司高安分公司</v>
      </c>
      <c r="D1681" t="s">
        <v>73</v>
      </c>
      <c r="E1681" s="36">
        <f>IFERROR(VLOOKUP($B1681,'标准费用表-2024年&amp;2025年优化'!$D:$K,8,0)*VLOOKUP("白条",系数辅助表!$C:$G,5,0)*VLOOKUP('5.成本表'!$D1681,系数辅助表!$C:$G,5,0)/VLOOKUP('5.成本表'!$D1681,系数辅助表!$C:$E,3,0),)</f>
        <v>0.66107550992494901</v>
      </c>
      <c r="F1681" s="36">
        <f>IFERROR(VLOOKUP($B1681,'标准费用表-2024年&amp;2025年优化'!$D:$L,9,0)*VLOOKUP('5.成本表'!$D1681,系数辅助表!$C:$G,5,0)/VLOOKUP($D1681,系数辅助表!$C:$E,3,0),0)</f>
        <v>0</v>
      </c>
      <c r="I1681" s="36">
        <f>VLOOKUP($D1681,系数辅助表!$C:$F,4,0)</f>
        <v>1.41087693598112</v>
      </c>
      <c r="J1681" s="2" t="s">
        <v>69</v>
      </c>
    </row>
    <row r="1682" spans="2:10" x14ac:dyDescent="0.3">
      <c r="B1682" s="47" t="s">
        <v>179</v>
      </c>
      <c r="C1682" t="str">
        <f>VLOOKUP($B1682,'标准费用表-2024年&amp;2025年优化'!$D:$E,2,0)</f>
        <v>江西正大畜禽有限公司高安分公司</v>
      </c>
      <c r="D1682" t="s">
        <v>74</v>
      </c>
      <c r="E1682" s="36">
        <f>IFERROR(VLOOKUP($B1682,'标准费用表-2024年&amp;2025年优化'!$D:$K,8,0)*VLOOKUP("白条",系数辅助表!$C:$G,5,0)*VLOOKUP('5.成本表'!$D1682,系数辅助表!$C:$G,5,0)/VLOOKUP('5.成本表'!$D1682,系数辅助表!$C:$E,3,0),)</f>
        <v>0.89264799879009005</v>
      </c>
      <c r="F1682" s="36">
        <f>IFERROR(VLOOKUP($B1682,'标准费用表-2024年&amp;2025年优化'!$D:$L,9,0)*VLOOKUP('5.成本表'!$D1682,系数辅助表!$C:$G,5,0)/VLOOKUP($D1682,系数辅助表!$C:$E,3,0),0)</f>
        <v>0</v>
      </c>
      <c r="I1682" s="36">
        <f>VLOOKUP($D1682,系数辅助表!$C:$F,4,0)</f>
        <v>1.9051022985038799</v>
      </c>
      <c r="J1682" s="2" t="s">
        <v>69</v>
      </c>
    </row>
    <row r="1683" spans="2:10" x14ac:dyDescent="0.3">
      <c r="B1683" s="47" t="s">
        <v>179</v>
      </c>
      <c r="C1683" t="str">
        <f>VLOOKUP($B1683,'标准费用表-2024年&amp;2025年优化'!$D:$E,2,0)</f>
        <v>江西正大畜禽有限公司高安分公司</v>
      </c>
      <c r="D1683" t="s">
        <v>75</v>
      </c>
      <c r="E1683" s="36">
        <f>IFERROR(VLOOKUP($B1683,'标准费用表-2024年&amp;2025年优化'!$D:$K,8,0)*VLOOKUP("白条",系数辅助表!$C:$G,5,0)*VLOOKUP('5.成本表'!$D1683,系数辅助表!$C:$G,5,0)/VLOOKUP('5.成本表'!$D1683,系数辅助表!$C:$E,3,0),)</f>
        <v>0.66840326253701599</v>
      </c>
      <c r="F1683" s="36">
        <f>IFERROR(VLOOKUP($B1683,'标准费用表-2024年&amp;2025年优化'!$D:$L,9,0)*VLOOKUP('5.成本表'!$D1683,系数辅助表!$C:$G,5,0)/VLOOKUP($D1683,系数辅助表!$C:$E,3,0),0)</f>
        <v>0</v>
      </c>
      <c r="I1683" s="36">
        <f>VLOOKUP($D1683,系数辅助表!$C:$F,4,0)</f>
        <v>1.42651593182611</v>
      </c>
      <c r="J1683" s="2" t="s">
        <v>69</v>
      </c>
    </row>
    <row r="1684" spans="2:10" x14ac:dyDescent="0.3">
      <c r="B1684" s="47" t="s">
        <v>179</v>
      </c>
      <c r="C1684" t="str">
        <f>VLOOKUP($B1684,'标准费用表-2024年&amp;2025年优化'!$D:$E,2,0)</f>
        <v>江西正大畜禽有限公司高安分公司</v>
      </c>
      <c r="D1684" t="s">
        <v>76</v>
      </c>
      <c r="E1684" s="36">
        <f>IFERROR(VLOOKUP($B1684,'标准费用表-2024年&amp;2025年优化'!$D:$K,8,0)*VLOOKUP("白条",系数辅助表!$C:$G,5,0)*VLOOKUP('5.成本表'!$D1684,系数辅助表!$C:$G,5,0)/VLOOKUP('5.成本表'!$D1684,系数辅助表!$C:$E,3,0),)</f>
        <v>0.68108552062143501</v>
      </c>
      <c r="F1684" s="36">
        <f>IFERROR(VLOOKUP($B1684,'标准费用表-2024年&amp;2025年优化'!$D:$L,9,0)*VLOOKUP('5.成本表'!$D1684,系数辅助表!$C:$G,5,0)/VLOOKUP($D1684,系数辅助表!$C:$E,3,0),0)</f>
        <v>0</v>
      </c>
      <c r="I1684" s="36">
        <f>VLOOKUP($D1684,系数辅助表!$C:$F,4,0)</f>
        <v>1.4535825908670701</v>
      </c>
      <c r="J1684" s="2" t="s">
        <v>69</v>
      </c>
    </row>
    <row r="1685" spans="2:10" x14ac:dyDescent="0.3">
      <c r="B1685" s="47" t="s">
        <v>179</v>
      </c>
      <c r="C1685" t="str">
        <f>VLOOKUP($B1685,'标准费用表-2024年&amp;2025年优化'!$D:$E,2,0)</f>
        <v>江西正大畜禽有限公司高安分公司</v>
      </c>
      <c r="D1685" t="s">
        <v>77</v>
      </c>
      <c r="E1685" s="36">
        <f>IFERROR(VLOOKUP($B1685,'标准费用表-2024年&amp;2025年优化'!$D:$K,8,0)*VLOOKUP("白条",系数辅助表!$C:$G,5,0)*VLOOKUP('5.成本表'!$D1685,系数辅助表!$C:$G,5,0)/VLOOKUP('5.成本表'!$D1685,系数辅助表!$C:$E,3,0),)</f>
        <v>0.67520773386079402</v>
      </c>
      <c r="F1685" s="36">
        <f>IFERROR(VLOOKUP($B1685,'标准费用表-2024年&amp;2025年优化'!$D:$L,9,0)*VLOOKUP('5.成本表'!$D1685,系数辅助表!$C:$G,5,0)/VLOOKUP($D1685,系数辅助表!$C:$E,3,0),0)</f>
        <v>0</v>
      </c>
      <c r="I1685" s="36">
        <f>VLOOKUP($D1685,系数辅助表!$C:$F,4,0)</f>
        <v>1.4410381331603499</v>
      </c>
      <c r="J1685" s="2" t="s">
        <v>69</v>
      </c>
    </row>
    <row r="1686" spans="2:10" x14ac:dyDescent="0.3">
      <c r="B1686" s="47" t="s">
        <v>179</v>
      </c>
      <c r="C1686" t="str">
        <f>VLOOKUP($B1686,'标准费用表-2024年&amp;2025年优化'!$D:$E,2,0)</f>
        <v>江西正大畜禽有限公司高安分公司</v>
      </c>
      <c r="D1686" t="s">
        <v>78</v>
      </c>
      <c r="E1686" s="36">
        <f>IFERROR(VLOOKUP($B1686,'标准费用表-2024年&amp;2025年优化'!$D:$K,8,0)*VLOOKUP("白条",系数辅助表!$C:$G,5,0)*VLOOKUP('5.成本表'!$D1686,系数辅助表!$C:$G,5,0)/VLOOKUP('5.成本表'!$D1686,系数辅助表!$C:$E,3,0),)</f>
        <v>0.57905736828497001</v>
      </c>
      <c r="F1686" s="36">
        <f>IFERROR(VLOOKUP($B1686,'标准费用表-2024年&amp;2025年优化'!$D:$L,9,0)*VLOOKUP('5.成本表'!$D1686,系数辅助表!$C:$G,5,0)/VLOOKUP($D1686,系数辅助表!$C:$E,3,0),0)</f>
        <v>0</v>
      </c>
      <c r="I1686" s="36">
        <f>VLOOKUP($D1686,系数辅助表!$C:$F,4,0)</f>
        <v>1.2358326291892801</v>
      </c>
      <c r="J1686" s="2" t="s">
        <v>69</v>
      </c>
    </row>
    <row r="1687" spans="2:10" x14ac:dyDescent="0.3">
      <c r="B1687" s="47" t="s">
        <v>179</v>
      </c>
      <c r="C1687" t="str">
        <f>VLOOKUP($B1687,'标准费用表-2024年&amp;2025年优化'!$D:$E,2,0)</f>
        <v>江西正大畜禽有限公司高安分公司</v>
      </c>
      <c r="D1687" t="s">
        <v>79</v>
      </c>
      <c r="E1687" s="36">
        <f>IFERROR(VLOOKUP($B1687,'标准费用表-2024年&amp;2025年优化'!$D:$K,8,0)*VLOOKUP("白条",系数辅助表!$C:$G,5,0)*VLOOKUP('5.成本表'!$D1687,系数辅助表!$C:$G,5,0)/VLOOKUP('5.成本表'!$D1687,系数辅助表!$C:$E,3,0),)</f>
        <v>0.40446591519480901</v>
      </c>
      <c r="F1687" s="36">
        <f>IFERROR(VLOOKUP($B1687,'标准费用表-2024年&amp;2025年优化'!$D:$L,9,0)*VLOOKUP('5.成本表'!$D1687,系数辅助表!$C:$G,5,0)/VLOOKUP($D1687,系数辅助表!$C:$E,3,0),0)</f>
        <v>0</v>
      </c>
      <c r="I1687" s="36">
        <f>VLOOKUP($D1687,系数辅助表!$C:$F,4,0)</f>
        <v>0.86321701919291904</v>
      </c>
      <c r="J1687" s="2" t="s">
        <v>69</v>
      </c>
    </row>
    <row r="1688" spans="2:10" x14ac:dyDescent="0.3">
      <c r="B1688" s="47" t="s">
        <v>179</v>
      </c>
      <c r="C1688" t="str">
        <f>VLOOKUP($B1688,'标准费用表-2024年&amp;2025年优化'!$D:$E,2,0)</f>
        <v>江西正大畜禽有限公司高安分公司</v>
      </c>
      <c r="D1688" t="s">
        <v>80</v>
      </c>
      <c r="E1688" s="36">
        <f>IFERROR(VLOOKUP($B1688,'标准费用表-2024年&amp;2025年优化'!$D:$K,8,0)*VLOOKUP("白条",系数辅助表!$C:$G,5,0)*VLOOKUP('5.成本表'!$D1688,系数辅助表!$C:$G,5,0)/VLOOKUP('5.成本表'!$D1688,系数辅助表!$C:$E,3,0),)</f>
        <v>0.37338043108116797</v>
      </c>
      <c r="F1688" s="36">
        <f>IFERROR(VLOOKUP($B1688,'标准费用表-2024年&amp;2025年优化'!$D:$L,9,0)*VLOOKUP('5.成本表'!$D1688,系数辅助表!$C:$G,5,0)/VLOOKUP($D1688,系数辅助表!$C:$E,3,0),0)</f>
        <v>0</v>
      </c>
      <c r="I1688" s="36">
        <f>VLOOKUP($D1688,系数辅助表!$C:$F,4,0)</f>
        <v>0.796873928394225</v>
      </c>
      <c r="J1688" s="2" t="s">
        <v>69</v>
      </c>
    </row>
    <row r="1689" spans="2:10" x14ac:dyDescent="0.3">
      <c r="B1689" s="47" t="s">
        <v>179</v>
      </c>
      <c r="C1689" t="str">
        <f>VLOOKUP($B1689,'标准费用表-2024年&amp;2025年优化'!$D:$E,2,0)</f>
        <v>江西正大畜禽有限公司高安分公司</v>
      </c>
      <c r="D1689" t="s">
        <v>81</v>
      </c>
      <c r="E1689" s="36">
        <f>IFERROR(VLOOKUP($B1689,'标准费用表-2024年&amp;2025年优化'!$D:$K,8,0)*VLOOKUP("白条",系数辅助表!$C:$G,5,0)*VLOOKUP('5.成本表'!$D1689,系数辅助表!$C:$G,5,0)/VLOOKUP('5.成本表'!$D1689,系数辅助表!$C:$E,3,0),)</f>
        <v>0.51485392502684901</v>
      </c>
      <c r="F1689" s="36">
        <f>IFERROR(VLOOKUP($B1689,'标准费用表-2024年&amp;2025年优化'!$D:$L,9,0)*VLOOKUP('5.成本表'!$D1689,系数辅助表!$C:$G,5,0)/VLOOKUP($D1689,系数辅助表!$C:$E,3,0),0)</f>
        <v>0</v>
      </c>
      <c r="I1689" s="36">
        <f>VLOOKUP($D1689,系数辅助表!$C:$F,4,0)</f>
        <v>1.09880870991909</v>
      </c>
      <c r="J1689" s="2" t="s">
        <v>69</v>
      </c>
    </row>
    <row r="1690" spans="2:10" x14ac:dyDescent="0.3">
      <c r="B1690" s="47" t="s">
        <v>179</v>
      </c>
      <c r="C1690" t="str">
        <f>VLOOKUP($B1690,'标准费用表-2024年&amp;2025年优化'!$D:$E,2,0)</f>
        <v>江西正大畜禽有限公司高安分公司</v>
      </c>
      <c r="D1690" t="s">
        <v>82</v>
      </c>
      <c r="E1690" s="36">
        <f>IFERROR(VLOOKUP($B1690,'标准费用表-2024年&amp;2025年优化'!$D:$K,8,0)*VLOOKUP("白条",系数辅助表!$C:$G,5,0)*VLOOKUP('5.成本表'!$D1690,系数辅助表!$C:$G,5,0)/VLOOKUP('5.成本表'!$D1690,系数辅助表!$C:$E,3,0),)</f>
        <v>0.46910527217220799</v>
      </c>
      <c r="F1690" s="36">
        <f>IFERROR(VLOOKUP($B1690,'标准费用表-2024年&amp;2025年优化'!$D:$L,9,0)*VLOOKUP('5.成本表'!$D1690,系数辅助表!$C:$G,5,0)/VLOOKUP($D1690,系数辅助表!$C:$E,3,0),0)</f>
        <v>0</v>
      </c>
      <c r="I1690" s="36">
        <f>VLOOKUP($D1690,系数辅助表!$C:$F,4,0)</f>
        <v>1.0011712718416299</v>
      </c>
      <c r="J1690" s="2" t="s">
        <v>69</v>
      </c>
    </row>
    <row r="1691" spans="2:10" x14ac:dyDescent="0.3">
      <c r="B1691" s="47" t="s">
        <v>179</v>
      </c>
      <c r="C1691" t="str">
        <f>VLOOKUP($B1691,'标准费用表-2024年&amp;2025年优化'!$D:$E,2,0)</f>
        <v>江西正大畜禽有限公司高安分公司</v>
      </c>
      <c r="D1691" t="s">
        <v>83</v>
      </c>
      <c r="E1691" s="36">
        <f>IFERROR(VLOOKUP($B1691,'标准费用表-2024年&amp;2025年优化'!$D:$K,8,0)*VLOOKUP("白条",系数辅助表!$C:$G,5,0)*VLOOKUP('5.成本表'!$D1691,系数辅助表!$C:$G,5,0)/VLOOKUP('5.成本表'!$D1691,系数辅助表!$C:$E,3,0),)</f>
        <v>0.421866109828548</v>
      </c>
      <c r="F1691" s="36">
        <f>IFERROR(VLOOKUP($B1691,'标准费用表-2024年&amp;2025年优化'!$D:$L,9,0)*VLOOKUP('5.成本表'!$D1691,系数辅助表!$C:$G,5,0)/VLOOKUP($D1691,系数辅助表!$C:$E,3,0),0)</f>
        <v>0</v>
      </c>
      <c r="I1691" s="36">
        <f>VLOOKUP($D1691,系数辅助表!$C:$F,4,0)</f>
        <v>0.90035276680685095</v>
      </c>
      <c r="J1691" s="2" t="s">
        <v>69</v>
      </c>
    </row>
    <row r="1692" spans="2:10" x14ac:dyDescent="0.3">
      <c r="B1692" s="47" t="s">
        <v>179</v>
      </c>
      <c r="C1692" t="str">
        <f>VLOOKUP($B1692,'标准费用表-2024年&amp;2025年优化'!$D:$E,2,0)</f>
        <v>江西正大畜禽有限公司高安分公司</v>
      </c>
      <c r="D1692" t="s">
        <v>84</v>
      </c>
      <c r="E1692" s="36">
        <f>IFERROR(VLOOKUP($B1692,'标准费用表-2024年&amp;2025年优化'!$D:$K,8,0)*VLOOKUP("白条",系数辅助表!$C:$G,5,0)*VLOOKUP('5.成本表'!$D1692,系数辅助表!$C:$G,5,0)/VLOOKUP('5.成本表'!$D1692,系数辅助表!$C:$E,3,0),)</f>
        <v>0.42372941173230999</v>
      </c>
      <c r="F1692" s="36">
        <f>IFERROR(VLOOKUP($B1692,'标准费用表-2024年&amp;2025年优化'!$D:$L,9,0)*VLOOKUP('5.成本表'!$D1692,系数辅助表!$C:$G,5,0)/VLOOKUP($D1692,系数辅助表!$C:$E,3,0),0)</f>
        <v>0</v>
      </c>
      <c r="I1692" s="36">
        <f>VLOOKUP($D1692,系数辅助表!$C:$F,4,0)</f>
        <v>0.90432945273957599</v>
      </c>
      <c r="J1692" s="2" t="s">
        <v>69</v>
      </c>
    </row>
    <row r="1693" spans="2:10" x14ac:dyDescent="0.3">
      <c r="B1693" s="47" t="s">
        <v>179</v>
      </c>
      <c r="C1693" t="str">
        <f>VLOOKUP($B1693,'标准费用表-2024年&amp;2025年优化'!$D:$E,2,0)</f>
        <v>江西正大畜禽有限公司高安分公司</v>
      </c>
      <c r="D1693" t="s">
        <v>85</v>
      </c>
      <c r="E1693" s="36">
        <f>IFERROR(VLOOKUP($B1693,'标准费用表-2024年&amp;2025年优化'!$D:$K,8,0)*VLOOKUP("白条",系数辅助表!$C:$G,5,0)*VLOOKUP('5.成本表'!$D1693,系数辅助表!$C:$G,5,0)/VLOOKUP('5.成本表'!$D1693,系数辅助表!$C:$E,3,0),)</f>
        <v>0.52683329437943804</v>
      </c>
      <c r="F1693" s="36">
        <f>IFERROR(VLOOKUP($B1693,'标准费用表-2024年&amp;2025年优化'!$D:$L,9,0)*VLOOKUP('5.成本表'!$D1693,系数辅助表!$C:$G,5,0)/VLOOKUP($D1693,系数辅助表!$C:$E,3,0),0)</f>
        <v>0</v>
      </c>
      <c r="I1693" s="36">
        <f>VLOOKUP($D1693,系数辅助表!$C:$F,4,0)</f>
        <v>1.12437525363977</v>
      </c>
      <c r="J1693" s="2" t="s">
        <v>69</v>
      </c>
    </row>
    <row r="1694" spans="2:10" x14ac:dyDescent="0.3">
      <c r="B1694" s="47" t="s">
        <v>179</v>
      </c>
      <c r="C1694" t="str">
        <f>VLOOKUP($B1694,'标准费用表-2024年&amp;2025年优化'!$D:$E,2,0)</f>
        <v>江西正大畜禽有限公司高安分公司</v>
      </c>
      <c r="D1694" t="s">
        <v>86</v>
      </c>
      <c r="E1694" s="36">
        <f>IFERROR(VLOOKUP($B1694,'标准费用表-2024年&amp;2025年优化'!$D:$K,8,0)*VLOOKUP("白条",系数辅助表!$C:$G,5,0)*VLOOKUP('5.成本表'!$D1694,系数辅助表!$C:$G,5,0)/VLOOKUP('5.成本表'!$D1694,系数辅助表!$C:$E,3,0),)</f>
        <v>0.46067182351903002</v>
      </c>
      <c r="F1694" s="36">
        <f>IFERROR(VLOOKUP($B1694,'标准费用表-2024年&amp;2025年优化'!$D:$L,9,0)*VLOOKUP('5.成本表'!$D1694,系数辅助表!$C:$G,5,0)/VLOOKUP($D1694,系数辅助表!$C:$E,3,0),0)</f>
        <v>0</v>
      </c>
      <c r="I1694" s="36">
        <f>VLOOKUP($D1694,系数辅助表!$C:$F,4,0)</f>
        <v>0.98317248347795105</v>
      </c>
      <c r="J1694" s="2" t="s">
        <v>69</v>
      </c>
    </row>
    <row r="1695" spans="2:10" x14ac:dyDescent="0.3">
      <c r="B1695" s="47" t="s">
        <v>179</v>
      </c>
      <c r="C1695" t="str">
        <f>VLOOKUP($B1695,'标准费用表-2024年&amp;2025年优化'!$D:$E,2,0)</f>
        <v>江西正大畜禽有限公司高安分公司</v>
      </c>
      <c r="D1695" t="s">
        <v>87</v>
      </c>
      <c r="E1695" s="36">
        <f>IFERROR(VLOOKUP($B1695,'标准费用表-2024年&amp;2025年优化'!$D:$K,8,0)*VLOOKUP("白条",系数辅助表!$C:$G,5,0)*VLOOKUP('5.成本表'!$D1695,系数辅助表!$C:$G,5,0)/VLOOKUP('5.成本表'!$D1695,系数辅助表!$C:$E,3,0),)</f>
        <v>0.33366126646562799</v>
      </c>
      <c r="F1695" s="36">
        <f>IFERROR(VLOOKUP($B1695,'标准费用表-2024年&amp;2025年优化'!$D:$L,9,0)*VLOOKUP('5.成本表'!$D1695,系数辅助表!$C:$G,5,0)/VLOOKUP($D1695,系数辅助表!$C:$E,3,0),0)</f>
        <v>0</v>
      </c>
      <c r="I1695" s="36">
        <f>VLOOKUP($D1695,系数辅助表!$C:$F,4,0)</f>
        <v>0.71210471151782795</v>
      </c>
      <c r="J1695" s="2" t="s">
        <v>69</v>
      </c>
    </row>
    <row r="1696" spans="2:10" x14ac:dyDescent="0.3">
      <c r="B1696" s="47" t="s">
        <v>179</v>
      </c>
      <c r="C1696" t="str">
        <f>VLOOKUP($B1696,'标准费用表-2024年&amp;2025年优化'!$D:$E,2,0)</f>
        <v>江西正大畜禽有限公司高安分公司</v>
      </c>
      <c r="D1696" t="s">
        <v>88</v>
      </c>
      <c r="E1696" s="36">
        <f>IFERROR(VLOOKUP($B1696,'标准费用表-2024年&amp;2025年优化'!$D:$K,8,0)*VLOOKUP("白条",系数辅助表!$C:$G,5,0)*VLOOKUP('5.成本表'!$D1696,系数辅助表!$C:$G,5,0)/VLOOKUP('5.成本表'!$D1696,系数辅助表!$C:$E,3,0),)</f>
        <v>1.2602253468139399</v>
      </c>
      <c r="F1696" s="36">
        <f>IFERROR(VLOOKUP($B1696,'标准费用表-2024年&amp;2025年优化'!$D:$L,9,0)*VLOOKUP('5.成本表'!$D1696,系数辅助表!$C:$G,5,0)/VLOOKUP($D1696,系数辅助表!$C:$E,3,0),0)</f>
        <v>0</v>
      </c>
      <c r="I1696" s="36">
        <f>VLOOKUP($D1696,系数辅助表!$C:$F,4,0)</f>
        <v>2.6895912029178799</v>
      </c>
      <c r="J1696" s="2" t="s">
        <v>69</v>
      </c>
    </row>
    <row r="1697" spans="2:10" x14ac:dyDescent="0.3">
      <c r="B1697" s="47" t="s">
        <v>179</v>
      </c>
      <c r="C1697" t="str">
        <f>VLOOKUP($B1697,'标准费用表-2024年&amp;2025年优化'!$D:$E,2,0)</f>
        <v>江西正大畜禽有限公司高安分公司</v>
      </c>
      <c r="D1697" t="s">
        <v>89</v>
      </c>
      <c r="E1697" s="36">
        <f>IFERROR(VLOOKUP($B1697,'标准费用表-2024年&amp;2025年优化'!$D:$K,8,0)*VLOOKUP("白条",系数辅助表!$C:$G,5,0)*VLOOKUP('5.成本表'!$D1697,系数辅助表!$C:$G,5,0)/VLOOKUP('5.成本表'!$D1697,系数辅助表!$C:$E,3,0),)</f>
        <v>0.54201640795001804</v>
      </c>
      <c r="F1697" s="36">
        <f>IFERROR(VLOOKUP($B1697,'标准费用表-2024年&amp;2025年优化'!$D:$L,9,0)*VLOOKUP('5.成本表'!$D1697,系数辅助表!$C:$G,5,0)/VLOOKUP($D1697,系数辅助表!$C:$E,3,0),0)</f>
        <v>0</v>
      </c>
      <c r="I1697" s="36">
        <f>VLOOKUP($D1697,系数辅助表!$C:$F,4,0)</f>
        <v>1.1567792747107399</v>
      </c>
      <c r="J1697" s="2" t="s">
        <v>69</v>
      </c>
    </row>
    <row r="1698" spans="2:10" x14ac:dyDescent="0.3">
      <c r="B1698" s="47" t="s">
        <v>179</v>
      </c>
      <c r="C1698" t="str">
        <f>VLOOKUP($B1698,'标准费用表-2024年&amp;2025年优化'!$D:$E,2,0)</f>
        <v>江西正大畜禽有限公司高安分公司</v>
      </c>
      <c r="D1698" t="s">
        <v>90</v>
      </c>
      <c r="E1698" s="36">
        <f>IFERROR(VLOOKUP($B1698,'标准费用表-2024年&amp;2025年优化'!$D:$K,8,0)*VLOOKUP("白条",系数辅助表!$C:$G,5,0)*VLOOKUP('5.成本表'!$D1698,系数辅助表!$C:$G,5,0)/VLOOKUP('5.成本表'!$D1698,系数辅助表!$C:$E,3,0),)</f>
        <v>0.34250465203979302</v>
      </c>
      <c r="F1698" s="36">
        <f>IFERROR(VLOOKUP($B1698,'标准费用表-2024年&amp;2025年优化'!$D:$L,9,0)*VLOOKUP('5.成本表'!$D1698,系数辅助表!$C:$G,5,0)/VLOOKUP($D1698,系数辅助表!$C:$E,3,0),0)</f>
        <v>0</v>
      </c>
      <c r="I1698" s="36">
        <f>VLOOKUP($D1698,系数辅助表!$C:$F,4,0)</f>
        <v>0.73097839320056501</v>
      </c>
      <c r="J1698" s="2" t="s">
        <v>69</v>
      </c>
    </row>
    <row r="1699" spans="2:10" x14ac:dyDescent="0.3">
      <c r="B1699" s="47" t="s">
        <v>179</v>
      </c>
      <c r="C1699" t="str">
        <f>VLOOKUP($B1699,'标准费用表-2024年&amp;2025年优化'!$D:$E,2,0)</f>
        <v>江西正大畜禽有限公司高安分公司</v>
      </c>
      <c r="D1699" t="s">
        <v>91</v>
      </c>
      <c r="E1699" s="36">
        <f>IFERROR(VLOOKUP($B1699,'标准费用表-2024年&amp;2025年优化'!$D:$K,8,0)*VLOOKUP("白条",系数辅助表!$C:$G,5,0)*VLOOKUP('5.成本表'!$D1699,系数辅助表!$C:$G,5,0)/VLOOKUP('5.成本表'!$D1699,系数辅助表!$C:$E,3,0),)</f>
        <v>0.28398954252761399</v>
      </c>
      <c r="F1699" s="36">
        <f>IFERROR(VLOOKUP($B1699,'标准费用表-2024年&amp;2025年优化'!$D:$L,9,0)*VLOOKUP('5.成本表'!$D1699,系数辅助表!$C:$G,5,0)/VLOOKUP($D1699,系数辅助表!$C:$E,3,0),0)</f>
        <v>0</v>
      </c>
      <c r="I1699" s="36">
        <f>VLOOKUP($D1699,系数辅助表!$C:$F,4,0)</f>
        <v>0.60609459826688905</v>
      </c>
      <c r="J1699" s="2" t="s">
        <v>69</v>
      </c>
    </row>
    <row r="1700" spans="2:10" x14ac:dyDescent="0.3">
      <c r="B1700" s="47" t="s">
        <v>179</v>
      </c>
      <c r="C1700" t="str">
        <f>VLOOKUP($B1700,'标准费用表-2024年&amp;2025年优化'!$D:$E,2,0)</f>
        <v>江西正大畜禽有限公司高安分公司</v>
      </c>
      <c r="D1700" t="s">
        <v>92</v>
      </c>
      <c r="E1700" s="36">
        <f>IFERROR(VLOOKUP($B1700,'标准费用表-2024年&amp;2025年优化'!$D:$K,8,0)*VLOOKUP("白条",系数辅助表!$C:$G,5,0)*VLOOKUP('5.成本表'!$D1700,系数辅助表!$C:$G,5,0)/VLOOKUP('5.成本表'!$D1700,系数辅助表!$C:$E,3,0),)</f>
        <v>0.112716376179055</v>
      </c>
      <c r="F1700" s="36">
        <f>IFERROR(VLOOKUP($B1700,'标准费用表-2024年&amp;2025年优化'!$D:$L,9,0)*VLOOKUP('5.成本表'!$D1700,系数辅助表!$C:$G,5,0)/VLOOKUP($D1700,系数辅助表!$C:$E,3,0),0)</f>
        <v>0</v>
      </c>
      <c r="I1700" s="36">
        <f>VLOOKUP($D1700,系数辅助表!$C:$F,4,0)</f>
        <v>0.24056092393508099</v>
      </c>
      <c r="J1700" s="2" t="s">
        <v>69</v>
      </c>
    </row>
    <row r="1701" spans="2:10" x14ac:dyDescent="0.3">
      <c r="B1701" s="47" t="s">
        <v>179</v>
      </c>
      <c r="C1701" t="str">
        <f>VLOOKUP($B1701,'标准费用表-2024年&amp;2025年优化'!$D:$E,2,0)</f>
        <v>江西正大畜禽有限公司高安分公司</v>
      </c>
      <c r="D1701" t="s">
        <v>93</v>
      </c>
      <c r="E1701" s="36">
        <f>E1677</f>
        <v>1.0683087406065901</v>
      </c>
      <c r="F1701" s="36">
        <f>F1677</f>
        <v>0</v>
      </c>
      <c r="G1701">
        <v>0.2</v>
      </c>
      <c r="H1701">
        <v>0.3</v>
      </c>
      <c r="J1701" s="2" t="s">
        <v>69</v>
      </c>
    </row>
    <row r="1702" spans="2:10" x14ac:dyDescent="0.3">
      <c r="B1702" s="47" t="s">
        <v>179</v>
      </c>
      <c r="C1702" t="str">
        <f>VLOOKUP($B1702,'标准费用表-2024年&amp;2025年优化'!$D:$E,2,0)</f>
        <v>江西正大畜禽有限公司高安分公司</v>
      </c>
      <c r="D1702" t="s">
        <v>96</v>
      </c>
      <c r="E1702" s="36">
        <f t="shared" ref="E1702:F1702" si="712">E1678</f>
        <v>0.71395041343908705</v>
      </c>
      <c r="F1702" s="36">
        <f t="shared" si="712"/>
        <v>0</v>
      </c>
      <c r="G1702">
        <v>0.2</v>
      </c>
      <c r="H1702">
        <v>0.3</v>
      </c>
      <c r="J1702" s="2" t="s">
        <v>69</v>
      </c>
    </row>
    <row r="1703" spans="2:10" x14ac:dyDescent="0.3">
      <c r="B1703" s="47" t="s">
        <v>179</v>
      </c>
      <c r="C1703" t="str">
        <f>VLOOKUP($B1703,'标准费用表-2024年&amp;2025年优化'!$D:$E,2,0)</f>
        <v>江西正大畜禽有限公司高安分公司</v>
      </c>
      <c r="D1703" t="s">
        <v>97</v>
      </c>
      <c r="E1703" s="36">
        <f t="shared" ref="E1703:F1703" si="713">E1679</f>
        <v>1.88952723305132</v>
      </c>
      <c r="F1703" s="36">
        <f t="shared" si="713"/>
        <v>0</v>
      </c>
      <c r="G1703">
        <v>0.2</v>
      </c>
      <c r="H1703">
        <v>0.3</v>
      </c>
      <c r="J1703" s="2" t="s">
        <v>69</v>
      </c>
    </row>
    <row r="1704" spans="2:10" x14ac:dyDescent="0.3">
      <c r="B1704" s="47" t="s">
        <v>179</v>
      </c>
      <c r="C1704" t="str">
        <f>VLOOKUP($B1704,'标准费用表-2024年&amp;2025年优化'!$D:$E,2,0)</f>
        <v>江西正大畜禽有限公司高安分公司</v>
      </c>
      <c r="D1704" t="s">
        <v>98</v>
      </c>
      <c r="E1704" s="36">
        <f t="shared" ref="E1704:F1704" si="714">E1680</f>
        <v>1.10044233065324</v>
      </c>
      <c r="F1704" s="36">
        <f t="shared" si="714"/>
        <v>0</v>
      </c>
      <c r="G1704">
        <v>0.2</v>
      </c>
      <c r="H1704">
        <v>0.3</v>
      </c>
      <c r="J1704" s="2" t="s">
        <v>69</v>
      </c>
    </row>
    <row r="1705" spans="2:10" x14ac:dyDescent="0.3">
      <c r="B1705" s="47" t="s">
        <v>179</v>
      </c>
      <c r="C1705" t="str">
        <f>VLOOKUP($B1705,'标准费用表-2024年&amp;2025年优化'!$D:$E,2,0)</f>
        <v>江西正大畜禽有限公司高安分公司</v>
      </c>
      <c r="D1705" t="s">
        <v>99</v>
      </c>
      <c r="E1705" s="36">
        <f t="shared" ref="E1705:F1705" si="715">E1681</f>
        <v>0.66107550992494901</v>
      </c>
      <c r="F1705" s="36">
        <f t="shared" si="715"/>
        <v>0</v>
      </c>
      <c r="G1705">
        <v>0.2</v>
      </c>
      <c r="H1705">
        <v>0.3</v>
      </c>
      <c r="J1705" s="2" t="s">
        <v>69</v>
      </c>
    </row>
    <row r="1706" spans="2:10" x14ac:dyDescent="0.3">
      <c r="B1706" s="47" t="s">
        <v>179</v>
      </c>
      <c r="C1706" t="str">
        <f>VLOOKUP($B1706,'标准费用表-2024年&amp;2025年优化'!$D:$E,2,0)</f>
        <v>江西正大畜禽有限公司高安分公司</v>
      </c>
      <c r="D1706" t="s">
        <v>100</v>
      </c>
      <c r="E1706" s="36">
        <f t="shared" ref="E1706:F1706" si="716">E1682</f>
        <v>0.89264799879009005</v>
      </c>
      <c r="F1706" s="36">
        <f t="shared" si="716"/>
        <v>0</v>
      </c>
      <c r="G1706">
        <v>0.2</v>
      </c>
      <c r="H1706">
        <v>0.3</v>
      </c>
      <c r="J1706" s="2" t="s">
        <v>69</v>
      </c>
    </row>
    <row r="1707" spans="2:10" x14ac:dyDescent="0.3">
      <c r="B1707" s="47" t="s">
        <v>179</v>
      </c>
      <c r="C1707" t="str">
        <f>VLOOKUP($B1707,'标准费用表-2024年&amp;2025年优化'!$D:$E,2,0)</f>
        <v>江西正大畜禽有限公司高安分公司</v>
      </c>
      <c r="D1707" t="s">
        <v>101</v>
      </c>
      <c r="E1707" s="36">
        <f t="shared" ref="E1707:F1707" si="717">E1683</f>
        <v>0.66840326253701599</v>
      </c>
      <c r="F1707" s="36">
        <f t="shared" si="717"/>
        <v>0</v>
      </c>
      <c r="G1707">
        <v>0.2</v>
      </c>
      <c r="H1707">
        <v>0.3</v>
      </c>
      <c r="J1707" s="2" t="s">
        <v>69</v>
      </c>
    </row>
    <row r="1708" spans="2:10" x14ac:dyDescent="0.3">
      <c r="B1708" s="47" t="s">
        <v>179</v>
      </c>
      <c r="C1708" t="str">
        <f>VLOOKUP($B1708,'标准费用表-2024年&amp;2025年优化'!$D:$E,2,0)</f>
        <v>江西正大畜禽有限公司高安分公司</v>
      </c>
      <c r="D1708" t="s">
        <v>102</v>
      </c>
      <c r="E1708" s="36">
        <f t="shared" ref="E1708:F1708" si="718">E1684</f>
        <v>0.68108552062143501</v>
      </c>
      <c r="F1708" s="36">
        <f t="shared" si="718"/>
        <v>0</v>
      </c>
      <c r="G1708">
        <v>0.2</v>
      </c>
      <c r="H1708">
        <v>0.3</v>
      </c>
      <c r="J1708" s="2" t="s">
        <v>69</v>
      </c>
    </row>
    <row r="1709" spans="2:10" x14ac:dyDescent="0.3">
      <c r="B1709" s="47" t="s">
        <v>179</v>
      </c>
      <c r="C1709" t="str">
        <f>VLOOKUP($B1709,'标准费用表-2024年&amp;2025年优化'!$D:$E,2,0)</f>
        <v>江西正大畜禽有限公司高安分公司</v>
      </c>
      <c r="D1709" t="s">
        <v>103</v>
      </c>
      <c r="E1709" s="36">
        <f t="shared" ref="E1709:F1709" si="719">E1685</f>
        <v>0.67520773386079402</v>
      </c>
      <c r="F1709" s="36">
        <f t="shared" si="719"/>
        <v>0</v>
      </c>
      <c r="G1709">
        <v>0.2</v>
      </c>
      <c r="H1709">
        <v>0.3</v>
      </c>
      <c r="J1709" s="2" t="s">
        <v>69</v>
      </c>
    </row>
    <row r="1710" spans="2:10" x14ac:dyDescent="0.3">
      <c r="B1710" s="47" t="s">
        <v>179</v>
      </c>
      <c r="C1710" t="str">
        <f>VLOOKUP($B1710,'标准费用表-2024年&amp;2025年优化'!$D:$E,2,0)</f>
        <v>江西正大畜禽有限公司高安分公司</v>
      </c>
      <c r="D1710" t="s">
        <v>104</v>
      </c>
      <c r="E1710" s="36">
        <f t="shared" ref="E1710:F1710" si="720">E1686</f>
        <v>0.57905736828497001</v>
      </c>
      <c r="F1710" s="36">
        <f t="shared" si="720"/>
        <v>0</v>
      </c>
      <c r="G1710">
        <v>0.2</v>
      </c>
      <c r="H1710">
        <v>0.3</v>
      </c>
      <c r="J1710" s="2" t="s">
        <v>69</v>
      </c>
    </row>
    <row r="1711" spans="2:10" x14ac:dyDescent="0.3">
      <c r="B1711" s="47" t="s">
        <v>179</v>
      </c>
      <c r="C1711" t="str">
        <f>VLOOKUP($B1711,'标准费用表-2024年&amp;2025年优化'!$D:$E,2,0)</f>
        <v>江西正大畜禽有限公司高安分公司</v>
      </c>
      <c r="D1711" t="s">
        <v>105</v>
      </c>
      <c r="E1711" s="36">
        <f t="shared" ref="E1711:F1711" si="721">E1687</f>
        <v>0.40446591519480901</v>
      </c>
      <c r="F1711" s="36">
        <f t="shared" si="721"/>
        <v>0</v>
      </c>
      <c r="G1711">
        <v>0.2</v>
      </c>
      <c r="H1711">
        <v>0.3</v>
      </c>
      <c r="J1711" s="2" t="s">
        <v>69</v>
      </c>
    </row>
    <row r="1712" spans="2:10" x14ac:dyDescent="0.3">
      <c r="B1712" s="47" t="s">
        <v>179</v>
      </c>
      <c r="C1712" t="str">
        <f>VLOOKUP($B1712,'标准费用表-2024年&amp;2025年优化'!$D:$E,2,0)</f>
        <v>江西正大畜禽有限公司高安分公司</v>
      </c>
      <c r="D1712" t="s">
        <v>106</v>
      </c>
      <c r="E1712" s="36">
        <f t="shared" ref="E1712:F1712" si="722">E1688</f>
        <v>0.37338043108116797</v>
      </c>
      <c r="F1712" s="36">
        <f t="shared" si="722"/>
        <v>0</v>
      </c>
      <c r="G1712">
        <v>0.2</v>
      </c>
      <c r="H1712">
        <v>0.3</v>
      </c>
      <c r="J1712" s="2" t="s">
        <v>69</v>
      </c>
    </row>
    <row r="1713" spans="2:10" x14ac:dyDescent="0.3">
      <c r="B1713" s="47" t="s">
        <v>179</v>
      </c>
      <c r="C1713" t="str">
        <f>VLOOKUP($B1713,'标准费用表-2024年&amp;2025年优化'!$D:$E,2,0)</f>
        <v>江西正大畜禽有限公司高安分公司</v>
      </c>
      <c r="D1713" t="s">
        <v>107</v>
      </c>
      <c r="E1713" s="36">
        <f t="shared" ref="E1713:F1713" si="723">E1689</f>
        <v>0.51485392502684901</v>
      </c>
      <c r="F1713" s="36">
        <f t="shared" si="723"/>
        <v>0</v>
      </c>
      <c r="G1713">
        <v>0.2</v>
      </c>
      <c r="H1713">
        <v>0.3</v>
      </c>
      <c r="J1713" s="2" t="s">
        <v>69</v>
      </c>
    </row>
    <row r="1714" spans="2:10" x14ac:dyDescent="0.3">
      <c r="B1714" s="47" t="s">
        <v>179</v>
      </c>
      <c r="C1714" t="str">
        <f>VLOOKUP($B1714,'标准费用表-2024年&amp;2025年优化'!$D:$E,2,0)</f>
        <v>江西正大畜禽有限公司高安分公司</v>
      </c>
      <c r="D1714" t="s">
        <v>108</v>
      </c>
      <c r="E1714" s="36">
        <f t="shared" ref="E1714:F1714" si="724">E1690</f>
        <v>0.46910527217220799</v>
      </c>
      <c r="F1714" s="36">
        <f t="shared" si="724"/>
        <v>0</v>
      </c>
      <c r="G1714">
        <v>0.2</v>
      </c>
      <c r="H1714">
        <v>0.3</v>
      </c>
      <c r="J1714" s="2" t="s">
        <v>69</v>
      </c>
    </row>
    <row r="1715" spans="2:10" x14ac:dyDescent="0.3">
      <c r="B1715" s="47" t="s">
        <v>179</v>
      </c>
      <c r="C1715" t="str">
        <f>VLOOKUP($B1715,'标准费用表-2024年&amp;2025年优化'!$D:$E,2,0)</f>
        <v>江西正大畜禽有限公司高安分公司</v>
      </c>
      <c r="D1715" t="s">
        <v>109</v>
      </c>
      <c r="E1715" s="36">
        <f t="shared" ref="E1715:F1715" si="725">E1691</f>
        <v>0.421866109828548</v>
      </c>
      <c r="F1715" s="36">
        <f t="shared" si="725"/>
        <v>0</v>
      </c>
      <c r="G1715">
        <v>0.2</v>
      </c>
      <c r="H1715">
        <v>0.3</v>
      </c>
      <c r="J1715" s="2" t="s">
        <v>69</v>
      </c>
    </row>
    <row r="1716" spans="2:10" x14ac:dyDescent="0.3">
      <c r="B1716" s="47" t="s">
        <v>179</v>
      </c>
      <c r="C1716" t="str">
        <f>VLOOKUP($B1716,'标准费用表-2024年&amp;2025年优化'!$D:$E,2,0)</f>
        <v>江西正大畜禽有限公司高安分公司</v>
      </c>
      <c r="D1716" t="s">
        <v>110</v>
      </c>
      <c r="E1716" s="36">
        <f t="shared" ref="E1716:F1716" si="726">E1692</f>
        <v>0.42372941173230999</v>
      </c>
      <c r="F1716" s="36">
        <f t="shared" si="726"/>
        <v>0</v>
      </c>
      <c r="G1716">
        <v>0.2</v>
      </c>
      <c r="H1716">
        <v>0.3</v>
      </c>
      <c r="J1716" s="2" t="s">
        <v>69</v>
      </c>
    </row>
    <row r="1717" spans="2:10" x14ac:dyDescent="0.3">
      <c r="B1717" s="47" t="s">
        <v>179</v>
      </c>
      <c r="C1717" t="str">
        <f>VLOOKUP($B1717,'标准费用表-2024年&amp;2025年优化'!$D:$E,2,0)</f>
        <v>江西正大畜禽有限公司高安分公司</v>
      </c>
      <c r="D1717" t="s">
        <v>111</v>
      </c>
      <c r="E1717" s="36">
        <f t="shared" ref="E1717:F1717" si="727">E1693</f>
        <v>0.52683329437943804</v>
      </c>
      <c r="F1717" s="36">
        <f t="shared" si="727"/>
        <v>0</v>
      </c>
      <c r="G1717">
        <v>0.2</v>
      </c>
      <c r="H1717">
        <v>0.3</v>
      </c>
      <c r="J1717" s="2" t="s">
        <v>69</v>
      </c>
    </row>
    <row r="1718" spans="2:10" x14ac:dyDescent="0.3">
      <c r="B1718" s="47" t="s">
        <v>179</v>
      </c>
      <c r="C1718" t="str">
        <f>VLOOKUP($B1718,'标准费用表-2024年&amp;2025年优化'!$D:$E,2,0)</f>
        <v>江西正大畜禽有限公司高安分公司</v>
      </c>
      <c r="D1718" t="s">
        <v>112</v>
      </c>
      <c r="E1718" s="36">
        <f t="shared" ref="E1718:F1718" si="728">E1694</f>
        <v>0.46067182351903002</v>
      </c>
      <c r="F1718" s="36">
        <f t="shared" si="728"/>
        <v>0</v>
      </c>
      <c r="G1718">
        <v>0.2</v>
      </c>
      <c r="H1718">
        <v>0.3</v>
      </c>
      <c r="J1718" s="2" t="s">
        <v>69</v>
      </c>
    </row>
    <row r="1719" spans="2:10" x14ac:dyDescent="0.3">
      <c r="B1719" s="47" t="s">
        <v>179</v>
      </c>
      <c r="C1719" t="str">
        <f>VLOOKUP($B1719,'标准费用表-2024年&amp;2025年优化'!$D:$E,2,0)</f>
        <v>江西正大畜禽有限公司高安分公司</v>
      </c>
      <c r="D1719" t="s">
        <v>113</v>
      </c>
      <c r="E1719" s="36">
        <f t="shared" ref="E1719:F1719" si="729">E1695</f>
        <v>0.33366126646562799</v>
      </c>
      <c r="F1719" s="36">
        <f t="shared" si="729"/>
        <v>0</v>
      </c>
      <c r="G1719">
        <v>0.2</v>
      </c>
      <c r="H1719">
        <v>0.3</v>
      </c>
      <c r="J1719" s="2" t="s">
        <v>69</v>
      </c>
    </row>
    <row r="1720" spans="2:10" x14ac:dyDescent="0.3">
      <c r="B1720" s="47" t="s">
        <v>179</v>
      </c>
      <c r="C1720" t="str">
        <f>VLOOKUP($B1720,'标准费用表-2024年&amp;2025年优化'!$D:$E,2,0)</f>
        <v>江西正大畜禽有限公司高安分公司</v>
      </c>
      <c r="D1720" t="s">
        <v>114</v>
      </c>
      <c r="E1720" s="36">
        <f t="shared" ref="E1720:F1720" si="730">E1696</f>
        <v>1.2602253468139399</v>
      </c>
      <c r="F1720" s="36">
        <f t="shared" si="730"/>
        <v>0</v>
      </c>
      <c r="G1720">
        <v>0.2</v>
      </c>
      <c r="H1720">
        <v>0.3</v>
      </c>
      <c r="J1720" s="2" t="s">
        <v>69</v>
      </c>
    </row>
    <row r="1721" spans="2:10" x14ac:dyDescent="0.3">
      <c r="B1721" s="47" t="s">
        <v>179</v>
      </c>
      <c r="C1721" t="str">
        <f>VLOOKUP($B1721,'标准费用表-2024年&amp;2025年优化'!$D:$E,2,0)</f>
        <v>江西正大畜禽有限公司高安分公司</v>
      </c>
      <c r="D1721" t="s">
        <v>115</v>
      </c>
      <c r="E1721" s="36">
        <f t="shared" ref="E1721:F1721" si="731">E1697</f>
        <v>0.54201640795001804</v>
      </c>
      <c r="F1721" s="36">
        <f t="shared" si="731"/>
        <v>0</v>
      </c>
      <c r="G1721">
        <v>0.2</v>
      </c>
      <c r="H1721">
        <v>0.3</v>
      </c>
      <c r="J1721" s="2" t="s">
        <v>69</v>
      </c>
    </row>
    <row r="1722" spans="2:10" x14ac:dyDescent="0.3">
      <c r="B1722" s="47" t="s">
        <v>179</v>
      </c>
      <c r="C1722" t="str">
        <f>VLOOKUP($B1722,'标准费用表-2024年&amp;2025年优化'!$D:$E,2,0)</f>
        <v>江西正大畜禽有限公司高安分公司</v>
      </c>
      <c r="D1722" t="s">
        <v>116</v>
      </c>
      <c r="E1722" s="36">
        <f t="shared" ref="E1722:F1722" si="732">E1698</f>
        <v>0.34250465203979302</v>
      </c>
      <c r="F1722" s="36">
        <f t="shared" si="732"/>
        <v>0</v>
      </c>
      <c r="G1722">
        <v>0.2</v>
      </c>
      <c r="H1722">
        <v>0.3</v>
      </c>
      <c r="J1722" s="2" t="s">
        <v>69</v>
      </c>
    </row>
    <row r="1723" spans="2:10" x14ac:dyDescent="0.3">
      <c r="B1723" s="47" t="s">
        <v>179</v>
      </c>
      <c r="C1723" t="str">
        <f>VLOOKUP($B1723,'标准费用表-2024年&amp;2025年优化'!$D:$E,2,0)</f>
        <v>江西正大畜禽有限公司高安分公司</v>
      </c>
      <c r="D1723" t="s">
        <v>117</v>
      </c>
      <c r="E1723" s="36">
        <f t="shared" ref="E1723:F1723" si="733">E1699</f>
        <v>0.28398954252761399</v>
      </c>
      <c r="F1723" s="36">
        <f t="shared" si="733"/>
        <v>0</v>
      </c>
      <c r="G1723">
        <v>0.2</v>
      </c>
      <c r="H1723">
        <v>0.3</v>
      </c>
      <c r="J1723" s="2" t="s">
        <v>69</v>
      </c>
    </row>
    <row r="1724" spans="2:10" x14ac:dyDescent="0.3">
      <c r="B1724" s="47" t="s">
        <v>179</v>
      </c>
      <c r="C1724" t="str">
        <f>VLOOKUP($B1724,'标准费用表-2024年&amp;2025年优化'!$D:$E,2,0)</f>
        <v>江西正大畜禽有限公司高安分公司</v>
      </c>
      <c r="D1724" t="s">
        <v>118</v>
      </c>
      <c r="E1724" s="36">
        <f t="shared" ref="E1724:F1724" si="734">E1700</f>
        <v>0.112716376179055</v>
      </c>
      <c r="F1724" s="36">
        <f t="shared" si="734"/>
        <v>0</v>
      </c>
      <c r="G1724">
        <v>0.2</v>
      </c>
      <c r="H1724">
        <v>0.3</v>
      </c>
      <c r="J1724" s="2" t="s">
        <v>69</v>
      </c>
    </row>
    <row r="1725" spans="2:10" x14ac:dyDescent="0.3">
      <c r="B1725" s="47" t="s">
        <v>179</v>
      </c>
      <c r="C1725" t="str">
        <f>VLOOKUP($B1725,'标准费用表-2024年&amp;2025年优化'!$D:$E,2,0)</f>
        <v>江西正大畜禽有限公司高安分公司</v>
      </c>
      <c r="D1725" t="s">
        <v>119</v>
      </c>
      <c r="E1725" s="36">
        <f>E1653</f>
        <v>0.40766575750523099</v>
      </c>
      <c r="F1725" s="36">
        <f t="shared" ref="F1725" si="735">F1701</f>
        <v>0</v>
      </c>
      <c r="G1725">
        <v>0.2</v>
      </c>
      <c r="H1725">
        <v>0.3</v>
      </c>
      <c r="J1725" s="2" t="s">
        <v>69</v>
      </c>
    </row>
    <row r="1726" spans="2:10" x14ac:dyDescent="0.3">
      <c r="B1726" s="47" t="s">
        <v>179</v>
      </c>
      <c r="C1726" t="str">
        <f>VLOOKUP($B1726,'标准费用表-2024年&amp;2025年优化'!$D:$E,2,0)</f>
        <v>江西正大畜禽有限公司高安分公司</v>
      </c>
      <c r="D1726" t="s">
        <v>120</v>
      </c>
      <c r="E1726" s="36">
        <f t="shared" ref="E1726:E1748" si="736">E1654</f>
        <v>1.0895371277363901</v>
      </c>
      <c r="F1726" s="36">
        <f t="shared" ref="F1726" si="737">F1702</f>
        <v>0</v>
      </c>
      <c r="G1726">
        <v>0.2</v>
      </c>
      <c r="H1726">
        <v>0.3</v>
      </c>
      <c r="J1726" s="2" t="s">
        <v>69</v>
      </c>
    </row>
    <row r="1727" spans="2:10" x14ac:dyDescent="0.3">
      <c r="B1727" s="47" t="s">
        <v>179</v>
      </c>
      <c r="C1727" t="str">
        <f>VLOOKUP($B1727,'标准费用表-2024年&amp;2025年优化'!$D:$E,2,0)</f>
        <v>江西正大畜禽有限公司高安分公司</v>
      </c>
      <c r="D1727" t="s">
        <v>121</v>
      </c>
      <c r="E1727" s="36">
        <f t="shared" si="736"/>
        <v>2.0166177049549301</v>
      </c>
      <c r="F1727" s="36">
        <f t="shared" ref="F1727" si="738">F1703</f>
        <v>0</v>
      </c>
      <c r="G1727">
        <v>0.2</v>
      </c>
      <c r="H1727">
        <v>0.3</v>
      </c>
      <c r="J1727" s="2" t="s">
        <v>69</v>
      </c>
    </row>
    <row r="1728" spans="2:10" x14ac:dyDescent="0.3">
      <c r="B1728" s="47" t="s">
        <v>179</v>
      </c>
      <c r="C1728" t="str">
        <f>VLOOKUP($B1728,'标准费用表-2024年&amp;2025年优化'!$D:$E,2,0)</f>
        <v>江西正大畜禽有限公司高安分公司</v>
      </c>
      <c r="D1728" t="s">
        <v>122</v>
      </c>
      <c r="E1728" s="36">
        <f t="shared" si="736"/>
        <v>0.42380249142437298</v>
      </c>
      <c r="F1728" s="36">
        <f t="shared" ref="F1728" si="739">F1704</f>
        <v>0</v>
      </c>
      <c r="G1728">
        <v>0.2</v>
      </c>
      <c r="H1728">
        <v>0.3</v>
      </c>
      <c r="J1728" s="2" t="s">
        <v>69</v>
      </c>
    </row>
    <row r="1729" spans="2:10" x14ac:dyDescent="0.3">
      <c r="B1729" s="47" t="s">
        <v>179</v>
      </c>
      <c r="C1729" t="str">
        <f>VLOOKUP($B1729,'标准费用表-2024年&amp;2025年优化'!$D:$E,2,0)</f>
        <v>江西正大畜禽有限公司高安分公司</v>
      </c>
      <c r="D1729" t="s">
        <v>123</v>
      </c>
      <c r="E1729" s="36">
        <f t="shared" si="736"/>
        <v>0.18709800737271001</v>
      </c>
      <c r="F1729" s="36">
        <f t="shared" ref="F1729" si="740">F1705</f>
        <v>0</v>
      </c>
      <c r="G1729">
        <v>0.2</v>
      </c>
      <c r="H1729">
        <v>0.3</v>
      </c>
      <c r="J1729" s="2" t="s">
        <v>69</v>
      </c>
    </row>
    <row r="1730" spans="2:10" x14ac:dyDescent="0.3">
      <c r="B1730" s="47" t="s">
        <v>179</v>
      </c>
      <c r="C1730" t="str">
        <f>VLOOKUP($B1730,'标准费用表-2024年&amp;2025年优化'!$D:$E,2,0)</f>
        <v>江西正大畜禽有限公司高安分公司</v>
      </c>
      <c r="D1730" t="s">
        <v>124</v>
      </c>
      <c r="E1730" s="36">
        <f t="shared" si="736"/>
        <v>0.57904351065744697</v>
      </c>
      <c r="F1730" s="36">
        <f t="shared" ref="F1730" si="741">F1706</f>
        <v>0</v>
      </c>
      <c r="G1730">
        <v>0.2</v>
      </c>
      <c r="H1730">
        <v>0.3</v>
      </c>
      <c r="J1730" s="2" t="s">
        <v>69</v>
      </c>
    </row>
    <row r="1731" spans="2:10" x14ac:dyDescent="0.3">
      <c r="B1731" s="47" t="s">
        <v>179</v>
      </c>
      <c r="C1731" t="str">
        <f>VLOOKUP($B1731,'标准费用表-2024年&amp;2025年优化'!$D:$E,2,0)</f>
        <v>江西正大畜禽有限公司高安分公司</v>
      </c>
      <c r="D1731" t="s">
        <v>125</v>
      </c>
      <c r="E1731" s="36">
        <f t="shared" si="736"/>
        <v>0.956534579091881</v>
      </c>
      <c r="F1731" s="36">
        <f t="shared" ref="F1731" si="742">F1707</f>
        <v>0</v>
      </c>
      <c r="G1731">
        <v>0.2</v>
      </c>
      <c r="H1731">
        <v>0.3</v>
      </c>
      <c r="J1731" s="2" t="s">
        <v>69</v>
      </c>
    </row>
    <row r="1732" spans="2:10" x14ac:dyDescent="0.3">
      <c r="B1732" s="47" t="s">
        <v>179</v>
      </c>
      <c r="C1732" t="str">
        <f>VLOOKUP($B1732,'标准费用表-2024年&amp;2025年优化'!$D:$E,2,0)</f>
        <v>江西正大畜禽有限公司高安分公司</v>
      </c>
      <c r="D1732" t="s">
        <v>126</v>
      </c>
      <c r="E1732" s="36">
        <f t="shared" si="736"/>
        <v>1.38759200227094</v>
      </c>
      <c r="F1732" s="36">
        <f t="shared" ref="F1732" si="743">F1708</f>
        <v>0</v>
      </c>
      <c r="G1732">
        <v>0.2</v>
      </c>
      <c r="H1732">
        <v>0.3</v>
      </c>
      <c r="J1732" s="2" t="s">
        <v>69</v>
      </c>
    </row>
    <row r="1733" spans="2:10" x14ac:dyDescent="0.3">
      <c r="B1733" s="47" t="s">
        <v>179</v>
      </c>
      <c r="C1733" t="str">
        <f>VLOOKUP($B1733,'标准费用表-2024年&amp;2025年优化'!$D:$E,2,0)</f>
        <v>江西正大畜禽有限公司高安分公司</v>
      </c>
      <c r="D1733" t="s">
        <v>127</v>
      </c>
      <c r="E1733" s="36">
        <f t="shared" si="736"/>
        <v>0.81069076279604801</v>
      </c>
      <c r="F1733" s="36">
        <f t="shared" ref="F1733" si="744">F1709</f>
        <v>0</v>
      </c>
      <c r="G1733">
        <v>0.2</v>
      </c>
      <c r="H1733">
        <v>0.3</v>
      </c>
      <c r="J1733" s="2" t="s">
        <v>69</v>
      </c>
    </row>
    <row r="1734" spans="2:10" x14ac:dyDescent="0.3">
      <c r="B1734" s="47" t="s">
        <v>179</v>
      </c>
      <c r="C1734" t="str">
        <f>VLOOKUP($B1734,'标准费用表-2024年&amp;2025年优化'!$D:$E,2,0)</f>
        <v>江西正大畜禽有限公司高安分公司</v>
      </c>
      <c r="D1734" t="s">
        <v>128</v>
      </c>
      <c r="E1734" s="36">
        <f t="shared" si="736"/>
        <v>0.74450599566600895</v>
      </c>
      <c r="F1734" s="36">
        <f t="shared" ref="F1734" si="745">F1710</f>
        <v>0</v>
      </c>
      <c r="G1734">
        <v>0.2</v>
      </c>
      <c r="H1734">
        <v>0.3</v>
      </c>
      <c r="J1734" s="2" t="s">
        <v>69</v>
      </c>
    </row>
    <row r="1735" spans="2:10" x14ac:dyDescent="0.3">
      <c r="B1735" s="47" t="s">
        <v>179</v>
      </c>
      <c r="C1735" t="str">
        <f>VLOOKUP($B1735,'标准费用表-2024年&amp;2025年优化'!$D:$E,2,0)</f>
        <v>江西正大畜禽有限公司高安分公司</v>
      </c>
      <c r="D1735" t="s">
        <v>129</v>
      </c>
      <c r="E1735" s="36">
        <f t="shared" si="736"/>
        <v>0.95110026824725502</v>
      </c>
      <c r="F1735" s="36">
        <f t="shared" ref="F1735" si="746">F1711</f>
        <v>0</v>
      </c>
      <c r="G1735">
        <v>0.2</v>
      </c>
      <c r="H1735">
        <v>0.3</v>
      </c>
      <c r="J1735" s="2" t="s">
        <v>69</v>
      </c>
    </row>
    <row r="1736" spans="2:10" x14ac:dyDescent="0.3">
      <c r="B1736" s="47" t="s">
        <v>179</v>
      </c>
      <c r="C1736" t="str">
        <f>VLOOKUP($B1736,'标准费用表-2024年&amp;2025年优化'!$D:$E,2,0)</f>
        <v>江西正大畜禽有限公司高安分公司</v>
      </c>
      <c r="D1736" t="s">
        <v>130</v>
      </c>
      <c r="E1736" s="36">
        <f t="shared" si="736"/>
        <v>1.6542395814469499</v>
      </c>
      <c r="F1736" s="36">
        <f t="shared" ref="F1736" si="747">F1712</f>
        <v>0</v>
      </c>
      <c r="G1736">
        <v>0.2</v>
      </c>
      <c r="H1736">
        <v>0.3</v>
      </c>
      <c r="J1736" s="2" t="s">
        <v>69</v>
      </c>
    </row>
    <row r="1737" spans="2:10" x14ac:dyDescent="0.3">
      <c r="B1737" s="47" t="s">
        <v>179</v>
      </c>
      <c r="C1737" t="str">
        <f>VLOOKUP($B1737,'标准费用表-2024年&amp;2025年优化'!$D:$E,2,0)</f>
        <v>江西正大畜禽有限公司高安分公司</v>
      </c>
      <c r="D1737" t="s">
        <v>131</v>
      </c>
      <c r="E1737" s="36">
        <f t="shared" si="736"/>
        <v>0.28164341962508699</v>
      </c>
      <c r="F1737" s="36">
        <f t="shared" ref="F1737" si="748">F1713</f>
        <v>0</v>
      </c>
      <c r="G1737">
        <v>0.2</v>
      </c>
      <c r="H1737">
        <v>0.3</v>
      </c>
      <c r="J1737" s="2" t="s">
        <v>69</v>
      </c>
    </row>
    <row r="1738" spans="2:10" x14ac:dyDescent="0.3">
      <c r="B1738" s="47" t="s">
        <v>179</v>
      </c>
      <c r="C1738" t="str">
        <f>VLOOKUP($B1738,'标准费用表-2024年&amp;2025年优化'!$D:$E,2,0)</f>
        <v>江西正大畜禽有限公司高安分公司</v>
      </c>
      <c r="D1738" t="s">
        <v>132</v>
      </c>
      <c r="E1738" s="36">
        <f t="shared" si="736"/>
        <v>6.5208139981026494E-2</v>
      </c>
      <c r="F1738" s="36">
        <f t="shared" ref="F1738" si="749">F1714</f>
        <v>0</v>
      </c>
      <c r="G1738">
        <v>0.2</v>
      </c>
      <c r="H1738">
        <v>0.3</v>
      </c>
      <c r="J1738" s="2" t="s">
        <v>69</v>
      </c>
    </row>
    <row r="1739" spans="2:10" x14ac:dyDescent="0.3">
      <c r="B1739" s="47" t="s">
        <v>179</v>
      </c>
      <c r="C1739" t="str">
        <f>VLOOKUP($B1739,'标准费用表-2024年&amp;2025年优化'!$D:$E,2,0)</f>
        <v>江西正大畜禽有限公司高安分公司</v>
      </c>
      <c r="D1739" t="s">
        <v>133</v>
      </c>
      <c r="E1739" s="36">
        <f t="shared" si="736"/>
        <v>0.34984868360475202</v>
      </c>
      <c r="F1739" s="36">
        <f t="shared" ref="F1739" si="750">F1715</f>
        <v>0</v>
      </c>
      <c r="G1739">
        <v>0.2</v>
      </c>
      <c r="H1739">
        <v>0.3</v>
      </c>
      <c r="J1739" s="2" t="s">
        <v>69</v>
      </c>
    </row>
    <row r="1740" spans="2:10" x14ac:dyDescent="0.3">
      <c r="B1740" s="47" t="s">
        <v>179</v>
      </c>
      <c r="C1740" t="str">
        <f>VLOOKUP($B1740,'标准费用表-2024年&amp;2025年优化'!$D:$E,2,0)</f>
        <v>江西正大畜禽有限公司高安分公司</v>
      </c>
      <c r="D1740" t="s">
        <v>134</v>
      </c>
      <c r="E1740" s="36">
        <f t="shared" si="736"/>
        <v>0.228829847257838</v>
      </c>
      <c r="F1740" s="36">
        <f t="shared" ref="F1740" si="751">F1716</f>
        <v>0</v>
      </c>
      <c r="G1740">
        <v>0.2</v>
      </c>
      <c r="H1740">
        <v>0.3</v>
      </c>
      <c r="J1740" s="2" t="s">
        <v>69</v>
      </c>
    </row>
    <row r="1741" spans="2:10" x14ac:dyDescent="0.3">
      <c r="B1741" s="47" t="s">
        <v>179</v>
      </c>
      <c r="C1741" t="str">
        <f>VLOOKUP($B1741,'标准费用表-2024年&amp;2025年优化'!$D:$E,2,0)</f>
        <v>江西正大畜禽有限公司高安分公司</v>
      </c>
      <c r="D1741" t="s">
        <v>135</v>
      </c>
      <c r="E1741" s="36">
        <f t="shared" si="736"/>
        <v>0.151671350333831</v>
      </c>
      <c r="F1741" s="36">
        <f t="shared" ref="F1741" si="752">F1717</f>
        <v>0</v>
      </c>
      <c r="G1741">
        <v>0.2</v>
      </c>
      <c r="H1741">
        <v>0.3</v>
      </c>
      <c r="J1741" s="2" t="s">
        <v>69</v>
      </c>
    </row>
    <row r="1742" spans="2:10" x14ac:dyDescent="0.3">
      <c r="B1742" s="47" t="s">
        <v>179</v>
      </c>
      <c r="C1742" t="str">
        <f>VLOOKUP($B1742,'标准费用表-2024年&amp;2025年优化'!$D:$E,2,0)</f>
        <v>江西正大畜禽有限公司高安分公司</v>
      </c>
      <c r="D1742" t="s">
        <v>136</v>
      </c>
      <c r="E1742" s="36">
        <f t="shared" si="736"/>
        <v>2.6186393856968301E-2</v>
      </c>
      <c r="F1742" s="36">
        <f t="shared" ref="F1742" si="753">F1718</f>
        <v>0</v>
      </c>
      <c r="G1742">
        <v>0.2</v>
      </c>
      <c r="H1742">
        <v>0.3</v>
      </c>
      <c r="J1742" s="2" t="s">
        <v>69</v>
      </c>
    </row>
    <row r="1743" spans="2:10" x14ac:dyDescent="0.3">
      <c r="B1743" s="47" t="s">
        <v>179</v>
      </c>
      <c r="C1743" t="str">
        <f>VLOOKUP($B1743,'标准费用表-2024年&amp;2025年优化'!$D:$E,2,0)</f>
        <v>江西正大畜禽有限公司高安分公司</v>
      </c>
      <c r="D1743" t="s">
        <v>137</v>
      </c>
      <c r="E1743" s="36">
        <f t="shared" si="736"/>
        <v>0.13703882755140701</v>
      </c>
      <c r="F1743" s="36">
        <f t="shared" ref="F1743" si="754">F1719</f>
        <v>0</v>
      </c>
      <c r="G1743">
        <v>0.2</v>
      </c>
      <c r="H1743">
        <v>0.3</v>
      </c>
      <c r="J1743" s="2" t="s">
        <v>69</v>
      </c>
    </row>
    <row r="1744" spans="2:10" x14ac:dyDescent="0.3">
      <c r="B1744" s="47" t="s">
        <v>179</v>
      </c>
      <c r="C1744" t="str">
        <f>VLOOKUP($B1744,'标准费用表-2024年&amp;2025年优化'!$D:$E,2,0)</f>
        <v>江西正大畜禽有限公司高安分公司</v>
      </c>
      <c r="D1744" t="s">
        <v>138</v>
      </c>
      <c r="E1744" s="36">
        <f t="shared" si="736"/>
        <v>0.125751311825885</v>
      </c>
      <c r="F1744" s="36">
        <f t="shared" ref="F1744" si="755">F1720</f>
        <v>0</v>
      </c>
      <c r="G1744">
        <v>0.2</v>
      </c>
      <c r="H1744">
        <v>0.3</v>
      </c>
      <c r="J1744" s="2" t="s">
        <v>69</v>
      </c>
    </row>
    <row r="1745" spans="2:10" x14ac:dyDescent="0.3">
      <c r="B1745" s="47" t="s">
        <v>179</v>
      </c>
      <c r="C1745" t="str">
        <f>VLOOKUP($B1745,'标准费用表-2024年&amp;2025年优化'!$D:$E,2,0)</f>
        <v>江西正大畜禽有限公司高安分公司</v>
      </c>
      <c r="D1745" t="s">
        <v>139</v>
      </c>
      <c r="E1745" s="36">
        <f t="shared" si="736"/>
        <v>0.43994234904683499</v>
      </c>
      <c r="F1745" s="36">
        <f t="shared" ref="F1745" si="756">F1721</f>
        <v>0</v>
      </c>
      <c r="G1745">
        <v>0.2</v>
      </c>
      <c r="H1745">
        <v>0.3</v>
      </c>
      <c r="J1745" s="2" t="s">
        <v>69</v>
      </c>
    </row>
    <row r="1746" spans="2:10" x14ac:dyDescent="0.3">
      <c r="B1746" s="47" t="s">
        <v>179</v>
      </c>
      <c r="C1746" t="str">
        <f>VLOOKUP($B1746,'标准费用表-2024年&amp;2025年优化'!$D:$E,2,0)</f>
        <v>江西正大畜禽有限公司高安分公司</v>
      </c>
      <c r="D1746" t="s">
        <v>140</v>
      </c>
      <c r="E1746" s="36">
        <f t="shared" si="736"/>
        <v>0.51529127782798501</v>
      </c>
      <c r="F1746" s="36">
        <f t="shared" ref="F1746" si="757">F1722</f>
        <v>0</v>
      </c>
      <c r="G1746">
        <v>0.2</v>
      </c>
      <c r="H1746">
        <v>0.3</v>
      </c>
      <c r="J1746" s="2" t="s">
        <v>69</v>
      </c>
    </row>
    <row r="1747" spans="2:10" x14ac:dyDescent="0.3">
      <c r="B1747" s="47" t="s">
        <v>179</v>
      </c>
      <c r="C1747" t="str">
        <f>VLOOKUP($B1747,'标准费用表-2024年&amp;2025年优化'!$D:$E,2,0)</f>
        <v>江西正大畜禽有限公司高安分公司</v>
      </c>
      <c r="D1747" t="s">
        <v>141</v>
      </c>
      <c r="E1747" s="36">
        <f t="shared" si="736"/>
        <v>0.14734336456299499</v>
      </c>
      <c r="F1747" s="36">
        <f t="shared" ref="F1747" si="758">F1723</f>
        <v>0</v>
      </c>
      <c r="G1747">
        <v>0.2</v>
      </c>
      <c r="H1747">
        <v>0.3</v>
      </c>
      <c r="J1747" s="2" t="s">
        <v>69</v>
      </c>
    </row>
    <row r="1748" spans="2:10" x14ac:dyDescent="0.3">
      <c r="B1748" s="47" t="s">
        <v>179</v>
      </c>
      <c r="C1748" t="str">
        <f>VLOOKUP($B1748,'标准费用表-2024年&amp;2025年优化'!$D:$E,2,0)</f>
        <v>江西正大畜禽有限公司高安分公司</v>
      </c>
      <c r="D1748" t="s">
        <v>142</v>
      </c>
      <c r="E1748" s="36">
        <f t="shared" si="736"/>
        <v>4.3838622955566703E-2</v>
      </c>
      <c r="F1748" s="36">
        <f t="shared" ref="F1748" si="759">F1724</f>
        <v>0</v>
      </c>
      <c r="G1748">
        <v>0.2</v>
      </c>
      <c r="H1748">
        <v>0.3</v>
      </c>
      <c r="J1748" s="2" t="s">
        <v>69</v>
      </c>
    </row>
    <row r="1749" spans="2:10" x14ac:dyDescent="0.3">
      <c r="B1749" s="47" t="s">
        <v>181</v>
      </c>
      <c r="C1749" t="str">
        <f>VLOOKUP($B1749,'标准费用表-2024年&amp;2025年优化'!$D:$E,2,0)</f>
        <v>正大食品（来宾）有限公司</v>
      </c>
      <c r="D1749" t="s">
        <v>41</v>
      </c>
      <c r="E1749" s="46">
        <f>IFERROR(VLOOKUP($B1749,'标准费用表-2024年&amp;2025年优化'!$D:$K,8,0)*VLOOKUP('5.成本表'!$D1749,系数辅助表!$C:$G,5,0)/VLOOKUP($D1749,系数辅助表!$C:$E,3,0),0)</f>
        <v>0.77558152991009499</v>
      </c>
      <c r="I1749" s="36">
        <f>VLOOKUP($D1749,系数辅助表!$C:$F,4,0)</f>
        <v>1.33</v>
      </c>
      <c r="J1749" s="2" t="s">
        <v>41</v>
      </c>
    </row>
    <row r="1750" spans="2:10" x14ac:dyDescent="0.3">
      <c r="B1750" s="47" t="s">
        <v>181</v>
      </c>
      <c r="C1750" t="str">
        <f>VLOOKUP($B1750,'标准费用表-2024年&amp;2025年优化'!$D:$E,2,0)</f>
        <v>正大食品（来宾）有限公司</v>
      </c>
      <c r="D1750" t="s">
        <v>44</v>
      </c>
      <c r="E1750" s="46">
        <f>IFERROR(VLOOKUP($B1750,'标准费用表-2024年&amp;2025年优化'!$D:$K,8,0)*系数辅助表!$J$6*VLOOKUP('5.成本表'!$D1750,系数辅助表!$C:$G,5,0)/VLOOKUP($D1750,系数辅助表!$C:$E,3,0),0)</f>
        <v>0.44358720590233103</v>
      </c>
      <c r="I1750" s="36">
        <f>VLOOKUP($D1750,系数辅助表!$C:$F,4,0)</f>
        <v>0.789027855994753</v>
      </c>
      <c r="J1750" s="2" t="s">
        <v>200</v>
      </c>
    </row>
    <row r="1751" spans="2:10" x14ac:dyDescent="0.3">
      <c r="B1751" s="47" t="s">
        <v>181</v>
      </c>
      <c r="C1751" t="str">
        <f>VLOOKUP($B1751,'标准费用表-2024年&amp;2025年优化'!$D:$E,2,0)</f>
        <v>正大食品（来宾）有限公司</v>
      </c>
      <c r="D1751" t="s">
        <v>45</v>
      </c>
      <c r="E1751" s="46">
        <f>IFERROR(VLOOKUP($B1751,'标准费用表-2024年&amp;2025年优化'!$D:$K,8,0)*系数辅助表!$J$6*VLOOKUP('5.成本表'!$D1751,系数辅助表!$C:$G,5,0)/VLOOKUP($D1751,系数辅助表!$C:$E,3,0),0)</f>
        <v>1.1855416387608599</v>
      </c>
      <c r="I1751" s="36">
        <f>VLOOKUP($D1751,系数辅助表!$C:$F,4,0)</f>
        <v>2.1087744754070901</v>
      </c>
      <c r="J1751" s="2" t="s">
        <v>200</v>
      </c>
    </row>
    <row r="1752" spans="2:10" x14ac:dyDescent="0.3">
      <c r="B1752" s="47" t="s">
        <v>181</v>
      </c>
      <c r="C1752" t="str">
        <f>VLOOKUP($B1752,'标准费用表-2024年&amp;2025年优化'!$D:$E,2,0)</f>
        <v>正大食品（来宾）有限公司</v>
      </c>
      <c r="D1752" t="s">
        <v>46</v>
      </c>
      <c r="E1752" s="46">
        <f>IFERROR(VLOOKUP($B1752,'标准费用表-2024年&amp;2025年优化'!$D:$K,8,0)*系数辅助表!$J$6*VLOOKUP('5.成本表'!$D1752,系数辅助表!$C:$G,5,0)/VLOOKUP($D1752,系数辅助表!$C:$E,3,0),0)</f>
        <v>2.1943118759555098</v>
      </c>
      <c r="I1752" s="36">
        <f>VLOOKUP($D1752,系数辅助表!$C:$F,4,0)</f>
        <v>3.9031179705625099</v>
      </c>
      <c r="J1752" s="2" t="s">
        <v>200</v>
      </c>
    </row>
    <row r="1753" spans="2:10" x14ac:dyDescent="0.3">
      <c r="B1753" s="47" t="s">
        <v>181</v>
      </c>
      <c r="C1753" t="str">
        <f>VLOOKUP($B1753,'标准费用表-2024年&amp;2025年优化'!$D:$E,2,0)</f>
        <v>正大食品（来宾）有限公司</v>
      </c>
      <c r="D1753" t="s">
        <v>47</v>
      </c>
      <c r="E1753" s="46">
        <f>IFERROR(VLOOKUP($B1753,'标准费用表-2024年&amp;2025年优化'!$D:$K,8,0)*系数辅助表!$J$6*VLOOKUP('5.成本表'!$D1753,系数辅助表!$C:$G,5,0)/VLOOKUP($D1753,系数辅助表!$C:$E,3,0),0)</f>
        <v>0.46114582734600101</v>
      </c>
      <c r="I1753" s="36">
        <f>VLOOKUP($D1753,系数辅助表!$C:$F,4,0)</f>
        <v>0.82026013963048305</v>
      </c>
      <c r="J1753" s="2" t="s">
        <v>200</v>
      </c>
    </row>
    <row r="1754" spans="2:10" x14ac:dyDescent="0.3">
      <c r="B1754" s="47" t="s">
        <v>181</v>
      </c>
      <c r="C1754" t="str">
        <f>VLOOKUP($B1754,'标准费用表-2024年&amp;2025年优化'!$D:$E,2,0)</f>
        <v>正大食品（来宾）有限公司</v>
      </c>
      <c r="D1754" t="s">
        <v>48</v>
      </c>
      <c r="E1754" s="46">
        <f>IFERROR(VLOOKUP($B1754,'标准费用表-2024年&amp;2025年优化'!$D:$K,8,0)*系数辅助表!$J$6*VLOOKUP('5.成本表'!$D1754,系数辅助表!$C:$G,5,0)/VLOOKUP($D1754,系数辅助表!$C:$E,3,0),0)</f>
        <v>0.20358413919346499</v>
      </c>
      <c r="I1754" s="36">
        <f>VLOOKUP($D1754,系数辅助表!$C:$F,4,0)</f>
        <v>0.36212396283071502</v>
      </c>
      <c r="J1754" s="2" t="s">
        <v>200</v>
      </c>
    </row>
    <row r="1755" spans="2:10" x14ac:dyDescent="0.3">
      <c r="B1755" s="47" t="s">
        <v>181</v>
      </c>
      <c r="C1755" t="str">
        <f>VLOOKUP($B1755,'标准费用表-2024年&amp;2025年优化'!$D:$E,2,0)</f>
        <v>正大食品（来宾）有限公司</v>
      </c>
      <c r="D1755" t="s">
        <v>49</v>
      </c>
      <c r="E1755" s="46">
        <f>IFERROR(VLOOKUP($B1755,'标准费用表-2024年&amp;2025年优化'!$D:$K,8,0)*系数辅助表!$J$6*VLOOKUP('5.成本表'!$D1755,系数辅助表!$C:$G,5,0)/VLOOKUP($D1755,系数辅助表!$C:$E,3,0),0)</f>
        <v>0.63006590143916497</v>
      </c>
      <c r="I1755" s="36">
        <f>VLOOKUP($D1755,系数辅助表!$C:$F,4,0)</f>
        <v>1.1207256222295201</v>
      </c>
      <c r="J1755" s="2" t="s">
        <v>200</v>
      </c>
    </row>
    <row r="1756" spans="2:10" x14ac:dyDescent="0.3">
      <c r="B1756" s="47" t="s">
        <v>181</v>
      </c>
      <c r="C1756" t="str">
        <f>VLOOKUP($B1756,'标准费用表-2024年&amp;2025年优化'!$D:$E,2,0)</f>
        <v>正大食品（来宾）有限公司</v>
      </c>
      <c r="D1756" t="s">
        <v>50</v>
      </c>
      <c r="E1756" s="46">
        <f>IFERROR(VLOOKUP($B1756,'标准费用表-2024年&amp;2025年优化'!$D:$K,8,0)*系数辅助表!$J$6*VLOOKUP('5.成本表'!$D1756,系数辅助表!$C:$G,5,0)/VLOOKUP($D1756,系数辅助表!$C:$E,3,0),0)</f>
        <v>1.0408195770106701</v>
      </c>
      <c r="I1756" s="36">
        <f>VLOOKUP($D1756,系数辅助表!$C:$F,4,0)</f>
        <v>1.8513510498021799</v>
      </c>
      <c r="J1756" s="2" t="s">
        <v>200</v>
      </c>
    </row>
    <row r="1757" spans="2:10" x14ac:dyDescent="0.3">
      <c r="B1757" s="47" t="s">
        <v>181</v>
      </c>
      <c r="C1757" t="str">
        <f>VLOOKUP($B1757,'标准费用表-2024年&amp;2025年优化'!$D:$E,2,0)</f>
        <v>正大食品（来宾）有限公司</v>
      </c>
      <c r="D1757" t="s">
        <v>51</v>
      </c>
      <c r="E1757" s="46">
        <f>IFERROR(VLOOKUP($B1757,'标准费用表-2024年&amp;2025年优化'!$D:$K,8,0)*系数辅助表!$J$6*VLOOKUP('5.成本表'!$D1757,系数辅助表!$C:$G,5,0)/VLOOKUP($D1757,系数辅助表!$C:$E,3,0),0)</f>
        <v>1.5098596040701</v>
      </c>
      <c r="I1757" s="36">
        <f>VLOOKUP($D1757,系数辅助表!$C:$F,4,0)</f>
        <v>2.68565294580391</v>
      </c>
      <c r="J1757" s="2" t="s">
        <v>200</v>
      </c>
    </row>
    <row r="1758" spans="2:10" x14ac:dyDescent="0.3">
      <c r="B1758" s="47" t="s">
        <v>181</v>
      </c>
      <c r="C1758" t="str">
        <f>VLOOKUP($B1758,'标准费用表-2024年&amp;2025年优化'!$D:$E,2,0)</f>
        <v>正大食品（来宾）有限公司</v>
      </c>
      <c r="D1758" t="s">
        <v>52</v>
      </c>
      <c r="E1758" s="46">
        <f>IFERROR(VLOOKUP($B1758,'标准费用表-2024年&amp;2025年优化'!$D:$K,8,0)*系数辅助表!$J$6*VLOOKUP('5.成本表'!$D1758,系数辅助表!$C:$G,5,0)/VLOOKUP($D1758,系数辅助表!$C:$E,3,0),0)</f>
        <v>0.88212473993456297</v>
      </c>
      <c r="I1758" s="36">
        <f>VLOOKUP($D1758,系数辅助表!$C:$F,4,0)</f>
        <v>1.5690736410097099</v>
      </c>
      <c r="J1758" s="2" t="s">
        <v>200</v>
      </c>
    </row>
    <row r="1759" spans="2:10" x14ac:dyDescent="0.3">
      <c r="B1759" s="47" t="s">
        <v>181</v>
      </c>
      <c r="C1759" t="str">
        <f>VLOOKUP($B1759,'标准费用表-2024年&amp;2025年优化'!$D:$E,2,0)</f>
        <v>正大食品（来宾）有限公司</v>
      </c>
      <c r="D1759" t="s">
        <v>53</v>
      </c>
      <c r="E1759" s="46">
        <f>IFERROR(VLOOKUP($B1759,'标准费用表-2024年&amp;2025年优化'!$D:$K,8,0)*系数辅助表!$J$6*VLOOKUP('5.成本表'!$D1759,系数辅助表!$C:$G,5,0)/VLOOKUP($D1759,系数辅助表!$C:$E,3,0),0)</f>
        <v>0.81010810526753696</v>
      </c>
      <c r="I1759" s="36">
        <f>VLOOKUP($D1759,系数辅助表!$C:$F,4,0)</f>
        <v>1.44097452072131</v>
      </c>
      <c r="J1759" s="2" t="s">
        <v>200</v>
      </c>
    </row>
    <row r="1760" spans="2:10" x14ac:dyDescent="0.3">
      <c r="B1760" s="47" t="s">
        <v>181</v>
      </c>
      <c r="C1760" t="str">
        <f>VLOOKUP($B1760,'标准费用表-2024年&amp;2025年优化'!$D:$E,2,0)</f>
        <v>正大食品（来宾）有限公司</v>
      </c>
      <c r="D1760" t="s">
        <v>54</v>
      </c>
      <c r="E1760" s="46">
        <f>IFERROR(VLOOKUP($B1760,'标准费用表-2024年&amp;2025年优化'!$D:$K,8,0)*系数辅助表!$J$6*VLOOKUP('5.成本表'!$D1760,系数辅助表!$C:$G,5,0)/VLOOKUP($D1760,系数辅助表!$C:$E,3,0),0)</f>
        <v>1.03490642213025</v>
      </c>
      <c r="I1760" s="36">
        <f>VLOOKUP($D1760,系数辅助表!$C:$F,4,0)</f>
        <v>1.8408330640366199</v>
      </c>
      <c r="J1760" s="2" t="s">
        <v>200</v>
      </c>
    </row>
    <row r="1761" spans="2:10" x14ac:dyDescent="0.3">
      <c r="B1761" s="47" t="s">
        <v>181</v>
      </c>
      <c r="C1761" t="str">
        <f>VLOOKUP($B1761,'标准费用表-2024年&amp;2025年优化'!$D:$E,2,0)</f>
        <v>正大食品（来宾）有限公司</v>
      </c>
      <c r="D1761" t="s">
        <v>55</v>
      </c>
      <c r="E1761" s="46">
        <f>IFERROR(VLOOKUP($B1761,'标准费用表-2024年&amp;2025年优化'!$D:$K,8,0)*系数辅助表!$J$6*VLOOKUP('5.成本表'!$D1761,系数辅助表!$C:$G,5,0)/VLOOKUP($D1761,系数辅助表!$C:$E,3,0),0)</f>
        <v>1.80000282171769</v>
      </c>
      <c r="I1761" s="36">
        <f>VLOOKUP($D1761,系数辅助表!$C:$F,4,0)</f>
        <v>3.2017433061789502</v>
      </c>
      <c r="J1761" s="2" t="s">
        <v>200</v>
      </c>
    </row>
    <row r="1762" spans="2:10" x14ac:dyDescent="0.3">
      <c r="B1762" s="47" t="s">
        <v>181</v>
      </c>
      <c r="C1762" t="str">
        <f>VLOOKUP($B1762,'标准费用表-2024年&amp;2025年优化'!$D:$E,2,0)</f>
        <v>正大食品（来宾）有限公司</v>
      </c>
      <c r="D1762" t="s">
        <v>56</v>
      </c>
      <c r="E1762" s="46">
        <f>IFERROR(VLOOKUP($B1762,'标准费用表-2024年&amp;2025年优化'!$D:$K,8,0)*系数辅助表!$J$6*VLOOKUP('5.成本表'!$D1762,系数辅助表!$C:$G,5,0)/VLOOKUP($D1762,系数辅助表!$C:$E,3,0),0)</f>
        <v>0.30646041584855699</v>
      </c>
      <c r="I1762" s="36">
        <f>VLOOKUP($D1762,系数辅助表!$C:$F,4,0)</f>
        <v>0.54511447049599404</v>
      </c>
      <c r="J1762" s="2" t="s">
        <v>200</v>
      </c>
    </row>
    <row r="1763" spans="2:10" x14ac:dyDescent="0.3">
      <c r="B1763" s="47" t="s">
        <v>181</v>
      </c>
      <c r="C1763" t="str">
        <f>VLOOKUP($B1763,'标准费用表-2024年&amp;2025年优化'!$D:$E,2,0)</f>
        <v>正大食品（来宾）有限公司</v>
      </c>
      <c r="D1763" t="s">
        <v>57</v>
      </c>
      <c r="E1763" s="46">
        <f>IFERROR(VLOOKUP($B1763,'标准费用表-2024年&amp;2025年优化'!$D:$K,8,0)*系数辅助表!$J$6*VLOOKUP('5.成本表'!$D1763,系数辅助表!$C:$G,5,0)/VLOOKUP($D1763,系数辅助表!$C:$E,3,0),0)</f>
        <v>7.0953952064272796E-2</v>
      </c>
      <c r="I1763" s="36">
        <f>VLOOKUP($D1763,系数辅助表!$C:$F,4,0)</f>
        <v>0.126208880523832</v>
      </c>
      <c r="J1763" s="2" t="s">
        <v>200</v>
      </c>
    </row>
    <row r="1764" spans="2:10" x14ac:dyDescent="0.3">
      <c r="B1764" s="47" t="s">
        <v>181</v>
      </c>
      <c r="C1764" t="str">
        <f>VLOOKUP($B1764,'标准费用表-2024年&amp;2025年优化'!$D:$E,2,0)</f>
        <v>正大食品（来宾）有限公司</v>
      </c>
      <c r="D1764" t="s">
        <v>58</v>
      </c>
      <c r="E1764" s="46">
        <f>IFERROR(VLOOKUP($B1764,'标准费用表-2024年&amp;2025年优化'!$D:$K,8,0)*系数辅助表!$J$6*VLOOKUP('5.成本表'!$D1764,系数辅助表!$C:$G,5,0)/VLOOKUP($D1764,系数辅助表!$C:$E,3,0),0)</f>
        <v>0.38067558334685297</v>
      </c>
      <c r="I1764" s="36">
        <f>VLOOKUP($D1764,系数辅助表!$C:$F,4,0)</f>
        <v>0.67712421675176204</v>
      </c>
      <c r="J1764" s="2" t="s">
        <v>200</v>
      </c>
    </row>
    <row r="1765" spans="2:10" x14ac:dyDescent="0.3">
      <c r="B1765" s="47" t="s">
        <v>181</v>
      </c>
      <c r="C1765" t="str">
        <f>VLOOKUP($B1765,'标准费用表-2024年&amp;2025年优化'!$D:$E,2,0)</f>
        <v>正大食品（来宾）有限公司</v>
      </c>
      <c r="D1765" t="s">
        <v>59</v>
      </c>
      <c r="E1765" s="46">
        <f>IFERROR(VLOOKUP($B1765,'标准费用表-2024年&amp;2025年优化'!$D:$K,8,0)*系数辅助表!$J$6*VLOOKUP('5.成本表'!$D1765,系数辅助表!$C:$G,5,0)/VLOOKUP($D1765,系数辅助表!$C:$E,3,0),0)</f>
        <v>0.248993178120581</v>
      </c>
      <c r="I1765" s="36">
        <f>VLOOKUP($D1765,系数辅助表!$C:$F,4,0)</f>
        <v>0.44289499533730498</v>
      </c>
      <c r="J1765" s="2" t="s">
        <v>200</v>
      </c>
    </row>
    <row r="1766" spans="2:10" x14ac:dyDescent="0.3">
      <c r="B1766" s="47" t="s">
        <v>181</v>
      </c>
      <c r="C1766" t="str">
        <f>VLOOKUP($B1766,'标准费用表-2024年&amp;2025年优化'!$D:$E,2,0)</f>
        <v>正大食品（来宾）有限公司</v>
      </c>
      <c r="D1766" t="s">
        <v>60</v>
      </c>
      <c r="E1766" s="46">
        <f>IFERROR(VLOOKUP($B1766,'标准费用表-2024年&amp;2025年优化'!$D:$K,8,0)*系数辅助表!$J$6*VLOOKUP('5.成本表'!$D1766,系数辅助表!$C:$G,5,0)/VLOOKUP($D1766,系数辅助表!$C:$E,3,0),0)</f>
        <v>0.16503586399246301</v>
      </c>
      <c r="I1766" s="36">
        <f>VLOOKUP($D1766,系数辅助表!$C:$F,4,0)</f>
        <v>0.29355646915769201</v>
      </c>
      <c r="J1766" s="2" t="s">
        <v>200</v>
      </c>
    </row>
    <row r="1767" spans="2:10" x14ac:dyDescent="0.3">
      <c r="B1767" s="47" t="s">
        <v>181</v>
      </c>
      <c r="C1767" t="str">
        <f>VLOOKUP($B1767,'标准费用表-2024年&amp;2025年优化'!$D:$E,2,0)</f>
        <v>正大食品（来宾）有限公司</v>
      </c>
      <c r="D1767" t="s">
        <v>61</v>
      </c>
      <c r="E1767" s="46">
        <f>IFERROR(VLOOKUP($B1767,'标准费用表-2024年&amp;2025年优化'!$D:$K,8,0)*系数辅助表!$J$6*VLOOKUP('5.成本表'!$D1767,系数辅助表!$C:$G,5,0)/VLOOKUP($D1767,系数辅助表!$C:$E,3,0),0)</f>
        <v>2.8493806678186601E-2</v>
      </c>
      <c r="I1767" s="36">
        <f>VLOOKUP($D1767,系数辅助表!$C:$F,4,0)</f>
        <v>5.0683173214352499E-2</v>
      </c>
      <c r="J1767" s="2" t="s">
        <v>200</v>
      </c>
    </row>
    <row r="1768" spans="2:10" x14ac:dyDescent="0.3">
      <c r="B1768" s="47" t="s">
        <v>181</v>
      </c>
      <c r="C1768" t="str">
        <f>VLOOKUP($B1768,'标准费用表-2024年&amp;2025年优化'!$D:$E,2,0)</f>
        <v>正大食品（来宾）有限公司</v>
      </c>
      <c r="D1768" t="s">
        <v>62</v>
      </c>
      <c r="E1768" s="46">
        <f>IFERROR(VLOOKUP($B1768,'标准费用表-2024年&amp;2025年优化'!$D:$K,8,0)*系数辅助表!$J$6*VLOOKUP('5.成本表'!$D1768,系数辅助表!$C:$G,5,0)/VLOOKUP($D1768,系数辅助表!$C:$E,3,0),0)</f>
        <v>0.14911399717667001</v>
      </c>
      <c r="I1768" s="36">
        <f>VLOOKUP($D1768,系数辅助表!$C:$F,4,0)</f>
        <v>0.26523555216563399</v>
      </c>
      <c r="J1768" s="2" t="s">
        <v>200</v>
      </c>
    </row>
    <row r="1769" spans="2:10" x14ac:dyDescent="0.3">
      <c r="B1769" s="47" t="s">
        <v>181</v>
      </c>
      <c r="C1769" t="str">
        <f>VLOOKUP($B1769,'标准费用表-2024年&amp;2025年优化'!$D:$E,2,0)</f>
        <v>正大食品（来宾）有限公司</v>
      </c>
      <c r="D1769" t="s">
        <v>63</v>
      </c>
      <c r="E1769" s="46">
        <f>IFERROR(VLOOKUP($B1769,'标准费用表-2024年&amp;2025年优化'!$D:$K,8,0)*系数辅助表!$J$6*VLOOKUP('5.成本表'!$D1769,系数辅助表!$C:$G,5,0)/VLOOKUP($D1769,系数辅助表!$C:$E,3,0),0)</f>
        <v>0.13683188255192399</v>
      </c>
      <c r="I1769" s="36">
        <f>VLOOKUP($D1769,系数辅助表!$C:$F,4,0)</f>
        <v>0.24338882069886</v>
      </c>
      <c r="J1769" s="2" t="s">
        <v>200</v>
      </c>
    </row>
    <row r="1770" spans="2:10" x14ac:dyDescent="0.3">
      <c r="B1770" s="47" t="s">
        <v>181</v>
      </c>
      <c r="C1770" t="str">
        <f>VLOOKUP($B1770,'标准费用表-2024年&amp;2025年优化'!$D:$E,2,0)</f>
        <v>正大食品（来宾）有限公司</v>
      </c>
      <c r="D1770" t="s">
        <v>64</v>
      </c>
      <c r="E1770" s="46">
        <f>IFERROR(VLOOKUP($B1770,'标准费用表-2024年&amp;2025年优化'!$D:$K,8,0)*系数辅助表!$J$6*VLOOKUP('5.成本表'!$D1770,系数辅助表!$C:$G,5,0)/VLOOKUP($D1770,系数辅助表!$C:$E,3,0),0)</f>
        <v>0.47870784773795799</v>
      </c>
      <c r="I1770" s="36">
        <f>VLOOKUP($D1770,系数辅助表!$C:$F,4,0)</f>
        <v>0.85149846912336002</v>
      </c>
      <c r="J1770" s="2" t="s">
        <v>200</v>
      </c>
    </row>
    <row r="1771" spans="2:10" x14ac:dyDescent="0.3">
      <c r="B1771" s="47" t="s">
        <v>181</v>
      </c>
      <c r="C1771" t="str">
        <f>VLOOKUP($B1771,'标准费用表-2024年&amp;2025年优化'!$D:$E,2,0)</f>
        <v>正大食品（来宾）有限公司</v>
      </c>
      <c r="D1771" t="s">
        <v>65</v>
      </c>
      <c r="E1771" s="46">
        <f>IFERROR(VLOOKUP($B1771,'标准费用表-2024年&amp;2025年优化'!$D:$K,8,0)*系数辅助表!$J$6*VLOOKUP('5.成本表'!$D1771,系数辅助表!$C:$G,5,0)/VLOOKUP($D1771,系数辅助表!$C:$E,3,0),0)</f>
        <v>0.56069614371431398</v>
      </c>
      <c r="I1771" s="36">
        <f>VLOOKUP($D1771,系数辅助表!$C:$F,4,0)</f>
        <v>0.99733461707829196</v>
      </c>
      <c r="J1771" s="2" t="s">
        <v>200</v>
      </c>
    </row>
    <row r="1772" spans="2:10" x14ac:dyDescent="0.3">
      <c r="B1772" s="47" t="s">
        <v>181</v>
      </c>
      <c r="C1772" t="str">
        <f>VLOOKUP($B1772,'标准费用表-2024年&amp;2025年优化'!$D:$E,2,0)</f>
        <v>正大食品（来宾）有限公司</v>
      </c>
      <c r="D1772" t="s">
        <v>66</v>
      </c>
      <c r="E1772" s="46">
        <f>IFERROR(VLOOKUP($B1772,'标准费用表-2024年&amp;2025年优化'!$D:$K,8,0)*系数辅助表!$J$6*VLOOKUP('5.成本表'!$D1772,系数辅助表!$C:$G,5,0)/VLOOKUP($D1772,系数辅助表!$C:$E,3,0),0)</f>
        <v>0.160326517965907</v>
      </c>
      <c r="I1772" s="36">
        <f>VLOOKUP($D1772,系数辅助表!$C:$F,4,0)</f>
        <v>0.28517975055754302</v>
      </c>
      <c r="J1772" s="2" t="s">
        <v>200</v>
      </c>
    </row>
    <row r="1773" spans="2:10" x14ac:dyDescent="0.3">
      <c r="B1773" s="47" t="s">
        <v>181</v>
      </c>
      <c r="C1773" t="str">
        <f>VLOOKUP($B1773,'标准费用表-2024年&amp;2025年优化'!$D:$E,2,0)</f>
        <v>正大食品（来宾）有限公司</v>
      </c>
      <c r="D1773" t="s">
        <v>67</v>
      </c>
      <c r="E1773" s="46">
        <f>IFERROR(VLOOKUP($B1773,'标准费用表-2024年&amp;2025年优化'!$D:$K,8,0)*系数辅助表!$J$6*VLOOKUP('5.成本表'!$D1773,系数辅助表!$C:$G,5,0)/VLOOKUP($D1773,系数辅助表!$C:$E,3,0),0)</f>
        <v>4.77014610853502E-2</v>
      </c>
      <c r="I1773" s="36">
        <f>VLOOKUP($D1773,系数辅助表!$C:$F,4,0)</f>
        <v>8.4848663503333893E-2</v>
      </c>
      <c r="J1773" s="2" t="s">
        <v>200</v>
      </c>
    </row>
    <row r="1774" spans="2:10" x14ac:dyDescent="0.3">
      <c r="B1774" s="47" t="s">
        <v>181</v>
      </c>
      <c r="C1774" t="str">
        <f>VLOOKUP($B1774,'标准费用表-2024年&amp;2025年优化'!$D:$E,2,0)</f>
        <v>正大食品（来宾）有限公司</v>
      </c>
      <c r="D1774" t="s">
        <v>68</v>
      </c>
      <c r="E1774" s="36">
        <f>IFERROR(VLOOKUP($B1774,'标准费用表-2024年&amp;2025年优化'!$D:$K,8,0)*VLOOKUP("白条",系数辅助表!$C:$G,5,0)*VLOOKUP('5.成本表'!$D1774,系数辅助表!$C:$G,5,0)/VLOOKUP('5.成本表'!$D1774,系数辅助表!$C:$E,3,0),)</f>
        <v>1.1624427133314901</v>
      </c>
      <c r="F1774" s="36">
        <f>IFERROR(VLOOKUP($B1774,'标准费用表-2024年&amp;2025年优化'!$D:$L,9,0)*VLOOKUP('5.成本表'!$D1774,系数辅助表!$C:$G,5,0)/VLOOKUP($D1774,系数辅助表!$C:$E,3,0),0)</f>
        <v>1.3908021994314901</v>
      </c>
      <c r="I1774" s="36">
        <f>VLOOKUP($D1774,系数辅助表!$C:$F,4,0)</f>
        <v>2.2799999999999998</v>
      </c>
      <c r="J1774" s="2" t="s">
        <v>69</v>
      </c>
    </row>
    <row r="1775" spans="2:10" x14ac:dyDescent="0.3">
      <c r="B1775" s="47" t="s">
        <v>181</v>
      </c>
      <c r="C1775" t="str">
        <f>VLOOKUP($B1775,'标准费用表-2024年&amp;2025年优化'!$D:$E,2,0)</f>
        <v>正大食品（来宾）有限公司</v>
      </c>
      <c r="D1775" t="s">
        <v>70</v>
      </c>
      <c r="E1775" s="36">
        <f>IFERROR(VLOOKUP($B1775,'标准费用表-2024年&amp;2025年优化'!$D:$K,8,0)*VLOOKUP("白条",系数辅助表!$C:$G,5,0)*VLOOKUP('5.成本表'!$D1775,系数辅助表!$C:$G,5,0)/VLOOKUP('5.成本表'!$D1775,系数辅助表!$C:$E,3,0),)</f>
        <v>0.77686011939865895</v>
      </c>
      <c r="F1775" s="36">
        <f>IFERROR(VLOOKUP($B1775,'标准费用表-2024年&amp;2025年优化'!$D:$L,9,0)*VLOOKUP('5.成本表'!$D1775,系数辅助表!$C:$G,5,0)/VLOOKUP($D1775,系数辅助表!$C:$E,3,0),0)</f>
        <v>0.92947269600386195</v>
      </c>
      <c r="I1775" s="36">
        <f>VLOOKUP($D1775,系数辅助表!$C:$F,4,0)</f>
        <v>1.5237233215154999</v>
      </c>
      <c r="J1775" s="2" t="s">
        <v>69</v>
      </c>
    </row>
    <row r="1776" spans="2:10" x14ac:dyDescent="0.3">
      <c r="B1776" s="47" t="s">
        <v>181</v>
      </c>
      <c r="C1776" t="str">
        <f>VLOOKUP($B1776,'标准费用表-2024年&amp;2025年优化'!$D:$E,2,0)</f>
        <v>正大食品（来宾）有限公司</v>
      </c>
      <c r="D1776" t="s">
        <v>71</v>
      </c>
      <c r="E1776" s="36">
        <f>IFERROR(VLOOKUP($B1776,'标准费用表-2024年&amp;2025年优化'!$D:$K,8,0)*VLOOKUP("白条",系数辅助表!$C:$G,5,0)*VLOOKUP('5.成本表'!$D1776,系数辅助表!$C:$G,5,0)/VLOOKUP('5.成本表'!$D1776,系数辅助表!$C:$E,3,0),)</f>
        <v>2.0560228333007502</v>
      </c>
      <c r="F1776" s="36">
        <f>IFERROR(VLOOKUP($B1776,'标准费用表-2024年&amp;2025年优化'!$D:$L,9,0)*VLOOKUP('5.成本表'!$D1776,系数辅助表!$C:$G,5,0)/VLOOKUP($D1776,系数辅助表!$C:$E,3,0),0)</f>
        <v>2.45992430064861</v>
      </c>
      <c r="I1776" s="36">
        <f>VLOOKUP($D1776,系数辅助表!$C:$F,4,0)</f>
        <v>4.0326564106466396</v>
      </c>
      <c r="J1776" s="2" t="s">
        <v>69</v>
      </c>
    </row>
    <row r="1777" spans="2:10" x14ac:dyDescent="0.3">
      <c r="B1777" s="47" t="s">
        <v>181</v>
      </c>
      <c r="C1777" t="str">
        <f>VLOOKUP($B1777,'标准费用表-2024年&amp;2025年优化'!$D:$E,2,0)</f>
        <v>正大食品（来宾）有限公司</v>
      </c>
      <c r="D1777" t="s">
        <v>72</v>
      </c>
      <c r="E1777" s="36">
        <f>IFERROR(VLOOKUP($B1777,'标准费用表-2024年&amp;2025年优化'!$D:$K,8,0)*VLOOKUP("白条",系数辅助表!$C:$G,5,0)*VLOOKUP('5.成本表'!$D1777,系数辅助表!$C:$G,5,0)/VLOOKUP('5.成本表'!$D1777,系数辅助表!$C:$E,3,0),)</f>
        <v>1.1974077531023799</v>
      </c>
      <c r="F1777" s="36">
        <f>IFERROR(VLOOKUP($B1777,'标准费用表-2024年&amp;2025年优化'!$D:$L,9,0)*VLOOKUP('5.成本表'!$D1777,系数辅助表!$C:$G,5,0)/VLOOKUP($D1777,系数辅助表!$C:$E,3,0),0)</f>
        <v>1.4326360495291</v>
      </c>
      <c r="I1777" s="36">
        <f>VLOOKUP($D1777,系数辅助表!$C:$F,4,0)</f>
        <v>2.34857997367385</v>
      </c>
      <c r="J1777" s="2" t="s">
        <v>69</v>
      </c>
    </row>
    <row r="1778" spans="2:10" x14ac:dyDescent="0.3">
      <c r="B1778" s="47" t="s">
        <v>181</v>
      </c>
      <c r="C1778" t="str">
        <f>VLOOKUP($B1778,'标准费用表-2024年&amp;2025年优化'!$D:$E,2,0)</f>
        <v>正大食品（来宾）有限公司</v>
      </c>
      <c r="D1778" t="s">
        <v>73</v>
      </c>
      <c r="E1778" s="36">
        <f>IFERROR(VLOOKUP($B1778,'标准费用表-2024年&amp;2025年优化'!$D:$K,8,0)*VLOOKUP("白条",系数辅助表!$C:$G,5,0)*VLOOKUP('5.成本表'!$D1778,系数辅助表!$C:$G,5,0)/VLOOKUP('5.成本表'!$D1778,系数辅助表!$C:$E,3,0),)</f>
        <v>0.71932614633276903</v>
      </c>
      <c r="F1778" s="36">
        <f>IFERROR(VLOOKUP($B1778,'标准费用表-2024年&amp;2025年优化'!$D:$L,9,0)*VLOOKUP('5.成本表'!$D1778,系数辅助表!$C:$G,5,0)/VLOOKUP($D1778,系数辅助表!$C:$E,3,0),0)</f>
        <v>0.86063629196916802</v>
      </c>
      <c r="I1778" s="36">
        <f>VLOOKUP($D1778,系数辅助表!$C:$F,4,0)</f>
        <v>1.41087693598112</v>
      </c>
      <c r="J1778" s="2" t="s">
        <v>69</v>
      </c>
    </row>
    <row r="1779" spans="2:10" x14ac:dyDescent="0.3">
      <c r="B1779" s="47" t="s">
        <v>181</v>
      </c>
      <c r="C1779" t="str">
        <f>VLOOKUP($B1779,'标准费用表-2024年&amp;2025年优化'!$D:$E,2,0)</f>
        <v>正大食品（来宾）有限公司</v>
      </c>
      <c r="D1779" t="s">
        <v>74</v>
      </c>
      <c r="E1779" s="36">
        <f>IFERROR(VLOOKUP($B1779,'标准费用表-2024年&amp;2025年优化'!$D:$K,8,0)*VLOOKUP("白条",系数辅助表!$C:$G,5,0)*VLOOKUP('5.成本表'!$D1779,系数辅助表!$C:$G,5,0)/VLOOKUP('5.成本表'!$D1779,系数辅助表!$C:$E,3,0),)</f>
        <v>0.97130363379250095</v>
      </c>
      <c r="F1779" s="36">
        <f>IFERROR(VLOOKUP($B1779,'标准费用表-2024年&amp;2025年优化'!$D:$L,9,0)*VLOOKUP('5.成本表'!$D1779,系数辅助表!$C:$G,5,0)/VLOOKUP($D1779,系数辅助表!$C:$E,3,0),0)</f>
        <v>1.1621142398689399</v>
      </c>
      <c r="I1779" s="36">
        <f>VLOOKUP($D1779,系数辅助表!$C:$F,4,0)</f>
        <v>1.9051022985038799</v>
      </c>
      <c r="J1779" s="2" t="s">
        <v>69</v>
      </c>
    </row>
    <row r="1780" spans="2:10" x14ac:dyDescent="0.3">
      <c r="B1780" s="47" t="s">
        <v>181</v>
      </c>
      <c r="C1780" t="str">
        <f>VLOOKUP($B1780,'标准费用表-2024年&amp;2025年优化'!$D:$E,2,0)</f>
        <v>正大食品（来宾）有限公司</v>
      </c>
      <c r="D1780" t="s">
        <v>75</v>
      </c>
      <c r="E1780" s="36">
        <f>IFERROR(VLOOKUP($B1780,'标准费用表-2024年&amp;2025年优化'!$D:$K,8,0)*VLOOKUP("白条",系数辅助表!$C:$G,5,0)*VLOOKUP('5.成本表'!$D1780,系数辅助表!$C:$G,5,0)/VLOOKUP('5.成本表'!$D1780,系数辅助表!$C:$E,3,0),)</f>
        <v>0.72729958350988699</v>
      </c>
      <c r="F1780" s="36">
        <f>IFERROR(VLOOKUP($B1780,'标准费用表-2024年&amp;2025年优化'!$D:$L,9,0)*VLOOKUP('5.成本表'!$D1780,系数辅助表!$C:$G,5,0)/VLOOKUP($D1780,系数辅助表!$C:$E,3,0),0)</f>
        <v>0.870176094520971</v>
      </c>
      <c r="I1780" s="36">
        <f>VLOOKUP($D1780,系数辅助表!$C:$F,4,0)</f>
        <v>1.42651593182611</v>
      </c>
      <c r="J1780" s="2" t="s">
        <v>69</v>
      </c>
    </row>
    <row r="1781" spans="2:10" x14ac:dyDescent="0.3">
      <c r="B1781" s="47" t="s">
        <v>181</v>
      </c>
      <c r="C1781" t="str">
        <f>VLOOKUP($B1781,'标准费用表-2024年&amp;2025年优化'!$D:$E,2,0)</f>
        <v>正大食品（来宾）有限公司</v>
      </c>
      <c r="D1781" t="s">
        <v>76</v>
      </c>
      <c r="E1781" s="36">
        <f>IFERROR(VLOOKUP($B1781,'标准费用表-2024年&amp;2025年优化'!$D:$K,8,0)*VLOOKUP("白条",系数辅助表!$C:$G,5,0)*VLOOKUP('5.成本表'!$D1781,系数辅助表!$C:$G,5,0)/VLOOKUP('5.成本表'!$D1781,系数辅助表!$C:$E,3,0),)</f>
        <v>0.74109933814865503</v>
      </c>
      <c r="F1781" s="36">
        <f>IFERROR(VLOOKUP($B1781,'标准费用表-2024年&amp;2025年优化'!$D:$L,9,0)*VLOOKUP('5.成本表'!$D1781,系数辅助表!$C:$G,5,0)/VLOOKUP($D1781,系数辅助表!$C:$E,3,0),0)</f>
        <v>0.88668678264615997</v>
      </c>
      <c r="I1781" s="36">
        <f>VLOOKUP($D1781,系数辅助表!$C:$F,4,0)</f>
        <v>1.4535825908670701</v>
      </c>
      <c r="J1781" s="2" t="s">
        <v>69</v>
      </c>
    </row>
    <row r="1782" spans="2:10" x14ac:dyDescent="0.3">
      <c r="B1782" s="47" t="s">
        <v>181</v>
      </c>
      <c r="C1782" t="str">
        <f>VLOOKUP($B1782,'标准费用表-2024年&amp;2025年优化'!$D:$E,2,0)</f>
        <v>正大食品（来宾）有限公司</v>
      </c>
      <c r="D1782" t="s">
        <v>77</v>
      </c>
      <c r="E1782" s="36">
        <f>IFERROR(VLOOKUP($B1782,'标准费用表-2024年&amp;2025年优化'!$D:$K,8,0)*VLOOKUP("白条",系数辅助表!$C:$G,5,0)*VLOOKUP('5.成本表'!$D1782,系数辅助表!$C:$G,5,0)/VLOOKUP('5.成本表'!$D1782,系数辅助表!$C:$E,3,0),)</f>
        <v>0.734703630493447</v>
      </c>
      <c r="F1782" s="36">
        <f>IFERROR(VLOOKUP($B1782,'标准费用表-2024年&amp;2025年优化'!$D:$L,9,0)*VLOOKUP('5.成本表'!$D1782,系数辅助表!$C:$G,5,0)/VLOOKUP($D1782,系数辅助表!$C:$E,3,0),0)</f>
        <v>0.87903465134388603</v>
      </c>
      <c r="I1782" s="36">
        <f>VLOOKUP($D1782,系数辅助表!$C:$F,4,0)</f>
        <v>1.4410381331603499</v>
      </c>
      <c r="J1782" s="2" t="s">
        <v>69</v>
      </c>
    </row>
    <row r="1783" spans="2:10" x14ac:dyDescent="0.3">
      <c r="B1783" s="47" t="s">
        <v>181</v>
      </c>
      <c r="C1783" t="str">
        <f>VLOOKUP($B1783,'标准费用表-2024年&amp;2025年优化'!$D:$E,2,0)</f>
        <v>正大食品（来宾）有限公司</v>
      </c>
      <c r="D1783" t="s">
        <v>78</v>
      </c>
      <c r="E1783" s="36">
        <f>IFERROR(VLOOKUP($B1783,'标准费用表-2024年&amp;2025年优化'!$D:$K,8,0)*VLOOKUP("白条",系数辅助表!$C:$G,5,0)*VLOOKUP('5.成本表'!$D1783,系数辅助表!$C:$G,5,0)/VLOOKUP('5.成本表'!$D1783,系数辅助表!$C:$E,3,0),)</f>
        <v>0.630080980130864</v>
      </c>
      <c r="F1783" s="36">
        <f>IFERROR(VLOOKUP($B1783,'标准费用表-2024年&amp;2025年优化'!$D:$L,9,0)*VLOOKUP('5.成本表'!$D1783,系数辅助表!$C:$G,5,0)/VLOOKUP($D1783,系数辅助表!$C:$E,3,0),0)</f>
        <v>0.75385909596738798</v>
      </c>
      <c r="I1783" s="36">
        <f>VLOOKUP($D1783,系数辅助表!$C:$F,4,0)</f>
        <v>1.2358326291892801</v>
      </c>
      <c r="J1783" s="2" t="s">
        <v>69</v>
      </c>
    </row>
    <row r="1784" spans="2:10" x14ac:dyDescent="0.3">
      <c r="B1784" s="47" t="s">
        <v>181</v>
      </c>
      <c r="C1784" t="str">
        <f>VLOOKUP($B1784,'标准费用表-2024年&amp;2025年优化'!$D:$E,2,0)</f>
        <v>正大食品（来宾）有限公司</v>
      </c>
      <c r="D1784" t="s">
        <v>79</v>
      </c>
      <c r="E1784" s="36">
        <f>IFERROR(VLOOKUP($B1784,'标准费用表-2024年&amp;2025年优化'!$D:$K,8,0)*VLOOKUP("白条",系数辅助表!$C:$G,5,0)*VLOOKUP('5.成本表'!$D1784,系数辅助表!$C:$G,5,0)/VLOOKUP('5.成本表'!$D1784,系数辅助表!$C:$E,3,0),)</f>
        <v>0.44010540964234002</v>
      </c>
      <c r="F1784" s="36">
        <f>IFERROR(VLOOKUP($B1784,'标准费用表-2024年&amp;2025年优化'!$D:$L,9,0)*VLOOKUP('5.成本表'!$D1784,系数辅助表!$C:$G,5,0)/VLOOKUP($D1784,系数辅助表!$C:$E,3,0),0)</f>
        <v>0.52656321442114196</v>
      </c>
      <c r="I1784" s="36">
        <f>VLOOKUP($D1784,系数辅助表!$C:$F,4,0)</f>
        <v>0.86321701919291904</v>
      </c>
      <c r="J1784" s="2" t="s">
        <v>69</v>
      </c>
    </row>
    <row r="1785" spans="2:10" x14ac:dyDescent="0.3">
      <c r="B1785" s="47" t="s">
        <v>181</v>
      </c>
      <c r="C1785" t="str">
        <f>VLOOKUP($B1785,'标准费用表-2024年&amp;2025年优化'!$D:$E,2,0)</f>
        <v>正大食品（来宾）有限公司</v>
      </c>
      <c r="D1785" t="s">
        <v>80</v>
      </c>
      <c r="E1785" s="36">
        <f>IFERROR(VLOOKUP($B1785,'标准费用表-2024年&amp;2025年优化'!$D:$K,8,0)*VLOOKUP("白条",系数辅助表!$C:$G,5,0)*VLOOKUP('5.成本表'!$D1785,系数辅助表!$C:$G,5,0)/VLOOKUP('5.成本表'!$D1785,系数辅助表!$C:$E,3,0),)</f>
        <v>0.40628082960776501</v>
      </c>
      <c r="F1785" s="36">
        <f>IFERROR(VLOOKUP($B1785,'标准费用表-2024年&amp;2025年优化'!$D:$L,9,0)*VLOOKUP('5.成本表'!$D1785,系数辅助表!$C:$G,5,0)/VLOOKUP($D1785,系数辅助表!$C:$E,3,0),0)</f>
        <v>0.48609386503521901</v>
      </c>
      <c r="I1785" s="36">
        <f>VLOOKUP($D1785,系数辅助表!$C:$F,4,0)</f>
        <v>0.796873928394225</v>
      </c>
      <c r="J1785" s="2" t="s">
        <v>69</v>
      </c>
    </row>
    <row r="1786" spans="2:10" x14ac:dyDescent="0.3">
      <c r="B1786" s="47" t="s">
        <v>181</v>
      </c>
      <c r="C1786" t="str">
        <f>VLOOKUP($B1786,'标准费用表-2024年&amp;2025年优化'!$D:$E,2,0)</f>
        <v>正大食品（来宾）有限公司</v>
      </c>
      <c r="D1786" t="s">
        <v>81</v>
      </c>
      <c r="E1786" s="36">
        <f>IFERROR(VLOOKUP($B1786,'标准费用表-2024年&amp;2025年优化'!$D:$K,8,0)*VLOOKUP("白条",系数辅助表!$C:$G,5,0)*VLOOKUP('5.成本表'!$D1786,系数辅助表!$C:$G,5,0)/VLOOKUP('5.成本表'!$D1786,系数辅助表!$C:$E,3,0),)</f>
        <v>0.56022025359237504</v>
      </c>
      <c r="F1786" s="36">
        <f>IFERROR(VLOOKUP($B1786,'标准费用表-2024年&amp;2025年优化'!$D:$L,9,0)*VLOOKUP('5.成本表'!$D1786,系数辅助表!$C:$G,5,0)/VLOOKUP($D1786,系数辅助表!$C:$E,3,0),0)</f>
        <v>0.67027437303067505</v>
      </c>
      <c r="I1786" s="36">
        <f>VLOOKUP($D1786,系数辅助表!$C:$F,4,0)</f>
        <v>1.09880870991909</v>
      </c>
      <c r="J1786" s="2" t="s">
        <v>69</v>
      </c>
    </row>
    <row r="1787" spans="2:10" x14ac:dyDescent="0.3">
      <c r="B1787" s="47" t="s">
        <v>181</v>
      </c>
      <c r="C1787" t="str">
        <f>VLOOKUP($B1787,'标准费用表-2024年&amp;2025年优化'!$D:$E,2,0)</f>
        <v>正大食品（来宾）有限公司</v>
      </c>
      <c r="D1787" t="s">
        <v>82</v>
      </c>
      <c r="E1787" s="36">
        <f>IFERROR(VLOOKUP($B1787,'标准费用表-2024年&amp;2025年优化'!$D:$K,8,0)*VLOOKUP("白条",系数辅助表!$C:$G,5,0)*VLOOKUP('5.成本表'!$D1787,系数辅助表!$C:$G,5,0)/VLOOKUP('5.成本表'!$D1787,系数辅助表!$C:$E,3,0),)</f>
        <v>0.51044046041628099</v>
      </c>
      <c r="F1787" s="36">
        <f>IFERROR(VLOOKUP($B1787,'标准费用表-2024年&amp;2025年优化'!$D:$L,9,0)*VLOOKUP('5.成本表'!$D1787,系数辅助表!$C:$G,5,0)/VLOOKUP($D1787,系数辅助表!$C:$E,3,0),0)</f>
        <v>0.61071544161621005</v>
      </c>
      <c r="I1787" s="36">
        <f>VLOOKUP($D1787,系数辅助表!$C:$F,4,0)</f>
        <v>1.0011712718416299</v>
      </c>
      <c r="J1787" s="2" t="s">
        <v>69</v>
      </c>
    </row>
    <row r="1788" spans="2:10" x14ac:dyDescent="0.3">
      <c r="B1788" s="47" t="s">
        <v>181</v>
      </c>
      <c r="C1788" t="str">
        <f>VLOOKUP($B1788,'标准费用表-2024年&amp;2025年优化'!$D:$E,2,0)</f>
        <v>正大食品（来宾）有限公司</v>
      </c>
      <c r="D1788" t="s">
        <v>83</v>
      </c>
      <c r="E1788" s="36">
        <f>IFERROR(VLOOKUP($B1788,'标准费用表-2024年&amp;2025年优化'!$D:$K,8,0)*VLOOKUP("白条",系数辅助表!$C:$G,5,0)*VLOOKUP('5.成本表'!$D1788,系数辅助表!$C:$G,5,0)/VLOOKUP('5.成本表'!$D1788,系数辅助表!$C:$E,3,0),)</f>
        <v>0.45903882158003001</v>
      </c>
      <c r="F1788" s="36">
        <f>IFERROR(VLOOKUP($B1788,'标准费用表-2024年&amp;2025年优化'!$D:$L,9,0)*VLOOKUP('5.成本表'!$D1788,系数辅助表!$C:$G,5,0)/VLOOKUP($D1788,系数辅助表!$C:$E,3,0),0)</f>
        <v>0.54921605628911996</v>
      </c>
      <c r="I1788" s="36">
        <f>VLOOKUP($D1788,系数辅助表!$C:$F,4,0)</f>
        <v>0.90035276680685095</v>
      </c>
      <c r="J1788" s="2" t="s">
        <v>69</v>
      </c>
    </row>
    <row r="1789" spans="2:10" x14ac:dyDescent="0.3">
      <c r="B1789" s="47" t="s">
        <v>181</v>
      </c>
      <c r="C1789" t="str">
        <f>VLOOKUP($B1789,'标准费用表-2024年&amp;2025年优化'!$D:$E,2,0)</f>
        <v>正大食品（来宾）有限公司</v>
      </c>
      <c r="D1789" t="s">
        <v>84</v>
      </c>
      <c r="E1789" s="36">
        <f>IFERROR(VLOOKUP($B1789,'标准费用表-2024年&amp;2025年优化'!$D:$K,8,0)*VLOOKUP("白条",系数辅助表!$C:$G,5,0)*VLOOKUP('5.成本表'!$D1789,系数辅助表!$C:$G,5,0)/VLOOKUP('5.成本表'!$D1789,系数辅助表!$C:$E,3,0),)</f>
        <v>0.46106630824042599</v>
      </c>
      <c r="F1789" s="36">
        <f>IFERROR(VLOOKUP($B1789,'标准费用表-2024年&amp;2025年优化'!$D:$L,9,0)*VLOOKUP('5.成本表'!$D1789,系数辅助表!$C:$G,5,0)/VLOOKUP($D1789,系数辅助表!$C:$E,3,0),0)</f>
        <v>0.55164183854424298</v>
      </c>
      <c r="I1789" s="36">
        <f>VLOOKUP($D1789,系数辅助表!$C:$F,4,0)</f>
        <v>0.90432945273957599</v>
      </c>
      <c r="J1789" s="2" t="s">
        <v>69</v>
      </c>
    </row>
    <row r="1790" spans="2:10" x14ac:dyDescent="0.3">
      <c r="B1790" s="47" t="s">
        <v>181</v>
      </c>
      <c r="C1790" t="str">
        <f>VLOOKUP($B1790,'标准费用表-2024年&amp;2025年优化'!$D:$E,2,0)</f>
        <v>正大食品（来宾）有限公司</v>
      </c>
      <c r="D1790" t="s">
        <v>85</v>
      </c>
      <c r="E1790" s="36">
        <f>IFERROR(VLOOKUP($B1790,'标准费用表-2024年&amp;2025年优化'!$D:$K,8,0)*VLOOKUP("白条",系数辅助表!$C:$G,5,0)*VLOOKUP('5.成本表'!$D1790,系数辅助表!$C:$G,5,0)/VLOOKUP('5.成本表'!$D1790,系数辅助表!$C:$E,3,0),)</f>
        <v>0.57325518449289004</v>
      </c>
      <c r="F1790" s="36">
        <f>IFERROR(VLOOKUP($B1790,'标准费用表-2024年&amp;2025年优化'!$D:$L,9,0)*VLOOKUP('5.成本表'!$D1790,系数辅助表!$C:$G,5,0)/VLOOKUP($D1790,系数辅助表!$C:$E,3,0),0)</f>
        <v>0.68586998936338694</v>
      </c>
      <c r="I1790" s="36">
        <f>VLOOKUP($D1790,系数辅助表!$C:$F,4,0)</f>
        <v>1.12437525363977</v>
      </c>
      <c r="J1790" s="2" t="s">
        <v>69</v>
      </c>
    </row>
    <row r="1791" spans="2:10" x14ac:dyDescent="0.3">
      <c r="B1791" s="47" t="s">
        <v>181</v>
      </c>
      <c r="C1791" t="str">
        <f>VLOOKUP($B1791,'标准费用表-2024年&amp;2025年优化'!$D:$E,2,0)</f>
        <v>正大食品（来宾）有限公司</v>
      </c>
      <c r="D1791" t="s">
        <v>86</v>
      </c>
      <c r="E1791" s="36">
        <f>IFERROR(VLOOKUP($B1791,'标准费用表-2024年&amp;2025年优化'!$D:$K,8,0)*VLOOKUP("白条",系数辅助表!$C:$G,5,0)*VLOOKUP('5.成本表'!$D1791,系数辅助表!$C:$G,5,0)/VLOOKUP('5.成本表'!$D1791,系数辅助表!$C:$E,3,0),)</f>
        <v>0.50126389884516098</v>
      </c>
      <c r="F1791" s="36">
        <f>IFERROR(VLOOKUP($B1791,'标准费用表-2024年&amp;2025年优化'!$D:$L,9,0)*VLOOKUP('5.成本表'!$D1791,系数辅助表!$C:$G,5,0)/VLOOKUP($D1791,系数辅助表!$C:$E,3,0),0)</f>
        <v>0.59973616335160196</v>
      </c>
      <c r="I1791" s="36">
        <f>VLOOKUP($D1791,系数辅助表!$C:$F,4,0)</f>
        <v>0.98317248347795105</v>
      </c>
      <c r="J1791" s="2" t="s">
        <v>69</v>
      </c>
    </row>
    <row r="1792" spans="2:10" x14ac:dyDescent="0.3">
      <c r="B1792" s="47" t="s">
        <v>181</v>
      </c>
      <c r="C1792" t="str">
        <f>VLOOKUP($B1792,'标准费用表-2024年&amp;2025年优化'!$D:$E,2,0)</f>
        <v>正大食品（来宾）有限公司</v>
      </c>
      <c r="D1792" t="s">
        <v>87</v>
      </c>
      <c r="E1792" s="36">
        <f>IFERROR(VLOOKUP($B1792,'标准费用表-2024年&amp;2025年优化'!$D:$K,8,0)*VLOOKUP("白条",系数辅助表!$C:$G,5,0)*VLOOKUP('5.成本表'!$D1792,系数辅助表!$C:$G,5,0)/VLOOKUP('5.成本表'!$D1792,系数辅助表!$C:$E,3,0),)</f>
        <v>0.363061812733737</v>
      </c>
      <c r="F1792" s="36">
        <f>IFERROR(VLOOKUP($B1792,'标准费用表-2024年&amp;2025年优化'!$D:$L,9,0)*VLOOKUP('5.成本表'!$D1792,系数辅助表!$C:$G,5,0)/VLOOKUP($D1792,系数辅助表!$C:$E,3,0),0)</f>
        <v>0.43438456096689498</v>
      </c>
      <c r="I1792" s="36">
        <f>VLOOKUP($D1792,系数辅助表!$C:$F,4,0)</f>
        <v>0.71210471151782795</v>
      </c>
      <c r="J1792" s="2" t="s">
        <v>69</v>
      </c>
    </row>
    <row r="1793" spans="2:10" x14ac:dyDescent="0.3">
      <c r="B1793" s="47" t="s">
        <v>181</v>
      </c>
      <c r="C1793" t="str">
        <f>VLOOKUP($B1793,'标准费用表-2024年&amp;2025年优化'!$D:$E,2,0)</f>
        <v>正大食品（来宾）有限公司</v>
      </c>
      <c r="D1793" t="s">
        <v>88</v>
      </c>
      <c r="E1793" s="36">
        <f>IFERROR(VLOOKUP($B1793,'标准费用表-2024年&amp;2025年优化'!$D:$K,8,0)*VLOOKUP("白条",系数辅助表!$C:$G,5,0)*VLOOKUP('5.成本表'!$D1793,系数辅助表!$C:$G,5,0)/VLOOKUP('5.成本表'!$D1793,系数辅助表!$C:$E,3,0),)</f>
        <v>1.37127004196156</v>
      </c>
      <c r="F1793" s="36">
        <f>IFERROR(VLOOKUP($B1793,'标准费用表-2024年&amp;2025年优化'!$D:$L,9,0)*VLOOKUP('5.成本表'!$D1793,系数辅助表!$C:$G,5,0)/VLOOKUP($D1793,系数辅助表!$C:$E,3,0),0)</f>
        <v>1.64065322832885</v>
      </c>
      <c r="I1793" s="36">
        <f>VLOOKUP($D1793,系数辅助表!$C:$F,4,0)</f>
        <v>2.6895912029178799</v>
      </c>
      <c r="J1793" s="2" t="s">
        <v>69</v>
      </c>
    </row>
    <row r="1794" spans="2:10" x14ac:dyDescent="0.3">
      <c r="B1794" s="47" t="s">
        <v>181</v>
      </c>
      <c r="C1794" t="str">
        <f>VLOOKUP($B1794,'标准费用表-2024年&amp;2025年优化'!$D:$E,2,0)</f>
        <v>正大食品（来宾）有限公司</v>
      </c>
      <c r="D1794" t="s">
        <v>89</v>
      </c>
      <c r="E1794" s="36">
        <f>IFERROR(VLOOKUP($B1794,'标准费用表-2024年&amp;2025年优化'!$D:$K,8,0)*VLOOKUP("白条",系数辅助表!$C:$G,5,0)*VLOOKUP('5.成本表'!$D1794,系数辅助表!$C:$G,5,0)/VLOOKUP('5.成本表'!$D1794,系数辅助表!$C:$E,3,0),)</f>
        <v>0.589776157377362</v>
      </c>
      <c r="F1794" s="36">
        <f>IFERROR(VLOOKUP($B1794,'标准费用表-2024年&amp;2025年优化'!$D:$L,9,0)*VLOOKUP('5.成本表'!$D1794,系数辅助表!$C:$G,5,0)/VLOOKUP($D1794,系数辅助表!$C:$E,3,0),0)</f>
        <v>0.70563647347563996</v>
      </c>
      <c r="I1794" s="36">
        <f>VLOOKUP($D1794,系数辅助表!$C:$F,4,0)</f>
        <v>1.1567792747107399</v>
      </c>
      <c r="J1794" s="2" t="s">
        <v>69</v>
      </c>
    </row>
    <row r="1795" spans="2:10" x14ac:dyDescent="0.3">
      <c r="B1795" s="47" t="s">
        <v>181</v>
      </c>
      <c r="C1795" t="str">
        <f>VLOOKUP($B1795,'标准费用表-2024年&amp;2025年优化'!$D:$E,2,0)</f>
        <v>正大食品（来宾）有限公司</v>
      </c>
      <c r="D1795" t="s">
        <v>90</v>
      </c>
      <c r="E1795" s="36">
        <f>IFERROR(VLOOKUP($B1795,'标准费用表-2024年&amp;2025年优化'!$D:$K,8,0)*VLOOKUP("白条",系数辅助表!$C:$G,5,0)*VLOOKUP('5.成本表'!$D1795,系数辅助表!$C:$G,5,0)/VLOOKUP('5.成本表'!$D1795,系数辅助表!$C:$E,3,0),)</f>
        <v>0.37268443279770003</v>
      </c>
      <c r="F1795" s="36">
        <f>IFERROR(VLOOKUP($B1795,'标准费用表-2024年&amp;2025年优化'!$D:$L,9,0)*VLOOKUP('5.成本表'!$D1795,系数辅助表!$C:$G,5,0)/VLOOKUP($D1795,系数辅助表!$C:$E,3,0),0)</f>
        <v>0.44589752500010499</v>
      </c>
      <c r="I1795" s="36">
        <f>VLOOKUP($D1795,系数辅助表!$C:$F,4,0)</f>
        <v>0.73097839320056501</v>
      </c>
      <c r="J1795" s="2" t="s">
        <v>69</v>
      </c>
    </row>
    <row r="1796" spans="2:10" x14ac:dyDescent="0.3">
      <c r="B1796" s="47" t="s">
        <v>181</v>
      </c>
      <c r="C1796" t="str">
        <f>VLOOKUP($B1796,'标准费用表-2024年&amp;2025年优化'!$D:$E,2,0)</f>
        <v>正大食品（来宾）有限公司</v>
      </c>
      <c r="D1796" t="s">
        <v>91</v>
      </c>
      <c r="E1796" s="36">
        <f>IFERROR(VLOOKUP($B1796,'标准费用表-2024年&amp;2025年优化'!$D:$K,8,0)*VLOOKUP("白条",系数辅助表!$C:$G,5,0)*VLOOKUP('5.成本表'!$D1796,系数辅助表!$C:$G,5,0)/VLOOKUP('5.成本表'!$D1796,系数辅助表!$C:$E,3,0),)</f>
        <v>0.30901326725654399</v>
      </c>
      <c r="F1796" s="36">
        <f>IFERROR(VLOOKUP($B1796,'标准费用表-2024年&amp;2025年优化'!$D:$L,9,0)*VLOOKUP('5.成本表'!$D1796,系数辅助表!$C:$G,5,0)/VLOOKUP($D1796,系数辅助表!$C:$E,3,0),0)</f>
        <v>0.36971828961979503</v>
      </c>
      <c r="I1796" s="36">
        <f>VLOOKUP($D1796,系数辅助表!$C:$F,4,0)</f>
        <v>0.60609459826688905</v>
      </c>
      <c r="J1796" s="2" t="s">
        <v>69</v>
      </c>
    </row>
    <row r="1797" spans="2:10" x14ac:dyDescent="0.3">
      <c r="B1797" s="47" t="s">
        <v>181</v>
      </c>
      <c r="C1797" t="str">
        <f>VLOOKUP($B1797,'标准费用表-2024年&amp;2025年优化'!$D:$E,2,0)</f>
        <v>正大食品（来宾）有限公司</v>
      </c>
      <c r="D1797" t="s">
        <v>92</v>
      </c>
      <c r="E1797" s="36">
        <f>IFERROR(VLOOKUP($B1797,'标准费用表-2024年&amp;2025年优化'!$D:$K,8,0)*VLOOKUP("白条",系数辅助表!$C:$G,5,0)*VLOOKUP('5.成本表'!$D1797,系数辅助表!$C:$G,5,0)/VLOOKUP('5.成本表'!$D1797,系数辅助表!$C:$E,3,0),)</f>
        <v>0.122648374184485</v>
      </c>
      <c r="F1797" s="36">
        <f>IFERROR(VLOOKUP($B1797,'标准费用表-2024年&amp;2025年优化'!$D:$L,9,0)*VLOOKUP('5.成本表'!$D1797,系数辅助表!$C:$G,5,0)/VLOOKUP($D1797,系数辅助表!$C:$E,3,0),0)</f>
        <v>0.14674239566060601</v>
      </c>
      <c r="I1797" s="36">
        <f>VLOOKUP($D1797,系数辅助表!$C:$F,4,0)</f>
        <v>0.24056092393508099</v>
      </c>
      <c r="J1797" s="2" t="s">
        <v>69</v>
      </c>
    </row>
    <row r="1798" spans="2:10" x14ac:dyDescent="0.3">
      <c r="B1798" s="47" t="s">
        <v>181</v>
      </c>
      <c r="C1798" t="str">
        <f>VLOOKUP($B1798,'标准费用表-2024年&amp;2025年优化'!$D:$E,2,0)</f>
        <v>正大食品（来宾）有限公司</v>
      </c>
      <c r="D1798" t="s">
        <v>93</v>
      </c>
      <c r="E1798" s="36">
        <f>E1774</f>
        <v>1.1624427133314901</v>
      </c>
      <c r="F1798" s="36">
        <f>F1774</f>
        <v>1.3908021994314901</v>
      </c>
      <c r="G1798">
        <v>0.2</v>
      </c>
      <c r="H1798">
        <v>0.3</v>
      </c>
      <c r="J1798" s="2" t="s">
        <v>69</v>
      </c>
    </row>
    <row r="1799" spans="2:10" x14ac:dyDescent="0.3">
      <c r="B1799" s="47" t="s">
        <v>181</v>
      </c>
      <c r="C1799" t="str">
        <f>VLOOKUP($B1799,'标准费用表-2024年&amp;2025年优化'!$D:$E,2,0)</f>
        <v>正大食品（来宾）有限公司</v>
      </c>
      <c r="D1799" t="s">
        <v>96</v>
      </c>
      <c r="E1799" s="36">
        <f t="shared" ref="E1799:F1799" si="760">E1775</f>
        <v>0.77686011939865895</v>
      </c>
      <c r="F1799" s="36">
        <f t="shared" si="760"/>
        <v>0.92947269600386195</v>
      </c>
      <c r="G1799">
        <v>0.2</v>
      </c>
      <c r="H1799">
        <v>0.3</v>
      </c>
      <c r="J1799" s="2" t="s">
        <v>69</v>
      </c>
    </row>
    <row r="1800" spans="2:10" x14ac:dyDescent="0.3">
      <c r="B1800" s="47" t="s">
        <v>181</v>
      </c>
      <c r="C1800" t="str">
        <f>VLOOKUP($B1800,'标准费用表-2024年&amp;2025年优化'!$D:$E,2,0)</f>
        <v>正大食品（来宾）有限公司</v>
      </c>
      <c r="D1800" t="s">
        <v>97</v>
      </c>
      <c r="E1800" s="36">
        <f t="shared" ref="E1800:F1800" si="761">E1776</f>
        <v>2.0560228333007502</v>
      </c>
      <c r="F1800" s="36">
        <f t="shared" si="761"/>
        <v>2.45992430064861</v>
      </c>
      <c r="G1800">
        <v>0.2</v>
      </c>
      <c r="H1800">
        <v>0.3</v>
      </c>
      <c r="J1800" s="2" t="s">
        <v>69</v>
      </c>
    </row>
    <row r="1801" spans="2:10" x14ac:dyDescent="0.3">
      <c r="B1801" s="47" t="s">
        <v>181</v>
      </c>
      <c r="C1801" t="str">
        <f>VLOOKUP($B1801,'标准费用表-2024年&amp;2025年优化'!$D:$E,2,0)</f>
        <v>正大食品（来宾）有限公司</v>
      </c>
      <c r="D1801" t="s">
        <v>98</v>
      </c>
      <c r="E1801" s="36">
        <f t="shared" ref="E1801:F1801" si="762">E1777</f>
        <v>1.1974077531023799</v>
      </c>
      <c r="F1801" s="36">
        <f t="shared" si="762"/>
        <v>1.4326360495291</v>
      </c>
      <c r="G1801">
        <v>0.2</v>
      </c>
      <c r="H1801">
        <v>0.3</v>
      </c>
      <c r="J1801" s="2" t="s">
        <v>69</v>
      </c>
    </row>
    <row r="1802" spans="2:10" x14ac:dyDescent="0.3">
      <c r="B1802" s="47" t="s">
        <v>181</v>
      </c>
      <c r="C1802" t="str">
        <f>VLOOKUP($B1802,'标准费用表-2024年&amp;2025年优化'!$D:$E,2,0)</f>
        <v>正大食品（来宾）有限公司</v>
      </c>
      <c r="D1802" t="s">
        <v>99</v>
      </c>
      <c r="E1802" s="36">
        <f t="shared" ref="E1802:F1802" si="763">E1778</f>
        <v>0.71932614633276903</v>
      </c>
      <c r="F1802" s="36">
        <f t="shared" si="763"/>
        <v>0.86063629196916802</v>
      </c>
      <c r="G1802">
        <v>0.2</v>
      </c>
      <c r="H1802">
        <v>0.3</v>
      </c>
      <c r="J1802" s="2" t="s">
        <v>69</v>
      </c>
    </row>
    <row r="1803" spans="2:10" x14ac:dyDescent="0.3">
      <c r="B1803" s="47" t="s">
        <v>181</v>
      </c>
      <c r="C1803" t="str">
        <f>VLOOKUP($B1803,'标准费用表-2024年&amp;2025年优化'!$D:$E,2,0)</f>
        <v>正大食品（来宾）有限公司</v>
      </c>
      <c r="D1803" t="s">
        <v>100</v>
      </c>
      <c r="E1803" s="36">
        <f t="shared" ref="E1803:F1803" si="764">E1779</f>
        <v>0.97130363379250095</v>
      </c>
      <c r="F1803" s="36">
        <f t="shared" si="764"/>
        <v>1.1621142398689399</v>
      </c>
      <c r="G1803">
        <v>0.2</v>
      </c>
      <c r="H1803">
        <v>0.3</v>
      </c>
      <c r="J1803" s="2" t="s">
        <v>69</v>
      </c>
    </row>
    <row r="1804" spans="2:10" x14ac:dyDescent="0.3">
      <c r="B1804" s="47" t="s">
        <v>181</v>
      </c>
      <c r="C1804" t="str">
        <f>VLOOKUP($B1804,'标准费用表-2024年&amp;2025年优化'!$D:$E,2,0)</f>
        <v>正大食品（来宾）有限公司</v>
      </c>
      <c r="D1804" t="s">
        <v>101</v>
      </c>
      <c r="E1804" s="36">
        <f t="shared" ref="E1804:F1804" si="765">E1780</f>
        <v>0.72729958350988699</v>
      </c>
      <c r="F1804" s="36">
        <f t="shared" si="765"/>
        <v>0.870176094520971</v>
      </c>
      <c r="G1804">
        <v>0.2</v>
      </c>
      <c r="H1804">
        <v>0.3</v>
      </c>
      <c r="J1804" s="2" t="s">
        <v>69</v>
      </c>
    </row>
    <row r="1805" spans="2:10" x14ac:dyDescent="0.3">
      <c r="B1805" s="47" t="s">
        <v>181</v>
      </c>
      <c r="C1805" t="str">
        <f>VLOOKUP($B1805,'标准费用表-2024年&amp;2025年优化'!$D:$E,2,0)</f>
        <v>正大食品（来宾）有限公司</v>
      </c>
      <c r="D1805" t="s">
        <v>102</v>
      </c>
      <c r="E1805" s="36">
        <f t="shared" ref="E1805:F1805" si="766">E1781</f>
        <v>0.74109933814865503</v>
      </c>
      <c r="F1805" s="36">
        <f t="shared" si="766"/>
        <v>0.88668678264615997</v>
      </c>
      <c r="G1805">
        <v>0.2</v>
      </c>
      <c r="H1805">
        <v>0.3</v>
      </c>
      <c r="J1805" s="2" t="s">
        <v>69</v>
      </c>
    </row>
    <row r="1806" spans="2:10" x14ac:dyDescent="0.3">
      <c r="B1806" s="47" t="s">
        <v>181</v>
      </c>
      <c r="C1806" t="str">
        <f>VLOOKUP($B1806,'标准费用表-2024年&amp;2025年优化'!$D:$E,2,0)</f>
        <v>正大食品（来宾）有限公司</v>
      </c>
      <c r="D1806" t="s">
        <v>103</v>
      </c>
      <c r="E1806" s="36">
        <f t="shared" ref="E1806:F1806" si="767">E1782</f>
        <v>0.734703630493447</v>
      </c>
      <c r="F1806" s="36">
        <f t="shared" si="767"/>
        <v>0.87903465134388603</v>
      </c>
      <c r="G1806">
        <v>0.2</v>
      </c>
      <c r="H1806">
        <v>0.3</v>
      </c>
      <c r="J1806" s="2" t="s">
        <v>69</v>
      </c>
    </row>
    <row r="1807" spans="2:10" x14ac:dyDescent="0.3">
      <c r="B1807" s="47" t="s">
        <v>181</v>
      </c>
      <c r="C1807" t="str">
        <f>VLOOKUP($B1807,'标准费用表-2024年&amp;2025年优化'!$D:$E,2,0)</f>
        <v>正大食品（来宾）有限公司</v>
      </c>
      <c r="D1807" t="s">
        <v>104</v>
      </c>
      <c r="E1807" s="36">
        <f t="shared" ref="E1807:F1807" si="768">E1783</f>
        <v>0.630080980130864</v>
      </c>
      <c r="F1807" s="36">
        <f t="shared" si="768"/>
        <v>0.75385909596738798</v>
      </c>
      <c r="G1807">
        <v>0.2</v>
      </c>
      <c r="H1807">
        <v>0.3</v>
      </c>
      <c r="J1807" s="2" t="s">
        <v>69</v>
      </c>
    </row>
    <row r="1808" spans="2:10" x14ac:dyDescent="0.3">
      <c r="B1808" s="47" t="s">
        <v>181</v>
      </c>
      <c r="C1808" t="str">
        <f>VLOOKUP($B1808,'标准费用表-2024年&amp;2025年优化'!$D:$E,2,0)</f>
        <v>正大食品（来宾）有限公司</v>
      </c>
      <c r="D1808" t="s">
        <v>105</v>
      </c>
      <c r="E1808" s="36">
        <f t="shared" ref="E1808:F1808" si="769">E1784</f>
        <v>0.44010540964234002</v>
      </c>
      <c r="F1808" s="36">
        <f t="shared" si="769"/>
        <v>0.52656321442114196</v>
      </c>
      <c r="G1808">
        <v>0.2</v>
      </c>
      <c r="H1808">
        <v>0.3</v>
      </c>
      <c r="J1808" s="2" t="s">
        <v>69</v>
      </c>
    </row>
    <row r="1809" spans="2:10" x14ac:dyDescent="0.3">
      <c r="B1809" s="47" t="s">
        <v>181</v>
      </c>
      <c r="C1809" t="str">
        <f>VLOOKUP($B1809,'标准费用表-2024年&amp;2025年优化'!$D:$E,2,0)</f>
        <v>正大食品（来宾）有限公司</v>
      </c>
      <c r="D1809" t="s">
        <v>106</v>
      </c>
      <c r="E1809" s="36">
        <f t="shared" ref="E1809:F1809" si="770">E1785</f>
        <v>0.40628082960776501</v>
      </c>
      <c r="F1809" s="36">
        <f t="shared" si="770"/>
        <v>0.48609386503521901</v>
      </c>
      <c r="G1809">
        <v>0.2</v>
      </c>
      <c r="H1809">
        <v>0.3</v>
      </c>
      <c r="J1809" s="2" t="s">
        <v>69</v>
      </c>
    </row>
    <row r="1810" spans="2:10" x14ac:dyDescent="0.3">
      <c r="B1810" s="47" t="s">
        <v>181</v>
      </c>
      <c r="C1810" t="str">
        <f>VLOOKUP($B1810,'标准费用表-2024年&amp;2025年优化'!$D:$E,2,0)</f>
        <v>正大食品（来宾）有限公司</v>
      </c>
      <c r="D1810" t="s">
        <v>107</v>
      </c>
      <c r="E1810" s="36">
        <f t="shared" ref="E1810:F1810" si="771">E1786</f>
        <v>0.56022025359237504</v>
      </c>
      <c r="F1810" s="36">
        <f t="shared" si="771"/>
        <v>0.67027437303067505</v>
      </c>
      <c r="G1810">
        <v>0.2</v>
      </c>
      <c r="H1810">
        <v>0.3</v>
      </c>
      <c r="J1810" s="2" t="s">
        <v>69</v>
      </c>
    </row>
    <row r="1811" spans="2:10" x14ac:dyDescent="0.3">
      <c r="B1811" s="47" t="s">
        <v>181</v>
      </c>
      <c r="C1811" t="str">
        <f>VLOOKUP($B1811,'标准费用表-2024年&amp;2025年优化'!$D:$E,2,0)</f>
        <v>正大食品（来宾）有限公司</v>
      </c>
      <c r="D1811" t="s">
        <v>108</v>
      </c>
      <c r="E1811" s="36">
        <f t="shared" ref="E1811:F1811" si="772">E1787</f>
        <v>0.51044046041628099</v>
      </c>
      <c r="F1811" s="36">
        <f t="shared" si="772"/>
        <v>0.61071544161621005</v>
      </c>
      <c r="G1811">
        <v>0.2</v>
      </c>
      <c r="H1811">
        <v>0.3</v>
      </c>
      <c r="J1811" s="2" t="s">
        <v>69</v>
      </c>
    </row>
    <row r="1812" spans="2:10" x14ac:dyDescent="0.3">
      <c r="B1812" s="47" t="s">
        <v>181</v>
      </c>
      <c r="C1812" t="str">
        <f>VLOOKUP($B1812,'标准费用表-2024年&amp;2025年优化'!$D:$E,2,0)</f>
        <v>正大食品（来宾）有限公司</v>
      </c>
      <c r="D1812" t="s">
        <v>109</v>
      </c>
      <c r="E1812" s="36">
        <f t="shared" ref="E1812:F1812" si="773">E1788</f>
        <v>0.45903882158003001</v>
      </c>
      <c r="F1812" s="36">
        <f t="shared" si="773"/>
        <v>0.54921605628911996</v>
      </c>
      <c r="G1812">
        <v>0.2</v>
      </c>
      <c r="H1812">
        <v>0.3</v>
      </c>
      <c r="J1812" s="2" t="s">
        <v>69</v>
      </c>
    </row>
    <row r="1813" spans="2:10" x14ac:dyDescent="0.3">
      <c r="B1813" s="47" t="s">
        <v>181</v>
      </c>
      <c r="C1813" t="str">
        <f>VLOOKUP($B1813,'标准费用表-2024年&amp;2025年优化'!$D:$E,2,0)</f>
        <v>正大食品（来宾）有限公司</v>
      </c>
      <c r="D1813" t="s">
        <v>110</v>
      </c>
      <c r="E1813" s="36">
        <f t="shared" ref="E1813:F1813" si="774">E1789</f>
        <v>0.46106630824042599</v>
      </c>
      <c r="F1813" s="36">
        <f t="shared" si="774"/>
        <v>0.55164183854424298</v>
      </c>
      <c r="G1813">
        <v>0.2</v>
      </c>
      <c r="H1813">
        <v>0.3</v>
      </c>
      <c r="J1813" s="2" t="s">
        <v>69</v>
      </c>
    </row>
    <row r="1814" spans="2:10" x14ac:dyDescent="0.3">
      <c r="B1814" s="47" t="s">
        <v>181</v>
      </c>
      <c r="C1814" t="str">
        <f>VLOOKUP($B1814,'标准费用表-2024年&amp;2025年优化'!$D:$E,2,0)</f>
        <v>正大食品（来宾）有限公司</v>
      </c>
      <c r="D1814" t="s">
        <v>111</v>
      </c>
      <c r="E1814" s="36">
        <f t="shared" ref="E1814:F1814" si="775">E1790</f>
        <v>0.57325518449289004</v>
      </c>
      <c r="F1814" s="36">
        <f t="shared" si="775"/>
        <v>0.68586998936338694</v>
      </c>
      <c r="G1814">
        <v>0.2</v>
      </c>
      <c r="H1814">
        <v>0.3</v>
      </c>
      <c r="J1814" s="2" t="s">
        <v>69</v>
      </c>
    </row>
    <row r="1815" spans="2:10" x14ac:dyDescent="0.3">
      <c r="B1815" s="47" t="s">
        <v>181</v>
      </c>
      <c r="C1815" t="str">
        <f>VLOOKUP($B1815,'标准费用表-2024年&amp;2025年优化'!$D:$E,2,0)</f>
        <v>正大食品（来宾）有限公司</v>
      </c>
      <c r="D1815" t="s">
        <v>112</v>
      </c>
      <c r="E1815" s="36">
        <f t="shared" ref="E1815:F1815" si="776">E1791</f>
        <v>0.50126389884516098</v>
      </c>
      <c r="F1815" s="36">
        <f t="shared" si="776"/>
        <v>0.59973616335160196</v>
      </c>
      <c r="G1815">
        <v>0.2</v>
      </c>
      <c r="H1815">
        <v>0.3</v>
      </c>
      <c r="J1815" s="2" t="s">
        <v>69</v>
      </c>
    </row>
    <row r="1816" spans="2:10" x14ac:dyDescent="0.3">
      <c r="B1816" s="47" t="s">
        <v>181</v>
      </c>
      <c r="C1816" t="str">
        <f>VLOOKUP($B1816,'标准费用表-2024年&amp;2025年优化'!$D:$E,2,0)</f>
        <v>正大食品（来宾）有限公司</v>
      </c>
      <c r="D1816" t="s">
        <v>113</v>
      </c>
      <c r="E1816" s="36">
        <f t="shared" ref="E1816:F1816" si="777">E1792</f>
        <v>0.363061812733737</v>
      </c>
      <c r="F1816" s="36">
        <f t="shared" si="777"/>
        <v>0.43438456096689498</v>
      </c>
      <c r="G1816">
        <v>0.2</v>
      </c>
      <c r="H1816">
        <v>0.3</v>
      </c>
      <c r="J1816" s="2" t="s">
        <v>69</v>
      </c>
    </row>
    <row r="1817" spans="2:10" x14ac:dyDescent="0.3">
      <c r="B1817" s="47" t="s">
        <v>181</v>
      </c>
      <c r="C1817" t="str">
        <f>VLOOKUP($B1817,'标准费用表-2024年&amp;2025年优化'!$D:$E,2,0)</f>
        <v>正大食品（来宾）有限公司</v>
      </c>
      <c r="D1817" t="s">
        <v>114</v>
      </c>
      <c r="E1817" s="36">
        <f t="shared" ref="E1817:F1817" si="778">E1793</f>
        <v>1.37127004196156</v>
      </c>
      <c r="F1817" s="36">
        <f t="shared" si="778"/>
        <v>1.64065322832885</v>
      </c>
      <c r="G1817">
        <v>0.2</v>
      </c>
      <c r="H1817">
        <v>0.3</v>
      </c>
      <c r="J1817" s="2" t="s">
        <v>69</v>
      </c>
    </row>
    <row r="1818" spans="2:10" x14ac:dyDescent="0.3">
      <c r="B1818" s="47" t="s">
        <v>181</v>
      </c>
      <c r="C1818" t="str">
        <f>VLOOKUP($B1818,'标准费用表-2024年&amp;2025年优化'!$D:$E,2,0)</f>
        <v>正大食品（来宾）有限公司</v>
      </c>
      <c r="D1818" t="s">
        <v>115</v>
      </c>
      <c r="E1818" s="36">
        <f t="shared" ref="E1818:F1818" si="779">E1794</f>
        <v>0.589776157377362</v>
      </c>
      <c r="F1818" s="36">
        <f t="shared" si="779"/>
        <v>0.70563647347563996</v>
      </c>
      <c r="G1818">
        <v>0.2</v>
      </c>
      <c r="H1818">
        <v>0.3</v>
      </c>
      <c r="J1818" s="2" t="s">
        <v>69</v>
      </c>
    </row>
    <row r="1819" spans="2:10" x14ac:dyDescent="0.3">
      <c r="B1819" s="47" t="s">
        <v>181</v>
      </c>
      <c r="C1819" t="str">
        <f>VLOOKUP($B1819,'标准费用表-2024年&amp;2025年优化'!$D:$E,2,0)</f>
        <v>正大食品（来宾）有限公司</v>
      </c>
      <c r="D1819" t="s">
        <v>116</v>
      </c>
      <c r="E1819" s="36">
        <f t="shared" ref="E1819:F1819" si="780">E1795</f>
        <v>0.37268443279770003</v>
      </c>
      <c r="F1819" s="36">
        <f t="shared" si="780"/>
        <v>0.44589752500010499</v>
      </c>
      <c r="G1819">
        <v>0.2</v>
      </c>
      <c r="H1819">
        <v>0.3</v>
      </c>
      <c r="J1819" s="2" t="s">
        <v>69</v>
      </c>
    </row>
    <row r="1820" spans="2:10" x14ac:dyDescent="0.3">
      <c r="B1820" s="47" t="s">
        <v>181</v>
      </c>
      <c r="C1820" t="str">
        <f>VLOOKUP($B1820,'标准费用表-2024年&amp;2025年优化'!$D:$E,2,0)</f>
        <v>正大食品（来宾）有限公司</v>
      </c>
      <c r="D1820" t="s">
        <v>117</v>
      </c>
      <c r="E1820" s="36">
        <f t="shared" ref="E1820:F1820" si="781">E1796</f>
        <v>0.30901326725654399</v>
      </c>
      <c r="F1820" s="36">
        <f t="shared" si="781"/>
        <v>0.36971828961979503</v>
      </c>
      <c r="G1820">
        <v>0.2</v>
      </c>
      <c r="H1820">
        <v>0.3</v>
      </c>
      <c r="J1820" s="2" t="s">
        <v>69</v>
      </c>
    </row>
    <row r="1821" spans="2:10" x14ac:dyDescent="0.3">
      <c r="B1821" s="47" t="s">
        <v>181</v>
      </c>
      <c r="C1821" t="str">
        <f>VLOOKUP($B1821,'标准费用表-2024年&amp;2025年优化'!$D:$E,2,0)</f>
        <v>正大食品（来宾）有限公司</v>
      </c>
      <c r="D1821" t="s">
        <v>118</v>
      </c>
      <c r="E1821" s="36">
        <f t="shared" ref="E1821:F1821" si="782">E1797</f>
        <v>0.122648374184485</v>
      </c>
      <c r="F1821" s="36">
        <f t="shared" si="782"/>
        <v>0.14674239566060601</v>
      </c>
      <c r="G1821">
        <v>0.2</v>
      </c>
      <c r="H1821">
        <v>0.3</v>
      </c>
      <c r="J1821" s="2" t="s">
        <v>69</v>
      </c>
    </row>
    <row r="1822" spans="2:10" x14ac:dyDescent="0.3">
      <c r="B1822" s="47" t="s">
        <v>181</v>
      </c>
      <c r="C1822" t="str">
        <f>VLOOKUP($B1822,'标准费用表-2024年&amp;2025年优化'!$D:$E,2,0)</f>
        <v>正大食品（来宾）有限公司</v>
      </c>
      <c r="D1822" t="s">
        <v>119</v>
      </c>
      <c r="E1822" s="36">
        <f>E1750</f>
        <v>0.44358720590233103</v>
      </c>
      <c r="F1822" s="36">
        <f t="shared" ref="F1822" si="783">F1798</f>
        <v>1.3908021994314901</v>
      </c>
      <c r="G1822">
        <v>0.2</v>
      </c>
      <c r="H1822">
        <v>0.3</v>
      </c>
      <c r="J1822" s="2" t="s">
        <v>69</v>
      </c>
    </row>
    <row r="1823" spans="2:10" x14ac:dyDescent="0.3">
      <c r="B1823" s="47" t="s">
        <v>181</v>
      </c>
      <c r="C1823" t="str">
        <f>VLOOKUP($B1823,'标准费用表-2024年&amp;2025年优化'!$D:$E,2,0)</f>
        <v>正大食品（来宾）有限公司</v>
      </c>
      <c r="D1823" t="s">
        <v>120</v>
      </c>
      <c r="E1823" s="36">
        <f t="shared" ref="E1823:E1845" si="784">E1751</f>
        <v>1.1855416387608599</v>
      </c>
      <c r="F1823" s="36">
        <f t="shared" ref="F1823" si="785">F1799</f>
        <v>0.92947269600386195</v>
      </c>
      <c r="G1823">
        <v>0.2</v>
      </c>
      <c r="H1823">
        <v>0.3</v>
      </c>
      <c r="J1823" s="2" t="s">
        <v>69</v>
      </c>
    </row>
    <row r="1824" spans="2:10" x14ac:dyDescent="0.3">
      <c r="B1824" s="47" t="s">
        <v>181</v>
      </c>
      <c r="C1824" t="str">
        <f>VLOOKUP($B1824,'标准费用表-2024年&amp;2025年优化'!$D:$E,2,0)</f>
        <v>正大食品（来宾）有限公司</v>
      </c>
      <c r="D1824" t="s">
        <v>121</v>
      </c>
      <c r="E1824" s="36">
        <f t="shared" si="784"/>
        <v>2.1943118759555098</v>
      </c>
      <c r="F1824" s="36">
        <f t="shared" ref="F1824" si="786">F1800</f>
        <v>2.45992430064861</v>
      </c>
      <c r="G1824">
        <v>0.2</v>
      </c>
      <c r="H1824">
        <v>0.3</v>
      </c>
      <c r="J1824" s="2" t="s">
        <v>69</v>
      </c>
    </row>
    <row r="1825" spans="2:10" x14ac:dyDescent="0.3">
      <c r="B1825" s="47" t="s">
        <v>181</v>
      </c>
      <c r="C1825" t="str">
        <f>VLOOKUP($B1825,'标准费用表-2024年&amp;2025年优化'!$D:$E,2,0)</f>
        <v>正大食品（来宾）有限公司</v>
      </c>
      <c r="D1825" t="s">
        <v>122</v>
      </c>
      <c r="E1825" s="36">
        <f t="shared" si="784"/>
        <v>0.46114582734600101</v>
      </c>
      <c r="F1825" s="36">
        <f t="shared" ref="F1825" si="787">F1801</f>
        <v>1.4326360495291</v>
      </c>
      <c r="G1825">
        <v>0.2</v>
      </c>
      <c r="H1825">
        <v>0.3</v>
      </c>
      <c r="J1825" s="2" t="s">
        <v>69</v>
      </c>
    </row>
    <row r="1826" spans="2:10" x14ac:dyDescent="0.3">
      <c r="B1826" s="47" t="s">
        <v>181</v>
      </c>
      <c r="C1826" t="str">
        <f>VLOOKUP($B1826,'标准费用表-2024年&amp;2025年优化'!$D:$E,2,0)</f>
        <v>正大食品（来宾）有限公司</v>
      </c>
      <c r="D1826" t="s">
        <v>123</v>
      </c>
      <c r="E1826" s="36">
        <f t="shared" si="784"/>
        <v>0.20358413919346499</v>
      </c>
      <c r="F1826" s="36">
        <f t="shared" ref="F1826" si="788">F1802</f>
        <v>0.86063629196916802</v>
      </c>
      <c r="G1826">
        <v>0.2</v>
      </c>
      <c r="H1826">
        <v>0.3</v>
      </c>
      <c r="J1826" s="2" t="s">
        <v>69</v>
      </c>
    </row>
    <row r="1827" spans="2:10" x14ac:dyDescent="0.3">
      <c r="B1827" s="47" t="s">
        <v>181</v>
      </c>
      <c r="C1827" t="str">
        <f>VLOOKUP($B1827,'标准费用表-2024年&amp;2025年优化'!$D:$E,2,0)</f>
        <v>正大食品（来宾）有限公司</v>
      </c>
      <c r="D1827" t="s">
        <v>124</v>
      </c>
      <c r="E1827" s="36">
        <f t="shared" si="784"/>
        <v>0.63006590143916497</v>
      </c>
      <c r="F1827" s="36">
        <f t="shared" ref="F1827" si="789">F1803</f>
        <v>1.1621142398689399</v>
      </c>
      <c r="G1827">
        <v>0.2</v>
      </c>
      <c r="H1827">
        <v>0.3</v>
      </c>
      <c r="J1827" s="2" t="s">
        <v>69</v>
      </c>
    </row>
    <row r="1828" spans="2:10" x14ac:dyDescent="0.3">
      <c r="B1828" s="47" t="s">
        <v>181</v>
      </c>
      <c r="C1828" t="str">
        <f>VLOOKUP($B1828,'标准费用表-2024年&amp;2025年优化'!$D:$E,2,0)</f>
        <v>正大食品（来宾）有限公司</v>
      </c>
      <c r="D1828" t="s">
        <v>125</v>
      </c>
      <c r="E1828" s="36">
        <f t="shared" si="784"/>
        <v>1.0408195770106701</v>
      </c>
      <c r="F1828" s="36">
        <f t="shared" ref="F1828" si="790">F1804</f>
        <v>0.870176094520971</v>
      </c>
      <c r="G1828">
        <v>0.2</v>
      </c>
      <c r="H1828">
        <v>0.3</v>
      </c>
      <c r="J1828" s="2" t="s">
        <v>69</v>
      </c>
    </row>
    <row r="1829" spans="2:10" x14ac:dyDescent="0.3">
      <c r="B1829" s="47" t="s">
        <v>181</v>
      </c>
      <c r="C1829" t="str">
        <f>VLOOKUP($B1829,'标准费用表-2024年&amp;2025年优化'!$D:$E,2,0)</f>
        <v>正大食品（来宾）有限公司</v>
      </c>
      <c r="D1829" t="s">
        <v>126</v>
      </c>
      <c r="E1829" s="36">
        <f t="shared" si="784"/>
        <v>1.5098596040701</v>
      </c>
      <c r="F1829" s="36">
        <f t="shared" ref="F1829" si="791">F1805</f>
        <v>0.88668678264615997</v>
      </c>
      <c r="G1829">
        <v>0.2</v>
      </c>
      <c r="H1829">
        <v>0.3</v>
      </c>
      <c r="J1829" s="2" t="s">
        <v>69</v>
      </c>
    </row>
    <row r="1830" spans="2:10" x14ac:dyDescent="0.3">
      <c r="B1830" s="47" t="s">
        <v>181</v>
      </c>
      <c r="C1830" t="str">
        <f>VLOOKUP($B1830,'标准费用表-2024年&amp;2025年优化'!$D:$E,2,0)</f>
        <v>正大食品（来宾）有限公司</v>
      </c>
      <c r="D1830" t="s">
        <v>127</v>
      </c>
      <c r="E1830" s="36">
        <f t="shared" si="784"/>
        <v>0.88212473993456297</v>
      </c>
      <c r="F1830" s="36">
        <f t="shared" ref="F1830" si="792">F1806</f>
        <v>0.87903465134388603</v>
      </c>
      <c r="G1830">
        <v>0.2</v>
      </c>
      <c r="H1830">
        <v>0.3</v>
      </c>
      <c r="J1830" s="2" t="s">
        <v>69</v>
      </c>
    </row>
    <row r="1831" spans="2:10" x14ac:dyDescent="0.3">
      <c r="B1831" s="47" t="s">
        <v>181</v>
      </c>
      <c r="C1831" t="str">
        <f>VLOOKUP($B1831,'标准费用表-2024年&amp;2025年优化'!$D:$E,2,0)</f>
        <v>正大食品（来宾）有限公司</v>
      </c>
      <c r="D1831" t="s">
        <v>128</v>
      </c>
      <c r="E1831" s="36">
        <f t="shared" si="784"/>
        <v>0.81010810526753696</v>
      </c>
      <c r="F1831" s="36">
        <f t="shared" ref="F1831" si="793">F1807</f>
        <v>0.75385909596738798</v>
      </c>
      <c r="G1831">
        <v>0.2</v>
      </c>
      <c r="H1831">
        <v>0.3</v>
      </c>
      <c r="J1831" s="2" t="s">
        <v>69</v>
      </c>
    </row>
    <row r="1832" spans="2:10" x14ac:dyDescent="0.3">
      <c r="B1832" s="47" t="s">
        <v>181</v>
      </c>
      <c r="C1832" t="str">
        <f>VLOOKUP($B1832,'标准费用表-2024年&amp;2025年优化'!$D:$E,2,0)</f>
        <v>正大食品（来宾）有限公司</v>
      </c>
      <c r="D1832" t="s">
        <v>129</v>
      </c>
      <c r="E1832" s="36">
        <f t="shared" si="784"/>
        <v>1.03490642213025</v>
      </c>
      <c r="F1832" s="36">
        <f t="shared" ref="F1832" si="794">F1808</f>
        <v>0.52656321442114196</v>
      </c>
      <c r="G1832">
        <v>0.2</v>
      </c>
      <c r="H1832">
        <v>0.3</v>
      </c>
      <c r="J1832" s="2" t="s">
        <v>69</v>
      </c>
    </row>
    <row r="1833" spans="2:10" x14ac:dyDescent="0.3">
      <c r="B1833" s="47" t="s">
        <v>181</v>
      </c>
      <c r="C1833" t="str">
        <f>VLOOKUP($B1833,'标准费用表-2024年&amp;2025年优化'!$D:$E,2,0)</f>
        <v>正大食品（来宾）有限公司</v>
      </c>
      <c r="D1833" t="s">
        <v>130</v>
      </c>
      <c r="E1833" s="36">
        <f t="shared" si="784"/>
        <v>1.80000282171769</v>
      </c>
      <c r="F1833" s="36">
        <f t="shared" ref="F1833" si="795">F1809</f>
        <v>0.48609386503521901</v>
      </c>
      <c r="G1833">
        <v>0.2</v>
      </c>
      <c r="H1833">
        <v>0.3</v>
      </c>
      <c r="J1833" s="2" t="s">
        <v>69</v>
      </c>
    </row>
    <row r="1834" spans="2:10" x14ac:dyDescent="0.3">
      <c r="B1834" s="47" t="s">
        <v>181</v>
      </c>
      <c r="C1834" t="str">
        <f>VLOOKUP($B1834,'标准费用表-2024年&amp;2025年优化'!$D:$E,2,0)</f>
        <v>正大食品（来宾）有限公司</v>
      </c>
      <c r="D1834" t="s">
        <v>131</v>
      </c>
      <c r="E1834" s="36">
        <f t="shared" si="784"/>
        <v>0.30646041584855699</v>
      </c>
      <c r="F1834" s="36">
        <f t="shared" ref="F1834" si="796">F1810</f>
        <v>0.67027437303067505</v>
      </c>
      <c r="G1834">
        <v>0.2</v>
      </c>
      <c r="H1834">
        <v>0.3</v>
      </c>
      <c r="J1834" s="2" t="s">
        <v>69</v>
      </c>
    </row>
    <row r="1835" spans="2:10" x14ac:dyDescent="0.3">
      <c r="B1835" s="47" t="s">
        <v>181</v>
      </c>
      <c r="C1835" t="str">
        <f>VLOOKUP($B1835,'标准费用表-2024年&amp;2025年优化'!$D:$E,2,0)</f>
        <v>正大食品（来宾）有限公司</v>
      </c>
      <c r="D1835" t="s">
        <v>132</v>
      </c>
      <c r="E1835" s="36">
        <f t="shared" si="784"/>
        <v>7.0953952064272796E-2</v>
      </c>
      <c r="F1835" s="36">
        <f t="shared" ref="F1835" si="797">F1811</f>
        <v>0.61071544161621005</v>
      </c>
      <c r="G1835">
        <v>0.2</v>
      </c>
      <c r="H1835">
        <v>0.3</v>
      </c>
      <c r="J1835" s="2" t="s">
        <v>69</v>
      </c>
    </row>
    <row r="1836" spans="2:10" x14ac:dyDescent="0.3">
      <c r="B1836" s="47" t="s">
        <v>181</v>
      </c>
      <c r="C1836" t="str">
        <f>VLOOKUP($B1836,'标准费用表-2024年&amp;2025年优化'!$D:$E,2,0)</f>
        <v>正大食品（来宾）有限公司</v>
      </c>
      <c r="D1836" t="s">
        <v>133</v>
      </c>
      <c r="E1836" s="36">
        <f t="shared" si="784"/>
        <v>0.38067558334685297</v>
      </c>
      <c r="F1836" s="36">
        <f t="shared" ref="F1836" si="798">F1812</f>
        <v>0.54921605628911996</v>
      </c>
      <c r="G1836">
        <v>0.2</v>
      </c>
      <c r="H1836">
        <v>0.3</v>
      </c>
      <c r="J1836" s="2" t="s">
        <v>69</v>
      </c>
    </row>
    <row r="1837" spans="2:10" x14ac:dyDescent="0.3">
      <c r="B1837" s="47" t="s">
        <v>181</v>
      </c>
      <c r="C1837" t="str">
        <f>VLOOKUP($B1837,'标准费用表-2024年&amp;2025年优化'!$D:$E,2,0)</f>
        <v>正大食品（来宾）有限公司</v>
      </c>
      <c r="D1837" t="s">
        <v>134</v>
      </c>
      <c r="E1837" s="36">
        <f t="shared" si="784"/>
        <v>0.248993178120581</v>
      </c>
      <c r="F1837" s="36">
        <f t="shared" ref="F1837" si="799">F1813</f>
        <v>0.55164183854424298</v>
      </c>
      <c r="G1837">
        <v>0.2</v>
      </c>
      <c r="H1837">
        <v>0.3</v>
      </c>
      <c r="J1837" s="2" t="s">
        <v>69</v>
      </c>
    </row>
    <row r="1838" spans="2:10" x14ac:dyDescent="0.3">
      <c r="B1838" s="47" t="s">
        <v>181</v>
      </c>
      <c r="C1838" t="str">
        <f>VLOOKUP($B1838,'标准费用表-2024年&amp;2025年优化'!$D:$E,2,0)</f>
        <v>正大食品（来宾）有限公司</v>
      </c>
      <c r="D1838" t="s">
        <v>135</v>
      </c>
      <c r="E1838" s="36">
        <f t="shared" si="784"/>
        <v>0.16503586399246301</v>
      </c>
      <c r="F1838" s="36">
        <f t="shared" ref="F1838" si="800">F1814</f>
        <v>0.68586998936338694</v>
      </c>
      <c r="G1838">
        <v>0.2</v>
      </c>
      <c r="H1838">
        <v>0.3</v>
      </c>
      <c r="J1838" s="2" t="s">
        <v>69</v>
      </c>
    </row>
    <row r="1839" spans="2:10" x14ac:dyDescent="0.3">
      <c r="B1839" s="47" t="s">
        <v>181</v>
      </c>
      <c r="C1839" t="str">
        <f>VLOOKUP($B1839,'标准费用表-2024年&amp;2025年优化'!$D:$E,2,0)</f>
        <v>正大食品（来宾）有限公司</v>
      </c>
      <c r="D1839" t="s">
        <v>136</v>
      </c>
      <c r="E1839" s="36">
        <f t="shared" si="784"/>
        <v>2.8493806678186601E-2</v>
      </c>
      <c r="F1839" s="36">
        <f t="shared" ref="F1839" si="801">F1815</f>
        <v>0.59973616335160196</v>
      </c>
      <c r="G1839">
        <v>0.2</v>
      </c>
      <c r="H1839">
        <v>0.3</v>
      </c>
      <c r="J1839" s="2" t="s">
        <v>69</v>
      </c>
    </row>
    <row r="1840" spans="2:10" x14ac:dyDescent="0.3">
      <c r="B1840" s="47" t="s">
        <v>181</v>
      </c>
      <c r="C1840" t="str">
        <f>VLOOKUP($B1840,'标准费用表-2024年&amp;2025年优化'!$D:$E,2,0)</f>
        <v>正大食品（来宾）有限公司</v>
      </c>
      <c r="D1840" t="s">
        <v>137</v>
      </c>
      <c r="E1840" s="36">
        <f t="shared" si="784"/>
        <v>0.14911399717667001</v>
      </c>
      <c r="F1840" s="36">
        <f t="shared" ref="F1840" si="802">F1816</f>
        <v>0.43438456096689498</v>
      </c>
      <c r="G1840">
        <v>0.2</v>
      </c>
      <c r="H1840">
        <v>0.3</v>
      </c>
      <c r="J1840" s="2" t="s">
        <v>69</v>
      </c>
    </row>
    <row r="1841" spans="2:10" x14ac:dyDescent="0.3">
      <c r="B1841" s="47" t="s">
        <v>181</v>
      </c>
      <c r="C1841" t="str">
        <f>VLOOKUP($B1841,'标准费用表-2024年&amp;2025年优化'!$D:$E,2,0)</f>
        <v>正大食品（来宾）有限公司</v>
      </c>
      <c r="D1841" t="s">
        <v>138</v>
      </c>
      <c r="E1841" s="36">
        <f t="shared" si="784"/>
        <v>0.13683188255192399</v>
      </c>
      <c r="F1841" s="36">
        <f t="shared" ref="F1841" si="803">F1817</f>
        <v>1.64065322832885</v>
      </c>
      <c r="G1841">
        <v>0.2</v>
      </c>
      <c r="H1841">
        <v>0.3</v>
      </c>
      <c r="J1841" s="2" t="s">
        <v>69</v>
      </c>
    </row>
    <row r="1842" spans="2:10" x14ac:dyDescent="0.3">
      <c r="B1842" s="47" t="s">
        <v>181</v>
      </c>
      <c r="C1842" t="str">
        <f>VLOOKUP($B1842,'标准费用表-2024年&amp;2025年优化'!$D:$E,2,0)</f>
        <v>正大食品（来宾）有限公司</v>
      </c>
      <c r="D1842" t="s">
        <v>139</v>
      </c>
      <c r="E1842" s="36">
        <f t="shared" si="784"/>
        <v>0.47870784773795799</v>
      </c>
      <c r="F1842" s="36">
        <f t="shared" ref="F1842" si="804">F1818</f>
        <v>0.70563647347563996</v>
      </c>
      <c r="G1842">
        <v>0.2</v>
      </c>
      <c r="H1842">
        <v>0.3</v>
      </c>
      <c r="J1842" s="2" t="s">
        <v>69</v>
      </c>
    </row>
    <row r="1843" spans="2:10" x14ac:dyDescent="0.3">
      <c r="B1843" s="47" t="s">
        <v>181</v>
      </c>
      <c r="C1843" t="str">
        <f>VLOOKUP($B1843,'标准费用表-2024年&amp;2025年优化'!$D:$E,2,0)</f>
        <v>正大食品（来宾）有限公司</v>
      </c>
      <c r="D1843" t="s">
        <v>140</v>
      </c>
      <c r="E1843" s="36">
        <f t="shared" si="784"/>
        <v>0.56069614371431398</v>
      </c>
      <c r="F1843" s="36">
        <f t="shared" ref="F1843" si="805">F1819</f>
        <v>0.44589752500010499</v>
      </c>
      <c r="G1843">
        <v>0.2</v>
      </c>
      <c r="H1843">
        <v>0.3</v>
      </c>
      <c r="J1843" s="2" t="s">
        <v>69</v>
      </c>
    </row>
    <row r="1844" spans="2:10" x14ac:dyDescent="0.3">
      <c r="B1844" s="47" t="s">
        <v>181</v>
      </c>
      <c r="C1844" t="str">
        <f>VLOOKUP($B1844,'标准费用表-2024年&amp;2025年优化'!$D:$E,2,0)</f>
        <v>正大食品（来宾）有限公司</v>
      </c>
      <c r="D1844" t="s">
        <v>141</v>
      </c>
      <c r="E1844" s="36">
        <f t="shared" si="784"/>
        <v>0.160326517965907</v>
      </c>
      <c r="F1844" s="36">
        <f t="shared" ref="F1844" si="806">F1820</f>
        <v>0.36971828961979503</v>
      </c>
      <c r="G1844">
        <v>0.2</v>
      </c>
      <c r="H1844">
        <v>0.3</v>
      </c>
      <c r="J1844" s="2" t="s">
        <v>69</v>
      </c>
    </row>
    <row r="1845" spans="2:10" x14ac:dyDescent="0.3">
      <c r="B1845" s="47" t="s">
        <v>181</v>
      </c>
      <c r="C1845" t="str">
        <f>VLOOKUP($B1845,'标准费用表-2024年&amp;2025年优化'!$D:$E,2,0)</f>
        <v>正大食品（来宾）有限公司</v>
      </c>
      <c r="D1845" t="s">
        <v>142</v>
      </c>
      <c r="E1845" s="36">
        <f t="shared" si="784"/>
        <v>4.77014610853502E-2</v>
      </c>
      <c r="F1845" s="36">
        <f t="shared" ref="F1845" si="807">F1821</f>
        <v>0.14674239566060601</v>
      </c>
      <c r="G1845">
        <v>0.2</v>
      </c>
      <c r="H1845">
        <v>0.3</v>
      </c>
      <c r="J1845" s="2" t="s">
        <v>69</v>
      </c>
    </row>
    <row r="1846" spans="2:10" x14ac:dyDescent="0.3">
      <c r="B1846" s="47" t="s">
        <v>183</v>
      </c>
      <c r="C1846" t="str">
        <f>VLOOKUP($B1846,'标准费用表-2024年&amp;2025年优化'!$D:$E,2,0)</f>
        <v>贵州正大农牧食品有限公司</v>
      </c>
      <c r="D1846" t="s">
        <v>41</v>
      </c>
      <c r="E1846" s="46">
        <f>IFERROR(VLOOKUP($B1846,'标准费用表-2024年&amp;2025年优化'!$D:$K,8,0)*VLOOKUP('5.成本表'!$D1846,系数辅助表!$C:$G,5,0)/VLOOKUP($D1846,系数辅助表!$C:$E,3,0),0)</f>
        <v>0.63693638420655696</v>
      </c>
      <c r="I1846" s="36">
        <f>VLOOKUP($D1846,系数辅助表!$C:$F,4,0)</f>
        <v>1.33</v>
      </c>
      <c r="J1846" s="2" t="s">
        <v>41</v>
      </c>
    </row>
    <row r="1847" spans="2:10" x14ac:dyDescent="0.3">
      <c r="B1847" s="47" t="s">
        <v>183</v>
      </c>
      <c r="C1847" t="str">
        <f>VLOOKUP($B1847,'标准费用表-2024年&amp;2025年优化'!$D:$E,2,0)</f>
        <v>贵州正大农牧食品有限公司</v>
      </c>
      <c r="D1847" t="s">
        <v>44</v>
      </c>
      <c r="E1847" s="46">
        <f>IFERROR(VLOOKUP($B1847,'标准费用表-2024年&amp;2025年优化'!$D:$K,8,0)*系数辅助表!$J$6*VLOOKUP('5.成本表'!$D1847,系数辅助表!$C:$G,5,0)/VLOOKUP($D1847,系数辅助表!$C:$E,3,0),0)</f>
        <v>0.36429030361317599</v>
      </c>
      <c r="I1847" s="36">
        <f>VLOOKUP($D1847,系数辅助表!$C:$F,4,0)</f>
        <v>0.789027855994753</v>
      </c>
      <c r="J1847" s="2" t="s">
        <v>200</v>
      </c>
    </row>
    <row r="1848" spans="2:10" x14ac:dyDescent="0.3">
      <c r="B1848" s="47" t="s">
        <v>183</v>
      </c>
      <c r="C1848" t="str">
        <f>VLOOKUP($B1848,'标准费用表-2024年&amp;2025年优化'!$D:$E,2,0)</f>
        <v>贵州正大农牧食品有限公司</v>
      </c>
      <c r="D1848" t="s">
        <v>45</v>
      </c>
      <c r="E1848" s="46">
        <f>IFERROR(VLOOKUP($B1848,'标准费用表-2024年&amp;2025年优化'!$D:$K,8,0)*系数辅助表!$J$6*VLOOKUP('5.成本表'!$D1848,系数辅助表!$C:$G,5,0)/VLOOKUP($D1848,系数辅助表!$C:$E,3,0),0)</f>
        <v>0.97361086565095101</v>
      </c>
      <c r="I1848" s="36">
        <f>VLOOKUP($D1848,系数辅助表!$C:$F,4,0)</f>
        <v>2.1087744754070901</v>
      </c>
      <c r="J1848" s="2" t="s">
        <v>200</v>
      </c>
    </row>
    <row r="1849" spans="2:10" x14ac:dyDescent="0.3">
      <c r="B1849" s="47" t="s">
        <v>183</v>
      </c>
      <c r="C1849" t="str">
        <f>VLOOKUP($B1849,'标准费用表-2024年&amp;2025年优化'!$D:$E,2,0)</f>
        <v>贵州正大农牧食品有限公司</v>
      </c>
      <c r="D1849" t="s">
        <v>46</v>
      </c>
      <c r="E1849" s="46">
        <f>IFERROR(VLOOKUP($B1849,'标准费用表-2024年&amp;2025年优化'!$D:$K,8,0)*系数辅助表!$J$6*VLOOKUP('5.成本表'!$D1849,系数辅助表!$C:$G,5,0)/VLOOKUP($D1849,系数辅助表!$C:$E,3,0),0)</f>
        <v>1.80205048494982</v>
      </c>
      <c r="I1849" s="36">
        <f>VLOOKUP($D1849,系数辅助表!$C:$F,4,0)</f>
        <v>3.9031179705625099</v>
      </c>
      <c r="J1849" s="2" t="s">
        <v>200</v>
      </c>
    </row>
    <row r="1850" spans="2:10" x14ac:dyDescent="0.3">
      <c r="B1850" s="47" t="s">
        <v>183</v>
      </c>
      <c r="C1850" t="str">
        <f>VLOOKUP($B1850,'标准费用表-2024年&amp;2025年优化'!$D:$E,2,0)</f>
        <v>贵州正大农牧食品有限公司</v>
      </c>
      <c r="D1850" t="s">
        <v>47</v>
      </c>
      <c r="E1850" s="46">
        <f>IFERROR(VLOOKUP($B1850,'标准费用表-2024年&amp;2025年优化'!$D:$K,8,0)*系数辅助表!$J$6*VLOOKUP('5.成本表'!$D1850,系数辅助表!$C:$G,5,0)/VLOOKUP($D1850,系数辅助表!$C:$E,3,0),0)</f>
        <v>0.378710096275438</v>
      </c>
      <c r="I1850" s="36">
        <f>VLOOKUP($D1850,系数辅助表!$C:$F,4,0)</f>
        <v>0.82026013963048305</v>
      </c>
      <c r="J1850" s="2" t="s">
        <v>200</v>
      </c>
    </row>
    <row r="1851" spans="2:10" x14ac:dyDescent="0.3">
      <c r="B1851" s="47" t="s">
        <v>183</v>
      </c>
      <c r="C1851" t="str">
        <f>VLOOKUP($B1851,'标准费用表-2024年&amp;2025年优化'!$D:$E,2,0)</f>
        <v>贵州正大农牧食品有限公司</v>
      </c>
      <c r="D1851" t="s">
        <v>48</v>
      </c>
      <c r="E1851" s="46">
        <f>IFERROR(VLOOKUP($B1851,'标准费用表-2024年&amp;2025年优化'!$D:$K,8,0)*系数辅助表!$J$6*VLOOKUP('5.成本表'!$D1851,系数辅助表!$C:$G,5,0)/VLOOKUP($D1851,系数辅助表!$C:$E,3,0),0)</f>
        <v>0.16719086324131699</v>
      </c>
      <c r="I1851" s="36">
        <f>VLOOKUP($D1851,系数辅助表!$C:$F,4,0)</f>
        <v>0.36212396283071502</v>
      </c>
      <c r="J1851" s="2" t="s">
        <v>200</v>
      </c>
    </row>
    <row r="1852" spans="2:10" x14ac:dyDescent="0.3">
      <c r="B1852" s="47" t="s">
        <v>183</v>
      </c>
      <c r="C1852" t="str">
        <f>VLOOKUP($B1852,'标准费用表-2024年&amp;2025年优化'!$D:$E,2,0)</f>
        <v>贵州正大农牧食品有限公司</v>
      </c>
      <c r="D1852" t="s">
        <v>49</v>
      </c>
      <c r="E1852" s="46">
        <f>IFERROR(VLOOKUP($B1852,'标准费用表-2024年&amp;2025年优化'!$D:$K,8,0)*系数辅助表!$J$6*VLOOKUP('5.成本表'!$D1852,系数辅助表!$C:$G,5,0)/VLOOKUP($D1852,系数辅助表!$C:$E,3,0),0)</f>
        <v>0.51743354063759905</v>
      </c>
      <c r="I1852" s="36">
        <f>VLOOKUP($D1852,系数辅助表!$C:$F,4,0)</f>
        <v>1.1207256222295201</v>
      </c>
      <c r="J1852" s="2" t="s">
        <v>200</v>
      </c>
    </row>
    <row r="1853" spans="2:10" x14ac:dyDescent="0.3">
      <c r="B1853" s="47" t="s">
        <v>183</v>
      </c>
      <c r="C1853" t="str">
        <f>VLOOKUP($B1853,'标准费用表-2024年&amp;2025年优化'!$D:$E,2,0)</f>
        <v>贵州正大农牧食品有限公司</v>
      </c>
      <c r="D1853" t="s">
        <v>50</v>
      </c>
      <c r="E1853" s="46">
        <f>IFERROR(VLOOKUP($B1853,'标准费用表-2024年&amp;2025年优化'!$D:$K,8,0)*系数辅助表!$J$6*VLOOKUP('5.成本表'!$D1853,系数辅助表!$C:$G,5,0)/VLOOKUP($D1853,系数辅助表!$C:$E,3,0),0)</f>
        <v>0.85475972857350402</v>
      </c>
      <c r="I1853" s="36">
        <f>VLOOKUP($D1853,系数辅助表!$C:$F,4,0)</f>
        <v>1.8513510498021799</v>
      </c>
      <c r="J1853" s="2" t="s">
        <v>200</v>
      </c>
    </row>
    <row r="1854" spans="2:10" x14ac:dyDescent="0.3">
      <c r="B1854" s="47" t="s">
        <v>183</v>
      </c>
      <c r="C1854" t="str">
        <f>VLOOKUP($B1854,'标准费用表-2024年&amp;2025年优化'!$D:$E,2,0)</f>
        <v>贵州正大农牧食品有限公司</v>
      </c>
      <c r="D1854" t="s">
        <v>51</v>
      </c>
      <c r="E1854" s="46">
        <f>IFERROR(VLOOKUP($B1854,'标准费用表-2024年&amp;2025年优化'!$D:$K,8,0)*系数辅助表!$J$6*VLOOKUP('5.成本表'!$D1854,系数辅助表!$C:$G,5,0)/VLOOKUP($D1854,系数辅助表!$C:$E,3,0),0)</f>
        <v>1.23995283511642</v>
      </c>
      <c r="I1854" s="36">
        <f>VLOOKUP($D1854,系数辅助表!$C:$F,4,0)</f>
        <v>2.68565294580391</v>
      </c>
      <c r="J1854" s="2" t="s">
        <v>200</v>
      </c>
    </row>
    <row r="1855" spans="2:10" x14ac:dyDescent="0.3">
      <c r="B1855" s="47" t="s">
        <v>183</v>
      </c>
      <c r="C1855" t="str">
        <f>VLOOKUP($B1855,'标准费用表-2024年&amp;2025年优化'!$D:$E,2,0)</f>
        <v>贵州正大农牧食品有限公司</v>
      </c>
      <c r="D1855" t="s">
        <v>52</v>
      </c>
      <c r="E1855" s="46">
        <f>IFERROR(VLOOKUP($B1855,'标准费用表-2024年&amp;2025年优化'!$D:$K,8,0)*系数辅助表!$J$6*VLOOKUP('5.成本表'!$D1855,系数辅助表!$C:$G,5,0)/VLOOKUP($D1855,系数辅助表!$C:$E,3,0),0)</f>
        <v>0.72443362896767305</v>
      </c>
      <c r="I1855" s="36">
        <f>VLOOKUP($D1855,系数辅助表!$C:$F,4,0)</f>
        <v>1.5690736410097099</v>
      </c>
      <c r="J1855" s="2" t="s">
        <v>200</v>
      </c>
    </row>
    <row r="1856" spans="2:10" x14ac:dyDescent="0.3">
      <c r="B1856" s="47" t="s">
        <v>183</v>
      </c>
      <c r="C1856" t="str">
        <f>VLOOKUP($B1856,'标准费用表-2024年&amp;2025年优化'!$D:$E,2,0)</f>
        <v>贵州正大农牧食品有限公司</v>
      </c>
      <c r="D1856" t="s">
        <v>53</v>
      </c>
      <c r="E1856" s="46">
        <f>IFERROR(VLOOKUP($B1856,'标准费用表-2024年&amp;2025年优化'!$D:$K,8,0)*系数辅助表!$J$6*VLOOKUP('5.成本表'!$D1856,系数辅助表!$C:$G,5,0)/VLOOKUP($D1856,系数辅助表!$C:$E,3,0),0)</f>
        <v>0.66529089139776598</v>
      </c>
      <c r="I1856" s="36">
        <f>VLOOKUP($D1856,系数辅助表!$C:$F,4,0)</f>
        <v>1.44097452072131</v>
      </c>
      <c r="J1856" s="2" t="s">
        <v>200</v>
      </c>
    </row>
    <row r="1857" spans="2:10" x14ac:dyDescent="0.3">
      <c r="B1857" s="47" t="s">
        <v>183</v>
      </c>
      <c r="C1857" t="str">
        <f>VLOOKUP($B1857,'标准费用表-2024年&amp;2025年优化'!$D:$E,2,0)</f>
        <v>贵州正大农牧食品有限公司</v>
      </c>
      <c r="D1857" t="s">
        <v>54</v>
      </c>
      <c r="E1857" s="46">
        <f>IFERROR(VLOOKUP($B1857,'标准费用表-2024年&amp;2025年优化'!$D:$K,8,0)*系数辅助表!$J$6*VLOOKUP('5.成本表'!$D1857,系数辅助表!$C:$G,5,0)/VLOOKUP($D1857,系数辅助表!$C:$E,3,0),0)</f>
        <v>0.84990362596721203</v>
      </c>
      <c r="I1857" s="36">
        <f>VLOOKUP($D1857,系数辅助表!$C:$F,4,0)</f>
        <v>1.8408330640366199</v>
      </c>
      <c r="J1857" s="2" t="s">
        <v>200</v>
      </c>
    </row>
    <row r="1858" spans="2:10" x14ac:dyDescent="0.3">
      <c r="B1858" s="47" t="s">
        <v>183</v>
      </c>
      <c r="C1858" t="str">
        <f>VLOOKUP($B1858,'标准费用表-2024年&amp;2025年优化'!$D:$E,2,0)</f>
        <v>贵州正大农牧食品有限公司</v>
      </c>
      <c r="D1858" t="s">
        <v>55</v>
      </c>
      <c r="E1858" s="46">
        <f>IFERROR(VLOOKUP($B1858,'标准费用表-2024年&amp;2025年优化'!$D:$K,8,0)*系数辅助表!$J$6*VLOOKUP('5.成本表'!$D1858,系数辅助表!$C:$G,5,0)/VLOOKUP($D1858,系数辅助表!$C:$E,3,0),0)</f>
        <v>1.4782292313734799</v>
      </c>
      <c r="I1858" s="36">
        <f>VLOOKUP($D1858,系数辅助表!$C:$F,4,0)</f>
        <v>3.2017433061789502</v>
      </c>
      <c r="J1858" s="2" t="s">
        <v>200</v>
      </c>
    </row>
    <row r="1859" spans="2:10" x14ac:dyDescent="0.3">
      <c r="B1859" s="47" t="s">
        <v>183</v>
      </c>
      <c r="C1859" t="str">
        <f>VLOOKUP($B1859,'标准费用表-2024年&amp;2025年优化'!$D:$E,2,0)</f>
        <v>贵州正大农牧食品有限公司</v>
      </c>
      <c r="D1859" t="s">
        <v>56</v>
      </c>
      <c r="E1859" s="46">
        <f>IFERROR(VLOOKUP($B1859,'标准费用表-2024年&amp;2025年优化'!$D:$K,8,0)*系数辅助表!$J$6*VLOOKUP('5.成本表'!$D1859,系数辅助表!$C:$G,5,0)/VLOOKUP($D1859,系数辅助表!$C:$E,3,0),0)</f>
        <v>0.25167668600313903</v>
      </c>
      <c r="I1859" s="36">
        <f>VLOOKUP($D1859,系数辅助表!$C:$F,4,0)</f>
        <v>0.54511447049599404</v>
      </c>
      <c r="J1859" s="2" t="s">
        <v>200</v>
      </c>
    </row>
    <row r="1860" spans="2:10" x14ac:dyDescent="0.3">
      <c r="B1860" s="47" t="s">
        <v>183</v>
      </c>
      <c r="C1860" t="str">
        <f>VLOOKUP($B1860,'标准费用表-2024年&amp;2025年优化'!$D:$E,2,0)</f>
        <v>贵州正大农牧食品有限公司</v>
      </c>
      <c r="D1860" t="s">
        <v>57</v>
      </c>
      <c r="E1860" s="46">
        <f>IFERROR(VLOOKUP($B1860,'标准费用表-2024年&amp;2025年优化'!$D:$K,8,0)*系数辅助表!$J$6*VLOOKUP('5.成本表'!$D1860,系数辅助表!$C:$G,5,0)/VLOOKUP($D1860,系数辅助表!$C:$E,3,0),0)</f>
        <v>5.8270023111847501E-2</v>
      </c>
      <c r="I1860" s="36">
        <f>VLOOKUP($D1860,系数辅助表!$C:$F,4,0)</f>
        <v>0.126208880523832</v>
      </c>
      <c r="J1860" s="2" t="s">
        <v>200</v>
      </c>
    </row>
    <row r="1861" spans="2:10" x14ac:dyDescent="0.3">
      <c r="B1861" s="47" t="s">
        <v>183</v>
      </c>
      <c r="C1861" t="str">
        <f>VLOOKUP($B1861,'标准费用表-2024年&amp;2025年优化'!$D:$E,2,0)</f>
        <v>贵州正大农牧食品有限公司</v>
      </c>
      <c r="D1861" t="s">
        <v>58</v>
      </c>
      <c r="E1861" s="46">
        <f>IFERROR(VLOOKUP($B1861,'标准费用表-2024年&amp;2025年优化'!$D:$K,8,0)*系数辅助表!$J$6*VLOOKUP('5.成本表'!$D1861,系数辅助表!$C:$G,5,0)/VLOOKUP($D1861,系数辅助表!$C:$E,3,0),0)</f>
        <v>0.31262494046341299</v>
      </c>
      <c r="I1861" s="36">
        <f>VLOOKUP($D1861,系数辅助表!$C:$F,4,0)</f>
        <v>0.67712421675176204</v>
      </c>
      <c r="J1861" s="2" t="s">
        <v>200</v>
      </c>
    </row>
    <row r="1862" spans="2:10" x14ac:dyDescent="0.3">
      <c r="B1862" s="47" t="s">
        <v>183</v>
      </c>
      <c r="C1862" t="str">
        <f>VLOOKUP($B1862,'标准费用表-2024年&amp;2025年优化'!$D:$E,2,0)</f>
        <v>贵州正大农牧食品有限公司</v>
      </c>
      <c r="D1862" t="s">
        <v>59</v>
      </c>
      <c r="E1862" s="46">
        <f>IFERROR(VLOOKUP($B1862,'标准费用表-2024年&amp;2025年优化'!$D:$K,8,0)*系数辅助表!$J$6*VLOOKUP('5.成本表'!$D1862,系数辅助表!$C:$G,5,0)/VLOOKUP($D1862,系数辅助表!$C:$E,3,0),0)</f>
        <v>0.20448245406592599</v>
      </c>
      <c r="I1862" s="36">
        <f>VLOOKUP($D1862,系数辅助表!$C:$F,4,0)</f>
        <v>0.44289499533730498</v>
      </c>
      <c r="J1862" s="2" t="s">
        <v>200</v>
      </c>
    </row>
    <row r="1863" spans="2:10" x14ac:dyDescent="0.3">
      <c r="B1863" s="47" t="s">
        <v>183</v>
      </c>
      <c r="C1863" t="str">
        <f>VLOOKUP($B1863,'标准费用表-2024年&amp;2025年优化'!$D:$E,2,0)</f>
        <v>贵州正大农牧食品有限公司</v>
      </c>
      <c r="D1863" t="s">
        <v>60</v>
      </c>
      <c r="E1863" s="46">
        <f>IFERROR(VLOOKUP($B1863,'标准费用表-2024年&amp;2025年优化'!$D:$K,8,0)*系数辅助表!$J$6*VLOOKUP('5.成本表'!$D1863,系数辅助表!$C:$G,5,0)/VLOOKUP($D1863,系数辅助表!$C:$E,3,0),0)</f>
        <v>0.13553358663395401</v>
      </c>
      <c r="I1863" s="36">
        <f>VLOOKUP($D1863,系数辅助表!$C:$F,4,0)</f>
        <v>0.29355646915769201</v>
      </c>
      <c r="J1863" s="2" t="s">
        <v>200</v>
      </c>
    </row>
    <row r="1864" spans="2:10" x14ac:dyDescent="0.3">
      <c r="B1864" s="47" t="s">
        <v>183</v>
      </c>
      <c r="C1864" t="str">
        <f>VLOOKUP($B1864,'标准费用表-2024年&amp;2025年优化'!$D:$E,2,0)</f>
        <v>贵州正大农牧食品有限公司</v>
      </c>
      <c r="D1864" t="s">
        <v>61</v>
      </c>
      <c r="E1864" s="46">
        <f>IFERROR(VLOOKUP($B1864,'标准费用表-2024年&amp;2025年优化'!$D:$K,8,0)*系数辅助表!$J$6*VLOOKUP('5.成本表'!$D1864,系数辅助表!$C:$G,5,0)/VLOOKUP($D1864,系数辅助表!$C:$E,3,0),0)</f>
        <v>2.3400173286731801E-2</v>
      </c>
      <c r="I1864" s="36">
        <f>VLOOKUP($D1864,系数辅助表!$C:$F,4,0)</f>
        <v>5.0683173214352499E-2</v>
      </c>
      <c r="J1864" s="2" t="s">
        <v>200</v>
      </c>
    </row>
    <row r="1865" spans="2:10" x14ac:dyDescent="0.3">
      <c r="B1865" s="47" t="s">
        <v>183</v>
      </c>
      <c r="C1865" t="str">
        <f>VLOOKUP($B1865,'标准费用表-2024年&amp;2025年优化'!$D:$E,2,0)</f>
        <v>贵州正大农牧食品有限公司</v>
      </c>
      <c r="D1865" t="s">
        <v>62</v>
      </c>
      <c r="E1865" s="46">
        <f>IFERROR(VLOOKUP($B1865,'标准费用表-2024年&amp;2025年优化'!$D:$K,8,0)*系数辅助表!$J$6*VLOOKUP('5.成本表'!$D1865,系数辅助表!$C:$G,5,0)/VLOOKUP($D1865,系数辅助表!$C:$E,3,0),0)</f>
        <v>0.122457957717617</v>
      </c>
      <c r="I1865" s="36">
        <f>VLOOKUP($D1865,系数辅助表!$C:$F,4,0)</f>
        <v>0.26523555216563399</v>
      </c>
      <c r="J1865" s="2" t="s">
        <v>200</v>
      </c>
    </row>
    <row r="1866" spans="2:10" x14ac:dyDescent="0.3">
      <c r="B1866" s="47" t="s">
        <v>183</v>
      </c>
      <c r="C1866" t="str">
        <f>VLOOKUP($B1866,'标准费用表-2024年&amp;2025年优化'!$D:$E,2,0)</f>
        <v>贵州正大农牧食品有限公司</v>
      </c>
      <c r="D1866" t="s">
        <v>63</v>
      </c>
      <c r="E1866" s="46">
        <f>IFERROR(VLOOKUP($B1866,'标准费用表-2024年&amp;2025年优化'!$D:$K,8,0)*系数辅助表!$J$6*VLOOKUP('5.成本表'!$D1866,系数辅助表!$C:$G,5,0)/VLOOKUP($D1866,系数辅助表!$C:$E,3,0),0)</f>
        <v>0.112371428606483</v>
      </c>
      <c r="I1866" s="36">
        <f>VLOOKUP($D1866,系数辅助表!$C:$F,4,0)</f>
        <v>0.24338882069886</v>
      </c>
      <c r="J1866" s="2" t="s">
        <v>200</v>
      </c>
    </row>
    <row r="1867" spans="2:10" x14ac:dyDescent="0.3">
      <c r="B1867" s="47" t="s">
        <v>183</v>
      </c>
      <c r="C1867" t="str">
        <f>VLOOKUP($B1867,'标准费用表-2024年&amp;2025年优化'!$D:$E,2,0)</f>
        <v>贵州正大农牧食品有限公司</v>
      </c>
      <c r="D1867" t="s">
        <v>64</v>
      </c>
      <c r="E1867" s="46">
        <f>IFERROR(VLOOKUP($B1867,'标准费用表-2024年&amp;2025年优化'!$D:$K,8,0)*系数辅助表!$J$6*VLOOKUP('5.成本表'!$D1867,系数辅助表!$C:$G,5,0)/VLOOKUP($D1867,系数辅助表!$C:$E,3,0),0)</f>
        <v>0.393132680280386</v>
      </c>
      <c r="I1867" s="36">
        <f>VLOOKUP($D1867,系数辅助表!$C:$F,4,0)</f>
        <v>0.85149846912336002</v>
      </c>
      <c r="J1867" s="2" t="s">
        <v>200</v>
      </c>
    </row>
    <row r="1868" spans="2:10" x14ac:dyDescent="0.3">
      <c r="B1868" s="47" t="s">
        <v>183</v>
      </c>
      <c r="C1868" t="str">
        <f>VLOOKUP($B1868,'标准费用表-2024年&amp;2025年优化'!$D:$E,2,0)</f>
        <v>贵州正大农牧食品有限公司</v>
      </c>
      <c r="D1868" t="s">
        <v>65</v>
      </c>
      <c r="E1868" s="46">
        <f>IFERROR(VLOOKUP($B1868,'标准费用表-2024年&amp;2025年优化'!$D:$K,8,0)*系数辅助表!$J$6*VLOOKUP('5.成本表'!$D1868,系数辅助表!$C:$G,5,0)/VLOOKUP($D1868,系数辅助表!$C:$E,3,0),0)</f>
        <v>0.460464516808895</v>
      </c>
      <c r="I1868" s="36">
        <f>VLOOKUP($D1868,系数辅助表!$C:$F,4,0)</f>
        <v>0.99733461707829196</v>
      </c>
      <c r="J1868" s="2" t="s">
        <v>200</v>
      </c>
    </row>
    <row r="1869" spans="2:10" x14ac:dyDescent="0.3">
      <c r="B1869" s="47" t="s">
        <v>183</v>
      </c>
      <c r="C1869" t="str">
        <f>VLOOKUP($B1869,'标准费用表-2024年&amp;2025年优化'!$D:$E,2,0)</f>
        <v>贵州正大农牧食品有限公司</v>
      </c>
      <c r="D1869" t="s">
        <v>66</v>
      </c>
      <c r="E1869" s="46">
        <f>IFERROR(VLOOKUP($B1869,'标准费用表-2024年&amp;2025年优化'!$D:$K,8,0)*系数辅助表!$J$6*VLOOKUP('5.成本表'!$D1869,系数辅助表!$C:$G,5,0)/VLOOKUP($D1869,系数辅助表!$C:$E,3,0),0)</f>
        <v>0.13166609660943099</v>
      </c>
      <c r="I1869" s="36">
        <f>VLOOKUP($D1869,系数辅助表!$C:$F,4,0)</f>
        <v>0.28517975055754302</v>
      </c>
      <c r="J1869" s="2" t="s">
        <v>200</v>
      </c>
    </row>
    <row r="1870" spans="2:10" x14ac:dyDescent="0.3">
      <c r="B1870" s="47" t="s">
        <v>183</v>
      </c>
      <c r="C1870" t="str">
        <f>VLOOKUP($B1870,'标准费用表-2024年&amp;2025年优化'!$D:$E,2,0)</f>
        <v>贵州正大农牧食品有限公司</v>
      </c>
      <c r="D1870" t="s">
        <v>67</v>
      </c>
      <c r="E1870" s="46">
        <f>IFERROR(VLOOKUP($B1870,'标准费用表-2024年&amp;2025年优化'!$D:$K,8,0)*系数辅助表!$J$6*VLOOKUP('5.成本表'!$D1870,系数辅助表!$C:$G,5,0)/VLOOKUP($D1870,系数辅助表!$C:$E,3,0),0)</f>
        <v>3.9174213120566098E-2</v>
      </c>
      <c r="I1870" s="36">
        <f>VLOOKUP($D1870,系数辅助表!$C:$F,4,0)</f>
        <v>8.4848663503333893E-2</v>
      </c>
      <c r="J1870" s="2" t="s">
        <v>200</v>
      </c>
    </row>
    <row r="1871" spans="2:10" x14ac:dyDescent="0.3">
      <c r="B1871" s="47" t="s">
        <v>183</v>
      </c>
      <c r="C1871" t="str">
        <f>VLOOKUP($B1871,'标准费用表-2024年&amp;2025年优化'!$D:$E,2,0)</f>
        <v>贵州正大农牧食品有限公司</v>
      </c>
      <c r="D1871" t="s">
        <v>68</v>
      </c>
      <c r="E1871" s="36">
        <f>IFERROR(VLOOKUP($B1871,'标准费用表-2024年&amp;2025年优化'!$D:$K,8,0)*VLOOKUP("白条",系数辅助表!$C:$G,5,0)*VLOOKUP('5.成本表'!$D1871,系数辅助表!$C:$G,5,0)/VLOOKUP('5.成本表'!$D1871,系数辅助表!$C:$E,3,0),)</f>
        <v>0.95464116939768295</v>
      </c>
      <c r="F1871" s="36">
        <f>IFERROR(VLOOKUP($B1871,'标准费用表-2024年&amp;2025年优化'!$D:$L,9,0)*VLOOKUP('5.成本表'!$D1871,系数辅助表!$C:$G,5,0)/VLOOKUP($D1871,系数辅助表!$C:$E,3,0),0)</f>
        <v>0</v>
      </c>
      <c r="I1871" s="36">
        <f>VLOOKUP($D1871,系数辅助表!$C:$F,4,0)</f>
        <v>2.2799999999999998</v>
      </c>
      <c r="J1871" s="2" t="s">
        <v>69</v>
      </c>
    </row>
    <row r="1872" spans="2:10" x14ac:dyDescent="0.3">
      <c r="B1872" s="47" t="s">
        <v>183</v>
      </c>
      <c r="C1872" t="str">
        <f>VLOOKUP($B1872,'标准费用表-2024年&amp;2025年优化'!$D:$E,2,0)</f>
        <v>贵州正大农牧食品有限公司</v>
      </c>
      <c r="D1872" t="s">
        <v>70</v>
      </c>
      <c r="E1872" s="36">
        <f>IFERROR(VLOOKUP($B1872,'标准费用表-2024年&amp;2025年优化'!$D:$K,8,0)*VLOOKUP("白条",系数辅助表!$C:$G,5,0)*VLOOKUP('5.成本表'!$D1872,系数辅助表!$C:$G,5,0)/VLOOKUP('5.成本表'!$D1872,系数辅助表!$C:$E,3,0),)</f>
        <v>0.63798640942547202</v>
      </c>
      <c r="F1872" s="36">
        <f>IFERROR(VLOOKUP($B1872,'标准费用表-2024年&amp;2025年优化'!$D:$L,9,0)*VLOOKUP('5.成本表'!$D1872,系数辅助表!$C:$G,5,0)/VLOOKUP($D1872,系数辅助表!$C:$E,3,0),0)</f>
        <v>0</v>
      </c>
      <c r="I1872" s="36">
        <f>VLOOKUP($D1872,系数辅助表!$C:$F,4,0)</f>
        <v>1.5237233215154999</v>
      </c>
      <c r="J1872" s="2" t="s">
        <v>69</v>
      </c>
    </row>
    <row r="1873" spans="2:10" x14ac:dyDescent="0.3">
      <c r="B1873" s="47" t="s">
        <v>183</v>
      </c>
      <c r="C1873" t="str">
        <f>VLOOKUP($B1873,'标准费用表-2024年&amp;2025年优化'!$D:$E,2,0)</f>
        <v>贵州正大农牧食品有限公司</v>
      </c>
      <c r="D1873" t="s">
        <v>71</v>
      </c>
      <c r="E1873" s="36">
        <f>IFERROR(VLOOKUP($B1873,'标准费用表-2024年&amp;2025年优化'!$D:$K,8,0)*VLOOKUP("白条",系数辅助表!$C:$G,5,0)*VLOOKUP('5.成本表'!$D1873,系数辅助表!$C:$G,5,0)/VLOOKUP('5.成本表'!$D1873,系数辅助表!$C:$E,3,0),)</f>
        <v>1.68848238229771</v>
      </c>
      <c r="F1873" s="36">
        <f>IFERROR(VLOOKUP($B1873,'标准费用表-2024年&amp;2025年优化'!$D:$L,9,0)*VLOOKUP('5.成本表'!$D1873,系数辅助表!$C:$G,5,0)/VLOOKUP($D1873,系数辅助表!$C:$E,3,0),0)</f>
        <v>0</v>
      </c>
      <c r="I1873" s="36">
        <f>VLOOKUP($D1873,系数辅助表!$C:$F,4,0)</f>
        <v>4.0326564106466396</v>
      </c>
      <c r="J1873" s="2" t="s">
        <v>69</v>
      </c>
    </row>
    <row r="1874" spans="2:10" x14ac:dyDescent="0.3">
      <c r="B1874" s="47" t="s">
        <v>183</v>
      </c>
      <c r="C1874" t="str">
        <f>VLOOKUP($B1874,'标准费用表-2024年&amp;2025年优化'!$D:$E,2,0)</f>
        <v>贵州正大农牧食品有限公司</v>
      </c>
      <c r="D1874" t="s">
        <v>72</v>
      </c>
      <c r="E1874" s="36">
        <f>IFERROR(VLOOKUP($B1874,'标准费用表-2024年&amp;2025年优化'!$D:$K,8,0)*VLOOKUP("白条",系数辅助表!$C:$G,5,0)*VLOOKUP('5.成本表'!$D1874,系数辅助表!$C:$G,5,0)/VLOOKUP('5.成本表'!$D1874,系数辅助表!$C:$E,3,0),)</f>
        <v>0.98335575986490698</v>
      </c>
      <c r="F1874" s="36">
        <f>IFERROR(VLOOKUP($B1874,'标准费用表-2024年&amp;2025年优化'!$D:$L,9,0)*VLOOKUP('5.成本表'!$D1874,系数辅助表!$C:$G,5,0)/VLOOKUP($D1874,系数辅助表!$C:$E,3,0),0)</f>
        <v>0</v>
      </c>
      <c r="I1874" s="36">
        <f>VLOOKUP($D1874,系数辅助表!$C:$F,4,0)</f>
        <v>2.34857997367385</v>
      </c>
      <c r="J1874" s="2" t="s">
        <v>69</v>
      </c>
    </row>
    <row r="1875" spans="2:10" x14ac:dyDescent="0.3">
      <c r="B1875" s="47" t="s">
        <v>183</v>
      </c>
      <c r="C1875" t="str">
        <f>VLOOKUP($B1875,'标准费用表-2024年&amp;2025年优化'!$D:$E,2,0)</f>
        <v>贵州正大农牧食品有限公司</v>
      </c>
      <c r="D1875" t="s">
        <v>73</v>
      </c>
      <c r="E1875" s="36">
        <f>IFERROR(VLOOKUP($B1875,'标准费用表-2024年&amp;2025年优化'!$D:$K,8,0)*VLOOKUP("白条",系数辅助表!$C:$G,5,0)*VLOOKUP('5.成本表'!$D1875,系数辅助表!$C:$G,5,0)/VLOOKUP('5.成本表'!$D1875,系数辅助表!$C:$E,3,0),)</f>
        <v>0.59073737194791198</v>
      </c>
      <c r="F1875" s="36">
        <f>IFERROR(VLOOKUP($B1875,'标准费用表-2024年&amp;2025年优化'!$D:$L,9,0)*VLOOKUP('5.成本表'!$D1875,系数辅助表!$C:$G,5,0)/VLOOKUP($D1875,系数辅助表!$C:$E,3,0),0)</f>
        <v>0</v>
      </c>
      <c r="I1875" s="36">
        <f>VLOOKUP($D1875,系数辅助表!$C:$F,4,0)</f>
        <v>1.41087693598112</v>
      </c>
      <c r="J1875" s="2" t="s">
        <v>69</v>
      </c>
    </row>
    <row r="1876" spans="2:10" x14ac:dyDescent="0.3">
      <c r="B1876" s="47" t="s">
        <v>183</v>
      </c>
      <c r="C1876" t="str">
        <f>VLOOKUP($B1876,'标准费用表-2024年&amp;2025年优化'!$D:$E,2,0)</f>
        <v>贵州正大农牧食品有限公司</v>
      </c>
      <c r="D1876" t="s">
        <v>74</v>
      </c>
      <c r="E1876" s="36">
        <f>IFERROR(VLOOKUP($B1876,'标准费用表-2024年&amp;2025年优化'!$D:$K,8,0)*VLOOKUP("白条",系数辅助表!$C:$G,5,0)*VLOOKUP('5.成本表'!$D1876,系数辅助表!$C:$G,5,0)/VLOOKUP('5.成本表'!$D1876,系数辅助表!$C:$E,3,0),)</f>
        <v>0.79767065178331398</v>
      </c>
      <c r="F1876" s="36">
        <f>IFERROR(VLOOKUP($B1876,'标准费用表-2024年&amp;2025年优化'!$D:$L,9,0)*VLOOKUP('5.成本表'!$D1876,系数辅助表!$C:$G,5,0)/VLOOKUP($D1876,系数辅助表!$C:$E,3,0),0)</f>
        <v>0</v>
      </c>
      <c r="I1876" s="36">
        <f>VLOOKUP($D1876,系数辅助表!$C:$F,4,0)</f>
        <v>1.9051022985038799</v>
      </c>
      <c r="J1876" s="2" t="s">
        <v>69</v>
      </c>
    </row>
    <row r="1877" spans="2:10" x14ac:dyDescent="0.3">
      <c r="B1877" s="47" t="s">
        <v>183</v>
      </c>
      <c r="C1877" t="str">
        <f>VLOOKUP($B1877,'标准费用表-2024年&amp;2025年优化'!$D:$E,2,0)</f>
        <v>贵州正大农牧食品有限公司</v>
      </c>
      <c r="D1877" t="s">
        <v>75</v>
      </c>
      <c r="E1877" s="36">
        <f>IFERROR(VLOOKUP($B1877,'标准费用表-2024年&amp;2025年优化'!$D:$K,8,0)*VLOOKUP("白条",系数辅助表!$C:$G,5,0)*VLOOKUP('5.成本表'!$D1877,系数辅助表!$C:$G,5,0)/VLOOKUP('5.成本表'!$D1877,系数辅助表!$C:$E,3,0),)</f>
        <v>0.59728545496618601</v>
      </c>
      <c r="F1877" s="36">
        <f>IFERROR(VLOOKUP($B1877,'标准费用表-2024年&amp;2025年优化'!$D:$L,9,0)*VLOOKUP('5.成本表'!$D1877,系数辅助表!$C:$G,5,0)/VLOOKUP($D1877,系数辅助表!$C:$E,3,0),0)</f>
        <v>0</v>
      </c>
      <c r="I1877" s="36">
        <f>VLOOKUP($D1877,系数辅助表!$C:$F,4,0)</f>
        <v>1.42651593182611</v>
      </c>
      <c r="J1877" s="2" t="s">
        <v>69</v>
      </c>
    </row>
    <row r="1878" spans="2:10" x14ac:dyDescent="0.3">
      <c r="B1878" s="47" t="s">
        <v>183</v>
      </c>
      <c r="C1878" t="str">
        <f>VLOOKUP($B1878,'标准费用表-2024年&amp;2025年优化'!$D:$E,2,0)</f>
        <v>贵州正大农牧食品有限公司</v>
      </c>
      <c r="D1878" t="s">
        <v>76</v>
      </c>
      <c r="E1878" s="36">
        <f>IFERROR(VLOOKUP($B1878,'标准费用表-2024年&amp;2025年优化'!$D:$K,8,0)*VLOOKUP("白条",系数辅助表!$C:$G,5,0)*VLOOKUP('5.成本表'!$D1878,系数辅助表!$C:$G,5,0)/VLOOKUP('5.成本表'!$D1878,系数辅助表!$C:$E,3,0),)</f>
        <v>0.60861832647432301</v>
      </c>
      <c r="F1878" s="36">
        <f>IFERROR(VLOOKUP($B1878,'标准费用表-2024年&amp;2025年优化'!$D:$L,9,0)*VLOOKUP('5.成本表'!$D1878,系数辅助表!$C:$G,5,0)/VLOOKUP($D1878,系数辅助表!$C:$E,3,0),0)</f>
        <v>0</v>
      </c>
      <c r="I1878" s="36">
        <f>VLOOKUP($D1878,系数辅助表!$C:$F,4,0)</f>
        <v>1.4535825908670701</v>
      </c>
      <c r="J1878" s="2" t="s">
        <v>69</v>
      </c>
    </row>
    <row r="1879" spans="2:10" x14ac:dyDescent="0.3">
      <c r="B1879" s="47" t="s">
        <v>183</v>
      </c>
      <c r="C1879" t="str">
        <f>VLOOKUP($B1879,'标准费用表-2024年&amp;2025年优化'!$D:$E,2,0)</f>
        <v>贵州正大农牧食品有限公司</v>
      </c>
      <c r="D1879" t="s">
        <v>77</v>
      </c>
      <c r="E1879" s="36">
        <f>IFERROR(VLOOKUP($B1879,'标准费用表-2024年&amp;2025年优化'!$D:$K,8,0)*VLOOKUP("白条",系数辅助表!$C:$G,5,0)*VLOOKUP('5.成本表'!$D1879,系数辅助表!$C:$G,5,0)/VLOOKUP('5.成本表'!$D1879,系数辅助表!$C:$E,3,0),)</f>
        <v>0.60336593359072399</v>
      </c>
      <c r="F1879" s="36">
        <f>IFERROR(VLOOKUP($B1879,'标准费用表-2024年&amp;2025年优化'!$D:$L,9,0)*VLOOKUP('5.成本表'!$D1879,系数辅助表!$C:$G,5,0)/VLOOKUP($D1879,系数辅助表!$C:$E,3,0),0)</f>
        <v>0</v>
      </c>
      <c r="I1879" s="36">
        <f>VLOOKUP($D1879,系数辅助表!$C:$F,4,0)</f>
        <v>1.4410381331603499</v>
      </c>
      <c r="J1879" s="2" t="s">
        <v>69</v>
      </c>
    </row>
    <row r="1880" spans="2:10" x14ac:dyDescent="0.3">
      <c r="B1880" s="47" t="s">
        <v>183</v>
      </c>
      <c r="C1880" t="str">
        <f>VLOOKUP($B1880,'标准费用表-2024年&amp;2025年优化'!$D:$E,2,0)</f>
        <v>贵州正大农牧食品有限公司</v>
      </c>
      <c r="D1880" t="s">
        <v>78</v>
      </c>
      <c r="E1880" s="36">
        <f>IFERROR(VLOOKUP($B1880,'标准费用表-2024年&amp;2025年优化'!$D:$K,8,0)*VLOOKUP("白条",系数辅助表!$C:$G,5,0)*VLOOKUP('5.成本表'!$D1880,系数辅助表!$C:$G,5,0)/VLOOKUP('5.成本表'!$D1880,系数辅助表!$C:$E,3,0),)</f>
        <v>0.51744592381976495</v>
      </c>
      <c r="F1880" s="36">
        <f>IFERROR(VLOOKUP($B1880,'标准费用表-2024年&amp;2025年优化'!$D:$L,9,0)*VLOOKUP('5.成本表'!$D1880,系数辅助表!$C:$G,5,0)/VLOOKUP($D1880,系数辅助表!$C:$E,3,0),0)</f>
        <v>0</v>
      </c>
      <c r="I1880" s="36">
        <f>VLOOKUP($D1880,系数辅助表!$C:$F,4,0)</f>
        <v>1.2358326291892801</v>
      </c>
      <c r="J1880" s="2" t="s">
        <v>69</v>
      </c>
    </row>
    <row r="1881" spans="2:10" x14ac:dyDescent="0.3">
      <c r="B1881" s="47" t="s">
        <v>183</v>
      </c>
      <c r="C1881" t="str">
        <f>VLOOKUP($B1881,'标准费用表-2024年&amp;2025年优化'!$D:$E,2,0)</f>
        <v>贵州正大农牧食品有限公司</v>
      </c>
      <c r="D1881" t="s">
        <v>79</v>
      </c>
      <c r="E1881" s="36">
        <f>IFERROR(VLOOKUP($B1881,'标准费用表-2024年&amp;2025年优化'!$D:$K,8,0)*VLOOKUP("白条",系数辅助表!$C:$G,5,0)*VLOOKUP('5.成本表'!$D1881,系数辅助表!$C:$G,5,0)/VLOOKUP('5.成本表'!$D1881,系数辅助表!$C:$E,3,0),)</f>
        <v>0.36143092309048702</v>
      </c>
      <c r="F1881" s="36">
        <f>IFERROR(VLOOKUP($B1881,'标准费用表-2024年&amp;2025年优化'!$D:$L,9,0)*VLOOKUP('5.成本表'!$D1881,系数辅助表!$C:$G,5,0)/VLOOKUP($D1881,系数辅助表!$C:$E,3,0),0)</f>
        <v>0</v>
      </c>
      <c r="I1881" s="36">
        <f>VLOOKUP($D1881,系数辅助表!$C:$F,4,0)</f>
        <v>0.86321701919291904</v>
      </c>
      <c r="J1881" s="2" t="s">
        <v>69</v>
      </c>
    </row>
    <row r="1882" spans="2:10" x14ac:dyDescent="0.3">
      <c r="B1882" s="47" t="s">
        <v>183</v>
      </c>
      <c r="C1882" t="str">
        <f>VLOOKUP($B1882,'标准费用表-2024年&amp;2025年优化'!$D:$E,2,0)</f>
        <v>贵州正大农牧食品有限公司</v>
      </c>
      <c r="D1882" t="s">
        <v>80</v>
      </c>
      <c r="E1882" s="36">
        <f>IFERROR(VLOOKUP($B1882,'标准费用表-2024年&amp;2025年优化'!$D:$K,8,0)*VLOOKUP("白条",系数辅助表!$C:$G,5,0)*VLOOKUP('5.成本表'!$D1882,系数辅助表!$C:$G,5,0)/VLOOKUP('5.成本表'!$D1882,系数辅助表!$C:$E,3,0),)</f>
        <v>0.333652920554732</v>
      </c>
      <c r="F1882" s="36">
        <f>IFERROR(VLOOKUP($B1882,'标准费用表-2024年&amp;2025年优化'!$D:$L,9,0)*VLOOKUP('5.成本表'!$D1882,系数辅助表!$C:$G,5,0)/VLOOKUP($D1882,系数辅助表!$C:$E,3,0),0)</f>
        <v>0</v>
      </c>
      <c r="I1882" s="36">
        <f>VLOOKUP($D1882,系数辅助表!$C:$F,4,0)</f>
        <v>0.796873928394225</v>
      </c>
      <c r="J1882" s="2" t="s">
        <v>69</v>
      </c>
    </row>
    <row r="1883" spans="2:10" x14ac:dyDescent="0.3">
      <c r="B1883" s="47" t="s">
        <v>183</v>
      </c>
      <c r="C1883" t="str">
        <f>VLOOKUP($B1883,'标准费用表-2024年&amp;2025年优化'!$D:$E,2,0)</f>
        <v>贵州正大农牧食品有限公司</v>
      </c>
      <c r="D1883" t="s">
        <v>81</v>
      </c>
      <c r="E1883" s="36">
        <f>IFERROR(VLOOKUP($B1883,'标准费用表-2024年&amp;2025年优化'!$D:$K,8,0)*VLOOKUP("白条",系数辅助表!$C:$G,5,0)*VLOOKUP('5.成本表'!$D1883,系数辅助表!$C:$G,5,0)/VLOOKUP('5.成本表'!$D1883,系数辅助表!$C:$E,3,0),)</f>
        <v>0.46007369814978799</v>
      </c>
      <c r="F1883" s="36">
        <f>IFERROR(VLOOKUP($B1883,'标准费用表-2024年&amp;2025年优化'!$D:$L,9,0)*VLOOKUP('5.成本表'!$D1883,系数辅助表!$C:$G,5,0)/VLOOKUP($D1883,系数辅助表!$C:$E,3,0),0)</f>
        <v>0</v>
      </c>
      <c r="I1883" s="36">
        <f>VLOOKUP($D1883,系数辅助表!$C:$F,4,0)</f>
        <v>1.09880870991909</v>
      </c>
      <c r="J1883" s="2" t="s">
        <v>69</v>
      </c>
    </row>
    <row r="1884" spans="2:10" x14ac:dyDescent="0.3">
      <c r="B1884" s="47" t="s">
        <v>183</v>
      </c>
      <c r="C1884" t="str">
        <f>VLOOKUP($B1884,'标准费用表-2024年&amp;2025年优化'!$D:$E,2,0)</f>
        <v>贵州正大农牧食品有限公司</v>
      </c>
      <c r="D1884" t="s">
        <v>82</v>
      </c>
      <c r="E1884" s="36">
        <f>IFERROR(VLOOKUP($B1884,'标准费用表-2024年&amp;2025年优化'!$D:$K,8,0)*VLOOKUP("白条",系数辅助表!$C:$G,5,0)*VLOOKUP('5.成本表'!$D1884,系数辅助表!$C:$G,5,0)/VLOOKUP('5.成本表'!$D1884,系数辅助表!$C:$E,3,0),)</f>
        <v>0.41919268145537703</v>
      </c>
      <c r="F1884" s="36">
        <f>IFERROR(VLOOKUP($B1884,'标准费用表-2024年&amp;2025年优化'!$D:$L,9,0)*VLOOKUP('5.成本表'!$D1884,系数辅助表!$C:$G,5,0)/VLOOKUP($D1884,系数辅助表!$C:$E,3,0),0)</f>
        <v>0</v>
      </c>
      <c r="I1884" s="36">
        <f>VLOOKUP($D1884,系数辅助表!$C:$F,4,0)</f>
        <v>1.0011712718416299</v>
      </c>
      <c r="J1884" s="2" t="s">
        <v>69</v>
      </c>
    </row>
    <row r="1885" spans="2:10" x14ac:dyDescent="0.3">
      <c r="B1885" s="47" t="s">
        <v>183</v>
      </c>
      <c r="C1885" t="str">
        <f>VLOOKUP($B1885,'标准费用表-2024年&amp;2025年优化'!$D:$E,2,0)</f>
        <v>贵州正大农牧食品有限公司</v>
      </c>
      <c r="D1885" t="s">
        <v>83</v>
      </c>
      <c r="E1885" s="36">
        <f>IFERROR(VLOOKUP($B1885,'标准费用表-2024年&amp;2025年优化'!$D:$K,8,0)*VLOOKUP("白条",系数辅助表!$C:$G,5,0)*VLOOKUP('5.成本表'!$D1885,系数辅助表!$C:$G,5,0)/VLOOKUP('5.成本表'!$D1885,系数辅助表!$C:$E,3,0),)</f>
        <v>0.376979744813566</v>
      </c>
      <c r="F1885" s="36">
        <f>IFERROR(VLOOKUP($B1885,'标准费用表-2024年&amp;2025年优化'!$D:$L,9,0)*VLOOKUP('5.成本表'!$D1885,系数辅助表!$C:$G,5,0)/VLOOKUP($D1885,系数辅助表!$C:$E,3,0),0)</f>
        <v>0</v>
      </c>
      <c r="I1885" s="36">
        <f>VLOOKUP($D1885,系数辅助表!$C:$F,4,0)</f>
        <v>0.90035276680685095</v>
      </c>
      <c r="J1885" s="2" t="s">
        <v>69</v>
      </c>
    </row>
    <row r="1886" spans="2:10" x14ac:dyDescent="0.3">
      <c r="B1886" s="47" t="s">
        <v>183</v>
      </c>
      <c r="C1886" t="str">
        <f>VLOOKUP($B1886,'标准费用表-2024年&amp;2025年优化'!$D:$E,2,0)</f>
        <v>贵州正大农牧食品有限公司</v>
      </c>
      <c r="D1886" t="s">
        <v>84</v>
      </c>
      <c r="E1886" s="36">
        <f>IFERROR(VLOOKUP($B1886,'标准费用表-2024年&amp;2025年优化'!$D:$K,8,0)*VLOOKUP("白条",系数辅助表!$C:$G,5,0)*VLOOKUP('5.成本表'!$D1886,系数辅助表!$C:$G,5,0)/VLOOKUP('5.成本表'!$D1886,系数辅助表!$C:$E,3,0),)</f>
        <v>0.37864479222985797</v>
      </c>
      <c r="F1886" s="36">
        <f>IFERROR(VLOOKUP($B1886,'标准费用表-2024年&amp;2025年优化'!$D:$L,9,0)*VLOOKUP('5.成本表'!$D1886,系数辅助表!$C:$G,5,0)/VLOOKUP($D1886,系数辅助表!$C:$E,3,0),0)</f>
        <v>0</v>
      </c>
      <c r="I1886" s="36">
        <f>VLOOKUP($D1886,系数辅助表!$C:$F,4,0)</f>
        <v>0.90432945273957599</v>
      </c>
      <c r="J1886" s="2" t="s">
        <v>69</v>
      </c>
    </row>
    <row r="1887" spans="2:10" x14ac:dyDescent="0.3">
      <c r="B1887" s="47" t="s">
        <v>183</v>
      </c>
      <c r="C1887" t="str">
        <f>VLOOKUP($B1887,'标准费用表-2024年&amp;2025年优化'!$D:$E,2,0)</f>
        <v>贵州正大农牧食品有限公司</v>
      </c>
      <c r="D1887" t="s">
        <v>85</v>
      </c>
      <c r="E1887" s="36">
        <f>IFERROR(VLOOKUP($B1887,'标准费用表-2024年&amp;2025年优化'!$D:$K,8,0)*VLOOKUP("白条",系数辅助表!$C:$G,5,0)*VLOOKUP('5.成本表'!$D1887,系数辅助表!$C:$G,5,0)/VLOOKUP('5.成本表'!$D1887,系数辅助表!$C:$E,3,0),)</f>
        <v>0.47077846797214201</v>
      </c>
      <c r="F1887" s="36">
        <f>IFERROR(VLOOKUP($B1887,'标准费用表-2024年&amp;2025年优化'!$D:$L,9,0)*VLOOKUP('5.成本表'!$D1887,系数辅助表!$C:$G,5,0)/VLOOKUP($D1887,系数辅助表!$C:$E,3,0),0)</f>
        <v>0</v>
      </c>
      <c r="I1887" s="36">
        <f>VLOOKUP($D1887,系数辅助表!$C:$F,4,0)</f>
        <v>1.12437525363977</v>
      </c>
      <c r="J1887" s="2" t="s">
        <v>69</v>
      </c>
    </row>
    <row r="1888" spans="2:10" x14ac:dyDescent="0.3">
      <c r="B1888" s="47" t="s">
        <v>183</v>
      </c>
      <c r="C1888" t="str">
        <f>VLOOKUP($B1888,'标准费用表-2024年&amp;2025年优化'!$D:$E,2,0)</f>
        <v>贵州正大农牧食品有限公司</v>
      </c>
      <c r="D1888" t="s">
        <v>86</v>
      </c>
      <c r="E1888" s="36">
        <f>IFERROR(VLOOKUP($B1888,'标准费用表-2024年&amp;2025年优化'!$D:$K,8,0)*VLOOKUP("白条",系数辅助表!$C:$G,5,0)*VLOOKUP('5.成本表'!$D1888,系数辅助表!$C:$G,5,0)/VLOOKUP('5.成本表'!$D1888,系数辅助表!$C:$E,3,0),)</f>
        <v>0.41165654795921702</v>
      </c>
      <c r="F1888" s="36">
        <f>IFERROR(VLOOKUP($B1888,'标准费用表-2024年&amp;2025年优化'!$D:$L,9,0)*VLOOKUP('5.成本表'!$D1888,系数辅助表!$C:$G,5,0)/VLOOKUP($D1888,系数辅助表!$C:$E,3,0),0)</f>
        <v>0</v>
      </c>
      <c r="I1888" s="36">
        <f>VLOOKUP($D1888,系数辅助表!$C:$F,4,0)</f>
        <v>0.98317248347795105</v>
      </c>
      <c r="J1888" s="2" t="s">
        <v>69</v>
      </c>
    </row>
    <row r="1889" spans="2:10" x14ac:dyDescent="0.3">
      <c r="B1889" s="47" t="s">
        <v>183</v>
      </c>
      <c r="C1889" t="str">
        <f>VLOOKUP($B1889,'标准费用表-2024年&amp;2025年优化'!$D:$E,2,0)</f>
        <v>贵州正大农牧食品有限公司</v>
      </c>
      <c r="D1889" t="s">
        <v>87</v>
      </c>
      <c r="E1889" s="36">
        <f>IFERROR(VLOOKUP($B1889,'标准费用表-2024年&amp;2025年优化'!$D:$K,8,0)*VLOOKUP("白条",系数辅助表!$C:$G,5,0)*VLOOKUP('5.成本表'!$D1889,系数辅助表!$C:$G,5,0)/VLOOKUP('5.成本表'!$D1889,系数辅助表!$C:$E,3,0),)</f>
        <v>0.29815985725306099</v>
      </c>
      <c r="F1889" s="36">
        <f>IFERROR(VLOOKUP($B1889,'标准费用表-2024年&amp;2025年优化'!$D:$L,9,0)*VLOOKUP('5.成本表'!$D1889,系数辅助表!$C:$G,5,0)/VLOOKUP($D1889,系数辅助表!$C:$E,3,0),0)</f>
        <v>0</v>
      </c>
      <c r="I1889" s="36">
        <f>VLOOKUP($D1889,系数辅助表!$C:$F,4,0)</f>
        <v>0.71210471151782795</v>
      </c>
      <c r="J1889" s="2" t="s">
        <v>69</v>
      </c>
    </row>
    <row r="1890" spans="2:10" x14ac:dyDescent="0.3">
      <c r="B1890" s="47" t="s">
        <v>183</v>
      </c>
      <c r="C1890" t="str">
        <f>VLOOKUP($B1890,'标准费用表-2024年&amp;2025年优化'!$D:$E,2,0)</f>
        <v>贵州正大农牧食品有限公司</v>
      </c>
      <c r="D1890" t="s">
        <v>88</v>
      </c>
      <c r="E1890" s="36">
        <f>IFERROR(VLOOKUP($B1890,'标准费用表-2024年&amp;2025年优化'!$D:$K,8,0)*VLOOKUP("白条",系数辅助表!$C:$G,5,0)*VLOOKUP('5.成本表'!$D1890,系数辅助表!$C:$G,5,0)/VLOOKUP('5.成本表'!$D1890,系数辅助表!$C:$E,3,0),)</f>
        <v>1.12613793471721</v>
      </c>
      <c r="F1890" s="36">
        <f>IFERROR(VLOOKUP($B1890,'标准费用表-2024年&amp;2025年优化'!$D:$L,9,0)*VLOOKUP('5.成本表'!$D1890,系数辅助表!$C:$G,5,0)/VLOOKUP($D1890,系数辅助表!$C:$E,3,0),0)</f>
        <v>0</v>
      </c>
      <c r="I1890" s="36">
        <f>VLOOKUP($D1890,系数辅助表!$C:$F,4,0)</f>
        <v>2.6895912029178799</v>
      </c>
      <c r="J1890" s="2" t="s">
        <v>69</v>
      </c>
    </row>
    <row r="1891" spans="2:10" x14ac:dyDescent="0.3">
      <c r="B1891" s="47" t="s">
        <v>183</v>
      </c>
      <c r="C1891" t="str">
        <f>VLOOKUP($B1891,'标准费用表-2024年&amp;2025年优化'!$D:$E,2,0)</f>
        <v>贵州正大农牧食品有限公司</v>
      </c>
      <c r="D1891" t="s">
        <v>89</v>
      </c>
      <c r="E1891" s="36">
        <f>IFERROR(VLOOKUP($B1891,'标准费用表-2024年&amp;2025年优化'!$D:$K,8,0)*VLOOKUP("白条",系数辅助表!$C:$G,5,0)*VLOOKUP('5.成本表'!$D1891,系数辅助表!$C:$G,5,0)/VLOOKUP('5.成本表'!$D1891,系数辅助表!$C:$E,3,0),)</f>
        <v>0.48434610506353798</v>
      </c>
      <c r="F1891" s="36">
        <f>IFERROR(VLOOKUP($B1891,'标准费用表-2024年&amp;2025年优化'!$D:$L,9,0)*VLOOKUP('5.成本表'!$D1891,系数辅助表!$C:$G,5,0)/VLOOKUP($D1891,系数辅助表!$C:$E,3,0),0)</f>
        <v>0</v>
      </c>
      <c r="I1891" s="36">
        <f>VLOOKUP($D1891,系数辅助表!$C:$F,4,0)</f>
        <v>1.1567792747107399</v>
      </c>
      <c r="J1891" s="2" t="s">
        <v>69</v>
      </c>
    </row>
    <row r="1892" spans="2:10" x14ac:dyDescent="0.3">
      <c r="B1892" s="47" t="s">
        <v>183</v>
      </c>
      <c r="C1892" t="str">
        <f>VLOOKUP($B1892,'标准费用表-2024年&amp;2025年优化'!$D:$E,2,0)</f>
        <v>贵州正大农牧食品有限公司</v>
      </c>
      <c r="D1892" t="s">
        <v>90</v>
      </c>
      <c r="E1892" s="36">
        <f>IFERROR(VLOOKUP($B1892,'标准费用表-2024年&amp;2025年优化'!$D:$K,8,0)*VLOOKUP("白条",系数辅助表!$C:$G,5,0)*VLOOKUP('5.成本表'!$D1892,系数辅助表!$C:$G,5,0)/VLOOKUP('5.成本表'!$D1892,系数辅助表!$C:$E,3,0),)</f>
        <v>0.30606231056553801</v>
      </c>
      <c r="F1892" s="36">
        <f>IFERROR(VLOOKUP($B1892,'标准费用表-2024年&amp;2025年优化'!$D:$L,9,0)*VLOOKUP('5.成本表'!$D1892,系数辅助表!$C:$G,5,0)/VLOOKUP($D1892,系数辅助表!$C:$E,3,0),0)</f>
        <v>0</v>
      </c>
      <c r="I1892" s="36">
        <f>VLOOKUP($D1892,系数辅助表!$C:$F,4,0)</f>
        <v>0.73097839320056501</v>
      </c>
      <c r="J1892" s="2" t="s">
        <v>69</v>
      </c>
    </row>
    <row r="1893" spans="2:10" x14ac:dyDescent="0.3">
      <c r="B1893" s="47" t="s">
        <v>183</v>
      </c>
      <c r="C1893" t="str">
        <f>VLOOKUP($B1893,'标准费用表-2024年&amp;2025年优化'!$D:$E,2,0)</f>
        <v>贵州正大农牧食品有限公司</v>
      </c>
      <c r="D1893" t="s">
        <v>91</v>
      </c>
      <c r="E1893" s="36">
        <f>IFERROR(VLOOKUP($B1893,'标准费用表-2024年&amp;2025年优化'!$D:$K,8,0)*VLOOKUP("白条",系数辅助表!$C:$G,5,0)*VLOOKUP('5.成本表'!$D1893,系数辅助表!$C:$G,5,0)/VLOOKUP('5.成本表'!$D1893,系数辅助表!$C:$E,3,0),)</f>
        <v>0.25377318248031699</v>
      </c>
      <c r="F1893" s="36">
        <f>IFERROR(VLOOKUP($B1893,'标准费用表-2024年&amp;2025年优化'!$D:$L,9,0)*VLOOKUP('5.成本表'!$D1893,系数辅助表!$C:$G,5,0)/VLOOKUP($D1893,系数辅助表!$C:$E,3,0),0)</f>
        <v>0</v>
      </c>
      <c r="I1893" s="36">
        <f>VLOOKUP($D1893,系数辅助表!$C:$F,4,0)</f>
        <v>0.60609459826688905</v>
      </c>
      <c r="J1893" s="2" t="s">
        <v>69</v>
      </c>
    </row>
    <row r="1894" spans="2:10" x14ac:dyDescent="0.3">
      <c r="B1894" s="47" t="s">
        <v>183</v>
      </c>
      <c r="C1894" t="str">
        <f>VLOOKUP($B1894,'标准费用表-2024年&amp;2025年优化'!$D:$E,2,0)</f>
        <v>贵州正大农牧食品有限公司</v>
      </c>
      <c r="D1894" t="s">
        <v>92</v>
      </c>
      <c r="E1894" s="36">
        <f>IFERROR(VLOOKUP($B1894,'标准费用表-2024年&amp;2025年优化'!$D:$K,8,0)*VLOOKUP("白条",系数辅助表!$C:$G,5,0)*VLOOKUP('5.成本表'!$D1894,系数辅助表!$C:$G,5,0)/VLOOKUP('5.成本表'!$D1894,系数辅助表!$C:$E,3,0),)</f>
        <v>0.100723404270514</v>
      </c>
      <c r="F1894" s="36">
        <f>IFERROR(VLOOKUP($B1894,'标准费用表-2024年&amp;2025年优化'!$D:$L,9,0)*VLOOKUP('5.成本表'!$D1894,系数辅助表!$C:$G,5,0)/VLOOKUP($D1894,系数辅助表!$C:$E,3,0),0)</f>
        <v>0</v>
      </c>
      <c r="I1894" s="36">
        <f>VLOOKUP($D1894,系数辅助表!$C:$F,4,0)</f>
        <v>0.24056092393508099</v>
      </c>
      <c r="J1894" s="2" t="s">
        <v>69</v>
      </c>
    </row>
    <row r="1895" spans="2:10" x14ac:dyDescent="0.3">
      <c r="B1895" s="47" t="s">
        <v>183</v>
      </c>
      <c r="C1895" t="str">
        <f>VLOOKUP($B1895,'标准费用表-2024年&amp;2025年优化'!$D:$E,2,0)</f>
        <v>贵州正大农牧食品有限公司</v>
      </c>
      <c r="D1895" t="s">
        <v>93</v>
      </c>
      <c r="E1895" s="36">
        <f>E1871</f>
        <v>0.95464116939768295</v>
      </c>
      <c r="F1895" s="36">
        <f>F1871</f>
        <v>0</v>
      </c>
      <c r="G1895">
        <v>0.2</v>
      </c>
      <c r="H1895">
        <v>0.3</v>
      </c>
      <c r="J1895" s="2" t="s">
        <v>69</v>
      </c>
    </row>
    <row r="1896" spans="2:10" x14ac:dyDescent="0.3">
      <c r="B1896" s="47" t="s">
        <v>183</v>
      </c>
      <c r="C1896" t="str">
        <f>VLOOKUP($B1896,'标准费用表-2024年&amp;2025年优化'!$D:$E,2,0)</f>
        <v>贵州正大农牧食品有限公司</v>
      </c>
      <c r="D1896" t="s">
        <v>96</v>
      </c>
      <c r="E1896" s="36">
        <f t="shared" ref="E1896:F1896" si="808">E1872</f>
        <v>0.63798640942547202</v>
      </c>
      <c r="F1896" s="36">
        <f t="shared" si="808"/>
        <v>0</v>
      </c>
      <c r="G1896">
        <v>0.2</v>
      </c>
      <c r="H1896">
        <v>0.3</v>
      </c>
      <c r="J1896" s="2" t="s">
        <v>69</v>
      </c>
    </row>
    <row r="1897" spans="2:10" x14ac:dyDescent="0.3">
      <c r="B1897" s="47" t="s">
        <v>183</v>
      </c>
      <c r="C1897" t="str">
        <f>VLOOKUP($B1897,'标准费用表-2024年&amp;2025年优化'!$D:$E,2,0)</f>
        <v>贵州正大农牧食品有限公司</v>
      </c>
      <c r="D1897" t="s">
        <v>97</v>
      </c>
      <c r="E1897" s="36">
        <f t="shared" ref="E1897:F1897" si="809">E1873</f>
        <v>1.68848238229771</v>
      </c>
      <c r="F1897" s="36">
        <f t="shared" si="809"/>
        <v>0</v>
      </c>
      <c r="G1897">
        <v>0.2</v>
      </c>
      <c r="H1897">
        <v>0.3</v>
      </c>
      <c r="J1897" s="2" t="s">
        <v>69</v>
      </c>
    </row>
    <row r="1898" spans="2:10" x14ac:dyDescent="0.3">
      <c r="B1898" s="47" t="s">
        <v>183</v>
      </c>
      <c r="C1898" t="str">
        <f>VLOOKUP($B1898,'标准费用表-2024年&amp;2025年优化'!$D:$E,2,0)</f>
        <v>贵州正大农牧食品有限公司</v>
      </c>
      <c r="D1898" t="s">
        <v>98</v>
      </c>
      <c r="E1898" s="36">
        <f t="shared" ref="E1898:F1898" si="810">E1874</f>
        <v>0.98335575986490698</v>
      </c>
      <c r="F1898" s="36">
        <f t="shared" si="810"/>
        <v>0</v>
      </c>
      <c r="G1898">
        <v>0.2</v>
      </c>
      <c r="H1898">
        <v>0.3</v>
      </c>
      <c r="J1898" s="2" t="s">
        <v>69</v>
      </c>
    </row>
    <row r="1899" spans="2:10" x14ac:dyDescent="0.3">
      <c r="B1899" s="47" t="s">
        <v>183</v>
      </c>
      <c r="C1899" t="str">
        <f>VLOOKUP($B1899,'标准费用表-2024年&amp;2025年优化'!$D:$E,2,0)</f>
        <v>贵州正大农牧食品有限公司</v>
      </c>
      <c r="D1899" t="s">
        <v>99</v>
      </c>
      <c r="E1899" s="36">
        <f t="shared" ref="E1899:F1899" si="811">E1875</f>
        <v>0.59073737194791198</v>
      </c>
      <c r="F1899" s="36">
        <f t="shared" si="811"/>
        <v>0</v>
      </c>
      <c r="G1899">
        <v>0.2</v>
      </c>
      <c r="H1899">
        <v>0.3</v>
      </c>
      <c r="J1899" s="2" t="s">
        <v>69</v>
      </c>
    </row>
    <row r="1900" spans="2:10" x14ac:dyDescent="0.3">
      <c r="B1900" s="47" t="s">
        <v>183</v>
      </c>
      <c r="C1900" t="str">
        <f>VLOOKUP($B1900,'标准费用表-2024年&amp;2025年优化'!$D:$E,2,0)</f>
        <v>贵州正大农牧食品有限公司</v>
      </c>
      <c r="D1900" t="s">
        <v>100</v>
      </c>
      <c r="E1900" s="36">
        <f t="shared" ref="E1900:F1900" si="812">E1876</f>
        <v>0.79767065178331398</v>
      </c>
      <c r="F1900" s="36">
        <f t="shared" si="812"/>
        <v>0</v>
      </c>
      <c r="G1900">
        <v>0.2</v>
      </c>
      <c r="H1900">
        <v>0.3</v>
      </c>
      <c r="J1900" s="2" t="s">
        <v>69</v>
      </c>
    </row>
    <row r="1901" spans="2:10" x14ac:dyDescent="0.3">
      <c r="B1901" s="47" t="s">
        <v>183</v>
      </c>
      <c r="C1901" t="str">
        <f>VLOOKUP($B1901,'标准费用表-2024年&amp;2025年优化'!$D:$E,2,0)</f>
        <v>贵州正大农牧食品有限公司</v>
      </c>
      <c r="D1901" t="s">
        <v>101</v>
      </c>
      <c r="E1901" s="36">
        <f t="shared" ref="E1901:F1901" si="813">E1877</f>
        <v>0.59728545496618601</v>
      </c>
      <c r="F1901" s="36">
        <f t="shared" si="813"/>
        <v>0</v>
      </c>
      <c r="G1901">
        <v>0.2</v>
      </c>
      <c r="H1901">
        <v>0.3</v>
      </c>
      <c r="J1901" s="2" t="s">
        <v>69</v>
      </c>
    </row>
    <row r="1902" spans="2:10" x14ac:dyDescent="0.3">
      <c r="B1902" s="47" t="s">
        <v>183</v>
      </c>
      <c r="C1902" t="str">
        <f>VLOOKUP($B1902,'标准费用表-2024年&amp;2025年优化'!$D:$E,2,0)</f>
        <v>贵州正大农牧食品有限公司</v>
      </c>
      <c r="D1902" t="s">
        <v>102</v>
      </c>
      <c r="E1902" s="36">
        <f t="shared" ref="E1902:F1902" si="814">E1878</f>
        <v>0.60861832647432301</v>
      </c>
      <c r="F1902" s="36">
        <f t="shared" si="814"/>
        <v>0</v>
      </c>
      <c r="G1902">
        <v>0.2</v>
      </c>
      <c r="H1902">
        <v>0.3</v>
      </c>
      <c r="J1902" s="2" t="s">
        <v>69</v>
      </c>
    </row>
    <row r="1903" spans="2:10" x14ac:dyDescent="0.3">
      <c r="B1903" s="47" t="s">
        <v>183</v>
      </c>
      <c r="C1903" t="str">
        <f>VLOOKUP($B1903,'标准费用表-2024年&amp;2025年优化'!$D:$E,2,0)</f>
        <v>贵州正大农牧食品有限公司</v>
      </c>
      <c r="D1903" t="s">
        <v>103</v>
      </c>
      <c r="E1903" s="36">
        <f t="shared" ref="E1903:F1903" si="815">E1879</f>
        <v>0.60336593359072399</v>
      </c>
      <c r="F1903" s="36">
        <f t="shared" si="815"/>
        <v>0</v>
      </c>
      <c r="G1903">
        <v>0.2</v>
      </c>
      <c r="H1903">
        <v>0.3</v>
      </c>
      <c r="J1903" s="2" t="s">
        <v>69</v>
      </c>
    </row>
    <row r="1904" spans="2:10" x14ac:dyDescent="0.3">
      <c r="B1904" s="47" t="s">
        <v>183</v>
      </c>
      <c r="C1904" t="str">
        <f>VLOOKUP($B1904,'标准费用表-2024年&amp;2025年优化'!$D:$E,2,0)</f>
        <v>贵州正大农牧食品有限公司</v>
      </c>
      <c r="D1904" t="s">
        <v>104</v>
      </c>
      <c r="E1904" s="36">
        <f t="shared" ref="E1904:F1904" si="816">E1880</f>
        <v>0.51744592381976495</v>
      </c>
      <c r="F1904" s="36">
        <f t="shared" si="816"/>
        <v>0</v>
      </c>
      <c r="G1904">
        <v>0.2</v>
      </c>
      <c r="H1904">
        <v>0.3</v>
      </c>
      <c r="J1904" s="2" t="s">
        <v>69</v>
      </c>
    </row>
    <row r="1905" spans="2:10" x14ac:dyDescent="0.3">
      <c r="B1905" s="47" t="s">
        <v>183</v>
      </c>
      <c r="C1905" t="str">
        <f>VLOOKUP($B1905,'标准费用表-2024年&amp;2025年优化'!$D:$E,2,0)</f>
        <v>贵州正大农牧食品有限公司</v>
      </c>
      <c r="D1905" t="s">
        <v>105</v>
      </c>
      <c r="E1905" s="36">
        <f t="shared" ref="E1905:F1905" si="817">E1881</f>
        <v>0.36143092309048702</v>
      </c>
      <c r="F1905" s="36">
        <f t="shared" si="817"/>
        <v>0</v>
      </c>
      <c r="G1905">
        <v>0.2</v>
      </c>
      <c r="H1905">
        <v>0.3</v>
      </c>
      <c r="J1905" s="2" t="s">
        <v>69</v>
      </c>
    </row>
    <row r="1906" spans="2:10" x14ac:dyDescent="0.3">
      <c r="B1906" s="47" t="s">
        <v>183</v>
      </c>
      <c r="C1906" t="str">
        <f>VLOOKUP($B1906,'标准费用表-2024年&amp;2025年优化'!$D:$E,2,0)</f>
        <v>贵州正大农牧食品有限公司</v>
      </c>
      <c r="D1906" t="s">
        <v>106</v>
      </c>
      <c r="E1906" s="36">
        <f t="shared" ref="E1906:F1906" si="818">E1882</f>
        <v>0.333652920554732</v>
      </c>
      <c r="F1906" s="36">
        <f t="shared" si="818"/>
        <v>0</v>
      </c>
      <c r="G1906">
        <v>0.2</v>
      </c>
      <c r="H1906">
        <v>0.3</v>
      </c>
      <c r="J1906" s="2" t="s">
        <v>69</v>
      </c>
    </row>
    <row r="1907" spans="2:10" x14ac:dyDescent="0.3">
      <c r="B1907" s="47" t="s">
        <v>183</v>
      </c>
      <c r="C1907" t="str">
        <f>VLOOKUP($B1907,'标准费用表-2024年&amp;2025年优化'!$D:$E,2,0)</f>
        <v>贵州正大农牧食品有限公司</v>
      </c>
      <c r="D1907" t="s">
        <v>107</v>
      </c>
      <c r="E1907" s="36">
        <f t="shared" ref="E1907:F1907" si="819">E1883</f>
        <v>0.46007369814978799</v>
      </c>
      <c r="F1907" s="36">
        <f t="shared" si="819"/>
        <v>0</v>
      </c>
      <c r="G1907">
        <v>0.2</v>
      </c>
      <c r="H1907">
        <v>0.3</v>
      </c>
      <c r="J1907" s="2" t="s">
        <v>69</v>
      </c>
    </row>
    <row r="1908" spans="2:10" x14ac:dyDescent="0.3">
      <c r="B1908" s="47" t="s">
        <v>183</v>
      </c>
      <c r="C1908" t="str">
        <f>VLOOKUP($B1908,'标准费用表-2024年&amp;2025年优化'!$D:$E,2,0)</f>
        <v>贵州正大农牧食品有限公司</v>
      </c>
      <c r="D1908" t="s">
        <v>108</v>
      </c>
      <c r="E1908" s="36">
        <f t="shared" ref="E1908:F1908" si="820">E1884</f>
        <v>0.41919268145537703</v>
      </c>
      <c r="F1908" s="36">
        <f t="shared" si="820"/>
        <v>0</v>
      </c>
      <c r="G1908">
        <v>0.2</v>
      </c>
      <c r="H1908">
        <v>0.3</v>
      </c>
      <c r="J1908" s="2" t="s">
        <v>69</v>
      </c>
    </row>
    <row r="1909" spans="2:10" x14ac:dyDescent="0.3">
      <c r="B1909" s="47" t="s">
        <v>183</v>
      </c>
      <c r="C1909" t="str">
        <f>VLOOKUP($B1909,'标准费用表-2024年&amp;2025年优化'!$D:$E,2,0)</f>
        <v>贵州正大农牧食品有限公司</v>
      </c>
      <c r="D1909" t="s">
        <v>109</v>
      </c>
      <c r="E1909" s="36">
        <f t="shared" ref="E1909:F1909" si="821">E1885</f>
        <v>0.376979744813566</v>
      </c>
      <c r="F1909" s="36">
        <f t="shared" si="821"/>
        <v>0</v>
      </c>
      <c r="G1909">
        <v>0.2</v>
      </c>
      <c r="H1909">
        <v>0.3</v>
      </c>
      <c r="J1909" s="2" t="s">
        <v>69</v>
      </c>
    </row>
    <row r="1910" spans="2:10" x14ac:dyDescent="0.3">
      <c r="B1910" s="47" t="s">
        <v>183</v>
      </c>
      <c r="C1910" t="str">
        <f>VLOOKUP($B1910,'标准费用表-2024年&amp;2025年优化'!$D:$E,2,0)</f>
        <v>贵州正大农牧食品有限公司</v>
      </c>
      <c r="D1910" t="s">
        <v>110</v>
      </c>
      <c r="E1910" s="36">
        <f t="shared" ref="E1910:F1910" si="822">E1886</f>
        <v>0.37864479222985797</v>
      </c>
      <c r="F1910" s="36">
        <f t="shared" si="822"/>
        <v>0</v>
      </c>
      <c r="G1910">
        <v>0.2</v>
      </c>
      <c r="H1910">
        <v>0.3</v>
      </c>
      <c r="J1910" s="2" t="s">
        <v>69</v>
      </c>
    </row>
    <row r="1911" spans="2:10" x14ac:dyDescent="0.3">
      <c r="B1911" s="47" t="s">
        <v>183</v>
      </c>
      <c r="C1911" t="str">
        <f>VLOOKUP($B1911,'标准费用表-2024年&amp;2025年优化'!$D:$E,2,0)</f>
        <v>贵州正大农牧食品有限公司</v>
      </c>
      <c r="D1911" t="s">
        <v>111</v>
      </c>
      <c r="E1911" s="36">
        <f t="shared" ref="E1911:F1911" si="823">E1887</f>
        <v>0.47077846797214201</v>
      </c>
      <c r="F1911" s="36">
        <f t="shared" si="823"/>
        <v>0</v>
      </c>
      <c r="G1911">
        <v>0.2</v>
      </c>
      <c r="H1911">
        <v>0.3</v>
      </c>
      <c r="J1911" s="2" t="s">
        <v>69</v>
      </c>
    </row>
    <row r="1912" spans="2:10" x14ac:dyDescent="0.3">
      <c r="B1912" s="47" t="s">
        <v>183</v>
      </c>
      <c r="C1912" t="str">
        <f>VLOOKUP($B1912,'标准费用表-2024年&amp;2025年优化'!$D:$E,2,0)</f>
        <v>贵州正大农牧食品有限公司</v>
      </c>
      <c r="D1912" t="s">
        <v>112</v>
      </c>
      <c r="E1912" s="36">
        <f t="shared" ref="E1912:F1912" si="824">E1888</f>
        <v>0.41165654795921702</v>
      </c>
      <c r="F1912" s="36">
        <f t="shared" si="824"/>
        <v>0</v>
      </c>
      <c r="G1912">
        <v>0.2</v>
      </c>
      <c r="H1912">
        <v>0.3</v>
      </c>
      <c r="J1912" s="2" t="s">
        <v>69</v>
      </c>
    </row>
    <row r="1913" spans="2:10" x14ac:dyDescent="0.3">
      <c r="B1913" s="47" t="s">
        <v>183</v>
      </c>
      <c r="C1913" t="str">
        <f>VLOOKUP($B1913,'标准费用表-2024年&amp;2025年优化'!$D:$E,2,0)</f>
        <v>贵州正大农牧食品有限公司</v>
      </c>
      <c r="D1913" t="s">
        <v>113</v>
      </c>
      <c r="E1913" s="36">
        <f t="shared" ref="E1913:F1913" si="825">E1889</f>
        <v>0.29815985725306099</v>
      </c>
      <c r="F1913" s="36">
        <f t="shared" si="825"/>
        <v>0</v>
      </c>
      <c r="G1913">
        <v>0.2</v>
      </c>
      <c r="H1913">
        <v>0.3</v>
      </c>
      <c r="J1913" s="2" t="s">
        <v>69</v>
      </c>
    </row>
    <row r="1914" spans="2:10" x14ac:dyDescent="0.3">
      <c r="B1914" s="47" t="s">
        <v>183</v>
      </c>
      <c r="C1914" t="str">
        <f>VLOOKUP($B1914,'标准费用表-2024年&amp;2025年优化'!$D:$E,2,0)</f>
        <v>贵州正大农牧食品有限公司</v>
      </c>
      <c r="D1914" t="s">
        <v>114</v>
      </c>
      <c r="E1914" s="36">
        <f t="shared" ref="E1914:F1914" si="826">E1890</f>
        <v>1.12613793471721</v>
      </c>
      <c r="F1914" s="36">
        <f t="shared" si="826"/>
        <v>0</v>
      </c>
      <c r="G1914">
        <v>0.2</v>
      </c>
      <c r="H1914">
        <v>0.3</v>
      </c>
      <c r="J1914" s="2" t="s">
        <v>69</v>
      </c>
    </row>
    <row r="1915" spans="2:10" x14ac:dyDescent="0.3">
      <c r="B1915" s="47" t="s">
        <v>183</v>
      </c>
      <c r="C1915" t="str">
        <f>VLOOKUP($B1915,'标准费用表-2024年&amp;2025年优化'!$D:$E,2,0)</f>
        <v>贵州正大农牧食品有限公司</v>
      </c>
      <c r="D1915" t="s">
        <v>115</v>
      </c>
      <c r="E1915" s="36">
        <f t="shared" ref="E1915:F1915" si="827">E1891</f>
        <v>0.48434610506353798</v>
      </c>
      <c r="F1915" s="36">
        <f t="shared" si="827"/>
        <v>0</v>
      </c>
      <c r="G1915">
        <v>0.2</v>
      </c>
      <c r="H1915">
        <v>0.3</v>
      </c>
      <c r="J1915" s="2" t="s">
        <v>69</v>
      </c>
    </row>
    <row r="1916" spans="2:10" x14ac:dyDescent="0.3">
      <c r="B1916" s="47" t="s">
        <v>183</v>
      </c>
      <c r="C1916" t="str">
        <f>VLOOKUP($B1916,'标准费用表-2024年&amp;2025年优化'!$D:$E,2,0)</f>
        <v>贵州正大农牧食品有限公司</v>
      </c>
      <c r="D1916" t="s">
        <v>116</v>
      </c>
      <c r="E1916" s="36">
        <f t="shared" ref="E1916:F1916" si="828">E1892</f>
        <v>0.30606231056553801</v>
      </c>
      <c r="F1916" s="36">
        <f t="shared" si="828"/>
        <v>0</v>
      </c>
      <c r="G1916">
        <v>0.2</v>
      </c>
      <c r="H1916">
        <v>0.3</v>
      </c>
      <c r="J1916" s="2" t="s">
        <v>69</v>
      </c>
    </row>
    <row r="1917" spans="2:10" x14ac:dyDescent="0.3">
      <c r="B1917" s="47" t="s">
        <v>183</v>
      </c>
      <c r="C1917" t="str">
        <f>VLOOKUP($B1917,'标准费用表-2024年&amp;2025年优化'!$D:$E,2,0)</f>
        <v>贵州正大农牧食品有限公司</v>
      </c>
      <c r="D1917" t="s">
        <v>117</v>
      </c>
      <c r="E1917" s="36">
        <f t="shared" ref="E1917:F1917" si="829">E1893</f>
        <v>0.25377318248031699</v>
      </c>
      <c r="F1917" s="36">
        <f t="shared" si="829"/>
        <v>0</v>
      </c>
      <c r="G1917">
        <v>0.2</v>
      </c>
      <c r="H1917">
        <v>0.3</v>
      </c>
      <c r="J1917" s="2" t="s">
        <v>69</v>
      </c>
    </row>
    <row r="1918" spans="2:10" x14ac:dyDescent="0.3">
      <c r="B1918" s="47" t="s">
        <v>183</v>
      </c>
      <c r="C1918" t="str">
        <f>VLOOKUP($B1918,'标准费用表-2024年&amp;2025年优化'!$D:$E,2,0)</f>
        <v>贵州正大农牧食品有限公司</v>
      </c>
      <c r="D1918" t="s">
        <v>118</v>
      </c>
      <c r="E1918" s="36">
        <f t="shared" ref="E1918:F1918" si="830">E1894</f>
        <v>0.100723404270514</v>
      </c>
      <c r="F1918" s="36">
        <f t="shared" si="830"/>
        <v>0</v>
      </c>
      <c r="G1918">
        <v>0.2</v>
      </c>
      <c r="H1918">
        <v>0.3</v>
      </c>
      <c r="J1918" s="2" t="s">
        <v>69</v>
      </c>
    </row>
    <row r="1919" spans="2:10" x14ac:dyDescent="0.3">
      <c r="B1919" s="47" t="s">
        <v>183</v>
      </c>
      <c r="C1919" t="str">
        <f>VLOOKUP($B1919,'标准费用表-2024年&amp;2025年优化'!$D:$E,2,0)</f>
        <v>贵州正大农牧食品有限公司</v>
      </c>
      <c r="D1919" t="s">
        <v>119</v>
      </c>
      <c r="E1919" s="36">
        <f>E1847</f>
        <v>0.36429030361317599</v>
      </c>
      <c r="F1919" s="36">
        <f t="shared" ref="F1919" si="831">F1895</f>
        <v>0</v>
      </c>
      <c r="G1919">
        <v>0.2</v>
      </c>
      <c r="H1919">
        <v>0.3</v>
      </c>
      <c r="J1919" s="2" t="s">
        <v>69</v>
      </c>
    </row>
    <row r="1920" spans="2:10" x14ac:dyDescent="0.3">
      <c r="B1920" s="47" t="s">
        <v>183</v>
      </c>
      <c r="C1920" t="str">
        <f>VLOOKUP($B1920,'标准费用表-2024年&amp;2025年优化'!$D:$E,2,0)</f>
        <v>贵州正大农牧食品有限公司</v>
      </c>
      <c r="D1920" t="s">
        <v>120</v>
      </c>
      <c r="E1920" s="36">
        <f t="shared" ref="E1920:E1942" si="832">E1848</f>
        <v>0.97361086565095101</v>
      </c>
      <c r="F1920" s="36">
        <f t="shared" ref="F1920" si="833">F1896</f>
        <v>0</v>
      </c>
      <c r="G1920">
        <v>0.2</v>
      </c>
      <c r="H1920">
        <v>0.3</v>
      </c>
      <c r="J1920" s="2" t="s">
        <v>69</v>
      </c>
    </row>
    <row r="1921" spans="2:10" x14ac:dyDescent="0.3">
      <c r="B1921" s="47" t="s">
        <v>183</v>
      </c>
      <c r="C1921" t="str">
        <f>VLOOKUP($B1921,'标准费用表-2024年&amp;2025年优化'!$D:$E,2,0)</f>
        <v>贵州正大农牧食品有限公司</v>
      </c>
      <c r="D1921" t="s">
        <v>121</v>
      </c>
      <c r="E1921" s="36">
        <f t="shared" si="832"/>
        <v>1.80205048494982</v>
      </c>
      <c r="F1921" s="36">
        <f t="shared" ref="F1921" si="834">F1897</f>
        <v>0</v>
      </c>
      <c r="G1921">
        <v>0.2</v>
      </c>
      <c r="H1921">
        <v>0.3</v>
      </c>
      <c r="J1921" s="2" t="s">
        <v>69</v>
      </c>
    </row>
    <row r="1922" spans="2:10" x14ac:dyDescent="0.3">
      <c r="B1922" s="47" t="s">
        <v>183</v>
      </c>
      <c r="C1922" t="str">
        <f>VLOOKUP($B1922,'标准费用表-2024年&amp;2025年优化'!$D:$E,2,0)</f>
        <v>贵州正大农牧食品有限公司</v>
      </c>
      <c r="D1922" t="s">
        <v>122</v>
      </c>
      <c r="E1922" s="36">
        <f t="shared" si="832"/>
        <v>0.378710096275438</v>
      </c>
      <c r="F1922" s="36">
        <f t="shared" ref="F1922" si="835">F1898</f>
        <v>0</v>
      </c>
      <c r="G1922">
        <v>0.2</v>
      </c>
      <c r="H1922">
        <v>0.3</v>
      </c>
      <c r="J1922" s="2" t="s">
        <v>69</v>
      </c>
    </row>
    <row r="1923" spans="2:10" x14ac:dyDescent="0.3">
      <c r="B1923" s="47" t="s">
        <v>183</v>
      </c>
      <c r="C1923" t="str">
        <f>VLOOKUP($B1923,'标准费用表-2024年&amp;2025年优化'!$D:$E,2,0)</f>
        <v>贵州正大农牧食品有限公司</v>
      </c>
      <c r="D1923" t="s">
        <v>123</v>
      </c>
      <c r="E1923" s="36">
        <f t="shared" si="832"/>
        <v>0.16719086324131699</v>
      </c>
      <c r="F1923" s="36">
        <f t="shared" ref="F1923" si="836">F1899</f>
        <v>0</v>
      </c>
      <c r="G1923">
        <v>0.2</v>
      </c>
      <c r="H1923">
        <v>0.3</v>
      </c>
      <c r="J1923" s="2" t="s">
        <v>69</v>
      </c>
    </row>
    <row r="1924" spans="2:10" x14ac:dyDescent="0.3">
      <c r="B1924" s="47" t="s">
        <v>183</v>
      </c>
      <c r="C1924" t="str">
        <f>VLOOKUP($B1924,'标准费用表-2024年&amp;2025年优化'!$D:$E,2,0)</f>
        <v>贵州正大农牧食品有限公司</v>
      </c>
      <c r="D1924" t="s">
        <v>124</v>
      </c>
      <c r="E1924" s="36">
        <f t="shared" si="832"/>
        <v>0.51743354063759905</v>
      </c>
      <c r="F1924" s="36">
        <f t="shared" ref="F1924" si="837">F1900</f>
        <v>0</v>
      </c>
      <c r="G1924">
        <v>0.2</v>
      </c>
      <c r="H1924">
        <v>0.3</v>
      </c>
      <c r="J1924" s="2" t="s">
        <v>69</v>
      </c>
    </row>
    <row r="1925" spans="2:10" x14ac:dyDescent="0.3">
      <c r="B1925" s="47" t="s">
        <v>183</v>
      </c>
      <c r="C1925" t="str">
        <f>VLOOKUP($B1925,'标准费用表-2024年&amp;2025年优化'!$D:$E,2,0)</f>
        <v>贵州正大农牧食品有限公司</v>
      </c>
      <c r="D1925" t="s">
        <v>125</v>
      </c>
      <c r="E1925" s="36">
        <f t="shared" si="832"/>
        <v>0.85475972857350402</v>
      </c>
      <c r="F1925" s="36">
        <f t="shared" ref="F1925" si="838">F1901</f>
        <v>0</v>
      </c>
      <c r="G1925">
        <v>0.2</v>
      </c>
      <c r="H1925">
        <v>0.3</v>
      </c>
      <c r="J1925" s="2" t="s">
        <v>69</v>
      </c>
    </row>
    <row r="1926" spans="2:10" x14ac:dyDescent="0.3">
      <c r="B1926" s="47" t="s">
        <v>183</v>
      </c>
      <c r="C1926" t="str">
        <f>VLOOKUP($B1926,'标准费用表-2024年&amp;2025年优化'!$D:$E,2,0)</f>
        <v>贵州正大农牧食品有限公司</v>
      </c>
      <c r="D1926" t="s">
        <v>126</v>
      </c>
      <c r="E1926" s="36">
        <f t="shared" si="832"/>
        <v>1.23995283511642</v>
      </c>
      <c r="F1926" s="36">
        <f t="shared" ref="F1926" si="839">F1902</f>
        <v>0</v>
      </c>
      <c r="G1926">
        <v>0.2</v>
      </c>
      <c r="H1926">
        <v>0.3</v>
      </c>
      <c r="J1926" s="2" t="s">
        <v>69</v>
      </c>
    </row>
    <row r="1927" spans="2:10" x14ac:dyDescent="0.3">
      <c r="B1927" s="47" t="s">
        <v>183</v>
      </c>
      <c r="C1927" t="str">
        <f>VLOOKUP($B1927,'标准费用表-2024年&amp;2025年优化'!$D:$E,2,0)</f>
        <v>贵州正大农牧食品有限公司</v>
      </c>
      <c r="D1927" t="s">
        <v>127</v>
      </c>
      <c r="E1927" s="36">
        <f t="shared" si="832"/>
        <v>0.72443362896767305</v>
      </c>
      <c r="F1927" s="36">
        <f t="shared" ref="F1927" si="840">F1903</f>
        <v>0</v>
      </c>
      <c r="G1927">
        <v>0.2</v>
      </c>
      <c r="H1927">
        <v>0.3</v>
      </c>
      <c r="J1927" s="2" t="s">
        <v>69</v>
      </c>
    </row>
    <row r="1928" spans="2:10" x14ac:dyDescent="0.3">
      <c r="B1928" s="47" t="s">
        <v>183</v>
      </c>
      <c r="C1928" t="str">
        <f>VLOOKUP($B1928,'标准费用表-2024年&amp;2025年优化'!$D:$E,2,0)</f>
        <v>贵州正大农牧食品有限公司</v>
      </c>
      <c r="D1928" t="s">
        <v>128</v>
      </c>
      <c r="E1928" s="36">
        <f t="shared" si="832"/>
        <v>0.66529089139776598</v>
      </c>
      <c r="F1928" s="36">
        <f t="shared" ref="F1928" si="841">F1904</f>
        <v>0</v>
      </c>
      <c r="G1928">
        <v>0.2</v>
      </c>
      <c r="H1928">
        <v>0.3</v>
      </c>
      <c r="J1928" s="2" t="s">
        <v>69</v>
      </c>
    </row>
    <row r="1929" spans="2:10" x14ac:dyDescent="0.3">
      <c r="B1929" s="47" t="s">
        <v>183</v>
      </c>
      <c r="C1929" t="str">
        <f>VLOOKUP($B1929,'标准费用表-2024年&amp;2025年优化'!$D:$E,2,0)</f>
        <v>贵州正大农牧食品有限公司</v>
      </c>
      <c r="D1929" t="s">
        <v>129</v>
      </c>
      <c r="E1929" s="36">
        <f t="shared" si="832"/>
        <v>0.84990362596721203</v>
      </c>
      <c r="F1929" s="36">
        <f t="shared" ref="F1929" si="842">F1905</f>
        <v>0</v>
      </c>
      <c r="G1929">
        <v>0.2</v>
      </c>
      <c r="H1929">
        <v>0.3</v>
      </c>
      <c r="J1929" s="2" t="s">
        <v>69</v>
      </c>
    </row>
    <row r="1930" spans="2:10" x14ac:dyDescent="0.3">
      <c r="B1930" s="47" t="s">
        <v>183</v>
      </c>
      <c r="C1930" t="str">
        <f>VLOOKUP($B1930,'标准费用表-2024年&amp;2025年优化'!$D:$E,2,0)</f>
        <v>贵州正大农牧食品有限公司</v>
      </c>
      <c r="D1930" t="s">
        <v>130</v>
      </c>
      <c r="E1930" s="36">
        <f t="shared" si="832"/>
        <v>1.4782292313734799</v>
      </c>
      <c r="F1930" s="36">
        <f t="shared" ref="F1930" si="843">F1906</f>
        <v>0</v>
      </c>
      <c r="G1930">
        <v>0.2</v>
      </c>
      <c r="H1930">
        <v>0.3</v>
      </c>
      <c r="J1930" s="2" t="s">
        <v>69</v>
      </c>
    </row>
    <row r="1931" spans="2:10" x14ac:dyDescent="0.3">
      <c r="B1931" s="47" t="s">
        <v>183</v>
      </c>
      <c r="C1931" t="str">
        <f>VLOOKUP($B1931,'标准费用表-2024年&amp;2025年优化'!$D:$E,2,0)</f>
        <v>贵州正大农牧食品有限公司</v>
      </c>
      <c r="D1931" t="s">
        <v>131</v>
      </c>
      <c r="E1931" s="36">
        <f t="shared" si="832"/>
        <v>0.25167668600313903</v>
      </c>
      <c r="F1931" s="36">
        <f t="shared" ref="F1931" si="844">F1907</f>
        <v>0</v>
      </c>
      <c r="G1931">
        <v>0.2</v>
      </c>
      <c r="H1931">
        <v>0.3</v>
      </c>
      <c r="J1931" s="2" t="s">
        <v>69</v>
      </c>
    </row>
    <row r="1932" spans="2:10" x14ac:dyDescent="0.3">
      <c r="B1932" s="47" t="s">
        <v>183</v>
      </c>
      <c r="C1932" t="str">
        <f>VLOOKUP($B1932,'标准费用表-2024年&amp;2025年优化'!$D:$E,2,0)</f>
        <v>贵州正大农牧食品有限公司</v>
      </c>
      <c r="D1932" t="s">
        <v>132</v>
      </c>
      <c r="E1932" s="36">
        <f t="shared" si="832"/>
        <v>5.8270023111847501E-2</v>
      </c>
      <c r="F1932" s="36">
        <f t="shared" ref="F1932" si="845">F1908</f>
        <v>0</v>
      </c>
      <c r="G1932">
        <v>0.2</v>
      </c>
      <c r="H1932">
        <v>0.3</v>
      </c>
      <c r="J1932" s="2" t="s">
        <v>69</v>
      </c>
    </row>
    <row r="1933" spans="2:10" x14ac:dyDescent="0.3">
      <c r="B1933" s="47" t="s">
        <v>183</v>
      </c>
      <c r="C1933" t="str">
        <f>VLOOKUP($B1933,'标准费用表-2024年&amp;2025年优化'!$D:$E,2,0)</f>
        <v>贵州正大农牧食品有限公司</v>
      </c>
      <c r="D1933" t="s">
        <v>133</v>
      </c>
      <c r="E1933" s="36">
        <f t="shared" si="832"/>
        <v>0.31262494046341299</v>
      </c>
      <c r="F1933" s="36">
        <f t="shared" ref="F1933" si="846">F1909</f>
        <v>0</v>
      </c>
      <c r="G1933">
        <v>0.2</v>
      </c>
      <c r="H1933">
        <v>0.3</v>
      </c>
      <c r="J1933" s="2" t="s">
        <v>69</v>
      </c>
    </row>
    <row r="1934" spans="2:10" x14ac:dyDescent="0.3">
      <c r="B1934" s="47" t="s">
        <v>183</v>
      </c>
      <c r="C1934" t="str">
        <f>VLOOKUP($B1934,'标准费用表-2024年&amp;2025年优化'!$D:$E,2,0)</f>
        <v>贵州正大农牧食品有限公司</v>
      </c>
      <c r="D1934" t="s">
        <v>134</v>
      </c>
      <c r="E1934" s="36">
        <f t="shared" si="832"/>
        <v>0.20448245406592599</v>
      </c>
      <c r="F1934" s="36">
        <f t="shared" ref="F1934" si="847">F1910</f>
        <v>0</v>
      </c>
      <c r="G1934">
        <v>0.2</v>
      </c>
      <c r="H1934">
        <v>0.3</v>
      </c>
      <c r="J1934" s="2" t="s">
        <v>69</v>
      </c>
    </row>
    <row r="1935" spans="2:10" x14ac:dyDescent="0.3">
      <c r="B1935" s="47" t="s">
        <v>183</v>
      </c>
      <c r="C1935" t="str">
        <f>VLOOKUP($B1935,'标准费用表-2024年&amp;2025年优化'!$D:$E,2,0)</f>
        <v>贵州正大农牧食品有限公司</v>
      </c>
      <c r="D1935" t="s">
        <v>135</v>
      </c>
      <c r="E1935" s="36">
        <f t="shared" si="832"/>
        <v>0.13553358663395401</v>
      </c>
      <c r="F1935" s="36">
        <f t="shared" ref="F1935" si="848">F1911</f>
        <v>0</v>
      </c>
      <c r="G1935">
        <v>0.2</v>
      </c>
      <c r="H1935">
        <v>0.3</v>
      </c>
      <c r="J1935" s="2" t="s">
        <v>69</v>
      </c>
    </row>
    <row r="1936" spans="2:10" x14ac:dyDescent="0.3">
      <c r="B1936" s="47" t="s">
        <v>183</v>
      </c>
      <c r="C1936" t="str">
        <f>VLOOKUP($B1936,'标准费用表-2024年&amp;2025年优化'!$D:$E,2,0)</f>
        <v>贵州正大农牧食品有限公司</v>
      </c>
      <c r="D1936" t="s">
        <v>136</v>
      </c>
      <c r="E1936" s="36">
        <f t="shared" si="832"/>
        <v>2.3400173286731801E-2</v>
      </c>
      <c r="F1936" s="36">
        <f t="shared" ref="F1936" si="849">F1912</f>
        <v>0</v>
      </c>
      <c r="G1936">
        <v>0.2</v>
      </c>
      <c r="H1936">
        <v>0.3</v>
      </c>
      <c r="J1936" s="2" t="s">
        <v>69</v>
      </c>
    </row>
    <row r="1937" spans="2:10" x14ac:dyDescent="0.3">
      <c r="B1937" s="47" t="s">
        <v>183</v>
      </c>
      <c r="C1937" t="str">
        <f>VLOOKUP($B1937,'标准费用表-2024年&amp;2025年优化'!$D:$E,2,0)</f>
        <v>贵州正大农牧食品有限公司</v>
      </c>
      <c r="D1937" t="s">
        <v>137</v>
      </c>
      <c r="E1937" s="36">
        <f t="shared" si="832"/>
        <v>0.122457957717617</v>
      </c>
      <c r="F1937" s="36">
        <f t="shared" ref="F1937" si="850">F1913</f>
        <v>0</v>
      </c>
      <c r="G1937">
        <v>0.2</v>
      </c>
      <c r="H1937">
        <v>0.3</v>
      </c>
      <c r="J1937" s="2" t="s">
        <v>69</v>
      </c>
    </row>
    <row r="1938" spans="2:10" x14ac:dyDescent="0.3">
      <c r="B1938" s="47" t="s">
        <v>183</v>
      </c>
      <c r="C1938" t="str">
        <f>VLOOKUP($B1938,'标准费用表-2024年&amp;2025年优化'!$D:$E,2,0)</f>
        <v>贵州正大农牧食品有限公司</v>
      </c>
      <c r="D1938" t="s">
        <v>138</v>
      </c>
      <c r="E1938" s="36">
        <f t="shared" si="832"/>
        <v>0.112371428606483</v>
      </c>
      <c r="F1938" s="36">
        <f t="shared" ref="F1938" si="851">F1914</f>
        <v>0</v>
      </c>
      <c r="G1938">
        <v>0.2</v>
      </c>
      <c r="H1938">
        <v>0.3</v>
      </c>
      <c r="J1938" s="2" t="s">
        <v>69</v>
      </c>
    </row>
    <row r="1939" spans="2:10" x14ac:dyDescent="0.3">
      <c r="B1939" s="47" t="s">
        <v>183</v>
      </c>
      <c r="C1939" t="str">
        <f>VLOOKUP($B1939,'标准费用表-2024年&amp;2025年优化'!$D:$E,2,0)</f>
        <v>贵州正大农牧食品有限公司</v>
      </c>
      <c r="D1939" t="s">
        <v>139</v>
      </c>
      <c r="E1939" s="36">
        <f t="shared" si="832"/>
        <v>0.393132680280386</v>
      </c>
      <c r="F1939" s="36">
        <f t="shared" ref="F1939" si="852">F1915</f>
        <v>0</v>
      </c>
      <c r="G1939">
        <v>0.2</v>
      </c>
      <c r="H1939">
        <v>0.3</v>
      </c>
      <c r="J1939" s="2" t="s">
        <v>69</v>
      </c>
    </row>
    <row r="1940" spans="2:10" x14ac:dyDescent="0.3">
      <c r="B1940" s="47" t="s">
        <v>183</v>
      </c>
      <c r="C1940" t="str">
        <f>VLOOKUP($B1940,'标准费用表-2024年&amp;2025年优化'!$D:$E,2,0)</f>
        <v>贵州正大农牧食品有限公司</v>
      </c>
      <c r="D1940" t="s">
        <v>140</v>
      </c>
      <c r="E1940" s="36">
        <f t="shared" si="832"/>
        <v>0.460464516808895</v>
      </c>
      <c r="F1940" s="36">
        <f t="shared" ref="F1940" si="853">F1916</f>
        <v>0</v>
      </c>
      <c r="G1940">
        <v>0.2</v>
      </c>
      <c r="H1940">
        <v>0.3</v>
      </c>
      <c r="J1940" s="2" t="s">
        <v>69</v>
      </c>
    </row>
    <row r="1941" spans="2:10" x14ac:dyDescent="0.3">
      <c r="B1941" s="47" t="s">
        <v>183</v>
      </c>
      <c r="C1941" t="str">
        <f>VLOOKUP($B1941,'标准费用表-2024年&amp;2025年优化'!$D:$E,2,0)</f>
        <v>贵州正大农牧食品有限公司</v>
      </c>
      <c r="D1941" t="s">
        <v>141</v>
      </c>
      <c r="E1941" s="36">
        <f t="shared" si="832"/>
        <v>0.13166609660943099</v>
      </c>
      <c r="F1941" s="36">
        <f t="shared" ref="F1941" si="854">F1917</f>
        <v>0</v>
      </c>
      <c r="G1941">
        <v>0.2</v>
      </c>
      <c r="H1941">
        <v>0.3</v>
      </c>
      <c r="J1941" s="2" t="s">
        <v>69</v>
      </c>
    </row>
    <row r="1942" spans="2:10" x14ac:dyDescent="0.3">
      <c r="B1942" s="47" t="s">
        <v>183</v>
      </c>
      <c r="C1942" t="str">
        <f>VLOOKUP($B1942,'标准费用表-2024年&amp;2025年优化'!$D:$E,2,0)</f>
        <v>贵州正大农牧食品有限公司</v>
      </c>
      <c r="D1942" t="s">
        <v>142</v>
      </c>
      <c r="E1942" s="36">
        <f t="shared" si="832"/>
        <v>3.9174213120566098E-2</v>
      </c>
      <c r="F1942" s="36">
        <f t="shared" ref="F1942" si="855">F1918</f>
        <v>0</v>
      </c>
      <c r="G1942">
        <v>0.2</v>
      </c>
      <c r="H1942">
        <v>0.3</v>
      </c>
      <c r="J1942" s="2" t="s">
        <v>69</v>
      </c>
    </row>
    <row r="1943" spans="2:10" x14ac:dyDescent="0.3">
      <c r="B1943" s="47" t="s">
        <v>185</v>
      </c>
      <c r="C1943" t="str">
        <f>VLOOKUP($B1943,'标准费用表-2024年&amp;2025年优化'!$D:$E,2,0)</f>
        <v>重庆正大猪业有限公司</v>
      </c>
      <c r="D1943" t="s">
        <v>41</v>
      </c>
      <c r="E1943" s="46">
        <f>IFERROR(VLOOKUP($B1943,'标准费用表-2024年&amp;2025年优化'!$D:$K,8,0)*VLOOKUP('5.成本表'!$D1943,系数辅助表!$C:$G,5,0)/VLOOKUP($D1943,系数辅助表!$C:$E,3,0),0)</f>
        <v>0.57527941443291697</v>
      </c>
      <c r="I1943" s="36">
        <f>VLOOKUP($D1943,系数辅助表!$C:$F,4,0)</f>
        <v>1.33</v>
      </c>
      <c r="J1943" s="2" t="s">
        <v>41</v>
      </c>
    </row>
    <row r="1944" spans="2:10" x14ac:dyDescent="0.3">
      <c r="B1944" s="47" t="s">
        <v>185</v>
      </c>
      <c r="C1944" t="str">
        <f>VLOOKUP($B1944,'标准费用表-2024年&amp;2025年优化'!$D:$E,2,0)</f>
        <v>重庆正大猪业有限公司</v>
      </c>
      <c r="D1944" t="s">
        <v>44</v>
      </c>
      <c r="E1944" s="46">
        <f>IFERROR(VLOOKUP($B1944,'标准费用表-2024年&amp;2025年优化'!$D:$K,8,0)*系数辅助表!$J$6*VLOOKUP('5.成本表'!$D1944,系数辅助表!$C:$G,5,0)/VLOOKUP($D1944,系数辅助表!$C:$E,3,0),0)</f>
        <v>0.32902612842135098</v>
      </c>
      <c r="I1944" s="36">
        <f>VLOOKUP($D1944,系数辅助表!$C:$F,4,0)</f>
        <v>0.789027855994753</v>
      </c>
      <c r="J1944" s="2" t="s">
        <v>200</v>
      </c>
    </row>
    <row r="1945" spans="2:10" x14ac:dyDescent="0.3">
      <c r="B1945" s="47" t="s">
        <v>185</v>
      </c>
      <c r="C1945" t="str">
        <f>VLOOKUP($B1945,'标准费用表-2024年&amp;2025年优化'!$D:$E,2,0)</f>
        <v>重庆正大猪业有限公司</v>
      </c>
      <c r="D1945" t="s">
        <v>45</v>
      </c>
      <c r="E1945" s="46">
        <f>IFERROR(VLOOKUP($B1945,'标准费用表-2024年&amp;2025年优化'!$D:$K,8,0)*系数辅助表!$J$6*VLOOKUP('5.成本表'!$D1945,系数辅助表!$C:$G,5,0)/VLOOKUP($D1945,系数辅助表!$C:$E,3,0),0)</f>
        <v>0.87936299851189703</v>
      </c>
      <c r="I1945" s="36">
        <f>VLOOKUP($D1945,系数辅助表!$C:$F,4,0)</f>
        <v>2.1087744754070901</v>
      </c>
      <c r="J1945" s="2" t="s">
        <v>200</v>
      </c>
    </row>
    <row r="1946" spans="2:10" x14ac:dyDescent="0.3">
      <c r="B1946" s="47" t="s">
        <v>185</v>
      </c>
      <c r="C1946" t="str">
        <f>VLOOKUP($B1946,'标准费用表-2024年&amp;2025年优化'!$D:$E,2,0)</f>
        <v>重庆正大猪业有限公司</v>
      </c>
      <c r="D1946" t="s">
        <v>46</v>
      </c>
      <c r="E1946" s="46">
        <f>IFERROR(VLOOKUP($B1946,'标准费用表-2024年&amp;2025年优化'!$D:$K,8,0)*系数辅助表!$J$6*VLOOKUP('5.成本表'!$D1946,系数辅助表!$C:$G,5,0)/VLOOKUP($D1946,系数辅助表!$C:$E,3,0),0)</f>
        <v>1.62760767553246</v>
      </c>
      <c r="I1946" s="36">
        <f>VLOOKUP($D1946,系数辅助表!$C:$F,4,0)</f>
        <v>3.9031179705625099</v>
      </c>
      <c r="J1946" s="2" t="s">
        <v>200</v>
      </c>
    </row>
    <row r="1947" spans="2:10" x14ac:dyDescent="0.3">
      <c r="B1947" s="47" t="s">
        <v>185</v>
      </c>
      <c r="C1947" t="str">
        <f>VLOOKUP($B1947,'标准费用表-2024年&amp;2025年优化'!$D:$E,2,0)</f>
        <v>重庆正大猪业有限公司</v>
      </c>
      <c r="D1947" t="s">
        <v>47</v>
      </c>
      <c r="E1947" s="46">
        <f>IFERROR(VLOOKUP($B1947,'标准费用表-2024年&amp;2025年优化'!$D:$K,8,0)*系数辅助表!$J$6*VLOOKUP('5.成本表'!$D1947,系数辅助表!$C:$G,5,0)/VLOOKUP($D1947,系数辅助表!$C:$E,3,0),0)</f>
        <v>0.34205005056598298</v>
      </c>
      <c r="I1947" s="36">
        <f>VLOOKUP($D1947,系数辅助表!$C:$F,4,0)</f>
        <v>0.82026013963048305</v>
      </c>
      <c r="J1947" s="2" t="s">
        <v>200</v>
      </c>
    </row>
    <row r="1948" spans="2:10" x14ac:dyDescent="0.3">
      <c r="B1948" s="47" t="s">
        <v>185</v>
      </c>
      <c r="C1948" t="str">
        <f>VLOOKUP($B1948,'标准费用表-2024年&amp;2025年优化'!$D:$E,2,0)</f>
        <v>重庆正大猪业有限公司</v>
      </c>
      <c r="D1948" t="s">
        <v>48</v>
      </c>
      <c r="E1948" s="46">
        <f>IFERROR(VLOOKUP($B1948,'标准费用表-2024年&amp;2025年优化'!$D:$K,8,0)*系数辅助表!$J$6*VLOOKUP('5.成本表'!$D1948,系数辅助表!$C:$G,5,0)/VLOOKUP($D1948,系数辅助表!$C:$E,3,0),0)</f>
        <v>0.15100638664850899</v>
      </c>
      <c r="I1948" s="36">
        <f>VLOOKUP($D1948,系数辅助表!$C:$F,4,0)</f>
        <v>0.36212396283071502</v>
      </c>
      <c r="J1948" s="2" t="s">
        <v>200</v>
      </c>
    </row>
    <row r="1949" spans="2:10" x14ac:dyDescent="0.3">
      <c r="B1949" s="47" t="s">
        <v>185</v>
      </c>
      <c r="C1949" t="str">
        <f>VLOOKUP($B1949,'标准费用表-2024年&amp;2025年优化'!$D:$E,2,0)</f>
        <v>重庆正大猪业有限公司</v>
      </c>
      <c r="D1949" t="s">
        <v>49</v>
      </c>
      <c r="E1949" s="46">
        <f>IFERROR(VLOOKUP($B1949,'标准费用表-2024年&amp;2025年优化'!$D:$K,8,0)*系数辅助表!$J$6*VLOOKUP('5.成本表'!$D1949,系数辅助表!$C:$G,5,0)/VLOOKUP($D1949,系数辅助表!$C:$E,3,0),0)</f>
        <v>0.46734473276598898</v>
      </c>
      <c r="I1949" s="36">
        <f>VLOOKUP($D1949,系数辅助表!$C:$F,4,0)</f>
        <v>1.1207256222295201</v>
      </c>
      <c r="J1949" s="2" t="s">
        <v>200</v>
      </c>
    </row>
    <row r="1950" spans="2:10" x14ac:dyDescent="0.3">
      <c r="B1950" s="47" t="s">
        <v>185</v>
      </c>
      <c r="C1950" t="str">
        <f>VLOOKUP($B1950,'标准费用表-2024年&amp;2025年优化'!$D:$E,2,0)</f>
        <v>重庆正大猪业有限公司</v>
      </c>
      <c r="D1950" t="s">
        <v>50</v>
      </c>
      <c r="E1950" s="46">
        <f>IFERROR(VLOOKUP($B1950,'标准费用表-2024年&amp;2025年优化'!$D:$K,8,0)*系数辅助表!$J$6*VLOOKUP('5.成本表'!$D1950,系数辅助表!$C:$G,5,0)/VLOOKUP($D1950,系数辅助表!$C:$E,3,0),0)</f>
        <v>0.77201693658489201</v>
      </c>
      <c r="I1950" s="36">
        <f>VLOOKUP($D1950,系数辅助表!$C:$F,4,0)</f>
        <v>1.8513510498021799</v>
      </c>
      <c r="J1950" s="2" t="s">
        <v>200</v>
      </c>
    </row>
    <row r="1951" spans="2:10" x14ac:dyDescent="0.3">
      <c r="B1951" s="47" t="s">
        <v>185</v>
      </c>
      <c r="C1951" t="str">
        <f>VLOOKUP($B1951,'标准费用表-2024年&amp;2025年优化'!$D:$E,2,0)</f>
        <v>重庆正大猪业有限公司</v>
      </c>
      <c r="D1951" t="s">
        <v>51</v>
      </c>
      <c r="E1951" s="46">
        <f>IFERROR(VLOOKUP($B1951,'标准费用表-2024年&amp;2025年优化'!$D:$K,8,0)*系数辅助表!$J$6*VLOOKUP('5.成本表'!$D1951,系数辅助表!$C:$G,5,0)/VLOOKUP($D1951,系数辅助表!$C:$E,3,0),0)</f>
        <v>1.1199224264740399</v>
      </c>
      <c r="I1951" s="36">
        <f>VLOOKUP($D1951,系数辅助表!$C:$F,4,0)</f>
        <v>2.68565294580391</v>
      </c>
      <c r="J1951" s="2" t="s">
        <v>200</v>
      </c>
    </row>
    <row r="1952" spans="2:10" x14ac:dyDescent="0.3">
      <c r="B1952" s="47" t="s">
        <v>185</v>
      </c>
      <c r="C1952" t="str">
        <f>VLOOKUP($B1952,'标准费用表-2024年&amp;2025年优化'!$D:$E,2,0)</f>
        <v>重庆正大猪业有限公司</v>
      </c>
      <c r="D1952" t="s">
        <v>52</v>
      </c>
      <c r="E1952" s="46">
        <f>IFERROR(VLOOKUP($B1952,'标准费用表-2024年&amp;2025年优化'!$D:$K,8,0)*系数辅助表!$J$6*VLOOKUP('5.成本表'!$D1952,系数辅助表!$C:$G,5,0)/VLOOKUP($D1952,系数辅助表!$C:$E,3,0),0)</f>
        <v>0.65430671602657797</v>
      </c>
      <c r="I1952" s="36">
        <f>VLOOKUP($D1952,系数辅助表!$C:$F,4,0)</f>
        <v>1.5690736410097099</v>
      </c>
      <c r="J1952" s="2" t="s">
        <v>200</v>
      </c>
    </row>
    <row r="1953" spans="2:10" x14ac:dyDescent="0.3">
      <c r="B1953" s="47" t="s">
        <v>185</v>
      </c>
      <c r="C1953" t="str">
        <f>VLOOKUP($B1953,'标准费用表-2024年&amp;2025年优化'!$D:$E,2,0)</f>
        <v>重庆正大猪业有限公司</v>
      </c>
      <c r="D1953" t="s">
        <v>53</v>
      </c>
      <c r="E1953" s="46">
        <f>IFERROR(VLOOKUP($B1953,'标准费用表-2024年&amp;2025年优化'!$D:$K,8,0)*系数辅助表!$J$6*VLOOKUP('5.成本表'!$D1953,系数辅助表!$C:$G,5,0)/VLOOKUP($D1953,系数辅助表!$C:$E,3,0),0)</f>
        <v>0.60088913731570004</v>
      </c>
      <c r="I1953" s="36">
        <f>VLOOKUP($D1953,系数辅助表!$C:$F,4,0)</f>
        <v>1.44097452072131</v>
      </c>
      <c r="J1953" s="2" t="s">
        <v>200</v>
      </c>
    </row>
    <row r="1954" spans="2:10" x14ac:dyDescent="0.3">
      <c r="B1954" s="47" t="s">
        <v>185</v>
      </c>
      <c r="C1954" t="str">
        <f>VLOOKUP($B1954,'标准费用表-2024年&amp;2025年优化'!$D:$E,2,0)</f>
        <v>重庆正大猪业有限公司</v>
      </c>
      <c r="D1954" t="s">
        <v>54</v>
      </c>
      <c r="E1954" s="46">
        <f>IFERROR(VLOOKUP($B1954,'标准费用表-2024年&amp;2025年优化'!$D:$K,8,0)*系数辅助表!$J$6*VLOOKUP('5.成本表'!$D1954,系数辅助表!$C:$G,5,0)/VLOOKUP($D1954,系数辅助表!$C:$E,3,0),0)</f>
        <v>0.76763091635894098</v>
      </c>
      <c r="I1954" s="36">
        <f>VLOOKUP($D1954,系数辅助表!$C:$F,4,0)</f>
        <v>1.8408330640366199</v>
      </c>
      <c r="J1954" s="2" t="s">
        <v>200</v>
      </c>
    </row>
    <row r="1955" spans="2:10" x14ac:dyDescent="0.3">
      <c r="B1955" s="47" t="s">
        <v>185</v>
      </c>
      <c r="C1955" t="str">
        <f>VLOOKUP($B1955,'标准费用表-2024年&amp;2025年优化'!$D:$E,2,0)</f>
        <v>重庆正大猪业有限公司</v>
      </c>
      <c r="D1955" t="s">
        <v>55</v>
      </c>
      <c r="E1955" s="46">
        <f>IFERROR(VLOOKUP($B1955,'标准费用表-2024年&amp;2025年优化'!$D:$K,8,0)*系数辅助表!$J$6*VLOOKUP('5.成本表'!$D1955,系数辅助表!$C:$G,5,0)/VLOOKUP($D1955,系数辅助表!$C:$E,3,0),0)</f>
        <v>1.3351330960336101</v>
      </c>
      <c r="I1955" s="36">
        <f>VLOOKUP($D1955,系数辅助表!$C:$F,4,0)</f>
        <v>3.2017433061789502</v>
      </c>
      <c r="J1955" s="2" t="s">
        <v>200</v>
      </c>
    </row>
    <row r="1956" spans="2:10" x14ac:dyDescent="0.3">
      <c r="B1956" s="47" t="s">
        <v>185</v>
      </c>
      <c r="C1956" t="str">
        <f>VLOOKUP($B1956,'标准费用表-2024年&amp;2025年优化'!$D:$E,2,0)</f>
        <v>重庆正大猪业有限公司</v>
      </c>
      <c r="D1956" t="s">
        <v>56</v>
      </c>
      <c r="E1956" s="46">
        <f>IFERROR(VLOOKUP($B1956,'标准费用表-2024年&amp;2025年优化'!$D:$K,8,0)*系数辅助表!$J$6*VLOOKUP('5.成本表'!$D1956,系数辅助表!$C:$G,5,0)/VLOOKUP($D1956,系数辅助表!$C:$E,3,0),0)</f>
        <v>0.227313779115733</v>
      </c>
      <c r="I1956" s="36">
        <f>VLOOKUP($D1956,系数辅助表!$C:$F,4,0)</f>
        <v>0.54511447049599404</v>
      </c>
      <c r="J1956" s="2" t="s">
        <v>200</v>
      </c>
    </row>
    <row r="1957" spans="2:10" x14ac:dyDescent="0.3">
      <c r="B1957" s="47" t="s">
        <v>185</v>
      </c>
      <c r="C1957" t="str">
        <f>VLOOKUP($B1957,'标准费用表-2024年&amp;2025年优化'!$D:$E,2,0)</f>
        <v>重庆正大猪业有限公司</v>
      </c>
      <c r="D1957" t="s">
        <v>57</v>
      </c>
      <c r="E1957" s="46">
        <f>IFERROR(VLOOKUP($B1957,'标准费用表-2024年&amp;2025年优化'!$D:$K,8,0)*系数辅助表!$J$6*VLOOKUP('5.成本表'!$D1957,系数辅助表!$C:$G,5,0)/VLOOKUP($D1957,系数辅助表!$C:$E,3,0),0)</f>
        <v>5.2629345105688202E-2</v>
      </c>
      <c r="I1957" s="36">
        <f>VLOOKUP($D1957,系数辅助表!$C:$F,4,0)</f>
        <v>0.126208880523832</v>
      </c>
      <c r="J1957" s="2" t="s">
        <v>200</v>
      </c>
    </row>
    <row r="1958" spans="2:10" x14ac:dyDescent="0.3">
      <c r="B1958" s="47" t="s">
        <v>185</v>
      </c>
      <c r="C1958" t="str">
        <f>VLOOKUP($B1958,'标准费用表-2024年&amp;2025年优化'!$D:$E,2,0)</f>
        <v>重庆正大猪业有限公司</v>
      </c>
      <c r="D1958" t="s">
        <v>58</v>
      </c>
      <c r="E1958" s="46">
        <f>IFERROR(VLOOKUP($B1958,'标准费用表-2024年&amp;2025年优化'!$D:$K,8,0)*系数辅助表!$J$6*VLOOKUP('5.成本表'!$D1958,系数辅助表!$C:$G,5,0)/VLOOKUP($D1958,系数辅助表!$C:$E,3,0),0)</f>
        <v>0.28236209635120102</v>
      </c>
      <c r="I1958" s="36">
        <f>VLOOKUP($D1958,系数辅助表!$C:$F,4,0)</f>
        <v>0.67712421675176204</v>
      </c>
      <c r="J1958" s="2" t="s">
        <v>200</v>
      </c>
    </row>
    <row r="1959" spans="2:10" x14ac:dyDescent="0.3">
      <c r="B1959" s="47" t="s">
        <v>185</v>
      </c>
      <c r="C1959" t="str">
        <f>VLOOKUP($B1959,'标准费用表-2024年&amp;2025年优化'!$D:$E,2,0)</f>
        <v>重庆正大猪业有限公司</v>
      </c>
      <c r="D1959" t="s">
        <v>59</v>
      </c>
      <c r="E1959" s="46">
        <f>IFERROR(VLOOKUP($B1959,'标准费用表-2024年&amp;2025年优化'!$D:$K,8,0)*系数辅助表!$J$6*VLOOKUP('5.成本表'!$D1959,系数辅助表!$C:$G,5,0)/VLOOKUP($D1959,系数辅助表!$C:$E,3,0),0)</f>
        <v>0.18468806203211499</v>
      </c>
      <c r="I1959" s="36">
        <f>VLOOKUP($D1959,系数辅助表!$C:$F,4,0)</f>
        <v>0.44289499533730498</v>
      </c>
      <c r="J1959" s="2" t="s">
        <v>200</v>
      </c>
    </row>
    <row r="1960" spans="2:10" x14ac:dyDescent="0.3">
      <c r="B1960" s="47" t="s">
        <v>185</v>
      </c>
      <c r="C1960" t="str">
        <f>VLOOKUP($B1960,'标准费用表-2024年&amp;2025年优化'!$D:$E,2,0)</f>
        <v>重庆正大猪业有限公司</v>
      </c>
      <c r="D1960" t="s">
        <v>60</v>
      </c>
      <c r="E1960" s="46">
        <f>IFERROR(VLOOKUP($B1960,'标准费用表-2024年&amp;2025年优化'!$D:$K,8,0)*系数辅助表!$J$6*VLOOKUP('5.成本表'!$D1960,系数辅助表!$C:$G,5,0)/VLOOKUP($D1960,系数辅助表!$C:$E,3,0),0)</f>
        <v>0.12241361035121601</v>
      </c>
      <c r="I1960" s="36">
        <f>VLOOKUP($D1960,系数辅助表!$C:$F,4,0)</f>
        <v>0.29355646915769201</v>
      </c>
      <c r="J1960" s="2" t="s">
        <v>200</v>
      </c>
    </row>
    <row r="1961" spans="2:10" x14ac:dyDescent="0.3">
      <c r="B1961" s="47" t="s">
        <v>185</v>
      </c>
      <c r="C1961" t="str">
        <f>VLOOKUP($B1961,'标准费用表-2024年&amp;2025年优化'!$D:$E,2,0)</f>
        <v>重庆正大猪业有限公司</v>
      </c>
      <c r="D1961" t="s">
        <v>61</v>
      </c>
      <c r="E1961" s="46">
        <f>IFERROR(VLOOKUP($B1961,'标准费用表-2024年&amp;2025年优化'!$D:$K,8,0)*系数辅助表!$J$6*VLOOKUP('5.成本表'!$D1961,系数辅助表!$C:$G,5,0)/VLOOKUP($D1961,系数辅助表!$C:$E,3,0),0)</f>
        <v>2.1134980383934701E-2</v>
      </c>
      <c r="I1961" s="36">
        <f>VLOOKUP($D1961,系数辅助表!$C:$F,4,0)</f>
        <v>5.0683173214352499E-2</v>
      </c>
      <c r="J1961" s="2" t="s">
        <v>200</v>
      </c>
    </row>
    <row r="1962" spans="2:10" x14ac:dyDescent="0.3">
      <c r="B1962" s="47" t="s">
        <v>185</v>
      </c>
      <c r="C1962" t="str">
        <f>VLOOKUP($B1962,'标准费用表-2024年&amp;2025年优化'!$D:$E,2,0)</f>
        <v>重庆正大猪业有限公司</v>
      </c>
      <c r="D1962" t="s">
        <v>62</v>
      </c>
      <c r="E1962" s="46">
        <f>IFERROR(VLOOKUP($B1962,'标准费用表-2024年&amp;2025年优化'!$D:$K,8,0)*系数辅助表!$J$6*VLOOKUP('5.成本表'!$D1962,系数辅助表!$C:$G,5,0)/VLOOKUP($D1962,系数辅助表!$C:$E,3,0),0)</f>
        <v>0.110603733677735</v>
      </c>
      <c r="I1962" s="36">
        <f>VLOOKUP($D1962,系数辅助表!$C:$F,4,0)</f>
        <v>0.26523555216563399</v>
      </c>
      <c r="J1962" s="2" t="s">
        <v>200</v>
      </c>
    </row>
    <row r="1963" spans="2:10" x14ac:dyDescent="0.3">
      <c r="B1963" s="47" t="s">
        <v>185</v>
      </c>
      <c r="C1963" t="str">
        <f>VLOOKUP($B1963,'标准费用表-2024年&amp;2025年优化'!$D:$E,2,0)</f>
        <v>重庆正大猪业有限公司</v>
      </c>
      <c r="D1963" t="s">
        <v>63</v>
      </c>
      <c r="E1963" s="46">
        <f>IFERROR(VLOOKUP($B1963,'标准费用表-2024年&amp;2025年优化'!$D:$K,8,0)*系数辅助表!$J$6*VLOOKUP('5.成本表'!$D1963,系数辅助表!$C:$G,5,0)/VLOOKUP($D1963,系数辅助表!$C:$E,3,0),0)</f>
        <v>0.101493604778532</v>
      </c>
      <c r="I1963" s="36">
        <f>VLOOKUP($D1963,系数辅助表!$C:$F,4,0)</f>
        <v>0.24338882069886</v>
      </c>
      <c r="J1963" s="2" t="s">
        <v>200</v>
      </c>
    </row>
    <row r="1964" spans="2:10" x14ac:dyDescent="0.3">
      <c r="B1964" s="47" t="s">
        <v>185</v>
      </c>
      <c r="C1964" t="str">
        <f>VLOOKUP($B1964,'标准费用表-2024年&amp;2025年优化'!$D:$E,2,0)</f>
        <v>重庆正大猪业有限公司</v>
      </c>
      <c r="D1964" t="s">
        <v>64</v>
      </c>
      <c r="E1964" s="46">
        <f>IFERROR(VLOOKUP($B1964,'标准费用表-2024年&amp;2025年优化'!$D:$K,8,0)*系数辅助表!$J$6*VLOOKUP('5.成本表'!$D1964,系数辅助表!$C:$G,5,0)/VLOOKUP($D1964,系数辅助表!$C:$E,3,0),0)</f>
        <v>0.35507649384463502</v>
      </c>
      <c r="I1964" s="36">
        <f>VLOOKUP($D1964,系数辅助表!$C:$F,4,0)</f>
        <v>0.85149846912336002</v>
      </c>
      <c r="J1964" s="2" t="s">
        <v>200</v>
      </c>
    </row>
    <row r="1965" spans="2:10" x14ac:dyDescent="0.3">
      <c r="B1965" s="47" t="s">
        <v>185</v>
      </c>
      <c r="C1965" t="str">
        <f>VLOOKUP($B1965,'标准费用表-2024年&amp;2025年优化'!$D:$E,2,0)</f>
        <v>重庆正大猪业有限公司</v>
      </c>
      <c r="D1965" t="s">
        <v>65</v>
      </c>
      <c r="E1965" s="46">
        <f>IFERROR(VLOOKUP($B1965,'标准费用表-2024年&amp;2025年优化'!$D:$K,8,0)*系数辅助表!$J$6*VLOOKUP('5.成本表'!$D1965,系数辅助表!$C:$G,5,0)/VLOOKUP($D1965,系数辅助表!$C:$E,3,0),0)</f>
        <v>0.41589044709220402</v>
      </c>
      <c r="I1965" s="36">
        <f>VLOOKUP($D1965,系数辅助表!$C:$F,4,0)</f>
        <v>0.99733461707829196</v>
      </c>
      <c r="J1965" s="2" t="s">
        <v>200</v>
      </c>
    </row>
    <row r="1966" spans="2:10" x14ac:dyDescent="0.3">
      <c r="B1966" s="47" t="s">
        <v>185</v>
      </c>
      <c r="C1966" t="str">
        <f>VLOOKUP($B1966,'标准费用表-2024年&amp;2025年优化'!$D:$E,2,0)</f>
        <v>重庆正大猪业有限公司</v>
      </c>
      <c r="D1966" t="s">
        <v>66</v>
      </c>
      <c r="E1966" s="46">
        <f>IFERROR(VLOOKUP($B1966,'标准费用表-2024年&amp;2025年优化'!$D:$K,8,0)*系数辅助表!$J$6*VLOOKUP('5.成本表'!$D1966,系数辅助表!$C:$G,5,0)/VLOOKUP($D1966,系数辅助表!$C:$E,3,0),0)</f>
        <v>0.118920502637791</v>
      </c>
      <c r="I1966" s="36">
        <f>VLOOKUP($D1966,系数辅助表!$C:$F,4,0)</f>
        <v>0.28517975055754302</v>
      </c>
      <c r="J1966" s="2" t="s">
        <v>200</v>
      </c>
    </row>
    <row r="1967" spans="2:10" x14ac:dyDescent="0.3">
      <c r="B1967" s="47" t="s">
        <v>185</v>
      </c>
      <c r="C1967" t="str">
        <f>VLOOKUP($B1967,'标准费用表-2024年&amp;2025年优化'!$D:$E,2,0)</f>
        <v>重庆正大猪业有限公司</v>
      </c>
      <c r="D1967" t="s">
        <v>67</v>
      </c>
      <c r="E1967" s="46">
        <f>IFERROR(VLOOKUP($B1967,'标准费用表-2024年&amp;2025年优化'!$D:$K,8,0)*系数辅助表!$J$6*VLOOKUP('5.成本表'!$D1967,系数辅助表!$C:$G,5,0)/VLOOKUP($D1967,系数辅助表!$C:$E,3,0),0)</f>
        <v>3.53820553255772E-2</v>
      </c>
      <c r="I1967" s="36">
        <f>VLOOKUP($D1967,系数辅助表!$C:$F,4,0)</f>
        <v>8.4848663503333893E-2</v>
      </c>
      <c r="J1967" s="2" t="s">
        <v>200</v>
      </c>
    </row>
    <row r="1968" spans="2:10" x14ac:dyDescent="0.3">
      <c r="B1968" s="47" t="s">
        <v>185</v>
      </c>
      <c r="C1968" t="str">
        <f>VLOOKUP($B1968,'标准费用表-2024年&amp;2025年优化'!$D:$E,2,0)</f>
        <v>重庆正大猪业有限公司</v>
      </c>
      <c r="D1968" t="s">
        <v>68</v>
      </c>
      <c r="E1968" s="36">
        <f>IFERROR(VLOOKUP($B1968,'标准费用表-2024年&amp;2025年优化'!$D:$K,8,0)*VLOOKUP("白条",系数辅助表!$C:$G,5,0)*VLOOKUP('5.成本表'!$D1968,系数辅助表!$C:$G,5,0)/VLOOKUP('5.成本表'!$D1968,系数辅助表!$C:$E,3,0),)</f>
        <v>0.86222961435745804</v>
      </c>
      <c r="F1968" s="36">
        <f>IFERROR(VLOOKUP($B1968,'标准费用表-2024年&amp;2025年优化'!$D:$L,9,0)*VLOOKUP('5.成本表'!$D1968,系数辅助表!$C:$G,5,0)/VLOOKUP($D1968,系数辅助表!$C:$E,3,0),0)</f>
        <v>0</v>
      </c>
      <c r="I1968" s="36">
        <f>VLOOKUP($D1968,系数辅助表!$C:$F,4,0)</f>
        <v>2.2799999999999998</v>
      </c>
      <c r="J1968" s="2" t="s">
        <v>69</v>
      </c>
    </row>
    <row r="1969" spans="2:10" x14ac:dyDescent="0.3">
      <c r="B1969" s="47" t="s">
        <v>185</v>
      </c>
      <c r="C1969" t="str">
        <f>VLOOKUP($B1969,'标准费用表-2024年&amp;2025年优化'!$D:$E,2,0)</f>
        <v>重庆正大猪业有限公司</v>
      </c>
      <c r="D1969" t="s">
        <v>70</v>
      </c>
      <c r="E1969" s="36">
        <f>IFERROR(VLOOKUP($B1969,'标准费用表-2024年&amp;2025年优化'!$D:$K,8,0)*VLOOKUP("白条",系数辅助表!$C:$G,5,0)*VLOOKUP('5.成本表'!$D1969,系数辅助表!$C:$G,5,0)/VLOOKUP('5.成本表'!$D1969,系数辅助表!$C:$E,3,0),)</f>
        <v>0.57622779469200502</v>
      </c>
      <c r="F1969" s="36">
        <f>IFERROR(VLOOKUP($B1969,'标准费用表-2024年&amp;2025年优化'!$D:$L,9,0)*VLOOKUP('5.成本表'!$D1969,系数辅助表!$C:$G,5,0)/VLOOKUP($D1969,系数辅助表!$C:$E,3,0),0)</f>
        <v>0</v>
      </c>
      <c r="I1969" s="36">
        <f>VLOOKUP($D1969,系数辅助表!$C:$F,4,0)</f>
        <v>1.5237233215154999</v>
      </c>
      <c r="J1969" s="2" t="s">
        <v>69</v>
      </c>
    </row>
    <row r="1970" spans="2:10" x14ac:dyDescent="0.3">
      <c r="B1970" s="47" t="s">
        <v>185</v>
      </c>
      <c r="C1970" t="str">
        <f>VLOOKUP($B1970,'标准费用表-2024年&amp;2025年优化'!$D:$E,2,0)</f>
        <v>重庆正大猪业有限公司</v>
      </c>
      <c r="D1970" t="s">
        <v>71</v>
      </c>
      <c r="E1970" s="36">
        <f>IFERROR(VLOOKUP($B1970,'标准费用表-2024年&amp;2025年优化'!$D:$K,8,0)*VLOOKUP("白条",系数辅助表!$C:$G,5,0)*VLOOKUP('5.成本表'!$D1970,系数辅助表!$C:$G,5,0)/VLOOKUP('5.成本表'!$D1970,系数辅助表!$C:$E,3,0),)</f>
        <v>1.52503323762631</v>
      </c>
      <c r="F1970" s="36">
        <f>IFERROR(VLOOKUP($B1970,'标准费用表-2024年&amp;2025年优化'!$D:$L,9,0)*VLOOKUP('5.成本表'!$D1970,系数辅助表!$C:$G,5,0)/VLOOKUP($D1970,系数辅助表!$C:$E,3,0),0)</f>
        <v>0</v>
      </c>
      <c r="I1970" s="36">
        <f>VLOOKUP($D1970,系数辅助表!$C:$F,4,0)</f>
        <v>4.0326564106466396</v>
      </c>
      <c r="J1970" s="2" t="s">
        <v>69</v>
      </c>
    </row>
    <row r="1971" spans="2:10" x14ac:dyDescent="0.3">
      <c r="B1971" s="47" t="s">
        <v>185</v>
      </c>
      <c r="C1971" t="str">
        <f>VLOOKUP($B1971,'标准费用表-2024年&amp;2025年优化'!$D:$E,2,0)</f>
        <v>重庆正大猪业有限公司</v>
      </c>
      <c r="D1971" t="s">
        <v>72</v>
      </c>
      <c r="E1971" s="36">
        <f>IFERROR(VLOOKUP($B1971,'标准费用表-2024年&amp;2025年优化'!$D:$K,8,0)*VLOOKUP("白条",系数辅助表!$C:$G,5,0)*VLOOKUP('5.成本表'!$D1971,系数辅助表!$C:$G,5,0)/VLOOKUP('5.成本表'!$D1971,系数辅助表!$C:$E,3,0),)</f>
        <v>0.88816456359142804</v>
      </c>
      <c r="F1971" s="36">
        <f>IFERROR(VLOOKUP($B1971,'标准费用表-2024年&amp;2025年优化'!$D:$L,9,0)*VLOOKUP('5.成本表'!$D1971,系数辅助表!$C:$G,5,0)/VLOOKUP($D1971,系数辅助表!$C:$E,3,0),0)</f>
        <v>0</v>
      </c>
      <c r="I1971" s="36">
        <f>VLOOKUP($D1971,系数辅助表!$C:$F,4,0)</f>
        <v>2.34857997367385</v>
      </c>
      <c r="J1971" s="2" t="s">
        <v>69</v>
      </c>
    </row>
    <row r="1972" spans="2:10" x14ac:dyDescent="0.3">
      <c r="B1972" s="47" t="s">
        <v>185</v>
      </c>
      <c r="C1972" t="str">
        <f>VLOOKUP($B1972,'标准费用表-2024年&amp;2025年优化'!$D:$E,2,0)</f>
        <v>重庆正大猪业有限公司</v>
      </c>
      <c r="D1972" t="s">
        <v>73</v>
      </c>
      <c r="E1972" s="36">
        <f>IFERROR(VLOOKUP($B1972,'标准费用表-2024年&amp;2025年优化'!$D:$K,8,0)*VLOOKUP("白条",系数辅助表!$C:$G,5,0)*VLOOKUP('5.成本表'!$D1972,系数辅助表!$C:$G,5,0)/VLOOKUP('5.成本表'!$D1972,系数辅助表!$C:$E,3,0),)</f>
        <v>0.53355257737580497</v>
      </c>
      <c r="F1972" s="36">
        <f>IFERROR(VLOOKUP($B1972,'标准费用表-2024年&amp;2025年优化'!$D:$L,9,0)*VLOOKUP('5.成本表'!$D1972,系数辅助表!$C:$G,5,0)/VLOOKUP($D1972,系数辅助表!$C:$E,3,0),0)</f>
        <v>0</v>
      </c>
      <c r="I1972" s="36">
        <f>VLOOKUP($D1972,系数辅助表!$C:$F,4,0)</f>
        <v>1.41087693598112</v>
      </c>
      <c r="J1972" s="2" t="s">
        <v>69</v>
      </c>
    </row>
    <row r="1973" spans="2:10" x14ac:dyDescent="0.3">
      <c r="B1973" s="47" t="s">
        <v>185</v>
      </c>
      <c r="C1973" t="str">
        <f>VLOOKUP($B1973,'标准费用表-2024年&amp;2025年优化'!$D:$E,2,0)</f>
        <v>重庆正大猪业有限公司</v>
      </c>
      <c r="D1973" t="s">
        <v>74</v>
      </c>
      <c r="E1973" s="36">
        <f>IFERROR(VLOOKUP($B1973,'标准费用表-2024年&amp;2025年优化'!$D:$K,8,0)*VLOOKUP("白条",系数辅助表!$C:$G,5,0)*VLOOKUP('5.成本表'!$D1973,系数辅助表!$C:$G,5,0)/VLOOKUP('5.成本表'!$D1973,系数辅助表!$C:$E,3,0),)</f>
        <v>0.72045421936425702</v>
      </c>
      <c r="F1973" s="36">
        <f>IFERROR(VLOOKUP($B1973,'标准费用表-2024年&amp;2025年优化'!$D:$L,9,0)*VLOOKUP('5.成本表'!$D1973,系数辅助表!$C:$G,5,0)/VLOOKUP($D1973,系数辅助表!$C:$E,3,0),0)</f>
        <v>0</v>
      </c>
      <c r="I1973" s="36">
        <f>VLOOKUP($D1973,系数辅助表!$C:$F,4,0)</f>
        <v>1.9051022985038799</v>
      </c>
      <c r="J1973" s="2" t="s">
        <v>69</v>
      </c>
    </row>
    <row r="1974" spans="2:10" x14ac:dyDescent="0.3">
      <c r="B1974" s="47" t="s">
        <v>185</v>
      </c>
      <c r="C1974" t="str">
        <f>VLOOKUP($B1974,'标准费用表-2024年&amp;2025年优化'!$D:$E,2,0)</f>
        <v>重庆正大猪业有限公司</v>
      </c>
      <c r="D1974" t="s">
        <v>75</v>
      </c>
      <c r="E1974" s="36">
        <f>IFERROR(VLOOKUP($B1974,'标准费用表-2024年&amp;2025年优化'!$D:$K,8,0)*VLOOKUP("白条",系数辅助表!$C:$G,5,0)*VLOOKUP('5.成本表'!$D1974,系数辅助表!$C:$G,5,0)/VLOOKUP('5.成本表'!$D1974,系数辅助表!$C:$E,3,0),)</f>
        <v>0.53946679025140298</v>
      </c>
      <c r="F1974" s="36">
        <f>IFERROR(VLOOKUP($B1974,'标准费用表-2024年&amp;2025年优化'!$D:$L,9,0)*VLOOKUP('5.成本表'!$D1974,系数辅助表!$C:$G,5,0)/VLOOKUP($D1974,系数辅助表!$C:$E,3,0),0)</f>
        <v>0</v>
      </c>
      <c r="I1974" s="36">
        <f>VLOOKUP($D1974,系数辅助表!$C:$F,4,0)</f>
        <v>1.42651593182611</v>
      </c>
      <c r="J1974" s="2" t="s">
        <v>69</v>
      </c>
    </row>
    <row r="1975" spans="2:10" x14ac:dyDescent="0.3">
      <c r="B1975" s="47" t="s">
        <v>185</v>
      </c>
      <c r="C1975" t="str">
        <f>VLOOKUP($B1975,'标准费用表-2024年&amp;2025年优化'!$D:$E,2,0)</f>
        <v>重庆正大猪业有限公司</v>
      </c>
      <c r="D1975" t="s">
        <v>76</v>
      </c>
      <c r="E1975" s="36">
        <f>IFERROR(VLOOKUP($B1975,'标准费用表-2024年&amp;2025年优化'!$D:$K,8,0)*VLOOKUP("白条",系数辅助表!$C:$G,5,0)*VLOOKUP('5.成本表'!$D1975,系数辅助表!$C:$G,5,0)/VLOOKUP('5.成本表'!$D1975,系数辅助表!$C:$E,3,0),)</f>
        <v>0.54970261261404896</v>
      </c>
      <c r="F1975" s="36">
        <f>IFERROR(VLOOKUP($B1975,'标准费用表-2024年&amp;2025年优化'!$D:$L,9,0)*VLOOKUP('5.成本表'!$D1975,系数辅助表!$C:$G,5,0)/VLOOKUP($D1975,系数辅助表!$C:$E,3,0),0)</f>
        <v>0</v>
      </c>
      <c r="I1975" s="36">
        <f>VLOOKUP($D1975,系数辅助表!$C:$F,4,0)</f>
        <v>1.4535825908670701</v>
      </c>
      <c r="J1975" s="2" t="s">
        <v>69</v>
      </c>
    </row>
    <row r="1976" spans="2:10" x14ac:dyDescent="0.3">
      <c r="B1976" s="47" t="s">
        <v>185</v>
      </c>
      <c r="C1976" t="str">
        <f>VLOOKUP($B1976,'标准费用表-2024年&amp;2025年优化'!$D:$E,2,0)</f>
        <v>重庆正大猪业有限公司</v>
      </c>
      <c r="D1976" t="s">
        <v>77</v>
      </c>
      <c r="E1976" s="36">
        <f>IFERROR(VLOOKUP($B1976,'标准费用表-2024年&amp;2025年优化'!$D:$K,8,0)*VLOOKUP("白条",系数辅助表!$C:$G,5,0)*VLOOKUP('5.成本表'!$D1976,系数辅助表!$C:$G,5,0)/VLOOKUP('5.成本表'!$D1976,系数辅助表!$C:$E,3,0),)</f>
        <v>0.54495866396019299</v>
      </c>
      <c r="F1976" s="36">
        <f>IFERROR(VLOOKUP($B1976,'标准费用表-2024年&amp;2025年优化'!$D:$L,9,0)*VLOOKUP('5.成本表'!$D1976,系数辅助表!$C:$G,5,0)/VLOOKUP($D1976,系数辅助表!$C:$E,3,0),0)</f>
        <v>0</v>
      </c>
      <c r="I1976" s="36">
        <f>VLOOKUP($D1976,系数辅助表!$C:$F,4,0)</f>
        <v>1.4410381331603499</v>
      </c>
      <c r="J1976" s="2" t="s">
        <v>69</v>
      </c>
    </row>
    <row r="1977" spans="2:10" x14ac:dyDescent="0.3">
      <c r="B1977" s="47" t="s">
        <v>185</v>
      </c>
      <c r="C1977" t="str">
        <f>VLOOKUP($B1977,'标准费用表-2024年&amp;2025年优化'!$D:$E,2,0)</f>
        <v>重庆正大猪业有限公司</v>
      </c>
      <c r="D1977" t="s">
        <v>78</v>
      </c>
      <c r="E1977" s="36">
        <f>IFERROR(VLOOKUP($B1977,'标准费用表-2024年&amp;2025年优化'!$D:$K,8,0)*VLOOKUP("白条",系数辅助表!$C:$G,5,0)*VLOOKUP('5.成本表'!$D1977,系数辅助表!$C:$G,5,0)/VLOOKUP('5.成本表'!$D1977,系数辅助表!$C:$E,3,0),)</f>
        <v>0.46735591722641801</v>
      </c>
      <c r="F1977" s="36">
        <f>IFERROR(VLOOKUP($B1977,'标准费用表-2024年&amp;2025年优化'!$D:$L,9,0)*VLOOKUP('5.成本表'!$D1977,系数辅助表!$C:$G,5,0)/VLOOKUP($D1977,系数辅助表!$C:$E,3,0),0)</f>
        <v>0</v>
      </c>
      <c r="I1977" s="36">
        <f>VLOOKUP($D1977,系数辅助表!$C:$F,4,0)</f>
        <v>1.2358326291892801</v>
      </c>
      <c r="J1977" s="2" t="s">
        <v>69</v>
      </c>
    </row>
    <row r="1978" spans="2:10" x14ac:dyDescent="0.3">
      <c r="B1978" s="47" t="s">
        <v>185</v>
      </c>
      <c r="C1978" t="str">
        <f>VLOOKUP($B1978,'标准费用表-2024年&amp;2025年优化'!$D:$E,2,0)</f>
        <v>重庆正大猪业有限公司</v>
      </c>
      <c r="D1978" t="s">
        <v>79</v>
      </c>
      <c r="E1978" s="36">
        <f>IFERROR(VLOOKUP($B1978,'标准费用表-2024年&amp;2025年优化'!$D:$K,8,0)*VLOOKUP("白条",系数辅助表!$C:$G,5,0)*VLOOKUP('5.成本表'!$D1978,系数辅助表!$C:$G,5,0)/VLOOKUP('5.成本表'!$D1978,系数辅助表!$C:$E,3,0),)</f>
        <v>0.32644354279188798</v>
      </c>
      <c r="F1978" s="36">
        <f>IFERROR(VLOOKUP($B1978,'标准费用表-2024年&amp;2025年优化'!$D:$L,9,0)*VLOOKUP('5.成本表'!$D1978,系数辅助表!$C:$G,5,0)/VLOOKUP($D1978,系数辅助表!$C:$E,3,0),0)</f>
        <v>0</v>
      </c>
      <c r="I1978" s="36">
        <f>VLOOKUP($D1978,系数辅助表!$C:$F,4,0)</f>
        <v>0.86321701919291904</v>
      </c>
      <c r="J1978" s="2" t="s">
        <v>69</v>
      </c>
    </row>
    <row r="1979" spans="2:10" x14ac:dyDescent="0.3">
      <c r="B1979" s="47" t="s">
        <v>185</v>
      </c>
      <c r="C1979" t="str">
        <f>VLOOKUP($B1979,'标准费用表-2024年&amp;2025年优化'!$D:$E,2,0)</f>
        <v>重庆正大猪业有限公司</v>
      </c>
      <c r="D1979" t="s">
        <v>80</v>
      </c>
      <c r="E1979" s="36">
        <f>IFERROR(VLOOKUP($B1979,'标准费用表-2024年&amp;2025年优化'!$D:$K,8,0)*VLOOKUP("白条",系数辅助表!$C:$G,5,0)*VLOOKUP('5.成本表'!$D1979,系数辅助表!$C:$G,5,0)/VLOOKUP('5.成本表'!$D1979,系数辅助表!$C:$E,3,0),)</f>
        <v>0.301354517531081</v>
      </c>
      <c r="F1979" s="36">
        <f>IFERROR(VLOOKUP($B1979,'标准费用表-2024年&amp;2025年优化'!$D:$L,9,0)*VLOOKUP('5.成本表'!$D1979,系数辅助表!$C:$G,5,0)/VLOOKUP($D1979,系数辅助表!$C:$E,3,0),0)</f>
        <v>0</v>
      </c>
      <c r="I1979" s="36">
        <f>VLOOKUP($D1979,系数辅助表!$C:$F,4,0)</f>
        <v>0.796873928394225</v>
      </c>
      <c r="J1979" s="2" t="s">
        <v>69</v>
      </c>
    </row>
    <row r="1980" spans="2:10" x14ac:dyDescent="0.3">
      <c r="B1980" s="47" t="s">
        <v>185</v>
      </c>
      <c r="C1980" t="str">
        <f>VLOOKUP($B1980,'标准费用表-2024年&amp;2025年优化'!$D:$E,2,0)</f>
        <v>重庆正大猪业有限公司</v>
      </c>
      <c r="D1980" t="s">
        <v>81</v>
      </c>
      <c r="E1980" s="36">
        <f>IFERROR(VLOOKUP($B1980,'标准费用表-2024年&amp;2025年优化'!$D:$K,8,0)*VLOOKUP("白条",系数辅助表!$C:$G,5,0)*VLOOKUP('5.成本表'!$D1980,系数辅助表!$C:$G,5,0)/VLOOKUP('5.成本表'!$D1980,系数辅助表!$C:$E,3,0),)</f>
        <v>0.41553746061673202</v>
      </c>
      <c r="F1980" s="36">
        <f>IFERROR(VLOOKUP($B1980,'标准费用表-2024年&amp;2025年优化'!$D:$L,9,0)*VLOOKUP('5.成本表'!$D1980,系数辅助表!$C:$G,5,0)/VLOOKUP($D1980,系数辅助表!$C:$E,3,0),0)</f>
        <v>0</v>
      </c>
      <c r="I1980" s="36">
        <f>VLOOKUP($D1980,系数辅助表!$C:$F,4,0)</f>
        <v>1.09880870991909</v>
      </c>
      <c r="J1980" s="2" t="s">
        <v>69</v>
      </c>
    </row>
    <row r="1981" spans="2:10" x14ac:dyDescent="0.3">
      <c r="B1981" s="47" t="s">
        <v>185</v>
      </c>
      <c r="C1981" t="str">
        <f>VLOOKUP($B1981,'标准费用表-2024年&amp;2025年优化'!$D:$E,2,0)</f>
        <v>重庆正大猪业有限公司</v>
      </c>
      <c r="D1981" t="s">
        <v>82</v>
      </c>
      <c r="E1981" s="36">
        <f>IFERROR(VLOOKUP($B1981,'标准费用表-2024年&amp;2025年优化'!$D:$K,8,0)*VLOOKUP("白条",系数辅助表!$C:$G,5,0)*VLOOKUP('5.成本表'!$D1981,系数辅助表!$C:$G,5,0)/VLOOKUP('5.成本表'!$D1981,系数辅助表!$C:$E,3,0),)</f>
        <v>0.37861382439726898</v>
      </c>
      <c r="F1981" s="36">
        <f>IFERROR(VLOOKUP($B1981,'标准费用表-2024年&amp;2025年优化'!$D:$L,9,0)*VLOOKUP('5.成本表'!$D1981,系数辅助表!$C:$G,5,0)/VLOOKUP($D1981,系数辅助表!$C:$E,3,0),0)</f>
        <v>0</v>
      </c>
      <c r="I1981" s="36">
        <f>VLOOKUP($D1981,系数辅助表!$C:$F,4,0)</f>
        <v>1.0011712718416299</v>
      </c>
      <c r="J1981" s="2" t="s">
        <v>69</v>
      </c>
    </row>
    <row r="1982" spans="2:10" x14ac:dyDescent="0.3">
      <c r="B1982" s="47" t="s">
        <v>185</v>
      </c>
      <c r="C1982" t="str">
        <f>VLOOKUP($B1982,'标准费用表-2024年&amp;2025年优化'!$D:$E,2,0)</f>
        <v>重庆正大猪业有限公司</v>
      </c>
      <c r="D1982" t="s">
        <v>83</v>
      </c>
      <c r="E1982" s="36">
        <f>IFERROR(VLOOKUP($B1982,'标准费用表-2024年&amp;2025年优化'!$D:$K,8,0)*VLOOKUP("白条",系数辅助表!$C:$G,5,0)*VLOOKUP('5.成本表'!$D1982,系数辅助表!$C:$G,5,0)/VLOOKUP('5.成本表'!$D1982,系数辅助表!$C:$E,3,0),)</f>
        <v>0.34048720127611498</v>
      </c>
      <c r="F1982" s="36">
        <f>IFERROR(VLOOKUP($B1982,'标准费用表-2024年&amp;2025年优化'!$D:$L,9,0)*VLOOKUP('5.成本表'!$D1982,系数辅助表!$C:$G,5,0)/VLOOKUP($D1982,系数辅助表!$C:$E,3,0),0)</f>
        <v>0</v>
      </c>
      <c r="I1982" s="36">
        <f>VLOOKUP($D1982,系数辅助表!$C:$F,4,0)</f>
        <v>0.90035276680685095</v>
      </c>
      <c r="J1982" s="2" t="s">
        <v>69</v>
      </c>
    </row>
    <row r="1983" spans="2:10" x14ac:dyDescent="0.3">
      <c r="B1983" s="47" t="s">
        <v>185</v>
      </c>
      <c r="C1983" t="str">
        <f>VLOOKUP($B1983,'标准费用表-2024年&amp;2025年优化'!$D:$E,2,0)</f>
        <v>重庆正大猪业有限公司</v>
      </c>
      <c r="D1983" t="s">
        <v>84</v>
      </c>
      <c r="E1983" s="36">
        <f>IFERROR(VLOOKUP($B1983,'标准费用表-2024年&amp;2025年优化'!$D:$K,8,0)*VLOOKUP("白条",系数辅助表!$C:$G,5,0)*VLOOKUP('5.成本表'!$D1983,系数辅助表!$C:$G,5,0)/VLOOKUP('5.成本表'!$D1983,系数辅助表!$C:$E,3,0),)</f>
        <v>0.34199106810865598</v>
      </c>
      <c r="F1983" s="36">
        <f>IFERROR(VLOOKUP($B1983,'标准费用表-2024年&amp;2025年优化'!$D:$L,9,0)*VLOOKUP('5.成本表'!$D1983,系数辅助表!$C:$G,5,0)/VLOOKUP($D1983,系数辅助表!$C:$E,3,0),0)</f>
        <v>0</v>
      </c>
      <c r="I1983" s="36">
        <f>VLOOKUP($D1983,系数辅助表!$C:$F,4,0)</f>
        <v>0.90432945273957599</v>
      </c>
      <c r="J1983" s="2" t="s">
        <v>69</v>
      </c>
    </row>
    <row r="1984" spans="2:10" x14ac:dyDescent="0.3">
      <c r="B1984" s="47" t="s">
        <v>185</v>
      </c>
      <c r="C1984" t="str">
        <f>VLOOKUP($B1984,'标准费用表-2024年&amp;2025年优化'!$D:$E,2,0)</f>
        <v>重庆正大猪业有限公司</v>
      </c>
      <c r="D1984" t="s">
        <v>85</v>
      </c>
      <c r="E1984" s="36">
        <f>IFERROR(VLOOKUP($B1984,'标准费用表-2024年&amp;2025年优化'!$D:$K,8,0)*VLOOKUP("白条",系数辅助表!$C:$G,5,0)*VLOOKUP('5.成本表'!$D1984,系数辅助表!$C:$G,5,0)/VLOOKUP('5.成本表'!$D1984,系数辅助表!$C:$E,3,0),)</f>
        <v>0.42520598304336998</v>
      </c>
      <c r="F1984" s="36">
        <f>IFERROR(VLOOKUP($B1984,'标准费用表-2024年&amp;2025年优化'!$D:$L,9,0)*VLOOKUP('5.成本表'!$D1984,系数辅助表!$C:$G,5,0)/VLOOKUP($D1984,系数辅助表!$C:$E,3,0),0)</f>
        <v>0</v>
      </c>
      <c r="I1984" s="36">
        <f>VLOOKUP($D1984,系数辅助表!$C:$F,4,0)</f>
        <v>1.12437525363977</v>
      </c>
      <c r="J1984" s="2" t="s">
        <v>69</v>
      </c>
    </row>
    <row r="1985" spans="2:10" x14ac:dyDescent="0.3">
      <c r="B1985" s="47" t="s">
        <v>185</v>
      </c>
      <c r="C1985" t="str">
        <f>VLOOKUP($B1985,'标准费用表-2024年&amp;2025年优化'!$D:$E,2,0)</f>
        <v>重庆正大猪业有限公司</v>
      </c>
      <c r="D1985" t="s">
        <v>86</v>
      </c>
      <c r="E1985" s="36">
        <f>IFERROR(VLOOKUP($B1985,'标准费用表-2024年&amp;2025年优化'!$D:$K,8,0)*VLOOKUP("白条",系数辅助表!$C:$G,5,0)*VLOOKUP('5.成本表'!$D1985,系数辅助表!$C:$G,5,0)/VLOOKUP('5.成本表'!$D1985,系数辅助表!$C:$E,3,0),)</f>
        <v>0.37180720670002598</v>
      </c>
      <c r="F1985" s="36">
        <f>IFERROR(VLOOKUP($B1985,'标准费用表-2024年&amp;2025年优化'!$D:$L,9,0)*VLOOKUP('5.成本表'!$D1985,系数辅助表!$C:$G,5,0)/VLOOKUP($D1985,系数辅助表!$C:$E,3,0),0)</f>
        <v>0</v>
      </c>
      <c r="I1985" s="36">
        <f>VLOOKUP($D1985,系数辅助表!$C:$F,4,0)</f>
        <v>0.98317248347795105</v>
      </c>
      <c r="J1985" s="2" t="s">
        <v>69</v>
      </c>
    </row>
    <row r="1986" spans="2:10" x14ac:dyDescent="0.3">
      <c r="B1986" s="47" t="s">
        <v>185</v>
      </c>
      <c r="C1986" t="str">
        <f>VLOOKUP($B1986,'标准费用表-2024年&amp;2025年优化'!$D:$E,2,0)</f>
        <v>重庆正大猪业有限公司</v>
      </c>
      <c r="D1986" t="s">
        <v>87</v>
      </c>
      <c r="E1986" s="36">
        <f>IFERROR(VLOOKUP($B1986,'标准费用表-2024年&amp;2025年优化'!$D:$K,8,0)*VLOOKUP("白条",系数辅助表!$C:$G,5,0)*VLOOKUP('5.成本表'!$D1986,系数辅助表!$C:$G,5,0)/VLOOKUP('5.成本表'!$D1986,系数辅助表!$C:$E,3,0),)</f>
        <v>0.26929726789216901</v>
      </c>
      <c r="F1986" s="36">
        <f>IFERROR(VLOOKUP($B1986,'标准费用表-2024年&amp;2025年优化'!$D:$L,9,0)*VLOOKUP('5.成本表'!$D1986,系数辅助表!$C:$G,5,0)/VLOOKUP($D1986,系数辅助表!$C:$E,3,0),0)</f>
        <v>0</v>
      </c>
      <c r="I1986" s="36">
        <f>VLOOKUP($D1986,系数辅助表!$C:$F,4,0)</f>
        <v>0.71210471151782795</v>
      </c>
      <c r="J1986" s="2" t="s">
        <v>69</v>
      </c>
    </row>
    <row r="1987" spans="2:10" x14ac:dyDescent="0.3">
      <c r="B1987" s="47" t="s">
        <v>185</v>
      </c>
      <c r="C1987" t="str">
        <f>VLOOKUP($B1987,'标准费用表-2024年&amp;2025年优化'!$D:$E,2,0)</f>
        <v>重庆正大猪业有限公司</v>
      </c>
      <c r="D1987" t="s">
        <v>88</v>
      </c>
      <c r="E1987" s="36">
        <f>IFERROR(VLOOKUP($B1987,'标准费用表-2024年&amp;2025年优化'!$D:$K,8,0)*VLOOKUP("白条",系数辅助表!$C:$G,5,0)*VLOOKUP('5.成本表'!$D1987,系数辅助表!$C:$G,5,0)/VLOOKUP('5.成本表'!$D1987,系数辅助表!$C:$E,3,0),)</f>
        <v>1.0171250814346899</v>
      </c>
      <c r="F1987" s="36">
        <f>IFERROR(VLOOKUP($B1987,'标准费用表-2024年&amp;2025年优化'!$D:$L,9,0)*VLOOKUP('5.成本表'!$D1987,系数辅助表!$C:$G,5,0)/VLOOKUP($D1987,系数辅助表!$C:$E,3,0),0)</f>
        <v>0</v>
      </c>
      <c r="I1987" s="36">
        <f>VLOOKUP($D1987,系数辅助表!$C:$F,4,0)</f>
        <v>2.6895912029178799</v>
      </c>
      <c r="J1987" s="2" t="s">
        <v>69</v>
      </c>
    </row>
    <row r="1988" spans="2:10" x14ac:dyDescent="0.3">
      <c r="B1988" s="47" t="s">
        <v>185</v>
      </c>
      <c r="C1988" t="str">
        <f>VLOOKUP($B1988,'标准费用表-2024年&amp;2025年优化'!$D:$E,2,0)</f>
        <v>重庆正大猪业有限公司</v>
      </c>
      <c r="D1988" t="s">
        <v>89</v>
      </c>
      <c r="E1988" s="36">
        <f>IFERROR(VLOOKUP($B1988,'标准费用表-2024年&amp;2025年优化'!$D:$K,8,0)*VLOOKUP("白条",系数辅助表!$C:$G,5,0)*VLOOKUP('5.成本表'!$D1988,系数辅助表!$C:$G,5,0)/VLOOKUP('5.成本表'!$D1988,系数辅助表!$C:$E,3,0),)</f>
        <v>0.43746024032041397</v>
      </c>
      <c r="F1988" s="36">
        <f>IFERROR(VLOOKUP($B1988,'标准费用表-2024年&amp;2025年优化'!$D:$L,9,0)*VLOOKUP('5.成本表'!$D1988,系数辅助表!$C:$G,5,0)/VLOOKUP($D1988,系数辅助表!$C:$E,3,0),0)</f>
        <v>0</v>
      </c>
      <c r="I1988" s="36">
        <f>VLOOKUP($D1988,系数辅助表!$C:$F,4,0)</f>
        <v>1.1567792747107399</v>
      </c>
      <c r="J1988" s="2" t="s">
        <v>69</v>
      </c>
    </row>
    <row r="1989" spans="2:10" x14ac:dyDescent="0.3">
      <c r="B1989" s="47" t="s">
        <v>185</v>
      </c>
      <c r="C1989" t="str">
        <f>VLOOKUP($B1989,'标准费用表-2024年&amp;2025年优化'!$D:$E,2,0)</f>
        <v>重庆正大猪业有限公司</v>
      </c>
      <c r="D1989" t="s">
        <v>90</v>
      </c>
      <c r="E1989" s="36">
        <f>IFERROR(VLOOKUP($B1989,'标准费用表-2024年&amp;2025年优化'!$D:$K,8,0)*VLOOKUP("白条",系数辅助表!$C:$G,5,0)*VLOOKUP('5.成本表'!$D1989,系数辅助表!$C:$G,5,0)/VLOOKUP('5.成本表'!$D1989,系数辅助表!$C:$E,3,0),)</f>
        <v>0.276434744768841</v>
      </c>
      <c r="F1989" s="36">
        <f>IFERROR(VLOOKUP($B1989,'标准费用表-2024年&amp;2025年优化'!$D:$L,9,0)*VLOOKUP('5.成本表'!$D1989,系数辅助表!$C:$G,5,0)/VLOOKUP($D1989,系数辅助表!$C:$E,3,0),0)</f>
        <v>0</v>
      </c>
      <c r="I1989" s="36">
        <f>VLOOKUP($D1989,系数辅助表!$C:$F,4,0)</f>
        <v>0.73097839320056501</v>
      </c>
      <c r="J1989" s="2" t="s">
        <v>69</v>
      </c>
    </row>
    <row r="1990" spans="2:10" x14ac:dyDescent="0.3">
      <c r="B1990" s="47" t="s">
        <v>185</v>
      </c>
      <c r="C1990" t="str">
        <f>VLOOKUP($B1990,'标准费用表-2024年&amp;2025年优化'!$D:$E,2,0)</f>
        <v>重庆正大猪业有限公司</v>
      </c>
      <c r="D1990" t="s">
        <v>91</v>
      </c>
      <c r="E1990" s="36">
        <f>IFERROR(VLOOKUP($B1990,'标准费用表-2024年&amp;2025年优化'!$D:$K,8,0)*VLOOKUP("白条",系数辅助表!$C:$G,5,0)*VLOOKUP('5.成本表'!$D1990,系数辅助表!$C:$G,5,0)/VLOOKUP('5.成本表'!$D1990,系数辅助表!$C:$E,3,0),)</f>
        <v>0.22920732970517499</v>
      </c>
      <c r="F1990" s="36">
        <f>IFERROR(VLOOKUP($B1990,'标准费用表-2024年&amp;2025年优化'!$D:$L,9,0)*VLOOKUP('5.成本表'!$D1990,系数辅助表!$C:$G,5,0)/VLOOKUP($D1990,系数辅助表!$C:$E,3,0),0)</f>
        <v>0</v>
      </c>
      <c r="I1990" s="36">
        <f>VLOOKUP($D1990,系数辅助表!$C:$F,4,0)</f>
        <v>0.60609459826688905</v>
      </c>
      <c r="J1990" s="2" t="s">
        <v>69</v>
      </c>
    </row>
    <row r="1991" spans="2:10" x14ac:dyDescent="0.3">
      <c r="B1991" s="47" t="s">
        <v>185</v>
      </c>
      <c r="C1991" t="str">
        <f>VLOOKUP($B1991,'标准费用表-2024年&amp;2025年优化'!$D:$E,2,0)</f>
        <v>重庆正大猪业有限公司</v>
      </c>
      <c r="D1991" t="s">
        <v>92</v>
      </c>
      <c r="E1991" s="36">
        <f>IFERROR(VLOOKUP($B1991,'标准费用表-2024年&amp;2025年优化'!$D:$K,8,0)*VLOOKUP("白条",系数辅助表!$C:$G,5,0)*VLOOKUP('5.成本表'!$D1991,系数辅助表!$C:$G,5,0)/VLOOKUP('5.成本表'!$D1991,系数辅助表!$C:$E,3,0),)</f>
        <v>9.0973137137727506E-2</v>
      </c>
      <c r="F1991" s="36">
        <f>IFERROR(VLOOKUP($B1991,'标准费用表-2024年&amp;2025年优化'!$D:$L,9,0)*VLOOKUP('5.成本表'!$D1991,系数辅助表!$C:$G,5,0)/VLOOKUP($D1991,系数辅助表!$C:$E,3,0),0)</f>
        <v>0</v>
      </c>
      <c r="I1991" s="36">
        <f>VLOOKUP($D1991,系数辅助表!$C:$F,4,0)</f>
        <v>0.24056092393508099</v>
      </c>
      <c r="J1991" s="2" t="s">
        <v>69</v>
      </c>
    </row>
    <row r="1992" spans="2:10" x14ac:dyDescent="0.3">
      <c r="B1992" s="47" t="s">
        <v>185</v>
      </c>
      <c r="C1992" t="str">
        <f>VLOOKUP($B1992,'标准费用表-2024年&amp;2025年优化'!$D:$E,2,0)</f>
        <v>重庆正大猪业有限公司</v>
      </c>
      <c r="D1992" t="s">
        <v>93</v>
      </c>
      <c r="E1992" s="36">
        <f>E1968</f>
        <v>0.86222961435745804</v>
      </c>
      <c r="F1992" s="36">
        <f>F1968</f>
        <v>0</v>
      </c>
      <c r="G1992">
        <v>0.2</v>
      </c>
      <c r="H1992">
        <v>0.3</v>
      </c>
      <c r="J1992" s="2" t="s">
        <v>69</v>
      </c>
    </row>
    <row r="1993" spans="2:10" x14ac:dyDescent="0.3">
      <c r="B1993" s="47" t="s">
        <v>185</v>
      </c>
      <c r="C1993" t="str">
        <f>VLOOKUP($B1993,'标准费用表-2024年&amp;2025年优化'!$D:$E,2,0)</f>
        <v>重庆正大猪业有限公司</v>
      </c>
      <c r="D1993" t="s">
        <v>96</v>
      </c>
      <c r="E1993" s="36">
        <f t="shared" ref="E1993:F1993" si="856">E1969</f>
        <v>0.57622779469200502</v>
      </c>
      <c r="F1993" s="36">
        <f t="shared" si="856"/>
        <v>0</v>
      </c>
      <c r="G1993">
        <v>0.2</v>
      </c>
      <c r="H1993">
        <v>0.3</v>
      </c>
      <c r="J1993" s="2" t="s">
        <v>69</v>
      </c>
    </row>
    <row r="1994" spans="2:10" x14ac:dyDescent="0.3">
      <c r="B1994" s="47" t="s">
        <v>185</v>
      </c>
      <c r="C1994" t="str">
        <f>VLOOKUP($B1994,'标准费用表-2024年&amp;2025年优化'!$D:$E,2,0)</f>
        <v>重庆正大猪业有限公司</v>
      </c>
      <c r="D1994" t="s">
        <v>97</v>
      </c>
      <c r="E1994" s="36">
        <f t="shared" ref="E1994:F1994" si="857">E1970</f>
        <v>1.52503323762631</v>
      </c>
      <c r="F1994" s="36">
        <f t="shared" si="857"/>
        <v>0</v>
      </c>
      <c r="G1994">
        <v>0.2</v>
      </c>
      <c r="H1994">
        <v>0.3</v>
      </c>
      <c r="J1994" s="2" t="s">
        <v>69</v>
      </c>
    </row>
    <row r="1995" spans="2:10" x14ac:dyDescent="0.3">
      <c r="B1995" s="47" t="s">
        <v>185</v>
      </c>
      <c r="C1995" t="str">
        <f>VLOOKUP($B1995,'标准费用表-2024年&amp;2025年优化'!$D:$E,2,0)</f>
        <v>重庆正大猪业有限公司</v>
      </c>
      <c r="D1995" t="s">
        <v>98</v>
      </c>
      <c r="E1995" s="36">
        <f t="shared" ref="E1995:F1995" si="858">E1971</f>
        <v>0.88816456359142804</v>
      </c>
      <c r="F1995" s="36">
        <f t="shared" si="858"/>
        <v>0</v>
      </c>
      <c r="G1995">
        <v>0.2</v>
      </c>
      <c r="H1995">
        <v>0.3</v>
      </c>
      <c r="J1995" s="2" t="s">
        <v>69</v>
      </c>
    </row>
    <row r="1996" spans="2:10" x14ac:dyDescent="0.3">
      <c r="B1996" s="47" t="s">
        <v>185</v>
      </c>
      <c r="C1996" t="str">
        <f>VLOOKUP($B1996,'标准费用表-2024年&amp;2025年优化'!$D:$E,2,0)</f>
        <v>重庆正大猪业有限公司</v>
      </c>
      <c r="D1996" t="s">
        <v>99</v>
      </c>
      <c r="E1996" s="36">
        <f t="shared" ref="E1996:F1996" si="859">E1972</f>
        <v>0.53355257737580497</v>
      </c>
      <c r="F1996" s="36">
        <f t="shared" si="859"/>
        <v>0</v>
      </c>
      <c r="G1996">
        <v>0.2</v>
      </c>
      <c r="H1996">
        <v>0.3</v>
      </c>
      <c r="J1996" s="2" t="s">
        <v>69</v>
      </c>
    </row>
    <row r="1997" spans="2:10" x14ac:dyDescent="0.3">
      <c r="B1997" s="47" t="s">
        <v>185</v>
      </c>
      <c r="C1997" t="str">
        <f>VLOOKUP($B1997,'标准费用表-2024年&amp;2025年优化'!$D:$E,2,0)</f>
        <v>重庆正大猪业有限公司</v>
      </c>
      <c r="D1997" t="s">
        <v>100</v>
      </c>
      <c r="E1997" s="36">
        <f t="shared" ref="E1997:F1997" si="860">E1973</f>
        <v>0.72045421936425702</v>
      </c>
      <c r="F1997" s="36">
        <f t="shared" si="860"/>
        <v>0</v>
      </c>
      <c r="G1997">
        <v>0.2</v>
      </c>
      <c r="H1997">
        <v>0.3</v>
      </c>
      <c r="J1997" s="2" t="s">
        <v>69</v>
      </c>
    </row>
    <row r="1998" spans="2:10" x14ac:dyDescent="0.3">
      <c r="B1998" s="47" t="s">
        <v>185</v>
      </c>
      <c r="C1998" t="str">
        <f>VLOOKUP($B1998,'标准费用表-2024年&amp;2025年优化'!$D:$E,2,0)</f>
        <v>重庆正大猪业有限公司</v>
      </c>
      <c r="D1998" t="s">
        <v>101</v>
      </c>
      <c r="E1998" s="36">
        <f t="shared" ref="E1998:F1998" si="861">E1974</f>
        <v>0.53946679025140298</v>
      </c>
      <c r="F1998" s="36">
        <f t="shared" si="861"/>
        <v>0</v>
      </c>
      <c r="G1998">
        <v>0.2</v>
      </c>
      <c r="H1998">
        <v>0.3</v>
      </c>
      <c r="J1998" s="2" t="s">
        <v>69</v>
      </c>
    </row>
    <row r="1999" spans="2:10" x14ac:dyDescent="0.3">
      <c r="B1999" s="47" t="s">
        <v>185</v>
      </c>
      <c r="C1999" t="str">
        <f>VLOOKUP($B1999,'标准费用表-2024年&amp;2025年优化'!$D:$E,2,0)</f>
        <v>重庆正大猪业有限公司</v>
      </c>
      <c r="D1999" t="s">
        <v>102</v>
      </c>
      <c r="E1999" s="36">
        <f t="shared" ref="E1999:F1999" si="862">E1975</f>
        <v>0.54970261261404896</v>
      </c>
      <c r="F1999" s="36">
        <f t="shared" si="862"/>
        <v>0</v>
      </c>
      <c r="G1999">
        <v>0.2</v>
      </c>
      <c r="H1999">
        <v>0.3</v>
      </c>
      <c r="J1999" s="2" t="s">
        <v>69</v>
      </c>
    </row>
    <row r="2000" spans="2:10" x14ac:dyDescent="0.3">
      <c r="B2000" s="47" t="s">
        <v>185</v>
      </c>
      <c r="C2000" t="str">
        <f>VLOOKUP($B2000,'标准费用表-2024年&amp;2025年优化'!$D:$E,2,0)</f>
        <v>重庆正大猪业有限公司</v>
      </c>
      <c r="D2000" t="s">
        <v>103</v>
      </c>
      <c r="E2000" s="36">
        <f t="shared" ref="E2000:F2000" si="863">E1976</f>
        <v>0.54495866396019299</v>
      </c>
      <c r="F2000" s="36">
        <f t="shared" si="863"/>
        <v>0</v>
      </c>
      <c r="G2000">
        <v>0.2</v>
      </c>
      <c r="H2000">
        <v>0.3</v>
      </c>
      <c r="J2000" s="2" t="s">
        <v>69</v>
      </c>
    </row>
    <row r="2001" spans="2:10" x14ac:dyDescent="0.3">
      <c r="B2001" s="47" t="s">
        <v>185</v>
      </c>
      <c r="C2001" t="str">
        <f>VLOOKUP($B2001,'标准费用表-2024年&amp;2025年优化'!$D:$E,2,0)</f>
        <v>重庆正大猪业有限公司</v>
      </c>
      <c r="D2001" t="s">
        <v>104</v>
      </c>
      <c r="E2001" s="36">
        <f t="shared" ref="E2001:F2001" si="864">E1977</f>
        <v>0.46735591722641801</v>
      </c>
      <c r="F2001" s="36">
        <f t="shared" si="864"/>
        <v>0</v>
      </c>
      <c r="G2001">
        <v>0.2</v>
      </c>
      <c r="H2001">
        <v>0.3</v>
      </c>
      <c r="J2001" s="2" t="s">
        <v>69</v>
      </c>
    </row>
    <row r="2002" spans="2:10" x14ac:dyDescent="0.3">
      <c r="B2002" s="47" t="s">
        <v>185</v>
      </c>
      <c r="C2002" t="str">
        <f>VLOOKUP($B2002,'标准费用表-2024年&amp;2025年优化'!$D:$E,2,0)</f>
        <v>重庆正大猪业有限公司</v>
      </c>
      <c r="D2002" t="s">
        <v>105</v>
      </c>
      <c r="E2002" s="36">
        <f t="shared" ref="E2002:F2002" si="865">E1978</f>
        <v>0.32644354279188798</v>
      </c>
      <c r="F2002" s="36">
        <f t="shared" si="865"/>
        <v>0</v>
      </c>
      <c r="G2002">
        <v>0.2</v>
      </c>
      <c r="H2002">
        <v>0.3</v>
      </c>
      <c r="J2002" s="2" t="s">
        <v>69</v>
      </c>
    </row>
    <row r="2003" spans="2:10" x14ac:dyDescent="0.3">
      <c r="B2003" s="47" t="s">
        <v>185</v>
      </c>
      <c r="C2003" t="str">
        <f>VLOOKUP($B2003,'标准费用表-2024年&amp;2025年优化'!$D:$E,2,0)</f>
        <v>重庆正大猪业有限公司</v>
      </c>
      <c r="D2003" t="s">
        <v>106</v>
      </c>
      <c r="E2003" s="36">
        <f t="shared" ref="E2003:F2003" si="866">E1979</f>
        <v>0.301354517531081</v>
      </c>
      <c r="F2003" s="36">
        <f t="shared" si="866"/>
        <v>0</v>
      </c>
      <c r="G2003">
        <v>0.2</v>
      </c>
      <c r="H2003">
        <v>0.3</v>
      </c>
      <c r="J2003" s="2" t="s">
        <v>69</v>
      </c>
    </row>
    <row r="2004" spans="2:10" x14ac:dyDescent="0.3">
      <c r="B2004" s="47" t="s">
        <v>185</v>
      </c>
      <c r="C2004" t="str">
        <f>VLOOKUP($B2004,'标准费用表-2024年&amp;2025年优化'!$D:$E,2,0)</f>
        <v>重庆正大猪业有限公司</v>
      </c>
      <c r="D2004" t="s">
        <v>107</v>
      </c>
      <c r="E2004" s="36">
        <f t="shared" ref="E2004:F2004" si="867">E1980</f>
        <v>0.41553746061673202</v>
      </c>
      <c r="F2004" s="36">
        <f t="shared" si="867"/>
        <v>0</v>
      </c>
      <c r="G2004">
        <v>0.2</v>
      </c>
      <c r="H2004">
        <v>0.3</v>
      </c>
      <c r="J2004" s="2" t="s">
        <v>69</v>
      </c>
    </row>
    <row r="2005" spans="2:10" x14ac:dyDescent="0.3">
      <c r="B2005" s="47" t="s">
        <v>185</v>
      </c>
      <c r="C2005" t="str">
        <f>VLOOKUP($B2005,'标准费用表-2024年&amp;2025年优化'!$D:$E,2,0)</f>
        <v>重庆正大猪业有限公司</v>
      </c>
      <c r="D2005" t="s">
        <v>108</v>
      </c>
      <c r="E2005" s="36">
        <f t="shared" ref="E2005:F2005" si="868">E1981</f>
        <v>0.37861382439726898</v>
      </c>
      <c r="F2005" s="36">
        <f t="shared" si="868"/>
        <v>0</v>
      </c>
      <c r="G2005">
        <v>0.2</v>
      </c>
      <c r="H2005">
        <v>0.3</v>
      </c>
      <c r="J2005" s="2" t="s">
        <v>69</v>
      </c>
    </row>
    <row r="2006" spans="2:10" x14ac:dyDescent="0.3">
      <c r="B2006" s="47" t="s">
        <v>185</v>
      </c>
      <c r="C2006" t="str">
        <f>VLOOKUP($B2006,'标准费用表-2024年&amp;2025年优化'!$D:$E,2,0)</f>
        <v>重庆正大猪业有限公司</v>
      </c>
      <c r="D2006" t="s">
        <v>109</v>
      </c>
      <c r="E2006" s="36">
        <f t="shared" ref="E2006:F2006" si="869">E1982</f>
        <v>0.34048720127611498</v>
      </c>
      <c r="F2006" s="36">
        <f t="shared" si="869"/>
        <v>0</v>
      </c>
      <c r="G2006">
        <v>0.2</v>
      </c>
      <c r="H2006">
        <v>0.3</v>
      </c>
      <c r="J2006" s="2" t="s">
        <v>69</v>
      </c>
    </row>
    <row r="2007" spans="2:10" x14ac:dyDescent="0.3">
      <c r="B2007" s="47" t="s">
        <v>185</v>
      </c>
      <c r="C2007" t="str">
        <f>VLOOKUP($B2007,'标准费用表-2024年&amp;2025年优化'!$D:$E,2,0)</f>
        <v>重庆正大猪业有限公司</v>
      </c>
      <c r="D2007" t="s">
        <v>110</v>
      </c>
      <c r="E2007" s="36">
        <f t="shared" ref="E2007:F2007" si="870">E1983</f>
        <v>0.34199106810865598</v>
      </c>
      <c r="F2007" s="36">
        <f t="shared" si="870"/>
        <v>0</v>
      </c>
      <c r="G2007">
        <v>0.2</v>
      </c>
      <c r="H2007">
        <v>0.3</v>
      </c>
      <c r="J2007" s="2" t="s">
        <v>69</v>
      </c>
    </row>
    <row r="2008" spans="2:10" x14ac:dyDescent="0.3">
      <c r="B2008" s="47" t="s">
        <v>185</v>
      </c>
      <c r="C2008" t="str">
        <f>VLOOKUP($B2008,'标准费用表-2024年&amp;2025年优化'!$D:$E,2,0)</f>
        <v>重庆正大猪业有限公司</v>
      </c>
      <c r="D2008" t="s">
        <v>111</v>
      </c>
      <c r="E2008" s="36">
        <f t="shared" ref="E2008:F2008" si="871">E1984</f>
        <v>0.42520598304336998</v>
      </c>
      <c r="F2008" s="36">
        <f t="shared" si="871"/>
        <v>0</v>
      </c>
      <c r="G2008">
        <v>0.2</v>
      </c>
      <c r="H2008">
        <v>0.3</v>
      </c>
      <c r="J2008" s="2" t="s">
        <v>69</v>
      </c>
    </row>
    <row r="2009" spans="2:10" x14ac:dyDescent="0.3">
      <c r="B2009" s="47" t="s">
        <v>185</v>
      </c>
      <c r="C2009" t="str">
        <f>VLOOKUP($B2009,'标准费用表-2024年&amp;2025年优化'!$D:$E,2,0)</f>
        <v>重庆正大猪业有限公司</v>
      </c>
      <c r="D2009" t="s">
        <v>112</v>
      </c>
      <c r="E2009" s="36">
        <f t="shared" ref="E2009:F2009" si="872">E1985</f>
        <v>0.37180720670002598</v>
      </c>
      <c r="F2009" s="36">
        <f t="shared" si="872"/>
        <v>0</v>
      </c>
      <c r="G2009">
        <v>0.2</v>
      </c>
      <c r="H2009">
        <v>0.3</v>
      </c>
      <c r="J2009" s="2" t="s">
        <v>69</v>
      </c>
    </row>
    <row r="2010" spans="2:10" x14ac:dyDescent="0.3">
      <c r="B2010" s="47" t="s">
        <v>185</v>
      </c>
      <c r="C2010" t="str">
        <f>VLOOKUP($B2010,'标准费用表-2024年&amp;2025年优化'!$D:$E,2,0)</f>
        <v>重庆正大猪业有限公司</v>
      </c>
      <c r="D2010" t="s">
        <v>113</v>
      </c>
      <c r="E2010" s="36">
        <f t="shared" ref="E2010:F2010" si="873">E1986</f>
        <v>0.26929726789216901</v>
      </c>
      <c r="F2010" s="36">
        <f t="shared" si="873"/>
        <v>0</v>
      </c>
      <c r="G2010">
        <v>0.2</v>
      </c>
      <c r="H2010">
        <v>0.3</v>
      </c>
      <c r="J2010" s="2" t="s">
        <v>69</v>
      </c>
    </row>
    <row r="2011" spans="2:10" x14ac:dyDescent="0.3">
      <c r="B2011" s="47" t="s">
        <v>185</v>
      </c>
      <c r="C2011" t="str">
        <f>VLOOKUP($B2011,'标准费用表-2024年&amp;2025年优化'!$D:$E,2,0)</f>
        <v>重庆正大猪业有限公司</v>
      </c>
      <c r="D2011" t="s">
        <v>114</v>
      </c>
      <c r="E2011" s="36">
        <f t="shared" ref="E2011:F2011" si="874">E1987</f>
        <v>1.0171250814346899</v>
      </c>
      <c r="F2011" s="36">
        <f t="shared" si="874"/>
        <v>0</v>
      </c>
      <c r="G2011">
        <v>0.2</v>
      </c>
      <c r="H2011">
        <v>0.3</v>
      </c>
      <c r="J2011" s="2" t="s">
        <v>69</v>
      </c>
    </row>
    <row r="2012" spans="2:10" x14ac:dyDescent="0.3">
      <c r="B2012" s="47" t="s">
        <v>185</v>
      </c>
      <c r="C2012" t="str">
        <f>VLOOKUP($B2012,'标准费用表-2024年&amp;2025年优化'!$D:$E,2,0)</f>
        <v>重庆正大猪业有限公司</v>
      </c>
      <c r="D2012" t="s">
        <v>115</v>
      </c>
      <c r="E2012" s="36">
        <f t="shared" ref="E2012:F2012" si="875">E1988</f>
        <v>0.43746024032041397</v>
      </c>
      <c r="F2012" s="36">
        <f t="shared" si="875"/>
        <v>0</v>
      </c>
      <c r="G2012">
        <v>0.2</v>
      </c>
      <c r="H2012">
        <v>0.3</v>
      </c>
      <c r="J2012" s="2" t="s">
        <v>69</v>
      </c>
    </row>
    <row r="2013" spans="2:10" x14ac:dyDescent="0.3">
      <c r="B2013" s="47" t="s">
        <v>185</v>
      </c>
      <c r="C2013" t="str">
        <f>VLOOKUP($B2013,'标准费用表-2024年&amp;2025年优化'!$D:$E,2,0)</f>
        <v>重庆正大猪业有限公司</v>
      </c>
      <c r="D2013" t="s">
        <v>116</v>
      </c>
      <c r="E2013" s="36">
        <f t="shared" ref="E2013:F2013" si="876">E1989</f>
        <v>0.276434744768841</v>
      </c>
      <c r="F2013" s="36">
        <f t="shared" si="876"/>
        <v>0</v>
      </c>
      <c r="G2013">
        <v>0.2</v>
      </c>
      <c r="H2013">
        <v>0.3</v>
      </c>
      <c r="J2013" s="2" t="s">
        <v>69</v>
      </c>
    </row>
    <row r="2014" spans="2:10" x14ac:dyDescent="0.3">
      <c r="B2014" s="47" t="s">
        <v>185</v>
      </c>
      <c r="C2014" t="str">
        <f>VLOOKUP($B2014,'标准费用表-2024年&amp;2025年优化'!$D:$E,2,0)</f>
        <v>重庆正大猪业有限公司</v>
      </c>
      <c r="D2014" t="s">
        <v>117</v>
      </c>
      <c r="E2014" s="36">
        <f t="shared" ref="E2014:F2014" si="877">E1990</f>
        <v>0.22920732970517499</v>
      </c>
      <c r="F2014" s="36">
        <f t="shared" si="877"/>
        <v>0</v>
      </c>
      <c r="G2014">
        <v>0.2</v>
      </c>
      <c r="H2014">
        <v>0.3</v>
      </c>
      <c r="J2014" s="2" t="s">
        <v>69</v>
      </c>
    </row>
    <row r="2015" spans="2:10" x14ac:dyDescent="0.3">
      <c r="B2015" s="47" t="s">
        <v>185</v>
      </c>
      <c r="C2015" t="str">
        <f>VLOOKUP($B2015,'标准费用表-2024年&amp;2025年优化'!$D:$E,2,0)</f>
        <v>重庆正大猪业有限公司</v>
      </c>
      <c r="D2015" t="s">
        <v>118</v>
      </c>
      <c r="E2015" s="36">
        <f t="shared" ref="E2015:F2015" si="878">E1991</f>
        <v>9.0973137137727506E-2</v>
      </c>
      <c r="F2015" s="36">
        <f t="shared" si="878"/>
        <v>0</v>
      </c>
      <c r="G2015">
        <v>0.2</v>
      </c>
      <c r="H2015">
        <v>0.3</v>
      </c>
      <c r="J2015" s="2" t="s">
        <v>69</v>
      </c>
    </row>
    <row r="2016" spans="2:10" x14ac:dyDescent="0.3">
      <c r="B2016" s="47" t="s">
        <v>185</v>
      </c>
      <c r="C2016" t="str">
        <f>VLOOKUP($B2016,'标准费用表-2024年&amp;2025年优化'!$D:$E,2,0)</f>
        <v>重庆正大猪业有限公司</v>
      </c>
      <c r="D2016" t="s">
        <v>119</v>
      </c>
      <c r="E2016" s="36">
        <f>E1944</f>
        <v>0.32902612842135098</v>
      </c>
      <c r="F2016" s="36">
        <f t="shared" ref="F2016" si="879">F1992</f>
        <v>0</v>
      </c>
      <c r="G2016">
        <v>0.2</v>
      </c>
      <c r="H2016">
        <v>0.3</v>
      </c>
      <c r="J2016" s="2" t="s">
        <v>69</v>
      </c>
    </row>
    <row r="2017" spans="2:10" x14ac:dyDescent="0.3">
      <c r="B2017" s="47" t="s">
        <v>185</v>
      </c>
      <c r="C2017" t="str">
        <f>VLOOKUP($B2017,'标准费用表-2024年&amp;2025年优化'!$D:$E,2,0)</f>
        <v>重庆正大猪业有限公司</v>
      </c>
      <c r="D2017" t="s">
        <v>120</v>
      </c>
      <c r="E2017" s="36">
        <f t="shared" ref="E2017:E2039" si="880">E1945</f>
        <v>0.87936299851189703</v>
      </c>
      <c r="F2017" s="36">
        <f t="shared" ref="F2017" si="881">F1993</f>
        <v>0</v>
      </c>
      <c r="G2017">
        <v>0.2</v>
      </c>
      <c r="H2017">
        <v>0.3</v>
      </c>
      <c r="J2017" s="2" t="s">
        <v>69</v>
      </c>
    </row>
    <row r="2018" spans="2:10" x14ac:dyDescent="0.3">
      <c r="B2018" s="47" t="s">
        <v>185</v>
      </c>
      <c r="C2018" t="str">
        <f>VLOOKUP($B2018,'标准费用表-2024年&amp;2025年优化'!$D:$E,2,0)</f>
        <v>重庆正大猪业有限公司</v>
      </c>
      <c r="D2018" t="s">
        <v>121</v>
      </c>
      <c r="E2018" s="36">
        <f t="shared" si="880"/>
        <v>1.62760767553246</v>
      </c>
      <c r="F2018" s="36">
        <f t="shared" ref="F2018" si="882">F1994</f>
        <v>0</v>
      </c>
      <c r="G2018">
        <v>0.2</v>
      </c>
      <c r="H2018">
        <v>0.3</v>
      </c>
      <c r="J2018" s="2" t="s">
        <v>69</v>
      </c>
    </row>
    <row r="2019" spans="2:10" x14ac:dyDescent="0.3">
      <c r="B2019" s="47" t="s">
        <v>185</v>
      </c>
      <c r="C2019" t="str">
        <f>VLOOKUP($B2019,'标准费用表-2024年&amp;2025年优化'!$D:$E,2,0)</f>
        <v>重庆正大猪业有限公司</v>
      </c>
      <c r="D2019" t="s">
        <v>122</v>
      </c>
      <c r="E2019" s="36">
        <f t="shared" si="880"/>
        <v>0.34205005056598298</v>
      </c>
      <c r="F2019" s="36">
        <f t="shared" ref="F2019" si="883">F1995</f>
        <v>0</v>
      </c>
      <c r="G2019">
        <v>0.2</v>
      </c>
      <c r="H2019">
        <v>0.3</v>
      </c>
      <c r="J2019" s="2" t="s">
        <v>69</v>
      </c>
    </row>
    <row r="2020" spans="2:10" x14ac:dyDescent="0.3">
      <c r="B2020" s="47" t="s">
        <v>185</v>
      </c>
      <c r="C2020" t="str">
        <f>VLOOKUP($B2020,'标准费用表-2024年&amp;2025年优化'!$D:$E,2,0)</f>
        <v>重庆正大猪业有限公司</v>
      </c>
      <c r="D2020" t="s">
        <v>123</v>
      </c>
      <c r="E2020" s="36">
        <f t="shared" si="880"/>
        <v>0.15100638664850899</v>
      </c>
      <c r="F2020" s="36">
        <f t="shared" ref="F2020" si="884">F1996</f>
        <v>0</v>
      </c>
      <c r="G2020">
        <v>0.2</v>
      </c>
      <c r="H2020">
        <v>0.3</v>
      </c>
      <c r="J2020" s="2" t="s">
        <v>69</v>
      </c>
    </row>
    <row r="2021" spans="2:10" x14ac:dyDescent="0.3">
      <c r="B2021" s="47" t="s">
        <v>185</v>
      </c>
      <c r="C2021" t="str">
        <f>VLOOKUP($B2021,'标准费用表-2024年&amp;2025年优化'!$D:$E,2,0)</f>
        <v>重庆正大猪业有限公司</v>
      </c>
      <c r="D2021" t="s">
        <v>124</v>
      </c>
      <c r="E2021" s="36">
        <f t="shared" si="880"/>
        <v>0.46734473276598898</v>
      </c>
      <c r="F2021" s="36">
        <f t="shared" ref="F2021" si="885">F1997</f>
        <v>0</v>
      </c>
      <c r="G2021">
        <v>0.2</v>
      </c>
      <c r="H2021">
        <v>0.3</v>
      </c>
      <c r="J2021" s="2" t="s">
        <v>69</v>
      </c>
    </row>
    <row r="2022" spans="2:10" x14ac:dyDescent="0.3">
      <c r="B2022" s="47" t="s">
        <v>185</v>
      </c>
      <c r="C2022" t="str">
        <f>VLOOKUP($B2022,'标准费用表-2024年&amp;2025年优化'!$D:$E,2,0)</f>
        <v>重庆正大猪业有限公司</v>
      </c>
      <c r="D2022" t="s">
        <v>125</v>
      </c>
      <c r="E2022" s="36">
        <f t="shared" si="880"/>
        <v>0.77201693658489201</v>
      </c>
      <c r="F2022" s="36">
        <f t="shared" ref="F2022" si="886">F1998</f>
        <v>0</v>
      </c>
      <c r="G2022">
        <v>0.2</v>
      </c>
      <c r="H2022">
        <v>0.3</v>
      </c>
      <c r="J2022" s="2" t="s">
        <v>69</v>
      </c>
    </row>
    <row r="2023" spans="2:10" x14ac:dyDescent="0.3">
      <c r="B2023" s="47" t="s">
        <v>185</v>
      </c>
      <c r="C2023" t="str">
        <f>VLOOKUP($B2023,'标准费用表-2024年&amp;2025年优化'!$D:$E,2,0)</f>
        <v>重庆正大猪业有限公司</v>
      </c>
      <c r="D2023" t="s">
        <v>126</v>
      </c>
      <c r="E2023" s="36">
        <f t="shared" si="880"/>
        <v>1.1199224264740399</v>
      </c>
      <c r="F2023" s="36">
        <f t="shared" ref="F2023" si="887">F1999</f>
        <v>0</v>
      </c>
      <c r="G2023">
        <v>0.2</v>
      </c>
      <c r="H2023">
        <v>0.3</v>
      </c>
      <c r="J2023" s="2" t="s">
        <v>69</v>
      </c>
    </row>
    <row r="2024" spans="2:10" x14ac:dyDescent="0.3">
      <c r="B2024" s="47" t="s">
        <v>185</v>
      </c>
      <c r="C2024" t="str">
        <f>VLOOKUP($B2024,'标准费用表-2024年&amp;2025年优化'!$D:$E,2,0)</f>
        <v>重庆正大猪业有限公司</v>
      </c>
      <c r="D2024" t="s">
        <v>127</v>
      </c>
      <c r="E2024" s="36">
        <f t="shared" si="880"/>
        <v>0.65430671602657797</v>
      </c>
      <c r="F2024" s="36">
        <f t="shared" ref="F2024" si="888">F2000</f>
        <v>0</v>
      </c>
      <c r="G2024">
        <v>0.2</v>
      </c>
      <c r="H2024">
        <v>0.3</v>
      </c>
      <c r="J2024" s="2" t="s">
        <v>69</v>
      </c>
    </row>
    <row r="2025" spans="2:10" x14ac:dyDescent="0.3">
      <c r="B2025" s="47" t="s">
        <v>185</v>
      </c>
      <c r="C2025" t="str">
        <f>VLOOKUP($B2025,'标准费用表-2024年&amp;2025年优化'!$D:$E,2,0)</f>
        <v>重庆正大猪业有限公司</v>
      </c>
      <c r="D2025" t="s">
        <v>128</v>
      </c>
      <c r="E2025" s="36">
        <f t="shared" si="880"/>
        <v>0.60088913731570004</v>
      </c>
      <c r="F2025" s="36">
        <f t="shared" ref="F2025" si="889">F2001</f>
        <v>0</v>
      </c>
      <c r="G2025">
        <v>0.2</v>
      </c>
      <c r="H2025">
        <v>0.3</v>
      </c>
      <c r="J2025" s="2" t="s">
        <v>69</v>
      </c>
    </row>
    <row r="2026" spans="2:10" x14ac:dyDescent="0.3">
      <c r="B2026" s="47" t="s">
        <v>185</v>
      </c>
      <c r="C2026" t="str">
        <f>VLOOKUP($B2026,'标准费用表-2024年&amp;2025年优化'!$D:$E,2,0)</f>
        <v>重庆正大猪业有限公司</v>
      </c>
      <c r="D2026" t="s">
        <v>129</v>
      </c>
      <c r="E2026" s="36">
        <f t="shared" si="880"/>
        <v>0.76763091635894098</v>
      </c>
      <c r="F2026" s="36">
        <f t="shared" ref="F2026" si="890">F2002</f>
        <v>0</v>
      </c>
      <c r="G2026">
        <v>0.2</v>
      </c>
      <c r="H2026">
        <v>0.3</v>
      </c>
      <c r="J2026" s="2" t="s">
        <v>69</v>
      </c>
    </row>
    <row r="2027" spans="2:10" x14ac:dyDescent="0.3">
      <c r="B2027" s="47" t="s">
        <v>185</v>
      </c>
      <c r="C2027" t="str">
        <f>VLOOKUP($B2027,'标准费用表-2024年&amp;2025年优化'!$D:$E,2,0)</f>
        <v>重庆正大猪业有限公司</v>
      </c>
      <c r="D2027" t="s">
        <v>130</v>
      </c>
      <c r="E2027" s="36">
        <f t="shared" si="880"/>
        <v>1.3351330960336101</v>
      </c>
      <c r="F2027" s="36">
        <f t="shared" ref="F2027" si="891">F2003</f>
        <v>0</v>
      </c>
      <c r="G2027">
        <v>0.2</v>
      </c>
      <c r="H2027">
        <v>0.3</v>
      </c>
      <c r="J2027" s="2" t="s">
        <v>69</v>
      </c>
    </row>
    <row r="2028" spans="2:10" x14ac:dyDescent="0.3">
      <c r="B2028" s="47" t="s">
        <v>185</v>
      </c>
      <c r="C2028" t="str">
        <f>VLOOKUP($B2028,'标准费用表-2024年&amp;2025年优化'!$D:$E,2,0)</f>
        <v>重庆正大猪业有限公司</v>
      </c>
      <c r="D2028" t="s">
        <v>131</v>
      </c>
      <c r="E2028" s="36">
        <f t="shared" si="880"/>
        <v>0.227313779115733</v>
      </c>
      <c r="F2028" s="36">
        <f t="shared" ref="F2028" si="892">F2004</f>
        <v>0</v>
      </c>
      <c r="G2028">
        <v>0.2</v>
      </c>
      <c r="H2028">
        <v>0.3</v>
      </c>
      <c r="J2028" s="2" t="s">
        <v>69</v>
      </c>
    </row>
    <row r="2029" spans="2:10" x14ac:dyDescent="0.3">
      <c r="B2029" s="47" t="s">
        <v>185</v>
      </c>
      <c r="C2029" t="str">
        <f>VLOOKUP($B2029,'标准费用表-2024年&amp;2025年优化'!$D:$E,2,0)</f>
        <v>重庆正大猪业有限公司</v>
      </c>
      <c r="D2029" t="s">
        <v>132</v>
      </c>
      <c r="E2029" s="36">
        <f t="shared" si="880"/>
        <v>5.2629345105688202E-2</v>
      </c>
      <c r="F2029" s="36">
        <f t="shared" ref="F2029" si="893">F2005</f>
        <v>0</v>
      </c>
      <c r="G2029">
        <v>0.2</v>
      </c>
      <c r="H2029">
        <v>0.3</v>
      </c>
      <c r="J2029" s="2" t="s">
        <v>69</v>
      </c>
    </row>
    <row r="2030" spans="2:10" x14ac:dyDescent="0.3">
      <c r="B2030" s="47" t="s">
        <v>185</v>
      </c>
      <c r="C2030" t="str">
        <f>VLOOKUP($B2030,'标准费用表-2024年&amp;2025年优化'!$D:$E,2,0)</f>
        <v>重庆正大猪业有限公司</v>
      </c>
      <c r="D2030" t="s">
        <v>133</v>
      </c>
      <c r="E2030" s="36">
        <f t="shared" si="880"/>
        <v>0.28236209635120102</v>
      </c>
      <c r="F2030" s="36">
        <f t="shared" ref="F2030" si="894">F2006</f>
        <v>0</v>
      </c>
      <c r="G2030">
        <v>0.2</v>
      </c>
      <c r="H2030">
        <v>0.3</v>
      </c>
      <c r="J2030" s="2" t="s">
        <v>69</v>
      </c>
    </row>
    <row r="2031" spans="2:10" x14ac:dyDescent="0.3">
      <c r="B2031" s="47" t="s">
        <v>185</v>
      </c>
      <c r="C2031" t="str">
        <f>VLOOKUP($B2031,'标准费用表-2024年&amp;2025年优化'!$D:$E,2,0)</f>
        <v>重庆正大猪业有限公司</v>
      </c>
      <c r="D2031" t="s">
        <v>134</v>
      </c>
      <c r="E2031" s="36">
        <f t="shared" si="880"/>
        <v>0.18468806203211499</v>
      </c>
      <c r="F2031" s="36">
        <f t="shared" ref="F2031" si="895">F2007</f>
        <v>0</v>
      </c>
      <c r="G2031">
        <v>0.2</v>
      </c>
      <c r="H2031">
        <v>0.3</v>
      </c>
      <c r="J2031" s="2" t="s">
        <v>69</v>
      </c>
    </row>
    <row r="2032" spans="2:10" x14ac:dyDescent="0.3">
      <c r="B2032" s="47" t="s">
        <v>185</v>
      </c>
      <c r="C2032" t="str">
        <f>VLOOKUP($B2032,'标准费用表-2024年&amp;2025年优化'!$D:$E,2,0)</f>
        <v>重庆正大猪业有限公司</v>
      </c>
      <c r="D2032" t="s">
        <v>135</v>
      </c>
      <c r="E2032" s="36">
        <f t="shared" si="880"/>
        <v>0.12241361035121601</v>
      </c>
      <c r="F2032" s="36">
        <f t="shared" ref="F2032" si="896">F2008</f>
        <v>0</v>
      </c>
      <c r="G2032">
        <v>0.2</v>
      </c>
      <c r="H2032">
        <v>0.3</v>
      </c>
      <c r="J2032" s="2" t="s">
        <v>69</v>
      </c>
    </row>
    <row r="2033" spans="2:10" x14ac:dyDescent="0.3">
      <c r="B2033" s="47" t="s">
        <v>185</v>
      </c>
      <c r="C2033" t="str">
        <f>VLOOKUP($B2033,'标准费用表-2024年&amp;2025年优化'!$D:$E,2,0)</f>
        <v>重庆正大猪业有限公司</v>
      </c>
      <c r="D2033" t="s">
        <v>136</v>
      </c>
      <c r="E2033" s="36">
        <f t="shared" si="880"/>
        <v>2.1134980383934701E-2</v>
      </c>
      <c r="F2033" s="36">
        <f t="shared" ref="F2033" si="897">F2009</f>
        <v>0</v>
      </c>
      <c r="G2033">
        <v>0.2</v>
      </c>
      <c r="H2033">
        <v>0.3</v>
      </c>
      <c r="J2033" s="2" t="s">
        <v>69</v>
      </c>
    </row>
    <row r="2034" spans="2:10" x14ac:dyDescent="0.3">
      <c r="B2034" s="47" t="s">
        <v>185</v>
      </c>
      <c r="C2034" t="str">
        <f>VLOOKUP($B2034,'标准费用表-2024年&amp;2025年优化'!$D:$E,2,0)</f>
        <v>重庆正大猪业有限公司</v>
      </c>
      <c r="D2034" t="s">
        <v>137</v>
      </c>
      <c r="E2034" s="36">
        <f t="shared" si="880"/>
        <v>0.110603733677735</v>
      </c>
      <c r="F2034" s="36">
        <f t="shared" ref="F2034" si="898">F2010</f>
        <v>0</v>
      </c>
      <c r="G2034">
        <v>0.2</v>
      </c>
      <c r="H2034">
        <v>0.3</v>
      </c>
      <c r="J2034" s="2" t="s">
        <v>69</v>
      </c>
    </row>
    <row r="2035" spans="2:10" x14ac:dyDescent="0.3">
      <c r="B2035" s="47" t="s">
        <v>185</v>
      </c>
      <c r="C2035" t="str">
        <f>VLOOKUP($B2035,'标准费用表-2024年&amp;2025年优化'!$D:$E,2,0)</f>
        <v>重庆正大猪业有限公司</v>
      </c>
      <c r="D2035" t="s">
        <v>138</v>
      </c>
      <c r="E2035" s="36">
        <f t="shared" si="880"/>
        <v>0.101493604778532</v>
      </c>
      <c r="F2035" s="36">
        <f t="shared" ref="F2035" si="899">F2011</f>
        <v>0</v>
      </c>
      <c r="G2035">
        <v>0.2</v>
      </c>
      <c r="H2035">
        <v>0.3</v>
      </c>
      <c r="J2035" s="2" t="s">
        <v>69</v>
      </c>
    </row>
    <row r="2036" spans="2:10" x14ac:dyDescent="0.3">
      <c r="B2036" s="47" t="s">
        <v>185</v>
      </c>
      <c r="C2036" t="str">
        <f>VLOOKUP($B2036,'标准费用表-2024年&amp;2025年优化'!$D:$E,2,0)</f>
        <v>重庆正大猪业有限公司</v>
      </c>
      <c r="D2036" t="s">
        <v>139</v>
      </c>
      <c r="E2036" s="36">
        <f t="shared" si="880"/>
        <v>0.35507649384463502</v>
      </c>
      <c r="F2036" s="36">
        <f t="shared" ref="F2036" si="900">F2012</f>
        <v>0</v>
      </c>
      <c r="G2036">
        <v>0.2</v>
      </c>
      <c r="H2036">
        <v>0.3</v>
      </c>
      <c r="J2036" s="2" t="s">
        <v>69</v>
      </c>
    </row>
    <row r="2037" spans="2:10" x14ac:dyDescent="0.3">
      <c r="B2037" s="47" t="s">
        <v>185</v>
      </c>
      <c r="C2037" t="str">
        <f>VLOOKUP($B2037,'标准费用表-2024年&amp;2025年优化'!$D:$E,2,0)</f>
        <v>重庆正大猪业有限公司</v>
      </c>
      <c r="D2037" t="s">
        <v>140</v>
      </c>
      <c r="E2037" s="36">
        <f t="shared" si="880"/>
        <v>0.41589044709220402</v>
      </c>
      <c r="F2037" s="36">
        <f t="shared" ref="F2037" si="901">F2013</f>
        <v>0</v>
      </c>
      <c r="G2037">
        <v>0.2</v>
      </c>
      <c r="H2037">
        <v>0.3</v>
      </c>
      <c r="J2037" s="2" t="s">
        <v>69</v>
      </c>
    </row>
    <row r="2038" spans="2:10" x14ac:dyDescent="0.3">
      <c r="B2038" s="47" t="s">
        <v>185</v>
      </c>
      <c r="C2038" t="str">
        <f>VLOOKUP($B2038,'标准费用表-2024年&amp;2025年优化'!$D:$E,2,0)</f>
        <v>重庆正大猪业有限公司</v>
      </c>
      <c r="D2038" t="s">
        <v>141</v>
      </c>
      <c r="E2038" s="36">
        <f t="shared" si="880"/>
        <v>0.118920502637791</v>
      </c>
      <c r="F2038" s="36">
        <f t="shared" ref="F2038" si="902">F2014</f>
        <v>0</v>
      </c>
      <c r="G2038">
        <v>0.2</v>
      </c>
      <c r="H2038">
        <v>0.3</v>
      </c>
      <c r="J2038" s="2" t="s">
        <v>69</v>
      </c>
    </row>
    <row r="2039" spans="2:10" x14ac:dyDescent="0.3">
      <c r="B2039" s="47" t="s">
        <v>185</v>
      </c>
      <c r="C2039" t="str">
        <f>VLOOKUP($B2039,'标准费用表-2024年&amp;2025年优化'!$D:$E,2,0)</f>
        <v>重庆正大猪业有限公司</v>
      </c>
      <c r="D2039" t="s">
        <v>142</v>
      </c>
      <c r="E2039" s="36">
        <f t="shared" si="880"/>
        <v>3.53820553255772E-2</v>
      </c>
      <c r="F2039" s="36">
        <f t="shared" ref="F2039" si="903">F2015</f>
        <v>0</v>
      </c>
      <c r="G2039">
        <v>0.2</v>
      </c>
      <c r="H2039">
        <v>0.3</v>
      </c>
      <c r="J2039" s="2" t="s">
        <v>69</v>
      </c>
    </row>
    <row r="2040" spans="2:10" x14ac:dyDescent="0.3">
      <c r="B2040" s="47" t="s">
        <v>187</v>
      </c>
      <c r="C2040" t="str">
        <f>VLOOKUP($B2040,'标准费用表-2024年&amp;2025年优化'!$D:$E,2,0)</f>
        <v>正大食品（徐州）有限公司山东第二分公司</v>
      </c>
      <c r="D2040" t="s">
        <v>41</v>
      </c>
      <c r="E2040" s="46">
        <f>IFERROR(VLOOKUP($B2040,'标准费用表-2024年&amp;2025年优化'!$D:$K,8,0)*VLOOKUP('5.成本表'!$D2040,系数辅助表!$C:$G,5,0)/VLOOKUP($D2040,系数辅助表!$C:$E,3,0),0)</f>
        <v>0.45571095571095599</v>
      </c>
      <c r="I2040" s="36">
        <f>VLOOKUP($D2040,系数辅助表!$C:$F,4,0)</f>
        <v>1.33</v>
      </c>
      <c r="J2040" s="2" t="s">
        <v>41</v>
      </c>
    </row>
    <row r="2041" spans="2:10" x14ac:dyDescent="0.3">
      <c r="B2041" s="47" t="s">
        <v>187</v>
      </c>
      <c r="C2041" t="str">
        <f>VLOOKUP($B2041,'标准费用表-2024年&amp;2025年优化'!$D:$E,2,0)</f>
        <v>正大食品（徐州）有限公司山东第二分公司</v>
      </c>
      <c r="D2041" t="s">
        <v>44</v>
      </c>
      <c r="E2041" s="46">
        <f>IFERROR(VLOOKUP($B2041,'标准费用表-2024年&amp;2025年优化'!$D:$K,8,0)*系数辅助表!$J$6*VLOOKUP('5.成本表'!$D2041,系数辅助表!$C:$G,5,0)/VLOOKUP($D2041,系数辅助表!$C:$E,3,0),0)</f>
        <v>0.26063997368057001</v>
      </c>
      <c r="I2041" s="36">
        <f>VLOOKUP($D2041,系数辅助表!$C:$F,4,0)</f>
        <v>0.789027855994753</v>
      </c>
      <c r="J2041" s="2" t="s">
        <v>200</v>
      </c>
    </row>
    <row r="2042" spans="2:10" x14ac:dyDescent="0.3">
      <c r="B2042" s="47" t="s">
        <v>187</v>
      </c>
      <c r="C2042" t="str">
        <f>VLOOKUP($B2042,'标准费用表-2024年&amp;2025年优化'!$D:$E,2,0)</f>
        <v>正大食品（徐州）有限公司山东第二分公司</v>
      </c>
      <c r="D2042" t="s">
        <v>45</v>
      </c>
      <c r="E2042" s="46">
        <f>IFERROR(VLOOKUP($B2042,'标准费用表-2024年&amp;2025年优化'!$D:$K,8,0)*系数辅助表!$J$6*VLOOKUP('5.成本表'!$D2042,系数辅助表!$C:$G,5,0)/VLOOKUP($D2042,系数辅助表!$C:$E,3,0),0)</f>
        <v>0.69659254688216898</v>
      </c>
      <c r="I2042" s="36">
        <f>VLOOKUP($D2042,系数辅助表!$C:$F,4,0)</f>
        <v>2.1087744754070901</v>
      </c>
      <c r="J2042" s="2" t="s">
        <v>200</v>
      </c>
    </row>
    <row r="2043" spans="2:10" x14ac:dyDescent="0.3">
      <c r="B2043" s="47" t="s">
        <v>187</v>
      </c>
      <c r="C2043" t="str">
        <f>VLOOKUP($B2043,'标准费用表-2024年&amp;2025年优化'!$D:$E,2,0)</f>
        <v>正大食品（徐州）有限公司山东第二分公司</v>
      </c>
      <c r="D2043" t="s">
        <v>46</v>
      </c>
      <c r="E2043" s="46">
        <f>IFERROR(VLOOKUP($B2043,'标准费用表-2024年&amp;2025年优化'!$D:$K,8,0)*系数辅助表!$J$6*VLOOKUP('5.成本表'!$D2043,系数辅助表!$C:$G,5,0)/VLOOKUP($D2043,系数辅助表!$C:$E,3,0),0)</f>
        <v>1.2893189478551701</v>
      </c>
      <c r="I2043" s="36">
        <f>VLOOKUP($D2043,系数辅助表!$C:$F,4,0)</f>
        <v>3.9031179705625099</v>
      </c>
      <c r="J2043" s="2" t="s">
        <v>200</v>
      </c>
    </row>
    <row r="2044" spans="2:10" x14ac:dyDescent="0.3">
      <c r="B2044" s="47" t="s">
        <v>187</v>
      </c>
      <c r="C2044" t="str">
        <f>VLOOKUP($B2044,'标准费用表-2024年&amp;2025年优化'!$D:$E,2,0)</f>
        <v>正大食品（徐州）有限公司山东第二分公司</v>
      </c>
      <c r="D2044" t="s">
        <v>47</v>
      </c>
      <c r="E2044" s="46">
        <f>IFERROR(VLOOKUP($B2044,'标准费用表-2024年&amp;2025年优化'!$D:$K,8,0)*系数辅助表!$J$6*VLOOKUP('5.成本表'!$D2044,系数辅助表!$C:$G,5,0)/VLOOKUP($D2044,系数辅助表!$C:$E,3,0),0)</f>
        <v>0.27095694984681501</v>
      </c>
      <c r="I2044" s="36">
        <f>VLOOKUP($D2044,系数辅助表!$C:$F,4,0)</f>
        <v>0.82026013963048305</v>
      </c>
      <c r="J2044" s="2" t="s">
        <v>200</v>
      </c>
    </row>
    <row r="2045" spans="2:10" x14ac:dyDescent="0.3">
      <c r="B2045" s="47" t="s">
        <v>187</v>
      </c>
      <c r="C2045" t="str">
        <f>VLOOKUP($B2045,'标准费用表-2024年&amp;2025年优化'!$D:$E,2,0)</f>
        <v>正大食品（徐州）有限公司山东第二分公司</v>
      </c>
      <c r="D2045" t="s">
        <v>48</v>
      </c>
      <c r="E2045" s="46">
        <f>IFERROR(VLOOKUP($B2045,'标准费用表-2024年&amp;2025年优化'!$D:$K,8,0)*系数辅助表!$J$6*VLOOKUP('5.成本表'!$D2045,系数辅助表!$C:$G,5,0)/VLOOKUP($D2045,系数辅助表!$C:$E,3,0),0)</f>
        <v>0.119620593144089</v>
      </c>
      <c r="I2045" s="36">
        <f>VLOOKUP($D2045,系数辅助表!$C:$F,4,0)</f>
        <v>0.36212396283071502</v>
      </c>
      <c r="J2045" s="2" t="s">
        <v>200</v>
      </c>
    </row>
    <row r="2046" spans="2:10" x14ac:dyDescent="0.3">
      <c r="B2046" s="47" t="s">
        <v>187</v>
      </c>
      <c r="C2046" t="str">
        <f>VLOOKUP($B2046,'标准费用表-2024年&amp;2025年优化'!$D:$E,2,0)</f>
        <v>正大食品（徐州）有限公司山东第二分公司</v>
      </c>
      <c r="D2046" t="s">
        <v>49</v>
      </c>
      <c r="E2046" s="46">
        <f>IFERROR(VLOOKUP($B2046,'标准费用表-2024年&amp;2025年优化'!$D:$K,8,0)*系数辅助表!$J$6*VLOOKUP('5.成本表'!$D2046,系数辅助表!$C:$G,5,0)/VLOOKUP($D2046,系数辅助表!$C:$E,3,0),0)</f>
        <v>0.37020986580096898</v>
      </c>
      <c r="I2046" s="36">
        <f>VLOOKUP($D2046,系数辅助表!$C:$F,4,0)</f>
        <v>1.1207256222295201</v>
      </c>
      <c r="J2046" s="2" t="s">
        <v>200</v>
      </c>
    </row>
    <row r="2047" spans="2:10" x14ac:dyDescent="0.3">
      <c r="B2047" s="47" t="s">
        <v>187</v>
      </c>
      <c r="C2047" t="str">
        <f>VLOOKUP($B2047,'标准费用表-2024年&amp;2025年优化'!$D:$E,2,0)</f>
        <v>正大食品（徐州）有限公司山东第二分公司</v>
      </c>
      <c r="D2047" t="s">
        <v>50</v>
      </c>
      <c r="E2047" s="46">
        <f>IFERROR(VLOOKUP($B2047,'标准费用表-2024年&amp;2025年优化'!$D:$K,8,0)*系数辅助表!$J$6*VLOOKUP('5.成本表'!$D2047,系数辅助表!$C:$G,5,0)/VLOOKUP($D2047,系数辅助表!$C:$E,3,0),0)</f>
        <v>0.61155773554482096</v>
      </c>
      <c r="I2047" s="36">
        <f>VLOOKUP($D2047,系数辅助表!$C:$F,4,0)</f>
        <v>1.8513510498021799</v>
      </c>
      <c r="J2047" s="2" t="s">
        <v>200</v>
      </c>
    </row>
    <row r="2048" spans="2:10" x14ac:dyDescent="0.3">
      <c r="B2048" s="47" t="s">
        <v>187</v>
      </c>
      <c r="C2048" t="str">
        <f>VLOOKUP($B2048,'标准费用表-2024年&amp;2025年优化'!$D:$E,2,0)</f>
        <v>正大食品（徐州）有限公司山东第二分公司</v>
      </c>
      <c r="D2048" t="s">
        <v>51</v>
      </c>
      <c r="E2048" s="46">
        <f>IFERROR(VLOOKUP($B2048,'标准费用表-2024年&amp;2025年优化'!$D:$K,8,0)*系数辅助表!$J$6*VLOOKUP('5.成本表'!$D2048,系数辅助表!$C:$G,5,0)/VLOOKUP($D2048,系数辅助表!$C:$E,3,0),0)</f>
        <v>0.88715310592802699</v>
      </c>
      <c r="I2048" s="36">
        <f>VLOOKUP($D2048,系数辅助表!$C:$F,4,0)</f>
        <v>2.68565294580391</v>
      </c>
      <c r="J2048" s="2" t="s">
        <v>200</v>
      </c>
    </row>
    <row r="2049" spans="2:10" x14ac:dyDescent="0.3">
      <c r="B2049" s="47" t="s">
        <v>187</v>
      </c>
      <c r="C2049" t="str">
        <f>VLOOKUP($B2049,'标准费用表-2024年&amp;2025年优化'!$D:$E,2,0)</f>
        <v>正大食品（徐州）有限公司山东第二分公司</v>
      </c>
      <c r="D2049" t="s">
        <v>52</v>
      </c>
      <c r="E2049" s="46">
        <f>IFERROR(VLOOKUP($B2049,'标准费用表-2024年&amp;2025年优化'!$D:$K,8,0)*系数辅助表!$J$6*VLOOKUP('5.成本表'!$D2049,系数辅助表!$C:$G,5,0)/VLOOKUP($D2049,系数辅助表!$C:$E,3,0),0)</f>
        <v>0.51831289527802005</v>
      </c>
      <c r="I2049" s="36">
        <f>VLOOKUP($D2049,系数辅助表!$C:$F,4,0)</f>
        <v>1.5690736410097099</v>
      </c>
      <c r="J2049" s="2" t="s">
        <v>200</v>
      </c>
    </row>
    <row r="2050" spans="2:10" x14ac:dyDescent="0.3">
      <c r="B2050" s="47" t="s">
        <v>187</v>
      </c>
      <c r="C2050" t="str">
        <f>VLOOKUP($B2050,'标准费用表-2024年&amp;2025年优化'!$D:$E,2,0)</f>
        <v>正大食品（徐州）有限公司山东第二分公司</v>
      </c>
      <c r="D2050" t="s">
        <v>53</v>
      </c>
      <c r="E2050" s="46">
        <f>IFERROR(VLOOKUP($B2050,'标准费用表-2024年&amp;2025年优化'!$D:$K,8,0)*系数辅助表!$J$6*VLOOKUP('5.成本表'!$D2050,系数辅助表!$C:$G,5,0)/VLOOKUP($D2050,系数辅助表!$C:$E,3,0),0)</f>
        <v>0.475997847606628</v>
      </c>
      <c r="I2050" s="36">
        <f>VLOOKUP($D2050,系数辅助表!$C:$F,4,0)</f>
        <v>1.44097452072131</v>
      </c>
      <c r="J2050" s="2" t="s">
        <v>200</v>
      </c>
    </row>
    <row r="2051" spans="2:10" x14ac:dyDescent="0.3">
      <c r="B2051" s="47" t="s">
        <v>187</v>
      </c>
      <c r="C2051" t="str">
        <f>VLOOKUP($B2051,'标准费用表-2024年&amp;2025年优化'!$D:$E,2,0)</f>
        <v>正大食品（徐州）有限公司山东第二分公司</v>
      </c>
      <c r="D2051" t="s">
        <v>54</v>
      </c>
      <c r="E2051" s="46">
        <f>IFERROR(VLOOKUP($B2051,'标准费用表-2024年&amp;2025年优化'!$D:$K,8,0)*系数辅助表!$J$6*VLOOKUP('5.成本表'!$D2051,系数辅助表!$C:$G,5,0)/VLOOKUP($D2051,系数辅助表!$C:$E,3,0),0)</f>
        <v>0.60808332394797004</v>
      </c>
      <c r="I2051" s="36">
        <f>VLOOKUP($D2051,系数辅助表!$C:$F,4,0)</f>
        <v>1.8408330640366199</v>
      </c>
      <c r="J2051" s="2" t="s">
        <v>200</v>
      </c>
    </row>
    <row r="2052" spans="2:10" x14ac:dyDescent="0.3">
      <c r="B2052" s="47" t="s">
        <v>187</v>
      </c>
      <c r="C2052" t="str">
        <f>VLOOKUP($B2052,'标准费用表-2024年&amp;2025年优化'!$D:$E,2,0)</f>
        <v>正大食品（徐州）有限公司山东第二分公司</v>
      </c>
      <c r="D2052" t="s">
        <v>55</v>
      </c>
      <c r="E2052" s="46">
        <f>IFERROR(VLOOKUP($B2052,'标准费用表-2024年&amp;2025年优化'!$D:$K,8,0)*系数辅助表!$J$6*VLOOKUP('5.成本表'!$D2052,系数辅助表!$C:$G,5,0)/VLOOKUP($D2052,系数辅助表!$C:$E,3,0),0)</f>
        <v>1.05763349761884</v>
      </c>
      <c r="I2052" s="36">
        <f>VLOOKUP($D2052,系数辅助表!$C:$F,4,0)</f>
        <v>3.2017433061789502</v>
      </c>
      <c r="J2052" s="2" t="s">
        <v>200</v>
      </c>
    </row>
    <row r="2053" spans="2:10" x14ac:dyDescent="0.3">
      <c r="B2053" s="47" t="s">
        <v>187</v>
      </c>
      <c r="C2053" t="str">
        <f>VLOOKUP($B2053,'标准费用表-2024年&amp;2025年优化'!$D:$E,2,0)</f>
        <v>正大食品（徐州）有限公司山东第二分公司</v>
      </c>
      <c r="D2053" t="s">
        <v>56</v>
      </c>
      <c r="E2053" s="46">
        <f>IFERROR(VLOOKUP($B2053,'标准费用表-2024年&amp;2025年优化'!$D:$K,8,0)*系数辅助表!$J$6*VLOOKUP('5.成本表'!$D2053,系数辅助表!$C:$G,5,0)/VLOOKUP($D2053,系数辅助表!$C:$E,3,0),0)</f>
        <v>0.180067940774855</v>
      </c>
      <c r="I2053" s="36">
        <f>VLOOKUP($D2053,系数辅助表!$C:$F,4,0)</f>
        <v>0.54511447049599404</v>
      </c>
      <c r="J2053" s="2" t="s">
        <v>200</v>
      </c>
    </row>
    <row r="2054" spans="2:10" x14ac:dyDescent="0.3">
      <c r="B2054" s="47" t="s">
        <v>187</v>
      </c>
      <c r="C2054" t="str">
        <f>VLOOKUP($B2054,'标准费用表-2024年&amp;2025年优化'!$D:$E,2,0)</f>
        <v>正大食品（徐州）有限公司山东第二分公司</v>
      </c>
      <c r="D2054" t="s">
        <v>57</v>
      </c>
      <c r="E2054" s="46">
        <f>IFERROR(VLOOKUP($B2054,'标准费用表-2024年&amp;2025年优化'!$D:$K,8,0)*系数辅助表!$J$6*VLOOKUP('5.成本表'!$D2054,系数辅助表!$C:$G,5,0)/VLOOKUP($D2054,系数辅助表!$C:$E,3,0),0)</f>
        <v>4.16906438068829E-2</v>
      </c>
      <c r="I2054" s="36">
        <f>VLOOKUP($D2054,系数辅助表!$C:$F,4,0)</f>
        <v>0.126208880523832</v>
      </c>
      <c r="J2054" s="2" t="s">
        <v>200</v>
      </c>
    </row>
    <row r="2055" spans="2:10" x14ac:dyDescent="0.3">
      <c r="B2055" s="47" t="s">
        <v>187</v>
      </c>
      <c r="C2055" t="str">
        <f>VLOOKUP($B2055,'标准费用表-2024年&amp;2025年优化'!$D:$E,2,0)</f>
        <v>正大食品（徐州）有限公司山东第二分公司</v>
      </c>
      <c r="D2055" t="s">
        <v>58</v>
      </c>
      <c r="E2055" s="46">
        <f>IFERROR(VLOOKUP($B2055,'标准费用表-2024年&amp;2025年优化'!$D:$K,8,0)*系数辅助表!$J$6*VLOOKUP('5.成本表'!$D2055,系数辅助表!$C:$G,5,0)/VLOOKUP($D2055,系数辅助表!$C:$E,3,0),0)</f>
        <v>0.223674787514511</v>
      </c>
      <c r="I2055" s="36">
        <f>VLOOKUP($D2055,系数辅助表!$C:$F,4,0)</f>
        <v>0.67712421675176204</v>
      </c>
      <c r="J2055" s="2" t="s">
        <v>200</v>
      </c>
    </row>
    <row r="2056" spans="2:10" x14ac:dyDescent="0.3">
      <c r="B2056" s="47" t="s">
        <v>187</v>
      </c>
      <c r="C2056" t="str">
        <f>VLOOKUP($B2056,'标准费用表-2024年&amp;2025年优化'!$D:$E,2,0)</f>
        <v>正大食品（徐州）有限公司山东第二分公司</v>
      </c>
      <c r="D2056" t="s">
        <v>59</v>
      </c>
      <c r="E2056" s="46">
        <f>IFERROR(VLOOKUP($B2056,'标准费用表-2024年&amp;2025年优化'!$D:$K,8,0)*系数辅助表!$J$6*VLOOKUP('5.成本表'!$D2056,系数辅助表!$C:$G,5,0)/VLOOKUP($D2056,系数辅助表!$C:$E,3,0),0)</f>
        <v>0.14630172946484599</v>
      </c>
      <c r="I2056" s="36">
        <f>VLOOKUP($D2056,系数辅助表!$C:$F,4,0)</f>
        <v>0.44289499533730498</v>
      </c>
      <c r="J2056" s="2" t="s">
        <v>200</v>
      </c>
    </row>
    <row r="2057" spans="2:10" x14ac:dyDescent="0.3">
      <c r="B2057" s="47" t="s">
        <v>187</v>
      </c>
      <c r="C2057" t="str">
        <f>VLOOKUP($B2057,'标准费用表-2024年&amp;2025年优化'!$D:$E,2,0)</f>
        <v>正大食品（徐州）有限公司山东第二分公司</v>
      </c>
      <c r="D2057" t="s">
        <v>60</v>
      </c>
      <c r="E2057" s="46">
        <f>IFERROR(VLOOKUP($B2057,'标准费用表-2024年&amp;2025年优化'!$D:$K,8,0)*系数辅助表!$J$6*VLOOKUP('5.成本表'!$D2057,系数辅助表!$C:$G,5,0)/VLOOKUP($D2057,系数辅助表!$C:$E,3,0),0)</f>
        <v>9.6970658023930303E-2</v>
      </c>
      <c r="I2057" s="36">
        <f>VLOOKUP($D2057,系数辅助表!$C:$F,4,0)</f>
        <v>0.29355646915769201</v>
      </c>
      <c r="J2057" s="2" t="s">
        <v>200</v>
      </c>
    </row>
    <row r="2058" spans="2:10" x14ac:dyDescent="0.3">
      <c r="B2058" s="47" t="s">
        <v>187</v>
      </c>
      <c r="C2058" t="str">
        <f>VLOOKUP($B2058,'标准费用表-2024年&amp;2025年优化'!$D:$E,2,0)</f>
        <v>正大食品（徐州）有限公司山东第二分公司</v>
      </c>
      <c r="D2058" t="s">
        <v>61</v>
      </c>
      <c r="E2058" s="46">
        <f>IFERROR(VLOOKUP($B2058,'标准费用表-2024年&amp;2025年优化'!$D:$K,8,0)*系数辅助表!$J$6*VLOOKUP('5.成本表'!$D2058,系数辅助表!$C:$G,5,0)/VLOOKUP($D2058,系数辅助表!$C:$E,3,0),0)</f>
        <v>1.6742198430982302E-2</v>
      </c>
      <c r="I2058" s="36">
        <f>VLOOKUP($D2058,系数辅助表!$C:$F,4,0)</f>
        <v>5.0683173214352499E-2</v>
      </c>
      <c r="J2058" s="2" t="s">
        <v>200</v>
      </c>
    </row>
    <row r="2059" spans="2:10" x14ac:dyDescent="0.3">
      <c r="B2059" s="47" t="s">
        <v>187</v>
      </c>
      <c r="C2059" t="str">
        <f>VLOOKUP($B2059,'标准费用表-2024年&amp;2025年优化'!$D:$E,2,0)</f>
        <v>正大食品（徐州）有限公司山东第二分公司</v>
      </c>
      <c r="D2059" t="s">
        <v>62</v>
      </c>
      <c r="E2059" s="46">
        <f>IFERROR(VLOOKUP($B2059,'标准费用表-2024年&amp;2025年优化'!$D:$K,8,0)*系数辅助表!$J$6*VLOOKUP('5.成本表'!$D2059,系数辅助表!$C:$G,5,0)/VLOOKUP($D2059,系数辅助表!$C:$E,3,0),0)</f>
        <v>8.7615395084431696E-2</v>
      </c>
      <c r="I2059" s="36">
        <f>VLOOKUP($D2059,系数辅助表!$C:$F,4,0)</f>
        <v>0.26523555216563399</v>
      </c>
      <c r="J2059" s="2" t="s">
        <v>200</v>
      </c>
    </row>
    <row r="2060" spans="2:10" x14ac:dyDescent="0.3">
      <c r="B2060" s="47" t="s">
        <v>187</v>
      </c>
      <c r="C2060" t="str">
        <f>VLOOKUP($B2060,'标准费用表-2024年&amp;2025年优化'!$D:$E,2,0)</f>
        <v>正大食品（徐州）有限公司山东第二分公司</v>
      </c>
      <c r="D2060" t="s">
        <v>63</v>
      </c>
      <c r="E2060" s="46">
        <f>IFERROR(VLOOKUP($B2060,'标准费用表-2024年&amp;2025年优化'!$D:$K,8,0)*系数辅助表!$J$6*VLOOKUP('5.成本表'!$D2060,系数辅助表!$C:$G,5,0)/VLOOKUP($D2060,系数辅助表!$C:$E,3,0),0)</f>
        <v>8.0398753148098898E-2</v>
      </c>
      <c r="I2060" s="36">
        <f>VLOOKUP($D2060,系数辅助表!$C:$F,4,0)</f>
        <v>0.24338882069886</v>
      </c>
      <c r="J2060" s="2" t="s">
        <v>200</v>
      </c>
    </row>
    <row r="2061" spans="2:10" x14ac:dyDescent="0.3">
      <c r="B2061" s="47" t="s">
        <v>187</v>
      </c>
      <c r="C2061" t="str">
        <f>VLOOKUP($B2061,'标准费用表-2024年&amp;2025年优化'!$D:$E,2,0)</f>
        <v>正大食品（徐州）有限公司山东第二分公司</v>
      </c>
      <c r="D2061" t="s">
        <v>64</v>
      </c>
      <c r="E2061" s="46">
        <f>IFERROR(VLOOKUP($B2061,'标准费用表-2024年&amp;2025年优化'!$D:$K,8,0)*系数辅助表!$J$6*VLOOKUP('5.成本表'!$D2061,系数辅助表!$C:$G,5,0)/VLOOKUP($D2061,系数辅助表!$C:$E,3,0),0)</f>
        <v>0.28127592314413102</v>
      </c>
      <c r="I2061" s="36">
        <f>VLOOKUP($D2061,系数辅助表!$C:$F,4,0)</f>
        <v>0.85149846912336002</v>
      </c>
      <c r="J2061" s="2" t="s">
        <v>200</v>
      </c>
    </row>
    <row r="2062" spans="2:10" x14ac:dyDescent="0.3">
      <c r="B2062" s="47" t="s">
        <v>187</v>
      </c>
      <c r="C2062" t="str">
        <f>VLOOKUP($B2062,'标准费用表-2024年&amp;2025年优化'!$D:$E,2,0)</f>
        <v>正大食品（徐州）有限公司山东第二分公司</v>
      </c>
      <c r="D2062" t="s">
        <v>65</v>
      </c>
      <c r="E2062" s="46">
        <f>IFERROR(VLOOKUP($B2062,'标准费用表-2024年&amp;2025年优化'!$D:$K,8,0)*系数辅助表!$J$6*VLOOKUP('5.成本表'!$D2062,系数辅助表!$C:$G,5,0)/VLOOKUP($D2062,系数辅助表!$C:$E,3,0),0)</f>
        <v>0.32945005220162499</v>
      </c>
      <c r="I2062" s="36">
        <f>VLOOKUP($D2062,系数辅助表!$C:$F,4,0)</f>
        <v>0.99733461707829196</v>
      </c>
      <c r="J2062" s="2" t="s">
        <v>200</v>
      </c>
    </row>
    <row r="2063" spans="2:10" x14ac:dyDescent="0.3">
      <c r="B2063" s="47" t="s">
        <v>187</v>
      </c>
      <c r="C2063" t="str">
        <f>VLOOKUP($B2063,'标准费用表-2024年&amp;2025年优化'!$D:$E,2,0)</f>
        <v>正大食品（徐州）有限公司山东第二分公司</v>
      </c>
      <c r="D2063" t="s">
        <v>66</v>
      </c>
      <c r="E2063" s="46">
        <f>IFERROR(VLOOKUP($B2063,'标准费用表-2024年&amp;2025年优化'!$D:$K,8,0)*系数辅助表!$J$6*VLOOKUP('5.成本表'!$D2063,系数辅助表!$C:$G,5,0)/VLOOKUP($D2063,系数辅助表!$C:$E,3,0),0)</f>
        <v>9.4203572300803395E-2</v>
      </c>
      <c r="I2063" s="36">
        <f>VLOOKUP($D2063,系数辅助表!$C:$F,4,0)</f>
        <v>0.28517975055754302</v>
      </c>
      <c r="J2063" s="2" t="s">
        <v>200</v>
      </c>
    </row>
    <row r="2064" spans="2:10" x14ac:dyDescent="0.3">
      <c r="B2064" s="47" t="s">
        <v>187</v>
      </c>
      <c r="C2064" t="str">
        <f>VLOOKUP($B2064,'标准费用表-2024年&amp;2025年优化'!$D:$E,2,0)</f>
        <v>正大食品（徐州）有限公司山东第二分公司</v>
      </c>
      <c r="D2064" t="s">
        <v>67</v>
      </c>
      <c r="E2064" s="46">
        <f>IFERROR(VLOOKUP($B2064,'标准费用表-2024年&amp;2025年优化'!$D:$K,8,0)*系数辅助表!$J$6*VLOOKUP('5.成本表'!$D2064,系数辅助表!$C:$G,5,0)/VLOOKUP($D2064,系数辅助表!$C:$E,3,0),0)</f>
        <v>2.8028102245464499E-2</v>
      </c>
      <c r="I2064" s="36">
        <f>VLOOKUP($D2064,系数辅助表!$C:$F,4,0)</f>
        <v>8.4848663503333893E-2</v>
      </c>
      <c r="J2064" s="2" t="s">
        <v>200</v>
      </c>
    </row>
    <row r="2065" spans="2:10" x14ac:dyDescent="0.3">
      <c r="B2065" s="47" t="s">
        <v>187</v>
      </c>
      <c r="C2065" t="str">
        <f>VLOOKUP($B2065,'标准费用表-2024年&amp;2025年优化'!$D:$E,2,0)</f>
        <v>正大食品（徐州）有限公司山东第二分公司</v>
      </c>
      <c r="D2065" t="s">
        <v>68</v>
      </c>
      <c r="E2065" s="36">
        <f>IFERROR(VLOOKUP($B2065,'标准费用表-2024年&amp;2025年优化'!$D:$K,8,0)*VLOOKUP("白条",系数辅助表!$C:$G,5,0)*VLOOKUP('5.成本表'!$D2065,系数辅助表!$C:$G,5,0)/VLOOKUP('5.成本表'!$D2065,系数辅助表!$C:$E,3,0),)</f>
        <v>0.68302023632890696</v>
      </c>
      <c r="F2065" s="36">
        <f>IFERROR(VLOOKUP($B2065,'标准费用表-2024年&amp;2025年优化'!$D:$L,9,0)*VLOOKUP('5.成本表'!$D2065,系数辅助表!$C:$G,5,0)/VLOOKUP($D2065,系数辅助表!$C:$E,3,0),0)</f>
        <v>0</v>
      </c>
      <c r="I2065" s="36">
        <f>VLOOKUP($D2065,系数辅助表!$C:$F,4,0)</f>
        <v>2.2799999999999998</v>
      </c>
      <c r="J2065" s="2" t="s">
        <v>69</v>
      </c>
    </row>
    <row r="2066" spans="2:10" x14ac:dyDescent="0.3">
      <c r="B2066" s="47" t="s">
        <v>187</v>
      </c>
      <c r="C2066" t="str">
        <f>VLOOKUP($B2066,'标准费用表-2024年&amp;2025年优化'!$D:$E,2,0)</f>
        <v>正大食品（徐州）有限公司山东第二分公司</v>
      </c>
      <c r="D2066" t="s">
        <v>70</v>
      </c>
      <c r="E2066" s="36">
        <f>IFERROR(VLOOKUP($B2066,'标准费用表-2024年&amp;2025年优化'!$D:$K,8,0)*VLOOKUP("白条",系数辅助表!$C:$G,5,0)*VLOOKUP('5.成本表'!$D2066,系数辅助表!$C:$G,5,0)/VLOOKUP('5.成本表'!$D2066,系数辅助表!$C:$E,3,0),)</f>
        <v>0.45646222068481701</v>
      </c>
      <c r="F2066" s="36">
        <f>IFERROR(VLOOKUP($B2066,'标准费用表-2024年&amp;2025年优化'!$D:$L,9,0)*VLOOKUP('5.成本表'!$D2066,系数辅助表!$C:$G,5,0)/VLOOKUP($D2066,系数辅助表!$C:$E,3,0),0)</f>
        <v>0</v>
      </c>
      <c r="I2066" s="36">
        <f>VLOOKUP($D2066,系数辅助表!$C:$F,4,0)</f>
        <v>1.5237233215154999</v>
      </c>
      <c r="J2066" s="2" t="s">
        <v>69</v>
      </c>
    </row>
    <row r="2067" spans="2:10" x14ac:dyDescent="0.3">
      <c r="B2067" s="47" t="s">
        <v>187</v>
      </c>
      <c r="C2067" t="str">
        <f>VLOOKUP($B2067,'标准费用表-2024年&amp;2025年优化'!$D:$E,2,0)</f>
        <v>正大食品（徐州）有限公司山东第二分公司</v>
      </c>
      <c r="D2067" t="s">
        <v>71</v>
      </c>
      <c r="E2067" s="36">
        <f>IFERROR(VLOOKUP($B2067,'标准费用表-2024年&amp;2025年优化'!$D:$K,8,0)*VLOOKUP("白条",系数辅助表!$C:$G,5,0)*VLOOKUP('5.成本表'!$D2067,系数辅助表!$C:$G,5,0)/VLOOKUP('5.成本表'!$D2067,系数辅助表!$C:$E,3,0),)</f>
        <v>1.2080640064180499</v>
      </c>
      <c r="F2067" s="36">
        <f>IFERROR(VLOOKUP($B2067,'标准费用表-2024年&amp;2025年优化'!$D:$L,9,0)*VLOOKUP('5.成本表'!$D2067,系数辅助表!$C:$G,5,0)/VLOOKUP($D2067,系数辅助表!$C:$E,3,0),0)</f>
        <v>0</v>
      </c>
      <c r="I2067" s="36">
        <f>VLOOKUP($D2067,系数辅助表!$C:$F,4,0)</f>
        <v>4.0326564106466396</v>
      </c>
      <c r="J2067" s="2" t="s">
        <v>69</v>
      </c>
    </row>
    <row r="2068" spans="2:10" x14ac:dyDescent="0.3">
      <c r="B2068" s="47" t="s">
        <v>187</v>
      </c>
      <c r="C2068" t="str">
        <f>VLOOKUP($B2068,'标准费用表-2024年&amp;2025年优化'!$D:$E,2,0)</f>
        <v>正大食品（徐州）有限公司山东第二分公司</v>
      </c>
      <c r="D2068" t="s">
        <v>72</v>
      </c>
      <c r="E2068" s="36">
        <f>IFERROR(VLOOKUP($B2068,'标准费用表-2024年&amp;2025年优化'!$D:$K,8,0)*VLOOKUP("白条",系数辅助表!$C:$G,5,0)*VLOOKUP('5.成本表'!$D2068,系数辅助表!$C:$G,5,0)/VLOOKUP('5.成本表'!$D2068,系数辅助表!$C:$E,3,0),)</f>
        <v>0.70356475818247999</v>
      </c>
      <c r="F2068" s="36">
        <f>IFERROR(VLOOKUP($B2068,'标准费用表-2024年&amp;2025年优化'!$D:$L,9,0)*VLOOKUP('5.成本表'!$D2068,系数辅助表!$C:$G,5,0)/VLOOKUP($D2068,系数辅助表!$C:$E,3,0),0)</f>
        <v>0</v>
      </c>
      <c r="I2068" s="36">
        <f>VLOOKUP($D2068,系数辅助表!$C:$F,4,0)</f>
        <v>2.34857997367385</v>
      </c>
      <c r="J2068" s="2" t="s">
        <v>69</v>
      </c>
    </row>
    <row r="2069" spans="2:10" x14ac:dyDescent="0.3">
      <c r="B2069" s="47" t="s">
        <v>187</v>
      </c>
      <c r="C2069" t="str">
        <f>VLOOKUP($B2069,'标准费用表-2024年&amp;2025年优化'!$D:$E,2,0)</f>
        <v>正大食品（徐州）有限公司山东第二分公司</v>
      </c>
      <c r="D2069" t="s">
        <v>73</v>
      </c>
      <c r="E2069" s="36">
        <f>IFERROR(VLOOKUP($B2069,'标准费用表-2024年&amp;2025年优化'!$D:$K,8,0)*VLOOKUP("白条",系数辅助表!$C:$G,5,0)*VLOOKUP('5.成本表'!$D2069,系数辅助表!$C:$G,5,0)/VLOOKUP('5.成本表'!$D2069,系数辅助表!$C:$E,3,0),)</f>
        <v>0.42265679747580298</v>
      </c>
      <c r="F2069" s="36">
        <f>IFERROR(VLOOKUP($B2069,'标准费用表-2024年&amp;2025年优化'!$D:$L,9,0)*VLOOKUP('5.成本表'!$D2069,系数辅助表!$C:$G,5,0)/VLOOKUP($D2069,系数辅助表!$C:$E,3,0),0)</f>
        <v>0</v>
      </c>
      <c r="I2069" s="36">
        <f>VLOOKUP($D2069,系数辅助表!$C:$F,4,0)</f>
        <v>1.41087693598112</v>
      </c>
      <c r="J2069" s="2" t="s">
        <v>69</v>
      </c>
    </row>
    <row r="2070" spans="2:10" x14ac:dyDescent="0.3">
      <c r="B2070" s="47" t="s">
        <v>187</v>
      </c>
      <c r="C2070" t="str">
        <f>VLOOKUP($B2070,'标准费用表-2024年&amp;2025年优化'!$D:$E,2,0)</f>
        <v>正大食品（徐州）有限公司山东第二分公司</v>
      </c>
      <c r="D2070" t="s">
        <v>74</v>
      </c>
      <c r="E2070" s="36">
        <f>IFERROR(VLOOKUP($B2070,'标准费用表-2024年&amp;2025年优化'!$D:$K,8,0)*VLOOKUP("白条",系数辅助表!$C:$G,5,0)*VLOOKUP('5.成本表'!$D2070,系数辅助表!$C:$G,5,0)/VLOOKUP('5.成本表'!$D2070,系数辅助表!$C:$E,3,0),)</f>
        <v>0.57071202726090497</v>
      </c>
      <c r="F2070" s="36">
        <f>IFERROR(VLOOKUP($B2070,'标准费用表-2024年&amp;2025年优化'!$D:$L,9,0)*VLOOKUP('5.成本表'!$D2070,系数辅助表!$C:$G,5,0)/VLOOKUP($D2070,系数辅助表!$C:$E,3,0),0)</f>
        <v>0</v>
      </c>
      <c r="I2070" s="36">
        <f>VLOOKUP($D2070,系数辅助表!$C:$F,4,0)</f>
        <v>1.9051022985038799</v>
      </c>
      <c r="J2070" s="2" t="s">
        <v>69</v>
      </c>
    </row>
    <row r="2071" spans="2:10" x14ac:dyDescent="0.3">
      <c r="B2071" s="47" t="s">
        <v>187</v>
      </c>
      <c r="C2071" t="str">
        <f>VLOOKUP($B2071,'标准费用表-2024年&amp;2025年优化'!$D:$E,2,0)</f>
        <v>正大食品（徐州）有限公司山东第二分公司</v>
      </c>
      <c r="D2071" t="s">
        <v>75</v>
      </c>
      <c r="E2071" s="36">
        <f>IFERROR(VLOOKUP($B2071,'标准费用表-2024年&amp;2025年优化'!$D:$K,8,0)*VLOOKUP("白条",系数辅助表!$C:$G,5,0)*VLOOKUP('5.成本表'!$D2071,系数辅助表!$C:$G,5,0)/VLOOKUP('5.成本表'!$D2071,系数辅助表!$C:$E,3,0),)</f>
        <v>0.42734177582579902</v>
      </c>
      <c r="F2071" s="36">
        <f>IFERROR(VLOOKUP($B2071,'标准费用表-2024年&amp;2025年优化'!$D:$L,9,0)*VLOOKUP('5.成本表'!$D2071,系数辅助表!$C:$G,5,0)/VLOOKUP($D2071,系数辅助表!$C:$E,3,0),0)</f>
        <v>0</v>
      </c>
      <c r="I2071" s="36">
        <f>VLOOKUP($D2071,系数辅助表!$C:$F,4,0)</f>
        <v>1.42651593182611</v>
      </c>
      <c r="J2071" s="2" t="s">
        <v>69</v>
      </c>
    </row>
    <row r="2072" spans="2:10" x14ac:dyDescent="0.3">
      <c r="B2072" s="47" t="s">
        <v>187</v>
      </c>
      <c r="C2072" t="str">
        <f>VLOOKUP($B2072,'标准费用表-2024年&amp;2025年优化'!$D:$E,2,0)</f>
        <v>正大食品（徐州）有限公司山东第二分公司</v>
      </c>
      <c r="D2072" t="s">
        <v>76</v>
      </c>
      <c r="E2072" s="36">
        <f>IFERROR(VLOOKUP($B2072,'标准费用表-2024年&amp;2025年优化'!$D:$K,8,0)*VLOOKUP("白条",系数辅助表!$C:$G,5,0)*VLOOKUP('5.成本表'!$D2072,系数辅助表!$C:$G,5,0)/VLOOKUP('5.成本表'!$D2072,系数辅助表!$C:$E,3,0),)</f>
        <v>0.435450142428778</v>
      </c>
      <c r="F2072" s="36">
        <f>IFERROR(VLOOKUP($B2072,'标准费用表-2024年&amp;2025年优化'!$D:$L,9,0)*VLOOKUP('5.成本表'!$D2072,系数辅助表!$C:$G,5,0)/VLOOKUP($D2072,系数辅助表!$C:$E,3,0),0)</f>
        <v>0</v>
      </c>
      <c r="I2072" s="36">
        <f>VLOOKUP($D2072,系数辅助表!$C:$F,4,0)</f>
        <v>1.4535825908670701</v>
      </c>
      <c r="J2072" s="2" t="s">
        <v>69</v>
      </c>
    </row>
    <row r="2073" spans="2:10" x14ac:dyDescent="0.3">
      <c r="B2073" s="47" t="s">
        <v>187</v>
      </c>
      <c r="C2073" t="str">
        <f>VLOOKUP($B2073,'标准费用表-2024年&amp;2025年优化'!$D:$E,2,0)</f>
        <v>正大食品（徐州）有限公司山东第二分公司</v>
      </c>
      <c r="D2073" t="s">
        <v>77</v>
      </c>
      <c r="E2073" s="36">
        <f>IFERROR(VLOOKUP($B2073,'标准费用表-2024年&amp;2025年优化'!$D:$K,8,0)*VLOOKUP("白条",系数辅助表!$C:$G,5,0)*VLOOKUP('5.成本表'!$D2073,系数辅助表!$C:$G,5,0)/VLOOKUP('5.成本表'!$D2073,系数辅助表!$C:$E,3,0),)</f>
        <v>0.43169219573252199</v>
      </c>
      <c r="F2073" s="36">
        <f>IFERROR(VLOOKUP($B2073,'标准费用表-2024年&amp;2025年优化'!$D:$L,9,0)*VLOOKUP('5.成本表'!$D2073,系数辅助表!$C:$G,5,0)/VLOOKUP($D2073,系数辅助表!$C:$E,3,0),0)</f>
        <v>0</v>
      </c>
      <c r="I2073" s="36">
        <f>VLOOKUP($D2073,系数辅助表!$C:$F,4,0)</f>
        <v>1.4410381331603499</v>
      </c>
      <c r="J2073" s="2" t="s">
        <v>69</v>
      </c>
    </row>
    <row r="2074" spans="2:10" x14ac:dyDescent="0.3">
      <c r="B2074" s="47" t="s">
        <v>187</v>
      </c>
      <c r="C2074" t="str">
        <f>VLOOKUP($B2074,'标准费用表-2024年&amp;2025年优化'!$D:$E,2,0)</f>
        <v>正大食品（徐州）有限公司山东第二分公司</v>
      </c>
      <c r="D2074" t="s">
        <v>78</v>
      </c>
      <c r="E2074" s="36">
        <f>IFERROR(VLOOKUP($B2074,'标准费用表-2024年&amp;2025年优化'!$D:$K,8,0)*VLOOKUP("白条",系数辅助表!$C:$G,5,0)*VLOOKUP('5.成本表'!$D2074,系数辅助表!$C:$G,5,0)/VLOOKUP('5.成本表'!$D2074,系数辅助表!$C:$E,3,0),)</f>
        <v>0.37021872563677</v>
      </c>
      <c r="F2074" s="36">
        <f>IFERROR(VLOOKUP($B2074,'标准费用表-2024年&amp;2025年优化'!$D:$L,9,0)*VLOOKUP('5.成本表'!$D2074,系数辅助表!$C:$G,5,0)/VLOOKUP($D2074,系数辅助表!$C:$E,3,0),0)</f>
        <v>0</v>
      </c>
      <c r="I2074" s="36">
        <f>VLOOKUP($D2074,系数辅助表!$C:$F,4,0)</f>
        <v>1.2358326291892801</v>
      </c>
      <c r="J2074" s="2" t="s">
        <v>69</v>
      </c>
    </row>
    <row r="2075" spans="2:10" x14ac:dyDescent="0.3">
      <c r="B2075" s="47" t="s">
        <v>187</v>
      </c>
      <c r="C2075" t="str">
        <f>VLOOKUP($B2075,'标准费用表-2024年&amp;2025年优化'!$D:$E,2,0)</f>
        <v>正大食品（徐州）有限公司山东第二分公司</v>
      </c>
      <c r="D2075" t="s">
        <v>79</v>
      </c>
      <c r="E2075" s="36">
        <f>IFERROR(VLOOKUP($B2075,'标准费用表-2024年&amp;2025年优化'!$D:$K,8,0)*VLOOKUP("白条",系数辅助表!$C:$G,5,0)*VLOOKUP('5.成本表'!$D2075,系数辅助表!$C:$G,5,0)/VLOOKUP('5.成本表'!$D2075,系数辅助表!$C:$E,3,0),)</f>
        <v>0.25859416335626401</v>
      </c>
      <c r="F2075" s="36">
        <f>IFERROR(VLOOKUP($B2075,'标准费用表-2024年&amp;2025年优化'!$D:$L,9,0)*VLOOKUP('5.成本表'!$D2075,系数辅助表!$C:$G,5,0)/VLOOKUP($D2075,系数辅助表!$C:$E,3,0),0)</f>
        <v>0</v>
      </c>
      <c r="I2075" s="36">
        <f>VLOOKUP($D2075,系数辅助表!$C:$F,4,0)</f>
        <v>0.86321701919291904</v>
      </c>
      <c r="J2075" s="2" t="s">
        <v>69</v>
      </c>
    </row>
    <row r="2076" spans="2:10" x14ac:dyDescent="0.3">
      <c r="B2076" s="47" t="s">
        <v>187</v>
      </c>
      <c r="C2076" t="str">
        <f>VLOOKUP($B2076,'标准费用表-2024年&amp;2025年优化'!$D:$E,2,0)</f>
        <v>正大食品（徐州）有限公司山东第二分公司</v>
      </c>
      <c r="D2076" t="s">
        <v>80</v>
      </c>
      <c r="E2076" s="36">
        <f>IFERROR(VLOOKUP($B2076,'标准费用表-2024年&amp;2025年优化'!$D:$K,8,0)*VLOOKUP("白条",系数辅助表!$C:$G,5,0)*VLOOKUP('5.成本表'!$D2076,系数辅助表!$C:$G,5,0)/VLOOKUP('5.成本表'!$D2076,系数辅助表!$C:$E,3,0),)</f>
        <v>0.23871974512989799</v>
      </c>
      <c r="F2076" s="36">
        <f>IFERROR(VLOOKUP($B2076,'标准费用表-2024年&amp;2025年优化'!$D:$L,9,0)*VLOOKUP('5.成本表'!$D2076,系数辅助表!$C:$G,5,0)/VLOOKUP($D2076,系数辅助表!$C:$E,3,0),0)</f>
        <v>0</v>
      </c>
      <c r="I2076" s="36">
        <f>VLOOKUP($D2076,系数辅助表!$C:$F,4,0)</f>
        <v>0.796873928394225</v>
      </c>
      <c r="J2076" s="2" t="s">
        <v>69</v>
      </c>
    </row>
    <row r="2077" spans="2:10" x14ac:dyDescent="0.3">
      <c r="B2077" s="47" t="s">
        <v>187</v>
      </c>
      <c r="C2077" t="str">
        <f>VLOOKUP($B2077,'标准费用表-2024年&amp;2025年优化'!$D:$E,2,0)</f>
        <v>正大食品（徐州）有限公司山东第二分公司</v>
      </c>
      <c r="D2077" t="s">
        <v>81</v>
      </c>
      <c r="E2077" s="36">
        <f>IFERROR(VLOOKUP($B2077,'标准费用表-2024年&amp;2025年优化'!$D:$K,8,0)*VLOOKUP("白条",系数辅助表!$C:$G,5,0)*VLOOKUP('5.成本表'!$D2077,系数辅助表!$C:$G,5,0)/VLOOKUP('5.成本表'!$D2077,系数辅助表!$C:$E,3,0),)</f>
        <v>0.32917043189876999</v>
      </c>
      <c r="F2077" s="36">
        <f>IFERROR(VLOOKUP($B2077,'标准费用表-2024年&amp;2025年优化'!$D:$L,9,0)*VLOOKUP('5.成本表'!$D2077,系数辅助表!$C:$G,5,0)/VLOOKUP($D2077,系数辅助表!$C:$E,3,0),0)</f>
        <v>0</v>
      </c>
      <c r="I2077" s="36">
        <f>VLOOKUP($D2077,系数辅助表!$C:$F,4,0)</f>
        <v>1.09880870991909</v>
      </c>
      <c r="J2077" s="2" t="s">
        <v>69</v>
      </c>
    </row>
    <row r="2078" spans="2:10" x14ac:dyDescent="0.3">
      <c r="B2078" s="47" t="s">
        <v>187</v>
      </c>
      <c r="C2078" t="str">
        <f>VLOOKUP($B2078,'标准费用表-2024年&amp;2025年优化'!$D:$E,2,0)</f>
        <v>正大食品（徐州）有限公司山东第二分公司</v>
      </c>
      <c r="D2078" t="s">
        <v>82</v>
      </c>
      <c r="E2078" s="36">
        <f>IFERROR(VLOOKUP($B2078,'标准费用表-2024年&amp;2025年优化'!$D:$K,8,0)*VLOOKUP("白条",系数辅助表!$C:$G,5,0)*VLOOKUP('5.成本表'!$D2078,系数辅助表!$C:$G,5,0)/VLOOKUP('5.成本表'!$D2078,系数辅助表!$C:$E,3,0),)</f>
        <v>0.29992115732411501</v>
      </c>
      <c r="F2078" s="36">
        <f>IFERROR(VLOOKUP($B2078,'标准费用表-2024年&amp;2025年优化'!$D:$L,9,0)*VLOOKUP('5.成本表'!$D2078,系数辅助表!$C:$G,5,0)/VLOOKUP($D2078,系数辅助表!$C:$E,3,0),0)</f>
        <v>0</v>
      </c>
      <c r="I2078" s="36">
        <f>VLOOKUP($D2078,系数辅助表!$C:$F,4,0)</f>
        <v>1.0011712718416299</v>
      </c>
      <c r="J2078" s="2" t="s">
        <v>69</v>
      </c>
    </row>
    <row r="2079" spans="2:10" x14ac:dyDescent="0.3">
      <c r="B2079" s="47" t="s">
        <v>187</v>
      </c>
      <c r="C2079" t="str">
        <f>VLOOKUP($B2079,'标准费用表-2024年&amp;2025年优化'!$D:$E,2,0)</f>
        <v>正大食品（徐州）有限公司山东第二分公司</v>
      </c>
      <c r="D2079" t="s">
        <v>83</v>
      </c>
      <c r="E2079" s="36">
        <f>IFERROR(VLOOKUP($B2079,'标准费用表-2024年&amp;2025年优化'!$D:$K,8,0)*VLOOKUP("白条",系数辅助表!$C:$G,5,0)*VLOOKUP('5.成本表'!$D2079,系数辅助表!$C:$G,5,0)/VLOOKUP('5.成本表'!$D2079,系数辅助表!$C:$E,3,0),)</f>
        <v>0.26971892963324601</v>
      </c>
      <c r="F2079" s="36">
        <f>IFERROR(VLOOKUP($B2079,'标准费用表-2024年&amp;2025年优化'!$D:$L,9,0)*VLOOKUP('5.成本表'!$D2079,系数辅助表!$C:$G,5,0)/VLOOKUP($D2079,系数辅助表!$C:$E,3,0),0)</f>
        <v>0</v>
      </c>
      <c r="I2079" s="36">
        <f>VLOOKUP($D2079,系数辅助表!$C:$F,4,0)</f>
        <v>0.90035276680685095</v>
      </c>
      <c r="J2079" s="2" t="s">
        <v>69</v>
      </c>
    </row>
    <row r="2080" spans="2:10" x14ac:dyDescent="0.3">
      <c r="B2080" s="47" t="s">
        <v>187</v>
      </c>
      <c r="C2080" t="str">
        <f>VLOOKUP($B2080,'标准费用表-2024年&amp;2025年优化'!$D:$E,2,0)</f>
        <v>正大食品（徐州）有限公司山东第二分公司</v>
      </c>
      <c r="D2080" t="s">
        <v>84</v>
      </c>
      <c r="E2080" s="36">
        <f>IFERROR(VLOOKUP($B2080,'标准费用表-2024年&amp;2025年优化'!$D:$K,8,0)*VLOOKUP("白条",系数辅助表!$C:$G,5,0)*VLOOKUP('5.成本表'!$D2080,系数辅助表!$C:$G,5,0)/VLOOKUP('5.成本表'!$D2080,系数辅助表!$C:$E,3,0),)</f>
        <v>0.27091022654797198</v>
      </c>
      <c r="F2080" s="36">
        <f>IFERROR(VLOOKUP($B2080,'标准费用表-2024年&amp;2025年优化'!$D:$L,9,0)*VLOOKUP('5.成本表'!$D2080,系数辅助表!$C:$G,5,0)/VLOOKUP($D2080,系数辅助表!$C:$E,3,0),0)</f>
        <v>0</v>
      </c>
      <c r="I2080" s="36">
        <f>VLOOKUP($D2080,系数辅助表!$C:$F,4,0)</f>
        <v>0.90432945273957599</v>
      </c>
      <c r="J2080" s="2" t="s">
        <v>69</v>
      </c>
    </row>
    <row r="2081" spans="2:10" x14ac:dyDescent="0.3">
      <c r="B2081" s="47" t="s">
        <v>187</v>
      </c>
      <c r="C2081" t="str">
        <f>VLOOKUP($B2081,'标准费用表-2024年&amp;2025年优化'!$D:$E,2,0)</f>
        <v>正大食品（徐州）有限公司山东第二分公司</v>
      </c>
      <c r="D2081" t="s">
        <v>85</v>
      </c>
      <c r="E2081" s="36">
        <f>IFERROR(VLOOKUP($B2081,'标准费用表-2024年&amp;2025年优化'!$D:$K,8,0)*VLOOKUP("白条",系数辅助表!$C:$G,5,0)*VLOOKUP('5.成本表'!$D2081,系数辅助表!$C:$G,5,0)/VLOOKUP('5.成本表'!$D2081,系数辅助表!$C:$E,3,0),)</f>
        <v>0.336829408536582</v>
      </c>
      <c r="F2081" s="36">
        <f>IFERROR(VLOOKUP($B2081,'标准费用表-2024年&amp;2025年优化'!$D:$L,9,0)*VLOOKUP('5.成本表'!$D2081,系数辅助表!$C:$G,5,0)/VLOOKUP($D2081,系数辅助表!$C:$E,3,0),0)</f>
        <v>0</v>
      </c>
      <c r="I2081" s="36">
        <f>VLOOKUP($D2081,系数辅助表!$C:$F,4,0)</f>
        <v>1.12437525363977</v>
      </c>
      <c r="J2081" s="2" t="s">
        <v>69</v>
      </c>
    </row>
    <row r="2082" spans="2:10" x14ac:dyDescent="0.3">
      <c r="B2082" s="47" t="s">
        <v>187</v>
      </c>
      <c r="C2082" t="str">
        <f>VLOOKUP($B2082,'标准费用表-2024年&amp;2025年优化'!$D:$E,2,0)</f>
        <v>正大食品（徐州）有限公司山东第二分公司</v>
      </c>
      <c r="D2082" t="s">
        <v>86</v>
      </c>
      <c r="E2082" s="36">
        <f>IFERROR(VLOOKUP($B2082,'标准费用表-2024年&amp;2025年优化'!$D:$K,8,0)*VLOOKUP("白条",系数辅助表!$C:$G,5,0)*VLOOKUP('5.成本表'!$D2082,系数辅助表!$C:$G,5,0)/VLOOKUP('5.成本表'!$D2082,系数辅助表!$C:$E,3,0),)</f>
        <v>0.29452925527069701</v>
      </c>
      <c r="F2082" s="36">
        <f>IFERROR(VLOOKUP($B2082,'标准费用表-2024年&amp;2025年优化'!$D:$L,9,0)*VLOOKUP('5.成本表'!$D2082,系数辅助表!$C:$G,5,0)/VLOOKUP($D2082,系数辅助表!$C:$E,3,0),0)</f>
        <v>0</v>
      </c>
      <c r="I2082" s="36">
        <f>VLOOKUP($D2082,系数辅助表!$C:$F,4,0)</f>
        <v>0.98317248347795105</v>
      </c>
      <c r="J2082" s="2" t="s">
        <v>69</v>
      </c>
    </row>
    <row r="2083" spans="2:10" x14ac:dyDescent="0.3">
      <c r="B2083" s="47" t="s">
        <v>187</v>
      </c>
      <c r="C2083" t="str">
        <f>VLOOKUP($B2083,'标准费用表-2024年&amp;2025年优化'!$D:$E,2,0)</f>
        <v>正大食品（徐州）有限公司山东第二分公司</v>
      </c>
      <c r="D2083" t="s">
        <v>87</v>
      </c>
      <c r="E2083" s="36">
        <f>IFERROR(VLOOKUP($B2083,'标准费用表-2024年&amp;2025年优化'!$D:$K,8,0)*VLOOKUP("白条",系数辅助表!$C:$G,5,0)*VLOOKUP('5.成本表'!$D2083,系数辅助表!$C:$G,5,0)/VLOOKUP('5.成本表'!$D2083,系数辅助表!$C:$E,3,0),)</f>
        <v>0.21332540717185799</v>
      </c>
      <c r="F2083" s="36">
        <f>IFERROR(VLOOKUP($B2083,'标准费用表-2024年&amp;2025年优化'!$D:$L,9,0)*VLOOKUP('5.成本表'!$D2083,系数辅助表!$C:$G,5,0)/VLOOKUP($D2083,系数辅助表!$C:$E,3,0),0)</f>
        <v>0</v>
      </c>
      <c r="I2083" s="36">
        <f>VLOOKUP($D2083,系数辅助表!$C:$F,4,0)</f>
        <v>0.71210471151782795</v>
      </c>
      <c r="J2083" s="2" t="s">
        <v>69</v>
      </c>
    </row>
    <row r="2084" spans="2:10" x14ac:dyDescent="0.3">
      <c r="B2084" s="47" t="s">
        <v>187</v>
      </c>
      <c r="C2084" t="str">
        <f>VLOOKUP($B2084,'标准费用表-2024年&amp;2025年优化'!$D:$E,2,0)</f>
        <v>正大食品（徐州）有限公司山东第二分公司</v>
      </c>
      <c r="D2084" t="s">
        <v>88</v>
      </c>
      <c r="E2084" s="36">
        <f>IFERROR(VLOOKUP($B2084,'标准费用表-2024年&amp;2025年优化'!$D:$K,8,0)*VLOOKUP("白条",系数辅助表!$C:$G,5,0)*VLOOKUP('5.成本表'!$D2084,系数辅助表!$C:$G,5,0)/VLOOKUP('5.成本表'!$D2084,系数辅助表!$C:$E,3,0),)</f>
        <v>0.80572158730049204</v>
      </c>
      <c r="F2084" s="36">
        <f>IFERROR(VLOOKUP($B2084,'标准费用表-2024年&amp;2025年优化'!$D:$L,9,0)*VLOOKUP('5.成本表'!$D2084,系数辅助表!$C:$G,5,0)/VLOOKUP($D2084,系数辅助表!$C:$E,3,0),0)</f>
        <v>0</v>
      </c>
      <c r="I2084" s="36">
        <f>VLOOKUP($D2084,系数辅助表!$C:$F,4,0)</f>
        <v>2.6895912029178799</v>
      </c>
      <c r="J2084" s="2" t="s">
        <v>69</v>
      </c>
    </row>
    <row r="2085" spans="2:10" x14ac:dyDescent="0.3">
      <c r="B2085" s="47" t="s">
        <v>187</v>
      </c>
      <c r="C2085" t="str">
        <f>VLOOKUP($B2085,'标准费用表-2024年&amp;2025年优化'!$D:$E,2,0)</f>
        <v>正大食品（徐州）有限公司山东第二分公司</v>
      </c>
      <c r="D2085" t="s">
        <v>89</v>
      </c>
      <c r="E2085" s="36">
        <f>IFERROR(VLOOKUP($B2085,'标准费用表-2024年&amp;2025年优化'!$D:$K,8,0)*VLOOKUP("白条",系数辅助表!$C:$G,5,0)*VLOOKUP('5.成本表'!$D2085,系数辅助表!$C:$G,5,0)/VLOOKUP('5.成本表'!$D2085,系数辅助表!$C:$E,3,0),)</f>
        <v>0.34653669017250599</v>
      </c>
      <c r="F2085" s="36">
        <f>IFERROR(VLOOKUP($B2085,'标准费用表-2024年&amp;2025年优化'!$D:$L,9,0)*VLOOKUP('5.成本表'!$D2085,系数辅助表!$C:$G,5,0)/VLOOKUP($D2085,系数辅助表!$C:$E,3,0),0)</f>
        <v>0</v>
      </c>
      <c r="I2085" s="36">
        <f>VLOOKUP($D2085,系数辅助表!$C:$F,4,0)</f>
        <v>1.1567792747107399</v>
      </c>
      <c r="J2085" s="2" t="s">
        <v>69</v>
      </c>
    </row>
    <row r="2086" spans="2:10" x14ac:dyDescent="0.3">
      <c r="B2086" s="47" t="s">
        <v>187</v>
      </c>
      <c r="C2086" t="str">
        <f>VLOOKUP($B2086,'标准费用表-2024年&amp;2025年优化'!$D:$E,2,0)</f>
        <v>正大食品（徐州）有限公司山东第二分公司</v>
      </c>
      <c r="D2086" t="s">
        <v>90</v>
      </c>
      <c r="E2086" s="36">
        <f>IFERROR(VLOOKUP($B2086,'标准费用表-2024年&amp;2025年优化'!$D:$K,8,0)*VLOOKUP("白条",系数辅助表!$C:$G,5,0)*VLOOKUP('5.成本表'!$D2086,系数辅助表!$C:$G,5,0)/VLOOKUP('5.成本表'!$D2086,系数辅助表!$C:$E,3,0),)</f>
        <v>0.21897940126104201</v>
      </c>
      <c r="F2086" s="36">
        <f>IFERROR(VLOOKUP($B2086,'标准费用表-2024年&amp;2025年优化'!$D:$L,9,0)*VLOOKUP('5.成本表'!$D2086,系数辅助表!$C:$G,5,0)/VLOOKUP($D2086,系数辅助表!$C:$E,3,0),0)</f>
        <v>0</v>
      </c>
      <c r="I2086" s="36">
        <f>VLOOKUP($D2086,系数辅助表!$C:$F,4,0)</f>
        <v>0.73097839320056501</v>
      </c>
      <c r="J2086" s="2" t="s">
        <v>69</v>
      </c>
    </row>
    <row r="2087" spans="2:10" x14ac:dyDescent="0.3">
      <c r="B2087" s="47" t="s">
        <v>187</v>
      </c>
      <c r="C2087" t="str">
        <f>VLOOKUP($B2087,'标准费用表-2024年&amp;2025年优化'!$D:$E,2,0)</f>
        <v>正大食品（徐州）有限公司山东第二分公司</v>
      </c>
      <c r="D2087" t="s">
        <v>91</v>
      </c>
      <c r="E2087" s="36">
        <f>IFERROR(VLOOKUP($B2087,'标准费用表-2024年&amp;2025年优化'!$D:$K,8,0)*VLOOKUP("白条",系数辅助表!$C:$G,5,0)*VLOOKUP('5.成本表'!$D2087,系数辅助表!$C:$G,5,0)/VLOOKUP('5.成本表'!$D2087,系数辅助表!$C:$E,3,0),)</f>
        <v>0.18156792795873899</v>
      </c>
      <c r="F2087" s="36">
        <f>IFERROR(VLOOKUP($B2087,'标准费用表-2024年&amp;2025年优化'!$D:$L,9,0)*VLOOKUP('5.成本表'!$D2087,系数辅助表!$C:$G,5,0)/VLOOKUP($D2087,系数辅助表!$C:$E,3,0),0)</f>
        <v>0</v>
      </c>
      <c r="I2087" s="36">
        <f>VLOOKUP($D2087,系数辅助表!$C:$F,4,0)</f>
        <v>0.60609459826688905</v>
      </c>
      <c r="J2087" s="2" t="s">
        <v>69</v>
      </c>
    </row>
    <row r="2088" spans="2:10" x14ac:dyDescent="0.3">
      <c r="B2088" s="47" t="s">
        <v>187</v>
      </c>
      <c r="C2088" t="str">
        <f>VLOOKUP($B2088,'标准费用表-2024年&amp;2025年优化'!$D:$E,2,0)</f>
        <v>正大食品（徐州）有限公司山东第二分公司</v>
      </c>
      <c r="D2088" t="s">
        <v>92</v>
      </c>
      <c r="E2088" s="36">
        <f>IFERROR(VLOOKUP($B2088,'标准费用表-2024年&amp;2025年优化'!$D:$K,8,0)*VLOOKUP("白条",系数辅助表!$C:$G,5,0)*VLOOKUP('5.成本表'!$D2088,系数辅助表!$C:$G,5,0)/VLOOKUP('5.成本表'!$D2088,系数辅助表!$C:$E,3,0),)</f>
        <v>7.2064903121771606E-2</v>
      </c>
      <c r="F2088" s="36">
        <f>IFERROR(VLOOKUP($B2088,'标准费用表-2024年&amp;2025年优化'!$D:$L,9,0)*VLOOKUP('5.成本表'!$D2088,系数辅助表!$C:$G,5,0)/VLOOKUP($D2088,系数辅助表!$C:$E,3,0),0)</f>
        <v>0</v>
      </c>
      <c r="I2088" s="36">
        <f>VLOOKUP($D2088,系数辅助表!$C:$F,4,0)</f>
        <v>0.24056092393508099</v>
      </c>
      <c r="J2088" s="2" t="s">
        <v>69</v>
      </c>
    </row>
    <row r="2089" spans="2:10" x14ac:dyDescent="0.3">
      <c r="B2089" s="47" t="s">
        <v>187</v>
      </c>
      <c r="C2089" t="str">
        <f>VLOOKUP($B2089,'标准费用表-2024年&amp;2025年优化'!$D:$E,2,0)</f>
        <v>正大食品（徐州）有限公司山东第二分公司</v>
      </c>
      <c r="D2089" t="s">
        <v>93</v>
      </c>
      <c r="E2089" s="36">
        <f>E2065</f>
        <v>0.68302023632890696</v>
      </c>
      <c r="F2089" s="36">
        <f>F2065</f>
        <v>0</v>
      </c>
      <c r="G2089">
        <v>0.2</v>
      </c>
      <c r="H2089">
        <v>0.3</v>
      </c>
      <c r="J2089" s="2" t="s">
        <v>69</v>
      </c>
    </row>
    <row r="2090" spans="2:10" x14ac:dyDescent="0.3">
      <c r="B2090" s="47" t="s">
        <v>187</v>
      </c>
      <c r="C2090" t="str">
        <f>VLOOKUP($B2090,'标准费用表-2024年&amp;2025年优化'!$D:$E,2,0)</f>
        <v>正大食品（徐州）有限公司山东第二分公司</v>
      </c>
      <c r="D2090" t="s">
        <v>96</v>
      </c>
      <c r="E2090" s="36">
        <f t="shared" ref="E2090:F2090" si="904">E2066</f>
        <v>0.45646222068481701</v>
      </c>
      <c r="F2090" s="36">
        <f t="shared" si="904"/>
        <v>0</v>
      </c>
      <c r="G2090">
        <v>0.2</v>
      </c>
      <c r="H2090">
        <v>0.3</v>
      </c>
      <c r="J2090" s="2" t="s">
        <v>69</v>
      </c>
    </row>
    <row r="2091" spans="2:10" x14ac:dyDescent="0.3">
      <c r="B2091" s="47" t="s">
        <v>187</v>
      </c>
      <c r="C2091" t="str">
        <f>VLOOKUP($B2091,'标准费用表-2024年&amp;2025年优化'!$D:$E,2,0)</f>
        <v>正大食品（徐州）有限公司山东第二分公司</v>
      </c>
      <c r="D2091" t="s">
        <v>97</v>
      </c>
      <c r="E2091" s="36">
        <f t="shared" ref="E2091:F2091" si="905">E2067</f>
        <v>1.2080640064180499</v>
      </c>
      <c r="F2091" s="36">
        <f t="shared" si="905"/>
        <v>0</v>
      </c>
      <c r="G2091">
        <v>0.2</v>
      </c>
      <c r="H2091">
        <v>0.3</v>
      </c>
      <c r="J2091" s="2" t="s">
        <v>69</v>
      </c>
    </row>
    <row r="2092" spans="2:10" x14ac:dyDescent="0.3">
      <c r="B2092" s="47" t="s">
        <v>187</v>
      </c>
      <c r="C2092" t="str">
        <f>VLOOKUP($B2092,'标准费用表-2024年&amp;2025年优化'!$D:$E,2,0)</f>
        <v>正大食品（徐州）有限公司山东第二分公司</v>
      </c>
      <c r="D2092" t="s">
        <v>98</v>
      </c>
      <c r="E2092" s="36">
        <f t="shared" ref="E2092:F2092" si="906">E2068</f>
        <v>0.70356475818247999</v>
      </c>
      <c r="F2092" s="36">
        <f t="shared" si="906"/>
        <v>0</v>
      </c>
      <c r="G2092">
        <v>0.2</v>
      </c>
      <c r="H2092">
        <v>0.3</v>
      </c>
      <c r="J2092" s="2" t="s">
        <v>69</v>
      </c>
    </row>
    <row r="2093" spans="2:10" x14ac:dyDescent="0.3">
      <c r="B2093" s="47" t="s">
        <v>187</v>
      </c>
      <c r="C2093" t="str">
        <f>VLOOKUP($B2093,'标准费用表-2024年&amp;2025年优化'!$D:$E,2,0)</f>
        <v>正大食品（徐州）有限公司山东第二分公司</v>
      </c>
      <c r="D2093" t="s">
        <v>99</v>
      </c>
      <c r="E2093" s="36">
        <f t="shared" ref="E2093:F2093" si="907">E2069</f>
        <v>0.42265679747580298</v>
      </c>
      <c r="F2093" s="36">
        <f t="shared" si="907"/>
        <v>0</v>
      </c>
      <c r="G2093">
        <v>0.2</v>
      </c>
      <c r="H2093">
        <v>0.3</v>
      </c>
      <c r="J2093" s="2" t="s">
        <v>69</v>
      </c>
    </row>
    <row r="2094" spans="2:10" x14ac:dyDescent="0.3">
      <c r="B2094" s="47" t="s">
        <v>187</v>
      </c>
      <c r="C2094" t="str">
        <f>VLOOKUP($B2094,'标准费用表-2024年&amp;2025年优化'!$D:$E,2,0)</f>
        <v>正大食品（徐州）有限公司山东第二分公司</v>
      </c>
      <c r="D2094" t="s">
        <v>100</v>
      </c>
      <c r="E2094" s="36">
        <f t="shared" ref="E2094:F2094" si="908">E2070</f>
        <v>0.57071202726090497</v>
      </c>
      <c r="F2094" s="36">
        <f t="shared" si="908"/>
        <v>0</v>
      </c>
      <c r="G2094">
        <v>0.2</v>
      </c>
      <c r="H2094">
        <v>0.3</v>
      </c>
      <c r="J2094" s="2" t="s">
        <v>69</v>
      </c>
    </row>
    <row r="2095" spans="2:10" x14ac:dyDescent="0.3">
      <c r="B2095" s="47" t="s">
        <v>187</v>
      </c>
      <c r="C2095" t="str">
        <f>VLOOKUP($B2095,'标准费用表-2024年&amp;2025年优化'!$D:$E,2,0)</f>
        <v>正大食品（徐州）有限公司山东第二分公司</v>
      </c>
      <c r="D2095" t="s">
        <v>101</v>
      </c>
      <c r="E2095" s="36">
        <f t="shared" ref="E2095:F2095" si="909">E2071</f>
        <v>0.42734177582579902</v>
      </c>
      <c r="F2095" s="36">
        <f t="shared" si="909"/>
        <v>0</v>
      </c>
      <c r="G2095">
        <v>0.2</v>
      </c>
      <c r="H2095">
        <v>0.3</v>
      </c>
      <c r="J2095" s="2" t="s">
        <v>69</v>
      </c>
    </row>
    <row r="2096" spans="2:10" x14ac:dyDescent="0.3">
      <c r="B2096" s="47" t="s">
        <v>187</v>
      </c>
      <c r="C2096" t="str">
        <f>VLOOKUP($B2096,'标准费用表-2024年&amp;2025年优化'!$D:$E,2,0)</f>
        <v>正大食品（徐州）有限公司山东第二分公司</v>
      </c>
      <c r="D2096" t="s">
        <v>102</v>
      </c>
      <c r="E2096" s="36">
        <f t="shared" ref="E2096:F2096" si="910">E2072</f>
        <v>0.435450142428778</v>
      </c>
      <c r="F2096" s="36">
        <f t="shared" si="910"/>
        <v>0</v>
      </c>
      <c r="G2096">
        <v>0.2</v>
      </c>
      <c r="H2096">
        <v>0.3</v>
      </c>
      <c r="J2096" s="2" t="s">
        <v>69</v>
      </c>
    </row>
    <row r="2097" spans="2:10" x14ac:dyDescent="0.3">
      <c r="B2097" s="47" t="s">
        <v>187</v>
      </c>
      <c r="C2097" t="str">
        <f>VLOOKUP($B2097,'标准费用表-2024年&amp;2025年优化'!$D:$E,2,0)</f>
        <v>正大食品（徐州）有限公司山东第二分公司</v>
      </c>
      <c r="D2097" t="s">
        <v>103</v>
      </c>
      <c r="E2097" s="36">
        <f t="shared" ref="E2097:F2097" si="911">E2073</f>
        <v>0.43169219573252199</v>
      </c>
      <c r="F2097" s="36">
        <f t="shared" si="911"/>
        <v>0</v>
      </c>
      <c r="G2097">
        <v>0.2</v>
      </c>
      <c r="H2097">
        <v>0.3</v>
      </c>
      <c r="J2097" s="2" t="s">
        <v>69</v>
      </c>
    </row>
    <row r="2098" spans="2:10" x14ac:dyDescent="0.3">
      <c r="B2098" s="47" t="s">
        <v>187</v>
      </c>
      <c r="C2098" t="str">
        <f>VLOOKUP($B2098,'标准费用表-2024年&amp;2025年优化'!$D:$E,2,0)</f>
        <v>正大食品（徐州）有限公司山东第二分公司</v>
      </c>
      <c r="D2098" t="s">
        <v>104</v>
      </c>
      <c r="E2098" s="36">
        <f t="shared" ref="E2098:F2098" si="912">E2074</f>
        <v>0.37021872563677</v>
      </c>
      <c r="F2098" s="36">
        <f t="shared" si="912"/>
        <v>0</v>
      </c>
      <c r="G2098">
        <v>0.2</v>
      </c>
      <c r="H2098">
        <v>0.3</v>
      </c>
      <c r="J2098" s="2" t="s">
        <v>69</v>
      </c>
    </row>
    <row r="2099" spans="2:10" x14ac:dyDescent="0.3">
      <c r="B2099" s="47" t="s">
        <v>187</v>
      </c>
      <c r="C2099" t="str">
        <f>VLOOKUP($B2099,'标准费用表-2024年&amp;2025年优化'!$D:$E,2,0)</f>
        <v>正大食品（徐州）有限公司山东第二分公司</v>
      </c>
      <c r="D2099" t="s">
        <v>105</v>
      </c>
      <c r="E2099" s="36">
        <f t="shared" ref="E2099:F2099" si="913">E2075</f>
        <v>0.25859416335626401</v>
      </c>
      <c r="F2099" s="36">
        <f t="shared" si="913"/>
        <v>0</v>
      </c>
      <c r="G2099">
        <v>0.2</v>
      </c>
      <c r="H2099">
        <v>0.3</v>
      </c>
      <c r="J2099" s="2" t="s">
        <v>69</v>
      </c>
    </row>
    <row r="2100" spans="2:10" x14ac:dyDescent="0.3">
      <c r="B2100" s="47" t="s">
        <v>187</v>
      </c>
      <c r="C2100" t="str">
        <f>VLOOKUP($B2100,'标准费用表-2024年&amp;2025年优化'!$D:$E,2,0)</f>
        <v>正大食品（徐州）有限公司山东第二分公司</v>
      </c>
      <c r="D2100" t="s">
        <v>106</v>
      </c>
      <c r="E2100" s="36">
        <f t="shared" ref="E2100:F2100" si="914">E2076</f>
        <v>0.23871974512989799</v>
      </c>
      <c r="F2100" s="36">
        <f t="shared" si="914"/>
        <v>0</v>
      </c>
      <c r="G2100">
        <v>0.2</v>
      </c>
      <c r="H2100">
        <v>0.3</v>
      </c>
      <c r="J2100" s="2" t="s">
        <v>69</v>
      </c>
    </row>
    <row r="2101" spans="2:10" x14ac:dyDescent="0.3">
      <c r="B2101" s="47" t="s">
        <v>187</v>
      </c>
      <c r="C2101" t="str">
        <f>VLOOKUP($B2101,'标准费用表-2024年&amp;2025年优化'!$D:$E,2,0)</f>
        <v>正大食品（徐州）有限公司山东第二分公司</v>
      </c>
      <c r="D2101" t="s">
        <v>107</v>
      </c>
      <c r="E2101" s="36">
        <f t="shared" ref="E2101:F2101" si="915">E2077</f>
        <v>0.32917043189876999</v>
      </c>
      <c r="F2101" s="36">
        <f t="shared" si="915"/>
        <v>0</v>
      </c>
      <c r="G2101">
        <v>0.2</v>
      </c>
      <c r="H2101">
        <v>0.3</v>
      </c>
      <c r="J2101" s="2" t="s">
        <v>69</v>
      </c>
    </row>
    <row r="2102" spans="2:10" x14ac:dyDescent="0.3">
      <c r="B2102" s="47" t="s">
        <v>187</v>
      </c>
      <c r="C2102" t="str">
        <f>VLOOKUP($B2102,'标准费用表-2024年&amp;2025年优化'!$D:$E,2,0)</f>
        <v>正大食品（徐州）有限公司山东第二分公司</v>
      </c>
      <c r="D2102" t="s">
        <v>108</v>
      </c>
      <c r="E2102" s="36">
        <f t="shared" ref="E2102:F2102" si="916">E2078</f>
        <v>0.29992115732411501</v>
      </c>
      <c r="F2102" s="36">
        <f t="shared" si="916"/>
        <v>0</v>
      </c>
      <c r="G2102">
        <v>0.2</v>
      </c>
      <c r="H2102">
        <v>0.3</v>
      </c>
      <c r="J2102" s="2" t="s">
        <v>69</v>
      </c>
    </row>
    <row r="2103" spans="2:10" x14ac:dyDescent="0.3">
      <c r="B2103" s="47" t="s">
        <v>187</v>
      </c>
      <c r="C2103" t="str">
        <f>VLOOKUP($B2103,'标准费用表-2024年&amp;2025年优化'!$D:$E,2,0)</f>
        <v>正大食品（徐州）有限公司山东第二分公司</v>
      </c>
      <c r="D2103" t="s">
        <v>109</v>
      </c>
      <c r="E2103" s="36">
        <f t="shared" ref="E2103:F2103" si="917">E2079</f>
        <v>0.26971892963324601</v>
      </c>
      <c r="F2103" s="36">
        <f t="shared" si="917"/>
        <v>0</v>
      </c>
      <c r="G2103">
        <v>0.2</v>
      </c>
      <c r="H2103">
        <v>0.3</v>
      </c>
      <c r="J2103" s="2" t="s">
        <v>69</v>
      </c>
    </row>
    <row r="2104" spans="2:10" x14ac:dyDescent="0.3">
      <c r="B2104" s="47" t="s">
        <v>187</v>
      </c>
      <c r="C2104" t="str">
        <f>VLOOKUP($B2104,'标准费用表-2024年&amp;2025年优化'!$D:$E,2,0)</f>
        <v>正大食品（徐州）有限公司山东第二分公司</v>
      </c>
      <c r="D2104" t="s">
        <v>110</v>
      </c>
      <c r="E2104" s="36">
        <f t="shared" ref="E2104:F2104" si="918">E2080</f>
        <v>0.27091022654797198</v>
      </c>
      <c r="F2104" s="36">
        <f t="shared" si="918"/>
        <v>0</v>
      </c>
      <c r="G2104">
        <v>0.2</v>
      </c>
      <c r="H2104">
        <v>0.3</v>
      </c>
      <c r="J2104" s="2" t="s">
        <v>69</v>
      </c>
    </row>
    <row r="2105" spans="2:10" x14ac:dyDescent="0.3">
      <c r="B2105" s="47" t="s">
        <v>187</v>
      </c>
      <c r="C2105" t="str">
        <f>VLOOKUP($B2105,'标准费用表-2024年&amp;2025年优化'!$D:$E,2,0)</f>
        <v>正大食品（徐州）有限公司山东第二分公司</v>
      </c>
      <c r="D2105" t="s">
        <v>111</v>
      </c>
      <c r="E2105" s="36">
        <f t="shared" ref="E2105:F2105" si="919">E2081</f>
        <v>0.336829408536582</v>
      </c>
      <c r="F2105" s="36">
        <f t="shared" si="919"/>
        <v>0</v>
      </c>
      <c r="G2105">
        <v>0.2</v>
      </c>
      <c r="H2105">
        <v>0.3</v>
      </c>
      <c r="J2105" s="2" t="s">
        <v>69</v>
      </c>
    </row>
    <row r="2106" spans="2:10" x14ac:dyDescent="0.3">
      <c r="B2106" s="47" t="s">
        <v>187</v>
      </c>
      <c r="C2106" t="str">
        <f>VLOOKUP($B2106,'标准费用表-2024年&amp;2025年优化'!$D:$E,2,0)</f>
        <v>正大食品（徐州）有限公司山东第二分公司</v>
      </c>
      <c r="D2106" t="s">
        <v>112</v>
      </c>
      <c r="E2106" s="36">
        <f t="shared" ref="E2106:F2106" si="920">E2082</f>
        <v>0.29452925527069701</v>
      </c>
      <c r="F2106" s="36">
        <f t="shared" si="920"/>
        <v>0</v>
      </c>
      <c r="G2106">
        <v>0.2</v>
      </c>
      <c r="H2106">
        <v>0.3</v>
      </c>
      <c r="J2106" s="2" t="s">
        <v>69</v>
      </c>
    </row>
    <row r="2107" spans="2:10" x14ac:dyDescent="0.3">
      <c r="B2107" s="47" t="s">
        <v>187</v>
      </c>
      <c r="C2107" t="str">
        <f>VLOOKUP($B2107,'标准费用表-2024年&amp;2025年优化'!$D:$E,2,0)</f>
        <v>正大食品（徐州）有限公司山东第二分公司</v>
      </c>
      <c r="D2107" t="s">
        <v>113</v>
      </c>
      <c r="E2107" s="36">
        <f t="shared" ref="E2107:F2107" si="921">E2083</f>
        <v>0.21332540717185799</v>
      </c>
      <c r="F2107" s="36">
        <f t="shared" si="921"/>
        <v>0</v>
      </c>
      <c r="G2107">
        <v>0.2</v>
      </c>
      <c r="H2107">
        <v>0.3</v>
      </c>
      <c r="J2107" s="2" t="s">
        <v>69</v>
      </c>
    </row>
    <row r="2108" spans="2:10" x14ac:dyDescent="0.3">
      <c r="B2108" s="47" t="s">
        <v>187</v>
      </c>
      <c r="C2108" t="str">
        <f>VLOOKUP($B2108,'标准费用表-2024年&amp;2025年优化'!$D:$E,2,0)</f>
        <v>正大食品（徐州）有限公司山东第二分公司</v>
      </c>
      <c r="D2108" t="s">
        <v>114</v>
      </c>
      <c r="E2108" s="36">
        <f t="shared" ref="E2108:F2108" si="922">E2084</f>
        <v>0.80572158730049204</v>
      </c>
      <c r="F2108" s="36">
        <f t="shared" si="922"/>
        <v>0</v>
      </c>
      <c r="G2108">
        <v>0.2</v>
      </c>
      <c r="H2108">
        <v>0.3</v>
      </c>
      <c r="J2108" s="2" t="s">
        <v>69</v>
      </c>
    </row>
    <row r="2109" spans="2:10" x14ac:dyDescent="0.3">
      <c r="B2109" s="47" t="s">
        <v>187</v>
      </c>
      <c r="C2109" t="str">
        <f>VLOOKUP($B2109,'标准费用表-2024年&amp;2025年优化'!$D:$E,2,0)</f>
        <v>正大食品（徐州）有限公司山东第二分公司</v>
      </c>
      <c r="D2109" t="s">
        <v>115</v>
      </c>
      <c r="E2109" s="36">
        <f t="shared" ref="E2109:F2109" si="923">E2085</f>
        <v>0.34653669017250599</v>
      </c>
      <c r="F2109" s="36">
        <f t="shared" si="923"/>
        <v>0</v>
      </c>
      <c r="G2109">
        <v>0.2</v>
      </c>
      <c r="H2109">
        <v>0.3</v>
      </c>
      <c r="J2109" s="2" t="s">
        <v>69</v>
      </c>
    </row>
    <row r="2110" spans="2:10" x14ac:dyDescent="0.3">
      <c r="B2110" s="47" t="s">
        <v>187</v>
      </c>
      <c r="C2110" t="str">
        <f>VLOOKUP($B2110,'标准费用表-2024年&amp;2025年优化'!$D:$E,2,0)</f>
        <v>正大食品（徐州）有限公司山东第二分公司</v>
      </c>
      <c r="D2110" t="s">
        <v>116</v>
      </c>
      <c r="E2110" s="36">
        <f t="shared" ref="E2110:F2110" si="924">E2086</f>
        <v>0.21897940126104201</v>
      </c>
      <c r="F2110" s="36">
        <f t="shared" si="924"/>
        <v>0</v>
      </c>
      <c r="G2110">
        <v>0.2</v>
      </c>
      <c r="H2110">
        <v>0.3</v>
      </c>
      <c r="J2110" s="2" t="s">
        <v>69</v>
      </c>
    </row>
    <row r="2111" spans="2:10" x14ac:dyDescent="0.3">
      <c r="B2111" s="47" t="s">
        <v>187</v>
      </c>
      <c r="C2111" t="str">
        <f>VLOOKUP($B2111,'标准费用表-2024年&amp;2025年优化'!$D:$E,2,0)</f>
        <v>正大食品（徐州）有限公司山东第二分公司</v>
      </c>
      <c r="D2111" t="s">
        <v>117</v>
      </c>
      <c r="E2111" s="36">
        <f t="shared" ref="E2111:F2111" si="925">E2087</f>
        <v>0.18156792795873899</v>
      </c>
      <c r="F2111" s="36">
        <f t="shared" si="925"/>
        <v>0</v>
      </c>
      <c r="G2111">
        <v>0.2</v>
      </c>
      <c r="H2111">
        <v>0.3</v>
      </c>
      <c r="J2111" s="2" t="s">
        <v>69</v>
      </c>
    </row>
    <row r="2112" spans="2:10" x14ac:dyDescent="0.3">
      <c r="B2112" s="47" t="s">
        <v>187</v>
      </c>
      <c r="C2112" t="str">
        <f>VLOOKUP($B2112,'标准费用表-2024年&amp;2025年优化'!$D:$E,2,0)</f>
        <v>正大食品（徐州）有限公司山东第二分公司</v>
      </c>
      <c r="D2112" t="s">
        <v>118</v>
      </c>
      <c r="E2112" s="36">
        <f t="shared" ref="E2112:F2112" si="926">E2088</f>
        <v>7.2064903121771606E-2</v>
      </c>
      <c r="F2112" s="36">
        <f t="shared" si="926"/>
        <v>0</v>
      </c>
      <c r="G2112">
        <v>0.2</v>
      </c>
      <c r="H2112">
        <v>0.3</v>
      </c>
      <c r="J2112" s="2" t="s">
        <v>69</v>
      </c>
    </row>
    <row r="2113" spans="2:10" x14ac:dyDescent="0.3">
      <c r="B2113" s="47" t="s">
        <v>187</v>
      </c>
      <c r="C2113" t="str">
        <f>VLOOKUP($B2113,'标准费用表-2024年&amp;2025年优化'!$D:$E,2,0)</f>
        <v>正大食品（徐州）有限公司山东第二分公司</v>
      </c>
      <c r="D2113" t="s">
        <v>119</v>
      </c>
      <c r="E2113" s="36">
        <f>E2041</f>
        <v>0.26063997368057001</v>
      </c>
      <c r="F2113" s="36">
        <f t="shared" ref="F2113" si="927">F2089</f>
        <v>0</v>
      </c>
      <c r="G2113">
        <v>0.2</v>
      </c>
      <c r="H2113">
        <v>0.3</v>
      </c>
      <c r="J2113" s="2" t="s">
        <v>69</v>
      </c>
    </row>
    <row r="2114" spans="2:10" x14ac:dyDescent="0.3">
      <c r="B2114" s="47" t="s">
        <v>187</v>
      </c>
      <c r="C2114" t="str">
        <f>VLOOKUP($B2114,'标准费用表-2024年&amp;2025年优化'!$D:$E,2,0)</f>
        <v>正大食品（徐州）有限公司山东第二分公司</v>
      </c>
      <c r="D2114" t="s">
        <v>120</v>
      </c>
      <c r="E2114" s="36">
        <f t="shared" ref="E2114:E2136" si="928">E2042</f>
        <v>0.69659254688216898</v>
      </c>
      <c r="F2114" s="36">
        <f t="shared" ref="F2114" si="929">F2090</f>
        <v>0</v>
      </c>
      <c r="G2114">
        <v>0.2</v>
      </c>
      <c r="H2114">
        <v>0.3</v>
      </c>
      <c r="J2114" s="2" t="s">
        <v>69</v>
      </c>
    </row>
    <row r="2115" spans="2:10" x14ac:dyDescent="0.3">
      <c r="B2115" s="47" t="s">
        <v>187</v>
      </c>
      <c r="C2115" t="str">
        <f>VLOOKUP($B2115,'标准费用表-2024年&amp;2025年优化'!$D:$E,2,0)</f>
        <v>正大食品（徐州）有限公司山东第二分公司</v>
      </c>
      <c r="D2115" t="s">
        <v>121</v>
      </c>
      <c r="E2115" s="36">
        <f t="shared" si="928"/>
        <v>1.2893189478551701</v>
      </c>
      <c r="F2115" s="36">
        <f t="shared" ref="F2115" si="930">F2091</f>
        <v>0</v>
      </c>
      <c r="G2115">
        <v>0.2</v>
      </c>
      <c r="H2115">
        <v>0.3</v>
      </c>
      <c r="J2115" s="2" t="s">
        <v>69</v>
      </c>
    </row>
    <row r="2116" spans="2:10" x14ac:dyDescent="0.3">
      <c r="B2116" s="47" t="s">
        <v>187</v>
      </c>
      <c r="C2116" t="str">
        <f>VLOOKUP($B2116,'标准费用表-2024年&amp;2025年优化'!$D:$E,2,0)</f>
        <v>正大食品（徐州）有限公司山东第二分公司</v>
      </c>
      <c r="D2116" t="s">
        <v>122</v>
      </c>
      <c r="E2116" s="36">
        <f t="shared" si="928"/>
        <v>0.27095694984681501</v>
      </c>
      <c r="F2116" s="36">
        <f t="shared" ref="F2116" si="931">F2092</f>
        <v>0</v>
      </c>
      <c r="G2116">
        <v>0.2</v>
      </c>
      <c r="H2116">
        <v>0.3</v>
      </c>
      <c r="J2116" s="2" t="s">
        <v>69</v>
      </c>
    </row>
    <row r="2117" spans="2:10" x14ac:dyDescent="0.3">
      <c r="B2117" s="47" t="s">
        <v>187</v>
      </c>
      <c r="C2117" t="str">
        <f>VLOOKUP($B2117,'标准费用表-2024年&amp;2025年优化'!$D:$E,2,0)</f>
        <v>正大食品（徐州）有限公司山东第二分公司</v>
      </c>
      <c r="D2117" t="s">
        <v>123</v>
      </c>
      <c r="E2117" s="36">
        <f t="shared" si="928"/>
        <v>0.119620593144089</v>
      </c>
      <c r="F2117" s="36">
        <f t="shared" ref="F2117" si="932">F2093</f>
        <v>0</v>
      </c>
      <c r="G2117">
        <v>0.2</v>
      </c>
      <c r="H2117">
        <v>0.3</v>
      </c>
      <c r="J2117" s="2" t="s">
        <v>69</v>
      </c>
    </row>
    <row r="2118" spans="2:10" x14ac:dyDescent="0.3">
      <c r="B2118" s="47" t="s">
        <v>187</v>
      </c>
      <c r="C2118" t="str">
        <f>VLOOKUP($B2118,'标准费用表-2024年&amp;2025年优化'!$D:$E,2,0)</f>
        <v>正大食品（徐州）有限公司山东第二分公司</v>
      </c>
      <c r="D2118" t="s">
        <v>124</v>
      </c>
      <c r="E2118" s="36">
        <f t="shared" si="928"/>
        <v>0.37020986580096898</v>
      </c>
      <c r="F2118" s="36">
        <f t="shared" ref="F2118" si="933">F2094</f>
        <v>0</v>
      </c>
      <c r="G2118">
        <v>0.2</v>
      </c>
      <c r="H2118">
        <v>0.3</v>
      </c>
      <c r="J2118" s="2" t="s">
        <v>69</v>
      </c>
    </row>
    <row r="2119" spans="2:10" x14ac:dyDescent="0.3">
      <c r="B2119" s="47" t="s">
        <v>187</v>
      </c>
      <c r="C2119" t="str">
        <f>VLOOKUP($B2119,'标准费用表-2024年&amp;2025年优化'!$D:$E,2,0)</f>
        <v>正大食品（徐州）有限公司山东第二分公司</v>
      </c>
      <c r="D2119" t="s">
        <v>125</v>
      </c>
      <c r="E2119" s="36">
        <f t="shared" si="928"/>
        <v>0.61155773554482096</v>
      </c>
      <c r="F2119" s="36">
        <f t="shared" ref="F2119" si="934">F2095</f>
        <v>0</v>
      </c>
      <c r="G2119">
        <v>0.2</v>
      </c>
      <c r="H2119">
        <v>0.3</v>
      </c>
      <c r="J2119" s="2" t="s">
        <v>69</v>
      </c>
    </row>
    <row r="2120" spans="2:10" x14ac:dyDescent="0.3">
      <c r="B2120" s="47" t="s">
        <v>187</v>
      </c>
      <c r="C2120" t="str">
        <f>VLOOKUP($B2120,'标准费用表-2024年&amp;2025年优化'!$D:$E,2,0)</f>
        <v>正大食品（徐州）有限公司山东第二分公司</v>
      </c>
      <c r="D2120" t="s">
        <v>126</v>
      </c>
      <c r="E2120" s="36">
        <f t="shared" si="928"/>
        <v>0.88715310592802699</v>
      </c>
      <c r="F2120" s="36">
        <f t="shared" ref="F2120" si="935">F2096</f>
        <v>0</v>
      </c>
      <c r="G2120">
        <v>0.2</v>
      </c>
      <c r="H2120">
        <v>0.3</v>
      </c>
      <c r="J2120" s="2" t="s">
        <v>69</v>
      </c>
    </row>
    <row r="2121" spans="2:10" x14ac:dyDescent="0.3">
      <c r="B2121" s="47" t="s">
        <v>187</v>
      </c>
      <c r="C2121" t="str">
        <f>VLOOKUP($B2121,'标准费用表-2024年&amp;2025年优化'!$D:$E,2,0)</f>
        <v>正大食品（徐州）有限公司山东第二分公司</v>
      </c>
      <c r="D2121" t="s">
        <v>127</v>
      </c>
      <c r="E2121" s="36">
        <f t="shared" si="928"/>
        <v>0.51831289527802005</v>
      </c>
      <c r="F2121" s="36">
        <f t="shared" ref="F2121" si="936">F2097</f>
        <v>0</v>
      </c>
      <c r="G2121">
        <v>0.2</v>
      </c>
      <c r="H2121">
        <v>0.3</v>
      </c>
      <c r="J2121" s="2" t="s">
        <v>69</v>
      </c>
    </row>
    <row r="2122" spans="2:10" x14ac:dyDescent="0.3">
      <c r="B2122" s="47" t="s">
        <v>187</v>
      </c>
      <c r="C2122" t="str">
        <f>VLOOKUP($B2122,'标准费用表-2024年&amp;2025年优化'!$D:$E,2,0)</f>
        <v>正大食品（徐州）有限公司山东第二分公司</v>
      </c>
      <c r="D2122" t="s">
        <v>128</v>
      </c>
      <c r="E2122" s="36">
        <f t="shared" si="928"/>
        <v>0.475997847606628</v>
      </c>
      <c r="F2122" s="36">
        <f t="shared" ref="F2122" si="937">F2098</f>
        <v>0</v>
      </c>
      <c r="G2122">
        <v>0.2</v>
      </c>
      <c r="H2122">
        <v>0.3</v>
      </c>
      <c r="J2122" s="2" t="s">
        <v>69</v>
      </c>
    </row>
    <row r="2123" spans="2:10" x14ac:dyDescent="0.3">
      <c r="B2123" s="47" t="s">
        <v>187</v>
      </c>
      <c r="C2123" t="str">
        <f>VLOOKUP($B2123,'标准费用表-2024年&amp;2025年优化'!$D:$E,2,0)</f>
        <v>正大食品（徐州）有限公司山东第二分公司</v>
      </c>
      <c r="D2123" t="s">
        <v>129</v>
      </c>
      <c r="E2123" s="36">
        <f t="shared" si="928"/>
        <v>0.60808332394797004</v>
      </c>
      <c r="F2123" s="36">
        <f t="shared" ref="F2123" si="938">F2099</f>
        <v>0</v>
      </c>
      <c r="G2123">
        <v>0.2</v>
      </c>
      <c r="H2123">
        <v>0.3</v>
      </c>
      <c r="J2123" s="2" t="s">
        <v>69</v>
      </c>
    </row>
    <row r="2124" spans="2:10" x14ac:dyDescent="0.3">
      <c r="B2124" s="47" t="s">
        <v>187</v>
      </c>
      <c r="C2124" t="str">
        <f>VLOOKUP($B2124,'标准费用表-2024年&amp;2025年优化'!$D:$E,2,0)</f>
        <v>正大食品（徐州）有限公司山东第二分公司</v>
      </c>
      <c r="D2124" t="s">
        <v>130</v>
      </c>
      <c r="E2124" s="36">
        <f t="shared" si="928"/>
        <v>1.05763349761884</v>
      </c>
      <c r="F2124" s="36">
        <f t="shared" ref="F2124" si="939">F2100</f>
        <v>0</v>
      </c>
      <c r="G2124">
        <v>0.2</v>
      </c>
      <c r="H2124">
        <v>0.3</v>
      </c>
      <c r="J2124" s="2" t="s">
        <v>69</v>
      </c>
    </row>
    <row r="2125" spans="2:10" x14ac:dyDescent="0.3">
      <c r="B2125" s="47" t="s">
        <v>187</v>
      </c>
      <c r="C2125" t="str">
        <f>VLOOKUP($B2125,'标准费用表-2024年&amp;2025年优化'!$D:$E,2,0)</f>
        <v>正大食品（徐州）有限公司山东第二分公司</v>
      </c>
      <c r="D2125" t="s">
        <v>131</v>
      </c>
      <c r="E2125" s="36">
        <f t="shared" si="928"/>
        <v>0.180067940774855</v>
      </c>
      <c r="F2125" s="36">
        <f t="shared" ref="F2125" si="940">F2101</f>
        <v>0</v>
      </c>
      <c r="G2125">
        <v>0.2</v>
      </c>
      <c r="H2125">
        <v>0.3</v>
      </c>
      <c r="J2125" s="2" t="s">
        <v>69</v>
      </c>
    </row>
    <row r="2126" spans="2:10" x14ac:dyDescent="0.3">
      <c r="B2126" s="47" t="s">
        <v>187</v>
      </c>
      <c r="C2126" t="str">
        <f>VLOOKUP($B2126,'标准费用表-2024年&amp;2025年优化'!$D:$E,2,0)</f>
        <v>正大食品（徐州）有限公司山东第二分公司</v>
      </c>
      <c r="D2126" t="s">
        <v>132</v>
      </c>
      <c r="E2126" s="36">
        <f t="shared" si="928"/>
        <v>4.16906438068829E-2</v>
      </c>
      <c r="F2126" s="36">
        <f t="shared" ref="F2126" si="941">F2102</f>
        <v>0</v>
      </c>
      <c r="G2126">
        <v>0.2</v>
      </c>
      <c r="H2126">
        <v>0.3</v>
      </c>
      <c r="J2126" s="2" t="s">
        <v>69</v>
      </c>
    </row>
    <row r="2127" spans="2:10" x14ac:dyDescent="0.3">
      <c r="B2127" s="47" t="s">
        <v>187</v>
      </c>
      <c r="C2127" t="str">
        <f>VLOOKUP($B2127,'标准费用表-2024年&amp;2025年优化'!$D:$E,2,0)</f>
        <v>正大食品（徐州）有限公司山东第二分公司</v>
      </c>
      <c r="D2127" t="s">
        <v>133</v>
      </c>
      <c r="E2127" s="36">
        <f t="shared" si="928"/>
        <v>0.223674787514511</v>
      </c>
      <c r="F2127" s="36">
        <f t="shared" ref="F2127" si="942">F2103</f>
        <v>0</v>
      </c>
      <c r="G2127">
        <v>0.2</v>
      </c>
      <c r="H2127">
        <v>0.3</v>
      </c>
      <c r="J2127" s="2" t="s">
        <v>69</v>
      </c>
    </row>
    <row r="2128" spans="2:10" x14ac:dyDescent="0.3">
      <c r="B2128" s="47" t="s">
        <v>187</v>
      </c>
      <c r="C2128" t="str">
        <f>VLOOKUP($B2128,'标准费用表-2024年&amp;2025年优化'!$D:$E,2,0)</f>
        <v>正大食品（徐州）有限公司山东第二分公司</v>
      </c>
      <c r="D2128" t="s">
        <v>134</v>
      </c>
      <c r="E2128" s="36">
        <f t="shared" si="928"/>
        <v>0.14630172946484599</v>
      </c>
      <c r="F2128" s="36">
        <f t="shared" ref="F2128" si="943">F2104</f>
        <v>0</v>
      </c>
      <c r="G2128">
        <v>0.2</v>
      </c>
      <c r="H2128">
        <v>0.3</v>
      </c>
      <c r="J2128" s="2" t="s">
        <v>69</v>
      </c>
    </row>
    <row r="2129" spans="2:10" x14ac:dyDescent="0.3">
      <c r="B2129" s="47" t="s">
        <v>187</v>
      </c>
      <c r="C2129" t="str">
        <f>VLOOKUP($B2129,'标准费用表-2024年&amp;2025年优化'!$D:$E,2,0)</f>
        <v>正大食品（徐州）有限公司山东第二分公司</v>
      </c>
      <c r="D2129" t="s">
        <v>135</v>
      </c>
      <c r="E2129" s="36">
        <f t="shared" si="928"/>
        <v>9.6970658023930303E-2</v>
      </c>
      <c r="F2129" s="36">
        <f t="shared" ref="F2129" si="944">F2105</f>
        <v>0</v>
      </c>
      <c r="G2129">
        <v>0.2</v>
      </c>
      <c r="H2129">
        <v>0.3</v>
      </c>
      <c r="J2129" s="2" t="s">
        <v>69</v>
      </c>
    </row>
    <row r="2130" spans="2:10" x14ac:dyDescent="0.3">
      <c r="B2130" s="47" t="s">
        <v>187</v>
      </c>
      <c r="C2130" t="str">
        <f>VLOOKUP($B2130,'标准费用表-2024年&amp;2025年优化'!$D:$E,2,0)</f>
        <v>正大食品（徐州）有限公司山东第二分公司</v>
      </c>
      <c r="D2130" t="s">
        <v>136</v>
      </c>
      <c r="E2130" s="36">
        <f t="shared" si="928"/>
        <v>1.6742198430982302E-2</v>
      </c>
      <c r="F2130" s="36">
        <f t="shared" ref="F2130" si="945">F2106</f>
        <v>0</v>
      </c>
      <c r="G2130">
        <v>0.2</v>
      </c>
      <c r="H2130">
        <v>0.3</v>
      </c>
      <c r="J2130" s="2" t="s">
        <v>69</v>
      </c>
    </row>
    <row r="2131" spans="2:10" x14ac:dyDescent="0.3">
      <c r="B2131" s="47" t="s">
        <v>187</v>
      </c>
      <c r="C2131" t="str">
        <f>VLOOKUP($B2131,'标准费用表-2024年&amp;2025年优化'!$D:$E,2,0)</f>
        <v>正大食品（徐州）有限公司山东第二分公司</v>
      </c>
      <c r="D2131" t="s">
        <v>137</v>
      </c>
      <c r="E2131" s="36">
        <f t="shared" si="928"/>
        <v>8.7615395084431696E-2</v>
      </c>
      <c r="F2131" s="36">
        <f t="shared" ref="F2131" si="946">F2107</f>
        <v>0</v>
      </c>
      <c r="G2131">
        <v>0.2</v>
      </c>
      <c r="H2131">
        <v>0.3</v>
      </c>
      <c r="J2131" s="2" t="s">
        <v>69</v>
      </c>
    </row>
    <row r="2132" spans="2:10" x14ac:dyDescent="0.3">
      <c r="B2132" s="47" t="s">
        <v>187</v>
      </c>
      <c r="C2132" t="str">
        <f>VLOOKUP($B2132,'标准费用表-2024年&amp;2025年优化'!$D:$E,2,0)</f>
        <v>正大食品（徐州）有限公司山东第二分公司</v>
      </c>
      <c r="D2132" t="s">
        <v>138</v>
      </c>
      <c r="E2132" s="36">
        <f t="shared" si="928"/>
        <v>8.0398753148098898E-2</v>
      </c>
      <c r="F2132" s="36">
        <f t="shared" ref="F2132" si="947">F2108</f>
        <v>0</v>
      </c>
      <c r="G2132">
        <v>0.2</v>
      </c>
      <c r="H2132">
        <v>0.3</v>
      </c>
      <c r="J2132" s="2" t="s">
        <v>69</v>
      </c>
    </row>
    <row r="2133" spans="2:10" x14ac:dyDescent="0.3">
      <c r="B2133" s="47" t="s">
        <v>187</v>
      </c>
      <c r="C2133" t="str">
        <f>VLOOKUP($B2133,'标准费用表-2024年&amp;2025年优化'!$D:$E,2,0)</f>
        <v>正大食品（徐州）有限公司山东第二分公司</v>
      </c>
      <c r="D2133" t="s">
        <v>139</v>
      </c>
      <c r="E2133" s="36">
        <f t="shared" si="928"/>
        <v>0.28127592314413102</v>
      </c>
      <c r="F2133" s="36">
        <f t="shared" ref="F2133" si="948">F2109</f>
        <v>0</v>
      </c>
      <c r="G2133">
        <v>0.2</v>
      </c>
      <c r="H2133">
        <v>0.3</v>
      </c>
      <c r="J2133" s="2" t="s">
        <v>69</v>
      </c>
    </row>
    <row r="2134" spans="2:10" x14ac:dyDescent="0.3">
      <c r="B2134" s="47" t="s">
        <v>187</v>
      </c>
      <c r="C2134" t="str">
        <f>VLOOKUP($B2134,'标准费用表-2024年&amp;2025年优化'!$D:$E,2,0)</f>
        <v>正大食品（徐州）有限公司山东第二分公司</v>
      </c>
      <c r="D2134" t="s">
        <v>140</v>
      </c>
      <c r="E2134" s="36">
        <f t="shared" si="928"/>
        <v>0.32945005220162499</v>
      </c>
      <c r="F2134" s="36">
        <f t="shared" ref="F2134" si="949">F2110</f>
        <v>0</v>
      </c>
      <c r="G2134">
        <v>0.2</v>
      </c>
      <c r="H2134">
        <v>0.3</v>
      </c>
      <c r="J2134" s="2" t="s">
        <v>69</v>
      </c>
    </row>
    <row r="2135" spans="2:10" x14ac:dyDescent="0.3">
      <c r="B2135" s="47" t="s">
        <v>187</v>
      </c>
      <c r="C2135" t="str">
        <f>VLOOKUP($B2135,'标准费用表-2024年&amp;2025年优化'!$D:$E,2,0)</f>
        <v>正大食品（徐州）有限公司山东第二分公司</v>
      </c>
      <c r="D2135" t="s">
        <v>141</v>
      </c>
      <c r="E2135" s="36">
        <f t="shared" si="928"/>
        <v>9.4203572300803395E-2</v>
      </c>
      <c r="F2135" s="36">
        <f t="shared" ref="F2135" si="950">F2111</f>
        <v>0</v>
      </c>
      <c r="G2135">
        <v>0.2</v>
      </c>
      <c r="H2135">
        <v>0.3</v>
      </c>
      <c r="J2135" s="2" t="s">
        <v>69</v>
      </c>
    </row>
    <row r="2136" spans="2:10" x14ac:dyDescent="0.3">
      <c r="B2136" s="47" t="s">
        <v>187</v>
      </c>
      <c r="C2136" t="str">
        <f>VLOOKUP($B2136,'标准费用表-2024年&amp;2025年优化'!$D:$E,2,0)</f>
        <v>正大食品（徐州）有限公司山东第二分公司</v>
      </c>
      <c r="D2136" t="s">
        <v>142</v>
      </c>
      <c r="E2136" s="36">
        <f t="shared" si="928"/>
        <v>2.8028102245464499E-2</v>
      </c>
      <c r="F2136" s="36">
        <f t="shared" ref="F2136" si="951">F2112</f>
        <v>0</v>
      </c>
      <c r="G2136">
        <v>0.2</v>
      </c>
      <c r="H2136">
        <v>0.3</v>
      </c>
      <c r="J2136" s="2" t="s">
        <v>69</v>
      </c>
    </row>
    <row r="2137" spans="2:10" x14ac:dyDescent="0.3">
      <c r="B2137" s="47" t="s">
        <v>189</v>
      </c>
      <c r="C2137" t="str">
        <f>VLOOKUP($B2137,'标准费用表-2024年&amp;2025年优化'!$D:$E,2,0)</f>
        <v>正大食品（广东）有限公司</v>
      </c>
      <c r="D2137" t="s">
        <v>41</v>
      </c>
      <c r="E2137" s="46">
        <f>IFERROR(VLOOKUP($B2137,'标准费用表-2024年&amp;2025年优化'!$D:$K,8,0)*VLOOKUP('5.成本表'!$D2137,系数辅助表!$C:$G,5,0)/VLOOKUP($D2137,系数辅助表!$C:$E,3,0),0)</f>
        <v>0.92114987731959896</v>
      </c>
      <c r="I2137" s="36">
        <f>VLOOKUP($D2137,系数辅助表!$C:$F,4,0)</f>
        <v>1.33</v>
      </c>
      <c r="J2137" s="2" t="s">
        <v>41</v>
      </c>
    </row>
    <row r="2138" spans="2:10" x14ac:dyDescent="0.3">
      <c r="B2138" s="47" t="s">
        <v>189</v>
      </c>
      <c r="C2138" t="str">
        <f>VLOOKUP($B2138,'标准费用表-2024年&amp;2025年优化'!$D:$E,2,0)</f>
        <v>正大食品（广东）有限公司</v>
      </c>
      <c r="D2138" t="s">
        <v>44</v>
      </c>
      <c r="E2138" s="46">
        <f>IFERROR(VLOOKUP($B2138,'标准费用表-2024年&amp;2025年优化'!$D:$K,8,0)*系数辅助表!$J$6*VLOOKUP('5.成本表'!$D2138,系数辅助表!$C:$G,5,0)/VLOOKUP($D2138,系数辅助表!$C:$E,3,0),0)</f>
        <v>0.52684377404506</v>
      </c>
      <c r="I2138" s="36">
        <f>VLOOKUP($D2138,系数辅助表!$C:$F,4,0)</f>
        <v>0.789027855994753</v>
      </c>
      <c r="J2138" s="2" t="s">
        <v>200</v>
      </c>
    </row>
    <row r="2139" spans="2:10" x14ac:dyDescent="0.3">
      <c r="B2139" s="47" t="s">
        <v>189</v>
      </c>
      <c r="C2139" t="str">
        <f>VLOOKUP($B2139,'标准费用表-2024年&amp;2025年优化'!$D:$E,2,0)</f>
        <v>正大食品（广东）有限公司</v>
      </c>
      <c r="D2139" t="s">
        <v>45</v>
      </c>
      <c r="E2139" s="46">
        <f>IFERROR(VLOOKUP($B2139,'标准费用表-2024年&amp;2025年优化'!$D:$K,8,0)*系数辅助表!$J$6*VLOOKUP('5.成本表'!$D2139,系数辅助表!$C:$G,5,0)/VLOOKUP($D2139,系数辅助表!$C:$E,3,0),0)</f>
        <v>1.4080551083113499</v>
      </c>
      <c r="I2139" s="36">
        <f>VLOOKUP($D2139,系数辅助表!$C:$F,4,0)</f>
        <v>2.1087744754070901</v>
      </c>
      <c r="J2139" s="2" t="s">
        <v>200</v>
      </c>
    </row>
    <row r="2140" spans="2:10" x14ac:dyDescent="0.3">
      <c r="B2140" s="47" t="s">
        <v>189</v>
      </c>
      <c r="C2140" t="str">
        <f>VLOOKUP($B2140,'标准费用表-2024年&amp;2025年优化'!$D:$E,2,0)</f>
        <v>正大食品（广东）有限公司</v>
      </c>
      <c r="D2140" t="s">
        <v>46</v>
      </c>
      <c r="E2140" s="46">
        <f>IFERROR(VLOOKUP($B2140,'标准费用表-2024年&amp;2025年优化'!$D:$K,8,0)*系数辅助表!$J$6*VLOOKUP('5.成本表'!$D2140,系数辅助表!$C:$G,5,0)/VLOOKUP($D2140,系数辅助表!$C:$E,3,0),0)</f>
        <v>2.6061607160393101</v>
      </c>
      <c r="I2140" s="36">
        <f>VLOOKUP($D2140,系数辅助表!$C:$F,4,0)</f>
        <v>3.9031179705625099</v>
      </c>
      <c r="J2140" s="2" t="s">
        <v>200</v>
      </c>
    </row>
    <row r="2141" spans="2:10" x14ac:dyDescent="0.3">
      <c r="B2141" s="47" t="s">
        <v>189</v>
      </c>
      <c r="C2141" t="str">
        <f>VLOOKUP($B2141,'标准费用表-2024年&amp;2025年优化'!$D:$E,2,0)</f>
        <v>正大食品（广东）有限公司</v>
      </c>
      <c r="D2141" t="s">
        <v>47</v>
      </c>
      <c r="E2141" s="46">
        <f>IFERROR(VLOOKUP($B2141,'标准费用表-2024年&amp;2025年优化'!$D:$K,8,0)*系数辅助表!$J$6*VLOOKUP('5.成本表'!$D2141,系数辅助表!$C:$G,5,0)/VLOOKUP($D2141,系数辅助表!$C:$E,3,0),0)</f>
        <v>0.54769796069725196</v>
      </c>
      <c r="I2141" s="36">
        <f>VLOOKUP($D2141,系数辅助表!$C:$F,4,0)</f>
        <v>0.82026013963048305</v>
      </c>
      <c r="J2141" s="2" t="s">
        <v>200</v>
      </c>
    </row>
    <row r="2142" spans="2:10" x14ac:dyDescent="0.3">
      <c r="B2142" s="47" t="s">
        <v>189</v>
      </c>
      <c r="C2142" t="str">
        <f>VLOOKUP($B2142,'标准费用表-2024年&amp;2025年优化'!$D:$E,2,0)</f>
        <v>正大食品（广东）有限公司</v>
      </c>
      <c r="D2142" t="s">
        <v>48</v>
      </c>
      <c r="E2142" s="46">
        <f>IFERROR(VLOOKUP($B2142,'标准费用表-2024年&amp;2025年优化'!$D:$K,8,0)*系数辅助表!$J$6*VLOOKUP('5.成本表'!$D2142,系数辅助表!$C:$G,5,0)/VLOOKUP($D2142,系数辅助表!$C:$E,3,0),0)</f>
        <v>0.241794701923877</v>
      </c>
      <c r="I2142" s="36">
        <f>VLOOKUP($D2142,系数辅助表!$C:$F,4,0)</f>
        <v>0.36212396283071502</v>
      </c>
      <c r="J2142" s="2" t="s">
        <v>200</v>
      </c>
    </row>
    <row r="2143" spans="2:10" x14ac:dyDescent="0.3">
      <c r="B2143" s="47" t="s">
        <v>189</v>
      </c>
      <c r="C2143" t="str">
        <f>VLOOKUP($B2143,'标准费用表-2024年&amp;2025年优化'!$D:$E,2,0)</f>
        <v>正大食品（广东）有限公司</v>
      </c>
      <c r="D2143" t="s">
        <v>49</v>
      </c>
      <c r="E2143" s="46">
        <f>IFERROR(VLOOKUP($B2143,'标准费用表-2024年&amp;2025年优化'!$D:$K,8,0)*系数辅助表!$J$6*VLOOKUP('5.成本表'!$D2143,系数辅助表!$C:$G,5,0)/VLOOKUP($D2143,系数辅助表!$C:$E,3,0),0)</f>
        <v>0.74832252372129904</v>
      </c>
      <c r="I2143" s="36">
        <f>VLOOKUP($D2143,系数辅助表!$C:$F,4,0)</f>
        <v>1.1207256222295201</v>
      </c>
      <c r="J2143" s="2" t="s">
        <v>200</v>
      </c>
    </row>
    <row r="2144" spans="2:10" x14ac:dyDescent="0.3">
      <c r="B2144" s="47" t="s">
        <v>189</v>
      </c>
      <c r="C2144" t="str">
        <f>VLOOKUP($B2144,'标准费用表-2024年&amp;2025年优化'!$D:$E,2,0)</f>
        <v>正大食品（广东）有限公司</v>
      </c>
      <c r="D2144" t="s">
        <v>50</v>
      </c>
      <c r="E2144" s="46">
        <f>IFERROR(VLOOKUP($B2144,'标准费用表-2024年&amp;2025年优化'!$D:$K,8,0)*系数辅助表!$J$6*VLOOKUP('5.成本表'!$D2144,系数辅助表!$C:$G,5,0)/VLOOKUP($D2144,系数辅助表!$C:$E,3,0),0)</f>
        <v>1.2361702654089199</v>
      </c>
      <c r="I2144" s="36">
        <f>VLOOKUP($D2144,系数辅助表!$C:$F,4,0)</f>
        <v>1.8513510498021799</v>
      </c>
      <c r="J2144" s="2" t="s">
        <v>200</v>
      </c>
    </row>
    <row r="2145" spans="2:10" x14ac:dyDescent="0.3">
      <c r="B2145" s="47" t="s">
        <v>189</v>
      </c>
      <c r="C2145" t="str">
        <f>VLOOKUP($B2145,'标准费用表-2024年&amp;2025年优化'!$D:$E,2,0)</f>
        <v>正大食品（广东）有限公司</v>
      </c>
      <c r="D2145" t="s">
        <v>51</v>
      </c>
      <c r="E2145" s="46">
        <f>IFERROR(VLOOKUP($B2145,'标准费用表-2024年&amp;2025年优化'!$D:$K,8,0)*系数辅助表!$J$6*VLOOKUP('5.成本表'!$D2145,系数辅助表!$C:$G,5,0)/VLOOKUP($D2145,系数辅助表!$C:$E,3,0),0)</f>
        <v>1.7932440825663001</v>
      </c>
      <c r="I2145" s="36">
        <f>VLOOKUP($D2145,系数辅助表!$C:$F,4,0)</f>
        <v>2.68565294580391</v>
      </c>
      <c r="J2145" s="2" t="s">
        <v>200</v>
      </c>
    </row>
    <row r="2146" spans="2:10" x14ac:dyDescent="0.3">
      <c r="B2146" s="47" t="s">
        <v>189</v>
      </c>
      <c r="C2146" t="str">
        <f>VLOOKUP($B2146,'标准费用表-2024年&amp;2025年优化'!$D:$E,2,0)</f>
        <v>正大食品（广东）有限公司</v>
      </c>
      <c r="D2146" t="s">
        <v>52</v>
      </c>
      <c r="E2146" s="46">
        <f>IFERROR(VLOOKUP($B2146,'标准费用表-2024年&amp;2025年优化'!$D:$K,8,0)*系数辅助表!$J$6*VLOOKUP('5.成本表'!$D2146,系数辅助表!$C:$G,5,0)/VLOOKUP($D2146,系数辅助表!$C:$E,3,0),0)</f>
        <v>1.0476901068872799</v>
      </c>
      <c r="I2146" s="36">
        <f>VLOOKUP($D2146,系数辅助表!$C:$F,4,0)</f>
        <v>1.5690736410097099</v>
      </c>
      <c r="J2146" s="2" t="s">
        <v>200</v>
      </c>
    </row>
    <row r="2147" spans="2:10" x14ac:dyDescent="0.3">
      <c r="B2147" s="47" t="s">
        <v>189</v>
      </c>
      <c r="C2147" t="str">
        <f>VLOOKUP($B2147,'标准费用表-2024年&amp;2025年优化'!$D:$E,2,0)</f>
        <v>正大食品（广东）有限公司</v>
      </c>
      <c r="D2147" t="s">
        <v>53</v>
      </c>
      <c r="E2147" s="46">
        <f>IFERROR(VLOOKUP($B2147,'标准费用表-2024年&amp;2025年优化'!$D:$K,8,0)*系数辅助表!$J$6*VLOOKUP('5.成本表'!$D2147,系数辅助表!$C:$G,5,0)/VLOOKUP($D2147,系数辅助表!$C:$E,3,0),0)</f>
        <v>0.96215672112422101</v>
      </c>
      <c r="I2147" s="36">
        <f>VLOOKUP($D2147,系数辅助表!$C:$F,4,0)</f>
        <v>1.44097452072131</v>
      </c>
      <c r="J2147" s="2" t="s">
        <v>200</v>
      </c>
    </row>
    <row r="2148" spans="2:10" x14ac:dyDescent="0.3">
      <c r="B2148" s="47" t="s">
        <v>189</v>
      </c>
      <c r="C2148" t="str">
        <f>VLOOKUP($B2148,'标准费用表-2024年&amp;2025年优化'!$D:$E,2,0)</f>
        <v>正大食品（广东）有限公司</v>
      </c>
      <c r="D2148" t="s">
        <v>54</v>
      </c>
      <c r="E2148" s="46">
        <f>IFERROR(VLOOKUP($B2148,'标准费用表-2024年&amp;2025年优化'!$D:$K,8,0)*系数辅助表!$J$6*VLOOKUP('5.成本表'!$D2148,系数辅助表!$C:$G,5,0)/VLOOKUP($D2148,系数辅助表!$C:$E,3,0),0)</f>
        <v>1.22914727468181</v>
      </c>
      <c r="I2148" s="36">
        <f>VLOOKUP($D2148,系数辅助表!$C:$F,4,0)</f>
        <v>1.8408330640366199</v>
      </c>
      <c r="J2148" s="2" t="s">
        <v>200</v>
      </c>
    </row>
    <row r="2149" spans="2:10" x14ac:dyDescent="0.3">
      <c r="B2149" s="47" t="s">
        <v>189</v>
      </c>
      <c r="C2149" t="str">
        <f>VLOOKUP($B2149,'标准费用表-2024年&amp;2025年优化'!$D:$E,2,0)</f>
        <v>正大食品（广东）有限公司</v>
      </c>
      <c r="D2149" t="s">
        <v>55</v>
      </c>
      <c r="E2149" s="46">
        <f>IFERROR(VLOOKUP($B2149,'标准费用表-2024年&amp;2025年优化'!$D:$K,8,0)*系数辅助表!$J$6*VLOOKUP('5.成本表'!$D2149,系数辅助表!$C:$G,5,0)/VLOOKUP($D2149,系数辅助表!$C:$E,3,0),0)</f>
        <v>2.13784407500316</v>
      </c>
      <c r="I2149" s="36">
        <f>VLOOKUP($D2149,系数辅助表!$C:$F,4,0)</f>
        <v>3.2017433061789502</v>
      </c>
      <c r="J2149" s="2" t="s">
        <v>200</v>
      </c>
    </row>
    <row r="2150" spans="2:10" x14ac:dyDescent="0.3">
      <c r="B2150" s="47" t="s">
        <v>189</v>
      </c>
      <c r="C2150" t="str">
        <f>VLOOKUP($B2150,'标准费用表-2024年&amp;2025年优化'!$D:$E,2,0)</f>
        <v>正大食品（广东）有限公司</v>
      </c>
      <c r="D2150" t="s">
        <v>56</v>
      </c>
      <c r="E2150" s="46">
        <f>IFERROR(VLOOKUP($B2150,'标准费用表-2024年&amp;2025年优化'!$D:$K,8,0)*系数辅助表!$J$6*VLOOKUP('5.成本表'!$D2150,系数辅助表!$C:$G,5,0)/VLOOKUP($D2150,系数辅助表!$C:$E,3,0),0)</f>
        <v>0.363979753998183</v>
      </c>
      <c r="I2150" s="36">
        <f>VLOOKUP($D2150,系数辅助表!$C:$F,4,0)</f>
        <v>0.54511447049599404</v>
      </c>
      <c r="J2150" s="2" t="s">
        <v>200</v>
      </c>
    </row>
    <row r="2151" spans="2:10" x14ac:dyDescent="0.3">
      <c r="B2151" s="47" t="s">
        <v>189</v>
      </c>
      <c r="C2151" t="str">
        <f>VLOOKUP($B2151,'标准费用表-2024年&amp;2025年优化'!$D:$E,2,0)</f>
        <v>正大食品（广东）有限公司</v>
      </c>
      <c r="D2151" t="s">
        <v>57</v>
      </c>
      <c r="E2151" s="46">
        <f>IFERROR(VLOOKUP($B2151,'标准费用表-2024年&amp;2025年优化'!$D:$K,8,0)*系数辅助表!$J$6*VLOOKUP('5.成本表'!$D2151,系数辅助表!$C:$G,5,0)/VLOOKUP($D2151,系数辅助表!$C:$E,3,0),0)</f>
        <v>8.4271249016105304E-2</v>
      </c>
      <c r="I2151" s="36">
        <f>VLOOKUP($D2151,系数辅助表!$C:$F,4,0)</f>
        <v>0.126208880523832</v>
      </c>
      <c r="J2151" s="2" t="s">
        <v>200</v>
      </c>
    </row>
    <row r="2152" spans="2:10" x14ac:dyDescent="0.3">
      <c r="B2152" s="47" t="s">
        <v>189</v>
      </c>
      <c r="C2152" t="str">
        <f>VLOOKUP($B2152,'标准费用表-2024年&amp;2025年优化'!$D:$E,2,0)</f>
        <v>正大食品（广东）有限公司</v>
      </c>
      <c r="D2152" t="s">
        <v>58</v>
      </c>
      <c r="E2152" s="46">
        <f>IFERROR(VLOOKUP($B2152,'标准费用表-2024年&amp;2025年优化'!$D:$K,8,0)*系数辅助表!$J$6*VLOOKUP('5.成本表'!$D2152,系数辅助表!$C:$G,5,0)/VLOOKUP($D2152,系数辅助表!$C:$E,3,0),0)</f>
        <v>0.45212431366070299</v>
      </c>
      <c r="I2152" s="36">
        <f>VLOOKUP($D2152,系数辅助表!$C:$F,4,0)</f>
        <v>0.67712421675176204</v>
      </c>
      <c r="J2152" s="2" t="s">
        <v>200</v>
      </c>
    </row>
    <row r="2153" spans="2:10" x14ac:dyDescent="0.3">
      <c r="B2153" s="47" t="s">
        <v>189</v>
      </c>
      <c r="C2153" t="str">
        <f>VLOOKUP($B2153,'标准费用表-2024年&amp;2025年优化'!$D:$E,2,0)</f>
        <v>正大食品（广东）有限公司</v>
      </c>
      <c r="D2153" t="s">
        <v>59</v>
      </c>
      <c r="E2153" s="46">
        <f>IFERROR(VLOOKUP($B2153,'标准费用表-2024年&amp;2025年优化'!$D:$K,8,0)*系数辅助表!$J$6*VLOOKUP('5.成本表'!$D2153,系数辅助表!$C:$G,5,0)/VLOOKUP($D2153,系数辅助表!$C:$E,3,0),0)</f>
        <v>0.29572653116916903</v>
      </c>
      <c r="I2153" s="36">
        <f>VLOOKUP($D2153,系数辅助表!$C:$F,4,0)</f>
        <v>0.44289499533730498</v>
      </c>
      <c r="J2153" s="2" t="s">
        <v>200</v>
      </c>
    </row>
    <row r="2154" spans="2:10" x14ac:dyDescent="0.3">
      <c r="B2154" s="47" t="s">
        <v>189</v>
      </c>
      <c r="C2154" t="str">
        <f>VLOOKUP($B2154,'标准费用表-2024年&amp;2025年优化'!$D:$E,2,0)</f>
        <v>正大食品（广东）有限公司</v>
      </c>
      <c r="D2154" t="s">
        <v>60</v>
      </c>
      <c r="E2154" s="46">
        <f>IFERROR(VLOOKUP($B2154,'标准费用表-2024年&amp;2025年优化'!$D:$K,8,0)*系数辅助表!$J$6*VLOOKUP('5.成本表'!$D2154,系数辅助表!$C:$G,5,0)/VLOOKUP($D2154,系数辅助表!$C:$E,3,0),0)</f>
        <v>0.19601132828371201</v>
      </c>
      <c r="I2154" s="36">
        <f>VLOOKUP($D2154,系数辅助表!$C:$F,4,0)</f>
        <v>0.29355646915769201</v>
      </c>
      <c r="J2154" s="2" t="s">
        <v>200</v>
      </c>
    </row>
    <row r="2155" spans="2:10" x14ac:dyDescent="0.3">
      <c r="B2155" s="47" t="s">
        <v>189</v>
      </c>
      <c r="C2155" t="str">
        <f>VLOOKUP($B2155,'标准费用表-2024年&amp;2025年优化'!$D:$E,2,0)</f>
        <v>正大食品（广东）有限公司</v>
      </c>
      <c r="D2155" t="s">
        <v>61</v>
      </c>
      <c r="E2155" s="46">
        <f>IFERROR(VLOOKUP($B2155,'标准费用表-2024年&amp;2025年优化'!$D:$K,8,0)*系数辅助表!$J$6*VLOOKUP('5.成本表'!$D2155,系数辅助表!$C:$G,5,0)/VLOOKUP($D2155,系数辅助表!$C:$E,3,0),0)</f>
        <v>3.3841789049595401E-2</v>
      </c>
      <c r="I2155" s="36">
        <f>VLOOKUP($D2155,系数辅助表!$C:$F,4,0)</f>
        <v>5.0683173214352499E-2</v>
      </c>
      <c r="J2155" s="2" t="s">
        <v>200</v>
      </c>
    </row>
    <row r="2156" spans="2:10" x14ac:dyDescent="0.3">
      <c r="B2156" s="47" t="s">
        <v>189</v>
      </c>
      <c r="C2156" t="str">
        <f>VLOOKUP($B2156,'标准费用表-2024年&amp;2025年优化'!$D:$E,2,0)</f>
        <v>正大食品（广东）有限公司</v>
      </c>
      <c r="D2156" t="s">
        <v>62</v>
      </c>
      <c r="E2156" s="46">
        <f>IFERROR(VLOOKUP($B2156,'标准费用表-2024年&amp;2025年优化'!$D:$K,8,0)*系数辅助表!$J$6*VLOOKUP('5.成本表'!$D2156,系数辅助表!$C:$G,5,0)/VLOOKUP($D2156,系数辅助表!$C:$E,3,0),0)</f>
        <v>0.177101097574934</v>
      </c>
      <c r="I2156" s="36">
        <f>VLOOKUP($D2156,系数辅助表!$C:$F,4,0)</f>
        <v>0.26523555216563399</v>
      </c>
      <c r="J2156" s="2" t="s">
        <v>200</v>
      </c>
    </row>
    <row r="2157" spans="2:10" x14ac:dyDescent="0.3">
      <c r="B2157" s="47" t="s">
        <v>189</v>
      </c>
      <c r="C2157" t="str">
        <f>VLOOKUP($B2157,'标准费用表-2024年&amp;2025年优化'!$D:$E,2,0)</f>
        <v>正大食品（广东）有限公司</v>
      </c>
      <c r="D2157" t="s">
        <v>63</v>
      </c>
      <c r="E2157" s="46">
        <f>IFERROR(VLOOKUP($B2157,'标准费用表-2024年&amp;2025年优化'!$D:$K,8,0)*系数辅助表!$J$6*VLOOKUP('5.成本表'!$D2157,系数辅助表!$C:$G,5,0)/VLOOKUP($D2157,系数辅助表!$C:$E,3,0),0)</f>
        <v>0.16251376156511299</v>
      </c>
      <c r="I2157" s="36">
        <f>VLOOKUP($D2157,系数辅助表!$C:$F,4,0)</f>
        <v>0.24338882069886</v>
      </c>
      <c r="J2157" s="2" t="s">
        <v>200</v>
      </c>
    </row>
    <row r="2158" spans="2:10" x14ac:dyDescent="0.3">
      <c r="B2158" s="47" t="s">
        <v>189</v>
      </c>
      <c r="C2158" t="str">
        <f>VLOOKUP($B2158,'标准费用表-2024年&amp;2025年优化'!$D:$E,2,0)</f>
        <v>正大食品（广东）有限公司</v>
      </c>
      <c r="D2158" t="s">
        <v>64</v>
      </c>
      <c r="E2158" s="46">
        <f>IFERROR(VLOOKUP($B2158,'标准费用表-2024年&amp;2025年优化'!$D:$K,8,0)*系数辅助表!$J$6*VLOOKUP('5.成本表'!$D2158,系数辅助表!$C:$G,5,0)/VLOOKUP($D2158,系数辅助表!$C:$E,3,0),0)</f>
        <v>0.56855618424392496</v>
      </c>
      <c r="I2158" s="36">
        <f>VLOOKUP($D2158,系数辅助表!$C:$F,4,0)</f>
        <v>0.85149846912336002</v>
      </c>
      <c r="J2158" s="2" t="s">
        <v>200</v>
      </c>
    </row>
    <row r="2159" spans="2:10" x14ac:dyDescent="0.3">
      <c r="B2159" s="47" t="s">
        <v>189</v>
      </c>
      <c r="C2159" t="str">
        <f>VLOOKUP($B2159,'标准费用表-2024年&amp;2025年优化'!$D:$E,2,0)</f>
        <v>正大食品（广东）有限公司</v>
      </c>
      <c r="D2159" t="s">
        <v>65</v>
      </c>
      <c r="E2159" s="46">
        <f>IFERROR(VLOOKUP($B2159,'标准费用表-2024年&amp;2025年优化'!$D:$K,8,0)*系数辅助表!$J$6*VLOOKUP('5.成本表'!$D2159,系数辅助表!$C:$G,5,0)/VLOOKUP($D2159,系数辅助表!$C:$E,3,0),0)</f>
        <v>0.66593280535688204</v>
      </c>
      <c r="I2159" s="36">
        <f>VLOOKUP($D2159,系数辅助表!$C:$F,4,0)</f>
        <v>0.99733461707829196</v>
      </c>
      <c r="J2159" s="2" t="s">
        <v>200</v>
      </c>
    </row>
    <row r="2160" spans="2:10" x14ac:dyDescent="0.3">
      <c r="B2160" s="47" t="s">
        <v>189</v>
      </c>
      <c r="C2160" t="str">
        <f>VLOOKUP($B2160,'标准费用表-2024年&amp;2025年优化'!$D:$E,2,0)</f>
        <v>正大食品（广东）有限公司</v>
      </c>
      <c r="D2160" t="s">
        <v>66</v>
      </c>
      <c r="E2160" s="46">
        <f>IFERROR(VLOOKUP($B2160,'标准费用表-2024年&amp;2025年优化'!$D:$K,8,0)*系数辅助表!$J$6*VLOOKUP('5.成本表'!$D2160,系数辅助表!$C:$G,5,0)/VLOOKUP($D2160,系数辅助表!$C:$E,3,0),0)</f>
        <v>0.19041808844067401</v>
      </c>
      <c r="I2160" s="36">
        <f>VLOOKUP($D2160,系数辅助表!$C:$F,4,0)</f>
        <v>0.28517975055754302</v>
      </c>
      <c r="J2160" s="2" t="s">
        <v>200</v>
      </c>
    </row>
    <row r="2161" spans="2:10" x14ac:dyDescent="0.3">
      <c r="B2161" s="47" t="s">
        <v>189</v>
      </c>
      <c r="C2161" t="str">
        <f>VLOOKUP($B2161,'标准费用表-2024年&amp;2025年优化'!$D:$E,2,0)</f>
        <v>正大食品（广东）有限公司</v>
      </c>
      <c r="D2161" t="s">
        <v>67</v>
      </c>
      <c r="E2161" s="46">
        <f>IFERROR(VLOOKUP($B2161,'标准费用表-2024年&amp;2025年优化'!$D:$K,8,0)*系数辅助表!$J$6*VLOOKUP('5.成本表'!$D2161,系数辅助表!$C:$G,5,0)/VLOOKUP($D2161,系数辅助表!$C:$E,3,0),0)</f>
        <v>5.6654514492924399E-2</v>
      </c>
      <c r="I2161" s="36">
        <f>VLOOKUP($D2161,系数辅助表!$C:$F,4,0)</f>
        <v>8.4848663503333893E-2</v>
      </c>
      <c r="J2161" s="2" t="s">
        <v>200</v>
      </c>
    </row>
    <row r="2162" spans="2:10" x14ac:dyDescent="0.3">
      <c r="B2162" s="47" t="s">
        <v>189</v>
      </c>
      <c r="C2162" t="str">
        <f>VLOOKUP($B2162,'标准费用表-2024年&amp;2025年优化'!$D:$E,2,0)</f>
        <v>正大食品（广东）有限公司</v>
      </c>
      <c r="D2162" t="s">
        <v>68</v>
      </c>
      <c r="E2162" s="36">
        <f>IFERROR(VLOOKUP($B2162,'标准费用表-2024年&amp;2025年优化'!$D:$K,8,0)*VLOOKUP("白条",系数辅助表!$C:$G,5,0)*VLOOKUP('5.成本表'!$D2162,系数辅助表!$C:$G,5,0)/VLOOKUP('5.成本表'!$D2162,系数辅助表!$C:$E,3,0),)</f>
        <v>1.38062076194683</v>
      </c>
      <c r="F2162" s="36">
        <f>IFERROR(VLOOKUP($B2162,'标准费用表-2024年&amp;2025年优化'!$D:$L,9,0)*VLOOKUP('5.成本表'!$D2162,系数辅助表!$C:$G,5,0)/VLOOKUP($D2162,系数辅助表!$C:$E,3,0),0)</f>
        <v>0</v>
      </c>
      <c r="I2162" s="36">
        <f>VLOOKUP($D2162,系数辅助表!$C:$F,4,0)</f>
        <v>2.2799999999999998</v>
      </c>
      <c r="J2162" s="2" t="s">
        <v>69</v>
      </c>
    </row>
    <row r="2163" spans="2:10" x14ac:dyDescent="0.3">
      <c r="B2163" s="47" t="s">
        <v>189</v>
      </c>
      <c r="C2163" t="str">
        <f>VLOOKUP($B2163,'标准费用表-2024年&amp;2025年优化'!$D:$E,2,0)</f>
        <v>正大食品（广东）有限公司</v>
      </c>
      <c r="D2163" t="s">
        <v>70</v>
      </c>
      <c r="E2163" s="36">
        <f>IFERROR(VLOOKUP($B2163,'标准费用表-2024年&amp;2025年优化'!$D:$K,8,0)*VLOOKUP("白条",系数辅助表!$C:$G,5,0)*VLOOKUP('5.成本表'!$D2163,系数辅助表!$C:$G,5,0)/VLOOKUP('5.成本表'!$D2163,系数辅助表!$C:$E,3,0),)</f>
        <v>0.92266844436266404</v>
      </c>
      <c r="F2163" s="36">
        <f>IFERROR(VLOOKUP($B2163,'标准费用表-2024年&amp;2025年优化'!$D:$L,9,0)*VLOOKUP('5.成本表'!$D2163,系数辅助表!$C:$G,5,0)/VLOOKUP($D2163,系数辅助表!$C:$E,3,0),0)</f>
        <v>0</v>
      </c>
      <c r="I2163" s="36">
        <f>VLOOKUP($D2163,系数辅助表!$C:$F,4,0)</f>
        <v>1.5237233215154999</v>
      </c>
      <c r="J2163" s="2" t="s">
        <v>69</v>
      </c>
    </row>
    <row r="2164" spans="2:10" x14ac:dyDescent="0.3">
      <c r="B2164" s="47" t="s">
        <v>189</v>
      </c>
      <c r="C2164" t="str">
        <f>VLOOKUP($B2164,'标准费用表-2024年&amp;2025年优化'!$D:$E,2,0)</f>
        <v>正大食品（广东）有限公司</v>
      </c>
      <c r="D2164" t="s">
        <v>71</v>
      </c>
      <c r="E2164" s="36">
        <f>IFERROR(VLOOKUP($B2164,'标准费用表-2024年&amp;2025年优化'!$D:$K,8,0)*VLOOKUP("白条",系数辅助表!$C:$G,5,0)*VLOOKUP('5.成本表'!$D2164,系数辅助表!$C:$G,5,0)/VLOOKUP('5.成本表'!$D2164,系数辅助表!$C:$E,3,0),)</f>
        <v>2.4419163010248801</v>
      </c>
      <c r="F2164" s="36">
        <f>IFERROR(VLOOKUP($B2164,'标准费用表-2024年&amp;2025年优化'!$D:$L,9,0)*VLOOKUP('5.成本表'!$D2164,系数辅助表!$C:$G,5,0)/VLOOKUP($D2164,系数辅助表!$C:$E,3,0),0)</f>
        <v>0</v>
      </c>
      <c r="I2164" s="36">
        <f>VLOOKUP($D2164,系数辅助表!$C:$F,4,0)</f>
        <v>4.0326564106466396</v>
      </c>
      <c r="J2164" s="2" t="s">
        <v>69</v>
      </c>
    </row>
    <row r="2165" spans="2:10" x14ac:dyDescent="0.3">
      <c r="B2165" s="47" t="s">
        <v>189</v>
      </c>
      <c r="C2165" t="str">
        <f>VLOOKUP($B2165,'标准费用表-2024年&amp;2025年优化'!$D:$E,2,0)</f>
        <v>正大食品（广东）有限公司</v>
      </c>
      <c r="D2165" t="s">
        <v>72</v>
      </c>
      <c r="E2165" s="36">
        <f>IFERROR(VLOOKUP($B2165,'标准费用表-2024年&amp;2025年优化'!$D:$K,8,0)*VLOOKUP("白条",系数辅助表!$C:$G,5,0)*VLOOKUP('5.成本表'!$D2165,系数辅助表!$C:$G,5,0)/VLOOKUP('5.成本表'!$D2165,系数辅助表!$C:$E,3,0),)</f>
        <v>1.42214836523976</v>
      </c>
      <c r="F2165" s="36">
        <f>IFERROR(VLOOKUP($B2165,'标准费用表-2024年&amp;2025年优化'!$D:$L,9,0)*VLOOKUP('5.成本表'!$D2165,系数辅助表!$C:$G,5,0)/VLOOKUP($D2165,系数辅助表!$C:$E,3,0),0)</f>
        <v>0</v>
      </c>
      <c r="I2165" s="36">
        <f>VLOOKUP($D2165,系数辅助表!$C:$F,4,0)</f>
        <v>2.34857997367385</v>
      </c>
      <c r="J2165" s="2" t="s">
        <v>69</v>
      </c>
    </row>
    <row r="2166" spans="2:10" x14ac:dyDescent="0.3">
      <c r="B2166" s="47" t="s">
        <v>189</v>
      </c>
      <c r="C2166" t="str">
        <f>VLOOKUP($B2166,'标准费用表-2024年&amp;2025年优化'!$D:$E,2,0)</f>
        <v>正大食品（广东）有限公司</v>
      </c>
      <c r="D2166" t="s">
        <v>73</v>
      </c>
      <c r="E2166" s="36">
        <f>IFERROR(VLOOKUP($B2166,'标准费用表-2024年&amp;2025年优化'!$D:$K,8,0)*VLOOKUP("白条",系数辅助表!$C:$G,5,0)*VLOOKUP('5.成本表'!$D2166,系数辅助表!$C:$G,5,0)/VLOOKUP('5.成本表'!$D2166,系数辅助表!$C:$E,3,0),)</f>
        <v>0.85433596068748296</v>
      </c>
      <c r="F2166" s="36">
        <f>IFERROR(VLOOKUP($B2166,'标准费用表-2024年&amp;2025年优化'!$D:$L,9,0)*VLOOKUP('5.成本表'!$D2166,系数辅助表!$C:$G,5,0)/VLOOKUP($D2166,系数辅助表!$C:$E,3,0),0)</f>
        <v>0</v>
      </c>
      <c r="I2166" s="36">
        <f>VLOOKUP($D2166,系数辅助表!$C:$F,4,0)</f>
        <v>1.41087693598112</v>
      </c>
      <c r="J2166" s="2" t="s">
        <v>69</v>
      </c>
    </row>
    <row r="2167" spans="2:10" x14ac:dyDescent="0.3">
      <c r="B2167" s="47" t="s">
        <v>189</v>
      </c>
      <c r="C2167" t="str">
        <f>VLOOKUP($B2167,'标准费用表-2024年&amp;2025年优化'!$D:$E,2,0)</f>
        <v>正大食品（广东）有限公司</v>
      </c>
      <c r="D2167" t="s">
        <v>74</v>
      </c>
      <c r="E2167" s="36">
        <f>IFERROR(VLOOKUP($B2167,'标准费用表-2024年&amp;2025年优化'!$D:$K,8,0)*VLOOKUP("白条",系数辅助表!$C:$G,5,0)*VLOOKUP('5.成本表'!$D2167,系数辅助表!$C:$G,5,0)/VLOOKUP('5.成本表'!$D2167,系数辅助表!$C:$E,3,0),)</f>
        <v>1.1536069240995901</v>
      </c>
      <c r="F2167" s="36">
        <f>IFERROR(VLOOKUP($B2167,'标准费用表-2024年&amp;2025年优化'!$D:$L,9,0)*VLOOKUP('5.成本表'!$D2167,系数辅助表!$C:$G,5,0)/VLOOKUP($D2167,系数辅助表!$C:$E,3,0),0)</f>
        <v>0</v>
      </c>
      <c r="I2167" s="36">
        <f>VLOOKUP($D2167,系数辅助表!$C:$F,4,0)</f>
        <v>1.9051022985038799</v>
      </c>
      <c r="J2167" s="2" t="s">
        <v>69</v>
      </c>
    </row>
    <row r="2168" spans="2:10" x14ac:dyDescent="0.3">
      <c r="B2168" s="47" t="s">
        <v>189</v>
      </c>
      <c r="C2168" t="str">
        <f>VLOOKUP($B2168,'标准费用表-2024年&amp;2025年优化'!$D:$E,2,0)</f>
        <v>正大食品（广东）有限公司</v>
      </c>
      <c r="D2168" t="s">
        <v>75</v>
      </c>
      <c r="E2168" s="36">
        <f>IFERROR(VLOOKUP($B2168,'标准费用表-2024年&amp;2025年优化'!$D:$K,8,0)*VLOOKUP("白条",系数辅助表!$C:$G,5,0)*VLOOKUP('5.成本表'!$D2168,系数辅助表!$C:$G,5,0)/VLOOKUP('5.成本表'!$D2168,系数辅助表!$C:$E,3,0),)</f>
        <v>0.86380592663467304</v>
      </c>
      <c r="F2168" s="36">
        <f>IFERROR(VLOOKUP($B2168,'标准费用表-2024年&amp;2025年优化'!$D:$L,9,0)*VLOOKUP('5.成本表'!$D2168,系数辅助表!$C:$G,5,0)/VLOOKUP($D2168,系数辅助表!$C:$E,3,0),0)</f>
        <v>0</v>
      </c>
      <c r="I2168" s="36">
        <f>VLOOKUP($D2168,系数辅助表!$C:$F,4,0)</f>
        <v>1.42651593182611</v>
      </c>
      <c r="J2168" s="2" t="s">
        <v>69</v>
      </c>
    </row>
    <row r="2169" spans="2:10" x14ac:dyDescent="0.3">
      <c r="B2169" s="47" t="s">
        <v>189</v>
      </c>
      <c r="C2169" t="str">
        <f>VLOOKUP($B2169,'标准费用表-2024年&amp;2025年优化'!$D:$E,2,0)</f>
        <v>正大食品（广东）有限公司</v>
      </c>
      <c r="D2169" t="s">
        <v>76</v>
      </c>
      <c r="E2169" s="36">
        <f>IFERROR(VLOOKUP($B2169,'标准费用表-2024年&amp;2025年优化'!$D:$K,8,0)*VLOOKUP("白条",系数辅助表!$C:$G,5,0)*VLOOKUP('5.成本表'!$D2169,系数辅助表!$C:$G,5,0)/VLOOKUP('5.成本表'!$D2169,系数辅助表!$C:$E,3,0),)</f>
        <v>0.88019574743663997</v>
      </c>
      <c r="F2169" s="36">
        <f>IFERROR(VLOOKUP($B2169,'标准费用表-2024年&amp;2025年优化'!$D:$L,9,0)*VLOOKUP('5.成本表'!$D2169,系数辅助表!$C:$G,5,0)/VLOOKUP($D2169,系数辅助表!$C:$E,3,0),0)</f>
        <v>0</v>
      </c>
      <c r="I2169" s="36">
        <f>VLOOKUP($D2169,系数辅助表!$C:$F,4,0)</f>
        <v>1.4535825908670701</v>
      </c>
      <c r="J2169" s="2" t="s">
        <v>69</v>
      </c>
    </row>
    <row r="2170" spans="2:10" x14ac:dyDescent="0.3">
      <c r="B2170" s="47" t="s">
        <v>189</v>
      </c>
      <c r="C2170" t="str">
        <f>VLOOKUP($B2170,'标准费用表-2024年&amp;2025年优化'!$D:$E,2,0)</f>
        <v>正大食品（广东）有限公司</v>
      </c>
      <c r="D2170" t="s">
        <v>77</v>
      </c>
      <c r="E2170" s="36">
        <f>IFERROR(VLOOKUP($B2170,'标准费用表-2024年&amp;2025年优化'!$D:$K,8,0)*VLOOKUP("白条",系数辅助表!$C:$G,5,0)*VLOOKUP('5.成本表'!$D2170,系数辅助表!$C:$G,5,0)/VLOOKUP('5.成本表'!$D2170,系数辅助表!$C:$E,3,0),)</f>
        <v>0.872599633946612</v>
      </c>
      <c r="F2170" s="36">
        <f>IFERROR(VLOOKUP($B2170,'标准费用表-2024年&amp;2025年优化'!$D:$L,9,0)*VLOOKUP('5.成本表'!$D2170,系数辅助表!$C:$G,5,0)/VLOOKUP($D2170,系数辅助表!$C:$E,3,0),0)</f>
        <v>0</v>
      </c>
      <c r="I2170" s="36">
        <f>VLOOKUP($D2170,系数辅助表!$C:$F,4,0)</f>
        <v>1.4410381331603499</v>
      </c>
      <c r="J2170" s="2" t="s">
        <v>69</v>
      </c>
    </row>
    <row r="2171" spans="2:10" x14ac:dyDescent="0.3">
      <c r="B2171" s="47" t="s">
        <v>189</v>
      </c>
      <c r="C2171" t="str">
        <f>VLOOKUP($B2171,'标准费用表-2024年&amp;2025年优化'!$D:$E,2,0)</f>
        <v>正大食品（广东）有限公司</v>
      </c>
      <c r="D2171" t="s">
        <v>78</v>
      </c>
      <c r="E2171" s="36">
        <f>IFERROR(VLOOKUP($B2171,'标准费用表-2024年&amp;2025年优化'!$D:$K,8,0)*VLOOKUP("白条",系数辅助表!$C:$G,5,0)*VLOOKUP('5.成本表'!$D2171,系数辅助表!$C:$G,5,0)/VLOOKUP('5.成本表'!$D2171,系数辅助表!$C:$E,3,0),)</f>
        <v>0.74834043252195104</v>
      </c>
      <c r="F2171" s="36">
        <f>IFERROR(VLOOKUP($B2171,'标准费用表-2024年&amp;2025年优化'!$D:$L,9,0)*VLOOKUP('5.成本表'!$D2171,系数辅助表!$C:$G,5,0)/VLOOKUP($D2171,系数辅助表!$C:$E,3,0),0)</f>
        <v>0</v>
      </c>
      <c r="I2171" s="36">
        <f>VLOOKUP($D2171,系数辅助表!$C:$F,4,0)</f>
        <v>1.2358326291892801</v>
      </c>
      <c r="J2171" s="2" t="s">
        <v>69</v>
      </c>
    </row>
    <row r="2172" spans="2:10" x14ac:dyDescent="0.3">
      <c r="B2172" s="47" t="s">
        <v>189</v>
      </c>
      <c r="C2172" t="str">
        <f>VLOOKUP($B2172,'标准费用表-2024年&amp;2025年优化'!$D:$E,2,0)</f>
        <v>正大食品（广东）有限公司</v>
      </c>
      <c r="D2172" t="s">
        <v>79</v>
      </c>
      <c r="E2172" s="36">
        <f>IFERROR(VLOOKUP($B2172,'标准费用表-2024年&amp;2025年优化'!$D:$K,8,0)*VLOOKUP("白条",系数辅助表!$C:$G,5,0)*VLOOKUP('5.成本表'!$D2172,系数辅助表!$C:$G,5,0)/VLOOKUP('5.成本表'!$D2172,系数辅助表!$C:$E,3,0),)</f>
        <v>0.52270848191385799</v>
      </c>
      <c r="F2172" s="36">
        <f>IFERROR(VLOOKUP($B2172,'标准费用表-2024年&amp;2025年优化'!$D:$L,9,0)*VLOOKUP('5.成本表'!$D2172,系数辅助表!$C:$G,5,0)/VLOOKUP($D2172,系数辅助表!$C:$E,3,0),0)</f>
        <v>0</v>
      </c>
      <c r="I2172" s="36">
        <f>VLOOKUP($D2172,系数辅助表!$C:$F,4,0)</f>
        <v>0.86321701919291904</v>
      </c>
      <c r="J2172" s="2" t="s">
        <v>69</v>
      </c>
    </row>
    <row r="2173" spans="2:10" x14ac:dyDescent="0.3">
      <c r="B2173" s="47" t="s">
        <v>189</v>
      </c>
      <c r="C2173" t="str">
        <f>VLOOKUP($B2173,'标准费用表-2024年&amp;2025年优化'!$D:$E,2,0)</f>
        <v>正大食品（广东）有限公司</v>
      </c>
      <c r="D2173" t="s">
        <v>80</v>
      </c>
      <c r="E2173" s="36">
        <f>IFERROR(VLOOKUP($B2173,'标准费用表-2024年&amp;2025年优化'!$D:$K,8,0)*VLOOKUP("白条",系数辅助表!$C:$G,5,0)*VLOOKUP('5.成本表'!$D2173,系数辅助表!$C:$G,5,0)/VLOOKUP('5.成本表'!$D2173,系数辅助表!$C:$E,3,0),)</f>
        <v>0.48253539043649002</v>
      </c>
      <c r="F2173" s="36">
        <f>IFERROR(VLOOKUP($B2173,'标准费用表-2024年&amp;2025年优化'!$D:$L,9,0)*VLOOKUP('5.成本表'!$D2173,系数辅助表!$C:$G,5,0)/VLOOKUP($D2173,系数辅助表!$C:$E,3,0),0)</f>
        <v>0</v>
      </c>
      <c r="I2173" s="36">
        <f>VLOOKUP($D2173,系数辅助表!$C:$F,4,0)</f>
        <v>0.796873928394225</v>
      </c>
      <c r="J2173" s="2" t="s">
        <v>69</v>
      </c>
    </row>
    <row r="2174" spans="2:10" x14ac:dyDescent="0.3">
      <c r="B2174" s="47" t="s">
        <v>189</v>
      </c>
      <c r="C2174" t="str">
        <f>VLOOKUP($B2174,'标准费用表-2024年&amp;2025年优化'!$D:$E,2,0)</f>
        <v>正大食品（广东）有限公司</v>
      </c>
      <c r="D2174" t="s">
        <v>81</v>
      </c>
      <c r="E2174" s="36">
        <f>IFERROR(VLOOKUP($B2174,'标准费用表-2024年&amp;2025年优化'!$D:$K,8,0)*VLOOKUP("白条",系数辅助表!$C:$G,5,0)*VLOOKUP('5.成本表'!$D2174,系数辅助表!$C:$G,5,0)/VLOOKUP('5.成本表'!$D2174,系数辅助表!$C:$E,3,0),)</f>
        <v>0.66536759575539395</v>
      </c>
      <c r="F2174" s="36">
        <f>IFERROR(VLOOKUP($B2174,'标准费用表-2024年&amp;2025年优化'!$D:$L,9,0)*VLOOKUP('5.成本表'!$D2174,系数辅助表!$C:$G,5,0)/VLOOKUP($D2174,系数辅助表!$C:$E,3,0),0)</f>
        <v>0</v>
      </c>
      <c r="I2174" s="36">
        <f>VLOOKUP($D2174,系数辅助表!$C:$F,4,0)</f>
        <v>1.09880870991909</v>
      </c>
      <c r="J2174" s="2" t="s">
        <v>69</v>
      </c>
    </row>
    <row r="2175" spans="2:10" x14ac:dyDescent="0.3">
      <c r="B2175" s="47" t="s">
        <v>189</v>
      </c>
      <c r="C2175" t="str">
        <f>VLOOKUP($B2175,'标准费用表-2024年&amp;2025年优化'!$D:$E,2,0)</f>
        <v>正大食品（广东）有限公司</v>
      </c>
      <c r="D2175" t="s">
        <v>82</v>
      </c>
      <c r="E2175" s="36">
        <f>IFERROR(VLOOKUP($B2175,'标准费用表-2024年&amp;2025年优化'!$D:$K,8,0)*VLOOKUP("白条",系数辅助表!$C:$G,5,0)*VLOOKUP('5.成本表'!$D2175,系数辅助表!$C:$G,5,0)/VLOOKUP('5.成本表'!$D2175,系数辅助表!$C:$E,3,0),)</f>
        <v>0.60624466849529102</v>
      </c>
      <c r="F2175" s="36">
        <f>IFERROR(VLOOKUP($B2175,'标准费用表-2024年&amp;2025年优化'!$D:$L,9,0)*VLOOKUP('5.成本表'!$D2175,系数辅助表!$C:$G,5,0)/VLOOKUP($D2175,系数辅助表!$C:$E,3,0),0)</f>
        <v>0</v>
      </c>
      <c r="I2175" s="36">
        <f>VLOOKUP($D2175,系数辅助表!$C:$F,4,0)</f>
        <v>1.0011712718416299</v>
      </c>
      <c r="J2175" s="2" t="s">
        <v>69</v>
      </c>
    </row>
    <row r="2176" spans="2:10" x14ac:dyDescent="0.3">
      <c r="B2176" s="47" t="s">
        <v>189</v>
      </c>
      <c r="C2176" t="str">
        <f>VLOOKUP($B2176,'标准费用表-2024年&amp;2025年优化'!$D:$E,2,0)</f>
        <v>正大食品（广东）有限公司</v>
      </c>
      <c r="D2176" t="s">
        <v>83</v>
      </c>
      <c r="E2176" s="36">
        <f>IFERROR(VLOOKUP($B2176,'标准费用表-2024年&amp;2025年优化'!$D:$K,8,0)*VLOOKUP("白条",系数辅助表!$C:$G,5,0)*VLOOKUP('5.成本表'!$D2176,系数辅助表!$C:$G,5,0)/VLOOKUP('5.成本表'!$D2176,系数辅助表!$C:$E,3,0),)</f>
        <v>0.54519549251307298</v>
      </c>
      <c r="F2176" s="36">
        <f>IFERROR(VLOOKUP($B2176,'标准费用表-2024年&amp;2025年优化'!$D:$L,9,0)*VLOOKUP('5.成本表'!$D2176,系数辅助表!$C:$G,5,0)/VLOOKUP($D2176,系数辅助表!$C:$E,3,0),0)</f>
        <v>0</v>
      </c>
      <c r="I2176" s="36">
        <f>VLOOKUP($D2176,系数辅助表!$C:$F,4,0)</f>
        <v>0.90035276680685095</v>
      </c>
      <c r="J2176" s="2" t="s">
        <v>69</v>
      </c>
    </row>
    <row r="2177" spans="2:10" x14ac:dyDescent="0.3">
      <c r="B2177" s="47" t="s">
        <v>189</v>
      </c>
      <c r="C2177" t="str">
        <f>VLOOKUP($B2177,'标准费用表-2024年&amp;2025年优化'!$D:$E,2,0)</f>
        <v>正大食品（广东）有限公司</v>
      </c>
      <c r="D2177" t="s">
        <v>84</v>
      </c>
      <c r="E2177" s="36">
        <f>IFERROR(VLOOKUP($B2177,'标准费用表-2024年&amp;2025年优化'!$D:$K,8,0)*VLOOKUP("白条",系数辅助表!$C:$G,5,0)*VLOOKUP('5.成本表'!$D2177,系数辅助表!$C:$G,5,0)/VLOOKUP('5.成本表'!$D2177,系数辅助表!$C:$E,3,0),)</f>
        <v>0.54760351670713603</v>
      </c>
      <c r="F2177" s="36">
        <f>IFERROR(VLOOKUP($B2177,'标准费用表-2024年&amp;2025年优化'!$D:$L,9,0)*VLOOKUP('5.成本表'!$D2177,系数辅助表!$C:$G,5,0)/VLOOKUP($D2177,系数辅助表!$C:$E,3,0),0)</f>
        <v>0</v>
      </c>
      <c r="I2177" s="36">
        <f>VLOOKUP($D2177,系数辅助表!$C:$F,4,0)</f>
        <v>0.90432945273957599</v>
      </c>
      <c r="J2177" s="2" t="s">
        <v>69</v>
      </c>
    </row>
    <row r="2178" spans="2:10" x14ac:dyDescent="0.3">
      <c r="B2178" s="47" t="s">
        <v>189</v>
      </c>
      <c r="C2178" t="str">
        <f>VLOOKUP($B2178,'标准费用表-2024年&amp;2025年优化'!$D:$E,2,0)</f>
        <v>正大食品（广东）有限公司</v>
      </c>
      <c r="D2178" t="s">
        <v>85</v>
      </c>
      <c r="E2178" s="36">
        <f>IFERROR(VLOOKUP($B2178,'标准费用表-2024年&amp;2025年优化'!$D:$K,8,0)*VLOOKUP("白条",系数辅助表!$C:$G,5,0)*VLOOKUP('5.成本表'!$D2178,系数辅助表!$C:$G,5,0)/VLOOKUP('5.成本表'!$D2178,系数辅助表!$C:$E,3,0),)</f>
        <v>0.68084904359398701</v>
      </c>
      <c r="F2178" s="36">
        <f>IFERROR(VLOOKUP($B2178,'标准费用表-2024年&amp;2025年优化'!$D:$L,9,0)*VLOOKUP('5.成本表'!$D2178,系数辅助表!$C:$G,5,0)/VLOOKUP($D2178,系数辅助表!$C:$E,3,0),0)</f>
        <v>0</v>
      </c>
      <c r="I2178" s="36">
        <f>VLOOKUP($D2178,系数辅助表!$C:$F,4,0)</f>
        <v>1.12437525363977</v>
      </c>
      <c r="J2178" s="2" t="s">
        <v>69</v>
      </c>
    </row>
    <row r="2179" spans="2:10" x14ac:dyDescent="0.3">
      <c r="B2179" s="47" t="s">
        <v>189</v>
      </c>
      <c r="C2179" t="str">
        <f>VLOOKUP($B2179,'标准费用表-2024年&amp;2025年优化'!$D:$E,2,0)</f>
        <v>正大食品（广东）有限公司</v>
      </c>
      <c r="D2179" t="s">
        <v>86</v>
      </c>
      <c r="E2179" s="36">
        <f>IFERROR(VLOOKUP($B2179,'标准费用表-2024年&amp;2025年优化'!$D:$K,8,0)*VLOOKUP("白条",系数辅助表!$C:$G,5,0)*VLOOKUP('5.成本表'!$D2179,系数辅助表!$C:$G,5,0)/VLOOKUP('5.成本表'!$D2179,系数辅助表!$C:$E,3,0),)</f>
        <v>0.59534576458968502</v>
      </c>
      <c r="F2179" s="36">
        <f>IFERROR(VLOOKUP($B2179,'标准费用表-2024年&amp;2025年优化'!$D:$L,9,0)*VLOOKUP('5.成本表'!$D2179,系数辅助表!$C:$G,5,0)/VLOOKUP($D2179,系数辅助表!$C:$E,3,0),0)</f>
        <v>0</v>
      </c>
      <c r="I2179" s="36">
        <f>VLOOKUP($D2179,系数辅助表!$C:$F,4,0)</f>
        <v>0.98317248347795105</v>
      </c>
      <c r="J2179" s="2" t="s">
        <v>69</v>
      </c>
    </row>
    <row r="2180" spans="2:10" x14ac:dyDescent="0.3">
      <c r="B2180" s="47" t="s">
        <v>189</v>
      </c>
      <c r="C2180" t="str">
        <f>VLOOKUP($B2180,'标准费用表-2024年&amp;2025年优化'!$D:$E,2,0)</f>
        <v>正大食品（广东）有限公司</v>
      </c>
      <c r="D2180" t="s">
        <v>87</v>
      </c>
      <c r="E2180" s="36">
        <f>IFERROR(VLOOKUP($B2180,'标准费用表-2024年&amp;2025年优化'!$D:$K,8,0)*VLOOKUP("白条",系数辅助表!$C:$G,5,0)*VLOOKUP('5.成本表'!$D2180,系数辅助表!$C:$G,5,0)/VLOOKUP('5.成本表'!$D2180,系数辅助表!$C:$E,3,0),)</f>
        <v>0.431204626930556</v>
      </c>
      <c r="F2180" s="36">
        <f>IFERROR(VLOOKUP($B2180,'标准费用表-2024年&amp;2025年优化'!$D:$L,9,0)*VLOOKUP('5.成本表'!$D2180,系数辅助表!$C:$G,5,0)/VLOOKUP($D2180,系数辅助表!$C:$E,3,0),0)</f>
        <v>0</v>
      </c>
      <c r="I2180" s="36">
        <f>VLOOKUP($D2180,系数辅助表!$C:$F,4,0)</f>
        <v>0.71210471151782795</v>
      </c>
      <c r="J2180" s="2" t="s">
        <v>69</v>
      </c>
    </row>
    <row r="2181" spans="2:10" x14ac:dyDescent="0.3">
      <c r="B2181" s="47" t="s">
        <v>189</v>
      </c>
      <c r="C2181" t="str">
        <f>VLOOKUP($B2181,'标准费用表-2024年&amp;2025年优化'!$D:$E,2,0)</f>
        <v>正大食品（广东）有限公司</v>
      </c>
      <c r="D2181" t="s">
        <v>88</v>
      </c>
      <c r="E2181" s="36">
        <f>IFERROR(VLOOKUP($B2181,'标准费用表-2024年&amp;2025年优化'!$D:$K,8,0)*VLOOKUP("白条",系数辅助表!$C:$G,5,0)*VLOOKUP('5.成本表'!$D2181,系数辅助表!$C:$G,5,0)/VLOOKUP('5.成本表'!$D2181,系数辅助表!$C:$E,3,0),)</f>
        <v>1.6286427438149</v>
      </c>
      <c r="F2181" s="36">
        <f>IFERROR(VLOOKUP($B2181,'标准费用表-2024年&amp;2025年优化'!$D:$L,9,0)*VLOOKUP('5.成本表'!$D2181,系数辅助表!$C:$G,5,0)/VLOOKUP($D2181,系数辅助表!$C:$E,3,0),0)</f>
        <v>0</v>
      </c>
      <c r="I2181" s="36">
        <f>VLOOKUP($D2181,系数辅助表!$C:$F,4,0)</f>
        <v>2.6895912029178799</v>
      </c>
      <c r="J2181" s="2" t="s">
        <v>69</v>
      </c>
    </row>
    <row r="2182" spans="2:10" x14ac:dyDescent="0.3">
      <c r="B2182" s="47" t="s">
        <v>189</v>
      </c>
      <c r="C2182" t="str">
        <f>VLOOKUP($B2182,'标准费用表-2024年&amp;2025年优化'!$D:$E,2,0)</f>
        <v>正大食品（广东）有限公司</v>
      </c>
      <c r="D2182" t="s">
        <v>89</v>
      </c>
      <c r="E2182" s="36">
        <f>IFERROR(VLOOKUP($B2182,'标准费用表-2024年&amp;2025年优化'!$D:$K,8,0)*VLOOKUP("白条",系数辅助表!$C:$G,5,0)*VLOOKUP('5.成本表'!$D2182,系数辅助表!$C:$G,5,0)/VLOOKUP('5.成本表'!$D2182,系数辅助表!$C:$E,3,0),)</f>
        <v>0.70047082616466705</v>
      </c>
      <c r="F2182" s="36">
        <f>IFERROR(VLOOKUP($B2182,'标准费用表-2024年&amp;2025年优化'!$D:$L,9,0)*VLOOKUP('5.成本表'!$D2182,系数辅助表!$C:$G,5,0)/VLOOKUP($D2182,系数辅助表!$C:$E,3,0),0)</f>
        <v>0</v>
      </c>
      <c r="I2182" s="36">
        <f>VLOOKUP($D2182,系数辅助表!$C:$F,4,0)</f>
        <v>1.1567792747107399</v>
      </c>
      <c r="J2182" s="2" t="s">
        <v>69</v>
      </c>
    </row>
    <row r="2183" spans="2:10" x14ac:dyDescent="0.3">
      <c r="B2183" s="47" t="s">
        <v>189</v>
      </c>
      <c r="C2183" t="str">
        <f>VLOOKUP($B2183,'标准费用表-2024年&amp;2025年优化'!$D:$E,2,0)</f>
        <v>正大食品（广东）有限公司</v>
      </c>
      <c r="D2183" t="s">
        <v>90</v>
      </c>
      <c r="E2183" s="36">
        <f>IFERROR(VLOOKUP($B2183,'标准费用表-2024年&amp;2025年优化'!$D:$K,8,0)*VLOOKUP("白条",系数辅助表!$C:$G,5,0)*VLOOKUP('5.成本表'!$D2183,系数辅助表!$C:$G,5,0)/VLOOKUP('5.成本表'!$D2183,系数辅助表!$C:$E,3,0),)</f>
        <v>0.44263330973124199</v>
      </c>
      <c r="F2183" s="36">
        <f>IFERROR(VLOOKUP($B2183,'标准费用表-2024年&amp;2025年优化'!$D:$L,9,0)*VLOOKUP('5.成本表'!$D2183,系数辅助表!$C:$G,5,0)/VLOOKUP($D2183,系数辅助表!$C:$E,3,0),0)</f>
        <v>0</v>
      </c>
      <c r="I2183" s="36">
        <f>VLOOKUP($D2183,系数辅助表!$C:$F,4,0)</f>
        <v>0.73097839320056501</v>
      </c>
      <c r="J2183" s="2" t="s">
        <v>69</v>
      </c>
    </row>
    <row r="2184" spans="2:10" x14ac:dyDescent="0.3">
      <c r="B2184" s="47" t="s">
        <v>189</v>
      </c>
      <c r="C2184" t="str">
        <f>VLOOKUP($B2184,'标准费用表-2024年&amp;2025年优化'!$D:$E,2,0)</f>
        <v>正大食品（广东）有限公司</v>
      </c>
      <c r="D2184" t="s">
        <v>91</v>
      </c>
      <c r="E2184" s="36">
        <f>IFERROR(VLOOKUP($B2184,'标准费用表-2024年&amp;2025年优化'!$D:$K,8,0)*VLOOKUP("白条",系数辅助表!$C:$G,5,0)*VLOOKUP('5.成本表'!$D2184,系数辅助表!$C:$G,5,0)/VLOOKUP('5.成本表'!$D2184,系数辅助表!$C:$E,3,0),)</f>
        <v>0.367011748276793</v>
      </c>
      <c r="F2184" s="36">
        <f>IFERROR(VLOOKUP($B2184,'标准费用表-2024年&amp;2025年优化'!$D:$L,9,0)*VLOOKUP('5.成本表'!$D2184,系数辅助表!$C:$G,5,0)/VLOOKUP($D2184,系数辅助表!$C:$E,3,0),0)</f>
        <v>0</v>
      </c>
      <c r="I2184" s="36">
        <f>VLOOKUP($D2184,系数辅助表!$C:$F,4,0)</f>
        <v>0.60609459826688905</v>
      </c>
      <c r="J2184" s="2" t="s">
        <v>69</v>
      </c>
    </row>
    <row r="2185" spans="2:10" x14ac:dyDescent="0.3">
      <c r="B2185" s="47" t="s">
        <v>189</v>
      </c>
      <c r="C2185" t="str">
        <f>VLOOKUP($B2185,'标准费用表-2024年&amp;2025年优化'!$D:$E,2,0)</f>
        <v>正大食品（广东）有限公司</v>
      </c>
      <c r="D2185" t="s">
        <v>92</v>
      </c>
      <c r="E2185" s="36">
        <f>IFERROR(VLOOKUP($B2185,'标准费用表-2024年&amp;2025年优化'!$D:$K,8,0)*VLOOKUP("白条",系数辅助表!$C:$G,5,0)*VLOOKUP('5.成本表'!$D2185,系数辅助表!$C:$G,5,0)/VLOOKUP('5.成本表'!$D2185,系数辅助表!$C:$E,3,0),)</f>
        <v>0.145668160569247</v>
      </c>
      <c r="F2185" s="36">
        <f>IFERROR(VLOOKUP($B2185,'标准费用表-2024年&amp;2025年优化'!$D:$L,9,0)*VLOOKUP('5.成本表'!$D2185,系数辅助表!$C:$G,5,0)/VLOOKUP($D2185,系数辅助表!$C:$E,3,0),0)</f>
        <v>0</v>
      </c>
      <c r="I2185" s="36">
        <f>VLOOKUP($D2185,系数辅助表!$C:$F,4,0)</f>
        <v>0.24056092393508099</v>
      </c>
      <c r="J2185" s="2" t="s">
        <v>69</v>
      </c>
    </row>
    <row r="2186" spans="2:10" x14ac:dyDescent="0.3">
      <c r="B2186" s="47" t="s">
        <v>189</v>
      </c>
      <c r="C2186" t="str">
        <f>VLOOKUP($B2186,'标准费用表-2024年&amp;2025年优化'!$D:$E,2,0)</f>
        <v>正大食品（广东）有限公司</v>
      </c>
      <c r="D2186" t="s">
        <v>93</v>
      </c>
      <c r="E2186" s="36">
        <f>E2162</f>
        <v>1.38062076194683</v>
      </c>
      <c r="F2186" s="36">
        <f>F2162</f>
        <v>0</v>
      </c>
      <c r="G2186">
        <v>0.2</v>
      </c>
      <c r="H2186">
        <v>0.3</v>
      </c>
      <c r="J2186" s="2" t="s">
        <v>69</v>
      </c>
    </row>
    <row r="2187" spans="2:10" x14ac:dyDescent="0.3">
      <c r="B2187" s="47" t="s">
        <v>189</v>
      </c>
      <c r="C2187" t="str">
        <f>VLOOKUP($B2187,'标准费用表-2024年&amp;2025年优化'!$D:$E,2,0)</f>
        <v>正大食品（广东）有限公司</v>
      </c>
      <c r="D2187" t="s">
        <v>96</v>
      </c>
      <c r="E2187" s="36">
        <f t="shared" ref="E2187:F2187" si="952">E2163</f>
        <v>0.92266844436266404</v>
      </c>
      <c r="F2187" s="36">
        <f t="shared" si="952"/>
        <v>0</v>
      </c>
      <c r="G2187">
        <v>0.2</v>
      </c>
      <c r="H2187">
        <v>0.3</v>
      </c>
      <c r="J2187" s="2" t="s">
        <v>69</v>
      </c>
    </row>
    <row r="2188" spans="2:10" x14ac:dyDescent="0.3">
      <c r="B2188" s="47" t="s">
        <v>189</v>
      </c>
      <c r="C2188" t="str">
        <f>VLOOKUP($B2188,'标准费用表-2024年&amp;2025年优化'!$D:$E,2,0)</f>
        <v>正大食品（广东）有限公司</v>
      </c>
      <c r="D2188" t="s">
        <v>97</v>
      </c>
      <c r="E2188" s="36">
        <f t="shared" ref="E2188:F2188" si="953">E2164</f>
        <v>2.4419163010248801</v>
      </c>
      <c r="F2188" s="36">
        <f t="shared" si="953"/>
        <v>0</v>
      </c>
      <c r="G2188">
        <v>0.2</v>
      </c>
      <c r="H2188">
        <v>0.3</v>
      </c>
      <c r="J2188" s="2" t="s">
        <v>69</v>
      </c>
    </row>
    <row r="2189" spans="2:10" x14ac:dyDescent="0.3">
      <c r="B2189" s="47" t="s">
        <v>189</v>
      </c>
      <c r="C2189" t="str">
        <f>VLOOKUP($B2189,'标准费用表-2024年&amp;2025年优化'!$D:$E,2,0)</f>
        <v>正大食品（广东）有限公司</v>
      </c>
      <c r="D2189" t="s">
        <v>98</v>
      </c>
      <c r="E2189" s="36">
        <f t="shared" ref="E2189:F2189" si="954">E2165</f>
        <v>1.42214836523976</v>
      </c>
      <c r="F2189" s="36">
        <f t="shared" si="954"/>
        <v>0</v>
      </c>
      <c r="G2189">
        <v>0.2</v>
      </c>
      <c r="H2189">
        <v>0.3</v>
      </c>
      <c r="J2189" s="2" t="s">
        <v>69</v>
      </c>
    </row>
    <row r="2190" spans="2:10" x14ac:dyDescent="0.3">
      <c r="B2190" s="47" t="s">
        <v>189</v>
      </c>
      <c r="C2190" t="str">
        <f>VLOOKUP($B2190,'标准费用表-2024年&amp;2025年优化'!$D:$E,2,0)</f>
        <v>正大食品（广东）有限公司</v>
      </c>
      <c r="D2190" t="s">
        <v>99</v>
      </c>
      <c r="E2190" s="36">
        <f t="shared" ref="E2190:F2190" si="955">E2166</f>
        <v>0.85433596068748296</v>
      </c>
      <c r="F2190" s="36">
        <f t="shared" si="955"/>
        <v>0</v>
      </c>
      <c r="G2190">
        <v>0.2</v>
      </c>
      <c r="H2190">
        <v>0.3</v>
      </c>
      <c r="J2190" s="2" t="s">
        <v>69</v>
      </c>
    </row>
    <row r="2191" spans="2:10" x14ac:dyDescent="0.3">
      <c r="B2191" s="47" t="s">
        <v>189</v>
      </c>
      <c r="C2191" t="str">
        <f>VLOOKUP($B2191,'标准费用表-2024年&amp;2025年优化'!$D:$E,2,0)</f>
        <v>正大食品（广东）有限公司</v>
      </c>
      <c r="D2191" t="s">
        <v>100</v>
      </c>
      <c r="E2191" s="36">
        <f t="shared" ref="E2191:F2191" si="956">E2167</f>
        <v>1.1536069240995901</v>
      </c>
      <c r="F2191" s="36">
        <f t="shared" si="956"/>
        <v>0</v>
      </c>
      <c r="G2191">
        <v>0.2</v>
      </c>
      <c r="H2191">
        <v>0.3</v>
      </c>
      <c r="J2191" s="2" t="s">
        <v>69</v>
      </c>
    </row>
    <row r="2192" spans="2:10" x14ac:dyDescent="0.3">
      <c r="B2192" s="47" t="s">
        <v>189</v>
      </c>
      <c r="C2192" t="str">
        <f>VLOOKUP($B2192,'标准费用表-2024年&amp;2025年优化'!$D:$E,2,0)</f>
        <v>正大食品（广东）有限公司</v>
      </c>
      <c r="D2192" t="s">
        <v>101</v>
      </c>
      <c r="E2192" s="36">
        <f t="shared" ref="E2192:F2192" si="957">E2168</f>
        <v>0.86380592663467304</v>
      </c>
      <c r="F2192" s="36">
        <f t="shared" si="957"/>
        <v>0</v>
      </c>
      <c r="G2192">
        <v>0.2</v>
      </c>
      <c r="H2192">
        <v>0.3</v>
      </c>
      <c r="J2192" s="2" t="s">
        <v>69</v>
      </c>
    </row>
    <row r="2193" spans="2:10" x14ac:dyDescent="0.3">
      <c r="B2193" s="47" t="s">
        <v>189</v>
      </c>
      <c r="C2193" t="str">
        <f>VLOOKUP($B2193,'标准费用表-2024年&amp;2025年优化'!$D:$E,2,0)</f>
        <v>正大食品（广东）有限公司</v>
      </c>
      <c r="D2193" t="s">
        <v>102</v>
      </c>
      <c r="E2193" s="36">
        <f t="shared" ref="E2193:F2193" si="958">E2169</f>
        <v>0.88019574743663997</v>
      </c>
      <c r="F2193" s="36">
        <f t="shared" si="958"/>
        <v>0</v>
      </c>
      <c r="G2193">
        <v>0.2</v>
      </c>
      <c r="H2193">
        <v>0.3</v>
      </c>
      <c r="J2193" s="2" t="s">
        <v>69</v>
      </c>
    </row>
    <row r="2194" spans="2:10" x14ac:dyDescent="0.3">
      <c r="B2194" s="47" t="s">
        <v>189</v>
      </c>
      <c r="C2194" t="str">
        <f>VLOOKUP($B2194,'标准费用表-2024年&amp;2025年优化'!$D:$E,2,0)</f>
        <v>正大食品（广东）有限公司</v>
      </c>
      <c r="D2194" t="s">
        <v>103</v>
      </c>
      <c r="E2194" s="36">
        <f t="shared" ref="E2194:F2194" si="959">E2170</f>
        <v>0.872599633946612</v>
      </c>
      <c r="F2194" s="36">
        <f t="shared" si="959"/>
        <v>0</v>
      </c>
      <c r="G2194">
        <v>0.2</v>
      </c>
      <c r="H2194">
        <v>0.3</v>
      </c>
      <c r="J2194" s="2" t="s">
        <v>69</v>
      </c>
    </row>
    <row r="2195" spans="2:10" x14ac:dyDescent="0.3">
      <c r="B2195" s="47" t="s">
        <v>189</v>
      </c>
      <c r="C2195" t="str">
        <f>VLOOKUP($B2195,'标准费用表-2024年&amp;2025年优化'!$D:$E,2,0)</f>
        <v>正大食品（广东）有限公司</v>
      </c>
      <c r="D2195" t="s">
        <v>104</v>
      </c>
      <c r="E2195" s="36">
        <f t="shared" ref="E2195:F2195" si="960">E2171</f>
        <v>0.74834043252195104</v>
      </c>
      <c r="F2195" s="36">
        <f t="shared" si="960"/>
        <v>0</v>
      </c>
      <c r="G2195">
        <v>0.2</v>
      </c>
      <c r="H2195">
        <v>0.3</v>
      </c>
      <c r="J2195" s="2" t="s">
        <v>69</v>
      </c>
    </row>
    <row r="2196" spans="2:10" x14ac:dyDescent="0.3">
      <c r="B2196" s="47" t="s">
        <v>189</v>
      </c>
      <c r="C2196" t="str">
        <f>VLOOKUP($B2196,'标准费用表-2024年&amp;2025年优化'!$D:$E,2,0)</f>
        <v>正大食品（广东）有限公司</v>
      </c>
      <c r="D2196" t="s">
        <v>105</v>
      </c>
      <c r="E2196" s="36">
        <f t="shared" ref="E2196:F2196" si="961">E2172</f>
        <v>0.52270848191385799</v>
      </c>
      <c r="F2196" s="36">
        <f t="shared" si="961"/>
        <v>0</v>
      </c>
      <c r="G2196">
        <v>0.2</v>
      </c>
      <c r="H2196">
        <v>0.3</v>
      </c>
      <c r="J2196" s="2" t="s">
        <v>69</v>
      </c>
    </row>
    <row r="2197" spans="2:10" x14ac:dyDescent="0.3">
      <c r="B2197" s="47" t="s">
        <v>189</v>
      </c>
      <c r="C2197" t="str">
        <f>VLOOKUP($B2197,'标准费用表-2024年&amp;2025年优化'!$D:$E,2,0)</f>
        <v>正大食品（广东）有限公司</v>
      </c>
      <c r="D2197" t="s">
        <v>106</v>
      </c>
      <c r="E2197" s="36">
        <f t="shared" ref="E2197:F2197" si="962">E2173</f>
        <v>0.48253539043649002</v>
      </c>
      <c r="F2197" s="36">
        <f t="shared" si="962"/>
        <v>0</v>
      </c>
      <c r="G2197">
        <v>0.2</v>
      </c>
      <c r="H2197">
        <v>0.3</v>
      </c>
      <c r="J2197" s="2" t="s">
        <v>69</v>
      </c>
    </row>
    <row r="2198" spans="2:10" x14ac:dyDescent="0.3">
      <c r="B2198" s="47" t="s">
        <v>189</v>
      </c>
      <c r="C2198" t="str">
        <f>VLOOKUP($B2198,'标准费用表-2024年&amp;2025年优化'!$D:$E,2,0)</f>
        <v>正大食品（广东）有限公司</v>
      </c>
      <c r="D2198" t="s">
        <v>107</v>
      </c>
      <c r="E2198" s="36">
        <f t="shared" ref="E2198:F2198" si="963">E2174</f>
        <v>0.66536759575539395</v>
      </c>
      <c r="F2198" s="36">
        <f t="shared" si="963"/>
        <v>0</v>
      </c>
      <c r="G2198">
        <v>0.2</v>
      </c>
      <c r="H2198">
        <v>0.3</v>
      </c>
      <c r="J2198" s="2" t="s">
        <v>69</v>
      </c>
    </row>
    <row r="2199" spans="2:10" x14ac:dyDescent="0.3">
      <c r="B2199" s="47" t="s">
        <v>189</v>
      </c>
      <c r="C2199" t="str">
        <f>VLOOKUP($B2199,'标准费用表-2024年&amp;2025年优化'!$D:$E,2,0)</f>
        <v>正大食品（广东）有限公司</v>
      </c>
      <c r="D2199" t="s">
        <v>108</v>
      </c>
      <c r="E2199" s="36">
        <f t="shared" ref="E2199:F2199" si="964">E2175</f>
        <v>0.60624466849529102</v>
      </c>
      <c r="F2199" s="36">
        <f t="shared" si="964"/>
        <v>0</v>
      </c>
      <c r="G2199">
        <v>0.2</v>
      </c>
      <c r="H2199">
        <v>0.3</v>
      </c>
      <c r="J2199" s="2" t="s">
        <v>69</v>
      </c>
    </row>
    <row r="2200" spans="2:10" x14ac:dyDescent="0.3">
      <c r="B2200" s="47" t="s">
        <v>189</v>
      </c>
      <c r="C2200" t="str">
        <f>VLOOKUP($B2200,'标准费用表-2024年&amp;2025年优化'!$D:$E,2,0)</f>
        <v>正大食品（广东）有限公司</v>
      </c>
      <c r="D2200" t="s">
        <v>109</v>
      </c>
      <c r="E2200" s="36">
        <f t="shared" ref="E2200:F2200" si="965">E2176</f>
        <v>0.54519549251307298</v>
      </c>
      <c r="F2200" s="36">
        <f t="shared" si="965"/>
        <v>0</v>
      </c>
      <c r="G2200">
        <v>0.2</v>
      </c>
      <c r="H2200">
        <v>0.3</v>
      </c>
      <c r="J2200" s="2" t="s">
        <v>69</v>
      </c>
    </row>
    <row r="2201" spans="2:10" x14ac:dyDescent="0.3">
      <c r="B2201" s="47" t="s">
        <v>189</v>
      </c>
      <c r="C2201" t="str">
        <f>VLOOKUP($B2201,'标准费用表-2024年&amp;2025年优化'!$D:$E,2,0)</f>
        <v>正大食品（广东）有限公司</v>
      </c>
      <c r="D2201" t="s">
        <v>110</v>
      </c>
      <c r="E2201" s="36">
        <f t="shared" ref="E2201:F2201" si="966">E2177</f>
        <v>0.54760351670713603</v>
      </c>
      <c r="F2201" s="36">
        <f t="shared" si="966"/>
        <v>0</v>
      </c>
      <c r="G2201">
        <v>0.2</v>
      </c>
      <c r="H2201">
        <v>0.3</v>
      </c>
      <c r="J2201" s="2" t="s">
        <v>69</v>
      </c>
    </row>
    <row r="2202" spans="2:10" x14ac:dyDescent="0.3">
      <c r="B2202" s="47" t="s">
        <v>189</v>
      </c>
      <c r="C2202" t="str">
        <f>VLOOKUP($B2202,'标准费用表-2024年&amp;2025年优化'!$D:$E,2,0)</f>
        <v>正大食品（广东）有限公司</v>
      </c>
      <c r="D2202" t="s">
        <v>111</v>
      </c>
      <c r="E2202" s="36">
        <f t="shared" ref="E2202:F2202" si="967">E2178</f>
        <v>0.68084904359398701</v>
      </c>
      <c r="F2202" s="36">
        <f t="shared" si="967"/>
        <v>0</v>
      </c>
      <c r="G2202">
        <v>0.2</v>
      </c>
      <c r="H2202">
        <v>0.3</v>
      </c>
      <c r="J2202" s="2" t="s">
        <v>69</v>
      </c>
    </row>
    <row r="2203" spans="2:10" x14ac:dyDescent="0.3">
      <c r="B2203" s="47" t="s">
        <v>189</v>
      </c>
      <c r="C2203" t="str">
        <f>VLOOKUP($B2203,'标准费用表-2024年&amp;2025年优化'!$D:$E,2,0)</f>
        <v>正大食品（广东）有限公司</v>
      </c>
      <c r="D2203" t="s">
        <v>112</v>
      </c>
      <c r="E2203" s="36">
        <f t="shared" ref="E2203:F2203" si="968">E2179</f>
        <v>0.59534576458968502</v>
      </c>
      <c r="F2203" s="36">
        <f t="shared" si="968"/>
        <v>0</v>
      </c>
      <c r="G2203">
        <v>0.2</v>
      </c>
      <c r="H2203">
        <v>0.3</v>
      </c>
      <c r="J2203" s="2" t="s">
        <v>69</v>
      </c>
    </row>
    <row r="2204" spans="2:10" x14ac:dyDescent="0.3">
      <c r="B2204" s="47" t="s">
        <v>189</v>
      </c>
      <c r="C2204" t="str">
        <f>VLOOKUP($B2204,'标准费用表-2024年&amp;2025年优化'!$D:$E,2,0)</f>
        <v>正大食品（广东）有限公司</v>
      </c>
      <c r="D2204" t="s">
        <v>113</v>
      </c>
      <c r="E2204" s="36">
        <f t="shared" ref="E2204:F2204" si="969">E2180</f>
        <v>0.431204626930556</v>
      </c>
      <c r="F2204" s="36">
        <f t="shared" si="969"/>
        <v>0</v>
      </c>
      <c r="G2204">
        <v>0.2</v>
      </c>
      <c r="H2204">
        <v>0.3</v>
      </c>
      <c r="J2204" s="2" t="s">
        <v>69</v>
      </c>
    </row>
    <row r="2205" spans="2:10" x14ac:dyDescent="0.3">
      <c r="B2205" s="47" t="s">
        <v>189</v>
      </c>
      <c r="C2205" t="str">
        <f>VLOOKUP($B2205,'标准费用表-2024年&amp;2025年优化'!$D:$E,2,0)</f>
        <v>正大食品（广东）有限公司</v>
      </c>
      <c r="D2205" t="s">
        <v>114</v>
      </c>
      <c r="E2205" s="36">
        <f t="shared" ref="E2205:F2205" si="970">E2181</f>
        <v>1.6286427438149</v>
      </c>
      <c r="F2205" s="36">
        <f t="shared" si="970"/>
        <v>0</v>
      </c>
      <c r="G2205">
        <v>0.2</v>
      </c>
      <c r="H2205">
        <v>0.3</v>
      </c>
      <c r="J2205" s="2" t="s">
        <v>69</v>
      </c>
    </row>
    <row r="2206" spans="2:10" x14ac:dyDescent="0.3">
      <c r="B2206" s="47" t="s">
        <v>189</v>
      </c>
      <c r="C2206" t="str">
        <f>VLOOKUP($B2206,'标准费用表-2024年&amp;2025年优化'!$D:$E,2,0)</f>
        <v>正大食品（广东）有限公司</v>
      </c>
      <c r="D2206" t="s">
        <v>115</v>
      </c>
      <c r="E2206" s="36">
        <f t="shared" ref="E2206:F2206" si="971">E2182</f>
        <v>0.70047082616466705</v>
      </c>
      <c r="F2206" s="36">
        <f t="shared" si="971"/>
        <v>0</v>
      </c>
      <c r="G2206">
        <v>0.2</v>
      </c>
      <c r="H2206">
        <v>0.3</v>
      </c>
      <c r="J2206" s="2" t="s">
        <v>69</v>
      </c>
    </row>
    <row r="2207" spans="2:10" x14ac:dyDescent="0.3">
      <c r="B2207" s="47" t="s">
        <v>189</v>
      </c>
      <c r="C2207" t="str">
        <f>VLOOKUP($B2207,'标准费用表-2024年&amp;2025年优化'!$D:$E,2,0)</f>
        <v>正大食品（广东）有限公司</v>
      </c>
      <c r="D2207" t="s">
        <v>116</v>
      </c>
      <c r="E2207" s="36">
        <f t="shared" ref="E2207:F2207" si="972">E2183</f>
        <v>0.44263330973124199</v>
      </c>
      <c r="F2207" s="36">
        <f t="shared" si="972"/>
        <v>0</v>
      </c>
      <c r="G2207">
        <v>0.2</v>
      </c>
      <c r="H2207">
        <v>0.3</v>
      </c>
      <c r="J2207" s="2" t="s">
        <v>69</v>
      </c>
    </row>
    <row r="2208" spans="2:10" x14ac:dyDescent="0.3">
      <c r="B2208" s="47" t="s">
        <v>189</v>
      </c>
      <c r="C2208" t="str">
        <f>VLOOKUP($B2208,'标准费用表-2024年&amp;2025年优化'!$D:$E,2,0)</f>
        <v>正大食品（广东）有限公司</v>
      </c>
      <c r="D2208" t="s">
        <v>117</v>
      </c>
      <c r="E2208" s="36">
        <f t="shared" ref="E2208:F2208" si="973">E2184</f>
        <v>0.367011748276793</v>
      </c>
      <c r="F2208" s="36">
        <f t="shared" si="973"/>
        <v>0</v>
      </c>
      <c r="G2208">
        <v>0.2</v>
      </c>
      <c r="H2208">
        <v>0.3</v>
      </c>
      <c r="J2208" s="2" t="s">
        <v>69</v>
      </c>
    </row>
    <row r="2209" spans="2:10" x14ac:dyDescent="0.3">
      <c r="B2209" s="47" t="s">
        <v>189</v>
      </c>
      <c r="C2209" t="str">
        <f>VLOOKUP($B2209,'标准费用表-2024年&amp;2025年优化'!$D:$E,2,0)</f>
        <v>正大食品（广东）有限公司</v>
      </c>
      <c r="D2209" t="s">
        <v>118</v>
      </c>
      <c r="E2209" s="36">
        <f t="shared" ref="E2209:F2209" si="974">E2185</f>
        <v>0.145668160569247</v>
      </c>
      <c r="F2209" s="36">
        <f t="shared" si="974"/>
        <v>0</v>
      </c>
      <c r="G2209">
        <v>0.2</v>
      </c>
      <c r="H2209">
        <v>0.3</v>
      </c>
      <c r="J2209" s="2" t="s">
        <v>69</v>
      </c>
    </row>
    <row r="2210" spans="2:10" x14ac:dyDescent="0.3">
      <c r="B2210" s="47" t="s">
        <v>189</v>
      </c>
      <c r="C2210" t="str">
        <f>VLOOKUP($B2210,'标准费用表-2024年&amp;2025年优化'!$D:$E,2,0)</f>
        <v>正大食品（广东）有限公司</v>
      </c>
      <c r="D2210" t="s">
        <v>119</v>
      </c>
      <c r="E2210" s="36">
        <f>E2138</f>
        <v>0.52684377404506</v>
      </c>
      <c r="F2210" s="36">
        <f t="shared" ref="F2210" si="975">F2186</f>
        <v>0</v>
      </c>
      <c r="G2210">
        <v>0.2</v>
      </c>
      <c r="H2210">
        <v>0.3</v>
      </c>
      <c r="J2210" s="2" t="s">
        <v>69</v>
      </c>
    </row>
    <row r="2211" spans="2:10" x14ac:dyDescent="0.3">
      <c r="B2211" s="47" t="s">
        <v>189</v>
      </c>
      <c r="C2211" t="str">
        <f>VLOOKUP($B2211,'标准费用表-2024年&amp;2025年优化'!$D:$E,2,0)</f>
        <v>正大食品（广东）有限公司</v>
      </c>
      <c r="D2211" t="s">
        <v>120</v>
      </c>
      <c r="E2211" s="36">
        <f t="shared" ref="E2211:E2233" si="976">E2139</f>
        <v>1.4080551083113499</v>
      </c>
      <c r="F2211" s="36">
        <f t="shared" ref="F2211" si="977">F2187</f>
        <v>0</v>
      </c>
      <c r="G2211">
        <v>0.2</v>
      </c>
      <c r="H2211">
        <v>0.3</v>
      </c>
      <c r="J2211" s="2" t="s">
        <v>69</v>
      </c>
    </row>
    <row r="2212" spans="2:10" x14ac:dyDescent="0.3">
      <c r="B2212" s="47" t="s">
        <v>189</v>
      </c>
      <c r="C2212" t="str">
        <f>VLOOKUP($B2212,'标准费用表-2024年&amp;2025年优化'!$D:$E,2,0)</f>
        <v>正大食品（广东）有限公司</v>
      </c>
      <c r="D2212" t="s">
        <v>121</v>
      </c>
      <c r="E2212" s="36">
        <f t="shared" si="976"/>
        <v>2.6061607160393101</v>
      </c>
      <c r="F2212" s="36">
        <f t="shared" ref="F2212" si="978">F2188</f>
        <v>0</v>
      </c>
      <c r="G2212">
        <v>0.2</v>
      </c>
      <c r="H2212">
        <v>0.3</v>
      </c>
      <c r="J2212" s="2" t="s">
        <v>69</v>
      </c>
    </row>
    <row r="2213" spans="2:10" x14ac:dyDescent="0.3">
      <c r="B2213" s="47" t="s">
        <v>189</v>
      </c>
      <c r="C2213" t="str">
        <f>VLOOKUP($B2213,'标准费用表-2024年&amp;2025年优化'!$D:$E,2,0)</f>
        <v>正大食品（广东）有限公司</v>
      </c>
      <c r="D2213" t="s">
        <v>122</v>
      </c>
      <c r="E2213" s="36">
        <f t="shared" si="976"/>
        <v>0.54769796069725196</v>
      </c>
      <c r="F2213" s="36">
        <f t="shared" ref="F2213" si="979">F2189</f>
        <v>0</v>
      </c>
      <c r="G2213">
        <v>0.2</v>
      </c>
      <c r="H2213">
        <v>0.3</v>
      </c>
      <c r="J2213" s="2" t="s">
        <v>69</v>
      </c>
    </row>
    <row r="2214" spans="2:10" x14ac:dyDescent="0.3">
      <c r="B2214" s="47" t="s">
        <v>189</v>
      </c>
      <c r="C2214" t="str">
        <f>VLOOKUP($B2214,'标准费用表-2024年&amp;2025年优化'!$D:$E,2,0)</f>
        <v>正大食品（广东）有限公司</v>
      </c>
      <c r="D2214" t="s">
        <v>123</v>
      </c>
      <c r="E2214" s="36">
        <f t="shared" si="976"/>
        <v>0.241794701923877</v>
      </c>
      <c r="F2214" s="36">
        <f t="shared" ref="F2214" si="980">F2190</f>
        <v>0</v>
      </c>
      <c r="G2214">
        <v>0.2</v>
      </c>
      <c r="H2214">
        <v>0.3</v>
      </c>
      <c r="J2214" s="2" t="s">
        <v>69</v>
      </c>
    </row>
    <row r="2215" spans="2:10" x14ac:dyDescent="0.3">
      <c r="B2215" s="47" t="s">
        <v>189</v>
      </c>
      <c r="C2215" t="str">
        <f>VLOOKUP($B2215,'标准费用表-2024年&amp;2025年优化'!$D:$E,2,0)</f>
        <v>正大食品（广东）有限公司</v>
      </c>
      <c r="D2215" t="s">
        <v>124</v>
      </c>
      <c r="E2215" s="36">
        <f t="shared" si="976"/>
        <v>0.74832252372129904</v>
      </c>
      <c r="F2215" s="36">
        <f t="shared" ref="F2215" si="981">F2191</f>
        <v>0</v>
      </c>
      <c r="G2215">
        <v>0.2</v>
      </c>
      <c r="H2215">
        <v>0.3</v>
      </c>
      <c r="J2215" s="2" t="s">
        <v>69</v>
      </c>
    </row>
    <row r="2216" spans="2:10" x14ac:dyDescent="0.3">
      <c r="B2216" s="47" t="s">
        <v>189</v>
      </c>
      <c r="C2216" t="str">
        <f>VLOOKUP($B2216,'标准费用表-2024年&amp;2025年优化'!$D:$E,2,0)</f>
        <v>正大食品（广东）有限公司</v>
      </c>
      <c r="D2216" t="s">
        <v>125</v>
      </c>
      <c r="E2216" s="36">
        <f t="shared" si="976"/>
        <v>1.2361702654089199</v>
      </c>
      <c r="F2216" s="36">
        <f t="shared" ref="F2216" si="982">F2192</f>
        <v>0</v>
      </c>
      <c r="G2216">
        <v>0.2</v>
      </c>
      <c r="H2216">
        <v>0.3</v>
      </c>
      <c r="J2216" s="2" t="s">
        <v>69</v>
      </c>
    </row>
    <row r="2217" spans="2:10" x14ac:dyDescent="0.3">
      <c r="B2217" s="47" t="s">
        <v>189</v>
      </c>
      <c r="C2217" t="str">
        <f>VLOOKUP($B2217,'标准费用表-2024年&amp;2025年优化'!$D:$E,2,0)</f>
        <v>正大食品（广东）有限公司</v>
      </c>
      <c r="D2217" t="s">
        <v>126</v>
      </c>
      <c r="E2217" s="36">
        <f t="shared" si="976"/>
        <v>1.7932440825663001</v>
      </c>
      <c r="F2217" s="36">
        <f t="shared" ref="F2217" si="983">F2193</f>
        <v>0</v>
      </c>
      <c r="G2217">
        <v>0.2</v>
      </c>
      <c r="H2217">
        <v>0.3</v>
      </c>
      <c r="J2217" s="2" t="s">
        <v>69</v>
      </c>
    </row>
    <row r="2218" spans="2:10" x14ac:dyDescent="0.3">
      <c r="B2218" s="47" t="s">
        <v>189</v>
      </c>
      <c r="C2218" t="str">
        <f>VLOOKUP($B2218,'标准费用表-2024年&amp;2025年优化'!$D:$E,2,0)</f>
        <v>正大食品（广东）有限公司</v>
      </c>
      <c r="D2218" t="s">
        <v>127</v>
      </c>
      <c r="E2218" s="36">
        <f t="shared" si="976"/>
        <v>1.0476901068872799</v>
      </c>
      <c r="F2218" s="36">
        <f t="shared" ref="F2218" si="984">F2194</f>
        <v>0</v>
      </c>
      <c r="G2218">
        <v>0.2</v>
      </c>
      <c r="H2218">
        <v>0.3</v>
      </c>
      <c r="J2218" s="2" t="s">
        <v>69</v>
      </c>
    </row>
    <row r="2219" spans="2:10" x14ac:dyDescent="0.3">
      <c r="B2219" s="47" t="s">
        <v>189</v>
      </c>
      <c r="C2219" t="str">
        <f>VLOOKUP($B2219,'标准费用表-2024年&amp;2025年优化'!$D:$E,2,0)</f>
        <v>正大食品（广东）有限公司</v>
      </c>
      <c r="D2219" t="s">
        <v>128</v>
      </c>
      <c r="E2219" s="36">
        <f t="shared" si="976"/>
        <v>0.96215672112422101</v>
      </c>
      <c r="F2219" s="36">
        <f t="shared" ref="F2219" si="985">F2195</f>
        <v>0</v>
      </c>
      <c r="G2219">
        <v>0.2</v>
      </c>
      <c r="H2219">
        <v>0.3</v>
      </c>
      <c r="J2219" s="2" t="s">
        <v>69</v>
      </c>
    </row>
    <row r="2220" spans="2:10" x14ac:dyDescent="0.3">
      <c r="B2220" s="47" t="s">
        <v>189</v>
      </c>
      <c r="C2220" t="str">
        <f>VLOOKUP($B2220,'标准费用表-2024年&amp;2025年优化'!$D:$E,2,0)</f>
        <v>正大食品（广东）有限公司</v>
      </c>
      <c r="D2220" t="s">
        <v>129</v>
      </c>
      <c r="E2220" s="36">
        <f t="shared" si="976"/>
        <v>1.22914727468181</v>
      </c>
      <c r="F2220" s="36">
        <f t="shared" ref="F2220" si="986">F2196</f>
        <v>0</v>
      </c>
      <c r="G2220">
        <v>0.2</v>
      </c>
      <c r="H2220">
        <v>0.3</v>
      </c>
      <c r="J2220" s="2" t="s">
        <v>69</v>
      </c>
    </row>
    <row r="2221" spans="2:10" x14ac:dyDescent="0.3">
      <c r="B2221" s="47" t="s">
        <v>189</v>
      </c>
      <c r="C2221" t="str">
        <f>VLOOKUP($B2221,'标准费用表-2024年&amp;2025年优化'!$D:$E,2,0)</f>
        <v>正大食品（广东）有限公司</v>
      </c>
      <c r="D2221" t="s">
        <v>130</v>
      </c>
      <c r="E2221" s="36">
        <f t="shared" si="976"/>
        <v>2.13784407500316</v>
      </c>
      <c r="F2221" s="36">
        <f t="shared" ref="F2221" si="987">F2197</f>
        <v>0</v>
      </c>
      <c r="G2221">
        <v>0.2</v>
      </c>
      <c r="H2221">
        <v>0.3</v>
      </c>
      <c r="J2221" s="2" t="s">
        <v>69</v>
      </c>
    </row>
    <row r="2222" spans="2:10" x14ac:dyDescent="0.3">
      <c r="B2222" s="47" t="s">
        <v>189</v>
      </c>
      <c r="C2222" t="str">
        <f>VLOOKUP($B2222,'标准费用表-2024年&amp;2025年优化'!$D:$E,2,0)</f>
        <v>正大食品（广东）有限公司</v>
      </c>
      <c r="D2222" t="s">
        <v>131</v>
      </c>
      <c r="E2222" s="36">
        <f t="shared" si="976"/>
        <v>0.363979753998183</v>
      </c>
      <c r="F2222" s="36">
        <f t="shared" ref="F2222" si="988">F2198</f>
        <v>0</v>
      </c>
      <c r="G2222">
        <v>0.2</v>
      </c>
      <c r="H2222">
        <v>0.3</v>
      </c>
      <c r="J2222" s="2" t="s">
        <v>69</v>
      </c>
    </row>
    <row r="2223" spans="2:10" x14ac:dyDescent="0.3">
      <c r="B2223" s="47" t="s">
        <v>189</v>
      </c>
      <c r="C2223" t="str">
        <f>VLOOKUP($B2223,'标准费用表-2024年&amp;2025年优化'!$D:$E,2,0)</f>
        <v>正大食品（广东）有限公司</v>
      </c>
      <c r="D2223" t="s">
        <v>132</v>
      </c>
      <c r="E2223" s="36">
        <f t="shared" si="976"/>
        <v>8.4271249016105304E-2</v>
      </c>
      <c r="F2223" s="36">
        <f t="shared" ref="F2223" si="989">F2199</f>
        <v>0</v>
      </c>
      <c r="G2223">
        <v>0.2</v>
      </c>
      <c r="H2223">
        <v>0.3</v>
      </c>
      <c r="J2223" s="2" t="s">
        <v>69</v>
      </c>
    </row>
    <row r="2224" spans="2:10" x14ac:dyDescent="0.3">
      <c r="B2224" s="47" t="s">
        <v>189</v>
      </c>
      <c r="C2224" t="str">
        <f>VLOOKUP($B2224,'标准费用表-2024年&amp;2025年优化'!$D:$E,2,0)</f>
        <v>正大食品（广东）有限公司</v>
      </c>
      <c r="D2224" t="s">
        <v>133</v>
      </c>
      <c r="E2224" s="36">
        <f t="shared" si="976"/>
        <v>0.45212431366070299</v>
      </c>
      <c r="F2224" s="36">
        <f t="shared" ref="F2224" si="990">F2200</f>
        <v>0</v>
      </c>
      <c r="G2224">
        <v>0.2</v>
      </c>
      <c r="H2224">
        <v>0.3</v>
      </c>
      <c r="J2224" s="2" t="s">
        <v>69</v>
      </c>
    </row>
    <row r="2225" spans="2:10" x14ac:dyDescent="0.3">
      <c r="B2225" s="47" t="s">
        <v>189</v>
      </c>
      <c r="C2225" t="str">
        <f>VLOOKUP($B2225,'标准费用表-2024年&amp;2025年优化'!$D:$E,2,0)</f>
        <v>正大食品（广东）有限公司</v>
      </c>
      <c r="D2225" t="s">
        <v>134</v>
      </c>
      <c r="E2225" s="36">
        <f t="shared" si="976"/>
        <v>0.29572653116916903</v>
      </c>
      <c r="F2225" s="36">
        <f t="shared" ref="F2225" si="991">F2201</f>
        <v>0</v>
      </c>
      <c r="G2225">
        <v>0.2</v>
      </c>
      <c r="H2225">
        <v>0.3</v>
      </c>
      <c r="J2225" s="2" t="s">
        <v>69</v>
      </c>
    </row>
    <row r="2226" spans="2:10" x14ac:dyDescent="0.3">
      <c r="B2226" s="47" t="s">
        <v>189</v>
      </c>
      <c r="C2226" t="str">
        <f>VLOOKUP($B2226,'标准费用表-2024年&amp;2025年优化'!$D:$E,2,0)</f>
        <v>正大食品（广东）有限公司</v>
      </c>
      <c r="D2226" t="s">
        <v>135</v>
      </c>
      <c r="E2226" s="36">
        <f t="shared" si="976"/>
        <v>0.19601132828371201</v>
      </c>
      <c r="F2226" s="36">
        <f t="shared" ref="F2226" si="992">F2202</f>
        <v>0</v>
      </c>
      <c r="G2226">
        <v>0.2</v>
      </c>
      <c r="H2226">
        <v>0.3</v>
      </c>
      <c r="J2226" s="2" t="s">
        <v>69</v>
      </c>
    </row>
    <row r="2227" spans="2:10" x14ac:dyDescent="0.3">
      <c r="B2227" s="47" t="s">
        <v>189</v>
      </c>
      <c r="C2227" t="str">
        <f>VLOOKUP($B2227,'标准费用表-2024年&amp;2025年优化'!$D:$E,2,0)</f>
        <v>正大食品（广东）有限公司</v>
      </c>
      <c r="D2227" t="s">
        <v>136</v>
      </c>
      <c r="E2227" s="36">
        <f t="shared" si="976"/>
        <v>3.3841789049595401E-2</v>
      </c>
      <c r="F2227" s="36">
        <f t="shared" ref="F2227" si="993">F2203</f>
        <v>0</v>
      </c>
      <c r="G2227">
        <v>0.2</v>
      </c>
      <c r="H2227">
        <v>0.3</v>
      </c>
      <c r="J2227" s="2" t="s">
        <v>69</v>
      </c>
    </row>
    <row r="2228" spans="2:10" x14ac:dyDescent="0.3">
      <c r="B2228" s="47" t="s">
        <v>189</v>
      </c>
      <c r="C2228" t="str">
        <f>VLOOKUP($B2228,'标准费用表-2024年&amp;2025年优化'!$D:$E,2,0)</f>
        <v>正大食品（广东）有限公司</v>
      </c>
      <c r="D2228" t="s">
        <v>137</v>
      </c>
      <c r="E2228" s="36">
        <f t="shared" si="976"/>
        <v>0.177101097574934</v>
      </c>
      <c r="F2228" s="36">
        <f t="shared" ref="F2228" si="994">F2204</f>
        <v>0</v>
      </c>
      <c r="G2228">
        <v>0.2</v>
      </c>
      <c r="H2228">
        <v>0.3</v>
      </c>
      <c r="J2228" s="2" t="s">
        <v>69</v>
      </c>
    </row>
    <row r="2229" spans="2:10" x14ac:dyDescent="0.3">
      <c r="B2229" s="47" t="s">
        <v>189</v>
      </c>
      <c r="C2229" t="str">
        <f>VLOOKUP($B2229,'标准费用表-2024年&amp;2025年优化'!$D:$E,2,0)</f>
        <v>正大食品（广东）有限公司</v>
      </c>
      <c r="D2229" t="s">
        <v>138</v>
      </c>
      <c r="E2229" s="36">
        <f t="shared" si="976"/>
        <v>0.16251376156511299</v>
      </c>
      <c r="F2229" s="36">
        <f t="shared" ref="F2229" si="995">F2205</f>
        <v>0</v>
      </c>
      <c r="G2229">
        <v>0.2</v>
      </c>
      <c r="H2229">
        <v>0.3</v>
      </c>
      <c r="J2229" s="2" t="s">
        <v>69</v>
      </c>
    </row>
    <row r="2230" spans="2:10" x14ac:dyDescent="0.3">
      <c r="B2230" s="47" t="s">
        <v>189</v>
      </c>
      <c r="C2230" t="str">
        <f>VLOOKUP($B2230,'标准费用表-2024年&amp;2025年优化'!$D:$E,2,0)</f>
        <v>正大食品（广东）有限公司</v>
      </c>
      <c r="D2230" t="s">
        <v>139</v>
      </c>
      <c r="E2230" s="36">
        <f t="shared" si="976"/>
        <v>0.56855618424392496</v>
      </c>
      <c r="F2230" s="36">
        <f t="shared" ref="F2230" si="996">F2206</f>
        <v>0</v>
      </c>
      <c r="G2230">
        <v>0.2</v>
      </c>
      <c r="H2230">
        <v>0.3</v>
      </c>
      <c r="J2230" s="2" t="s">
        <v>69</v>
      </c>
    </row>
    <row r="2231" spans="2:10" x14ac:dyDescent="0.3">
      <c r="B2231" s="47" t="s">
        <v>189</v>
      </c>
      <c r="C2231" t="str">
        <f>VLOOKUP($B2231,'标准费用表-2024年&amp;2025年优化'!$D:$E,2,0)</f>
        <v>正大食品（广东）有限公司</v>
      </c>
      <c r="D2231" t="s">
        <v>140</v>
      </c>
      <c r="E2231" s="36">
        <f t="shared" si="976"/>
        <v>0.66593280535688204</v>
      </c>
      <c r="F2231" s="36">
        <f t="shared" ref="F2231" si="997">F2207</f>
        <v>0</v>
      </c>
      <c r="G2231">
        <v>0.2</v>
      </c>
      <c r="H2231">
        <v>0.3</v>
      </c>
      <c r="J2231" s="2" t="s">
        <v>69</v>
      </c>
    </row>
    <row r="2232" spans="2:10" x14ac:dyDescent="0.3">
      <c r="B2232" s="47" t="s">
        <v>189</v>
      </c>
      <c r="C2232" t="str">
        <f>VLOOKUP($B2232,'标准费用表-2024年&amp;2025年优化'!$D:$E,2,0)</f>
        <v>正大食品（广东）有限公司</v>
      </c>
      <c r="D2232" t="s">
        <v>141</v>
      </c>
      <c r="E2232" s="36">
        <f t="shared" si="976"/>
        <v>0.19041808844067401</v>
      </c>
      <c r="F2232" s="36">
        <f t="shared" ref="F2232" si="998">F2208</f>
        <v>0</v>
      </c>
      <c r="G2232">
        <v>0.2</v>
      </c>
      <c r="H2232">
        <v>0.3</v>
      </c>
      <c r="J2232" s="2" t="s">
        <v>69</v>
      </c>
    </row>
    <row r="2233" spans="2:10" x14ac:dyDescent="0.3">
      <c r="B2233" s="47" t="s">
        <v>189</v>
      </c>
      <c r="C2233" t="str">
        <f>VLOOKUP($B2233,'标准费用表-2024年&amp;2025年优化'!$D:$E,2,0)</f>
        <v>正大食品（广东）有限公司</v>
      </c>
      <c r="D2233" t="s">
        <v>142</v>
      </c>
      <c r="E2233" s="36">
        <f t="shared" si="976"/>
        <v>5.6654514492924399E-2</v>
      </c>
      <c r="F2233" s="36">
        <f t="shared" ref="F2233" si="999">F2209</f>
        <v>0</v>
      </c>
      <c r="G2233">
        <v>0.2</v>
      </c>
      <c r="H2233">
        <v>0.3</v>
      </c>
      <c r="J2233" s="2" t="s">
        <v>69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25"/>
  <sheetViews>
    <sheetView workbookViewId="0">
      <selection activeCell="I11" sqref="I11"/>
    </sheetView>
  </sheetViews>
  <sheetFormatPr defaultColWidth="9" defaultRowHeight="13.5" x14ac:dyDescent="0.3"/>
  <sheetData>
    <row r="2" spans="2:9" ht="40.5" x14ac:dyDescent="0.3">
      <c r="B2" s="39" t="s">
        <v>143</v>
      </c>
      <c r="C2" s="39" t="s">
        <v>144</v>
      </c>
      <c r="D2" s="39" t="s">
        <v>4</v>
      </c>
      <c r="E2" s="41" t="s">
        <v>202</v>
      </c>
      <c r="F2" s="41" t="s">
        <v>203</v>
      </c>
      <c r="G2" s="41" t="s">
        <v>5</v>
      </c>
      <c r="H2" s="39" t="s">
        <v>204</v>
      </c>
      <c r="I2" s="39" t="s">
        <v>205</v>
      </c>
    </row>
    <row r="3" spans="2:9" x14ac:dyDescent="0.3">
      <c r="B3" t="s">
        <v>146</v>
      </c>
      <c r="C3" t="s">
        <v>147</v>
      </c>
      <c r="D3" t="s">
        <v>32</v>
      </c>
      <c r="E3">
        <v>5000000</v>
      </c>
      <c r="F3">
        <v>7.3333333333333297E-3</v>
      </c>
    </row>
    <row r="4" spans="2:9" x14ac:dyDescent="0.3">
      <c r="B4" t="s">
        <v>148</v>
      </c>
      <c r="C4" t="s">
        <v>149</v>
      </c>
      <c r="D4" t="s">
        <v>27</v>
      </c>
      <c r="E4">
        <v>1000000</v>
      </c>
      <c r="F4">
        <v>7.3333333333333297E-3</v>
      </c>
    </row>
    <row r="5" spans="2:9" x14ac:dyDescent="0.3">
      <c r="B5" t="s">
        <v>150</v>
      </c>
      <c r="C5" t="s">
        <v>151</v>
      </c>
      <c r="D5" t="s">
        <v>20</v>
      </c>
      <c r="E5">
        <v>5000000</v>
      </c>
      <c r="F5">
        <v>7.3333333333333297E-3</v>
      </c>
    </row>
    <row r="6" spans="2:9" x14ac:dyDescent="0.3">
      <c r="B6" t="s">
        <v>152</v>
      </c>
      <c r="C6" t="s">
        <v>153</v>
      </c>
      <c r="D6" t="s">
        <v>14</v>
      </c>
      <c r="E6">
        <v>5000000</v>
      </c>
      <c r="F6">
        <v>7.3333333333333297E-3</v>
      </c>
    </row>
    <row r="7" spans="2:9" x14ac:dyDescent="0.3">
      <c r="B7" t="s">
        <v>154</v>
      </c>
      <c r="C7" t="s">
        <v>155</v>
      </c>
      <c r="D7" t="s">
        <v>15</v>
      </c>
      <c r="E7">
        <v>300000</v>
      </c>
      <c r="F7">
        <v>7.3333333333333297E-3</v>
      </c>
    </row>
    <row r="8" spans="2:9" x14ac:dyDescent="0.3">
      <c r="B8" t="s">
        <v>156</v>
      </c>
      <c r="C8" t="s">
        <v>157</v>
      </c>
      <c r="D8" t="s">
        <v>11</v>
      </c>
      <c r="E8">
        <v>500000</v>
      </c>
      <c r="F8">
        <v>7.3333333333333297E-3</v>
      </c>
    </row>
    <row r="9" spans="2:9" x14ac:dyDescent="0.3">
      <c r="B9" t="s">
        <v>158</v>
      </c>
      <c r="C9" t="s">
        <v>159</v>
      </c>
      <c r="D9" t="s">
        <v>23</v>
      </c>
      <c r="E9">
        <v>2000000</v>
      </c>
      <c r="F9">
        <v>7.3333333333333297E-3</v>
      </c>
    </row>
    <row r="10" spans="2:9" x14ac:dyDescent="0.3">
      <c r="B10" t="s">
        <v>160</v>
      </c>
      <c r="C10" t="s">
        <v>161</v>
      </c>
      <c r="D10" t="s">
        <v>33</v>
      </c>
      <c r="E10">
        <v>2000000</v>
      </c>
      <c r="F10">
        <v>7.3333333333333297E-3</v>
      </c>
    </row>
    <row r="11" spans="2:9" x14ac:dyDescent="0.3">
      <c r="B11" t="s">
        <v>162</v>
      </c>
      <c r="C11" t="s">
        <v>163</v>
      </c>
      <c r="D11" t="s">
        <v>11</v>
      </c>
      <c r="E11">
        <v>300000</v>
      </c>
      <c r="F11">
        <v>7.3333333333333297E-3</v>
      </c>
    </row>
    <row r="12" spans="2:9" x14ac:dyDescent="0.3">
      <c r="B12" t="s">
        <v>164</v>
      </c>
      <c r="C12" t="s">
        <v>165</v>
      </c>
      <c r="D12" t="s">
        <v>13</v>
      </c>
      <c r="E12">
        <v>2000000</v>
      </c>
      <c r="F12">
        <v>7.3333333333333297E-3</v>
      </c>
    </row>
    <row r="13" spans="2:9" x14ac:dyDescent="0.3">
      <c r="B13" t="s">
        <v>166</v>
      </c>
      <c r="C13" t="s">
        <v>167</v>
      </c>
      <c r="D13" t="s">
        <v>12</v>
      </c>
      <c r="E13">
        <v>0</v>
      </c>
      <c r="F13">
        <v>7.3333333333333297E-3</v>
      </c>
    </row>
    <row r="14" spans="2:9" x14ac:dyDescent="0.3">
      <c r="B14" t="s">
        <v>168</v>
      </c>
      <c r="C14" t="s">
        <v>169</v>
      </c>
      <c r="D14" t="s">
        <v>17</v>
      </c>
      <c r="E14">
        <v>0</v>
      </c>
      <c r="F14">
        <v>7.3333333333333297E-3</v>
      </c>
    </row>
    <row r="15" spans="2:9" x14ac:dyDescent="0.3">
      <c r="B15" t="s">
        <v>170</v>
      </c>
      <c r="C15" t="s">
        <v>171</v>
      </c>
      <c r="D15" t="s">
        <v>16</v>
      </c>
      <c r="E15">
        <v>20000</v>
      </c>
      <c r="F15">
        <v>7.3333333333333297E-3</v>
      </c>
    </row>
    <row r="16" spans="2:9" x14ac:dyDescent="0.3">
      <c r="B16" t="s">
        <v>172</v>
      </c>
      <c r="C16" t="s">
        <v>173</v>
      </c>
      <c r="D16" t="s">
        <v>28</v>
      </c>
      <c r="E16">
        <v>0</v>
      </c>
      <c r="F16">
        <v>7.3333333333333297E-3</v>
      </c>
    </row>
    <row r="17" spans="2:6" x14ac:dyDescent="0.3">
      <c r="B17" t="s">
        <v>174</v>
      </c>
      <c r="C17" t="s">
        <v>175</v>
      </c>
      <c r="D17" t="s">
        <v>24</v>
      </c>
      <c r="E17">
        <v>650000</v>
      </c>
      <c r="F17">
        <v>7.3333333333333297E-3</v>
      </c>
    </row>
    <row r="18" spans="2:6" x14ac:dyDescent="0.3">
      <c r="B18">
        <v>1522</v>
      </c>
      <c r="C18" t="s">
        <v>176</v>
      </c>
      <c r="D18" t="s">
        <v>32</v>
      </c>
      <c r="E18">
        <v>0</v>
      </c>
      <c r="F18">
        <v>7.3333333333333297E-3</v>
      </c>
    </row>
    <row r="19" spans="2:6" x14ac:dyDescent="0.3">
      <c r="B19" t="s">
        <v>177</v>
      </c>
      <c r="C19" t="s">
        <v>178</v>
      </c>
      <c r="D19" t="s">
        <v>32</v>
      </c>
      <c r="E19">
        <v>0</v>
      </c>
      <c r="F19">
        <v>7.3333333333333297E-3</v>
      </c>
    </row>
    <row r="20" spans="2:6" x14ac:dyDescent="0.3">
      <c r="B20" t="s">
        <v>179</v>
      </c>
      <c r="C20" t="s">
        <v>180</v>
      </c>
      <c r="D20" t="s">
        <v>34</v>
      </c>
      <c r="E20">
        <v>350000</v>
      </c>
      <c r="F20">
        <v>7.3333333333333297E-3</v>
      </c>
    </row>
    <row r="21" spans="2:6" x14ac:dyDescent="0.3">
      <c r="B21" t="s">
        <v>181</v>
      </c>
      <c r="C21" t="s">
        <v>182</v>
      </c>
      <c r="D21" t="s">
        <v>30</v>
      </c>
      <c r="E21">
        <v>460000</v>
      </c>
      <c r="F21">
        <v>7.3333333333333297E-3</v>
      </c>
    </row>
    <row r="22" spans="2:6" x14ac:dyDescent="0.3">
      <c r="B22" t="s">
        <v>183</v>
      </c>
      <c r="C22" t="s">
        <v>184</v>
      </c>
      <c r="D22" t="s">
        <v>22</v>
      </c>
      <c r="E22">
        <v>0</v>
      </c>
      <c r="F22">
        <v>7.3333333333333297E-3</v>
      </c>
    </row>
    <row r="23" spans="2:6" x14ac:dyDescent="0.3">
      <c r="B23" t="s">
        <v>185</v>
      </c>
      <c r="C23" t="s">
        <v>186</v>
      </c>
      <c r="D23" t="s">
        <v>25</v>
      </c>
      <c r="E23">
        <v>1000000</v>
      </c>
      <c r="F23">
        <v>7.3333333333333297E-3</v>
      </c>
    </row>
    <row r="24" spans="2:6" x14ac:dyDescent="0.3">
      <c r="B24" t="s">
        <v>187</v>
      </c>
      <c r="C24" t="s">
        <v>188</v>
      </c>
      <c r="D24" t="s">
        <v>21</v>
      </c>
      <c r="E24">
        <v>2000000</v>
      </c>
      <c r="F24">
        <v>7.3333333333333297E-3</v>
      </c>
    </row>
    <row r="25" spans="2:6" x14ac:dyDescent="0.3">
      <c r="B25" t="s">
        <v>189</v>
      </c>
      <c r="C25" t="s">
        <v>190</v>
      </c>
      <c r="D25" t="s">
        <v>29</v>
      </c>
      <c r="E25">
        <v>0</v>
      </c>
      <c r="F25">
        <v>7.3333333333333297E-3</v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04"/>
  <sheetViews>
    <sheetView workbookViewId="0">
      <selection activeCell="E3" sqref="E3"/>
    </sheetView>
  </sheetViews>
  <sheetFormatPr defaultColWidth="9" defaultRowHeight="13.5" x14ac:dyDescent="0.3"/>
  <cols>
    <col min="2" max="9" width="18" customWidth="1"/>
    <col min="10" max="10" width="12.796875"/>
  </cols>
  <sheetData>
    <row r="1" spans="1:10" x14ac:dyDescent="0.3">
      <c r="C1" s="2"/>
    </row>
    <row r="2" spans="1:10" x14ac:dyDescent="0.3">
      <c r="B2" s="39" t="s">
        <v>193</v>
      </c>
      <c r="C2" s="39" t="s">
        <v>194</v>
      </c>
      <c r="D2" s="39" t="s">
        <v>5</v>
      </c>
      <c r="E2" s="39" t="s">
        <v>206</v>
      </c>
      <c r="F2" s="43" t="s">
        <v>207</v>
      </c>
      <c r="G2" s="39" t="s">
        <v>208</v>
      </c>
      <c r="H2" s="39" t="s">
        <v>209</v>
      </c>
      <c r="I2" s="39" t="s">
        <v>210</v>
      </c>
      <c r="J2" s="44" t="s">
        <v>211</v>
      </c>
    </row>
    <row r="3" spans="1:10" ht="15" x14ac:dyDescent="0.3">
      <c r="A3" t="str">
        <f t="shared" ref="A3:A66" si="0">I3&amp;D3</f>
        <v>湖北46136</v>
      </c>
      <c r="B3" t="s">
        <v>146</v>
      </c>
      <c r="C3" t="str">
        <f>IF(根据产能每天需要鲜销部分!K4&lt;&gt;0,根据产能每天需要鲜销部分!G4,0)</f>
        <v>白条</v>
      </c>
      <c r="D3" s="45">
        <v>46136</v>
      </c>
      <c r="F3">
        <f>SUMIFS(根据产能每天需要鲜销部分!$K:$K,根据产能每天需要鲜销部分!$B:$B,$B3,根据产能每天需要鲜销部分!$G:$G,$C3)</f>
        <v>137280</v>
      </c>
      <c r="G3">
        <f>_xlfn.XLOOKUP($C3,价格系数辅助表!$C:$C,价格系数辅助表!$E:$E)</f>
        <v>1.1852119074341301</v>
      </c>
      <c r="H3">
        <f t="shared" ref="H3:H66" si="1">G3*$J3</f>
        <v>10.5740183663082</v>
      </c>
      <c r="I3" t="str">
        <f>_xlfn.XLOOKUP(B3,'3.屠宰能力表'!B:B,'3.屠宰能力表'!D:D)</f>
        <v>湖北</v>
      </c>
      <c r="J3">
        <f>_xlfn.XLOOKUP(A3,'1.出栏表'!A:A,'1.出栏表'!F:F)</f>
        <v>8.9216268415661997</v>
      </c>
    </row>
    <row r="4" spans="1:10" ht="15" x14ac:dyDescent="0.3">
      <c r="A4" t="str">
        <f t="shared" si="0"/>
        <v>湖北46136</v>
      </c>
      <c r="B4" t="s">
        <v>146</v>
      </c>
      <c r="C4" t="str">
        <f>IF(根据产能每天需要鲜销部分!K5&lt;&gt;0,根据产能每天需要鲜销部分!G5,0)</f>
        <v>猪头</v>
      </c>
      <c r="D4" s="45">
        <v>46136</v>
      </c>
      <c r="F4" s="8">
        <f>SUMIFS(根据产能每天需要鲜销部分!$K:$K,根据产能每天需要鲜销部分!$B:$B,$B4,根据产能每天需要鲜销部分!$G:$G,$C4)</f>
        <v>16643.419268881898</v>
      </c>
      <c r="G4">
        <f>_xlfn.XLOOKUP($C4,价格系数辅助表!$C:$C,价格系数辅助表!$E:$E)</f>
        <v>0.81317166851852996</v>
      </c>
      <c r="H4">
        <f t="shared" si="1"/>
        <v>7.2548141846560803</v>
      </c>
      <c r="I4" t="str">
        <f>_xlfn.XLOOKUP(B4,'3.屠宰能力表'!B:B,'3.屠宰能力表'!D:D)</f>
        <v>湖北</v>
      </c>
      <c r="J4">
        <f>_xlfn.XLOOKUP(A4,'1.出栏表'!A:A,'1.出栏表'!F:F)</f>
        <v>8.9216268415661997</v>
      </c>
    </row>
    <row r="5" spans="1:10" ht="15" x14ac:dyDescent="0.3">
      <c r="A5" t="str">
        <f t="shared" si="0"/>
        <v>湖北46136</v>
      </c>
      <c r="B5" t="s">
        <v>146</v>
      </c>
      <c r="C5" t="str">
        <f>IF(根据产能每天需要鲜销部分!K6&lt;&gt;0,根据产能每天需要鲜销部分!G6,0)</f>
        <v>猪尾</v>
      </c>
      <c r="D5" s="45">
        <v>46136</v>
      </c>
      <c r="F5" s="8">
        <f>SUMIFS(根据产能每天需要鲜销部分!$K:$K,根据产能每天需要鲜销部分!$B:$B,$B5,根据产能每天需要鲜销部分!$G:$G,$C5)</f>
        <v>125.03858693242999</v>
      </c>
      <c r="G5">
        <f>_xlfn.XLOOKUP($C5,价格系数辅助表!$C:$C,价格系数辅助表!$E:$E)</f>
        <v>4.0225512045395799</v>
      </c>
      <c r="H5">
        <f t="shared" si="1"/>
        <v>35.887700797994803</v>
      </c>
      <c r="I5" t="str">
        <f>_xlfn.XLOOKUP(B5,'3.屠宰能力表'!B:B,'3.屠宰能力表'!D:D)</f>
        <v>湖北</v>
      </c>
      <c r="J5">
        <f>_xlfn.XLOOKUP(A5,'1.出栏表'!A:A,'1.出栏表'!F:F)</f>
        <v>8.9216268415661997</v>
      </c>
    </row>
    <row r="6" spans="1:10" ht="15" x14ac:dyDescent="0.3">
      <c r="A6" t="str">
        <f t="shared" si="0"/>
        <v>湖北46136</v>
      </c>
      <c r="B6" t="s">
        <v>146</v>
      </c>
      <c r="C6" t="str">
        <f>IF(根据产能每天需要鲜销部分!K7&lt;&gt;0,根据产能每天需要鲜销部分!G7,0)</f>
        <v>猪心</v>
      </c>
      <c r="D6" s="45">
        <v>46136</v>
      </c>
      <c r="F6" s="8">
        <f>SUMIFS(根据产能每天需要鲜销部分!$K:$K,根据产能每天需要鲜销部分!$B:$B,$B6,根据产能每天需要鲜销部分!$G:$G,$C6)</f>
        <v>1176.28410298983</v>
      </c>
      <c r="G6">
        <f>_xlfn.XLOOKUP($C6,价格系数辅助表!$C:$C,价格系数辅助表!$E:$E)</f>
        <v>0.84535964262204399</v>
      </c>
      <c r="H6">
        <f t="shared" si="1"/>
        <v>7.5419832783936398</v>
      </c>
      <c r="I6" t="str">
        <f>_xlfn.XLOOKUP(B6,'3.屠宰能力表'!B:B,'3.屠宰能力表'!D:D)</f>
        <v>湖北</v>
      </c>
      <c r="J6">
        <f>_xlfn.XLOOKUP(A6,'1.出栏表'!A:A,'1.出栏表'!F:F)</f>
        <v>8.9216268415661997</v>
      </c>
    </row>
    <row r="7" spans="1:10" ht="15" x14ac:dyDescent="0.3">
      <c r="A7" t="str">
        <f t="shared" si="0"/>
        <v>湖北46136</v>
      </c>
      <c r="B7" t="s">
        <v>146</v>
      </c>
      <c r="C7" t="str">
        <f>IF(根据产能每天需要鲜销部分!K8&lt;&gt;0,根据产能每天需要鲜销部分!G8,0)</f>
        <v>猪肝</v>
      </c>
      <c r="D7" s="45">
        <v>46136</v>
      </c>
      <c r="F7" s="8">
        <f>SUMIFS(根据产能每天需要鲜销部分!$K:$K,根据产能每天需要鲜销部分!$B:$B,$B7,根据产能每天需要鲜销部分!$G:$G,$C7)</f>
        <v>6075.9539390910704</v>
      </c>
      <c r="G7">
        <f>_xlfn.XLOOKUP($C7,价格系数辅助表!$C:$C,价格系数辅助表!$E:$E)</f>
        <v>0.37320475421536098</v>
      </c>
      <c r="H7">
        <f t="shared" si="1"/>
        <v>3.3295935526078799</v>
      </c>
      <c r="I7" t="str">
        <f>_xlfn.XLOOKUP(B7,'3.屠宰能力表'!B:B,'3.屠宰能力表'!D:D)</f>
        <v>湖北</v>
      </c>
      <c r="J7">
        <f>_xlfn.XLOOKUP(A7,'1.出栏表'!A:A,'1.出栏表'!F:F)</f>
        <v>8.9216268415661997</v>
      </c>
    </row>
    <row r="8" spans="1:10" ht="15" x14ac:dyDescent="0.3">
      <c r="A8" t="str">
        <f t="shared" si="0"/>
        <v>湖北46136</v>
      </c>
      <c r="B8" t="s">
        <v>146</v>
      </c>
      <c r="C8" t="str">
        <f>IF(根据产能每天需要鲜销部分!K9&lt;&gt;0,根据产能每天需要鲜销部分!G9,0)</f>
        <v>猪腰</v>
      </c>
      <c r="D8" s="45">
        <v>46136</v>
      </c>
      <c r="F8" s="8">
        <f>SUMIFS(根据产能每天需要鲜销部分!$K:$K,根据产能每天需要鲜销部分!$B:$B,$B8,根据产能每天需要鲜销部分!$G:$G,$C8)</f>
        <v>1187.8665758580801</v>
      </c>
      <c r="G8">
        <f>_xlfn.XLOOKUP($C8,价格系数辅助表!$C:$C,价格系数辅助表!$E:$E)</f>
        <v>1.1550192014842</v>
      </c>
      <c r="H8">
        <f t="shared" si="1"/>
        <v>10.304650310485799</v>
      </c>
      <c r="I8" t="str">
        <f>_xlfn.XLOOKUP(B8,'3.屠宰能力表'!B:B,'3.屠宰能力表'!D:D)</f>
        <v>湖北</v>
      </c>
      <c r="J8">
        <f>_xlfn.XLOOKUP(A8,'1.出栏表'!A:A,'1.出栏表'!F:F)</f>
        <v>8.9216268415661997</v>
      </c>
    </row>
    <row r="9" spans="1:10" ht="15" x14ac:dyDescent="0.3">
      <c r="A9" t="str">
        <f t="shared" si="0"/>
        <v>湖北46136</v>
      </c>
      <c r="B9" t="s">
        <v>146</v>
      </c>
      <c r="C9" t="str">
        <f>IF(根据产能每天需要鲜销部分!K10&lt;&gt;0,根据产能每天需要鲜销部分!G10,0)</f>
        <v>大肠</v>
      </c>
      <c r="D9" s="45">
        <v>46136</v>
      </c>
      <c r="F9" s="8">
        <f>SUMIFS(根据产能每天需要鲜销部分!$K:$K,根据产能每天需要鲜销部分!$B:$B,$B9,根据产能每天需要鲜销部分!$G:$G,$C9)</f>
        <v>4156.7227716500001</v>
      </c>
      <c r="G9">
        <f>_xlfn.XLOOKUP($C9,价格系数辅助表!$C:$C,价格系数辅助表!$E:$E)</f>
        <v>1.90800135982928</v>
      </c>
      <c r="H9">
        <f t="shared" si="1"/>
        <v>17.0224761455977</v>
      </c>
      <c r="I9" t="str">
        <f>_xlfn.XLOOKUP(B9,'3.屠宰能力表'!B:B,'3.屠宰能力表'!D:D)</f>
        <v>湖北</v>
      </c>
      <c r="J9">
        <f>_xlfn.XLOOKUP(A9,'1.出栏表'!A:A,'1.出栏表'!F:F)</f>
        <v>8.9216268415661997</v>
      </c>
    </row>
    <row r="10" spans="1:10" ht="15" x14ac:dyDescent="0.3">
      <c r="A10" t="str">
        <f t="shared" si="0"/>
        <v>湖北46136</v>
      </c>
      <c r="B10" t="s">
        <v>146</v>
      </c>
      <c r="C10" t="str">
        <f>IF(根据产能每天需要鲜销部分!K11&lt;&gt;0,根据产能每天需要鲜销部分!G11,0)</f>
        <v>猪肚</v>
      </c>
      <c r="D10" s="45">
        <v>46136</v>
      </c>
      <c r="F10" s="8">
        <f>SUMIFS(根据产能每天需要鲜销部分!$K:$K,根据产能每天需要鲜销部分!$B:$B,$B10,根据产能每天需要鲜销部分!$G:$G,$C10)</f>
        <v>1906.8384507195501</v>
      </c>
      <c r="G10">
        <f>_xlfn.XLOOKUP($C10,价格系数辅助表!$C:$C,价格系数辅助表!$E:$E)</f>
        <v>2.76783242873949</v>
      </c>
      <c r="H10">
        <f t="shared" si="1"/>
        <v>24.693568089199601</v>
      </c>
      <c r="I10" t="str">
        <f>_xlfn.XLOOKUP(B10,'3.屠宰能力表'!B:B,'3.屠宰能力表'!D:D)</f>
        <v>湖北</v>
      </c>
      <c r="J10">
        <f>_xlfn.XLOOKUP(A10,'1.出栏表'!A:A,'1.出栏表'!F:F)</f>
        <v>8.9216268415661997</v>
      </c>
    </row>
    <row r="11" spans="1:10" ht="15" x14ac:dyDescent="0.3">
      <c r="A11" t="str">
        <f t="shared" si="0"/>
        <v>湖北46136</v>
      </c>
      <c r="B11" t="s">
        <v>146</v>
      </c>
      <c r="C11" t="str">
        <f>IF(根据产能每天需要鲜销部分!K12&lt;&gt;0,根据产能每天需要鲜销部分!G12,0)</f>
        <v>罗膈肉</v>
      </c>
      <c r="D11" s="45">
        <v>46136</v>
      </c>
      <c r="F11" s="8">
        <f>SUMIFS(根据产能每天需要鲜销部分!$K:$K,根据产能每天需要鲜销部分!$B:$B,$B11,根据产能每天需要鲜销部分!$G:$G,$C11)</f>
        <v>1594.2419833884701</v>
      </c>
      <c r="G11">
        <f>_xlfn.XLOOKUP($C11,价格系数辅助表!$C:$C,价格系数辅助表!$E:$E)</f>
        <v>1.61708641969264</v>
      </c>
      <c r="H11">
        <f t="shared" si="1"/>
        <v>14.427041607062</v>
      </c>
      <c r="I11" t="str">
        <f>_xlfn.XLOOKUP(B11,'3.屠宰能力表'!B:B,'3.屠宰能力表'!D:D)</f>
        <v>湖北</v>
      </c>
      <c r="J11">
        <f>_xlfn.XLOOKUP(A11,'1.出栏表'!A:A,'1.出栏表'!F:F)</f>
        <v>8.9216268415661997</v>
      </c>
    </row>
    <row r="12" spans="1:10" ht="15" x14ac:dyDescent="0.3">
      <c r="A12" t="str">
        <f t="shared" si="0"/>
        <v>湖北46136</v>
      </c>
      <c r="B12" t="s">
        <v>146</v>
      </c>
      <c r="C12" t="str">
        <f>IF(根据产能每天需要鲜销部分!K13&lt;&gt;0,根据产能每天需要鲜销部分!G13,0)</f>
        <v>猪舌</v>
      </c>
      <c r="D12" s="45">
        <v>46136</v>
      </c>
      <c r="F12" s="8">
        <f>SUMIFS(根据产能每天需要鲜销部分!$K:$K,根据产能每天需要鲜销部分!$B:$B,$B12,根据产能每天需要鲜销部分!$G:$G,$C12)</f>
        <v>1406.6841029898301</v>
      </c>
      <c r="G12">
        <f>_xlfn.XLOOKUP($C12,价格系数辅助表!$C:$C,价格系数辅助表!$E:$E)</f>
        <v>1.4850675377364999</v>
      </c>
      <c r="H12">
        <f t="shared" si="1"/>
        <v>13.2492184062086</v>
      </c>
      <c r="I12" t="str">
        <f>_xlfn.XLOOKUP(B12,'3.屠宰能力表'!B:B,'3.屠宰能力表'!D:D)</f>
        <v>湖北</v>
      </c>
      <c r="J12">
        <f>_xlfn.XLOOKUP(A12,'1.出栏表'!A:A,'1.出栏表'!F:F)</f>
        <v>8.9216268415661997</v>
      </c>
    </row>
    <row r="13" spans="1:10" ht="15" x14ac:dyDescent="0.3">
      <c r="A13" t="str">
        <f t="shared" si="0"/>
        <v>湖北46136</v>
      </c>
      <c r="B13" t="s">
        <v>146</v>
      </c>
      <c r="C13" t="str">
        <f>IF(根据产能每天需要鲜销部分!K14&lt;&gt;0,根据产能每天需要鲜销部分!G14,0)</f>
        <v>大肠头</v>
      </c>
      <c r="D13" s="45">
        <v>46136</v>
      </c>
      <c r="F13" s="8">
        <f>SUMIFS(根据产能每天需要鲜销部分!$K:$K,根据产能每天需要鲜销部分!$B:$B,$B13,根据产能每天需要鲜销部分!$G:$G,$C13)</f>
        <v>1031.5683421925501</v>
      </c>
      <c r="G13">
        <f>_xlfn.XLOOKUP($C13,价格系数辅助表!$C:$C,价格系数辅助表!$E:$E)</f>
        <v>1.8971615295629001</v>
      </c>
      <c r="H13">
        <f t="shared" si="1"/>
        <v>16.9257672249351</v>
      </c>
      <c r="I13" t="str">
        <f>_xlfn.XLOOKUP(B13,'3.屠宰能力表'!B:B,'3.屠宰能力表'!D:D)</f>
        <v>湖北</v>
      </c>
      <c r="J13">
        <f>_xlfn.XLOOKUP(A13,'1.出栏表'!A:A,'1.出栏表'!F:F)</f>
        <v>8.9216268415661997</v>
      </c>
    </row>
    <row r="14" spans="1:10" ht="15" x14ac:dyDescent="0.3">
      <c r="A14" t="str">
        <f t="shared" si="0"/>
        <v>湖北46136</v>
      </c>
      <c r="B14" t="s">
        <v>146</v>
      </c>
      <c r="C14" t="str">
        <f>IF(根据产能每天需要鲜销部分!K15&lt;&gt;0,根据产能每天需要鲜销部分!G15,0)</f>
        <v>心血管</v>
      </c>
      <c r="D14" s="45">
        <v>46136</v>
      </c>
      <c r="F14" s="8">
        <f>SUMIFS(根据产能每天需要鲜销部分!$K:$K,根据产能每天需要鲜销部分!$B:$B,$B14,根据产能每天需要鲜销部分!$G:$G,$C14)</f>
        <v>111.420523009096</v>
      </c>
      <c r="G14">
        <f>_xlfn.XLOOKUP($C14,价格系数辅助表!$C:$C,价格系数辅助表!$E:$E)</f>
        <v>3.2997148664303801</v>
      </c>
      <c r="H14">
        <f t="shared" si="1"/>
        <v>29.4388247218603</v>
      </c>
      <c r="I14" t="str">
        <f>_xlfn.XLOOKUP(B14,'3.屠宰能力表'!B:B,'3.屠宰能力表'!D:D)</f>
        <v>湖北</v>
      </c>
      <c r="J14">
        <f>_xlfn.XLOOKUP(A14,'1.出栏表'!A:A,'1.出栏表'!F:F)</f>
        <v>8.9216268415661997</v>
      </c>
    </row>
    <row r="15" spans="1:10" ht="15" x14ac:dyDescent="0.3">
      <c r="A15" t="str">
        <f t="shared" si="0"/>
        <v>湖北46136</v>
      </c>
      <c r="B15" t="s">
        <v>146</v>
      </c>
      <c r="C15" t="str">
        <f>IF(根据产能每天需要鲜销部分!K16&lt;&gt;0,根据产能每天需要鲜销部分!G16,0)</f>
        <v>杂油</v>
      </c>
      <c r="D15" s="45">
        <v>46136</v>
      </c>
      <c r="F15" s="8">
        <f>SUMIFS(根据产能每天需要鲜销部分!$K:$K,根据产能每天需要鲜销部分!$B:$B,$B15,根据产能每天需要鲜销部分!$G:$G,$C15)</f>
        <v>3934.4381782937899</v>
      </c>
      <c r="G15">
        <f>_xlfn.XLOOKUP($C15,价格系数辅助表!$C:$C,价格系数辅助表!$E:$E)</f>
        <v>0.130070801908548</v>
      </c>
      <c r="H15">
        <f t="shared" si="1"/>
        <v>1.1604431576113401</v>
      </c>
      <c r="I15" t="str">
        <f>_xlfn.XLOOKUP(B15,'3.屠宰能力表'!B:B,'3.屠宰能力表'!D:D)</f>
        <v>湖北</v>
      </c>
      <c r="J15">
        <f>_xlfn.XLOOKUP(A15,'1.出栏表'!A:A,'1.出栏表'!F:F)</f>
        <v>8.9216268415661997</v>
      </c>
    </row>
    <row r="16" spans="1:10" ht="15" x14ac:dyDescent="0.3">
      <c r="A16" t="str">
        <f t="shared" si="0"/>
        <v>湖北46136</v>
      </c>
      <c r="B16" t="s">
        <v>146</v>
      </c>
      <c r="C16" t="str">
        <f>IF(根据产能每天需要鲜销部分!K17&lt;&gt;0,根据产能每天需要鲜销部分!G17,0)</f>
        <v>板油</v>
      </c>
      <c r="D16" s="45">
        <v>46136</v>
      </c>
      <c r="F16" s="8">
        <f>SUMIFS(根据产能每天需要鲜销部分!$K:$K,根据产能每天需要鲜销部分!$B:$B,$B16,根据产能每天需要鲜销部分!$G:$G,$C16)</f>
        <v>5606.6101824381303</v>
      </c>
      <c r="G16">
        <f>_xlfn.XLOOKUP($C16,价格系数辅助表!$C:$C,价格系数辅助表!$E:$E)</f>
        <v>0.69784384029908697</v>
      </c>
      <c r="H16">
        <f t="shared" si="1"/>
        <v>6.2259023368339701</v>
      </c>
      <c r="I16" t="str">
        <f>_xlfn.XLOOKUP(B16,'3.屠宰能力表'!B:B,'3.屠宰能力表'!D:D)</f>
        <v>湖北</v>
      </c>
      <c r="J16">
        <f>_xlfn.XLOOKUP(A16,'1.出栏表'!A:A,'1.出栏表'!F:F)</f>
        <v>8.9216268415661997</v>
      </c>
    </row>
    <row r="17" spans="1:10" ht="15" x14ac:dyDescent="0.3">
      <c r="A17" t="str">
        <f t="shared" si="0"/>
        <v>湖北46136</v>
      </c>
      <c r="B17" t="s">
        <v>146</v>
      </c>
      <c r="C17" t="str">
        <f>IF(根据产能每天需要鲜销部分!K18&lt;&gt;0,根据产能每天需要鲜销部分!G18,0)</f>
        <v>小肠</v>
      </c>
      <c r="D17" s="45">
        <v>46136</v>
      </c>
      <c r="F17" s="8">
        <f>SUMIFS(根据产能每天需要鲜销部分!$K:$K,根据产能每天需要鲜销部分!$B:$B,$B17,根据产能每天需要鲜销部分!$G:$G,$C17)</f>
        <v>5652.0171096271897</v>
      </c>
      <c r="G17">
        <f>_xlfn.XLOOKUP($C17,价格系数辅助表!$C:$C,价格系数辅助表!$E:$E)</f>
        <v>0.456447335288171</v>
      </c>
      <c r="H17">
        <f t="shared" si="1"/>
        <v>4.0722527982683099</v>
      </c>
      <c r="I17" t="str">
        <f>_xlfn.XLOOKUP(B17,'3.屠宰能力表'!B:B,'3.屠宰能力表'!D:D)</f>
        <v>湖北</v>
      </c>
      <c r="J17">
        <f>_xlfn.XLOOKUP(A17,'1.出栏表'!A:A,'1.出栏表'!F:F)</f>
        <v>8.9216268415661997</v>
      </c>
    </row>
    <row r="18" spans="1:10" ht="15" x14ac:dyDescent="0.3">
      <c r="A18" t="str">
        <f t="shared" si="0"/>
        <v>湖北46136</v>
      </c>
      <c r="B18" t="s">
        <v>146</v>
      </c>
      <c r="C18" t="str">
        <f>IF(根据产能每天需要鲜销部分!K19&lt;&gt;0,根据产能每天需要鲜销部分!G19,0)</f>
        <v>小八件</v>
      </c>
      <c r="D18" s="45">
        <v>46136</v>
      </c>
      <c r="F18" s="8">
        <f>SUMIFS(根据产能每天需要鲜销部分!$K:$K,根据产能每天需要鲜销部分!$B:$B,$B18,根据产能每天需要鲜销部分!$G:$G,$C18)</f>
        <v>2621.5330155032798</v>
      </c>
      <c r="G18">
        <f>_xlfn.XLOOKUP($C18,价格系数辅助表!$C:$C,价格系数辅助表!$E:$E)</f>
        <v>0.30253913346115902</v>
      </c>
      <c r="H18">
        <f t="shared" si="1"/>
        <v>2.69914125371126</v>
      </c>
      <c r="I18" t="str">
        <f>_xlfn.XLOOKUP(B18,'3.屠宰能力表'!B:B,'3.屠宰能力表'!D:D)</f>
        <v>湖北</v>
      </c>
      <c r="J18">
        <f>_xlfn.XLOOKUP(A18,'1.出栏表'!A:A,'1.出栏表'!F:F)</f>
        <v>8.9216268415661997</v>
      </c>
    </row>
    <row r="19" spans="1:10" ht="15" x14ac:dyDescent="0.3">
      <c r="A19" t="str">
        <f t="shared" si="0"/>
        <v>湖北46136</v>
      </c>
      <c r="B19" t="s">
        <v>146</v>
      </c>
      <c r="C19" t="str">
        <f>IF(根据产能每天需要鲜销部分!K20&lt;&gt;0,根据产能每天需要鲜销部分!G20,0)</f>
        <v>猪肺</v>
      </c>
      <c r="D19" s="45">
        <v>46136</v>
      </c>
      <c r="F19" s="8">
        <f>SUMIFS(根据产能每天需要鲜销部分!$K:$K,根据产能每天需要鲜销部分!$B:$B,$B19,根据产能每天需要鲜销部分!$G:$G,$C19)</f>
        <v>3000.9260863783102</v>
      </c>
      <c r="G19">
        <f>_xlfn.XLOOKUP($C19,价格系数辅助表!$C:$C,价格系数辅助表!$E:$E)</f>
        <v>5.2234050059701297E-2</v>
      </c>
      <c r="H19">
        <f t="shared" si="1"/>
        <v>0.46601270305634401</v>
      </c>
      <c r="I19" t="str">
        <f>_xlfn.XLOOKUP(B19,'3.屠宰能力表'!B:B,'3.屠宰能力表'!D:D)</f>
        <v>湖北</v>
      </c>
      <c r="J19">
        <f>_xlfn.XLOOKUP(A19,'1.出栏表'!A:A,'1.出栏表'!F:F)</f>
        <v>8.9216268415661997</v>
      </c>
    </row>
    <row r="20" spans="1:10" ht="15" x14ac:dyDescent="0.3">
      <c r="A20" t="str">
        <f t="shared" si="0"/>
        <v>湖北46136</v>
      </c>
      <c r="B20" t="s">
        <v>146</v>
      </c>
      <c r="C20" t="str">
        <f>IF(根据产能每天需要鲜销部分!K21&lt;&gt;0,根据产能每天需要鲜销部分!G21,0)</f>
        <v>冠油</v>
      </c>
      <c r="D20" s="45">
        <v>46136</v>
      </c>
      <c r="F20" s="8">
        <f>SUMIFS(根据产能每天需要鲜销部分!$K:$K,根据产能每天需要鲜销部分!$B:$B,$B20,根据产能每天需要鲜销部分!$G:$G,$C20)</f>
        <v>2813.3682059796602</v>
      </c>
      <c r="G20">
        <f>_xlfn.XLOOKUP($C20,价格系数辅助表!$C:$C,价格系数辅助表!$E:$E)</f>
        <v>0.27335161219757498</v>
      </c>
      <c r="H20">
        <f t="shared" si="1"/>
        <v>2.4387410805672798</v>
      </c>
      <c r="I20" t="str">
        <f>_xlfn.XLOOKUP(B20,'3.屠宰能力表'!B:B,'3.屠宰能力表'!D:D)</f>
        <v>湖北</v>
      </c>
      <c r="J20">
        <f>_xlfn.XLOOKUP(A20,'1.出栏表'!A:A,'1.出栏表'!F:F)</f>
        <v>8.9216268415661997</v>
      </c>
    </row>
    <row r="21" spans="1:10" ht="15" x14ac:dyDescent="0.3">
      <c r="A21" t="str">
        <f t="shared" si="0"/>
        <v>湖北46136</v>
      </c>
      <c r="B21" t="s">
        <v>146</v>
      </c>
      <c r="C21" t="str">
        <f>IF(根据产能每天需要鲜销部分!K22&lt;&gt;0,根据产能每天需要鲜销部分!G22,0)</f>
        <v>软膘</v>
      </c>
      <c r="D21" s="45">
        <v>46136</v>
      </c>
      <c r="F21" s="8">
        <f>SUMIFS(根据产能每天需要鲜销部分!$K:$K,根据产能每天需要鲜销部分!$B:$B,$B21,根据产能每天需要鲜销部分!$G:$G,$C21)</f>
        <v>2362.2419833884801</v>
      </c>
      <c r="G21">
        <f>_xlfn.XLOOKUP($C21,价格系数辅助表!$C:$C,价格系数辅助表!$E:$E)</f>
        <v>0.25083638292710098</v>
      </c>
      <c r="H21">
        <f t="shared" si="1"/>
        <v>2.2378686067637998</v>
      </c>
      <c r="I21" t="str">
        <f>_xlfn.XLOOKUP(B21,'3.屠宰能力表'!B:B,'3.屠宰能力表'!D:D)</f>
        <v>湖北</v>
      </c>
      <c r="J21">
        <f>_xlfn.XLOOKUP(A21,'1.出栏表'!A:A,'1.出栏表'!F:F)</f>
        <v>8.9216268415661997</v>
      </c>
    </row>
    <row r="22" spans="1:10" ht="15" x14ac:dyDescent="0.3">
      <c r="A22" t="str">
        <f t="shared" si="0"/>
        <v>湖北46136</v>
      </c>
      <c r="B22" t="s">
        <v>146</v>
      </c>
      <c r="C22" t="str">
        <f>IF(根据产能每天需要鲜销部分!K23&lt;&gt;0,根据产能每天需要鲜销部分!G23,0)</f>
        <v>脑花</v>
      </c>
      <c r="D22" s="45">
        <v>46136</v>
      </c>
      <c r="F22" s="8">
        <f>SUMIFS(根据产能每天需要鲜销部分!$K:$K,根据产能每天需要鲜销部分!$B:$B,$B22,根据产能每天需要鲜销部分!$G:$G,$C22)</f>
        <v>408.541917700017</v>
      </c>
      <c r="G22">
        <f>_xlfn.XLOOKUP($C22,价格系数辅助表!$C:$C,价格系数辅助表!$E:$E)</f>
        <v>0.87755384758256405</v>
      </c>
      <c r="H22">
        <f t="shared" si="1"/>
        <v>7.8292079615122896</v>
      </c>
      <c r="I22" t="str">
        <f>_xlfn.XLOOKUP(B22,'3.屠宰能力表'!B:B,'3.屠宰能力表'!D:D)</f>
        <v>湖北</v>
      </c>
      <c r="J22">
        <f>_xlfn.XLOOKUP(A22,'1.出栏表'!A:A,'1.出栏表'!F:F)</f>
        <v>8.9216268415661997</v>
      </c>
    </row>
    <row r="23" spans="1:10" ht="15" x14ac:dyDescent="0.3">
      <c r="A23" t="str">
        <f t="shared" si="0"/>
        <v>湖北46136</v>
      </c>
      <c r="B23" t="s">
        <v>146</v>
      </c>
      <c r="C23" t="str">
        <f>IF(根据产能每天需要鲜销部分!K24&lt;&gt;0,根据产能每天需要鲜销部分!G24,0)</f>
        <v>小肚</v>
      </c>
      <c r="D23" s="45">
        <v>46136</v>
      </c>
      <c r="F23" s="8">
        <f>SUMIFS(根据产能每天需要鲜销部分!$K:$K,根据产能每天需要鲜销部分!$B:$B,$B23,根据产能每天需要鲜销部分!$G:$G,$C23)</f>
        <v>185.70087168182599</v>
      </c>
      <c r="G23">
        <f>_xlfn.XLOOKUP($C23,价格系数辅助表!$C:$C,价格系数辅助表!$E:$E)</f>
        <v>1.02785250036373</v>
      </c>
      <c r="H23">
        <f t="shared" si="1"/>
        <v>9.1701164564160305</v>
      </c>
      <c r="I23" t="str">
        <f>_xlfn.XLOOKUP(B23,'3.屠宰能力表'!B:B,'3.屠宰能力表'!D:D)</f>
        <v>湖北</v>
      </c>
      <c r="J23">
        <f>_xlfn.XLOOKUP(A23,'1.出栏表'!A:A,'1.出栏表'!F:F)</f>
        <v>8.9216268415661997</v>
      </c>
    </row>
    <row r="24" spans="1:10" ht="15" x14ac:dyDescent="0.3">
      <c r="A24" t="str">
        <f t="shared" si="0"/>
        <v>湖北46136</v>
      </c>
      <c r="B24" t="s">
        <v>146</v>
      </c>
      <c r="C24" t="str">
        <f>IF(根据产能每天需要鲜销部分!K25&lt;&gt;0,根据产能每天需要鲜销部分!G25,0)</f>
        <v>网油</v>
      </c>
      <c r="D24" s="45">
        <v>46136</v>
      </c>
      <c r="F24" s="8">
        <f>SUMIFS(根据产能每天需要鲜销部分!$K:$K,根据产能每天需要鲜销部分!$B:$B,$B24,根据产能每天需要鲜销部分!$G:$G,$C24)</f>
        <v>656.45258139525504</v>
      </c>
      <c r="G24">
        <f>_xlfn.XLOOKUP($C24,价格系数辅助表!$C:$C,价格系数辅助表!$E:$E)</f>
        <v>0.29390609194172401</v>
      </c>
      <c r="H24">
        <f t="shared" si="1"/>
        <v>2.6221204787671102</v>
      </c>
      <c r="I24" t="str">
        <f>_xlfn.XLOOKUP(B24,'3.屠宰能力表'!B:B,'3.屠宰能力表'!D:D)</f>
        <v>湖北</v>
      </c>
      <c r="J24">
        <f>_xlfn.XLOOKUP(A24,'1.出栏表'!A:A,'1.出栏表'!F:F)</f>
        <v>8.9216268415661997</v>
      </c>
    </row>
    <row r="25" spans="1:10" ht="15" x14ac:dyDescent="0.3">
      <c r="A25" t="str">
        <f t="shared" si="0"/>
        <v>湖北46136</v>
      </c>
      <c r="B25" t="s">
        <v>146</v>
      </c>
      <c r="C25" t="str">
        <f>IF(根据产能每天需要鲜销部分!K26&lt;&gt;0,根据产能每天需要鲜销部分!G26,0)</f>
        <v>猪血</v>
      </c>
      <c r="D25" s="45">
        <v>46136</v>
      </c>
      <c r="F25" s="8">
        <f>SUMIFS(根据产能每天需要鲜销部分!$K:$K,根据产能每天需要鲜销部分!$B:$B,$B25,根据产能每天需要鲜销部分!$G:$G,$C25)</f>
        <v>7680</v>
      </c>
      <c r="G25">
        <f>_xlfn.XLOOKUP($C25,价格系数辅助表!$C:$C,价格系数辅助表!$E:$E)</f>
        <v>8.7444985304843598E-2</v>
      </c>
      <c r="H25">
        <f t="shared" si="1"/>
        <v>0.78015152805605403</v>
      </c>
      <c r="I25" t="str">
        <f>_xlfn.XLOOKUP(B25,'3.屠宰能力表'!B:B,'3.屠宰能力表'!D:D)</f>
        <v>湖北</v>
      </c>
      <c r="J25">
        <f>_xlfn.XLOOKUP(A25,'1.出栏表'!A:A,'1.出栏表'!F:F)</f>
        <v>8.9216268415661997</v>
      </c>
    </row>
    <row r="26" spans="1:10" ht="15" x14ac:dyDescent="0.3">
      <c r="A26" t="str">
        <f t="shared" si="0"/>
        <v>湖北46136</v>
      </c>
      <c r="B26" t="s">
        <v>146</v>
      </c>
      <c r="C26" t="str">
        <f>IF(根据产能每天需要鲜销部分!K27&lt;&gt;0,根据产能每天需要鲜销部分!G27,0)</f>
        <v>槽头</v>
      </c>
      <c r="D26" s="45">
        <v>46136</v>
      </c>
      <c r="F26" s="8">
        <f>SUMIFS(根据产能每天需要鲜销部分!$K:$K,根据产能每天需要鲜销部分!$B:$B,$B26,根据产能每天需要鲜销部分!$G:$G,$C26)</f>
        <v>1449.3335885747499</v>
      </c>
      <c r="G26">
        <f>_xlfn.XLOOKUP($C26,价格系数辅助表!$C:$C,价格系数辅助表!$E:$E)</f>
        <v>0.56179466940109002</v>
      </c>
      <c r="H26">
        <f t="shared" si="1"/>
        <v>5.0121224019775701</v>
      </c>
      <c r="I26" t="str">
        <f>_xlfn.XLOOKUP(B26,'3.屠宰能力表'!B:B,'3.屠宰能力表'!D:D)</f>
        <v>湖北</v>
      </c>
      <c r="J26">
        <f>_xlfn.XLOOKUP(A26,'1.出栏表'!A:A,'1.出栏表'!F:F)</f>
        <v>8.9216268415661997</v>
      </c>
    </row>
    <row r="27" spans="1:10" ht="15" x14ac:dyDescent="0.3">
      <c r="A27" t="str">
        <f t="shared" si="0"/>
        <v>湖北46136</v>
      </c>
      <c r="B27" t="s">
        <v>146</v>
      </c>
      <c r="C27" t="str">
        <f>IF(根据产能每天需要鲜销部分!K28&lt;&gt;0,根据产能每天需要鲜销部分!G28,0)</f>
        <v>猪蹄</v>
      </c>
      <c r="D27" s="45">
        <v>46136</v>
      </c>
      <c r="F27" s="8">
        <f>SUMIFS(根据产能每天需要鲜销部分!$K:$K,根据产能每天需要鲜销部分!$B:$B,$B27,根据产能每天需要鲜销部分!$G:$G,$C27)</f>
        <v>1435.7749131074399</v>
      </c>
      <c r="G27">
        <f>_xlfn.XLOOKUP($C27,价格系数辅助表!$C:$C,价格系数辅助表!$E:$E)</f>
        <v>2.1733017987485002</v>
      </c>
      <c r="H27">
        <f t="shared" si="1"/>
        <v>19.389387662538699</v>
      </c>
      <c r="I27" t="str">
        <f>_xlfn.XLOOKUP(B27,'3.屠宰能力表'!B:B,'3.屠宰能力表'!D:D)</f>
        <v>湖北</v>
      </c>
      <c r="J27">
        <f>_xlfn.XLOOKUP(A27,'1.出栏表'!A:A,'1.出栏表'!F:F)</f>
        <v>8.9216268415661997</v>
      </c>
    </row>
    <row r="28" spans="1:10" ht="15" x14ac:dyDescent="0.3">
      <c r="A28" t="str">
        <f t="shared" si="0"/>
        <v>湖北46136</v>
      </c>
      <c r="B28" t="s">
        <v>146</v>
      </c>
      <c r="C28" t="str">
        <f>IF(根据产能每天需要鲜销部分!K29&lt;&gt;0,根据产能每天需要鲜销部分!G29,0)</f>
        <v>五花肉</v>
      </c>
      <c r="D28" s="45">
        <v>46136</v>
      </c>
      <c r="F28" s="8">
        <f>SUMIFS(根据产能每天需要鲜销部分!$K:$K,根据产能每天需要鲜销部分!$B:$B,$B28,根据产能每天需要鲜销部分!$G:$G,$C28)</f>
        <v>9257.4989461881796</v>
      </c>
      <c r="G28">
        <f>_xlfn.XLOOKUP($C28,价格系数辅助表!$C:$C,价格系数辅助表!$E:$E)</f>
        <v>2.3363490079598002</v>
      </c>
      <c r="H28">
        <f t="shared" si="1"/>
        <v>20.844034020680699</v>
      </c>
      <c r="I28" t="str">
        <f>_xlfn.XLOOKUP(B28,'3.屠宰能力表'!B:B,'3.屠宰能力表'!D:D)</f>
        <v>湖北</v>
      </c>
      <c r="J28">
        <f>_xlfn.XLOOKUP(A28,'1.出栏表'!A:A,'1.出栏表'!F:F)</f>
        <v>8.9216268415661997</v>
      </c>
    </row>
    <row r="29" spans="1:10" ht="15" x14ac:dyDescent="0.3">
      <c r="A29" t="str">
        <f t="shared" si="0"/>
        <v>湖北46136</v>
      </c>
      <c r="B29" t="s">
        <v>146</v>
      </c>
      <c r="C29" t="str">
        <f>IF(根据产能每天需要鲜销部分!K30&lt;&gt;0,根据产能每天需要鲜销部分!G30,0)</f>
        <v>大排肌肉</v>
      </c>
      <c r="D29" s="45">
        <v>46136</v>
      </c>
      <c r="F29" s="8">
        <f>SUMIFS(根据产能每天需要鲜销部分!$K:$K,根据产能每天需要鲜销部分!$B:$B,$B29,根据产能每天需要鲜销部分!$G:$G,$C29)</f>
        <v>7275.7717960927403</v>
      </c>
      <c r="G29">
        <f>_xlfn.XLOOKUP($C29,价格系数辅助表!$C:$C,价格系数辅助表!$E:$E)</f>
        <v>1.56138134676664</v>
      </c>
      <c r="H29">
        <f t="shared" si="1"/>
        <v>13.930061733234</v>
      </c>
      <c r="I29" t="str">
        <f>_xlfn.XLOOKUP(B29,'3.屠宰能力表'!B:B,'3.屠宰能力表'!D:D)</f>
        <v>湖北</v>
      </c>
      <c r="J29">
        <f>_xlfn.XLOOKUP(A29,'1.出栏表'!A:A,'1.出栏表'!F:F)</f>
        <v>8.9216268415661997</v>
      </c>
    </row>
    <row r="30" spans="1:10" ht="15" x14ac:dyDescent="0.3">
      <c r="A30" t="str">
        <f t="shared" si="0"/>
        <v>湖北46136</v>
      </c>
      <c r="B30" t="s">
        <v>146</v>
      </c>
      <c r="C30" t="str">
        <f>IF(根据产能每天需要鲜销部分!K31&lt;&gt;0,根据产能每天需要鲜销部分!G31,0)</f>
        <v>肋排</v>
      </c>
      <c r="D30" s="45">
        <v>46136</v>
      </c>
      <c r="F30" s="8">
        <f>SUMIFS(根据产能每天需要鲜销部分!$K:$K,根据产能每天需要鲜销部分!$B:$B,$B30,根据产能每天需要鲜销部分!$G:$G,$C30)</f>
        <v>2250.8181217920601</v>
      </c>
      <c r="G30">
        <f>_xlfn.XLOOKUP($C30,价格系数辅助表!$C:$C,价格系数辅助表!$E:$E)</f>
        <v>4.1323214054635997</v>
      </c>
      <c r="H30">
        <f t="shared" si="1"/>
        <v>36.8670295689626</v>
      </c>
      <c r="I30" t="str">
        <f>_xlfn.XLOOKUP(B30,'3.屠宰能力表'!B:B,'3.屠宰能力表'!D:D)</f>
        <v>湖北</v>
      </c>
      <c r="J30">
        <f>_xlfn.XLOOKUP(A30,'1.出栏表'!A:A,'1.出栏表'!F:F)</f>
        <v>8.9216268415661997</v>
      </c>
    </row>
    <row r="31" spans="1:10" ht="15" x14ac:dyDescent="0.3">
      <c r="A31" t="str">
        <f t="shared" si="0"/>
        <v>湖北46136</v>
      </c>
      <c r="B31" t="s">
        <v>146</v>
      </c>
      <c r="C31" t="str">
        <f>IF(根据产能每天需要鲜销部分!K32&lt;&gt;0,根据产能每天需要鲜销部分!G32,0)</f>
        <v>前排</v>
      </c>
      <c r="D31" s="45">
        <v>46136</v>
      </c>
      <c r="F31" s="8">
        <f>SUMIFS(根据产能每天需要鲜销部分!$K:$K,根据产能每天需要鲜销部分!$B:$B,$B31,根据产能每天需要鲜销部分!$G:$G,$C31)</f>
        <v>5572.0318250625596</v>
      </c>
      <c r="G31">
        <f>_xlfn.XLOOKUP($C31,价格系数辅助表!$C:$C,价格系数辅助表!$E:$E)</f>
        <v>2.4066238998277001</v>
      </c>
      <c r="H31">
        <f t="shared" si="1"/>
        <v>21.4710003822575</v>
      </c>
      <c r="I31" t="str">
        <f>_xlfn.XLOOKUP(B31,'3.屠宰能力表'!B:B,'3.屠宰能力表'!D:D)</f>
        <v>湖北</v>
      </c>
      <c r="J31">
        <f>_xlfn.XLOOKUP(A31,'1.出栏表'!A:A,'1.出栏表'!F:F)</f>
        <v>8.9216268415661997</v>
      </c>
    </row>
    <row r="32" spans="1:10" ht="15" x14ac:dyDescent="0.3">
      <c r="A32" t="str">
        <f t="shared" si="0"/>
        <v>湖北46136</v>
      </c>
      <c r="B32" t="s">
        <v>146</v>
      </c>
      <c r="C32" t="str">
        <f>IF(根据产能每天需要鲜销部分!K33&lt;&gt;0,根据产能每天需要鲜销部分!G33,0)</f>
        <v>颈背肌肉</v>
      </c>
      <c r="D32" s="45">
        <v>46136</v>
      </c>
      <c r="F32" s="8">
        <f>SUMIFS(根据产能每天需要鲜销部分!$K:$K,根据产能每天需要鲜销部分!$B:$B,$B32,根据产能每天需要鲜销部分!$G:$G,$C32)</f>
        <v>1156.5826507070501</v>
      </c>
      <c r="G32">
        <f>_xlfn.XLOOKUP($C32,价格系数辅助表!$C:$C,价格系数辅助表!$E:$E)</f>
        <v>1.4457460218126601</v>
      </c>
      <c r="H32">
        <f t="shared" si="1"/>
        <v>12.898406514291301</v>
      </c>
      <c r="I32" t="str">
        <f>_xlfn.XLOOKUP(B32,'3.屠宰能力表'!B:B,'3.屠宰能力表'!D:D)</f>
        <v>湖北</v>
      </c>
      <c r="J32">
        <f>_xlfn.XLOOKUP(A32,'1.出栏表'!A:A,'1.出栏表'!F:F)</f>
        <v>8.9216268415661997</v>
      </c>
    </row>
    <row r="33" spans="1:10" ht="15" x14ac:dyDescent="0.3">
      <c r="A33" t="str">
        <f t="shared" si="0"/>
        <v>湖北46136</v>
      </c>
      <c r="B33" t="s">
        <v>146</v>
      </c>
      <c r="C33" t="str">
        <f>IF(根据产能每天需要鲜销部分!K35&lt;&gt;0,根据产能每天需要鲜销部分!G35,0)</f>
        <v>前腿肌肉</v>
      </c>
      <c r="D33" s="45">
        <v>46136</v>
      </c>
      <c r="F33" s="8">
        <f>SUMIFS(根据产能每天需要鲜销部分!$K:$K,根据产能每天需要鲜销部分!$B:$B,$B33,根据产能每天需要鲜销部分!$G:$G,$C33)</f>
        <v>1559.9408114311</v>
      </c>
      <c r="G33">
        <f>_xlfn.XLOOKUP($C33,价格系数辅助表!$C:$C,价格系数辅助表!$E:$E)</f>
        <v>1.4617715272634999</v>
      </c>
      <c r="H33">
        <f t="shared" si="1"/>
        <v>13.0413800938713</v>
      </c>
      <c r="I33" t="str">
        <f>_xlfn.XLOOKUP(B33,'3.屠宰能力表'!B:B,'3.屠宰能力表'!D:D)</f>
        <v>湖北</v>
      </c>
      <c r="J33">
        <f>_xlfn.XLOOKUP(A33,'1.出栏表'!A:A,'1.出栏表'!F:F)</f>
        <v>8.9216268415661997</v>
      </c>
    </row>
    <row r="34" spans="1:10" ht="15" x14ac:dyDescent="0.3">
      <c r="A34" t="str">
        <f t="shared" si="0"/>
        <v>湖北46136</v>
      </c>
      <c r="B34" t="s">
        <v>146</v>
      </c>
      <c r="C34" t="str">
        <f>IF(根据产能每天需要鲜销部分!K36&lt;&gt;0,根据产能每天需要鲜销部分!G36,0)</f>
        <v>后腿肌肉</v>
      </c>
      <c r="D34" s="45">
        <v>46136</v>
      </c>
      <c r="F34" s="8">
        <f>SUMIFS(根据产能每天需要鲜销部分!$K:$K,根据产能每天需要鲜销部分!$B:$B,$B34,根据产能每天需要鲜销部分!$G:$G,$C34)</f>
        <v>13723.173974990699</v>
      </c>
      <c r="G34">
        <f>_xlfn.XLOOKUP($C34,价格系数辅助表!$C:$C,价格系数辅助表!$E:$E)</f>
        <v>1.4895071246315399</v>
      </c>
      <c r="H34">
        <f t="shared" si="1"/>
        <v>13.2888267438169</v>
      </c>
      <c r="I34" t="str">
        <f>_xlfn.XLOOKUP(B34,'3.屠宰能力表'!B:B,'3.屠宰能力表'!D:D)</f>
        <v>湖北</v>
      </c>
      <c r="J34">
        <f>_xlfn.XLOOKUP(A34,'1.出栏表'!A:A,'1.出栏表'!F:F)</f>
        <v>8.9216268415661997</v>
      </c>
    </row>
    <row r="35" spans="1:10" ht="15" x14ac:dyDescent="0.3">
      <c r="A35" t="str">
        <f t="shared" si="0"/>
        <v>湖北46136</v>
      </c>
      <c r="B35" t="s">
        <v>146</v>
      </c>
      <c r="C35" t="str">
        <f>IF(根据产能每天需要鲜销部分!K37&lt;&gt;0,根据产能每天需要鲜销部分!G37,0)</f>
        <v>前肘</v>
      </c>
      <c r="D35" s="45">
        <v>46136</v>
      </c>
      <c r="F35" s="8">
        <f>SUMIFS(根据产能每天需要鲜销部分!$K:$K,根据产能每天需要鲜销部分!$B:$B,$B35,根据产能每天需要鲜销部分!$G:$G,$C35)</f>
        <v>1529.2970786667199</v>
      </c>
      <c r="G35">
        <f>_xlfn.XLOOKUP($C35,价格系数辅助表!$C:$C,价格系数辅助表!$E:$E)</f>
        <v>1.4766526372111499</v>
      </c>
      <c r="H35">
        <f t="shared" si="1"/>
        <v>13.1741438038125</v>
      </c>
      <c r="I35" t="str">
        <f>_xlfn.XLOOKUP(B35,'3.屠宰能力表'!B:B,'3.屠宰能力表'!D:D)</f>
        <v>湖北</v>
      </c>
      <c r="J35">
        <f>_xlfn.XLOOKUP(A35,'1.出栏表'!A:A,'1.出栏表'!F:F)</f>
        <v>8.9216268415661997</v>
      </c>
    </row>
    <row r="36" spans="1:10" ht="15" x14ac:dyDescent="0.3">
      <c r="A36" t="str">
        <f t="shared" si="0"/>
        <v>湖北46136</v>
      </c>
      <c r="B36" t="s">
        <v>146</v>
      </c>
      <c r="C36" t="str">
        <f>IF(根据产能每天需要鲜销部分!K38&lt;&gt;0,根据产能每天需要鲜销部分!G38,0)</f>
        <v>后肘</v>
      </c>
      <c r="D36" s="45">
        <v>46136</v>
      </c>
      <c r="F36" s="8">
        <f>SUMIFS(根据产能每天需要鲜销部分!$K:$K,根据产能每天需要鲜销部分!$B:$B,$B36,根据产能每天需要鲜销部分!$G:$G,$C36)</f>
        <v>2158.41497676787</v>
      </c>
      <c r="G36">
        <f>_xlfn.XLOOKUP($C36,价格系数辅助表!$C:$C,价格系数辅助表!$E:$E)</f>
        <v>1.2663755864959301</v>
      </c>
      <c r="H36">
        <f t="shared" si="1"/>
        <v>11.298130423986199</v>
      </c>
      <c r="I36" t="str">
        <f>_xlfn.XLOOKUP(B36,'3.屠宰能力表'!B:B,'3.屠宰能力表'!D:D)</f>
        <v>湖北</v>
      </c>
      <c r="J36">
        <f>_xlfn.XLOOKUP(A36,'1.出栏表'!A:A,'1.出栏表'!F:F)</f>
        <v>8.9216268415661997</v>
      </c>
    </row>
    <row r="37" spans="1:10" ht="15" x14ac:dyDescent="0.3">
      <c r="A37" t="str">
        <f t="shared" si="0"/>
        <v>湖北46136</v>
      </c>
      <c r="B37" t="s">
        <v>146</v>
      </c>
      <c r="C37" t="str">
        <f>IF(根据产能每天需要鲜销部分!K39&lt;&gt;0,根据产能每天需要鲜销部分!G39,0)</f>
        <v>肥膘</v>
      </c>
      <c r="D37" s="45">
        <v>46136</v>
      </c>
      <c r="F37" s="8">
        <f>SUMIFS(根据产能每天需要鲜销部分!$K:$K,根据产能每天需要鲜销部分!$B:$B,$B37,根据产能每天需要鲜销部分!$G:$G,$C37)</f>
        <v>4806.67516525459</v>
      </c>
      <c r="G37">
        <f>_xlfn.XLOOKUP($C37,价格系数辅助表!$C:$C,价格系数辅助表!$E:$E)</f>
        <v>0.88455097651113601</v>
      </c>
      <c r="H37">
        <f t="shared" si="1"/>
        <v>7.8916337347753398</v>
      </c>
      <c r="I37" t="str">
        <f>_xlfn.XLOOKUP(B37,'3.屠宰能力表'!B:B,'3.屠宰能力表'!D:D)</f>
        <v>湖北</v>
      </c>
      <c r="J37">
        <f>_xlfn.XLOOKUP(A37,'1.出栏表'!A:A,'1.出栏表'!F:F)</f>
        <v>8.9216268415661997</v>
      </c>
    </row>
    <row r="38" spans="1:10" ht="15" x14ac:dyDescent="0.3">
      <c r="A38" t="str">
        <f t="shared" si="0"/>
        <v>湖北46136</v>
      </c>
      <c r="B38" t="s">
        <v>146</v>
      </c>
      <c r="C38" t="str">
        <f>IF(根据产能每天需要鲜销部分!K40&lt;&gt;0,根据产能每天需要鲜销部分!G40,0)</f>
        <v>脊膘</v>
      </c>
      <c r="D38" s="45">
        <v>46136</v>
      </c>
      <c r="F38" s="8">
        <f>SUMIFS(根据产能每天需要鲜销部分!$K:$K,根据产能每天需要鲜销部分!$B:$B,$B38,根据产能每天需要鲜销部分!$G:$G,$C38)</f>
        <v>2499.18495063519</v>
      </c>
      <c r="G38">
        <f>_xlfn.XLOOKUP($C38,价格系数辅助表!$C:$C,价格系数辅助表!$E:$E)</f>
        <v>0.81656825090915597</v>
      </c>
      <c r="H38">
        <f t="shared" si="1"/>
        <v>7.2851172252818897</v>
      </c>
      <c r="I38" t="str">
        <f>_xlfn.XLOOKUP(B38,'3.屠宰能力表'!B:B,'3.屠宰能力表'!D:D)</f>
        <v>湖北</v>
      </c>
      <c r="J38">
        <f>_xlfn.XLOOKUP(A38,'1.出栏表'!A:A,'1.出栏表'!F:F)</f>
        <v>8.9216268415661997</v>
      </c>
    </row>
    <row r="39" spans="1:10" ht="15" x14ac:dyDescent="0.3">
      <c r="A39" t="str">
        <f t="shared" si="0"/>
        <v>湖北46136</v>
      </c>
      <c r="B39" t="s">
        <v>146</v>
      </c>
      <c r="C39" t="str">
        <f>IF(根据产能每天需要鲜销部分!K41&lt;&gt;0,根据产能每天需要鲜销部分!G41,0)</f>
        <v>脊骨</v>
      </c>
      <c r="D39" s="45">
        <v>46136</v>
      </c>
      <c r="F39" s="8">
        <f>SUMIFS(根据产能每天需要鲜销部分!$K:$K,根据产能每天需要鲜销部分!$B:$B,$B39,根据产能每天需要鲜销部分!$G:$G,$C39)</f>
        <v>5734.7637092780396</v>
      </c>
      <c r="G39">
        <f>_xlfn.XLOOKUP($C39,价格系数辅助表!$C:$C,价格系数辅助表!$E:$E)</f>
        <v>1.1259651927004599</v>
      </c>
      <c r="H39">
        <f t="shared" si="1"/>
        <v>10.045441285865699</v>
      </c>
      <c r="I39" t="str">
        <f>_xlfn.XLOOKUP(B39,'3.屠宰能力表'!B:B,'3.屠宰能力表'!D:D)</f>
        <v>湖北</v>
      </c>
      <c r="J39">
        <f>_xlfn.XLOOKUP(A39,'1.出栏表'!A:A,'1.出栏表'!F:F)</f>
        <v>8.9216268415661997</v>
      </c>
    </row>
    <row r="40" spans="1:10" ht="15" x14ac:dyDescent="0.3">
      <c r="A40" t="str">
        <f t="shared" si="0"/>
        <v>湖北46136</v>
      </c>
      <c r="B40" t="s">
        <v>146</v>
      </c>
      <c r="C40" t="str">
        <f>IF(根据产能每天需要鲜销部分!K42&lt;&gt;0,根据产能每天需要鲜销部分!G42,0)</f>
        <v>带肉后棒骨</v>
      </c>
      <c r="D40" s="45">
        <v>46136</v>
      </c>
      <c r="F40" s="8">
        <f>SUMIFS(根据产能每天需要鲜销部分!$K:$K,根据产能每天需要鲜销部分!$B:$B,$B40,根据产能每天需要鲜销部分!$G:$G,$C40)</f>
        <v>1032.1431166228699</v>
      </c>
      <c r="G40">
        <f>_xlfn.XLOOKUP($C40,价格系数辅助表!$C:$C,价格系数辅助表!$E:$E)</f>
        <v>1.02591469638818</v>
      </c>
      <c r="H40">
        <f t="shared" si="1"/>
        <v>9.1528280924539906</v>
      </c>
      <c r="I40" t="str">
        <f>_xlfn.XLOOKUP(B40,'3.屠宰能力表'!B:B,'3.屠宰能力表'!D:D)</f>
        <v>湖北</v>
      </c>
      <c r="J40">
        <f>_xlfn.XLOOKUP(A40,'1.出栏表'!A:A,'1.出栏表'!F:F)</f>
        <v>8.9216268415661997</v>
      </c>
    </row>
    <row r="41" spans="1:10" ht="15" x14ac:dyDescent="0.3">
      <c r="A41" t="str">
        <f t="shared" si="0"/>
        <v>湖北46136</v>
      </c>
      <c r="B41" t="s">
        <v>146</v>
      </c>
      <c r="C41" t="str">
        <f>IF(根据产能每天需要鲜销部分!K43&lt;&gt;0,根据产能每天需要鲜销部分!G43,0)</f>
        <v>带肉前棒骨</v>
      </c>
      <c r="D41" s="45">
        <v>46136</v>
      </c>
      <c r="F41" s="8">
        <f>SUMIFS(根据产能每天需要鲜销部分!$K:$K,根据产能每天需要鲜销部分!$B:$B,$B41,根据产能每天需要鲜销部分!$G:$G,$C41)</f>
        <v>1386.74286895002</v>
      </c>
      <c r="G41">
        <f>_xlfn.XLOOKUP($C41,价格系数辅助表!$C:$C,价格系数辅助表!$E:$E)</f>
        <v>0.922604514711862</v>
      </c>
      <c r="H41">
        <f t="shared" si="1"/>
        <v>8.2311332026035107</v>
      </c>
      <c r="I41" t="str">
        <f>_xlfn.XLOOKUP(B41,'3.屠宰能力表'!B:B,'3.屠宰能力表'!D:D)</f>
        <v>湖北</v>
      </c>
      <c r="J41">
        <f>_xlfn.XLOOKUP(A41,'1.出栏表'!A:A,'1.出栏表'!F:F)</f>
        <v>8.9216268415661997</v>
      </c>
    </row>
    <row r="42" spans="1:10" ht="15" x14ac:dyDescent="0.3">
      <c r="A42" t="str">
        <f t="shared" si="0"/>
        <v>湖北46136</v>
      </c>
      <c r="B42" t="s">
        <v>146</v>
      </c>
      <c r="C42" t="str">
        <f>IF(根据产能每天需要鲜销部分!K44&lt;&gt;0,根据产能每天需要鲜销部分!G44,0)</f>
        <v>尾叉骨</v>
      </c>
      <c r="D42" s="45">
        <v>46136</v>
      </c>
      <c r="F42" s="8">
        <f>SUMIFS(根据产能每天需要鲜销部分!$K:$K,根据产能每天需要鲜销部分!$B:$B,$B42,根据产能每天需要鲜销部分!$G:$G,$C42)</f>
        <v>4510.7240572440396</v>
      </c>
      <c r="G42">
        <f>_xlfn.XLOOKUP($C42,价格系数辅助表!$C:$C,价格系数辅助表!$E:$E)</f>
        <v>0.926679482358305</v>
      </c>
      <c r="H42">
        <f t="shared" si="1"/>
        <v>8.2674885433365208</v>
      </c>
      <c r="I42" t="str">
        <f>_xlfn.XLOOKUP(B42,'3.屠宰能力表'!B:B,'3.屠宰能力表'!D:D)</f>
        <v>湖北</v>
      </c>
      <c r="J42">
        <f>_xlfn.XLOOKUP(A42,'1.出栏表'!A:A,'1.出栏表'!F:F)</f>
        <v>8.9216268415661997</v>
      </c>
    </row>
    <row r="43" spans="1:10" ht="15" x14ac:dyDescent="0.3">
      <c r="A43" t="str">
        <f t="shared" si="0"/>
        <v>湖北46136</v>
      </c>
      <c r="B43" t="s">
        <v>146</v>
      </c>
      <c r="C43" t="str">
        <f>IF(根据产能每天需要鲜销部分!K45&lt;&gt;0,根据产能每天需要鲜销部分!G45,0)</f>
        <v>扇骨</v>
      </c>
      <c r="D43" s="45">
        <v>46136</v>
      </c>
      <c r="F43" s="8">
        <f>SUMIFS(根据产能每天需要鲜销部分!$K:$K,根据产能每天需要鲜销部分!$B:$B,$B43,根据产能每天需要鲜销部分!$G:$G,$C43)</f>
        <v>1889.6276456022199</v>
      </c>
      <c r="G43">
        <f>_xlfn.XLOOKUP($C43,价格系数辅助表!$C:$C,价格系数辅助表!$E:$E)</f>
        <v>1.1521636001823701</v>
      </c>
      <c r="H43">
        <f t="shared" si="1"/>
        <v>10.2791737012626</v>
      </c>
      <c r="I43" t="str">
        <f>_xlfn.XLOOKUP(B43,'3.屠宰能力表'!B:B,'3.屠宰能力表'!D:D)</f>
        <v>湖北</v>
      </c>
      <c r="J43">
        <f>_xlfn.XLOOKUP(A43,'1.出栏表'!A:A,'1.出栏表'!F:F)</f>
        <v>8.9216268415661997</v>
      </c>
    </row>
    <row r="44" spans="1:10" ht="15" x14ac:dyDescent="0.3">
      <c r="A44" t="str">
        <f t="shared" si="0"/>
        <v>湖北46136</v>
      </c>
      <c r="B44" t="s">
        <v>146</v>
      </c>
      <c r="C44" t="str">
        <f>IF(根据产能每天需要鲜销部分!K46&lt;&gt;0,根据产能每天需要鲜销部分!G46,0)</f>
        <v>颈骨</v>
      </c>
      <c r="D44" s="45">
        <v>46136</v>
      </c>
      <c r="F44" s="8">
        <f>SUMIFS(根据产能每天需要鲜销部分!$K:$K,根据产能每天需要鲜销部分!$B:$B,$B44,根据产能每天需要鲜销部分!$G:$G,$C44)</f>
        <v>1341.0260710725499</v>
      </c>
      <c r="G44">
        <f>_xlfn.XLOOKUP($C44,价格系数辅助表!$C:$C,价格系数辅助表!$E:$E)</f>
        <v>1.0074710773803</v>
      </c>
      <c r="H44">
        <f t="shared" si="1"/>
        <v>8.9882810060576901</v>
      </c>
      <c r="I44" t="str">
        <f>_xlfn.XLOOKUP(B44,'3.屠宰能力表'!B:B,'3.屠宰能力表'!D:D)</f>
        <v>湖北</v>
      </c>
      <c r="J44">
        <f>_xlfn.XLOOKUP(A44,'1.出栏表'!A:A,'1.出栏表'!F:F)</f>
        <v>8.9216268415661997</v>
      </c>
    </row>
    <row r="45" spans="1:10" ht="15" x14ac:dyDescent="0.3">
      <c r="A45" t="str">
        <f t="shared" si="0"/>
        <v>湖北46136</v>
      </c>
      <c r="B45" t="s">
        <v>146</v>
      </c>
      <c r="C45" t="str">
        <f>IF(根据产能每天需要鲜销部分!K47&lt;&gt;0,根据产能每天需要鲜销部分!G47,0)</f>
        <v>杂骨</v>
      </c>
      <c r="D45" s="45">
        <v>46136</v>
      </c>
      <c r="F45" s="8">
        <f>SUMIFS(根据产能每天需要鲜销部分!$K:$K,根据产能每天需要鲜销部分!$B:$B,$B45,根据产能每天需要鲜销部分!$G:$G,$C45)</f>
        <v>426.69011352308502</v>
      </c>
      <c r="G45">
        <f>_xlfn.XLOOKUP($C45,价格系数辅助表!$C:$C,价格系数辅助表!$E:$E)</f>
        <v>0.72970400715709505</v>
      </c>
      <c r="H45">
        <f t="shared" si="1"/>
        <v>6.5101468566511498</v>
      </c>
      <c r="I45" t="str">
        <f>_xlfn.XLOOKUP(B45,'3.屠宰能力表'!B:B,'3.屠宰能力表'!D:D)</f>
        <v>湖北</v>
      </c>
      <c r="J45">
        <f>_xlfn.XLOOKUP(A45,'1.出栏表'!A:A,'1.出栏表'!F:F)</f>
        <v>8.9216268415661997</v>
      </c>
    </row>
    <row r="46" spans="1:10" ht="15" x14ac:dyDescent="0.3">
      <c r="A46" t="str">
        <f t="shared" si="0"/>
        <v>湖北46136</v>
      </c>
      <c r="B46" t="s">
        <v>146</v>
      </c>
      <c r="C46" t="str">
        <f>IF(根据产能每天需要鲜销部分!K48&lt;&gt;0,根据产能每天需要鲜销部分!G48,0)</f>
        <v>月牙骨</v>
      </c>
      <c r="D46" s="45">
        <v>46136</v>
      </c>
      <c r="F46" s="8">
        <f>SUMIFS(根据产能每天需要鲜销部分!$K:$K,根据产能每天需要鲜销部分!$B:$B,$B46,根据产能每天需要鲜销部分!$G:$G,$C46)</f>
        <v>304.90825888406999</v>
      </c>
      <c r="G46">
        <f>_xlfn.XLOOKUP($C46,价格系数辅助表!$C:$C,价格系数辅助表!$E:$E)</f>
        <v>2.7560630433134201</v>
      </c>
      <c r="H46">
        <f t="shared" si="1"/>
        <v>24.5885660242736</v>
      </c>
      <c r="I46" t="str">
        <f>_xlfn.XLOOKUP(B46,'3.屠宰能力表'!B:B,'3.屠宰能力表'!D:D)</f>
        <v>湖北</v>
      </c>
      <c r="J46">
        <f>_xlfn.XLOOKUP(A46,'1.出栏表'!A:A,'1.出栏表'!F:F)</f>
        <v>8.9216268415661997</v>
      </c>
    </row>
    <row r="47" spans="1:10" ht="15" x14ac:dyDescent="0.3">
      <c r="A47" t="str">
        <f t="shared" si="0"/>
        <v>湖北46136</v>
      </c>
      <c r="B47" t="s">
        <v>146</v>
      </c>
      <c r="C47" t="str">
        <f>IF(根据产能每天需要鲜销部分!K49&lt;&gt;0,根据产能每天需要鲜销部分!G49,0)</f>
        <v>精碎肉</v>
      </c>
      <c r="D47" s="45">
        <v>46136</v>
      </c>
      <c r="F47" s="8">
        <f>SUMIFS(根据产能每天需要鲜销部分!$K:$K,根据产能每天需要鲜销部分!$B:$B,$B47,根据产能每天需要鲜销部分!$G:$G,$C47)</f>
        <v>808.83366519326296</v>
      </c>
      <c r="G47">
        <f>_xlfn.XLOOKUP($C47,价格系数辅助表!$C:$C,价格系数辅助表!$E:$E)</f>
        <v>1.1853684696925</v>
      </c>
      <c r="H47">
        <f t="shared" si="1"/>
        <v>10.575415156354801</v>
      </c>
      <c r="I47" t="str">
        <f>_xlfn.XLOOKUP(B47,'3.屠宰能力表'!B:B,'3.屠宰能力表'!D:D)</f>
        <v>湖北</v>
      </c>
      <c r="J47">
        <f>_xlfn.XLOOKUP(A47,'1.出栏表'!A:A,'1.出栏表'!F:F)</f>
        <v>8.9216268415661997</v>
      </c>
    </row>
    <row r="48" spans="1:10" ht="15" x14ac:dyDescent="0.3">
      <c r="A48" t="str">
        <f t="shared" si="0"/>
        <v>湖北46136</v>
      </c>
      <c r="B48" t="s">
        <v>146</v>
      </c>
      <c r="C48" t="str">
        <f>IF(根据产能每天需要鲜销部分!K50&lt;&gt;0,根据产能每天需要鲜销部分!G50,0)</f>
        <v>7:3碎肉</v>
      </c>
      <c r="D48" s="45">
        <v>46136</v>
      </c>
      <c r="F48" s="8">
        <f>SUMIFS(根据产能每天需要鲜销部分!$K:$K,根据产能每天需要鲜销部分!$B:$B,$B48,根据产能每天需要鲜销部分!$G:$G,$C48)</f>
        <v>2240.4979218594199</v>
      </c>
      <c r="G48">
        <f>_xlfn.XLOOKUP($C48,价格系数辅助表!$C:$C,价格系数辅助表!$E:$E)</f>
        <v>0.74904414201499503</v>
      </c>
      <c r="H48">
        <f t="shared" si="1"/>
        <v>6.6826923229188999</v>
      </c>
      <c r="I48" t="str">
        <f>_xlfn.XLOOKUP(B48,'3.屠宰能力表'!B:B,'3.屠宰能力表'!D:D)</f>
        <v>湖北</v>
      </c>
      <c r="J48">
        <f>_xlfn.XLOOKUP(A48,'1.出栏表'!A:A,'1.出栏表'!F:F)</f>
        <v>8.9216268415661997</v>
      </c>
    </row>
    <row r="49" spans="1:10" ht="15" x14ac:dyDescent="0.3">
      <c r="A49" t="str">
        <f t="shared" si="0"/>
        <v>湖北46136</v>
      </c>
      <c r="B49" t="s">
        <v>146</v>
      </c>
      <c r="C49" t="str">
        <f>IF(根据产能每天需要鲜销部分!K51&lt;&gt;0,根据产能每天需要鲜销部分!G51,0)</f>
        <v>脊皮</v>
      </c>
      <c r="D49" s="45">
        <v>46136</v>
      </c>
      <c r="F49" s="8">
        <f>SUMIFS(根据产能每天需要鲜销部分!$K:$K,根据产能每天需要鲜销部分!$B:$B,$B49,根据产能每天需要鲜销部分!$G:$G,$C49)</f>
        <v>1695.69509684575</v>
      </c>
      <c r="G49">
        <f>_xlfn.XLOOKUP($C49,价格系数辅助表!$C:$C,价格系数辅助表!$E:$E)</f>
        <v>0.62107390938185902</v>
      </c>
      <c r="H49">
        <f t="shared" si="1"/>
        <v>5.5409896605376501</v>
      </c>
      <c r="I49" t="str">
        <f>_xlfn.XLOOKUP(B49,'3.屠宰能力表'!B:B,'3.屠宰能力表'!D:D)</f>
        <v>湖北</v>
      </c>
      <c r="J49">
        <f>_xlfn.XLOOKUP(A49,'1.出栏表'!A:A,'1.出栏表'!F:F)</f>
        <v>8.9216268415661997</v>
      </c>
    </row>
    <row r="50" spans="1:10" ht="15" x14ac:dyDescent="0.3">
      <c r="A50" t="str">
        <f t="shared" si="0"/>
        <v>湖北46136</v>
      </c>
      <c r="B50" t="s">
        <v>146</v>
      </c>
      <c r="C50" t="str">
        <f>IF(根据产能每天需要鲜销部分!K52&lt;&gt;0,根据产能每天需要鲜销部分!G52,0)</f>
        <v>碎皮</v>
      </c>
      <c r="D50" s="45">
        <v>46136</v>
      </c>
      <c r="F50" s="8">
        <f>SUMIFS(根据产能每天需要鲜销部分!$K:$K,根据产能每天需要鲜销部分!$B:$B,$B50,根据产能每天需要鲜销部分!$G:$G,$C50)</f>
        <v>274.30078726483998</v>
      </c>
      <c r="G50">
        <f>_xlfn.XLOOKUP($C50,价格系数辅助表!$C:$C,价格系数辅助表!$E:$E)</f>
        <v>0.24650626139895601</v>
      </c>
      <c r="H50">
        <f t="shared" si="1"/>
        <v>2.1992368783110599</v>
      </c>
      <c r="I50" t="str">
        <f>_xlfn.XLOOKUP(B50,'3.屠宰能力表'!B:B,'3.屠宰能力表'!D:D)</f>
        <v>湖北</v>
      </c>
      <c r="J50">
        <f>_xlfn.XLOOKUP(A50,'1.出栏表'!A:A,'1.出栏表'!F:F)</f>
        <v>8.9216268415661997</v>
      </c>
    </row>
    <row r="51" spans="1:10" ht="15" x14ac:dyDescent="0.3">
      <c r="A51" t="str">
        <f t="shared" si="0"/>
        <v>河南46136</v>
      </c>
      <c r="B51" t="s">
        <v>148</v>
      </c>
      <c r="C51" t="s">
        <v>41</v>
      </c>
      <c r="D51" s="45">
        <v>46136</v>
      </c>
      <c r="F51" s="8">
        <f>SUMIFS(根据产能每天需要鲜销部分!$K:$K,根据产能每天需要鲜销部分!$B:$B,$B51,根据产能每天需要鲜销部分!$G:$G,$C51)</f>
        <v>192192</v>
      </c>
      <c r="G51">
        <f>_xlfn.XLOOKUP($C51,价格系数辅助表!$C:$C,价格系数辅助表!$E:$E)</f>
        <v>1.1852119074341301</v>
      </c>
      <c r="H51">
        <f t="shared" si="1"/>
        <v>10.6479462296099</v>
      </c>
      <c r="I51" t="str">
        <f>_xlfn.XLOOKUP(B51,'3.屠宰能力表'!B:B,'3.屠宰能力表'!D:D)</f>
        <v>河南</v>
      </c>
      <c r="J51">
        <f>_xlfn.XLOOKUP(A51,'1.出栏表'!A:A,'1.出栏表'!F:F)</f>
        <v>8.9840020698590806</v>
      </c>
    </row>
    <row r="52" spans="1:10" ht="15" x14ac:dyDescent="0.3">
      <c r="A52" t="str">
        <f t="shared" si="0"/>
        <v>河南46136</v>
      </c>
      <c r="B52" t="s">
        <v>148</v>
      </c>
      <c r="C52" t="s">
        <v>44</v>
      </c>
      <c r="D52" s="45">
        <v>46136</v>
      </c>
      <c r="F52" s="8">
        <f>SUMIFS(根据产能每天需要鲜销部分!$K:$K,根据产能每天需要鲜销部分!$B:$B,$B52,根据产能每天需要鲜销部分!$G:$G,$C52)</f>
        <v>16643.419268881898</v>
      </c>
      <c r="G52">
        <f>_xlfn.XLOOKUP($C52,价格系数辅助表!$C:$C,价格系数辅助表!$E:$E)</f>
        <v>0.81317166851852996</v>
      </c>
      <c r="H52">
        <f t="shared" si="1"/>
        <v>7.3055359531212298</v>
      </c>
      <c r="I52" t="str">
        <f>_xlfn.XLOOKUP(B52,'3.屠宰能力表'!B:B,'3.屠宰能力表'!D:D)</f>
        <v>河南</v>
      </c>
      <c r="J52">
        <f>_xlfn.XLOOKUP(A52,'1.出栏表'!A:A,'1.出栏表'!F:F)</f>
        <v>8.9840020698590806</v>
      </c>
    </row>
    <row r="53" spans="1:10" ht="15" x14ac:dyDescent="0.3">
      <c r="A53" t="str">
        <f t="shared" si="0"/>
        <v>河南46136</v>
      </c>
      <c r="B53" t="s">
        <v>148</v>
      </c>
      <c r="C53" t="s">
        <v>46</v>
      </c>
      <c r="D53" s="45">
        <v>46136</v>
      </c>
      <c r="F53" s="8">
        <f>SUMIFS(根据产能每天需要鲜销部分!$K:$K,根据产能每天需要鲜销部分!$B:$B,$B53,根据产能每天需要鲜销部分!$G:$G,$C53)</f>
        <v>125.03858693242999</v>
      </c>
      <c r="G53">
        <f>_xlfn.XLOOKUP($C53,价格系数辅助表!$C:$C,价格系数辅助表!$E:$E)</f>
        <v>4.0225512045395799</v>
      </c>
      <c r="H53">
        <f t="shared" si="1"/>
        <v>36.138608347697797</v>
      </c>
      <c r="I53" t="str">
        <f>_xlfn.XLOOKUP(B53,'3.屠宰能力表'!B:B,'3.屠宰能力表'!D:D)</f>
        <v>河南</v>
      </c>
      <c r="J53">
        <f>_xlfn.XLOOKUP(A53,'1.出栏表'!A:A,'1.出栏表'!F:F)</f>
        <v>8.9840020698590806</v>
      </c>
    </row>
    <row r="54" spans="1:10" ht="15" x14ac:dyDescent="0.3">
      <c r="A54" t="str">
        <f t="shared" si="0"/>
        <v>河南46136</v>
      </c>
      <c r="B54" t="s">
        <v>148</v>
      </c>
      <c r="C54" t="s">
        <v>47</v>
      </c>
      <c r="D54" s="45">
        <v>46136</v>
      </c>
      <c r="F54" s="8">
        <f>SUMIFS(根据产能每天需要鲜销部分!$K:$K,根据产能每天需要鲜销部分!$B:$B,$B54,根据产能每天需要鲜销部分!$G:$G,$C54)</f>
        <v>1176.28410298983</v>
      </c>
      <c r="G54">
        <f>_xlfn.XLOOKUP($C54,价格系数辅助表!$C:$C,价格系数辅助表!$E:$E)</f>
        <v>0.84535964262204399</v>
      </c>
      <c r="H54">
        <f t="shared" si="1"/>
        <v>7.5947127790917799</v>
      </c>
      <c r="I54" t="str">
        <f>_xlfn.XLOOKUP(B54,'3.屠宰能力表'!B:B,'3.屠宰能力表'!D:D)</f>
        <v>河南</v>
      </c>
      <c r="J54">
        <f>_xlfn.XLOOKUP(A54,'1.出栏表'!A:A,'1.出栏表'!F:F)</f>
        <v>8.9840020698590806</v>
      </c>
    </row>
    <row r="55" spans="1:10" ht="15" x14ac:dyDescent="0.3">
      <c r="A55" t="str">
        <f t="shared" si="0"/>
        <v>河南46136</v>
      </c>
      <c r="B55" t="s">
        <v>148</v>
      </c>
      <c r="C55" t="s">
        <v>48</v>
      </c>
      <c r="D55" s="45">
        <v>46136</v>
      </c>
      <c r="F55" s="8">
        <f>SUMIFS(根据产能每天需要鲜销部分!$K:$K,根据产能每天需要鲜销部分!$B:$B,$B55,根据产能每天需要鲜销部分!$G:$G,$C55)</f>
        <v>6075.9539390910704</v>
      </c>
      <c r="G55">
        <f>_xlfn.XLOOKUP($C55,价格系数辅助表!$C:$C,价格系数辅助表!$E:$E)</f>
        <v>0.37320475421536098</v>
      </c>
      <c r="H55">
        <f t="shared" si="1"/>
        <v>3.35287228435205</v>
      </c>
      <c r="I55" t="str">
        <f>_xlfn.XLOOKUP(B55,'3.屠宰能力表'!B:B,'3.屠宰能力表'!D:D)</f>
        <v>河南</v>
      </c>
      <c r="J55">
        <f>_xlfn.XLOOKUP(A55,'1.出栏表'!A:A,'1.出栏表'!F:F)</f>
        <v>8.9840020698590806</v>
      </c>
    </row>
    <row r="56" spans="1:10" ht="15" x14ac:dyDescent="0.3">
      <c r="A56" t="str">
        <f t="shared" si="0"/>
        <v>河南46136</v>
      </c>
      <c r="B56" t="s">
        <v>148</v>
      </c>
      <c r="C56" t="s">
        <v>49</v>
      </c>
      <c r="D56" s="45">
        <v>46136</v>
      </c>
      <c r="F56" s="8">
        <f>SUMIFS(根据产能每天需要鲜销部分!$K:$K,根据产能每天需要鲜销部分!$B:$B,$B56,根据产能每天需要鲜销部分!$G:$G,$C56)</f>
        <v>1187.8665758580801</v>
      </c>
      <c r="G56">
        <f>_xlfn.XLOOKUP($C56,价格系数辅助表!$C:$C,价格系数辅助表!$E:$E)</f>
        <v>1.1550192014842</v>
      </c>
      <c r="H56">
        <f t="shared" si="1"/>
        <v>10.376694896861</v>
      </c>
      <c r="I56" t="str">
        <f>_xlfn.XLOOKUP(B56,'3.屠宰能力表'!B:B,'3.屠宰能力表'!D:D)</f>
        <v>河南</v>
      </c>
      <c r="J56">
        <f>_xlfn.XLOOKUP(A56,'1.出栏表'!A:A,'1.出栏表'!F:F)</f>
        <v>8.9840020698590806</v>
      </c>
    </row>
    <row r="57" spans="1:10" ht="15" x14ac:dyDescent="0.3">
      <c r="A57" t="str">
        <f t="shared" si="0"/>
        <v>河南46136</v>
      </c>
      <c r="B57" t="s">
        <v>148</v>
      </c>
      <c r="C57" t="s">
        <v>50</v>
      </c>
      <c r="D57" s="45">
        <v>46136</v>
      </c>
      <c r="F57" s="8">
        <f>SUMIFS(根据产能每天需要鲜销部分!$K:$K,根据产能每天需要鲜销部分!$B:$B,$B57,根据产能每天需要鲜销部分!$G:$G,$C57)</f>
        <v>4156.7227716500001</v>
      </c>
      <c r="G57">
        <f>_xlfn.XLOOKUP($C57,价格系数辅助表!$C:$C,价格系数辅助表!$E:$E)</f>
        <v>1.90800135982928</v>
      </c>
      <c r="H57">
        <f t="shared" si="1"/>
        <v>17.141488166000201</v>
      </c>
      <c r="I57" t="str">
        <f>_xlfn.XLOOKUP(B57,'3.屠宰能力表'!B:B,'3.屠宰能力表'!D:D)</f>
        <v>河南</v>
      </c>
      <c r="J57">
        <f>_xlfn.XLOOKUP(A57,'1.出栏表'!A:A,'1.出栏表'!F:F)</f>
        <v>8.9840020698590806</v>
      </c>
    </row>
    <row r="58" spans="1:10" ht="15" x14ac:dyDescent="0.3">
      <c r="A58" t="str">
        <f t="shared" si="0"/>
        <v>河南46136</v>
      </c>
      <c r="B58" t="s">
        <v>148</v>
      </c>
      <c r="C58" t="s">
        <v>51</v>
      </c>
      <c r="D58" s="45">
        <v>46136</v>
      </c>
      <c r="F58" s="8">
        <f>SUMIFS(根据产能每天需要鲜销部分!$K:$K,根据产能每天需要鲜销部分!$B:$B,$B58,根据产能每天需要鲜销部分!$G:$G,$C58)</f>
        <v>1906.8384507195501</v>
      </c>
      <c r="G58">
        <f>_xlfn.XLOOKUP($C58,价格系数辅助表!$C:$C,价格系数辅助表!$E:$E)</f>
        <v>2.76783242873949</v>
      </c>
      <c r="H58">
        <f t="shared" si="1"/>
        <v>24.8662122688187</v>
      </c>
      <c r="I58" t="str">
        <f>_xlfn.XLOOKUP(B58,'3.屠宰能力表'!B:B,'3.屠宰能力表'!D:D)</f>
        <v>河南</v>
      </c>
      <c r="J58">
        <f>_xlfn.XLOOKUP(A58,'1.出栏表'!A:A,'1.出栏表'!F:F)</f>
        <v>8.9840020698590806</v>
      </c>
    </row>
    <row r="59" spans="1:10" ht="15" x14ac:dyDescent="0.3">
      <c r="A59" t="str">
        <f t="shared" si="0"/>
        <v>河南46136</v>
      </c>
      <c r="B59" t="s">
        <v>148</v>
      </c>
      <c r="C59" t="s">
        <v>52</v>
      </c>
      <c r="D59" s="45">
        <v>46136</v>
      </c>
      <c r="F59" s="8">
        <f>SUMIFS(根据产能每天需要鲜销部分!$K:$K,根据产能每天需要鲜销部分!$B:$B,$B59,根据产能每天需要鲜销部分!$G:$G,$C59)</f>
        <v>1594.2419833884701</v>
      </c>
      <c r="G59">
        <f>_xlfn.XLOOKUP($C59,价格系数辅助表!$C:$C,价格系数辅助表!$E:$E)</f>
        <v>1.61708641969264</v>
      </c>
      <c r="H59">
        <f t="shared" si="1"/>
        <v>14.5279077416597</v>
      </c>
      <c r="I59" t="str">
        <f>_xlfn.XLOOKUP(B59,'3.屠宰能力表'!B:B,'3.屠宰能力表'!D:D)</f>
        <v>河南</v>
      </c>
      <c r="J59">
        <f>_xlfn.XLOOKUP(A59,'1.出栏表'!A:A,'1.出栏表'!F:F)</f>
        <v>8.9840020698590806</v>
      </c>
    </row>
    <row r="60" spans="1:10" ht="15" x14ac:dyDescent="0.3">
      <c r="A60" t="str">
        <f t="shared" si="0"/>
        <v>河南46136</v>
      </c>
      <c r="B60" t="s">
        <v>148</v>
      </c>
      <c r="C60" t="s">
        <v>53</v>
      </c>
      <c r="D60" s="45">
        <v>46136</v>
      </c>
      <c r="F60" s="8">
        <f>SUMIFS(根据产能每天需要鲜销部分!$K:$K,根据产能每天需要鲜销部分!$B:$B,$B60,根据产能每天需要鲜销部分!$G:$G,$C60)</f>
        <v>1406.6841029898301</v>
      </c>
      <c r="G60">
        <f>_xlfn.XLOOKUP($C60,价格系数辅助表!$C:$C,价格系数辅助表!$E:$E)</f>
        <v>1.4850675377364999</v>
      </c>
      <c r="H60">
        <f t="shared" si="1"/>
        <v>13.341849832905201</v>
      </c>
      <c r="I60" t="str">
        <f>_xlfn.XLOOKUP(B60,'3.屠宰能力表'!B:B,'3.屠宰能力表'!D:D)</f>
        <v>河南</v>
      </c>
      <c r="J60">
        <f>_xlfn.XLOOKUP(A60,'1.出栏表'!A:A,'1.出栏表'!F:F)</f>
        <v>8.9840020698590806</v>
      </c>
    </row>
    <row r="61" spans="1:10" ht="15" x14ac:dyDescent="0.3">
      <c r="A61" t="str">
        <f t="shared" si="0"/>
        <v>河南46136</v>
      </c>
      <c r="B61" t="s">
        <v>148</v>
      </c>
      <c r="C61" t="s">
        <v>54</v>
      </c>
      <c r="D61" s="45">
        <v>46136</v>
      </c>
      <c r="F61" s="8">
        <f>SUMIFS(根据产能每天需要鲜销部分!$K:$K,根据产能每天需要鲜销部分!$B:$B,$B61,根据产能每天需要鲜销部分!$G:$G,$C61)</f>
        <v>1031.5683421925501</v>
      </c>
      <c r="G61">
        <f>_xlfn.XLOOKUP($C61,价格系数辅助表!$C:$C,价格系数辅助表!$E:$E)</f>
        <v>1.8971615295629001</v>
      </c>
      <c r="H61">
        <f t="shared" si="1"/>
        <v>17.044103108450098</v>
      </c>
      <c r="I61" t="str">
        <f>_xlfn.XLOOKUP(B61,'3.屠宰能力表'!B:B,'3.屠宰能力表'!D:D)</f>
        <v>河南</v>
      </c>
      <c r="J61">
        <f>_xlfn.XLOOKUP(A61,'1.出栏表'!A:A,'1.出栏表'!F:F)</f>
        <v>8.9840020698590806</v>
      </c>
    </row>
    <row r="62" spans="1:10" ht="15" x14ac:dyDescent="0.3">
      <c r="A62" t="str">
        <f t="shared" si="0"/>
        <v>河南46136</v>
      </c>
      <c r="B62" t="s">
        <v>148</v>
      </c>
      <c r="C62" t="s">
        <v>55</v>
      </c>
      <c r="D62" s="45">
        <v>46136</v>
      </c>
      <c r="F62" s="8">
        <f>SUMIFS(根据产能每天需要鲜销部分!$K:$K,根据产能每天需要鲜销部分!$B:$B,$B62,根据产能每天需要鲜销部分!$G:$G,$C62)</f>
        <v>111.420523009096</v>
      </c>
      <c r="G62">
        <f>_xlfn.XLOOKUP($C62,价格系数辅助表!$C:$C,价格系数辅助表!$E:$E)</f>
        <v>3.2997148664303801</v>
      </c>
      <c r="H62">
        <f t="shared" si="1"/>
        <v>29.644645189955298</v>
      </c>
      <c r="I62" t="str">
        <f>_xlfn.XLOOKUP(B62,'3.屠宰能力表'!B:B,'3.屠宰能力表'!D:D)</f>
        <v>河南</v>
      </c>
      <c r="J62">
        <f>_xlfn.XLOOKUP(A62,'1.出栏表'!A:A,'1.出栏表'!F:F)</f>
        <v>8.9840020698590806</v>
      </c>
    </row>
    <row r="63" spans="1:10" ht="15" x14ac:dyDescent="0.3">
      <c r="A63" t="str">
        <f t="shared" si="0"/>
        <v>河南46136</v>
      </c>
      <c r="B63" t="s">
        <v>148</v>
      </c>
      <c r="C63" t="s">
        <v>57</v>
      </c>
      <c r="D63" s="45">
        <v>46136</v>
      </c>
      <c r="F63" s="8">
        <f>SUMIFS(根据产能每天需要鲜销部分!$K:$K,根据产能每天需要鲜销部分!$B:$B,$B63,根据产能每天需要鲜销部分!$G:$G,$C63)</f>
        <v>3934.4381782937899</v>
      </c>
      <c r="G63">
        <f>_xlfn.XLOOKUP($C63,价格系数辅助表!$C:$C,价格系数辅助表!$E:$E)</f>
        <v>0.130070801908548</v>
      </c>
      <c r="H63">
        <f t="shared" si="1"/>
        <v>1.1685563535746299</v>
      </c>
      <c r="I63" t="str">
        <f>_xlfn.XLOOKUP(B63,'3.屠宰能力表'!B:B,'3.屠宰能力表'!D:D)</f>
        <v>河南</v>
      </c>
      <c r="J63">
        <f>_xlfn.XLOOKUP(A63,'1.出栏表'!A:A,'1.出栏表'!F:F)</f>
        <v>8.9840020698590806</v>
      </c>
    </row>
    <row r="64" spans="1:10" ht="15" x14ac:dyDescent="0.3">
      <c r="A64" t="str">
        <f t="shared" si="0"/>
        <v>河南46136</v>
      </c>
      <c r="B64" t="s">
        <v>148</v>
      </c>
      <c r="C64" t="s">
        <v>58</v>
      </c>
      <c r="D64" s="45">
        <v>46136</v>
      </c>
      <c r="F64" s="8">
        <f>SUMIFS(根据产能每天需要鲜销部分!$K:$K,根据产能每天需要鲜销部分!$B:$B,$B64,根据产能每天需要鲜销部分!$G:$G,$C64)</f>
        <v>5606.6101824381303</v>
      </c>
      <c r="G64">
        <f>_xlfn.XLOOKUP($C64,价格系数辅助表!$C:$C,价格系数辅助表!$E:$E)</f>
        <v>0.69784384029908697</v>
      </c>
      <c r="H64">
        <f t="shared" si="1"/>
        <v>6.2694305056854098</v>
      </c>
      <c r="I64" t="str">
        <f>_xlfn.XLOOKUP(B64,'3.屠宰能力表'!B:B,'3.屠宰能力表'!D:D)</f>
        <v>河南</v>
      </c>
      <c r="J64">
        <f>_xlfn.XLOOKUP(A64,'1.出栏表'!A:A,'1.出栏表'!F:F)</f>
        <v>8.9840020698590806</v>
      </c>
    </row>
    <row r="65" spans="1:10" ht="15" x14ac:dyDescent="0.3">
      <c r="A65" t="str">
        <f t="shared" si="0"/>
        <v>河南46136</v>
      </c>
      <c r="B65" t="s">
        <v>148</v>
      </c>
      <c r="C65" t="s">
        <v>59</v>
      </c>
      <c r="D65" s="45">
        <v>46136</v>
      </c>
      <c r="F65" s="8">
        <f>SUMIFS(根据产能每天需要鲜销部分!$K:$K,根据产能每天需要鲜销部分!$B:$B,$B65,根据产能每天需要鲜销部分!$G:$G,$C65)</f>
        <v>5652.0171096271897</v>
      </c>
      <c r="G65">
        <f>_xlfn.XLOOKUP($C65,价格系数辅助表!$C:$C,价格系数辅助表!$E:$E)</f>
        <v>0.456447335288171</v>
      </c>
      <c r="H65">
        <f t="shared" si="1"/>
        <v>4.1007238050105901</v>
      </c>
      <c r="I65" t="str">
        <f>_xlfn.XLOOKUP(B65,'3.屠宰能力表'!B:B,'3.屠宰能力表'!D:D)</f>
        <v>河南</v>
      </c>
      <c r="J65">
        <f>_xlfn.XLOOKUP(A65,'1.出栏表'!A:A,'1.出栏表'!F:F)</f>
        <v>8.9840020698590806</v>
      </c>
    </row>
    <row r="66" spans="1:10" ht="15" x14ac:dyDescent="0.3">
      <c r="A66" t="str">
        <f t="shared" si="0"/>
        <v>河南46136</v>
      </c>
      <c r="B66" t="s">
        <v>148</v>
      </c>
      <c r="C66" t="s">
        <v>60</v>
      </c>
      <c r="D66" s="45">
        <v>46136</v>
      </c>
      <c r="F66" s="8">
        <f>SUMIFS(根据产能每天需要鲜销部分!$K:$K,根据产能每天需要鲜销部分!$B:$B,$B66,根据产能每天需要鲜销部分!$G:$G,$C66)</f>
        <v>2621.5330155032798</v>
      </c>
      <c r="G66">
        <f>_xlfn.XLOOKUP($C66,价格系数辅助表!$C:$C,价格系数辅助表!$E:$E)</f>
        <v>0.30253913346115902</v>
      </c>
      <c r="H66">
        <f t="shared" si="1"/>
        <v>2.7180122012284298</v>
      </c>
      <c r="I66" t="str">
        <f>_xlfn.XLOOKUP(B66,'3.屠宰能力表'!B:B,'3.屠宰能力表'!D:D)</f>
        <v>河南</v>
      </c>
      <c r="J66">
        <f>_xlfn.XLOOKUP(A66,'1.出栏表'!A:A,'1.出栏表'!F:F)</f>
        <v>8.9840020698590806</v>
      </c>
    </row>
    <row r="67" spans="1:10" ht="15" x14ac:dyDescent="0.3">
      <c r="A67" t="str">
        <f t="shared" ref="A67:A130" si="2">I67&amp;D67</f>
        <v>河南46136</v>
      </c>
      <c r="B67" t="s">
        <v>148</v>
      </c>
      <c r="C67" t="s">
        <v>61</v>
      </c>
      <c r="D67" s="45">
        <v>46136</v>
      </c>
      <c r="F67" s="8">
        <f>SUMIFS(根据产能每天需要鲜销部分!$K:$K,根据产能每天需要鲜销部分!$B:$B,$B67,根据产能每天需要鲜销部分!$G:$G,$C67)</f>
        <v>3000.9260863783102</v>
      </c>
      <c r="G67">
        <f>_xlfn.XLOOKUP($C67,价格系数辅助表!$C:$C,价格系数辅助表!$E:$E)</f>
        <v>5.2234050059701297E-2</v>
      </c>
      <c r="H67">
        <f t="shared" ref="H67:H130" si="3">G67*$J67</f>
        <v>0.46927081385347902</v>
      </c>
      <c r="I67" t="str">
        <f>_xlfn.XLOOKUP(B67,'3.屠宰能力表'!B:B,'3.屠宰能力表'!D:D)</f>
        <v>河南</v>
      </c>
      <c r="J67">
        <f>_xlfn.XLOOKUP(A67,'1.出栏表'!A:A,'1.出栏表'!F:F)</f>
        <v>8.9840020698590806</v>
      </c>
    </row>
    <row r="68" spans="1:10" ht="15" x14ac:dyDescent="0.3">
      <c r="A68" t="str">
        <f t="shared" si="2"/>
        <v>河南46136</v>
      </c>
      <c r="B68" t="s">
        <v>148</v>
      </c>
      <c r="C68" t="s">
        <v>62</v>
      </c>
      <c r="D68" s="45">
        <v>46136</v>
      </c>
      <c r="F68" s="8">
        <f>SUMIFS(根据产能每天需要鲜销部分!$K:$K,根据产能每天需要鲜销部分!$B:$B,$B68,根据产能每天需要鲜销部分!$G:$G,$C68)</f>
        <v>2813.3682059796602</v>
      </c>
      <c r="G68">
        <f>_xlfn.XLOOKUP($C68,价格系数辅助表!$C:$C,价格系数辅助表!$E:$E)</f>
        <v>0.27335161219757498</v>
      </c>
      <c r="H68">
        <f t="shared" si="3"/>
        <v>2.4557914497823301</v>
      </c>
      <c r="I68" t="str">
        <f>_xlfn.XLOOKUP(B68,'3.屠宰能力表'!B:B,'3.屠宰能力表'!D:D)</f>
        <v>河南</v>
      </c>
      <c r="J68">
        <f>_xlfn.XLOOKUP(A68,'1.出栏表'!A:A,'1.出栏表'!F:F)</f>
        <v>8.9840020698590806</v>
      </c>
    </row>
    <row r="69" spans="1:10" ht="15" x14ac:dyDescent="0.3">
      <c r="A69" t="str">
        <f t="shared" si="2"/>
        <v>河南46136</v>
      </c>
      <c r="B69" t="s">
        <v>148</v>
      </c>
      <c r="C69" t="s">
        <v>63</v>
      </c>
      <c r="D69" s="45">
        <v>46136</v>
      </c>
      <c r="F69" s="8">
        <f>SUMIFS(根据产能每天需要鲜销部分!$K:$K,根据产能每天需要鲜销部分!$B:$B,$B69,根据产能每天需要鲜销部分!$G:$G,$C69)</f>
        <v>2362.2419833884801</v>
      </c>
      <c r="G69">
        <f>_xlfn.XLOOKUP($C69,价格系数辅助表!$C:$C,价格系数辅助表!$E:$E)</f>
        <v>0.25083638292710098</v>
      </c>
      <c r="H69">
        <f t="shared" si="3"/>
        <v>2.2535145834130401</v>
      </c>
      <c r="I69" t="str">
        <f>_xlfn.XLOOKUP(B69,'3.屠宰能力表'!B:B,'3.屠宰能力表'!D:D)</f>
        <v>河南</v>
      </c>
      <c r="J69">
        <f>_xlfn.XLOOKUP(A69,'1.出栏表'!A:A,'1.出栏表'!F:F)</f>
        <v>8.9840020698590806</v>
      </c>
    </row>
    <row r="70" spans="1:10" ht="15" x14ac:dyDescent="0.3">
      <c r="A70" t="str">
        <f t="shared" si="2"/>
        <v>河南46136</v>
      </c>
      <c r="B70" t="s">
        <v>148</v>
      </c>
      <c r="C70" t="s">
        <v>64</v>
      </c>
      <c r="D70" s="45">
        <v>46136</v>
      </c>
      <c r="F70" s="8">
        <f>SUMIFS(根据产能每天需要鲜销部分!$K:$K,根据产能每天需要鲜销部分!$B:$B,$B70,根据产能每天需要鲜销部分!$G:$G,$C70)</f>
        <v>408.541917700017</v>
      </c>
      <c r="G70">
        <f>_xlfn.XLOOKUP($C70,价格系数辅助表!$C:$C,价格系数辅助表!$E:$E)</f>
        <v>0.87755384758256405</v>
      </c>
      <c r="H70">
        <f t="shared" si="3"/>
        <v>7.88394558309456</v>
      </c>
      <c r="I70" t="str">
        <f>_xlfn.XLOOKUP(B70,'3.屠宰能力表'!B:B,'3.屠宰能力表'!D:D)</f>
        <v>河南</v>
      </c>
      <c r="J70">
        <f>_xlfn.XLOOKUP(A70,'1.出栏表'!A:A,'1.出栏表'!F:F)</f>
        <v>8.9840020698590806</v>
      </c>
    </row>
    <row r="71" spans="1:10" ht="15" x14ac:dyDescent="0.3">
      <c r="A71" t="str">
        <f t="shared" si="2"/>
        <v>河南46136</v>
      </c>
      <c r="B71" t="s">
        <v>148</v>
      </c>
      <c r="C71" t="s">
        <v>65</v>
      </c>
      <c r="D71" s="45">
        <v>46136</v>
      </c>
      <c r="F71" s="8">
        <f>SUMIFS(根据产能每天需要鲜销部分!$K:$K,根据产能每天需要鲜销部分!$B:$B,$B71,根据产能每天需要鲜销部分!$G:$G,$C71)</f>
        <v>185.70087168182599</v>
      </c>
      <c r="G71">
        <f>_xlfn.XLOOKUP($C71,价格系数辅助表!$C:$C,价格系数辅助表!$E:$E)</f>
        <v>1.02785250036373</v>
      </c>
      <c r="H71">
        <f t="shared" si="3"/>
        <v>9.2342289907776305</v>
      </c>
      <c r="I71" t="str">
        <f>_xlfn.XLOOKUP(B71,'3.屠宰能力表'!B:B,'3.屠宰能力表'!D:D)</f>
        <v>河南</v>
      </c>
      <c r="J71">
        <f>_xlfn.XLOOKUP(A71,'1.出栏表'!A:A,'1.出栏表'!F:F)</f>
        <v>8.9840020698590806</v>
      </c>
    </row>
    <row r="72" spans="1:10" ht="15" x14ac:dyDescent="0.3">
      <c r="A72" t="str">
        <f t="shared" si="2"/>
        <v>河南46136</v>
      </c>
      <c r="B72" t="s">
        <v>148</v>
      </c>
      <c r="C72" t="s">
        <v>66</v>
      </c>
      <c r="D72" s="45">
        <v>46136</v>
      </c>
      <c r="F72" s="8">
        <f>SUMIFS(根据产能每天需要鲜销部分!$K:$K,根据产能每天需要鲜销部分!$B:$B,$B72,根据产能每天需要鲜销部分!$G:$G,$C72)</f>
        <v>656.45258139525504</v>
      </c>
      <c r="G72">
        <f>_xlfn.XLOOKUP($C72,价格系数辅助表!$C:$C,价格系数辅助表!$E:$E)</f>
        <v>0.29390609194172401</v>
      </c>
      <c r="H72">
        <f t="shared" si="3"/>
        <v>2.6404529383486399</v>
      </c>
      <c r="I72" t="str">
        <f>_xlfn.XLOOKUP(B72,'3.屠宰能力表'!B:B,'3.屠宰能力表'!D:D)</f>
        <v>河南</v>
      </c>
      <c r="J72">
        <f>_xlfn.XLOOKUP(A72,'1.出栏表'!A:A,'1.出栏表'!F:F)</f>
        <v>8.9840020698590806</v>
      </c>
    </row>
    <row r="73" spans="1:10" ht="15" x14ac:dyDescent="0.3">
      <c r="A73" t="str">
        <f t="shared" si="2"/>
        <v>河南46136</v>
      </c>
      <c r="B73" t="s">
        <v>148</v>
      </c>
      <c r="C73" t="s">
        <v>67</v>
      </c>
      <c r="D73" s="45">
        <v>46136</v>
      </c>
      <c r="F73" s="8">
        <f>SUMIFS(根据产能每天需要鲜销部分!$K:$K,根据产能每天需要鲜销部分!$B:$B,$B73,根据产能每天需要鲜销部分!$G:$G,$C73)</f>
        <v>7680</v>
      </c>
      <c r="G73">
        <f>_xlfn.XLOOKUP($C73,价格系数辅助表!$C:$C,价格系数辅助表!$E:$E)</f>
        <v>8.7444985304843598E-2</v>
      </c>
      <c r="H73">
        <f t="shared" si="3"/>
        <v>0.78560592897751202</v>
      </c>
      <c r="I73" t="str">
        <f>_xlfn.XLOOKUP(B73,'3.屠宰能力表'!B:B,'3.屠宰能力表'!D:D)</f>
        <v>河南</v>
      </c>
      <c r="J73">
        <f>_xlfn.XLOOKUP(A73,'1.出栏表'!A:A,'1.出栏表'!F:F)</f>
        <v>8.9840020698590806</v>
      </c>
    </row>
    <row r="74" spans="1:10" ht="15" x14ac:dyDescent="0.3">
      <c r="A74" t="str">
        <f t="shared" si="2"/>
        <v>河南46136</v>
      </c>
      <c r="B74" t="s">
        <v>148</v>
      </c>
      <c r="C74" t="s">
        <v>56</v>
      </c>
      <c r="D74" s="45">
        <v>46136</v>
      </c>
      <c r="F74" s="8">
        <f>SUMIFS(根据产能每天需要鲜销部分!$K:$K,根据产能每天需要鲜销部分!$B:$B,$B74,根据产能每天需要鲜销部分!$G:$G,$C74)</f>
        <v>378.94341658749897</v>
      </c>
      <c r="G74">
        <f>_xlfn.XLOOKUP($C74,价格系数辅助表!$C:$C,价格系数辅助表!$E:$E)</f>
        <v>0.56179466940109002</v>
      </c>
      <c r="H74">
        <f t="shared" si="3"/>
        <v>5.0471644727351901</v>
      </c>
      <c r="I74" t="str">
        <f>_xlfn.XLOOKUP(B74,'3.屠宰能力表'!B:B,'3.屠宰能力表'!D:D)</f>
        <v>河南</v>
      </c>
      <c r="J74">
        <f>_xlfn.XLOOKUP(A74,'1.出栏表'!A:A,'1.出栏表'!F:F)</f>
        <v>8.9840020698590806</v>
      </c>
    </row>
    <row r="75" spans="1:10" ht="15" x14ac:dyDescent="0.3">
      <c r="A75" t="str">
        <f t="shared" si="2"/>
        <v>河南46136</v>
      </c>
      <c r="B75" t="s">
        <v>148</v>
      </c>
      <c r="C75" t="s">
        <v>45</v>
      </c>
      <c r="D75" s="45">
        <v>46136</v>
      </c>
      <c r="F75" s="8">
        <f>SUMIFS(根据产能每天需要鲜销部分!$K:$K,根据产能每天需要鲜销部分!$B:$B,$B75,根据产能每天需要鲜销部分!$G:$G,$C75)</f>
        <v>375.398359158007</v>
      </c>
      <c r="G75">
        <f>_xlfn.XLOOKUP($C75,价格系数辅助表!$C:$C,价格系数辅助表!$E:$E)</f>
        <v>2.1733017987485002</v>
      </c>
      <c r="H75">
        <f t="shared" si="3"/>
        <v>19.524947858385001</v>
      </c>
      <c r="I75" t="str">
        <f>_xlfn.XLOOKUP(B75,'3.屠宰能力表'!B:B,'3.屠宰能力表'!D:D)</f>
        <v>河南</v>
      </c>
      <c r="J75">
        <f>_xlfn.XLOOKUP(A75,'1.出栏表'!A:A,'1.出栏表'!F:F)</f>
        <v>8.9840020698590806</v>
      </c>
    </row>
    <row r="76" spans="1:10" ht="15" x14ac:dyDescent="0.3">
      <c r="A76" t="str">
        <f t="shared" si="2"/>
        <v>河南46136</v>
      </c>
      <c r="B76" t="s">
        <v>148</v>
      </c>
      <c r="C76" t="s">
        <v>68</v>
      </c>
      <c r="D76" s="45">
        <v>46136</v>
      </c>
      <c r="F76" s="8">
        <f>SUMIFS(根据产能每天需要鲜销部分!$K:$K,根据产能每天需要鲜销部分!$B:$B,$B76,根据产能每天需要鲜销部分!$G:$G,$C76)</f>
        <v>3366.7087736303301</v>
      </c>
      <c r="G76">
        <f>_xlfn.XLOOKUP($C76,价格系数辅助表!$C:$C,价格系数辅助表!$E:$E)</f>
        <v>2.3363490079598002</v>
      </c>
      <c r="H76">
        <f t="shared" si="3"/>
        <v>20.989764323424001</v>
      </c>
      <c r="I76" t="str">
        <f>_xlfn.XLOOKUP(B76,'3.屠宰能力表'!B:B,'3.屠宰能力表'!D:D)</f>
        <v>河南</v>
      </c>
      <c r="J76">
        <f>_xlfn.XLOOKUP(A76,'1.出栏表'!A:A,'1.出栏表'!F:F)</f>
        <v>8.9840020698590806</v>
      </c>
    </row>
    <row r="77" spans="1:10" ht="15" x14ac:dyDescent="0.3">
      <c r="A77" t="str">
        <f t="shared" si="2"/>
        <v>河南46136</v>
      </c>
      <c r="B77" t="s">
        <v>148</v>
      </c>
      <c r="C77" t="s">
        <v>70</v>
      </c>
      <c r="D77" s="45">
        <v>46136</v>
      </c>
      <c r="F77" s="8">
        <f>SUMIFS(根据产能每天需要鲜销部分!$K:$K,根据产能每天需要鲜销部分!$B:$B,$B77,根据产能每天需要鲜销部分!$G:$G,$C77)</f>
        <v>3979.3823845822499</v>
      </c>
      <c r="G77">
        <f>_xlfn.XLOOKUP($C77,价格系数辅助表!$C:$C,价格系数辅助表!$E:$E)</f>
        <v>1.56138134676664</v>
      </c>
      <c r="H77">
        <f t="shared" si="3"/>
        <v>14.0274532511909</v>
      </c>
      <c r="I77" t="str">
        <f>_xlfn.XLOOKUP(B77,'3.屠宰能力表'!B:B,'3.屠宰能力表'!D:D)</f>
        <v>河南</v>
      </c>
      <c r="J77">
        <f>_xlfn.XLOOKUP(A77,'1.出栏表'!A:A,'1.出栏表'!F:F)</f>
        <v>8.9840020698590806</v>
      </c>
    </row>
    <row r="78" spans="1:10" ht="15" x14ac:dyDescent="0.3">
      <c r="A78" t="str">
        <f t="shared" si="2"/>
        <v>河南46136</v>
      </c>
      <c r="B78" t="s">
        <v>148</v>
      </c>
      <c r="C78" t="s">
        <v>71</v>
      </c>
      <c r="D78" s="45">
        <v>46136</v>
      </c>
      <c r="F78" s="8">
        <f>SUMIFS(根据产能每天需要鲜销部分!$K:$K,根据产能每天需要鲜销部分!$B:$B,$B78,根据产能每天需要鲜销部分!$G:$G,$C78)</f>
        <v>588.49992569874496</v>
      </c>
      <c r="G78">
        <f>_xlfn.XLOOKUP($C78,价格系数辅助表!$C:$C,价格系数辅助表!$E:$E)</f>
        <v>4.1323214054635997</v>
      </c>
      <c r="H78">
        <f t="shared" si="3"/>
        <v>37.124784060007897</v>
      </c>
      <c r="I78" t="str">
        <f>_xlfn.XLOOKUP(B78,'3.屠宰能力表'!B:B,'3.屠宰能力表'!D:D)</f>
        <v>河南</v>
      </c>
      <c r="J78">
        <f>_xlfn.XLOOKUP(A78,'1.出栏表'!A:A,'1.出栏表'!F:F)</f>
        <v>8.9840020698590806</v>
      </c>
    </row>
    <row r="79" spans="1:10" ht="15" x14ac:dyDescent="0.3">
      <c r="A79" t="str">
        <f t="shared" si="2"/>
        <v>河南46136</v>
      </c>
      <c r="B79" t="s">
        <v>148</v>
      </c>
      <c r="C79" t="s">
        <v>72</v>
      </c>
      <c r="D79" s="45">
        <v>46136</v>
      </c>
      <c r="F79" s="8">
        <f>SUMIFS(根据产能每天需要鲜销部分!$K:$K,根据产能每天需要鲜销部分!$B:$B,$B79,根据产能每天需要鲜销部分!$G:$G,$C79)</f>
        <v>3343.2190950375398</v>
      </c>
      <c r="G79">
        <f>_xlfn.XLOOKUP($C79,价格系数辅助表!$C:$C,价格系数辅助表!$E:$E)</f>
        <v>2.4066238998277001</v>
      </c>
      <c r="H79">
        <f t="shared" si="3"/>
        <v>21.6211140974244</v>
      </c>
      <c r="I79" t="str">
        <f>_xlfn.XLOOKUP(B79,'3.屠宰能力表'!B:B,'3.屠宰能力表'!D:D)</f>
        <v>河南</v>
      </c>
      <c r="J79">
        <f>_xlfn.XLOOKUP(A79,'1.出栏表'!A:A,'1.出栏表'!F:F)</f>
        <v>8.9840020698590806</v>
      </c>
    </row>
    <row r="80" spans="1:10" ht="15" x14ac:dyDescent="0.3">
      <c r="A80" t="str">
        <f t="shared" si="2"/>
        <v>河南46136</v>
      </c>
      <c r="B80" t="s">
        <v>148</v>
      </c>
      <c r="C80" t="s">
        <v>76</v>
      </c>
      <c r="D80" s="45">
        <v>46136</v>
      </c>
      <c r="F80" s="8">
        <f>SUMIFS(根据产能每天需要鲜销部分!$K:$K,根据产能每天需要鲜销部分!$B:$B,$B80,根据产能每天需要鲜销部分!$G:$G,$C80)</f>
        <v>5968.0610236675002</v>
      </c>
      <c r="G80">
        <f>_xlfn.XLOOKUP($C80,价格系数辅助表!$C:$C,价格系数辅助表!$E:$E)</f>
        <v>1.4895071246315399</v>
      </c>
      <c r="H80">
        <f t="shared" si="3"/>
        <v>13.3817350907596</v>
      </c>
      <c r="I80" t="str">
        <f>_xlfn.XLOOKUP(B80,'3.屠宰能力表'!B:B,'3.屠宰能力表'!D:D)</f>
        <v>河南</v>
      </c>
      <c r="J80">
        <f>_xlfn.XLOOKUP(A80,'1.出栏表'!A:A,'1.出栏表'!F:F)</f>
        <v>8.9840020698590806</v>
      </c>
    </row>
    <row r="81" spans="1:10" ht="15" x14ac:dyDescent="0.3">
      <c r="A81" t="str">
        <f t="shared" si="2"/>
        <v>河南46136</v>
      </c>
      <c r="B81" t="s">
        <v>148</v>
      </c>
      <c r="C81" t="s">
        <v>77</v>
      </c>
      <c r="D81" s="45">
        <v>46136</v>
      </c>
      <c r="F81" s="8">
        <f>SUMIFS(根据产能每天需要鲜销部分!$K:$K,根据产能每天需要鲜销部分!$B:$B,$B81,根据产能每天需要鲜销部分!$G:$G,$C81)</f>
        <v>399.85070692878401</v>
      </c>
      <c r="G81">
        <f>_xlfn.XLOOKUP($C81,价格系数辅助表!$C:$C,价格系数辅助表!$E:$E)</f>
        <v>1.4766526372111499</v>
      </c>
      <c r="H81">
        <f t="shared" si="3"/>
        <v>13.266250349167899</v>
      </c>
      <c r="I81" t="str">
        <f>_xlfn.XLOOKUP(B81,'3.屠宰能力表'!B:B,'3.屠宰能力表'!D:D)</f>
        <v>河南</v>
      </c>
      <c r="J81">
        <f>_xlfn.XLOOKUP(A81,'1.出栏表'!A:A,'1.出栏表'!F:F)</f>
        <v>8.9840020698590806</v>
      </c>
    </row>
    <row r="82" spans="1:10" ht="15" x14ac:dyDescent="0.3">
      <c r="A82" t="str">
        <f t="shared" si="2"/>
        <v>河南46136</v>
      </c>
      <c r="B82" t="s">
        <v>148</v>
      </c>
      <c r="C82" t="s">
        <v>78</v>
      </c>
      <c r="D82" s="45">
        <v>46136</v>
      </c>
      <c r="F82" s="8">
        <f>SUMIFS(根据产能每天需要鲜销部分!$K:$K,根据产能每天需要鲜销部分!$B:$B,$B82,根据产能每天需要鲜销部分!$G:$G,$C82)</f>
        <v>564.34015754396899</v>
      </c>
      <c r="G82">
        <f>_xlfn.XLOOKUP($C82,价格系数辅助表!$C:$C,价格系数辅助表!$E:$E)</f>
        <v>1.2663755864959301</v>
      </c>
      <c r="H82">
        <f t="shared" si="3"/>
        <v>11.3771208902984</v>
      </c>
      <c r="I82" t="str">
        <f>_xlfn.XLOOKUP(B82,'3.屠宰能力表'!B:B,'3.屠宰能力表'!D:D)</f>
        <v>河南</v>
      </c>
      <c r="J82">
        <f>_xlfn.XLOOKUP(A82,'1.出栏表'!A:A,'1.出栏表'!F:F)</f>
        <v>8.9840020698590806</v>
      </c>
    </row>
    <row r="83" spans="1:10" ht="15" x14ac:dyDescent="0.3">
      <c r="A83" t="str">
        <f t="shared" si="2"/>
        <v>河南46136</v>
      </c>
      <c r="B83" t="s">
        <v>148</v>
      </c>
      <c r="C83" t="s">
        <v>79</v>
      </c>
      <c r="D83" s="45">
        <v>46136</v>
      </c>
      <c r="F83" s="8">
        <f>SUMIFS(根据产能每天需要鲜销部分!$K:$K,根据产能每天需要鲜销部分!$B:$B,$B83,根据产能每天需要鲜销部分!$G:$G,$C83)</f>
        <v>1256.7554660339099</v>
      </c>
      <c r="G83">
        <f>_xlfn.XLOOKUP($C83,价格系数辅助表!$C:$C,价格系数辅助表!$E:$E)</f>
        <v>0.88455097651113601</v>
      </c>
      <c r="H83">
        <f t="shared" si="3"/>
        <v>7.9468078038719199</v>
      </c>
      <c r="I83" t="str">
        <f>_xlfn.XLOOKUP(B83,'3.屠宰能力表'!B:B,'3.屠宰能力表'!D:D)</f>
        <v>河南</v>
      </c>
      <c r="J83">
        <f>_xlfn.XLOOKUP(A83,'1.出栏表'!A:A,'1.出栏表'!F:F)</f>
        <v>8.9840020698590806</v>
      </c>
    </row>
    <row r="84" spans="1:10" ht="15" x14ac:dyDescent="0.3">
      <c r="A84" t="str">
        <f t="shared" si="2"/>
        <v>河南46136</v>
      </c>
      <c r="B84" t="s">
        <v>148</v>
      </c>
      <c r="C84" t="s">
        <v>80</v>
      </c>
      <c r="D84" s="45">
        <v>46136</v>
      </c>
      <c r="F84" s="8">
        <f>SUMIFS(根据产能每天需要鲜销部分!$K:$K,根据产能每天需要鲜销部分!$B:$B,$B84,根据产能每天需要鲜销部分!$G:$G,$C84)</f>
        <v>1499.5109703811199</v>
      </c>
      <c r="G84">
        <f>_xlfn.XLOOKUP($C84,价格系数辅助表!$C:$C,价格系数辅助表!$E:$E)</f>
        <v>0.81656825090915597</v>
      </c>
      <c r="H84">
        <f t="shared" si="3"/>
        <v>7.3360508563490701</v>
      </c>
      <c r="I84" t="str">
        <f>_xlfn.XLOOKUP(B84,'3.屠宰能力表'!B:B,'3.屠宰能力表'!D:D)</f>
        <v>河南</v>
      </c>
      <c r="J84">
        <f>_xlfn.XLOOKUP(A84,'1.出栏表'!A:A,'1.出栏表'!F:F)</f>
        <v>8.9840020698590806</v>
      </c>
    </row>
    <row r="85" spans="1:10" ht="15" x14ac:dyDescent="0.3">
      <c r="A85" t="str">
        <f t="shared" si="2"/>
        <v>河南46136</v>
      </c>
      <c r="B85" t="s">
        <v>148</v>
      </c>
      <c r="C85" t="s">
        <v>81</v>
      </c>
      <c r="D85" s="45">
        <v>46136</v>
      </c>
      <c r="F85" s="8">
        <f>SUMIFS(根据产能每天需要鲜销部分!$K:$K,根据产能每天需要鲜销部分!$B:$B,$B85,根据产能每天需要鲜销部分!$G:$G,$C85)</f>
        <v>3440.8582255668198</v>
      </c>
      <c r="G85">
        <f>_xlfn.XLOOKUP($C85,价格系数辅助表!$C:$C,价格系数辅助表!$E:$E)</f>
        <v>1.1259651927004599</v>
      </c>
      <c r="H85">
        <f t="shared" si="3"/>
        <v>10.115673621810201</v>
      </c>
      <c r="I85" t="str">
        <f>_xlfn.XLOOKUP(B85,'3.屠宰能力表'!B:B,'3.屠宰能力表'!D:D)</f>
        <v>河南</v>
      </c>
      <c r="J85">
        <f>_xlfn.XLOOKUP(A85,'1.出栏表'!A:A,'1.出栏表'!F:F)</f>
        <v>8.9840020698590806</v>
      </c>
    </row>
    <row r="86" spans="1:10" ht="15" x14ac:dyDescent="0.3">
      <c r="A86" t="str">
        <f t="shared" si="2"/>
        <v>河南46136</v>
      </c>
      <c r="B86" t="s">
        <v>148</v>
      </c>
      <c r="C86" t="s">
        <v>82</v>
      </c>
      <c r="D86" s="45">
        <v>46136</v>
      </c>
      <c r="F86" s="8">
        <f>SUMIFS(根据产能每天需要鲜销部分!$K:$K,根据产能每天需要鲜销部分!$B:$B,$B86,根据产能每天需要鲜销部分!$G:$G,$C86)</f>
        <v>269.86460681212901</v>
      </c>
      <c r="G86">
        <f>_xlfn.XLOOKUP($C86,价格系数辅助表!$C:$C,价格系数辅助表!$E:$E)</f>
        <v>1.02591469638818</v>
      </c>
      <c r="H86">
        <f t="shared" si="3"/>
        <v>9.2168197558502296</v>
      </c>
      <c r="I86" t="str">
        <f>_xlfn.XLOOKUP(B86,'3.屠宰能力表'!B:B,'3.屠宰能力表'!D:D)</f>
        <v>河南</v>
      </c>
      <c r="J86">
        <f>_xlfn.XLOOKUP(A86,'1.出栏表'!A:A,'1.出栏表'!F:F)</f>
        <v>8.9840020698590806</v>
      </c>
    </row>
    <row r="87" spans="1:10" ht="15" x14ac:dyDescent="0.3">
      <c r="A87" t="str">
        <f t="shared" si="2"/>
        <v>河南46136</v>
      </c>
      <c r="B87" t="s">
        <v>148</v>
      </c>
      <c r="C87" t="s">
        <v>83</v>
      </c>
      <c r="D87" s="45">
        <v>46136</v>
      </c>
      <c r="F87" s="8">
        <f>SUMIFS(根据产能每天需要鲜销部分!$K:$K,根据产能每天需要鲜销部分!$B:$B,$B87,根据产能每天需要鲜销部分!$G:$G,$C87)</f>
        <v>832.04572137001196</v>
      </c>
      <c r="G87">
        <f>_xlfn.XLOOKUP($C87,价格系数辅助表!$C:$C,价格系数辅助表!$E:$E)</f>
        <v>0.922604514711862</v>
      </c>
      <c r="H87">
        <f t="shared" si="3"/>
        <v>8.2886808698326995</v>
      </c>
      <c r="I87" t="str">
        <f>_xlfn.XLOOKUP(B87,'3.屠宰能力表'!B:B,'3.屠宰能力表'!D:D)</f>
        <v>河南</v>
      </c>
      <c r="J87">
        <f>_xlfn.XLOOKUP(A87,'1.出栏表'!A:A,'1.出栏表'!F:F)</f>
        <v>8.9840020698590806</v>
      </c>
    </row>
    <row r="88" spans="1:10" ht="15" x14ac:dyDescent="0.3">
      <c r="A88" t="str">
        <f t="shared" si="2"/>
        <v>河南46136</v>
      </c>
      <c r="B88" t="s">
        <v>148</v>
      </c>
      <c r="C88" t="s">
        <v>84</v>
      </c>
      <c r="D88" s="45">
        <v>46136</v>
      </c>
      <c r="F88" s="8">
        <f>SUMIFS(根据产能每天需要鲜销部分!$K:$K,根据产能每天需要鲜销部分!$B:$B,$B88,根据产能每天需要鲜销部分!$G:$G,$C88)</f>
        <v>2706.4344343464199</v>
      </c>
      <c r="G88">
        <f>_xlfn.XLOOKUP($C88,价格系数辅助表!$C:$C,价格系数辅助表!$E:$E)</f>
        <v>0.926679482358305</v>
      </c>
      <c r="H88">
        <f t="shared" si="3"/>
        <v>8.3252903876029496</v>
      </c>
      <c r="I88" t="str">
        <f>_xlfn.XLOOKUP(B88,'3.屠宰能力表'!B:B,'3.屠宰能力表'!D:D)</f>
        <v>河南</v>
      </c>
      <c r="J88">
        <f>_xlfn.XLOOKUP(A88,'1.出栏表'!A:A,'1.出栏表'!F:F)</f>
        <v>8.9840020698590806</v>
      </c>
    </row>
    <row r="89" spans="1:10" ht="15" x14ac:dyDescent="0.3">
      <c r="A89" t="str">
        <f t="shared" si="2"/>
        <v>河南46136</v>
      </c>
      <c r="B89" t="s">
        <v>148</v>
      </c>
      <c r="C89" t="s">
        <v>85</v>
      </c>
      <c r="D89" s="45">
        <v>46136</v>
      </c>
      <c r="F89" s="8">
        <f>SUMIFS(根据产能每天需要鲜销部分!$K:$K,根据产能每天需要鲜销部分!$B:$B,$B89,根据产能每天需要鲜销部分!$G:$G,$C89)</f>
        <v>1133.77658736133</v>
      </c>
      <c r="G89">
        <f>_xlfn.XLOOKUP($C89,价格系数辅助表!$C:$C,价格系数辅助表!$E:$E)</f>
        <v>1.1521636001823701</v>
      </c>
      <c r="H89">
        <f t="shared" si="3"/>
        <v>10.3510401688547</v>
      </c>
      <c r="I89" t="str">
        <f>_xlfn.XLOOKUP(B89,'3.屠宰能力表'!B:B,'3.屠宰能力表'!D:D)</f>
        <v>河南</v>
      </c>
      <c r="J89">
        <f>_xlfn.XLOOKUP(A89,'1.出栏表'!A:A,'1.出栏表'!F:F)</f>
        <v>8.9840020698590806</v>
      </c>
    </row>
    <row r="90" spans="1:10" ht="15" x14ac:dyDescent="0.3">
      <c r="A90" t="str">
        <f t="shared" si="2"/>
        <v>河南46136</v>
      </c>
      <c r="B90" t="s">
        <v>148</v>
      </c>
      <c r="C90" t="s">
        <v>86</v>
      </c>
      <c r="D90" s="45">
        <v>46136</v>
      </c>
      <c r="F90" s="8">
        <f>SUMIFS(根据产能每天需要鲜销部分!$K:$K,根据产能每天需要鲜销部分!$B:$B,$B90,根据产能每天需要鲜销部分!$G:$G,$C90)</f>
        <v>804.61564264353001</v>
      </c>
      <c r="G90">
        <f>_xlfn.XLOOKUP($C90,价格系数辅助表!$C:$C,价格系数辅助表!$E:$E)</f>
        <v>1.0074710773803</v>
      </c>
      <c r="H90">
        <f t="shared" si="3"/>
        <v>9.0511222445077699</v>
      </c>
      <c r="I90" t="str">
        <f>_xlfn.XLOOKUP(B90,'3.屠宰能力表'!B:B,'3.屠宰能力表'!D:D)</f>
        <v>河南</v>
      </c>
      <c r="J90">
        <f>_xlfn.XLOOKUP(A90,'1.出栏表'!A:A,'1.出栏表'!F:F)</f>
        <v>8.9840020698590806</v>
      </c>
    </row>
    <row r="91" spans="1:10" ht="15" x14ac:dyDescent="0.3">
      <c r="A91" t="str">
        <f t="shared" si="2"/>
        <v>河南46136</v>
      </c>
      <c r="B91" t="s">
        <v>148</v>
      </c>
      <c r="C91" t="s">
        <v>87</v>
      </c>
      <c r="D91" s="45">
        <v>46136</v>
      </c>
      <c r="F91" s="8">
        <f>SUMIFS(根据产能每天需要鲜销部分!$K:$K,根据产能每天需要鲜销部分!$B:$B,$B91,根据产能每天需要鲜销部分!$G:$G,$C91)</f>
        <v>256.01406811385101</v>
      </c>
      <c r="G91">
        <f>_xlfn.XLOOKUP($C91,价格系数辅助表!$C:$C,价格系数辅助表!$E:$E)</f>
        <v>0.72970400715709505</v>
      </c>
      <c r="H91">
        <f t="shared" si="3"/>
        <v>6.5556623106838101</v>
      </c>
      <c r="I91" t="str">
        <f>_xlfn.XLOOKUP(B91,'3.屠宰能力表'!B:B,'3.屠宰能力表'!D:D)</f>
        <v>河南</v>
      </c>
      <c r="J91">
        <f>_xlfn.XLOOKUP(A91,'1.出栏表'!A:A,'1.出栏表'!F:F)</f>
        <v>8.9840020698590806</v>
      </c>
    </row>
    <row r="92" spans="1:10" ht="15" x14ac:dyDescent="0.3">
      <c r="A92" t="str">
        <f t="shared" si="2"/>
        <v>河南46136</v>
      </c>
      <c r="B92" t="s">
        <v>148</v>
      </c>
      <c r="C92" t="s">
        <v>88</v>
      </c>
      <c r="D92" s="45">
        <v>46136</v>
      </c>
      <c r="F92" s="8">
        <f>SUMIFS(根据产能每天需要鲜销部分!$K:$K,根据产能每天需要鲜销部分!$B:$B,$B92,根据产能每天需要鲜销部分!$G:$G,$C92)</f>
        <v>182.94495533044201</v>
      </c>
      <c r="G92">
        <f>_xlfn.XLOOKUP($C92,价格系数辅助表!$C:$C,价格系数辅助表!$E:$E)</f>
        <v>2.7560630433134201</v>
      </c>
      <c r="H92">
        <f t="shared" si="3"/>
        <v>24.7604760857899</v>
      </c>
      <c r="I92" t="str">
        <f>_xlfn.XLOOKUP(B92,'3.屠宰能力表'!B:B,'3.屠宰能力表'!D:D)</f>
        <v>河南</v>
      </c>
      <c r="J92">
        <f>_xlfn.XLOOKUP(A92,'1.出栏表'!A:A,'1.出栏表'!F:F)</f>
        <v>8.9840020698590806</v>
      </c>
    </row>
    <row r="93" spans="1:10" ht="15" x14ac:dyDescent="0.3">
      <c r="A93" t="str">
        <f t="shared" si="2"/>
        <v>河南46136</v>
      </c>
      <c r="B93" t="s">
        <v>148</v>
      </c>
      <c r="C93" t="s">
        <v>89</v>
      </c>
      <c r="D93" s="45">
        <v>46136</v>
      </c>
      <c r="F93" s="8">
        <f>SUMIFS(根据产能每天需要鲜销部分!$K:$K,根据产能每天需要鲜销部分!$B:$B,$B93,根据产能每天需要鲜销部分!$G:$G,$C93)</f>
        <v>211.47801648669099</v>
      </c>
      <c r="G93">
        <f>_xlfn.XLOOKUP($C93,价格系数辅助表!$C:$C,价格系数辅助表!$E:$E)</f>
        <v>1.1853684696925</v>
      </c>
      <c r="H93">
        <f t="shared" si="3"/>
        <v>10.649352785263099</v>
      </c>
      <c r="I93" t="str">
        <f>_xlfn.XLOOKUP(B93,'3.屠宰能力表'!B:B,'3.屠宰能力表'!D:D)</f>
        <v>河南</v>
      </c>
      <c r="J93">
        <f>_xlfn.XLOOKUP(A93,'1.出栏表'!A:A,'1.出栏表'!F:F)</f>
        <v>8.9840020698590806</v>
      </c>
    </row>
    <row r="94" spans="1:10" ht="15" x14ac:dyDescent="0.3">
      <c r="A94" t="str">
        <f t="shared" si="2"/>
        <v>河南46136</v>
      </c>
      <c r="B94" t="s">
        <v>148</v>
      </c>
      <c r="C94" t="s">
        <v>90</v>
      </c>
      <c r="D94" s="45">
        <v>46136</v>
      </c>
      <c r="F94" s="8">
        <f>SUMIFS(根据产能每天需要鲜销部分!$K:$K,根据产能每天需要鲜销部分!$B:$B,$B94,根据产能每天需要鲜销部分!$G:$G,$C94)</f>
        <v>585.80160154951898</v>
      </c>
      <c r="G94">
        <f>_xlfn.XLOOKUP($C94,价格系数辅助表!$C:$C,价格系数辅助表!$E:$E)</f>
        <v>0.74904414201499503</v>
      </c>
      <c r="H94">
        <f t="shared" si="3"/>
        <v>6.7294141222785298</v>
      </c>
      <c r="I94" t="str">
        <f>_xlfn.XLOOKUP(B94,'3.屠宰能力表'!B:B,'3.屠宰能力表'!D:D)</f>
        <v>河南</v>
      </c>
      <c r="J94">
        <f>_xlfn.XLOOKUP(A94,'1.出栏表'!A:A,'1.出栏表'!F:F)</f>
        <v>8.9840020698590806</v>
      </c>
    </row>
    <row r="95" spans="1:10" ht="15" x14ac:dyDescent="0.3">
      <c r="A95" t="str">
        <f t="shared" si="2"/>
        <v>河南46136</v>
      </c>
      <c r="B95" t="s">
        <v>148</v>
      </c>
      <c r="C95" t="s">
        <v>91</v>
      </c>
      <c r="D95" s="45">
        <v>46136</v>
      </c>
      <c r="F95" s="8">
        <f>SUMIFS(根据产能每天需要鲜销部分!$K:$K,根据产能每天需要鲜销部分!$B:$B,$B95,根据产能每天需要鲜销部分!$G:$G,$C95)</f>
        <v>443.35720813680501</v>
      </c>
      <c r="G95">
        <f>_xlfn.XLOOKUP($C95,价格系数辅助表!$C:$C,价格系数辅助表!$E:$E)</f>
        <v>0.62107390938185902</v>
      </c>
      <c r="H95">
        <f t="shared" si="3"/>
        <v>5.5797292874220998</v>
      </c>
      <c r="I95" t="str">
        <f>_xlfn.XLOOKUP(B95,'3.屠宰能力表'!B:B,'3.屠宰能力表'!D:D)</f>
        <v>河南</v>
      </c>
      <c r="J95">
        <f>_xlfn.XLOOKUP(A95,'1.出栏表'!A:A,'1.出栏表'!F:F)</f>
        <v>8.9840020698590806</v>
      </c>
    </row>
    <row r="96" spans="1:10" ht="15" x14ac:dyDescent="0.3">
      <c r="A96" t="str">
        <f t="shared" si="2"/>
        <v>河南46136</v>
      </c>
      <c r="B96" t="s">
        <v>148</v>
      </c>
      <c r="C96" t="s">
        <v>92</v>
      </c>
      <c r="D96" s="45">
        <v>46136</v>
      </c>
      <c r="F96" s="8">
        <f>SUMIFS(根据产能每天需要鲜销部分!$K:$K,根据产能每天需要鲜销部分!$B:$B,$B96,根据产能每天需要鲜销部分!$G:$G,$C96)</f>
        <v>164.58047235890399</v>
      </c>
      <c r="G96">
        <f>_xlfn.XLOOKUP($C96,价格系数辅助表!$C:$C,价格系数辅助表!$E:$E)</f>
        <v>0.24650626139895601</v>
      </c>
      <c r="H96">
        <f t="shared" si="3"/>
        <v>2.21461276264144</v>
      </c>
      <c r="I96" t="str">
        <f>_xlfn.XLOOKUP(B96,'3.屠宰能力表'!B:B,'3.屠宰能力表'!D:D)</f>
        <v>河南</v>
      </c>
      <c r="J96">
        <f>_xlfn.XLOOKUP(A96,'1.出栏表'!A:A,'1.出栏表'!F:F)</f>
        <v>8.9840020698590806</v>
      </c>
    </row>
    <row r="97" spans="1:10" ht="15" x14ac:dyDescent="0.3">
      <c r="A97" t="str">
        <f t="shared" si="2"/>
        <v>江苏46136</v>
      </c>
      <c r="B97" t="s">
        <v>150</v>
      </c>
      <c r="C97" t="s">
        <v>41</v>
      </c>
      <c r="D97" s="45">
        <v>46136</v>
      </c>
      <c r="F97" s="8">
        <f>SUMIFS(根据产能每天需要鲜销部分!$K:$K,根据产能每天需要鲜销部分!$B:$B,$B97,根据产能每天需要鲜销部分!$G:$G,$C97)</f>
        <v>137280</v>
      </c>
      <c r="G97">
        <f>_xlfn.XLOOKUP($C97,价格系数辅助表!$C:$C,价格系数辅助表!$E:$E)</f>
        <v>1.1852119074341301</v>
      </c>
      <c r="H97">
        <f t="shared" si="3"/>
        <v>10.6025578455342</v>
      </c>
      <c r="I97" t="str">
        <f>_xlfn.XLOOKUP(B97,'3.屠宰能力表'!B:B,'3.屠宰能力表'!D:D)</f>
        <v>江苏</v>
      </c>
      <c r="J97">
        <f>_xlfn.XLOOKUP(A97,'1.出栏表'!A:A,'1.出栏表'!F:F)</f>
        <v>8.9457064842419101</v>
      </c>
    </row>
    <row r="98" spans="1:10" ht="15" x14ac:dyDescent="0.3">
      <c r="A98" t="str">
        <f t="shared" si="2"/>
        <v>江苏46136</v>
      </c>
      <c r="B98" t="s">
        <v>150</v>
      </c>
      <c r="C98" t="s">
        <v>44</v>
      </c>
      <c r="D98" s="45">
        <v>46136</v>
      </c>
      <c r="F98" s="8">
        <f>SUMIFS(根据产能每天需要鲜销部分!$K:$K,根据产能每天需要鲜销部分!$B:$B,$B98,根据产能每天需要鲜销部分!$G:$G,$C98)</f>
        <v>16643.419268881898</v>
      </c>
      <c r="G98">
        <f>_xlfn.XLOOKUP($C98,价格系数辅助表!$C:$C,价格系数辅助表!$E:$E)</f>
        <v>0.81317166851852996</v>
      </c>
      <c r="H98">
        <f t="shared" si="3"/>
        <v>7.2743950678680198</v>
      </c>
      <c r="I98" t="str">
        <f>_xlfn.XLOOKUP(B98,'3.屠宰能力表'!B:B,'3.屠宰能力表'!D:D)</f>
        <v>江苏</v>
      </c>
      <c r="J98">
        <f>_xlfn.XLOOKUP(A98,'1.出栏表'!A:A,'1.出栏表'!F:F)</f>
        <v>8.9457064842419101</v>
      </c>
    </row>
    <row r="99" spans="1:10" ht="15" x14ac:dyDescent="0.3">
      <c r="A99" t="str">
        <f t="shared" si="2"/>
        <v>江苏46136</v>
      </c>
      <c r="B99" t="s">
        <v>150</v>
      </c>
      <c r="C99" t="s">
        <v>46</v>
      </c>
      <c r="D99" s="45">
        <v>46136</v>
      </c>
      <c r="F99" s="8">
        <f>SUMIFS(根据产能每天需要鲜销部分!$K:$K,根据产能每天需要鲜销部分!$B:$B,$B99,根据产能每天需要鲜销部分!$G:$G,$C99)</f>
        <v>125.03858693242999</v>
      </c>
      <c r="G99">
        <f>_xlfn.XLOOKUP($C99,价格系数辅助表!$C:$C,价格系数辅助表!$E:$E)</f>
        <v>4.0225512045395799</v>
      </c>
      <c r="H99">
        <f t="shared" si="3"/>
        <v>35.984562393644801</v>
      </c>
      <c r="I99" t="str">
        <f>_xlfn.XLOOKUP(B99,'3.屠宰能力表'!B:B,'3.屠宰能力表'!D:D)</f>
        <v>江苏</v>
      </c>
      <c r="J99">
        <f>_xlfn.XLOOKUP(A99,'1.出栏表'!A:A,'1.出栏表'!F:F)</f>
        <v>8.9457064842419101</v>
      </c>
    </row>
    <row r="100" spans="1:10" ht="15" x14ac:dyDescent="0.3">
      <c r="A100" t="str">
        <f t="shared" si="2"/>
        <v>江苏46136</v>
      </c>
      <c r="B100" t="s">
        <v>150</v>
      </c>
      <c r="C100" t="s">
        <v>47</v>
      </c>
      <c r="D100" s="45">
        <v>46136</v>
      </c>
      <c r="F100" s="8">
        <f>SUMIFS(根据产能每天需要鲜销部分!$K:$K,根据产能每天需要鲜销部分!$B:$B,$B100,根据产能每天需要鲜销部分!$G:$G,$C100)</f>
        <v>1176.28410298983</v>
      </c>
      <c r="G100">
        <f>_xlfn.XLOOKUP($C100,价格系数辅助表!$C:$C,价格系数辅助表!$E:$E)</f>
        <v>0.84535964262204399</v>
      </c>
      <c r="H100">
        <f t="shared" si="3"/>
        <v>7.5623392365204403</v>
      </c>
      <c r="I100" t="str">
        <f>_xlfn.XLOOKUP(B100,'3.屠宰能力表'!B:B,'3.屠宰能力表'!D:D)</f>
        <v>江苏</v>
      </c>
      <c r="J100">
        <f>_xlfn.XLOOKUP(A100,'1.出栏表'!A:A,'1.出栏表'!F:F)</f>
        <v>8.9457064842419101</v>
      </c>
    </row>
    <row r="101" spans="1:10" ht="15" x14ac:dyDescent="0.3">
      <c r="A101" t="str">
        <f t="shared" si="2"/>
        <v>江苏46136</v>
      </c>
      <c r="B101" t="s">
        <v>150</v>
      </c>
      <c r="C101" t="s">
        <v>48</v>
      </c>
      <c r="D101" s="45">
        <v>46136</v>
      </c>
      <c r="F101" s="8">
        <f>SUMIFS(根据产能每天需要鲜销部分!$K:$K,根据产能每天需要鲜销部分!$B:$B,$B101,根据产能每天需要鲜销部分!$G:$G,$C101)</f>
        <v>6075.9539390910704</v>
      </c>
      <c r="G101">
        <f>_xlfn.XLOOKUP($C101,价格系数辅助表!$C:$C,价格系数辅助表!$E:$E)</f>
        <v>0.37320475421536098</v>
      </c>
      <c r="H101">
        <f t="shared" si="3"/>
        <v>3.3385801897342602</v>
      </c>
      <c r="I101" t="str">
        <f>_xlfn.XLOOKUP(B101,'3.屠宰能力表'!B:B,'3.屠宰能力表'!D:D)</f>
        <v>江苏</v>
      </c>
      <c r="J101">
        <f>_xlfn.XLOOKUP(A101,'1.出栏表'!A:A,'1.出栏表'!F:F)</f>
        <v>8.9457064842419101</v>
      </c>
    </row>
    <row r="102" spans="1:10" ht="15" x14ac:dyDescent="0.3">
      <c r="A102" t="str">
        <f t="shared" si="2"/>
        <v>江苏46136</v>
      </c>
      <c r="B102" t="s">
        <v>150</v>
      </c>
      <c r="C102" t="s">
        <v>49</v>
      </c>
      <c r="D102" s="45">
        <v>46136</v>
      </c>
      <c r="F102" s="8">
        <f>SUMIFS(根据产能每天需要鲜销部分!$K:$K,根据产能每天需要鲜销部分!$B:$B,$B102,根据产能每天需要鲜销部分!$G:$G,$C102)</f>
        <v>1187.8665758580801</v>
      </c>
      <c r="G102">
        <f>_xlfn.XLOOKUP($C102,价格系数辅助表!$C:$C,价格系数辅助表!$E:$E)</f>
        <v>1.1550192014842</v>
      </c>
      <c r="H102">
        <f t="shared" si="3"/>
        <v>10.3324627601411</v>
      </c>
      <c r="I102" t="str">
        <f>_xlfn.XLOOKUP(B102,'3.屠宰能力表'!B:B,'3.屠宰能力表'!D:D)</f>
        <v>江苏</v>
      </c>
      <c r="J102">
        <f>_xlfn.XLOOKUP(A102,'1.出栏表'!A:A,'1.出栏表'!F:F)</f>
        <v>8.9457064842419101</v>
      </c>
    </row>
    <row r="103" spans="1:10" ht="15" x14ac:dyDescent="0.3">
      <c r="A103" t="str">
        <f t="shared" si="2"/>
        <v>江苏46136</v>
      </c>
      <c r="B103" t="s">
        <v>150</v>
      </c>
      <c r="C103" t="s">
        <v>50</v>
      </c>
      <c r="D103" s="45">
        <v>46136</v>
      </c>
      <c r="F103" s="8">
        <f>SUMIFS(根据产能每天需要鲜销部分!$K:$K,根据产能每天需要鲜销部分!$B:$B,$B103,根据产能每天需要鲜销部分!$G:$G,$C103)</f>
        <v>4156.7227716500001</v>
      </c>
      <c r="G103">
        <f>_xlfn.XLOOKUP($C103,价格系数辅助表!$C:$C,价格系数辅助表!$E:$E)</f>
        <v>1.90800135982928</v>
      </c>
      <c r="H103">
        <f t="shared" si="3"/>
        <v>17.068420136567202</v>
      </c>
      <c r="I103" t="str">
        <f>_xlfn.XLOOKUP(B103,'3.屠宰能力表'!B:B,'3.屠宰能力表'!D:D)</f>
        <v>江苏</v>
      </c>
      <c r="J103">
        <f>_xlfn.XLOOKUP(A103,'1.出栏表'!A:A,'1.出栏表'!F:F)</f>
        <v>8.9457064842419101</v>
      </c>
    </row>
    <row r="104" spans="1:10" ht="15" x14ac:dyDescent="0.3">
      <c r="A104" t="str">
        <f t="shared" si="2"/>
        <v>江苏46136</v>
      </c>
      <c r="B104" t="s">
        <v>150</v>
      </c>
      <c r="C104" t="s">
        <v>51</v>
      </c>
      <c r="D104" s="45">
        <v>46136</v>
      </c>
      <c r="F104" s="8">
        <f>SUMIFS(根据产能每天需要鲜销部分!$K:$K,根据产能每天需要鲜销部分!$B:$B,$B104,根据产能每天需要鲜销部分!$G:$G,$C104)</f>
        <v>1906.8384507195501</v>
      </c>
      <c r="G104">
        <f>_xlfn.XLOOKUP($C104,价格系数辅助表!$C:$C,价格系数辅助表!$E:$E)</f>
        <v>2.76783242873949</v>
      </c>
      <c r="H104">
        <f t="shared" si="3"/>
        <v>24.760216505069899</v>
      </c>
      <c r="I104" t="str">
        <f>_xlfn.XLOOKUP(B104,'3.屠宰能力表'!B:B,'3.屠宰能力表'!D:D)</f>
        <v>江苏</v>
      </c>
      <c r="J104">
        <f>_xlfn.XLOOKUP(A104,'1.出栏表'!A:A,'1.出栏表'!F:F)</f>
        <v>8.9457064842419101</v>
      </c>
    </row>
    <row r="105" spans="1:10" ht="15" x14ac:dyDescent="0.3">
      <c r="A105" t="str">
        <f t="shared" si="2"/>
        <v>江苏46136</v>
      </c>
      <c r="B105" t="s">
        <v>150</v>
      </c>
      <c r="C105" t="s">
        <v>52</v>
      </c>
      <c r="D105" s="45">
        <v>46136</v>
      </c>
      <c r="F105" s="8">
        <f>SUMIFS(根据产能每天需要鲜销部分!$K:$K,根据产能每天需要鲜销部分!$B:$B,$B105,根据产能每天需要鲜销部分!$G:$G,$C105)</f>
        <v>1594.2419833884701</v>
      </c>
      <c r="G105">
        <f>_xlfn.XLOOKUP($C105,价格系数辅助表!$C:$C,价格系数辅助表!$E:$E)</f>
        <v>1.61708641969264</v>
      </c>
      <c r="H105">
        <f t="shared" si="3"/>
        <v>14.465980470224</v>
      </c>
      <c r="I105" t="str">
        <f>_xlfn.XLOOKUP(B105,'3.屠宰能力表'!B:B,'3.屠宰能力表'!D:D)</f>
        <v>江苏</v>
      </c>
      <c r="J105">
        <f>_xlfn.XLOOKUP(A105,'1.出栏表'!A:A,'1.出栏表'!F:F)</f>
        <v>8.9457064842419101</v>
      </c>
    </row>
    <row r="106" spans="1:10" ht="15" x14ac:dyDescent="0.3">
      <c r="A106" t="str">
        <f t="shared" si="2"/>
        <v>江苏46136</v>
      </c>
      <c r="B106" t="s">
        <v>150</v>
      </c>
      <c r="C106" t="s">
        <v>53</v>
      </c>
      <c r="D106" s="45">
        <v>46136</v>
      </c>
      <c r="F106" s="8">
        <f>SUMIFS(根据产能每天需要鲜销部分!$K:$K,根据产能每天需要鲜销部分!$B:$B,$B106,根据产能每天需要鲜销部分!$G:$G,$C106)</f>
        <v>1406.6841029898301</v>
      </c>
      <c r="G106">
        <f>_xlfn.XLOOKUP($C106,价格系数辅助表!$C:$C,价格系数辅助表!$E:$E)</f>
        <v>1.4850675377364999</v>
      </c>
      <c r="H106">
        <f t="shared" si="3"/>
        <v>13.2849783018666</v>
      </c>
      <c r="I106" t="str">
        <f>_xlfn.XLOOKUP(B106,'3.屠宰能力表'!B:B,'3.屠宰能力表'!D:D)</f>
        <v>江苏</v>
      </c>
      <c r="J106">
        <f>_xlfn.XLOOKUP(A106,'1.出栏表'!A:A,'1.出栏表'!F:F)</f>
        <v>8.9457064842419101</v>
      </c>
    </row>
    <row r="107" spans="1:10" ht="15" x14ac:dyDescent="0.3">
      <c r="A107" t="str">
        <f t="shared" si="2"/>
        <v>江苏46136</v>
      </c>
      <c r="B107" t="s">
        <v>150</v>
      </c>
      <c r="C107" t="s">
        <v>54</v>
      </c>
      <c r="D107" s="45">
        <v>46136</v>
      </c>
      <c r="F107" s="8">
        <f>SUMIFS(根据产能每天需要鲜销部分!$K:$K,根据产能每天需要鲜销部分!$B:$B,$B107,根据产能每天需要鲜销部分!$G:$G,$C107)</f>
        <v>1031.5683421925501</v>
      </c>
      <c r="G107">
        <f>_xlfn.XLOOKUP($C107,价格系数辅助表!$C:$C,价格系数辅助表!$E:$E)</f>
        <v>1.8971615295629001</v>
      </c>
      <c r="H107">
        <f t="shared" si="3"/>
        <v>16.971450196665099</v>
      </c>
      <c r="I107" t="str">
        <f>_xlfn.XLOOKUP(B107,'3.屠宰能力表'!B:B,'3.屠宰能力表'!D:D)</f>
        <v>江苏</v>
      </c>
      <c r="J107">
        <f>_xlfn.XLOOKUP(A107,'1.出栏表'!A:A,'1.出栏表'!F:F)</f>
        <v>8.9457064842419101</v>
      </c>
    </row>
    <row r="108" spans="1:10" ht="15" x14ac:dyDescent="0.3">
      <c r="A108" t="str">
        <f t="shared" si="2"/>
        <v>江苏46136</v>
      </c>
      <c r="B108" t="s">
        <v>150</v>
      </c>
      <c r="C108" t="s">
        <v>55</v>
      </c>
      <c r="D108" s="45">
        <v>46136</v>
      </c>
      <c r="F108" s="8">
        <f>SUMIFS(根据产能每天需要鲜销部分!$K:$K,根据产能每天需要鲜销部分!$B:$B,$B108,根据产能每天需要鲜销部分!$G:$G,$C108)</f>
        <v>111.420523009096</v>
      </c>
      <c r="G108">
        <f>_xlfn.XLOOKUP($C108,价格系数辅助表!$C:$C,价格系数辅助表!$E:$E)</f>
        <v>3.2997148664303801</v>
      </c>
      <c r="H108">
        <f t="shared" si="3"/>
        <v>29.518280676775699</v>
      </c>
      <c r="I108" t="str">
        <f>_xlfn.XLOOKUP(B108,'3.屠宰能力表'!B:B,'3.屠宰能力表'!D:D)</f>
        <v>江苏</v>
      </c>
      <c r="J108">
        <f>_xlfn.XLOOKUP(A108,'1.出栏表'!A:A,'1.出栏表'!F:F)</f>
        <v>8.9457064842419101</v>
      </c>
    </row>
    <row r="109" spans="1:10" ht="15" x14ac:dyDescent="0.3">
      <c r="A109" t="str">
        <f t="shared" si="2"/>
        <v>江苏46136</v>
      </c>
      <c r="B109" t="s">
        <v>150</v>
      </c>
      <c r="C109" t="s">
        <v>57</v>
      </c>
      <c r="D109" s="45">
        <v>46136</v>
      </c>
      <c r="F109" s="8">
        <f>SUMIFS(根据产能每天需要鲜销部分!$K:$K,根据产能每天需要鲜销部分!$B:$B,$B109,根据产能每天需要鲜销部分!$G:$G,$C109)</f>
        <v>3934.4381782937899</v>
      </c>
      <c r="G109">
        <f>_xlfn.XLOOKUP($C109,价格系数辅助表!$C:$C,价格系数辅助表!$E:$E)</f>
        <v>0.130070801908548</v>
      </c>
      <c r="H109">
        <f t="shared" si="3"/>
        <v>1.16357521604384</v>
      </c>
      <c r="I109" t="str">
        <f>_xlfn.XLOOKUP(B109,'3.屠宰能力表'!B:B,'3.屠宰能力表'!D:D)</f>
        <v>江苏</v>
      </c>
      <c r="J109">
        <f>_xlfn.XLOOKUP(A109,'1.出栏表'!A:A,'1.出栏表'!F:F)</f>
        <v>8.9457064842419101</v>
      </c>
    </row>
    <row r="110" spans="1:10" ht="15" x14ac:dyDescent="0.3">
      <c r="A110" t="str">
        <f t="shared" si="2"/>
        <v>江苏46136</v>
      </c>
      <c r="B110" t="s">
        <v>150</v>
      </c>
      <c r="C110" t="s">
        <v>58</v>
      </c>
      <c r="D110" s="45">
        <v>46136</v>
      </c>
      <c r="F110" s="8">
        <f>SUMIFS(根据产能每天需要鲜销部分!$K:$K,根据产能每天需要鲜销部分!$B:$B,$B110,根据产能每天需要鲜销部分!$G:$G,$C110)</f>
        <v>5606.6101824381303</v>
      </c>
      <c r="G110">
        <f>_xlfn.XLOOKUP($C110,价格系数辅助表!$C:$C,价格系数辅助表!$E:$E)</f>
        <v>0.69784384029908697</v>
      </c>
      <c r="H110">
        <f t="shared" si="3"/>
        <v>6.2427061671518196</v>
      </c>
      <c r="I110" t="str">
        <f>_xlfn.XLOOKUP(B110,'3.屠宰能力表'!B:B,'3.屠宰能力表'!D:D)</f>
        <v>江苏</v>
      </c>
      <c r="J110">
        <f>_xlfn.XLOOKUP(A110,'1.出栏表'!A:A,'1.出栏表'!F:F)</f>
        <v>8.9457064842419101</v>
      </c>
    </row>
    <row r="111" spans="1:10" ht="15" x14ac:dyDescent="0.3">
      <c r="A111" t="str">
        <f t="shared" si="2"/>
        <v>江苏46136</v>
      </c>
      <c r="B111" t="s">
        <v>150</v>
      </c>
      <c r="C111" t="s">
        <v>59</v>
      </c>
      <c r="D111" s="45">
        <v>46136</v>
      </c>
      <c r="F111" s="8">
        <f>SUMIFS(根据产能每天需要鲜销部分!$K:$K,根据产能每天需要鲜销部分!$B:$B,$B111,根据产能每天需要鲜销部分!$G:$G,$C111)</f>
        <v>5652.0171096271897</v>
      </c>
      <c r="G111">
        <f>_xlfn.XLOOKUP($C111,价格系数辅助表!$C:$C,价格系数辅助表!$E:$E)</f>
        <v>0.456447335288171</v>
      </c>
      <c r="H111">
        <f t="shared" si="3"/>
        <v>4.0832438870023298</v>
      </c>
      <c r="I111" t="str">
        <f>_xlfn.XLOOKUP(B111,'3.屠宰能力表'!B:B,'3.屠宰能力表'!D:D)</f>
        <v>江苏</v>
      </c>
      <c r="J111">
        <f>_xlfn.XLOOKUP(A111,'1.出栏表'!A:A,'1.出栏表'!F:F)</f>
        <v>8.9457064842419101</v>
      </c>
    </row>
    <row r="112" spans="1:10" ht="15" x14ac:dyDescent="0.3">
      <c r="A112" t="str">
        <f t="shared" si="2"/>
        <v>江苏46136</v>
      </c>
      <c r="B112" t="s">
        <v>150</v>
      </c>
      <c r="C112" t="s">
        <v>60</v>
      </c>
      <c r="D112" s="45">
        <v>46136</v>
      </c>
      <c r="F112" s="8">
        <f>SUMIFS(根据产能每天需要鲜销部分!$K:$K,根据产能每天需要鲜销部分!$B:$B,$B112,根据产能每天需要鲜销部分!$G:$G,$C112)</f>
        <v>2621.5330155032798</v>
      </c>
      <c r="G112">
        <f>_xlfn.XLOOKUP($C112,价格系数辅助表!$C:$C,价格系数辅助表!$E:$E)</f>
        <v>0.30253913346115902</v>
      </c>
      <c r="H112">
        <f t="shared" si="3"/>
        <v>2.70642628794042</v>
      </c>
      <c r="I112" t="str">
        <f>_xlfn.XLOOKUP(B112,'3.屠宰能力表'!B:B,'3.屠宰能力表'!D:D)</f>
        <v>江苏</v>
      </c>
      <c r="J112">
        <f>_xlfn.XLOOKUP(A112,'1.出栏表'!A:A,'1.出栏表'!F:F)</f>
        <v>8.9457064842419101</v>
      </c>
    </row>
    <row r="113" spans="1:10" ht="15" x14ac:dyDescent="0.3">
      <c r="A113" t="str">
        <f t="shared" si="2"/>
        <v>江苏46136</v>
      </c>
      <c r="B113" t="s">
        <v>150</v>
      </c>
      <c r="C113" t="s">
        <v>61</v>
      </c>
      <c r="D113" s="45">
        <v>46136</v>
      </c>
      <c r="F113" s="8">
        <f>SUMIFS(根据产能每天需要鲜销部分!$K:$K,根据产能每天需要鲜销部分!$B:$B,$B113,根据产能每天需要鲜销部分!$G:$G,$C113)</f>
        <v>3000.9260863783102</v>
      </c>
      <c r="G113">
        <f>_xlfn.XLOOKUP($C113,价格系数辅助表!$C:$C,价格系数辅助表!$E:$E)</f>
        <v>5.2234050059701297E-2</v>
      </c>
      <c r="H113">
        <f t="shared" si="3"/>
        <v>0.46727048031728602</v>
      </c>
      <c r="I113" t="str">
        <f>_xlfn.XLOOKUP(B113,'3.屠宰能力表'!B:B,'3.屠宰能力表'!D:D)</f>
        <v>江苏</v>
      </c>
      <c r="J113">
        <f>_xlfn.XLOOKUP(A113,'1.出栏表'!A:A,'1.出栏表'!F:F)</f>
        <v>8.9457064842419101</v>
      </c>
    </row>
    <row r="114" spans="1:10" ht="15" x14ac:dyDescent="0.3">
      <c r="A114" t="str">
        <f t="shared" si="2"/>
        <v>江苏46136</v>
      </c>
      <c r="B114" t="s">
        <v>150</v>
      </c>
      <c r="C114" t="s">
        <v>62</v>
      </c>
      <c r="D114" s="45">
        <v>46136</v>
      </c>
      <c r="F114" s="8">
        <f>SUMIFS(根据产能每天需要鲜销部分!$K:$K,根据产能每天需要鲜销部分!$B:$B,$B114,根据产能每天需要鲜销部分!$G:$G,$C114)</f>
        <v>2813.3682059796602</v>
      </c>
      <c r="G114">
        <f>_xlfn.XLOOKUP($C114,价格系数辅助表!$C:$C,价格系数辅助表!$E:$E)</f>
        <v>0.27335161219757498</v>
      </c>
      <c r="H114">
        <f t="shared" si="3"/>
        <v>2.44532328971383</v>
      </c>
      <c r="I114" t="str">
        <f>_xlfn.XLOOKUP(B114,'3.屠宰能力表'!B:B,'3.屠宰能力表'!D:D)</f>
        <v>江苏</v>
      </c>
      <c r="J114">
        <f>_xlfn.XLOOKUP(A114,'1.出栏表'!A:A,'1.出栏表'!F:F)</f>
        <v>8.9457064842419101</v>
      </c>
    </row>
    <row r="115" spans="1:10" ht="15" x14ac:dyDescent="0.3">
      <c r="A115" t="str">
        <f t="shared" si="2"/>
        <v>江苏46136</v>
      </c>
      <c r="B115" t="s">
        <v>150</v>
      </c>
      <c r="C115" t="s">
        <v>63</v>
      </c>
      <c r="D115" s="45">
        <v>46136</v>
      </c>
      <c r="F115" s="8">
        <f>SUMIFS(根据产能每天需要鲜销部分!$K:$K,根据产能每天需要鲜销部分!$B:$B,$B115,根据产能每天需要鲜销部分!$G:$G,$C115)</f>
        <v>2362.2419833884801</v>
      </c>
      <c r="G115">
        <f>_xlfn.XLOOKUP($C115,价格系数辅助表!$C:$C,价格系数辅助表!$E:$E)</f>
        <v>0.25083638292710098</v>
      </c>
      <c r="H115">
        <f t="shared" si="3"/>
        <v>2.24390865723475</v>
      </c>
      <c r="I115" t="str">
        <f>_xlfn.XLOOKUP(B115,'3.屠宰能力表'!B:B,'3.屠宰能力表'!D:D)</f>
        <v>江苏</v>
      </c>
      <c r="J115">
        <f>_xlfn.XLOOKUP(A115,'1.出栏表'!A:A,'1.出栏表'!F:F)</f>
        <v>8.9457064842419101</v>
      </c>
    </row>
    <row r="116" spans="1:10" ht="15" x14ac:dyDescent="0.3">
      <c r="A116" t="str">
        <f t="shared" si="2"/>
        <v>江苏46136</v>
      </c>
      <c r="B116" t="s">
        <v>150</v>
      </c>
      <c r="C116" t="s">
        <v>64</v>
      </c>
      <c r="D116" s="45">
        <v>46136</v>
      </c>
      <c r="F116" s="8">
        <f>SUMIFS(根据产能每天需要鲜销部分!$K:$K,根据产能每天需要鲜销部分!$B:$B,$B116,根据产能每天需要鲜销部分!$G:$G,$C116)</f>
        <v>408.541917700017</v>
      </c>
      <c r="G116">
        <f>_xlfn.XLOOKUP($C116,价格系数辅助表!$C:$C,价格系数辅助表!$E:$E)</f>
        <v>0.87755384758256405</v>
      </c>
      <c r="H116">
        <f t="shared" si="3"/>
        <v>7.8503391445907802</v>
      </c>
      <c r="I116" t="str">
        <f>_xlfn.XLOOKUP(B116,'3.屠宰能力表'!B:B,'3.屠宰能力表'!D:D)</f>
        <v>江苏</v>
      </c>
      <c r="J116">
        <f>_xlfn.XLOOKUP(A116,'1.出栏表'!A:A,'1.出栏表'!F:F)</f>
        <v>8.9457064842419101</v>
      </c>
    </row>
    <row r="117" spans="1:10" ht="15" x14ac:dyDescent="0.3">
      <c r="A117" t="str">
        <f t="shared" si="2"/>
        <v>江苏46136</v>
      </c>
      <c r="B117" t="s">
        <v>150</v>
      </c>
      <c r="C117" t="s">
        <v>65</v>
      </c>
      <c r="D117" s="45">
        <v>46136</v>
      </c>
      <c r="F117" s="8">
        <f>SUMIFS(根据产能每天需要鲜销部分!$K:$K,根据产能每天需要鲜销部分!$B:$B,$B117,根据产能每天需要鲜销部分!$G:$G,$C117)</f>
        <v>185.70087168182599</v>
      </c>
      <c r="G117">
        <f>_xlfn.XLOOKUP($C117,价格系数辅助表!$C:$C,价格系数辅助表!$E:$E)</f>
        <v>1.02785250036373</v>
      </c>
      <c r="H117">
        <f t="shared" si="3"/>
        <v>9.1948667773481194</v>
      </c>
      <c r="I117" t="str">
        <f>_xlfn.XLOOKUP(B117,'3.屠宰能力表'!B:B,'3.屠宰能力表'!D:D)</f>
        <v>江苏</v>
      </c>
      <c r="J117">
        <f>_xlfn.XLOOKUP(A117,'1.出栏表'!A:A,'1.出栏表'!F:F)</f>
        <v>8.9457064842419101</v>
      </c>
    </row>
    <row r="118" spans="1:10" ht="15" x14ac:dyDescent="0.3">
      <c r="A118" t="str">
        <f t="shared" si="2"/>
        <v>江苏46136</v>
      </c>
      <c r="B118" t="s">
        <v>150</v>
      </c>
      <c r="C118" t="s">
        <v>66</v>
      </c>
      <c r="D118" s="45">
        <v>46136</v>
      </c>
      <c r="F118" s="8">
        <f>SUMIFS(根据产能每天需要鲜销部分!$K:$K,根据产能每天需要鲜销部分!$B:$B,$B118,根据产能每天需要鲜销部分!$G:$G,$C118)</f>
        <v>656.45258139525504</v>
      </c>
      <c r="G118">
        <f>_xlfn.XLOOKUP($C118,价格系数辅助表!$C:$C,价格系数辅助表!$E:$E)</f>
        <v>0.29390609194172401</v>
      </c>
      <c r="H118">
        <f t="shared" si="3"/>
        <v>2.6291976324412798</v>
      </c>
      <c r="I118" t="str">
        <f>_xlfn.XLOOKUP(B118,'3.屠宰能力表'!B:B,'3.屠宰能力表'!D:D)</f>
        <v>江苏</v>
      </c>
      <c r="J118">
        <f>_xlfn.XLOOKUP(A118,'1.出栏表'!A:A,'1.出栏表'!F:F)</f>
        <v>8.9457064842419101</v>
      </c>
    </row>
    <row r="119" spans="1:10" ht="15" x14ac:dyDescent="0.3">
      <c r="A119" t="str">
        <f t="shared" si="2"/>
        <v>江苏46136</v>
      </c>
      <c r="B119" t="s">
        <v>150</v>
      </c>
      <c r="C119" t="s">
        <v>67</v>
      </c>
      <c r="D119" s="45">
        <v>46136</v>
      </c>
      <c r="F119" s="8">
        <f>SUMIFS(根据产能每天需要鲜销部分!$K:$K,根据产能每天需要鲜销部分!$B:$B,$B119,根据产能每天需要鲜销部分!$G:$G,$C119)</f>
        <v>7680</v>
      </c>
      <c r="G119">
        <f>_xlfn.XLOOKUP($C119,价格系数辅助表!$C:$C,价格系数辅助表!$E:$E)</f>
        <v>8.7444985304843598E-2</v>
      </c>
      <c r="H119">
        <f t="shared" si="3"/>
        <v>0.782257172055977</v>
      </c>
      <c r="I119" t="str">
        <f>_xlfn.XLOOKUP(B119,'3.屠宰能力表'!B:B,'3.屠宰能力表'!D:D)</f>
        <v>江苏</v>
      </c>
      <c r="J119">
        <f>_xlfn.XLOOKUP(A119,'1.出栏表'!A:A,'1.出栏表'!F:F)</f>
        <v>8.9457064842419101</v>
      </c>
    </row>
    <row r="120" spans="1:10" ht="15" x14ac:dyDescent="0.3">
      <c r="A120" t="str">
        <f t="shared" si="2"/>
        <v>江苏46136</v>
      </c>
      <c r="B120" t="s">
        <v>150</v>
      </c>
      <c r="C120" t="s">
        <v>56</v>
      </c>
      <c r="D120" s="45">
        <v>46136</v>
      </c>
      <c r="F120" s="8">
        <f>SUMIFS(根据产能每天需要鲜销部分!$K:$K,根据产能每天需要鲜销部分!$B:$B,$B120,根据产能每天需要鲜销部分!$G:$G,$C120)</f>
        <v>1449.3335885747499</v>
      </c>
      <c r="G120">
        <f>_xlfn.XLOOKUP($C120,价格系数辅助表!$C:$C,价格系数辅助表!$E:$E)</f>
        <v>0.56179466940109002</v>
      </c>
      <c r="H120">
        <f t="shared" si="3"/>
        <v>5.0256502168738697</v>
      </c>
      <c r="I120" t="str">
        <f>_xlfn.XLOOKUP(B120,'3.屠宰能力表'!B:B,'3.屠宰能力表'!D:D)</f>
        <v>江苏</v>
      </c>
      <c r="J120">
        <f>_xlfn.XLOOKUP(A120,'1.出栏表'!A:A,'1.出栏表'!F:F)</f>
        <v>8.9457064842419101</v>
      </c>
    </row>
    <row r="121" spans="1:10" ht="15" x14ac:dyDescent="0.3">
      <c r="A121" t="str">
        <f t="shared" si="2"/>
        <v>江苏46136</v>
      </c>
      <c r="B121" t="s">
        <v>150</v>
      </c>
      <c r="C121" t="s">
        <v>45</v>
      </c>
      <c r="D121" s="45">
        <v>46136</v>
      </c>
      <c r="F121" s="8">
        <f>SUMIFS(根据产能每天需要鲜销部分!$K:$K,根据产能每天需要鲜销部分!$B:$B,$B121,根据产能每天需要鲜销部分!$G:$G,$C121)</f>
        <v>1435.7749131074399</v>
      </c>
      <c r="G121">
        <f>_xlfn.XLOOKUP($C121,价格系数辅助表!$C:$C,价格系数辅助表!$E:$E)</f>
        <v>2.1733017987485002</v>
      </c>
      <c r="H121">
        <f t="shared" si="3"/>
        <v>19.441719993279101</v>
      </c>
      <c r="I121" t="str">
        <f>_xlfn.XLOOKUP(B121,'3.屠宰能力表'!B:B,'3.屠宰能力表'!D:D)</f>
        <v>江苏</v>
      </c>
      <c r="J121">
        <f>_xlfn.XLOOKUP(A121,'1.出栏表'!A:A,'1.出栏表'!F:F)</f>
        <v>8.9457064842419101</v>
      </c>
    </row>
    <row r="122" spans="1:10" ht="15" x14ac:dyDescent="0.3">
      <c r="A122" t="str">
        <f t="shared" si="2"/>
        <v>江苏46136</v>
      </c>
      <c r="B122" t="s">
        <v>150</v>
      </c>
      <c r="C122" t="s">
        <v>68</v>
      </c>
      <c r="D122" s="45">
        <v>46136</v>
      </c>
      <c r="F122" s="8">
        <f>SUMIFS(根据产能每天需要鲜销部分!$K:$K,根据产能每天需要鲜销部分!$B:$B,$B122,根据产能每天需要鲜销部分!$G:$G,$C122)</f>
        <v>9257.4989461881796</v>
      </c>
      <c r="G122">
        <f>_xlfn.XLOOKUP($C122,价格系数辅助表!$C:$C,价格系数辅助表!$E:$E)</f>
        <v>2.3363490079598002</v>
      </c>
      <c r="H122">
        <f t="shared" si="3"/>
        <v>20.900292469958099</v>
      </c>
      <c r="I122" t="str">
        <f>_xlfn.XLOOKUP(B122,'3.屠宰能力表'!B:B,'3.屠宰能力表'!D:D)</f>
        <v>江苏</v>
      </c>
      <c r="J122">
        <f>_xlfn.XLOOKUP(A122,'1.出栏表'!A:A,'1.出栏表'!F:F)</f>
        <v>8.9457064842419101</v>
      </c>
    </row>
    <row r="123" spans="1:10" ht="15" x14ac:dyDescent="0.3">
      <c r="A123" t="str">
        <f t="shared" si="2"/>
        <v>江苏46136</v>
      </c>
      <c r="B123" t="s">
        <v>150</v>
      </c>
      <c r="C123" t="s">
        <v>70</v>
      </c>
      <c r="D123" s="45">
        <v>46136</v>
      </c>
      <c r="F123" s="8">
        <f>SUMIFS(根据产能每天需要鲜销部分!$K:$K,根据产能每天需要鲜销部分!$B:$B,$B123,根据产能每天需要鲜销部分!$G:$G,$C123)</f>
        <v>7275.7717960927403</v>
      </c>
      <c r="G123">
        <f>_xlfn.XLOOKUP($C123,价格系数辅助表!$C:$C,价格系数辅助表!$E:$E)</f>
        <v>1.56138134676664</v>
      </c>
      <c r="H123">
        <f t="shared" si="3"/>
        <v>13.9676592381447</v>
      </c>
      <c r="I123" t="str">
        <f>_xlfn.XLOOKUP(B123,'3.屠宰能力表'!B:B,'3.屠宰能力表'!D:D)</f>
        <v>江苏</v>
      </c>
      <c r="J123">
        <f>_xlfn.XLOOKUP(A123,'1.出栏表'!A:A,'1.出栏表'!F:F)</f>
        <v>8.9457064842419101</v>
      </c>
    </row>
    <row r="124" spans="1:10" ht="15" x14ac:dyDescent="0.3">
      <c r="A124" t="str">
        <f t="shared" si="2"/>
        <v>江苏46136</v>
      </c>
      <c r="B124" t="s">
        <v>150</v>
      </c>
      <c r="C124" t="s">
        <v>71</v>
      </c>
      <c r="D124" s="45">
        <v>46136</v>
      </c>
      <c r="F124" s="8">
        <f>SUMIFS(根据产能每天需要鲜销部分!$K:$K,根据产能每天需要鲜销部分!$B:$B,$B124,根据产能每天需要鲜销部分!$G:$G,$C124)</f>
        <v>2250.8181217920601</v>
      </c>
      <c r="G124">
        <f>_xlfn.XLOOKUP($C124,价格系数辅助表!$C:$C,价格系数辅助表!$E:$E)</f>
        <v>4.1323214054635997</v>
      </c>
      <c r="H124">
        <f t="shared" si="3"/>
        <v>36.966534391827302</v>
      </c>
      <c r="I124" t="str">
        <f>_xlfn.XLOOKUP(B124,'3.屠宰能力表'!B:B,'3.屠宰能力表'!D:D)</f>
        <v>江苏</v>
      </c>
      <c r="J124">
        <f>_xlfn.XLOOKUP(A124,'1.出栏表'!A:A,'1.出栏表'!F:F)</f>
        <v>8.9457064842419101</v>
      </c>
    </row>
    <row r="125" spans="1:10" ht="15" x14ac:dyDescent="0.3">
      <c r="A125" t="str">
        <f t="shared" si="2"/>
        <v>江苏46136</v>
      </c>
      <c r="B125" t="s">
        <v>150</v>
      </c>
      <c r="C125" t="s">
        <v>72</v>
      </c>
      <c r="D125" s="45">
        <v>46136</v>
      </c>
      <c r="F125" s="8">
        <f>SUMIFS(根据产能每天需要鲜销部分!$K:$K,根据产能每天需要鲜销部分!$B:$B,$B125,根据产能每天需要鲜销部分!$G:$G,$C125)</f>
        <v>5572.0318250625596</v>
      </c>
      <c r="G125">
        <f>_xlfn.XLOOKUP($C125,价格系数辅助表!$C:$C,价格系数辅助表!$E:$E)</f>
        <v>2.4066238998277001</v>
      </c>
      <c r="H125">
        <f t="shared" si="3"/>
        <v>21.528951025820199</v>
      </c>
      <c r="I125" t="str">
        <f>_xlfn.XLOOKUP(B125,'3.屠宰能力表'!B:B,'3.屠宰能力表'!D:D)</f>
        <v>江苏</v>
      </c>
      <c r="J125">
        <f>_xlfn.XLOOKUP(A125,'1.出栏表'!A:A,'1.出栏表'!F:F)</f>
        <v>8.9457064842419101</v>
      </c>
    </row>
    <row r="126" spans="1:10" ht="15" x14ac:dyDescent="0.3">
      <c r="A126" t="str">
        <f t="shared" si="2"/>
        <v>江苏46136</v>
      </c>
      <c r="B126" t="s">
        <v>150</v>
      </c>
      <c r="C126" t="s">
        <v>73</v>
      </c>
      <c r="D126" s="45">
        <v>46136</v>
      </c>
      <c r="F126" s="8">
        <f>SUMIFS(根据产能每天需要鲜销部分!$K:$K,根据产能每天需要鲜销部分!$B:$B,$B126,根据产能每天需要鲜销部分!$G:$G,$C126)</f>
        <v>1156.5826507070501</v>
      </c>
      <c r="G126">
        <f>_xlfn.XLOOKUP($C126,价格系数辅助表!$C:$C,价格系数辅助表!$E:$E)</f>
        <v>1.4457460218126601</v>
      </c>
      <c r="H126">
        <f t="shared" si="3"/>
        <v>12.933219561896401</v>
      </c>
      <c r="I126" t="str">
        <f>_xlfn.XLOOKUP(B126,'3.屠宰能力表'!B:B,'3.屠宰能力表'!D:D)</f>
        <v>江苏</v>
      </c>
      <c r="J126">
        <f>_xlfn.XLOOKUP(A126,'1.出栏表'!A:A,'1.出栏表'!F:F)</f>
        <v>8.9457064842419101</v>
      </c>
    </row>
    <row r="127" spans="1:10" ht="15" x14ac:dyDescent="0.3">
      <c r="A127" t="str">
        <f t="shared" si="2"/>
        <v>江苏46136</v>
      </c>
      <c r="B127" t="s">
        <v>150</v>
      </c>
      <c r="C127" t="s">
        <v>75</v>
      </c>
      <c r="D127" s="45">
        <v>46136</v>
      </c>
      <c r="F127" s="8">
        <f>SUMIFS(根据产能每天需要鲜销部分!$K:$K,根据产能每天需要鲜销部分!$B:$B,$B127,根据产能每天需要鲜销部分!$G:$G,$C127)</f>
        <v>1559.9408114311</v>
      </c>
      <c r="G127">
        <f>_xlfn.XLOOKUP($C127,价格系数辅助表!$C:$C,价格系数辅助表!$E:$E)</f>
        <v>1.4617715272634999</v>
      </c>
      <c r="H127">
        <f t="shared" si="3"/>
        <v>13.0765790299213</v>
      </c>
      <c r="I127" t="str">
        <f>_xlfn.XLOOKUP(B127,'3.屠宰能力表'!B:B,'3.屠宰能力表'!D:D)</f>
        <v>江苏</v>
      </c>
      <c r="J127">
        <f>_xlfn.XLOOKUP(A127,'1.出栏表'!A:A,'1.出栏表'!F:F)</f>
        <v>8.9457064842419101</v>
      </c>
    </row>
    <row r="128" spans="1:10" ht="15" x14ac:dyDescent="0.3">
      <c r="A128" t="str">
        <f t="shared" si="2"/>
        <v>江苏46136</v>
      </c>
      <c r="B128" t="s">
        <v>150</v>
      </c>
      <c r="C128" t="s">
        <v>76</v>
      </c>
      <c r="D128" s="45">
        <v>46136</v>
      </c>
      <c r="F128" s="8">
        <f>SUMIFS(根据产能每天需要鲜销部分!$K:$K,根据产能每天需要鲜销部分!$B:$B,$B128,根据产能每天需要鲜销部分!$G:$G,$C128)</f>
        <v>13723.173974990699</v>
      </c>
      <c r="G128">
        <f>_xlfn.XLOOKUP($C128,价格系数辅助表!$C:$C,价格系数辅助表!$E:$E)</f>
        <v>1.4895071246315399</v>
      </c>
      <c r="H128">
        <f t="shared" si="3"/>
        <v>13.324693543140899</v>
      </c>
      <c r="I128" t="str">
        <f>_xlfn.XLOOKUP(B128,'3.屠宰能力表'!B:B,'3.屠宰能力表'!D:D)</f>
        <v>江苏</v>
      </c>
      <c r="J128">
        <f>_xlfn.XLOOKUP(A128,'1.出栏表'!A:A,'1.出栏表'!F:F)</f>
        <v>8.9457064842419101</v>
      </c>
    </row>
    <row r="129" spans="1:10" ht="15" x14ac:dyDescent="0.3">
      <c r="A129" t="str">
        <f t="shared" si="2"/>
        <v>江苏46136</v>
      </c>
      <c r="B129" t="s">
        <v>150</v>
      </c>
      <c r="C129" t="s">
        <v>77</v>
      </c>
      <c r="D129" s="45">
        <v>46136</v>
      </c>
      <c r="F129" s="8">
        <f>SUMIFS(根据产能每天需要鲜销部分!$K:$K,根据产能每天需要鲜销部分!$B:$B,$B129,根据产能每天需要鲜销部分!$G:$G,$C129)</f>
        <v>1529.2970786667199</v>
      </c>
      <c r="G129">
        <f>_xlfn.XLOOKUP($C129,价格系数辅助表!$C:$C,价格系数辅助表!$E:$E)</f>
        <v>1.4766526372111499</v>
      </c>
      <c r="H129">
        <f t="shared" si="3"/>
        <v>13.209701071672701</v>
      </c>
      <c r="I129" t="str">
        <f>_xlfn.XLOOKUP(B129,'3.屠宰能力表'!B:B,'3.屠宰能力表'!D:D)</f>
        <v>江苏</v>
      </c>
      <c r="J129">
        <f>_xlfn.XLOOKUP(A129,'1.出栏表'!A:A,'1.出栏表'!F:F)</f>
        <v>8.9457064842419101</v>
      </c>
    </row>
    <row r="130" spans="1:10" ht="15" x14ac:dyDescent="0.3">
      <c r="A130" t="str">
        <f t="shared" si="2"/>
        <v>江苏46136</v>
      </c>
      <c r="B130" t="s">
        <v>150</v>
      </c>
      <c r="C130" t="s">
        <v>78</v>
      </c>
      <c r="D130" s="45">
        <v>46136</v>
      </c>
      <c r="F130" s="8">
        <f>SUMIFS(根据产能每天需要鲜销部分!$K:$K,根据产能每天需要鲜销部分!$B:$B,$B130,根据产能每天需要鲜销部分!$G:$G,$C130)</f>
        <v>2158.41497676787</v>
      </c>
      <c r="G130">
        <f>_xlfn.XLOOKUP($C130,价格系数辅助表!$C:$C,价格系数辅助表!$E:$E)</f>
        <v>1.2663755864959301</v>
      </c>
      <c r="H130">
        <f t="shared" si="3"/>
        <v>11.3286242956023</v>
      </c>
      <c r="I130" t="str">
        <f>_xlfn.XLOOKUP(B130,'3.屠宰能力表'!B:B,'3.屠宰能力表'!D:D)</f>
        <v>江苏</v>
      </c>
      <c r="J130">
        <f>_xlfn.XLOOKUP(A130,'1.出栏表'!A:A,'1.出栏表'!F:F)</f>
        <v>8.9457064842419101</v>
      </c>
    </row>
    <row r="131" spans="1:10" ht="15" x14ac:dyDescent="0.3">
      <c r="A131" t="str">
        <f t="shared" ref="A131:A194" si="4">I131&amp;D131</f>
        <v>江苏46136</v>
      </c>
      <c r="B131" t="s">
        <v>150</v>
      </c>
      <c r="C131" t="s">
        <v>79</v>
      </c>
      <c r="D131" s="45">
        <v>46136</v>
      </c>
      <c r="F131" s="8">
        <f>SUMIFS(根据产能每天需要鲜销部分!$K:$K,根据产能每天需要鲜销部分!$B:$B,$B131,根据产能每天需要鲜销部分!$G:$G,$C131)</f>
        <v>4806.67516525459</v>
      </c>
      <c r="G131">
        <f>_xlfn.XLOOKUP($C131,价格系数辅助表!$C:$C,价格系数辅助表!$E:$E)</f>
        <v>0.88455097651113601</v>
      </c>
      <c r="H131">
        <f t="shared" ref="H131:H194" si="5">G131*$J131</f>
        <v>7.9129334062181798</v>
      </c>
      <c r="I131" t="str">
        <f>_xlfn.XLOOKUP(B131,'3.屠宰能力表'!B:B,'3.屠宰能力表'!D:D)</f>
        <v>江苏</v>
      </c>
      <c r="J131">
        <f>_xlfn.XLOOKUP(A131,'1.出栏表'!A:A,'1.出栏表'!F:F)</f>
        <v>8.9457064842419101</v>
      </c>
    </row>
    <row r="132" spans="1:10" ht="15" x14ac:dyDescent="0.3">
      <c r="A132" t="str">
        <f t="shared" si="4"/>
        <v>江苏46136</v>
      </c>
      <c r="B132" t="s">
        <v>150</v>
      </c>
      <c r="C132" t="s">
        <v>80</v>
      </c>
      <c r="D132" s="45">
        <v>46136</v>
      </c>
      <c r="F132" s="8">
        <f>SUMIFS(根据产能每天需要鲜销部分!$K:$K,根据产能每天需要鲜销部分!$B:$B,$B132,根据产能每天需要鲜销部分!$G:$G,$C132)</f>
        <v>2499.18495063519</v>
      </c>
      <c r="G132">
        <f>_xlfn.XLOOKUP($C132,价格系数辅助表!$C:$C,价格系数辅助表!$E:$E)</f>
        <v>0.81656825090915597</v>
      </c>
      <c r="H132">
        <f t="shared" si="5"/>
        <v>7.30477989698411</v>
      </c>
      <c r="I132" t="str">
        <f>_xlfn.XLOOKUP(B132,'3.屠宰能力表'!B:B,'3.屠宰能力表'!D:D)</f>
        <v>江苏</v>
      </c>
      <c r="J132">
        <f>_xlfn.XLOOKUP(A132,'1.出栏表'!A:A,'1.出栏表'!F:F)</f>
        <v>8.9457064842419101</v>
      </c>
    </row>
    <row r="133" spans="1:10" ht="15" x14ac:dyDescent="0.3">
      <c r="A133" t="str">
        <f t="shared" si="4"/>
        <v>江苏46136</v>
      </c>
      <c r="B133" t="s">
        <v>150</v>
      </c>
      <c r="C133" t="s">
        <v>81</v>
      </c>
      <c r="D133" s="45">
        <v>46136</v>
      </c>
      <c r="F133" s="8">
        <f>SUMIFS(根据产能每天需要鲜销部分!$K:$K,根据产能每天需要鲜销部分!$B:$B,$B133,根据产能每天需要鲜销部分!$G:$G,$C133)</f>
        <v>5734.7637092780396</v>
      </c>
      <c r="G133">
        <f>_xlfn.XLOOKUP($C133,价格系数辅助表!$C:$C,价格系数辅助表!$E:$E)</f>
        <v>1.1259651927004599</v>
      </c>
      <c r="H133">
        <f t="shared" si="5"/>
        <v>10.0725541253712</v>
      </c>
      <c r="I133" t="str">
        <f>_xlfn.XLOOKUP(B133,'3.屠宰能力表'!B:B,'3.屠宰能力表'!D:D)</f>
        <v>江苏</v>
      </c>
      <c r="J133">
        <f>_xlfn.XLOOKUP(A133,'1.出栏表'!A:A,'1.出栏表'!F:F)</f>
        <v>8.9457064842419101</v>
      </c>
    </row>
    <row r="134" spans="1:10" ht="15" x14ac:dyDescent="0.3">
      <c r="A134" t="str">
        <f t="shared" si="4"/>
        <v>江苏46136</v>
      </c>
      <c r="B134" t="s">
        <v>150</v>
      </c>
      <c r="C134" t="s">
        <v>82</v>
      </c>
      <c r="D134" s="45">
        <v>46136</v>
      </c>
      <c r="F134" s="8">
        <f>SUMIFS(根据产能每天需要鲜销部分!$K:$K,根据产能每天需要鲜销部分!$B:$B,$B134,根据产能每天需要鲜销部分!$G:$G,$C134)</f>
        <v>1032.1431166228699</v>
      </c>
      <c r="G134">
        <f>_xlfn.XLOOKUP($C134,价格系数辅助表!$C:$C,价格系数辅助表!$E:$E)</f>
        <v>1.02591469638818</v>
      </c>
      <c r="H134">
        <f t="shared" si="5"/>
        <v>9.1775317517587691</v>
      </c>
      <c r="I134" t="str">
        <f>_xlfn.XLOOKUP(B134,'3.屠宰能力表'!B:B,'3.屠宰能力表'!D:D)</f>
        <v>江苏</v>
      </c>
      <c r="J134">
        <f>_xlfn.XLOOKUP(A134,'1.出栏表'!A:A,'1.出栏表'!F:F)</f>
        <v>8.9457064842419101</v>
      </c>
    </row>
    <row r="135" spans="1:10" ht="15" x14ac:dyDescent="0.3">
      <c r="A135" t="str">
        <f t="shared" si="4"/>
        <v>江苏46136</v>
      </c>
      <c r="B135" t="s">
        <v>150</v>
      </c>
      <c r="C135" t="s">
        <v>83</v>
      </c>
      <c r="D135" s="45">
        <v>46136</v>
      </c>
      <c r="F135" s="8">
        <f>SUMIFS(根据产能每天需要鲜销部分!$K:$K,根据产能每天需要鲜销部分!$B:$B,$B135,根据产能每天需要鲜销部分!$G:$G,$C135)</f>
        <v>1386.74286895002</v>
      </c>
      <c r="G135">
        <f>_xlfn.XLOOKUP($C135,价格系数辅助表!$C:$C,价格系数辅助表!$E:$E)</f>
        <v>0.922604514711862</v>
      </c>
      <c r="H135">
        <f t="shared" si="5"/>
        <v>8.2533491896487607</v>
      </c>
      <c r="I135" t="str">
        <f>_xlfn.XLOOKUP(B135,'3.屠宰能力表'!B:B,'3.屠宰能力表'!D:D)</f>
        <v>江苏</v>
      </c>
      <c r="J135">
        <f>_xlfn.XLOOKUP(A135,'1.出栏表'!A:A,'1.出栏表'!F:F)</f>
        <v>8.9457064842419101</v>
      </c>
    </row>
    <row r="136" spans="1:10" ht="15" x14ac:dyDescent="0.3">
      <c r="A136" t="str">
        <f t="shared" si="4"/>
        <v>江苏46136</v>
      </c>
      <c r="B136" t="s">
        <v>150</v>
      </c>
      <c r="C136" t="s">
        <v>84</v>
      </c>
      <c r="D136" s="45">
        <v>46136</v>
      </c>
      <c r="F136" s="8">
        <f>SUMIFS(根据产能每天需要鲜销部分!$K:$K,根据产能每天需要鲜销部分!$B:$B,$B136,根据产能每天需要鲜销部分!$G:$G,$C136)</f>
        <v>4510.7240572440396</v>
      </c>
      <c r="G136">
        <f>_xlfn.XLOOKUP($C136,价格系数辅助表!$C:$C,价格系数辅助表!$E:$E)</f>
        <v>0.926679482358305</v>
      </c>
      <c r="H136">
        <f t="shared" si="5"/>
        <v>8.2898026541466194</v>
      </c>
      <c r="I136" t="str">
        <f>_xlfn.XLOOKUP(B136,'3.屠宰能力表'!B:B,'3.屠宰能力表'!D:D)</f>
        <v>江苏</v>
      </c>
      <c r="J136">
        <f>_xlfn.XLOOKUP(A136,'1.出栏表'!A:A,'1.出栏表'!F:F)</f>
        <v>8.9457064842419101</v>
      </c>
    </row>
    <row r="137" spans="1:10" ht="15" x14ac:dyDescent="0.3">
      <c r="A137" t="str">
        <f t="shared" si="4"/>
        <v>江苏46136</v>
      </c>
      <c r="B137" t="s">
        <v>150</v>
      </c>
      <c r="C137" t="s">
        <v>85</v>
      </c>
      <c r="D137" s="45">
        <v>46136</v>
      </c>
      <c r="F137" s="8">
        <f>SUMIFS(根据产能每天需要鲜销部分!$K:$K,根据产能每天需要鲜销部分!$B:$B,$B137,根据产能每天需要鲜销部分!$G:$G,$C137)</f>
        <v>1889.6276456022199</v>
      </c>
      <c r="G137">
        <f>_xlfn.XLOOKUP($C137,价格系数辅助表!$C:$C,价格系数辅助表!$E:$E)</f>
        <v>1.1521636001823701</v>
      </c>
      <c r="H137">
        <f t="shared" si="5"/>
        <v>10.306917389059</v>
      </c>
      <c r="I137" t="str">
        <f>_xlfn.XLOOKUP(B137,'3.屠宰能力表'!B:B,'3.屠宰能力表'!D:D)</f>
        <v>江苏</v>
      </c>
      <c r="J137">
        <f>_xlfn.XLOOKUP(A137,'1.出栏表'!A:A,'1.出栏表'!F:F)</f>
        <v>8.9457064842419101</v>
      </c>
    </row>
    <row r="138" spans="1:10" ht="15" x14ac:dyDescent="0.3">
      <c r="A138" t="str">
        <f t="shared" si="4"/>
        <v>江苏46136</v>
      </c>
      <c r="B138" t="s">
        <v>150</v>
      </c>
      <c r="C138" t="s">
        <v>86</v>
      </c>
      <c r="D138" s="45">
        <v>46136</v>
      </c>
      <c r="F138" s="8">
        <f>SUMIFS(根据产能每天需要鲜销部分!$K:$K,根据产能每天需要鲜销部分!$B:$B,$B138,根据产能每天需要鲜销部分!$G:$G,$C138)</f>
        <v>1341.0260710725499</v>
      </c>
      <c r="G138">
        <f>_xlfn.XLOOKUP($C138,价格系数辅助表!$C:$C,价格系数辅助表!$E:$E)</f>
        <v>1.0074710773803</v>
      </c>
      <c r="H138">
        <f t="shared" si="5"/>
        <v>9.0125405496071203</v>
      </c>
      <c r="I138" t="str">
        <f>_xlfn.XLOOKUP(B138,'3.屠宰能力表'!B:B,'3.屠宰能力表'!D:D)</f>
        <v>江苏</v>
      </c>
      <c r="J138">
        <f>_xlfn.XLOOKUP(A138,'1.出栏表'!A:A,'1.出栏表'!F:F)</f>
        <v>8.9457064842419101</v>
      </c>
    </row>
    <row r="139" spans="1:10" ht="15" x14ac:dyDescent="0.3">
      <c r="A139" t="str">
        <f t="shared" si="4"/>
        <v>江苏46136</v>
      </c>
      <c r="B139" t="s">
        <v>150</v>
      </c>
      <c r="C139" t="s">
        <v>87</v>
      </c>
      <c r="D139" s="45">
        <v>46136</v>
      </c>
      <c r="F139" s="8">
        <f>SUMIFS(根据产能每天需要鲜销部分!$K:$K,根据产能每天需要鲜销部分!$B:$B,$B139,根据产能每天需要鲜销部分!$G:$G,$C139)</f>
        <v>426.69011352308502</v>
      </c>
      <c r="G139">
        <f>_xlfn.XLOOKUP($C139,价格系数辅助表!$C:$C,价格系数辅助表!$E:$E)</f>
        <v>0.72970400715709505</v>
      </c>
      <c r="H139">
        <f t="shared" si="5"/>
        <v>6.5277178684025303</v>
      </c>
      <c r="I139" t="str">
        <f>_xlfn.XLOOKUP(B139,'3.屠宰能力表'!B:B,'3.屠宰能力表'!D:D)</f>
        <v>江苏</v>
      </c>
      <c r="J139">
        <f>_xlfn.XLOOKUP(A139,'1.出栏表'!A:A,'1.出栏表'!F:F)</f>
        <v>8.9457064842419101</v>
      </c>
    </row>
    <row r="140" spans="1:10" ht="15" x14ac:dyDescent="0.3">
      <c r="A140" t="str">
        <f t="shared" si="4"/>
        <v>江苏46136</v>
      </c>
      <c r="B140" t="s">
        <v>150</v>
      </c>
      <c r="C140" t="s">
        <v>88</v>
      </c>
      <c r="D140" s="45">
        <v>46136</v>
      </c>
      <c r="F140" s="8">
        <f>SUMIFS(根据产能每天需要鲜销部分!$K:$K,根据产能每天需要鲜销部分!$B:$B,$B140,根据产能每天需要鲜销部分!$G:$G,$C140)</f>
        <v>304.90825888406999</v>
      </c>
      <c r="G140">
        <f>_xlfn.XLOOKUP($C140,价格系数辅助表!$C:$C,价格系数辅助表!$E:$E)</f>
        <v>2.7560630433134201</v>
      </c>
      <c r="H140">
        <f t="shared" si="5"/>
        <v>24.654931037548302</v>
      </c>
      <c r="I140" t="str">
        <f>_xlfn.XLOOKUP(B140,'3.屠宰能力表'!B:B,'3.屠宰能力表'!D:D)</f>
        <v>江苏</v>
      </c>
      <c r="J140">
        <f>_xlfn.XLOOKUP(A140,'1.出栏表'!A:A,'1.出栏表'!F:F)</f>
        <v>8.9457064842419101</v>
      </c>
    </row>
    <row r="141" spans="1:10" ht="15" x14ac:dyDescent="0.3">
      <c r="A141" t="str">
        <f t="shared" si="4"/>
        <v>江苏46136</v>
      </c>
      <c r="B141" t="s">
        <v>150</v>
      </c>
      <c r="C141" t="s">
        <v>89</v>
      </c>
      <c r="D141" s="45">
        <v>46136</v>
      </c>
      <c r="F141" s="8">
        <f>SUMIFS(根据产能每天需要鲜销部分!$K:$K,根据产能每天需要鲜销部分!$B:$B,$B141,根据产能每天需要鲜销部分!$G:$G,$C141)</f>
        <v>808.83366519326296</v>
      </c>
      <c r="G141">
        <f>_xlfn.XLOOKUP($C141,价格系数辅助表!$C:$C,价格系数辅助表!$E:$E)</f>
        <v>1.1853684696925</v>
      </c>
      <c r="H141">
        <f t="shared" si="5"/>
        <v>10.6039584055441</v>
      </c>
      <c r="I141" t="str">
        <f>_xlfn.XLOOKUP(B141,'3.屠宰能力表'!B:B,'3.屠宰能力表'!D:D)</f>
        <v>江苏</v>
      </c>
      <c r="J141">
        <f>_xlfn.XLOOKUP(A141,'1.出栏表'!A:A,'1.出栏表'!F:F)</f>
        <v>8.9457064842419101</v>
      </c>
    </row>
    <row r="142" spans="1:10" ht="15" x14ac:dyDescent="0.3">
      <c r="A142" t="str">
        <f t="shared" si="4"/>
        <v>江苏46136</v>
      </c>
      <c r="B142" t="s">
        <v>150</v>
      </c>
      <c r="C142" t="s">
        <v>90</v>
      </c>
      <c r="D142" s="45">
        <v>46136</v>
      </c>
      <c r="F142" s="8">
        <f>SUMIFS(根据产能每天需要鲜销部分!$K:$K,根据产能每天需要鲜销部分!$B:$B,$B142,根据产能每天需要鲜销部分!$G:$G,$C142)</f>
        <v>2240.4979218594199</v>
      </c>
      <c r="G142">
        <f>_xlfn.XLOOKUP($C142,价格系数辅助表!$C:$C,价格系数辅助表!$E:$E)</f>
        <v>0.74904414201499503</v>
      </c>
      <c r="H142">
        <f t="shared" si="5"/>
        <v>6.7007290382069504</v>
      </c>
      <c r="I142" t="str">
        <f>_xlfn.XLOOKUP(B142,'3.屠宰能力表'!B:B,'3.屠宰能力表'!D:D)</f>
        <v>江苏</v>
      </c>
      <c r="J142">
        <f>_xlfn.XLOOKUP(A142,'1.出栏表'!A:A,'1.出栏表'!F:F)</f>
        <v>8.9457064842419101</v>
      </c>
    </row>
    <row r="143" spans="1:10" ht="15" x14ac:dyDescent="0.3">
      <c r="A143" t="str">
        <f t="shared" si="4"/>
        <v>江苏46136</v>
      </c>
      <c r="B143" t="s">
        <v>150</v>
      </c>
      <c r="C143" t="s">
        <v>91</v>
      </c>
      <c r="D143" s="45">
        <v>46136</v>
      </c>
      <c r="F143" s="8">
        <f>SUMIFS(根据产能每天需要鲜销部分!$K:$K,根据产能每天需要鲜销部分!$B:$B,$B143,根据产能每天需要鲜销部分!$G:$G,$C143)</f>
        <v>1695.69509684575</v>
      </c>
      <c r="G143">
        <f>_xlfn.XLOOKUP($C143,价格系数辅助表!$C:$C,价格系数辅助表!$E:$E)</f>
        <v>0.62107390938185902</v>
      </c>
      <c r="H143">
        <f t="shared" si="5"/>
        <v>5.55594489835077</v>
      </c>
      <c r="I143" t="str">
        <f>_xlfn.XLOOKUP(B143,'3.屠宰能力表'!B:B,'3.屠宰能力表'!D:D)</f>
        <v>江苏</v>
      </c>
      <c r="J143">
        <f>_xlfn.XLOOKUP(A143,'1.出栏表'!A:A,'1.出栏表'!F:F)</f>
        <v>8.9457064842419101</v>
      </c>
    </row>
    <row r="144" spans="1:10" ht="15" x14ac:dyDescent="0.3">
      <c r="A144" t="str">
        <f t="shared" si="4"/>
        <v>江苏46136</v>
      </c>
      <c r="B144" t="s">
        <v>150</v>
      </c>
      <c r="C144" t="s">
        <v>92</v>
      </c>
      <c r="D144" s="45">
        <v>46136</v>
      </c>
      <c r="F144" s="8">
        <f>SUMIFS(根据产能每天需要鲜销部分!$K:$K,根据产能每天需要鲜销部分!$B:$B,$B144,根据产能每天需要鲜销部分!$G:$G,$C144)</f>
        <v>274.30078726483998</v>
      </c>
      <c r="G144">
        <f>_xlfn.XLOOKUP($C144,价格系数辅助表!$C:$C,价格系数辅助表!$E:$E)</f>
        <v>0.24650626139895601</v>
      </c>
      <c r="H144">
        <f t="shared" si="5"/>
        <v>2.2051726610028699</v>
      </c>
      <c r="I144" t="str">
        <f>_xlfn.XLOOKUP(B144,'3.屠宰能力表'!B:B,'3.屠宰能力表'!D:D)</f>
        <v>江苏</v>
      </c>
      <c r="J144">
        <f>_xlfn.XLOOKUP(A144,'1.出栏表'!A:A,'1.出栏表'!F:F)</f>
        <v>8.9457064842419101</v>
      </c>
    </row>
    <row r="145" spans="1:10" ht="15" x14ac:dyDescent="0.3">
      <c r="A145" t="str">
        <f t="shared" si="4"/>
        <v>内蒙古46136</v>
      </c>
      <c r="B145" t="s">
        <v>152</v>
      </c>
      <c r="C145" t="s">
        <v>41</v>
      </c>
      <c r="D145" s="45">
        <v>46136</v>
      </c>
      <c r="F145" s="8">
        <f>SUMIFS(根据产能每天需要鲜销部分!$K:$K,根据产能每天需要鲜销部分!$B:$B,$B145,根据产能每天需要鲜销部分!$G:$G,$C145)</f>
        <v>274560</v>
      </c>
      <c r="G145">
        <f>_xlfn.XLOOKUP($C145,价格系数辅助表!$C:$C,价格系数辅助表!$E:$E)</f>
        <v>1.1852119074341301</v>
      </c>
      <c r="H145">
        <f t="shared" si="5"/>
        <v>10.5891733137482</v>
      </c>
      <c r="I145" t="str">
        <f>_xlfn.XLOOKUP(B145,'3.屠宰能力表'!B:B,'3.屠宰能力表'!D:D)</f>
        <v>内蒙古</v>
      </c>
      <c r="J145">
        <f>_xlfn.XLOOKUP(A145,'1.出栏表'!A:A,'1.出栏表'!F:F)</f>
        <v>8.9344135401683094</v>
      </c>
    </row>
    <row r="146" spans="1:10" ht="15" x14ac:dyDescent="0.3">
      <c r="A146" t="str">
        <f t="shared" si="4"/>
        <v>内蒙古46136</v>
      </c>
      <c r="B146" t="s">
        <v>152</v>
      </c>
      <c r="C146" t="s">
        <v>44</v>
      </c>
      <c r="D146" s="45">
        <v>46136</v>
      </c>
      <c r="F146" s="8">
        <f>SUMIFS(根据产能每天需要鲜销部分!$K:$K,根据产能每天需要鲜销部分!$B:$B,$B146,根据产能每天需要鲜销部分!$G:$G,$C146)</f>
        <v>24965.1289033229</v>
      </c>
      <c r="G146">
        <f>_xlfn.XLOOKUP($C146,价格系数辅助表!$C:$C,价格系数辅助表!$E:$E)</f>
        <v>0.81317166851852996</v>
      </c>
      <c r="H146">
        <f t="shared" si="5"/>
        <v>7.2652119656932097</v>
      </c>
      <c r="I146" t="str">
        <f>_xlfn.XLOOKUP(B146,'3.屠宰能力表'!B:B,'3.屠宰能力表'!D:D)</f>
        <v>内蒙古</v>
      </c>
      <c r="J146">
        <f>_xlfn.XLOOKUP(A146,'1.出栏表'!A:A,'1.出栏表'!F:F)</f>
        <v>8.9344135401683094</v>
      </c>
    </row>
    <row r="147" spans="1:10" ht="15" x14ac:dyDescent="0.3">
      <c r="A147" t="str">
        <f t="shared" si="4"/>
        <v>内蒙古46136</v>
      </c>
      <c r="B147" t="s">
        <v>152</v>
      </c>
      <c r="C147" t="s">
        <v>46</v>
      </c>
      <c r="D147" s="45">
        <v>46136</v>
      </c>
      <c r="F147" s="8">
        <f>SUMIFS(根据产能每天需要鲜销部分!$K:$K,根据产能每天需要鲜销部分!$B:$B,$B147,根据产能每天需要鲜销部分!$G:$G,$C147)</f>
        <v>187.55788039864501</v>
      </c>
      <c r="G147">
        <f>_xlfn.XLOOKUP($C147,价格系数辅助表!$C:$C,价格系数辅助表!$E:$E)</f>
        <v>4.0225512045395799</v>
      </c>
      <c r="H147">
        <f t="shared" si="5"/>
        <v>35.939135947858802</v>
      </c>
      <c r="I147" t="str">
        <f>_xlfn.XLOOKUP(B147,'3.屠宰能力表'!B:B,'3.屠宰能力表'!D:D)</f>
        <v>内蒙古</v>
      </c>
      <c r="J147">
        <f>_xlfn.XLOOKUP(A147,'1.出栏表'!A:A,'1.出栏表'!F:F)</f>
        <v>8.9344135401683094</v>
      </c>
    </row>
    <row r="148" spans="1:10" ht="15" x14ac:dyDescent="0.3">
      <c r="A148" t="str">
        <f t="shared" si="4"/>
        <v>内蒙古46136</v>
      </c>
      <c r="B148" t="s">
        <v>152</v>
      </c>
      <c r="C148" t="s">
        <v>47</v>
      </c>
      <c r="D148" s="45">
        <v>46136</v>
      </c>
      <c r="F148" s="8">
        <f>SUMIFS(根据产能每天需要鲜销部分!$K:$K,根据产能每天需要鲜销部分!$B:$B,$B148,根据产能每天需要鲜销部分!$G:$G,$C148)</f>
        <v>1764.42615448475</v>
      </c>
      <c r="G148">
        <f>_xlfn.XLOOKUP($C148,价格系数辅助表!$C:$C,价格系数辅助表!$E:$E)</f>
        <v>0.84535964262204399</v>
      </c>
      <c r="H148">
        <f t="shared" si="5"/>
        <v>7.55279263735423</v>
      </c>
      <c r="I148" t="str">
        <f>_xlfn.XLOOKUP(B148,'3.屠宰能力表'!B:B,'3.屠宰能力表'!D:D)</f>
        <v>内蒙古</v>
      </c>
      <c r="J148">
        <f>_xlfn.XLOOKUP(A148,'1.出栏表'!A:A,'1.出栏表'!F:F)</f>
        <v>8.9344135401683094</v>
      </c>
    </row>
    <row r="149" spans="1:10" ht="15" x14ac:dyDescent="0.3">
      <c r="A149" t="str">
        <f t="shared" si="4"/>
        <v>内蒙古46136</v>
      </c>
      <c r="B149" t="s">
        <v>152</v>
      </c>
      <c r="C149" t="s">
        <v>48</v>
      </c>
      <c r="D149" s="45">
        <v>46136</v>
      </c>
      <c r="F149" s="8">
        <f>SUMIFS(根据产能每天需要鲜销部分!$K:$K,根据产能每天需要鲜销部分!$B:$B,$B149,根据产能每天需要鲜销部分!$G:$G,$C149)</f>
        <v>9113.9309086366102</v>
      </c>
      <c r="G149">
        <f>_xlfn.XLOOKUP($C149,价格系数辅助表!$C:$C,价格系数辅助表!$E:$E)</f>
        <v>0.37320475421536098</v>
      </c>
      <c r="H149">
        <f t="shared" si="5"/>
        <v>3.3343656093169001</v>
      </c>
      <c r="I149" t="str">
        <f>_xlfn.XLOOKUP(B149,'3.屠宰能力表'!B:B,'3.屠宰能力表'!D:D)</f>
        <v>内蒙古</v>
      </c>
      <c r="J149">
        <f>_xlfn.XLOOKUP(A149,'1.出栏表'!A:A,'1.出栏表'!F:F)</f>
        <v>8.9344135401683094</v>
      </c>
    </row>
    <row r="150" spans="1:10" ht="15" x14ac:dyDescent="0.3">
      <c r="A150" t="str">
        <f t="shared" si="4"/>
        <v>内蒙古46136</v>
      </c>
      <c r="B150" t="s">
        <v>152</v>
      </c>
      <c r="C150" t="s">
        <v>49</v>
      </c>
      <c r="D150" s="45">
        <v>46136</v>
      </c>
      <c r="F150" s="8">
        <f>SUMIFS(根据产能每天需要鲜销部分!$K:$K,根据产能每天需要鲜销部分!$B:$B,$B150,根据产能每天需要鲜销部分!$G:$G,$C150)</f>
        <v>1781.7998637871201</v>
      </c>
      <c r="G150">
        <f>_xlfn.XLOOKUP($C150,价格系数辅助表!$C:$C,价格系数辅助表!$E:$E)</f>
        <v>1.1550192014842</v>
      </c>
      <c r="H150">
        <f t="shared" si="5"/>
        <v>10.3194191928948</v>
      </c>
      <c r="I150" t="str">
        <f>_xlfn.XLOOKUP(B150,'3.屠宰能力表'!B:B,'3.屠宰能力表'!D:D)</f>
        <v>内蒙古</v>
      </c>
      <c r="J150">
        <f>_xlfn.XLOOKUP(A150,'1.出栏表'!A:A,'1.出栏表'!F:F)</f>
        <v>8.9344135401683094</v>
      </c>
    </row>
    <row r="151" spans="1:10" ht="15" x14ac:dyDescent="0.3">
      <c r="A151" t="str">
        <f t="shared" si="4"/>
        <v>内蒙古46136</v>
      </c>
      <c r="B151" t="s">
        <v>152</v>
      </c>
      <c r="C151" t="s">
        <v>50</v>
      </c>
      <c r="D151" s="45">
        <v>46136</v>
      </c>
      <c r="F151" s="8">
        <f>SUMIFS(根据产能每天需要鲜销部分!$K:$K,根据产能每天需要鲜销部分!$B:$B,$B151,根据产能每天需要鲜销部分!$G:$G,$C151)</f>
        <v>6235.0841574750002</v>
      </c>
      <c r="G151">
        <f>_xlfn.XLOOKUP($C151,价格系数辅助表!$C:$C,价格系数辅助表!$E:$E)</f>
        <v>1.90800135982928</v>
      </c>
      <c r="H151">
        <f t="shared" si="5"/>
        <v>17.046873183918301</v>
      </c>
      <c r="I151" t="str">
        <f>_xlfn.XLOOKUP(B151,'3.屠宰能力表'!B:B,'3.屠宰能力表'!D:D)</f>
        <v>内蒙古</v>
      </c>
      <c r="J151">
        <f>_xlfn.XLOOKUP(A151,'1.出栏表'!A:A,'1.出栏表'!F:F)</f>
        <v>8.9344135401683094</v>
      </c>
    </row>
    <row r="152" spans="1:10" ht="15" x14ac:dyDescent="0.3">
      <c r="A152" t="str">
        <f t="shared" si="4"/>
        <v>内蒙古46136</v>
      </c>
      <c r="B152" t="s">
        <v>152</v>
      </c>
      <c r="C152" t="s">
        <v>51</v>
      </c>
      <c r="D152" s="45">
        <v>46136</v>
      </c>
      <c r="F152" s="8">
        <f>SUMIFS(根据产能每天需要鲜销部分!$K:$K,根据产能每天需要鲜销部分!$B:$B,$B152,根据产能每天需要鲜销部分!$G:$G,$C152)</f>
        <v>2860.2576760793199</v>
      </c>
      <c r="G152">
        <f>_xlfn.XLOOKUP($C152,价格系数辅助表!$C:$C,价格系数辅助表!$E:$E)</f>
        <v>2.76783242873949</v>
      </c>
      <c r="H152">
        <f t="shared" si="5"/>
        <v>24.728959528247</v>
      </c>
      <c r="I152" t="str">
        <f>_xlfn.XLOOKUP(B152,'3.屠宰能力表'!B:B,'3.屠宰能力表'!D:D)</f>
        <v>内蒙古</v>
      </c>
      <c r="J152">
        <f>_xlfn.XLOOKUP(A152,'1.出栏表'!A:A,'1.出栏表'!F:F)</f>
        <v>8.9344135401683094</v>
      </c>
    </row>
    <row r="153" spans="1:10" ht="15" x14ac:dyDescent="0.3">
      <c r="A153" t="str">
        <f t="shared" si="4"/>
        <v>内蒙古46136</v>
      </c>
      <c r="B153" t="s">
        <v>152</v>
      </c>
      <c r="C153" t="s">
        <v>52</v>
      </c>
      <c r="D153" s="45">
        <v>46136</v>
      </c>
      <c r="F153" s="8">
        <f>SUMIFS(根据产能每天需要鲜销部分!$K:$K,根据产能每天需要鲜销部分!$B:$B,$B153,根据产能每天需要鲜销部分!$G:$G,$C153)</f>
        <v>2391.3629750827099</v>
      </c>
      <c r="G153">
        <f>_xlfn.XLOOKUP($C153,价格系数辅助表!$C:$C,价格系数辅助表!$E:$E)</f>
        <v>1.61708641969264</v>
      </c>
      <c r="H153">
        <f t="shared" si="5"/>
        <v>14.4477188037242</v>
      </c>
      <c r="I153" t="str">
        <f>_xlfn.XLOOKUP(B153,'3.屠宰能力表'!B:B,'3.屠宰能力表'!D:D)</f>
        <v>内蒙古</v>
      </c>
      <c r="J153">
        <f>_xlfn.XLOOKUP(A153,'1.出栏表'!A:A,'1.出栏表'!F:F)</f>
        <v>8.9344135401683094</v>
      </c>
    </row>
    <row r="154" spans="1:10" ht="15" x14ac:dyDescent="0.3">
      <c r="A154" t="str">
        <f t="shared" si="4"/>
        <v>内蒙古46136</v>
      </c>
      <c r="B154" t="s">
        <v>152</v>
      </c>
      <c r="C154" t="s">
        <v>53</v>
      </c>
      <c r="D154" s="45">
        <v>46136</v>
      </c>
      <c r="F154" s="8">
        <f>SUMIFS(根据产能每天需要鲜销部分!$K:$K,根据产能每天需要鲜销部分!$B:$B,$B154,根据产能每天需要鲜销部分!$G:$G,$C154)</f>
        <v>2110.0261544847499</v>
      </c>
      <c r="G154">
        <f>_xlfn.XLOOKUP($C154,价格系数辅助表!$C:$C,价格系数辅助表!$E:$E)</f>
        <v>1.4850675377364999</v>
      </c>
      <c r="H154">
        <f t="shared" si="5"/>
        <v>13.2682075172174</v>
      </c>
      <c r="I154" t="str">
        <f>_xlfn.XLOOKUP(B154,'3.屠宰能力表'!B:B,'3.屠宰能力表'!D:D)</f>
        <v>内蒙古</v>
      </c>
      <c r="J154">
        <f>_xlfn.XLOOKUP(A154,'1.出栏表'!A:A,'1.出栏表'!F:F)</f>
        <v>8.9344135401683094</v>
      </c>
    </row>
    <row r="155" spans="1:10" ht="15" x14ac:dyDescent="0.3">
      <c r="A155" t="str">
        <f t="shared" si="4"/>
        <v>内蒙古46136</v>
      </c>
      <c r="B155" t="s">
        <v>152</v>
      </c>
      <c r="C155" t="s">
        <v>54</v>
      </c>
      <c r="D155" s="45">
        <v>46136</v>
      </c>
      <c r="F155" s="8">
        <f>SUMIFS(根据产能每天需要鲜销部分!$K:$K,根据产能每天需要鲜销部分!$B:$B,$B155,根据产能每天需要鲜销部分!$G:$G,$C155)</f>
        <v>1547.3525132888201</v>
      </c>
      <c r="G155">
        <f>_xlfn.XLOOKUP($C155,价格系数辅助表!$C:$C,价格系数辅助表!$E:$E)</f>
        <v>1.8971615295629001</v>
      </c>
      <c r="H155">
        <f t="shared" si="5"/>
        <v>16.9500256576132</v>
      </c>
      <c r="I155" t="str">
        <f>_xlfn.XLOOKUP(B155,'3.屠宰能力表'!B:B,'3.屠宰能力表'!D:D)</f>
        <v>内蒙古</v>
      </c>
      <c r="J155">
        <f>_xlfn.XLOOKUP(A155,'1.出栏表'!A:A,'1.出栏表'!F:F)</f>
        <v>8.9344135401683094</v>
      </c>
    </row>
    <row r="156" spans="1:10" ht="15" x14ac:dyDescent="0.3">
      <c r="A156" t="str">
        <f t="shared" si="4"/>
        <v>内蒙古46136</v>
      </c>
      <c r="B156" t="s">
        <v>152</v>
      </c>
      <c r="C156" t="s">
        <v>55</v>
      </c>
      <c r="D156" s="45">
        <v>46136</v>
      </c>
      <c r="F156" s="8">
        <f>SUMIFS(根据产能每天需要鲜销部分!$K:$K,根据产能每天需要鲜销部分!$B:$B,$B156,根据产能每天需要鲜销部分!$G:$G,$C156)</f>
        <v>167.13078451364399</v>
      </c>
      <c r="G156">
        <f>_xlfn.XLOOKUP($C156,价格系数辅助表!$C:$C,价格系数辅助表!$E:$E)</f>
        <v>3.2997148664303801</v>
      </c>
      <c r="H156">
        <f t="shared" si="5"/>
        <v>29.481017181330198</v>
      </c>
      <c r="I156" t="str">
        <f>_xlfn.XLOOKUP(B156,'3.屠宰能力表'!B:B,'3.屠宰能力表'!D:D)</f>
        <v>内蒙古</v>
      </c>
      <c r="J156">
        <f>_xlfn.XLOOKUP(A156,'1.出栏表'!A:A,'1.出栏表'!F:F)</f>
        <v>8.9344135401683094</v>
      </c>
    </row>
    <row r="157" spans="1:10" ht="15" x14ac:dyDescent="0.3">
      <c r="A157" t="str">
        <f t="shared" si="4"/>
        <v>内蒙古46136</v>
      </c>
      <c r="B157" t="s">
        <v>152</v>
      </c>
      <c r="C157" t="s">
        <v>57</v>
      </c>
      <c r="D157" s="45">
        <v>46136</v>
      </c>
      <c r="F157" s="8">
        <f>SUMIFS(根据产能每天需要鲜销部分!$K:$K,根据产能每天需要鲜销部分!$B:$B,$B157,根据产能每天需要鲜销部分!$G:$G,$C157)</f>
        <v>5901.6572674406798</v>
      </c>
      <c r="G157">
        <f>_xlfn.XLOOKUP($C157,价格系数辅助表!$C:$C,价格系数辅助表!$E:$E)</f>
        <v>0.130070801908548</v>
      </c>
      <c r="H157">
        <f t="shared" si="5"/>
        <v>1.1621063337522799</v>
      </c>
      <c r="I157" t="str">
        <f>_xlfn.XLOOKUP(B157,'3.屠宰能力表'!B:B,'3.屠宰能力表'!D:D)</f>
        <v>内蒙古</v>
      </c>
      <c r="J157">
        <f>_xlfn.XLOOKUP(A157,'1.出栏表'!A:A,'1.出栏表'!F:F)</f>
        <v>8.9344135401683094</v>
      </c>
    </row>
    <row r="158" spans="1:10" ht="15" x14ac:dyDescent="0.3">
      <c r="A158" t="str">
        <f t="shared" si="4"/>
        <v>内蒙古46136</v>
      </c>
      <c r="B158" t="s">
        <v>152</v>
      </c>
      <c r="C158" t="s">
        <v>58</v>
      </c>
      <c r="D158" s="45">
        <v>46136</v>
      </c>
      <c r="F158" s="8">
        <f>SUMIFS(根据产能每天需要鲜销部分!$K:$K,根据产能每天需要鲜销部分!$B:$B,$B158,根据产能每天需要鲜销部分!$G:$G,$C158)</f>
        <v>8409.9152736571996</v>
      </c>
      <c r="G158">
        <f>_xlfn.XLOOKUP($C158,价格系数辅助表!$C:$C,价格系数辅助表!$E:$E)</f>
        <v>0.69784384029908697</v>
      </c>
      <c r="H158">
        <f t="shared" si="5"/>
        <v>6.2348254556912099</v>
      </c>
      <c r="I158" t="str">
        <f>_xlfn.XLOOKUP(B158,'3.屠宰能力表'!B:B,'3.屠宰能力表'!D:D)</f>
        <v>内蒙古</v>
      </c>
      <c r="J158">
        <f>_xlfn.XLOOKUP(A158,'1.出栏表'!A:A,'1.出栏表'!F:F)</f>
        <v>8.9344135401683094</v>
      </c>
    </row>
    <row r="159" spans="1:10" ht="15" x14ac:dyDescent="0.3">
      <c r="A159" t="str">
        <f t="shared" si="4"/>
        <v>内蒙古46136</v>
      </c>
      <c r="B159" t="s">
        <v>152</v>
      </c>
      <c r="C159" t="s">
        <v>59</v>
      </c>
      <c r="D159" s="45">
        <v>46136</v>
      </c>
      <c r="F159" s="8">
        <f>SUMIFS(根据产能每天需要鲜销部分!$K:$K,根据产能每天需要鲜销部分!$B:$B,$B159,根据产能每天需要鲜销部分!$G:$G,$C159)</f>
        <v>8478.02566444078</v>
      </c>
      <c r="G159">
        <f>_xlfn.XLOOKUP($C159,价格系数辅助表!$C:$C,价格系数辅助表!$E:$E)</f>
        <v>0.456447335288171</v>
      </c>
      <c r="H159">
        <f t="shared" si="5"/>
        <v>4.0780892527723704</v>
      </c>
      <c r="I159" t="str">
        <f>_xlfn.XLOOKUP(B159,'3.屠宰能力表'!B:B,'3.屠宰能力表'!D:D)</f>
        <v>内蒙古</v>
      </c>
      <c r="J159">
        <f>_xlfn.XLOOKUP(A159,'1.出栏表'!A:A,'1.出栏表'!F:F)</f>
        <v>8.9344135401683094</v>
      </c>
    </row>
    <row r="160" spans="1:10" ht="15" x14ac:dyDescent="0.3">
      <c r="A160" t="str">
        <f t="shared" si="4"/>
        <v>内蒙古46136</v>
      </c>
      <c r="B160" t="s">
        <v>152</v>
      </c>
      <c r="C160" t="s">
        <v>60</v>
      </c>
      <c r="D160" s="45">
        <v>46136</v>
      </c>
      <c r="F160" s="8">
        <f>SUMIFS(根据产能每天需要鲜销部分!$K:$K,根据产能每天需要鲜销部分!$B:$B,$B160,根据产能每天需要鲜销部分!$G:$G,$C160)</f>
        <v>3932.2995232549201</v>
      </c>
      <c r="G160">
        <f>_xlfn.XLOOKUP($C160,价格系数辅助表!$C:$C,价格系数辅助表!$E:$E)</f>
        <v>0.30253913346115902</v>
      </c>
      <c r="H160">
        <f t="shared" si="5"/>
        <v>2.70300973042617</v>
      </c>
      <c r="I160" t="str">
        <f>_xlfn.XLOOKUP(B160,'3.屠宰能力表'!B:B,'3.屠宰能力表'!D:D)</f>
        <v>内蒙古</v>
      </c>
      <c r="J160">
        <f>_xlfn.XLOOKUP(A160,'1.出栏表'!A:A,'1.出栏表'!F:F)</f>
        <v>8.9344135401683094</v>
      </c>
    </row>
    <row r="161" spans="1:10" ht="15" x14ac:dyDescent="0.3">
      <c r="A161" t="str">
        <f t="shared" si="4"/>
        <v>内蒙古46136</v>
      </c>
      <c r="B161" t="s">
        <v>152</v>
      </c>
      <c r="C161" t="s">
        <v>61</v>
      </c>
      <c r="D161" s="45">
        <v>46136</v>
      </c>
      <c r="F161" s="8">
        <f>SUMIFS(根据产能每天需要鲜销部分!$K:$K,根据产能每天需要鲜销部分!$B:$B,$B161,根据产能每天需要鲜销部分!$G:$G,$C161)</f>
        <v>4501.3891295674603</v>
      </c>
      <c r="G161">
        <f>_xlfn.XLOOKUP($C161,价格系数辅助表!$C:$C,价格系数辅助表!$E:$E)</f>
        <v>5.2234050059701297E-2</v>
      </c>
      <c r="H161">
        <f t="shared" si="5"/>
        <v>0.46668060411122497</v>
      </c>
      <c r="I161" t="str">
        <f>_xlfn.XLOOKUP(B161,'3.屠宰能力表'!B:B,'3.屠宰能力表'!D:D)</f>
        <v>内蒙古</v>
      </c>
      <c r="J161">
        <f>_xlfn.XLOOKUP(A161,'1.出栏表'!A:A,'1.出栏表'!F:F)</f>
        <v>8.9344135401683094</v>
      </c>
    </row>
    <row r="162" spans="1:10" ht="15" x14ac:dyDescent="0.3">
      <c r="A162" t="str">
        <f t="shared" si="4"/>
        <v>内蒙古46136</v>
      </c>
      <c r="B162" t="s">
        <v>152</v>
      </c>
      <c r="C162" t="s">
        <v>62</v>
      </c>
      <c r="D162" s="45">
        <v>46136</v>
      </c>
      <c r="F162" s="8">
        <f>SUMIFS(根据产能每天需要鲜销部分!$K:$K,根据产能每天需要鲜销部分!$B:$B,$B162,根据产能每天需要鲜销部分!$G:$G,$C162)</f>
        <v>4220.0523089694998</v>
      </c>
      <c r="G162">
        <f>_xlfn.XLOOKUP($C162,价格系数辅助表!$C:$C,价格系数辅助表!$E:$E)</f>
        <v>0.27335161219757498</v>
      </c>
      <c r="H162">
        <f t="shared" si="5"/>
        <v>2.4422363452448499</v>
      </c>
      <c r="I162" t="str">
        <f>_xlfn.XLOOKUP(B162,'3.屠宰能力表'!B:B,'3.屠宰能力表'!D:D)</f>
        <v>内蒙古</v>
      </c>
      <c r="J162">
        <f>_xlfn.XLOOKUP(A162,'1.出栏表'!A:A,'1.出栏表'!F:F)</f>
        <v>8.9344135401683094</v>
      </c>
    </row>
    <row r="163" spans="1:10" ht="15" x14ac:dyDescent="0.3">
      <c r="A163" t="str">
        <f t="shared" si="4"/>
        <v>内蒙古46136</v>
      </c>
      <c r="B163" t="s">
        <v>152</v>
      </c>
      <c r="C163" t="s">
        <v>63</v>
      </c>
      <c r="D163" s="45">
        <v>46136</v>
      </c>
      <c r="F163" s="8">
        <f>SUMIFS(根据产能每天需要鲜销部分!$K:$K,根据产能每天需要鲜销部分!$B:$B,$B163,根据产能每天需要鲜销部分!$G:$G,$C163)</f>
        <v>3543.3629750827099</v>
      </c>
      <c r="G163">
        <f>_xlfn.XLOOKUP($C163,价格系数辅助表!$C:$C,价格系数辅助表!$E:$E)</f>
        <v>0.25083638292710098</v>
      </c>
      <c r="H163">
        <f t="shared" si="5"/>
        <v>2.2410759759907299</v>
      </c>
      <c r="I163" t="str">
        <f>_xlfn.XLOOKUP(B163,'3.屠宰能力表'!B:B,'3.屠宰能力表'!D:D)</f>
        <v>内蒙古</v>
      </c>
      <c r="J163">
        <f>_xlfn.XLOOKUP(A163,'1.出栏表'!A:A,'1.出栏表'!F:F)</f>
        <v>8.9344135401683094</v>
      </c>
    </row>
    <row r="164" spans="1:10" ht="15" x14ac:dyDescent="0.3">
      <c r="A164" t="str">
        <f t="shared" si="4"/>
        <v>内蒙古46136</v>
      </c>
      <c r="B164" t="s">
        <v>152</v>
      </c>
      <c r="C164" t="s">
        <v>64</v>
      </c>
      <c r="D164" s="45">
        <v>46136</v>
      </c>
      <c r="F164" s="8">
        <f>SUMIFS(根据产能每天需要鲜销部分!$K:$K,根据产能每天需要鲜销部分!$B:$B,$B164,根据产能每天需要鲜销部分!$G:$G,$C164)</f>
        <v>612.81287655002495</v>
      </c>
      <c r="G164">
        <f>_xlfn.XLOOKUP($C164,价格系数辅助表!$C:$C,价格系数辅助表!$E:$E)</f>
        <v>0.87755384758256405</v>
      </c>
      <c r="H164">
        <f t="shared" si="5"/>
        <v>7.8404289780684602</v>
      </c>
      <c r="I164" t="str">
        <f>_xlfn.XLOOKUP(B164,'3.屠宰能力表'!B:B,'3.屠宰能力表'!D:D)</f>
        <v>内蒙古</v>
      </c>
      <c r="J164">
        <f>_xlfn.XLOOKUP(A164,'1.出栏表'!A:A,'1.出栏表'!F:F)</f>
        <v>8.9344135401683094</v>
      </c>
    </row>
    <row r="165" spans="1:10" ht="15" x14ac:dyDescent="0.3">
      <c r="A165" t="str">
        <f t="shared" si="4"/>
        <v>内蒙古46136</v>
      </c>
      <c r="B165" t="s">
        <v>152</v>
      </c>
      <c r="C165" t="s">
        <v>65</v>
      </c>
      <c r="D165" s="45">
        <v>46136</v>
      </c>
      <c r="F165" s="8">
        <f>SUMIFS(根据产能每天需要鲜销部分!$K:$K,根据产能每天需要鲜销部分!$B:$B,$B165,根据产能每天需要鲜销部分!$G:$G,$C165)</f>
        <v>278.55130752273902</v>
      </c>
      <c r="G165">
        <f>_xlfn.XLOOKUP($C165,价格系数辅助表!$C:$C,价格系数辅助表!$E:$E)</f>
        <v>1.02785250036373</v>
      </c>
      <c r="H165">
        <f t="shared" si="5"/>
        <v>9.1832592965456001</v>
      </c>
      <c r="I165" t="str">
        <f>_xlfn.XLOOKUP(B165,'3.屠宰能力表'!B:B,'3.屠宰能力表'!D:D)</f>
        <v>内蒙古</v>
      </c>
      <c r="J165">
        <f>_xlfn.XLOOKUP(A165,'1.出栏表'!A:A,'1.出栏表'!F:F)</f>
        <v>8.9344135401683094</v>
      </c>
    </row>
    <row r="166" spans="1:10" ht="15" x14ac:dyDescent="0.3">
      <c r="A166" t="str">
        <f t="shared" si="4"/>
        <v>内蒙古46136</v>
      </c>
      <c r="B166" t="s">
        <v>152</v>
      </c>
      <c r="C166" t="s">
        <v>66</v>
      </c>
      <c r="D166" s="45">
        <v>46136</v>
      </c>
      <c r="F166" s="8">
        <f>SUMIFS(根据产能每天需要鲜销部分!$K:$K,根据产能每天需要鲜销部分!$B:$B,$B166,根据产能每天需要鲜销部分!$G:$G,$C166)</f>
        <v>984.67887209288301</v>
      </c>
      <c r="G166">
        <f>_xlfn.XLOOKUP($C166,价格系数辅助表!$C:$C,价格系数辅助表!$E:$E)</f>
        <v>0.29390609194172401</v>
      </c>
      <c r="H166">
        <f t="shared" si="5"/>
        <v>2.6258785673820899</v>
      </c>
      <c r="I166" t="str">
        <f>_xlfn.XLOOKUP(B166,'3.屠宰能力表'!B:B,'3.屠宰能力表'!D:D)</f>
        <v>内蒙古</v>
      </c>
      <c r="J166">
        <f>_xlfn.XLOOKUP(A166,'1.出栏表'!A:A,'1.出栏表'!F:F)</f>
        <v>8.9344135401683094</v>
      </c>
    </row>
    <row r="167" spans="1:10" ht="15" x14ac:dyDescent="0.3">
      <c r="A167" t="str">
        <f t="shared" si="4"/>
        <v>内蒙古46136</v>
      </c>
      <c r="B167" t="s">
        <v>152</v>
      </c>
      <c r="C167" t="s">
        <v>67</v>
      </c>
      <c r="D167" s="45">
        <v>46136</v>
      </c>
      <c r="F167" s="8">
        <f>SUMIFS(根据产能每天需要鲜销部分!$K:$K,根据产能每天需要鲜销部分!$B:$B,$B167,根据产能每天需要鲜销部分!$G:$G,$C167)</f>
        <v>11520</v>
      </c>
      <c r="G167">
        <f>_xlfn.XLOOKUP($C167,价格系数辅助表!$C:$C,价格系数辅助表!$E:$E)</f>
        <v>8.7444985304843598E-2</v>
      </c>
      <c r="H167">
        <f t="shared" si="5"/>
        <v>0.781269660727413</v>
      </c>
      <c r="I167" t="str">
        <f>_xlfn.XLOOKUP(B167,'3.屠宰能力表'!B:B,'3.屠宰能力表'!D:D)</f>
        <v>内蒙古</v>
      </c>
      <c r="J167">
        <f>_xlfn.XLOOKUP(A167,'1.出栏表'!A:A,'1.出栏表'!F:F)</f>
        <v>8.9344135401683094</v>
      </c>
    </row>
    <row r="168" spans="1:10" ht="15" x14ac:dyDescent="0.3">
      <c r="A168" t="str">
        <f t="shared" si="4"/>
        <v>内蒙古46136</v>
      </c>
      <c r="B168" t="s">
        <v>152</v>
      </c>
      <c r="C168" t="s">
        <v>56</v>
      </c>
      <c r="D168" s="45">
        <v>46136</v>
      </c>
      <c r="F168" s="8">
        <f>SUMIFS(根据产能每天需要鲜销部分!$K:$K,根据产能每天需要鲜销部分!$B:$B,$B168,根据产能每天需要鲜销部分!$G:$G,$C168)</f>
        <v>631.57236097916496</v>
      </c>
      <c r="G168">
        <f>_xlfn.XLOOKUP($C168,价格系数辅助表!$C:$C,价格系数辅助表!$E:$E)</f>
        <v>0.56179466940109002</v>
      </c>
      <c r="H168">
        <f t="shared" si="5"/>
        <v>5.01930590109147</v>
      </c>
      <c r="I168" t="str">
        <f>_xlfn.XLOOKUP(B168,'3.屠宰能力表'!B:B,'3.屠宰能力表'!D:D)</f>
        <v>内蒙古</v>
      </c>
      <c r="J168">
        <f>_xlfn.XLOOKUP(A168,'1.出栏表'!A:A,'1.出栏表'!F:F)</f>
        <v>8.9344135401683094</v>
      </c>
    </row>
    <row r="169" spans="1:10" ht="15" x14ac:dyDescent="0.3">
      <c r="A169" t="str">
        <f t="shared" si="4"/>
        <v>内蒙古46136</v>
      </c>
      <c r="B169" t="s">
        <v>152</v>
      </c>
      <c r="C169" t="s">
        <v>45</v>
      </c>
      <c r="D169" s="45">
        <v>46136</v>
      </c>
      <c r="F169" s="8">
        <f>SUMIFS(根据产能每天需要鲜销部分!$K:$K,根据产能每天需要鲜销部分!$B:$B,$B169,根据产能每天需要鲜销部分!$G:$G,$C169)</f>
        <v>625.66393193001204</v>
      </c>
      <c r="G169">
        <f>_xlfn.XLOOKUP($C169,价格系数辅助表!$C:$C,价格系数辅助表!$E:$E)</f>
        <v>2.1733017987485002</v>
      </c>
      <c r="H169">
        <f t="shared" si="5"/>
        <v>19.417177017610701</v>
      </c>
      <c r="I169" t="str">
        <f>_xlfn.XLOOKUP(B169,'3.屠宰能力表'!B:B,'3.屠宰能力表'!D:D)</f>
        <v>内蒙古</v>
      </c>
      <c r="J169">
        <f>_xlfn.XLOOKUP(A169,'1.出栏表'!A:A,'1.出栏表'!F:F)</f>
        <v>8.9344135401683094</v>
      </c>
    </row>
    <row r="170" spans="1:10" ht="15" x14ac:dyDescent="0.3">
      <c r="A170" t="str">
        <f t="shared" si="4"/>
        <v>内蒙古46136</v>
      </c>
      <c r="B170" t="s">
        <v>152</v>
      </c>
      <c r="C170" t="s">
        <v>68</v>
      </c>
      <c r="D170" s="45">
        <v>46136</v>
      </c>
      <c r="F170" s="8">
        <f>SUMIFS(根据产能每天需要鲜销部分!$K:$K,根据产能每天需要鲜销部分!$B:$B,$B170,根据产能每天需要鲜销部分!$G:$G,$C170)</f>
        <v>5611.1812893838796</v>
      </c>
      <c r="G170">
        <f>_xlfn.XLOOKUP($C170,价格系数辅助表!$C:$C,价格系数辅助表!$E:$E)</f>
        <v>2.3363490079598002</v>
      </c>
      <c r="H170">
        <f t="shared" si="5"/>
        <v>20.873908211274799</v>
      </c>
      <c r="I170" t="str">
        <f>_xlfn.XLOOKUP(B170,'3.屠宰能力表'!B:B,'3.屠宰能力表'!D:D)</f>
        <v>内蒙古</v>
      </c>
      <c r="J170">
        <f>_xlfn.XLOOKUP(A170,'1.出栏表'!A:A,'1.出栏表'!F:F)</f>
        <v>8.9344135401683094</v>
      </c>
    </row>
    <row r="171" spans="1:10" ht="15" x14ac:dyDescent="0.3">
      <c r="A171" t="str">
        <f t="shared" si="4"/>
        <v>内蒙古46136</v>
      </c>
      <c r="B171" t="s">
        <v>152</v>
      </c>
      <c r="C171" t="s">
        <v>70</v>
      </c>
      <c r="D171" s="45">
        <v>46136</v>
      </c>
      <c r="F171" s="8">
        <f>SUMIFS(根据产能每天需要鲜销部分!$K:$K,根据产能每天需要鲜销部分!$B:$B,$B171,根据产能每天需要鲜销部分!$G:$G,$C171)</f>
        <v>6632.3039743037398</v>
      </c>
      <c r="G171">
        <f>_xlfn.XLOOKUP($C171,价格系数辅助表!$C:$C,价格系数辅助表!$E:$E)</f>
        <v>1.56138134676664</v>
      </c>
      <c r="H171">
        <f t="shared" si="5"/>
        <v>13.950026645918101</v>
      </c>
      <c r="I171" t="str">
        <f>_xlfn.XLOOKUP(B171,'3.屠宰能力表'!B:B,'3.屠宰能力表'!D:D)</f>
        <v>内蒙古</v>
      </c>
      <c r="J171">
        <f>_xlfn.XLOOKUP(A171,'1.出栏表'!A:A,'1.出栏表'!F:F)</f>
        <v>8.9344135401683094</v>
      </c>
    </row>
    <row r="172" spans="1:10" ht="15" x14ac:dyDescent="0.3">
      <c r="A172" t="str">
        <f t="shared" si="4"/>
        <v>内蒙古46136</v>
      </c>
      <c r="B172" t="s">
        <v>152</v>
      </c>
      <c r="C172" t="s">
        <v>71</v>
      </c>
      <c r="D172" s="45">
        <v>46136</v>
      </c>
      <c r="F172" s="8">
        <f>SUMIFS(根据产能每天需要鲜销部分!$K:$K,根据产能每天需要鲜销部分!$B:$B,$B172,根据产能每天需要鲜销部分!$G:$G,$C172)</f>
        <v>980.833209497908</v>
      </c>
      <c r="G172">
        <f>_xlfn.XLOOKUP($C172,价格系数辅助表!$C:$C,价格系数辅助表!$E:$E)</f>
        <v>4.1323214054635997</v>
      </c>
      <c r="H172">
        <f t="shared" si="5"/>
        <v>36.919868317301301</v>
      </c>
      <c r="I172" t="str">
        <f>_xlfn.XLOOKUP(B172,'3.屠宰能力表'!B:B,'3.屠宰能力表'!D:D)</f>
        <v>内蒙古</v>
      </c>
      <c r="J172">
        <f>_xlfn.XLOOKUP(A172,'1.出栏表'!A:A,'1.出栏表'!F:F)</f>
        <v>8.9344135401683094</v>
      </c>
    </row>
    <row r="173" spans="1:10" ht="15" x14ac:dyDescent="0.3">
      <c r="A173" t="str">
        <f t="shared" si="4"/>
        <v>内蒙古46136</v>
      </c>
      <c r="B173" t="s">
        <v>152</v>
      </c>
      <c r="C173" t="s">
        <v>72</v>
      </c>
      <c r="D173" s="45">
        <v>46136</v>
      </c>
      <c r="F173" s="8">
        <f>SUMIFS(根据产能每天需要鲜销部分!$K:$K,根据产能每天需要鲜销部分!$B:$B,$B173,根据产能每天需要鲜销部分!$G:$G,$C173)</f>
        <v>5572.0318250625596</v>
      </c>
      <c r="G173">
        <f>_xlfn.XLOOKUP($C173,价格系数辅助表!$C:$C,价格系数辅助表!$E:$E)</f>
        <v>2.4066238998277001</v>
      </c>
      <c r="H173">
        <f t="shared" si="5"/>
        <v>21.501773156713298</v>
      </c>
      <c r="I173" t="str">
        <f>_xlfn.XLOOKUP(B173,'3.屠宰能力表'!B:B,'3.屠宰能力表'!D:D)</f>
        <v>内蒙古</v>
      </c>
      <c r="J173">
        <f>_xlfn.XLOOKUP(A173,'1.出栏表'!A:A,'1.出栏表'!F:F)</f>
        <v>8.9344135401683094</v>
      </c>
    </row>
    <row r="174" spans="1:10" ht="15" x14ac:dyDescent="0.3">
      <c r="A174" t="str">
        <f t="shared" si="4"/>
        <v>内蒙古46136</v>
      </c>
      <c r="B174" t="s">
        <v>152</v>
      </c>
      <c r="C174" t="s">
        <v>76</v>
      </c>
      <c r="D174" s="45">
        <v>46136</v>
      </c>
      <c r="F174" s="8">
        <f>SUMIFS(根据产能每天需要鲜销部分!$K:$K,根据产能每天需要鲜销部分!$B:$B,$B174,根据产能每天需要鲜销部分!$G:$G,$C174)</f>
        <v>9946.76837277917</v>
      </c>
      <c r="G174">
        <f>_xlfn.XLOOKUP($C174,价格系数辅助表!$C:$C,价格系数辅助表!$E:$E)</f>
        <v>1.4895071246315399</v>
      </c>
      <c r="H174">
        <f t="shared" si="5"/>
        <v>13.307872622485201</v>
      </c>
      <c r="I174" t="str">
        <f>_xlfn.XLOOKUP(B174,'3.屠宰能力表'!B:B,'3.屠宰能力表'!D:D)</f>
        <v>内蒙古</v>
      </c>
      <c r="J174">
        <f>_xlfn.XLOOKUP(A174,'1.出栏表'!A:A,'1.出栏表'!F:F)</f>
        <v>8.9344135401683094</v>
      </c>
    </row>
    <row r="175" spans="1:10" ht="15" x14ac:dyDescent="0.3">
      <c r="A175" t="str">
        <f t="shared" si="4"/>
        <v>内蒙古46136</v>
      </c>
      <c r="B175" t="s">
        <v>152</v>
      </c>
      <c r="C175" t="s">
        <v>77</v>
      </c>
      <c r="D175" s="45">
        <v>46136</v>
      </c>
      <c r="F175" s="8">
        <f>SUMIFS(根据产能每天需要鲜销部分!$K:$K,根据产能每天需要鲜销部分!$B:$B,$B175,根据产能每天需要鲜销部分!$G:$G,$C175)</f>
        <v>666.41784488130702</v>
      </c>
      <c r="G175">
        <f>_xlfn.XLOOKUP($C175,价格系数辅助表!$C:$C,价格系数辅助表!$E:$E)</f>
        <v>1.4766526372111499</v>
      </c>
      <c r="H175">
        <f t="shared" si="5"/>
        <v>13.193025316024499</v>
      </c>
      <c r="I175" t="str">
        <f>_xlfn.XLOOKUP(B175,'3.屠宰能力表'!B:B,'3.屠宰能力表'!D:D)</f>
        <v>内蒙古</v>
      </c>
      <c r="J175">
        <f>_xlfn.XLOOKUP(A175,'1.出栏表'!A:A,'1.出栏表'!F:F)</f>
        <v>8.9344135401683094</v>
      </c>
    </row>
    <row r="176" spans="1:10" ht="15" x14ac:dyDescent="0.3">
      <c r="A176" t="str">
        <f t="shared" si="4"/>
        <v>内蒙古46136</v>
      </c>
      <c r="B176" t="s">
        <v>152</v>
      </c>
      <c r="C176" t="s">
        <v>78</v>
      </c>
      <c r="D176" s="45">
        <v>46136</v>
      </c>
      <c r="F176" s="8">
        <f>SUMIFS(根据产能每天需要鲜销部分!$K:$K,根据产能每天需要鲜销部分!$B:$B,$B176,根据产能每天需要鲜销部分!$G:$G,$C176)</f>
        <v>940.56692923994797</v>
      </c>
      <c r="G176">
        <f>_xlfn.XLOOKUP($C176,价格系数辅助表!$C:$C,价格系数辅助表!$E:$E)</f>
        <v>1.2663755864959301</v>
      </c>
      <c r="H176">
        <f t="shared" si="5"/>
        <v>11.314323186927799</v>
      </c>
      <c r="I176" t="str">
        <f>_xlfn.XLOOKUP(B176,'3.屠宰能力表'!B:B,'3.屠宰能力表'!D:D)</f>
        <v>内蒙古</v>
      </c>
      <c r="J176">
        <f>_xlfn.XLOOKUP(A176,'1.出栏表'!A:A,'1.出栏表'!F:F)</f>
        <v>8.9344135401683094</v>
      </c>
    </row>
    <row r="177" spans="1:10" ht="15" x14ac:dyDescent="0.3">
      <c r="A177" t="str">
        <f t="shared" si="4"/>
        <v>内蒙古46136</v>
      </c>
      <c r="B177" t="s">
        <v>152</v>
      </c>
      <c r="C177" t="s">
        <v>79</v>
      </c>
      <c r="D177" s="45">
        <v>46136</v>
      </c>
      <c r="F177" s="8">
        <f>SUMIFS(根据产能每天需要鲜销部分!$K:$K,根据产能每天需要鲜销部分!$B:$B,$B177,根据产能每天需要鲜销部分!$G:$G,$C177)</f>
        <v>2094.5924433898499</v>
      </c>
      <c r="G177">
        <f>_xlfn.XLOOKUP($C177,价格系数辅助表!$C:$C,价格系数辅助表!$E:$E)</f>
        <v>0.88455097651113601</v>
      </c>
      <c r="H177">
        <f t="shared" si="5"/>
        <v>7.9029442215101904</v>
      </c>
      <c r="I177" t="str">
        <f>_xlfn.XLOOKUP(B177,'3.屠宰能力表'!B:B,'3.屠宰能力表'!D:D)</f>
        <v>内蒙古</v>
      </c>
      <c r="J177">
        <f>_xlfn.XLOOKUP(A177,'1.出栏表'!A:A,'1.出栏表'!F:F)</f>
        <v>8.9344135401683094</v>
      </c>
    </row>
    <row r="178" spans="1:10" ht="15" x14ac:dyDescent="0.3">
      <c r="A178" t="str">
        <f t="shared" si="4"/>
        <v>内蒙古46136</v>
      </c>
      <c r="B178" t="s">
        <v>152</v>
      </c>
      <c r="C178" t="s">
        <v>80</v>
      </c>
      <c r="D178" s="45">
        <v>46136</v>
      </c>
      <c r="F178" s="8">
        <f>SUMIFS(根据产能每天需要鲜销部分!$K:$K,根据产能每天需要鲜销部分!$B:$B,$B178,根据产能每天需要鲜销部分!$G:$G,$C178)</f>
        <v>2499.18495063519</v>
      </c>
      <c r="G178">
        <f>_xlfn.XLOOKUP($C178,价格系数辅助表!$C:$C,价格系数辅助表!$E:$E)</f>
        <v>0.81656825090915597</v>
      </c>
      <c r="H178">
        <f t="shared" si="5"/>
        <v>7.2955584373943196</v>
      </c>
      <c r="I178" t="str">
        <f>_xlfn.XLOOKUP(B178,'3.屠宰能力表'!B:B,'3.屠宰能力表'!D:D)</f>
        <v>内蒙古</v>
      </c>
      <c r="J178">
        <f>_xlfn.XLOOKUP(A178,'1.出栏表'!A:A,'1.出栏表'!F:F)</f>
        <v>8.9344135401683094</v>
      </c>
    </row>
    <row r="179" spans="1:10" ht="15" x14ac:dyDescent="0.3">
      <c r="A179" t="str">
        <f t="shared" si="4"/>
        <v>内蒙古46136</v>
      </c>
      <c r="B179" t="s">
        <v>152</v>
      </c>
      <c r="C179" t="s">
        <v>81</v>
      </c>
      <c r="D179" s="45">
        <v>46136</v>
      </c>
      <c r="F179" s="8">
        <f>SUMIFS(根据产能每天需要鲜销部分!$K:$K,根据产能每天需要鲜销部分!$B:$B,$B179,根据产能每天需要鲜销部分!$G:$G,$C179)</f>
        <v>5734.7637092780396</v>
      </c>
      <c r="G179">
        <f>_xlfn.XLOOKUP($C179,价格系数辅助表!$C:$C,价格系数辅助表!$E:$E)</f>
        <v>1.1259651927004599</v>
      </c>
      <c r="H179">
        <f t="shared" si="5"/>
        <v>10.0598386634212</v>
      </c>
      <c r="I179" t="str">
        <f>_xlfn.XLOOKUP(B179,'3.屠宰能力表'!B:B,'3.屠宰能力表'!D:D)</f>
        <v>内蒙古</v>
      </c>
      <c r="J179">
        <f>_xlfn.XLOOKUP(A179,'1.出栏表'!A:A,'1.出栏表'!F:F)</f>
        <v>8.9344135401683094</v>
      </c>
    </row>
    <row r="180" spans="1:10" ht="15" x14ac:dyDescent="0.3">
      <c r="A180" t="str">
        <f t="shared" si="4"/>
        <v>内蒙古46136</v>
      </c>
      <c r="B180" t="s">
        <v>152</v>
      </c>
      <c r="C180" t="s">
        <v>82</v>
      </c>
      <c r="D180" s="45">
        <v>46136</v>
      </c>
      <c r="F180" s="8">
        <f>SUMIFS(根据产能每天需要鲜销部分!$K:$K,根据产能每天需要鲜销部分!$B:$B,$B180,根据产能每天需要鲜销部分!$G:$G,$C180)</f>
        <v>449.77434468688102</v>
      </c>
      <c r="G180">
        <f>_xlfn.XLOOKUP($C180,价格系数辅助表!$C:$C,价格系数辅助表!$E:$E)</f>
        <v>1.02591469638818</v>
      </c>
      <c r="H180">
        <f t="shared" si="5"/>
        <v>9.1659461544681804</v>
      </c>
      <c r="I180" t="str">
        <f>_xlfn.XLOOKUP(B180,'3.屠宰能力表'!B:B,'3.屠宰能力表'!D:D)</f>
        <v>内蒙古</v>
      </c>
      <c r="J180">
        <f>_xlfn.XLOOKUP(A180,'1.出栏表'!A:A,'1.出栏表'!F:F)</f>
        <v>8.9344135401683094</v>
      </c>
    </row>
    <row r="181" spans="1:10" ht="15" x14ac:dyDescent="0.3">
      <c r="A181" t="str">
        <f t="shared" si="4"/>
        <v>内蒙古46136</v>
      </c>
      <c r="B181" t="s">
        <v>152</v>
      </c>
      <c r="C181" t="s">
        <v>83</v>
      </c>
      <c r="D181" s="45">
        <v>46136</v>
      </c>
      <c r="F181" s="8">
        <f>SUMIFS(根据产能每天需要鲜销部分!$K:$K,根据产能每天需要鲜销部分!$B:$B,$B181,根据产能每天需要鲜销部分!$G:$G,$C181)</f>
        <v>1386.74286895002</v>
      </c>
      <c r="G181">
        <f>_xlfn.XLOOKUP($C181,价格系数辅助表!$C:$C,价格系数辅助表!$E:$E)</f>
        <v>0.922604514711862</v>
      </c>
      <c r="H181">
        <f t="shared" si="5"/>
        <v>8.2429302684620698</v>
      </c>
      <c r="I181" t="str">
        <f>_xlfn.XLOOKUP(B181,'3.屠宰能力表'!B:B,'3.屠宰能力表'!D:D)</f>
        <v>内蒙古</v>
      </c>
      <c r="J181">
        <f>_xlfn.XLOOKUP(A181,'1.出栏表'!A:A,'1.出栏表'!F:F)</f>
        <v>8.9344135401683094</v>
      </c>
    </row>
    <row r="182" spans="1:10" ht="15" x14ac:dyDescent="0.3">
      <c r="A182" t="str">
        <f t="shared" si="4"/>
        <v>内蒙古46136</v>
      </c>
      <c r="B182" t="s">
        <v>152</v>
      </c>
      <c r="C182" t="s">
        <v>84</v>
      </c>
      <c r="D182" s="45">
        <v>46136</v>
      </c>
      <c r="F182" s="8">
        <f>SUMIFS(根据产能每天需要鲜销部分!$K:$K,根据产能每天需要鲜销部分!$B:$B,$B182,根据产能每天需要鲜销部分!$G:$G,$C182)</f>
        <v>4510.7240572440396</v>
      </c>
      <c r="G182">
        <f>_xlfn.XLOOKUP($C182,价格系数辅助表!$C:$C,价格系数辅助表!$E:$E)</f>
        <v>0.926679482358305</v>
      </c>
      <c r="H182">
        <f t="shared" si="5"/>
        <v>8.2793377145781992</v>
      </c>
      <c r="I182" t="str">
        <f>_xlfn.XLOOKUP(B182,'3.屠宰能力表'!B:B,'3.屠宰能力表'!D:D)</f>
        <v>内蒙古</v>
      </c>
      <c r="J182">
        <f>_xlfn.XLOOKUP(A182,'1.出栏表'!A:A,'1.出栏表'!F:F)</f>
        <v>8.9344135401683094</v>
      </c>
    </row>
    <row r="183" spans="1:10" ht="15" x14ac:dyDescent="0.3">
      <c r="A183" t="str">
        <f t="shared" si="4"/>
        <v>内蒙古46136</v>
      </c>
      <c r="B183" t="s">
        <v>152</v>
      </c>
      <c r="C183" t="s">
        <v>85</v>
      </c>
      <c r="D183" s="45">
        <v>46136</v>
      </c>
      <c r="F183" s="8">
        <f>SUMIFS(根据产能每天需要鲜销部分!$K:$K,根据产能每天需要鲜销部分!$B:$B,$B183,根据产能每天需要鲜销部分!$G:$G,$C183)</f>
        <v>1889.6276456022199</v>
      </c>
      <c r="G183">
        <f>_xlfn.XLOOKUP($C183,价格系数辅助表!$C:$C,价格系数辅助表!$E:$E)</f>
        <v>1.1521636001823701</v>
      </c>
      <c r="H183">
        <f t="shared" si="5"/>
        <v>10.293906069958499</v>
      </c>
      <c r="I183" t="str">
        <f>_xlfn.XLOOKUP(B183,'3.屠宰能力表'!B:B,'3.屠宰能力表'!D:D)</f>
        <v>内蒙古</v>
      </c>
      <c r="J183">
        <f>_xlfn.XLOOKUP(A183,'1.出栏表'!A:A,'1.出栏表'!F:F)</f>
        <v>8.9344135401683094</v>
      </c>
    </row>
    <row r="184" spans="1:10" ht="15" x14ac:dyDescent="0.3">
      <c r="A184" t="str">
        <f t="shared" si="4"/>
        <v>内蒙古46136</v>
      </c>
      <c r="B184" t="s">
        <v>152</v>
      </c>
      <c r="C184" t="s">
        <v>86</v>
      </c>
      <c r="D184" s="45">
        <v>46136</v>
      </c>
      <c r="F184" s="8">
        <f>SUMIFS(根据产能每天需要鲜销部分!$K:$K,根据产能每天需要鲜销部分!$B:$B,$B184,根据产能每天需要鲜销部分!$G:$G,$C184)</f>
        <v>1341.0260710725499</v>
      </c>
      <c r="G184">
        <f>_xlfn.XLOOKUP($C184,价格系数辅助表!$C:$C,价格系数辅助表!$E:$E)</f>
        <v>1.0074710773803</v>
      </c>
      <c r="H184">
        <f t="shared" si="5"/>
        <v>9.0011632350745003</v>
      </c>
      <c r="I184" t="str">
        <f>_xlfn.XLOOKUP(B184,'3.屠宰能力表'!B:B,'3.屠宰能力表'!D:D)</f>
        <v>内蒙古</v>
      </c>
      <c r="J184">
        <f>_xlfn.XLOOKUP(A184,'1.出栏表'!A:A,'1.出栏表'!F:F)</f>
        <v>8.9344135401683094</v>
      </c>
    </row>
    <row r="185" spans="1:10" ht="15" x14ac:dyDescent="0.3">
      <c r="A185" t="str">
        <f t="shared" si="4"/>
        <v>内蒙古46136</v>
      </c>
      <c r="B185" t="s">
        <v>152</v>
      </c>
      <c r="C185" t="s">
        <v>87</v>
      </c>
      <c r="D185" s="45">
        <v>46136</v>
      </c>
      <c r="F185" s="8">
        <f>SUMIFS(根据产能每天需要鲜销部分!$K:$K,根据产能每天需要鲜销部分!$B:$B,$B185,根据产能每天需要鲜销部分!$G:$G,$C185)</f>
        <v>426.69011352308502</v>
      </c>
      <c r="G185">
        <f>_xlfn.XLOOKUP($C185,价格系数辅助表!$C:$C,价格系数辅助表!$E:$E)</f>
        <v>0.72970400715709505</v>
      </c>
      <c r="H185">
        <f t="shared" si="5"/>
        <v>6.51947736185942</v>
      </c>
      <c r="I185" t="str">
        <f>_xlfn.XLOOKUP(B185,'3.屠宰能力表'!B:B,'3.屠宰能力表'!D:D)</f>
        <v>内蒙古</v>
      </c>
      <c r="J185">
        <f>_xlfn.XLOOKUP(A185,'1.出栏表'!A:A,'1.出栏表'!F:F)</f>
        <v>8.9344135401683094</v>
      </c>
    </row>
    <row r="186" spans="1:10" ht="15" x14ac:dyDescent="0.3">
      <c r="A186" t="str">
        <f t="shared" si="4"/>
        <v>内蒙古46136</v>
      </c>
      <c r="B186" t="s">
        <v>152</v>
      </c>
      <c r="C186" t="s">
        <v>88</v>
      </c>
      <c r="D186" s="45">
        <v>46136</v>
      </c>
      <c r="F186" s="8">
        <f>SUMIFS(根据产能每天需要鲜销部分!$K:$K,根据产能每天需要鲜销部分!$B:$B,$B186,根据产能每天需要鲜销部分!$G:$G,$C186)</f>
        <v>304.90825888406999</v>
      </c>
      <c r="G186">
        <f>_xlfn.XLOOKUP($C186,价格系数辅助表!$C:$C,价格系数辅助表!$E:$E)</f>
        <v>2.7560630433134201</v>
      </c>
      <c r="H186">
        <f t="shared" si="5"/>
        <v>24.623806971736901</v>
      </c>
      <c r="I186" t="str">
        <f>_xlfn.XLOOKUP(B186,'3.屠宰能力表'!B:B,'3.屠宰能力表'!D:D)</f>
        <v>内蒙古</v>
      </c>
      <c r="J186">
        <f>_xlfn.XLOOKUP(A186,'1.出栏表'!A:A,'1.出栏表'!F:F)</f>
        <v>8.9344135401683094</v>
      </c>
    </row>
    <row r="187" spans="1:10" ht="15" x14ac:dyDescent="0.3">
      <c r="A187" t="str">
        <f t="shared" si="4"/>
        <v>内蒙古46136</v>
      </c>
      <c r="B187" t="s">
        <v>152</v>
      </c>
      <c r="C187" t="s">
        <v>89</v>
      </c>
      <c r="D187" s="45">
        <v>46136</v>
      </c>
      <c r="F187" s="8">
        <f>SUMIFS(根据产能每天需要鲜销部分!$K:$K,根据产能每天需要鲜销部分!$B:$B,$B187,根据产能每天需要鲜销部分!$G:$G,$C187)</f>
        <v>352.46336081115101</v>
      </c>
      <c r="G187">
        <f>_xlfn.XLOOKUP($C187,价格系数辅助表!$C:$C,价格系数辅助表!$E:$E)</f>
        <v>1.1853684696925</v>
      </c>
      <c r="H187">
        <f t="shared" si="5"/>
        <v>10.590572105709199</v>
      </c>
      <c r="I187" t="str">
        <f>_xlfn.XLOOKUP(B187,'3.屠宰能力表'!B:B,'3.屠宰能力表'!D:D)</f>
        <v>内蒙古</v>
      </c>
      <c r="J187">
        <f>_xlfn.XLOOKUP(A187,'1.出栏表'!A:A,'1.出栏表'!F:F)</f>
        <v>8.9344135401683094</v>
      </c>
    </row>
    <row r="188" spans="1:10" ht="15" x14ac:dyDescent="0.3">
      <c r="A188" t="str">
        <f t="shared" si="4"/>
        <v>内蒙古46136</v>
      </c>
      <c r="B188" t="s">
        <v>152</v>
      </c>
      <c r="C188" t="s">
        <v>90</v>
      </c>
      <c r="D188" s="45">
        <v>46136</v>
      </c>
      <c r="F188" s="8">
        <f>SUMIFS(根据产能每天需要鲜销部分!$K:$K,根据产能每天需要鲜销部分!$B:$B,$B188,根据产能每天需要鲜销部分!$G:$G,$C188)</f>
        <v>976.33600258253102</v>
      </c>
      <c r="G188">
        <f>_xlfn.XLOOKUP($C188,价格系数辅助表!$C:$C,价格系数辅助表!$E:$E)</f>
        <v>0.74904414201499503</v>
      </c>
      <c r="H188">
        <f t="shared" si="5"/>
        <v>6.69227012460252</v>
      </c>
      <c r="I188" t="str">
        <f>_xlfn.XLOOKUP(B188,'3.屠宰能力表'!B:B,'3.屠宰能力表'!D:D)</f>
        <v>内蒙古</v>
      </c>
      <c r="J188">
        <f>_xlfn.XLOOKUP(A188,'1.出栏表'!A:A,'1.出栏表'!F:F)</f>
        <v>8.9344135401683094</v>
      </c>
    </row>
    <row r="189" spans="1:10" ht="15" x14ac:dyDescent="0.3">
      <c r="A189" t="str">
        <f t="shared" si="4"/>
        <v>内蒙古46136</v>
      </c>
      <c r="B189" t="s">
        <v>152</v>
      </c>
      <c r="C189" t="s">
        <v>91</v>
      </c>
      <c r="D189" s="45">
        <v>46136</v>
      </c>
      <c r="F189" s="8">
        <f>SUMIFS(根据产能每天需要鲜销部分!$K:$K,根据产能每天需要鲜销部分!$B:$B,$B189,根据产能每天需要鲜销部分!$G:$G,$C189)</f>
        <v>738.92868022800894</v>
      </c>
      <c r="G189">
        <f>_xlfn.XLOOKUP($C189,价格系数辅助表!$C:$C,价格系数辅助表!$E:$E)</f>
        <v>0.62107390938185902</v>
      </c>
      <c r="H189">
        <f t="shared" si="5"/>
        <v>5.5489311454265504</v>
      </c>
      <c r="I189" t="str">
        <f>_xlfn.XLOOKUP(B189,'3.屠宰能力表'!B:B,'3.屠宰能力表'!D:D)</f>
        <v>内蒙古</v>
      </c>
      <c r="J189">
        <f>_xlfn.XLOOKUP(A189,'1.出栏表'!A:A,'1.出栏表'!F:F)</f>
        <v>8.9344135401683094</v>
      </c>
    </row>
    <row r="190" spans="1:10" ht="15" x14ac:dyDescent="0.3">
      <c r="A190" t="str">
        <f t="shared" si="4"/>
        <v>内蒙古46136</v>
      </c>
      <c r="B190" t="s">
        <v>152</v>
      </c>
      <c r="C190" t="s">
        <v>92</v>
      </c>
      <c r="D190" s="45">
        <v>46136</v>
      </c>
      <c r="F190" s="8">
        <f>SUMIFS(根据产能每天需要鲜销部分!$K:$K,根据产能每天需要鲜销部分!$B:$B,$B190,根据产能每天需要鲜销部分!$G:$G,$C190)</f>
        <v>274.30078726483998</v>
      </c>
      <c r="G190">
        <f>_xlfn.XLOOKUP($C190,价格系数辅助表!$C:$C,价格系数辅助表!$E:$E)</f>
        <v>0.24650626139895601</v>
      </c>
      <c r="H190">
        <f t="shared" si="5"/>
        <v>2.2023888795790998</v>
      </c>
      <c r="I190" t="str">
        <f>_xlfn.XLOOKUP(B190,'3.屠宰能力表'!B:B,'3.屠宰能力表'!D:D)</f>
        <v>内蒙古</v>
      </c>
      <c r="J190">
        <f>_xlfn.XLOOKUP(A190,'1.出栏表'!A:A,'1.出栏表'!F:F)</f>
        <v>8.9344135401683094</v>
      </c>
    </row>
    <row r="191" spans="1:10" ht="15" x14ac:dyDescent="0.3">
      <c r="A191" t="str">
        <f t="shared" si="4"/>
        <v>山西46136</v>
      </c>
      <c r="B191" t="s">
        <v>154</v>
      </c>
      <c r="C191" t="s">
        <v>41</v>
      </c>
      <c r="D191" s="45">
        <v>46136</v>
      </c>
      <c r="F191" s="8">
        <f>SUMIFS(根据产能每天需要鲜销部分!$K:$K,根据产能每天需要鲜销部分!$B:$B,$B191,根据产能每天需要鲜销部分!$G:$G,$C191)</f>
        <v>27456</v>
      </c>
      <c r="G191">
        <f>_xlfn.XLOOKUP($C191,价格系数辅助表!$C:$C,价格系数辅助表!$E:$E)</f>
        <v>1.1852119074341301</v>
      </c>
      <c r="H191">
        <f t="shared" si="5"/>
        <v>10.3453282169625</v>
      </c>
      <c r="I191" t="str">
        <f>_xlfn.XLOOKUP(B191,'3.屠宰能力表'!B:B,'3.屠宰能力表'!D:D)</f>
        <v>山西</v>
      </c>
      <c r="J191">
        <f>_xlfn.XLOOKUP(A191,'1.出栏表'!A:A,'1.出栏表'!F:F)</f>
        <v>8.7286738785464308</v>
      </c>
    </row>
    <row r="192" spans="1:10" ht="15" x14ac:dyDescent="0.3">
      <c r="A192" t="str">
        <f t="shared" si="4"/>
        <v>山西46136</v>
      </c>
      <c r="B192" t="s">
        <v>154</v>
      </c>
      <c r="C192" t="s">
        <v>44</v>
      </c>
      <c r="D192" s="45">
        <v>46136</v>
      </c>
      <c r="F192" s="8">
        <f>SUMIFS(根据产能每天需要鲜销部分!$K:$K,根据产能每天需要鲜销部分!$B:$B,$B192,根据产能每天需要鲜销部分!$G:$G,$C192)</f>
        <v>4160.8548172204801</v>
      </c>
      <c r="G192">
        <f>_xlfn.XLOOKUP($C192,价格系数辅助表!$C:$C,价格系数辅助表!$E:$E)</f>
        <v>0.81317166851852996</v>
      </c>
      <c r="H192">
        <f t="shared" si="5"/>
        <v>7.0979103017717096</v>
      </c>
      <c r="I192" t="str">
        <f>_xlfn.XLOOKUP(B192,'3.屠宰能力表'!B:B,'3.屠宰能力表'!D:D)</f>
        <v>山西</v>
      </c>
      <c r="J192">
        <f>_xlfn.XLOOKUP(A192,'1.出栏表'!A:A,'1.出栏表'!F:F)</f>
        <v>8.7286738785464308</v>
      </c>
    </row>
    <row r="193" spans="1:10" ht="15" x14ac:dyDescent="0.3">
      <c r="A193" t="str">
        <f t="shared" si="4"/>
        <v>山西46136</v>
      </c>
      <c r="B193" t="s">
        <v>154</v>
      </c>
      <c r="C193" t="s">
        <v>46</v>
      </c>
      <c r="D193" s="45">
        <v>46136</v>
      </c>
      <c r="F193" s="8">
        <f>SUMIFS(根据产能每天需要鲜销部分!$K:$K,根据产能每天需要鲜销部分!$B:$B,$B193,根据产能每天需要鲜销部分!$G:$G,$C193)</f>
        <v>31.259646733107498</v>
      </c>
      <c r="G193">
        <f>_xlfn.XLOOKUP($C193,价格系数辅助表!$C:$C,价格系数辅助表!$E:$E)</f>
        <v>4.0225512045395799</v>
      </c>
      <c r="H193">
        <f t="shared" si="5"/>
        <v>35.111537624180102</v>
      </c>
      <c r="I193" t="str">
        <f>_xlfn.XLOOKUP(B193,'3.屠宰能力表'!B:B,'3.屠宰能力表'!D:D)</f>
        <v>山西</v>
      </c>
      <c r="J193">
        <f>_xlfn.XLOOKUP(A193,'1.出栏表'!A:A,'1.出栏表'!F:F)</f>
        <v>8.7286738785464308</v>
      </c>
    </row>
    <row r="194" spans="1:10" ht="15" x14ac:dyDescent="0.3">
      <c r="A194" t="str">
        <f t="shared" si="4"/>
        <v>山西46136</v>
      </c>
      <c r="B194" t="s">
        <v>154</v>
      </c>
      <c r="C194" t="s">
        <v>47</v>
      </c>
      <c r="D194" s="45">
        <v>46136</v>
      </c>
      <c r="F194" s="8">
        <f>SUMIFS(根据产能每天需要鲜销部分!$K:$K,根据产能每天需要鲜销部分!$B:$B,$B194,根据产能每天需要鲜销部分!$G:$G,$C194)</f>
        <v>294.07102574745801</v>
      </c>
      <c r="G194">
        <f>_xlfn.XLOOKUP($C194,价格系数辅助表!$C:$C,价格系数辅助表!$E:$E)</f>
        <v>0.84535964262204399</v>
      </c>
      <c r="H194">
        <f t="shared" si="5"/>
        <v>7.3788686305323798</v>
      </c>
      <c r="I194" t="str">
        <f>_xlfn.XLOOKUP(B194,'3.屠宰能力表'!B:B,'3.屠宰能力表'!D:D)</f>
        <v>山西</v>
      </c>
      <c r="J194">
        <f>_xlfn.XLOOKUP(A194,'1.出栏表'!A:A,'1.出栏表'!F:F)</f>
        <v>8.7286738785464308</v>
      </c>
    </row>
    <row r="195" spans="1:10" ht="15" x14ac:dyDescent="0.3">
      <c r="A195" t="str">
        <f t="shared" ref="A195:A258" si="6">I195&amp;D195</f>
        <v>山西46136</v>
      </c>
      <c r="B195" t="s">
        <v>154</v>
      </c>
      <c r="C195" t="s">
        <v>48</v>
      </c>
      <c r="D195" s="45">
        <v>46136</v>
      </c>
      <c r="F195" s="8">
        <f>SUMIFS(根据产能每天需要鲜销部分!$K:$K,根据产能每天需要鲜销部分!$B:$B,$B195,根据产能每天需要鲜销部分!$G:$G,$C195)</f>
        <v>1518.9884847727701</v>
      </c>
      <c r="G195">
        <f>_xlfn.XLOOKUP($C195,价格系数辅助表!$C:$C,价格系数辅助表!$E:$E)</f>
        <v>0.37320475421536098</v>
      </c>
      <c r="H195">
        <f t="shared" ref="H195:H258" si="7">G195*$J195</f>
        <v>3.2575825894689601</v>
      </c>
      <c r="I195" t="str">
        <f>_xlfn.XLOOKUP(B195,'3.屠宰能力表'!B:B,'3.屠宰能力表'!D:D)</f>
        <v>山西</v>
      </c>
      <c r="J195">
        <f>_xlfn.XLOOKUP(A195,'1.出栏表'!A:A,'1.出栏表'!F:F)</f>
        <v>8.7286738785464308</v>
      </c>
    </row>
    <row r="196" spans="1:10" ht="15" x14ac:dyDescent="0.3">
      <c r="A196" t="str">
        <f t="shared" si="6"/>
        <v>山西46136</v>
      </c>
      <c r="B196" t="s">
        <v>154</v>
      </c>
      <c r="C196" t="s">
        <v>49</v>
      </c>
      <c r="D196" s="45">
        <v>46136</v>
      </c>
      <c r="F196" s="8">
        <f>SUMIFS(根据产能每天需要鲜销部分!$K:$K,根据产能每天需要鲜销部分!$B:$B,$B196,根据产能每天需要鲜销部分!$G:$G,$C196)</f>
        <v>296.96664396452002</v>
      </c>
      <c r="G196">
        <f>_xlfn.XLOOKUP($C196,价格系数辅助表!$C:$C,价格系数辅助表!$E:$E)</f>
        <v>1.1550192014842</v>
      </c>
      <c r="H196">
        <f t="shared" si="7"/>
        <v>10.0817859332147</v>
      </c>
      <c r="I196" t="str">
        <f>_xlfn.XLOOKUP(B196,'3.屠宰能力表'!B:B,'3.屠宰能力表'!D:D)</f>
        <v>山西</v>
      </c>
      <c r="J196">
        <f>_xlfn.XLOOKUP(A196,'1.出栏表'!A:A,'1.出栏表'!F:F)</f>
        <v>8.7286738785464308</v>
      </c>
    </row>
    <row r="197" spans="1:10" ht="15" x14ac:dyDescent="0.3">
      <c r="A197" t="str">
        <f t="shared" si="6"/>
        <v>山西46136</v>
      </c>
      <c r="B197" t="s">
        <v>154</v>
      </c>
      <c r="C197" t="s">
        <v>50</v>
      </c>
      <c r="D197" s="45">
        <v>46136</v>
      </c>
      <c r="F197" s="8">
        <f>SUMIFS(根据产能每天需要鲜销部分!$K:$K,根据产能每天需要鲜销部分!$B:$B,$B197,根据产能每天需要鲜销部分!$G:$G,$C197)</f>
        <v>1039.1806929125</v>
      </c>
      <c r="G197">
        <f>_xlfn.XLOOKUP($C197,价格系数辅助表!$C:$C,价格系数辅助表!$E:$E)</f>
        <v>1.90800135982928</v>
      </c>
      <c r="H197">
        <f t="shared" si="7"/>
        <v>16.654321629772902</v>
      </c>
      <c r="I197" t="str">
        <f>_xlfn.XLOOKUP(B197,'3.屠宰能力表'!B:B,'3.屠宰能力表'!D:D)</f>
        <v>山西</v>
      </c>
      <c r="J197">
        <f>_xlfn.XLOOKUP(A197,'1.出栏表'!A:A,'1.出栏表'!F:F)</f>
        <v>8.7286738785464308</v>
      </c>
    </row>
    <row r="198" spans="1:10" ht="15" x14ac:dyDescent="0.3">
      <c r="A198" t="str">
        <f t="shared" si="6"/>
        <v>山西46136</v>
      </c>
      <c r="B198" t="s">
        <v>154</v>
      </c>
      <c r="C198" t="s">
        <v>51</v>
      </c>
      <c r="D198" s="45">
        <v>46136</v>
      </c>
      <c r="F198" s="8">
        <f>SUMIFS(根据产能每天需要鲜销部分!$K:$K,根据产能每天需要鲜销部分!$B:$B,$B198,根据产能每天需要鲜销部分!$G:$G,$C198)</f>
        <v>476.70961267988702</v>
      </c>
      <c r="G198">
        <f>_xlfn.XLOOKUP($C198,价格系数辅助表!$C:$C,价格系数辅助表!$E:$E)</f>
        <v>2.76783242873949</v>
      </c>
      <c r="H198">
        <f t="shared" si="7"/>
        <v>24.159506620932099</v>
      </c>
      <c r="I198" t="str">
        <f>_xlfn.XLOOKUP(B198,'3.屠宰能力表'!B:B,'3.屠宰能力表'!D:D)</f>
        <v>山西</v>
      </c>
      <c r="J198">
        <f>_xlfn.XLOOKUP(A198,'1.出栏表'!A:A,'1.出栏表'!F:F)</f>
        <v>8.7286738785464308</v>
      </c>
    </row>
    <row r="199" spans="1:10" ht="15" x14ac:dyDescent="0.3">
      <c r="A199" t="str">
        <f t="shared" si="6"/>
        <v>山西46136</v>
      </c>
      <c r="B199" t="s">
        <v>154</v>
      </c>
      <c r="C199" t="s">
        <v>52</v>
      </c>
      <c r="D199" s="45">
        <v>46136</v>
      </c>
      <c r="F199" s="8">
        <f>SUMIFS(根据产能每天需要鲜销部分!$K:$K,根据产能每天需要鲜销部分!$B:$B,$B199,根据产能每天需要鲜销部分!$G:$G,$C199)</f>
        <v>398.560495847119</v>
      </c>
      <c r="G199">
        <f>_xlfn.XLOOKUP($C199,价格系数辅助表!$C:$C,价格系数辅助表!$E:$E)</f>
        <v>1.61708641969264</v>
      </c>
      <c r="H199">
        <f t="shared" si="7"/>
        <v>14.115019990923299</v>
      </c>
      <c r="I199" t="str">
        <f>_xlfn.XLOOKUP(B199,'3.屠宰能力表'!B:B,'3.屠宰能力表'!D:D)</f>
        <v>山西</v>
      </c>
      <c r="J199">
        <f>_xlfn.XLOOKUP(A199,'1.出栏表'!A:A,'1.出栏表'!F:F)</f>
        <v>8.7286738785464308</v>
      </c>
    </row>
    <row r="200" spans="1:10" ht="15" x14ac:dyDescent="0.3">
      <c r="A200" t="str">
        <f t="shared" si="6"/>
        <v>山西46136</v>
      </c>
      <c r="B200" t="s">
        <v>154</v>
      </c>
      <c r="C200" t="s">
        <v>53</v>
      </c>
      <c r="D200" s="45">
        <v>46136</v>
      </c>
      <c r="F200" s="8">
        <f>SUMIFS(根据产能每天需要鲜销部分!$K:$K,根据产能每天需要鲜销部分!$B:$B,$B200,根据产能每天需要鲜销部分!$G:$G,$C200)</f>
        <v>351.67102574745797</v>
      </c>
      <c r="G200">
        <f>_xlfn.XLOOKUP($C200,价格系数辅助表!$C:$C,价格系数辅助表!$E:$E)</f>
        <v>1.4850675377364999</v>
      </c>
      <c r="H200">
        <f t="shared" si="7"/>
        <v>12.962670224517799</v>
      </c>
      <c r="I200" t="str">
        <f>_xlfn.XLOOKUP(B200,'3.屠宰能力表'!B:B,'3.屠宰能力表'!D:D)</f>
        <v>山西</v>
      </c>
      <c r="J200">
        <f>_xlfn.XLOOKUP(A200,'1.出栏表'!A:A,'1.出栏表'!F:F)</f>
        <v>8.7286738785464308</v>
      </c>
    </row>
    <row r="201" spans="1:10" ht="15" x14ac:dyDescent="0.3">
      <c r="A201" t="str">
        <f t="shared" si="6"/>
        <v>山西46136</v>
      </c>
      <c r="B201" t="s">
        <v>154</v>
      </c>
      <c r="C201" t="s">
        <v>54</v>
      </c>
      <c r="D201" s="45">
        <v>46136</v>
      </c>
      <c r="F201" s="8">
        <f>SUMIFS(根据产能每天需要鲜销部分!$K:$K,根据产能每天需要鲜销部分!$B:$B,$B201,根据产能每天需要鲜销部分!$G:$G,$C201)</f>
        <v>257.89208554813598</v>
      </c>
      <c r="G201">
        <f>_xlfn.XLOOKUP($C201,价格系数辅助表!$C:$C,价格系数辅助表!$E:$E)</f>
        <v>1.8971615295629001</v>
      </c>
      <c r="H201">
        <f t="shared" si="7"/>
        <v>16.559704286478802</v>
      </c>
      <c r="I201" t="str">
        <f>_xlfn.XLOOKUP(B201,'3.屠宰能力表'!B:B,'3.屠宰能力表'!D:D)</f>
        <v>山西</v>
      </c>
      <c r="J201">
        <f>_xlfn.XLOOKUP(A201,'1.出栏表'!A:A,'1.出栏表'!F:F)</f>
        <v>8.7286738785464308</v>
      </c>
    </row>
    <row r="202" spans="1:10" ht="15" x14ac:dyDescent="0.3">
      <c r="A202" t="str">
        <f t="shared" si="6"/>
        <v>山西46136</v>
      </c>
      <c r="B202" t="s">
        <v>154</v>
      </c>
      <c r="C202" t="s">
        <v>55</v>
      </c>
      <c r="D202" s="45">
        <v>46136</v>
      </c>
      <c r="F202" s="8">
        <f>SUMIFS(根据产能每天需要鲜销部分!$K:$K,根据产能每天需要鲜销部分!$B:$B,$B202,根据产能每天需要鲜销部分!$G:$G,$C202)</f>
        <v>27.855130752274</v>
      </c>
      <c r="G202">
        <f>_xlfn.XLOOKUP($C202,价格系数辅助表!$C:$C,价格系数辅助表!$E:$E)</f>
        <v>3.2997148664303801</v>
      </c>
      <c r="H202">
        <f t="shared" si="7"/>
        <v>28.802134961262201</v>
      </c>
      <c r="I202" t="str">
        <f>_xlfn.XLOOKUP(B202,'3.屠宰能力表'!B:B,'3.屠宰能力表'!D:D)</f>
        <v>山西</v>
      </c>
      <c r="J202">
        <f>_xlfn.XLOOKUP(A202,'1.出栏表'!A:A,'1.出栏表'!F:F)</f>
        <v>8.7286738785464308</v>
      </c>
    </row>
    <row r="203" spans="1:10" ht="15" x14ac:dyDescent="0.3">
      <c r="A203" t="str">
        <f t="shared" si="6"/>
        <v>山西46136</v>
      </c>
      <c r="B203" t="s">
        <v>154</v>
      </c>
      <c r="C203" t="s">
        <v>57</v>
      </c>
      <c r="D203" s="45">
        <v>46136</v>
      </c>
      <c r="F203" s="8">
        <f>SUMIFS(根据产能每天需要鲜销部分!$K:$K,根据产能每天需要鲜销部分!$B:$B,$B203,根据产能每天需要鲜销部分!$G:$G,$C203)</f>
        <v>983.60954457344599</v>
      </c>
      <c r="G203">
        <f>_xlfn.XLOOKUP($C203,价格系数辅助表!$C:$C,价格系数辅助表!$E:$E)</f>
        <v>0.130070801908548</v>
      </c>
      <c r="H203">
        <f t="shared" si="7"/>
        <v>1.1353456109807301</v>
      </c>
      <c r="I203" t="str">
        <f>_xlfn.XLOOKUP(B203,'3.屠宰能力表'!B:B,'3.屠宰能力表'!D:D)</f>
        <v>山西</v>
      </c>
      <c r="J203">
        <f>_xlfn.XLOOKUP(A203,'1.出栏表'!A:A,'1.出栏表'!F:F)</f>
        <v>8.7286738785464308</v>
      </c>
    </row>
    <row r="204" spans="1:10" ht="15" x14ac:dyDescent="0.3">
      <c r="A204" t="str">
        <f t="shared" si="6"/>
        <v>山西46136</v>
      </c>
      <c r="B204" t="s">
        <v>154</v>
      </c>
      <c r="C204" t="s">
        <v>58</v>
      </c>
      <c r="D204" s="45">
        <v>46136</v>
      </c>
      <c r="F204" s="8">
        <f>SUMIFS(根据产能每天需要鲜销部分!$K:$K,根据产能每天需要鲜销部分!$B:$B,$B204,根据产能每天需要鲜销部分!$G:$G,$C204)</f>
        <v>1401.6525456095301</v>
      </c>
      <c r="G204">
        <f>_xlfn.XLOOKUP($C204,价格系数辅助表!$C:$C,价格系数辅助表!$E:$E)</f>
        <v>0.69784384029908697</v>
      </c>
      <c r="H204">
        <f t="shared" si="7"/>
        <v>6.0912513001231696</v>
      </c>
      <c r="I204" t="str">
        <f>_xlfn.XLOOKUP(B204,'3.屠宰能力表'!B:B,'3.屠宰能力表'!D:D)</f>
        <v>山西</v>
      </c>
      <c r="J204">
        <f>_xlfn.XLOOKUP(A204,'1.出栏表'!A:A,'1.出栏表'!F:F)</f>
        <v>8.7286738785464308</v>
      </c>
    </row>
    <row r="205" spans="1:10" ht="15" x14ac:dyDescent="0.3">
      <c r="A205" t="str">
        <f t="shared" si="6"/>
        <v>山西46136</v>
      </c>
      <c r="B205" t="s">
        <v>154</v>
      </c>
      <c r="C205" t="s">
        <v>59</v>
      </c>
      <c r="D205" s="45">
        <v>46136</v>
      </c>
      <c r="F205" s="8">
        <f>SUMIFS(根据产能每天需要鲜销部分!$K:$K,根据产能每天需要鲜销部分!$B:$B,$B205,根据产能每天需要鲜销部分!$G:$G,$C205)</f>
        <v>1413.0042774067999</v>
      </c>
      <c r="G205">
        <f>_xlfn.XLOOKUP($C205,价格系数辅助表!$C:$C,价格系数辅助表!$E:$E)</f>
        <v>0.456447335288171</v>
      </c>
      <c r="H205">
        <f t="shared" si="7"/>
        <v>3.9841799324619802</v>
      </c>
      <c r="I205" t="str">
        <f>_xlfn.XLOOKUP(B205,'3.屠宰能力表'!B:B,'3.屠宰能力表'!D:D)</f>
        <v>山西</v>
      </c>
      <c r="J205">
        <f>_xlfn.XLOOKUP(A205,'1.出栏表'!A:A,'1.出栏表'!F:F)</f>
        <v>8.7286738785464308</v>
      </c>
    </row>
    <row r="206" spans="1:10" ht="15" x14ac:dyDescent="0.3">
      <c r="A206" t="str">
        <f t="shared" si="6"/>
        <v>山西46136</v>
      </c>
      <c r="B206" t="s">
        <v>154</v>
      </c>
      <c r="C206" t="s">
        <v>60</v>
      </c>
      <c r="D206" s="45">
        <v>46136</v>
      </c>
      <c r="F206" s="8">
        <f>SUMIFS(根据产能每天需要鲜销部分!$K:$K,根据产能每天需要鲜销部分!$B:$B,$B206,根据产能每天需要鲜销部分!$G:$G,$C206)</f>
        <v>655.38325387582097</v>
      </c>
      <c r="G206">
        <f>_xlfn.XLOOKUP($C206,价格系数辅助表!$C:$C,价格系数辅助表!$E:$E)</f>
        <v>0.30253913346115902</v>
      </c>
      <c r="H206">
        <f t="shared" si="7"/>
        <v>2.64076543148049</v>
      </c>
      <c r="I206" t="str">
        <f>_xlfn.XLOOKUP(B206,'3.屠宰能力表'!B:B,'3.屠宰能力表'!D:D)</f>
        <v>山西</v>
      </c>
      <c r="J206">
        <f>_xlfn.XLOOKUP(A206,'1.出栏表'!A:A,'1.出栏表'!F:F)</f>
        <v>8.7286738785464308</v>
      </c>
    </row>
    <row r="207" spans="1:10" ht="15" x14ac:dyDescent="0.3">
      <c r="A207" t="str">
        <f t="shared" si="6"/>
        <v>山西46136</v>
      </c>
      <c r="B207" t="s">
        <v>154</v>
      </c>
      <c r="C207" t="s">
        <v>61</v>
      </c>
      <c r="D207" s="45">
        <v>46136</v>
      </c>
      <c r="F207" s="8">
        <f>SUMIFS(根据产能每天需要鲜销部分!$K:$K,根据产能每天需要鲜销部分!$B:$B,$B207,根据产能每天需要鲜销部分!$G:$G,$C207)</f>
        <v>750.23152159457698</v>
      </c>
      <c r="G207">
        <f>_xlfn.XLOOKUP($C207,价格系数辅助表!$C:$C,价格系数辅助表!$E:$E)</f>
        <v>5.2234050059701297E-2</v>
      </c>
      <c r="H207">
        <f t="shared" si="7"/>
        <v>0.45593398832680099</v>
      </c>
      <c r="I207" t="str">
        <f>_xlfn.XLOOKUP(B207,'3.屠宰能力表'!B:B,'3.屠宰能力表'!D:D)</f>
        <v>山西</v>
      </c>
      <c r="J207">
        <f>_xlfn.XLOOKUP(A207,'1.出栏表'!A:A,'1.出栏表'!F:F)</f>
        <v>8.7286738785464308</v>
      </c>
    </row>
    <row r="208" spans="1:10" ht="15" x14ac:dyDescent="0.3">
      <c r="A208" t="str">
        <f t="shared" si="6"/>
        <v>山西46136</v>
      </c>
      <c r="B208" t="s">
        <v>154</v>
      </c>
      <c r="C208" t="s">
        <v>62</v>
      </c>
      <c r="D208" s="45">
        <v>46136</v>
      </c>
      <c r="F208" s="8">
        <f>SUMIFS(根据产能每天需要鲜销部分!$K:$K,根据产能每天需要鲜销部分!$B:$B,$B208,根据产能每天需要鲜销部分!$G:$G,$C208)</f>
        <v>703.34205149491595</v>
      </c>
      <c r="G208">
        <f>_xlfn.XLOOKUP($C208,价格系数辅助表!$C:$C,价格系数辅助表!$E:$E)</f>
        <v>0.27335161219757498</v>
      </c>
      <c r="H208">
        <f t="shared" si="7"/>
        <v>2.3859970770475298</v>
      </c>
      <c r="I208" t="str">
        <f>_xlfn.XLOOKUP(B208,'3.屠宰能力表'!B:B,'3.屠宰能力表'!D:D)</f>
        <v>山西</v>
      </c>
      <c r="J208">
        <f>_xlfn.XLOOKUP(A208,'1.出栏表'!A:A,'1.出栏表'!F:F)</f>
        <v>8.7286738785464308</v>
      </c>
    </row>
    <row r="209" spans="1:10" ht="15" x14ac:dyDescent="0.3">
      <c r="A209" t="str">
        <f t="shared" si="6"/>
        <v>山西46136</v>
      </c>
      <c r="B209" t="s">
        <v>154</v>
      </c>
      <c r="C209" t="s">
        <v>63</v>
      </c>
      <c r="D209" s="45">
        <v>46136</v>
      </c>
      <c r="F209" s="8">
        <f>SUMIFS(根据产能每天需要鲜销部分!$K:$K,根据产能每天需要鲜销部分!$B:$B,$B209,根据产能每天需要鲜销部分!$G:$G,$C209)</f>
        <v>590.560495847119</v>
      </c>
      <c r="G209">
        <f>_xlfn.XLOOKUP($C209,价格系数辅助表!$C:$C,价格系数辅助表!$E:$E)</f>
        <v>0.25083638292710098</v>
      </c>
      <c r="H209">
        <f t="shared" si="7"/>
        <v>2.1894689834448502</v>
      </c>
      <c r="I209" t="str">
        <f>_xlfn.XLOOKUP(B209,'3.屠宰能力表'!B:B,'3.屠宰能力表'!D:D)</f>
        <v>山西</v>
      </c>
      <c r="J209">
        <f>_xlfn.XLOOKUP(A209,'1.出栏表'!A:A,'1.出栏表'!F:F)</f>
        <v>8.7286738785464308</v>
      </c>
    </row>
    <row r="210" spans="1:10" ht="15" x14ac:dyDescent="0.3">
      <c r="A210" t="str">
        <f t="shared" si="6"/>
        <v>山西46136</v>
      </c>
      <c r="B210" t="s">
        <v>154</v>
      </c>
      <c r="C210" t="s">
        <v>64</v>
      </c>
      <c r="D210" s="45">
        <v>46136</v>
      </c>
      <c r="F210" s="8">
        <f>SUMIFS(根据产能每天需要鲜销部分!$K:$K,根据产能每天需要鲜销部分!$B:$B,$B210,根据产能每天需要鲜销部分!$G:$G,$C210)</f>
        <v>102.13547942500399</v>
      </c>
      <c r="G210">
        <f>_xlfn.XLOOKUP($C210,价格系数辅助表!$C:$C,价格系数辅助表!$E:$E)</f>
        <v>0.87755384758256405</v>
      </c>
      <c r="H210">
        <f t="shared" si="7"/>
        <v>7.65988134641184</v>
      </c>
      <c r="I210" t="str">
        <f>_xlfn.XLOOKUP(B210,'3.屠宰能力表'!B:B,'3.屠宰能力表'!D:D)</f>
        <v>山西</v>
      </c>
      <c r="J210">
        <f>_xlfn.XLOOKUP(A210,'1.出栏表'!A:A,'1.出栏表'!F:F)</f>
        <v>8.7286738785464308</v>
      </c>
    </row>
    <row r="211" spans="1:10" ht="15" x14ac:dyDescent="0.3">
      <c r="A211" t="str">
        <f t="shared" si="6"/>
        <v>山西46136</v>
      </c>
      <c r="B211" t="s">
        <v>154</v>
      </c>
      <c r="C211" t="s">
        <v>65</v>
      </c>
      <c r="D211" s="45">
        <v>46136</v>
      </c>
      <c r="F211" s="8">
        <f>SUMIFS(根据产能每天需要鲜销部分!$K:$K,根据产能每天需要鲜销部分!$B:$B,$B211,根据产能每天需要鲜销部分!$G:$G,$C211)</f>
        <v>46.425217920456603</v>
      </c>
      <c r="G211">
        <f>_xlfn.XLOOKUP($C211,价格系数辅助表!$C:$C,价格系数辅助表!$E:$E)</f>
        <v>1.02785250036373</v>
      </c>
      <c r="H211">
        <f t="shared" si="7"/>
        <v>8.9717892709235691</v>
      </c>
      <c r="I211" t="str">
        <f>_xlfn.XLOOKUP(B211,'3.屠宰能力表'!B:B,'3.屠宰能力表'!D:D)</f>
        <v>山西</v>
      </c>
      <c r="J211">
        <f>_xlfn.XLOOKUP(A211,'1.出栏表'!A:A,'1.出栏表'!F:F)</f>
        <v>8.7286738785464308</v>
      </c>
    </row>
    <row r="212" spans="1:10" ht="15" x14ac:dyDescent="0.3">
      <c r="A212" t="str">
        <f t="shared" si="6"/>
        <v>山西46136</v>
      </c>
      <c r="B212" t="s">
        <v>154</v>
      </c>
      <c r="C212" t="s">
        <v>66</v>
      </c>
      <c r="D212" s="45">
        <v>46136</v>
      </c>
      <c r="F212" s="8">
        <f>SUMIFS(根据产能每天需要鲜销部分!$K:$K,根据产能每天需要鲜销部分!$B:$B,$B212,根据产能每天需要鲜销部分!$G:$G,$C212)</f>
        <v>164.11314534881399</v>
      </c>
      <c r="G212">
        <f>_xlfn.XLOOKUP($C212,价格系数辅助表!$C:$C,价格系数辅助表!$E:$E)</f>
        <v>0.29390609194172401</v>
      </c>
      <c r="H212">
        <f t="shared" si="7"/>
        <v>2.5654104274773899</v>
      </c>
      <c r="I212" t="str">
        <f>_xlfn.XLOOKUP(B212,'3.屠宰能力表'!B:B,'3.屠宰能力表'!D:D)</f>
        <v>山西</v>
      </c>
      <c r="J212">
        <f>_xlfn.XLOOKUP(A212,'1.出栏表'!A:A,'1.出栏表'!F:F)</f>
        <v>8.7286738785464308</v>
      </c>
    </row>
    <row r="213" spans="1:10" ht="15" x14ac:dyDescent="0.3">
      <c r="A213" t="str">
        <f t="shared" si="6"/>
        <v>山西46136</v>
      </c>
      <c r="B213" t="s">
        <v>154</v>
      </c>
      <c r="C213" t="s">
        <v>67</v>
      </c>
      <c r="D213" s="45">
        <v>46136</v>
      </c>
      <c r="F213" s="8">
        <f>SUMIFS(根据产能每天需要鲜销部分!$K:$K,根据产能每天需要鲜销部分!$B:$B,$B213,根据产能每天需要鲜销部分!$G:$G,$C213)</f>
        <v>1920</v>
      </c>
      <c r="G213">
        <f>_xlfn.XLOOKUP($C213,价格系数辅助表!$C:$C,价格系数辅助表!$E:$E)</f>
        <v>8.7444985304843598E-2</v>
      </c>
      <c r="H213">
        <f t="shared" si="7"/>
        <v>0.76327875904026399</v>
      </c>
      <c r="I213" t="str">
        <f>_xlfn.XLOOKUP(B213,'3.屠宰能力表'!B:B,'3.屠宰能力表'!D:D)</f>
        <v>山西</v>
      </c>
      <c r="J213">
        <f>_xlfn.XLOOKUP(A213,'1.出栏表'!A:A,'1.出栏表'!F:F)</f>
        <v>8.7286738785464308</v>
      </c>
    </row>
    <row r="214" spans="1:10" ht="15" x14ac:dyDescent="0.3">
      <c r="A214" t="str">
        <f t="shared" si="6"/>
        <v>山西46136</v>
      </c>
      <c r="B214" t="s">
        <v>154</v>
      </c>
      <c r="C214" t="s">
        <v>56</v>
      </c>
      <c r="D214" s="45">
        <v>46136</v>
      </c>
      <c r="F214" s="8">
        <f>SUMIFS(根据产能每天需要鲜销部分!$K:$K,根据产能每天需要鲜销部分!$B:$B,$B214,根据产能每天需要鲜销部分!$G:$G,$C214)</f>
        <v>481.529289577886</v>
      </c>
      <c r="G214">
        <f>_xlfn.XLOOKUP($C214,价格系数辅助表!$C:$C,价格系数辅助表!$E:$E)</f>
        <v>0.56179466940109002</v>
      </c>
      <c r="H214">
        <f t="shared" si="7"/>
        <v>4.9037224559079204</v>
      </c>
      <c r="I214" t="str">
        <f>_xlfn.XLOOKUP(B214,'3.屠宰能力表'!B:B,'3.屠宰能力表'!D:D)</f>
        <v>山西</v>
      </c>
      <c r="J214">
        <f>_xlfn.XLOOKUP(A214,'1.出栏表'!A:A,'1.出栏表'!F:F)</f>
        <v>8.7286738785464308</v>
      </c>
    </row>
    <row r="215" spans="1:10" ht="15" x14ac:dyDescent="0.3">
      <c r="A215" t="str">
        <f t="shared" si="6"/>
        <v>山西46136</v>
      </c>
      <c r="B215" t="s">
        <v>154</v>
      </c>
      <c r="C215" t="s">
        <v>45</v>
      </c>
      <c r="D215" s="45">
        <v>46136</v>
      </c>
      <c r="F215" s="8">
        <f>SUMIFS(根据产能每天需要鲜销部分!$K:$K,根据产能每天需要鲜销部分!$B:$B,$B215,根据产能每天需要鲜销部分!$G:$G,$C215)</f>
        <v>477.02452999951203</v>
      </c>
      <c r="G215">
        <f>_xlfn.XLOOKUP($C215,价格系数辅助表!$C:$C,价格系数辅助表!$E:$E)</f>
        <v>2.1733017987485002</v>
      </c>
      <c r="H215">
        <f t="shared" si="7"/>
        <v>18.970042640934</v>
      </c>
      <c r="I215" t="str">
        <f>_xlfn.XLOOKUP(B215,'3.屠宰能力表'!B:B,'3.屠宰能力表'!D:D)</f>
        <v>山西</v>
      </c>
      <c r="J215">
        <f>_xlfn.XLOOKUP(A215,'1.出栏表'!A:A,'1.出栏表'!F:F)</f>
        <v>8.7286738785464308</v>
      </c>
    </row>
    <row r="216" spans="1:10" ht="15" x14ac:dyDescent="0.3">
      <c r="A216" t="str">
        <f t="shared" si="6"/>
        <v>山西46136</v>
      </c>
      <c r="B216" t="s">
        <v>154</v>
      </c>
      <c r="C216" t="s">
        <v>68</v>
      </c>
      <c r="D216" s="45">
        <v>46136</v>
      </c>
      <c r="F216" s="8">
        <f>SUMIFS(根据产能每天需要鲜销部分!$K:$K,根据产能每天需要鲜销部分!$B:$B,$B216,根据产能每天需要鲜销部分!$G:$G,$C216)</f>
        <v>2985.6106928167001</v>
      </c>
      <c r="G216">
        <f>_xlfn.XLOOKUP($C216,价格系数辅助表!$C:$C,价格系数辅助表!$E:$E)</f>
        <v>2.3363490079598002</v>
      </c>
      <c r="H216">
        <f t="shared" si="7"/>
        <v>20.3932285569465</v>
      </c>
      <c r="I216" t="str">
        <f>_xlfn.XLOOKUP(B216,'3.屠宰能力表'!B:B,'3.屠宰能力表'!D:D)</f>
        <v>山西</v>
      </c>
      <c r="J216">
        <f>_xlfn.XLOOKUP(A216,'1.出栏表'!A:A,'1.出栏表'!F:F)</f>
        <v>8.7286738785464308</v>
      </c>
    </row>
    <row r="217" spans="1:10" ht="15" x14ac:dyDescent="0.3">
      <c r="A217" t="str">
        <f t="shared" si="6"/>
        <v>山西46136</v>
      </c>
      <c r="B217" t="s">
        <v>154</v>
      </c>
      <c r="C217" t="s">
        <v>70</v>
      </c>
      <c r="D217" s="45">
        <v>46136</v>
      </c>
      <c r="F217" s="8">
        <f>SUMIFS(根据产能每天需要鲜销部分!$K:$K,根据产能每天需要鲜销部分!$B:$B,$B217,根据产能每天需要鲜销部分!$G:$G,$C217)</f>
        <v>2219.50112864434</v>
      </c>
      <c r="G217">
        <f>_xlfn.XLOOKUP($C217,价格系数辅助表!$C:$C,价格系数辅助表!$E:$E)</f>
        <v>1.56138134676664</v>
      </c>
      <c r="H217">
        <f t="shared" si="7"/>
        <v>13.628788575971599</v>
      </c>
      <c r="I217" t="str">
        <f>_xlfn.XLOOKUP(B217,'3.屠宰能力表'!B:B,'3.屠宰能力表'!D:D)</f>
        <v>山西</v>
      </c>
      <c r="J217">
        <f>_xlfn.XLOOKUP(A217,'1.出栏表'!A:A,'1.出栏表'!F:F)</f>
        <v>8.7286738785464308</v>
      </c>
    </row>
    <row r="218" spans="1:10" ht="15" x14ac:dyDescent="0.3">
      <c r="A218" t="str">
        <f t="shared" si="6"/>
        <v>山西46136</v>
      </c>
      <c r="B218" t="s">
        <v>154</v>
      </c>
      <c r="C218" t="s">
        <v>71</v>
      </c>
      <c r="D218" s="45">
        <v>46136</v>
      </c>
      <c r="F218" s="8">
        <f>SUMIFS(根据产能每天需要鲜销部分!$K:$K,根据产能每天需要鲜销部分!$B:$B,$B218,根据产能每天需要鲜销部分!$G:$G,$C218)</f>
        <v>747.81600295442604</v>
      </c>
      <c r="G218">
        <f>_xlfn.XLOOKUP($C218,价格系数辅助表!$C:$C,价格系数辅助表!$E:$E)</f>
        <v>4.1323214054635997</v>
      </c>
      <c r="H218">
        <f t="shared" si="7"/>
        <v>36.069685909628397</v>
      </c>
      <c r="I218" t="str">
        <f>_xlfn.XLOOKUP(B218,'3.屠宰能力表'!B:B,'3.屠宰能力表'!D:D)</f>
        <v>山西</v>
      </c>
      <c r="J218">
        <f>_xlfn.XLOOKUP(A218,'1.出栏表'!A:A,'1.出栏表'!F:F)</f>
        <v>8.7286738785464308</v>
      </c>
    </row>
    <row r="219" spans="1:10" ht="15" x14ac:dyDescent="0.3">
      <c r="A219" t="str">
        <f t="shared" si="6"/>
        <v>山西46136</v>
      </c>
      <c r="B219" t="s">
        <v>154</v>
      </c>
      <c r="C219" t="s">
        <v>72</v>
      </c>
      <c r="D219" s="45">
        <v>46136</v>
      </c>
      <c r="F219" s="8">
        <f>SUMIFS(根据产能每天需要鲜销部分!$K:$K,根据产能每天需要鲜销部分!$B:$B,$B219,根据产能每天需要鲜销部分!$G:$G,$C219)</f>
        <v>1671.6095475187699</v>
      </c>
      <c r="G219">
        <f>_xlfn.XLOOKUP($C219,价格系数辅助表!$C:$C,价格系数辅助表!$E:$E)</f>
        <v>2.4066238998277001</v>
      </c>
      <c r="H219">
        <f t="shared" si="7"/>
        <v>21.006635169911601</v>
      </c>
      <c r="I219" t="str">
        <f>_xlfn.XLOOKUP(B219,'3.屠宰能力表'!B:B,'3.屠宰能力表'!D:D)</f>
        <v>山西</v>
      </c>
      <c r="J219">
        <f>_xlfn.XLOOKUP(A219,'1.出栏表'!A:A,'1.出栏表'!F:F)</f>
        <v>8.7286738785464308</v>
      </c>
    </row>
    <row r="220" spans="1:10" ht="15" x14ac:dyDescent="0.3">
      <c r="A220" t="str">
        <f t="shared" si="6"/>
        <v>山西46136</v>
      </c>
      <c r="B220" t="s">
        <v>154</v>
      </c>
      <c r="C220" t="s">
        <v>73</v>
      </c>
      <c r="D220" s="45">
        <v>46136</v>
      </c>
      <c r="F220" s="8">
        <f>SUMIFS(根据产能每天需要鲜销部分!$K:$K,根据产能每天需要鲜销部分!$B:$B,$B220,根据产能每天需要鲜销部分!$G:$G,$C220)</f>
        <v>465.87349700144898</v>
      </c>
      <c r="G220">
        <f>_xlfn.XLOOKUP($C220,价格系数辅助表!$C:$C,价格系数辅助表!$E:$E)</f>
        <v>1.4457460218126601</v>
      </c>
      <c r="H220">
        <f t="shared" si="7"/>
        <v>12.6194455356086</v>
      </c>
      <c r="I220" t="str">
        <f>_xlfn.XLOOKUP(B220,'3.屠宰能力表'!B:B,'3.屠宰能力表'!D:D)</f>
        <v>山西</v>
      </c>
      <c r="J220">
        <f>_xlfn.XLOOKUP(A220,'1.出栏表'!A:A,'1.出栏表'!F:F)</f>
        <v>8.7286738785464308</v>
      </c>
    </row>
    <row r="221" spans="1:10" ht="15" x14ac:dyDescent="0.3">
      <c r="A221" t="str">
        <f t="shared" si="6"/>
        <v>山西46136</v>
      </c>
      <c r="B221" t="s">
        <v>154</v>
      </c>
      <c r="C221" t="s">
        <v>75</v>
      </c>
      <c r="D221" s="45">
        <v>46136</v>
      </c>
      <c r="F221" s="8">
        <f>SUMIFS(根据产能每天需要鲜销部分!$K:$K,根据产能每天需要鲜销部分!$B:$B,$B221,根据产能每天需要鲜销部分!$G:$G,$C221)</f>
        <v>744.943709670001</v>
      </c>
      <c r="G221">
        <f>_xlfn.XLOOKUP($C221,价格系数辅助表!$C:$C,价格系数辅助表!$E:$E)</f>
        <v>1.4617715272634999</v>
      </c>
      <c r="H221">
        <f t="shared" si="7"/>
        <v>12.7593269464278</v>
      </c>
      <c r="I221" t="str">
        <f>_xlfn.XLOOKUP(B221,'3.屠宰能力表'!B:B,'3.屠宰能力表'!D:D)</f>
        <v>山西</v>
      </c>
      <c r="J221">
        <f>_xlfn.XLOOKUP(A221,'1.出栏表'!A:A,'1.出栏表'!F:F)</f>
        <v>8.7286738785464308</v>
      </c>
    </row>
    <row r="222" spans="1:10" ht="15" x14ac:dyDescent="0.3">
      <c r="A222" t="str">
        <f t="shared" si="6"/>
        <v>山西46136</v>
      </c>
      <c r="B222" t="s">
        <v>154</v>
      </c>
      <c r="C222" t="s">
        <v>76</v>
      </c>
      <c r="D222" s="45">
        <v>46136</v>
      </c>
      <c r="F222" s="8">
        <f>SUMIFS(根据产能每天需要鲜销部分!$K:$K,根据产能每天需要鲜销部分!$B:$B,$B222,根据产能每天需要鲜销部分!$G:$G,$C222)</f>
        <v>4332.7467983378701</v>
      </c>
      <c r="G222">
        <f>_xlfn.XLOOKUP($C222,价格系数辅助表!$C:$C,价格系数辅助表!$E:$E)</f>
        <v>1.4895071246315399</v>
      </c>
      <c r="H222">
        <f t="shared" si="7"/>
        <v>13.0014219306802</v>
      </c>
      <c r="I222" t="str">
        <f>_xlfn.XLOOKUP(B222,'3.屠宰能力表'!B:B,'3.屠宰能力表'!D:D)</f>
        <v>山西</v>
      </c>
      <c r="J222">
        <f>_xlfn.XLOOKUP(A222,'1.出栏表'!A:A,'1.出栏表'!F:F)</f>
        <v>8.7286738785464308</v>
      </c>
    </row>
    <row r="223" spans="1:10" ht="15" x14ac:dyDescent="0.3">
      <c r="A223" t="str">
        <f t="shared" si="6"/>
        <v>山西46136</v>
      </c>
      <c r="B223" t="s">
        <v>154</v>
      </c>
      <c r="C223" t="s">
        <v>77</v>
      </c>
      <c r="D223" s="45">
        <v>46136</v>
      </c>
      <c r="F223" s="8">
        <f>SUMIFS(根据产能每天需要鲜销部分!$K:$K,根据产能每天需要鲜销部分!$B:$B,$B223,根据产能每天需要鲜销部分!$G:$G,$C223)</f>
        <v>508.09650838775298</v>
      </c>
      <c r="G223">
        <f>_xlfn.XLOOKUP($C223,价格系数辅助表!$C:$C,价格系数辅助表!$E:$E)</f>
        <v>1.4766526372111499</v>
      </c>
      <c r="H223">
        <f t="shared" si="7"/>
        <v>12.8892193021117</v>
      </c>
      <c r="I223" t="str">
        <f>_xlfn.XLOOKUP(B223,'3.屠宰能力表'!B:B,'3.屠宰能力表'!D:D)</f>
        <v>山西</v>
      </c>
      <c r="J223">
        <f>_xlfn.XLOOKUP(A223,'1.出栏表'!A:A,'1.出栏表'!F:F)</f>
        <v>8.7286738785464308</v>
      </c>
    </row>
    <row r="224" spans="1:10" ht="15" x14ac:dyDescent="0.3">
      <c r="A224" t="str">
        <f t="shared" si="6"/>
        <v>山西46136</v>
      </c>
      <c r="B224" t="s">
        <v>154</v>
      </c>
      <c r="C224" t="s">
        <v>78</v>
      </c>
      <c r="D224" s="45">
        <v>46136</v>
      </c>
      <c r="F224" s="8">
        <f>SUMIFS(根据产能每天需要鲜销部分!$K:$K,根据产能每天需要鲜销部分!$B:$B,$B224,根据产能每天需要鲜销部分!$G:$G,$C224)</f>
        <v>717.11581003195602</v>
      </c>
      <c r="G224">
        <f>_xlfn.XLOOKUP($C224,价格系数辅助表!$C:$C,价格系数辅助表!$E:$E)</f>
        <v>1.2663755864959301</v>
      </c>
      <c r="H224">
        <f t="shared" si="7"/>
        <v>11.0537795022759</v>
      </c>
      <c r="I224" t="str">
        <f>_xlfn.XLOOKUP(B224,'3.屠宰能力表'!B:B,'3.屠宰能力表'!D:D)</f>
        <v>山西</v>
      </c>
      <c r="J224">
        <f>_xlfn.XLOOKUP(A224,'1.出栏表'!A:A,'1.出栏表'!F:F)</f>
        <v>8.7286738785464308</v>
      </c>
    </row>
    <row r="225" spans="1:10" ht="15" x14ac:dyDescent="0.3">
      <c r="A225" t="str">
        <f t="shared" si="6"/>
        <v>山西46136</v>
      </c>
      <c r="B225" t="s">
        <v>154</v>
      </c>
      <c r="C225" t="s">
        <v>79</v>
      </c>
      <c r="D225" s="45">
        <v>46136</v>
      </c>
      <c r="F225" s="8">
        <f>SUMIFS(根据产能每天需要鲜销部分!$K:$K,根据产能每天需要鲜销部分!$B:$B,$B225,根据产能每天需要鲜销部分!$G:$G,$C225)</f>
        <v>1596.97870511151</v>
      </c>
      <c r="G225">
        <f>_xlfn.XLOOKUP($C225,价格系数辅助表!$C:$C,价格系数辅助表!$E:$E)</f>
        <v>0.88455097651113601</v>
      </c>
      <c r="H225">
        <f t="shared" si="7"/>
        <v>7.7209570029154904</v>
      </c>
      <c r="I225" t="str">
        <f>_xlfn.XLOOKUP(B225,'3.屠宰能力表'!B:B,'3.屠宰能力表'!D:D)</f>
        <v>山西</v>
      </c>
      <c r="J225">
        <f>_xlfn.XLOOKUP(A225,'1.出栏表'!A:A,'1.出栏表'!F:F)</f>
        <v>8.7286738785464308</v>
      </c>
    </row>
    <row r="226" spans="1:10" ht="15" x14ac:dyDescent="0.3">
      <c r="A226" t="str">
        <f t="shared" si="6"/>
        <v>山西46136</v>
      </c>
      <c r="B226" t="s">
        <v>154</v>
      </c>
      <c r="C226" t="s">
        <v>80</v>
      </c>
      <c r="D226" s="45">
        <v>46136</v>
      </c>
      <c r="F226" s="8">
        <f>SUMIFS(根据产能每天需要鲜销部分!$K:$K,根据产能每天需要鲜销部分!$B:$B,$B226,根据产能每天需要鲜销部分!$G:$G,$C226)</f>
        <v>749.75548519055803</v>
      </c>
      <c r="G226">
        <f>_xlfn.XLOOKUP($C226,价格系数辅助表!$C:$C,价格系数辅助表!$E:$E)</f>
        <v>0.81656825090915597</v>
      </c>
      <c r="H226">
        <f t="shared" si="7"/>
        <v>7.1275579617610996</v>
      </c>
      <c r="I226" t="str">
        <f>_xlfn.XLOOKUP(B226,'3.屠宰能力表'!B:B,'3.屠宰能力表'!D:D)</f>
        <v>山西</v>
      </c>
      <c r="J226">
        <f>_xlfn.XLOOKUP(A226,'1.出栏表'!A:A,'1.出栏表'!F:F)</f>
        <v>8.7286738785464308</v>
      </c>
    </row>
    <row r="227" spans="1:10" ht="15" x14ac:dyDescent="0.3">
      <c r="A227" t="str">
        <f t="shared" si="6"/>
        <v>山西46136</v>
      </c>
      <c r="B227" t="s">
        <v>154</v>
      </c>
      <c r="C227" t="s">
        <v>81</v>
      </c>
      <c r="D227" s="45">
        <v>46136</v>
      </c>
      <c r="F227" s="8">
        <f>SUMIFS(根据产能每天需要鲜销部分!$K:$K,根据产能每天需要鲜销部分!$B:$B,$B227,根据产能每天需要鲜销部分!$G:$G,$C227)</f>
        <v>1720.4291127834099</v>
      </c>
      <c r="G227">
        <f>_xlfn.XLOOKUP($C227,价格系数辅助表!$C:$C,价格系数辅助表!$E:$E)</f>
        <v>1.1259651927004599</v>
      </c>
      <c r="H227">
        <f t="shared" si="7"/>
        <v>9.8281829656769801</v>
      </c>
      <c r="I227" t="str">
        <f>_xlfn.XLOOKUP(B227,'3.屠宰能力表'!B:B,'3.屠宰能力表'!D:D)</f>
        <v>山西</v>
      </c>
      <c r="J227">
        <f>_xlfn.XLOOKUP(A227,'1.出栏表'!A:A,'1.出栏表'!F:F)</f>
        <v>8.7286738785464308</v>
      </c>
    </row>
    <row r="228" spans="1:10" ht="15" x14ac:dyDescent="0.3">
      <c r="A228" t="str">
        <f t="shared" si="6"/>
        <v>山西46136</v>
      </c>
      <c r="B228" t="s">
        <v>154</v>
      </c>
      <c r="C228" t="s">
        <v>82</v>
      </c>
      <c r="D228" s="45">
        <v>46136</v>
      </c>
      <c r="F228" s="8">
        <f>SUMIFS(根据产能每天需要鲜销部分!$K:$K,根据产能每天需要鲜销部分!$B:$B,$B228,根据产能每天需要鲜销部分!$G:$G,$C228)</f>
        <v>342.92115052605999</v>
      </c>
      <c r="G228">
        <f>_xlfn.XLOOKUP($C228,价格系数辅助表!$C:$C,价格系数辅助表!$E:$E)</f>
        <v>1.02591469638818</v>
      </c>
      <c r="H228">
        <f t="shared" si="7"/>
        <v>8.9548748119803605</v>
      </c>
      <c r="I228" t="str">
        <f>_xlfn.XLOOKUP(B228,'3.屠宰能力表'!B:B,'3.屠宰能力表'!D:D)</f>
        <v>山西</v>
      </c>
      <c r="J228">
        <f>_xlfn.XLOOKUP(A228,'1.出栏表'!A:A,'1.出栏表'!F:F)</f>
        <v>8.7286738785464308</v>
      </c>
    </row>
    <row r="229" spans="1:10" ht="15" x14ac:dyDescent="0.3">
      <c r="A229" t="str">
        <f t="shared" si="6"/>
        <v>山西46136</v>
      </c>
      <c r="B229" t="s">
        <v>154</v>
      </c>
      <c r="C229" t="s">
        <v>83</v>
      </c>
      <c r="D229" s="45">
        <v>46136</v>
      </c>
      <c r="F229" s="8">
        <f>SUMIFS(根据产能每天需要鲜销部分!$K:$K,根据产能每天需要鲜销部分!$B:$B,$B229,根据产能每天需要鲜销部分!$G:$G,$C229)</f>
        <v>416.02286068500598</v>
      </c>
      <c r="G229">
        <f>_xlfn.XLOOKUP($C229,价格系数辅助表!$C:$C,价格系数辅助表!$E:$E)</f>
        <v>0.922604514711862</v>
      </c>
      <c r="H229">
        <f t="shared" si="7"/>
        <v>8.0531139277944401</v>
      </c>
      <c r="I229" t="str">
        <f>_xlfn.XLOOKUP(B229,'3.屠宰能力表'!B:B,'3.屠宰能力表'!D:D)</f>
        <v>山西</v>
      </c>
      <c r="J229">
        <f>_xlfn.XLOOKUP(A229,'1.出栏表'!A:A,'1.出栏表'!F:F)</f>
        <v>8.7286738785464308</v>
      </c>
    </row>
    <row r="230" spans="1:10" ht="15" x14ac:dyDescent="0.3">
      <c r="A230" t="str">
        <f t="shared" si="6"/>
        <v>山西46136</v>
      </c>
      <c r="B230" t="s">
        <v>154</v>
      </c>
      <c r="C230" t="s">
        <v>84</v>
      </c>
      <c r="D230" s="45">
        <v>46136</v>
      </c>
      <c r="F230" s="8">
        <f>SUMIFS(根据产能每天需要鲜销部分!$K:$K,根据产能每天需要鲜销部分!$B:$B,$B230,根据产能每天需要鲜销部分!$G:$G,$C230)</f>
        <v>1353.21721717321</v>
      </c>
      <c r="G230">
        <f>_xlfn.XLOOKUP($C230,价格系数辅助表!$C:$C,价格系数辅助表!$E:$E)</f>
        <v>0.926679482358305</v>
      </c>
      <c r="H230">
        <f t="shared" si="7"/>
        <v>8.0886829914458591</v>
      </c>
      <c r="I230" t="str">
        <f>_xlfn.XLOOKUP(B230,'3.屠宰能力表'!B:B,'3.屠宰能力表'!D:D)</f>
        <v>山西</v>
      </c>
      <c r="J230">
        <f>_xlfn.XLOOKUP(A230,'1.出栏表'!A:A,'1.出栏表'!F:F)</f>
        <v>8.7286738785464308</v>
      </c>
    </row>
    <row r="231" spans="1:10" ht="15" x14ac:dyDescent="0.3">
      <c r="A231" t="str">
        <f t="shared" si="6"/>
        <v>山西46136</v>
      </c>
      <c r="B231" t="s">
        <v>154</v>
      </c>
      <c r="C231" t="s">
        <v>85</v>
      </c>
      <c r="D231" s="45">
        <v>46136</v>
      </c>
      <c r="F231" s="8">
        <f>SUMIFS(根据产能每天需要鲜销部分!$K:$K,根据产能每天需要鲜销部分!$B:$B,$B231,根据产能每天需要鲜销部分!$G:$G,$C231)</f>
        <v>566.88829368066695</v>
      </c>
      <c r="G231">
        <f>_xlfn.XLOOKUP($C231,价格系数辅助表!$C:$C,价格系数辅助表!$E:$E)</f>
        <v>1.1521636001823701</v>
      </c>
      <c r="H231">
        <f t="shared" si="7"/>
        <v>10.056860320723899</v>
      </c>
      <c r="I231" t="str">
        <f>_xlfn.XLOOKUP(B231,'3.屠宰能力表'!B:B,'3.屠宰能力表'!D:D)</f>
        <v>山西</v>
      </c>
      <c r="J231">
        <f>_xlfn.XLOOKUP(A231,'1.出栏表'!A:A,'1.出栏表'!F:F)</f>
        <v>8.7286738785464308</v>
      </c>
    </row>
    <row r="232" spans="1:10" ht="15" x14ac:dyDescent="0.3">
      <c r="A232" t="str">
        <f t="shared" si="6"/>
        <v>山西46136</v>
      </c>
      <c r="B232" t="s">
        <v>154</v>
      </c>
      <c r="C232" t="s">
        <v>86</v>
      </c>
      <c r="D232" s="45">
        <v>46136</v>
      </c>
      <c r="F232" s="8">
        <f>SUMIFS(根据产能每天需要鲜销部分!$K:$K,根据产能每天需要鲜销部分!$B:$B,$B232,根据产能每天需要鲜销部分!$G:$G,$C232)</f>
        <v>402.307821321765</v>
      </c>
      <c r="G232">
        <f>_xlfn.XLOOKUP($C232,价格系数辅助表!$C:$C,价格系数辅助表!$E:$E)</f>
        <v>1.0074710773803</v>
      </c>
      <c r="H232">
        <f t="shared" si="7"/>
        <v>8.7938864765204503</v>
      </c>
      <c r="I232" t="str">
        <f>_xlfn.XLOOKUP(B232,'3.屠宰能力表'!B:B,'3.屠宰能力表'!D:D)</f>
        <v>山西</v>
      </c>
      <c r="J232">
        <f>_xlfn.XLOOKUP(A232,'1.出栏表'!A:A,'1.出栏表'!F:F)</f>
        <v>8.7286738785464308</v>
      </c>
    </row>
    <row r="233" spans="1:10" ht="15" x14ac:dyDescent="0.3">
      <c r="A233" t="str">
        <f t="shared" si="6"/>
        <v>山西46136</v>
      </c>
      <c r="B233" t="s">
        <v>154</v>
      </c>
      <c r="C233" t="s">
        <v>87</v>
      </c>
      <c r="D233" s="45">
        <v>46136</v>
      </c>
      <c r="F233" s="8">
        <f>SUMIFS(根据产能每天需要鲜销部分!$K:$K,根据产能每天需要鲜销部分!$B:$B,$B233,根据产能每天需要鲜销部分!$G:$G,$C233)</f>
        <v>128.00703405692599</v>
      </c>
      <c r="G233">
        <f>_xlfn.XLOOKUP($C233,价格系数辅助表!$C:$C,价格系数辅助表!$E:$E)</f>
        <v>0.72970400715709505</v>
      </c>
      <c r="H233">
        <f t="shared" si="7"/>
        <v>6.3693483063427898</v>
      </c>
      <c r="I233" t="str">
        <f>_xlfn.XLOOKUP(B233,'3.屠宰能力表'!B:B,'3.屠宰能力表'!D:D)</f>
        <v>山西</v>
      </c>
      <c r="J233">
        <f>_xlfn.XLOOKUP(A233,'1.出栏表'!A:A,'1.出栏表'!F:F)</f>
        <v>8.7286738785464308</v>
      </c>
    </row>
    <row r="234" spans="1:10" ht="15" x14ac:dyDescent="0.3">
      <c r="A234" t="str">
        <f t="shared" si="6"/>
        <v>山西46136</v>
      </c>
      <c r="B234" t="s">
        <v>154</v>
      </c>
      <c r="C234" t="s">
        <v>88</v>
      </c>
      <c r="D234" s="45">
        <v>46136</v>
      </c>
      <c r="F234" s="8">
        <f>SUMIFS(根据产能每天需要鲜销部分!$K:$K,根据产能每天需要鲜销部分!$B:$B,$B234,根据产能每天需要鲜销部分!$G:$G,$C234)</f>
        <v>91.472477665220893</v>
      </c>
      <c r="G234">
        <f>_xlfn.XLOOKUP($C234,价格系数辅助表!$C:$C,价格系数辅助表!$E:$E)</f>
        <v>2.7560630433134201</v>
      </c>
      <c r="H234">
        <f t="shared" si="7"/>
        <v>24.056775493797002</v>
      </c>
      <c r="I234" t="str">
        <f>_xlfn.XLOOKUP(B234,'3.屠宰能力表'!B:B,'3.屠宰能力表'!D:D)</f>
        <v>山西</v>
      </c>
      <c r="J234">
        <f>_xlfn.XLOOKUP(A234,'1.出栏表'!A:A,'1.出栏表'!F:F)</f>
        <v>8.7286738785464308</v>
      </c>
    </row>
    <row r="235" spans="1:10" ht="15" x14ac:dyDescent="0.3">
      <c r="A235" t="str">
        <f t="shared" si="6"/>
        <v>山西46136</v>
      </c>
      <c r="B235" t="s">
        <v>154</v>
      </c>
      <c r="C235" t="s">
        <v>89</v>
      </c>
      <c r="D235" s="45">
        <v>46136</v>
      </c>
      <c r="F235" s="8">
        <f>SUMIFS(根据产能每天需要鲜销部分!$K:$K,根据产能每天需要鲜销部分!$B:$B,$B235,根据产能每天需要鲜销部分!$G:$G,$C235)</f>
        <v>268.72840266552799</v>
      </c>
      <c r="G235">
        <f>_xlfn.XLOOKUP($C235,价格系数辅助表!$C:$C,价格系数辅助表!$E:$E)</f>
        <v>1.1853684696925</v>
      </c>
      <c r="H235">
        <f t="shared" si="7"/>
        <v>10.3466947978575</v>
      </c>
      <c r="I235" t="str">
        <f>_xlfn.XLOOKUP(B235,'3.屠宰能力表'!B:B,'3.屠宰能力表'!D:D)</f>
        <v>山西</v>
      </c>
      <c r="J235">
        <f>_xlfn.XLOOKUP(A235,'1.出栏表'!A:A,'1.出栏表'!F:F)</f>
        <v>8.7286738785464308</v>
      </c>
    </row>
    <row r="236" spans="1:10" ht="15" x14ac:dyDescent="0.3">
      <c r="A236" t="str">
        <f t="shared" si="6"/>
        <v>山西46136</v>
      </c>
      <c r="B236" t="s">
        <v>154</v>
      </c>
      <c r="C236" t="s">
        <v>90</v>
      </c>
      <c r="D236" s="45">
        <v>46136</v>
      </c>
      <c r="F236" s="8">
        <f>SUMIFS(根据产能每天需要鲜销部分!$K:$K,根据产能每天需要鲜销部分!$B:$B,$B236,根据产能每天需要鲜销部分!$G:$G,$C236)</f>
        <v>744.38720051650603</v>
      </c>
      <c r="G236">
        <f>_xlfn.XLOOKUP($C236,价格系数辅助表!$C:$C,价格系数辅助表!$E:$E)</f>
        <v>0.74904414201499503</v>
      </c>
      <c r="H236">
        <f t="shared" si="7"/>
        <v>6.5381620362845103</v>
      </c>
      <c r="I236" t="str">
        <f>_xlfn.XLOOKUP(B236,'3.屠宰能力表'!B:B,'3.屠宰能力表'!D:D)</f>
        <v>山西</v>
      </c>
      <c r="J236">
        <f>_xlfn.XLOOKUP(A236,'1.出栏表'!A:A,'1.出栏表'!F:F)</f>
        <v>8.7286738785464308</v>
      </c>
    </row>
    <row r="237" spans="1:10" ht="15" x14ac:dyDescent="0.3">
      <c r="A237" t="str">
        <f t="shared" si="6"/>
        <v>山西46136</v>
      </c>
      <c r="B237" t="s">
        <v>154</v>
      </c>
      <c r="C237" t="s">
        <v>91</v>
      </c>
      <c r="D237" s="45">
        <v>46136</v>
      </c>
      <c r="F237" s="8">
        <f>SUMIFS(根据产能每天需要鲜销部分!$K:$K,根据产能每天需要鲜销部分!$B:$B,$B237,根据产能每天需要鲜销部分!$G:$G,$C237)</f>
        <v>563.38089571759497</v>
      </c>
      <c r="G237">
        <f>_xlfn.XLOOKUP($C237,价格系数辅助表!$C:$C,价格系数辅助表!$E:$E)</f>
        <v>0.62107390938185902</v>
      </c>
      <c r="H237">
        <f t="shared" si="7"/>
        <v>5.4211516094681498</v>
      </c>
      <c r="I237" t="str">
        <f>_xlfn.XLOOKUP(B237,'3.屠宰能力表'!B:B,'3.屠宰能力表'!D:D)</f>
        <v>山西</v>
      </c>
      <c r="J237">
        <f>_xlfn.XLOOKUP(A237,'1.出栏表'!A:A,'1.出栏表'!F:F)</f>
        <v>8.7286738785464308</v>
      </c>
    </row>
    <row r="238" spans="1:10" ht="15" x14ac:dyDescent="0.3">
      <c r="A238" t="str">
        <f t="shared" si="6"/>
        <v>山西46136</v>
      </c>
      <c r="B238" t="s">
        <v>154</v>
      </c>
      <c r="C238" t="s">
        <v>92</v>
      </c>
      <c r="D238" s="45">
        <v>46136</v>
      </c>
      <c r="F238" s="8">
        <f>SUMIFS(根据产能每天需要鲜销部分!$K:$K,根据产能每天需要鲜销部分!$B:$B,$B238,根据产能每天需要鲜销部分!$G:$G,$C238)</f>
        <v>82.290236179451895</v>
      </c>
      <c r="G238">
        <f>_xlfn.XLOOKUP($C238,价格系数辅助表!$C:$C,价格系数辅助表!$E:$E)</f>
        <v>0.24650626139895601</v>
      </c>
      <c r="H238">
        <f t="shared" si="7"/>
        <v>2.1516727647712002</v>
      </c>
      <c r="I238" t="str">
        <f>_xlfn.XLOOKUP(B238,'3.屠宰能力表'!B:B,'3.屠宰能力表'!D:D)</f>
        <v>山西</v>
      </c>
      <c r="J238">
        <f>_xlfn.XLOOKUP(A238,'1.出栏表'!A:A,'1.出栏表'!F:F)</f>
        <v>8.7286738785464308</v>
      </c>
    </row>
    <row r="239" spans="1:10" ht="15" x14ac:dyDescent="0.3">
      <c r="A239" t="str">
        <f t="shared" si="6"/>
        <v>甘肃46136</v>
      </c>
      <c r="B239" t="s">
        <v>156</v>
      </c>
      <c r="C239" t="s">
        <v>41</v>
      </c>
      <c r="D239" s="45">
        <v>46136</v>
      </c>
      <c r="F239" s="8">
        <f>SUMIFS(根据产能每天需要鲜销部分!$K:$K,根据产能每天需要鲜销部分!$B:$B,$B239,根据产能每天需要鲜销部分!$G:$G,$C239)</f>
        <v>22308</v>
      </c>
      <c r="G239">
        <f>_xlfn.XLOOKUP($C239,价格系数辅助表!$C:$C,价格系数辅助表!$E:$E)</f>
        <v>1.1852119074341301</v>
      </c>
      <c r="H239">
        <f t="shared" si="7"/>
        <v>10.4496059269642</v>
      </c>
      <c r="I239" t="str">
        <f>_xlfn.XLOOKUP(B239,'3.屠宰能力表'!B:B,'3.屠宰能力表'!D:D)</f>
        <v>甘肃</v>
      </c>
      <c r="J239">
        <f>_xlfn.XLOOKUP(A239,'1.出栏表'!A:A,'1.出栏表'!F:F)</f>
        <v>8.8166562126317292</v>
      </c>
    </row>
    <row r="240" spans="1:10" ht="15" x14ac:dyDescent="0.3">
      <c r="A240" t="str">
        <f t="shared" si="6"/>
        <v>甘肃46136</v>
      </c>
      <c r="B240" t="s">
        <v>156</v>
      </c>
      <c r="C240" t="s">
        <v>44</v>
      </c>
      <c r="D240" s="45">
        <v>46136</v>
      </c>
      <c r="F240" s="8">
        <f>SUMIFS(根据产能每天需要鲜销部分!$K:$K,根据产能每天需要鲜销部分!$B:$B,$B240,根据产能每天需要鲜销部分!$G:$G,$C240)</f>
        <v>4680.9616693730404</v>
      </c>
      <c r="G240">
        <f>_xlfn.XLOOKUP($C240,价格系数辅助表!$C:$C,价格系数辅助表!$E:$E)</f>
        <v>0.81317166851852996</v>
      </c>
      <c r="H240">
        <f t="shared" si="7"/>
        <v>7.1694550431800099</v>
      </c>
      <c r="I240" t="str">
        <f>_xlfn.XLOOKUP(B240,'3.屠宰能力表'!B:B,'3.屠宰能力表'!D:D)</f>
        <v>甘肃</v>
      </c>
      <c r="J240">
        <f>_xlfn.XLOOKUP(A240,'1.出栏表'!A:A,'1.出栏表'!F:F)</f>
        <v>8.8166562126317292</v>
      </c>
    </row>
    <row r="241" spans="1:10" ht="15" x14ac:dyDescent="0.3">
      <c r="A241" t="str">
        <f t="shared" si="6"/>
        <v>甘肃46136</v>
      </c>
      <c r="B241" t="s">
        <v>156</v>
      </c>
      <c r="C241" t="s">
        <v>46</v>
      </c>
      <c r="D241" s="45">
        <v>46136</v>
      </c>
      <c r="F241" s="8">
        <f>SUMIFS(根据产能每天需要鲜销部分!$K:$K,根据产能每天需要鲜销部分!$B:$B,$B241,根据产能每天需要鲜销部分!$G:$G,$C241)</f>
        <v>35.167102574745897</v>
      </c>
      <c r="G241">
        <f>_xlfn.XLOOKUP($C241,价格系数辅助表!$C:$C,价格系数辅助表!$E:$E)</f>
        <v>4.0225512045395799</v>
      </c>
      <c r="H241">
        <f t="shared" si="7"/>
        <v>35.465451068133198</v>
      </c>
      <c r="I241" t="str">
        <f>_xlfn.XLOOKUP(B241,'3.屠宰能力表'!B:B,'3.屠宰能力表'!D:D)</f>
        <v>甘肃</v>
      </c>
      <c r="J241">
        <f>_xlfn.XLOOKUP(A241,'1.出栏表'!A:A,'1.出栏表'!F:F)</f>
        <v>8.8166562126317292</v>
      </c>
    </row>
    <row r="242" spans="1:10" ht="15" x14ac:dyDescent="0.3">
      <c r="A242" t="str">
        <f t="shared" si="6"/>
        <v>甘肃46136</v>
      </c>
      <c r="B242" t="s">
        <v>156</v>
      </c>
      <c r="C242" t="s">
        <v>47</v>
      </c>
      <c r="D242" s="45">
        <v>46136</v>
      </c>
      <c r="F242" s="8">
        <f>SUMIFS(根据产能每天需要鲜销部分!$K:$K,根据产能每天需要鲜销部分!$B:$B,$B242,根据产能每天需要鲜销部分!$G:$G,$C242)</f>
        <v>330.82990396589003</v>
      </c>
      <c r="G242">
        <f>_xlfn.XLOOKUP($C242,价格系数辅助表!$C:$C,价格系数辅助表!$E:$E)</f>
        <v>0.84535964262204399</v>
      </c>
      <c r="H242">
        <f t="shared" si="7"/>
        <v>7.4532453450317897</v>
      </c>
      <c r="I242" t="str">
        <f>_xlfn.XLOOKUP(B242,'3.屠宰能力表'!B:B,'3.屠宰能力表'!D:D)</f>
        <v>甘肃</v>
      </c>
      <c r="J242">
        <f>_xlfn.XLOOKUP(A242,'1.出栏表'!A:A,'1.出栏表'!F:F)</f>
        <v>8.8166562126317292</v>
      </c>
    </row>
    <row r="243" spans="1:10" ht="15" x14ac:dyDescent="0.3">
      <c r="A243" t="str">
        <f t="shared" si="6"/>
        <v>甘肃46136</v>
      </c>
      <c r="B243" t="s">
        <v>156</v>
      </c>
      <c r="C243" t="s">
        <v>48</v>
      </c>
      <c r="D243" s="45">
        <v>46136</v>
      </c>
      <c r="F243" s="8">
        <f>SUMIFS(根据产能每天需要鲜销部分!$K:$K,根据产能每天需要鲜销部分!$B:$B,$B243,根据产能每天需要鲜销部分!$G:$G,$C243)</f>
        <v>1708.86204536936</v>
      </c>
      <c r="G243">
        <f>_xlfn.XLOOKUP($C243,价格系数辅助表!$C:$C,价格系数辅助表!$E:$E)</f>
        <v>0.37320475421536098</v>
      </c>
      <c r="H243">
        <f t="shared" si="7"/>
        <v>3.2904180148365598</v>
      </c>
      <c r="I243" t="str">
        <f>_xlfn.XLOOKUP(B243,'3.屠宰能力表'!B:B,'3.屠宰能力表'!D:D)</f>
        <v>甘肃</v>
      </c>
      <c r="J243">
        <f>_xlfn.XLOOKUP(A243,'1.出栏表'!A:A,'1.出栏表'!F:F)</f>
        <v>8.8166562126317292</v>
      </c>
    </row>
    <row r="244" spans="1:10" ht="15" x14ac:dyDescent="0.3">
      <c r="A244" t="str">
        <f t="shared" si="6"/>
        <v>甘肃46136</v>
      </c>
      <c r="B244" t="s">
        <v>156</v>
      </c>
      <c r="C244" t="s">
        <v>49</v>
      </c>
      <c r="D244" s="45">
        <v>46136</v>
      </c>
      <c r="F244" s="8">
        <f>SUMIFS(根据产能每天需要鲜销部分!$K:$K,根据产能每天需要鲜销部分!$B:$B,$B244,根据产能每天需要鲜销部分!$G:$G,$C244)</f>
        <v>334.08747446008499</v>
      </c>
      <c r="G244">
        <f>_xlfn.XLOOKUP($C244,价格系数辅助表!$C:$C,价格系数辅助表!$E:$E)</f>
        <v>1.1550192014842</v>
      </c>
      <c r="H244">
        <f t="shared" si="7"/>
        <v>10.183407218474599</v>
      </c>
      <c r="I244" t="str">
        <f>_xlfn.XLOOKUP(B244,'3.屠宰能力表'!B:B,'3.屠宰能力表'!D:D)</f>
        <v>甘肃</v>
      </c>
      <c r="J244">
        <f>_xlfn.XLOOKUP(A244,'1.出栏表'!A:A,'1.出栏表'!F:F)</f>
        <v>8.8166562126317292</v>
      </c>
    </row>
    <row r="245" spans="1:10" ht="15" x14ac:dyDescent="0.3">
      <c r="A245" t="str">
        <f t="shared" si="6"/>
        <v>甘肃46136</v>
      </c>
      <c r="B245" t="s">
        <v>156</v>
      </c>
      <c r="C245" t="s">
        <v>50</v>
      </c>
      <c r="D245" s="45">
        <v>46136</v>
      </c>
      <c r="F245" s="8">
        <f>SUMIFS(根据产能每天需要鲜销部分!$K:$K,根据产能每天需要鲜销部分!$B:$B,$B245,根据产能每天需要鲜销部分!$G:$G,$C245)</f>
        <v>1169.07827952656</v>
      </c>
      <c r="G245">
        <f>_xlfn.XLOOKUP($C245,价格系数辅助表!$C:$C,价格系数辅助表!$E:$E)</f>
        <v>1.90800135982928</v>
      </c>
      <c r="H245">
        <f t="shared" si="7"/>
        <v>16.822192042848599</v>
      </c>
      <c r="I245" t="str">
        <f>_xlfn.XLOOKUP(B245,'3.屠宰能力表'!B:B,'3.屠宰能力表'!D:D)</f>
        <v>甘肃</v>
      </c>
      <c r="J245">
        <f>_xlfn.XLOOKUP(A245,'1.出栏表'!A:A,'1.出栏表'!F:F)</f>
        <v>8.8166562126317292</v>
      </c>
    </row>
    <row r="246" spans="1:10" ht="15" x14ac:dyDescent="0.3">
      <c r="A246" t="str">
        <f t="shared" si="6"/>
        <v>甘肃46136</v>
      </c>
      <c r="B246" t="s">
        <v>156</v>
      </c>
      <c r="C246" t="s">
        <v>51</v>
      </c>
      <c r="D246" s="45">
        <v>46136</v>
      </c>
      <c r="F246" s="8">
        <f>SUMIFS(根据产能每天需要鲜销部分!$K:$K,根据产能每天需要鲜销部分!$B:$B,$B246,根据产能每天需要鲜销部分!$G:$G,$C246)</f>
        <v>536.29831426487306</v>
      </c>
      <c r="G246">
        <f>_xlfn.XLOOKUP($C246,价格系数辅助表!$C:$C,价格系数辅助表!$E:$E)</f>
        <v>2.76783242873949</v>
      </c>
      <c r="H246">
        <f t="shared" si="7"/>
        <v>24.403026978369599</v>
      </c>
      <c r="I246" t="str">
        <f>_xlfn.XLOOKUP(B246,'3.屠宰能力表'!B:B,'3.屠宰能力表'!D:D)</f>
        <v>甘肃</v>
      </c>
      <c r="J246">
        <f>_xlfn.XLOOKUP(A246,'1.出栏表'!A:A,'1.出栏表'!F:F)</f>
        <v>8.8166562126317292</v>
      </c>
    </row>
    <row r="247" spans="1:10" ht="15" x14ac:dyDescent="0.3">
      <c r="A247" t="str">
        <f t="shared" si="6"/>
        <v>甘肃46136</v>
      </c>
      <c r="B247" t="s">
        <v>156</v>
      </c>
      <c r="C247" t="s">
        <v>52</v>
      </c>
      <c r="D247" s="45">
        <v>46136</v>
      </c>
      <c r="F247" s="8">
        <f>SUMIFS(根据产能每天需要鲜销部分!$K:$K,根据产能每天需要鲜销部分!$B:$B,$B247,根据产能每天需要鲜销部分!$G:$G,$C247)</f>
        <v>448.38055782800899</v>
      </c>
      <c r="G247">
        <f>_xlfn.XLOOKUP($C247,价格系数辅助表!$C:$C,价格系数辅助表!$E:$E)</f>
        <v>1.61708641969264</v>
      </c>
      <c r="H247">
        <f t="shared" si="7"/>
        <v>14.257295028545499</v>
      </c>
      <c r="I247" t="str">
        <f>_xlfn.XLOOKUP(B247,'3.屠宰能力表'!B:B,'3.屠宰能力表'!D:D)</f>
        <v>甘肃</v>
      </c>
      <c r="J247">
        <f>_xlfn.XLOOKUP(A247,'1.出栏表'!A:A,'1.出栏表'!F:F)</f>
        <v>8.8166562126317292</v>
      </c>
    </row>
    <row r="248" spans="1:10" ht="15" x14ac:dyDescent="0.3">
      <c r="A248" t="str">
        <f t="shared" si="6"/>
        <v>甘肃46136</v>
      </c>
      <c r="B248" t="s">
        <v>156</v>
      </c>
      <c r="C248" t="s">
        <v>53</v>
      </c>
      <c r="D248" s="45">
        <v>46136</v>
      </c>
      <c r="F248" s="8">
        <f>SUMIFS(根据产能每天需要鲜销部分!$K:$K,根据产能每天需要鲜销部分!$B:$B,$B248,根据产能每天需要鲜销部分!$G:$G,$C248)</f>
        <v>395.62990396588998</v>
      </c>
      <c r="G248">
        <f>_xlfn.XLOOKUP($C248,价格系数辅助表!$C:$C,价格系数辅助表!$E:$E)</f>
        <v>1.4850675377364999</v>
      </c>
      <c r="H248">
        <f t="shared" si="7"/>
        <v>13.093329932762201</v>
      </c>
      <c r="I248" t="str">
        <f>_xlfn.XLOOKUP(B248,'3.屠宰能力表'!B:B,'3.屠宰能力表'!D:D)</f>
        <v>甘肃</v>
      </c>
      <c r="J248">
        <f>_xlfn.XLOOKUP(A248,'1.出栏表'!A:A,'1.出栏表'!F:F)</f>
        <v>8.8166562126317292</v>
      </c>
    </row>
    <row r="249" spans="1:10" ht="15" x14ac:dyDescent="0.3">
      <c r="A249" t="str">
        <f t="shared" si="6"/>
        <v>甘肃46136</v>
      </c>
      <c r="B249" t="s">
        <v>156</v>
      </c>
      <c r="C249" t="s">
        <v>54</v>
      </c>
      <c r="D249" s="45">
        <v>46136</v>
      </c>
      <c r="F249" s="8">
        <f>SUMIFS(根据产能每天需要鲜销部分!$K:$K,根据产能每天需要鲜销部分!$B:$B,$B249,根据产能每天需要鲜销部分!$G:$G,$C249)</f>
        <v>290.12859624165299</v>
      </c>
      <c r="G249">
        <f>_xlfn.XLOOKUP($C249,价格系数辅助表!$C:$C,价格系数辅助表!$E:$E)</f>
        <v>1.8971615295629001</v>
      </c>
      <c r="H249">
        <f t="shared" si="7"/>
        <v>16.7266209859866</v>
      </c>
      <c r="I249" t="str">
        <f>_xlfn.XLOOKUP(B249,'3.屠宰能力表'!B:B,'3.屠宰能力表'!D:D)</f>
        <v>甘肃</v>
      </c>
      <c r="J249">
        <f>_xlfn.XLOOKUP(A249,'1.出栏表'!A:A,'1.出栏表'!F:F)</f>
        <v>8.8166562126317292</v>
      </c>
    </row>
    <row r="250" spans="1:10" ht="15" x14ac:dyDescent="0.3">
      <c r="A250" t="str">
        <f t="shared" si="6"/>
        <v>甘肃46136</v>
      </c>
      <c r="B250" t="s">
        <v>156</v>
      </c>
      <c r="C250" t="s">
        <v>55</v>
      </c>
      <c r="D250" s="45">
        <v>46136</v>
      </c>
      <c r="F250" s="8">
        <f>SUMIFS(根据产能每天需要鲜销部分!$K:$K,根据产能每天需要鲜销部分!$B:$B,$B250,根据产能每天需要鲜销部分!$G:$G,$C250)</f>
        <v>31.3370220963082</v>
      </c>
      <c r="G250">
        <f>_xlfn.XLOOKUP($C250,价格系数辅助表!$C:$C,价格系数辅助表!$E:$E)</f>
        <v>3.2997148664303801</v>
      </c>
      <c r="H250">
        <f t="shared" si="7"/>
        <v>29.092451577026701</v>
      </c>
      <c r="I250" t="str">
        <f>_xlfn.XLOOKUP(B250,'3.屠宰能力表'!B:B,'3.屠宰能力表'!D:D)</f>
        <v>甘肃</v>
      </c>
      <c r="J250">
        <f>_xlfn.XLOOKUP(A250,'1.出栏表'!A:A,'1.出栏表'!F:F)</f>
        <v>8.8166562126317292</v>
      </c>
    </row>
    <row r="251" spans="1:10" ht="15" x14ac:dyDescent="0.3">
      <c r="A251" t="str">
        <f t="shared" si="6"/>
        <v>甘肃46136</v>
      </c>
      <c r="B251" t="s">
        <v>156</v>
      </c>
      <c r="C251" t="s">
        <v>57</v>
      </c>
      <c r="D251" s="45">
        <v>46136</v>
      </c>
      <c r="F251" s="8">
        <f>SUMIFS(根据产能每天需要鲜销部分!$K:$K,根据产能每天需要鲜销部分!$B:$B,$B251,根据产能每天需要鲜销部分!$G:$G,$C251)</f>
        <v>1106.5607376451301</v>
      </c>
      <c r="G251">
        <f>_xlfn.XLOOKUP($C251,价格系数辅助表!$C:$C,价格系数辅助表!$E:$E)</f>
        <v>0.130070801908548</v>
      </c>
      <c r="H251">
        <f t="shared" si="7"/>
        <v>1.1467895437289899</v>
      </c>
      <c r="I251" t="str">
        <f>_xlfn.XLOOKUP(B251,'3.屠宰能力表'!B:B,'3.屠宰能力表'!D:D)</f>
        <v>甘肃</v>
      </c>
      <c r="J251">
        <f>_xlfn.XLOOKUP(A251,'1.出栏表'!A:A,'1.出栏表'!F:F)</f>
        <v>8.8166562126317292</v>
      </c>
    </row>
    <row r="252" spans="1:10" ht="15" x14ac:dyDescent="0.3">
      <c r="A252" t="str">
        <f t="shared" si="6"/>
        <v>甘肃46136</v>
      </c>
      <c r="B252" t="s">
        <v>156</v>
      </c>
      <c r="C252" t="s">
        <v>58</v>
      </c>
      <c r="D252" s="45">
        <v>46136</v>
      </c>
      <c r="F252" s="8">
        <f>SUMIFS(根据产能每天需要鲜销部分!$K:$K,根据产能每天需要鲜销部分!$B:$B,$B252,根据产能每天需要鲜销部分!$G:$G,$C252)</f>
        <v>1576.8591138107199</v>
      </c>
      <c r="G252">
        <f>_xlfn.XLOOKUP($C252,价格系数辅助表!$C:$C,价格系数辅助表!$E:$E)</f>
        <v>0.69784384029908697</v>
      </c>
      <c r="H252">
        <f t="shared" si="7"/>
        <v>6.1526492300197297</v>
      </c>
      <c r="I252" t="str">
        <f>_xlfn.XLOOKUP(B252,'3.屠宰能力表'!B:B,'3.屠宰能力表'!D:D)</f>
        <v>甘肃</v>
      </c>
      <c r="J252">
        <f>_xlfn.XLOOKUP(A252,'1.出栏表'!A:A,'1.出栏表'!F:F)</f>
        <v>8.8166562126317292</v>
      </c>
    </row>
    <row r="253" spans="1:10" ht="15" x14ac:dyDescent="0.3">
      <c r="A253" t="str">
        <f t="shared" si="6"/>
        <v>甘肃46136</v>
      </c>
      <c r="B253" t="s">
        <v>156</v>
      </c>
      <c r="C253" t="s">
        <v>59</v>
      </c>
      <c r="D253" s="45">
        <v>46136</v>
      </c>
      <c r="F253" s="8">
        <f>SUMIFS(根据产能每天需要鲜销部分!$K:$K,根据产能每天需要鲜销部分!$B:$B,$B253,根据产能每天需要鲜销部分!$G:$G,$C253)</f>
        <v>1589.62981208265</v>
      </c>
      <c r="G253">
        <f>_xlfn.XLOOKUP($C253,价格系数辅助表!$C:$C,价格系数辅助表!$E:$E)</f>
        <v>0.456447335288171</v>
      </c>
      <c r="H253">
        <f t="shared" si="7"/>
        <v>4.0243392344076501</v>
      </c>
      <c r="I253" t="str">
        <f>_xlfn.XLOOKUP(B253,'3.屠宰能力表'!B:B,'3.屠宰能力表'!D:D)</f>
        <v>甘肃</v>
      </c>
      <c r="J253">
        <f>_xlfn.XLOOKUP(A253,'1.出栏表'!A:A,'1.出栏表'!F:F)</f>
        <v>8.8166562126317292</v>
      </c>
    </row>
    <row r="254" spans="1:10" ht="15" x14ac:dyDescent="0.3">
      <c r="A254" t="str">
        <f t="shared" si="6"/>
        <v>甘肃46136</v>
      </c>
      <c r="B254" t="s">
        <v>156</v>
      </c>
      <c r="C254" t="s">
        <v>60</v>
      </c>
      <c r="D254" s="45">
        <v>46136</v>
      </c>
      <c r="F254" s="8">
        <f>SUMIFS(根据产能每天需要鲜销部分!$K:$K,根据产能每天需要鲜销部分!$B:$B,$B254,根据产能每天需要鲜销部分!$G:$G,$C254)</f>
        <v>737.30616061029798</v>
      </c>
      <c r="G254">
        <f>_xlfn.XLOOKUP($C254,价格系数辅助表!$C:$C,价格系数辅助表!$E:$E)</f>
        <v>0.30253913346115902</v>
      </c>
      <c r="H254">
        <f t="shared" si="7"/>
        <v>2.6673835305945501</v>
      </c>
      <c r="I254" t="str">
        <f>_xlfn.XLOOKUP(B254,'3.屠宰能力表'!B:B,'3.屠宰能力表'!D:D)</f>
        <v>甘肃</v>
      </c>
      <c r="J254">
        <f>_xlfn.XLOOKUP(A254,'1.出栏表'!A:A,'1.出栏表'!F:F)</f>
        <v>8.8166562126317292</v>
      </c>
    </row>
    <row r="255" spans="1:10" ht="15" x14ac:dyDescent="0.3">
      <c r="A255" t="str">
        <f t="shared" si="6"/>
        <v>甘肃46136</v>
      </c>
      <c r="B255" t="s">
        <v>156</v>
      </c>
      <c r="C255" t="s">
        <v>61</v>
      </c>
      <c r="D255" s="45">
        <v>46136</v>
      </c>
      <c r="F255" s="8">
        <f>SUMIFS(根据产能每天需要鲜销部分!$K:$K,根据产能每天需要鲜销部分!$B:$B,$B255,根据产能每天需要鲜销部分!$G:$G,$C255)</f>
        <v>844.01046179389903</v>
      </c>
      <c r="G255">
        <f>_xlfn.XLOOKUP($C255,价格系数辅助表!$C:$C,价格系数辅助表!$E:$E)</f>
        <v>5.2234050059701297E-2</v>
      </c>
      <c r="H255">
        <f t="shared" si="7"/>
        <v>0.46052966196978201</v>
      </c>
      <c r="I255" t="str">
        <f>_xlfn.XLOOKUP(B255,'3.屠宰能力表'!B:B,'3.屠宰能力表'!D:D)</f>
        <v>甘肃</v>
      </c>
      <c r="J255">
        <f>_xlfn.XLOOKUP(A255,'1.出栏表'!A:A,'1.出栏表'!F:F)</f>
        <v>8.8166562126317292</v>
      </c>
    </row>
    <row r="256" spans="1:10" ht="15" x14ac:dyDescent="0.3">
      <c r="A256" t="str">
        <f t="shared" si="6"/>
        <v>甘肃46136</v>
      </c>
      <c r="B256" t="s">
        <v>156</v>
      </c>
      <c r="C256" t="s">
        <v>62</v>
      </c>
      <c r="D256" s="45">
        <v>46136</v>
      </c>
      <c r="F256" s="8">
        <f>SUMIFS(根据产能每天需要鲜销部分!$K:$K,根据产能每天需要鲜销部分!$B:$B,$B256,根据产能每天需要鲜销部分!$G:$G,$C256)</f>
        <v>791.25980793177996</v>
      </c>
      <c r="G256">
        <f>_xlfn.XLOOKUP($C256,价格系数辅助表!$C:$C,价格系数辅助表!$E:$E)</f>
        <v>0.27335161219757498</v>
      </c>
      <c r="H256">
        <f t="shared" si="7"/>
        <v>2.4100471899146498</v>
      </c>
      <c r="I256" t="str">
        <f>_xlfn.XLOOKUP(B256,'3.屠宰能力表'!B:B,'3.屠宰能力表'!D:D)</f>
        <v>甘肃</v>
      </c>
      <c r="J256">
        <f>_xlfn.XLOOKUP(A256,'1.出栏表'!A:A,'1.出栏表'!F:F)</f>
        <v>8.8166562126317292</v>
      </c>
    </row>
    <row r="257" spans="1:10" ht="15" x14ac:dyDescent="0.3">
      <c r="A257" t="str">
        <f t="shared" si="6"/>
        <v>甘肃46136</v>
      </c>
      <c r="B257" t="s">
        <v>156</v>
      </c>
      <c r="C257" t="s">
        <v>63</v>
      </c>
      <c r="D257" s="45">
        <v>46136</v>
      </c>
      <c r="F257" s="8">
        <f>SUMIFS(根据产能每天需要鲜销部分!$K:$K,根据产能每天需要鲜销部分!$B:$B,$B257,根据产能每天需要鲜销部分!$G:$G,$C257)</f>
        <v>664.38055782800905</v>
      </c>
      <c r="G257">
        <f>_xlfn.XLOOKUP($C257,价格系数辅助表!$C:$C,价格系数辅助表!$E:$E)</f>
        <v>0.25083638292710098</v>
      </c>
      <c r="H257">
        <f t="shared" si="7"/>
        <v>2.2115381538882901</v>
      </c>
      <c r="I257" t="str">
        <f>_xlfn.XLOOKUP(B257,'3.屠宰能力表'!B:B,'3.屠宰能力表'!D:D)</f>
        <v>甘肃</v>
      </c>
      <c r="J257">
        <f>_xlfn.XLOOKUP(A257,'1.出栏表'!A:A,'1.出栏表'!F:F)</f>
        <v>8.8166562126317292</v>
      </c>
    </row>
    <row r="258" spans="1:10" ht="15" x14ac:dyDescent="0.3">
      <c r="A258" t="str">
        <f t="shared" si="6"/>
        <v>甘肃46136</v>
      </c>
      <c r="B258" t="s">
        <v>156</v>
      </c>
      <c r="C258" t="s">
        <v>64</v>
      </c>
      <c r="D258" s="45">
        <v>46136</v>
      </c>
      <c r="F258" s="8">
        <f>SUMIFS(根据产能每天需要鲜销部分!$K:$K,根据产能每天需要鲜销部分!$B:$B,$B258,根据产能每天需要鲜销部分!$G:$G,$C258)</f>
        <v>114.90241435313</v>
      </c>
      <c r="G258">
        <f>_xlfn.XLOOKUP($C258,价格系数辅助表!$C:$C,价格系数辅助表!$E:$E)</f>
        <v>0.87755384758256405</v>
      </c>
      <c r="H258">
        <f t="shared" si="7"/>
        <v>7.7370905822076903</v>
      </c>
      <c r="I258" t="str">
        <f>_xlfn.XLOOKUP(B258,'3.屠宰能力表'!B:B,'3.屠宰能力表'!D:D)</f>
        <v>甘肃</v>
      </c>
      <c r="J258">
        <f>_xlfn.XLOOKUP(A258,'1.出栏表'!A:A,'1.出栏表'!F:F)</f>
        <v>8.8166562126317292</v>
      </c>
    </row>
    <row r="259" spans="1:10" ht="15" x14ac:dyDescent="0.3">
      <c r="A259" t="str">
        <f t="shared" ref="A259:A322" si="8">I259&amp;D259</f>
        <v>甘肃46136</v>
      </c>
      <c r="B259" t="s">
        <v>156</v>
      </c>
      <c r="C259" t="s">
        <v>65</v>
      </c>
      <c r="D259" s="45">
        <v>46136</v>
      </c>
      <c r="F259" s="8">
        <f>SUMIFS(根据产能每天需要鲜销部分!$K:$K,根据产能每天需要鲜销部分!$B:$B,$B259,根据产能每天需要鲜销部分!$G:$G,$C259)</f>
        <v>52.228370160513599</v>
      </c>
      <c r="G259">
        <f>_xlfn.XLOOKUP($C259,价格系数辅助表!$C:$C,价格系数辅助表!$E:$E)</f>
        <v>1.02785250036373</v>
      </c>
      <c r="H259">
        <f t="shared" ref="H259:H322" si="9">G259*$J259</f>
        <v>9.0622221330009793</v>
      </c>
      <c r="I259" t="str">
        <f>_xlfn.XLOOKUP(B259,'3.屠宰能力表'!B:B,'3.屠宰能力表'!D:D)</f>
        <v>甘肃</v>
      </c>
      <c r="J259">
        <f>_xlfn.XLOOKUP(A259,'1.出栏表'!A:A,'1.出栏表'!F:F)</f>
        <v>8.8166562126317292</v>
      </c>
    </row>
    <row r="260" spans="1:10" ht="15" x14ac:dyDescent="0.3">
      <c r="A260" t="str">
        <f t="shared" si="8"/>
        <v>甘肃46136</v>
      </c>
      <c r="B260" t="s">
        <v>156</v>
      </c>
      <c r="C260" t="s">
        <v>66</v>
      </c>
      <c r="D260" s="45">
        <v>46136</v>
      </c>
      <c r="F260" s="8">
        <f>SUMIFS(根据产能每天需要鲜销部分!$K:$K,根据产能每天需要鲜销部分!$B:$B,$B260,根据产能每天需要鲜销部分!$G:$G,$C260)</f>
        <v>184.627288517415</v>
      </c>
      <c r="G260">
        <f>_xlfn.XLOOKUP($C260,价格系数辅助表!$C:$C,价格系数辅助表!$E:$E)</f>
        <v>0.29390609194172401</v>
      </c>
      <c r="H260">
        <f t="shared" si="9"/>
        <v>2.5912689714483101</v>
      </c>
      <c r="I260" t="str">
        <f>_xlfn.XLOOKUP(B260,'3.屠宰能力表'!B:B,'3.屠宰能力表'!D:D)</f>
        <v>甘肃</v>
      </c>
      <c r="J260">
        <f>_xlfn.XLOOKUP(A260,'1.出栏表'!A:A,'1.出栏表'!F:F)</f>
        <v>8.8166562126317292</v>
      </c>
    </row>
    <row r="261" spans="1:10" ht="15" x14ac:dyDescent="0.3">
      <c r="A261" t="str">
        <f t="shared" si="8"/>
        <v>甘肃46136</v>
      </c>
      <c r="B261" t="s">
        <v>156</v>
      </c>
      <c r="C261" t="s">
        <v>67</v>
      </c>
      <c r="D261" s="45">
        <v>46136</v>
      </c>
      <c r="F261" s="8">
        <f>SUMIFS(根据产能每天需要鲜销部分!$K:$K,根据产能每天需要鲜销部分!$B:$B,$B261,根据产能每天需要鲜销部分!$G:$G,$C261)</f>
        <v>2160</v>
      </c>
      <c r="G261">
        <f>_xlfn.XLOOKUP($C261,价格系数辅助表!$C:$C,价格系数辅助表!$E:$E)</f>
        <v>8.7444985304843598E-2</v>
      </c>
      <c r="H261">
        <f t="shared" si="9"/>
        <v>0.77097237295143894</v>
      </c>
      <c r="I261" t="str">
        <f>_xlfn.XLOOKUP(B261,'3.屠宰能力表'!B:B,'3.屠宰能力表'!D:D)</f>
        <v>甘肃</v>
      </c>
      <c r="J261">
        <f>_xlfn.XLOOKUP(A261,'1.出栏表'!A:A,'1.出栏表'!F:F)</f>
        <v>8.8166562126317292</v>
      </c>
    </row>
    <row r="262" spans="1:10" ht="15" x14ac:dyDescent="0.3">
      <c r="A262" t="str">
        <f t="shared" si="8"/>
        <v>甘肃46136</v>
      </c>
      <c r="B262" t="s">
        <v>156</v>
      </c>
      <c r="C262" t="s">
        <v>56</v>
      </c>
      <c r="D262" s="45">
        <v>46136</v>
      </c>
      <c r="F262" s="8">
        <f>SUMIFS(根据产能每天需要鲜销部分!$K:$K,根据产能每天需要鲜销部分!$B:$B,$B262,根据产能每天需要鲜销部分!$G:$G,$C262)</f>
        <v>544.68652567580295</v>
      </c>
      <c r="G262">
        <f>_xlfn.XLOOKUP($C262,价格系数辅助表!$C:$C,价格系数辅助表!$E:$E)</f>
        <v>0.56179466940109002</v>
      </c>
      <c r="H262">
        <f t="shared" si="9"/>
        <v>4.9531504621985096</v>
      </c>
      <c r="I262" t="str">
        <f>_xlfn.XLOOKUP(B262,'3.屠宰能力表'!B:B,'3.屠宰能力表'!D:D)</f>
        <v>甘肃</v>
      </c>
      <c r="J262">
        <f>_xlfn.XLOOKUP(A262,'1.出栏表'!A:A,'1.出栏表'!F:F)</f>
        <v>8.8166562126317292</v>
      </c>
    </row>
    <row r="263" spans="1:10" ht="15" x14ac:dyDescent="0.3">
      <c r="A263" t="str">
        <f t="shared" si="8"/>
        <v>甘肃46136</v>
      </c>
      <c r="B263" t="s">
        <v>156</v>
      </c>
      <c r="C263" t="s">
        <v>45</v>
      </c>
      <c r="D263" s="45">
        <v>46136</v>
      </c>
      <c r="F263" s="8">
        <f>SUMIFS(根据产能每天需要鲜销部分!$K:$K,根据产能每天需要鲜销部分!$B:$B,$B263,根据产能每天需要鲜销部分!$G:$G,$C263)</f>
        <v>539.59092319251397</v>
      </c>
      <c r="G263">
        <f>_xlfn.XLOOKUP($C263,价格系数辅助表!$C:$C,价格系数辅助表!$E:$E)</f>
        <v>2.1733017987485002</v>
      </c>
      <c r="H263">
        <f t="shared" si="9"/>
        <v>19.161254805859699</v>
      </c>
      <c r="I263" t="str">
        <f>_xlfn.XLOOKUP(B263,'3.屠宰能力表'!B:B,'3.屠宰能力表'!D:D)</f>
        <v>甘肃</v>
      </c>
      <c r="J263">
        <f>_xlfn.XLOOKUP(A263,'1.出栏表'!A:A,'1.出栏表'!F:F)</f>
        <v>8.8166562126317292</v>
      </c>
    </row>
    <row r="264" spans="1:10" ht="15" x14ac:dyDescent="0.3">
      <c r="A264" t="str">
        <f t="shared" si="8"/>
        <v>甘肃46136</v>
      </c>
      <c r="B264" t="s">
        <v>156</v>
      </c>
      <c r="C264" t="s">
        <v>68</v>
      </c>
      <c r="D264" s="45">
        <v>46136</v>
      </c>
      <c r="F264" s="8">
        <f>SUMIFS(根据产能每天需要鲜销部分!$K:$K,根据产能每天需要鲜销部分!$B:$B,$B264,根据产能每天需要鲜销部分!$G:$G,$C264)</f>
        <v>3546.7288217550899</v>
      </c>
      <c r="G264">
        <f>_xlfn.XLOOKUP($C264,价格系数辅助表!$C:$C,价格系数辅助表!$E:$E)</f>
        <v>2.3363490079598002</v>
      </c>
      <c r="H264">
        <f t="shared" si="9"/>
        <v>20.598785995904699</v>
      </c>
      <c r="I264" t="str">
        <f>_xlfn.XLOOKUP(B264,'3.屠宰能力表'!B:B,'3.屠宰能力表'!D:D)</f>
        <v>甘肃</v>
      </c>
      <c r="J264">
        <f>_xlfn.XLOOKUP(A264,'1.出栏表'!A:A,'1.出栏表'!F:F)</f>
        <v>8.8166562126317292</v>
      </c>
    </row>
    <row r="265" spans="1:10" ht="15" x14ac:dyDescent="0.3">
      <c r="A265" t="str">
        <f t="shared" si="8"/>
        <v>甘肃46136</v>
      </c>
      <c r="B265" t="s">
        <v>156</v>
      </c>
      <c r="C265" t="s">
        <v>70</v>
      </c>
      <c r="D265" s="45">
        <v>46136</v>
      </c>
      <c r="F265" s="8">
        <f>SUMIFS(根据产能每天需要鲜销部分!$K:$K,根据产能每天需要鲜销部分!$B:$B,$B265,根据产能每天需要鲜销部分!$G:$G,$C265)</f>
        <v>2882.73152607471</v>
      </c>
      <c r="G265">
        <f>_xlfn.XLOOKUP($C265,价格系数辅助表!$C:$C,价格系数辅助表!$E:$E)</f>
        <v>1.56138134676664</v>
      </c>
      <c r="H265">
        <f t="shared" si="9"/>
        <v>13.7661625512574</v>
      </c>
      <c r="I265" t="str">
        <f>_xlfn.XLOOKUP(B265,'3.屠宰能力表'!B:B,'3.屠宰能力表'!D:D)</f>
        <v>甘肃</v>
      </c>
      <c r="J265">
        <f>_xlfn.XLOOKUP(A265,'1.出栏表'!A:A,'1.出栏表'!F:F)</f>
        <v>8.8166562126317292</v>
      </c>
    </row>
    <row r="266" spans="1:10" ht="15" x14ac:dyDescent="0.3">
      <c r="A266" t="str">
        <f t="shared" si="8"/>
        <v>甘肃46136</v>
      </c>
      <c r="B266" t="s">
        <v>156</v>
      </c>
      <c r="C266" t="s">
        <v>71</v>
      </c>
      <c r="D266" s="45">
        <v>46136</v>
      </c>
      <c r="F266" s="8">
        <f>SUMIFS(根据产能每天需要鲜销部分!$K:$K,根据产能每天需要鲜销部分!$B:$B,$B266,根据产能每天需要鲜销部分!$G:$G,$C266)</f>
        <v>845.899323904217</v>
      </c>
      <c r="G266">
        <f>_xlfn.XLOOKUP($C266,价格系数辅助表!$C:$C,价格系数辅助表!$E:$E)</f>
        <v>4.1323214054635997</v>
      </c>
      <c r="H266">
        <f t="shared" si="9"/>
        <v>36.4332571920717</v>
      </c>
      <c r="I266" t="str">
        <f>_xlfn.XLOOKUP(B266,'3.屠宰能力表'!B:B,'3.屠宰能力表'!D:D)</f>
        <v>甘肃</v>
      </c>
      <c r="J266">
        <f>_xlfn.XLOOKUP(A266,'1.出栏表'!A:A,'1.出栏表'!F:F)</f>
        <v>8.8166562126317292</v>
      </c>
    </row>
    <row r="267" spans="1:10" ht="15" x14ac:dyDescent="0.3">
      <c r="A267" t="str">
        <f t="shared" si="8"/>
        <v>甘肃46136</v>
      </c>
      <c r="B267" t="s">
        <v>156</v>
      </c>
      <c r="C267" t="s">
        <v>72</v>
      </c>
      <c r="D267" s="45">
        <v>46136</v>
      </c>
      <c r="F267" s="8">
        <f>SUMIFS(根据产能每天需要鲜销部分!$K:$K,根据产能每天需要鲜销部分!$B:$B,$B267,根据产能每天需要鲜销部分!$G:$G,$C267)</f>
        <v>2228.8127300250198</v>
      </c>
      <c r="G267">
        <f>_xlfn.XLOOKUP($C267,价格系数辅助表!$C:$C,价格系数辅助表!$E:$E)</f>
        <v>2.4066238998277001</v>
      </c>
      <c r="H267">
        <f t="shared" si="9"/>
        <v>21.218375557883899</v>
      </c>
      <c r="I267" t="str">
        <f>_xlfn.XLOOKUP(B267,'3.屠宰能力表'!B:B,'3.屠宰能力表'!D:D)</f>
        <v>甘肃</v>
      </c>
      <c r="J267">
        <f>_xlfn.XLOOKUP(A267,'1.出栏表'!A:A,'1.出栏表'!F:F)</f>
        <v>8.8166562126317292</v>
      </c>
    </row>
    <row r="268" spans="1:10" ht="15" x14ac:dyDescent="0.3">
      <c r="A268" t="str">
        <f t="shared" si="8"/>
        <v>甘肃46136</v>
      </c>
      <c r="B268" t="s">
        <v>156</v>
      </c>
      <c r="C268" t="s">
        <v>73</v>
      </c>
      <c r="D268" s="45">
        <v>46136</v>
      </c>
      <c r="F268" s="8">
        <f>SUMIFS(根据产能每天需要鲜销部分!$K:$K,根据产能每天需要鲜销部分!$B:$B,$B268,根据产能每天需要鲜销部分!$G:$G,$C268)</f>
        <v>373.45903394082097</v>
      </c>
      <c r="G268">
        <f>_xlfn.XLOOKUP($C268,价格系数辅助表!$C:$C,价格系数辅助表!$E:$E)</f>
        <v>1.4457460218126601</v>
      </c>
      <c r="H268">
        <f t="shared" si="9"/>
        <v>12.7466456451022</v>
      </c>
      <c r="I268" t="str">
        <f>_xlfn.XLOOKUP(B268,'3.屠宰能力表'!B:B,'3.屠宰能力表'!D:D)</f>
        <v>甘肃</v>
      </c>
      <c r="J268">
        <f>_xlfn.XLOOKUP(A268,'1.出栏表'!A:A,'1.出栏表'!F:F)</f>
        <v>8.8166562126317292</v>
      </c>
    </row>
    <row r="269" spans="1:10" ht="15" x14ac:dyDescent="0.3">
      <c r="A269" t="str">
        <f t="shared" si="8"/>
        <v>甘肃46136</v>
      </c>
      <c r="B269" t="s">
        <v>156</v>
      </c>
      <c r="C269" t="s">
        <v>75</v>
      </c>
      <c r="D269" s="45">
        <v>46136</v>
      </c>
      <c r="F269" s="8">
        <f>SUMIFS(根据产能每天需要鲜销部分!$K:$K,根据产能每天需要鲜销部分!$B:$B,$B269,根据产能每天需要鲜销部分!$G:$G,$C269)</f>
        <v>416.25522489193901</v>
      </c>
      <c r="G269">
        <f>_xlfn.XLOOKUP($C269,价格系数辅助表!$C:$C,价格系数辅助表!$E:$E)</f>
        <v>1.4617715272634999</v>
      </c>
      <c r="H269">
        <f t="shared" si="9"/>
        <v>12.887937017295901</v>
      </c>
      <c r="I269" t="str">
        <f>_xlfn.XLOOKUP(B269,'3.屠宰能力表'!B:B,'3.屠宰能力表'!D:D)</f>
        <v>甘肃</v>
      </c>
      <c r="J269">
        <f>_xlfn.XLOOKUP(A269,'1.出栏表'!A:A,'1.出栏表'!F:F)</f>
        <v>8.8166562126317292</v>
      </c>
    </row>
    <row r="270" spans="1:10" ht="15" x14ac:dyDescent="0.3">
      <c r="A270" t="str">
        <f t="shared" si="8"/>
        <v>甘肃46136</v>
      </c>
      <c r="B270" t="s">
        <v>156</v>
      </c>
      <c r="C270" t="s">
        <v>76</v>
      </c>
      <c r="D270" s="45">
        <v>46136</v>
      </c>
      <c r="F270" s="8">
        <f>SUMIFS(根据产能每天需要鲜销部分!$K:$K,根据产能每天需要鲜销部分!$B:$B,$B270,根据产能每天需要鲜销部分!$G:$G,$C270)</f>
        <v>5327.4236356157899</v>
      </c>
      <c r="G270">
        <f>_xlfn.XLOOKUP($C270,价格系数辅助表!$C:$C,价格系数辅助表!$E:$E)</f>
        <v>1.4895071246315399</v>
      </c>
      <c r="H270">
        <f t="shared" si="9"/>
        <v>13.1324722441419</v>
      </c>
      <c r="I270" t="str">
        <f>_xlfn.XLOOKUP(B270,'3.屠宰能力表'!B:B,'3.屠宰能力表'!D:D)</f>
        <v>甘肃</v>
      </c>
      <c r="J270">
        <f>_xlfn.XLOOKUP(A270,'1.出栏表'!A:A,'1.出栏表'!F:F)</f>
        <v>8.8166562126317292</v>
      </c>
    </row>
    <row r="271" spans="1:10" ht="15" x14ac:dyDescent="0.3">
      <c r="A271" t="str">
        <f t="shared" si="8"/>
        <v>甘肃46136</v>
      </c>
      <c r="B271" t="s">
        <v>156</v>
      </c>
      <c r="C271" t="s">
        <v>77</v>
      </c>
      <c r="D271" s="45">
        <v>46136</v>
      </c>
      <c r="F271" s="8">
        <f>SUMIFS(根据产能每天需要鲜销部分!$K:$K,根据产能每天需要鲜销部分!$B:$B,$B271,根据产能每天需要鲜销部分!$G:$G,$C271)</f>
        <v>574.73829287588399</v>
      </c>
      <c r="G271">
        <f>_xlfn.XLOOKUP($C271,价格系数辅助表!$C:$C,价格系数辅助表!$E:$E)</f>
        <v>1.4766526372111499</v>
      </c>
      <c r="H271">
        <f t="shared" si="9"/>
        <v>13.019138647766701</v>
      </c>
      <c r="I271" t="str">
        <f>_xlfn.XLOOKUP(B271,'3.屠宰能力表'!B:B,'3.屠宰能力表'!D:D)</f>
        <v>甘肃</v>
      </c>
      <c r="J271">
        <f>_xlfn.XLOOKUP(A271,'1.出栏表'!A:A,'1.出栏表'!F:F)</f>
        <v>8.8166562126317292</v>
      </c>
    </row>
    <row r="272" spans="1:10" ht="15" x14ac:dyDescent="0.3">
      <c r="A272" t="str">
        <f t="shared" si="8"/>
        <v>甘肃46136</v>
      </c>
      <c r="B272" t="s">
        <v>156</v>
      </c>
      <c r="C272" t="s">
        <v>78</v>
      </c>
      <c r="D272" s="45">
        <v>46136</v>
      </c>
      <c r="F272" s="8">
        <f>SUMIFS(根据产能每天需要鲜销部分!$K:$K,根据产能每天需要鲜销部分!$B:$B,$B272,根据产能每天需要鲜销部分!$G:$G,$C272)</f>
        <v>811.17250295595102</v>
      </c>
      <c r="G272">
        <f>_xlfn.XLOOKUP($C272,价格系数辅助表!$C:$C,价格系数辅助表!$E:$E)</f>
        <v>1.2663755864959301</v>
      </c>
      <c r="H272">
        <f t="shared" si="9"/>
        <v>11.165198182204501</v>
      </c>
      <c r="I272" t="str">
        <f>_xlfn.XLOOKUP(B272,'3.屠宰能力表'!B:B,'3.屠宰能力表'!D:D)</f>
        <v>甘肃</v>
      </c>
      <c r="J272">
        <f>_xlfn.XLOOKUP(A272,'1.出栏表'!A:A,'1.出栏表'!F:F)</f>
        <v>8.8166562126317292</v>
      </c>
    </row>
    <row r="273" spans="1:10" ht="15" x14ac:dyDescent="0.3">
      <c r="A273" t="str">
        <f t="shared" si="8"/>
        <v>甘肃46136</v>
      </c>
      <c r="B273" t="s">
        <v>156</v>
      </c>
      <c r="C273" t="s">
        <v>79</v>
      </c>
      <c r="D273" s="45">
        <v>46136</v>
      </c>
      <c r="F273" s="8">
        <f>SUMIFS(根据产能每天需要鲜销部分!$K:$K,根据产能每天需要鲜销部分!$B:$B,$B273,根据产能每天需要鲜销部分!$G:$G,$C273)</f>
        <v>1806.4379494504899</v>
      </c>
      <c r="G273">
        <f>_xlfn.XLOOKUP($C273,价格系数辅助表!$C:$C,价格系数辅助表!$E:$E)</f>
        <v>0.88455097651113601</v>
      </c>
      <c r="H273">
        <f t="shared" si="9"/>
        <v>7.7987818624463703</v>
      </c>
      <c r="I273" t="str">
        <f>_xlfn.XLOOKUP(B273,'3.屠宰能力表'!B:B,'3.屠宰能力表'!D:D)</f>
        <v>甘肃</v>
      </c>
      <c r="J273">
        <f>_xlfn.XLOOKUP(A273,'1.出栏表'!A:A,'1.出栏表'!F:F)</f>
        <v>8.8166562126317292</v>
      </c>
    </row>
    <row r="274" spans="1:10" ht="15" x14ac:dyDescent="0.3">
      <c r="A274" t="str">
        <f t="shared" si="8"/>
        <v>甘肃46136</v>
      </c>
      <c r="B274" t="s">
        <v>156</v>
      </c>
      <c r="C274" t="s">
        <v>80</v>
      </c>
      <c r="D274" s="45">
        <v>46136</v>
      </c>
      <c r="F274" s="8">
        <f>SUMIFS(根据产能每天需要鲜销部分!$K:$K,根据产能每天需要鲜销部分!$B:$B,$B274,根据产能每天需要鲜销部分!$G:$G,$C274)</f>
        <v>999.67398025407704</v>
      </c>
      <c r="G274">
        <f>_xlfn.XLOOKUP($C274,价格系数辅助表!$C:$C,价格系数辅助表!$E:$E)</f>
        <v>0.81656825090915597</v>
      </c>
      <c r="H274">
        <f t="shared" si="9"/>
        <v>7.19940154241604</v>
      </c>
      <c r="I274" t="str">
        <f>_xlfn.XLOOKUP(B274,'3.屠宰能力表'!B:B,'3.屠宰能力表'!D:D)</f>
        <v>甘肃</v>
      </c>
      <c r="J274">
        <f>_xlfn.XLOOKUP(A274,'1.出栏表'!A:A,'1.出栏表'!F:F)</f>
        <v>8.8166562126317292</v>
      </c>
    </row>
    <row r="275" spans="1:10" ht="15" x14ac:dyDescent="0.3">
      <c r="A275" t="str">
        <f t="shared" si="8"/>
        <v>甘肃46136</v>
      </c>
      <c r="B275" t="s">
        <v>156</v>
      </c>
      <c r="C275" t="s">
        <v>81</v>
      </c>
      <c r="D275" s="45">
        <v>46136</v>
      </c>
      <c r="F275" s="8">
        <f>SUMIFS(根据产能每天需要鲜销部分!$K:$K,根据产能每天需要鲜销部分!$B:$B,$B275,根据产能每天需要鲜销部分!$G:$G,$C275)</f>
        <v>2293.9054837112099</v>
      </c>
      <c r="G275">
        <f>_xlfn.XLOOKUP($C275,价格系数辅助表!$C:$C,价格系数辅助表!$E:$E)</f>
        <v>1.1259651927004599</v>
      </c>
      <c r="H275">
        <f t="shared" si="9"/>
        <v>9.9272480114295707</v>
      </c>
      <c r="I275" t="str">
        <f>_xlfn.XLOOKUP(B275,'3.屠宰能力表'!B:B,'3.屠宰能力表'!D:D)</f>
        <v>甘肃</v>
      </c>
      <c r="J275">
        <f>_xlfn.XLOOKUP(A275,'1.出栏表'!A:A,'1.出栏表'!F:F)</f>
        <v>8.8166562126317292</v>
      </c>
    </row>
    <row r="276" spans="1:10" ht="15" x14ac:dyDescent="0.3">
      <c r="A276" t="str">
        <f t="shared" si="8"/>
        <v>甘肃46136</v>
      </c>
      <c r="B276" t="s">
        <v>156</v>
      </c>
      <c r="C276" t="s">
        <v>82</v>
      </c>
      <c r="D276" s="45">
        <v>46136</v>
      </c>
      <c r="F276" s="8">
        <f>SUMIFS(根据产能每天需要鲜销部分!$K:$K,根据产能每天需要鲜销部分!$B:$B,$B276,根据产能每天需要鲜销部分!$G:$G,$C276)</f>
        <v>387.89858499474798</v>
      </c>
      <c r="G276">
        <f>_xlfn.XLOOKUP($C276,价格系数辅助表!$C:$C,价格系数辅助表!$E:$E)</f>
        <v>1.02591469638818</v>
      </c>
      <c r="H276">
        <f t="shared" si="9"/>
        <v>9.0451371815410102</v>
      </c>
      <c r="I276" t="str">
        <f>_xlfn.XLOOKUP(B276,'3.屠宰能力表'!B:B,'3.屠宰能力表'!D:D)</f>
        <v>甘肃</v>
      </c>
      <c r="J276">
        <f>_xlfn.XLOOKUP(A276,'1.出栏表'!A:A,'1.出栏表'!F:F)</f>
        <v>8.8166562126317292</v>
      </c>
    </row>
    <row r="277" spans="1:10" ht="15" x14ac:dyDescent="0.3">
      <c r="A277" t="str">
        <f t="shared" si="8"/>
        <v>甘肃46136</v>
      </c>
      <c r="B277" t="s">
        <v>156</v>
      </c>
      <c r="C277" t="s">
        <v>83</v>
      </c>
      <c r="D277" s="45">
        <v>46136</v>
      </c>
      <c r="F277" s="8">
        <f>SUMIFS(根据产能每天需要鲜销部分!$K:$K,根据产能每天需要鲜销部分!$B:$B,$B277,根据产能每天需要鲜销部分!$G:$G,$C277)</f>
        <v>554.69714758000805</v>
      </c>
      <c r="G277">
        <f>_xlfn.XLOOKUP($C277,价格系数辅助表!$C:$C,价格系数辅助表!$E:$E)</f>
        <v>0.922604514711862</v>
      </c>
      <c r="H277">
        <f t="shared" si="9"/>
        <v>8.1342868264364192</v>
      </c>
      <c r="I277" t="str">
        <f>_xlfn.XLOOKUP(B277,'3.屠宰能力表'!B:B,'3.屠宰能力表'!D:D)</f>
        <v>甘肃</v>
      </c>
      <c r="J277">
        <f>_xlfn.XLOOKUP(A277,'1.出栏表'!A:A,'1.出栏表'!F:F)</f>
        <v>8.8166562126317292</v>
      </c>
    </row>
    <row r="278" spans="1:10" ht="15" x14ac:dyDescent="0.3">
      <c r="A278" t="str">
        <f t="shared" si="8"/>
        <v>甘肃46136</v>
      </c>
      <c r="B278" t="s">
        <v>156</v>
      </c>
      <c r="C278" t="s">
        <v>84</v>
      </c>
      <c r="D278" s="45">
        <v>46136</v>
      </c>
      <c r="F278" s="8">
        <f>SUMIFS(根据产能每天需要鲜销部分!$K:$K,根据产能每天需要鲜销部分!$B:$B,$B278,根据产能每天需要鲜销部分!$G:$G,$C278)</f>
        <v>1804.2896228976199</v>
      </c>
      <c r="G278">
        <f>_xlfn.XLOOKUP($C278,价格系数辅助表!$C:$C,价格系数辅助表!$E:$E)</f>
        <v>0.926679482358305</v>
      </c>
      <c r="H278">
        <f t="shared" si="9"/>
        <v>8.1702144152527101</v>
      </c>
      <c r="I278" t="str">
        <f>_xlfn.XLOOKUP(B278,'3.屠宰能力表'!B:B,'3.屠宰能力表'!D:D)</f>
        <v>甘肃</v>
      </c>
      <c r="J278">
        <f>_xlfn.XLOOKUP(A278,'1.出栏表'!A:A,'1.出栏表'!F:F)</f>
        <v>8.8166562126317292</v>
      </c>
    </row>
    <row r="279" spans="1:10" ht="15" x14ac:dyDescent="0.3">
      <c r="A279" t="str">
        <f t="shared" si="8"/>
        <v>甘肃46136</v>
      </c>
      <c r="B279" t="s">
        <v>156</v>
      </c>
      <c r="C279" t="s">
        <v>85</v>
      </c>
      <c r="D279" s="45">
        <v>46136</v>
      </c>
      <c r="F279" s="8">
        <f>SUMIFS(根据产能每天需要鲜销部分!$K:$K,根据产能每天需要鲜销部分!$B:$B,$B279,根据产能每天需要鲜销部分!$G:$G,$C279)</f>
        <v>755.85105824088998</v>
      </c>
      <c r="G279">
        <f>_xlfn.XLOOKUP($C279,价格系数辅助表!$C:$C,价格系数辅助表!$E:$E)</f>
        <v>1.1521636001823701</v>
      </c>
      <c r="H279">
        <f t="shared" si="9"/>
        <v>10.1582303635161</v>
      </c>
      <c r="I279" t="str">
        <f>_xlfn.XLOOKUP(B279,'3.屠宰能力表'!B:B,'3.屠宰能力表'!D:D)</f>
        <v>甘肃</v>
      </c>
      <c r="J279">
        <f>_xlfn.XLOOKUP(A279,'1.出栏表'!A:A,'1.出栏表'!F:F)</f>
        <v>8.8166562126317292</v>
      </c>
    </row>
    <row r="280" spans="1:10" ht="15" x14ac:dyDescent="0.3">
      <c r="A280" t="str">
        <f t="shared" si="8"/>
        <v>甘肃46136</v>
      </c>
      <c r="B280" t="s">
        <v>156</v>
      </c>
      <c r="C280" t="s">
        <v>86</v>
      </c>
      <c r="D280" s="45">
        <v>46136</v>
      </c>
      <c r="F280" s="8">
        <f>SUMIFS(根据产能每天需要鲜销部分!$K:$K,根据产能每天需要鲜销部分!$B:$B,$B280,根据产能每天需要鲜销部分!$G:$G,$C280)</f>
        <v>536.41042842902004</v>
      </c>
      <c r="G280">
        <f>_xlfn.XLOOKUP($C280,价格系数辅助表!$C:$C,价格系数辅助表!$E:$E)</f>
        <v>1.0074710773803</v>
      </c>
      <c r="H280">
        <f t="shared" si="9"/>
        <v>8.8825261334317993</v>
      </c>
      <c r="I280" t="str">
        <f>_xlfn.XLOOKUP(B280,'3.屠宰能力表'!B:B,'3.屠宰能力表'!D:D)</f>
        <v>甘肃</v>
      </c>
      <c r="J280">
        <f>_xlfn.XLOOKUP(A280,'1.出栏表'!A:A,'1.出栏表'!F:F)</f>
        <v>8.8166562126317292</v>
      </c>
    </row>
    <row r="281" spans="1:10" ht="15" x14ac:dyDescent="0.3">
      <c r="A281" t="str">
        <f t="shared" si="8"/>
        <v>甘肃46136</v>
      </c>
      <c r="B281" t="s">
        <v>156</v>
      </c>
      <c r="C281" t="s">
        <v>87</v>
      </c>
      <c r="D281" s="45">
        <v>46136</v>
      </c>
      <c r="F281" s="8">
        <f>SUMIFS(根据产能每天需要鲜销部分!$K:$K,根据产能每天需要鲜销部分!$B:$B,$B281,根据产能每天需要鲜销部分!$G:$G,$C281)</f>
        <v>170.67604540923401</v>
      </c>
      <c r="G281">
        <f>_xlfn.XLOOKUP($C281,价格系数辅助表!$C:$C,价格系数辅助表!$E:$E)</f>
        <v>0.72970400715709505</v>
      </c>
      <c r="H281">
        <f t="shared" si="9"/>
        <v>6.4335493680838702</v>
      </c>
      <c r="I281" t="str">
        <f>_xlfn.XLOOKUP(B281,'3.屠宰能力表'!B:B,'3.屠宰能力表'!D:D)</f>
        <v>甘肃</v>
      </c>
      <c r="J281">
        <f>_xlfn.XLOOKUP(A281,'1.出栏表'!A:A,'1.出栏表'!F:F)</f>
        <v>8.8166562126317292</v>
      </c>
    </row>
    <row r="282" spans="1:10" ht="15" x14ac:dyDescent="0.3">
      <c r="A282" t="str">
        <f t="shared" si="8"/>
        <v>甘肃46136</v>
      </c>
      <c r="B282" t="s">
        <v>156</v>
      </c>
      <c r="C282" t="s">
        <v>88</v>
      </c>
      <c r="D282" s="45">
        <v>46136</v>
      </c>
      <c r="F282" s="8">
        <f>SUMIFS(根据产能每天需要鲜销部分!$K:$K,根据产能每天需要鲜销部分!$B:$B,$B282,根据产能每天需要鲜销部分!$G:$G,$C282)</f>
        <v>121.96330355362799</v>
      </c>
      <c r="G282">
        <f>_xlfn.XLOOKUP($C282,价格系数辅助表!$C:$C,价格系数辅助表!$E:$E)</f>
        <v>2.7560630433134201</v>
      </c>
      <c r="H282">
        <f t="shared" si="9"/>
        <v>24.299260353234001</v>
      </c>
      <c r="I282" t="str">
        <f>_xlfn.XLOOKUP(B282,'3.屠宰能力表'!B:B,'3.屠宰能力表'!D:D)</f>
        <v>甘肃</v>
      </c>
      <c r="J282">
        <f>_xlfn.XLOOKUP(A282,'1.出栏表'!A:A,'1.出栏表'!F:F)</f>
        <v>8.8166562126317292</v>
      </c>
    </row>
    <row r="283" spans="1:10" ht="15" x14ac:dyDescent="0.3">
      <c r="A283" t="str">
        <f t="shared" si="8"/>
        <v>甘肃46136</v>
      </c>
      <c r="B283" t="s">
        <v>156</v>
      </c>
      <c r="C283" t="s">
        <v>89</v>
      </c>
      <c r="D283" s="45">
        <v>46136</v>
      </c>
      <c r="F283" s="8">
        <f>SUMIFS(根据产能每天需要鲜销部分!$K:$K,根据产能每天需要鲜销部分!$B:$B,$B283,根据产能每天需要鲜销部分!$G:$G,$C283)</f>
        <v>303.97473874664303</v>
      </c>
      <c r="G283">
        <f>_xlfn.XLOOKUP($C283,价格系数辅助表!$C:$C,价格系数辅助表!$E:$E)</f>
        <v>1.1853684696925</v>
      </c>
      <c r="H283">
        <f t="shared" si="9"/>
        <v>10.450986282572099</v>
      </c>
      <c r="I283" t="str">
        <f>_xlfn.XLOOKUP(B283,'3.屠宰能力表'!B:B,'3.屠宰能力表'!D:D)</f>
        <v>甘肃</v>
      </c>
      <c r="J283">
        <f>_xlfn.XLOOKUP(A283,'1.出栏表'!A:A,'1.出栏表'!F:F)</f>
        <v>8.8166562126317292</v>
      </c>
    </row>
    <row r="284" spans="1:10" ht="15" x14ac:dyDescent="0.3">
      <c r="A284" t="str">
        <f t="shared" si="8"/>
        <v>甘肃46136</v>
      </c>
      <c r="B284" t="s">
        <v>156</v>
      </c>
      <c r="C284" t="s">
        <v>90</v>
      </c>
      <c r="D284" s="45">
        <v>46136</v>
      </c>
      <c r="F284" s="8">
        <f>SUMIFS(根据产能每天需要鲜销部分!$K:$K,根据产能每天需要鲜销部分!$B:$B,$B284,根据产能每天需要鲜销部分!$G:$G,$C284)</f>
        <v>842.02080077476</v>
      </c>
      <c r="G284">
        <f>_xlfn.XLOOKUP($C284,价格系数辅助表!$C:$C,价格系数辅助表!$E:$E)</f>
        <v>0.74904414201499503</v>
      </c>
      <c r="H284">
        <f t="shared" si="9"/>
        <v>6.6040646882319098</v>
      </c>
      <c r="I284" t="str">
        <f>_xlfn.XLOOKUP(B284,'3.屠宰能力表'!B:B,'3.屠宰能力表'!D:D)</f>
        <v>甘肃</v>
      </c>
      <c r="J284">
        <f>_xlfn.XLOOKUP(A284,'1.出栏表'!A:A,'1.出栏表'!F:F)</f>
        <v>8.8166562126317292</v>
      </c>
    </row>
    <row r="285" spans="1:10" ht="15" x14ac:dyDescent="0.3">
      <c r="A285" t="str">
        <f t="shared" si="8"/>
        <v>甘肃46136</v>
      </c>
      <c r="B285" t="s">
        <v>156</v>
      </c>
      <c r="C285" t="s">
        <v>91</v>
      </c>
      <c r="D285" s="45">
        <v>46136</v>
      </c>
      <c r="F285" s="8">
        <f>SUMIFS(根据产能每天需要鲜销部分!$K:$K,根据产能每天需要鲜销部分!$B:$B,$B285,根据产能每天需要鲜销部分!$G:$G,$C285)</f>
        <v>637.27376374039602</v>
      </c>
      <c r="G285">
        <f>_xlfn.XLOOKUP($C285,价格系数辅助表!$C:$C,价格系数辅助表!$E:$E)</f>
        <v>0.62107390938185902</v>
      </c>
      <c r="H285">
        <f t="shared" si="9"/>
        <v>5.4757951416550501</v>
      </c>
      <c r="I285" t="str">
        <f>_xlfn.XLOOKUP(B285,'3.屠宰能力表'!B:B,'3.屠宰能力表'!D:D)</f>
        <v>甘肃</v>
      </c>
      <c r="J285">
        <f>_xlfn.XLOOKUP(A285,'1.出栏表'!A:A,'1.出栏表'!F:F)</f>
        <v>8.8166562126317292</v>
      </c>
    </row>
    <row r="286" spans="1:10" ht="15" x14ac:dyDescent="0.3">
      <c r="A286" t="str">
        <f t="shared" si="8"/>
        <v>甘肃46136</v>
      </c>
      <c r="B286" t="s">
        <v>156</v>
      </c>
      <c r="C286" t="s">
        <v>92</v>
      </c>
      <c r="D286" s="45">
        <v>46136</v>
      </c>
      <c r="F286" s="8">
        <f>SUMIFS(根据产能每天需要鲜销部分!$K:$K,根据产能每天需要鲜销部分!$B:$B,$B286,根据产能每天需要鲜销部分!$G:$G,$C286)</f>
        <v>109.72031490593599</v>
      </c>
      <c r="G286">
        <f>_xlfn.XLOOKUP($C286,价格系数辅助表!$C:$C,价格系数辅助表!$E:$E)</f>
        <v>0.24650626139895601</v>
      </c>
      <c r="H286">
        <f t="shared" si="9"/>
        <v>2.1733609610157298</v>
      </c>
      <c r="I286" t="str">
        <f>_xlfn.XLOOKUP(B286,'3.屠宰能力表'!B:B,'3.屠宰能力表'!D:D)</f>
        <v>甘肃</v>
      </c>
      <c r="J286">
        <f>_xlfn.XLOOKUP(A286,'1.出栏表'!A:A,'1.出栏表'!F:F)</f>
        <v>8.8166562126317292</v>
      </c>
    </row>
    <row r="287" spans="1:10" ht="15" x14ac:dyDescent="0.3">
      <c r="A287" t="str">
        <f t="shared" si="8"/>
        <v>四川46136</v>
      </c>
      <c r="B287" t="s">
        <v>158</v>
      </c>
      <c r="C287" t="s">
        <v>41</v>
      </c>
      <c r="D287" s="45">
        <v>46136</v>
      </c>
      <c r="F287" s="8">
        <f>SUMIFS(根据产能每天需要鲜销部分!$K:$K,根据产能每天需要鲜销部分!$B:$B,$B287,根据产能每天需要鲜销部分!$G:$G,$C287)</f>
        <v>94380</v>
      </c>
      <c r="G287">
        <f>_xlfn.XLOOKUP($C287,价格系数辅助表!$C:$C,价格系数辅助表!$E:$E)</f>
        <v>1.1852119074341301</v>
      </c>
      <c r="H287">
        <f t="shared" si="9"/>
        <v>10.7353496618721</v>
      </c>
      <c r="I287" t="str">
        <f>_xlfn.XLOOKUP(B287,'3.屠宰能力表'!B:B,'3.屠宰能力表'!D:D)</f>
        <v>四川</v>
      </c>
      <c r="J287">
        <f>_xlfn.XLOOKUP(A287,'1.出栏表'!A:A,'1.出栏表'!F:F)</f>
        <v>9.0577470531098001</v>
      </c>
    </row>
    <row r="288" spans="1:10" ht="15" x14ac:dyDescent="0.3">
      <c r="A288" t="str">
        <f t="shared" si="8"/>
        <v>四川46136</v>
      </c>
      <c r="B288" t="s">
        <v>158</v>
      </c>
      <c r="C288" t="s">
        <v>44</v>
      </c>
      <c r="D288" s="45">
        <v>46136</v>
      </c>
      <c r="F288" s="8">
        <f>SUMIFS(根据产能每天需要鲜销部分!$K:$K,根据产能每天需要鲜销部分!$B:$B,$B288,根据产能每天需要鲜销部分!$G:$G,$C288)</f>
        <v>7801.6027822883998</v>
      </c>
      <c r="G288">
        <f>_xlfn.XLOOKUP($C288,价格系数辅助表!$C:$C,价格系数辅助表!$E:$E)</f>
        <v>0.81317166851852996</v>
      </c>
      <c r="H288">
        <f t="shared" si="9"/>
        <v>7.3655032841960901</v>
      </c>
      <c r="I288" t="str">
        <f>_xlfn.XLOOKUP(B288,'3.屠宰能力表'!B:B,'3.屠宰能力表'!D:D)</f>
        <v>四川</v>
      </c>
      <c r="J288">
        <f>_xlfn.XLOOKUP(A288,'1.出栏表'!A:A,'1.出栏表'!F:F)</f>
        <v>9.0577470531098001</v>
      </c>
    </row>
    <row r="289" spans="1:10" ht="15" x14ac:dyDescent="0.3">
      <c r="A289" t="str">
        <f t="shared" si="8"/>
        <v>四川46136</v>
      </c>
      <c r="B289" t="s">
        <v>158</v>
      </c>
      <c r="C289" t="s">
        <v>46</v>
      </c>
      <c r="D289" s="45">
        <v>46136</v>
      </c>
      <c r="F289" s="8">
        <f>SUMIFS(根据产能每天需要鲜销部分!$K:$K,根据产能每天需要鲜销部分!$B:$B,$B289,根据产能每天需要鲜销部分!$G:$G,$C289)</f>
        <v>58.611837624576502</v>
      </c>
      <c r="G289">
        <f>_xlfn.XLOOKUP($C289,价格系数辅助表!$C:$C,价格系数辅助表!$E:$E)</f>
        <v>4.0225512045395799</v>
      </c>
      <c r="H289">
        <f t="shared" si="9"/>
        <v>36.435251318901699</v>
      </c>
      <c r="I289" t="str">
        <f>_xlfn.XLOOKUP(B289,'3.屠宰能力表'!B:B,'3.屠宰能力表'!D:D)</f>
        <v>四川</v>
      </c>
      <c r="J289">
        <f>_xlfn.XLOOKUP(A289,'1.出栏表'!A:A,'1.出栏表'!F:F)</f>
        <v>9.0577470531098001</v>
      </c>
    </row>
    <row r="290" spans="1:10" ht="15" x14ac:dyDescent="0.3">
      <c r="A290" t="str">
        <f t="shared" si="8"/>
        <v>四川46136</v>
      </c>
      <c r="B290" t="s">
        <v>158</v>
      </c>
      <c r="C290" t="s">
        <v>47</v>
      </c>
      <c r="D290" s="45">
        <v>46136</v>
      </c>
      <c r="F290" s="8">
        <f>SUMIFS(根据产能每天需要鲜销部分!$K:$K,根据产能每天需要鲜销部分!$B:$B,$B290,根据产能每天需要鲜销部分!$G:$G,$C290)</f>
        <v>551.38317327648394</v>
      </c>
      <c r="G290">
        <f>_xlfn.XLOOKUP($C290,价格系数辅助表!$C:$C,价格系数辅助表!$E:$E)</f>
        <v>0.84535964262204399</v>
      </c>
      <c r="H290">
        <f t="shared" si="9"/>
        <v>7.6570538117777698</v>
      </c>
      <c r="I290" t="str">
        <f>_xlfn.XLOOKUP(B290,'3.屠宰能力表'!B:B,'3.屠宰能力表'!D:D)</f>
        <v>四川</v>
      </c>
      <c r="J290">
        <f>_xlfn.XLOOKUP(A290,'1.出栏表'!A:A,'1.出栏表'!F:F)</f>
        <v>9.0577470531098001</v>
      </c>
    </row>
    <row r="291" spans="1:10" ht="15" x14ac:dyDescent="0.3">
      <c r="A291" t="str">
        <f t="shared" si="8"/>
        <v>四川46136</v>
      </c>
      <c r="B291" t="s">
        <v>158</v>
      </c>
      <c r="C291" t="s">
        <v>48</v>
      </c>
      <c r="D291" s="45">
        <v>46136</v>
      </c>
      <c r="F291" s="8">
        <f>SUMIFS(根据产能每天需要鲜销部分!$K:$K,根据产能每天需要鲜销部分!$B:$B,$B291,根据产能每天需要鲜销部分!$G:$G,$C291)</f>
        <v>2848.1034089489399</v>
      </c>
      <c r="G291">
        <f>_xlfn.XLOOKUP($C291,价格系数辅助表!$C:$C,价格系数辅助表!$E:$E)</f>
        <v>0.37320475421536098</v>
      </c>
      <c r="H291">
        <f t="shared" si="9"/>
        <v>3.3803942627007499</v>
      </c>
      <c r="I291" t="str">
        <f>_xlfn.XLOOKUP(B291,'3.屠宰能力表'!B:B,'3.屠宰能力表'!D:D)</f>
        <v>四川</v>
      </c>
      <c r="J291">
        <f>_xlfn.XLOOKUP(A291,'1.出栏表'!A:A,'1.出栏表'!F:F)</f>
        <v>9.0577470531098001</v>
      </c>
    </row>
    <row r="292" spans="1:10" ht="15" x14ac:dyDescent="0.3">
      <c r="A292" t="str">
        <f t="shared" si="8"/>
        <v>四川46136</v>
      </c>
      <c r="B292" t="s">
        <v>158</v>
      </c>
      <c r="C292" t="s">
        <v>49</v>
      </c>
      <c r="D292" s="45">
        <v>46136</v>
      </c>
      <c r="F292" s="8">
        <f>SUMIFS(根据产能每天需要鲜销部分!$K:$K,根据产能每天需要鲜销部分!$B:$B,$B292,根据产能每天需要鲜销部分!$G:$G,$C292)</f>
        <v>556.81245743347404</v>
      </c>
      <c r="G292">
        <f>_xlfn.XLOOKUP($C292,价格系数辅助表!$C:$C,价格系数辅助表!$E:$E)</f>
        <v>1.1550192014842</v>
      </c>
      <c r="H292">
        <f t="shared" si="9"/>
        <v>10.461871768528701</v>
      </c>
      <c r="I292" t="str">
        <f>_xlfn.XLOOKUP(B292,'3.屠宰能力表'!B:B,'3.屠宰能力表'!D:D)</f>
        <v>四川</v>
      </c>
      <c r="J292">
        <f>_xlfn.XLOOKUP(A292,'1.出栏表'!A:A,'1.出栏表'!F:F)</f>
        <v>9.0577470531098001</v>
      </c>
    </row>
    <row r="293" spans="1:10" ht="15" x14ac:dyDescent="0.3">
      <c r="A293" t="str">
        <f t="shared" si="8"/>
        <v>四川46136</v>
      </c>
      <c r="B293" t="s">
        <v>158</v>
      </c>
      <c r="C293" t="s">
        <v>50</v>
      </c>
      <c r="D293" s="45">
        <v>46136</v>
      </c>
      <c r="F293" s="8">
        <f>SUMIFS(根据产能每天需要鲜销部分!$K:$K,根据产能每天需要鲜销部分!$B:$B,$B293,根据产能每天需要鲜销部分!$G:$G,$C293)</f>
        <v>1948.4637992109399</v>
      </c>
      <c r="G293">
        <f>_xlfn.XLOOKUP($C293,价格系数辅助表!$C:$C,价格系数辅助表!$E:$E)</f>
        <v>1.90800135982928</v>
      </c>
      <c r="H293">
        <f t="shared" si="9"/>
        <v>17.282193694323102</v>
      </c>
      <c r="I293" t="str">
        <f>_xlfn.XLOOKUP(B293,'3.屠宰能力表'!B:B,'3.屠宰能力表'!D:D)</f>
        <v>四川</v>
      </c>
      <c r="J293">
        <f>_xlfn.XLOOKUP(A293,'1.出栏表'!A:A,'1.出栏表'!F:F)</f>
        <v>9.0577470531098001</v>
      </c>
    </row>
    <row r="294" spans="1:10" ht="15" x14ac:dyDescent="0.3">
      <c r="A294" t="str">
        <f t="shared" si="8"/>
        <v>四川46136</v>
      </c>
      <c r="B294" t="s">
        <v>158</v>
      </c>
      <c r="C294" t="s">
        <v>51</v>
      </c>
      <c r="D294" s="45">
        <v>46136</v>
      </c>
      <c r="F294" s="8">
        <f>SUMIFS(根据产能每天需要鲜销部分!$K:$K,根据产能每天需要鲜销部分!$B:$B,$B294,根据产能每天需要鲜销部分!$G:$G,$C294)</f>
        <v>893.83052377478896</v>
      </c>
      <c r="G294">
        <f>_xlfn.XLOOKUP($C294,价格系数辅助表!$C:$C,价格系数辅助表!$E:$E)</f>
        <v>2.76783242873949</v>
      </c>
      <c r="H294">
        <f t="shared" si="9"/>
        <v>25.070326024916799</v>
      </c>
      <c r="I294" t="str">
        <f>_xlfn.XLOOKUP(B294,'3.屠宰能力表'!B:B,'3.屠宰能力表'!D:D)</f>
        <v>四川</v>
      </c>
      <c r="J294">
        <f>_xlfn.XLOOKUP(A294,'1.出栏表'!A:A,'1.出栏表'!F:F)</f>
        <v>9.0577470531098001</v>
      </c>
    </row>
    <row r="295" spans="1:10" ht="15" x14ac:dyDescent="0.3">
      <c r="A295" t="str">
        <f t="shared" si="8"/>
        <v>四川46136</v>
      </c>
      <c r="B295" t="s">
        <v>158</v>
      </c>
      <c r="C295" t="s">
        <v>52</v>
      </c>
      <c r="D295" s="45">
        <v>46136</v>
      </c>
      <c r="F295" s="8">
        <f>SUMIFS(根据产能每天需要鲜销部分!$K:$K,根据产能每天需要鲜销部分!$B:$B,$B295,根据产能每天需要鲜销部分!$G:$G,$C295)</f>
        <v>747.30092971334795</v>
      </c>
      <c r="G295">
        <f>_xlfn.XLOOKUP($C295,价格系数辅助表!$C:$C,价格系数辅助表!$E:$E)</f>
        <v>1.61708641969264</v>
      </c>
      <c r="H295">
        <f t="shared" si="9"/>
        <v>14.6471597525949</v>
      </c>
      <c r="I295" t="str">
        <f>_xlfn.XLOOKUP(B295,'3.屠宰能力表'!B:B,'3.屠宰能力表'!D:D)</f>
        <v>四川</v>
      </c>
      <c r="J295">
        <f>_xlfn.XLOOKUP(A295,'1.出栏表'!A:A,'1.出栏表'!F:F)</f>
        <v>9.0577470531098001</v>
      </c>
    </row>
    <row r="296" spans="1:10" ht="15" x14ac:dyDescent="0.3">
      <c r="A296" t="str">
        <f t="shared" si="8"/>
        <v>四川46136</v>
      </c>
      <c r="B296" t="s">
        <v>158</v>
      </c>
      <c r="C296" t="s">
        <v>53</v>
      </c>
      <c r="D296" s="45">
        <v>46136</v>
      </c>
      <c r="F296" s="8">
        <f>SUMIFS(根据产能每天需要鲜销部分!$K:$K,根据产能每天需要鲜销部分!$B:$B,$B296,根据产能每天需要鲜销部分!$G:$G,$C296)</f>
        <v>659.38317327648394</v>
      </c>
      <c r="G296">
        <f>_xlfn.XLOOKUP($C296,价格系数辅助表!$C:$C,价格系数辅助表!$E:$E)</f>
        <v>1.4850675377364999</v>
      </c>
      <c r="H296">
        <f t="shared" si="9"/>
        <v>13.4513661136018</v>
      </c>
      <c r="I296" t="str">
        <f>_xlfn.XLOOKUP(B296,'3.屠宰能力表'!B:B,'3.屠宰能力表'!D:D)</f>
        <v>四川</v>
      </c>
      <c r="J296">
        <f>_xlfn.XLOOKUP(A296,'1.出栏表'!A:A,'1.出栏表'!F:F)</f>
        <v>9.0577470531098001</v>
      </c>
    </row>
    <row r="297" spans="1:10" ht="15" x14ac:dyDescent="0.3">
      <c r="A297" t="str">
        <f t="shared" si="8"/>
        <v>四川46136</v>
      </c>
      <c r="B297" t="s">
        <v>158</v>
      </c>
      <c r="C297" t="s">
        <v>54</v>
      </c>
      <c r="D297" s="45">
        <v>46136</v>
      </c>
      <c r="F297" s="8">
        <f>SUMIFS(根据产能每天需要鲜销部分!$K:$K,根据产能每天需要鲜销部分!$B:$B,$B297,根据产能每天需要鲜销部分!$G:$G,$C297)</f>
        <v>483.54766040275598</v>
      </c>
      <c r="G297">
        <f>_xlfn.XLOOKUP($C297,价格系数辅助表!$C:$C,价格系数辅助表!$E:$E)</f>
        <v>1.8971615295629001</v>
      </c>
      <c r="H297">
        <f t="shared" si="9"/>
        <v>17.184009253671601</v>
      </c>
      <c r="I297" t="str">
        <f>_xlfn.XLOOKUP(B297,'3.屠宰能力表'!B:B,'3.屠宰能力表'!D:D)</f>
        <v>四川</v>
      </c>
      <c r="J297">
        <f>_xlfn.XLOOKUP(A297,'1.出栏表'!A:A,'1.出栏表'!F:F)</f>
        <v>9.0577470531098001</v>
      </c>
    </row>
    <row r="298" spans="1:10" ht="15" x14ac:dyDescent="0.3">
      <c r="A298" t="str">
        <f t="shared" si="8"/>
        <v>四川46136</v>
      </c>
      <c r="B298" t="s">
        <v>158</v>
      </c>
      <c r="C298" t="s">
        <v>55</v>
      </c>
      <c r="D298" s="45">
        <v>46136</v>
      </c>
      <c r="F298" s="8">
        <f>SUMIFS(根据产能每天需要鲜销部分!$K:$K,根据产能每天需要鲜销部分!$B:$B,$B298,根据产能每天需要鲜销部分!$G:$G,$C298)</f>
        <v>52.228370160513698</v>
      </c>
      <c r="G298">
        <f>_xlfn.XLOOKUP($C298,价格系数辅助表!$C:$C,价格系数辅助表!$E:$E)</f>
        <v>3.2997148664303801</v>
      </c>
      <c r="H298">
        <f t="shared" si="9"/>
        <v>29.887982607512399</v>
      </c>
      <c r="I298" t="str">
        <f>_xlfn.XLOOKUP(B298,'3.屠宰能力表'!B:B,'3.屠宰能力表'!D:D)</f>
        <v>四川</v>
      </c>
      <c r="J298">
        <f>_xlfn.XLOOKUP(A298,'1.出栏表'!A:A,'1.出栏表'!F:F)</f>
        <v>9.0577470531098001</v>
      </c>
    </row>
    <row r="299" spans="1:10" ht="15" x14ac:dyDescent="0.3">
      <c r="A299" t="str">
        <f t="shared" si="8"/>
        <v>四川46136</v>
      </c>
      <c r="B299" t="s">
        <v>158</v>
      </c>
      <c r="C299" t="s">
        <v>57</v>
      </c>
      <c r="D299" s="45">
        <v>46136</v>
      </c>
      <c r="F299" s="8">
        <f>SUMIFS(根据产能每天需要鲜销部分!$K:$K,根据产能每天需要鲜销部分!$B:$B,$B299,根据产能每天需要鲜销部分!$G:$G,$C299)</f>
        <v>1844.26789607521</v>
      </c>
      <c r="G299">
        <f>_xlfn.XLOOKUP($C299,价格系数辅助表!$C:$C,价格系数辅助表!$E:$E)</f>
        <v>0.130070801908548</v>
      </c>
      <c r="H299">
        <f t="shared" si="9"/>
        <v>1.1781484226827801</v>
      </c>
      <c r="I299" t="str">
        <f>_xlfn.XLOOKUP(B299,'3.屠宰能力表'!B:B,'3.屠宰能力表'!D:D)</f>
        <v>四川</v>
      </c>
      <c r="J299">
        <f>_xlfn.XLOOKUP(A299,'1.出栏表'!A:A,'1.出栏表'!F:F)</f>
        <v>9.0577470531098001</v>
      </c>
    </row>
    <row r="300" spans="1:10" ht="15" x14ac:dyDescent="0.3">
      <c r="A300" t="str">
        <f t="shared" si="8"/>
        <v>四川46136</v>
      </c>
      <c r="B300" t="s">
        <v>158</v>
      </c>
      <c r="C300" t="s">
        <v>58</v>
      </c>
      <c r="D300" s="45">
        <v>46136</v>
      </c>
      <c r="F300" s="8">
        <f>SUMIFS(根据产能每天需要鲜销部分!$K:$K,根据产能每天需要鲜销部分!$B:$B,$B300,根据产能每天需要鲜销部分!$G:$G,$C300)</f>
        <v>2628.0985230178699</v>
      </c>
      <c r="G300">
        <f>_xlfn.XLOOKUP($C300,价格系数辅助表!$C:$C,价格系数辅助表!$E:$E)</f>
        <v>0.69784384029908697</v>
      </c>
      <c r="H300">
        <f t="shared" si="9"/>
        <v>6.3208929879998799</v>
      </c>
      <c r="I300" t="str">
        <f>_xlfn.XLOOKUP(B300,'3.屠宰能力表'!B:B,'3.屠宰能力表'!D:D)</f>
        <v>四川</v>
      </c>
      <c r="J300">
        <f>_xlfn.XLOOKUP(A300,'1.出栏表'!A:A,'1.出栏表'!F:F)</f>
        <v>9.0577470531098001</v>
      </c>
    </row>
    <row r="301" spans="1:10" ht="15" x14ac:dyDescent="0.3">
      <c r="A301" t="str">
        <f t="shared" si="8"/>
        <v>四川46136</v>
      </c>
      <c r="B301" t="s">
        <v>158</v>
      </c>
      <c r="C301" t="s">
        <v>59</v>
      </c>
      <c r="D301" s="45">
        <v>46136</v>
      </c>
      <c r="F301" s="8">
        <f>SUMIFS(根据产能每天需要鲜销部分!$K:$K,根据产能每天需要鲜销部分!$B:$B,$B301,根据产能每天需要鲜销部分!$G:$G,$C301)</f>
        <v>2649.38302013774</v>
      </c>
      <c r="G301">
        <f>_xlfn.XLOOKUP($C301,价格系数辅助表!$C:$C,价格系数辅助表!$E:$E)</f>
        <v>0.456447335288171</v>
      </c>
      <c r="H301">
        <f t="shared" si="9"/>
        <v>4.1343845061062501</v>
      </c>
      <c r="I301" t="str">
        <f>_xlfn.XLOOKUP(B301,'3.屠宰能力表'!B:B,'3.屠宰能力表'!D:D)</f>
        <v>四川</v>
      </c>
      <c r="J301">
        <f>_xlfn.XLOOKUP(A301,'1.出栏表'!A:A,'1.出栏表'!F:F)</f>
        <v>9.0577470531098001</v>
      </c>
    </row>
    <row r="302" spans="1:10" ht="15" x14ac:dyDescent="0.3">
      <c r="A302" t="str">
        <f t="shared" si="8"/>
        <v>四川46136</v>
      </c>
      <c r="B302" t="s">
        <v>158</v>
      </c>
      <c r="C302" t="s">
        <v>60</v>
      </c>
      <c r="D302" s="45">
        <v>46136</v>
      </c>
      <c r="F302" s="8">
        <f>SUMIFS(根据产能每天需要鲜销部分!$K:$K,根据产能每天需要鲜销部分!$B:$B,$B302,根据产能每天需要鲜销部分!$G:$G,$C302)</f>
        <v>1228.8436010171599</v>
      </c>
      <c r="G302">
        <f>_xlfn.XLOOKUP($C302,价格系数辅助表!$C:$C,价格系数辅助表!$E:$E)</f>
        <v>0.30253913346115902</v>
      </c>
      <c r="H302">
        <f t="shared" si="9"/>
        <v>2.7403229445582098</v>
      </c>
      <c r="I302" t="str">
        <f>_xlfn.XLOOKUP(B302,'3.屠宰能力表'!B:B,'3.屠宰能力表'!D:D)</f>
        <v>四川</v>
      </c>
      <c r="J302">
        <f>_xlfn.XLOOKUP(A302,'1.出栏表'!A:A,'1.出栏表'!F:F)</f>
        <v>9.0577470531098001</v>
      </c>
    </row>
    <row r="303" spans="1:10" ht="15" x14ac:dyDescent="0.3">
      <c r="A303" t="str">
        <f t="shared" si="8"/>
        <v>四川46136</v>
      </c>
      <c r="B303" t="s">
        <v>158</v>
      </c>
      <c r="C303" t="s">
        <v>61</v>
      </c>
      <c r="D303" s="45">
        <v>46136</v>
      </c>
      <c r="F303" s="8">
        <f>SUMIFS(根据产能每天需要鲜销部分!$K:$K,根据产能每天需要鲜销部分!$B:$B,$B303,根据产能每天需要鲜销部分!$G:$G,$C303)</f>
        <v>1406.6841029898301</v>
      </c>
      <c r="G303">
        <f>_xlfn.XLOOKUP($C303,价格系数辅助表!$C:$C,价格系数辅助表!$E:$E)</f>
        <v>5.2234050059701297E-2</v>
      </c>
      <c r="H303">
        <f t="shared" si="9"/>
        <v>0.473122813000249</v>
      </c>
      <c r="I303" t="str">
        <f>_xlfn.XLOOKUP(B303,'3.屠宰能力表'!B:B,'3.屠宰能力表'!D:D)</f>
        <v>四川</v>
      </c>
      <c r="J303">
        <f>_xlfn.XLOOKUP(A303,'1.出栏表'!A:A,'1.出栏表'!F:F)</f>
        <v>9.0577470531098001</v>
      </c>
    </row>
    <row r="304" spans="1:10" ht="15" x14ac:dyDescent="0.3">
      <c r="A304" t="str">
        <f t="shared" si="8"/>
        <v>四川46136</v>
      </c>
      <c r="B304" t="s">
        <v>158</v>
      </c>
      <c r="C304" t="s">
        <v>62</v>
      </c>
      <c r="D304" s="45">
        <v>46136</v>
      </c>
      <c r="F304" s="8">
        <f>SUMIFS(根据产能每天需要鲜销部分!$K:$K,根据产能每天需要鲜销部分!$B:$B,$B304,根据产能每天需要鲜销部分!$G:$G,$C304)</f>
        <v>1318.7663465529699</v>
      </c>
      <c r="G304">
        <f>_xlfn.XLOOKUP($C304,价格系数辅助表!$C:$C,价格系数辅助表!$E:$E)</f>
        <v>0.27335161219757498</v>
      </c>
      <c r="H304">
        <f t="shared" si="9"/>
        <v>2.4759497598453999</v>
      </c>
      <c r="I304" t="str">
        <f>_xlfn.XLOOKUP(B304,'3.屠宰能力表'!B:B,'3.屠宰能力表'!D:D)</f>
        <v>四川</v>
      </c>
      <c r="J304">
        <f>_xlfn.XLOOKUP(A304,'1.出栏表'!A:A,'1.出栏表'!F:F)</f>
        <v>9.0577470531098001</v>
      </c>
    </row>
    <row r="305" spans="1:10" ht="15" x14ac:dyDescent="0.3">
      <c r="A305" t="str">
        <f t="shared" si="8"/>
        <v>四川46136</v>
      </c>
      <c r="B305" t="s">
        <v>158</v>
      </c>
      <c r="C305" t="s">
        <v>63</v>
      </c>
      <c r="D305" s="45">
        <v>46136</v>
      </c>
      <c r="F305" s="8">
        <f>SUMIFS(根据产能每天需要鲜销部分!$K:$K,根据产能每天需要鲜销部分!$B:$B,$B305,根据产能每天需要鲜销部分!$G:$G,$C305)</f>
        <v>1107.3009297133499</v>
      </c>
      <c r="G305">
        <f>_xlfn.XLOOKUP($C305,价格系数辅助表!$C:$C,价格系数辅助表!$E:$E)</f>
        <v>0.25083638292710098</v>
      </c>
      <c r="H305">
        <f t="shared" si="9"/>
        <v>2.2720125082706701</v>
      </c>
      <c r="I305" t="str">
        <f>_xlfn.XLOOKUP(B305,'3.屠宰能力表'!B:B,'3.屠宰能力表'!D:D)</f>
        <v>四川</v>
      </c>
      <c r="J305">
        <f>_xlfn.XLOOKUP(A305,'1.出栏表'!A:A,'1.出栏表'!F:F)</f>
        <v>9.0577470531098001</v>
      </c>
    </row>
    <row r="306" spans="1:10" ht="15" x14ac:dyDescent="0.3">
      <c r="A306" t="str">
        <f t="shared" si="8"/>
        <v>四川46136</v>
      </c>
      <c r="B306" t="s">
        <v>158</v>
      </c>
      <c r="C306" t="s">
        <v>64</v>
      </c>
      <c r="D306" s="45">
        <v>46136</v>
      </c>
      <c r="F306" s="8">
        <f>SUMIFS(根据产能每天需要鲜销部分!$K:$K,根据产能每天需要鲜销部分!$B:$B,$B306,根据产能每天需要鲜销部分!$G:$G,$C306)</f>
        <v>191.504023921883</v>
      </c>
      <c r="G306">
        <f>_xlfn.XLOOKUP($C306,价格系数辅助表!$C:$C,价格系数辅助表!$E:$E)</f>
        <v>0.87755384758256405</v>
      </c>
      <c r="H306">
        <f t="shared" si="9"/>
        <v>7.9486607768861397</v>
      </c>
      <c r="I306" t="str">
        <f>_xlfn.XLOOKUP(B306,'3.屠宰能力表'!B:B,'3.屠宰能力表'!D:D)</f>
        <v>四川</v>
      </c>
      <c r="J306">
        <f>_xlfn.XLOOKUP(A306,'1.出栏表'!A:A,'1.出栏表'!F:F)</f>
        <v>9.0577470531098001</v>
      </c>
    </row>
    <row r="307" spans="1:10" ht="15" x14ac:dyDescent="0.3">
      <c r="A307" t="str">
        <f t="shared" si="8"/>
        <v>四川46136</v>
      </c>
      <c r="B307" t="s">
        <v>158</v>
      </c>
      <c r="C307" t="s">
        <v>65</v>
      </c>
      <c r="D307" s="45">
        <v>46136</v>
      </c>
      <c r="F307" s="8">
        <f>SUMIFS(根据产能每天需要鲜销部分!$K:$K,根据产能每天需要鲜销部分!$B:$B,$B307,根据产能每天需要鲜销部分!$G:$G,$C307)</f>
        <v>87.047283600856105</v>
      </c>
      <c r="G307">
        <f>_xlfn.XLOOKUP($C307,价格系数辅助表!$C:$C,价格系数辅助表!$E:$E)</f>
        <v>1.02785250036373</v>
      </c>
      <c r="H307">
        <f t="shared" si="9"/>
        <v>9.3100279562011607</v>
      </c>
      <c r="I307" t="str">
        <f>_xlfn.XLOOKUP(B307,'3.屠宰能力表'!B:B,'3.屠宰能力表'!D:D)</f>
        <v>四川</v>
      </c>
      <c r="J307">
        <f>_xlfn.XLOOKUP(A307,'1.出栏表'!A:A,'1.出栏表'!F:F)</f>
        <v>9.0577470531098001</v>
      </c>
    </row>
    <row r="308" spans="1:10" ht="15" x14ac:dyDescent="0.3">
      <c r="A308" t="str">
        <f t="shared" si="8"/>
        <v>四川46136</v>
      </c>
      <c r="B308" t="s">
        <v>158</v>
      </c>
      <c r="C308" t="s">
        <v>66</v>
      </c>
      <c r="D308" s="45">
        <v>46136</v>
      </c>
      <c r="F308" s="8">
        <f>SUMIFS(根据产能每天需要鲜销部分!$K:$K,根据产能每天需要鲜销部分!$B:$B,$B308,根据产能每天需要鲜销部分!$G:$G,$C308)</f>
        <v>307.71214752902603</v>
      </c>
      <c r="G308">
        <f>_xlfn.XLOOKUP($C308,价格系数辅助表!$C:$C,价格系数辅助表!$E:$E)</f>
        <v>0.29390609194172401</v>
      </c>
      <c r="H308">
        <f t="shared" si="9"/>
        <v>2.6621270381761701</v>
      </c>
      <c r="I308" t="str">
        <f>_xlfn.XLOOKUP(B308,'3.屠宰能力表'!B:B,'3.屠宰能力表'!D:D)</f>
        <v>四川</v>
      </c>
      <c r="J308">
        <f>_xlfn.XLOOKUP(A308,'1.出栏表'!A:A,'1.出栏表'!F:F)</f>
        <v>9.0577470531098001</v>
      </c>
    </row>
    <row r="309" spans="1:10" ht="15" x14ac:dyDescent="0.3">
      <c r="A309" t="str">
        <f t="shared" si="8"/>
        <v>四川46136</v>
      </c>
      <c r="B309" t="s">
        <v>158</v>
      </c>
      <c r="C309" t="s">
        <v>67</v>
      </c>
      <c r="D309" s="45">
        <v>46136</v>
      </c>
      <c r="F309" s="8">
        <f>SUMIFS(根据产能每天需要鲜销部分!$K:$K,根据产能每天需要鲜销部分!$B:$B,$B309,根据产能每天需要鲜销部分!$G:$G,$C309)</f>
        <v>3600</v>
      </c>
      <c r="G309">
        <f>_xlfn.XLOOKUP($C309,价格系数辅助表!$C:$C,价格系数辅助表!$E:$E)</f>
        <v>8.7444985304843598E-2</v>
      </c>
      <c r="H309">
        <f t="shared" si="9"/>
        <v>0.79205455795417601</v>
      </c>
      <c r="I309" t="str">
        <f>_xlfn.XLOOKUP(B309,'3.屠宰能力表'!B:B,'3.屠宰能力表'!D:D)</f>
        <v>四川</v>
      </c>
      <c r="J309">
        <f>_xlfn.XLOOKUP(A309,'1.出栏表'!A:A,'1.出栏表'!F:F)</f>
        <v>9.0577470531098001</v>
      </c>
    </row>
    <row r="310" spans="1:10" ht="15" x14ac:dyDescent="0.3">
      <c r="A310" t="str">
        <f t="shared" si="8"/>
        <v>四川46136</v>
      </c>
      <c r="B310" t="s">
        <v>158</v>
      </c>
      <c r="C310" t="s">
        <v>56</v>
      </c>
      <c r="D310" s="45">
        <v>46136</v>
      </c>
      <c r="F310" s="8">
        <f>SUMIFS(根据产能每天需要鲜销部分!$K:$K,根据产能每天需要鲜销部分!$B:$B,$B310,根据产能每天需要鲜销部分!$G:$G,$C310)</f>
        <v>668.99385749202997</v>
      </c>
      <c r="G310">
        <f>_xlfn.XLOOKUP($C310,价格系数辅助表!$C:$C,价格系数辅助表!$E:$E)</f>
        <v>0.56179466940109002</v>
      </c>
      <c r="H310">
        <f t="shared" si="9"/>
        <v>5.0885940112205104</v>
      </c>
      <c r="I310" t="str">
        <f>_xlfn.XLOOKUP(B310,'3.屠宰能力表'!B:B,'3.屠宰能力表'!D:D)</f>
        <v>四川</v>
      </c>
      <c r="J310">
        <f>_xlfn.XLOOKUP(A310,'1.出栏表'!A:A,'1.出栏表'!F:F)</f>
        <v>9.0577470531098001</v>
      </c>
    </row>
    <row r="311" spans="1:10" ht="15" x14ac:dyDescent="0.3">
      <c r="A311" t="str">
        <f t="shared" si="8"/>
        <v>四川46136</v>
      </c>
      <c r="B311" t="s">
        <v>158</v>
      </c>
      <c r="C311" t="s">
        <v>45</v>
      </c>
      <c r="D311" s="45">
        <v>46136</v>
      </c>
      <c r="F311" s="8">
        <f>SUMIFS(根据产能每天需要鲜销部分!$K:$K,根据产能每天需要鲜销部分!$B:$B,$B311,根据产能每天需要鲜销部分!$G:$G,$C311)</f>
        <v>662.73534621839303</v>
      </c>
      <c r="G311">
        <f>_xlfn.XLOOKUP($C311,价格系数辅助表!$C:$C,价格系数辅助表!$E:$E)</f>
        <v>2.1733017987485002</v>
      </c>
      <c r="H311">
        <f t="shared" si="9"/>
        <v>19.685217963132501</v>
      </c>
      <c r="I311" t="str">
        <f>_xlfn.XLOOKUP(B311,'3.屠宰能力表'!B:B,'3.屠宰能力表'!D:D)</f>
        <v>四川</v>
      </c>
      <c r="J311">
        <f>_xlfn.XLOOKUP(A311,'1.出栏表'!A:A,'1.出栏表'!F:F)</f>
        <v>9.0577470531098001</v>
      </c>
    </row>
    <row r="312" spans="1:10" ht="15" x14ac:dyDescent="0.3">
      <c r="A312" t="str">
        <f t="shared" si="8"/>
        <v>四川46136</v>
      </c>
      <c r="B312" t="s">
        <v>158</v>
      </c>
      <c r="C312" t="s">
        <v>68</v>
      </c>
      <c r="D312" s="45">
        <v>46136</v>
      </c>
      <c r="F312" s="8">
        <f>SUMIFS(根据产能每天需要鲜销部分!$K:$K,根据产能每天需要鲜销部分!$B:$B,$B312,根据产能每天需要鲜销部分!$G:$G,$C312)</f>
        <v>3681.7438578486499</v>
      </c>
      <c r="G312">
        <f>_xlfn.XLOOKUP($C312,价格系数辅助表!$C:$C,价格系数辅助表!$E:$E)</f>
        <v>2.3363490079598002</v>
      </c>
      <c r="H312">
        <f t="shared" si="9"/>
        <v>21.162058341883899</v>
      </c>
      <c r="I312" t="str">
        <f>_xlfn.XLOOKUP(B312,'3.屠宰能力表'!B:B,'3.屠宰能力表'!D:D)</f>
        <v>四川</v>
      </c>
      <c r="J312">
        <f>_xlfn.XLOOKUP(A312,'1.出栏表'!A:A,'1.出栏表'!F:F)</f>
        <v>9.0577470531098001</v>
      </c>
    </row>
    <row r="313" spans="1:10" ht="15" x14ac:dyDescent="0.3">
      <c r="A313" t="str">
        <f t="shared" si="8"/>
        <v>四川46136</v>
      </c>
      <c r="B313" t="s">
        <v>158</v>
      </c>
      <c r="C313" t="s">
        <v>70</v>
      </c>
      <c r="D313" s="45">
        <v>46136</v>
      </c>
      <c r="F313" s="8">
        <f>SUMIFS(根据产能每天需要鲜销部分!$K:$K,根据产能每天需要鲜销部分!$B:$B,$B313,根据产能每天需要鲜销部分!$G:$G,$C313)</f>
        <v>2060.2433821940599</v>
      </c>
      <c r="G313">
        <f>_xlfn.XLOOKUP($C313,价格系数辅助表!$C:$C,价格系数辅助表!$E:$E)</f>
        <v>1.56138134676664</v>
      </c>
      <c r="H313">
        <f t="shared" si="9"/>
        <v>14.1425972924562</v>
      </c>
      <c r="I313" t="str">
        <f>_xlfn.XLOOKUP(B313,'3.屠宰能力表'!B:B,'3.屠宰能力表'!D:D)</f>
        <v>四川</v>
      </c>
      <c r="J313">
        <f>_xlfn.XLOOKUP(A313,'1.出栏表'!A:A,'1.出栏表'!F:F)</f>
        <v>9.0577470531098001</v>
      </c>
    </row>
    <row r="314" spans="1:10" ht="15" x14ac:dyDescent="0.3">
      <c r="A314" t="str">
        <f t="shared" si="8"/>
        <v>四川46136</v>
      </c>
      <c r="B314" t="s">
        <v>158</v>
      </c>
      <c r="C314" t="s">
        <v>71</v>
      </c>
      <c r="D314" s="45">
        <v>46136</v>
      </c>
      <c r="F314" s="8">
        <f>SUMIFS(根据产能每天需要鲜销部分!$K:$K,根据产能每天需要鲜销部分!$B:$B,$B314,根据产能每天需要鲜销部分!$G:$G,$C314)</f>
        <v>1038.9488725583201</v>
      </c>
      <c r="G314">
        <f>_xlfn.XLOOKUP($C314,价格系数辅助表!$C:$C,价格系数辅助表!$E:$E)</f>
        <v>4.1323214054635997</v>
      </c>
      <c r="H314">
        <f t="shared" si="9"/>
        <v>37.429522032840403</v>
      </c>
      <c r="I314" t="str">
        <f>_xlfn.XLOOKUP(B314,'3.屠宰能力表'!B:B,'3.屠宰能力表'!D:D)</f>
        <v>四川</v>
      </c>
      <c r="J314">
        <f>_xlfn.XLOOKUP(A314,'1.出栏表'!A:A,'1.出栏表'!F:F)</f>
        <v>9.0577470531098001</v>
      </c>
    </row>
    <row r="315" spans="1:10" ht="15" x14ac:dyDescent="0.3">
      <c r="A315" t="str">
        <f t="shared" si="8"/>
        <v>四川46136</v>
      </c>
      <c r="B315" t="s">
        <v>158</v>
      </c>
      <c r="C315" t="s">
        <v>72</v>
      </c>
      <c r="D315" s="45">
        <v>46136</v>
      </c>
      <c r="F315" s="8">
        <f>SUMIFS(根据产能每天需要鲜销部分!$K:$K,根据产能每天需要鲜销部分!$B:$B,$B315,根据产能每天需要鲜销部分!$G:$G,$C315)</f>
        <v>1393.0079562656399</v>
      </c>
      <c r="G315">
        <f>_xlfn.XLOOKUP($C315,价格系数辅助表!$C:$C,价格系数辅助表!$E:$E)</f>
        <v>2.4066238998277001</v>
      </c>
      <c r="H315">
        <f t="shared" si="9"/>
        <v>21.798590536608</v>
      </c>
      <c r="I315" t="str">
        <f>_xlfn.XLOOKUP(B315,'3.屠宰能力表'!B:B,'3.屠宰能力表'!D:D)</f>
        <v>四川</v>
      </c>
      <c r="J315">
        <f>_xlfn.XLOOKUP(A315,'1.出栏表'!A:A,'1.出栏表'!F:F)</f>
        <v>9.0577470531098001</v>
      </c>
    </row>
    <row r="316" spans="1:10" ht="15" x14ac:dyDescent="0.3">
      <c r="A316" t="str">
        <f t="shared" si="8"/>
        <v>四川46136</v>
      </c>
      <c r="B316" t="s">
        <v>158</v>
      </c>
      <c r="C316" t="s">
        <v>73</v>
      </c>
      <c r="D316" s="45">
        <v>46136</v>
      </c>
      <c r="F316" s="8">
        <f>SUMIFS(根据产能每天需要鲜销部分!$K:$K,根据产能每天需要鲜销部分!$B:$B,$B316,根据产能每天需要鲜销部分!$G:$G,$C316)</f>
        <v>1069.4183931692601</v>
      </c>
      <c r="G316">
        <f>_xlfn.XLOOKUP($C316,价格系数辅助表!$C:$C,价格系数辅助表!$E:$E)</f>
        <v>1.4457460218126601</v>
      </c>
      <c r="H316">
        <f t="shared" si="9"/>
        <v>13.0952017686188</v>
      </c>
      <c r="I316" t="str">
        <f>_xlfn.XLOOKUP(B316,'3.屠宰能力表'!B:B,'3.屠宰能力表'!D:D)</f>
        <v>四川</v>
      </c>
      <c r="J316">
        <f>_xlfn.XLOOKUP(A316,'1.出栏表'!A:A,'1.出栏表'!F:F)</f>
        <v>9.0577470531098001</v>
      </c>
    </row>
    <row r="317" spans="1:10" ht="15" x14ac:dyDescent="0.3">
      <c r="A317" t="str">
        <f t="shared" si="8"/>
        <v>四川46136</v>
      </c>
      <c r="B317" t="s">
        <v>158</v>
      </c>
      <c r="C317" t="s">
        <v>75</v>
      </c>
      <c r="D317" s="45">
        <v>46136</v>
      </c>
      <c r="F317" s="8">
        <f>SUMIFS(根据产能每天需要鲜销部分!$K:$K,根据产能每天需要鲜销部分!$B:$B,$B317,根据产能每天需要鲜销部分!$G:$G,$C317)</f>
        <v>2207.5448250621698</v>
      </c>
      <c r="G317">
        <f>_xlfn.XLOOKUP($C317,价格系数辅助表!$C:$C,价格系数辅助表!$E:$E)</f>
        <v>1.4617715272634999</v>
      </c>
      <c r="H317">
        <f t="shared" si="9"/>
        <v>13.2403567433908</v>
      </c>
      <c r="I317" t="str">
        <f>_xlfn.XLOOKUP(B317,'3.屠宰能力表'!B:B,'3.屠宰能力表'!D:D)</f>
        <v>四川</v>
      </c>
      <c r="J317">
        <f>_xlfn.XLOOKUP(A317,'1.出栏表'!A:A,'1.出栏表'!F:F)</f>
        <v>9.0577470531098001</v>
      </c>
    </row>
    <row r="318" spans="1:10" ht="15" x14ac:dyDescent="0.3">
      <c r="A318" t="str">
        <f t="shared" si="8"/>
        <v>四川46136</v>
      </c>
      <c r="B318" t="s">
        <v>158</v>
      </c>
      <c r="C318" t="s">
        <v>76</v>
      </c>
      <c r="D318" s="45">
        <v>46136</v>
      </c>
      <c r="F318" s="8">
        <f>SUMIFS(根据产能每天需要鲜销部分!$K:$K,根据产能每天需要鲜销部分!$B:$B,$B318,根据产能每天需要鲜销部分!$G:$G,$C318)</f>
        <v>4846.9455945769996</v>
      </c>
      <c r="G318">
        <f>_xlfn.XLOOKUP($C318,价格系数辅助表!$C:$C,价格系数辅助表!$E:$E)</f>
        <v>1.4895071246315399</v>
      </c>
      <c r="H318">
        <f t="shared" si="9"/>
        <v>13.4915787687174</v>
      </c>
      <c r="I318" t="str">
        <f>_xlfn.XLOOKUP(B318,'3.屠宰能力表'!B:B,'3.屠宰能力表'!D:D)</f>
        <v>四川</v>
      </c>
      <c r="J318">
        <f>_xlfn.XLOOKUP(A318,'1.出栏表'!A:A,'1.出栏表'!F:F)</f>
        <v>9.0577470531098001</v>
      </c>
    </row>
    <row r="319" spans="1:10" ht="15" x14ac:dyDescent="0.3">
      <c r="A319" t="str">
        <f t="shared" si="8"/>
        <v>四川46136</v>
      </c>
      <c r="B319" t="s">
        <v>158</v>
      </c>
      <c r="C319" t="s">
        <v>77</v>
      </c>
      <c r="D319" s="45">
        <v>46136</v>
      </c>
      <c r="F319" s="8">
        <f>SUMIFS(根据产能每天需要鲜销部分!$K:$K,根据产能每天需要鲜销部分!$B:$B,$B319,根据产能每天需要鲜销部分!$G:$G,$C319)</f>
        <v>705.90398233620897</v>
      </c>
      <c r="G319">
        <f>_xlfn.XLOOKUP($C319,价格系数辅助表!$C:$C,价格系数辅助表!$E:$E)</f>
        <v>1.4766526372111499</v>
      </c>
      <c r="H319">
        <f t="shared" si="9"/>
        <v>13.3751460731661</v>
      </c>
      <c r="I319" t="str">
        <f>_xlfn.XLOOKUP(B319,'3.屠宰能力表'!B:B,'3.屠宰能力表'!D:D)</f>
        <v>四川</v>
      </c>
      <c r="J319">
        <f>_xlfn.XLOOKUP(A319,'1.出栏表'!A:A,'1.出栏表'!F:F)</f>
        <v>9.0577470531098001</v>
      </c>
    </row>
    <row r="320" spans="1:10" ht="15" x14ac:dyDescent="0.3">
      <c r="A320" t="str">
        <f t="shared" si="8"/>
        <v>四川46136</v>
      </c>
      <c r="B320" t="s">
        <v>158</v>
      </c>
      <c r="C320" t="s">
        <v>78</v>
      </c>
      <c r="D320" s="45">
        <v>46136</v>
      </c>
      <c r="F320" s="8">
        <f>SUMIFS(根据产能每天需要鲜销部分!$K:$K,根据产能每天需要鲜销部分!$B:$B,$B320,根据产能每天需要鲜销部分!$G:$G,$C320)</f>
        <v>996.29676201493703</v>
      </c>
      <c r="G320">
        <f>_xlfn.XLOOKUP($C320,价格系数辅助表!$C:$C,价格系数辅助表!$E:$E)</f>
        <v>1.2663755864959301</v>
      </c>
      <c r="H320">
        <f t="shared" si="9"/>
        <v>11.4705097367137</v>
      </c>
      <c r="I320" t="str">
        <f>_xlfn.XLOOKUP(B320,'3.屠宰能力表'!B:B,'3.屠宰能力表'!D:D)</f>
        <v>四川</v>
      </c>
      <c r="J320">
        <f>_xlfn.XLOOKUP(A320,'1.出栏表'!A:A,'1.出栏表'!F:F)</f>
        <v>9.0577470531098001</v>
      </c>
    </row>
    <row r="321" spans="1:10" ht="15" x14ac:dyDescent="0.3">
      <c r="A321" t="str">
        <f t="shared" si="8"/>
        <v>四川46136</v>
      </c>
      <c r="B321" t="s">
        <v>158</v>
      </c>
      <c r="C321" t="s">
        <v>79</v>
      </c>
      <c r="D321" s="45">
        <v>46136</v>
      </c>
      <c r="F321" s="8">
        <f>SUMIFS(根据产能每天需要鲜销部分!$K:$K,根据产能每天需要鲜销部分!$B:$B,$B321,根据产能每天需要鲜销部分!$G:$G,$C321)</f>
        <v>2218.6998120129301</v>
      </c>
      <c r="G321">
        <f>_xlfn.XLOOKUP($C321,价格系数辅助表!$C:$C,价格系数辅助表!$E:$E)</f>
        <v>0.88455097651113601</v>
      </c>
      <c r="H321">
        <f t="shared" si="9"/>
        <v>8.01203900081914</v>
      </c>
      <c r="I321" t="str">
        <f>_xlfn.XLOOKUP(B321,'3.屠宰能力表'!B:B,'3.屠宰能力表'!D:D)</f>
        <v>四川</v>
      </c>
      <c r="J321">
        <f>_xlfn.XLOOKUP(A321,'1.出栏表'!A:A,'1.出栏表'!F:F)</f>
        <v>9.0577470531098001</v>
      </c>
    </row>
    <row r="322" spans="1:10" ht="15" x14ac:dyDescent="0.3">
      <c r="A322" t="str">
        <f t="shared" si="8"/>
        <v>四川46136</v>
      </c>
      <c r="B322" t="s">
        <v>158</v>
      </c>
      <c r="C322" t="s">
        <v>80</v>
      </c>
      <c r="D322" s="45">
        <v>46136</v>
      </c>
      <c r="F322" s="8">
        <f>SUMIFS(根据产能每天需要鲜销部分!$K:$K,根据产能每天需要鲜销部分!$B:$B,$B322,根据产能每天需要鲜销部分!$G:$G,$C322)</f>
        <v>624.79623765879796</v>
      </c>
      <c r="G322">
        <f>_xlfn.XLOOKUP($C322,价格系数辅助表!$C:$C,价格系数辅助表!$E:$E)</f>
        <v>0.81656825090915597</v>
      </c>
      <c r="H322">
        <f t="shared" si="9"/>
        <v>7.3962686683354297</v>
      </c>
      <c r="I322" t="str">
        <f>_xlfn.XLOOKUP(B322,'3.屠宰能力表'!B:B,'3.屠宰能力表'!D:D)</f>
        <v>四川</v>
      </c>
      <c r="J322">
        <f>_xlfn.XLOOKUP(A322,'1.出栏表'!A:A,'1.出栏表'!F:F)</f>
        <v>9.0577470531098001</v>
      </c>
    </row>
    <row r="323" spans="1:10" ht="15" x14ac:dyDescent="0.3">
      <c r="A323" t="str">
        <f t="shared" ref="A323:A386" si="10">I323&amp;D323</f>
        <v>四川46136</v>
      </c>
      <c r="B323" t="s">
        <v>158</v>
      </c>
      <c r="C323" t="s">
        <v>81</v>
      </c>
      <c r="D323" s="45">
        <v>46136</v>
      </c>
      <c r="F323" s="8">
        <f>SUMIFS(根据产能每天需要鲜销部分!$K:$K,根据产能每天需要鲜销部分!$B:$B,$B323,根据产能每天需要鲜销部分!$G:$G,$C323)</f>
        <v>1433.6909273195099</v>
      </c>
      <c r="G323">
        <f>_xlfn.XLOOKUP($C323,价格系数辅助表!$C:$C,价格系数辅助表!$E:$E)</f>
        <v>1.1259651927004599</v>
      </c>
      <c r="H323">
        <f t="shared" ref="H323:H386" si="11">G323*$J323</f>
        <v>10.198707906086799</v>
      </c>
      <c r="I323" t="str">
        <f>_xlfn.XLOOKUP(B323,'3.屠宰能力表'!B:B,'3.屠宰能力表'!D:D)</f>
        <v>四川</v>
      </c>
      <c r="J323">
        <f>_xlfn.XLOOKUP(A323,'1.出栏表'!A:A,'1.出栏表'!F:F)</f>
        <v>9.0577470531098001</v>
      </c>
    </row>
    <row r="324" spans="1:10" ht="15" x14ac:dyDescent="0.3">
      <c r="A324" t="str">
        <f t="shared" si="10"/>
        <v>四川46136</v>
      </c>
      <c r="B324" t="s">
        <v>158</v>
      </c>
      <c r="C324" t="s">
        <v>82</v>
      </c>
      <c r="D324" s="45">
        <v>46136</v>
      </c>
      <c r="F324" s="8">
        <f>SUMIFS(根据产能每天需要鲜销部分!$K:$K,根据产能每天需要鲜销部分!$B:$B,$B324,根据产能每天需要鲜销部分!$G:$G,$C324)</f>
        <v>476.424068631713</v>
      </c>
      <c r="G324">
        <f>_xlfn.XLOOKUP($C324,价格系数辅助表!$C:$C,价格系数辅助表!$E:$E)</f>
        <v>1.02591469638818</v>
      </c>
      <c r="H324">
        <f t="shared" si="11"/>
        <v>9.2924758179520293</v>
      </c>
      <c r="I324" t="str">
        <f>_xlfn.XLOOKUP(B324,'3.屠宰能力表'!B:B,'3.屠宰能力表'!D:D)</f>
        <v>四川</v>
      </c>
      <c r="J324">
        <f>_xlfn.XLOOKUP(A324,'1.出栏表'!A:A,'1.出栏表'!F:F)</f>
        <v>9.0577470531098001</v>
      </c>
    </row>
    <row r="325" spans="1:10" ht="15" x14ac:dyDescent="0.3">
      <c r="A325" t="str">
        <f t="shared" si="10"/>
        <v>四川46136</v>
      </c>
      <c r="B325" t="s">
        <v>158</v>
      </c>
      <c r="C325" t="s">
        <v>83</v>
      </c>
      <c r="D325" s="45">
        <v>46136</v>
      </c>
      <c r="F325" s="8">
        <f>SUMIFS(根据产能每天需要鲜销部分!$K:$K,根据产能每天需要鲜销部分!$B:$B,$B325,根据产能每天需要鲜销部分!$G:$G,$C325)</f>
        <v>346.685717237505</v>
      </c>
      <c r="G325">
        <f>_xlfn.XLOOKUP($C325,价格系数辅助表!$C:$C,价格系数辅助表!$E:$E)</f>
        <v>0.922604514711862</v>
      </c>
      <c r="H325">
        <f t="shared" si="11"/>
        <v>8.3567183243171694</v>
      </c>
      <c r="I325" t="str">
        <f>_xlfn.XLOOKUP(B325,'3.屠宰能力表'!B:B,'3.屠宰能力表'!D:D)</f>
        <v>四川</v>
      </c>
      <c r="J325">
        <f>_xlfn.XLOOKUP(A325,'1.出栏表'!A:A,'1.出栏表'!F:F)</f>
        <v>9.0577470531098001</v>
      </c>
    </row>
    <row r="326" spans="1:10" ht="15" x14ac:dyDescent="0.3">
      <c r="A326" t="str">
        <f t="shared" si="10"/>
        <v>四川46136</v>
      </c>
      <c r="B326" t="s">
        <v>158</v>
      </c>
      <c r="C326" t="s">
        <v>84</v>
      </c>
      <c r="D326" s="45">
        <v>46136</v>
      </c>
      <c r="F326" s="8">
        <f>SUMIFS(根据产能每天需要鲜销部分!$K:$K,根据产能每天需要鲜销部分!$B:$B,$B326,根据产能每天需要鲜销部分!$G:$G,$C326)</f>
        <v>1127.6810143110099</v>
      </c>
      <c r="G326">
        <f>_xlfn.XLOOKUP($C326,价格系数辅助表!$C:$C,价格系数辅助表!$E:$E)</f>
        <v>0.926679482358305</v>
      </c>
      <c r="H326">
        <f t="shared" si="11"/>
        <v>8.3936283505082496</v>
      </c>
      <c r="I326" t="str">
        <f>_xlfn.XLOOKUP(B326,'3.屠宰能力表'!B:B,'3.屠宰能力表'!D:D)</f>
        <v>四川</v>
      </c>
      <c r="J326">
        <f>_xlfn.XLOOKUP(A326,'1.出栏表'!A:A,'1.出栏表'!F:F)</f>
        <v>9.0577470531098001</v>
      </c>
    </row>
    <row r="327" spans="1:10" ht="15" x14ac:dyDescent="0.3">
      <c r="A327" t="str">
        <f t="shared" si="10"/>
        <v>四川46136</v>
      </c>
      <c r="B327" t="s">
        <v>158</v>
      </c>
      <c r="C327" t="s">
        <v>85</v>
      </c>
      <c r="D327" s="45">
        <v>46136</v>
      </c>
      <c r="F327" s="8">
        <f>SUMIFS(根据产能每天需要鲜销部分!$K:$K,根据产能每天需要鲜销部分!$B:$B,$B327,根据产能每天需要鲜销部分!$G:$G,$C327)</f>
        <v>472.406911400556</v>
      </c>
      <c r="G327">
        <f>_xlfn.XLOOKUP($C327,价格系数辅助表!$C:$C,价格系数辅助表!$E:$E)</f>
        <v>1.1521636001823701</v>
      </c>
      <c r="H327">
        <f t="shared" si="11"/>
        <v>10.436006454252301</v>
      </c>
      <c r="I327" t="str">
        <f>_xlfn.XLOOKUP(B327,'3.屠宰能力表'!B:B,'3.屠宰能力表'!D:D)</f>
        <v>四川</v>
      </c>
      <c r="J327">
        <f>_xlfn.XLOOKUP(A327,'1.出栏表'!A:A,'1.出栏表'!F:F)</f>
        <v>9.0577470531098001</v>
      </c>
    </row>
    <row r="328" spans="1:10" ht="15" x14ac:dyDescent="0.3">
      <c r="A328" t="str">
        <f t="shared" si="10"/>
        <v>四川46136</v>
      </c>
      <c r="B328" t="s">
        <v>158</v>
      </c>
      <c r="C328" t="s">
        <v>86</v>
      </c>
      <c r="D328" s="45">
        <v>46136</v>
      </c>
      <c r="F328" s="8">
        <f>SUMIFS(根据产能每天需要鲜销部分!$K:$K,根据产能每天需要鲜销部分!$B:$B,$B328,根据产能每天需要鲜销部分!$G:$G,$C328)</f>
        <v>335.256517768138</v>
      </c>
      <c r="G328">
        <f>_xlfn.XLOOKUP($C328,价格系数辅助表!$C:$C,价格系数辅助表!$E:$E)</f>
        <v>1.0074710773803</v>
      </c>
      <c r="H328">
        <f t="shared" si="11"/>
        <v>9.1254181822347604</v>
      </c>
      <c r="I328" t="str">
        <f>_xlfn.XLOOKUP(B328,'3.屠宰能力表'!B:B,'3.屠宰能力表'!D:D)</f>
        <v>四川</v>
      </c>
      <c r="J328">
        <f>_xlfn.XLOOKUP(A328,'1.出栏表'!A:A,'1.出栏表'!F:F)</f>
        <v>9.0577470531098001</v>
      </c>
    </row>
    <row r="329" spans="1:10" ht="15" x14ac:dyDescent="0.3">
      <c r="A329" t="str">
        <f t="shared" si="10"/>
        <v>四川46136</v>
      </c>
      <c r="B329" t="s">
        <v>158</v>
      </c>
      <c r="C329" t="s">
        <v>87</v>
      </c>
      <c r="D329" s="45">
        <v>46136</v>
      </c>
      <c r="F329" s="8">
        <f>SUMIFS(根据产能每天需要鲜销部分!$K:$K,根据产能每天需要鲜销部分!$B:$B,$B329,根据产能每天需要鲜销部分!$G:$G,$C329)</f>
        <v>106.672528380771</v>
      </c>
      <c r="G329">
        <f>_xlfn.XLOOKUP($C329,价格系数辅助表!$C:$C,价格系数辅助表!$E:$E)</f>
        <v>0.72970400715709505</v>
      </c>
      <c r="H329">
        <f t="shared" si="11"/>
        <v>6.60947432046959</v>
      </c>
      <c r="I329" t="str">
        <f>_xlfn.XLOOKUP(B329,'3.屠宰能力表'!B:B,'3.屠宰能力表'!D:D)</f>
        <v>四川</v>
      </c>
      <c r="J329">
        <f>_xlfn.XLOOKUP(A329,'1.出栏表'!A:A,'1.出栏表'!F:F)</f>
        <v>9.0577470531098001</v>
      </c>
    </row>
    <row r="330" spans="1:10" ht="15" x14ac:dyDescent="0.3">
      <c r="A330" t="str">
        <f t="shared" si="10"/>
        <v>四川46136</v>
      </c>
      <c r="B330" t="s">
        <v>158</v>
      </c>
      <c r="C330" t="s">
        <v>88</v>
      </c>
      <c r="D330" s="45">
        <v>46136</v>
      </c>
      <c r="F330" s="8">
        <f>SUMIFS(根据产能每天需要鲜销部分!$K:$K,根据产能每天需要鲜销部分!$B:$B,$B330,根据产能每天需要鲜销部分!$G:$G,$C330)</f>
        <v>76.227064721017399</v>
      </c>
      <c r="G330">
        <f>_xlfn.XLOOKUP($C330,价格系数辅助表!$C:$C,价格系数辅助表!$E:$E)</f>
        <v>2.7560630433134201</v>
      </c>
      <c r="H330">
        <f t="shared" si="11"/>
        <v>24.963721908757002</v>
      </c>
      <c r="I330" t="str">
        <f>_xlfn.XLOOKUP(B330,'3.屠宰能力表'!B:B,'3.屠宰能力表'!D:D)</f>
        <v>四川</v>
      </c>
      <c r="J330">
        <f>_xlfn.XLOOKUP(A330,'1.出栏表'!A:A,'1.出栏表'!F:F)</f>
        <v>9.0577470531098001</v>
      </c>
    </row>
    <row r="331" spans="1:10" ht="15" x14ac:dyDescent="0.3">
      <c r="A331" t="str">
        <f t="shared" si="10"/>
        <v>四川46136</v>
      </c>
      <c r="B331" t="s">
        <v>158</v>
      </c>
      <c r="C331" t="s">
        <v>89</v>
      </c>
      <c r="D331" s="45">
        <v>46136</v>
      </c>
      <c r="F331" s="8">
        <f>SUMIFS(根据产能每天需要鲜销部分!$K:$K,根据产能每天需要鲜销部分!$B:$B,$B331,根据产能每天需要鲜销部分!$G:$G,$C331)</f>
        <v>373.34728044160801</v>
      </c>
      <c r="G331">
        <f>_xlfn.XLOOKUP($C331,价格系数辅助表!$C:$C,价格系数辅助表!$E:$E)</f>
        <v>1.1853684696925</v>
      </c>
      <c r="H331">
        <f t="shared" si="11"/>
        <v>10.736767763206499</v>
      </c>
      <c r="I331" t="str">
        <f>_xlfn.XLOOKUP(B331,'3.屠宰能力表'!B:B,'3.屠宰能力表'!D:D)</f>
        <v>四川</v>
      </c>
      <c r="J331">
        <f>_xlfn.XLOOKUP(A331,'1.出栏表'!A:A,'1.出栏表'!F:F)</f>
        <v>9.0577470531098001</v>
      </c>
    </row>
    <row r="332" spans="1:10" ht="15" x14ac:dyDescent="0.3">
      <c r="A332" t="str">
        <f t="shared" si="10"/>
        <v>四川46136</v>
      </c>
      <c r="B332" t="s">
        <v>158</v>
      </c>
      <c r="C332" t="s">
        <v>90</v>
      </c>
      <c r="D332" s="45">
        <v>46136</v>
      </c>
      <c r="F332" s="8">
        <f>SUMIFS(根据产能每天需要鲜销部分!$K:$K,根据产能每天需要鲜销部分!$B:$B,$B332,根据产能每天需要鲜销部分!$G:$G,$C332)</f>
        <v>1034.18520019369</v>
      </c>
      <c r="G332">
        <f>_xlfn.XLOOKUP($C332,价格系数辅助表!$C:$C,价格系数辅助表!$E:$E)</f>
        <v>0.74904414201499503</v>
      </c>
      <c r="H332">
        <f t="shared" si="11"/>
        <v>6.7846523699854799</v>
      </c>
      <c r="I332" t="str">
        <f>_xlfn.XLOOKUP(B332,'3.屠宰能力表'!B:B,'3.屠宰能力表'!D:D)</f>
        <v>四川</v>
      </c>
      <c r="J332">
        <f>_xlfn.XLOOKUP(A332,'1.出栏表'!A:A,'1.出栏表'!F:F)</f>
        <v>9.0577470531098001</v>
      </c>
    </row>
    <row r="333" spans="1:10" ht="15" x14ac:dyDescent="0.3">
      <c r="A333" t="str">
        <f t="shared" si="10"/>
        <v>四川46136</v>
      </c>
      <c r="B333" t="s">
        <v>158</v>
      </c>
      <c r="C333" t="s">
        <v>91</v>
      </c>
      <c r="D333" s="45">
        <v>46136</v>
      </c>
      <c r="F333" s="8">
        <f>SUMIFS(根据产能每天需要鲜销部分!$K:$K,根据产能每天需要鲜销部分!$B:$B,$B333,根据产能每天需要鲜销部分!$G:$G,$C333)</f>
        <v>782.71118044308901</v>
      </c>
      <c r="G333">
        <f>_xlfn.XLOOKUP($C333,价格系数辅助表!$C:$C,价格系数辅助表!$E:$E)</f>
        <v>0.62107390938185902</v>
      </c>
      <c r="H333">
        <f t="shared" si="11"/>
        <v>5.6255303724669199</v>
      </c>
      <c r="I333" t="str">
        <f>_xlfn.XLOOKUP(B333,'3.屠宰能力表'!B:B,'3.屠宰能力表'!D:D)</f>
        <v>四川</v>
      </c>
      <c r="J333">
        <f>_xlfn.XLOOKUP(A333,'1.出栏表'!A:A,'1.出栏表'!F:F)</f>
        <v>9.0577470531098001</v>
      </c>
    </row>
    <row r="334" spans="1:10" ht="15" x14ac:dyDescent="0.3">
      <c r="A334" t="str">
        <f t="shared" si="10"/>
        <v>四川46136</v>
      </c>
      <c r="B334" t="s">
        <v>158</v>
      </c>
      <c r="C334" t="s">
        <v>92</v>
      </c>
      <c r="D334" s="45">
        <v>46136</v>
      </c>
      <c r="F334" s="8">
        <f>SUMIFS(根据产能每天需要鲜销部分!$K:$K,根据产能每天需要鲜销部分!$B:$B,$B334,根据产能每天需要鲜销部分!$G:$G,$C334)</f>
        <v>68.575196816209896</v>
      </c>
      <c r="G334">
        <f>_xlfn.XLOOKUP($C334,价格系数辅助表!$C:$C,价格系数辅助表!$E:$E)</f>
        <v>0.24650626139895601</v>
      </c>
      <c r="H334">
        <f t="shared" si="11"/>
        <v>2.2327913627595102</v>
      </c>
      <c r="I334" t="str">
        <f>_xlfn.XLOOKUP(B334,'3.屠宰能力表'!B:B,'3.屠宰能力表'!D:D)</f>
        <v>四川</v>
      </c>
      <c r="J334">
        <f>_xlfn.XLOOKUP(A334,'1.出栏表'!A:A,'1.出栏表'!F:F)</f>
        <v>9.0577470531098001</v>
      </c>
    </row>
    <row r="335" spans="1:10" ht="15" x14ac:dyDescent="0.3">
      <c r="A335" t="str">
        <f t="shared" si="10"/>
        <v>湖南46136</v>
      </c>
      <c r="B335" t="s">
        <v>160</v>
      </c>
      <c r="C335" t="s">
        <v>41</v>
      </c>
      <c r="D335" s="45">
        <v>46136</v>
      </c>
      <c r="F335" s="8">
        <f>SUMIFS(根据产能每天需要鲜销部分!$K:$K,根据产能每天需要鲜销部分!$B:$B,$B335,根据产能每天需要鲜销部分!$G:$G,$C335)</f>
        <v>44444.4</v>
      </c>
      <c r="G335">
        <f>_xlfn.XLOOKUP($C335,价格系数辅助表!$C:$C,价格系数辅助表!$E:$E)</f>
        <v>1.1852119074341301</v>
      </c>
      <c r="H335">
        <f t="shared" si="11"/>
        <v>10.708453760784399</v>
      </c>
      <c r="I335" t="str">
        <f>_xlfn.XLOOKUP(B335,'3.屠宰能力表'!B:B,'3.屠宰能力表'!D:D)</f>
        <v>湖南</v>
      </c>
      <c r="J335">
        <f>_xlfn.XLOOKUP(A335,'1.出栏表'!A:A,'1.出栏表'!F:F)</f>
        <v>9.0350541482216098</v>
      </c>
    </row>
    <row r="336" spans="1:10" ht="15" x14ac:dyDescent="0.3">
      <c r="A336" t="str">
        <f t="shared" si="10"/>
        <v>湖南46136</v>
      </c>
      <c r="B336" t="s">
        <v>160</v>
      </c>
      <c r="C336" t="s">
        <v>44</v>
      </c>
      <c r="D336" s="45">
        <v>46136</v>
      </c>
      <c r="F336" s="8">
        <f>SUMIFS(根据产能每天需要鲜销部分!$K:$K,根据产能每天需要鲜销部分!$B:$B,$B336,根据产能每天需要鲜销部分!$G:$G,$C336)</f>
        <v>4358.4954210384503</v>
      </c>
      <c r="G336">
        <f>_xlfn.XLOOKUP($C336,价格系数辅助表!$C:$C,价格系数辅助表!$E:$E)</f>
        <v>0.81317166851852996</v>
      </c>
      <c r="H336">
        <f t="shared" si="11"/>
        <v>7.3470500568646298</v>
      </c>
      <c r="I336" t="str">
        <f>_xlfn.XLOOKUP(B336,'3.屠宰能力表'!B:B,'3.屠宰能力表'!D:D)</f>
        <v>湖南</v>
      </c>
      <c r="J336">
        <f>_xlfn.XLOOKUP(A336,'1.出栏表'!A:A,'1.出栏表'!F:F)</f>
        <v>9.0350541482216098</v>
      </c>
    </row>
    <row r="337" spans="1:10" ht="15" x14ac:dyDescent="0.3">
      <c r="A337" t="str">
        <f t="shared" si="10"/>
        <v>湖南46136</v>
      </c>
      <c r="B337" t="s">
        <v>160</v>
      </c>
      <c r="C337" t="s">
        <v>46</v>
      </c>
      <c r="D337" s="45">
        <v>46136</v>
      </c>
      <c r="F337" s="8">
        <f>SUMIFS(根据产能每天需要鲜销部分!$K:$K,根据产能每天需要鲜销部分!$B:$B,$B337,根据产能每天需要鲜销部分!$G:$G,$C337)</f>
        <v>32.744479952930099</v>
      </c>
      <c r="G337">
        <f>_xlfn.XLOOKUP($C337,价格系数辅助表!$C:$C,价格系数辅助表!$E:$E)</f>
        <v>4.0225512045395799</v>
      </c>
      <c r="H337">
        <f t="shared" si="11"/>
        <v>36.343967947009197</v>
      </c>
      <c r="I337" t="str">
        <f>_xlfn.XLOOKUP(B337,'3.屠宰能力表'!B:B,'3.屠宰能力表'!D:D)</f>
        <v>湖南</v>
      </c>
      <c r="J337">
        <f>_xlfn.XLOOKUP(A337,'1.出栏表'!A:A,'1.出栏表'!F:F)</f>
        <v>9.0350541482216098</v>
      </c>
    </row>
    <row r="338" spans="1:10" ht="15" x14ac:dyDescent="0.3">
      <c r="A338" t="str">
        <f t="shared" si="10"/>
        <v>湖南46136</v>
      </c>
      <c r="B338" t="s">
        <v>160</v>
      </c>
      <c r="C338" t="s">
        <v>47</v>
      </c>
      <c r="D338" s="45">
        <v>46136</v>
      </c>
      <c r="F338" s="8">
        <f>SUMIFS(根据产能每天需要鲜销部分!$K:$K,根据产能每天需要鲜销部分!$B:$B,$B338,根据产能每天需要鲜销部分!$G:$G,$C338)</f>
        <v>308.039399470462</v>
      </c>
      <c r="G338">
        <f>_xlfn.XLOOKUP($C338,价格系数辅助表!$C:$C,价格系数辅助表!$E:$E)</f>
        <v>0.84535964262204399</v>
      </c>
      <c r="H338">
        <f t="shared" si="11"/>
        <v>7.6378701458114397</v>
      </c>
      <c r="I338" t="str">
        <f>_xlfn.XLOOKUP(B338,'3.屠宰能力表'!B:B,'3.屠宰能力表'!D:D)</f>
        <v>湖南</v>
      </c>
      <c r="J338">
        <f>_xlfn.XLOOKUP(A338,'1.出栏表'!A:A,'1.出栏表'!F:F)</f>
        <v>9.0350541482216098</v>
      </c>
    </row>
    <row r="339" spans="1:10" ht="15" x14ac:dyDescent="0.3">
      <c r="A339" t="str">
        <f t="shared" si="10"/>
        <v>湖南46136</v>
      </c>
      <c r="B339" t="s">
        <v>160</v>
      </c>
      <c r="C339" t="s">
        <v>48</v>
      </c>
      <c r="D339" s="45">
        <v>46136</v>
      </c>
      <c r="F339" s="8">
        <f>SUMIFS(根据产能每天需要鲜销部分!$K:$K,根据产能每天需要鲜销部分!$B:$B,$B339,根据产能每天需要鲜销部分!$G:$G,$C339)</f>
        <v>1591.14043779947</v>
      </c>
      <c r="G339">
        <f>_xlfn.XLOOKUP($C339,价格系数辅助表!$C:$C,价格系数辅助表!$E:$E)</f>
        <v>0.37320475421536098</v>
      </c>
      <c r="H339">
        <f t="shared" si="11"/>
        <v>3.3719251627095201</v>
      </c>
      <c r="I339" t="str">
        <f>_xlfn.XLOOKUP(B339,'3.屠宰能力表'!B:B,'3.屠宰能力表'!D:D)</f>
        <v>湖南</v>
      </c>
      <c r="J339">
        <f>_xlfn.XLOOKUP(A339,'1.出栏表'!A:A,'1.出栏表'!F:F)</f>
        <v>9.0350541482216098</v>
      </c>
    </row>
    <row r="340" spans="1:10" ht="15" x14ac:dyDescent="0.3">
      <c r="A340" t="str">
        <f t="shared" si="10"/>
        <v>湖南46136</v>
      </c>
      <c r="B340" t="s">
        <v>160</v>
      </c>
      <c r="C340" t="s">
        <v>49</v>
      </c>
      <c r="D340" s="45">
        <v>46136</v>
      </c>
      <c r="F340" s="8">
        <f>SUMIFS(根据产能每天需要鲜销部分!$K:$K,根据产能每天需要鲜销部分!$B:$B,$B340,根据产能每天需要鲜销部分!$G:$G,$C340)</f>
        <v>311.07255955283398</v>
      </c>
      <c r="G340">
        <f>_xlfn.XLOOKUP($C340,价格系数辅助表!$C:$C,价格系数辅助表!$E:$E)</f>
        <v>1.1550192014842</v>
      </c>
      <c r="H340">
        <f t="shared" si="11"/>
        <v>10.4356610276454</v>
      </c>
      <c r="I340" t="str">
        <f>_xlfn.XLOOKUP(B340,'3.屠宰能力表'!B:B,'3.屠宰能力表'!D:D)</f>
        <v>湖南</v>
      </c>
      <c r="J340">
        <f>_xlfn.XLOOKUP(A340,'1.出栏表'!A:A,'1.出栏表'!F:F)</f>
        <v>9.0350541482216098</v>
      </c>
    </row>
    <row r="341" spans="1:10" ht="15" x14ac:dyDescent="0.3">
      <c r="A341" t="str">
        <f t="shared" si="10"/>
        <v>湖南46136</v>
      </c>
      <c r="B341" t="s">
        <v>160</v>
      </c>
      <c r="C341" t="s">
        <v>50</v>
      </c>
      <c r="D341" s="45">
        <v>46136</v>
      </c>
      <c r="F341" s="8">
        <f>SUMIFS(根据产能每天需要鲜销部分!$K:$K,根据产能每天需要鲜销部分!$B:$B,$B341,根据产能每天需要鲜销部分!$G:$G,$C341)</f>
        <v>1088.54177582584</v>
      </c>
      <c r="G341">
        <f>_xlfn.XLOOKUP($C341,价格系数辅助表!$C:$C,价格系数辅助表!$E:$E)</f>
        <v>1.90800135982928</v>
      </c>
      <c r="H341">
        <f t="shared" si="11"/>
        <v>17.238895600938001</v>
      </c>
      <c r="I341" t="str">
        <f>_xlfn.XLOOKUP(B341,'3.屠宰能力表'!B:B,'3.屠宰能力表'!D:D)</f>
        <v>湖南</v>
      </c>
      <c r="J341">
        <f>_xlfn.XLOOKUP(A341,'1.出栏表'!A:A,'1.出栏表'!F:F)</f>
        <v>9.0350541482216098</v>
      </c>
    </row>
    <row r="342" spans="1:10" ht="15" x14ac:dyDescent="0.3">
      <c r="A342" t="str">
        <f t="shared" si="10"/>
        <v>湖南46136</v>
      </c>
      <c r="B342" t="s">
        <v>160</v>
      </c>
      <c r="C342" t="s">
        <v>51</v>
      </c>
      <c r="D342" s="45">
        <v>46136</v>
      </c>
      <c r="F342" s="8">
        <f>SUMIFS(根据产能每天需要鲜销部分!$K:$K,根据产能每天需要鲜销部分!$B:$B,$B342,根据产能每天需要鲜销部分!$G:$G,$C342)</f>
        <v>499.35331928218199</v>
      </c>
      <c r="G342">
        <f>_xlfn.XLOOKUP($C342,价格系数辅助表!$C:$C,价格系数辅助表!$E:$E)</f>
        <v>2.76783242873949</v>
      </c>
      <c r="H342">
        <f t="shared" si="11"/>
        <v>25.007515866864999</v>
      </c>
      <c r="I342" t="str">
        <f>_xlfn.XLOOKUP(B342,'3.屠宰能力表'!B:B,'3.屠宰能力表'!D:D)</f>
        <v>湖南</v>
      </c>
      <c r="J342">
        <f>_xlfn.XLOOKUP(A342,'1.出栏表'!A:A,'1.出栏表'!F:F)</f>
        <v>9.0350541482216098</v>
      </c>
    </row>
    <row r="343" spans="1:10" ht="15" x14ac:dyDescent="0.3">
      <c r="A343" t="str">
        <f t="shared" si="10"/>
        <v>湖南46136</v>
      </c>
      <c r="B343" t="s">
        <v>160</v>
      </c>
      <c r="C343" t="s">
        <v>52</v>
      </c>
      <c r="D343" s="45">
        <v>46136</v>
      </c>
      <c r="F343" s="8">
        <f>SUMIFS(根据产能每天需要鲜销部分!$K:$K,根据产能每天需要鲜销部分!$B:$B,$B343,根据产能每天需要鲜销部分!$G:$G,$C343)</f>
        <v>417.49211939985702</v>
      </c>
      <c r="G343">
        <f>_xlfn.XLOOKUP($C343,价格系数辅助表!$C:$C,价格系数辅助表!$E:$E)</f>
        <v>1.61708641969264</v>
      </c>
      <c r="H343">
        <f t="shared" si="11"/>
        <v>14.6104633642768</v>
      </c>
      <c r="I343" t="str">
        <f>_xlfn.XLOOKUP(B343,'3.屠宰能力表'!B:B,'3.屠宰能力表'!D:D)</f>
        <v>湖南</v>
      </c>
      <c r="J343">
        <f>_xlfn.XLOOKUP(A343,'1.出栏表'!A:A,'1.出栏表'!F:F)</f>
        <v>9.0350541482216098</v>
      </c>
    </row>
    <row r="344" spans="1:10" ht="15" x14ac:dyDescent="0.3">
      <c r="A344" t="str">
        <f t="shared" si="10"/>
        <v>湖南46136</v>
      </c>
      <c r="B344" t="s">
        <v>160</v>
      </c>
      <c r="C344" t="s">
        <v>53</v>
      </c>
      <c r="D344" s="45">
        <v>46136</v>
      </c>
      <c r="F344" s="8">
        <f>SUMIFS(根据产能每天需要鲜销部分!$K:$K,根据产能每天需要鲜销部分!$B:$B,$B344,根据产能每天需要鲜销部分!$G:$G,$C344)</f>
        <v>368.37539947046201</v>
      </c>
      <c r="G344">
        <f>_xlfn.XLOOKUP($C344,价格系数辅助表!$C:$C,价格系数辅助表!$E:$E)</f>
        <v>1.4850675377364999</v>
      </c>
      <c r="H344">
        <f t="shared" si="11"/>
        <v>13.4176656172154</v>
      </c>
      <c r="I344" t="str">
        <f>_xlfn.XLOOKUP(B344,'3.屠宰能力表'!B:B,'3.屠宰能力表'!D:D)</f>
        <v>湖南</v>
      </c>
      <c r="J344">
        <f>_xlfn.XLOOKUP(A344,'1.出栏表'!A:A,'1.出栏表'!F:F)</f>
        <v>9.0350541482216098</v>
      </c>
    </row>
    <row r="345" spans="1:10" ht="15" x14ac:dyDescent="0.3">
      <c r="A345" t="str">
        <f t="shared" si="10"/>
        <v>湖南46136</v>
      </c>
      <c r="B345" t="s">
        <v>160</v>
      </c>
      <c r="C345" t="s">
        <v>54</v>
      </c>
      <c r="D345" s="45">
        <v>46136</v>
      </c>
      <c r="F345" s="8">
        <f>SUMIFS(根据产能每天需要鲜销部分!$K:$K,根据产能每天需要鲜销部分!$B:$B,$B345,根据产能每天需要鲜销部分!$G:$G,$C345)</f>
        <v>270.14195961167297</v>
      </c>
      <c r="G345">
        <f>_xlfn.XLOOKUP($C345,价格系数辅助表!$C:$C,价格系数辅助表!$E:$E)</f>
        <v>1.8971615295629001</v>
      </c>
      <c r="H345">
        <f t="shared" si="11"/>
        <v>17.1409571475237</v>
      </c>
      <c r="I345" t="str">
        <f>_xlfn.XLOOKUP(B345,'3.屠宰能力表'!B:B,'3.屠宰能力表'!D:D)</f>
        <v>湖南</v>
      </c>
      <c r="J345">
        <f>_xlfn.XLOOKUP(A345,'1.出栏表'!A:A,'1.出栏表'!F:F)</f>
        <v>9.0350541482216098</v>
      </c>
    </row>
    <row r="346" spans="1:10" ht="15" x14ac:dyDescent="0.3">
      <c r="A346" t="str">
        <f t="shared" si="10"/>
        <v>湖南46136</v>
      </c>
      <c r="B346" t="s">
        <v>160</v>
      </c>
      <c r="C346" t="s">
        <v>55</v>
      </c>
      <c r="D346" s="45">
        <v>46136</v>
      </c>
      <c r="F346" s="8">
        <f>SUMIFS(根据产能每天需要鲜销部分!$K:$K,根据产能每天需要鲜销部分!$B:$B,$B346,根据产能每天需要鲜销部分!$G:$G,$C346)</f>
        <v>29.178249463006999</v>
      </c>
      <c r="G346">
        <f>_xlfn.XLOOKUP($C346,价格系数辅助表!$C:$C,价格系数辅助表!$E:$E)</f>
        <v>3.2997148664303801</v>
      </c>
      <c r="H346">
        <f t="shared" si="11"/>
        <v>29.813102491890302</v>
      </c>
      <c r="I346" t="str">
        <f>_xlfn.XLOOKUP(B346,'3.屠宰能力表'!B:B,'3.屠宰能力表'!D:D)</f>
        <v>湖南</v>
      </c>
      <c r="J346">
        <f>_xlfn.XLOOKUP(A346,'1.出栏表'!A:A,'1.出栏表'!F:F)</f>
        <v>9.0350541482216098</v>
      </c>
    </row>
    <row r="347" spans="1:10" ht="15" x14ac:dyDescent="0.3">
      <c r="A347" t="str">
        <f t="shared" si="10"/>
        <v>湖南46136</v>
      </c>
      <c r="B347" t="s">
        <v>160</v>
      </c>
      <c r="C347" t="s">
        <v>57</v>
      </c>
      <c r="D347" s="45">
        <v>46136</v>
      </c>
      <c r="F347" s="8">
        <f>SUMIFS(根据产能每天需要鲜销部分!$K:$K,根据产能每天需要鲜销部分!$B:$B,$B347,根据产能每天需要鲜销部分!$G:$G,$C347)</f>
        <v>1030.3309979406899</v>
      </c>
      <c r="G347">
        <f>_xlfn.XLOOKUP($C347,价格系数辅助表!$C:$C,价格系数辅助表!$E:$E)</f>
        <v>0.130070801908548</v>
      </c>
      <c r="H347">
        <f t="shared" si="11"/>
        <v>1.17519673834634</v>
      </c>
      <c r="I347" t="str">
        <f>_xlfn.XLOOKUP(B347,'3.屠宰能力表'!B:B,'3.屠宰能力表'!D:D)</f>
        <v>湖南</v>
      </c>
      <c r="J347">
        <f>_xlfn.XLOOKUP(A347,'1.出栏表'!A:A,'1.出栏表'!F:F)</f>
        <v>9.0350541482216098</v>
      </c>
    </row>
    <row r="348" spans="1:10" ht="15" x14ac:dyDescent="0.3">
      <c r="A348" t="str">
        <f t="shared" si="10"/>
        <v>湖南46136</v>
      </c>
      <c r="B348" t="s">
        <v>160</v>
      </c>
      <c r="C348" t="s">
        <v>58</v>
      </c>
      <c r="D348" s="45">
        <v>46136</v>
      </c>
      <c r="F348" s="8">
        <f>SUMIFS(根据产能每天需要鲜销部分!$K:$K,根据产能每天需要鲜销部分!$B:$B,$B348,根据产能每天需要鲜销部分!$G:$G,$C348)</f>
        <v>1468.2310415259899</v>
      </c>
      <c r="G348">
        <f>_xlfn.XLOOKUP($C348,价格系数辅助表!$C:$C,价格系数辅助表!$E:$E)</f>
        <v>0.69784384029908697</v>
      </c>
      <c r="H348">
        <f t="shared" si="11"/>
        <v>6.30505688410517</v>
      </c>
      <c r="I348" t="str">
        <f>_xlfn.XLOOKUP(B348,'3.屠宰能力表'!B:B,'3.屠宰能力表'!D:D)</f>
        <v>湖南</v>
      </c>
      <c r="J348">
        <f>_xlfn.XLOOKUP(A348,'1.出栏表'!A:A,'1.出栏表'!F:F)</f>
        <v>9.0350541482216098</v>
      </c>
    </row>
    <row r="349" spans="1:10" ht="15" x14ac:dyDescent="0.3">
      <c r="A349" t="str">
        <f t="shared" si="10"/>
        <v>湖南46136</v>
      </c>
      <c r="B349" t="s">
        <v>160</v>
      </c>
      <c r="C349" t="s">
        <v>59</v>
      </c>
      <c r="D349" s="45">
        <v>46136</v>
      </c>
      <c r="F349" s="8">
        <f>SUMIFS(根据产能每天需要鲜销部分!$K:$K,根据产能每天需要鲜销部分!$B:$B,$B349,根据产能每天需要鲜销部分!$G:$G,$C349)</f>
        <v>1480.1219805836199</v>
      </c>
      <c r="G349">
        <f>_xlfn.XLOOKUP($C349,价格系数辅助表!$C:$C,价格系数辅助表!$E:$E)</f>
        <v>0.456447335288171</v>
      </c>
      <c r="H349">
        <f t="shared" si="11"/>
        <v>4.1240263901400898</v>
      </c>
      <c r="I349" t="str">
        <f>_xlfn.XLOOKUP(B349,'3.屠宰能力表'!B:B,'3.屠宰能力表'!D:D)</f>
        <v>湖南</v>
      </c>
      <c r="J349">
        <f>_xlfn.XLOOKUP(A349,'1.出栏表'!A:A,'1.出栏表'!F:F)</f>
        <v>9.0350541482216098</v>
      </c>
    </row>
    <row r="350" spans="1:10" ht="15" x14ac:dyDescent="0.3">
      <c r="A350" t="str">
        <f t="shared" si="10"/>
        <v>湖南46136</v>
      </c>
      <c r="B350" t="s">
        <v>160</v>
      </c>
      <c r="C350" t="s">
        <v>60</v>
      </c>
      <c r="D350" s="45">
        <v>46136</v>
      </c>
      <c r="F350" s="8">
        <f>SUMIFS(根据产能每天需要鲜销部分!$K:$K,根据产能每天需要鲜销部分!$B:$B,$B350,根据产能每天需要鲜销部分!$G:$G,$C350)</f>
        <v>686.51395843492196</v>
      </c>
      <c r="G350">
        <f>_xlfn.XLOOKUP($C350,价格系数辅助表!$C:$C,价格系数辅助表!$E:$E)</f>
        <v>0.30253913346115902</v>
      </c>
      <c r="H350">
        <f t="shared" si="11"/>
        <v>2.7334574527776199</v>
      </c>
      <c r="I350" t="str">
        <f>_xlfn.XLOOKUP(B350,'3.屠宰能力表'!B:B,'3.屠宰能力表'!D:D)</f>
        <v>湖南</v>
      </c>
      <c r="J350">
        <f>_xlfn.XLOOKUP(A350,'1.出栏表'!A:A,'1.出栏表'!F:F)</f>
        <v>9.0350541482216098</v>
      </c>
    </row>
    <row r="351" spans="1:10" ht="15" x14ac:dyDescent="0.3">
      <c r="A351" t="str">
        <f t="shared" si="10"/>
        <v>湖南46136</v>
      </c>
      <c r="B351" t="s">
        <v>160</v>
      </c>
      <c r="C351" t="s">
        <v>61</v>
      </c>
      <c r="D351" s="45">
        <v>46136</v>
      </c>
      <c r="F351" s="8">
        <f>SUMIFS(根据产能每天需要鲜销部分!$K:$K,根据产能每天需要鲜销部分!$B:$B,$B351,根据产能每天需要鲜销部分!$G:$G,$C351)</f>
        <v>785.86751887031903</v>
      </c>
      <c r="G351">
        <f>_xlfn.XLOOKUP($C351,价格系数辅助表!$C:$C,价格系数辅助表!$E:$E)</f>
        <v>5.2234050059701297E-2</v>
      </c>
      <c r="H351">
        <f t="shared" si="11"/>
        <v>0.47193747067031999</v>
      </c>
      <c r="I351" t="str">
        <f>_xlfn.XLOOKUP(B351,'3.屠宰能力表'!B:B,'3.屠宰能力表'!D:D)</f>
        <v>湖南</v>
      </c>
      <c r="J351">
        <f>_xlfn.XLOOKUP(A351,'1.出栏表'!A:A,'1.出栏表'!F:F)</f>
        <v>9.0350541482216098</v>
      </c>
    </row>
    <row r="352" spans="1:10" ht="15" x14ac:dyDescent="0.3">
      <c r="A352" t="str">
        <f t="shared" si="10"/>
        <v>湖南46136</v>
      </c>
      <c r="B352" t="s">
        <v>160</v>
      </c>
      <c r="C352" t="s">
        <v>62</v>
      </c>
      <c r="D352" s="45">
        <v>46136</v>
      </c>
      <c r="F352" s="8">
        <f>SUMIFS(根据产能每天需要鲜销部分!$K:$K,根据产能每天需要鲜销部分!$B:$B,$B352,根据产能每天需要鲜销部分!$G:$G,$C352)</f>
        <v>736.75079894092403</v>
      </c>
      <c r="G352">
        <f>_xlfn.XLOOKUP($C352,价格系数辅助表!$C:$C,价格系数辅助表!$E:$E)</f>
        <v>0.27335161219757498</v>
      </c>
      <c r="H352">
        <f t="shared" si="11"/>
        <v>2.4697466177087701</v>
      </c>
      <c r="I352" t="str">
        <f>_xlfn.XLOOKUP(B352,'3.屠宰能力表'!B:B,'3.屠宰能力表'!D:D)</f>
        <v>湖南</v>
      </c>
      <c r="J352">
        <f>_xlfn.XLOOKUP(A352,'1.出栏表'!A:A,'1.出栏表'!F:F)</f>
        <v>9.0350541482216098</v>
      </c>
    </row>
    <row r="353" spans="1:10" ht="15" x14ac:dyDescent="0.3">
      <c r="A353" t="str">
        <f t="shared" si="10"/>
        <v>湖南46136</v>
      </c>
      <c r="B353" t="s">
        <v>160</v>
      </c>
      <c r="C353" t="s">
        <v>63</v>
      </c>
      <c r="D353" s="45">
        <v>46136</v>
      </c>
      <c r="F353" s="8">
        <f>SUMIFS(根据产能每天需要鲜销部分!$K:$K,根据产能每天需要鲜销部分!$B:$B,$B353,根据产能每天需要鲜销部分!$G:$G,$C353)</f>
        <v>618.61211939985697</v>
      </c>
      <c r="G353">
        <f>_xlfn.XLOOKUP($C353,价格系数辅助表!$C:$C,价格系数辅助表!$E:$E)</f>
        <v>0.25083638292710098</v>
      </c>
      <c r="H353">
        <f t="shared" si="11"/>
        <v>2.2663203020904099</v>
      </c>
      <c r="I353" t="str">
        <f>_xlfn.XLOOKUP(B353,'3.屠宰能力表'!B:B,'3.屠宰能力表'!D:D)</f>
        <v>湖南</v>
      </c>
      <c r="J353">
        <f>_xlfn.XLOOKUP(A353,'1.出栏表'!A:A,'1.出栏表'!F:F)</f>
        <v>9.0350541482216098</v>
      </c>
    </row>
    <row r="354" spans="1:10" ht="15" x14ac:dyDescent="0.3">
      <c r="A354" t="str">
        <f t="shared" si="10"/>
        <v>湖南46136</v>
      </c>
      <c r="B354" t="s">
        <v>160</v>
      </c>
      <c r="C354" t="s">
        <v>64</v>
      </c>
      <c r="D354" s="45">
        <v>46136</v>
      </c>
      <c r="F354" s="8">
        <f>SUMIFS(根据产能每天需要鲜销部分!$K:$K,根据产能每天需要鲜销部分!$B:$B,$B354,根据产能每天需要鲜销部分!$G:$G,$C354)</f>
        <v>106.986914697692</v>
      </c>
      <c r="G354">
        <f>_xlfn.XLOOKUP($C354,价格系数辅助表!$C:$C,价格系数辅助表!$E:$E)</f>
        <v>0.87755384758256405</v>
      </c>
      <c r="H354">
        <f t="shared" si="11"/>
        <v>7.92874653088868</v>
      </c>
      <c r="I354" t="str">
        <f>_xlfn.XLOOKUP(B354,'3.屠宰能力表'!B:B,'3.屠宰能力表'!D:D)</f>
        <v>湖南</v>
      </c>
      <c r="J354">
        <f>_xlfn.XLOOKUP(A354,'1.出栏表'!A:A,'1.出栏表'!F:F)</f>
        <v>9.0350541482216098</v>
      </c>
    </row>
    <row r="355" spans="1:10" ht="15" x14ac:dyDescent="0.3">
      <c r="A355" t="str">
        <f t="shared" si="10"/>
        <v>湖南46136</v>
      </c>
      <c r="B355" t="s">
        <v>160</v>
      </c>
      <c r="C355" t="s">
        <v>65</v>
      </c>
      <c r="D355" s="45">
        <v>46136</v>
      </c>
      <c r="F355" s="8">
        <f>SUMIFS(根据产能每天需要鲜销部分!$K:$K,根据产能每天需要鲜销部分!$B:$B,$B355,根据产能每天需要鲜销部分!$G:$G,$C355)</f>
        <v>48.630415771678301</v>
      </c>
      <c r="G355">
        <f>_xlfn.XLOOKUP($C355,价格系数辅助表!$C:$C,价格系数辅助表!$E:$E)</f>
        <v>1.02785250036373</v>
      </c>
      <c r="H355">
        <f t="shared" si="11"/>
        <v>9.2867029971713198</v>
      </c>
      <c r="I355" t="str">
        <f>_xlfn.XLOOKUP(B355,'3.屠宰能力表'!B:B,'3.屠宰能力表'!D:D)</f>
        <v>湖南</v>
      </c>
      <c r="J355">
        <f>_xlfn.XLOOKUP(A355,'1.出栏表'!A:A,'1.出栏表'!F:F)</f>
        <v>9.0350541482216098</v>
      </c>
    </row>
    <row r="356" spans="1:10" ht="15" x14ac:dyDescent="0.3">
      <c r="A356" t="str">
        <f t="shared" si="10"/>
        <v>湖南46136</v>
      </c>
      <c r="B356" t="s">
        <v>160</v>
      </c>
      <c r="C356" t="s">
        <v>66</v>
      </c>
      <c r="D356" s="45">
        <v>46136</v>
      </c>
      <c r="F356" s="8">
        <f>SUMIFS(根据产能每天需要鲜销部分!$K:$K,根据产能每天需要鲜销部分!$B:$B,$B356,根据产能每天需要鲜销部分!$G:$G,$C356)</f>
        <v>171.908519752882</v>
      </c>
      <c r="G356">
        <f>_xlfn.XLOOKUP($C356,价格系数辅助表!$C:$C,价格系数辅助表!$E:$E)</f>
        <v>0.29390609194172401</v>
      </c>
      <c r="H356">
        <f t="shared" si="11"/>
        <v>2.6554574551856698</v>
      </c>
      <c r="I356" t="str">
        <f>_xlfn.XLOOKUP(B356,'3.屠宰能力表'!B:B,'3.屠宰能力表'!D:D)</f>
        <v>湖南</v>
      </c>
      <c r="J356">
        <f>_xlfn.XLOOKUP(A356,'1.出栏表'!A:A,'1.出栏表'!F:F)</f>
        <v>9.0350541482216098</v>
      </c>
    </row>
    <row r="357" spans="1:10" ht="15" x14ac:dyDescent="0.3">
      <c r="A357" t="str">
        <f t="shared" si="10"/>
        <v>湖南46136</v>
      </c>
      <c r="B357" t="s">
        <v>160</v>
      </c>
      <c r="C357" t="s">
        <v>67</v>
      </c>
      <c r="D357" s="45">
        <v>46136</v>
      </c>
      <c r="F357" s="8">
        <f>SUMIFS(根据产能每天需要鲜销部分!$K:$K,根据产能每天需要鲜销部分!$B:$B,$B357,根据产能每天需要鲜销部分!$G:$G,$C357)</f>
        <v>2011.2</v>
      </c>
      <c r="G357">
        <f>_xlfn.XLOOKUP($C357,价格系数辅助表!$C:$C,价格系数辅助表!$E:$E)</f>
        <v>8.7444985304843598E-2</v>
      </c>
      <c r="H357">
        <f t="shared" si="11"/>
        <v>0.79007017721970496</v>
      </c>
      <c r="I357" t="str">
        <f>_xlfn.XLOOKUP(B357,'3.屠宰能力表'!B:B,'3.屠宰能力表'!D:D)</f>
        <v>湖南</v>
      </c>
      <c r="J357">
        <f>_xlfn.XLOOKUP(A357,'1.出栏表'!A:A,'1.出栏表'!F:F)</f>
        <v>9.0350541482216098</v>
      </c>
    </row>
    <row r="358" spans="1:10" ht="15" x14ac:dyDescent="0.3">
      <c r="A358" t="str">
        <f t="shared" si="10"/>
        <v>湖南46136</v>
      </c>
      <c r="B358" t="s">
        <v>160</v>
      </c>
      <c r="C358" t="s">
        <v>56</v>
      </c>
      <c r="D358" s="45">
        <v>46136</v>
      </c>
      <c r="F358" s="8">
        <f>SUMIFS(根据产能每天需要鲜销部分!$K:$K,根据产能每天需要鲜销部分!$B:$B,$B358,根据产能每天需要鲜销部分!$G:$G,$C358)</f>
        <v>491.38644880100401</v>
      </c>
      <c r="G358">
        <f>_xlfn.XLOOKUP($C358,价格系数辅助表!$C:$C,价格系数辅助表!$E:$E)</f>
        <v>0.56179466940109002</v>
      </c>
      <c r="H358">
        <f t="shared" si="11"/>
        <v>5.0758452582210998</v>
      </c>
      <c r="I358" t="str">
        <f>_xlfn.XLOOKUP(B358,'3.屠宰能力表'!B:B,'3.屠宰能力表'!D:D)</f>
        <v>湖南</v>
      </c>
      <c r="J358">
        <f>_xlfn.XLOOKUP(A358,'1.出栏表'!A:A,'1.出栏表'!F:F)</f>
        <v>9.0350541482216098</v>
      </c>
    </row>
    <row r="359" spans="1:10" ht="15" x14ac:dyDescent="0.3">
      <c r="A359" t="str">
        <f t="shared" si="10"/>
        <v>湖南46136</v>
      </c>
      <c r="B359" t="s">
        <v>160</v>
      </c>
      <c r="C359" t="s">
        <v>45</v>
      </c>
      <c r="D359" s="45">
        <v>46136</v>
      </c>
      <c r="F359" s="8">
        <f>SUMIFS(根据产能每天需要鲜销部分!$K:$K,根据产能每天需要鲜销部分!$B:$B,$B359,根据产能每天需要鲜销部分!$G:$G,$C359)</f>
        <v>486.78947441163803</v>
      </c>
      <c r="G359">
        <f>_xlfn.XLOOKUP($C359,价格系数辅助表!$C:$C,价格系数辅助表!$E:$E)</f>
        <v>2.1733017987485002</v>
      </c>
      <c r="H359">
        <f t="shared" si="11"/>
        <v>19.635899432120102</v>
      </c>
      <c r="I359" t="str">
        <f>_xlfn.XLOOKUP(B359,'3.屠宰能力表'!B:B,'3.屠宰能力表'!D:D)</f>
        <v>湖南</v>
      </c>
      <c r="J359">
        <f>_xlfn.XLOOKUP(A359,'1.出栏表'!A:A,'1.出栏表'!F:F)</f>
        <v>9.0350541482216098</v>
      </c>
    </row>
    <row r="360" spans="1:10" ht="15" x14ac:dyDescent="0.3">
      <c r="A360" t="str">
        <f t="shared" si="10"/>
        <v>湖南46136</v>
      </c>
      <c r="B360" t="s">
        <v>160</v>
      </c>
      <c r="C360" t="s">
        <v>68</v>
      </c>
      <c r="D360" s="45">
        <v>46136</v>
      </c>
      <c r="F360" s="8">
        <f>SUMIFS(根据产能每天需要鲜销部分!$K:$K,根据产能每天需要鲜销部分!$B:$B,$B360,根据产能每天需要鲜销部分!$G:$G,$C360)</f>
        <v>2750.0566403786902</v>
      </c>
      <c r="G360">
        <f>_xlfn.XLOOKUP($C360,价格系数辅助表!$C:$C,价格系数辅助表!$E:$E)</f>
        <v>2.3363490079598002</v>
      </c>
      <c r="H360">
        <f t="shared" si="11"/>
        <v>21.1090397960606</v>
      </c>
      <c r="I360" t="str">
        <f>_xlfn.XLOOKUP(B360,'3.屠宰能力表'!B:B,'3.屠宰能力表'!D:D)</f>
        <v>湖南</v>
      </c>
      <c r="J360">
        <f>_xlfn.XLOOKUP(A360,'1.出栏表'!A:A,'1.出栏表'!F:F)</f>
        <v>9.0350541482216098</v>
      </c>
    </row>
    <row r="361" spans="1:10" ht="15" x14ac:dyDescent="0.3">
      <c r="A361" t="str">
        <f t="shared" si="10"/>
        <v>湖南46136</v>
      </c>
      <c r="B361" t="s">
        <v>160</v>
      </c>
      <c r="C361" t="s">
        <v>70</v>
      </c>
      <c r="D361" s="45">
        <v>46136</v>
      </c>
      <c r="F361" s="8">
        <f>SUMIFS(根据产能每天需要鲜销部分!$K:$K,根据产能每天需要鲜销部分!$B:$B,$B361,根据产能每天需要鲜销部分!$G:$G,$C361)</f>
        <v>1613.7232153022601</v>
      </c>
      <c r="G361">
        <f>_xlfn.XLOOKUP($C361,价格系数辅助表!$C:$C,价格系数辅助表!$E:$E)</f>
        <v>1.56138134676664</v>
      </c>
      <c r="H361">
        <f t="shared" si="11"/>
        <v>14.107165014059801</v>
      </c>
      <c r="I361" t="str">
        <f>_xlfn.XLOOKUP(B361,'3.屠宰能力表'!B:B,'3.屠宰能力表'!D:D)</f>
        <v>湖南</v>
      </c>
      <c r="J361">
        <f>_xlfn.XLOOKUP(A361,'1.出栏表'!A:A,'1.出栏表'!F:F)</f>
        <v>9.0350541482216098</v>
      </c>
    </row>
    <row r="362" spans="1:10" ht="15" x14ac:dyDescent="0.3">
      <c r="A362" t="str">
        <f t="shared" si="10"/>
        <v>湖南46136</v>
      </c>
      <c r="B362" t="s">
        <v>160</v>
      </c>
      <c r="C362" t="s">
        <v>71</v>
      </c>
      <c r="D362" s="45">
        <v>46136</v>
      </c>
      <c r="F362" s="8">
        <f>SUMIFS(根据产能每天需要鲜销部分!$K:$K,根据产能每天需要鲜销部分!$B:$B,$B362,根据产能每天需要鲜销部分!$G:$G,$C362)</f>
        <v>763.12419203089803</v>
      </c>
      <c r="G362">
        <f>_xlfn.XLOOKUP($C362,价格系数辅助表!$C:$C,价格系数辅助表!$E:$E)</f>
        <v>4.1323214054635997</v>
      </c>
      <c r="H362">
        <f t="shared" si="11"/>
        <v>37.3357476562188</v>
      </c>
      <c r="I362" t="str">
        <f>_xlfn.XLOOKUP(B362,'3.屠宰能力表'!B:B,'3.屠宰能力表'!D:D)</f>
        <v>湖南</v>
      </c>
      <c r="J362">
        <f>_xlfn.XLOOKUP(A362,'1.出栏表'!A:A,'1.出栏表'!F:F)</f>
        <v>9.0350541482216098</v>
      </c>
    </row>
    <row r="363" spans="1:10" ht="15" x14ac:dyDescent="0.3">
      <c r="A363" t="str">
        <f t="shared" si="10"/>
        <v>湖南46136</v>
      </c>
      <c r="B363" t="s">
        <v>160</v>
      </c>
      <c r="C363" t="s">
        <v>72</v>
      </c>
      <c r="D363" s="45">
        <v>46136</v>
      </c>
      <c r="F363" s="8">
        <f>SUMIFS(根据产能每天需要鲜销部分!$K:$K,根据产能每天需要鲜销部分!$B:$B,$B363,根据产能每天需要鲜销部分!$G:$G,$C363)</f>
        <v>1114.4063650125099</v>
      </c>
      <c r="G363">
        <f>_xlfn.XLOOKUP($C363,价格系数辅助表!$C:$C,价格系数辅助表!$E:$E)</f>
        <v>2.4066238998277001</v>
      </c>
      <c r="H363">
        <f t="shared" si="11"/>
        <v>21.743977249347498</v>
      </c>
      <c r="I363" t="str">
        <f>_xlfn.XLOOKUP(B363,'3.屠宰能力表'!B:B,'3.屠宰能力表'!D:D)</f>
        <v>湖南</v>
      </c>
      <c r="J363">
        <f>_xlfn.XLOOKUP(A363,'1.出栏表'!A:A,'1.出栏表'!F:F)</f>
        <v>9.0350541482216098</v>
      </c>
    </row>
    <row r="364" spans="1:10" ht="15" x14ac:dyDescent="0.3">
      <c r="A364" t="str">
        <f t="shared" si="10"/>
        <v>湖南46136</v>
      </c>
      <c r="B364" t="s">
        <v>160</v>
      </c>
      <c r="C364" t="s">
        <v>73</v>
      </c>
      <c r="D364" s="45">
        <v>46136</v>
      </c>
      <c r="F364" s="8">
        <f>SUMIFS(根据产能每天需要鲜销部分!$K:$K,根据产能每天需要鲜销部分!$B:$B,$B364,根据产能每天需要鲜销部分!$G:$G,$C364)</f>
        <v>744.06718160790899</v>
      </c>
      <c r="G364">
        <f>_xlfn.XLOOKUP($C364,价格系数辅助表!$C:$C,价格系数辅助表!$E:$E)</f>
        <v>1.4457460218126601</v>
      </c>
      <c r="H364">
        <f t="shared" si="11"/>
        <v>13.062393591653301</v>
      </c>
      <c r="I364" t="str">
        <f>_xlfn.XLOOKUP(B364,'3.屠宰能力表'!B:B,'3.屠宰能力表'!D:D)</f>
        <v>湖南</v>
      </c>
      <c r="J364">
        <f>_xlfn.XLOOKUP(A364,'1.出栏表'!A:A,'1.出栏表'!F:F)</f>
        <v>9.0350541482216098</v>
      </c>
    </row>
    <row r="365" spans="1:10" ht="15" x14ac:dyDescent="0.3">
      <c r="A365" t="str">
        <f t="shared" si="10"/>
        <v>湖南46136</v>
      </c>
      <c r="B365" t="s">
        <v>160</v>
      </c>
      <c r="C365" t="s">
        <v>75</v>
      </c>
      <c r="D365" s="45">
        <v>46136</v>
      </c>
      <c r="F365" s="8">
        <f>SUMIFS(根据产能每天需要鲜销部分!$K:$K,根据产能每天需要鲜销部分!$B:$B,$B365,根据产能每天需要鲜销部分!$G:$G,$C365)</f>
        <v>1506.3844854491099</v>
      </c>
      <c r="G365">
        <f>_xlfn.XLOOKUP($C365,价格系数辅助表!$C:$C,价格系数辅助表!$E:$E)</f>
        <v>1.4617715272634999</v>
      </c>
      <c r="H365">
        <f t="shared" si="11"/>
        <v>13.207184901154299</v>
      </c>
      <c r="I365" t="str">
        <f>_xlfn.XLOOKUP(B365,'3.屠宰能力表'!B:B,'3.屠宰能力表'!D:D)</f>
        <v>湖南</v>
      </c>
      <c r="J365">
        <f>_xlfn.XLOOKUP(A365,'1.出栏表'!A:A,'1.出栏表'!F:F)</f>
        <v>9.0350541482216098</v>
      </c>
    </row>
    <row r="366" spans="1:10" ht="15" x14ac:dyDescent="0.3">
      <c r="A366" t="str">
        <f t="shared" si="10"/>
        <v>湖南46136</v>
      </c>
      <c r="B366" t="s">
        <v>160</v>
      </c>
      <c r="C366" t="s">
        <v>76</v>
      </c>
      <c r="D366" s="45">
        <v>46136</v>
      </c>
      <c r="F366" s="8">
        <f>SUMIFS(根据产能每天需要鲜销部分!$K:$K,根据产能每天需要鲜销部分!$B:$B,$B366,根据产能每天需要鲜销部分!$G:$G,$C366)</f>
        <v>3675.2490326859802</v>
      </c>
      <c r="G366">
        <f>_xlfn.XLOOKUP($C366,价格系数辅助表!$C:$C,价格系数辅助表!$E:$E)</f>
        <v>1.4895071246315399</v>
      </c>
      <c r="H366">
        <f t="shared" si="11"/>
        <v>13.4577775252079</v>
      </c>
      <c r="I366" t="str">
        <f>_xlfn.XLOOKUP(B366,'3.屠宰能力表'!B:B,'3.屠宰能力表'!D:D)</f>
        <v>湖南</v>
      </c>
      <c r="J366">
        <f>_xlfn.XLOOKUP(A366,'1.出栏表'!A:A,'1.出栏表'!F:F)</f>
        <v>9.0350541482216098</v>
      </c>
    </row>
    <row r="367" spans="1:10" ht="15" x14ac:dyDescent="0.3">
      <c r="A367" t="str">
        <f t="shared" si="10"/>
        <v>湖南46136</v>
      </c>
      <c r="B367" t="s">
        <v>160</v>
      </c>
      <c r="C367" t="s">
        <v>77</v>
      </c>
      <c r="D367" s="45">
        <v>46136</v>
      </c>
      <c r="F367" s="8">
        <f>SUMIFS(根据产能每天需要鲜销部分!$K:$K,根据产能每天需要鲜销部分!$B:$B,$B367,根据产能每天需要鲜销部分!$G:$G,$C367)</f>
        <v>518.49751263046301</v>
      </c>
      <c r="G367">
        <f>_xlfn.XLOOKUP($C367,价格系数辅助表!$C:$C,价格系数辅助表!$E:$E)</f>
        <v>1.4766526372111499</v>
      </c>
      <c r="H367">
        <f t="shared" si="11"/>
        <v>13.341636535317001</v>
      </c>
      <c r="I367" t="str">
        <f>_xlfn.XLOOKUP(B367,'3.屠宰能力表'!B:B,'3.屠宰能力表'!D:D)</f>
        <v>湖南</v>
      </c>
      <c r="J367">
        <f>_xlfn.XLOOKUP(A367,'1.出栏表'!A:A,'1.出栏表'!F:F)</f>
        <v>9.0350541482216098</v>
      </c>
    </row>
    <row r="368" spans="1:10" ht="15" x14ac:dyDescent="0.3">
      <c r="A368" t="str">
        <f t="shared" si="10"/>
        <v>湖南46136</v>
      </c>
      <c r="B368" t="s">
        <v>160</v>
      </c>
      <c r="C368" t="s">
        <v>78</v>
      </c>
      <c r="D368" s="45">
        <v>46136</v>
      </c>
      <c r="F368" s="8">
        <f>SUMIFS(根据产能每天需要鲜销部分!$K:$K,根据产能每天需要鲜销部分!$B:$B,$B368,根据产能每天需要鲜销部分!$G:$G,$C368)</f>
        <v>731.79554992295402</v>
      </c>
      <c r="G368">
        <f>_xlfn.XLOOKUP($C368,价格系数辅助表!$C:$C,价格系数辅助表!$E:$E)</f>
        <v>1.2663755864959301</v>
      </c>
      <c r="H368">
        <f t="shared" si="11"/>
        <v>11.4417719959766</v>
      </c>
      <c r="I368" t="str">
        <f>_xlfn.XLOOKUP(B368,'3.屠宰能力表'!B:B,'3.屠宰能力表'!D:D)</f>
        <v>湖南</v>
      </c>
      <c r="J368">
        <f>_xlfn.XLOOKUP(A368,'1.出栏表'!A:A,'1.出栏表'!F:F)</f>
        <v>9.0350541482216098</v>
      </c>
    </row>
    <row r="369" spans="1:10" ht="15" x14ac:dyDescent="0.3">
      <c r="A369" t="str">
        <f t="shared" si="10"/>
        <v>湖南46136</v>
      </c>
      <c r="B369" t="s">
        <v>160</v>
      </c>
      <c r="C369" t="s">
        <v>79</v>
      </c>
      <c r="D369" s="45">
        <v>46136</v>
      </c>
      <c r="F369" s="8">
        <f>SUMIFS(根据产能每天需要鲜销部分!$K:$K,根据产能每天需要鲜销部分!$B:$B,$B369,根据产能每天需要鲜销部分!$G:$G,$C369)</f>
        <v>1629.6697037961601</v>
      </c>
      <c r="G369">
        <f>_xlfn.XLOOKUP($C369,价格系数辅助表!$C:$C,价格系数辅助表!$E:$E)</f>
        <v>0.88455097651113601</v>
      </c>
      <c r="H369">
        <f t="shared" si="11"/>
        <v>7.9919659696404199</v>
      </c>
      <c r="I369" t="str">
        <f>_xlfn.XLOOKUP(B369,'3.屠宰能力表'!B:B,'3.屠宰能力表'!D:D)</f>
        <v>湖南</v>
      </c>
      <c r="J369">
        <f>_xlfn.XLOOKUP(A369,'1.出栏表'!A:A,'1.出栏表'!F:F)</f>
        <v>9.0350541482216098</v>
      </c>
    </row>
    <row r="370" spans="1:10" ht="15" x14ac:dyDescent="0.3">
      <c r="A370" t="str">
        <f t="shared" si="10"/>
        <v>湖南46136</v>
      </c>
      <c r="B370" t="s">
        <v>160</v>
      </c>
      <c r="C370" t="s">
        <v>80</v>
      </c>
      <c r="D370" s="45">
        <v>46136</v>
      </c>
      <c r="F370" s="8">
        <f>SUMIFS(根据产能每天需要鲜销部分!$K:$K,根据产能每天需要鲜销部分!$B:$B,$B370,根据产能每天需要鲜销部分!$G:$G,$C370)</f>
        <v>499.83699012703897</v>
      </c>
      <c r="G370">
        <f>_xlfn.XLOOKUP($C370,价格系数辅助表!$C:$C,价格系数辅助表!$E:$E)</f>
        <v>0.81656825090915597</v>
      </c>
      <c r="H370">
        <f t="shared" si="11"/>
        <v>7.3777383626828401</v>
      </c>
      <c r="I370" t="str">
        <f>_xlfn.XLOOKUP(B370,'3.屠宰能力表'!B:B,'3.屠宰能力表'!D:D)</f>
        <v>湖南</v>
      </c>
      <c r="J370">
        <f>_xlfn.XLOOKUP(A370,'1.出栏表'!A:A,'1.出栏表'!F:F)</f>
        <v>9.0350541482216098</v>
      </c>
    </row>
    <row r="371" spans="1:10" ht="15" x14ac:dyDescent="0.3">
      <c r="A371" t="str">
        <f t="shared" si="10"/>
        <v>湖南46136</v>
      </c>
      <c r="B371" t="s">
        <v>160</v>
      </c>
      <c r="C371" t="s">
        <v>81</v>
      </c>
      <c r="D371" s="45">
        <v>46136</v>
      </c>
      <c r="F371" s="8">
        <f>SUMIFS(根据产能每天需要鲜销部分!$K:$K,根据产能每天需要鲜销部分!$B:$B,$B371,根据产能每天需要鲜销部分!$G:$G,$C371)</f>
        <v>1146.9527418556099</v>
      </c>
      <c r="G371">
        <f>_xlfn.XLOOKUP($C371,价格系数辅助表!$C:$C,价格系数辅助表!$E:$E)</f>
        <v>1.1259651927004599</v>
      </c>
      <c r="H371">
        <f t="shared" si="11"/>
        <v>10.1731564850614</v>
      </c>
      <c r="I371" t="str">
        <f>_xlfn.XLOOKUP(B371,'3.屠宰能力表'!B:B,'3.屠宰能力表'!D:D)</f>
        <v>湖南</v>
      </c>
      <c r="J371">
        <f>_xlfn.XLOOKUP(A371,'1.出栏表'!A:A,'1.出栏表'!F:F)</f>
        <v>9.0350541482216098</v>
      </c>
    </row>
    <row r="372" spans="1:10" ht="15" x14ac:dyDescent="0.3">
      <c r="A372" t="str">
        <f t="shared" si="10"/>
        <v>湖南46136</v>
      </c>
      <c r="B372" t="s">
        <v>160</v>
      </c>
      <c r="C372" t="s">
        <v>82</v>
      </c>
      <c r="D372" s="45">
        <v>46136</v>
      </c>
      <c r="F372" s="8">
        <f>SUMIFS(根据产能每天需要鲜销部分!$K:$K,根据产能每天需要鲜销部分!$B:$B,$B372,根据产能每天需要鲜销部分!$G:$G,$C372)</f>
        <v>349.94092783737102</v>
      </c>
      <c r="G372">
        <f>_xlfn.XLOOKUP($C372,价格系数辅助表!$C:$C,价格系数辅助表!$E:$E)</f>
        <v>1.02591469638818</v>
      </c>
      <c r="H372">
        <f t="shared" si="11"/>
        <v>9.2691948333234997</v>
      </c>
      <c r="I372" t="str">
        <f>_xlfn.XLOOKUP(B372,'3.屠宰能力表'!B:B,'3.屠宰能力表'!D:D)</f>
        <v>湖南</v>
      </c>
      <c r="J372">
        <f>_xlfn.XLOOKUP(A372,'1.出栏表'!A:A,'1.出栏表'!F:F)</f>
        <v>9.0350541482216098</v>
      </c>
    </row>
    <row r="373" spans="1:10" ht="15" x14ac:dyDescent="0.3">
      <c r="A373" t="str">
        <f t="shared" si="10"/>
        <v>湖南46136</v>
      </c>
      <c r="B373" t="s">
        <v>160</v>
      </c>
      <c r="C373" t="s">
        <v>83</v>
      </c>
      <c r="D373" s="45">
        <v>46136</v>
      </c>
      <c r="F373" s="8">
        <f>SUMIFS(根据产能每天需要鲜销部分!$K:$K,根据产能每天需要鲜销部分!$B:$B,$B373,根据产能每天需要鲜销部分!$G:$G,$C373)</f>
        <v>277.34857379000402</v>
      </c>
      <c r="G373">
        <f>_xlfn.XLOOKUP($C373,价格系数辅助表!$C:$C,价格系数辅助表!$E:$E)</f>
        <v>0.922604514711862</v>
      </c>
      <c r="H373">
        <f t="shared" si="11"/>
        <v>8.3357817478153997</v>
      </c>
      <c r="I373" t="str">
        <f>_xlfn.XLOOKUP(B373,'3.屠宰能力表'!B:B,'3.屠宰能力表'!D:D)</f>
        <v>湖南</v>
      </c>
      <c r="J373">
        <f>_xlfn.XLOOKUP(A373,'1.出栏表'!A:A,'1.出栏表'!F:F)</f>
        <v>9.0350541482216098</v>
      </c>
    </row>
    <row r="374" spans="1:10" ht="15" x14ac:dyDescent="0.3">
      <c r="A374" t="str">
        <f t="shared" si="10"/>
        <v>湖南46136</v>
      </c>
      <c r="B374" t="s">
        <v>160</v>
      </c>
      <c r="C374" t="s">
        <v>84</v>
      </c>
      <c r="D374" s="45">
        <v>46136</v>
      </c>
      <c r="F374" s="8">
        <f>SUMIFS(根据产能每天需要鲜销部分!$K:$K,根据产能每天需要鲜销部分!$B:$B,$B374,根据产能每天需要鲜销部分!$G:$G,$C374)</f>
        <v>902.14481144880801</v>
      </c>
      <c r="G374">
        <f>_xlfn.XLOOKUP($C374,价格系数辅助表!$C:$C,价格系数辅助表!$E:$E)</f>
        <v>0.926679482358305</v>
      </c>
      <c r="H374">
        <f t="shared" si="11"/>
        <v>8.3725993011532598</v>
      </c>
      <c r="I374" t="str">
        <f>_xlfn.XLOOKUP(B374,'3.屠宰能力表'!B:B,'3.屠宰能力表'!D:D)</f>
        <v>湖南</v>
      </c>
      <c r="J374">
        <f>_xlfn.XLOOKUP(A374,'1.出栏表'!A:A,'1.出栏表'!F:F)</f>
        <v>9.0350541482216098</v>
      </c>
    </row>
    <row r="375" spans="1:10" ht="15" x14ac:dyDescent="0.3">
      <c r="A375" t="str">
        <f t="shared" si="10"/>
        <v>湖南46136</v>
      </c>
      <c r="B375" t="s">
        <v>160</v>
      </c>
      <c r="C375" t="s">
        <v>85</v>
      </c>
      <c r="D375" s="45">
        <v>46136</v>
      </c>
      <c r="F375" s="8">
        <f>SUMIFS(根据产能每天需要鲜销部分!$K:$K,根据产能每天需要鲜销部分!$B:$B,$B375,根据产能每天需要鲜销部分!$G:$G,$C375)</f>
        <v>377.92552912044499</v>
      </c>
      <c r="G375">
        <f>_xlfn.XLOOKUP($C375,价格系数辅助表!$C:$C,价格系数辅助表!$E:$E)</f>
        <v>1.1521636001823701</v>
      </c>
      <c r="H375">
        <f t="shared" si="11"/>
        <v>10.4098605152577</v>
      </c>
      <c r="I375" t="str">
        <f>_xlfn.XLOOKUP(B375,'3.屠宰能力表'!B:B,'3.屠宰能力表'!D:D)</f>
        <v>湖南</v>
      </c>
      <c r="J375">
        <f>_xlfn.XLOOKUP(A375,'1.出栏表'!A:A,'1.出栏表'!F:F)</f>
        <v>9.0350541482216098</v>
      </c>
    </row>
    <row r="376" spans="1:10" ht="15" x14ac:dyDescent="0.3">
      <c r="A376" t="str">
        <f t="shared" si="10"/>
        <v>湖南46136</v>
      </c>
      <c r="B376" t="s">
        <v>160</v>
      </c>
      <c r="C376" t="s">
        <v>86</v>
      </c>
      <c r="D376" s="45">
        <v>46136</v>
      </c>
      <c r="F376" s="8">
        <f>SUMIFS(根据产能每天需要鲜销部分!$K:$K,根据产能每天需要鲜销部分!$B:$B,$B376,根据产能每天需要鲜销部分!$G:$G,$C376)</f>
        <v>268.20521421451002</v>
      </c>
      <c r="G376">
        <f>_xlfn.XLOOKUP($C376,价格系数辅助表!$C:$C,价格系数辅助表!$E:$E)</f>
        <v>1.0074710773803</v>
      </c>
      <c r="H376">
        <f t="shared" si="11"/>
        <v>9.1025557368981698</v>
      </c>
      <c r="I376" t="str">
        <f>_xlfn.XLOOKUP(B376,'3.屠宰能力表'!B:B,'3.屠宰能力表'!D:D)</f>
        <v>湖南</v>
      </c>
      <c r="J376">
        <f>_xlfn.XLOOKUP(A376,'1.出栏表'!A:A,'1.出栏表'!F:F)</f>
        <v>9.0350541482216098</v>
      </c>
    </row>
    <row r="377" spans="1:10" ht="15" x14ac:dyDescent="0.3">
      <c r="A377" t="str">
        <f t="shared" si="10"/>
        <v>湖南46136</v>
      </c>
      <c r="B377" t="s">
        <v>160</v>
      </c>
      <c r="C377" t="s">
        <v>87</v>
      </c>
      <c r="D377" s="45">
        <v>46136</v>
      </c>
      <c r="F377" s="8">
        <f>SUMIFS(根据产能每天需要鲜销部分!$K:$K,根据产能每天需要鲜销部分!$B:$B,$B377,根据产能每天需要鲜销部分!$G:$G,$C377)</f>
        <v>85.338022704617103</v>
      </c>
      <c r="G377">
        <f>_xlfn.XLOOKUP($C377,价格系数辅助表!$C:$C,价格系数辅助表!$E:$E)</f>
        <v>0.72970400715709505</v>
      </c>
      <c r="H377">
        <f t="shared" si="11"/>
        <v>6.59291521683864</v>
      </c>
      <c r="I377" t="str">
        <f>_xlfn.XLOOKUP(B377,'3.屠宰能力表'!B:B,'3.屠宰能力表'!D:D)</f>
        <v>湖南</v>
      </c>
      <c r="J377">
        <f>_xlfn.XLOOKUP(A377,'1.出栏表'!A:A,'1.出栏表'!F:F)</f>
        <v>9.0350541482216098</v>
      </c>
    </row>
    <row r="378" spans="1:10" ht="15" x14ac:dyDescent="0.3">
      <c r="A378" t="str">
        <f t="shared" si="10"/>
        <v>湖南46136</v>
      </c>
      <c r="B378" t="s">
        <v>160</v>
      </c>
      <c r="C378" t="s">
        <v>88</v>
      </c>
      <c r="D378" s="45">
        <v>46136</v>
      </c>
      <c r="F378" s="8">
        <f>SUMIFS(根据产能每天需要鲜销部分!$K:$K,根据产能每天需要鲜销部分!$B:$B,$B378,根据产能每天需要鲜销部分!$G:$G,$C378)</f>
        <v>60.981651776813997</v>
      </c>
      <c r="G378">
        <f>_xlfn.XLOOKUP($C378,价格系数辅助表!$C:$C,价格系数辅助表!$E:$E)</f>
        <v>2.7560630433134201</v>
      </c>
      <c r="H378">
        <f t="shared" si="11"/>
        <v>24.901178832249201</v>
      </c>
      <c r="I378" t="str">
        <f>_xlfn.XLOOKUP(B378,'3.屠宰能力表'!B:B,'3.屠宰能力表'!D:D)</f>
        <v>湖南</v>
      </c>
      <c r="J378">
        <f>_xlfn.XLOOKUP(A378,'1.出栏表'!A:A,'1.出栏表'!F:F)</f>
        <v>9.0350541482216098</v>
      </c>
    </row>
    <row r="379" spans="1:10" ht="15" x14ac:dyDescent="0.3">
      <c r="A379" t="str">
        <f t="shared" si="10"/>
        <v>湖南46136</v>
      </c>
      <c r="B379" t="s">
        <v>160</v>
      </c>
      <c r="C379" t="s">
        <v>89</v>
      </c>
      <c r="D379" s="45">
        <v>46136</v>
      </c>
      <c r="F379" s="8">
        <f>SUMIFS(根据产能每天需要鲜销部分!$K:$K,根据产能每天需要鲜销部分!$B:$B,$B379,根据产能每天需要鲜销部分!$G:$G,$C379)</f>
        <v>274.22941518995901</v>
      </c>
      <c r="G379">
        <f>_xlfn.XLOOKUP($C379,价格系数辅助表!$C:$C,价格系数辅助表!$E:$E)</f>
        <v>1.1853684696925</v>
      </c>
      <c r="H379">
        <f t="shared" si="11"/>
        <v>10.7098683092663</v>
      </c>
      <c r="I379" t="str">
        <f>_xlfn.XLOOKUP(B379,'3.屠宰能力表'!B:B,'3.屠宰能力表'!D:D)</f>
        <v>湖南</v>
      </c>
      <c r="J379">
        <f>_xlfn.XLOOKUP(A379,'1.出栏表'!A:A,'1.出栏表'!F:F)</f>
        <v>9.0350541482216098</v>
      </c>
    </row>
    <row r="380" spans="1:10" ht="15" x14ac:dyDescent="0.3">
      <c r="A380" t="str">
        <f t="shared" si="10"/>
        <v>湖南46136</v>
      </c>
      <c r="B380" t="s">
        <v>160</v>
      </c>
      <c r="C380" t="s">
        <v>90</v>
      </c>
      <c r="D380" s="45">
        <v>46136</v>
      </c>
      <c r="F380" s="8">
        <f>SUMIFS(根据产能每天需要鲜销部分!$K:$K,根据产能每天需要鲜销部分!$B:$B,$B380,根据产能每天需要鲜销部分!$G:$G,$C380)</f>
        <v>759.62520019369003</v>
      </c>
      <c r="G380">
        <f>_xlfn.XLOOKUP($C380,价格系数辅助表!$C:$C,价格系数辅助表!$E:$E)</f>
        <v>0.74904414201499503</v>
      </c>
      <c r="H380">
        <f t="shared" si="11"/>
        <v>6.7676543825136797</v>
      </c>
      <c r="I380" t="str">
        <f>_xlfn.XLOOKUP(B380,'3.屠宰能力表'!B:B,'3.屠宰能力表'!D:D)</f>
        <v>湖南</v>
      </c>
      <c r="J380">
        <f>_xlfn.XLOOKUP(A380,'1.出栏表'!A:A,'1.出栏表'!F:F)</f>
        <v>9.0350541482216098</v>
      </c>
    </row>
    <row r="381" spans="1:10" ht="15" x14ac:dyDescent="0.3">
      <c r="A381" t="str">
        <f t="shared" si="10"/>
        <v>湖南46136</v>
      </c>
      <c r="B381" t="s">
        <v>160</v>
      </c>
      <c r="C381" t="s">
        <v>91</v>
      </c>
      <c r="D381" s="45">
        <v>46136</v>
      </c>
      <c r="F381" s="8">
        <f>SUMIFS(根据产能每天需要鲜销部分!$K:$K,根据产能每天需要鲜销部分!$B:$B,$B381,根据产能每天需要鲜销部分!$G:$G,$C381)</f>
        <v>574.91360060709201</v>
      </c>
      <c r="G381">
        <f>_xlfn.XLOOKUP($C381,价格系数辅助表!$C:$C,价格系数辅助表!$E:$E)</f>
        <v>0.62107390938185902</v>
      </c>
      <c r="H381">
        <f t="shared" si="11"/>
        <v>5.6114364013127798</v>
      </c>
      <c r="I381" t="str">
        <f>_xlfn.XLOOKUP(B381,'3.屠宰能力表'!B:B,'3.屠宰能力表'!D:D)</f>
        <v>湖南</v>
      </c>
      <c r="J381">
        <f>_xlfn.XLOOKUP(A381,'1.出栏表'!A:A,'1.出栏表'!F:F)</f>
        <v>9.0350541482216098</v>
      </c>
    </row>
    <row r="382" spans="1:10" ht="15" x14ac:dyDescent="0.3">
      <c r="A382" t="str">
        <f t="shared" si="10"/>
        <v>湖南46136</v>
      </c>
      <c r="B382" t="s">
        <v>160</v>
      </c>
      <c r="C382" t="s">
        <v>92</v>
      </c>
      <c r="D382" s="45">
        <v>46136</v>
      </c>
      <c r="F382" s="8">
        <f>SUMIFS(根据产能每天需要鲜销部分!$K:$K,根据产能每天需要鲜销部分!$B:$B,$B382,根据产能每天需要鲜销部分!$G:$G,$C382)</f>
        <v>54.860157452967897</v>
      </c>
      <c r="G382">
        <f>_xlfn.XLOOKUP($C382,价格系数辅助表!$C:$C,价格系数辅助表!$E:$E)</f>
        <v>0.24650626139895601</v>
      </c>
      <c r="H382">
        <f t="shared" si="11"/>
        <v>2.2271974196152402</v>
      </c>
      <c r="I382" t="str">
        <f>_xlfn.XLOOKUP(B382,'3.屠宰能力表'!B:B,'3.屠宰能力表'!D:D)</f>
        <v>湖南</v>
      </c>
      <c r="J382">
        <f>_xlfn.XLOOKUP(A382,'1.出栏表'!A:A,'1.出栏表'!F:F)</f>
        <v>9.0350541482216098</v>
      </c>
    </row>
    <row r="383" spans="1:10" ht="15" x14ac:dyDescent="0.3">
      <c r="A383" t="str">
        <f t="shared" si="10"/>
        <v>辽宁46136</v>
      </c>
      <c r="B383" t="s">
        <v>164</v>
      </c>
      <c r="C383" t="s">
        <v>41</v>
      </c>
      <c r="D383" s="45">
        <v>46136</v>
      </c>
      <c r="F383" s="8">
        <f>SUMIFS(根据产能每天需要鲜销部分!$K:$K,根据产能每天需要鲜销部分!$B:$B,$B383,根据产能每天需要鲜销部分!$G:$G,$C383)</f>
        <v>235068.49315068501</v>
      </c>
      <c r="G383">
        <f>_xlfn.XLOOKUP($C383,价格系数辅助表!$C:$C,价格系数辅助表!$E:$E)</f>
        <v>1.1852119074341301</v>
      </c>
      <c r="H383">
        <f t="shared" si="11"/>
        <v>10.252274539978499</v>
      </c>
      <c r="I383" t="str">
        <f>_xlfn.XLOOKUP(B383,'3.屠宰能力表'!B:B,'3.屠宰能力表'!D:D)</f>
        <v>辽宁</v>
      </c>
      <c r="J383">
        <f>_xlfn.XLOOKUP(A383,'1.出栏表'!A:A,'1.出栏表'!F:F)</f>
        <v>8.6501616087992694</v>
      </c>
    </row>
    <row r="384" spans="1:10" ht="15" x14ac:dyDescent="0.3">
      <c r="A384" t="str">
        <f t="shared" si="10"/>
        <v>辽宁46136</v>
      </c>
      <c r="B384" t="s">
        <v>164</v>
      </c>
      <c r="C384" t="s">
        <v>44</v>
      </c>
      <c r="D384" s="45">
        <v>46136</v>
      </c>
      <c r="F384" s="8">
        <f>SUMIFS(根据产能每天需要鲜销部分!$K:$K,根据产能每天需要鲜销部分!$B:$B,$B384,根据产能每天需要鲜销部分!$G:$G,$C384)</f>
        <v>14249.5027987003</v>
      </c>
      <c r="G384">
        <f>_xlfn.XLOOKUP($C384,价格系数辅助表!$C:$C,价格系数辅助表!$E:$E)</f>
        <v>0.81317166851852996</v>
      </c>
      <c r="H384">
        <f t="shared" si="11"/>
        <v>7.0340663483822299</v>
      </c>
      <c r="I384" t="str">
        <f>_xlfn.XLOOKUP(B384,'3.屠宰能力表'!B:B,'3.屠宰能力表'!D:D)</f>
        <v>辽宁</v>
      </c>
      <c r="J384">
        <f>_xlfn.XLOOKUP(A384,'1.出栏表'!A:A,'1.出栏表'!F:F)</f>
        <v>8.6501616087992694</v>
      </c>
    </row>
    <row r="385" spans="1:10" ht="15" x14ac:dyDescent="0.3">
      <c r="A385" t="str">
        <f t="shared" si="10"/>
        <v>辽宁46136</v>
      </c>
      <c r="B385" t="s">
        <v>164</v>
      </c>
      <c r="C385" t="s">
        <v>46</v>
      </c>
      <c r="D385" s="45">
        <v>46136</v>
      </c>
      <c r="F385" s="8">
        <f>SUMIFS(根据产能每天需要鲜销部分!$K:$K,根据产能每天需要鲜销部分!$B:$B,$B385,根据产能每天需要鲜销部分!$G:$G,$C385)</f>
        <v>107.053584702423</v>
      </c>
      <c r="G385">
        <f>_xlfn.XLOOKUP($C385,价格系数辅助表!$C:$C,价格系数辅助表!$E:$E)</f>
        <v>4.0225512045395799</v>
      </c>
      <c r="H385">
        <f t="shared" si="11"/>
        <v>34.795717998937597</v>
      </c>
      <c r="I385" t="str">
        <f>_xlfn.XLOOKUP(B385,'3.屠宰能力表'!B:B,'3.屠宰能力表'!D:D)</f>
        <v>辽宁</v>
      </c>
      <c r="J385">
        <f>_xlfn.XLOOKUP(A385,'1.出栏表'!A:A,'1.出栏表'!F:F)</f>
        <v>8.6501616087992694</v>
      </c>
    </row>
    <row r="386" spans="1:10" ht="15" x14ac:dyDescent="0.3">
      <c r="A386" t="str">
        <f t="shared" si="10"/>
        <v>辽宁46136</v>
      </c>
      <c r="B386" t="s">
        <v>164</v>
      </c>
      <c r="C386" t="s">
        <v>47</v>
      </c>
      <c r="D386" s="45">
        <v>46136</v>
      </c>
      <c r="F386" s="8">
        <f>SUMIFS(根据产能每天需要鲜销部分!$K:$K,根据产能每天需要鲜销部分!$B:$B,$B386,根据产能每天需要鲜销部分!$G:$G,$C386)</f>
        <v>1007.09255392965</v>
      </c>
      <c r="G386">
        <f>_xlfn.XLOOKUP($C386,价格系数辅助表!$C:$C,价格系数辅助表!$E:$E)</f>
        <v>0.84535964262204399</v>
      </c>
      <c r="H386">
        <f t="shared" si="11"/>
        <v>7.3124975262374798</v>
      </c>
      <c r="I386" t="str">
        <f>_xlfn.XLOOKUP(B386,'3.屠宰能力表'!B:B,'3.屠宰能力表'!D:D)</f>
        <v>辽宁</v>
      </c>
      <c r="J386">
        <f>_xlfn.XLOOKUP(A386,'1.出栏表'!A:A,'1.出栏表'!F:F)</f>
        <v>8.6501616087992694</v>
      </c>
    </row>
    <row r="387" spans="1:10" ht="15" x14ac:dyDescent="0.3">
      <c r="A387" t="str">
        <f t="shared" ref="A387:A450" si="12">I387&amp;D387</f>
        <v>辽宁46136</v>
      </c>
      <c r="B387" t="s">
        <v>164</v>
      </c>
      <c r="C387" t="s">
        <v>48</v>
      </c>
      <c r="D387" s="45">
        <v>46136</v>
      </c>
      <c r="F387" s="8">
        <f>SUMIFS(根据产能每天需要鲜销部分!$K:$K,根据产能每天需要鲜销部分!$B:$B,$B387,根据产能每天需要鲜销部分!$G:$G,$C387)</f>
        <v>5202.0153588108496</v>
      </c>
      <c r="G387">
        <f>_xlfn.XLOOKUP($C387,价格系数辅助表!$C:$C,价格系数辅助表!$E:$E)</f>
        <v>0.37320475421536098</v>
      </c>
      <c r="H387">
        <f t="shared" ref="H387:H450" si="13">G387*$J387</f>
        <v>3.2282814371350801</v>
      </c>
      <c r="I387" t="str">
        <f>_xlfn.XLOOKUP(B387,'3.屠宰能力表'!B:B,'3.屠宰能力表'!D:D)</f>
        <v>辽宁</v>
      </c>
      <c r="J387">
        <f>_xlfn.XLOOKUP(A387,'1.出栏表'!A:A,'1.出栏表'!F:F)</f>
        <v>8.6501616087992694</v>
      </c>
    </row>
    <row r="388" spans="1:10" ht="15" x14ac:dyDescent="0.3">
      <c r="A388" t="str">
        <f t="shared" si="12"/>
        <v>辽宁46136</v>
      </c>
      <c r="B388" t="s">
        <v>164</v>
      </c>
      <c r="C388" t="s">
        <v>49</v>
      </c>
      <c r="D388" s="45">
        <v>46136</v>
      </c>
      <c r="F388" s="8">
        <f>SUMIFS(根据产能每天需要鲜销部分!$K:$K,根据产能每天需要鲜销部分!$B:$B,$B388,根据产能每天需要鲜销部分!$G:$G,$C388)</f>
        <v>1017.00905467301</v>
      </c>
      <c r="G388">
        <f>_xlfn.XLOOKUP($C388,价格系数辅助表!$C:$C,价格系数辅助表!$E:$E)</f>
        <v>1.1550192014842</v>
      </c>
      <c r="H388">
        <f t="shared" si="13"/>
        <v>9.99110275410459</v>
      </c>
      <c r="I388" t="str">
        <f>_xlfn.XLOOKUP(B388,'3.屠宰能力表'!B:B,'3.屠宰能力表'!D:D)</f>
        <v>辽宁</v>
      </c>
      <c r="J388">
        <f>_xlfn.XLOOKUP(A388,'1.出栏表'!A:A,'1.出栏表'!F:F)</f>
        <v>8.6501616087992694</v>
      </c>
    </row>
    <row r="389" spans="1:10" ht="15" x14ac:dyDescent="0.3">
      <c r="A389" t="str">
        <f t="shared" si="12"/>
        <v>辽宁46136</v>
      </c>
      <c r="B389" t="s">
        <v>164</v>
      </c>
      <c r="C389" t="s">
        <v>50</v>
      </c>
      <c r="D389" s="45">
        <v>46136</v>
      </c>
      <c r="F389" s="8">
        <f>SUMIFS(根据产能每天需要鲜销部分!$K:$K,根据产能每天需要鲜销部分!$B:$B,$B389,根据产能每天需要鲜销部分!$G:$G,$C389)</f>
        <v>3558.8379894263699</v>
      </c>
      <c r="G389">
        <f>_xlfn.XLOOKUP($C389,价格系数辅助表!$C:$C,价格系数辅助表!$E:$E)</f>
        <v>1.90800135982928</v>
      </c>
      <c r="H389">
        <f t="shared" si="13"/>
        <v>16.504520112331999</v>
      </c>
      <c r="I389" t="str">
        <f>_xlfn.XLOOKUP(B389,'3.屠宰能力表'!B:B,'3.屠宰能力表'!D:D)</f>
        <v>辽宁</v>
      </c>
      <c r="J389">
        <f>_xlfn.XLOOKUP(A389,'1.出栏表'!A:A,'1.出栏表'!F:F)</f>
        <v>8.6501616087992694</v>
      </c>
    </row>
    <row r="390" spans="1:10" ht="15" x14ac:dyDescent="0.3">
      <c r="A390" t="str">
        <f t="shared" si="12"/>
        <v>辽宁46136</v>
      </c>
      <c r="B390" t="s">
        <v>164</v>
      </c>
      <c r="C390" t="s">
        <v>51</v>
      </c>
      <c r="D390" s="45">
        <v>46136</v>
      </c>
      <c r="F390" s="8">
        <f>SUMIFS(根据产能每天需要鲜销部分!$K:$K,根据产能每天需要鲜销部分!$B:$B,$B390,根据产能每天需要鲜销部分!$G:$G,$C390)</f>
        <v>1632.56716671194</v>
      </c>
      <c r="G390">
        <f>_xlfn.XLOOKUP($C390,价格系数辅助表!$C:$C,价格系数辅助表!$E:$E)</f>
        <v>2.76783242873949</v>
      </c>
      <c r="H390">
        <f t="shared" si="13"/>
        <v>23.942197814671999</v>
      </c>
      <c r="I390" t="str">
        <f>_xlfn.XLOOKUP(B390,'3.屠宰能力表'!B:B,'3.屠宰能力表'!D:D)</f>
        <v>辽宁</v>
      </c>
      <c r="J390">
        <f>_xlfn.XLOOKUP(A390,'1.出栏表'!A:A,'1.出栏表'!F:F)</f>
        <v>8.6501616087992694</v>
      </c>
    </row>
    <row r="391" spans="1:10" ht="15" x14ac:dyDescent="0.3">
      <c r="A391" t="str">
        <f t="shared" si="12"/>
        <v>辽宁46136</v>
      </c>
      <c r="B391" t="s">
        <v>164</v>
      </c>
      <c r="C391" t="s">
        <v>52</v>
      </c>
      <c r="D391" s="45">
        <v>46136</v>
      </c>
      <c r="F391" s="8">
        <f>SUMIFS(根据产能每天需要鲜销部分!$K:$K,根据产能每天需要鲜销部分!$B:$B,$B391,根据产能每天需要鲜销部分!$G:$G,$C391)</f>
        <v>1364.93320495589</v>
      </c>
      <c r="G391">
        <f>_xlfn.XLOOKUP($C391,价格系数辅助表!$C:$C,价格系数辅助表!$E:$E)</f>
        <v>1.61708641969264</v>
      </c>
      <c r="H391">
        <f t="shared" si="13"/>
        <v>13.9880588657359</v>
      </c>
      <c r="I391" t="str">
        <f>_xlfn.XLOOKUP(B391,'3.屠宰能力表'!B:B,'3.屠宰能力表'!D:D)</f>
        <v>辽宁</v>
      </c>
      <c r="J391">
        <f>_xlfn.XLOOKUP(A391,'1.出栏表'!A:A,'1.出栏表'!F:F)</f>
        <v>8.6501616087992694</v>
      </c>
    </row>
    <row r="392" spans="1:10" ht="15" x14ac:dyDescent="0.3">
      <c r="A392" t="str">
        <f t="shared" si="12"/>
        <v>辽宁46136</v>
      </c>
      <c r="B392" t="s">
        <v>164</v>
      </c>
      <c r="C392" t="s">
        <v>53</v>
      </c>
      <c r="D392" s="45">
        <v>46136</v>
      </c>
      <c r="F392" s="8">
        <f>SUMIFS(根据产能每天需要鲜销部分!$K:$K,根据产能每天需要鲜销部分!$B:$B,$B392,根据产能每天需要鲜销部分!$G:$G,$C392)</f>
        <v>1204.3528279022501</v>
      </c>
      <c r="G392">
        <f>_xlfn.XLOOKUP($C392,价格系数辅助表!$C:$C,价格系数辅助表!$E:$E)</f>
        <v>1.4850675377364999</v>
      </c>
      <c r="H392">
        <f t="shared" si="13"/>
        <v>12.846074201402301</v>
      </c>
      <c r="I392" t="str">
        <f>_xlfn.XLOOKUP(B392,'3.屠宰能力表'!B:B,'3.屠宰能力表'!D:D)</f>
        <v>辽宁</v>
      </c>
      <c r="J392">
        <f>_xlfn.XLOOKUP(A392,'1.出栏表'!A:A,'1.出栏表'!F:F)</f>
        <v>8.6501616087992694</v>
      </c>
    </row>
    <row r="393" spans="1:10" ht="15" x14ac:dyDescent="0.3">
      <c r="A393" t="str">
        <f t="shared" si="12"/>
        <v>辽宁46136</v>
      </c>
      <c r="B393" t="s">
        <v>164</v>
      </c>
      <c r="C393" t="s">
        <v>54</v>
      </c>
      <c r="D393" s="45">
        <v>46136</v>
      </c>
      <c r="F393" s="8">
        <f>SUMIFS(根据产能每天需要鲜销部分!$K:$K,根据产能每天需要鲜销部分!$B:$B,$B393,根据产能每天需要鲜销部分!$G:$G,$C393)</f>
        <v>883.19207379498698</v>
      </c>
      <c r="G393">
        <f>_xlfn.XLOOKUP($C393,价格系数辅助表!$C:$C,价格系数辅助表!$E:$E)</f>
        <v>1.8971615295629001</v>
      </c>
      <c r="H393">
        <f t="shared" si="13"/>
        <v>16.410753828715901</v>
      </c>
      <c r="I393" t="str">
        <f>_xlfn.XLOOKUP(B393,'3.屠宰能力表'!B:B,'3.屠宰能力表'!D:D)</f>
        <v>辽宁</v>
      </c>
      <c r="J393">
        <f>_xlfn.XLOOKUP(A393,'1.出栏表'!A:A,'1.出栏表'!F:F)</f>
        <v>8.6501616087992694</v>
      </c>
    </row>
    <row r="394" spans="1:10" ht="15" x14ac:dyDescent="0.3">
      <c r="A394" t="str">
        <f t="shared" si="12"/>
        <v>辽宁46136</v>
      </c>
      <c r="B394" t="s">
        <v>164</v>
      </c>
      <c r="C394" t="s">
        <v>55</v>
      </c>
      <c r="D394" s="45">
        <v>46136</v>
      </c>
      <c r="F394" s="8">
        <f>SUMIFS(根据产能每天需要鲜销部分!$K:$K,根据产能每天需要鲜销部分!$B:$B,$B394,根据产能每天需要鲜销部分!$G:$G,$C394)</f>
        <v>95.394283398198596</v>
      </c>
      <c r="G394">
        <f>_xlfn.XLOOKUP($C394,价格系数辅助表!$C:$C,价格系数辅助表!$E:$E)</f>
        <v>3.2997148664303801</v>
      </c>
      <c r="H394">
        <f t="shared" si="13"/>
        <v>28.5430668575803</v>
      </c>
      <c r="I394" t="str">
        <f>_xlfn.XLOOKUP(B394,'3.屠宰能力表'!B:B,'3.屠宰能力表'!D:D)</f>
        <v>辽宁</v>
      </c>
      <c r="J394">
        <f>_xlfn.XLOOKUP(A394,'1.出栏表'!A:A,'1.出栏表'!F:F)</f>
        <v>8.6501616087992694</v>
      </c>
    </row>
    <row r="395" spans="1:10" ht="15" x14ac:dyDescent="0.3">
      <c r="A395" t="str">
        <f t="shared" si="12"/>
        <v>辽宁46136</v>
      </c>
      <c r="B395" t="s">
        <v>164</v>
      </c>
      <c r="C395" t="s">
        <v>57</v>
      </c>
      <c r="D395" s="45">
        <v>46136</v>
      </c>
      <c r="F395" s="8">
        <f>SUMIFS(根据产能每天需要鲜销部分!$K:$K,根据产能每天需要鲜销部分!$B:$B,$B395,根据产能每天需要鲜销部分!$G:$G,$C395)</f>
        <v>3368.5258375803</v>
      </c>
      <c r="G395">
        <f>_xlfn.XLOOKUP($C395,价格系数辅助表!$C:$C,价格系数辅助表!$E:$E)</f>
        <v>0.130070801908548</v>
      </c>
      <c r="H395">
        <f t="shared" si="13"/>
        <v>1.12513345709506</v>
      </c>
      <c r="I395" t="str">
        <f>_xlfn.XLOOKUP(B395,'3.屠宰能力表'!B:B,'3.屠宰能力表'!D:D)</f>
        <v>辽宁</v>
      </c>
      <c r="J395">
        <f>_xlfn.XLOOKUP(A395,'1.出栏表'!A:A,'1.出栏表'!F:F)</f>
        <v>8.6501616087992694</v>
      </c>
    </row>
    <row r="396" spans="1:10" ht="15" x14ac:dyDescent="0.3">
      <c r="A396" t="str">
        <f t="shared" si="12"/>
        <v>辽宁46136</v>
      </c>
      <c r="B396" t="s">
        <v>164</v>
      </c>
      <c r="C396" t="s">
        <v>58</v>
      </c>
      <c r="D396" s="45">
        <v>46136</v>
      </c>
      <c r="F396" s="8">
        <f>SUMIFS(根据产能每天需要鲜销部分!$K:$K,根据产能每天需要鲜销部分!$B:$B,$B396,根据产能每天需要鲜销部分!$G:$G,$C396)</f>
        <v>4800.1799507175801</v>
      </c>
      <c r="G396">
        <f>_xlfn.XLOOKUP($C396,价格系数辅助表!$C:$C,价格系数辅助表!$E:$E)</f>
        <v>0.69784384029908697</v>
      </c>
      <c r="H396">
        <f t="shared" si="13"/>
        <v>6.0364619962922097</v>
      </c>
      <c r="I396" t="str">
        <f>_xlfn.XLOOKUP(B396,'3.屠宰能力表'!B:B,'3.屠宰能力表'!D:D)</f>
        <v>辽宁</v>
      </c>
      <c r="J396">
        <f>_xlfn.XLOOKUP(A396,'1.出栏表'!A:A,'1.出栏表'!F:F)</f>
        <v>8.6501616087992694</v>
      </c>
    </row>
    <row r="397" spans="1:10" ht="15" x14ac:dyDescent="0.3">
      <c r="A397" t="str">
        <f t="shared" si="12"/>
        <v>辽宁46136</v>
      </c>
      <c r="B397" t="s">
        <v>164</v>
      </c>
      <c r="C397" t="s">
        <v>59</v>
      </c>
      <c r="D397" s="45">
        <v>46136</v>
      </c>
      <c r="F397" s="8">
        <f>SUMIFS(根据产能每天需要鲜销部分!$K:$K,根据产能每天需要鲜销部分!$B:$B,$B397,根据产能每天需要鲜销部分!$G:$G,$C397)</f>
        <v>4839.0557445438299</v>
      </c>
      <c r="G397">
        <f>_xlfn.XLOOKUP($C397,价格系数辅助表!$C:$C,价格系数辅助表!$E:$E)</f>
        <v>0.456447335288171</v>
      </c>
      <c r="H397">
        <f t="shared" si="13"/>
        <v>3.94834321614846</v>
      </c>
      <c r="I397" t="str">
        <f>_xlfn.XLOOKUP(B397,'3.屠宰能力表'!B:B,'3.屠宰能力表'!D:D)</f>
        <v>辽宁</v>
      </c>
      <c r="J397">
        <f>_xlfn.XLOOKUP(A397,'1.出栏表'!A:A,'1.出栏表'!F:F)</f>
        <v>8.6501616087992694</v>
      </c>
    </row>
    <row r="398" spans="1:10" ht="15" x14ac:dyDescent="0.3">
      <c r="A398" t="str">
        <f t="shared" si="12"/>
        <v>辽宁46136</v>
      </c>
      <c r="B398" t="s">
        <v>164</v>
      </c>
      <c r="C398" t="s">
        <v>60</v>
      </c>
      <c r="D398" s="45">
        <v>46136</v>
      </c>
      <c r="F398" s="8">
        <f>SUMIFS(根据产能每天需要鲜销部分!$K:$K,根据产能每天需要鲜销部分!$B:$B,$B398,根据产能每天需要鲜销部分!$G:$G,$C398)</f>
        <v>2244.46319820487</v>
      </c>
      <c r="G398">
        <f>_xlfn.XLOOKUP($C398,价格系数辅助表!$C:$C,价格系数辅助表!$E:$E)</f>
        <v>0.30253913346115902</v>
      </c>
      <c r="H398">
        <f t="shared" si="13"/>
        <v>2.6170123974251198</v>
      </c>
      <c r="I398" t="str">
        <f>_xlfn.XLOOKUP(B398,'3.屠宰能力表'!B:B,'3.屠宰能力表'!D:D)</f>
        <v>辽宁</v>
      </c>
      <c r="J398">
        <f>_xlfn.XLOOKUP(A398,'1.出栏表'!A:A,'1.出栏表'!F:F)</f>
        <v>8.6501616087992694</v>
      </c>
    </row>
    <row r="399" spans="1:10" ht="15" x14ac:dyDescent="0.3">
      <c r="A399" t="str">
        <f t="shared" si="12"/>
        <v>辽宁46136</v>
      </c>
      <c r="B399" t="s">
        <v>164</v>
      </c>
      <c r="C399" t="s">
        <v>61</v>
      </c>
      <c r="D399" s="45">
        <v>46136</v>
      </c>
      <c r="F399" s="8">
        <f>SUMIFS(根据产能每天需要鲜销部分!$K:$K,根据产能每天需要鲜销部分!$B:$B,$B399,根据产能每天需要鲜销部分!$G:$G,$C399)</f>
        <v>2569.2860328581401</v>
      </c>
      <c r="G399">
        <f>_xlfn.XLOOKUP($C399,价格系数辅助表!$C:$C,价格系数辅助表!$E:$E)</f>
        <v>5.2234050059701297E-2</v>
      </c>
      <c r="H399">
        <f t="shared" si="13"/>
        <v>0.451832974498527</v>
      </c>
      <c r="I399" t="str">
        <f>_xlfn.XLOOKUP(B399,'3.屠宰能力表'!B:B,'3.屠宰能力表'!D:D)</f>
        <v>辽宁</v>
      </c>
      <c r="J399">
        <f>_xlfn.XLOOKUP(A399,'1.出栏表'!A:A,'1.出栏表'!F:F)</f>
        <v>8.6501616087992694</v>
      </c>
    </row>
    <row r="400" spans="1:10" ht="15" x14ac:dyDescent="0.3">
      <c r="A400" t="str">
        <f t="shared" si="12"/>
        <v>辽宁46136</v>
      </c>
      <c r="B400" t="s">
        <v>164</v>
      </c>
      <c r="C400" t="s">
        <v>62</v>
      </c>
      <c r="D400" s="45">
        <v>46136</v>
      </c>
      <c r="F400" s="8">
        <f>SUMIFS(根据产能每天需要鲜销部分!$K:$K,根据产能每天需要鲜销部分!$B:$B,$B400,根据产能每天需要鲜销部分!$G:$G,$C400)</f>
        <v>2408.7056558045101</v>
      </c>
      <c r="G400">
        <f>_xlfn.XLOOKUP($C400,价格系数辅助表!$C:$C,价格系数辅助表!$E:$E)</f>
        <v>0.27335161219757498</v>
      </c>
      <c r="H400">
        <f t="shared" si="13"/>
        <v>2.3645356215348499</v>
      </c>
      <c r="I400" t="str">
        <f>_xlfn.XLOOKUP(B400,'3.屠宰能力表'!B:B,'3.屠宰能力表'!D:D)</f>
        <v>辽宁</v>
      </c>
      <c r="J400">
        <f>_xlfn.XLOOKUP(A400,'1.出栏表'!A:A,'1.出栏表'!F:F)</f>
        <v>8.6501616087992694</v>
      </c>
    </row>
    <row r="401" spans="1:10" ht="15" x14ac:dyDescent="0.3">
      <c r="A401" t="str">
        <f t="shared" si="12"/>
        <v>辽宁46136</v>
      </c>
      <c r="B401" t="s">
        <v>164</v>
      </c>
      <c r="C401" t="s">
        <v>63</v>
      </c>
      <c r="D401" s="45">
        <v>46136</v>
      </c>
      <c r="F401" s="8">
        <f>SUMIFS(根据产能每天需要鲜销部分!$K:$K,根据产能每天需要鲜销部分!$B:$B,$B401,根据产能每天需要鲜销部分!$G:$G,$C401)</f>
        <v>2022.4674515312299</v>
      </c>
      <c r="G401">
        <f>_xlfn.XLOOKUP($C401,价格系数辅助表!$C:$C,价格系数辅助表!$E:$E)</f>
        <v>0.25083638292710098</v>
      </c>
      <c r="H401">
        <f t="shared" si="13"/>
        <v>2.1697752496860798</v>
      </c>
      <c r="I401" t="str">
        <f>_xlfn.XLOOKUP(B401,'3.屠宰能力表'!B:B,'3.屠宰能力表'!D:D)</f>
        <v>辽宁</v>
      </c>
      <c r="J401">
        <f>_xlfn.XLOOKUP(A401,'1.出栏表'!A:A,'1.出栏表'!F:F)</f>
        <v>8.6501616087992694</v>
      </c>
    </row>
    <row r="402" spans="1:10" ht="15" x14ac:dyDescent="0.3">
      <c r="A402" t="str">
        <f t="shared" si="12"/>
        <v>辽宁46136</v>
      </c>
      <c r="B402" t="s">
        <v>164</v>
      </c>
      <c r="C402" t="s">
        <v>64</v>
      </c>
      <c r="D402" s="45">
        <v>46136</v>
      </c>
      <c r="F402" s="8">
        <f>SUMIFS(根据产能每天需要鲜销部分!$K:$K,根据产能每天需要鲜销部分!$B:$B,$B402,根据产能每天需要鲜销部分!$G:$G,$C402)</f>
        <v>349.77903912672701</v>
      </c>
      <c r="G402">
        <f>_xlfn.XLOOKUP($C402,价格系数辅助表!$C:$C,价格系数辅助表!$E:$E)</f>
        <v>0.87755384758256405</v>
      </c>
      <c r="H402">
        <f t="shared" si="13"/>
        <v>7.5909826020127804</v>
      </c>
      <c r="I402" t="str">
        <f>_xlfn.XLOOKUP(B402,'3.屠宰能力表'!B:B,'3.屠宰能力表'!D:D)</f>
        <v>辽宁</v>
      </c>
      <c r="J402">
        <f>_xlfn.XLOOKUP(A402,'1.出栏表'!A:A,'1.出栏表'!F:F)</f>
        <v>8.6501616087992694</v>
      </c>
    </row>
    <row r="403" spans="1:10" ht="15" x14ac:dyDescent="0.3">
      <c r="A403" t="str">
        <f t="shared" si="12"/>
        <v>辽宁46136</v>
      </c>
      <c r="B403" t="s">
        <v>164</v>
      </c>
      <c r="C403" t="s">
        <v>65</v>
      </c>
      <c r="D403" s="45">
        <v>46136</v>
      </c>
      <c r="F403" s="8">
        <f>SUMIFS(根据产能每天需要鲜销部分!$K:$K,根据产能每天需要鲜销部分!$B:$B,$B403,根据产能每天需要鲜销部分!$G:$G,$C403)</f>
        <v>158.99047233033099</v>
      </c>
      <c r="G403">
        <f>_xlfn.XLOOKUP($C403,价格系数辅助表!$C:$C,价格系数辅助表!$E:$E)</f>
        <v>1.02785250036373</v>
      </c>
      <c r="H403">
        <f t="shared" si="13"/>
        <v>8.8910902381547192</v>
      </c>
      <c r="I403" t="str">
        <f>_xlfn.XLOOKUP(B403,'3.屠宰能力表'!B:B,'3.屠宰能力表'!D:D)</f>
        <v>辽宁</v>
      </c>
      <c r="J403">
        <f>_xlfn.XLOOKUP(A403,'1.出栏表'!A:A,'1.出栏表'!F:F)</f>
        <v>8.6501616087992694</v>
      </c>
    </row>
    <row r="404" spans="1:10" ht="15" x14ac:dyDescent="0.3">
      <c r="A404" t="str">
        <f t="shared" si="12"/>
        <v>辽宁46136</v>
      </c>
      <c r="B404" t="s">
        <v>164</v>
      </c>
      <c r="C404" t="s">
        <v>66</v>
      </c>
      <c r="D404" s="45">
        <v>46136</v>
      </c>
      <c r="F404" s="8">
        <f>SUMIFS(根据产能每天需要鲜销部分!$K:$K,根据产能每天需要鲜销部分!$B:$B,$B404,根据产能每天需要鲜销部分!$G:$G,$C404)</f>
        <v>562.031319687718</v>
      </c>
      <c r="G404">
        <f>_xlfn.XLOOKUP($C404,价格系数辅助表!$C:$C,价格系数辅助表!$E:$E)</f>
        <v>0.29390609194172401</v>
      </c>
      <c r="H404">
        <f t="shared" si="13"/>
        <v>2.5423351931065299</v>
      </c>
      <c r="I404" t="str">
        <f>_xlfn.XLOOKUP(B404,'3.屠宰能力表'!B:B,'3.屠宰能力表'!D:D)</f>
        <v>辽宁</v>
      </c>
      <c r="J404">
        <f>_xlfn.XLOOKUP(A404,'1.出栏表'!A:A,'1.出栏表'!F:F)</f>
        <v>8.6501616087992694</v>
      </c>
    </row>
    <row r="405" spans="1:10" ht="15" x14ac:dyDescent="0.3">
      <c r="A405" t="str">
        <f t="shared" si="12"/>
        <v>辽宁46136</v>
      </c>
      <c r="B405" t="s">
        <v>164</v>
      </c>
      <c r="C405" t="s">
        <v>67</v>
      </c>
      <c r="D405" s="45">
        <v>46136</v>
      </c>
      <c r="F405" s="8">
        <f>SUMIFS(根据产能每天需要鲜销部分!$K:$K,根据产能每天需要鲜销部分!$B:$B,$B405,根据产能每天需要鲜销部分!$G:$G,$C405)</f>
        <v>6575.3424657534197</v>
      </c>
      <c r="G405">
        <f>_xlfn.XLOOKUP($C405,价格系数辅助表!$C:$C,价格系数辅助表!$E:$E)</f>
        <v>8.7444985304843598E-2</v>
      </c>
      <c r="H405">
        <f t="shared" si="13"/>
        <v>0.75641325476597399</v>
      </c>
      <c r="I405" t="str">
        <f>_xlfn.XLOOKUP(B405,'3.屠宰能力表'!B:B,'3.屠宰能力表'!D:D)</f>
        <v>辽宁</v>
      </c>
      <c r="J405">
        <f>_xlfn.XLOOKUP(A405,'1.出栏表'!A:A,'1.出栏表'!F:F)</f>
        <v>8.6501616087992694</v>
      </c>
    </row>
    <row r="406" spans="1:10" ht="15" x14ac:dyDescent="0.3">
      <c r="A406" t="str">
        <f t="shared" si="12"/>
        <v>吉林46136</v>
      </c>
      <c r="B406" t="s">
        <v>166</v>
      </c>
      <c r="C406" t="s">
        <v>41</v>
      </c>
      <c r="D406" s="45">
        <v>46136</v>
      </c>
      <c r="F406" s="8">
        <f>SUMIFS(根据产能每天需要鲜销部分!$K:$K,根据产能每天需要鲜销部分!$B:$B,$B406,根据产能每天需要鲜销部分!$G:$G,$C406)</f>
        <v>128700</v>
      </c>
      <c r="G406">
        <f>_xlfn.XLOOKUP($C406,价格系数辅助表!$C:$C,价格系数辅助表!$E:$E)</f>
        <v>1.1852119074341301</v>
      </c>
      <c r="H406">
        <f t="shared" si="13"/>
        <v>10.473345221471099</v>
      </c>
      <c r="I406" t="str">
        <f>_xlfn.XLOOKUP(B406,'3.屠宰能力表'!B:B,'3.屠宰能力表'!D:D)</f>
        <v>吉林</v>
      </c>
      <c r="J406">
        <f>_xlfn.XLOOKUP(A406,'1.出栏表'!A:A,'1.出栏表'!F:F)</f>
        <v>8.8366857907670795</v>
      </c>
    </row>
    <row r="407" spans="1:10" ht="15" x14ac:dyDescent="0.3">
      <c r="A407" t="str">
        <f t="shared" si="12"/>
        <v>吉林46136</v>
      </c>
      <c r="B407" t="s">
        <v>166</v>
      </c>
      <c r="C407" t="s">
        <v>44</v>
      </c>
      <c r="D407" s="45">
        <v>46136</v>
      </c>
      <c r="F407" s="8">
        <f>SUMIFS(根据产能每天需要鲜销部分!$K:$K,根据产能每天需要鲜销部分!$B:$B,$B407,根据产能每天需要鲜销部分!$G:$G,$C407)</f>
        <v>7801.6027822883998</v>
      </c>
      <c r="G407">
        <f>_xlfn.XLOOKUP($C407,价格系数辅助表!$C:$C,价格系数辅助表!$E:$E)</f>
        <v>0.81317166851852996</v>
      </c>
      <c r="H407">
        <f t="shared" si="13"/>
        <v>7.1857425286520504</v>
      </c>
      <c r="I407" t="str">
        <f>_xlfn.XLOOKUP(B407,'3.屠宰能力表'!B:B,'3.屠宰能力表'!D:D)</f>
        <v>吉林</v>
      </c>
      <c r="J407">
        <f>_xlfn.XLOOKUP(A407,'1.出栏表'!A:A,'1.出栏表'!F:F)</f>
        <v>8.8366857907670795</v>
      </c>
    </row>
    <row r="408" spans="1:10" ht="15" x14ac:dyDescent="0.3">
      <c r="A408" t="str">
        <f t="shared" si="12"/>
        <v>吉林46136</v>
      </c>
      <c r="B408" t="s">
        <v>166</v>
      </c>
      <c r="C408" t="s">
        <v>46</v>
      </c>
      <c r="D408" s="45">
        <v>46136</v>
      </c>
      <c r="F408" s="8">
        <f>SUMIFS(根据产能每天需要鲜销部分!$K:$K,根据产能每天需要鲜销部分!$B:$B,$B408,根据产能每天需要鲜销部分!$G:$G,$C408)</f>
        <v>58.611837624576502</v>
      </c>
      <c r="G408">
        <f>_xlfn.XLOOKUP($C408,价格系数辅助表!$C:$C,价格系数辅助表!$E:$E)</f>
        <v>4.0225512045395799</v>
      </c>
      <c r="H408">
        <f t="shared" si="13"/>
        <v>35.546021071787898</v>
      </c>
      <c r="I408" t="str">
        <f>_xlfn.XLOOKUP(B408,'3.屠宰能力表'!B:B,'3.屠宰能力表'!D:D)</f>
        <v>吉林</v>
      </c>
      <c r="J408">
        <f>_xlfn.XLOOKUP(A408,'1.出栏表'!A:A,'1.出栏表'!F:F)</f>
        <v>8.8366857907670795</v>
      </c>
    </row>
    <row r="409" spans="1:10" ht="15" x14ac:dyDescent="0.3">
      <c r="A409" t="str">
        <f t="shared" si="12"/>
        <v>吉林46136</v>
      </c>
      <c r="B409" t="s">
        <v>166</v>
      </c>
      <c r="C409" t="s">
        <v>47</v>
      </c>
      <c r="D409" s="45">
        <v>46136</v>
      </c>
      <c r="F409" s="8">
        <f>SUMIFS(根据产能每天需要鲜销部分!$K:$K,根据产能每天需要鲜销部分!$B:$B,$B409,根据产能每天需要鲜销部分!$G:$G,$C409)</f>
        <v>551.38317327648394</v>
      </c>
      <c r="G409">
        <f>_xlfn.XLOOKUP($C409,价格系数辅助表!$C:$C,价格系数辅助表!$E:$E)</f>
        <v>0.84535964262204399</v>
      </c>
      <c r="H409">
        <f t="shared" si="13"/>
        <v>7.4701775420461498</v>
      </c>
      <c r="I409" t="str">
        <f>_xlfn.XLOOKUP(B409,'3.屠宰能力表'!B:B,'3.屠宰能力表'!D:D)</f>
        <v>吉林</v>
      </c>
      <c r="J409">
        <f>_xlfn.XLOOKUP(A409,'1.出栏表'!A:A,'1.出栏表'!F:F)</f>
        <v>8.8366857907670795</v>
      </c>
    </row>
    <row r="410" spans="1:10" ht="15" x14ac:dyDescent="0.3">
      <c r="A410" t="str">
        <f t="shared" si="12"/>
        <v>吉林46136</v>
      </c>
      <c r="B410" t="s">
        <v>166</v>
      </c>
      <c r="C410" t="s">
        <v>48</v>
      </c>
      <c r="D410" s="45">
        <v>46136</v>
      </c>
      <c r="F410" s="8">
        <f>SUMIFS(根据产能每天需要鲜销部分!$K:$K,根据产能每天需要鲜销部分!$B:$B,$B410,根据产能每天需要鲜销部分!$G:$G,$C410)</f>
        <v>2848.1034089489399</v>
      </c>
      <c r="G410">
        <f>_xlfn.XLOOKUP($C410,价格系数辅助表!$C:$C,价格系数辅助表!$E:$E)</f>
        <v>0.37320475421536098</v>
      </c>
      <c r="H410">
        <f t="shared" si="13"/>
        <v>3.2978931486216001</v>
      </c>
      <c r="I410" t="str">
        <f>_xlfn.XLOOKUP(B410,'3.屠宰能力表'!B:B,'3.屠宰能力表'!D:D)</f>
        <v>吉林</v>
      </c>
      <c r="J410">
        <f>_xlfn.XLOOKUP(A410,'1.出栏表'!A:A,'1.出栏表'!F:F)</f>
        <v>8.8366857907670795</v>
      </c>
    </row>
    <row r="411" spans="1:10" ht="15" x14ac:dyDescent="0.3">
      <c r="A411" t="str">
        <f t="shared" si="12"/>
        <v>吉林46136</v>
      </c>
      <c r="B411" t="s">
        <v>166</v>
      </c>
      <c r="C411" t="s">
        <v>49</v>
      </c>
      <c r="D411" s="45">
        <v>46136</v>
      </c>
      <c r="F411" s="8">
        <f>SUMIFS(根据产能每天需要鲜销部分!$K:$K,根据产能每天需要鲜销部分!$B:$B,$B411,根据产能每天需要鲜销部分!$G:$G,$C411)</f>
        <v>556.81245743347404</v>
      </c>
      <c r="G411">
        <f>_xlfn.XLOOKUP($C411,价格系数辅助表!$C:$C,价格系数辅助表!$E:$E)</f>
        <v>1.1550192014842</v>
      </c>
      <c r="H411">
        <f t="shared" si="13"/>
        <v>10.2065417658185</v>
      </c>
      <c r="I411" t="str">
        <f>_xlfn.XLOOKUP(B411,'3.屠宰能力表'!B:B,'3.屠宰能力表'!D:D)</f>
        <v>吉林</v>
      </c>
      <c r="J411">
        <f>_xlfn.XLOOKUP(A411,'1.出栏表'!A:A,'1.出栏表'!F:F)</f>
        <v>8.8366857907670795</v>
      </c>
    </row>
    <row r="412" spans="1:10" ht="15" x14ac:dyDescent="0.3">
      <c r="A412" t="str">
        <f t="shared" si="12"/>
        <v>吉林46136</v>
      </c>
      <c r="B412" t="s">
        <v>166</v>
      </c>
      <c r="C412" t="s">
        <v>50</v>
      </c>
      <c r="D412" s="45">
        <v>46136</v>
      </c>
      <c r="F412" s="8">
        <f>SUMIFS(根据产能每天需要鲜销部分!$K:$K,根据产能每天需要鲜销部分!$B:$B,$B412,根据产能每天需要鲜销部分!$G:$G,$C412)</f>
        <v>1948.4637992109399</v>
      </c>
      <c r="G412">
        <f>_xlfn.XLOOKUP($C412,价格系数辅助表!$C:$C,价格系数辅助表!$E:$E)</f>
        <v>1.90800135982928</v>
      </c>
      <c r="H412">
        <f t="shared" si="13"/>
        <v>16.860408505167701</v>
      </c>
      <c r="I412" t="str">
        <f>_xlfn.XLOOKUP(B412,'3.屠宰能力表'!B:B,'3.屠宰能力表'!D:D)</f>
        <v>吉林</v>
      </c>
      <c r="J412">
        <f>_xlfn.XLOOKUP(A412,'1.出栏表'!A:A,'1.出栏表'!F:F)</f>
        <v>8.8366857907670795</v>
      </c>
    </row>
    <row r="413" spans="1:10" ht="15" x14ac:dyDescent="0.3">
      <c r="A413" t="str">
        <f t="shared" si="12"/>
        <v>吉林46136</v>
      </c>
      <c r="B413" t="s">
        <v>166</v>
      </c>
      <c r="C413" t="s">
        <v>51</v>
      </c>
      <c r="D413" s="45">
        <v>46136</v>
      </c>
      <c r="F413" s="8">
        <f>SUMIFS(根据产能每天需要鲜销部分!$K:$K,根据产能每天需要鲜销部分!$B:$B,$B413,根据产能每天需要鲜销部分!$G:$G,$C413)</f>
        <v>893.83052377478896</v>
      </c>
      <c r="G413">
        <f>_xlfn.XLOOKUP($C413,价格系数辅助表!$C:$C,价格系数辅助表!$E:$E)</f>
        <v>2.76783242873949</v>
      </c>
      <c r="H413">
        <f t="shared" si="13"/>
        <v>24.458465494266601</v>
      </c>
      <c r="I413" t="str">
        <f>_xlfn.XLOOKUP(B413,'3.屠宰能力表'!B:B,'3.屠宰能力表'!D:D)</f>
        <v>吉林</v>
      </c>
      <c r="J413">
        <f>_xlfn.XLOOKUP(A413,'1.出栏表'!A:A,'1.出栏表'!F:F)</f>
        <v>8.8366857907670795</v>
      </c>
    </row>
    <row r="414" spans="1:10" ht="15" x14ac:dyDescent="0.3">
      <c r="A414" t="str">
        <f t="shared" si="12"/>
        <v>吉林46136</v>
      </c>
      <c r="B414" t="s">
        <v>166</v>
      </c>
      <c r="C414" t="s">
        <v>52</v>
      </c>
      <c r="D414" s="45">
        <v>46136</v>
      </c>
      <c r="F414" s="8">
        <f>SUMIFS(根据产能每天需要鲜销部分!$K:$K,根据产能每天需要鲜销部分!$B:$B,$B414,根据产能每天需要鲜销部分!$G:$G,$C414)</f>
        <v>747.30092971334795</v>
      </c>
      <c r="G414">
        <f>_xlfn.XLOOKUP($C414,价格系数辅助表!$C:$C,价格系数辅助表!$E:$E)</f>
        <v>1.61708641969264</v>
      </c>
      <c r="H414">
        <f t="shared" si="13"/>
        <v>14.2896845873404</v>
      </c>
      <c r="I414" t="str">
        <f>_xlfn.XLOOKUP(B414,'3.屠宰能力表'!B:B,'3.屠宰能力表'!D:D)</f>
        <v>吉林</v>
      </c>
      <c r="J414">
        <f>_xlfn.XLOOKUP(A414,'1.出栏表'!A:A,'1.出栏表'!F:F)</f>
        <v>8.8366857907670795</v>
      </c>
    </row>
    <row r="415" spans="1:10" ht="15" x14ac:dyDescent="0.3">
      <c r="A415" t="str">
        <f t="shared" si="12"/>
        <v>吉林46136</v>
      </c>
      <c r="B415" t="s">
        <v>166</v>
      </c>
      <c r="C415" t="s">
        <v>53</v>
      </c>
      <c r="D415" s="45">
        <v>46136</v>
      </c>
      <c r="F415" s="8">
        <f>SUMIFS(根据产能每天需要鲜销部分!$K:$K,根据产能每天需要鲜销部分!$B:$B,$B415,根据产能每天需要鲜销部分!$G:$G,$C415)</f>
        <v>659.38317327648394</v>
      </c>
      <c r="G415">
        <f>_xlfn.XLOOKUP($C415,价格系数辅助表!$C:$C,价格系数辅助表!$E:$E)</f>
        <v>1.4850675377364999</v>
      </c>
      <c r="H415">
        <f t="shared" si="13"/>
        <v>13.1230752090456</v>
      </c>
      <c r="I415" t="str">
        <f>_xlfn.XLOOKUP(B415,'3.屠宰能力表'!B:B,'3.屠宰能力表'!D:D)</f>
        <v>吉林</v>
      </c>
      <c r="J415">
        <f>_xlfn.XLOOKUP(A415,'1.出栏表'!A:A,'1.出栏表'!F:F)</f>
        <v>8.8366857907670795</v>
      </c>
    </row>
    <row r="416" spans="1:10" ht="15" x14ac:dyDescent="0.3">
      <c r="A416" t="str">
        <f t="shared" si="12"/>
        <v>吉林46136</v>
      </c>
      <c r="B416" t="s">
        <v>166</v>
      </c>
      <c r="C416" t="s">
        <v>54</v>
      </c>
      <c r="D416" s="45">
        <v>46136</v>
      </c>
      <c r="F416" s="8">
        <f>SUMIFS(根据产能每天需要鲜销部分!$K:$K,根据产能每天需要鲜销部分!$B:$B,$B416,根据产能每天需要鲜销部分!$G:$G,$C416)</f>
        <v>483.54766040275598</v>
      </c>
      <c r="G416">
        <f>_xlfn.XLOOKUP($C416,价格系数辅助表!$C:$C,价格系数辅助表!$E:$E)</f>
        <v>1.8971615295629001</v>
      </c>
      <c r="H416">
        <f t="shared" si="13"/>
        <v>16.764620331078401</v>
      </c>
      <c r="I416" t="str">
        <f>_xlfn.XLOOKUP(B416,'3.屠宰能力表'!B:B,'3.屠宰能力表'!D:D)</f>
        <v>吉林</v>
      </c>
      <c r="J416">
        <f>_xlfn.XLOOKUP(A416,'1.出栏表'!A:A,'1.出栏表'!F:F)</f>
        <v>8.8366857907670795</v>
      </c>
    </row>
    <row r="417" spans="1:10" ht="15" x14ac:dyDescent="0.3">
      <c r="A417" t="str">
        <f t="shared" si="12"/>
        <v>吉林46136</v>
      </c>
      <c r="B417" t="s">
        <v>166</v>
      </c>
      <c r="C417" t="s">
        <v>55</v>
      </c>
      <c r="D417" s="45">
        <v>46136</v>
      </c>
      <c r="F417" s="8">
        <f>SUMIFS(根据产能每天需要鲜销部分!$K:$K,根据产能每天需要鲜销部分!$B:$B,$B417,根据产能每天需要鲜销部分!$G:$G,$C417)</f>
        <v>52.228370160513698</v>
      </c>
      <c r="G417">
        <f>_xlfn.XLOOKUP($C417,价格系数辅助表!$C:$C,价格系数辅助表!$E:$E)</f>
        <v>3.2997148664303801</v>
      </c>
      <c r="H417">
        <f t="shared" si="13"/>
        <v>29.158543473768201</v>
      </c>
      <c r="I417" t="str">
        <f>_xlfn.XLOOKUP(B417,'3.屠宰能力表'!B:B,'3.屠宰能力表'!D:D)</f>
        <v>吉林</v>
      </c>
      <c r="J417">
        <f>_xlfn.XLOOKUP(A417,'1.出栏表'!A:A,'1.出栏表'!F:F)</f>
        <v>8.8366857907670795</v>
      </c>
    </row>
    <row r="418" spans="1:10" ht="15" x14ac:dyDescent="0.3">
      <c r="A418" t="str">
        <f t="shared" si="12"/>
        <v>吉林46136</v>
      </c>
      <c r="B418" t="s">
        <v>166</v>
      </c>
      <c r="C418" t="s">
        <v>57</v>
      </c>
      <c r="D418" s="45">
        <v>46136</v>
      </c>
      <c r="F418" s="8">
        <f>SUMIFS(根据产能每天需要鲜销部分!$K:$K,根据产能每天需要鲜销部分!$B:$B,$B418,根据产能每天需要鲜销部分!$G:$G,$C418)</f>
        <v>1844.26789607521</v>
      </c>
      <c r="G418">
        <f>_xlfn.XLOOKUP($C418,价格系数辅助表!$C:$C,价格系数辅助表!$E:$E)</f>
        <v>0.130070801908548</v>
      </c>
      <c r="H418">
        <f t="shared" si="13"/>
        <v>1.1493948070189499</v>
      </c>
      <c r="I418" t="str">
        <f>_xlfn.XLOOKUP(B418,'3.屠宰能力表'!B:B,'3.屠宰能力表'!D:D)</f>
        <v>吉林</v>
      </c>
      <c r="J418">
        <f>_xlfn.XLOOKUP(A418,'1.出栏表'!A:A,'1.出栏表'!F:F)</f>
        <v>8.8366857907670795</v>
      </c>
    </row>
    <row r="419" spans="1:10" ht="15" x14ac:dyDescent="0.3">
      <c r="A419" t="str">
        <f t="shared" si="12"/>
        <v>吉林46136</v>
      </c>
      <c r="B419" t="s">
        <v>166</v>
      </c>
      <c r="C419" t="s">
        <v>58</v>
      </c>
      <c r="D419" s="45">
        <v>46136</v>
      </c>
      <c r="F419" s="8">
        <f>SUMIFS(根据产能每天需要鲜销部分!$K:$K,根据产能每天需要鲜销部分!$B:$B,$B419,根据产能每天需要鲜销部分!$G:$G,$C419)</f>
        <v>2628.0985230178699</v>
      </c>
      <c r="G419">
        <f>_xlfn.XLOOKUP($C419,价格系数辅助表!$C:$C,价格系数辅助表!$E:$E)</f>
        <v>0.69784384029908697</v>
      </c>
      <c r="H419">
        <f t="shared" si="13"/>
        <v>6.1666267477452701</v>
      </c>
      <c r="I419" t="str">
        <f>_xlfn.XLOOKUP(B419,'3.屠宰能力表'!B:B,'3.屠宰能力表'!D:D)</f>
        <v>吉林</v>
      </c>
      <c r="J419">
        <f>_xlfn.XLOOKUP(A419,'1.出栏表'!A:A,'1.出栏表'!F:F)</f>
        <v>8.8366857907670795</v>
      </c>
    </row>
    <row r="420" spans="1:10" ht="15" x14ac:dyDescent="0.3">
      <c r="A420" t="str">
        <f t="shared" si="12"/>
        <v>吉林46136</v>
      </c>
      <c r="B420" t="s">
        <v>166</v>
      </c>
      <c r="C420" t="s">
        <v>59</v>
      </c>
      <c r="D420" s="45">
        <v>46136</v>
      </c>
      <c r="F420" s="8">
        <f>SUMIFS(根据产能每天需要鲜销部分!$K:$K,根据产能每天需要鲜销部分!$B:$B,$B420,根据产能每天需要鲜销部分!$G:$G,$C420)</f>
        <v>2649.38302013774</v>
      </c>
      <c r="G420">
        <f>_xlfn.XLOOKUP($C420,价格系数辅助表!$C:$C,价格系数辅助表!$E:$E)</f>
        <v>0.456447335288171</v>
      </c>
      <c r="H420">
        <f t="shared" si="13"/>
        <v>4.0334816819744699</v>
      </c>
      <c r="I420" t="str">
        <f>_xlfn.XLOOKUP(B420,'3.屠宰能力表'!B:B,'3.屠宰能力表'!D:D)</f>
        <v>吉林</v>
      </c>
      <c r="J420">
        <f>_xlfn.XLOOKUP(A420,'1.出栏表'!A:A,'1.出栏表'!F:F)</f>
        <v>8.8366857907670795</v>
      </c>
    </row>
    <row r="421" spans="1:10" ht="15" x14ac:dyDescent="0.3">
      <c r="A421" t="str">
        <f t="shared" si="12"/>
        <v>吉林46136</v>
      </c>
      <c r="B421" t="s">
        <v>166</v>
      </c>
      <c r="C421" t="s">
        <v>60</v>
      </c>
      <c r="D421" s="45">
        <v>46136</v>
      </c>
      <c r="F421" s="8">
        <f>SUMIFS(根据产能每天需要鲜销部分!$K:$K,根据产能每天需要鲜销部分!$B:$B,$B421,根据产能每天需要鲜销部分!$G:$G,$C421)</f>
        <v>1228.8436010171599</v>
      </c>
      <c r="G421">
        <f>_xlfn.XLOOKUP($C421,价格系数辅助表!$C:$C,价格系数辅助表!$E:$E)</f>
        <v>0.30253913346115902</v>
      </c>
      <c r="H421">
        <f t="shared" si="13"/>
        <v>2.6734432618072099</v>
      </c>
      <c r="I421" t="str">
        <f>_xlfn.XLOOKUP(B421,'3.屠宰能力表'!B:B,'3.屠宰能力表'!D:D)</f>
        <v>吉林</v>
      </c>
      <c r="J421">
        <f>_xlfn.XLOOKUP(A421,'1.出栏表'!A:A,'1.出栏表'!F:F)</f>
        <v>8.8366857907670795</v>
      </c>
    </row>
    <row r="422" spans="1:10" ht="15" x14ac:dyDescent="0.3">
      <c r="A422" t="str">
        <f t="shared" si="12"/>
        <v>吉林46136</v>
      </c>
      <c r="B422" t="s">
        <v>166</v>
      </c>
      <c r="C422" t="s">
        <v>61</v>
      </c>
      <c r="D422" s="45">
        <v>46136</v>
      </c>
      <c r="F422" s="8">
        <f>SUMIFS(根据产能每天需要鲜销部分!$K:$K,根据产能每天需要鲜销部分!$B:$B,$B422,根据产能每天需要鲜销部分!$G:$G,$C422)</f>
        <v>1406.6841029898301</v>
      </c>
      <c r="G422">
        <f>_xlfn.XLOOKUP($C422,价格系数辅助表!$C:$C,价格系数辅助表!$E:$E)</f>
        <v>5.2234050059701297E-2</v>
      </c>
      <c r="H422">
        <f t="shared" si="13"/>
        <v>0.46157588795677901</v>
      </c>
      <c r="I422" t="str">
        <f>_xlfn.XLOOKUP(B422,'3.屠宰能力表'!B:B,'3.屠宰能力表'!D:D)</f>
        <v>吉林</v>
      </c>
      <c r="J422">
        <f>_xlfn.XLOOKUP(A422,'1.出栏表'!A:A,'1.出栏表'!F:F)</f>
        <v>8.8366857907670795</v>
      </c>
    </row>
    <row r="423" spans="1:10" ht="15" x14ac:dyDescent="0.3">
      <c r="A423" t="str">
        <f t="shared" si="12"/>
        <v>吉林46136</v>
      </c>
      <c r="B423" t="s">
        <v>166</v>
      </c>
      <c r="C423" t="s">
        <v>62</v>
      </c>
      <c r="D423" s="45">
        <v>46136</v>
      </c>
      <c r="F423" s="8">
        <f>SUMIFS(根据产能每天需要鲜销部分!$K:$K,根据产能每天需要鲜销部分!$B:$B,$B423,根据产能每天需要鲜销部分!$G:$G,$C423)</f>
        <v>1318.7663465529699</v>
      </c>
      <c r="G423">
        <f>_xlfn.XLOOKUP($C423,价格系数辅助表!$C:$C,价格系数辅助表!$E:$E)</f>
        <v>0.27335161219757498</v>
      </c>
      <c r="H423">
        <f t="shared" si="13"/>
        <v>2.41552230738959</v>
      </c>
      <c r="I423" t="str">
        <f>_xlfn.XLOOKUP(B423,'3.屠宰能力表'!B:B,'3.屠宰能力表'!D:D)</f>
        <v>吉林</v>
      </c>
      <c r="J423">
        <f>_xlfn.XLOOKUP(A423,'1.出栏表'!A:A,'1.出栏表'!F:F)</f>
        <v>8.8366857907670795</v>
      </c>
    </row>
    <row r="424" spans="1:10" ht="15" x14ac:dyDescent="0.3">
      <c r="A424" t="str">
        <f t="shared" si="12"/>
        <v>吉林46136</v>
      </c>
      <c r="B424" t="s">
        <v>166</v>
      </c>
      <c r="C424" t="s">
        <v>63</v>
      </c>
      <c r="D424" s="45">
        <v>46136</v>
      </c>
      <c r="F424" s="8">
        <f>SUMIFS(根据产能每天需要鲜销部分!$K:$K,根据产能每天需要鲜销部分!$B:$B,$B424,根据产能每天需要鲜销部分!$G:$G,$C424)</f>
        <v>1107.3009297133499</v>
      </c>
      <c r="G424">
        <f>_xlfn.XLOOKUP($C424,价格系数辅助表!$C:$C,价格系数辅助表!$E:$E)</f>
        <v>0.25083638292710098</v>
      </c>
      <c r="H424">
        <f t="shared" si="13"/>
        <v>2.2165623008193198</v>
      </c>
      <c r="I424" t="str">
        <f>_xlfn.XLOOKUP(B424,'3.屠宰能力表'!B:B,'3.屠宰能力表'!D:D)</f>
        <v>吉林</v>
      </c>
      <c r="J424">
        <f>_xlfn.XLOOKUP(A424,'1.出栏表'!A:A,'1.出栏表'!F:F)</f>
        <v>8.8366857907670795</v>
      </c>
    </row>
    <row r="425" spans="1:10" ht="15" x14ac:dyDescent="0.3">
      <c r="A425" t="str">
        <f t="shared" si="12"/>
        <v>吉林46136</v>
      </c>
      <c r="B425" t="s">
        <v>166</v>
      </c>
      <c r="C425" t="s">
        <v>64</v>
      </c>
      <c r="D425" s="45">
        <v>46136</v>
      </c>
      <c r="F425" s="8">
        <f>SUMIFS(根据产能每天需要鲜销部分!$K:$K,根据产能每天需要鲜销部分!$B:$B,$B425,根据产能每天需要鲜销部分!$G:$G,$C425)</f>
        <v>191.504023921883</v>
      </c>
      <c r="G425">
        <f>_xlfn.XLOOKUP($C425,价格系数辅助表!$C:$C,价格系数辅助表!$E:$E)</f>
        <v>0.87755384758256405</v>
      </c>
      <c r="H425">
        <f t="shared" si="13"/>
        <v>7.7546676155658201</v>
      </c>
      <c r="I425" t="str">
        <f>_xlfn.XLOOKUP(B425,'3.屠宰能力表'!B:B,'3.屠宰能力表'!D:D)</f>
        <v>吉林</v>
      </c>
      <c r="J425">
        <f>_xlfn.XLOOKUP(A425,'1.出栏表'!A:A,'1.出栏表'!F:F)</f>
        <v>8.8366857907670795</v>
      </c>
    </row>
    <row r="426" spans="1:10" ht="15" x14ac:dyDescent="0.3">
      <c r="A426" t="str">
        <f t="shared" si="12"/>
        <v>吉林46136</v>
      </c>
      <c r="B426" t="s">
        <v>166</v>
      </c>
      <c r="C426" t="s">
        <v>65</v>
      </c>
      <c r="D426" s="45">
        <v>46136</v>
      </c>
      <c r="F426" s="8">
        <f>SUMIFS(根据产能每天需要鲜销部分!$K:$K,根据产能每天需要鲜销部分!$B:$B,$B426,根据产能每天需要鲜销部分!$G:$G,$C426)</f>
        <v>87.047283600856105</v>
      </c>
      <c r="G426">
        <f>_xlfn.XLOOKUP($C426,价格系数辅助表!$C:$C,价格系数辅助表!$E:$E)</f>
        <v>1.02785250036373</v>
      </c>
      <c r="H426">
        <f t="shared" si="13"/>
        <v>9.0828095849686292</v>
      </c>
      <c r="I426" t="str">
        <f>_xlfn.XLOOKUP(B426,'3.屠宰能力表'!B:B,'3.屠宰能力表'!D:D)</f>
        <v>吉林</v>
      </c>
      <c r="J426">
        <f>_xlfn.XLOOKUP(A426,'1.出栏表'!A:A,'1.出栏表'!F:F)</f>
        <v>8.8366857907670795</v>
      </c>
    </row>
    <row r="427" spans="1:10" ht="15" x14ac:dyDescent="0.3">
      <c r="A427" t="str">
        <f t="shared" si="12"/>
        <v>吉林46136</v>
      </c>
      <c r="B427" t="s">
        <v>166</v>
      </c>
      <c r="C427" t="s">
        <v>66</v>
      </c>
      <c r="D427" s="45">
        <v>46136</v>
      </c>
      <c r="F427" s="8">
        <f>SUMIFS(根据产能每天需要鲜销部分!$K:$K,根据产能每天需要鲜销部分!$B:$B,$B427,根据产能每天需要鲜销部分!$G:$G,$C427)</f>
        <v>307.71214752902603</v>
      </c>
      <c r="G427">
        <f>_xlfn.XLOOKUP($C427,价格系数辅助表!$C:$C,价格系数辅助表!$E:$E)</f>
        <v>0.29390609194172401</v>
      </c>
      <c r="H427">
        <f t="shared" si="13"/>
        <v>2.5971557864813102</v>
      </c>
      <c r="I427" t="str">
        <f>_xlfn.XLOOKUP(B427,'3.屠宰能力表'!B:B,'3.屠宰能力表'!D:D)</f>
        <v>吉林</v>
      </c>
      <c r="J427">
        <f>_xlfn.XLOOKUP(A427,'1.出栏表'!A:A,'1.出栏表'!F:F)</f>
        <v>8.8366857907670795</v>
      </c>
    </row>
    <row r="428" spans="1:10" ht="15" x14ac:dyDescent="0.3">
      <c r="A428" t="str">
        <f t="shared" si="12"/>
        <v>吉林46136</v>
      </c>
      <c r="B428" t="s">
        <v>166</v>
      </c>
      <c r="C428" t="s">
        <v>67</v>
      </c>
      <c r="D428" s="45">
        <v>46136</v>
      </c>
      <c r="F428" s="8">
        <f>SUMIFS(根据产能每天需要鲜销部分!$K:$K,根据产能每天需要鲜销部分!$B:$B,$B428,根据产能每天需要鲜销部分!$G:$G,$C428)</f>
        <v>3600</v>
      </c>
      <c r="G428">
        <f>_xlfn.XLOOKUP($C428,价格系数辅助表!$C:$C,价格系数辅助表!$E:$E)</f>
        <v>8.7444985304843598E-2</v>
      </c>
      <c r="H428">
        <f t="shared" si="13"/>
        <v>0.77272385911714703</v>
      </c>
      <c r="I428" t="str">
        <f>_xlfn.XLOOKUP(B428,'3.屠宰能力表'!B:B,'3.屠宰能力表'!D:D)</f>
        <v>吉林</v>
      </c>
      <c r="J428">
        <f>_xlfn.XLOOKUP(A428,'1.出栏表'!A:A,'1.出栏表'!F:F)</f>
        <v>8.8366857907670795</v>
      </c>
    </row>
    <row r="429" spans="1:10" ht="15" x14ac:dyDescent="0.3">
      <c r="A429" t="str">
        <f t="shared" si="12"/>
        <v>新疆46136</v>
      </c>
      <c r="B429" t="s">
        <v>168</v>
      </c>
      <c r="C429" t="s">
        <v>41</v>
      </c>
      <c r="D429" s="45">
        <v>46136</v>
      </c>
      <c r="F429" s="8">
        <f>SUMIFS(根据产能每天需要鲜销部分!$K:$K,根据产能每天需要鲜销部分!$B:$B,$B429,根据产能每天需要鲜销部分!$G:$G,$C429)</f>
        <v>12870</v>
      </c>
      <c r="G429">
        <f>_xlfn.XLOOKUP($C429,价格系数辅助表!$C:$C,价格系数辅助表!$E:$E)</f>
        <v>1.1852119074341301</v>
      </c>
      <c r="H429">
        <f t="shared" si="13"/>
        <v>10.1220772281278</v>
      </c>
      <c r="I429" t="str">
        <f>_xlfn.XLOOKUP(B429,'3.屠宰能力表'!B:B,'3.屠宰能力表'!D:D)</f>
        <v>新疆</v>
      </c>
      <c r="J429">
        <f>_xlfn.XLOOKUP(A429,'1.出栏表'!A:A,'1.出栏表'!F:F)</f>
        <v>8.5403101037358695</v>
      </c>
    </row>
    <row r="430" spans="1:10" ht="15" x14ac:dyDescent="0.3">
      <c r="A430" t="str">
        <f t="shared" si="12"/>
        <v>新疆46136</v>
      </c>
      <c r="B430" t="s">
        <v>168</v>
      </c>
      <c r="C430" t="s">
        <v>44</v>
      </c>
      <c r="D430" s="45">
        <v>46136</v>
      </c>
      <c r="F430" s="8">
        <f>SUMIFS(根据产能每天需要鲜销部分!$K:$K,根据产能每天需要鲜销部分!$B:$B,$B430,根据产能每天需要鲜销部分!$G:$G,$C430)</f>
        <v>780.16027822883996</v>
      </c>
      <c r="G430">
        <f>_xlfn.XLOOKUP($C430,价格系数辅助表!$C:$C,价格系数辅助表!$E:$E)</f>
        <v>0.81317166851852996</v>
      </c>
      <c r="H430">
        <f t="shared" si="13"/>
        <v>6.94473821672055</v>
      </c>
      <c r="I430" t="str">
        <f>_xlfn.XLOOKUP(B430,'3.屠宰能力表'!B:B,'3.屠宰能力表'!D:D)</f>
        <v>新疆</v>
      </c>
      <c r="J430">
        <f>_xlfn.XLOOKUP(A430,'1.出栏表'!A:A,'1.出栏表'!F:F)</f>
        <v>8.5403101037358695</v>
      </c>
    </row>
    <row r="431" spans="1:10" ht="15" x14ac:dyDescent="0.3">
      <c r="A431" t="str">
        <f t="shared" si="12"/>
        <v>新疆46136</v>
      </c>
      <c r="B431" t="s">
        <v>168</v>
      </c>
      <c r="C431" t="s">
        <v>46</v>
      </c>
      <c r="D431" s="45">
        <v>46136</v>
      </c>
      <c r="F431" s="8">
        <f>SUMIFS(根据产能每天需要鲜销部分!$K:$K,根据产能每天需要鲜销部分!$B:$B,$B431,根据产能每天需要鲜销部分!$G:$G,$C431)</f>
        <v>5.8611837624576504</v>
      </c>
      <c r="G431">
        <f>_xlfn.XLOOKUP($C431,价格系数辅助表!$C:$C,价格系数辅助表!$E:$E)</f>
        <v>4.0225512045395799</v>
      </c>
      <c r="H431">
        <f t="shared" si="13"/>
        <v>34.353834694924302</v>
      </c>
      <c r="I431" t="str">
        <f>_xlfn.XLOOKUP(B431,'3.屠宰能力表'!B:B,'3.屠宰能力表'!D:D)</f>
        <v>新疆</v>
      </c>
      <c r="J431">
        <f>_xlfn.XLOOKUP(A431,'1.出栏表'!A:A,'1.出栏表'!F:F)</f>
        <v>8.5403101037358695</v>
      </c>
    </row>
    <row r="432" spans="1:10" ht="15" x14ac:dyDescent="0.3">
      <c r="A432" t="str">
        <f t="shared" si="12"/>
        <v>新疆46136</v>
      </c>
      <c r="B432" t="s">
        <v>168</v>
      </c>
      <c r="C432" t="s">
        <v>47</v>
      </c>
      <c r="D432" s="45">
        <v>46136</v>
      </c>
      <c r="F432" s="8">
        <f>SUMIFS(根据产能每天需要鲜销部分!$K:$K,根据产能每天需要鲜销部分!$B:$B,$B432,根据产能每天需要鲜销部分!$G:$G,$C432)</f>
        <v>55.138317327648402</v>
      </c>
      <c r="G432">
        <f>_xlfn.XLOOKUP($C432,价格系数辅助表!$C:$C,价格系数辅助表!$E:$E)</f>
        <v>0.84535964262204399</v>
      </c>
      <c r="H432">
        <f t="shared" si="13"/>
        <v>7.2196334971755904</v>
      </c>
      <c r="I432" t="str">
        <f>_xlfn.XLOOKUP(B432,'3.屠宰能力表'!B:B,'3.屠宰能力表'!D:D)</f>
        <v>新疆</v>
      </c>
      <c r="J432">
        <f>_xlfn.XLOOKUP(A432,'1.出栏表'!A:A,'1.出栏表'!F:F)</f>
        <v>8.5403101037358695</v>
      </c>
    </row>
    <row r="433" spans="1:10" ht="15" x14ac:dyDescent="0.3">
      <c r="A433" t="str">
        <f t="shared" si="12"/>
        <v>新疆46136</v>
      </c>
      <c r="B433" t="s">
        <v>168</v>
      </c>
      <c r="C433" t="s">
        <v>48</v>
      </c>
      <c r="D433" s="45">
        <v>46136</v>
      </c>
      <c r="F433" s="8">
        <f>SUMIFS(根据产能每天需要鲜销部分!$K:$K,根据产能每天需要鲜销部分!$B:$B,$B433,根据产能每天需要鲜销部分!$G:$G,$C433)</f>
        <v>284.81034089489401</v>
      </c>
      <c r="G433">
        <f>_xlfn.XLOOKUP($C433,价格系数辅助表!$C:$C,价格系数辅助表!$E:$E)</f>
        <v>0.37320475421536098</v>
      </c>
      <c r="H433">
        <f t="shared" si="13"/>
        <v>3.1872843331877099</v>
      </c>
      <c r="I433" t="str">
        <f>_xlfn.XLOOKUP(B433,'3.屠宰能力表'!B:B,'3.屠宰能力表'!D:D)</f>
        <v>新疆</v>
      </c>
      <c r="J433">
        <f>_xlfn.XLOOKUP(A433,'1.出栏表'!A:A,'1.出栏表'!F:F)</f>
        <v>8.5403101037358695</v>
      </c>
    </row>
    <row r="434" spans="1:10" ht="15" x14ac:dyDescent="0.3">
      <c r="A434" t="str">
        <f t="shared" si="12"/>
        <v>新疆46136</v>
      </c>
      <c r="B434" t="s">
        <v>168</v>
      </c>
      <c r="C434" t="s">
        <v>49</v>
      </c>
      <c r="D434" s="45">
        <v>46136</v>
      </c>
      <c r="F434" s="8">
        <f>SUMIFS(根据产能每天需要鲜销部分!$K:$K,根据产能每天需要鲜销部分!$B:$B,$B434,根据产能每天需要鲜销部分!$G:$G,$C434)</f>
        <v>55.681245743347397</v>
      </c>
      <c r="G434">
        <f>_xlfn.XLOOKUP($C434,价格系数辅助表!$C:$C,价格系数辅助表!$E:$E)</f>
        <v>1.1550192014842</v>
      </c>
      <c r="H434">
        <f t="shared" si="13"/>
        <v>9.8642221564444306</v>
      </c>
      <c r="I434" t="str">
        <f>_xlfn.XLOOKUP(B434,'3.屠宰能力表'!B:B,'3.屠宰能力表'!D:D)</f>
        <v>新疆</v>
      </c>
      <c r="J434">
        <f>_xlfn.XLOOKUP(A434,'1.出栏表'!A:A,'1.出栏表'!F:F)</f>
        <v>8.5403101037358695</v>
      </c>
    </row>
    <row r="435" spans="1:10" ht="15" x14ac:dyDescent="0.3">
      <c r="A435" t="str">
        <f t="shared" si="12"/>
        <v>新疆46136</v>
      </c>
      <c r="B435" t="s">
        <v>168</v>
      </c>
      <c r="C435" t="s">
        <v>50</v>
      </c>
      <c r="D435" s="45">
        <v>46136</v>
      </c>
      <c r="F435" s="8">
        <f>SUMIFS(根据产能每天需要鲜销部分!$K:$K,根据产能每天需要鲜销部分!$B:$B,$B435,根据产能每天需要鲜销部分!$G:$G,$C435)</f>
        <v>194.84637992109401</v>
      </c>
      <c r="G435">
        <f>_xlfn.XLOOKUP($C435,价格系数辅助表!$C:$C,价格系数辅助表!$E:$E)</f>
        <v>1.90800135982928</v>
      </c>
      <c r="H435">
        <f t="shared" si="13"/>
        <v>16.294923291291799</v>
      </c>
      <c r="I435" t="str">
        <f>_xlfn.XLOOKUP(B435,'3.屠宰能力表'!B:B,'3.屠宰能力表'!D:D)</f>
        <v>新疆</v>
      </c>
      <c r="J435">
        <f>_xlfn.XLOOKUP(A435,'1.出栏表'!A:A,'1.出栏表'!F:F)</f>
        <v>8.5403101037358695</v>
      </c>
    </row>
    <row r="436" spans="1:10" ht="15" x14ac:dyDescent="0.3">
      <c r="A436" t="str">
        <f t="shared" si="12"/>
        <v>新疆46136</v>
      </c>
      <c r="B436" t="s">
        <v>168</v>
      </c>
      <c r="C436" t="s">
        <v>51</v>
      </c>
      <c r="D436" s="45">
        <v>46136</v>
      </c>
      <c r="F436" s="8">
        <f>SUMIFS(根据产能每天需要鲜销部分!$K:$K,根据产能每天需要鲜销部分!$B:$B,$B436,根据产能每天需要鲜销部分!$G:$G,$C436)</f>
        <v>89.383052377478904</v>
      </c>
      <c r="G436">
        <f>_xlfn.XLOOKUP($C436,价格系数辅助表!$C:$C,价格系数辅助表!$E:$E)</f>
        <v>2.76783242873949</v>
      </c>
      <c r="H436">
        <f t="shared" si="13"/>
        <v>23.6381472566116</v>
      </c>
      <c r="I436" t="str">
        <f>_xlfn.XLOOKUP(B436,'3.屠宰能力表'!B:B,'3.屠宰能力表'!D:D)</f>
        <v>新疆</v>
      </c>
      <c r="J436">
        <f>_xlfn.XLOOKUP(A436,'1.出栏表'!A:A,'1.出栏表'!F:F)</f>
        <v>8.5403101037358695</v>
      </c>
    </row>
    <row r="437" spans="1:10" ht="15" x14ac:dyDescent="0.3">
      <c r="A437" t="str">
        <f t="shared" si="12"/>
        <v>新疆46136</v>
      </c>
      <c r="B437" t="s">
        <v>168</v>
      </c>
      <c r="C437" t="s">
        <v>52</v>
      </c>
      <c r="D437" s="45">
        <v>46136</v>
      </c>
      <c r="F437" s="8">
        <f>SUMIFS(根据产能每天需要鲜销部分!$K:$K,根据产能每天需要鲜销部分!$B:$B,$B437,根据产能每天需要鲜销部分!$G:$G,$C437)</f>
        <v>74.730092971334798</v>
      </c>
      <c r="G437">
        <f>_xlfn.XLOOKUP($C437,价格系数辅助表!$C:$C,价格系数辅助表!$E:$E)</f>
        <v>1.61708641969264</v>
      </c>
      <c r="H437">
        <f t="shared" si="13"/>
        <v>13.8104194887151</v>
      </c>
      <c r="I437" t="str">
        <f>_xlfn.XLOOKUP(B437,'3.屠宰能力表'!B:B,'3.屠宰能力表'!D:D)</f>
        <v>新疆</v>
      </c>
      <c r="J437">
        <f>_xlfn.XLOOKUP(A437,'1.出栏表'!A:A,'1.出栏表'!F:F)</f>
        <v>8.5403101037358695</v>
      </c>
    </row>
    <row r="438" spans="1:10" ht="15" x14ac:dyDescent="0.3">
      <c r="A438" t="str">
        <f t="shared" si="12"/>
        <v>新疆46136</v>
      </c>
      <c r="B438" t="s">
        <v>168</v>
      </c>
      <c r="C438" t="s">
        <v>53</v>
      </c>
      <c r="D438" s="45">
        <v>46136</v>
      </c>
      <c r="F438" s="8">
        <f>SUMIFS(根据产能每天需要鲜销部分!$K:$K,根据产能每天需要鲜销部分!$B:$B,$B438,根据产能每天需要鲜销部分!$G:$G,$C438)</f>
        <v>65.938317327648406</v>
      </c>
      <c r="G438">
        <f>_xlfn.XLOOKUP($C438,价格系数辅助表!$C:$C,价格系数辅助表!$E:$E)</f>
        <v>1.4850675377364999</v>
      </c>
      <c r="H438">
        <f t="shared" si="13"/>
        <v>12.6829372972612</v>
      </c>
      <c r="I438" t="str">
        <f>_xlfn.XLOOKUP(B438,'3.屠宰能力表'!B:B,'3.屠宰能力表'!D:D)</f>
        <v>新疆</v>
      </c>
      <c r="J438">
        <f>_xlfn.XLOOKUP(A438,'1.出栏表'!A:A,'1.出栏表'!F:F)</f>
        <v>8.5403101037358695</v>
      </c>
    </row>
    <row r="439" spans="1:10" ht="15" x14ac:dyDescent="0.3">
      <c r="A439" t="str">
        <f t="shared" si="12"/>
        <v>新疆46136</v>
      </c>
      <c r="B439" t="s">
        <v>168</v>
      </c>
      <c r="C439" t="s">
        <v>54</v>
      </c>
      <c r="D439" s="45">
        <v>46136</v>
      </c>
      <c r="F439" s="8">
        <f>SUMIFS(根据产能每天需要鲜销部分!$K:$K,根据产能每天需要鲜销部分!$B:$B,$B439,根据产能每天需要鲜销部分!$G:$G,$C439)</f>
        <v>48.354766040275599</v>
      </c>
      <c r="G439">
        <f>_xlfn.XLOOKUP($C439,价格系数辅助表!$C:$C,价格系数辅助表!$E:$E)</f>
        <v>1.8971615295629001</v>
      </c>
      <c r="H439">
        <f t="shared" si="13"/>
        <v>16.202347779345001</v>
      </c>
      <c r="I439" t="str">
        <f>_xlfn.XLOOKUP(B439,'3.屠宰能力表'!B:B,'3.屠宰能力表'!D:D)</f>
        <v>新疆</v>
      </c>
      <c r="J439">
        <f>_xlfn.XLOOKUP(A439,'1.出栏表'!A:A,'1.出栏表'!F:F)</f>
        <v>8.5403101037358695</v>
      </c>
    </row>
    <row r="440" spans="1:10" ht="15" x14ac:dyDescent="0.3">
      <c r="A440" t="str">
        <f t="shared" si="12"/>
        <v>新疆46136</v>
      </c>
      <c r="B440" t="s">
        <v>168</v>
      </c>
      <c r="C440" t="s">
        <v>55</v>
      </c>
      <c r="D440" s="45">
        <v>46136</v>
      </c>
      <c r="F440" s="8">
        <f>SUMIFS(根据产能每天需要鲜销部分!$K:$K,根据产能每天需要鲜销部分!$B:$B,$B440,根据产能每天需要鲜销部分!$G:$G,$C440)</f>
        <v>5.2228370160513702</v>
      </c>
      <c r="G440">
        <f>_xlfn.XLOOKUP($C440,价格系数辅助表!$C:$C,价格系数辅助表!$E:$E)</f>
        <v>3.2997148664303801</v>
      </c>
      <c r="H440">
        <f t="shared" si="13"/>
        <v>28.180588213222801</v>
      </c>
      <c r="I440" t="str">
        <f>_xlfn.XLOOKUP(B440,'3.屠宰能力表'!B:B,'3.屠宰能力表'!D:D)</f>
        <v>新疆</v>
      </c>
      <c r="J440">
        <f>_xlfn.XLOOKUP(A440,'1.出栏表'!A:A,'1.出栏表'!F:F)</f>
        <v>8.5403101037358695</v>
      </c>
    </row>
    <row r="441" spans="1:10" ht="15" x14ac:dyDescent="0.3">
      <c r="A441" t="str">
        <f t="shared" si="12"/>
        <v>新疆46136</v>
      </c>
      <c r="B441" t="s">
        <v>168</v>
      </c>
      <c r="C441" t="s">
        <v>57</v>
      </c>
      <c r="D441" s="45">
        <v>46136</v>
      </c>
      <c r="F441" s="8">
        <f>SUMIFS(根据产能每天需要鲜销部分!$K:$K,根据产能每天需要鲜销部分!$B:$B,$B441,根据产能每天需要鲜销部分!$G:$G,$C441)</f>
        <v>184.42678960752099</v>
      </c>
      <c r="G441">
        <f>_xlfn.XLOOKUP($C441,价格系数辅助表!$C:$C,价格系数辅助表!$E:$E)</f>
        <v>0.130070801908548</v>
      </c>
      <c r="H441">
        <f t="shared" si="13"/>
        <v>1.1108449837406</v>
      </c>
      <c r="I441" t="str">
        <f>_xlfn.XLOOKUP(B441,'3.屠宰能力表'!B:B,'3.屠宰能力表'!D:D)</f>
        <v>新疆</v>
      </c>
      <c r="J441">
        <f>_xlfn.XLOOKUP(A441,'1.出栏表'!A:A,'1.出栏表'!F:F)</f>
        <v>8.5403101037358695</v>
      </c>
    </row>
    <row r="442" spans="1:10" ht="15" x14ac:dyDescent="0.3">
      <c r="A442" t="str">
        <f t="shared" si="12"/>
        <v>新疆46136</v>
      </c>
      <c r="B442" t="s">
        <v>168</v>
      </c>
      <c r="C442" t="s">
        <v>58</v>
      </c>
      <c r="D442" s="45">
        <v>46136</v>
      </c>
      <c r="F442" s="8">
        <f>SUMIFS(根据产能每天需要鲜销部分!$K:$K,根据产能每天需要鲜销部分!$B:$B,$B442,根据产能每天需要鲜销部分!$G:$G,$C442)</f>
        <v>262.80985230178698</v>
      </c>
      <c r="G442">
        <f>_xlfn.XLOOKUP($C442,价格系数辅助表!$C:$C,价格系数辅助表!$E:$E)</f>
        <v>0.69784384029908697</v>
      </c>
      <c r="H442">
        <f t="shared" si="13"/>
        <v>5.9598028001361296</v>
      </c>
      <c r="I442" t="str">
        <f>_xlfn.XLOOKUP(B442,'3.屠宰能力表'!B:B,'3.屠宰能力表'!D:D)</f>
        <v>新疆</v>
      </c>
      <c r="J442">
        <f>_xlfn.XLOOKUP(A442,'1.出栏表'!A:A,'1.出栏表'!F:F)</f>
        <v>8.5403101037358695</v>
      </c>
    </row>
    <row r="443" spans="1:10" ht="15" x14ac:dyDescent="0.3">
      <c r="A443" t="str">
        <f t="shared" si="12"/>
        <v>新疆46136</v>
      </c>
      <c r="B443" t="s">
        <v>168</v>
      </c>
      <c r="C443" t="s">
        <v>59</v>
      </c>
      <c r="D443" s="45">
        <v>46136</v>
      </c>
      <c r="F443" s="8">
        <f>SUMIFS(根据产能每天需要鲜销部分!$K:$K,根据产能每天需要鲜销部分!$B:$B,$B443,根据产能每天需要鲜销部分!$G:$G,$C443)</f>
        <v>264.93830201377398</v>
      </c>
      <c r="G443">
        <f>_xlfn.XLOOKUP($C443,价格系数辅助表!$C:$C,价格系数辅助表!$E:$E)</f>
        <v>0.456447335288171</v>
      </c>
      <c r="H443">
        <f t="shared" si="13"/>
        <v>3.8982017893848799</v>
      </c>
      <c r="I443" t="str">
        <f>_xlfn.XLOOKUP(B443,'3.屠宰能力表'!B:B,'3.屠宰能力表'!D:D)</f>
        <v>新疆</v>
      </c>
      <c r="J443">
        <f>_xlfn.XLOOKUP(A443,'1.出栏表'!A:A,'1.出栏表'!F:F)</f>
        <v>8.5403101037358695</v>
      </c>
    </row>
    <row r="444" spans="1:10" ht="15" x14ac:dyDescent="0.3">
      <c r="A444" t="str">
        <f t="shared" si="12"/>
        <v>新疆46136</v>
      </c>
      <c r="B444" t="s">
        <v>168</v>
      </c>
      <c r="C444" t="s">
        <v>60</v>
      </c>
      <c r="D444" s="45">
        <v>46136</v>
      </c>
      <c r="F444" s="8">
        <f>SUMIFS(根据产能每天需要鲜销部分!$K:$K,根据产能每天需要鲜销部分!$B:$B,$B444,根据产能每天需要鲜销部分!$G:$G,$C444)</f>
        <v>122.884360101716</v>
      </c>
      <c r="G444">
        <f>_xlfn.XLOOKUP($C444,价格系数辅助表!$C:$C,价格系数辅助表!$E:$E)</f>
        <v>0.30253913346115902</v>
      </c>
      <c r="H444">
        <f t="shared" si="13"/>
        <v>2.5837780182738301</v>
      </c>
      <c r="I444" t="str">
        <f>_xlfn.XLOOKUP(B444,'3.屠宰能力表'!B:B,'3.屠宰能力表'!D:D)</f>
        <v>新疆</v>
      </c>
      <c r="J444">
        <f>_xlfn.XLOOKUP(A444,'1.出栏表'!A:A,'1.出栏表'!F:F)</f>
        <v>8.5403101037358695</v>
      </c>
    </row>
    <row r="445" spans="1:10" ht="15" x14ac:dyDescent="0.3">
      <c r="A445" t="str">
        <f t="shared" si="12"/>
        <v>新疆46136</v>
      </c>
      <c r="B445" t="s">
        <v>168</v>
      </c>
      <c r="C445" t="s">
        <v>61</v>
      </c>
      <c r="D445" s="45">
        <v>46136</v>
      </c>
      <c r="F445" s="8">
        <f>SUMIFS(根据产能每天需要鲜销部分!$K:$K,根据产能每天需要鲜销部分!$B:$B,$B445,根据产能每天需要鲜销部分!$G:$G,$C445)</f>
        <v>140.66841029898299</v>
      </c>
      <c r="G445">
        <f>_xlfn.XLOOKUP($C445,价格系数辅助表!$C:$C,价格系数辅助表!$E:$E)</f>
        <v>5.2234050059701297E-2</v>
      </c>
      <c r="H445">
        <f t="shared" si="13"/>
        <v>0.44609498548391202</v>
      </c>
      <c r="I445" t="str">
        <f>_xlfn.XLOOKUP(B445,'3.屠宰能力表'!B:B,'3.屠宰能力表'!D:D)</f>
        <v>新疆</v>
      </c>
      <c r="J445">
        <f>_xlfn.XLOOKUP(A445,'1.出栏表'!A:A,'1.出栏表'!F:F)</f>
        <v>8.5403101037358695</v>
      </c>
    </row>
    <row r="446" spans="1:10" ht="15" x14ac:dyDescent="0.3">
      <c r="A446" t="str">
        <f t="shared" si="12"/>
        <v>新疆46136</v>
      </c>
      <c r="B446" t="s">
        <v>168</v>
      </c>
      <c r="C446" t="s">
        <v>62</v>
      </c>
      <c r="D446" s="45">
        <v>46136</v>
      </c>
      <c r="F446" s="8">
        <f>SUMIFS(根据产能每天需要鲜销部分!$K:$K,根据产能每天需要鲜销部分!$B:$B,$B446,根据产能每天需要鲜销部分!$G:$G,$C446)</f>
        <v>131.87663465529701</v>
      </c>
      <c r="G446">
        <f>_xlfn.XLOOKUP($C446,价格系数辅助表!$C:$C,价格系数辅助表!$E:$E)</f>
        <v>0.27335161219757498</v>
      </c>
      <c r="H446">
        <f t="shared" si="13"/>
        <v>2.3345075355234401</v>
      </c>
      <c r="I446" t="str">
        <f>_xlfn.XLOOKUP(B446,'3.屠宰能力表'!B:B,'3.屠宰能力表'!D:D)</f>
        <v>新疆</v>
      </c>
      <c r="J446">
        <f>_xlfn.XLOOKUP(A446,'1.出栏表'!A:A,'1.出栏表'!F:F)</f>
        <v>8.5403101037358695</v>
      </c>
    </row>
    <row r="447" spans="1:10" ht="15" x14ac:dyDescent="0.3">
      <c r="A447" t="str">
        <f t="shared" si="12"/>
        <v>新疆46136</v>
      </c>
      <c r="B447" t="s">
        <v>168</v>
      </c>
      <c r="C447" t="s">
        <v>63</v>
      </c>
      <c r="D447" s="45">
        <v>46136</v>
      </c>
      <c r="F447" s="8">
        <f>SUMIFS(根据产能每天需要鲜销部分!$K:$K,根据产能每天需要鲜销部分!$B:$B,$B447,根据产能每天需要鲜销部分!$G:$G,$C447)</f>
        <v>110.730092971335</v>
      </c>
      <c r="G447">
        <f>_xlfn.XLOOKUP($C447,价格系数辅助表!$C:$C,价格系数辅助表!$E:$E)</f>
        <v>0.25083638292710098</v>
      </c>
      <c r="H447">
        <f t="shared" si="13"/>
        <v>2.14222049549688</v>
      </c>
      <c r="I447" t="str">
        <f>_xlfn.XLOOKUP(B447,'3.屠宰能力表'!B:B,'3.屠宰能力表'!D:D)</f>
        <v>新疆</v>
      </c>
      <c r="J447">
        <f>_xlfn.XLOOKUP(A447,'1.出栏表'!A:A,'1.出栏表'!F:F)</f>
        <v>8.5403101037358695</v>
      </c>
    </row>
    <row r="448" spans="1:10" ht="15" x14ac:dyDescent="0.3">
      <c r="A448" t="str">
        <f t="shared" si="12"/>
        <v>新疆46136</v>
      </c>
      <c r="B448" t="s">
        <v>168</v>
      </c>
      <c r="C448" t="s">
        <v>64</v>
      </c>
      <c r="D448" s="45">
        <v>46136</v>
      </c>
      <c r="F448" s="8">
        <f>SUMIFS(根据产能每天需要鲜销部分!$K:$K,根据产能每天需要鲜销部分!$B:$B,$B448,根据产能每天需要鲜销部分!$G:$G,$C448)</f>
        <v>19.150402392188301</v>
      </c>
      <c r="G448">
        <f>_xlfn.XLOOKUP($C448,价格系数辅助表!$C:$C,价格系数辅助表!$E:$E)</f>
        <v>0.87755384758256405</v>
      </c>
      <c r="H448">
        <f t="shared" si="13"/>
        <v>7.4945819910816596</v>
      </c>
      <c r="I448" t="str">
        <f>_xlfn.XLOOKUP(B448,'3.屠宰能力表'!B:B,'3.屠宰能力表'!D:D)</f>
        <v>新疆</v>
      </c>
      <c r="J448">
        <f>_xlfn.XLOOKUP(A448,'1.出栏表'!A:A,'1.出栏表'!F:F)</f>
        <v>8.5403101037358695</v>
      </c>
    </row>
    <row r="449" spans="1:10" ht="15" x14ac:dyDescent="0.3">
      <c r="A449" t="str">
        <f t="shared" si="12"/>
        <v>新疆46136</v>
      </c>
      <c r="B449" t="s">
        <v>168</v>
      </c>
      <c r="C449" t="s">
        <v>65</v>
      </c>
      <c r="D449" s="45">
        <v>46136</v>
      </c>
      <c r="F449" s="8">
        <f>SUMIFS(根据产能每天需要鲜销部分!$K:$K,根据产能每天需要鲜销部分!$B:$B,$B449,根据产能每天需要鲜销部分!$G:$G,$C449)</f>
        <v>8.7047283600856105</v>
      </c>
      <c r="G449">
        <f>_xlfn.XLOOKUP($C449,价格系数辅助表!$C:$C,价格系数辅助表!$E:$E)</f>
        <v>1.02785250036373</v>
      </c>
      <c r="H449">
        <f t="shared" si="13"/>
        <v>8.77817909400658</v>
      </c>
      <c r="I449" t="str">
        <f>_xlfn.XLOOKUP(B449,'3.屠宰能力表'!B:B,'3.屠宰能力表'!D:D)</f>
        <v>新疆</v>
      </c>
      <c r="J449">
        <f>_xlfn.XLOOKUP(A449,'1.出栏表'!A:A,'1.出栏表'!F:F)</f>
        <v>8.5403101037358695</v>
      </c>
    </row>
    <row r="450" spans="1:10" ht="15" x14ac:dyDescent="0.3">
      <c r="A450" t="str">
        <f t="shared" si="12"/>
        <v>新疆46136</v>
      </c>
      <c r="B450" t="s">
        <v>168</v>
      </c>
      <c r="C450" t="s">
        <v>66</v>
      </c>
      <c r="D450" s="45">
        <v>46136</v>
      </c>
      <c r="F450" s="8">
        <f>SUMIFS(根据产能每天需要鲜销部分!$K:$K,根据产能每天需要鲜销部分!$B:$B,$B450,根据产能每天需要鲜销部分!$G:$G,$C450)</f>
        <v>30.771214752902601</v>
      </c>
      <c r="G450">
        <f>_xlfn.XLOOKUP($C450,价格系数辅助表!$C:$C,价格系数辅助表!$E:$E)</f>
        <v>0.29390609194172401</v>
      </c>
      <c r="H450">
        <f t="shared" si="13"/>
        <v>2.5100491665594298</v>
      </c>
      <c r="I450" t="str">
        <f>_xlfn.XLOOKUP(B450,'3.屠宰能力表'!B:B,'3.屠宰能力表'!D:D)</f>
        <v>新疆</v>
      </c>
      <c r="J450">
        <f>_xlfn.XLOOKUP(A450,'1.出栏表'!A:A,'1.出栏表'!F:F)</f>
        <v>8.5403101037358695</v>
      </c>
    </row>
    <row r="451" spans="1:10" ht="15" x14ac:dyDescent="0.3">
      <c r="A451" t="str">
        <f t="shared" ref="A451:A514" si="14">I451&amp;D451</f>
        <v>新疆46136</v>
      </c>
      <c r="B451" t="s">
        <v>168</v>
      </c>
      <c r="C451" t="s">
        <v>67</v>
      </c>
      <c r="D451" s="45">
        <v>46136</v>
      </c>
      <c r="F451" s="8">
        <f>SUMIFS(根据产能每天需要鲜销部分!$K:$K,根据产能每天需要鲜销部分!$B:$B,$B451,根据产能每天需要鲜销部分!$G:$G,$C451)</f>
        <v>360</v>
      </c>
      <c r="G451">
        <f>_xlfn.XLOOKUP($C451,价格系数辅助表!$C:$C,价格系数辅助表!$E:$E)</f>
        <v>8.7444985304843598E-2</v>
      </c>
      <c r="H451">
        <f t="shared" ref="H451:H514" si="15">G451*$J451</f>
        <v>0.74680729151999004</v>
      </c>
      <c r="I451" t="str">
        <f>_xlfn.XLOOKUP(B451,'3.屠宰能力表'!B:B,'3.屠宰能力表'!D:D)</f>
        <v>新疆</v>
      </c>
      <c r="J451">
        <f>_xlfn.XLOOKUP(A451,'1.出栏表'!A:A,'1.出栏表'!F:F)</f>
        <v>8.5403101037358695</v>
      </c>
    </row>
    <row r="452" spans="1:10" ht="15" x14ac:dyDescent="0.3">
      <c r="A452" t="str">
        <f t="shared" si="14"/>
        <v>陕西46136</v>
      </c>
      <c r="B452" t="s">
        <v>170</v>
      </c>
      <c r="C452" t="s">
        <v>41</v>
      </c>
      <c r="D452" s="45">
        <v>46136</v>
      </c>
      <c r="F452" s="8">
        <f>SUMIFS(根据产能每天需要鲜销部分!$K:$K,根据产能每天需要鲜销部分!$B:$B,$B452,根据产能每天需要鲜销部分!$G:$G,$C452)</f>
        <v>142428</v>
      </c>
      <c r="G452">
        <f>_xlfn.XLOOKUP($C452,价格系数辅助表!$C:$C,价格系数辅助表!$E:$E)</f>
        <v>1.1852119074341301</v>
      </c>
      <c r="H452">
        <f t="shared" si="15"/>
        <v>10.624043942001901</v>
      </c>
      <c r="I452" t="str">
        <f>_xlfn.XLOOKUP(B452,'3.屠宰能力表'!B:B,'3.屠宰能力表'!D:D)</f>
        <v>陕西</v>
      </c>
      <c r="J452">
        <f>_xlfn.XLOOKUP(A452,'1.出栏表'!A:A,'1.出栏表'!F:F)</f>
        <v>8.9638349693954105</v>
      </c>
    </row>
    <row r="453" spans="1:10" ht="15" x14ac:dyDescent="0.3">
      <c r="A453" t="str">
        <f t="shared" si="14"/>
        <v>陕西46136</v>
      </c>
      <c r="B453" t="s">
        <v>170</v>
      </c>
      <c r="C453" t="s">
        <v>44</v>
      </c>
      <c r="D453" s="45">
        <v>46136</v>
      </c>
      <c r="F453" s="8">
        <f>SUMIFS(根据产能每天需要鲜销部分!$K:$K,根据产能每天需要鲜销部分!$B:$B,$B453,根据产能每天需要鲜销部分!$G:$G,$C453)</f>
        <v>9153.8805978850596</v>
      </c>
      <c r="G453">
        <f>_xlfn.XLOOKUP($C453,价格系数辅助表!$C:$C,价格系数辅助表!$E:$E)</f>
        <v>0.81317166851852996</v>
      </c>
      <c r="H453">
        <f t="shared" si="15"/>
        <v>7.2891366383880101</v>
      </c>
      <c r="I453" t="str">
        <f>_xlfn.XLOOKUP(B453,'3.屠宰能力表'!B:B,'3.屠宰能力表'!D:D)</f>
        <v>陕西</v>
      </c>
      <c r="J453">
        <f>_xlfn.XLOOKUP(A453,'1.出栏表'!A:A,'1.出栏表'!F:F)</f>
        <v>8.9638349693954105</v>
      </c>
    </row>
    <row r="454" spans="1:10" ht="15" x14ac:dyDescent="0.3">
      <c r="A454" t="str">
        <f t="shared" si="14"/>
        <v>陕西46136</v>
      </c>
      <c r="B454" t="s">
        <v>170</v>
      </c>
      <c r="C454" t="s">
        <v>46</v>
      </c>
      <c r="D454" s="45">
        <v>46136</v>
      </c>
      <c r="F454" s="8">
        <f>SUMIFS(根据产能每天需要鲜销部分!$K:$K,根据产能每天需要鲜销部分!$B:$B,$B454,根据产能每天需要鲜销部分!$G:$G,$C454)</f>
        <v>68.771222812836399</v>
      </c>
      <c r="G454">
        <f>_xlfn.XLOOKUP($C454,价格系数辅助表!$C:$C,价格系数辅助表!$E:$E)</f>
        <v>4.0225512045395799</v>
      </c>
      <c r="H454">
        <f t="shared" si="15"/>
        <v>36.057485153435501</v>
      </c>
      <c r="I454" t="str">
        <f>_xlfn.XLOOKUP(B454,'3.屠宰能力表'!B:B,'3.屠宰能力表'!D:D)</f>
        <v>陕西</v>
      </c>
      <c r="J454">
        <f>_xlfn.XLOOKUP(A454,'1.出栏表'!A:A,'1.出栏表'!F:F)</f>
        <v>8.9638349693954105</v>
      </c>
    </row>
    <row r="455" spans="1:10" ht="15" x14ac:dyDescent="0.3">
      <c r="A455" t="str">
        <f t="shared" si="14"/>
        <v>陕西46136</v>
      </c>
      <c r="B455" t="s">
        <v>170</v>
      </c>
      <c r="C455" t="s">
        <v>47</v>
      </c>
      <c r="D455" s="45">
        <v>46136</v>
      </c>
      <c r="F455" s="8">
        <f>SUMIFS(根据产能每天需要鲜销部分!$K:$K,根据产能每天需要鲜销部分!$B:$B,$B455,根据产能每天需要鲜销部分!$G:$G,$C455)</f>
        <v>646.95625664440695</v>
      </c>
      <c r="G455">
        <f>_xlfn.XLOOKUP($C455,价格系数辅助表!$C:$C,价格系数辅助表!$E:$E)</f>
        <v>0.84535964262204399</v>
      </c>
      <c r="H455">
        <f t="shared" si="15"/>
        <v>7.5776643262510799</v>
      </c>
      <c r="I455" t="str">
        <f>_xlfn.XLOOKUP(B455,'3.屠宰能力表'!B:B,'3.屠宰能力表'!D:D)</f>
        <v>陕西</v>
      </c>
      <c r="J455">
        <f>_xlfn.XLOOKUP(A455,'1.出栏表'!A:A,'1.出栏表'!F:F)</f>
        <v>8.9638349693954105</v>
      </c>
    </row>
    <row r="456" spans="1:10" ht="15" x14ac:dyDescent="0.3">
      <c r="A456" t="str">
        <f t="shared" si="14"/>
        <v>陕西46136</v>
      </c>
      <c r="B456" t="s">
        <v>170</v>
      </c>
      <c r="C456" t="s">
        <v>48</v>
      </c>
      <c r="D456" s="45">
        <v>46136</v>
      </c>
      <c r="F456" s="8">
        <f>SUMIFS(根据产能每天需要鲜销部分!$K:$K,根据产能每天需要鲜销部分!$B:$B,$B456,根据产能每天需要鲜销部分!$G:$G,$C456)</f>
        <v>3341.77466650009</v>
      </c>
      <c r="G456">
        <f>_xlfn.XLOOKUP($C456,价格系数辅助表!$C:$C,价格系数辅助表!$E:$E)</f>
        <v>0.37320475421536098</v>
      </c>
      <c r="H456">
        <f t="shared" si="15"/>
        <v>3.34534582658027</v>
      </c>
      <c r="I456" t="str">
        <f>_xlfn.XLOOKUP(B456,'3.屠宰能力表'!B:B,'3.屠宰能力表'!D:D)</f>
        <v>陕西</v>
      </c>
      <c r="J456">
        <f>_xlfn.XLOOKUP(A456,'1.出栏表'!A:A,'1.出栏表'!F:F)</f>
        <v>8.9638349693954105</v>
      </c>
    </row>
    <row r="457" spans="1:10" ht="15" x14ac:dyDescent="0.3">
      <c r="A457" t="str">
        <f t="shared" si="14"/>
        <v>陕西46136</v>
      </c>
      <c r="B457" t="s">
        <v>170</v>
      </c>
      <c r="C457" t="s">
        <v>49</v>
      </c>
      <c r="D457" s="45">
        <v>46136</v>
      </c>
      <c r="F457" s="8">
        <f>SUMIFS(根据产能每天需要鲜销部分!$K:$K,根据产能每天需要鲜销部分!$B:$B,$B457,根据产能每天需要鲜销部分!$G:$G,$C457)</f>
        <v>653.32661672194297</v>
      </c>
      <c r="G457">
        <f>_xlfn.XLOOKUP($C457,价格系数辅助表!$C:$C,价格系数辅助表!$E:$E)</f>
        <v>1.1550192014842</v>
      </c>
      <c r="H457">
        <f t="shared" si="15"/>
        <v>10.353401508587201</v>
      </c>
      <c r="I457" t="str">
        <f>_xlfn.XLOOKUP(B457,'3.屠宰能力表'!B:B,'3.屠宰能力表'!D:D)</f>
        <v>陕西</v>
      </c>
      <c r="J457">
        <f>_xlfn.XLOOKUP(A457,'1.出栏表'!A:A,'1.出栏表'!F:F)</f>
        <v>8.9638349693954105</v>
      </c>
    </row>
    <row r="458" spans="1:10" ht="15" x14ac:dyDescent="0.3">
      <c r="A458" t="str">
        <f t="shared" si="14"/>
        <v>陕西46136</v>
      </c>
      <c r="B458" t="s">
        <v>170</v>
      </c>
      <c r="C458" t="s">
        <v>50</v>
      </c>
      <c r="D458" s="45">
        <v>46136</v>
      </c>
      <c r="F458" s="8">
        <f>SUMIFS(根据产能每天需要鲜销部分!$K:$K,根据产能每天需要鲜销部分!$B:$B,$B458,根据产能每天需要鲜销部分!$G:$G,$C458)</f>
        <v>2286.1975244075002</v>
      </c>
      <c r="G458">
        <f>_xlfn.XLOOKUP($C458,价格系数辅助表!$C:$C,价格系数辅助表!$E:$E)</f>
        <v>1.90800135982928</v>
      </c>
      <c r="H458">
        <f t="shared" si="15"/>
        <v>17.1030093108917</v>
      </c>
      <c r="I458" t="str">
        <f>_xlfn.XLOOKUP(B458,'3.屠宰能力表'!B:B,'3.屠宰能力表'!D:D)</f>
        <v>陕西</v>
      </c>
      <c r="J458">
        <f>_xlfn.XLOOKUP(A458,'1.出栏表'!A:A,'1.出栏表'!F:F)</f>
        <v>8.9638349693954105</v>
      </c>
    </row>
    <row r="459" spans="1:10" ht="15" x14ac:dyDescent="0.3">
      <c r="A459" t="str">
        <f t="shared" si="14"/>
        <v>陕西46136</v>
      </c>
      <c r="B459" t="s">
        <v>170</v>
      </c>
      <c r="C459" t="s">
        <v>51</v>
      </c>
      <c r="D459" s="45">
        <v>46136</v>
      </c>
      <c r="F459" s="8">
        <f>SUMIFS(根据产能每天需要鲜销部分!$K:$K,根据产能每天需要鲜销部分!$B:$B,$B459,根据产能每天需要鲜销部分!$G:$G,$C459)</f>
        <v>1048.7611478957499</v>
      </c>
      <c r="G459">
        <f>_xlfn.XLOOKUP($C459,价格系数辅助表!$C:$C,价格系数辅助表!$E:$E)</f>
        <v>2.76783242873949</v>
      </c>
      <c r="H459">
        <f t="shared" si="15"/>
        <v>24.810393114161698</v>
      </c>
      <c r="I459" t="str">
        <f>_xlfn.XLOOKUP(B459,'3.屠宰能力表'!B:B,'3.屠宰能力表'!D:D)</f>
        <v>陕西</v>
      </c>
      <c r="J459">
        <f>_xlfn.XLOOKUP(A459,'1.出栏表'!A:A,'1.出栏表'!F:F)</f>
        <v>8.9638349693954105</v>
      </c>
    </row>
    <row r="460" spans="1:10" ht="15" x14ac:dyDescent="0.3">
      <c r="A460" t="str">
        <f t="shared" si="14"/>
        <v>陕西46136</v>
      </c>
      <c r="B460" t="s">
        <v>170</v>
      </c>
      <c r="C460" t="s">
        <v>52</v>
      </c>
      <c r="D460" s="45">
        <v>46136</v>
      </c>
      <c r="F460" s="8">
        <f>SUMIFS(根据产能每天需要鲜销部分!$K:$K,根据产能每天需要鲜销部分!$B:$B,$B460,根据产能每天需要鲜销部分!$G:$G,$C460)</f>
        <v>876.83309086366103</v>
      </c>
      <c r="G460">
        <f>_xlfn.XLOOKUP($C460,价格系数辅助表!$C:$C,价格系数辅助表!$E:$E)</f>
        <v>1.61708641969264</v>
      </c>
      <c r="H460">
        <f t="shared" si="15"/>
        <v>14.4952957973753</v>
      </c>
      <c r="I460" t="str">
        <f>_xlfn.XLOOKUP(B460,'3.屠宰能力表'!B:B,'3.屠宰能力表'!D:D)</f>
        <v>陕西</v>
      </c>
      <c r="J460">
        <f>_xlfn.XLOOKUP(A460,'1.出栏表'!A:A,'1.出栏表'!F:F)</f>
        <v>8.9638349693954105</v>
      </c>
    </row>
    <row r="461" spans="1:10" ht="15" x14ac:dyDescent="0.3">
      <c r="A461" t="str">
        <f t="shared" si="14"/>
        <v>陕西46136</v>
      </c>
      <c r="B461" t="s">
        <v>170</v>
      </c>
      <c r="C461" t="s">
        <v>53</v>
      </c>
      <c r="D461" s="45">
        <v>46136</v>
      </c>
      <c r="F461" s="8">
        <f>SUMIFS(根据产能每天需要鲜销部分!$K:$K,根据产能每天需要鲜销部分!$B:$B,$B461,根据产能每天需要鲜销部分!$G:$G,$C461)</f>
        <v>773.67625664440698</v>
      </c>
      <c r="G461">
        <f>_xlfn.XLOOKUP($C461,价格系数辅助表!$C:$C,价格系数辅助表!$E:$E)</f>
        <v>1.4850675377364999</v>
      </c>
      <c r="H461">
        <f t="shared" si="15"/>
        <v>13.311900326676399</v>
      </c>
      <c r="I461" t="str">
        <f>_xlfn.XLOOKUP(B461,'3.屠宰能力表'!B:B,'3.屠宰能力表'!D:D)</f>
        <v>陕西</v>
      </c>
      <c r="J461">
        <f>_xlfn.XLOOKUP(A461,'1.出栏表'!A:A,'1.出栏表'!F:F)</f>
        <v>8.9638349693954105</v>
      </c>
    </row>
    <row r="462" spans="1:10" ht="15" x14ac:dyDescent="0.3">
      <c r="A462" t="str">
        <f t="shared" si="14"/>
        <v>陕西46136</v>
      </c>
      <c r="B462" t="s">
        <v>170</v>
      </c>
      <c r="C462" t="s">
        <v>54</v>
      </c>
      <c r="D462" s="45">
        <v>46136</v>
      </c>
      <c r="F462" s="8">
        <f>SUMIFS(根据产能每天需要鲜销部分!$K:$K,根据产能每天需要鲜销部分!$B:$B,$B462,根据产能每天需要鲜销部分!$G:$G,$C462)</f>
        <v>567.36258820590001</v>
      </c>
      <c r="G462">
        <f>_xlfn.XLOOKUP($C462,价格系数辅助表!$C:$C,价格系数辅助表!$E:$E)</f>
        <v>1.8971615295629001</v>
      </c>
      <c r="H462">
        <f t="shared" si="15"/>
        <v>17.005842861287601</v>
      </c>
      <c r="I462" t="str">
        <f>_xlfn.XLOOKUP(B462,'3.屠宰能力表'!B:B,'3.屠宰能力表'!D:D)</f>
        <v>陕西</v>
      </c>
      <c r="J462">
        <f>_xlfn.XLOOKUP(A462,'1.出栏表'!A:A,'1.出栏表'!F:F)</f>
        <v>8.9638349693954105</v>
      </c>
    </row>
    <row r="463" spans="1:10" ht="15" x14ac:dyDescent="0.3">
      <c r="A463" t="str">
        <f t="shared" si="14"/>
        <v>陕西46136</v>
      </c>
      <c r="B463" t="s">
        <v>170</v>
      </c>
      <c r="C463" t="s">
        <v>55</v>
      </c>
      <c r="D463" s="45">
        <v>46136</v>
      </c>
      <c r="F463" s="8">
        <f>SUMIFS(根据产能每天需要鲜销部分!$K:$K,根据产能每天需要鲜销部分!$B:$B,$B463,根据产能每天需要鲜销部分!$G:$G,$C463)</f>
        <v>61.281287655002799</v>
      </c>
      <c r="G463">
        <f>_xlfn.XLOOKUP($C463,价格系数辅助表!$C:$C,价格系数辅助表!$E:$E)</f>
        <v>3.2997148664303801</v>
      </c>
      <c r="H463">
        <f t="shared" si="15"/>
        <v>29.5780995087425</v>
      </c>
      <c r="I463" t="str">
        <f>_xlfn.XLOOKUP(B463,'3.屠宰能力表'!B:B,'3.屠宰能力表'!D:D)</f>
        <v>陕西</v>
      </c>
      <c r="J463">
        <f>_xlfn.XLOOKUP(A463,'1.出栏表'!A:A,'1.出栏表'!F:F)</f>
        <v>8.9638349693954105</v>
      </c>
    </row>
    <row r="464" spans="1:10" ht="15" x14ac:dyDescent="0.3">
      <c r="A464" t="str">
        <f t="shared" si="14"/>
        <v>陕西46136</v>
      </c>
      <c r="B464" t="s">
        <v>170</v>
      </c>
      <c r="C464" t="s">
        <v>57</v>
      </c>
      <c r="D464" s="45">
        <v>46136</v>
      </c>
      <c r="F464" s="8">
        <f>SUMIFS(根据产能每天需要鲜销部分!$K:$K,根据产能每天需要鲜销部分!$B:$B,$B464,根据产能每天需要鲜销部分!$G:$G,$C464)</f>
        <v>2163.9409980615801</v>
      </c>
      <c r="G464">
        <f>_xlfn.XLOOKUP($C464,价格系数辅助表!$C:$C,价格系数辅助表!$E:$E)</f>
        <v>0.130070801908548</v>
      </c>
      <c r="H464">
        <f t="shared" si="15"/>
        <v>1.1659332026451501</v>
      </c>
      <c r="I464" t="str">
        <f>_xlfn.XLOOKUP(B464,'3.屠宰能力表'!B:B,'3.屠宰能力表'!D:D)</f>
        <v>陕西</v>
      </c>
      <c r="J464">
        <f>_xlfn.XLOOKUP(A464,'1.出栏表'!A:A,'1.出栏表'!F:F)</f>
        <v>8.9638349693954105</v>
      </c>
    </row>
    <row r="465" spans="1:10" ht="15" x14ac:dyDescent="0.3">
      <c r="A465" t="str">
        <f t="shared" si="14"/>
        <v>陕西46136</v>
      </c>
      <c r="B465" t="s">
        <v>170</v>
      </c>
      <c r="C465" t="s">
        <v>58</v>
      </c>
      <c r="D465" s="45">
        <v>46136</v>
      </c>
      <c r="F465" s="8">
        <f>SUMIFS(根据产能每天需要鲜销部分!$K:$K,根据产能每天需要鲜销部分!$B:$B,$B465,根据产能每天需要鲜销部分!$G:$G,$C465)</f>
        <v>3083.6356003409701</v>
      </c>
      <c r="G465">
        <f>_xlfn.XLOOKUP($C465,价格系数辅助表!$C:$C,价格系数辅助表!$E:$E)</f>
        <v>0.69784384029908697</v>
      </c>
      <c r="H465">
        <f t="shared" si="15"/>
        <v>6.2553570188501402</v>
      </c>
      <c r="I465" t="str">
        <f>_xlfn.XLOOKUP(B465,'3.屠宰能力表'!B:B,'3.屠宰能力表'!D:D)</f>
        <v>陕西</v>
      </c>
      <c r="J465">
        <f>_xlfn.XLOOKUP(A465,'1.出栏表'!A:A,'1.出栏表'!F:F)</f>
        <v>8.9638349693954105</v>
      </c>
    </row>
    <row r="466" spans="1:10" ht="15" x14ac:dyDescent="0.3">
      <c r="A466" t="str">
        <f t="shared" si="14"/>
        <v>陕西46136</v>
      </c>
      <c r="B466" t="s">
        <v>170</v>
      </c>
      <c r="C466" t="s">
        <v>59</v>
      </c>
      <c r="D466" s="45">
        <v>46136</v>
      </c>
      <c r="F466" s="8">
        <f>SUMIFS(根据产能每天需要鲜销部分!$K:$K,根据产能每天需要鲜销部分!$B:$B,$B466,根据产能每天需要鲜销部分!$G:$G,$C466)</f>
        <v>3108.6094102949501</v>
      </c>
      <c r="G466">
        <f>_xlfn.XLOOKUP($C466,价格系数辅助表!$C:$C,价格系数辅助表!$E:$E)</f>
        <v>0.456447335288171</v>
      </c>
      <c r="H466">
        <f t="shared" si="15"/>
        <v>4.09151858574345</v>
      </c>
      <c r="I466" t="str">
        <f>_xlfn.XLOOKUP(B466,'3.屠宰能力表'!B:B,'3.屠宰能力表'!D:D)</f>
        <v>陕西</v>
      </c>
      <c r="J466">
        <f>_xlfn.XLOOKUP(A466,'1.出栏表'!A:A,'1.出栏表'!F:F)</f>
        <v>8.9638349693954105</v>
      </c>
    </row>
    <row r="467" spans="1:10" ht="15" x14ac:dyDescent="0.3">
      <c r="A467" t="str">
        <f t="shared" si="14"/>
        <v>陕西46136</v>
      </c>
      <c r="B467" t="s">
        <v>170</v>
      </c>
      <c r="C467" t="s">
        <v>60</v>
      </c>
      <c r="D467" s="45">
        <v>46136</v>
      </c>
      <c r="F467" s="8">
        <f>SUMIFS(根据产能每天需要鲜销部分!$K:$K,根据产能每天需要鲜销部分!$B:$B,$B467,根据产能每天需要鲜销部分!$G:$G,$C467)</f>
        <v>1441.8431585268099</v>
      </c>
      <c r="G467">
        <f>_xlfn.XLOOKUP($C467,价格系数辅助表!$C:$C,价格系数辅助表!$E:$E)</f>
        <v>0.30253913346115902</v>
      </c>
      <c r="H467">
        <f t="shared" si="15"/>
        <v>2.71191086412973</v>
      </c>
      <c r="I467" t="str">
        <f>_xlfn.XLOOKUP(B467,'3.屠宰能力表'!B:B,'3.屠宰能力表'!D:D)</f>
        <v>陕西</v>
      </c>
      <c r="J467">
        <f>_xlfn.XLOOKUP(A467,'1.出栏表'!A:A,'1.出栏表'!F:F)</f>
        <v>8.9638349693954105</v>
      </c>
    </row>
    <row r="468" spans="1:10" ht="15" x14ac:dyDescent="0.3">
      <c r="A468" t="str">
        <f t="shared" si="14"/>
        <v>陕西46136</v>
      </c>
      <c r="B468" t="s">
        <v>170</v>
      </c>
      <c r="C468" t="s">
        <v>61</v>
      </c>
      <c r="D468" s="45">
        <v>46136</v>
      </c>
      <c r="F468" s="8">
        <f>SUMIFS(根据产能每天需要鲜销部分!$K:$K,根据产能每天需要鲜销部分!$B:$B,$B468,根据产能每天需要鲜销部分!$G:$G,$C468)</f>
        <v>1650.5093475080701</v>
      </c>
      <c r="G468">
        <f>_xlfn.XLOOKUP($C468,价格系数辅助表!$C:$C,价格系数辅助表!$E:$E)</f>
        <v>5.2234050059701297E-2</v>
      </c>
      <c r="H468">
        <f t="shared" si="15"/>
        <v>0.46821740451830102</v>
      </c>
      <c r="I468" t="str">
        <f>_xlfn.XLOOKUP(B468,'3.屠宰能力表'!B:B,'3.屠宰能力表'!D:D)</f>
        <v>陕西</v>
      </c>
      <c r="J468">
        <f>_xlfn.XLOOKUP(A468,'1.出栏表'!A:A,'1.出栏表'!F:F)</f>
        <v>8.9638349693954105</v>
      </c>
    </row>
    <row r="469" spans="1:10" ht="15" x14ac:dyDescent="0.3">
      <c r="A469" t="str">
        <f t="shared" si="14"/>
        <v>陕西46136</v>
      </c>
      <c r="B469" t="s">
        <v>170</v>
      </c>
      <c r="C469" t="s">
        <v>62</v>
      </c>
      <c r="D469" s="45">
        <v>46136</v>
      </c>
      <c r="F469" s="8">
        <f>SUMIFS(根据产能每天需要鲜销部分!$K:$K,根据产能每天需要鲜销部分!$B:$B,$B469,根据产能每天需要鲜销部分!$G:$G,$C469)</f>
        <v>1547.3525132888101</v>
      </c>
      <c r="G469">
        <f>_xlfn.XLOOKUP($C469,价格系数辅助表!$C:$C,价格系数辅助表!$E:$E)</f>
        <v>0.27335161219757498</v>
      </c>
      <c r="H469">
        <f t="shared" si="15"/>
        <v>2.4502787403572399</v>
      </c>
      <c r="I469" t="str">
        <f>_xlfn.XLOOKUP(B469,'3.屠宰能力表'!B:B,'3.屠宰能力表'!D:D)</f>
        <v>陕西</v>
      </c>
      <c r="J469">
        <f>_xlfn.XLOOKUP(A469,'1.出栏表'!A:A,'1.出栏表'!F:F)</f>
        <v>8.9638349693954105</v>
      </c>
    </row>
    <row r="470" spans="1:10" ht="15" x14ac:dyDescent="0.3">
      <c r="A470" t="str">
        <f t="shared" si="14"/>
        <v>陕西46136</v>
      </c>
      <c r="B470" t="s">
        <v>170</v>
      </c>
      <c r="C470" t="s">
        <v>63</v>
      </c>
      <c r="D470" s="45">
        <v>46136</v>
      </c>
      <c r="F470" s="8">
        <f>SUMIFS(根据产能每天需要鲜销部分!$K:$K,根据产能每天需要鲜销部分!$B:$B,$B470,根据产能每天需要鲜销部分!$G:$G,$C470)</f>
        <v>1299.23309086366</v>
      </c>
      <c r="G470">
        <f>_xlfn.XLOOKUP($C470,价格系数辅助表!$C:$C,价格系数辅助表!$E:$E)</f>
        <v>0.25083638292710098</v>
      </c>
      <c r="H470">
        <f t="shared" si="15"/>
        <v>2.2484559408785998</v>
      </c>
      <c r="I470" t="str">
        <f>_xlfn.XLOOKUP(B470,'3.屠宰能力表'!B:B,'3.屠宰能力表'!D:D)</f>
        <v>陕西</v>
      </c>
      <c r="J470">
        <f>_xlfn.XLOOKUP(A470,'1.出栏表'!A:A,'1.出栏表'!F:F)</f>
        <v>8.9638349693954105</v>
      </c>
    </row>
    <row r="471" spans="1:10" ht="15" x14ac:dyDescent="0.3">
      <c r="A471" t="str">
        <f t="shared" si="14"/>
        <v>陕西46136</v>
      </c>
      <c r="B471" t="s">
        <v>170</v>
      </c>
      <c r="C471" t="s">
        <v>64</v>
      </c>
      <c r="D471" s="45">
        <v>46136</v>
      </c>
      <c r="F471" s="8">
        <f>SUMIFS(根据产能每天需要鲜销部分!$K:$K,根据产能每天需要鲜销部分!$B:$B,$B471,根据产能每天需要鲜销部分!$G:$G,$C471)</f>
        <v>224.69805473500901</v>
      </c>
      <c r="G471">
        <f>_xlfn.XLOOKUP($C471,价格系数辅助表!$C:$C,价格系数辅助表!$E:$E)</f>
        <v>0.87755384758256405</v>
      </c>
      <c r="H471">
        <f t="shared" si="15"/>
        <v>7.8662478664880799</v>
      </c>
      <c r="I471" t="str">
        <f>_xlfn.XLOOKUP(B471,'3.屠宰能力表'!B:B,'3.屠宰能力表'!D:D)</f>
        <v>陕西</v>
      </c>
      <c r="J471">
        <f>_xlfn.XLOOKUP(A471,'1.出栏表'!A:A,'1.出栏表'!F:F)</f>
        <v>8.9638349693954105</v>
      </c>
    </row>
    <row r="472" spans="1:10" ht="15" x14ac:dyDescent="0.3">
      <c r="A472" t="str">
        <f t="shared" si="14"/>
        <v>陕西46136</v>
      </c>
      <c r="B472" t="s">
        <v>170</v>
      </c>
      <c r="C472" t="s">
        <v>65</v>
      </c>
      <c r="D472" s="45">
        <v>46136</v>
      </c>
      <c r="F472" s="8">
        <f>SUMIFS(根据产能每天需要鲜销部分!$K:$K,根据产能每天需要鲜销部分!$B:$B,$B472,根据产能每天需要鲜销部分!$G:$G,$C472)</f>
        <v>102.13547942500399</v>
      </c>
      <c r="G472">
        <f>_xlfn.XLOOKUP($C472,价格系数辅助表!$C:$C,价格系数辅助表!$E:$E)</f>
        <v>1.02785250036373</v>
      </c>
      <c r="H472">
        <f t="shared" si="15"/>
        <v>9.2135001861409496</v>
      </c>
      <c r="I472" t="str">
        <f>_xlfn.XLOOKUP(B472,'3.屠宰能力表'!B:B,'3.屠宰能力表'!D:D)</f>
        <v>陕西</v>
      </c>
      <c r="J472">
        <f>_xlfn.XLOOKUP(A472,'1.出栏表'!A:A,'1.出栏表'!F:F)</f>
        <v>8.9638349693954105</v>
      </c>
    </row>
    <row r="473" spans="1:10" ht="15" x14ac:dyDescent="0.3">
      <c r="A473" t="str">
        <f t="shared" si="14"/>
        <v>陕西46136</v>
      </c>
      <c r="B473" t="s">
        <v>170</v>
      </c>
      <c r="C473" t="s">
        <v>66</v>
      </c>
      <c r="D473" s="45">
        <v>46136</v>
      </c>
      <c r="F473" s="8">
        <f>SUMIFS(根据产能每天需要鲜销部分!$K:$K,根据产能每天需要鲜销部分!$B:$B,$B473,根据产能每天需要鲜销部分!$G:$G,$C473)</f>
        <v>361.04891976738998</v>
      </c>
      <c r="G473">
        <f>_xlfn.XLOOKUP($C473,价格系数辅助表!$C:$C,价格系数辅助表!$E:$E)</f>
        <v>0.29390609194172401</v>
      </c>
      <c r="H473">
        <f t="shared" si="15"/>
        <v>2.6345257046655699</v>
      </c>
      <c r="I473" t="str">
        <f>_xlfn.XLOOKUP(B473,'3.屠宰能力表'!B:B,'3.屠宰能力表'!D:D)</f>
        <v>陕西</v>
      </c>
      <c r="J473">
        <f>_xlfn.XLOOKUP(A473,'1.出栏表'!A:A,'1.出栏表'!F:F)</f>
        <v>8.9638349693954105</v>
      </c>
    </row>
    <row r="474" spans="1:10" ht="15" x14ac:dyDescent="0.3">
      <c r="A474" t="str">
        <f t="shared" si="14"/>
        <v>陕西46136</v>
      </c>
      <c r="B474" t="s">
        <v>170</v>
      </c>
      <c r="C474" t="s">
        <v>67</v>
      </c>
      <c r="D474" s="45">
        <v>46136</v>
      </c>
      <c r="F474" s="8">
        <f>SUMIFS(根据产能每天需要鲜销部分!$K:$K,根据产能每天需要鲜销部分!$B:$B,$B474,根据产能每天需要鲜销部分!$G:$G,$C474)</f>
        <v>4224</v>
      </c>
      <c r="G474">
        <f>_xlfn.XLOOKUP($C474,价格系数辅助表!$C:$C,价格系数辅助表!$E:$E)</f>
        <v>8.7444985304843598E-2</v>
      </c>
      <c r="H474">
        <f t="shared" si="15"/>
        <v>0.78384241717382397</v>
      </c>
      <c r="I474" t="str">
        <f>_xlfn.XLOOKUP(B474,'3.屠宰能力表'!B:B,'3.屠宰能力表'!D:D)</f>
        <v>陕西</v>
      </c>
      <c r="J474">
        <f>_xlfn.XLOOKUP(A474,'1.出栏表'!A:A,'1.出栏表'!F:F)</f>
        <v>8.9638349693954105</v>
      </c>
    </row>
    <row r="475" spans="1:10" ht="15" x14ac:dyDescent="0.3">
      <c r="A475" t="str">
        <f t="shared" si="14"/>
        <v>安徽46136</v>
      </c>
      <c r="B475" t="s">
        <v>172</v>
      </c>
      <c r="C475" t="s">
        <v>41</v>
      </c>
      <c r="D475" s="45">
        <v>46136</v>
      </c>
      <c r="F475" s="8">
        <f>SUMIFS(根据产能每天需要鲜销部分!$K:$K,根据产能每天需要鲜销部分!$B:$B,$B475,根据产能每天需要鲜销部分!$G:$G,$C475)</f>
        <v>107250</v>
      </c>
      <c r="G475">
        <f>_xlfn.XLOOKUP($C475,价格系数辅助表!$C:$C,价格系数辅助表!$E:$E)</f>
        <v>1.1852119074341301</v>
      </c>
      <c r="H475">
        <f t="shared" si="15"/>
        <v>10.476282073732699</v>
      </c>
      <c r="I475" t="str">
        <f>_xlfn.XLOOKUP(B475,'3.屠宰能力表'!B:B,'3.屠宰能力表'!D:D)</f>
        <v>安徽</v>
      </c>
      <c r="J475">
        <f>_xlfn.XLOOKUP(A475,'1.出栏表'!A:A,'1.出栏表'!F:F)</f>
        <v>8.8391637039935507</v>
      </c>
    </row>
    <row r="476" spans="1:10" ht="15" x14ac:dyDescent="0.3">
      <c r="A476" t="str">
        <f t="shared" si="14"/>
        <v>安徽46136</v>
      </c>
      <c r="B476" t="s">
        <v>172</v>
      </c>
      <c r="C476" t="s">
        <v>44</v>
      </c>
      <c r="D476" s="45">
        <v>46136</v>
      </c>
      <c r="F476" s="8">
        <f>SUMIFS(根据产能每天需要鲜销部分!$K:$K,根据产能每天需要鲜销部分!$B:$B,$B476,根据产能每天需要鲜销部分!$G:$G,$C476)</f>
        <v>6501.3356519070003</v>
      </c>
      <c r="G476">
        <f>_xlfn.XLOOKUP($C476,价格系数辅助表!$C:$C,价格系数辅助表!$E:$E)</f>
        <v>0.81317166851852996</v>
      </c>
      <c r="H476">
        <f t="shared" si="15"/>
        <v>7.1877574974848697</v>
      </c>
      <c r="I476" t="str">
        <f>_xlfn.XLOOKUP(B476,'3.屠宰能力表'!B:B,'3.屠宰能力表'!D:D)</f>
        <v>安徽</v>
      </c>
      <c r="J476">
        <f>_xlfn.XLOOKUP(A476,'1.出栏表'!A:A,'1.出栏表'!F:F)</f>
        <v>8.8391637039935507</v>
      </c>
    </row>
    <row r="477" spans="1:10" ht="15" x14ac:dyDescent="0.3">
      <c r="A477" t="str">
        <f t="shared" si="14"/>
        <v>安徽46136</v>
      </c>
      <c r="B477" t="s">
        <v>172</v>
      </c>
      <c r="C477" t="s">
        <v>46</v>
      </c>
      <c r="D477" s="45">
        <v>46136</v>
      </c>
      <c r="F477" s="8">
        <f>SUMIFS(根据产能每天需要鲜销部分!$K:$K,根据产能每天需要鲜销部分!$B:$B,$B477,根据产能每天需要鲜销部分!$G:$G,$C477)</f>
        <v>48.843198020480401</v>
      </c>
      <c r="G477">
        <f>_xlfn.XLOOKUP($C477,价格系数辅助表!$C:$C,价格系数辅助表!$E:$E)</f>
        <v>4.0225512045395799</v>
      </c>
      <c r="H477">
        <f t="shared" si="15"/>
        <v>35.555988604621803</v>
      </c>
      <c r="I477" t="str">
        <f>_xlfn.XLOOKUP(B477,'3.屠宰能力表'!B:B,'3.屠宰能力表'!D:D)</f>
        <v>安徽</v>
      </c>
      <c r="J477">
        <f>_xlfn.XLOOKUP(A477,'1.出栏表'!A:A,'1.出栏表'!F:F)</f>
        <v>8.8391637039935507</v>
      </c>
    </row>
    <row r="478" spans="1:10" ht="15" x14ac:dyDescent="0.3">
      <c r="A478" t="str">
        <f t="shared" si="14"/>
        <v>安徽46136</v>
      </c>
      <c r="B478" t="s">
        <v>172</v>
      </c>
      <c r="C478" t="s">
        <v>47</v>
      </c>
      <c r="D478" s="45">
        <v>46136</v>
      </c>
      <c r="F478" s="8">
        <f>SUMIFS(根据产能每天需要鲜销部分!$K:$K,根据产能每天需要鲜销部分!$B:$B,$B478,根据产能每天需要鲜销部分!$G:$G,$C478)</f>
        <v>459.48597773040302</v>
      </c>
      <c r="G478">
        <f>_xlfn.XLOOKUP($C478,价格系数辅助表!$C:$C,价格系数辅助表!$E:$E)</f>
        <v>0.84535964262204399</v>
      </c>
      <c r="H478">
        <f t="shared" si="15"/>
        <v>7.47227226988573</v>
      </c>
      <c r="I478" t="str">
        <f>_xlfn.XLOOKUP(B478,'3.屠宰能力表'!B:B,'3.屠宰能力表'!D:D)</f>
        <v>安徽</v>
      </c>
      <c r="J478">
        <f>_xlfn.XLOOKUP(A478,'1.出栏表'!A:A,'1.出栏表'!F:F)</f>
        <v>8.8391637039935507</v>
      </c>
    </row>
    <row r="479" spans="1:10" ht="15" x14ac:dyDescent="0.3">
      <c r="A479" t="str">
        <f t="shared" si="14"/>
        <v>安徽46136</v>
      </c>
      <c r="B479" t="s">
        <v>172</v>
      </c>
      <c r="C479" t="s">
        <v>48</v>
      </c>
      <c r="D479" s="45">
        <v>46136</v>
      </c>
      <c r="F479" s="8">
        <f>SUMIFS(根据产能每天需要鲜销部分!$K:$K,根据产能每天需要鲜销部分!$B:$B,$B479,根据产能每天需要鲜销部分!$G:$G,$C479)</f>
        <v>2373.41950745745</v>
      </c>
      <c r="G479">
        <f>_xlfn.XLOOKUP($C479,价格系数辅助表!$C:$C,价格系数辅助表!$E:$E)</f>
        <v>0.37320475421536098</v>
      </c>
      <c r="H479">
        <f t="shared" si="15"/>
        <v>3.2988179176182499</v>
      </c>
      <c r="I479" t="str">
        <f>_xlfn.XLOOKUP(B479,'3.屠宰能力表'!B:B,'3.屠宰能力表'!D:D)</f>
        <v>安徽</v>
      </c>
      <c r="J479">
        <f>_xlfn.XLOOKUP(A479,'1.出栏表'!A:A,'1.出栏表'!F:F)</f>
        <v>8.8391637039935507</v>
      </c>
    </row>
    <row r="480" spans="1:10" ht="15" x14ac:dyDescent="0.3">
      <c r="A480" t="str">
        <f t="shared" si="14"/>
        <v>安徽46136</v>
      </c>
      <c r="B480" t="s">
        <v>172</v>
      </c>
      <c r="C480" t="s">
        <v>49</v>
      </c>
      <c r="D480" s="45">
        <v>46136</v>
      </c>
      <c r="F480" s="8">
        <f>SUMIFS(根据产能每天需要鲜销部分!$K:$K,根据产能每天需要鲜销部分!$B:$B,$B480,根据产能每天需要鲜销部分!$G:$G,$C480)</f>
        <v>464.010381194562</v>
      </c>
      <c r="G480">
        <f>_xlfn.XLOOKUP($C480,价格系数辅助表!$C:$C,价格系数辅助表!$E:$E)</f>
        <v>1.1550192014842</v>
      </c>
      <c r="H480">
        <f t="shared" si="15"/>
        <v>10.2094038031747</v>
      </c>
      <c r="I480" t="str">
        <f>_xlfn.XLOOKUP(B480,'3.屠宰能力表'!B:B,'3.屠宰能力表'!D:D)</f>
        <v>安徽</v>
      </c>
      <c r="J480">
        <f>_xlfn.XLOOKUP(A480,'1.出栏表'!A:A,'1.出栏表'!F:F)</f>
        <v>8.8391637039935507</v>
      </c>
    </row>
    <row r="481" spans="1:10" ht="15" x14ac:dyDescent="0.3">
      <c r="A481" t="str">
        <f t="shared" si="14"/>
        <v>安徽46136</v>
      </c>
      <c r="B481" t="s">
        <v>172</v>
      </c>
      <c r="C481" t="s">
        <v>50</v>
      </c>
      <c r="D481" s="45">
        <v>46136</v>
      </c>
      <c r="F481" s="8">
        <f>SUMIFS(根据产能每天需要鲜销部分!$K:$K,根据产能每天需要鲜销部分!$B:$B,$B481,根据产能每天需要鲜销部分!$G:$G,$C481)</f>
        <v>1623.71983267578</v>
      </c>
      <c r="G481">
        <f>_xlfn.XLOOKUP($C481,价格系数辅助表!$C:$C,价格系数辅助表!$E:$E)</f>
        <v>1.90800135982928</v>
      </c>
      <c r="H481">
        <f t="shared" si="15"/>
        <v>16.865136366973299</v>
      </c>
      <c r="I481" t="str">
        <f>_xlfn.XLOOKUP(B481,'3.屠宰能力表'!B:B,'3.屠宰能力表'!D:D)</f>
        <v>安徽</v>
      </c>
      <c r="J481">
        <f>_xlfn.XLOOKUP(A481,'1.出栏表'!A:A,'1.出栏表'!F:F)</f>
        <v>8.8391637039935507</v>
      </c>
    </row>
    <row r="482" spans="1:10" ht="15" x14ac:dyDescent="0.3">
      <c r="A482" t="str">
        <f t="shared" si="14"/>
        <v>安徽46136</v>
      </c>
      <c r="B482" t="s">
        <v>172</v>
      </c>
      <c r="C482" t="s">
        <v>51</v>
      </c>
      <c r="D482" s="45">
        <v>46136</v>
      </c>
      <c r="F482" s="8">
        <f>SUMIFS(根据产能每天需要鲜销部分!$K:$K,根据产能每天需要鲜销部分!$B:$B,$B482,根据产能每天需要鲜销部分!$G:$G,$C482)</f>
        <v>744.858769812324</v>
      </c>
      <c r="G482">
        <f>_xlfn.XLOOKUP($C482,价格系数辅助表!$C:$C,价格系数辅助表!$E:$E)</f>
        <v>2.76783242873949</v>
      </c>
      <c r="H482">
        <f t="shared" si="15"/>
        <v>24.4653239428504</v>
      </c>
      <c r="I482" t="str">
        <f>_xlfn.XLOOKUP(B482,'3.屠宰能力表'!B:B,'3.屠宰能力表'!D:D)</f>
        <v>安徽</v>
      </c>
      <c r="J482">
        <f>_xlfn.XLOOKUP(A482,'1.出栏表'!A:A,'1.出栏表'!F:F)</f>
        <v>8.8391637039935507</v>
      </c>
    </row>
    <row r="483" spans="1:10" ht="15" x14ac:dyDescent="0.3">
      <c r="A483" t="str">
        <f t="shared" si="14"/>
        <v>安徽46136</v>
      </c>
      <c r="B483" t="s">
        <v>172</v>
      </c>
      <c r="C483" t="s">
        <v>52</v>
      </c>
      <c r="D483" s="45">
        <v>46136</v>
      </c>
      <c r="F483" s="8">
        <f>SUMIFS(根据产能每天需要鲜销部分!$K:$K,根据产能每天需要鲜销部分!$B:$B,$B483,根据产能每天需要鲜销部分!$G:$G,$C483)</f>
        <v>622.75077476112301</v>
      </c>
      <c r="G483">
        <f>_xlfn.XLOOKUP($C483,价格系数辅助表!$C:$C,价格系数辅助表!$E:$E)</f>
        <v>1.61708641969264</v>
      </c>
      <c r="H483">
        <f t="shared" si="15"/>
        <v>14.2936915871681</v>
      </c>
      <c r="I483" t="str">
        <f>_xlfn.XLOOKUP(B483,'3.屠宰能力表'!B:B,'3.屠宰能力表'!D:D)</f>
        <v>安徽</v>
      </c>
      <c r="J483">
        <f>_xlfn.XLOOKUP(A483,'1.出栏表'!A:A,'1.出栏表'!F:F)</f>
        <v>8.8391637039935507</v>
      </c>
    </row>
    <row r="484" spans="1:10" ht="15" x14ac:dyDescent="0.3">
      <c r="A484" t="str">
        <f t="shared" si="14"/>
        <v>安徽46136</v>
      </c>
      <c r="B484" t="s">
        <v>172</v>
      </c>
      <c r="C484" t="s">
        <v>53</v>
      </c>
      <c r="D484" s="45">
        <v>46136</v>
      </c>
      <c r="F484" s="8">
        <f>SUMIFS(根据产能每天需要鲜销部分!$K:$K,根据产能每天需要鲜销部分!$B:$B,$B484,根据产能每天需要鲜销部分!$G:$G,$C484)</f>
        <v>549.48597773040296</v>
      </c>
      <c r="G484">
        <f>_xlfn.XLOOKUP($C484,价格系数辅助表!$C:$C,价格系数辅助表!$E:$E)</f>
        <v>1.4850675377364999</v>
      </c>
      <c r="H484">
        <f t="shared" si="15"/>
        <v>13.126755077539499</v>
      </c>
      <c r="I484" t="str">
        <f>_xlfn.XLOOKUP(B484,'3.屠宰能力表'!B:B,'3.屠宰能力表'!D:D)</f>
        <v>安徽</v>
      </c>
      <c r="J484">
        <f>_xlfn.XLOOKUP(A484,'1.出栏表'!A:A,'1.出栏表'!F:F)</f>
        <v>8.8391637039935507</v>
      </c>
    </row>
    <row r="485" spans="1:10" ht="15" x14ac:dyDescent="0.3">
      <c r="A485" t="str">
        <f t="shared" si="14"/>
        <v>安徽46136</v>
      </c>
      <c r="B485" t="s">
        <v>172</v>
      </c>
      <c r="C485" t="s">
        <v>54</v>
      </c>
      <c r="D485" s="45">
        <v>46136</v>
      </c>
      <c r="F485" s="8">
        <f>SUMIFS(根据产能每天需要鲜销部分!$K:$K,根据产能每天需要鲜销部分!$B:$B,$B485,根据产能每天需要鲜销部分!$G:$G,$C485)</f>
        <v>402.95638366896299</v>
      </c>
      <c r="G485">
        <f>_xlfn.XLOOKUP($C485,价格系数辅助表!$C:$C,价格系数辅助表!$E:$E)</f>
        <v>1.8971615295629001</v>
      </c>
      <c r="H485">
        <f t="shared" si="15"/>
        <v>16.769321332725301</v>
      </c>
      <c r="I485" t="str">
        <f>_xlfn.XLOOKUP(B485,'3.屠宰能力表'!B:B,'3.屠宰能力表'!D:D)</f>
        <v>安徽</v>
      </c>
      <c r="J485">
        <f>_xlfn.XLOOKUP(A485,'1.出栏表'!A:A,'1.出栏表'!F:F)</f>
        <v>8.8391637039935507</v>
      </c>
    </row>
    <row r="486" spans="1:10" ht="15" x14ac:dyDescent="0.3">
      <c r="A486" t="str">
        <f t="shared" si="14"/>
        <v>安徽46136</v>
      </c>
      <c r="B486" t="s">
        <v>172</v>
      </c>
      <c r="C486" t="s">
        <v>55</v>
      </c>
      <c r="D486" s="45">
        <v>46136</v>
      </c>
      <c r="F486" s="8">
        <f>SUMIFS(根据产能每天需要鲜销部分!$K:$K,根据产能每天需要鲜销部分!$B:$B,$B486,根据产能每天需要鲜销部分!$G:$G,$C486)</f>
        <v>43.523641800428102</v>
      </c>
      <c r="G486">
        <f>_xlfn.XLOOKUP($C486,价格系数辅助表!$C:$C,价格系数辅助表!$E:$E)</f>
        <v>3.2997148664303801</v>
      </c>
      <c r="H486">
        <f t="shared" si="15"/>
        <v>29.166719880879299</v>
      </c>
      <c r="I486" t="str">
        <f>_xlfn.XLOOKUP(B486,'3.屠宰能力表'!B:B,'3.屠宰能力表'!D:D)</f>
        <v>安徽</v>
      </c>
      <c r="J486">
        <f>_xlfn.XLOOKUP(A486,'1.出栏表'!A:A,'1.出栏表'!F:F)</f>
        <v>8.8391637039935507</v>
      </c>
    </row>
    <row r="487" spans="1:10" ht="15" x14ac:dyDescent="0.3">
      <c r="A487" t="str">
        <f t="shared" si="14"/>
        <v>安徽46136</v>
      </c>
      <c r="B487" t="s">
        <v>172</v>
      </c>
      <c r="C487" t="s">
        <v>57</v>
      </c>
      <c r="D487" s="45">
        <v>46136</v>
      </c>
      <c r="F487" s="8">
        <f>SUMIFS(根据产能每天需要鲜销部分!$K:$K,根据产能每天需要鲜销部分!$B:$B,$B487,根据产能每天需要鲜销部分!$G:$G,$C487)</f>
        <v>1536.8899133960099</v>
      </c>
      <c r="G487">
        <f>_xlfn.XLOOKUP($C487,价格系数辅助表!$C:$C,价格系数辅助表!$E:$E)</f>
        <v>0.130070801908548</v>
      </c>
      <c r="H487">
        <f t="shared" si="15"/>
        <v>1.14971711117937</v>
      </c>
      <c r="I487" t="str">
        <f>_xlfn.XLOOKUP(B487,'3.屠宰能力表'!B:B,'3.屠宰能力表'!D:D)</f>
        <v>安徽</v>
      </c>
      <c r="J487">
        <f>_xlfn.XLOOKUP(A487,'1.出栏表'!A:A,'1.出栏表'!F:F)</f>
        <v>8.8391637039935507</v>
      </c>
    </row>
    <row r="488" spans="1:10" ht="15" x14ac:dyDescent="0.3">
      <c r="A488" t="str">
        <f t="shared" si="14"/>
        <v>安徽46136</v>
      </c>
      <c r="B488" t="s">
        <v>172</v>
      </c>
      <c r="C488" t="s">
        <v>58</v>
      </c>
      <c r="D488" s="45">
        <v>46136</v>
      </c>
      <c r="F488" s="8">
        <f>SUMIFS(根据产能每天需要鲜销部分!$K:$K,根据产能每天需要鲜销部分!$B:$B,$B488,根据产能每天需要鲜销部分!$G:$G,$C488)</f>
        <v>2190.0821025148898</v>
      </c>
      <c r="G488">
        <f>_xlfn.XLOOKUP($C488,价格系数辅助表!$C:$C,价格系数辅助表!$E:$E)</f>
        <v>0.69784384029908697</v>
      </c>
      <c r="H488">
        <f t="shared" si="15"/>
        <v>6.1683559442271703</v>
      </c>
      <c r="I488" t="str">
        <f>_xlfn.XLOOKUP(B488,'3.屠宰能力表'!B:B,'3.屠宰能力表'!D:D)</f>
        <v>安徽</v>
      </c>
      <c r="J488">
        <f>_xlfn.XLOOKUP(A488,'1.出栏表'!A:A,'1.出栏表'!F:F)</f>
        <v>8.8391637039935507</v>
      </c>
    </row>
    <row r="489" spans="1:10" ht="15" x14ac:dyDescent="0.3">
      <c r="A489" t="str">
        <f t="shared" si="14"/>
        <v>安徽46136</v>
      </c>
      <c r="B489" t="s">
        <v>172</v>
      </c>
      <c r="C489" t="s">
        <v>59</v>
      </c>
      <c r="D489" s="45">
        <v>46136</v>
      </c>
      <c r="F489" s="8">
        <f>SUMIFS(根据产能每天需要鲜销部分!$K:$K,根据产能每天需要鲜销部分!$B:$B,$B489,根据产能每天需要鲜销部分!$G:$G,$C489)</f>
        <v>2207.8191834481199</v>
      </c>
      <c r="G489">
        <f>_xlfn.XLOOKUP($C489,价格系数辅助表!$C:$C,价格系数辅助表!$E:$E)</f>
        <v>0.456447335288171</v>
      </c>
      <c r="H489">
        <f t="shared" si="15"/>
        <v>4.0346127188637704</v>
      </c>
      <c r="I489" t="str">
        <f>_xlfn.XLOOKUP(B489,'3.屠宰能力表'!B:B,'3.屠宰能力表'!D:D)</f>
        <v>安徽</v>
      </c>
      <c r="J489">
        <f>_xlfn.XLOOKUP(A489,'1.出栏表'!A:A,'1.出栏表'!F:F)</f>
        <v>8.8391637039935507</v>
      </c>
    </row>
    <row r="490" spans="1:10" ht="15" x14ac:dyDescent="0.3">
      <c r="A490" t="str">
        <f t="shared" si="14"/>
        <v>安徽46136</v>
      </c>
      <c r="B490" t="s">
        <v>172</v>
      </c>
      <c r="C490" t="s">
        <v>60</v>
      </c>
      <c r="D490" s="45">
        <v>46136</v>
      </c>
      <c r="F490" s="8">
        <f>SUMIFS(根据产能每天需要鲜销部分!$K:$K,根据产能每天需要鲜销部分!$B:$B,$B490,根据产能每天需要鲜销部分!$G:$G,$C490)</f>
        <v>1024.03633418097</v>
      </c>
      <c r="G490">
        <f>_xlfn.XLOOKUP($C490,价格系数辅助表!$C:$C,价格系数辅助表!$E:$E)</f>
        <v>0.30253913346115902</v>
      </c>
      <c r="H490">
        <f t="shared" si="15"/>
        <v>2.6741929275275398</v>
      </c>
      <c r="I490" t="str">
        <f>_xlfn.XLOOKUP(B490,'3.屠宰能力表'!B:B,'3.屠宰能力表'!D:D)</f>
        <v>安徽</v>
      </c>
      <c r="J490">
        <f>_xlfn.XLOOKUP(A490,'1.出栏表'!A:A,'1.出栏表'!F:F)</f>
        <v>8.8391637039935507</v>
      </c>
    </row>
    <row r="491" spans="1:10" ht="15" x14ac:dyDescent="0.3">
      <c r="A491" t="str">
        <f t="shared" si="14"/>
        <v>安徽46136</v>
      </c>
      <c r="B491" t="s">
        <v>172</v>
      </c>
      <c r="C491" t="s">
        <v>61</v>
      </c>
      <c r="D491" s="45">
        <v>46136</v>
      </c>
      <c r="F491" s="8">
        <f>SUMIFS(根据产能每天需要鲜销部分!$K:$K,根据产能每天需要鲜销部分!$B:$B,$B491,根据产能每天需要鲜销部分!$G:$G,$C491)</f>
        <v>1172.2367524915301</v>
      </c>
      <c r="G491">
        <f>_xlfn.XLOOKUP($C491,价格系数辅助表!$C:$C,价格系数辅助表!$E:$E)</f>
        <v>5.2234050059701297E-2</v>
      </c>
      <c r="H491">
        <f t="shared" si="15"/>
        <v>0.46170531940029402</v>
      </c>
      <c r="I491" t="str">
        <f>_xlfn.XLOOKUP(B491,'3.屠宰能力表'!B:B,'3.屠宰能力表'!D:D)</f>
        <v>安徽</v>
      </c>
      <c r="J491">
        <f>_xlfn.XLOOKUP(A491,'1.出栏表'!A:A,'1.出栏表'!F:F)</f>
        <v>8.8391637039935507</v>
      </c>
    </row>
    <row r="492" spans="1:10" ht="15" x14ac:dyDescent="0.3">
      <c r="A492" t="str">
        <f t="shared" si="14"/>
        <v>安徽46136</v>
      </c>
      <c r="B492" t="s">
        <v>172</v>
      </c>
      <c r="C492" t="s">
        <v>62</v>
      </c>
      <c r="D492" s="45">
        <v>46136</v>
      </c>
      <c r="F492" s="8">
        <f>SUMIFS(根据产能每天需要鲜销部分!$K:$K,根据产能每天需要鲜销部分!$B:$B,$B492,根据产能每天需要鲜销部分!$G:$G,$C492)</f>
        <v>1098.97195546081</v>
      </c>
      <c r="G492">
        <f>_xlfn.XLOOKUP($C492,价格系数辅助表!$C:$C,价格系数辅助表!$E:$E)</f>
        <v>0.27335161219757498</v>
      </c>
      <c r="H492">
        <f t="shared" si="15"/>
        <v>2.41619964896493</v>
      </c>
      <c r="I492" t="str">
        <f>_xlfn.XLOOKUP(B492,'3.屠宰能力表'!B:B,'3.屠宰能力表'!D:D)</f>
        <v>安徽</v>
      </c>
      <c r="J492">
        <f>_xlfn.XLOOKUP(A492,'1.出栏表'!A:A,'1.出栏表'!F:F)</f>
        <v>8.8391637039935507</v>
      </c>
    </row>
    <row r="493" spans="1:10" ht="15" x14ac:dyDescent="0.3">
      <c r="A493" t="str">
        <f t="shared" si="14"/>
        <v>安徽46136</v>
      </c>
      <c r="B493" t="s">
        <v>172</v>
      </c>
      <c r="C493" t="s">
        <v>63</v>
      </c>
      <c r="D493" s="45">
        <v>46136</v>
      </c>
      <c r="F493" s="8">
        <f>SUMIFS(根据产能每天需要鲜销部分!$K:$K,根据产能每天需要鲜销部分!$B:$B,$B493,根据产能每天需要鲜销部分!$G:$G,$C493)</f>
        <v>922.75077476112301</v>
      </c>
      <c r="G493">
        <f>_xlfn.XLOOKUP($C493,价格系数辅助表!$C:$C,价格系数辅助表!$E:$E)</f>
        <v>0.25083638292710098</v>
      </c>
      <c r="H493">
        <f t="shared" si="15"/>
        <v>2.21718385161026</v>
      </c>
      <c r="I493" t="str">
        <f>_xlfn.XLOOKUP(B493,'3.屠宰能力表'!B:B,'3.屠宰能力表'!D:D)</f>
        <v>安徽</v>
      </c>
      <c r="J493">
        <f>_xlfn.XLOOKUP(A493,'1.出栏表'!A:A,'1.出栏表'!F:F)</f>
        <v>8.8391637039935507</v>
      </c>
    </row>
    <row r="494" spans="1:10" ht="15" x14ac:dyDescent="0.3">
      <c r="A494" t="str">
        <f t="shared" si="14"/>
        <v>安徽46136</v>
      </c>
      <c r="B494" t="s">
        <v>172</v>
      </c>
      <c r="C494" t="s">
        <v>64</v>
      </c>
      <c r="D494" s="45">
        <v>46136</v>
      </c>
      <c r="F494" s="8">
        <f>SUMIFS(根据产能每天需要鲜销部分!$K:$K,根据产能每天需要鲜销部分!$B:$B,$B494,根据产能每天需要鲜销部分!$G:$G,$C494)</f>
        <v>159.586686601569</v>
      </c>
      <c r="G494">
        <f>_xlfn.XLOOKUP($C494,价格系数辅助表!$C:$C,价格系数辅助表!$E:$E)</f>
        <v>0.87755384758256405</v>
      </c>
      <c r="H494">
        <f t="shared" si="15"/>
        <v>7.75684211785169</v>
      </c>
      <c r="I494" t="str">
        <f>_xlfn.XLOOKUP(B494,'3.屠宰能力表'!B:B,'3.屠宰能力表'!D:D)</f>
        <v>安徽</v>
      </c>
      <c r="J494">
        <f>_xlfn.XLOOKUP(A494,'1.出栏表'!A:A,'1.出栏表'!F:F)</f>
        <v>8.8391637039935507</v>
      </c>
    </row>
    <row r="495" spans="1:10" ht="15" x14ac:dyDescent="0.3">
      <c r="A495" t="str">
        <f t="shared" si="14"/>
        <v>安徽46136</v>
      </c>
      <c r="B495" t="s">
        <v>172</v>
      </c>
      <c r="C495" t="s">
        <v>65</v>
      </c>
      <c r="D495" s="45">
        <v>46136</v>
      </c>
      <c r="F495" s="8">
        <f>SUMIFS(根据产能每天需要鲜销部分!$K:$K,根据产能每天需要鲜销部分!$B:$B,$B495,根据产能每天需要鲜销部分!$G:$G,$C495)</f>
        <v>72.539403000713406</v>
      </c>
      <c r="G495">
        <f>_xlfn.XLOOKUP($C495,价格系数辅助表!$C:$C,价格系数辅助表!$E:$E)</f>
        <v>1.02785250036373</v>
      </c>
      <c r="H495">
        <f t="shared" si="15"/>
        <v>9.0853565142741495</v>
      </c>
      <c r="I495" t="str">
        <f>_xlfn.XLOOKUP(B495,'3.屠宰能力表'!B:B,'3.屠宰能力表'!D:D)</f>
        <v>安徽</v>
      </c>
      <c r="J495">
        <f>_xlfn.XLOOKUP(A495,'1.出栏表'!A:A,'1.出栏表'!F:F)</f>
        <v>8.8391637039935507</v>
      </c>
    </row>
    <row r="496" spans="1:10" ht="15" x14ac:dyDescent="0.3">
      <c r="A496" t="str">
        <f t="shared" si="14"/>
        <v>安徽46136</v>
      </c>
      <c r="B496" t="s">
        <v>172</v>
      </c>
      <c r="C496" t="s">
        <v>66</v>
      </c>
      <c r="D496" s="45">
        <v>46136</v>
      </c>
      <c r="F496" s="8">
        <f>SUMIFS(根据产能每天需要鲜销部分!$K:$K,根据产能每天需要鲜销部分!$B:$B,$B496,根据产能每天需要鲜销部分!$G:$G,$C496)</f>
        <v>256.42678960752198</v>
      </c>
      <c r="G496">
        <f>_xlfn.XLOOKUP($C496,价格系数辅助表!$C:$C,价格系数辅助表!$E:$E)</f>
        <v>0.29390609194172401</v>
      </c>
      <c r="H496">
        <f t="shared" si="15"/>
        <v>2.5978840602738802</v>
      </c>
      <c r="I496" t="str">
        <f>_xlfn.XLOOKUP(B496,'3.屠宰能力表'!B:B,'3.屠宰能力表'!D:D)</f>
        <v>安徽</v>
      </c>
      <c r="J496">
        <f>_xlfn.XLOOKUP(A496,'1.出栏表'!A:A,'1.出栏表'!F:F)</f>
        <v>8.8391637039935507</v>
      </c>
    </row>
    <row r="497" spans="1:10" ht="15" x14ac:dyDescent="0.3">
      <c r="A497" t="str">
        <f t="shared" si="14"/>
        <v>安徽46136</v>
      </c>
      <c r="B497" t="s">
        <v>172</v>
      </c>
      <c r="C497" t="s">
        <v>67</v>
      </c>
      <c r="D497" s="45">
        <v>46136</v>
      </c>
      <c r="F497" s="8">
        <f>SUMIFS(根据产能每天需要鲜销部分!$K:$K,根据产能每天需要鲜销部分!$B:$B,$B497,根据产能每天需要鲜销部分!$G:$G,$C497)</f>
        <v>3000</v>
      </c>
      <c r="G497">
        <f>_xlfn.XLOOKUP($C497,价格系数辅助表!$C:$C,价格系数辅助表!$E:$E)</f>
        <v>8.7444985304843598E-2</v>
      </c>
      <c r="H497">
        <f t="shared" si="15"/>
        <v>0.77294054020282299</v>
      </c>
      <c r="I497" t="str">
        <f>_xlfn.XLOOKUP(B497,'3.屠宰能力表'!B:B,'3.屠宰能力表'!D:D)</f>
        <v>安徽</v>
      </c>
      <c r="J497">
        <f>_xlfn.XLOOKUP(A497,'1.出栏表'!A:A,'1.出栏表'!F:F)</f>
        <v>8.8391637039935507</v>
      </c>
    </row>
    <row r="498" spans="1:10" ht="15" x14ac:dyDescent="0.3">
      <c r="A498" t="str">
        <f t="shared" si="14"/>
        <v>云南46136</v>
      </c>
      <c r="B498" t="s">
        <v>174</v>
      </c>
      <c r="C498" t="s">
        <v>41</v>
      </c>
      <c r="D498" s="45">
        <v>46136</v>
      </c>
      <c r="F498" s="8">
        <f>SUMIFS(根据产能每天需要鲜销部分!$K:$K,根据产能每天需要鲜销部分!$B:$B,$B498,根据产能每天需要鲜销部分!$G:$G,$C498)</f>
        <v>54912</v>
      </c>
      <c r="G498">
        <f>_xlfn.XLOOKUP($C498,价格系数辅助表!$C:$C,价格系数辅助表!$E:$E)</f>
        <v>1.1852119074341301</v>
      </c>
      <c r="H498">
        <f t="shared" si="15"/>
        <v>10.780057688378101</v>
      </c>
      <c r="I498" t="str">
        <f>_xlfn.XLOOKUP(B498,'3.屠宰能力表'!B:B,'3.屠宰能力表'!D:D)</f>
        <v>云南</v>
      </c>
      <c r="J498">
        <f>_xlfn.XLOOKUP(A498,'1.出栏表'!A:A,'1.出栏表'!F:F)</f>
        <v>9.0954685999703297</v>
      </c>
    </row>
    <row r="499" spans="1:10" ht="15" x14ac:dyDescent="0.3">
      <c r="A499" t="str">
        <f t="shared" si="14"/>
        <v>云南46136</v>
      </c>
      <c r="B499" t="s">
        <v>174</v>
      </c>
      <c r="C499" t="s">
        <v>44</v>
      </c>
      <c r="D499" s="45">
        <v>46136</v>
      </c>
      <c r="F499" s="8">
        <f>SUMIFS(根据产能每天需要鲜销部分!$K:$K,根据产能每天需要鲜销部分!$B:$B,$B499,根据产能每天需要鲜销部分!$G:$G,$C499)</f>
        <v>4680.9616693730404</v>
      </c>
      <c r="G499">
        <f>_xlfn.XLOOKUP($C499,价格系数辅助表!$C:$C,价格系数辅助表!$E:$E)</f>
        <v>0.81317166851852996</v>
      </c>
      <c r="H499">
        <f t="shared" si="15"/>
        <v>7.3961773773957704</v>
      </c>
      <c r="I499" t="str">
        <f>_xlfn.XLOOKUP(B499,'3.屠宰能力表'!B:B,'3.屠宰能力表'!D:D)</f>
        <v>云南</v>
      </c>
      <c r="J499">
        <f>_xlfn.XLOOKUP(A499,'1.出栏表'!A:A,'1.出栏表'!F:F)</f>
        <v>9.0954685999703297</v>
      </c>
    </row>
    <row r="500" spans="1:10" ht="15" x14ac:dyDescent="0.3">
      <c r="A500" t="str">
        <f t="shared" si="14"/>
        <v>云南46136</v>
      </c>
      <c r="B500" t="s">
        <v>174</v>
      </c>
      <c r="C500" t="s">
        <v>46</v>
      </c>
      <c r="D500" s="45">
        <v>46136</v>
      </c>
      <c r="F500" s="8">
        <f>SUMIFS(根据产能每天需要鲜销部分!$K:$K,根据产能每天需要鲜销部分!$B:$B,$B500,根据产能每天需要鲜销部分!$G:$G,$C500)</f>
        <v>35.167102574745897</v>
      </c>
      <c r="G500">
        <f>_xlfn.XLOOKUP($C500,价格系数辅助表!$C:$C,价格系数辅助表!$E:$E)</f>
        <v>4.0225512045395799</v>
      </c>
      <c r="H500">
        <f t="shared" si="15"/>
        <v>36.586988172662601</v>
      </c>
      <c r="I500" t="str">
        <f>_xlfn.XLOOKUP(B500,'3.屠宰能力表'!B:B,'3.屠宰能力表'!D:D)</f>
        <v>云南</v>
      </c>
      <c r="J500">
        <f>_xlfn.XLOOKUP(A500,'1.出栏表'!A:A,'1.出栏表'!F:F)</f>
        <v>9.0954685999703297</v>
      </c>
    </row>
    <row r="501" spans="1:10" ht="15" x14ac:dyDescent="0.3">
      <c r="A501" t="str">
        <f t="shared" si="14"/>
        <v>云南46136</v>
      </c>
      <c r="B501" t="s">
        <v>174</v>
      </c>
      <c r="C501" t="s">
        <v>47</v>
      </c>
      <c r="D501" s="45">
        <v>46136</v>
      </c>
      <c r="F501" s="8">
        <f>SUMIFS(根据产能每天需要鲜销部分!$K:$K,根据产能每天需要鲜销部分!$B:$B,$B501,根据产能每天需要鲜销部分!$G:$G,$C501)</f>
        <v>330.82990396589003</v>
      </c>
      <c r="G501">
        <f>_xlfn.XLOOKUP($C501,价格系数辅助表!$C:$C,价格系数辅助表!$E:$E)</f>
        <v>0.84535964262204399</v>
      </c>
      <c r="H501">
        <f t="shared" si="15"/>
        <v>7.6889420851509396</v>
      </c>
      <c r="I501" t="str">
        <f>_xlfn.XLOOKUP(B501,'3.屠宰能力表'!B:B,'3.屠宰能力表'!D:D)</f>
        <v>云南</v>
      </c>
      <c r="J501">
        <f>_xlfn.XLOOKUP(A501,'1.出栏表'!A:A,'1.出栏表'!F:F)</f>
        <v>9.0954685999703297</v>
      </c>
    </row>
    <row r="502" spans="1:10" ht="15" x14ac:dyDescent="0.3">
      <c r="A502" t="str">
        <f t="shared" si="14"/>
        <v>云南46136</v>
      </c>
      <c r="B502" t="s">
        <v>174</v>
      </c>
      <c r="C502" t="s">
        <v>48</v>
      </c>
      <c r="D502" s="45">
        <v>46136</v>
      </c>
      <c r="F502" s="8">
        <f>SUMIFS(根据产能每天需要鲜销部分!$K:$K,根据产能每天需要鲜销部分!$B:$B,$B502,根据产能每天需要鲜销部分!$G:$G,$C502)</f>
        <v>1708.86204536936</v>
      </c>
      <c r="G502">
        <f>_xlfn.XLOOKUP($C502,价格系数辅助表!$C:$C,价格系数辅助表!$E:$E)</f>
        <v>0.37320475421536098</v>
      </c>
      <c r="H502">
        <f t="shared" si="15"/>
        <v>3.39447212332546</v>
      </c>
      <c r="I502" t="str">
        <f>_xlfn.XLOOKUP(B502,'3.屠宰能力表'!B:B,'3.屠宰能力表'!D:D)</f>
        <v>云南</v>
      </c>
      <c r="J502">
        <f>_xlfn.XLOOKUP(A502,'1.出栏表'!A:A,'1.出栏表'!F:F)</f>
        <v>9.0954685999703297</v>
      </c>
    </row>
    <row r="503" spans="1:10" ht="15" x14ac:dyDescent="0.3">
      <c r="A503" t="str">
        <f t="shared" si="14"/>
        <v>云南46136</v>
      </c>
      <c r="B503" t="s">
        <v>174</v>
      </c>
      <c r="C503" t="s">
        <v>49</v>
      </c>
      <c r="D503" s="45">
        <v>46136</v>
      </c>
      <c r="F503" s="8">
        <f>SUMIFS(根据产能每天需要鲜销部分!$K:$K,根据产能每天需要鲜销部分!$B:$B,$B503,根据产能每天需要鲜销部分!$G:$G,$C503)</f>
        <v>334.08747446008499</v>
      </c>
      <c r="G503">
        <f>_xlfn.XLOOKUP($C503,价格系数辅助表!$C:$C,价格系数辅助表!$E:$E)</f>
        <v>1.1550192014842</v>
      </c>
      <c r="H503">
        <f t="shared" si="15"/>
        <v>10.5054408794623</v>
      </c>
      <c r="I503" t="str">
        <f>_xlfn.XLOOKUP(B503,'3.屠宰能力表'!B:B,'3.屠宰能力表'!D:D)</f>
        <v>云南</v>
      </c>
      <c r="J503">
        <f>_xlfn.XLOOKUP(A503,'1.出栏表'!A:A,'1.出栏表'!F:F)</f>
        <v>9.0954685999703297</v>
      </c>
    </row>
    <row r="504" spans="1:10" ht="15" x14ac:dyDescent="0.3">
      <c r="A504" t="str">
        <f t="shared" si="14"/>
        <v>云南46136</v>
      </c>
      <c r="B504" t="s">
        <v>174</v>
      </c>
      <c r="C504" t="s">
        <v>50</v>
      </c>
      <c r="D504" s="45">
        <v>46136</v>
      </c>
      <c r="F504" s="8">
        <f>SUMIFS(根据产能每天需要鲜销部分!$K:$K,根据产能每天需要鲜销部分!$B:$B,$B504,根据产能每天需要鲜销部分!$G:$G,$C504)</f>
        <v>1169.07827952656</v>
      </c>
      <c r="G504">
        <f>_xlfn.XLOOKUP($C504,价格系数辅助表!$C:$C,价格系数辅助表!$E:$E)</f>
        <v>1.90800135982928</v>
      </c>
      <c r="H504">
        <f t="shared" si="15"/>
        <v>17.354166457027901</v>
      </c>
      <c r="I504" t="str">
        <f>_xlfn.XLOOKUP(B504,'3.屠宰能力表'!B:B,'3.屠宰能力表'!D:D)</f>
        <v>云南</v>
      </c>
      <c r="J504">
        <f>_xlfn.XLOOKUP(A504,'1.出栏表'!A:A,'1.出栏表'!F:F)</f>
        <v>9.0954685999703297</v>
      </c>
    </row>
    <row r="505" spans="1:10" ht="15" x14ac:dyDescent="0.3">
      <c r="A505" t="str">
        <f t="shared" si="14"/>
        <v>云南46136</v>
      </c>
      <c r="B505" t="s">
        <v>174</v>
      </c>
      <c r="C505" t="s">
        <v>51</v>
      </c>
      <c r="D505" s="45">
        <v>46136</v>
      </c>
      <c r="F505" s="8">
        <f>SUMIFS(根据产能每天需要鲜销部分!$K:$K,根据产能每天需要鲜销部分!$B:$B,$B505,根据产能每天需要鲜销部分!$G:$G,$C505)</f>
        <v>536.29831426487306</v>
      </c>
      <c r="G505">
        <f>_xlfn.XLOOKUP($C505,价格系数辅助表!$C:$C,价格系数辅助表!$E:$E)</f>
        <v>2.76783242873949</v>
      </c>
      <c r="H505">
        <f t="shared" si="15"/>
        <v>25.174732945579599</v>
      </c>
      <c r="I505" t="str">
        <f>_xlfn.XLOOKUP(B505,'3.屠宰能力表'!B:B,'3.屠宰能力表'!D:D)</f>
        <v>云南</v>
      </c>
      <c r="J505">
        <f>_xlfn.XLOOKUP(A505,'1.出栏表'!A:A,'1.出栏表'!F:F)</f>
        <v>9.0954685999703297</v>
      </c>
    </row>
    <row r="506" spans="1:10" ht="15" x14ac:dyDescent="0.3">
      <c r="A506" t="str">
        <f t="shared" si="14"/>
        <v>云南46136</v>
      </c>
      <c r="B506" t="s">
        <v>174</v>
      </c>
      <c r="C506" t="s">
        <v>52</v>
      </c>
      <c r="D506" s="45">
        <v>46136</v>
      </c>
      <c r="F506" s="8">
        <f>SUMIFS(根据产能每天需要鲜销部分!$K:$K,根据产能每天需要鲜销部分!$B:$B,$B506,根据产能每天需要鲜销部分!$G:$G,$C506)</f>
        <v>448.38055782800899</v>
      </c>
      <c r="G506">
        <f>_xlfn.XLOOKUP($C506,价格系数辅助表!$C:$C,价格系数辅助表!$E:$E)</f>
        <v>1.61708641969264</v>
      </c>
      <c r="H506">
        <f t="shared" si="15"/>
        <v>14.708158753752899</v>
      </c>
      <c r="I506" t="str">
        <f>_xlfn.XLOOKUP(B506,'3.屠宰能力表'!B:B,'3.屠宰能力表'!D:D)</f>
        <v>云南</v>
      </c>
      <c r="J506">
        <f>_xlfn.XLOOKUP(A506,'1.出栏表'!A:A,'1.出栏表'!F:F)</f>
        <v>9.0954685999703297</v>
      </c>
    </row>
    <row r="507" spans="1:10" ht="15" x14ac:dyDescent="0.3">
      <c r="A507" t="str">
        <f t="shared" si="14"/>
        <v>云南46136</v>
      </c>
      <c r="B507" t="s">
        <v>174</v>
      </c>
      <c r="C507" t="s">
        <v>53</v>
      </c>
      <c r="D507" s="45">
        <v>46136</v>
      </c>
      <c r="F507" s="8">
        <f>SUMIFS(根据产能每天需要鲜销部分!$K:$K,根据产能每天需要鲜销部分!$B:$B,$B507,根据产能每天需要鲜销部分!$G:$G,$C507)</f>
        <v>395.62990396588998</v>
      </c>
      <c r="G507">
        <f>_xlfn.XLOOKUP($C507,价格系数辅助表!$C:$C,价格系数辅助表!$E:$E)</f>
        <v>1.4850675377364999</v>
      </c>
      <c r="H507">
        <f t="shared" si="15"/>
        <v>13.5073851583176</v>
      </c>
      <c r="I507" t="str">
        <f>_xlfn.XLOOKUP(B507,'3.屠宰能力表'!B:B,'3.屠宰能力表'!D:D)</f>
        <v>云南</v>
      </c>
      <c r="J507">
        <f>_xlfn.XLOOKUP(A507,'1.出栏表'!A:A,'1.出栏表'!F:F)</f>
        <v>9.0954685999703297</v>
      </c>
    </row>
    <row r="508" spans="1:10" ht="15" x14ac:dyDescent="0.3">
      <c r="A508" t="str">
        <f t="shared" si="14"/>
        <v>云南46136</v>
      </c>
      <c r="B508" t="s">
        <v>174</v>
      </c>
      <c r="C508" t="s">
        <v>54</v>
      </c>
      <c r="D508" s="45">
        <v>46136</v>
      </c>
      <c r="F508" s="8">
        <f>SUMIFS(根据产能每天需要鲜销部分!$K:$K,根据产能每天需要鲜销部分!$B:$B,$B508,根据产能每天需要鲜销部分!$G:$G,$C508)</f>
        <v>290.12859624165299</v>
      </c>
      <c r="G508">
        <f>_xlfn.XLOOKUP($C508,价格系数辅助表!$C:$C,价格系数辅助表!$E:$E)</f>
        <v>1.8971615295629001</v>
      </c>
      <c r="H508">
        <f t="shared" si="15"/>
        <v>17.255573121211</v>
      </c>
      <c r="I508" t="str">
        <f>_xlfn.XLOOKUP(B508,'3.屠宰能力表'!B:B,'3.屠宰能力表'!D:D)</f>
        <v>云南</v>
      </c>
      <c r="J508">
        <f>_xlfn.XLOOKUP(A508,'1.出栏表'!A:A,'1.出栏表'!F:F)</f>
        <v>9.0954685999703297</v>
      </c>
    </row>
    <row r="509" spans="1:10" ht="15" x14ac:dyDescent="0.3">
      <c r="A509" t="str">
        <f t="shared" si="14"/>
        <v>云南46136</v>
      </c>
      <c r="B509" t="s">
        <v>174</v>
      </c>
      <c r="C509" t="s">
        <v>55</v>
      </c>
      <c r="D509" s="45">
        <v>46136</v>
      </c>
      <c r="F509" s="8">
        <f>SUMIFS(根据产能每天需要鲜销部分!$K:$K,根据产能每天需要鲜销部分!$B:$B,$B509,根据产能每天需要鲜销部分!$G:$G,$C509)</f>
        <v>31.3370220963082</v>
      </c>
      <c r="G509">
        <f>_xlfn.XLOOKUP($C509,价格系数辅助表!$C:$C,价格系数辅助表!$E:$E)</f>
        <v>3.2997148664303801</v>
      </c>
      <c r="H509">
        <f t="shared" si="15"/>
        <v>30.012452956472799</v>
      </c>
      <c r="I509" t="str">
        <f>_xlfn.XLOOKUP(B509,'3.屠宰能力表'!B:B,'3.屠宰能力表'!D:D)</f>
        <v>云南</v>
      </c>
      <c r="J509">
        <f>_xlfn.XLOOKUP(A509,'1.出栏表'!A:A,'1.出栏表'!F:F)</f>
        <v>9.0954685999703297</v>
      </c>
    </row>
    <row r="510" spans="1:10" ht="15" x14ac:dyDescent="0.3">
      <c r="A510" t="str">
        <f t="shared" si="14"/>
        <v>云南46136</v>
      </c>
      <c r="B510" t="s">
        <v>174</v>
      </c>
      <c r="C510" t="s">
        <v>57</v>
      </c>
      <c r="D510" s="45">
        <v>46136</v>
      </c>
      <c r="F510" s="8">
        <f>SUMIFS(根据产能每天需要鲜销部分!$K:$K,根据产能每天需要鲜销部分!$B:$B,$B510,根据产能每天需要鲜销部分!$G:$G,$C510)</f>
        <v>1106.5607376451301</v>
      </c>
      <c r="G510">
        <f>_xlfn.XLOOKUP($C510,价格系数辅助表!$C:$C,价格系数辅助表!$E:$E)</f>
        <v>0.130070801908548</v>
      </c>
      <c r="H510">
        <f t="shared" si="15"/>
        <v>1.18305489453216</v>
      </c>
      <c r="I510" t="str">
        <f>_xlfn.XLOOKUP(B510,'3.屠宰能力表'!B:B,'3.屠宰能力表'!D:D)</f>
        <v>云南</v>
      </c>
      <c r="J510">
        <f>_xlfn.XLOOKUP(A510,'1.出栏表'!A:A,'1.出栏表'!F:F)</f>
        <v>9.0954685999703297</v>
      </c>
    </row>
    <row r="511" spans="1:10" ht="15" x14ac:dyDescent="0.3">
      <c r="A511" t="str">
        <f t="shared" si="14"/>
        <v>云南46136</v>
      </c>
      <c r="B511" t="s">
        <v>174</v>
      </c>
      <c r="C511" t="s">
        <v>58</v>
      </c>
      <c r="D511" s="45">
        <v>46136</v>
      </c>
      <c r="F511" s="8">
        <f>SUMIFS(根据产能每天需要鲜销部分!$K:$K,根据产能每天需要鲜销部分!$B:$B,$B511,根据产能每天需要鲜销部分!$G:$G,$C511)</f>
        <v>1576.8591138107199</v>
      </c>
      <c r="G511">
        <f>_xlfn.XLOOKUP($C511,价格系数辅助表!$C:$C,价格系数辅助表!$E:$E)</f>
        <v>0.69784384029908697</v>
      </c>
      <c r="H511">
        <f t="shared" si="15"/>
        <v>6.3472167371230599</v>
      </c>
      <c r="I511" t="str">
        <f>_xlfn.XLOOKUP(B511,'3.屠宰能力表'!B:B,'3.屠宰能力表'!D:D)</f>
        <v>云南</v>
      </c>
      <c r="J511">
        <f>_xlfn.XLOOKUP(A511,'1.出栏表'!A:A,'1.出栏表'!F:F)</f>
        <v>9.0954685999703297</v>
      </c>
    </row>
    <row r="512" spans="1:10" ht="15" x14ac:dyDescent="0.3">
      <c r="A512" t="str">
        <f t="shared" si="14"/>
        <v>云南46136</v>
      </c>
      <c r="B512" t="s">
        <v>174</v>
      </c>
      <c r="C512" t="s">
        <v>59</v>
      </c>
      <c r="D512" s="45">
        <v>46136</v>
      </c>
      <c r="F512" s="8">
        <f>SUMIFS(根据产能每天需要鲜销部分!$K:$K,根据产能每天需要鲜销部分!$B:$B,$B512,根据产能每天需要鲜销部分!$G:$G,$C512)</f>
        <v>1589.62981208265</v>
      </c>
      <c r="G512">
        <f>_xlfn.XLOOKUP($C512,价格系数辅助表!$C:$C,价格系数辅助表!$E:$E)</f>
        <v>0.456447335288171</v>
      </c>
      <c r="H512">
        <f t="shared" si="15"/>
        <v>4.1516024056536898</v>
      </c>
      <c r="I512" t="str">
        <f>_xlfn.XLOOKUP(B512,'3.屠宰能力表'!B:B,'3.屠宰能力表'!D:D)</f>
        <v>云南</v>
      </c>
      <c r="J512">
        <f>_xlfn.XLOOKUP(A512,'1.出栏表'!A:A,'1.出栏表'!F:F)</f>
        <v>9.0954685999703297</v>
      </c>
    </row>
    <row r="513" spans="1:10" ht="15" x14ac:dyDescent="0.3">
      <c r="A513" t="str">
        <f t="shared" si="14"/>
        <v>云南46136</v>
      </c>
      <c r="B513" t="s">
        <v>174</v>
      </c>
      <c r="C513" t="s">
        <v>60</v>
      </c>
      <c r="D513" s="45">
        <v>46136</v>
      </c>
      <c r="F513" s="8">
        <f>SUMIFS(根据产能每天需要鲜销部分!$K:$K,根据产能每天需要鲜销部分!$B:$B,$B513,根据产能每天需要鲜销部分!$G:$G,$C513)</f>
        <v>737.30616061029798</v>
      </c>
      <c r="G513">
        <f>_xlfn.XLOOKUP($C513,价格系数辅助表!$C:$C,价格系数辅助表!$E:$E)</f>
        <v>0.30253913346115902</v>
      </c>
      <c r="H513">
        <f t="shared" si="15"/>
        <v>2.75173518865821</v>
      </c>
      <c r="I513" t="str">
        <f>_xlfn.XLOOKUP(B513,'3.屠宰能力表'!B:B,'3.屠宰能力表'!D:D)</f>
        <v>云南</v>
      </c>
      <c r="J513">
        <f>_xlfn.XLOOKUP(A513,'1.出栏表'!A:A,'1.出栏表'!F:F)</f>
        <v>9.0954685999703297</v>
      </c>
    </row>
    <row r="514" spans="1:10" ht="15" x14ac:dyDescent="0.3">
      <c r="A514" t="str">
        <f t="shared" si="14"/>
        <v>云南46136</v>
      </c>
      <c r="B514" t="s">
        <v>174</v>
      </c>
      <c r="C514" t="s">
        <v>61</v>
      </c>
      <c r="D514" s="45">
        <v>46136</v>
      </c>
      <c r="F514" s="8">
        <f>SUMIFS(根据产能每天需要鲜销部分!$K:$K,根据产能每天需要鲜销部分!$B:$B,$B514,根据产能每天需要鲜销部分!$G:$G,$C514)</f>
        <v>844.01046179389903</v>
      </c>
      <c r="G514">
        <f>_xlfn.XLOOKUP($C514,价格系数辅助表!$C:$C,价格系数辅助表!$E:$E)</f>
        <v>5.2234050059701297E-2</v>
      </c>
      <c r="H514">
        <f t="shared" si="15"/>
        <v>0.47509316216729203</v>
      </c>
      <c r="I514" t="str">
        <f>_xlfn.XLOOKUP(B514,'3.屠宰能力表'!B:B,'3.屠宰能力表'!D:D)</f>
        <v>云南</v>
      </c>
      <c r="J514">
        <f>_xlfn.XLOOKUP(A514,'1.出栏表'!A:A,'1.出栏表'!F:F)</f>
        <v>9.0954685999703297</v>
      </c>
    </row>
    <row r="515" spans="1:10" ht="15" x14ac:dyDescent="0.3">
      <c r="A515" t="str">
        <f t="shared" ref="A515:A578" si="16">I515&amp;D515</f>
        <v>云南46136</v>
      </c>
      <c r="B515" t="s">
        <v>174</v>
      </c>
      <c r="C515" t="s">
        <v>62</v>
      </c>
      <c r="D515" s="45">
        <v>46136</v>
      </c>
      <c r="F515" s="8">
        <f>SUMIFS(根据产能每天需要鲜销部分!$K:$K,根据产能每天需要鲜销部分!$B:$B,$B515,根据产能每天需要鲜销部分!$G:$G,$C515)</f>
        <v>791.25980793177996</v>
      </c>
      <c r="G515">
        <f>_xlfn.XLOOKUP($C515,价格系数辅助表!$C:$C,价格系数辅助表!$E:$E)</f>
        <v>0.27335161219757498</v>
      </c>
      <c r="H515">
        <f t="shared" ref="H515:H578" si="17">G515*$J515</f>
        <v>2.4862610054943102</v>
      </c>
      <c r="I515" t="str">
        <f>_xlfn.XLOOKUP(B515,'3.屠宰能力表'!B:B,'3.屠宰能力表'!D:D)</f>
        <v>云南</v>
      </c>
      <c r="J515">
        <f>_xlfn.XLOOKUP(A515,'1.出栏表'!A:A,'1.出栏表'!F:F)</f>
        <v>9.0954685999703297</v>
      </c>
    </row>
    <row r="516" spans="1:10" ht="15" x14ac:dyDescent="0.3">
      <c r="A516" t="str">
        <f t="shared" si="16"/>
        <v>云南46136</v>
      </c>
      <c r="B516" t="s">
        <v>174</v>
      </c>
      <c r="C516" t="s">
        <v>63</v>
      </c>
      <c r="D516" s="45">
        <v>46136</v>
      </c>
      <c r="F516" s="8">
        <f>SUMIFS(根据产能每天需要鲜销部分!$K:$K,根据产能每天需要鲜销部分!$B:$B,$B516,根据产能每天需要鲜销部分!$G:$G,$C516)</f>
        <v>664.38055782800905</v>
      </c>
      <c r="G516">
        <f>_xlfn.XLOOKUP($C516,价格系数辅助表!$C:$C,价格系数辅助表!$E:$E)</f>
        <v>0.25083638292710098</v>
      </c>
      <c r="H516">
        <f t="shared" si="17"/>
        <v>2.28147444464358</v>
      </c>
      <c r="I516" t="str">
        <f>_xlfn.XLOOKUP(B516,'3.屠宰能力表'!B:B,'3.屠宰能力表'!D:D)</f>
        <v>云南</v>
      </c>
      <c r="J516">
        <f>_xlfn.XLOOKUP(A516,'1.出栏表'!A:A,'1.出栏表'!F:F)</f>
        <v>9.0954685999703297</v>
      </c>
    </row>
    <row r="517" spans="1:10" ht="15" x14ac:dyDescent="0.3">
      <c r="A517" t="str">
        <f t="shared" si="16"/>
        <v>云南46136</v>
      </c>
      <c r="B517" t="s">
        <v>174</v>
      </c>
      <c r="C517" t="s">
        <v>64</v>
      </c>
      <c r="D517" s="45">
        <v>46136</v>
      </c>
      <c r="F517" s="8">
        <f>SUMIFS(根据产能每天需要鲜销部分!$K:$K,根据产能每天需要鲜销部分!$B:$B,$B517,根据产能每天需要鲜销部分!$G:$G,$C517)</f>
        <v>114.90241435313</v>
      </c>
      <c r="G517">
        <f>_xlfn.XLOOKUP($C517,价格系数辅助表!$C:$C,价格系数辅助表!$E:$E)</f>
        <v>0.87755384758256405</v>
      </c>
      <c r="H517">
        <f t="shared" si="17"/>
        <v>7.98176346547036</v>
      </c>
      <c r="I517" t="str">
        <f>_xlfn.XLOOKUP(B517,'3.屠宰能力表'!B:B,'3.屠宰能力表'!D:D)</f>
        <v>云南</v>
      </c>
      <c r="J517">
        <f>_xlfn.XLOOKUP(A517,'1.出栏表'!A:A,'1.出栏表'!F:F)</f>
        <v>9.0954685999703297</v>
      </c>
    </row>
    <row r="518" spans="1:10" ht="15" x14ac:dyDescent="0.3">
      <c r="A518" t="str">
        <f t="shared" si="16"/>
        <v>云南46136</v>
      </c>
      <c r="B518" t="s">
        <v>174</v>
      </c>
      <c r="C518" t="s">
        <v>65</v>
      </c>
      <c r="D518" s="45">
        <v>46136</v>
      </c>
      <c r="F518" s="8">
        <f>SUMIFS(根据产能每天需要鲜销部分!$K:$K,根据产能每天需要鲜销部分!$B:$B,$B518,根据产能每天需要鲜销部分!$G:$G,$C518)</f>
        <v>52.228370160513599</v>
      </c>
      <c r="G518">
        <f>_xlfn.XLOOKUP($C518,价格系数辅助表!$C:$C,价格系数辅助表!$E:$E)</f>
        <v>1.02785250036373</v>
      </c>
      <c r="H518">
        <f t="shared" si="17"/>
        <v>9.3488001424593499</v>
      </c>
      <c r="I518" t="str">
        <f>_xlfn.XLOOKUP(B518,'3.屠宰能力表'!B:B,'3.屠宰能力表'!D:D)</f>
        <v>云南</v>
      </c>
      <c r="J518">
        <f>_xlfn.XLOOKUP(A518,'1.出栏表'!A:A,'1.出栏表'!F:F)</f>
        <v>9.0954685999703297</v>
      </c>
    </row>
    <row r="519" spans="1:10" ht="15" x14ac:dyDescent="0.3">
      <c r="A519" t="str">
        <f t="shared" si="16"/>
        <v>云南46136</v>
      </c>
      <c r="B519" t="s">
        <v>174</v>
      </c>
      <c r="C519" t="s">
        <v>66</v>
      </c>
      <c r="D519" s="45">
        <v>46136</v>
      </c>
      <c r="F519" s="8">
        <f>SUMIFS(根据产能每天需要鲜销部分!$K:$K,根据产能每天需要鲜销部分!$B:$B,$B519,根据产能每天需要鲜销部分!$G:$G,$C519)</f>
        <v>184.627288517415</v>
      </c>
      <c r="G519">
        <f>_xlfn.XLOOKUP($C519,价格系数辅助表!$C:$C,价格系数辅助表!$E:$E)</f>
        <v>0.29390609194172401</v>
      </c>
      <c r="H519">
        <f t="shared" si="17"/>
        <v>2.67321363059594</v>
      </c>
      <c r="I519" t="str">
        <f>_xlfn.XLOOKUP(B519,'3.屠宰能力表'!B:B,'3.屠宰能力表'!D:D)</f>
        <v>云南</v>
      </c>
      <c r="J519">
        <f>_xlfn.XLOOKUP(A519,'1.出栏表'!A:A,'1.出栏表'!F:F)</f>
        <v>9.0954685999703297</v>
      </c>
    </row>
    <row r="520" spans="1:10" ht="15" x14ac:dyDescent="0.3">
      <c r="A520" t="str">
        <f t="shared" si="16"/>
        <v>云南46136</v>
      </c>
      <c r="B520" t="s">
        <v>174</v>
      </c>
      <c r="C520" t="s">
        <v>67</v>
      </c>
      <c r="D520" s="45">
        <v>46136</v>
      </c>
      <c r="F520" s="8">
        <f>SUMIFS(根据产能每天需要鲜销部分!$K:$K,根据产能每天需要鲜销部分!$B:$B,$B520,根据产能每天需要鲜销部分!$G:$G,$C520)</f>
        <v>2160</v>
      </c>
      <c r="G520">
        <f>_xlfn.XLOOKUP($C520,价格系数辅助表!$C:$C,价格系数辅助表!$E:$E)</f>
        <v>8.7444985304843598E-2</v>
      </c>
      <c r="H520">
        <f t="shared" si="17"/>
        <v>0.79535311806507203</v>
      </c>
      <c r="I520" t="str">
        <f>_xlfn.XLOOKUP(B520,'3.屠宰能力表'!B:B,'3.屠宰能力表'!D:D)</f>
        <v>云南</v>
      </c>
      <c r="J520">
        <f>_xlfn.XLOOKUP(A520,'1.出栏表'!A:A,'1.出栏表'!F:F)</f>
        <v>9.0954685999703297</v>
      </c>
    </row>
    <row r="521" spans="1:10" ht="15" x14ac:dyDescent="0.3">
      <c r="A521" t="str">
        <f t="shared" si="16"/>
        <v>湖北46136</v>
      </c>
      <c r="B521">
        <v>1522</v>
      </c>
      <c r="C521" t="s">
        <v>41</v>
      </c>
      <c r="D521" s="45">
        <v>46136</v>
      </c>
      <c r="F521" s="8">
        <f>SUMIFS(根据产能每天需要鲜销部分!$K:$K,根据产能每天需要鲜销部分!$B:$B,$B521,根据产能每天需要鲜销部分!$G:$G,$C521)</f>
        <v>156156</v>
      </c>
      <c r="G521">
        <f>_xlfn.XLOOKUP($C521,价格系数辅助表!$C:$C,价格系数辅助表!$E:$E)</f>
        <v>1.1852119074341301</v>
      </c>
      <c r="H521">
        <f t="shared" si="17"/>
        <v>10.5740183663082</v>
      </c>
      <c r="I521" t="str">
        <f>_xlfn.XLOOKUP(B521,'3.屠宰能力表'!B:B,'3.屠宰能力表'!D:D)</f>
        <v>湖北</v>
      </c>
      <c r="J521">
        <f>_xlfn.XLOOKUP(A521,'1.出栏表'!A:A,'1.出栏表'!F:F)</f>
        <v>8.9216268415661997</v>
      </c>
    </row>
    <row r="522" spans="1:10" ht="15" x14ac:dyDescent="0.3">
      <c r="A522" t="str">
        <f t="shared" si="16"/>
        <v>湖北46136</v>
      </c>
      <c r="B522">
        <v>1522</v>
      </c>
      <c r="C522" t="s">
        <v>44</v>
      </c>
      <c r="D522" s="45">
        <v>46136</v>
      </c>
      <c r="F522" s="8">
        <f>SUMIFS(根据产能每天需要鲜销部分!$K:$K,根据产能每天需要鲜销部分!$B:$B,$B522,根据产能每天需要鲜销部分!$G:$G,$C522)</f>
        <v>9465.9447091765905</v>
      </c>
      <c r="G522">
        <f>_xlfn.XLOOKUP($C522,价格系数辅助表!$C:$C,价格系数辅助表!$E:$E)</f>
        <v>0.81317166851852996</v>
      </c>
      <c r="H522">
        <f t="shared" si="17"/>
        <v>7.2548141846560803</v>
      </c>
      <c r="I522" t="str">
        <f>_xlfn.XLOOKUP(B522,'3.屠宰能力表'!B:B,'3.屠宰能力表'!D:D)</f>
        <v>湖北</v>
      </c>
      <c r="J522">
        <f>_xlfn.XLOOKUP(A522,'1.出栏表'!A:A,'1.出栏表'!F:F)</f>
        <v>8.9216268415661997</v>
      </c>
    </row>
    <row r="523" spans="1:10" ht="15" x14ac:dyDescent="0.3">
      <c r="A523" t="str">
        <f t="shared" si="16"/>
        <v>湖北46136</v>
      </c>
      <c r="B523">
        <v>1522</v>
      </c>
      <c r="C523" t="s">
        <v>46</v>
      </c>
      <c r="D523" s="45">
        <v>46136</v>
      </c>
      <c r="F523" s="8">
        <f>SUMIFS(根据产能每天需要鲜销部分!$K:$K,根据产能每天需要鲜销部分!$B:$B,$B523,根据产能每天需要鲜销部分!$G:$G,$C523)</f>
        <v>71.115696317819499</v>
      </c>
      <c r="G523">
        <f>_xlfn.XLOOKUP($C523,价格系数辅助表!$C:$C,价格系数辅助表!$E:$E)</f>
        <v>4.0225512045395799</v>
      </c>
      <c r="H523">
        <f t="shared" si="17"/>
        <v>35.887700797994803</v>
      </c>
      <c r="I523" t="str">
        <f>_xlfn.XLOOKUP(B523,'3.屠宰能力表'!B:B,'3.屠宰能力表'!D:D)</f>
        <v>湖北</v>
      </c>
      <c r="J523">
        <f>_xlfn.XLOOKUP(A523,'1.出栏表'!A:A,'1.出栏表'!F:F)</f>
        <v>8.9216268415661997</v>
      </c>
    </row>
    <row r="524" spans="1:10" ht="15" x14ac:dyDescent="0.3">
      <c r="A524" t="str">
        <f t="shared" si="16"/>
        <v>湖北46136</v>
      </c>
      <c r="B524">
        <v>1522</v>
      </c>
      <c r="C524" t="s">
        <v>47</v>
      </c>
      <c r="D524" s="45">
        <v>46136</v>
      </c>
      <c r="F524" s="8">
        <f>SUMIFS(根据产能每天需要鲜销部分!$K:$K,根据产能每天需要鲜销部分!$B:$B,$B524,根据产能每天需要鲜销部分!$G:$G,$C524)</f>
        <v>669.01158357546694</v>
      </c>
      <c r="G524">
        <f>_xlfn.XLOOKUP($C524,价格系数辅助表!$C:$C,价格系数辅助表!$E:$E)</f>
        <v>0.84535964262204399</v>
      </c>
      <c r="H524">
        <f t="shared" si="17"/>
        <v>7.5419832783936398</v>
      </c>
      <c r="I524" t="str">
        <f>_xlfn.XLOOKUP(B524,'3.屠宰能力表'!B:B,'3.屠宰能力表'!D:D)</f>
        <v>湖北</v>
      </c>
      <c r="J524">
        <f>_xlfn.XLOOKUP(A524,'1.出栏表'!A:A,'1.出栏表'!F:F)</f>
        <v>8.9216268415661997</v>
      </c>
    </row>
    <row r="525" spans="1:10" ht="15" x14ac:dyDescent="0.3">
      <c r="A525" t="str">
        <f t="shared" si="16"/>
        <v>湖北46136</v>
      </c>
      <c r="B525">
        <v>1522</v>
      </c>
      <c r="C525" t="s">
        <v>48</v>
      </c>
      <c r="D525" s="45">
        <v>46136</v>
      </c>
      <c r="F525" s="8">
        <f>SUMIFS(根据产能每天需要鲜销部分!$K:$K,根据产能每天需要鲜销部分!$B:$B,$B525,根据产能每天需要鲜销部分!$G:$G,$C525)</f>
        <v>3455.6988028580499</v>
      </c>
      <c r="G525">
        <f>_xlfn.XLOOKUP($C525,价格系数辅助表!$C:$C,价格系数辅助表!$E:$E)</f>
        <v>0.37320475421536098</v>
      </c>
      <c r="H525">
        <f t="shared" si="17"/>
        <v>3.3295935526078799</v>
      </c>
      <c r="I525" t="str">
        <f>_xlfn.XLOOKUP(B525,'3.屠宰能力表'!B:B,'3.屠宰能力表'!D:D)</f>
        <v>湖北</v>
      </c>
      <c r="J525">
        <f>_xlfn.XLOOKUP(A525,'1.出栏表'!A:A,'1.出栏表'!F:F)</f>
        <v>8.9216268415661997</v>
      </c>
    </row>
    <row r="526" spans="1:10" ht="15" x14ac:dyDescent="0.3">
      <c r="A526" t="str">
        <f t="shared" si="16"/>
        <v>湖北46136</v>
      </c>
      <c r="B526">
        <v>1522</v>
      </c>
      <c r="C526" t="s">
        <v>49</v>
      </c>
      <c r="D526" s="45">
        <v>46136</v>
      </c>
      <c r="F526" s="8">
        <f>SUMIFS(根据产能每天需要鲜销部分!$K:$K,根据产能每天需要鲜销部分!$B:$B,$B526,根据产能每天需要鲜销部分!$G:$G,$C526)</f>
        <v>675.59911501928195</v>
      </c>
      <c r="G526">
        <f>_xlfn.XLOOKUP($C526,价格系数辅助表!$C:$C,价格系数辅助表!$E:$E)</f>
        <v>1.1550192014842</v>
      </c>
      <c r="H526">
        <f t="shared" si="17"/>
        <v>10.304650310485799</v>
      </c>
      <c r="I526" t="str">
        <f>_xlfn.XLOOKUP(B526,'3.屠宰能力表'!B:B,'3.屠宰能力表'!D:D)</f>
        <v>湖北</v>
      </c>
      <c r="J526">
        <f>_xlfn.XLOOKUP(A526,'1.出栏表'!A:A,'1.出栏表'!F:F)</f>
        <v>8.9216268415661997</v>
      </c>
    </row>
    <row r="527" spans="1:10" ht="15" x14ac:dyDescent="0.3">
      <c r="A527" t="str">
        <f t="shared" si="16"/>
        <v>湖北46136</v>
      </c>
      <c r="B527">
        <v>1522</v>
      </c>
      <c r="C527" t="s">
        <v>50</v>
      </c>
      <c r="D527" s="45">
        <v>46136</v>
      </c>
      <c r="F527" s="8">
        <f>SUMIFS(根据产能每天需要鲜销部分!$K:$K,根据产能每天需要鲜销部分!$B:$B,$B527,根据产能每天需要鲜销部分!$G:$G,$C527)</f>
        <v>2364.1360763759399</v>
      </c>
      <c r="G527">
        <f>_xlfn.XLOOKUP($C527,价格系数辅助表!$C:$C,价格系数辅助表!$E:$E)</f>
        <v>1.90800135982928</v>
      </c>
      <c r="H527">
        <f t="shared" si="17"/>
        <v>17.0224761455977</v>
      </c>
      <c r="I527" t="str">
        <f>_xlfn.XLOOKUP(B527,'3.屠宰能力表'!B:B,'3.屠宰能力表'!D:D)</f>
        <v>湖北</v>
      </c>
      <c r="J527">
        <f>_xlfn.XLOOKUP(A527,'1.出栏表'!A:A,'1.出栏表'!F:F)</f>
        <v>8.9216268415661997</v>
      </c>
    </row>
    <row r="528" spans="1:10" ht="15" x14ac:dyDescent="0.3">
      <c r="A528" t="str">
        <f t="shared" si="16"/>
        <v>湖北46136</v>
      </c>
      <c r="B528">
        <v>1522</v>
      </c>
      <c r="C528" t="s">
        <v>51</v>
      </c>
      <c r="D528" s="45">
        <v>46136</v>
      </c>
      <c r="F528" s="8">
        <f>SUMIFS(根据产能每天需要鲜销部分!$K:$K,根据产能每天需要鲜销部分!$B:$B,$B528,根据产能每天需要鲜销部分!$G:$G,$C528)</f>
        <v>1084.5143688467399</v>
      </c>
      <c r="G528">
        <f>_xlfn.XLOOKUP($C528,价格系数辅助表!$C:$C,价格系数辅助表!$E:$E)</f>
        <v>2.76783242873949</v>
      </c>
      <c r="H528">
        <f t="shared" si="17"/>
        <v>24.693568089199601</v>
      </c>
      <c r="I528" t="str">
        <f>_xlfn.XLOOKUP(B528,'3.屠宰能力表'!B:B,'3.屠宰能力表'!D:D)</f>
        <v>湖北</v>
      </c>
      <c r="J528">
        <f>_xlfn.XLOOKUP(A528,'1.出栏表'!A:A,'1.出栏表'!F:F)</f>
        <v>8.9216268415661997</v>
      </c>
    </row>
    <row r="529" spans="1:10" ht="15" x14ac:dyDescent="0.3">
      <c r="A529" t="str">
        <f t="shared" si="16"/>
        <v>湖北46136</v>
      </c>
      <c r="B529">
        <v>1522</v>
      </c>
      <c r="C529" t="s">
        <v>52</v>
      </c>
      <c r="D529" s="45">
        <v>46136</v>
      </c>
      <c r="F529" s="8">
        <f>SUMIFS(根据产能每天需要鲜销部分!$K:$K,根据产能每天需要鲜销部分!$B:$B,$B529,根据产能每天需要鲜销部分!$G:$G,$C529)</f>
        <v>906.72512805219503</v>
      </c>
      <c r="G529">
        <f>_xlfn.XLOOKUP($C529,价格系数辅助表!$C:$C,价格系数辅助表!$E:$E)</f>
        <v>1.61708641969264</v>
      </c>
      <c r="H529">
        <f t="shared" si="17"/>
        <v>14.427041607062</v>
      </c>
      <c r="I529" t="str">
        <f>_xlfn.XLOOKUP(B529,'3.屠宰能力表'!B:B,'3.屠宰能力表'!D:D)</f>
        <v>湖北</v>
      </c>
      <c r="J529">
        <f>_xlfn.XLOOKUP(A529,'1.出栏表'!A:A,'1.出栏表'!F:F)</f>
        <v>8.9216268415661997</v>
      </c>
    </row>
    <row r="530" spans="1:10" ht="15" x14ac:dyDescent="0.3">
      <c r="A530" t="str">
        <f t="shared" si="16"/>
        <v>湖北46136</v>
      </c>
      <c r="B530">
        <v>1522</v>
      </c>
      <c r="C530" t="s">
        <v>53</v>
      </c>
      <c r="D530" s="45">
        <v>46136</v>
      </c>
      <c r="F530" s="8">
        <f>SUMIFS(根据产能每天需要鲜销部分!$K:$K,根据产能每天需要鲜销部分!$B:$B,$B530,根据产能每天需要鲜销部分!$G:$G,$C530)</f>
        <v>800.05158357546702</v>
      </c>
      <c r="G530">
        <f>_xlfn.XLOOKUP($C530,价格系数辅助表!$C:$C,价格系数辅助表!$E:$E)</f>
        <v>1.4850675377364999</v>
      </c>
      <c r="H530">
        <f t="shared" si="17"/>
        <v>13.2492184062086</v>
      </c>
      <c r="I530" t="str">
        <f>_xlfn.XLOOKUP(B530,'3.屠宰能力表'!B:B,'3.屠宰能力表'!D:D)</f>
        <v>湖北</v>
      </c>
      <c r="J530">
        <f>_xlfn.XLOOKUP(A530,'1.出栏表'!A:A,'1.出栏表'!F:F)</f>
        <v>8.9216268415661997</v>
      </c>
    </row>
    <row r="531" spans="1:10" ht="15" x14ac:dyDescent="0.3">
      <c r="A531" t="str">
        <f t="shared" si="16"/>
        <v>湖北46136</v>
      </c>
      <c r="B531">
        <v>1522</v>
      </c>
      <c r="C531" t="s">
        <v>54</v>
      </c>
      <c r="D531" s="45">
        <v>46136</v>
      </c>
      <c r="F531" s="8">
        <f>SUMIFS(根据产能每天需要鲜销部分!$K:$K,根据产能每天需要鲜销部分!$B:$B,$B531,根据产能每天需要鲜销部分!$G:$G,$C531)</f>
        <v>586.70449462200997</v>
      </c>
      <c r="G531">
        <f>_xlfn.XLOOKUP($C531,价格系数辅助表!$C:$C,价格系数辅助表!$E:$E)</f>
        <v>1.8971615295629001</v>
      </c>
      <c r="H531">
        <f t="shared" si="17"/>
        <v>16.9257672249351</v>
      </c>
      <c r="I531" t="str">
        <f>_xlfn.XLOOKUP(B531,'3.屠宰能力表'!B:B,'3.屠宰能力表'!D:D)</f>
        <v>湖北</v>
      </c>
      <c r="J531">
        <f>_xlfn.XLOOKUP(A531,'1.出栏表'!A:A,'1.出栏表'!F:F)</f>
        <v>8.9216268415661997</v>
      </c>
    </row>
    <row r="532" spans="1:10" ht="15" x14ac:dyDescent="0.3">
      <c r="A532" t="str">
        <f t="shared" si="16"/>
        <v>湖北46136</v>
      </c>
      <c r="B532">
        <v>1522</v>
      </c>
      <c r="C532" t="s">
        <v>55</v>
      </c>
      <c r="D532" s="45">
        <v>46136</v>
      </c>
      <c r="F532" s="8">
        <f>SUMIFS(根据产能每天需要鲜销部分!$K:$K,根据产能每天需要鲜销部分!$B:$B,$B532,根据产能每天需要鲜销部分!$G:$G,$C532)</f>
        <v>63.370422461423303</v>
      </c>
      <c r="G532">
        <f>_xlfn.XLOOKUP($C532,价格系数辅助表!$C:$C,价格系数辅助表!$E:$E)</f>
        <v>3.2997148664303801</v>
      </c>
      <c r="H532">
        <f t="shared" si="17"/>
        <v>29.4388247218603</v>
      </c>
      <c r="I532" t="str">
        <f>_xlfn.XLOOKUP(B532,'3.屠宰能力表'!B:B,'3.屠宰能力表'!D:D)</f>
        <v>湖北</v>
      </c>
      <c r="J532">
        <f>_xlfn.XLOOKUP(A532,'1.出栏表'!A:A,'1.出栏表'!F:F)</f>
        <v>8.9216268415661997</v>
      </c>
    </row>
    <row r="533" spans="1:10" ht="15" x14ac:dyDescent="0.3">
      <c r="A533" t="str">
        <f t="shared" si="16"/>
        <v>湖北46136</v>
      </c>
      <c r="B533">
        <v>1522</v>
      </c>
      <c r="C533" t="s">
        <v>57</v>
      </c>
      <c r="D533" s="45">
        <v>46136</v>
      </c>
      <c r="F533" s="8">
        <f>SUMIFS(根据产能每天需要鲜销部分!$K:$K,根据产能每天需要鲜销部分!$B:$B,$B533,根据产能每天需要鲜销部分!$G:$G,$C533)</f>
        <v>2237.7117139045899</v>
      </c>
      <c r="G533">
        <f>_xlfn.XLOOKUP($C533,价格系数辅助表!$C:$C,价格系数辅助表!$E:$E)</f>
        <v>0.130070801908548</v>
      </c>
      <c r="H533">
        <f t="shared" si="17"/>
        <v>1.1604431576113401</v>
      </c>
      <c r="I533" t="str">
        <f>_xlfn.XLOOKUP(B533,'3.屠宰能力表'!B:B,'3.屠宰能力表'!D:D)</f>
        <v>湖北</v>
      </c>
      <c r="J533">
        <f>_xlfn.XLOOKUP(A533,'1.出栏表'!A:A,'1.出栏表'!F:F)</f>
        <v>8.9216268415661997</v>
      </c>
    </row>
    <row r="534" spans="1:10" ht="15" x14ac:dyDescent="0.3">
      <c r="A534" t="str">
        <f t="shared" si="16"/>
        <v>湖北46136</v>
      </c>
      <c r="B534">
        <v>1522</v>
      </c>
      <c r="C534" t="s">
        <v>58</v>
      </c>
      <c r="D534" s="45">
        <v>46136</v>
      </c>
      <c r="F534" s="8">
        <f>SUMIFS(根据产能每天需要鲜销部分!$K:$K,根据产能每天需要鲜销部分!$B:$B,$B534,根据产能每天需要鲜销部分!$G:$G,$C534)</f>
        <v>3188.7595412616902</v>
      </c>
      <c r="G534">
        <f>_xlfn.XLOOKUP($C534,价格系数辅助表!$C:$C,价格系数辅助表!$E:$E)</f>
        <v>0.69784384029908697</v>
      </c>
      <c r="H534">
        <f t="shared" si="17"/>
        <v>6.2259023368339701</v>
      </c>
      <c r="I534" t="str">
        <f>_xlfn.XLOOKUP(B534,'3.屠宰能力表'!B:B,'3.屠宰能力表'!D:D)</f>
        <v>湖北</v>
      </c>
      <c r="J534">
        <f>_xlfn.XLOOKUP(A534,'1.出栏表'!A:A,'1.出栏表'!F:F)</f>
        <v>8.9216268415661997</v>
      </c>
    </row>
    <row r="535" spans="1:10" ht="15" x14ac:dyDescent="0.3">
      <c r="A535" t="str">
        <f t="shared" si="16"/>
        <v>湖北46136</v>
      </c>
      <c r="B535">
        <v>1522</v>
      </c>
      <c r="C535" t="s">
        <v>59</v>
      </c>
      <c r="D535" s="45">
        <v>46136</v>
      </c>
      <c r="F535" s="8">
        <f>SUMIFS(根据产能每天需要鲜销部分!$K:$K,根据产能每天需要鲜销部分!$B:$B,$B535,根据产能每天需要鲜销部分!$G:$G,$C535)</f>
        <v>3214.58473110046</v>
      </c>
      <c r="G535">
        <f>_xlfn.XLOOKUP($C535,价格系数辅助表!$C:$C,价格系数辅助表!$E:$E)</f>
        <v>0.456447335288171</v>
      </c>
      <c r="H535">
        <f t="shared" si="17"/>
        <v>4.0722527982683099</v>
      </c>
      <c r="I535" t="str">
        <f>_xlfn.XLOOKUP(B535,'3.屠宰能力表'!B:B,'3.屠宰能力表'!D:D)</f>
        <v>湖北</v>
      </c>
      <c r="J535">
        <f>_xlfn.XLOOKUP(A535,'1.出栏表'!A:A,'1.出栏表'!F:F)</f>
        <v>8.9216268415661997</v>
      </c>
    </row>
    <row r="536" spans="1:10" ht="15" x14ac:dyDescent="0.3">
      <c r="A536" t="str">
        <f t="shared" si="16"/>
        <v>湖北46136</v>
      </c>
      <c r="B536">
        <v>1522</v>
      </c>
      <c r="C536" t="s">
        <v>60</v>
      </c>
      <c r="D536" s="45">
        <v>46136</v>
      </c>
      <c r="F536" s="8">
        <f>SUMIFS(根据产能每天需要鲜销部分!$K:$K,根据产能每天需要鲜销部分!$B:$B,$B536,根据产能每天需要鲜销部分!$G:$G,$C536)</f>
        <v>1490.99690256749</v>
      </c>
      <c r="G536">
        <f>_xlfn.XLOOKUP($C536,价格系数辅助表!$C:$C,价格系数辅助表!$E:$E)</f>
        <v>0.30253913346115902</v>
      </c>
      <c r="H536">
        <f t="shared" si="17"/>
        <v>2.69914125371126</v>
      </c>
      <c r="I536" t="str">
        <f>_xlfn.XLOOKUP(B536,'3.屠宰能力表'!B:B,'3.屠宰能力表'!D:D)</f>
        <v>湖北</v>
      </c>
      <c r="J536">
        <f>_xlfn.XLOOKUP(A536,'1.出栏表'!A:A,'1.出栏表'!F:F)</f>
        <v>8.9216268415661997</v>
      </c>
    </row>
    <row r="537" spans="1:10" ht="15" x14ac:dyDescent="0.3">
      <c r="A537" t="str">
        <f t="shared" si="16"/>
        <v>湖北46136</v>
      </c>
      <c r="B537">
        <v>1522</v>
      </c>
      <c r="C537" t="s">
        <v>61</v>
      </c>
      <c r="D537" s="45">
        <v>46136</v>
      </c>
      <c r="F537" s="8">
        <f>SUMIFS(根据产能每天需要鲜销部分!$K:$K,根据产能每天需要鲜销部分!$B:$B,$B537,根据产能每天需要鲜销部分!$G:$G,$C537)</f>
        <v>1706.77671162766</v>
      </c>
      <c r="G537">
        <f>_xlfn.XLOOKUP($C537,价格系数辅助表!$C:$C,价格系数辅助表!$E:$E)</f>
        <v>5.2234050059701297E-2</v>
      </c>
      <c r="H537">
        <f t="shared" si="17"/>
        <v>0.46601270305634401</v>
      </c>
      <c r="I537" t="str">
        <f>_xlfn.XLOOKUP(B537,'3.屠宰能力表'!B:B,'3.屠宰能力表'!D:D)</f>
        <v>湖北</v>
      </c>
      <c r="J537">
        <f>_xlfn.XLOOKUP(A537,'1.出栏表'!A:A,'1.出栏表'!F:F)</f>
        <v>8.9216268415661997</v>
      </c>
    </row>
    <row r="538" spans="1:10" ht="15" x14ac:dyDescent="0.3">
      <c r="A538" t="str">
        <f t="shared" si="16"/>
        <v>湖北46136</v>
      </c>
      <c r="B538">
        <v>1522</v>
      </c>
      <c r="C538" t="s">
        <v>62</v>
      </c>
      <c r="D538" s="45">
        <v>46136</v>
      </c>
      <c r="F538" s="8">
        <f>SUMIFS(根据产能每天需要鲜销部分!$K:$K,根据产能每天需要鲜销部分!$B:$B,$B538,根据产能每天需要鲜销部分!$G:$G,$C538)</f>
        <v>1600.1031671509299</v>
      </c>
      <c r="G538">
        <f>_xlfn.XLOOKUP($C538,价格系数辅助表!$C:$C,价格系数辅助表!$E:$E)</f>
        <v>0.27335161219757498</v>
      </c>
      <c r="H538">
        <f t="shared" si="17"/>
        <v>2.4387410805672798</v>
      </c>
      <c r="I538" t="str">
        <f>_xlfn.XLOOKUP(B538,'3.屠宰能力表'!B:B,'3.屠宰能力表'!D:D)</f>
        <v>湖北</v>
      </c>
      <c r="J538">
        <f>_xlfn.XLOOKUP(A538,'1.出栏表'!A:A,'1.出栏表'!F:F)</f>
        <v>8.9216268415661997</v>
      </c>
    </row>
    <row r="539" spans="1:10" ht="15" x14ac:dyDescent="0.3">
      <c r="A539" t="str">
        <f t="shared" si="16"/>
        <v>湖北46136</v>
      </c>
      <c r="B539">
        <v>1522</v>
      </c>
      <c r="C539" t="s">
        <v>63</v>
      </c>
      <c r="D539" s="45">
        <v>46136</v>
      </c>
      <c r="F539" s="8">
        <f>SUMIFS(根据产能每天需要鲜销部分!$K:$K,根据产能每天需要鲜销部分!$B:$B,$B539,根据产能每天需要鲜销部分!$G:$G,$C539)</f>
        <v>1343.5251280522</v>
      </c>
      <c r="G539">
        <f>_xlfn.XLOOKUP($C539,价格系数辅助表!$C:$C,价格系数辅助表!$E:$E)</f>
        <v>0.25083638292710098</v>
      </c>
      <c r="H539">
        <f t="shared" si="17"/>
        <v>2.2378686067637998</v>
      </c>
      <c r="I539" t="str">
        <f>_xlfn.XLOOKUP(B539,'3.屠宰能力表'!B:B,'3.屠宰能力表'!D:D)</f>
        <v>湖北</v>
      </c>
      <c r="J539">
        <f>_xlfn.XLOOKUP(A539,'1.出栏表'!A:A,'1.出栏表'!F:F)</f>
        <v>8.9216268415661997</v>
      </c>
    </row>
    <row r="540" spans="1:10" ht="15" x14ac:dyDescent="0.3">
      <c r="A540" t="str">
        <f t="shared" si="16"/>
        <v>湖北46136</v>
      </c>
      <c r="B540">
        <v>1522</v>
      </c>
      <c r="C540" t="s">
        <v>64</v>
      </c>
      <c r="D540" s="45">
        <v>46136</v>
      </c>
      <c r="F540" s="8">
        <f>SUMIFS(根据产能每天需要鲜销部分!$K:$K,根据产能每天需要鲜销部分!$B:$B,$B540,根据产能每天需要鲜销部分!$G:$G,$C540)</f>
        <v>232.358215691884</v>
      </c>
      <c r="G540">
        <f>_xlfn.XLOOKUP($C540,价格系数辅助表!$C:$C,价格系数辅助表!$E:$E)</f>
        <v>0.87755384758256405</v>
      </c>
      <c r="H540">
        <f t="shared" si="17"/>
        <v>7.8292079615122896</v>
      </c>
      <c r="I540" t="str">
        <f>_xlfn.XLOOKUP(B540,'3.屠宰能力表'!B:B,'3.屠宰能力表'!D:D)</f>
        <v>湖北</v>
      </c>
      <c r="J540">
        <f>_xlfn.XLOOKUP(A540,'1.出栏表'!A:A,'1.出栏表'!F:F)</f>
        <v>8.9216268415661997</v>
      </c>
    </row>
    <row r="541" spans="1:10" ht="15" x14ac:dyDescent="0.3">
      <c r="A541" t="str">
        <f t="shared" si="16"/>
        <v>湖北46136</v>
      </c>
      <c r="B541">
        <v>1522</v>
      </c>
      <c r="C541" t="s">
        <v>65</v>
      </c>
      <c r="D541" s="45">
        <v>46136</v>
      </c>
      <c r="F541" s="8">
        <f>SUMIFS(根据产能每天需要鲜销部分!$K:$K,根据产能每天需要鲜销部分!$B:$B,$B541,根据产能每天需要鲜销部分!$G:$G,$C541)</f>
        <v>105.617370769039</v>
      </c>
      <c r="G541">
        <f>_xlfn.XLOOKUP($C541,价格系数辅助表!$C:$C,价格系数辅助表!$E:$E)</f>
        <v>1.02785250036373</v>
      </c>
      <c r="H541">
        <f t="shared" si="17"/>
        <v>9.1701164564160305</v>
      </c>
      <c r="I541" t="str">
        <f>_xlfn.XLOOKUP(B541,'3.屠宰能力表'!B:B,'3.屠宰能力表'!D:D)</f>
        <v>湖北</v>
      </c>
      <c r="J541">
        <f>_xlfn.XLOOKUP(A541,'1.出栏表'!A:A,'1.出栏表'!F:F)</f>
        <v>8.9216268415661997</v>
      </c>
    </row>
    <row r="542" spans="1:10" ht="15" x14ac:dyDescent="0.3">
      <c r="A542" t="str">
        <f t="shared" si="16"/>
        <v>湖北46136</v>
      </c>
      <c r="B542">
        <v>1522</v>
      </c>
      <c r="C542" t="s">
        <v>66</v>
      </c>
      <c r="D542" s="45">
        <v>46136</v>
      </c>
      <c r="F542" s="8">
        <f>SUMIFS(根据产能每天需要鲜销部分!$K:$K,根据产能每天需要鲜销部分!$B:$B,$B542,根据产能每天需要鲜销部分!$G:$G,$C542)</f>
        <v>373.357405668551</v>
      </c>
      <c r="G542">
        <f>_xlfn.XLOOKUP($C542,价格系数辅助表!$C:$C,价格系数辅助表!$E:$E)</f>
        <v>0.29390609194172401</v>
      </c>
      <c r="H542">
        <f t="shared" si="17"/>
        <v>2.6221204787671102</v>
      </c>
      <c r="I542" t="str">
        <f>_xlfn.XLOOKUP(B542,'3.屠宰能力表'!B:B,'3.屠宰能力表'!D:D)</f>
        <v>湖北</v>
      </c>
      <c r="J542">
        <f>_xlfn.XLOOKUP(A542,'1.出栏表'!A:A,'1.出栏表'!F:F)</f>
        <v>8.9216268415661997</v>
      </c>
    </row>
    <row r="543" spans="1:10" ht="15" x14ac:dyDescent="0.3">
      <c r="A543" t="str">
        <f t="shared" si="16"/>
        <v>湖北46136</v>
      </c>
      <c r="B543">
        <v>1522</v>
      </c>
      <c r="C543" t="s">
        <v>67</v>
      </c>
      <c r="D543" s="45">
        <v>46136</v>
      </c>
      <c r="F543" s="8">
        <f>SUMIFS(根据产能每天需要鲜销部分!$K:$K,根据产能每天需要鲜销部分!$B:$B,$B543,根据产能每天需要鲜销部分!$G:$G,$C543)</f>
        <v>4368</v>
      </c>
      <c r="G543">
        <f>_xlfn.XLOOKUP($C543,价格系数辅助表!$C:$C,价格系数辅助表!$E:$E)</f>
        <v>8.7444985304843598E-2</v>
      </c>
      <c r="H543">
        <f t="shared" si="17"/>
        <v>0.78015152805605403</v>
      </c>
      <c r="I543" t="str">
        <f>_xlfn.XLOOKUP(B543,'3.屠宰能力表'!B:B,'3.屠宰能力表'!D:D)</f>
        <v>湖北</v>
      </c>
      <c r="J543">
        <f>_xlfn.XLOOKUP(A543,'1.出栏表'!A:A,'1.出栏表'!F:F)</f>
        <v>8.9216268415661997</v>
      </c>
    </row>
    <row r="544" spans="1:10" ht="15" x14ac:dyDescent="0.3">
      <c r="A544" t="str">
        <f t="shared" si="16"/>
        <v>湖北46136</v>
      </c>
      <c r="B544" t="s">
        <v>177</v>
      </c>
      <c r="C544" t="s">
        <v>41</v>
      </c>
      <c r="D544" s="45">
        <v>46136</v>
      </c>
      <c r="F544" s="8">
        <f>SUMIFS(根据产能每天需要鲜销部分!$K:$K,根据产能每天需要鲜销部分!$B:$B,$B544,根据产能每天需要鲜销部分!$G:$G,$C544)</f>
        <v>47190</v>
      </c>
      <c r="G544">
        <f>_xlfn.XLOOKUP($C544,价格系数辅助表!$C:$C,价格系数辅助表!$E:$E)</f>
        <v>1.1852119074341301</v>
      </c>
      <c r="H544">
        <f t="shared" si="17"/>
        <v>10.5740183663082</v>
      </c>
      <c r="I544" t="str">
        <f>_xlfn.XLOOKUP(B544,'3.屠宰能力表'!B:B,'3.屠宰能力表'!D:D)</f>
        <v>湖北</v>
      </c>
      <c r="J544">
        <f>_xlfn.XLOOKUP(A544,'1.出栏表'!A:A,'1.出栏表'!F:F)</f>
        <v>8.9216268415661997</v>
      </c>
    </row>
    <row r="545" spans="1:10" ht="15" x14ac:dyDescent="0.3">
      <c r="A545" t="str">
        <f t="shared" si="16"/>
        <v>湖北46136</v>
      </c>
      <c r="B545" t="s">
        <v>177</v>
      </c>
      <c r="C545" t="s">
        <v>44</v>
      </c>
      <c r="D545" s="45">
        <v>46136</v>
      </c>
      <c r="F545" s="8">
        <f>SUMIFS(根据产能每天需要鲜销部分!$K:$K,根据产能每天需要鲜销部分!$B:$B,$B545,根据产能每天需要鲜销部分!$G:$G,$C545)</f>
        <v>2860.5876868390801</v>
      </c>
      <c r="G545">
        <f>_xlfn.XLOOKUP($C545,价格系数辅助表!$C:$C,价格系数辅助表!$E:$E)</f>
        <v>0.81317166851852996</v>
      </c>
      <c r="H545">
        <f t="shared" si="17"/>
        <v>7.2548141846560803</v>
      </c>
      <c r="I545" t="str">
        <f>_xlfn.XLOOKUP(B545,'3.屠宰能力表'!B:B,'3.屠宰能力表'!D:D)</f>
        <v>湖北</v>
      </c>
      <c r="J545">
        <f>_xlfn.XLOOKUP(A545,'1.出栏表'!A:A,'1.出栏表'!F:F)</f>
        <v>8.9216268415661997</v>
      </c>
    </row>
    <row r="546" spans="1:10" ht="15" x14ac:dyDescent="0.3">
      <c r="A546" t="str">
        <f t="shared" si="16"/>
        <v>湖北46136</v>
      </c>
      <c r="B546" t="s">
        <v>177</v>
      </c>
      <c r="C546" t="s">
        <v>46</v>
      </c>
      <c r="D546" s="45">
        <v>46136</v>
      </c>
      <c r="F546" s="8">
        <f>SUMIFS(根据产能每天需要鲜销部分!$K:$K,根据产能每天需要鲜销部分!$B:$B,$B546,根据产能每天需要鲜销部分!$G:$G,$C546)</f>
        <v>21.4910071290114</v>
      </c>
      <c r="G546">
        <f>_xlfn.XLOOKUP($C546,价格系数辅助表!$C:$C,价格系数辅助表!$E:$E)</f>
        <v>4.0225512045395799</v>
      </c>
      <c r="H546">
        <f t="shared" si="17"/>
        <v>35.887700797994803</v>
      </c>
      <c r="I546" t="str">
        <f>_xlfn.XLOOKUP(B546,'3.屠宰能力表'!B:B,'3.屠宰能力表'!D:D)</f>
        <v>湖北</v>
      </c>
      <c r="J546">
        <f>_xlfn.XLOOKUP(A546,'1.出栏表'!A:A,'1.出栏表'!F:F)</f>
        <v>8.9216268415661997</v>
      </c>
    </row>
    <row r="547" spans="1:10" ht="15" x14ac:dyDescent="0.3">
      <c r="A547" t="str">
        <f t="shared" si="16"/>
        <v>湖北46136</v>
      </c>
      <c r="B547" t="s">
        <v>177</v>
      </c>
      <c r="C547" t="s">
        <v>47</v>
      </c>
      <c r="D547" s="45">
        <v>46136</v>
      </c>
      <c r="F547" s="8">
        <f>SUMIFS(根据产能每天需要鲜销部分!$K:$K,根据产能每天需要鲜销部分!$B:$B,$B547,根据产能每天需要鲜销部分!$G:$G,$C547)</f>
        <v>202.173830201377</v>
      </c>
      <c r="G547">
        <f>_xlfn.XLOOKUP($C547,价格系数辅助表!$C:$C,价格系数辅助表!$E:$E)</f>
        <v>0.84535964262204399</v>
      </c>
      <c r="H547">
        <f t="shared" si="17"/>
        <v>7.5419832783936398</v>
      </c>
      <c r="I547" t="str">
        <f>_xlfn.XLOOKUP(B547,'3.屠宰能力表'!B:B,'3.屠宰能力表'!D:D)</f>
        <v>湖北</v>
      </c>
      <c r="J547">
        <f>_xlfn.XLOOKUP(A547,'1.出栏表'!A:A,'1.出栏表'!F:F)</f>
        <v>8.9216268415661997</v>
      </c>
    </row>
    <row r="548" spans="1:10" ht="15" x14ac:dyDescent="0.3">
      <c r="A548" t="str">
        <f t="shared" si="16"/>
        <v>湖北46136</v>
      </c>
      <c r="B548" t="s">
        <v>177</v>
      </c>
      <c r="C548" t="s">
        <v>48</v>
      </c>
      <c r="D548" s="45">
        <v>46136</v>
      </c>
      <c r="F548" s="8">
        <f>SUMIFS(根据产能每天需要鲜销部分!$K:$K,根据产能每天需要鲜销部分!$B:$B,$B548,根据产能每天需要鲜销部分!$G:$G,$C548)</f>
        <v>1044.30458328128</v>
      </c>
      <c r="G548">
        <f>_xlfn.XLOOKUP($C548,价格系数辅助表!$C:$C,价格系数辅助表!$E:$E)</f>
        <v>0.37320475421536098</v>
      </c>
      <c r="H548">
        <f t="shared" si="17"/>
        <v>3.3295935526078799</v>
      </c>
      <c r="I548" t="str">
        <f>_xlfn.XLOOKUP(B548,'3.屠宰能力表'!B:B,'3.屠宰能力表'!D:D)</f>
        <v>湖北</v>
      </c>
      <c r="J548">
        <f>_xlfn.XLOOKUP(A548,'1.出栏表'!A:A,'1.出栏表'!F:F)</f>
        <v>8.9216268415661997</v>
      </c>
    </row>
    <row r="549" spans="1:10" ht="15" x14ac:dyDescent="0.3">
      <c r="A549" t="str">
        <f t="shared" si="16"/>
        <v>湖北46136</v>
      </c>
      <c r="B549" t="s">
        <v>177</v>
      </c>
      <c r="C549" t="s">
        <v>49</v>
      </c>
      <c r="D549" s="45">
        <v>46136</v>
      </c>
      <c r="F549" s="8">
        <f>SUMIFS(根据产能每天需要鲜销部分!$K:$K,根据产能每天需要鲜销部分!$B:$B,$B549,根据产能每天需要鲜销部分!$G:$G,$C549)</f>
        <v>204.16456772560699</v>
      </c>
      <c r="G549">
        <f>_xlfn.XLOOKUP($C549,价格系数辅助表!$C:$C,价格系数辅助表!$E:$E)</f>
        <v>1.1550192014842</v>
      </c>
      <c r="H549">
        <f t="shared" si="17"/>
        <v>10.304650310485799</v>
      </c>
      <c r="I549" t="str">
        <f>_xlfn.XLOOKUP(B549,'3.屠宰能力表'!B:B,'3.屠宰能力表'!D:D)</f>
        <v>湖北</v>
      </c>
      <c r="J549">
        <f>_xlfn.XLOOKUP(A549,'1.出栏表'!A:A,'1.出栏表'!F:F)</f>
        <v>8.9216268415661997</v>
      </c>
    </row>
    <row r="550" spans="1:10" ht="15" x14ac:dyDescent="0.3">
      <c r="A550" t="str">
        <f t="shared" si="16"/>
        <v>湖北46136</v>
      </c>
      <c r="B550" t="s">
        <v>177</v>
      </c>
      <c r="C550" t="s">
        <v>50</v>
      </c>
      <c r="D550" s="45">
        <v>46136</v>
      </c>
      <c r="F550" s="8">
        <f>SUMIFS(根据产能每天需要鲜销部分!$K:$K,根据产能每天需要鲜销部分!$B:$B,$B550,根据产能每天需要鲜销部分!$G:$G,$C550)</f>
        <v>714.43672637734301</v>
      </c>
      <c r="G550">
        <f>_xlfn.XLOOKUP($C550,价格系数辅助表!$C:$C,价格系数辅助表!$E:$E)</f>
        <v>1.90800135982928</v>
      </c>
      <c r="H550">
        <f t="shared" si="17"/>
        <v>17.0224761455977</v>
      </c>
      <c r="I550" t="str">
        <f>_xlfn.XLOOKUP(B550,'3.屠宰能力表'!B:B,'3.屠宰能力表'!D:D)</f>
        <v>湖北</v>
      </c>
      <c r="J550">
        <f>_xlfn.XLOOKUP(A550,'1.出栏表'!A:A,'1.出栏表'!F:F)</f>
        <v>8.9216268415661997</v>
      </c>
    </row>
    <row r="551" spans="1:10" ht="15" x14ac:dyDescent="0.3">
      <c r="A551" t="str">
        <f t="shared" si="16"/>
        <v>湖北46136</v>
      </c>
      <c r="B551" t="s">
        <v>177</v>
      </c>
      <c r="C551" t="s">
        <v>51</v>
      </c>
      <c r="D551" s="45">
        <v>46136</v>
      </c>
      <c r="F551" s="8">
        <f>SUMIFS(根据产能每天需要鲜销部分!$K:$K,根据产能每天需要鲜销部分!$B:$B,$B551,根据产能每天需要鲜销部分!$G:$G,$C551)</f>
        <v>327.73785871742302</v>
      </c>
      <c r="G551">
        <f>_xlfn.XLOOKUP($C551,价格系数辅助表!$C:$C,价格系数辅助表!$E:$E)</f>
        <v>2.76783242873949</v>
      </c>
      <c r="H551">
        <f t="shared" si="17"/>
        <v>24.693568089199601</v>
      </c>
      <c r="I551" t="str">
        <f>_xlfn.XLOOKUP(B551,'3.屠宰能力表'!B:B,'3.屠宰能力表'!D:D)</f>
        <v>湖北</v>
      </c>
      <c r="J551">
        <f>_xlfn.XLOOKUP(A551,'1.出栏表'!A:A,'1.出栏表'!F:F)</f>
        <v>8.9216268415661997</v>
      </c>
    </row>
    <row r="552" spans="1:10" ht="15" x14ac:dyDescent="0.3">
      <c r="A552" t="str">
        <f t="shared" si="16"/>
        <v>湖北46136</v>
      </c>
      <c r="B552" t="s">
        <v>177</v>
      </c>
      <c r="C552" t="s">
        <v>52</v>
      </c>
      <c r="D552" s="45">
        <v>46136</v>
      </c>
      <c r="F552" s="8">
        <f>SUMIFS(根据产能每天需要鲜销部分!$K:$K,根据产能每天需要鲜销部分!$B:$B,$B552,根据产能每天需要鲜销部分!$G:$G,$C552)</f>
        <v>274.010340894894</v>
      </c>
      <c r="G552">
        <f>_xlfn.XLOOKUP($C552,价格系数辅助表!$C:$C,价格系数辅助表!$E:$E)</f>
        <v>1.61708641969264</v>
      </c>
      <c r="H552">
        <f t="shared" si="17"/>
        <v>14.427041607062</v>
      </c>
      <c r="I552" t="str">
        <f>_xlfn.XLOOKUP(B552,'3.屠宰能力表'!B:B,'3.屠宰能力表'!D:D)</f>
        <v>湖北</v>
      </c>
      <c r="J552">
        <f>_xlfn.XLOOKUP(A552,'1.出栏表'!A:A,'1.出栏表'!F:F)</f>
        <v>8.9216268415661997</v>
      </c>
    </row>
    <row r="553" spans="1:10" ht="15" x14ac:dyDescent="0.3">
      <c r="A553" t="str">
        <f t="shared" si="16"/>
        <v>湖北46136</v>
      </c>
      <c r="B553" t="s">
        <v>177</v>
      </c>
      <c r="C553" t="s">
        <v>53</v>
      </c>
      <c r="D553" s="45">
        <v>46136</v>
      </c>
      <c r="F553" s="8">
        <f>SUMIFS(根据产能每天需要鲜销部分!$K:$K,根据产能每天需要鲜销部分!$B:$B,$B553,根据产能每天需要鲜销部分!$G:$G,$C553)</f>
        <v>241.773830201377</v>
      </c>
      <c r="G553">
        <f>_xlfn.XLOOKUP($C553,价格系数辅助表!$C:$C,价格系数辅助表!$E:$E)</f>
        <v>1.4850675377364999</v>
      </c>
      <c r="H553">
        <f t="shared" si="17"/>
        <v>13.2492184062086</v>
      </c>
      <c r="I553" t="str">
        <f>_xlfn.XLOOKUP(B553,'3.屠宰能力表'!B:B,'3.屠宰能力表'!D:D)</f>
        <v>湖北</v>
      </c>
      <c r="J553">
        <f>_xlfn.XLOOKUP(A553,'1.出栏表'!A:A,'1.出栏表'!F:F)</f>
        <v>8.9216268415661997</v>
      </c>
    </row>
    <row r="554" spans="1:10" ht="15" x14ac:dyDescent="0.3">
      <c r="A554" t="str">
        <f t="shared" si="16"/>
        <v>湖北46136</v>
      </c>
      <c r="B554" t="s">
        <v>177</v>
      </c>
      <c r="C554" t="s">
        <v>54</v>
      </c>
      <c r="D554" s="45">
        <v>46136</v>
      </c>
      <c r="F554" s="8">
        <f>SUMIFS(根据产能每天需要鲜销部分!$K:$K,根据产能每天需要鲜销部分!$B:$B,$B554,根据产能每天需要鲜销部分!$G:$G,$C554)</f>
        <v>177.30080881434401</v>
      </c>
      <c r="G554">
        <f>_xlfn.XLOOKUP($C554,价格系数辅助表!$C:$C,价格系数辅助表!$E:$E)</f>
        <v>1.8971615295629001</v>
      </c>
      <c r="H554">
        <f t="shared" si="17"/>
        <v>16.9257672249351</v>
      </c>
      <c r="I554" t="str">
        <f>_xlfn.XLOOKUP(B554,'3.屠宰能力表'!B:B,'3.屠宰能力表'!D:D)</f>
        <v>湖北</v>
      </c>
      <c r="J554">
        <f>_xlfn.XLOOKUP(A554,'1.出栏表'!A:A,'1.出栏表'!F:F)</f>
        <v>8.9216268415661997</v>
      </c>
    </row>
    <row r="555" spans="1:10" ht="15" x14ac:dyDescent="0.3">
      <c r="A555" t="str">
        <f t="shared" si="16"/>
        <v>湖北46136</v>
      </c>
      <c r="B555" t="s">
        <v>177</v>
      </c>
      <c r="C555" t="s">
        <v>55</v>
      </c>
      <c r="D555" s="45">
        <v>46136</v>
      </c>
      <c r="F555" s="8">
        <f>SUMIFS(根据产能每天需要鲜销部分!$K:$K,根据产能每天需要鲜销部分!$B:$B,$B555,根据产能每天需要鲜销部分!$G:$G,$C555)</f>
        <v>19.150402392188401</v>
      </c>
      <c r="G555">
        <f>_xlfn.XLOOKUP($C555,价格系数辅助表!$C:$C,价格系数辅助表!$E:$E)</f>
        <v>3.2997148664303801</v>
      </c>
      <c r="H555">
        <f t="shared" si="17"/>
        <v>29.4388247218603</v>
      </c>
      <c r="I555" t="str">
        <f>_xlfn.XLOOKUP(B555,'3.屠宰能力表'!B:B,'3.屠宰能力表'!D:D)</f>
        <v>湖北</v>
      </c>
      <c r="J555">
        <f>_xlfn.XLOOKUP(A555,'1.出栏表'!A:A,'1.出栏表'!F:F)</f>
        <v>8.9216268415661997</v>
      </c>
    </row>
    <row r="556" spans="1:10" ht="15" x14ac:dyDescent="0.3">
      <c r="A556" t="str">
        <f t="shared" si="16"/>
        <v>湖北46136</v>
      </c>
      <c r="B556" t="s">
        <v>177</v>
      </c>
      <c r="C556" t="s">
        <v>57</v>
      </c>
      <c r="D556" s="45">
        <v>46136</v>
      </c>
      <c r="F556" s="8">
        <f>SUMIFS(根据产能每天需要鲜销部分!$K:$K,根据产能每天需要鲜销部分!$B:$B,$B556,根据产能每天需要鲜销部分!$G:$G,$C556)</f>
        <v>676.23156189424401</v>
      </c>
      <c r="G556">
        <f>_xlfn.XLOOKUP($C556,价格系数辅助表!$C:$C,价格系数辅助表!$E:$E)</f>
        <v>0.130070801908548</v>
      </c>
      <c r="H556">
        <f t="shared" si="17"/>
        <v>1.1604431576113401</v>
      </c>
      <c r="I556" t="str">
        <f>_xlfn.XLOOKUP(B556,'3.屠宰能力表'!B:B,'3.屠宰能力表'!D:D)</f>
        <v>湖北</v>
      </c>
      <c r="J556">
        <f>_xlfn.XLOOKUP(A556,'1.出栏表'!A:A,'1.出栏表'!F:F)</f>
        <v>8.9216268415661997</v>
      </c>
    </row>
    <row r="557" spans="1:10" ht="15" x14ac:dyDescent="0.3">
      <c r="A557" t="str">
        <f t="shared" si="16"/>
        <v>湖北46136</v>
      </c>
      <c r="B557" t="s">
        <v>177</v>
      </c>
      <c r="C557" t="s">
        <v>58</v>
      </c>
      <c r="D557" s="45">
        <v>46136</v>
      </c>
      <c r="F557" s="8">
        <f>SUMIFS(根据产能每天需要鲜销部分!$K:$K,根据产能每天需要鲜销部分!$B:$B,$B557,根据产能每天需要鲜销部分!$G:$G,$C557)</f>
        <v>963.636125106554</v>
      </c>
      <c r="G557">
        <f>_xlfn.XLOOKUP($C557,价格系数辅助表!$C:$C,价格系数辅助表!$E:$E)</f>
        <v>0.69784384029908697</v>
      </c>
      <c r="H557">
        <f t="shared" si="17"/>
        <v>6.2259023368339701</v>
      </c>
      <c r="I557" t="str">
        <f>_xlfn.XLOOKUP(B557,'3.屠宰能力表'!B:B,'3.屠宰能力表'!D:D)</f>
        <v>湖北</v>
      </c>
      <c r="J557">
        <f>_xlfn.XLOOKUP(A557,'1.出栏表'!A:A,'1.出栏表'!F:F)</f>
        <v>8.9216268415661997</v>
      </c>
    </row>
    <row r="558" spans="1:10" ht="15" x14ac:dyDescent="0.3">
      <c r="A558" t="str">
        <f t="shared" si="16"/>
        <v>湖北46136</v>
      </c>
      <c r="B558" t="s">
        <v>177</v>
      </c>
      <c r="C558" t="s">
        <v>59</v>
      </c>
      <c r="D558" s="45">
        <v>46136</v>
      </c>
      <c r="F558" s="8">
        <f>SUMIFS(根据产能每天需要鲜销部分!$K:$K,根据产能每天需要鲜销部分!$B:$B,$B558,根据产能每天需要鲜销部分!$G:$G,$C558)</f>
        <v>971.44044071717303</v>
      </c>
      <c r="G558">
        <f>_xlfn.XLOOKUP($C558,价格系数辅助表!$C:$C,价格系数辅助表!$E:$E)</f>
        <v>0.456447335288171</v>
      </c>
      <c r="H558">
        <f t="shared" si="17"/>
        <v>4.0722527982683099</v>
      </c>
      <c r="I558" t="str">
        <f>_xlfn.XLOOKUP(B558,'3.屠宰能力表'!B:B,'3.屠宰能力表'!D:D)</f>
        <v>湖北</v>
      </c>
      <c r="J558">
        <f>_xlfn.XLOOKUP(A558,'1.出栏表'!A:A,'1.出栏表'!F:F)</f>
        <v>8.9216268415661997</v>
      </c>
    </row>
    <row r="559" spans="1:10" ht="15" x14ac:dyDescent="0.3">
      <c r="A559" t="str">
        <f t="shared" si="16"/>
        <v>湖北46136</v>
      </c>
      <c r="B559" t="s">
        <v>177</v>
      </c>
      <c r="C559" t="s">
        <v>60</v>
      </c>
      <c r="D559" s="45">
        <v>46136</v>
      </c>
      <c r="F559" s="8">
        <f>SUMIFS(根据产能每天需要鲜销部分!$K:$K,根据产能每天需要鲜销部分!$B:$B,$B559,根据产能每天需要鲜销部分!$G:$G,$C559)</f>
        <v>450.57598703962702</v>
      </c>
      <c r="G559">
        <f>_xlfn.XLOOKUP($C559,价格系数辅助表!$C:$C,价格系数辅助表!$E:$E)</f>
        <v>0.30253913346115902</v>
      </c>
      <c r="H559">
        <f t="shared" si="17"/>
        <v>2.69914125371126</v>
      </c>
      <c r="I559" t="str">
        <f>_xlfn.XLOOKUP(B559,'3.屠宰能力表'!B:B,'3.屠宰能力表'!D:D)</f>
        <v>湖北</v>
      </c>
      <c r="J559">
        <f>_xlfn.XLOOKUP(A559,'1.出栏表'!A:A,'1.出栏表'!F:F)</f>
        <v>8.9216268415661997</v>
      </c>
    </row>
    <row r="560" spans="1:10" ht="15" x14ac:dyDescent="0.3">
      <c r="A560" t="str">
        <f t="shared" si="16"/>
        <v>湖北46136</v>
      </c>
      <c r="B560" t="s">
        <v>177</v>
      </c>
      <c r="C560" t="s">
        <v>61</v>
      </c>
      <c r="D560" s="45">
        <v>46136</v>
      </c>
      <c r="F560" s="8">
        <f>SUMIFS(根据产能每天需要鲜销部分!$K:$K,根据产能每天需要鲜销部分!$B:$B,$B560,根据产能每天需要鲜销部分!$G:$G,$C560)</f>
        <v>515.78417109627196</v>
      </c>
      <c r="G560">
        <f>_xlfn.XLOOKUP($C560,价格系数辅助表!$C:$C,价格系数辅助表!$E:$E)</f>
        <v>5.2234050059701297E-2</v>
      </c>
      <c r="H560">
        <f t="shared" si="17"/>
        <v>0.46601270305634401</v>
      </c>
      <c r="I560" t="str">
        <f>_xlfn.XLOOKUP(B560,'3.屠宰能力表'!B:B,'3.屠宰能力表'!D:D)</f>
        <v>湖北</v>
      </c>
      <c r="J560">
        <f>_xlfn.XLOOKUP(A560,'1.出栏表'!A:A,'1.出栏表'!F:F)</f>
        <v>8.9216268415661997</v>
      </c>
    </row>
    <row r="561" spans="1:10" ht="15" x14ac:dyDescent="0.3">
      <c r="A561" t="str">
        <f t="shared" si="16"/>
        <v>湖北46136</v>
      </c>
      <c r="B561" t="s">
        <v>177</v>
      </c>
      <c r="C561" t="s">
        <v>62</v>
      </c>
      <c r="D561" s="45">
        <v>46136</v>
      </c>
      <c r="F561" s="8">
        <f>SUMIFS(根据产能每天需要鲜销部分!$K:$K,根据产能每天需要鲜销部分!$B:$B,$B561,根据产能每天需要鲜销部分!$G:$G,$C561)</f>
        <v>483.54766040275501</v>
      </c>
      <c r="G561">
        <f>_xlfn.XLOOKUP($C561,价格系数辅助表!$C:$C,价格系数辅助表!$E:$E)</f>
        <v>0.27335161219757498</v>
      </c>
      <c r="H561">
        <f t="shared" si="17"/>
        <v>2.4387410805672798</v>
      </c>
      <c r="I561" t="str">
        <f>_xlfn.XLOOKUP(B561,'3.屠宰能力表'!B:B,'3.屠宰能力表'!D:D)</f>
        <v>湖北</v>
      </c>
      <c r="J561">
        <f>_xlfn.XLOOKUP(A561,'1.出栏表'!A:A,'1.出栏表'!F:F)</f>
        <v>8.9216268415661997</v>
      </c>
    </row>
    <row r="562" spans="1:10" ht="15" x14ac:dyDescent="0.3">
      <c r="A562" t="str">
        <f t="shared" si="16"/>
        <v>湖北46136</v>
      </c>
      <c r="B562" t="s">
        <v>177</v>
      </c>
      <c r="C562" t="s">
        <v>63</v>
      </c>
      <c r="D562" s="45">
        <v>46136</v>
      </c>
      <c r="F562" s="8">
        <f>SUMIFS(根据产能每天需要鲜销部分!$K:$K,根据产能每天需要鲜销部分!$B:$B,$B562,根据产能每天需要鲜销部分!$G:$G,$C562)</f>
        <v>406.010340894894</v>
      </c>
      <c r="G562">
        <f>_xlfn.XLOOKUP($C562,价格系数辅助表!$C:$C,价格系数辅助表!$E:$E)</f>
        <v>0.25083638292710098</v>
      </c>
      <c r="H562">
        <f t="shared" si="17"/>
        <v>2.2378686067637998</v>
      </c>
      <c r="I562" t="str">
        <f>_xlfn.XLOOKUP(B562,'3.屠宰能力表'!B:B,'3.屠宰能力表'!D:D)</f>
        <v>湖北</v>
      </c>
      <c r="J562">
        <f>_xlfn.XLOOKUP(A562,'1.出栏表'!A:A,'1.出栏表'!F:F)</f>
        <v>8.9216268415661997</v>
      </c>
    </row>
    <row r="563" spans="1:10" ht="15" x14ac:dyDescent="0.3">
      <c r="A563" t="str">
        <f t="shared" si="16"/>
        <v>湖北46136</v>
      </c>
      <c r="B563" t="s">
        <v>177</v>
      </c>
      <c r="C563" t="s">
        <v>64</v>
      </c>
      <c r="D563" s="45">
        <v>46136</v>
      </c>
      <c r="F563" s="8">
        <f>SUMIFS(根据产能每天需要鲜销部分!$K:$K,根据产能每天需要鲜销部分!$B:$B,$B563,根据产能每天需要鲜销部分!$G:$G,$C563)</f>
        <v>70.218142104690401</v>
      </c>
      <c r="G563">
        <f>_xlfn.XLOOKUP($C563,价格系数辅助表!$C:$C,价格系数辅助表!$E:$E)</f>
        <v>0.87755384758256405</v>
      </c>
      <c r="H563">
        <f t="shared" si="17"/>
        <v>7.8292079615122896</v>
      </c>
      <c r="I563" t="str">
        <f>_xlfn.XLOOKUP(B563,'3.屠宰能力表'!B:B,'3.屠宰能力表'!D:D)</f>
        <v>湖北</v>
      </c>
      <c r="J563">
        <f>_xlfn.XLOOKUP(A563,'1.出栏表'!A:A,'1.出栏表'!F:F)</f>
        <v>8.9216268415661997</v>
      </c>
    </row>
    <row r="564" spans="1:10" ht="15" x14ac:dyDescent="0.3">
      <c r="A564" t="str">
        <f t="shared" si="16"/>
        <v>湖北46136</v>
      </c>
      <c r="B564" t="s">
        <v>177</v>
      </c>
      <c r="C564" t="s">
        <v>65</v>
      </c>
      <c r="D564" s="45">
        <v>46136</v>
      </c>
      <c r="F564" s="8">
        <f>SUMIFS(根据产能每天需要鲜销部分!$K:$K,根据产能每天需要鲜销部分!$B:$B,$B564,根据产能每天需要鲜销部分!$G:$G,$C564)</f>
        <v>31.917337320313901</v>
      </c>
      <c r="G564">
        <f>_xlfn.XLOOKUP($C564,价格系数辅助表!$C:$C,价格系数辅助表!$E:$E)</f>
        <v>1.02785250036373</v>
      </c>
      <c r="H564">
        <f t="shared" si="17"/>
        <v>9.1701164564160305</v>
      </c>
      <c r="I564" t="str">
        <f>_xlfn.XLOOKUP(B564,'3.屠宰能力表'!B:B,'3.屠宰能力表'!D:D)</f>
        <v>湖北</v>
      </c>
      <c r="J564">
        <f>_xlfn.XLOOKUP(A564,'1.出栏表'!A:A,'1.出栏表'!F:F)</f>
        <v>8.9216268415661997</v>
      </c>
    </row>
    <row r="565" spans="1:10" ht="15" x14ac:dyDescent="0.3">
      <c r="A565" t="str">
        <f t="shared" si="16"/>
        <v>湖北46136</v>
      </c>
      <c r="B565" t="s">
        <v>177</v>
      </c>
      <c r="C565" t="s">
        <v>66</v>
      </c>
      <c r="D565" s="45">
        <v>46136</v>
      </c>
      <c r="F565" s="8">
        <f>SUMIFS(根据产能每天需要鲜销部分!$K:$K,根据产能每天需要鲜销部分!$B:$B,$B565,根据产能每天需要鲜销部分!$G:$G,$C565)</f>
        <v>112.827787427309</v>
      </c>
      <c r="G565">
        <f>_xlfn.XLOOKUP($C565,价格系数辅助表!$C:$C,价格系数辅助表!$E:$E)</f>
        <v>0.29390609194172401</v>
      </c>
      <c r="H565">
        <f t="shared" si="17"/>
        <v>2.6221204787671102</v>
      </c>
      <c r="I565" t="str">
        <f>_xlfn.XLOOKUP(B565,'3.屠宰能力表'!B:B,'3.屠宰能力表'!D:D)</f>
        <v>湖北</v>
      </c>
      <c r="J565">
        <f>_xlfn.XLOOKUP(A565,'1.出栏表'!A:A,'1.出栏表'!F:F)</f>
        <v>8.9216268415661997</v>
      </c>
    </row>
    <row r="566" spans="1:10" ht="15" x14ac:dyDescent="0.3">
      <c r="A566" t="str">
        <f t="shared" si="16"/>
        <v>湖北46136</v>
      </c>
      <c r="B566" t="s">
        <v>177</v>
      </c>
      <c r="C566" t="s">
        <v>67</v>
      </c>
      <c r="D566" s="45">
        <v>46136</v>
      </c>
      <c r="F566" s="8">
        <f>SUMIFS(根据产能每天需要鲜销部分!$K:$K,根据产能每天需要鲜销部分!$B:$B,$B566,根据产能每天需要鲜销部分!$G:$G,$C566)</f>
        <v>1320</v>
      </c>
      <c r="G566">
        <f>_xlfn.XLOOKUP($C566,价格系数辅助表!$C:$C,价格系数辅助表!$E:$E)</f>
        <v>8.7444985304843598E-2</v>
      </c>
      <c r="H566">
        <f t="shared" si="17"/>
        <v>0.78015152805605403</v>
      </c>
      <c r="I566" t="str">
        <f>_xlfn.XLOOKUP(B566,'3.屠宰能力表'!B:B,'3.屠宰能力表'!D:D)</f>
        <v>湖北</v>
      </c>
      <c r="J566">
        <f>_xlfn.XLOOKUP(A566,'1.出栏表'!A:A,'1.出栏表'!F:F)</f>
        <v>8.9216268415661997</v>
      </c>
    </row>
    <row r="567" spans="1:10" ht="15" x14ac:dyDescent="0.3">
      <c r="A567" t="str">
        <f t="shared" si="16"/>
        <v>江西46136</v>
      </c>
      <c r="B567" t="s">
        <v>179</v>
      </c>
      <c r="C567" t="s">
        <v>41</v>
      </c>
      <c r="D567" s="45">
        <v>46136</v>
      </c>
      <c r="F567" s="8">
        <f>SUMIFS(根据产能每天需要鲜销部分!$K:$K,根据产能每天需要鲜销部分!$B:$B,$B567,根据产能每天需要鲜销部分!$G:$G,$C567)</f>
        <v>31746</v>
      </c>
      <c r="G567">
        <f>_xlfn.XLOOKUP($C567,价格系数辅助表!$C:$C,价格系数辅助表!$E:$E)</f>
        <v>1.1852119074341301</v>
      </c>
      <c r="H567">
        <f t="shared" si="17"/>
        <v>10.6874492451295</v>
      </c>
      <c r="I567" t="str">
        <f>_xlfn.XLOOKUP(B567,'3.屠宰能力表'!B:B,'3.屠宰能力表'!D:D)</f>
        <v>江西</v>
      </c>
      <c r="J567">
        <f>_xlfn.XLOOKUP(A567,'1.出栏表'!A:A,'1.出栏表'!F:F)</f>
        <v>9.0173319877175597</v>
      </c>
    </row>
    <row r="568" spans="1:10" ht="15" x14ac:dyDescent="0.3">
      <c r="A568" t="str">
        <f t="shared" si="16"/>
        <v>江西46136</v>
      </c>
      <c r="B568" t="s">
        <v>179</v>
      </c>
      <c r="C568" t="s">
        <v>44</v>
      </c>
      <c r="D568" s="45">
        <v>46136</v>
      </c>
      <c r="F568" s="8">
        <f>SUMIFS(根据产能每天需要鲜销部分!$K:$K,根据产能每天需要鲜销部分!$B:$B,$B568,根据产能每天需要鲜销部分!$G:$G,$C568)</f>
        <v>7125.4638744900703</v>
      </c>
      <c r="G568">
        <f>_xlfn.XLOOKUP($C568,价格系数辅助表!$C:$C,价格系数辅助表!$E:$E)</f>
        <v>0.81317166851852996</v>
      </c>
      <c r="H568">
        <f t="shared" si="17"/>
        <v>7.3326388980377999</v>
      </c>
      <c r="I568" t="str">
        <f>_xlfn.XLOOKUP(B568,'3.屠宰能力表'!B:B,'3.屠宰能力表'!D:D)</f>
        <v>江西</v>
      </c>
      <c r="J568">
        <f>_xlfn.XLOOKUP(A568,'1.出栏表'!A:A,'1.出栏表'!F:F)</f>
        <v>9.0173319877175597</v>
      </c>
    </row>
    <row r="569" spans="1:10" ht="15" x14ac:dyDescent="0.3">
      <c r="A569" t="str">
        <f t="shared" si="16"/>
        <v>江西46136</v>
      </c>
      <c r="B569" t="s">
        <v>179</v>
      </c>
      <c r="C569" t="s">
        <v>46</v>
      </c>
      <c r="D569" s="45">
        <v>46136</v>
      </c>
      <c r="F569" s="8">
        <f>SUMIFS(根据产能每天需要鲜销部分!$K:$K,根据产能每天需要鲜销部分!$B:$B,$B569,根据产能每天需要鲜销部分!$G:$G,$C569)</f>
        <v>53.5321450304465</v>
      </c>
      <c r="G569">
        <f>_xlfn.XLOOKUP($C569,价格系数辅助表!$C:$C,价格系数辅助表!$E:$E)</f>
        <v>4.0225512045395799</v>
      </c>
      <c r="H569">
        <f t="shared" si="17"/>
        <v>36.272679648926598</v>
      </c>
      <c r="I569" t="str">
        <f>_xlfn.XLOOKUP(B569,'3.屠宰能力表'!B:B,'3.屠宰能力表'!D:D)</f>
        <v>江西</v>
      </c>
      <c r="J569">
        <f>_xlfn.XLOOKUP(A569,'1.出栏表'!A:A,'1.出栏表'!F:F)</f>
        <v>9.0173319877175597</v>
      </c>
    </row>
    <row r="570" spans="1:10" ht="15" x14ac:dyDescent="0.3">
      <c r="A570" t="str">
        <f t="shared" si="16"/>
        <v>江西46136</v>
      </c>
      <c r="B570" t="s">
        <v>179</v>
      </c>
      <c r="C570" t="s">
        <v>47</v>
      </c>
      <c r="D570" s="45">
        <v>46136</v>
      </c>
      <c r="F570" s="8">
        <f>SUMIFS(根据产能每天需要鲜销部分!$K:$K,根据产能每天需要鲜销部分!$B:$B,$B570,根据产能每天需要鲜销部分!$G:$G,$C570)</f>
        <v>503.59663159252199</v>
      </c>
      <c r="G570">
        <f>_xlfn.XLOOKUP($C570,价格系数辅助表!$C:$C,价格系数辅助表!$E:$E)</f>
        <v>0.84535964262204399</v>
      </c>
      <c r="H570">
        <f t="shared" si="17"/>
        <v>7.6228885465412404</v>
      </c>
      <c r="I570" t="str">
        <f>_xlfn.XLOOKUP(B570,'3.屠宰能力表'!B:B,'3.屠宰能力表'!D:D)</f>
        <v>江西</v>
      </c>
      <c r="J570">
        <f>_xlfn.XLOOKUP(A570,'1.出栏表'!A:A,'1.出栏表'!F:F)</f>
        <v>9.0173319877175597</v>
      </c>
    </row>
    <row r="571" spans="1:10" ht="15" x14ac:dyDescent="0.3">
      <c r="A571" t="str">
        <f t="shared" si="16"/>
        <v>江西46136</v>
      </c>
      <c r="B571" t="s">
        <v>179</v>
      </c>
      <c r="C571" t="s">
        <v>48</v>
      </c>
      <c r="D571" s="45">
        <v>46136</v>
      </c>
      <c r="F571" s="8">
        <f>SUMIFS(根据产能每天需要鲜销部分!$K:$K,根据产能每天需要鲜销部分!$B:$B,$B571,根据产能每天需要鲜销部分!$G:$G,$C571)</f>
        <v>2601.2677801733698</v>
      </c>
      <c r="G571">
        <f>_xlfn.XLOOKUP($C571,价格系数辅助表!$C:$C,价格系数辅助表!$E:$E)</f>
        <v>0.37320475421536098</v>
      </c>
      <c r="H571">
        <f t="shared" si="17"/>
        <v>3.3653111681544399</v>
      </c>
      <c r="I571" t="str">
        <f>_xlfn.XLOOKUP(B571,'3.屠宰能力表'!B:B,'3.屠宰能力表'!D:D)</f>
        <v>江西</v>
      </c>
      <c r="J571">
        <f>_xlfn.XLOOKUP(A571,'1.出栏表'!A:A,'1.出栏表'!F:F)</f>
        <v>9.0173319877175597</v>
      </c>
    </row>
    <row r="572" spans="1:10" ht="15" x14ac:dyDescent="0.3">
      <c r="A572" t="str">
        <f t="shared" si="16"/>
        <v>江西46136</v>
      </c>
      <c r="B572" t="s">
        <v>179</v>
      </c>
      <c r="C572" t="s">
        <v>49</v>
      </c>
      <c r="D572" s="45">
        <v>46136</v>
      </c>
      <c r="F572" s="8">
        <f>SUMIFS(根据产能每天需要鲜销部分!$K:$K,根据产能每天需要鲜销部分!$B:$B,$B572,根据产能每天需要鲜销部分!$G:$G,$C572)</f>
        <v>508.55537778924003</v>
      </c>
      <c r="G572">
        <f>_xlfn.XLOOKUP($C572,价格系数辅助表!$C:$C,价格系数辅助表!$E:$E)</f>
        <v>1.1550192014842</v>
      </c>
      <c r="H572">
        <f t="shared" si="17"/>
        <v>10.4151915919714</v>
      </c>
      <c r="I572" t="str">
        <f>_xlfn.XLOOKUP(B572,'3.屠宰能力表'!B:B,'3.屠宰能力表'!D:D)</f>
        <v>江西</v>
      </c>
      <c r="J572">
        <f>_xlfn.XLOOKUP(A572,'1.出栏表'!A:A,'1.出栏表'!F:F)</f>
        <v>9.0173319877175597</v>
      </c>
    </row>
    <row r="573" spans="1:10" ht="15" x14ac:dyDescent="0.3">
      <c r="A573" t="str">
        <f t="shared" si="16"/>
        <v>江西46136</v>
      </c>
      <c r="B573" t="s">
        <v>179</v>
      </c>
      <c r="C573" t="s">
        <v>50</v>
      </c>
      <c r="D573" s="45">
        <v>46136</v>
      </c>
      <c r="F573" s="8">
        <f>SUMIFS(根据产能每天需要鲜销部分!$K:$K,根据产能每天需要鲜销部分!$B:$B,$B573,根据产能每天需要鲜销部分!$G:$G,$C573)</f>
        <v>1779.5969366126501</v>
      </c>
      <c r="G573">
        <f>_xlfn.XLOOKUP($C573,价格系数辅助表!$C:$C,价格系数辅助表!$E:$E)</f>
        <v>1.90800135982928</v>
      </c>
      <c r="H573">
        <f t="shared" si="17"/>
        <v>17.205081694597201</v>
      </c>
      <c r="I573" t="str">
        <f>_xlfn.XLOOKUP(B573,'3.屠宰能力表'!B:B,'3.屠宰能力表'!D:D)</f>
        <v>江西</v>
      </c>
      <c r="J573">
        <f>_xlfn.XLOOKUP(A573,'1.出栏表'!A:A,'1.出栏表'!F:F)</f>
        <v>9.0173319877175597</v>
      </c>
    </row>
    <row r="574" spans="1:10" ht="15" x14ac:dyDescent="0.3">
      <c r="A574" t="str">
        <f t="shared" si="16"/>
        <v>江西46136</v>
      </c>
      <c r="B574" t="s">
        <v>179</v>
      </c>
      <c r="C574" t="s">
        <v>51</v>
      </c>
      <c r="D574" s="45">
        <v>46136</v>
      </c>
      <c r="F574" s="8">
        <f>SUMIFS(根据产能每天需要鲜销部分!$K:$K,根据产能每天需要鲜销部分!$B:$B,$B574,根据产能每天需要鲜销部分!$G:$G,$C574)</f>
        <v>816.36521171430695</v>
      </c>
      <c r="G574">
        <f>_xlfn.XLOOKUP($C574,价格系数辅助表!$C:$C,价格系数辅助表!$E:$E)</f>
        <v>2.76783242873949</v>
      </c>
      <c r="H574">
        <f t="shared" si="17"/>
        <v>24.958463896314601</v>
      </c>
      <c r="I574" t="str">
        <f>_xlfn.XLOOKUP(B574,'3.屠宰能力表'!B:B,'3.屠宰能力表'!D:D)</f>
        <v>江西</v>
      </c>
      <c r="J574">
        <f>_xlfn.XLOOKUP(A574,'1.出栏表'!A:A,'1.出栏表'!F:F)</f>
        <v>9.0173319877175597</v>
      </c>
    </row>
    <row r="575" spans="1:10" ht="15" x14ac:dyDescent="0.3">
      <c r="A575" t="str">
        <f t="shared" si="16"/>
        <v>江西46136</v>
      </c>
      <c r="B575" t="s">
        <v>179</v>
      </c>
      <c r="C575" t="s">
        <v>52</v>
      </c>
      <c r="D575" s="45">
        <v>46136</v>
      </c>
      <c r="F575" s="8">
        <f>SUMIFS(根据产能每天需要鲜销部分!$K:$K,根据产能每天需要鲜销部分!$B:$B,$B575,根据产能每天需要鲜销部分!$G:$G,$C575)</f>
        <v>682.53484913819102</v>
      </c>
      <c r="G575">
        <f>_xlfn.XLOOKUP($C575,价格系数辅助表!$C:$C,价格系数辅助表!$E:$E)</f>
        <v>1.61708641969264</v>
      </c>
      <c r="H575">
        <f t="shared" si="17"/>
        <v>14.5818050991981</v>
      </c>
      <c r="I575" t="str">
        <f>_xlfn.XLOOKUP(B575,'3.屠宰能力表'!B:B,'3.屠宰能力表'!D:D)</f>
        <v>江西</v>
      </c>
      <c r="J575">
        <f>_xlfn.XLOOKUP(A575,'1.出栏表'!A:A,'1.出栏表'!F:F)</f>
        <v>9.0173319877175597</v>
      </c>
    </row>
    <row r="576" spans="1:10" ht="15" x14ac:dyDescent="0.3">
      <c r="A576" t="str">
        <f t="shared" si="16"/>
        <v>江西46136</v>
      </c>
      <c r="B576" t="s">
        <v>179</v>
      </c>
      <c r="C576" t="s">
        <v>53</v>
      </c>
      <c r="D576" s="45">
        <v>46136</v>
      </c>
      <c r="F576" s="8">
        <f>SUMIFS(根据产能每天需要鲜销部分!$K:$K,根据产能每天需要鲜销部分!$B:$B,$B576,根据产能每天需要鲜销部分!$G:$G,$C576)</f>
        <v>602.23663159252203</v>
      </c>
      <c r="G576">
        <f>_xlfn.XLOOKUP($C576,价格系数辅助表!$C:$C,价格系数辅助表!$E:$E)</f>
        <v>1.4850675377364999</v>
      </c>
      <c r="H576">
        <f t="shared" si="17"/>
        <v>13.3913470119523</v>
      </c>
      <c r="I576" t="str">
        <f>_xlfn.XLOOKUP(B576,'3.屠宰能力表'!B:B,'3.屠宰能力表'!D:D)</f>
        <v>江西</v>
      </c>
      <c r="J576">
        <f>_xlfn.XLOOKUP(A576,'1.出栏表'!A:A,'1.出栏表'!F:F)</f>
        <v>9.0173319877175597</v>
      </c>
    </row>
    <row r="577" spans="1:10" ht="15" x14ac:dyDescent="0.3">
      <c r="A577" t="str">
        <f t="shared" si="16"/>
        <v>江西46136</v>
      </c>
      <c r="B577" t="s">
        <v>179</v>
      </c>
      <c r="C577" t="s">
        <v>54</v>
      </c>
      <c r="D577" s="45">
        <v>46136</v>
      </c>
      <c r="F577" s="8">
        <f>SUMIFS(根据产能每天需要鲜销部分!$K:$K,根据产能每天需要鲜销部分!$B:$B,$B577,根据产能每天需要鲜销部分!$G:$G,$C577)</f>
        <v>441.64019650118303</v>
      </c>
      <c r="G577">
        <f>_xlfn.XLOOKUP($C577,价格系数辅助表!$C:$C,价格系数辅助表!$E:$E)</f>
        <v>1.8971615295629001</v>
      </c>
      <c r="H577">
        <f t="shared" si="17"/>
        <v>17.107335346394699</v>
      </c>
      <c r="I577" t="str">
        <f>_xlfn.XLOOKUP(B577,'3.屠宰能力表'!B:B,'3.屠宰能力表'!D:D)</f>
        <v>江西</v>
      </c>
      <c r="J577">
        <f>_xlfn.XLOOKUP(A577,'1.出栏表'!A:A,'1.出栏表'!F:F)</f>
        <v>9.0173319877175597</v>
      </c>
    </row>
    <row r="578" spans="1:10" ht="15" x14ac:dyDescent="0.3">
      <c r="A578" t="str">
        <f t="shared" si="16"/>
        <v>江西46136</v>
      </c>
      <c r="B578" t="s">
        <v>179</v>
      </c>
      <c r="C578" t="s">
        <v>55</v>
      </c>
      <c r="D578" s="45">
        <v>46136</v>
      </c>
      <c r="F578" s="8">
        <f>SUMIFS(根据产能每天需要鲜销部分!$K:$K,根据产能每天需要鲜销部分!$B:$B,$B578,根据产能每天需要鲜销部分!$G:$G,$C578)</f>
        <v>47.701911413269201</v>
      </c>
      <c r="G578">
        <f>_xlfn.XLOOKUP($C578,价格系数辅助表!$C:$C,价格系数辅助表!$E:$E)</f>
        <v>3.2997148664303801</v>
      </c>
      <c r="H578">
        <f t="shared" si="17"/>
        <v>29.754624415409801</v>
      </c>
      <c r="I578" t="str">
        <f>_xlfn.XLOOKUP(B578,'3.屠宰能力表'!B:B,'3.屠宰能力表'!D:D)</f>
        <v>江西</v>
      </c>
      <c r="J578">
        <f>_xlfn.XLOOKUP(A578,'1.出栏表'!A:A,'1.出栏表'!F:F)</f>
        <v>9.0173319877175597</v>
      </c>
    </row>
    <row r="579" spans="1:10" ht="15" x14ac:dyDescent="0.3">
      <c r="A579" t="str">
        <f t="shared" ref="A579:A642" si="18">I579&amp;D579</f>
        <v>江西46136</v>
      </c>
      <c r="B579" t="s">
        <v>179</v>
      </c>
      <c r="C579" t="s">
        <v>57</v>
      </c>
      <c r="D579" s="45">
        <v>46136</v>
      </c>
      <c r="F579" s="8">
        <f>SUMIFS(根据产能每天需要鲜销部分!$K:$K,根据产能每天需要鲜销部分!$B:$B,$B579,根据产能每天需要鲜销部分!$G:$G,$C579)</f>
        <v>1684.43134508203</v>
      </c>
      <c r="G579">
        <f>_xlfn.XLOOKUP($C579,价格系数辅助表!$C:$C,价格系数辅助表!$E:$E)</f>
        <v>0.130070801908548</v>
      </c>
      <c r="H579">
        <f t="shared" ref="H579:H642" si="19">G579*$J579</f>
        <v>1.1728916027180201</v>
      </c>
      <c r="I579" t="str">
        <f>_xlfn.XLOOKUP(B579,'3.屠宰能力表'!B:B,'3.屠宰能力表'!D:D)</f>
        <v>江西</v>
      </c>
      <c r="J579">
        <f>_xlfn.XLOOKUP(A579,'1.出栏表'!A:A,'1.出栏表'!F:F)</f>
        <v>9.0173319877175597</v>
      </c>
    </row>
    <row r="580" spans="1:10" ht="15" x14ac:dyDescent="0.3">
      <c r="A580" t="str">
        <f t="shared" si="18"/>
        <v>江西46136</v>
      </c>
      <c r="B580" t="s">
        <v>179</v>
      </c>
      <c r="C580" t="s">
        <v>58</v>
      </c>
      <c r="D580" s="45">
        <v>46136</v>
      </c>
      <c r="F580" s="8">
        <f>SUMIFS(根据产能每天需要鲜销部分!$K:$K,根据产能每天需要鲜销部分!$B:$B,$B580,根据产能每天需要鲜销部分!$G:$G,$C580)</f>
        <v>2400.32998435632</v>
      </c>
      <c r="G580">
        <f>_xlfn.XLOOKUP($C580,价格系数辅助表!$C:$C,价格系数辅助表!$E:$E)</f>
        <v>0.69784384029908697</v>
      </c>
      <c r="H580">
        <f t="shared" si="19"/>
        <v>6.2926895835606196</v>
      </c>
      <c r="I580" t="str">
        <f>_xlfn.XLOOKUP(B580,'3.屠宰能力表'!B:B,'3.屠宰能力表'!D:D)</f>
        <v>江西</v>
      </c>
      <c r="J580">
        <f>_xlfn.XLOOKUP(A580,'1.出栏表'!A:A,'1.出栏表'!F:F)</f>
        <v>9.0173319877175597</v>
      </c>
    </row>
    <row r="581" spans="1:10" ht="15" x14ac:dyDescent="0.3">
      <c r="A581" t="str">
        <f t="shared" si="18"/>
        <v>江西46136</v>
      </c>
      <c r="B581" t="s">
        <v>179</v>
      </c>
      <c r="C581" t="s">
        <v>59</v>
      </c>
      <c r="D581" s="45">
        <v>46136</v>
      </c>
      <c r="F581" s="8">
        <f>SUMIFS(根据产能每天需要鲜销部分!$K:$K,根据产能每天需要鲜销部分!$B:$B,$B581,根据产能每天需要鲜销部分!$G:$G,$C581)</f>
        <v>2419.7698250591402</v>
      </c>
      <c r="G581">
        <f>_xlfn.XLOOKUP($C581,价格系数辅助表!$C:$C,价格系数辅助表!$E:$E)</f>
        <v>0.456447335288171</v>
      </c>
      <c r="H581">
        <f t="shared" si="19"/>
        <v>4.1159371572024597</v>
      </c>
      <c r="I581" t="str">
        <f>_xlfn.XLOOKUP(B581,'3.屠宰能力表'!B:B,'3.屠宰能力表'!D:D)</f>
        <v>江西</v>
      </c>
      <c r="J581">
        <f>_xlfn.XLOOKUP(A581,'1.出栏表'!A:A,'1.出栏表'!F:F)</f>
        <v>9.0173319877175597</v>
      </c>
    </row>
    <row r="582" spans="1:10" ht="15" x14ac:dyDescent="0.3">
      <c r="A582" t="str">
        <f t="shared" si="18"/>
        <v>江西46136</v>
      </c>
      <c r="B582" t="s">
        <v>179</v>
      </c>
      <c r="C582" t="s">
        <v>60</v>
      </c>
      <c r="D582" s="45">
        <v>46136</v>
      </c>
      <c r="F582" s="8">
        <f>SUMIFS(根据产能每天需要鲜销部分!$K:$K,根据产能每天需要鲜销部分!$B:$B,$B582,根据产能每天需要鲜销部分!$G:$G,$C582)</f>
        <v>1122.3438222623399</v>
      </c>
      <c r="G582">
        <f>_xlfn.XLOOKUP($C582,价格系数辅助表!$C:$C,价格系数辅助表!$E:$E)</f>
        <v>0.30253913346115902</v>
      </c>
      <c r="H582">
        <f t="shared" si="19"/>
        <v>2.7280958056956601</v>
      </c>
      <c r="I582" t="str">
        <f>_xlfn.XLOOKUP(B582,'3.屠宰能力表'!B:B,'3.屠宰能力表'!D:D)</f>
        <v>江西</v>
      </c>
      <c r="J582">
        <f>_xlfn.XLOOKUP(A582,'1.出栏表'!A:A,'1.出栏表'!F:F)</f>
        <v>9.0173319877175597</v>
      </c>
    </row>
    <row r="583" spans="1:10" ht="15" x14ac:dyDescent="0.3">
      <c r="A583" t="str">
        <f t="shared" si="18"/>
        <v>江西46136</v>
      </c>
      <c r="B583" t="s">
        <v>179</v>
      </c>
      <c r="C583" t="s">
        <v>61</v>
      </c>
      <c r="D583" s="45">
        <v>46136</v>
      </c>
      <c r="F583" s="8">
        <f>SUMIFS(根据产能每天需要鲜销部分!$K:$K,根据产能每天需要鲜销部分!$B:$B,$B583,根据产能每天需要鲜销部分!$G:$G,$C583)</f>
        <v>1284.77148073071</v>
      </c>
      <c r="G583">
        <f>_xlfn.XLOOKUP($C583,价格系数辅助表!$C:$C,价格系数辅助表!$E:$E)</f>
        <v>5.2234050059701297E-2</v>
      </c>
      <c r="H583">
        <f t="shared" si="19"/>
        <v>0.47101177045138498</v>
      </c>
      <c r="I583" t="str">
        <f>_xlfn.XLOOKUP(B583,'3.屠宰能力表'!B:B,'3.屠宰能力表'!D:D)</f>
        <v>江西</v>
      </c>
      <c r="J583">
        <f>_xlfn.XLOOKUP(A583,'1.出栏表'!A:A,'1.出栏表'!F:F)</f>
        <v>9.0173319877175597</v>
      </c>
    </row>
    <row r="584" spans="1:10" ht="15" x14ac:dyDescent="0.3">
      <c r="A584" t="str">
        <f t="shared" si="18"/>
        <v>江西46136</v>
      </c>
      <c r="B584" t="s">
        <v>179</v>
      </c>
      <c r="C584" t="s">
        <v>62</v>
      </c>
      <c r="D584" s="45">
        <v>46136</v>
      </c>
      <c r="F584" s="8">
        <f>SUMIFS(根据产能每天需要鲜销部分!$K:$K,根据产能每天需要鲜销部分!$B:$B,$B584,根据产能每天需要鲜销部分!$G:$G,$C584)</f>
        <v>1204.47326318504</v>
      </c>
      <c r="G584">
        <f>_xlfn.XLOOKUP($C584,价格系数辅助表!$C:$C,价格系数辅助表!$E:$E)</f>
        <v>0.27335161219757498</v>
      </c>
      <c r="H584">
        <f t="shared" si="19"/>
        <v>2.4649022365633599</v>
      </c>
      <c r="I584" t="str">
        <f>_xlfn.XLOOKUP(B584,'3.屠宰能力表'!B:B,'3.屠宰能力表'!D:D)</f>
        <v>江西</v>
      </c>
      <c r="J584">
        <f>_xlfn.XLOOKUP(A584,'1.出栏表'!A:A,'1.出栏表'!F:F)</f>
        <v>9.0173319877175597</v>
      </c>
    </row>
    <row r="585" spans="1:10" ht="15" x14ac:dyDescent="0.3">
      <c r="A585" t="str">
        <f t="shared" si="18"/>
        <v>江西46136</v>
      </c>
      <c r="B585" t="s">
        <v>179</v>
      </c>
      <c r="C585" t="s">
        <v>63</v>
      </c>
      <c r="D585" s="45">
        <v>46136</v>
      </c>
      <c r="F585" s="8">
        <f>SUMIFS(根据产能每天需要鲜销部分!$K:$K,根据产能每天需要鲜销部分!$B:$B,$B585,根据产能每天需要鲜销部分!$G:$G,$C585)</f>
        <v>1011.33484913819</v>
      </c>
      <c r="G585">
        <f>_xlfn.XLOOKUP($C585,价格系数辅助表!$C:$C,价格系数辅助表!$E:$E)</f>
        <v>0.25083638292710098</v>
      </c>
      <c r="H585">
        <f t="shared" si="19"/>
        <v>2.2618749394519102</v>
      </c>
      <c r="I585" t="str">
        <f>_xlfn.XLOOKUP(B585,'3.屠宰能力表'!B:B,'3.屠宰能力表'!D:D)</f>
        <v>江西</v>
      </c>
      <c r="J585">
        <f>_xlfn.XLOOKUP(A585,'1.出栏表'!A:A,'1.出栏表'!F:F)</f>
        <v>9.0173319877175597</v>
      </c>
    </row>
    <row r="586" spans="1:10" ht="15" x14ac:dyDescent="0.3">
      <c r="A586" t="str">
        <f t="shared" si="18"/>
        <v>江西46136</v>
      </c>
      <c r="B586" t="s">
        <v>179</v>
      </c>
      <c r="C586" t="s">
        <v>64</v>
      </c>
      <c r="D586" s="45">
        <v>46136</v>
      </c>
      <c r="F586" s="8">
        <f>SUMIFS(根据产能每天需要鲜销部分!$K:$K,根据产能每天需要鲜销部分!$B:$B,$B586,根据产能每天需要鲜销部分!$G:$G,$C586)</f>
        <v>174.90700851532</v>
      </c>
      <c r="G586">
        <f>_xlfn.XLOOKUP($C586,价格系数辅助表!$C:$C,价格系数辅助表!$E:$E)</f>
        <v>0.87755384758256405</v>
      </c>
      <c r="H586">
        <f t="shared" si="19"/>
        <v>7.9131943807508698</v>
      </c>
      <c r="I586" t="str">
        <f>_xlfn.XLOOKUP(B586,'3.屠宰能力表'!B:B,'3.屠宰能力表'!D:D)</f>
        <v>江西</v>
      </c>
      <c r="J586">
        <f>_xlfn.XLOOKUP(A586,'1.出栏表'!A:A,'1.出栏表'!F:F)</f>
        <v>9.0173319877175597</v>
      </c>
    </row>
    <row r="587" spans="1:10" ht="15" x14ac:dyDescent="0.3">
      <c r="A587" t="str">
        <f t="shared" si="18"/>
        <v>江西46136</v>
      </c>
      <c r="B587" t="s">
        <v>179</v>
      </c>
      <c r="C587" t="s">
        <v>65</v>
      </c>
      <c r="D587" s="45">
        <v>46136</v>
      </c>
      <c r="F587" s="8">
        <f>SUMIFS(根据产能每天需要鲜销部分!$K:$K,根据产能每天需要鲜销部分!$B:$B,$B587,根据产能每天需要鲜销部分!$G:$G,$C587)</f>
        <v>79.503185688781898</v>
      </c>
      <c r="G587">
        <f>_xlfn.XLOOKUP($C587,价格系数辅助表!$C:$C,价格系数辅助表!$E:$E)</f>
        <v>1.02785250036373</v>
      </c>
      <c r="H587">
        <f t="shared" si="19"/>
        <v>9.2684872301853805</v>
      </c>
      <c r="I587" t="str">
        <f>_xlfn.XLOOKUP(B587,'3.屠宰能力表'!B:B,'3.屠宰能力表'!D:D)</f>
        <v>江西</v>
      </c>
      <c r="J587">
        <f>_xlfn.XLOOKUP(A587,'1.出栏表'!A:A,'1.出栏表'!F:F)</f>
        <v>9.0173319877175597</v>
      </c>
    </row>
    <row r="588" spans="1:10" ht="15" x14ac:dyDescent="0.3">
      <c r="A588" t="str">
        <f t="shared" si="18"/>
        <v>江西46136</v>
      </c>
      <c r="B588" t="s">
        <v>179</v>
      </c>
      <c r="C588" t="s">
        <v>66</v>
      </c>
      <c r="D588" s="45">
        <v>46136</v>
      </c>
      <c r="F588" s="8">
        <f>SUMIFS(根据产能每天需要鲜销部分!$K:$K,根据产能每天需要鲜销部分!$B:$B,$B588,根据产能每天需要鲜销部分!$G:$G,$C588)</f>
        <v>281.04376140984402</v>
      </c>
      <c r="G588">
        <f>_xlfn.XLOOKUP($C588,价格系数辅助表!$C:$C,价格系数辅助表!$E:$E)</f>
        <v>0.29390609194172401</v>
      </c>
      <c r="H588">
        <f t="shared" si="19"/>
        <v>2.6502488042511598</v>
      </c>
      <c r="I588" t="str">
        <f>_xlfn.XLOOKUP(B588,'3.屠宰能力表'!B:B,'3.屠宰能力表'!D:D)</f>
        <v>江西</v>
      </c>
      <c r="J588">
        <f>_xlfn.XLOOKUP(A588,'1.出栏表'!A:A,'1.出栏表'!F:F)</f>
        <v>9.0173319877175597</v>
      </c>
    </row>
    <row r="589" spans="1:10" ht="15" x14ac:dyDescent="0.3">
      <c r="A589" t="str">
        <f t="shared" si="18"/>
        <v>江西46136</v>
      </c>
      <c r="B589" t="s">
        <v>179</v>
      </c>
      <c r="C589" t="s">
        <v>67</v>
      </c>
      <c r="D589" s="45">
        <v>46136</v>
      </c>
      <c r="F589" s="8">
        <f>SUMIFS(根据产能每天需要鲜销部分!$K:$K,根据产能每天需要鲜销部分!$B:$B,$B589,根据产能每天需要鲜销部分!$G:$G,$C589)</f>
        <v>3288</v>
      </c>
      <c r="G589">
        <f>_xlfn.XLOOKUP($C589,价格系数辅助表!$C:$C,价格系数辅助表!$E:$E)</f>
        <v>8.7444985304843598E-2</v>
      </c>
      <c r="H589">
        <f t="shared" si="19"/>
        <v>0.78852046315485702</v>
      </c>
      <c r="I589" t="str">
        <f>_xlfn.XLOOKUP(B589,'3.屠宰能力表'!B:B,'3.屠宰能力表'!D:D)</f>
        <v>江西</v>
      </c>
      <c r="J589">
        <f>_xlfn.XLOOKUP(A589,'1.出栏表'!A:A,'1.出栏表'!F:F)</f>
        <v>9.0173319877175597</v>
      </c>
    </row>
    <row r="590" spans="1:10" ht="15" x14ac:dyDescent="0.3">
      <c r="A590" t="str">
        <f t="shared" si="18"/>
        <v>广西46136</v>
      </c>
      <c r="B590" t="s">
        <v>181</v>
      </c>
      <c r="C590" t="s">
        <v>41</v>
      </c>
      <c r="D590" s="45">
        <v>46136</v>
      </c>
      <c r="F590" s="8">
        <f>SUMIFS(根据产能每天需要鲜销部分!$K:$K,根据产能每天需要鲜销部分!$B:$B,$B590,根据产能每天需要鲜销部分!$G:$G,$C590)</f>
        <v>111540</v>
      </c>
      <c r="G590">
        <f>_xlfn.XLOOKUP($C590,价格系数辅助表!$C:$C,价格系数辅助表!$E:$E)</f>
        <v>1.1852119074341301</v>
      </c>
      <c r="H590">
        <f t="shared" si="19"/>
        <v>10.3082578336338</v>
      </c>
      <c r="I590" t="str">
        <f>_xlfn.XLOOKUP(B590,'3.屠宰能力表'!B:B,'3.屠宰能力表'!D:D)</f>
        <v>广西</v>
      </c>
      <c r="J590">
        <f>_xlfn.XLOOKUP(A590,'1.出栏表'!A:A,'1.出栏表'!F:F)</f>
        <v>8.6973964478218804</v>
      </c>
    </row>
    <row r="591" spans="1:10" ht="15" x14ac:dyDescent="0.3">
      <c r="A591" t="str">
        <f t="shared" si="18"/>
        <v>广西46136</v>
      </c>
      <c r="B591" t="s">
        <v>181</v>
      </c>
      <c r="C591" t="s">
        <v>44</v>
      </c>
      <c r="D591" s="45">
        <v>46136</v>
      </c>
      <c r="F591" s="8">
        <f>SUMIFS(根据产能每天需要鲜销部分!$K:$K,根据产能每天需要鲜销部分!$B:$B,$B591,根据产能每天需要鲜销部分!$G:$G,$C591)</f>
        <v>10402.1370430512</v>
      </c>
      <c r="G591">
        <f>_xlfn.XLOOKUP($C591,价格系数辅助表!$C:$C,价格系数辅助表!$E:$E)</f>
        <v>0.81317166851852996</v>
      </c>
      <c r="H591">
        <f t="shared" si="19"/>
        <v>7.07247638124245</v>
      </c>
      <c r="I591" t="str">
        <f>_xlfn.XLOOKUP(B591,'3.屠宰能力表'!B:B,'3.屠宰能力表'!D:D)</f>
        <v>广西</v>
      </c>
      <c r="J591">
        <f>_xlfn.XLOOKUP(A591,'1.出栏表'!A:A,'1.出栏表'!F:F)</f>
        <v>8.6973964478218804</v>
      </c>
    </row>
    <row r="592" spans="1:10" ht="15" x14ac:dyDescent="0.3">
      <c r="A592" t="str">
        <f t="shared" si="18"/>
        <v>广西46136</v>
      </c>
      <c r="B592" t="s">
        <v>181</v>
      </c>
      <c r="C592" t="s">
        <v>46</v>
      </c>
      <c r="D592" s="45">
        <v>46136</v>
      </c>
      <c r="F592" s="8">
        <f>SUMIFS(根据产能每天需要鲜销部分!$K:$K,根据产能每天需要鲜销部分!$B:$B,$B592,根据产能每天需要鲜销部分!$G:$G,$C592)</f>
        <v>78.149116832768598</v>
      </c>
      <c r="G592">
        <f>_xlfn.XLOOKUP($C592,价格系数辅助表!$C:$C,价格系数辅助表!$E:$E)</f>
        <v>4.0225512045395799</v>
      </c>
      <c r="H592">
        <f t="shared" si="19"/>
        <v>34.9857225575442</v>
      </c>
      <c r="I592" t="str">
        <f>_xlfn.XLOOKUP(B592,'3.屠宰能力表'!B:B,'3.屠宰能力表'!D:D)</f>
        <v>广西</v>
      </c>
      <c r="J592">
        <f>_xlfn.XLOOKUP(A592,'1.出栏表'!A:A,'1.出栏表'!F:F)</f>
        <v>8.6973964478218804</v>
      </c>
    </row>
    <row r="593" spans="1:10" ht="15" x14ac:dyDescent="0.3">
      <c r="A593" t="str">
        <f t="shared" si="18"/>
        <v>广西46136</v>
      </c>
      <c r="B593" t="s">
        <v>181</v>
      </c>
      <c r="C593" t="s">
        <v>47</v>
      </c>
      <c r="D593" s="45">
        <v>46136</v>
      </c>
      <c r="F593" s="8">
        <f>SUMIFS(根据产能每天需要鲜销部分!$K:$K,根据产能每天需要鲜销部分!$B:$B,$B593,根据产能每天需要鲜销部分!$G:$G,$C593)</f>
        <v>735.17756436864499</v>
      </c>
      <c r="G593">
        <f>_xlfn.XLOOKUP($C593,价格系数辅助表!$C:$C,价格系数辅助表!$E:$E)</f>
        <v>0.84535964262204399</v>
      </c>
      <c r="H593">
        <f t="shared" si="19"/>
        <v>7.3524279528729402</v>
      </c>
      <c r="I593" t="str">
        <f>_xlfn.XLOOKUP(B593,'3.屠宰能力表'!B:B,'3.屠宰能力表'!D:D)</f>
        <v>广西</v>
      </c>
      <c r="J593">
        <f>_xlfn.XLOOKUP(A593,'1.出栏表'!A:A,'1.出栏表'!F:F)</f>
        <v>8.6973964478218804</v>
      </c>
    </row>
    <row r="594" spans="1:10" ht="15" x14ac:dyDescent="0.3">
      <c r="A594" t="str">
        <f t="shared" si="18"/>
        <v>广西46136</v>
      </c>
      <c r="B594" t="s">
        <v>181</v>
      </c>
      <c r="C594" t="s">
        <v>48</v>
      </c>
      <c r="D594" s="45">
        <v>46136</v>
      </c>
      <c r="F594" s="8">
        <f>SUMIFS(根据产能每天需要鲜销部分!$K:$K,根据产能每天需要鲜销部分!$B:$B,$B594,根据产能每天需要鲜销部分!$G:$G,$C594)</f>
        <v>3797.4712119319202</v>
      </c>
      <c r="G594">
        <f>_xlfn.XLOOKUP($C594,价格系数辅助表!$C:$C,价格系数辅助表!$E:$E)</f>
        <v>0.37320475421536098</v>
      </c>
      <c r="H594">
        <f t="shared" si="19"/>
        <v>3.2459097036229201</v>
      </c>
      <c r="I594" t="str">
        <f>_xlfn.XLOOKUP(B594,'3.屠宰能力表'!B:B,'3.屠宰能力表'!D:D)</f>
        <v>广西</v>
      </c>
      <c r="J594">
        <f>_xlfn.XLOOKUP(A594,'1.出栏表'!A:A,'1.出栏表'!F:F)</f>
        <v>8.6973964478218804</v>
      </c>
    </row>
    <row r="595" spans="1:10" ht="15" x14ac:dyDescent="0.3">
      <c r="A595" t="str">
        <f t="shared" si="18"/>
        <v>广西46136</v>
      </c>
      <c r="B595" t="s">
        <v>181</v>
      </c>
      <c r="C595" t="s">
        <v>49</v>
      </c>
      <c r="D595" s="45">
        <v>46136</v>
      </c>
      <c r="F595" s="8">
        <f>SUMIFS(根据产能每天需要鲜销部分!$K:$K,根据产能每天需要鲜销部分!$B:$B,$B595,根据产能每天需要鲜销部分!$G:$G,$C595)</f>
        <v>742.41660991129902</v>
      </c>
      <c r="G595">
        <f>_xlfn.XLOOKUP($C595,价格系数辅助表!$C:$C,价格系数辅助表!$E:$E)</f>
        <v>1.1550192014842</v>
      </c>
      <c r="H595">
        <f t="shared" si="19"/>
        <v>10.0456599001547</v>
      </c>
      <c r="I595" t="str">
        <f>_xlfn.XLOOKUP(B595,'3.屠宰能力表'!B:B,'3.屠宰能力表'!D:D)</f>
        <v>广西</v>
      </c>
      <c r="J595">
        <f>_xlfn.XLOOKUP(A595,'1.出栏表'!A:A,'1.出栏表'!F:F)</f>
        <v>8.6973964478218804</v>
      </c>
    </row>
    <row r="596" spans="1:10" ht="15" x14ac:dyDescent="0.3">
      <c r="A596" t="str">
        <f t="shared" si="18"/>
        <v>广西46136</v>
      </c>
      <c r="B596" t="s">
        <v>181</v>
      </c>
      <c r="C596" t="s">
        <v>50</v>
      </c>
      <c r="D596" s="45">
        <v>46136</v>
      </c>
      <c r="F596" s="8">
        <f>SUMIFS(根据产能每天需要鲜销部分!$K:$K,根据产能每天需要鲜销部分!$B:$B,$B596,根据产能每天需要鲜销部分!$G:$G,$C596)</f>
        <v>2597.9517322812499</v>
      </c>
      <c r="G596">
        <f>_xlfn.XLOOKUP($C596,价格系数辅助表!$C:$C,价格系数辅助表!$E:$E)</f>
        <v>1.90800135982928</v>
      </c>
      <c r="H596">
        <f t="shared" si="19"/>
        <v>16.594644249418501</v>
      </c>
      <c r="I596" t="str">
        <f>_xlfn.XLOOKUP(B596,'3.屠宰能力表'!B:B,'3.屠宰能力表'!D:D)</f>
        <v>广西</v>
      </c>
      <c r="J596">
        <f>_xlfn.XLOOKUP(A596,'1.出栏表'!A:A,'1.出栏表'!F:F)</f>
        <v>8.6973964478218804</v>
      </c>
    </row>
    <row r="597" spans="1:10" ht="15" x14ac:dyDescent="0.3">
      <c r="A597" t="str">
        <f t="shared" si="18"/>
        <v>广西46136</v>
      </c>
      <c r="B597" t="s">
        <v>181</v>
      </c>
      <c r="C597" t="s">
        <v>51</v>
      </c>
      <c r="D597" s="45">
        <v>46136</v>
      </c>
      <c r="F597" s="8">
        <f>SUMIFS(根据产能每天需要鲜销部分!$K:$K,根据产能每天需要鲜销部分!$B:$B,$B597,根据产能每天需要鲜销部分!$G:$G,$C597)</f>
        <v>1191.7740316997199</v>
      </c>
      <c r="G597">
        <f>_xlfn.XLOOKUP($C597,价格系数辅助表!$C:$C,价格系数辅助表!$E:$E)</f>
        <v>2.76783242873949</v>
      </c>
      <c r="H597">
        <f t="shared" si="19"/>
        <v>24.072935933884999</v>
      </c>
      <c r="I597" t="str">
        <f>_xlfn.XLOOKUP(B597,'3.屠宰能力表'!B:B,'3.屠宰能力表'!D:D)</f>
        <v>广西</v>
      </c>
      <c r="J597">
        <f>_xlfn.XLOOKUP(A597,'1.出栏表'!A:A,'1.出栏表'!F:F)</f>
        <v>8.6973964478218804</v>
      </c>
    </row>
    <row r="598" spans="1:10" ht="15" x14ac:dyDescent="0.3">
      <c r="A598" t="str">
        <f t="shared" si="18"/>
        <v>广西46136</v>
      </c>
      <c r="B598" t="s">
        <v>181</v>
      </c>
      <c r="C598" t="s">
        <v>52</v>
      </c>
      <c r="D598" s="45">
        <v>46136</v>
      </c>
      <c r="F598" s="8">
        <f>SUMIFS(根据产能每天需要鲜销部分!$K:$K,根据产能每天需要鲜销部分!$B:$B,$B598,根据产能每天需要鲜销部分!$G:$G,$C598)</f>
        <v>996.40123961779705</v>
      </c>
      <c r="G598">
        <f>_xlfn.XLOOKUP($C598,价格系数辅助表!$C:$C,价格系数辅助表!$E:$E)</f>
        <v>1.61708641969264</v>
      </c>
      <c r="H598">
        <f t="shared" si="19"/>
        <v>14.064441682455801</v>
      </c>
      <c r="I598" t="str">
        <f>_xlfn.XLOOKUP(B598,'3.屠宰能力表'!B:B,'3.屠宰能力表'!D:D)</f>
        <v>广西</v>
      </c>
      <c r="J598">
        <f>_xlfn.XLOOKUP(A598,'1.出栏表'!A:A,'1.出栏表'!F:F)</f>
        <v>8.6973964478218804</v>
      </c>
    </row>
    <row r="599" spans="1:10" ht="15" x14ac:dyDescent="0.3">
      <c r="A599" t="str">
        <f t="shared" si="18"/>
        <v>广西46136</v>
      </c>
      <c r="B599" t="s">
        <v>181</v>
      </c>
      <c r="C599" t="s">
        <v>53</v>
      </c>
      <c r="D599" s="45">
        <v>46136</v>
      </c>
      <c r="F599" s="8">
        <f>SUMIFS(根据产能每天需要鲜销部分!$K:$K,根据产能每天需要鲜销部分!$B:$B,$B599,根据产能每天需要鲜销部分!$G:$G,$C599)</f>
        <v>879.17756436864499</v>
      </c>
      <c r="G599">
        <f>_xlfn.XLOOKUP($C599,价格系数辅助表!$C:$C,价格系数辅助表!$E:$E)</f>
        <v>1.4850675377364999</v>
      </c>
      <c r="H599">
        <f t="shared" si="19"/>
        <v>12.916221127485001</v>
      </c>
      <c r="I599" t="str">
        <f>_xlfn.XLOOKUP(B599,'3.屠宰能力表'!B:B,'3.屠宰能力表'!D:D)</f>
        <v>广西</v>
      </c>
      <c r="J599">
        <f>_xlfn.XLOOKUP(A599,'1.出栏表'!A:A,'1.出栏表'!F:F)</f>
        <v>8.6973964478218804</v>
      </c>
    </row>
    <row r="600" spans="1:10" ht="15" x14ac:dyDescent="0.3">
      <c r="A600" t="str">
        <f t="shared" si="18"/>
        <v>广西46136</v>
      </c>
      <c r="B600" t="s">
        <v>181</v>
      </c>
      <c r="C600" t="s">
        <v>54</v>
      </c>
      <c r="D600" s="45">
        <v>46136</v>
      </c>
      <c r="F600" s="8">
        <f>SUMIFS(根据产能每天需要鲜销部分!$K:$K,根据产能每天需要鲜销部分!$B:$B,$B600,根据产能每天需要鲜销部分!$G:$G,$C600)</f>
        <v>644.730213870341</v>
      </c>
      <c r="G600">
        <f>_xlfn.XLOOKUP($C600,价格系数辅助表!$C:$C,价格系数辅助表!$E:$E)</f>
        <v>1.8971615295629001</v>
      </c>
      <c r="H600">
        <f t="shared" si="19"/>
        <v>16.500365948164699</v>
      </c>
      <c r="I600" t="str">
        <f>_xlfn.XLOOKUP(B600,'3.屠宰能力表'!B:B,'3.屠宰能力表'!D:D)</f>
        <v>广西</v>
      </c>
      <c r="J600">
        <f>_xlfn.XLOOKUP(A600,'1.出栏表'!A:A,'1.出栏表'!F:F)</f>
        <v>8.6973964478218804</v>
      </c>
    </row>
    <row r="601" spans="1:10" ht="15" x14ac:dyDescent="0.3">
      <c r="A601" t="str">
        <f t="shared" si="18"/>
        <v>广西46136</v>
      </c>
      <c r="B601" t="s">
        <v>181</v>
      </c>
      <c r="C601" t="s">
        <v>55</v>
      </c>
      <c r="D601" s="45">
        <v>46136</v>
      </c>
      <c r="F601" s="8">
        <f>SUMIFS(根据产能每天需要鲜销部分!$K:$K,根据产能每天需要鲜销部分!$B:$B,$B601,根据产能每天需要鲜销部分!$G:$G,$C601)</f>
        <v>69.637826880684898</v>
      </c>
      <c r="G601">
        <f>_xlfn.XLOOKUP($C601,价格系数辅助表!$C:$C,价格系数辅助表!$E:$E)</f>
        <v>3.2997148664303801</v>
      </c>
      <c r="H601">
        <f t="shared" si="19"/>
        <v>28.6989283581166</v>
      </c>
      <c r="I601" t="str">
        <f>_xlfn.XLOOKUP(B601,'3.屠宰能力表'!B:B,'3.屠宰能力表'!D:D)</f>
        <v>广西</v>
      </c>
      <c r="J601">
        <f>_xlfn.XLOOKUP(A601,'1.出栏表'!A:A,'1.出栏表'!F:F)</f>
        <v>8.6973964478218804</v>
      </c>
    </row>
    <row r="602" spans="1:10" ht="15" x14ac:dyDescent="0.3">
      <c r="A602" t="str">
        <f t="shared" si="18"/>
        <v>广西46136</v>
      </c>
      <c r="B602" t="s">
        <v>181</v>
      </c>
      <c r="C602" t="s">
        <v>57</v>
      </c>
      <c r="D602" s="45">
        <v>46136</v>
      </c>
      <c r="F602" s="8">
        <f>SUMIFS(根据产能每天需要鲜销部分!$K:$K,根据产能每天需要鲜销部分!$B:$B,$B602,根据产能每天需要鲜销部分!$G:$G,$C602)</f>
        <v>2459.0238614336199</v>
      </c>
      <c r="G602">
        <f>_xlfn.XLOOKUP($C602,价格系数辅助表!$C:$C,价格系数辅助表!$E:$E)</f>
        <v>0.130070801908548</v>
      </c>
      <c r="H602">
        <f t="shared" si="19"/>
        <v>1.1312773304847501</v>
      </c>
      <c r="I602" t="str">
        <f>_xlfn.XLOOKUP(B602,'3.屠宰能力表'!B:B,'3.屠宰能力表'!D:D)</f>
        <v>广西</v>
      </c>
      <c r="J602">
        <f>_xlfn.XLOOKUP(A602,'1.出栏表'!A:A,'1.出栏表'!F:F)</f>
        <v>8.6973964478218804</v>
      </c>
    </row>
    <row r="603" spans="1:10" ht="15" x14ac:dyDescent="0.3">
      <c r="A603" t="str">
        <f t="shared" si="18"/>
        <v>广西46136</v>
      </c>
      <c r="B603" t="s">
        <v>181</v>
      </c>
      <c r="C603" t="s">
        <v>58</v>
      </c>
      <c r="D603" s="45">
        <v>46136</v>
      </c>
      <c r="F603" s="8">
        <f>SUMIFS(根据产能每天需要鲜销部分!$K:$K,根据产能每天需要鲜销部分!$B:$B,$B603,根据产能每天需要鲜销部分!$G:$G,$C603)</f>
        <v>3504.13136402383</v>
      </c>
      <c r="G603">
        <f>_xlfn.XLOOKUP($C603,价格系数辅助表!$C:$C,价格系数辅助表!$E:$E)</f>
        <v>0.69784384029908697</v>
      </c>
      <c r="H603">
        <f t="shared" si="19"/>
        <v>6.0694245377516598</v>
      </c>
      <c r="I603" t="str">
        <f>_xlfn.XLOOKUP(B603,'3.屠宰能力表'!B:B,'3.屠宰能力表'!D:D)</f>
        <v>广西</v>
      </c>
      <c r="J603">
        <f>_xlfn.XLOOKUP(A603,'1.出栏表'!A:A,'1.出栏表'!F:F)</f>
        <v>8.6973964478218804</v>
      </c>
    </row>
    <row r="604" spans="1:10" ht="15" x14ac:dyDescent="0.3">
      <c r="A604" t="str">
        <f t="shared" si="18"/>
        <v>广西46136</v>
      </c>
      <c r="B604" t="s">
        <v>181</v>
      </c>
      <c r="C604" t="s">
        <v>59</v>
      </c>
      <c r="D604" s="45">
        <v>46136</v>
      </c>
      <c r="F604" s="8">
        <f>SUMIFS(根据产能每天需要鲜销部分!$K:$K,根据产能每天需要鲜销部分!$B:$B,$B604,根据产能每天需要鲜销部分!$G:$G,$C604)</f>
        <v>3532.5106935169902</v>
      </c>
      <c r="G604">
        <f>_xlfn.XLOOKUP($C604,价格系数辅助表!$C:$C,价格系数辅助表!$E:$E)</f>
        <v>0.456447335288171</v>
      </c>
      <c r="H604">
        <f t="shared" si="19"/>
        <v>3.9699034325531</v>
      </c>
      <c r="I604" t="str">
        <f>_xlfn.XLOOKUP(B604,'3.屠宰能力表'!B:B,'3.屠宰能力表'!D:D)</f>
        <v>广西</v>
      </c>
      <c r="J604">
        <f>_xlfn.XLOOKUP(A604,'1.出栏表'!A:A,'1.出栏表'!F:F)</f>
        <v>8.6973964478218804</v>
      </c>
    </row>
    <row r="605" spans="1:10" ht="15" x14ac:dyDescent="0.3">
      <c r="A605" t="str">
        <f t="shared" si="18"/>
        <v>广西46136</v>
      </c>
      <c r="B605" t="s">
        <v>181</v>
      </c>
      <c r="C605" t="s">
        <v>60</v>
      </c>
      <c r="D605" s="45">
        <v>46136</v>
      </c>
      <c r="F605" s="8">
        <f>SUMIFS(根据产能每天需要鲜销部分!$K:$K,根据产能每天需要鲜销部分!$B:$B,$B605,根据产能每天需要鲜销部分!$G:$G,$C605)</f>
        <v>1638.45813468955</v>
      </c>
      <c r="G605">
        <f>_xlfn.XLOOKUP($C605,价格系数辅助表!$C:$C,价格系数辅助表!$E:$E)</f>
        <v>0.30253913346115902</v>
      </c>
      <c r="H605">
        <f t="shared" si="19"/>
        <v>2.6313027846921999</v>
      </c>
      <c r="I605" t="str">
        <f>_xlfn.XLOOKUP(B605,'3.屠宰能力表'!B:B,'3.屠宰能力表'!D:D)</f>
        <v>广西</v>
      </c>
      <c r="J605">
        <f>_xlfn.XLOOKUP(A605,'1.出栏表'!A:A,'1.出栏表'!F:F)</f>
        <v>8.6973964478218804</v>
      </c>
    </row>
    <row r="606" spans="1:10" ht="15" x14ac:dyDescent="0.3">
      <c r="A606" t="str">
        <f t="shared" si="18"/>
        <v>广西46136</v>
      </c>
      <c r="B606" t="s">
        <v>181</v>
      </c>
      <c r="C606" t="s">
        <v>61</v>
      </c>
      <c r="D606" s="45">
        <v>46136</v>
      </c>
      <c r="F606" s="8">
        <f>SUMIFS(根据产能每天需要鲜销部分!$K:$K,根据产能每天需要鲜销部分!$B:$B,$B606,根据产能每天需要鲜销部分!$G:$G,$C606)</f>
        <v>1875.5788039864401</v>
      </c>
      <c r="G606">
        <f>_xlfn.XLOOKUP($C606,价格系数辅助表!$C:$C,价格系数辅助表!$E:$E)</f>
        <v>5.2234050059701297E-2</v>
      </c>
      <c r="H606">
        <f t="shared" si="19"/>
        <v>0.45430024144459602</v>
      </c>
      <c r="I606" t="str">
        <f>_xlfn.XLOOKUP(B606,'3.屠宰能力表'!B:B,'3.屠宰能力表'!D:D)</f>
        <v>广西</v>
      </c>
      <c r="J606">
        <f>_xlfn.XLOOKUP(A606,'1.出栏表'!A:A,'1.出栏表'!F:F)</f>
        <v>8.6973964478218804</v>
      </c>
    </row>
    <row r="607" spans="1:10" ht="15" x14ac:dyDescent="0.3">
      <c r="A607" t="str">
        <f t="shared" si="18"/>
        <v>广西46136</v>
      </c>
      <c r="B607" t="s">
        <v>181</v>
      </c>
      <c r="C607" t="s">
        <v>62</v>
      </c>
      <c r="D607" s="45">
        <v>46136</v>
      </c>
      <c r="F607" s="8">
        <f>SUMIFS(根据产能每天需要鲜销部分!$K:$K,根据产能每天需要鲜销部分!$B:$B,$B607,根据产能每天需要鲜销部分!$G:$G,$C607)</f>
        <v>1758.35512873729</v>
      </c>
      <c r="G607">
        <f>_xlfn.XLOOKUP($C607,价格系数辅助表!$C:$C,价格系数辅助表!$E:$E)</f>
        <v>0.27335161219757498</v>
      </c>
      <c r="H607">
        <f t="shared" si="19"/>
        <v>2.3774473409335801</v>
      </c>
      <c r="I607" t="str">
        <f>_xlfn.XLOOKUP(B607,'3.屠宰能力表'!B:B,'3.屠宰能力表'!D:D)</f>
        <v>广西</v>
      </c>
      <c r="J607">
        <f>_xlfn.XLOOKUP(A607,'1.出栏表'!A:A,'1.出栏表'!F:F)</f>
        <v>8.6973964478218804</v>
      </c>
    </row>
    <row r="608" spans="1:10" ht="15" x14ac:dyDescent="0.3">
      <c r="A608" t="str">
        <f t="shared" si="18"/>
        <v>广西46136</v>
      </c>
      <c r="B608" t="s">
        <v>181</v>
      </c>
      <c r="C608" t="s">
        <v>63</v>
      </c>
      <c r="D608" s="45">
        <v>46136</v>
      </c>
      <c r="F608" s="8">
        <f>SUMIFS(根据产能每天需要鲜销部分!$K:$K,根据产能每天需要鲜销部分!$B:$B,$B608,根据产能每天需要鲜销部分!$G:$G,$C608)</f>
        <v>1476.4012396178</v>
      </c>
      <c r="G608">
        <f>_xlfn.XLOOKUP($C608,价格系数辅助表!$C:$C,价格系数辅助表!$E:$E)</f>
        <v>0.25083638292710098</v>
      </c>
      <c r="H608">
        <f t="shared" si="19"/>
        <v>2.1816234658546501</v>
      </c>
      <c r="I608" t="str">
        <f>_xlfn.XLOOKUP(B608,'3.屠宰能力表'!B:B,'3.屠宰能力表'!D:D)</f>
        <v>广西</v>
      </c>
      <c r="J608">
        <f>_xlfn.XLOOKUP(A608,'1.出栏表'!A:A,'1.出栏表'!F:F)</f>
        <v>8.6973964478218804</v>
      </c>
    </row>
    <row r="609" spans="1:10" ht="15" x14ac:dyDescent="0.3">
      <c r="A609" t="str">
        <f t="shared" si="18"/>
        <v>广西46136</v>
      </c>
      <c r="B609" t="s">
        <v>181</v>
      </c>
      <c r="C609" t="s">
        <v>64</v>
      </c>
      <c r="D609" s="45">
        <v>46136</v>
      </c>
      <c r="F609" s="8">
        <f>SUMIFS(根据产能每天需要鲜销部分!$K:$K,根据产能每天需要鲜销部分!$B:$B,$B609,根据产能每天需要鲜销部分!$G:$G,$C609)</f>
        <v>255.33869856250999</v>
      </c>
      <c r="G609">
        <f>_xlfn.XLOOKUP($C609,价格系数辅助表!$C:$C,价格系数辅助表!$E:$E)</f>
        <v>0.87755384758256405</v>
      </c>
      <c r="H609">
        <f t="shared" si="19"/>
        <v>7.6324337167370198</v>
      </c>
      <c r="I609" t="str">
        <f>_xlfn.XLOOKUP(B609,'3.屠宰能力表'!B:B,'3.屠宰能力表'!D:D)</f>
        <v>广西</v>
      </c>
      <c r="J609">
        <f>_xlfn.XLOOKUP(A609,'1.出栏表'!A:A,'1.出栏表'!F:F)</f>
        <v>8.6973964478218804</v>
      </c>
    </row>
    <row r="610" spans="1:10" ht="15" x14ac:dyDescent="0.3">
      <c r="A610" t="str">
        <f t="shared" si="18"/>
        <v>广西46136</v>
      </c>
      <c r="B610" t="s">
        <v>181</v>
      </c>
      <c r="C610" t="s">
        <v>65</v>
      </c>
      <c r="D610" s="45">
        <v>46136</v>
      </c>
      <c r="F610" s="8">
        <f>SUMIFS(根据产能每天需要鲜销部分!$K:$K,根据产能每天需要鲜销部分!$B:$B,$B610,根据产能每天需要鲜销部分!$G:$G,$C610)</f>
        <v>116.063044801141</v>
      </c>
      <c r="G610">
        <f>_xlfn.XLOOKUP($C610,价格系数辅助表!$C:$C,价格系数辅助表!$E:$E)</f>
        <v>1.02785250036373</v>
      </c>
      <c r="H610">
        <f t="shared" si="19"/>
        <v>8.9396406855483797</v>
      </c>
      <c r="I610" t="str">
        <f>_xlfn.XLOOKUP(B610,'3.屠宰能力表'!B:B,'3.屠宰能力表'!D:D)</f>
        <v>广西</v>
      </c>
      <c r="J610">
        <f>_xlfn.XLOOKUP(A610,'1.出栏表'!A:A,'1.出栏表'!F:F)</f>
        <v>8.6973964478218804</v>
      </c>
    </row>
    <row r="611" spans="1:10" ht="15" x14ac:dyDescent="0.3">
      <c r="A611" t="str">
        <f t="shared" si="18"/>
        <v>广西46136</v>
      </c>
      <c r="B611" t="s">
        <v>181</v>
      </c>
      <c r="C611" t="s">
        <v>66</v>
      </c>
      <c r="D611" s="45">
        <v>46136</v>
      </c>
      <c r="F611" s="8">
        <f>SUMIFS(根据产能每天需要鲜销部分!$K:$K,根据产能每天需要鲜销部分!$B:$B,$B611,根据产能每天需要鲜销部分!$G:$G,$C611)</f>
        <v>410.282863372034</v>
      </c>
      <c r="G611">
        <f>_xlfn.XLOOKUP($C611,价格系数辅助表!$C:$C,价格系数辅助表!$E:$E)</f>
        <v>0.29390609194172401</v>
      </c>
      <c r="H611">
        <f t="shared" si="19"/>
        <v>2.5562178000471598</v>
      </c>
      <c r="I611" t="str">
        <f>_xlfn.XLOOKUP(B611,'3.屠宰能力表'!B:B,'3.屠宰能力表'!D:D)</f>
        <v>广西</v>
      </c>
      <c r="J611">
        <f>_xlfn.XLOOKUP(A611,'1.出栏表'!A:A,'1.出栏表'!F:F)</f>
        <v>8.6973964478218804</v>
      </c>
    </row>
    <row r="612" spans="1:10" ht="15" x14ac:dyDescent="0.3">
      <c r="A612" t="str">
        <f t="shared" si="18"/>
        <v>广西46136</v>
      </c>
      <c r="B612" t="s">
        <v>181</v>
      </c>
      <c r="C612" t="s">
        <v>67</v>
      </c>
      <c r="D612" s="45">
        <v>46136</v>
      </c>
      <c r="F612" s="8">
        <f>SUMIFS(根据产能每天需要鲜销部分!$K:$K,根据产能每天需要鲜销部分!$B:$B,$B612,根据产能每天需要鲜销部分!$G:$G,$C612)</f>
        <v>4800</v>
      </c>
      <c r="G612">
        <f>_xlfn.XLOOKUP($C612,价格系数辅助表!$C:$C,价格系数辅助表!$E:$E)</f>
        <v>8.7444985304843598E-2</v>
      </c>
      <c r="H612">
        <f t="shared" si="19"/>
        <v>0.76054370457018305</v>
      </c>
      <c r="I612" t="str">
        <f>_xlfn.XLOOKUP(B612,'3.屠宰能力表'!B:B,'3.屠宰能力表'!D:D)</f>
        <v>广西</v>
      </c>
      <c r="J612">
        <f>_xlfn.XLOOKUP(A612,'1.出栏表'!A:A,'1.出栏表'!F:F)</f>
        <v>8.6973964478218804</v>
      </c>
    </row>
    <row r="613" spans="1:10" ht="15" x14ac:dyDescent="0.3">
      <c r="A613" t="str">
        <f t="shared" si="18"/>
        <v>贵州46136</v>
      </c>
      <c r="B613" t="s">
        <v>183</v>
      </c>
      <c r="C613" t="s">
        <v>41</v>
      </c>
      <c r="D613" s="45">
        <v>46136</v>
      </c>
      <c r="F613" s="8">
        <f>SUMIFS(根据产能每天需要鲜销部分!$K:$K,根据产能每天需要鲜销部分!$B:$B,$B613,根据产能每天需要鲜销部分!$G:$G,$C613)</f>
        <v>68640</v>
      </c>
      <c r="G613">
        <f>_xlfn.XLOOKUP($C613,价格系数辅助表!$C:$C,价格系数辅助表!$E:$E)</f>
        <v>1.1852119074341301</v>
      </c>
      <c r="H613">
        <f t="shared" si="19"/>
        <v>10.698482109361301</v>
      </c>
      <c r="I613" t="str">
        <f>_xlfn.XLOOKUP(B613,'3.屠宰能力表'!B:B,'3.屠宰能力表'!D:D)</f>
        <v>贵州</v>
      </c>
      <c r="J613">
        <f>_xlfn.XLOOKUP(A613,'1.出栏表'!A:A,'1.出栏表'!F:F)</f>
        <v>9.0266407570292504</v>
      </c>
    </row>
    <row r="614" spans="1:10" ht="15" x14ac:dyDescent="0.3">
      <c r="A614" t="str">
        <f t="shared" si="18"/>
        <v>贵州46136</v>
      </c>
      <c r="B614" t="s">
        <v>183</v>
      </c>
      <c r="C614" t="s">
        <v>44</v>
      </c>
      <c r="D614" s="45">
        <v>46136</v>
      </c>
      <c r="F614" s="8">
        <f>SUMIFS(根据产能每天需要鲜销部分!$K:$K,根据产能每天需要鲜销部分!$B:$B,$B614,根据产能每天需要鲜销部分!$G:$G,$C614)</f>
        <v>5201.0685215255999</v>
      </c>
      <c r="G614">
        <f>_xlfn.XLOOKUP($C614,价格系数辅助表!$C:$C,价格系数辅助表!$E:$E)</f>
        <v>0.81317166851852996</v>
      </c>
      <c r="H614">
        <f t="shared" si="19"/>
        <v>7.3402085255108398</v>
      </c>
      <c r="I614" t="str">
        <f>_xlfn.XLOOKUP(B614,'3.屠宰能力表'!B:B,'3.屠宰能力表'!D:D)</f>
        <v>贵州</v>
      </c>
      <c r="J614">
        <f>_xlfn.XLOOKUP(A614,'1.出栏表'!A:A,'1.出栏表'!F:F)</f>
        <v>9.0266407570292504</v>
      </c>
    </row>
    <row r="615" spans="1:10" ht="15" x14ac:dyDescent="0.3">
      <c r="A615" t="str">
        <f t="shared" si="18"/>
        <v>贵州46136</v>
      </c>
      <c r="B615" t="s">
        <v>183</v>
      </c>
      <c r="C615" t="s">
        <v>46</v>
      </c>
      <c r="D615" s="45">
        <v>46136</v>
      </c>
      <c r="F615" s="8">
        <f>SUMIFS(根据产能每天需要鲜销部分!$K:$K,根据产能每天需要鲜销部分!$B:$B,$B615,根据产能每天需要鲜销部分!$G:$G,$C615)</f>
        <v>39.074558416384299</v>
      </c>
      <c r="G615">
        <f>_xlfn.XLOOKUP($C615,价格系数辅助表!$C:$C,价格系数辅助表!$E:$E)</f>
        <v>4.0225512045395799</v>
      </c>
      <c r="H615">
        <f t="shared" si="19"/>
        <v>36.3101246501341</v>
      </c>
      <c r="I615" t="str">
        <f>_xlfn.XLOOKUP(B615,'3.屠宰能力表'!B:B,'3.屠宰能力表'!D:D)</f>
        <v>贵州</v>
      </c>
      <c r="J615">
        <f>_xlfn.XLOOKUP(A615,'1.出栏表'!A:A,'1.出栏表'!F:F)</f>
        <v>9.0266407570292504</v>
      </c>
    </row>
    <row r="616" spans="1:10" ht="15" x14ac:dyDescent="0.3">
      <c r="A616" t="str">
        <f t="shared" si="18"/>
        <v>贵州46136</v>
      </c>
      <c r="B616" t="s">
        <v>183</v>
      </c>
      <c r="C616" t="s">
        <v>47</v>
      </c>
      <c r="D616" s="45">
        <v>46136</v>
      </c>
      <c r="F616" s="8">
        <f>SUMIFS(根据产能每天需要鲜销部分!$K:$K,根据产能每天需要鲜销部分!$B:$B,$B616,根据产能每天需要鲜销部分!$G:$G,$C616)</f>
        <v>367.58878218432199</v>
      </c>
      <c r="G616">
        <f>_xlfn.XLOOKUP($C616,价格系数辅助表!$C:$C,价格系数辅助表!$E:$E)</f>
        <v>0.84535964262204399</v>
      </c>
      <c r="H616">
        <f t="shared" si="19"/>
        <v>7.6307578044398197</v>
      </c>
      <c r="I616" t="str">
        <f>_xlfn.XLOOKUP(B616,'3.屠宰能力表'!B:B,'3.屠宰能力表'!D:D)</f>
        <v>贵州</v>
      </c>
      <c r="J616">
        <f>_xlfn.XLOOKUP(A616,'1.出栏表'!A:A,'1.出栏表'!F:F)</f>
        <v>9.0266407570292504</v>
      </c>
    </row>
    <row r="617" spans="1:10" ht="15" x14ac:dyDescent="0.3">
      <c r="A617" t="str">
        <f t="shared" si="18"/>
        <v>贵州46136</v>
      </c>
      <c r="B617" t="s">
        <v>183</v>
      </c>
      <c r="C617" t="s">
        <v>48</v>
      </c>
      <c r="D617" s="45">
        <v>46136</v>
      </c>
      <c r="F617" s="8">
        <f>SUMIFS(根据产能每天需要鲜销部分!$K:$K,根据产能每天需要鲜销部分!$B:$B,$B617,根据产能每天需要鲜销部分!$G:$G,$C617)</f>
        <v>1898.7356059659601</v>
      </c>
      <c r="G617">
        <f>_xlfn.XLOOKUP($C617,价格系数辅助表!$C:$C,价格系数辅助表!$E:$E)</f>
        <v>0.37320475421536098</v>
      </c>
      <c r="H617">
        <f t="shared" si="19"/>
        <v>3.36878524511746</v>
      </c>
      <c r="I617" t="str">
        <f>_xlfn.XLOOKUP(B617,'3.屠宰能力表'!B:B,'3.屠宰能力表'!D:D)</f>
        <v>贵州</v>
      </c>
      <c r="J617">
        <f>_xlfn.XLOOKUP(A617,'1.出栏表'!A:A,'1.出栏表'!F:F)</f>
        <v>9.0266407570292504</v>
      </c>
    </row>
    <row r="618" spans="1:10" ht="15" x14ac:dyDescent="0.3">
      <c r="A618" t="str">
        <f t="shared" si="18"/>
        <v>贵州46136</v>
      </c>
      <c r="B618" t="s">
        <v>183</v>
      </c>
      <c r="C618" t="s">
        <v>49</v>
      </c>
      <c r="D618" s="45">
        <v>46136</v>
      </c>
      <c r="F618" s="8">
        <f>SUMIFS(根据产能每天需要鲜销部分!$K:$K,根据产能每天需要鲜销部分!$B:$B,$B618,根据产能每天需要鲜销部分!$G:$G,$C618)</f>
        <v>371.20830495565002</v>
      </c>
      <c r="G618">
        <f>_xlfn.XLOOKUP($C618,价格系数辅助表!$C:$C,价格系数辅助表!$E:$E)</f>
        <v>1.1550192014842</v>
      </c>
      <c r="H618">
        <f t="shared" si="19"/>
        <v>10.425943399268601</v>
      </c>
      <c r="I618" t="str">
        <f>_xlfn.XLOOKUP(B618,'3.屠宰能力表'!B:B,'3.屠宰能力表'!D:D)</f>
        <v>贵州</v>
      </c>
      <c r="J618">
        <f>_xlfn.XLOOKUP(A618,'1.出栏表'!A:A,'1.出栏表'!F:F)</f>
        <v>9.0266407570292504</v>
      </c>
    </row>
    <row r="619" spans="1:10" ht="15" x14ac:dyDescent="0.3">
      <c r="A619" t="str">
        <f t="shared" si="18"/>
        <v>贵州46136</v>
      </c>
      <c r="B619" t="s">
        <v>183</v>
      </c>
      <c r="C619" t="s">
        <v>50</v>
      </c>
      <c r="D619" s="45">
        <v>46136</v>
      </c>
      <c r="F619" s="8">
        <f>SUMIFS(根据产能每天需要鲜销部分!$K:$K,根据产能每天需要鲜销部分!$B:$B,$B619,根据产能每天需要鲜销部分!$G:$G,$C619)</f>
        <v>1298.9758661406199</v>
      </c>
      <c r="G619">
        <f>_xlfn.XLOOKUP($C619,价格系数辅助表!$C:$C,价格系数辅助表!$E:$E)</f>
        <v>1.90800135982928</v>
      </c>
      <c r="H619">
        <f t="shared" si="19"/>
        <v>17.222842839102199</v>
      </c>
      <c r="I619" t="str">
        <f>_xlfn.XLOOKUP(B619,'3.屠宰能力表'!B:B,'3.屠宰能力表'!D:D)</f>
        <v>贵州</v>
      </c>
      <c r="J619">
        <f>_xlfn.XLOOKUP(A619,'1.出栏表'!A:A,'1.出栏表'!F:F)</f>
        <v>9.0266407570292504</v>
      </c>
    </row>
    <row r="620" spans="1:10" ht="15" x14ac:dyDescent="0.3">
      <c r="A620" t="str">
        <f t="shared" si="18"/>
        <v>贵州46136</v>
      </c>
      <c r="B620" t="s">
        <v>183</v>
      </c>
      <c r="C620" t="s">
        <v>51</v>
      </c>
      <c r="D620" s="45">
        <v>46136</v>
      </c>
      <c r="F620" s="8">
        <f>SUMIFS(根据产能每天需要鲜销部分!$K:$K,根据产能每天需要鲜销部分!$B:$B,$B620,根据产能每天需要鲜销部分!$G:$G,$C620)</f>
        <v>595.88701584985904</v>
      </c>
      <c r="G620">
        <f>_xlfn.XLOOKUP($C620,价格系数辅助表!$C:$C,价格系数辅助表!$E:$E)</f>
        <v>2.76783242873949</v>
      </c>
      <c r="H620">
        <f t="shared" si="19"/>
        <v>24.984229009887098</v>
      </c>
      <c r="I620" t="str">
        <f>_xlfn.XLOOKUP(B620,'3.屠宰能力表'!B:B,'3.屠宰能力表'!D:D)</f>
        <v>贵州</v>
      </c>
      <c r="J620">
        <f>_xlfn.XLOOKUP(A620,'1.出栏表'!A:A,'1.出栏表'!F:F)</f>
        <v>9.0266407570292504</v>
      </c>
    </row>
    <row r="621" spans="1:10" ht="15" x14ac:dyDescent="0.3">
      <c r="A621" t="str">
        <f t="shared" si="18"/>
        <v>贵州46136</v>
      </c>
      <c r="B621" t="s">
        <v>183</v>
      </c>
      <c r="C621" t="s">
        <v>52</v>
      </c>
      <c r="D621" s="45">
        <v>46136</v>
      </c>
      <c r="F621" s="8">
        <f>SUMIFS(根据产能每天需要鲜销部分!$K:$K,根据产能每天需要鲜销部分!$B:$B,$B621,根据产能每天需要鲜销部分!$G:$G,$C621)</f>
        <v>498.20061980889801</v>
      </c>
      <c r="G621">
        <f>_xlfn.XLOOKUP($C621,价格系数辅助表!$C:$C,价格系数辅助表!$E:$E)</f>
        <v>1.61708641969264</v>
      </c>
      <c r="H621">
        <f t="shared" si="19"/>
        <v>14.596858183636099</v>
      </c>
      <c r="I621" t="str">
        <f>_xlfn.XLOOKUP(B621,'3.屠宰能力表'!B:B,'3.屠宰能力表'!D:D)</f>
        <v>贵州</v>
      </c>
      <c r="J621">
        <f>_xlfn.XLOOKUP(A621,'1.出栏表'!A:A,'1.出栏表'!F:F)</f>
        <v>9.0266407570292504</v>
      </c>
    </row>
    <row r="622" spans="1:10" ht="15" x14ac:dyDescent="0.3">
      <c r="A622" t="str">
        <f t="shared" si="18"/>
        <v>贵州46136</v>
      </c>
      <c r="B622" t="s">
        <v>183</v>
      </c>
      <c r="C622" t="s">
        <v>53</v>
      </c>
      <c r="D622" s="45">
        <v>46136</v>
      </c>
      <c r="F622" s="8">
        <f>SUMIFS(根据产能每天需要鲜销部分!$K:$K,根据产能每天需要鲜销部分!$B:$B,$B622,根据产能每天需要鲜销部分!$G:$G,$C622)</f>
        <v>439.58878218432199</v>
      </c>
      <c r="G622">
        <f>_xlfn.XLOOKUP($C622,价格系数辅助表!$C:$C,价格系数辅助表!$E:$E)</f>
        <v>1.4850675377364999</v>
      </c>
      <c r="H622">
        <f t="shared" si="19"/>
        <v>13.4051711630733</v>
      </c>
      <c r="I622" t="str">
        <f>_xlfn.XLOOKUP(B622,'3.屠宰能力表'!B:B,'3.屠宰能力表'!D:D)</f>
        <v>贵州</v>
      </c>
      <c r="J622">
        <f>_xlfn.XLOOKUP(A622,'1.出栏表'!A:A,'1.出栏表'!F:F)</f>
        <v>9.0266407570292504</v>
      </c>
    </row>
    <row r="623" spans="1:10" ht="15" x14ac:dyDescent="0.3">
      <c r="A623" t="str">
        <f t="shared" si="18"/>
        <v>贵州46136</v>
      </c>
      <c r="B623" t="s">
        <v>183</v>
      </c>
      <c r="C623" t="s">
        <v>54</v>
      </c>
      <c r="D623" s="45">
        <v>46136</v>
      </c>
      <c r="F623" s="8">
        <f>SUMIFS(根据产能每天需要鲜销部分!$K:$K,根据产能每天需要鲜销部分!$B:$B,$B623,根据产能每天需要鲜销部分!$G:$G,$C623)</f>
        <v>322.36510693516999</v>
      </c>
      <c r="G623">
        <f>_xlfn.XLOOKUP($C623,价格系数辅助表!$C:$C,价格系数辅助表!$E:$E)</f>
        <v>1.8971615295629001</v>
      </c>
      <c r="H623">
        <f t="shared" si="19"/>
        <v>17.1249955854204</v>
      </c>
      <c r="I623" t="str">
        <f>_xlfn.XLOOKUP(B623,'3.屠宰能力表'!B:B,'3.屠宰能力表'!D:D)</f>
        <v>贵州</v>
      </c>
      <c r="J623">
        <f>_xlfn.XLOOKUP(A623,'1.出栏表'!A:A,'1.出栏表'!F:F)</f>
        <v>9.0266407570292504</v>
      </c>
    </row>
    <row r="624" spans="1:10" ht="15" x14ac:dyDescent="0.3">
      <c r="A624" t="str">
        <f t="shared" si="18"/>
        <v>贵州46136</v>
      </c>
      <c r="B624" t="s">
        <v>183</v>
      </c>
      <c r="C624" t="s">
        <v>55</v>
      </c>
      <c r="D624" s="45">
        <v>46136</v>
      </c>
      <c r="F624" s="8">
        <f>SUMIFS(根据产能每天需要鲜销部分!$K:$K,根据产能每天需要鲜销部分!$B:$B,$B624,根据产能每天需要鲜销部分!$G:$G,$C624)</f>
        <v>34.818913440342499</v>
      </c>
      <c r="G624">
        <f>_xlfn.XLOOKUP($C624,价格系数辅助表!$C:$C,价格系数辅助表!$E:$E)</f>
        <v>3.2997148664303801</v>
      </c>
      <c r="H624">
        <f t="shared" si="19"/>
        <v>29.785340699895801</v>
      </c>
      <c r="I624" t="str">
        <f>_xlfn.XLOOKUP(B624,'3.屠宰能力表'!B:B,'3.屠宰能力表'!D:D)</f>
        <v>贵州</v>
      </c>
      <c r="J624">
        <f>_xlfn.XLOOKUP(A624,'1.出栏表'!A:A,'1.出栏表'!F:F)</f>
        <v>9.0266407570292504</v>
      </c>
    </row>
    <row r="625" spans="1:10" ht="15" x14ac:dyDescent="0.3">
      <c r="A625" t="str">
        <f t="shared" si="18"/>
        <v>贵州46136</v>
      </c>
      <c r="B625" t="s">
        <v>183</v>
      </c>
      <c r="C625" t="s">
        <v>57</v>
      </c>
      <c r="D625" s="45">
        <v>46136</v>
      </c>
      <c r="F625" s="8">
        <f>SUMIFS(根据产能每天需要鲜销部分!$K:$K,根据产能每天需要鲜销部分!$B:$B,$B625,根据产能每天需要鲜销部分!$G:$G,$C625)</f>
        <v>1229.51193071681</v>
      </c>
      <c r="G625">
        <f>_xlfn.XLOOKUP($C625,价格系数辅助表!$C:$C,价格系数辅助表!$E:$E)</f>
        <v>0.130070801908548</v>
      </c>
      <c r="H625">
        <f t="shared" si="19"/>
        <v>1.17410240180718</v>
      </c>
      <c r="I625" t="str">
        <f>_xlfn.XLOOKUP(B625,'3.屠宰能力表'!B:B,'3.屠宰能力表'!D:D)</f>
        <v>贵州</v>
      </c>
      <c r="J625">
        <f>_xlfn.XLOOKUP(A625,'1.出栏表'!A:A,'1.出栏表'!F:F)</f>
        <v>9.0266407570292504</v>
      </c>
    </row>
    <row r="626" spans="1:10" ht="15" x14ac:dyDescent="0.3">
      <c r="A626" t="str">
        <f t="shared" si="18"/>
        <v>贵州46136</v>
      </c>
      <c r="B626" t="s">
        <v>183</v>
      </c>
      <c r="C626" t="s">
        <v>58</v>
      </c>
      <c r="D626" s="45">
        <v>46136</v>
      </c>
      <c r="F626" s="8">
        <f>SUMIFS(根据产能每天需要鲜销部分!$K:$K,根据产能每天需要鲜销部分!$B:$B,$B626,根据产能每天需要鲜销部分!$G:$G,$C626)</f>
        <v>1752.06568201192</v>
      </c>
      <c r="G626">
        <f>_xlfn.XLOOKUP($C626,价格系数辅助表!$C:$C,价格系数辅助表!$E:$E)</f>
        <v>0.69784384029908697</v>
      </c>
      <c r="H626">
        <f t="shared" si="19"/>
        <v>6.2991856508855504</v>
      </c>
      <c r="I626" t="str">
        <f>_xlfn.XLOOKUP(B626,'3.屠宰能力表'!B:B,'3.屠宰能力表'!D:D)</f>
        <v>贵州</v>
      </c>
      <c r="J626">
        <f>_xlfn.XLOOKUP(A626,'1.出栏表'!A:A,'1.出栏表'!F:F)</f>
        <v>9.0266407570292504</v>
      </c>
    </row>
    <row r="627" spans="1:10" ht="15" x14ac:dyDescent="0.3">
      <c r="A627" t="str">
        <f t="shared" si="18"/>
        <v>贵州46136</v>
      </c>
      <c r="B627" t="s">
        <v>183</v>
      </c>
      <c r="C627" t="s">
        <v>59</v>
      </c>
      <c r="D627" s="45">
        <v>46136</v>
      </c>
      <c r="F627" s="8">
        <f>SUMIFS(根据产能每天需要鲜销部分!$K:$K,根据产能每天需要鲜销部分!$B:$B,$B627,根据产能每天需要鲜销部分!$G:$G,$C627)</f>
        <v>1766.2553467585001</v>
      </c>
      <c r="G627">
        <f>_xlfn.XLOOKUP($C627,价格系数辅助表!$C:$C,价格系数辅助表!$E:$E)</f>
        <v>0.456447335288171</v>
      </c>
      <c r="H627">
        <f t="shared" si="19"/>
        <v>4.1201861201495902</v>
      </c>
      <c r="I627" t="str">
        <f>_xlfn.XLOOKUP(B627,'3.屠宰能力表'!B:B,'3.屠宰能力表'!D:D)</f>
        <v>贵州</v>
      </c>
      <c r="J627">
        <f>_xlfn.XLOOKUP(A627,'1.出栏表'!A:A,'1.出栏表'!F:F)</f>
        <v>9.0266407570292504</v>
      </c>
    </row>
    <row r="628" spans="1:10" ht="15" x14ac:dyDescent="0.3">
      <c r="A628" t="str">
        <f t="shared" si="18"/>
        <v>贵州46136</v>
      </c>
      <c r="B628" t="s">
        <v>183</v>
      </c>
      <c r="C628" t="s">
        <v>60</v>
      </c>
      <c r="D628" s="45">
        <v>46136</v>
      </c>
      <c r="F628" s="8">
        <f>SUMIFS(根据产能每天需要鲜销部分!$K:$K,根据产能每天需要鲜销部分!$B:$B,$B628,根据产能每天需要鲜销部分!$G:$G,$C628)</f>
        <v>819.22906734477601</v>
      </c>
      <c r="G628">
        <f>_xlfn.XLOOKUP($C628,价格系数辅助表!$C:$C,价格系数辅助表!$E:$E)</f>
        <v>0.30253913346115902</v>
      </c>
      <c r="H628">
        <f t="shared" si="19"/>
        <v>2.7309120726968099</v>
      </c>
      <c r="I628" t="str">
        <f>_xlfn.XLOOKUP(B628,'3.屠宰能力表'!B:B,'3.屠宰能力表'!D:D)</f>
        <v>贵州</v>
      </c>
      <c r="J628">
        <f>_xlfn.XLOOKUP(A628,'1.出栏表'!A:A,'1.出栏表'!F:F)</f>
        <v>9.0266407570292504</v>
      </c>
    </row>
    <row r="629" spans="1:10" ht="15" x14ac:dyDescent="0.3">
      <c r="A629" t="str">
        <f t="shared" si="18"/>
        <v>贵州46136</v>
      </c>
      <c r="B629" t="s">
        <v>183</v>
      </c>
      <c r="C629" t="s">
        <v>61</v>
      </c>
      <c r="D629" s="45">
        <v>46136</v>
      </c>
      <c r="F629" s="8">
        <f>SUMIFS(根据产能每天需要鲜销部分!$K:$K,根据产能每天需要鲜销部分!$B:$B,$B629,根据产能每天需要鲜销部分!$G:$G,$C629)</f>
        <v>937.78940199322096</v>
      </c>
      <c r="G629">
        <f>_xlfn.XLOOKUP($C629,价格系数辅助表!$C:$C,价格系数辅助表!$E:$E)</f>
        <v>5.2234050059701297E-2</v>
      </c>
      <c r="H629">
        <f t="shared" si="19"/>
        <v>0.47149800517360602</v>
      </c>
      <c r="I629" t="str">
        <f>_xlfn.XLOOKUP(B629,'3.屠宰能力表'!B:B,'3.屠宰能力表'!D:D)</f>
        <v>贵州</v>
      </c>
      <c r="J629">
        <f>_xlfn.XLOOKUP(A629,'1.出栏表'!A:A,'1.出栏表'!F:F)</f>
        <v>9.0266407570292504</v>
      </c>
    </row>
    <row r="630" spans="1:10" ht="15" x14ac:dyDescent="0.3">
      <c r="A630" t="str">
        <f t="shared" si="18"/>
        <v>贵州46136</v>
      </c>
      <c r="B630" t="s">
        <v>183</v>
      </c>
      <c r="C630" t="s">
        <v>62</v>
      </c>
      <c r="D630" s="45">
        <v>46136</v>
      </c>
      <c r="F630" s="8">
        <f>SUMIFS(根据产能每天需要鲜销部分!$K:$K,根据产能每天需要鲜销部分!$B:$B,$B630,根据产能每天需要鲜销部分!$G:$G,$C630)</f>
        <v>879.17756436864499</v>
      </c>
      <c r="G630">
        <f>_xlfn.XLOOKUP($C630,价格系数辅助表!$C:$C,价格系数辅助表!$E:$E)</f>
        <v>0.27335161219757498</v>
      </c>
      <c r="H630">
        <f t="shared" si="19"/>
        <v>2.4674468036622899</v>
      </c>
      <c r="I630" t="str">
        <f>_xlfn.XLOOKUP(B630,'3.屠宰能力表'!B:B,'3.屠宰能力表'!D:D)</f>
        <v>贵州</v>
      </c>
      <c r="J630">
        <f>_xlfn.XLOOKUP(A630,'1.出栏表'!A:A,'1.出栏表'!F:F)</f>
        <v>9.0266407570292504</v>
      </c>
    </row>
    <row r="631" spans="1:10" ht="15" x14ac:dyDescent="0.3">
      <c r="A631" t="str">
        <f t="shared" si="18"/>
        <v>贵州46136</v>
      </c>
      <c r="B631" t="s">
        <v>183</v>
      </c>
      <c r="C631" t="s">
        <v>63</v>
      </c>
      <c r="D631" s="45">
        <v>46136</v>
      </c>
      <c r="F631" s="8">
        <f>SUMIFS(根据产能每天需要鲜销部分!$K:$K,根据产能每天需要鲜销部分!$B:$B,$B631,根据产能每天需要鲜销部分!$G:$G,$C631)</f>
        <v>738.20061980889795</v>
      </c>
      <c r="G631">
        <f>_xlfn.XLOOKUP($C631,价格系数辅助表!$C:$C,价格系数辅助表!$E:$E)</f>
        <v>0.25083638292710098</v>
      </c>
      <c r="H631">
        <f t="shared" si="19"/>
        <v>2.2642099174755601</v>
      </c>
      <c r="I631" t="str">
        <f>_xlfn.XLOOKUP(B631,'3.屠宰能力表'!B:B,'3.屠宰能力表'!D:D)</f>
        <v>贵州</v>
      </c>
      <c r="J631">
        <f>_xlfn.XLOOKUP(A631,'1.出栏表'!A:A,'1.出栏表'!F:F)</f>
        <v>9.0266407570292504</v>
      </c>
    </row>
    <row r="632" spans="1:10" ht="15" x14ac:dyDescent="0.3">
      <c r="A632" t="str">
        <f t="shared" si="18"/>
        <v>贵州46136</v>
      </c>
      <c r="B632" t="s">
        <v>183</v>
      </c>
      <c r="C632" t="s">
        <v>64</v>
      </c>
      <c r="D632" s="45">
        <v>46136</v>
      </c>
      <c r="F632" s="8">
        <f>SUMIFS(根据产能每天需要鲜销部分!$K:$K,根据产能每天需要鲜销部分!$B:$B,$B632,根据产能每天需要鲜销部分!$G:$G,$C632)</f>
        <v>127.66934928125499</v>
      </c>
      <c r="G632">
        <f>_xlfn.XLOOKUP($C632,价格系数辅助表!$C:$C,价格系数辅助表!$E:$E)</f>
        <v>0.87755384758256405</v>
      </c>
      <c r="H632">
        <f t="shared" si="19"/>
        <v>7.9213633270766</v>
      </c>
      <c r="I632" t="str">
        <f>_xlfn.XLOOKUP(B632,'3.屠宰能力表'!B:B,'3.屠宰能力表'!D:D)</f>
        <v>贵州</v>
      </c>
      <c r="J632">
        <f>_xlfn.XLOOKUP(A632,'1.出栏表'!A:A,'1.出栏表'!F:F)</f>
        <v>9.0266407570292504</v>
      </c>
    </row>
    <row r="633" spans="1:10" ht="15" x14ac:dyDescent="0.3">
      <c r="A633" t="str">
        <f t="shared" si="18"/>
        <v>贵州46136</v>
      </c>
      <c r="B633" t="s">
        <v>183</v>
      </c>
      <c r="C633" t="s">
        <v>65</v>
      </c>
      <c r="D633" s="45">
        <v>46136</v>
      </c>
      <c r="F633" s="8">
        <f>SUMIFS(根据产能每天需要鲜销部分!$K:$K,根据产能每天需要鲜销部分!$B:$B,$B633,根据产能每天需要鲜销部分!$G:$G,$C633)</f>
        <v>58.031522400570701</v>
      </c>
      <c r="G633">
        <f>_xlfn.XLOOKUP($C633,价格系数辅助表!$C:$C,价格系数辅助表!$E:$E)</f>
        <v>1.02785250036373</v>
      </c>
      <c r="H633">
        <f t="shared" si="19"/>
        <v>9.2780552719977099</v>
      </c>
      <c r="I633" t="str">
        <f>_xlfn.XLOOKUP(B633,'3.屠宰能力表'!B:B,'3.屠宰能力表'!D:D)</f>
        <v>贵州</v>
      </c>
      <c r="J633">
        <f>_xlfn.XLOOKUP(A633,'1.出栏表'!A:A,'1.出栏表'!F:F)</f>
        <v>9.0266407570292504</v>
      </c>
    </row>
    <row r="634" spans="1:10" ht="15" x14ac:dyDescent="0.3">
      <c r="A634" t="str">
        <f t="shared" si="18"/>
        <v>贵州46136</v>
      </c>
      <c r="B634" t="s">
        <v>183</v>
      </c>
      <c r="C634" t="s">
        <v>66</v>
      </c>
      <c r="D634" s="45">
        <v>46136</v>
      </c>
      <c r="F634" s="8">
        <f>SUMIFS(根据产能每天需要鲜销部分!$K:$K,根据产能每天需要鲜销部分!$B:$B,$B634,根据产能每天需要鲜销部分!$G:$G,$C634)</f>
        <v>205.141431686017</v>
      </c>
      <c r="G634">
        <f>_xlfn.XLOOKUP($C634,价格系数辅助表!$C:$C,价格系数辅助表!$E:$E)</f>
        <v>0.29390609194172401</v>
      </c>
      <c r="H634">
        <f t="shared" si="19"/>
        <v>2.6529847082603499</v>
      </c>
      <c r="I634" t="str">
        <f>_xlfn.XLOOKUP(B634,'3.屠宰能力表'!B:B,'3.屠宰能力表'!D:D)</f>
        <v>贵州</v>
      </c>
      <c r="J634">
        <f>_xlfn.XLOOKUP(A634,'1.出栏表'!A:A,'1.出栏表'!F:F)</f>
        <v>9.0266407570292504</v>
      </c>
    </row>
    <row r="635" spans="1:10" ht="15" x14ac:dyDescent="0.3">
      <c r="A635" t="str">
        <f t="shared" si="18"/>
        <v>贵州46136</v>
      </c>
      <c r="B635" t="s">
        <v>183</v>
      </c>
      <c r="C635" t="s">
        <v>67</v>
      </c>
      <c r="D635" s="45">
        <v>46136</v>
      </c>
      <c r="F635" s="8">
        <f>SUMIFS(根据产能每天需要鲜销部分!$K:$K,根据产能每天需要鲜销部分!$B:$B,$B635,根据产能每天需要鲜销部分!$G:$G,$C635)</f>
        <v>2400</v>
      </c>
      <c r="G635">
        <f>_xlfn.XLOOKUP($C635,价格系数辅助表!$C:$C,价格系数辅助表!$E:$E)</f>
        <v>8.7444985304843598E-2</v>
      </c>
      <c r="H635">
        <f t="shared" si="19"/>
        <v>0.78933446835052401</v>
      </c>
      <c r="I635" t="str">
        <f>_xlfn.XLOOKUP(B635,'3.屠宰能力表'!B:B,'3.屠宰能力表'!D:D)</f>
        <v>贵州</v>
      </c>
      <c r="J635">
        <f>_xlfn.XLOOKUP(A635,'1.出栏表'!A:A,'1.出栏表'!F:F)</f>
        <v>9.0266407570292504</v>
      </c>
    </row>
    <row r="636" spans="1:10" ht="15" x14ac:dyDescent="0.3">
      <c r="A636" t="str">
        <f t="shared" si="18"/>
        <v>重庆46136</v>
      </c>
      <c r="B636" t="s">
        <v>185</v>
      </c>
      <c r="C636" t="s">
        <v>41</v>
      </c>
      <c r="D636" s="45">
        <v>46136</v>
      </c>
      <c r="F636" s="8">
        <f>SUMIFS(根据产能每天需要鲜销部分!$K:$K,根据产能每天需要鲜销部分!$B:$B,$B636,根据产能每天需要鲜销部分!$G:$G,$C636)</f>
        <v>42900</v>
      </c>
      <c r="G636">
        <f>_xlfn.XLOOKUP($C636,价格系数辅助表!$C:$C,价格系数辅助表!$E:$E)</f>
        <v>1.1852119074341301</v>
      </c>
      <c r="H636">
        <f t="shared" si="19"/>
        <v>11.0219761102465</v>
      </c>
      <c r="I636" t="str">
        <f>_xlfn.XLOOKUP(B636,'3.屠宰能力表'!B:B,'3.屠宰能力表'!D:D)</f>
        <v>重庆</v>
      </c>
      <c r="J636">
        <f>_xlfn.XLOOKUP(A636,'1.出栏表'!A:A,'1.出栏表'!F:F)</f>
        <v>9.2995826662828591</v>
      </c>
    </row>
    <row r="637" spans="1:10" ht="15" x14ac:dyDescent="0.3">
      <c r="A637" t="str">
        <f t="shared" si="18"/>
        <v>重庆46136</v>
      </c>
      <c r="B637" t="s">
        <v>185</v>
      </c>
      <c r="C637" t="s">
        <v>44</v>
      </c>
      <c r="D637" s="45">
        <v>46136</v>
      </c>
      <c r="F637" s="8">
        <f>SUMIFS(根据产能每天需要鲜销部分!$K:$K,根据产能每天需要鲜销部分!$B:$B,$B637,根据产能每天需要鲜销部分!$G:$G,$C637)</f>
        <v>5201.0685215255999</v>
      </c>
      <c r="G637">
        <f>_xlfn.XLOOKUP($C637,价格系数辅助表!$C:$C,价格系数辅助表!$E:$E)</f>
        <v>0.81317166851852996</v>
      </c>
      <c r="H637">
        <f t="shared" si="19"/>
        <v>7.56215715326723</v>
      </c>
      <c r="I637" t="str">
        <f>_xlfn.XLOOKUP(B637,'3.屠宰能力表'!B:B,'3.屠宰能力表'!D:D)</f>
        <v>重庆</v>
      </c>
      <c r="J637">
        <f>_xlfn.XLOOKUP(A637,'1.出栏表'!A:A,'1.出栏表'!F:F)</f>
        <v>9.2995826662828591</v>
      </c>
    </row>
    <row r="638" spans="1:10" ht="15" x14ac:dyDescent="0.3">
      <c r="A638" t="str">
        <f t="shared" si="18"/>
        <v>重庆46136</v>
      </c>
      <c r="B638" t="s">
        <v>185</v>
      </c>
      <c r="C638" t="s">
        <v>46</v>
      </c>
      <c r="D638" s="45">
        <v>46136</v>
      </c>
      <c r="F638" s="8">
        <f>SUMIFS(根据产能每天需要鲜销部分!$K:$K,根据产能每天需要鲜销部分!$B:$B,$B638,根据产能每天需要鲜销部分!$G:$G,$C638)</f>
        <v>39.074558416384299</v>
      </c>
      <c r="G638">
        <f>_xlfn.XLOOKUP($C638,价格系数辅助表!$C:$C,价格系数辅助表!$E:$E)</f>
        <v>4.0225512045395799</v>
      </c>
      <c r="H638">
        <f t="shared" si="19"/>
        <v>37.408047455971499</v>
      </c>
      <c r="I638" t="str">
        <f>_xlfn.XLOOKUP(B638,'3.屠宰能力表'!B:B,'3.屠宰能力表'!D:D)</f>
        <v>重庆</v>
      </c>
      <c r="J638">
        <f>_xlfn.XLOOKUP(A638,'1.出栏表'!A:A,'1.出栏表'!F:F)</f>
        <v>9.2995826662828591</v>
      </c>
    </row>
    <row r="639" spans="1:10" ht="15" x14ac:dyDescent="0.3">
      <c r="A639" t="str">
        <f t="shared" si="18"/>
        <v>重庆46136</v>
      </c>
      <c r="B639" t="s">
        <v>185</v>
      </c>
      <c r="C639" t="s">
        <v>47</v>
      </c>
      <c r="D639" s="45">
        <v>46136</v>
      </c>
      <c r="F639" s="8">
        <f>SUMIFS(根据产能每天需要鲜销部分!$K:$K,根据产能每天需要鲜销部分!$B:$B,$B639,根据产能每天需要鲜销部分!$G:$G,$C639)</f>
        <v>367.58878218432199</v>
      </c>
      <c r="G639">
        <f>_xlfn.XLOOKUP($C639,价格系数辅助表!$C:$C,价格系数辅助表!$E:$E)</f>
        <v>0.84535964262204399</v>
      </c>
      <c r="H639">
        <f t="shared" si="19"/>
        <v>7.8614918793030304</v>
      </c>
      <c r="I639" t="str">
        <f>_xlfn.XLOOKUP(B639,'3.屠宰能力表'!B:B,'3.屠宰能力表'!D:D)</f>
        <v>重庆</v>
      </c>
      <c r="J639">
        <f>_xlfn.XLOOKUP(A639,'1.出栏表'!A:A,'1.出栏表'!F:F)</f>
        <v>9.2995826662828591</v>
      </c>
    </row>
    <row r="640" spans="1:10" ht="15" x14ac:dyDescent="0.3">
      <c r="A640" t="str">
        <f t="shared" si="18"/>
        <v>重庆46136</v>
      </c>
      <c r="B640" t="s">
        <v>185</v>
      </c>
      <c r="C640" t="s">
        <v>48</v>
      </c>
      <c r="D640" s="45">
        <v>46136</v>
      </c>
      <c r="F640" s="8">
        <f>SUMIFS(根据产能每天需要鲜销部分!$K:$K,根据产能每天需要鲜销部分!$B:$B,$B640,根据产能每天需要鲜销部分!$G:$G,$C640)</f>
        <v>1898.7356059659601</v>
      </c>
      <c r="G640">
        <f>_xlfn.XLOOKUP($C640,价格系数辅助表!$C:$C,价格系数辅助表!$E:$E)</f>
        <v>0.37320475421536098</v>
      </c>
      <c r="H640">
        <f t="shared" si="19"/>
        <v>3.4706484632755199</v>
      </c>
      <c r="I640" t="str">
        <f>_xlfn.XLOOKUP(B640,'3.屠宰能力表'!B:B,'3.屠宰能力表'!D:D)</f>
        <v>重庆</v>
      </c>
      <c r="J640">
        <f>_xlfn.XLOOKUP(A640,'1.出栏表'!A:A,'1.出栏表'!F:F)</f>
        <v>9.2995826662828591</v>
      </c>
    </row>
    <row r="641" spans="1:10" ht="15" x14ac:dyDescent="0.3">
      <c r="A641" t="str">
        <f t="shared" si="18"/>
        <v>重庆46136</v>
      </c>
      <c r="B641" t="s">
        <v>185</v>
      </c>
      <c r="C641" t="s">
        <v>49</v>
      </c>
      <c r="D641" s="45">
        <v>46136</v>
      </c>
      <c r="F641" s="8">
        <f>SUMIFS(根据产能每天需要鲜销部分!$K:$K,根据产能每天需要鲜销部分!$B:$B,$B641,根据产能每天需要鲜销部分!$G:$G,$C641)</f>
        <v>371.20830495565002</v>
      </c>
      <c r="G641">
        <f>_xlfn.XLOOKUP($C641,价格系数辅助表!$C:$C,价格系数辅助表!$E:$E)</f>
        <v>1.1550192014842</v>
      </c>
      <c r="H641">
        <f t="shared" si="19"/>
        <v>10.7411965453463</v>
      </c>
      <c r="I641" t="str">
        <f>_xlfn.XLOOKUP(B641,'3.屠宰能力表'!B:B,'3.屠宰能力表'!D:D)</f>
        <v>重庆</v>
      </c>
      <c r="J641">
        <f>_xlfn.XLOOKUP(A641,'1.出栏表'!A:A,'1.出栏表'!F:F)</f>
        <v>9.2995826662828591</v>
      </c>
    </row>
    <row r="642" spans="1:10" ht="15" x14ac:dyDescent="0.3">
      <c r="A642" t="str">
        <f t="shared" si="18"/>
        <v>重庆46136</v>
      </c>
      <c r="B642" t="s">
        <v>185</v>
      </c>
      <c r="C642" t="s">
        <v>50</v>
      </c>
      <c r="D642" s="45">
        <v>46136</v>
      </c>
      <c r="F642" s="8">
        <f>SUMIFS(根据产能每天需要鲜销部分!$K:$K,根据产能每天需要鲜销部分!$B:$B,$B642,根据产能每天需要鲜销部分!$G:$G,$C642)</f>
        <v>1298.9758661406199</v>
      </c>
      <c r="G642">
        <f>_xlfn.XLOOKUP($C642,价格系数辅助表!$C:$C,价格系数辅助表!$E:$E)</f>
        <v>1.90800135982928</v>
      </c>
      <c r="H642">
        <f t="shared" si="19"/>
        <v>17.743616373112499</v>
      </c>
      <c r="I642" t="str">
        <f>_xlfn.XLOOKUP(B642,'3.屠宰能力表'!B:B,'3.屠宰能力表'!D:D)</f>
        <v>重庆</v>
      </c>
      <c r="J642">
        <f>_xlfn.XLOOKUP(A642,'1.出栏表'!A:A,'1.出栏表'!F:F)</f>
        <v>9.2995826662828591</v>
      </c>
    </row>
    <row r="643" spans="1:10" ht="15" x14ac:dyDescent="0.3">
      <c r="A643" t="str">
        <f t="shared" ref="A643:A704" si="20">I643&amp;D643</f>
        <v>重庆46136</v>
      </c>
      <c r="B643" t="s">
        <v>185</v>
      </c>
      <c r="C643" t="s">
        <v>51</v>
      </c>
      <c r="D643" s="45">
        <v>46136</v>
      </c>
      <c r="F643" s="8">
        <f>SUMIFS(根据产能每天需要鲜销部分!$K:$K,根据产能每天需要鲜销部分!$B:$B,$B643,根据产能每天需要鲜销部分!$G:$G,$C643)</f>
        <v>595.88701584985904</v>
      </c>
      <c r="G643">
        <f>_xlfn.XLOOKUP($C643,价格系数辅助表!$C:$C,价格系数辅助表!$E:$E)</f>
        <v>2.76783242873949</v>
      </c>
      <c r="H643">
        <f t="shared" ref="H643:H704" si="21">G643*$J643</f>
        <v>25.7396864774813</v>
      </c>
      <c r="I643" t="str">
        <f>_xlfn.XLOOKUP(B643,'3.屠宰能力表'!B:B,'3.屠宰能力表'!D:D)</f>
        <v>重庆</v>
      </c>
      <c r="J643">
        <f>_xlfn.XLOOKUP(A643,'1.出栏表'!A:A,'1.出栏表'!F:F)</f>
        <v>9.2995826662828591</v>
      </c>
    </row>
    <row r="644" spans="1:10" ht="15" x14ac:dyDescent="0.3">
      <c r="A644" t="str">
        <f t="shared" si="20"/>
        <v>重庆46136</v>
      </c>
      <c r="B644" t="s">
        <v>185</v>
      </c>
      <c r="C644" t="s">
        <v>52</v>
      </c>
      <c r="D644" s="45">
        <v>46136</v>
      </c>
      <c r="F644" s="8">
        <f>SUMIFS(根据产能每天需要鲜销部分!$K:$K,根据产能每天需要鲜销部分!$B:$B,$B644,根据产能每天需要鲜销部分!$G:$G,$C644)</f>
        <v>498.20061980889801</v>
      </c>
      <c r="G644">
        <f>_xlfn.XLOOKUP($C644,价格系数辅助表!$C:$C,价格系数辅助表!$E:$E)</f>
        <v>1.61708641969264</v>
      </c>
      <c r="H644">
        <f t="shared" si="21"/>
        <v>15.038228838455099</v>
      </c>
      <c r="I644" t="str">
        <f>_xlfn.XLOOKUP(B644,'3.屠宰能力表'!B:B,'3.屠宰能力表'!D:D)</f>
        <v>重庆</v>
      </c>
      <c r="J644">
        <f>_xlfn.XLOOKUP(A644,'1.出栏表'!A:A,'1.出栏表'!F:F)</f>
        <v>9.2995826662828591</v>
      </c>
    </row>
    <row r="645" spans="1:10" ht="15" x14ac:dyDescent="0.3">
      <c r="A645" t="str">
        <f t="shared" si="20"/>
        <v>重庆46136</v>
      </c>
      <c r="B645" t="s">
        <v>185</v>
      </c>
      <c r="C645" t="s">
        <v>53</v>
      </c>
      <c r="D645" s="45">
        <v>46136</v>
      </c>
      <c r="F645" s="8">
        <f>SUMIFS(根据产能每天需要鲜销部分!$K:$K,根据产能每天需要鲜销部分!$B:$B,$B645,根据产能每天需要鲜销部分!$G:$G,$C645)</f>
        <v>439.58878218432199</v>
      </c>
      <c r="G645">
        <f>_xlfn.XLOOKUP($C645,价格系数辅助表!$C:$C,价格系数辅助表!$E:$E)</f>
        <v>1.4850675377364999</v>
      </c>
      <c r="H645">
        <f t="shared" si="21"/>
        <v>13.810508332193701</v>
      </c>
      <c r="I645" t="str">
        <f>_xlfn.XLOOKUP(B645,'3.屠宰能力表'!B:B,'3.屠宰能力表'!D:D)</f>
        <v>重庆</v>
      </c>
      <c r="J645">
        <f>_xlfn.XLOOKUP(A645,'1.出栏表'!A:A,'1.出栏表'!F:F)</f>
        <v>9.2995826662828591</v>
      </c>
    </row>
    <row r="646" spans="1:10" ht="15" x14ac:dyDescent="0.3">
      <c r="A646" t="str">
        <f t="shared" si="20"/>
        <v>重庆46136</v>
      </c>
      <c r="B646" t="s">
        <v>185</v>
      </c>
      <c r="C646" t="s">
        <v>54</v>
      </c>
      <c r="D646" s="45">
        <v>46136</v>
      </c>
      <c r="F646" s="8">
        <f>SUMIFS(根据产能每天需要鲜销部分!$K:$K,根据产能每天需要鲜销部分!$B:$B,$B646,根据产能每天需要鲜销部分!$G:$G,$C646)</f>
        <v>322.36510693516999</v>
      </c>
      <c r="G646">
        <f>_xlfn.XLOOKUP($C646,价格系数辅助表!$C:$C,价格系数辅助表!$E:$E)</f>
        <v>1.8971615295629001</v>
      </c>
      <c r="H646">
        <f t="shared" si="21"/>
        <v>17.6428104754618</v>
      </c>
      <c r="I646" t="str">
        <f>_xlfn.XLOOKUP(B646,'3.屠宰能力表'!B:B,'3.屠宰能力表'!D:D)</f>
        <v>重庆</v>
      </c>
      <c r="J646">
        <f>_xlfn.XLOOKUP(A646,'1.出栏表'!A:A,'1.出栏表'!F:F)</f>
        <v>9.2995826662828591</v>
      </c>
    </row>
    <row r="647" spans="1:10" ht="15" x14ac:dyDescent="0.3">
      <c r="A647" t="str">
        <f t="shared" si="20"/>
        <v>重庆46136</v>
      </c>
      <c r="B647" t="s">
        <v>185</v>
      </c>
      <c r="C647" t="s">
        <v>55</v>
      </c>
      <c r="D647" s="45">
        <v>46136</v>
      </c>
      <c r="F647" s="8">
        <f>SUMIFS(根据产能每天需要鲜销部分!$K:$K,根据产能每天需要鲜销部分!$B:$B,$B647,根据产能每天需要鲜销部分!$G:$G,$C647)</f>
        <v>34.818913440342499</v>
      </c>
      <c r="G647">
        <f>_xlfn.XLOOKUP($C647,价格系数辅助表!$C:$C,价格系数辅助表!$E:$E)</f>
        <v>3.2997148664303801</v>
      </c>
      <c r="H647">
        <f t="shared" si="21"/>
        <v>30.685971175531801</v>
      </c>
      <c r="I647" t="str">
        <f>_xlfn.XLOOKUP(B647,'3.屠宰能力表'!B:B,'3.屠宰能力表'!D:D)</f>
        <v>重庆</v>
      </c>
      <c r="J647">
        <f>_xlfn.XLOOKUP(A647,'1.出栏表'!A:A,'1.出栏表'!F:F)</f>
        <v>9.2995826662828591</v>
      </c>
    </row>
    <row r="648" spans="1:10" ht="15" x14ac:dyDescent="0.3">
      <c r="A648" t="str">
        <f t="shared" si="20"/>
        <v>重庆46136</v>
      </c>
      <c r="B648" t="s">
        <v>185</v>
      </c>
      <c r="C648" t="s">
        <v>57</v>
      </c>
      <c r="D648" s="45">
        <v>46136</v>
      </c>
      <c r="F648" s="8">
        <f>SUMIFS(根据产能每天需要鲜销部分!$K:$K,根据产能每天需要鲜销部分!$B:$B,$B648,根据产能每天需要鲜销部分!$G:$G,$C648)</f>
        <v>1229.51193071681</v>
      </c>
      <c r="G648">
        <f>_xlfn.XLOOKUP($C648,价格系数辅助表!$C:$C,价格系数辅助表!$E:$E)</f>
        <v>0.130070801908548</v>
      </c>
      <c r="H648">
        <f t="shared" si="21"/>
        <v>1.20960417481825</v>
      </c>
      <c r="I648" t="str">
        <f>_xlfn.XLOOKUP(B648,'3.屠宰能力表'!B:B,'3.屠宰能力表'!D:D)</f>
        <v>重庆</v>
      </c>
      <c r="J648">
        <f>_xlfn.XLOOKUP(A648,'1.出栏表'!A:A,'1.出栏表'!F:F)</f>
        <v>9.2995826662828591</v>
      </c>
    </row>
    <row r="649" spans="1:10" ht="15" x14ac:dyDescent="0.3">
      <c r="A649" t="str">
        <f t="shared" si="20"/>
        <v>重庆46136</v>
      </c>
      <c r="B649" t="s">
        <v>185</v>
      </c>
      <c r="C649" t="s">
        <v>58</v>
      </c>
      <c r="D649" s="45">
        <v>46136</v>
      </c>
      <c r="F649" s="8">
        <f>SUMIFS(根据产能每天需要鲜销部分!$K:$K,根据产能每天需要鲜销部分!$B:$B,$B649,根据产能每天需要鲜销部分!$G:$G,$C649)</f>
        <v>1752.06568201192</v>
      </c>
      <c r="G649">
        <f>_xlfn.XLOOKUP($C649,价格系数辅助表!$C:$C,价格系数辅助表!$E:$E)</f>
        <v>0.69784384029908697</v>
      </c>
      <c r="H649">
        <f t="shared" si="21"/>
        <v>6.4896564810176498</v>
      </c>
      <c r="I649" t="str">
        <f>_xlfn.XLOOKUP(B649,'3.屠宰能力表'!B:B,'3.屠宰能力表'!D:D)</f>
        <v>重庆</v>
      </c>
      <c r="J649">
        <f>_xlfn.XLOOKUP(A649,'1.出栏表'!A:A,'1.出栏表'!F:F)</f>
        <v>9.2995826662828591</v>
      </c>
    </row>
    <row r="650" spans="1:10" ht="15" x14ac:dyDescent="0.3">
      <c r="A650" t="str">
        <f t="shared" si="20"/>
        <v>重庆46136</v>
      </c>
      <c r="B650" t="s">
        <v>185</v>
      </c>
      <c r="C650" t="s">
        <v>59</v>
      </c>
      <c r="D650" s="45">
        <v>46136</v>
      </c>
      <c r="F650" s="8">
        <f>SUMIFS(根据产能每天需要鲜销部分!$K:$K,根据产能每天需要鲜销部分!$B:$B,$B650,根据产能每天需要鲜销部分!$G:$G,$C650)</f>
        <v>1766.2553467585001</v>
      </c>
      <c r="G650">
        <f>_xlfn.XLOOKUP($C650,价格系数辅助表!$C:$C,价格系数辅助表!$E:$E)</f>
        <v>0.456447335288171</v>
      </c>
      <c r="H650">
        <f t="shared" si="21"/>
        <v>4.2447697273168696</v>
      </c>
      <c r="I650" t="str">
        <f>_xlfn.XLOOKUP(B650,'3.屠宰能力表'!B:B,'3.屠宰能力表'!D:D)</f>
        <v>重庆</v>
      </c>
      <c r="J650">
        <f>_xlfn.XLOOKUP(A650,'1.出栏表'!A:A,'1.出栏表'!F:F)</f>
        <v>9.2995826662828591</v>
      </c>
    </row>
    <row r="651" spans="1:10" ht="15" x14ac:dyDescent="0.3">
      <c r="A651" t="str">
        <f t="shared" si="20"/>
        <v>重庆46136</v>
      </c>
      <c r="B651" t="s">
        <v>185</v>
      </c>
      <c r="C651" t="s">
        <v>60</v>
      </c>
      <c r="D651" s="45">
        <v>46136</v>
      </c>
      <c r="F651" s="8">
        <f>SUMIFS(根据产能每天需要鲜销部分!$K:$K,根据产能每天需要鲜销部分!$B:$B,$B651,根据产能每天需要鲜销部分!$G:$G,$C651)</f>
        <v>819.22906734477601</v>
      </c>
      <c r="G651">
        <f>_xlfn.XLOOKUP($C651,价格系数辅助表!$C:$C,价格系数辅助表!$E:$E)</f>
        <v>0.30253913346115902</v>
      </c>
      <c r="H651">
        <f t="shared" si="21"/>
        <v>2.8134876814076302</v>
      </c>
      <c r="I651" t="str">
        <f>_xlfn.XLOOKUP(B651,'3.屠宰能力表'!B:B,'3.屠宰能力表'!D:D)</f>
        <v>重庆</v>
      </c>
      <c r="J651">
        <f>_xlfn.XLOOKUP(A651,'1.出栏表'!A:A,'1.出栏表'!F:F)</f>
        <v>9.2995826662828591</v>
      </c>
    </row>
    <row r="652" spans="1:10" ht="15" x14ac:dyDescent="0.3">
      <c r="A652" t="str">
        <f t="shared" si="20"/>
        <v>重庆46136</v>
      </c>
      <c r="B652" t="s">
        <v>185</v>
      </c>
      <c r="C652" t="s">
        <v>61</v>
      </c>
      <c r="D652" s="45">
        <v>46136</v>
      </c>
      <c r="F652" s="8">
        <f>SUMIFS(根据产能每天需要鲜销部分!$K:$K,根据产能每天需要鲜销部分!$B:$B,$B652,根据产能每天需要鲜销部分!$G:$G,$C652)</f>
        <v>937.78940199322096</v>
      </c>
      <c r="G652">
        <f>_xlfn.XLOOKUP($C652,价格系数辅助表!$C:$C,价格系数辅助表!$E:$E)</f>
        <v>5.2234050059701297E-2</v>
      </c>
      <c r="H652">
        <f t="shared" si="21"/>
        <v>0.48575486652494898</v>
      </c>
      <c r="I652" t="str">
        <f>_xlfn.XLOOKUP(B652,'3.屠宰能力表'!B:B,'3.屠宰能力表'!D:D)</f>
        <v>重庆</v>
      </c>
      <c r="J652">
        <f>_xlfn.XLOOKUP(A652,'1.出栏表'!A:A,'1.出栏表'!F:F)</f>
        <v>9.2995826662828591</v>
      </c>
    </row>
    <row r="653" spans="1:10" ht="15" x14ac:dyDescent="0.3">
      <c r="A653" t="str">
        <f t="shared" si="20"/>
        <v>重庆46136</v>
      </c>
      <c r="B653" t="s">
        <v>185</v>
      </c>
      <c r="C653" t="s">
        <v>62</v>
      </c>
      <c r="D653" s="45">
        <v>46136</v>
      </c>
      <c r="F653" s="8">
        <f>SUMIFS(根据产能每天需要鲜销部分!$K:$K,根据产能每天需要鲜销部分!$B:$B,$B653,根据产能每天需要鲜销部分!$G:$G,$C653)</f>
        <v>879.17756436864499</v>
      </c>
      <c r="G653">
        <f>_xlfn.XLOOKUP($C653,价格系数辅助表!$C:$C,价格系数辅助表!$E:$E)</f>
        <v>0.27335161219757498</v>
      </c>
      <c r="H653">
        <f t="shared" si="21"/>
        <v>2.5420559145930501</v>
      </c>
      <c r="I653" t="str">
        <f>_xlfn.XLOOKUP(B653,'3.屠宰能力表'!B:B,'3.屠宰能力表'!D:D)</f>
        <v>重庆</v>
      </c>
      <c r="J653">
        <f>_xlfn.XLOOKUP(A653,'1.出栏表'!A:A,'1.出栏表'!F:F)</f>
        <v>9.2995826662828591</v>
      </c>
    </row>
    <row r="654" spans="1:10" ht="15" x14ac:dyDescent="0.3">
      <c r="A654" t="str">
        <f t="shared" si="20"/>
        <v>重庆46136</v>
      </c>
      <c r="B654" t="s">
        <v>185</v>
      </c>
      <c r="C654" t="s">
        <v>63</v>
      </c>
      <c r="D654" s="45">
        <v>46136</v>
      </c>
      <c r="F654" s="8">
        <f>SUMIFS(根据产能每天需要鲜销部分!$K:$K,根据产能每天需要鲜销部分!$B:$B,$B654,根据产能每天需要鲜销部分!$G:$G,$C654)</f>
        <v>738.20061980889795</v>
      </c>
      <c r="G654">
        <f>_xlfn.XLOOKUP($C654,价格系数辅助表!$C:$C,价格系数辅助表!$E:$E)</f>
        <v>0.25083638292710098</v>
      </c>
      <c r="H654">
        <f t="shared" si="21"/>
        <v>2.33267367874195</v>
      </c>
      <c r="I654" t="str">
        <f>_xlfn.XLOOKUP(B654,'3.屠宰能力表'!B:B,'3.屠宰能力表'!D:D)</f>
        <v>重庆</v>
      </c>
      <c r="J654">
        <f>_xlfn.XLOOKUP(A654,'1.出栏表'!A:A,'1.出栏表'!F:F)</f>
        <v>9.2995826662828591</v>
      </c>
    </row>
    <row r="655" spans="1:10" ht="15" x14ac:dyDescent="0.3">
      <c r="A655" t="str">
        <f t="shared" si="20"/>
        <v>重庆46136</v>
      </c>
      <c r="B655" t="s">
        <v>185</v>
      </c>
      <c r="C655" t="s">
        <v>64</v>
      </c>
      <c r="D655" s="45">
        <v>46136</v>
      </c>
      <c r="F655" s="8">
        <f>SUMIFS(根据产能每天需要鲜销部分!$K:$K,根据产能每天需要鲜销部分!$B:$B,$B655,根据产能每天需要鲜销部分!$G:$G,$C655)</f>
        <v>127.66934928125499</v>
      </c>
      <c r="G655">
        <f>_xlfn.XLOOKUP($C655,价格系数辅助表!$C:$C,价格系数辅助表!$E:$E)</f>
        <v>0.87755384758256405</v>
      </c>
      <c r="H655">
        <f t="shared" si="21"/>
        <v>8.1608845497086406</v>
      </c>
      <c r="I655" t="str">
        <f>_xlfn.XLOOKUP(B655,'3.屠宰能力表'!B:B,'3.屠宰能力表'!D:D)</f>
        <v>重庆</v>
      </c>
      <c r="J655">
        <f>_xlfn.XLOOKUP(A655,'1.出栏表'!A:A,'1.出栏表'!F:F)</f>
        <v>9.2995826662828591</v>
      </c>
    </row>
    <row r="656" spans="1:10" ht="15" x14ac:dyDescent="0.3">
      <c r="A656" t="str">
        <f t="shared" si="20"/>
        <v>重庆46136</v>
      </c>
      <c r="B656" t="s">
        <v>185</v>
      </c>
      <c r="C656" t="s">
        <v>65</v>
      </c>
      <c r="D656" s="45">
        <v>46136</v>
      </c>
      <c r="F656" s="8">
        <f>SUMIFS(根据产能每天需要鲜销部分!$K:$K,根据产能每天需要鲜销部分!$B:$B,$B656,根据产能每天需要鲜销部分!$G:$G,$C656)</f>
        <v>58.031522400570701</v>
      </c>
      <c r="G656">
        <f>_xlfn.XLOOKUP($C656,价格系数辅助表!$C:$C,价格系数辅助表!$E:$E)</f>
        <v>1.02785250036373</v>
      </c>
      <c r="H656">
        <f t="shared" si="21"/>
        <v>9.5585992958780803</v>
      </c>
      <c r="I656" t="str">
        <f>_xlfn.XLOOKUP(B656,'3.屠宰能力表'!B:B,'3.屠宰能力表'!D:D)</f>
        <v>重庆</v>
      </c>
      <c r="J656">
        <f>_xlfn.XLOOKUP(A656,'1.出栏表'!A:A,'1.出栏表'!F:F)</f>
        <v>9.2995826662828591</v>
      </c>
    </row>
    <row r="657" spans="1:10" ht="15" x14ac:dyDescent="0.3">
      <c r="A657" t="str">
        <f t="shared" si="20"/>
        <v>重庆46136</v>
      </c>
      <c r="B657" t="s">
        <v>185</v>
      </c>
      <c r="C657" t="s">
        <v>66</v>
      </c>
      <c r="D657" s="45">
        <v>46136</v>
      </c>
      <c r="F657" s="8">
        <f>SUMIFS(根据产能每天需要鲜销部分!$K:$K,根据产能每天需要鲜销部分!$B:$B,$B657,根据产能每天需要鲜销部分!$G:$G,$C657)</f>
        <v>205.141431686017</v>
      </c>
      <c r="G657">
        <f>_xlfn.XLOOKUP($C657,价格系数辅助表!$C:$C,价格系数辅助表!$E:$E)</f>
        <v>0.29390609194172401</v>
      </c>
      <c r="H657">
        <f t="shared" si="21"/>
        <v>2.7332039981361902</v>
      </c>
      <c r="I657" t="str">
        <f>_xlfn.XLOOKUP(B657,'3.屠宰能力表'!B:B,'3.屠宰能力表'!D:D)</f>
        <v>重庆</v>
      </c>
      <c r="J657">
        <f>_xlfn.XLOOKUP(A657,'1.出栏表'!A:A,'1.出栏表'!F:F)</f>
        <v>9.2995826662828591</v>
      </c>
    </row>
    <row r="658" spans="1:10" ht="15" x14ac:dyDescent="0.3">
      <c r="A658" t="str">
        <f t="shared" si="20"/>
        <v>重庆46136</v>
      </c>
      <c r="B658" t="s">
        <v>185</v>
      </c>
      <c r="C658" t="s">
        <v>67</v>
      </c>
      <c r="D658" s="45">
        <v>46136</v>
      </c>
      <c r="F658" s="8">
        <f>SUMIFS(根据产能每天需要鲜销部分!$K:$K,根据产能每天需要鲜销部分!$B:$B,$B658,根据产能每天需要鲜销部分!$G:$G,$C658)</f>
        <v>2400</v>
      </c>
      <c r="G658">
        <f>_xlfn.XLOOKUP($C658,价格系数辅助表!$C:$C,价格系数辅助表!$E:$E)</f>
        <v>8.7444985304843598E-2</v>
      </c>
      <c r="H658">
        <f t="shared" si="21"/>
        <v>0.81320186959428198</v>
      </c>
      <c r="I658" t="str">
        <f>_xlfn.XLOOKUP(B658,'3.屠宰能力表'!B:B,'3.屠宰能力表'!D:D)</f>
        <v>重庆</v>
      </c>
      <c r="J658">
        <f>_xlfn.XLOOKUP(A658,'1.出栏表'!A:A,'1.出栏表'!F:F)</f>
        <v>9.2995826662828591</v>
      </c>
    </row>
    <row r="659" spans="1:10" ht="15" x14ac:dyDescent="0.3">
      <c r="A659" t="str">
        <f t="shared" si="20"/>
        <v>山东46136</v>
      </c>
      <c r="B659" t="s">
        <v>187</v>
      </c>
      <c r="C659" t="s">
        <v>41</v>
      </c>
      <c r="D659" s="45">
        <v>46136</v>
      </c>
      <c r="F659" s="8">
        <f>SUMIFS(根据产能每天需要鲜销部分!$K:$K,根据产能每天需要鲜销部分!$B:$B,$B659,根据产能每天需要鲜销部分!$G:$G,$C659)</f>
        <v>42900</v>
      </c>
      <c r="G659">
        <f>_xlfn.XLOOKUP($C659,价格系数辅助表!$C:$C,价格系数辅助表!$E:$E)</f>
        <v>1.1852119074341301</v>
      </c>
      <c r="H659">
        <f t="shared" si="21"/>
        <v>10.8661168446327</v>
      </c>
      <c r="I659" t="str">
        <f>_xlfn.XLOOKUP(B659,'3.屠宰能力表'!B:B,'3.屠宰能力表'!D:D)</f>
        <v>山东</v>
      </c>
      <c r="J659">
        <f>_xlfn.XLOOKUP(A659,'1.出栏表'!A:A,'1.出栏表'!F:F)</f>
        <v>9.1680793759124093</v>
      </c>
    </row>
    <row r="660" spans="1:10" ht="15" x14ac:dyDescent="0.3">
      <c r="A660" t="str">
        <f t="shared" si="20"/>
        <v>山东46136</v>
      </c>
      <c r="B660" t="s">
        <v>187</v>
      </c>
      <c r="C660" t="s">
        <v>44</v>
      </c>
      <c r="D660" s="45">
        <v>46136</v>
      </c>
      <c r="F660" s="8">
        <f>SUMIFS(根据产能每天需要鲜销部分!$K:$K,根据产能每天需要鲜销部分!$B:$B,$B660,根据产能每天需要鲜销部分!$G:$G,$C660)</f>
        <v>7801.6027822883998</v>
      </c>
      <c r="G660">
        <f>_xlfn.XLOOKUP($C660,价格系数辅助表!$C:$C,价格系数辅助表!$E:$E)</f>
        <v>0.81317166851852996</v>
      </c>
      <c r="H660">
        <f t="shared" si="21"/>
        <v>7.4552224032210201</v>
      </c>
      <c r="I660" t="str">
        <f>_xlfn.XLOOKUP(B660,'3.屠宰能力表'!B:B,'3.屠宰能力表'!D:D)</f>
        <v>山东</v>
      </c>
      <c r="J660">
        <f>_xlfn.XLOOKUP(A660,'1.出栏表'!A:A,'1.出栏表'!F:F)</f>
        <v>9.1680793759124093</v>
      </c>
    </row>
    <row r="661" spans="1:10" ht="15" x14ac:dyDescent="0.3">
      <c r="A661" t="str">
        <f t="shared" si="20"/>
        <v>山东46136</v>
      </c>
      <c r="B661" t="s">
        <v>187</v>
      </c>
      <c r="C661" t="s">
        <v>46</v>
      </c>
      <c r="D661" s="45">
        <v>46136</v>
      </c>
      <c r="F661" s="8">
        <f>SUMIFS(根据产能每天需要鲜销部分!$K:$K,根据产能每天需要鲜销部分!$B:$B,$B661,根据产能每天需要鲜销部分!$G:$G,$C661)</f>
        <v>58.611837624576502</v>
      </c>
      <c r="G661">
        <f>_xlfn.XLOOKUP($C661,价格系数辅助表!$C:$C,价格系数辅助表!$E:$E)</f>
        <v>4.0225512045395799</v>
      </c>
      <c r="H661">
        <f t="shared" si="21"/>
        <v>36.879068736891</v>
      </c>
      <c r="I661" t="str">
        <f>_xlfn.XLOOKUP(B661,'3.屠宰能力表'!B:B,'3.屠宰能力表'!D:D)</f>
        <v>山东</v>
      </c>
      <c r="J661">
        <f>_xlfn.XLOOKUP(A661,'1.出栏表'!A:A,'1.出栏表'!F:F)</f>
        <v>9.1680793759124093</v>
      </c>
    </row>
    <row r="662" spans="1:10" ht="15" x14ac:dyDescent="0.3">
      <c r="A662" t="str">
        <f t="shared" si="20"/>
        <v>山东46136</v>
      </c>
      <c r="B662" t="s">
        <v>187</v>
      </c>
      <c r="C662" t="s">
        <v>47</v>
      </c>
      <c r="D662" s="45">
        <v>46136</v>
      </c>
      <c r="F662" s="8">
        <f>SUMIFS(根据产能每天需要鲜销部分!$K:$K,根据产能每天需要鲜销部分!$B:$B,$B662,根据产能每天需要鲜销部分!$G:$G,$C662)</f>
        <v>551.38317327648394</v>
      </c>
      <c r="G662">
        <f>_xlfn.XLOOKUP($C662,价格系数辅助表!$C:$C,价格系数辅助表!$E:$E)</f>
        <v>0.84535964262204399</v>
      </c>
      <c r="H662">
        <f t="shared" si="21"/>
        <v>7.7503243047518504</v>
      </c>
      <c r="I662" t="str">
        <f>_xlfn.XLOOKUP(B662,'3.屠宰能力表'!B:B,'3.屠宰能力表'!D:D)</f>
        <v>山东</v>
      </c>
      <c r="J662">
        <f>_xlfn.XLOOKUP(A662,'1.出栏表'!A:A,'1.出栏表'!F:F)</f>
        <v>9.1680793759124093</v>
      </c>
    </row>
    <row r="663" spans="1:10" ht="15" x14ac:dyDescent="0.3">
      <c r="A663" t="str">
        <f t="shared" si="20"/>
        <v>山东46136</v>
      </c>
      <c r="B663" t="s">
        <v>187</v>
      </c>
      <c r="C663" t="s">
        <v>48</v>
      </c>
      <c r="D663" s="45">
        <v>46136</v>
      </c>
      <c r="F663" s="8">
        <f>SUMIFS(根据产能每天需要鲜销部分!$K:$K,根据产能每天需要鲜销部分!$B:$B,$B663,根据产能每天需要鲜销部分!$G:$G,$C663)</f>
        <v>2848.1034089489399</v>
      </c>
      <c r="G663">
        <f>_xlfn.XLOOKUP($C663,价格系数辅助表!$C:$C,价格系数辅助表!$E:$E)</f>
        <v>0.37320475421536098</v>
      </c>
      <c r="H663">
        <f t="shared" si="21"/>
        <v>3.4215708101143099</v>
      </c>
      <c r="I663" t="str">
        <f>_xlfn.XLOOKUP(B663,'3.屠宰能力表'!B:B,'3.屠宰能力表'!D:D)</f>
        <v>山东</v>
      </c>
      <c r="J663">
        <f>_xlfn.XLOOKUP(A663,'1.出栏表'!A:A,'1.出栏表'!F:F)</f>
        <v>9.1680793759124093</v>
      </c>
    </row>
    <row r="664" spans="1:10" ht="15" x14ac:dyDescent="0.3">
      <c r="A664" t="str">
        <f t="shared" si="20"/>
        <v>山东46136</v>
      </c>
      <c r="B664" t="s">
        <v>187</v>
      </c>
      <c r="C664" t="s">
        <v>49</v>
      </c>
      <c r="D664" s="45">
        <v>46136</v>
      </c>
      <c r="F664" s="8">
        <f>SUMIFS(根据产能每天需要鲜销部分!$K:$K,根据产能每天需要鲜销部分!$B:$B,$B664,根据产能每天需要鲜销部分!$G:$G,$C664)</f>
        <v>556.81245743347404</v>
      </c>
      <c r="G664">
        <f>_xlfn.XLOOKUP($C664,价格系数辅助表!$C:$C,价格系数辅助表!$E:$E)</f>
        <v>1.1550192014842</v>
      </c>
      <c r="H664">
        <f t="shared" si="21"/>
        <v>10.589307719910099</v>
      </c>
      <c r="I664" t="str">
        <f>_xlfn.XLOOKUP(B664,'3.屠宰能力表'!B:B,'3.屠宰能力表'!D:D)</f>
        <v>山东</v>
      </c>
      <c r="J664">
        <f>_xlfn.XLOOKUP(A664,'1.出栏表'!A:A,'1.出栏表'!F:F)</f>
        <v>9.1680793759124093</v>
      </c>
    </row>
    <row r="665" spans="1:10" ht="15" x14ac:dyDescent="0.3">
      <c r="A665" t="str">
        <f t="shared" si="20"/>
        <v>山东46136</v>
      </c>
      <c r="B665" t="s">
        <v>187</v>
      </c>
      <c r="C665" t="s">
        <v>50</v>
      </c>
      <c r="D665" s="45">
        <v>46136</v>
      </c>
      <c r="F665" s="8">
        <f>SUMIFS(根据产能每天需要鲜销部分!$K:$K,根据产能每天需要鲜销部分!$B:$B,$B665,根据产能每天需要鲜销部分!$G:$G,$C665)</f>
        <v>1948.4637992109399</v>
      </c>
      <c r="G665">
        <f>_xlfn.XLOOKUP($C665,价格系数辅助表!$C:$C,价格系数辅助表!$E:$E)</f>
        <v>1.90800135982928</v>
      </c>
      <c r="H665">
        <f t="shared" si="21"/>
        <v>17.492707916263701</v>
      </c>
      <c r="I665" t="str">
        <f>_xlfn.XLOOKUP(B665,'3.屠宰能力表'!B:B,'3.屠宰能力表'!D:D)</f>
        <v>山东</v>
      </c>
      <c r="J665">
        <f>_xlfn.XLOOKUP(A665,'1.出栏表'!A:A,'1.出栏表'!F:F)</f>
        <v>9.1680793759124093</v>
      </c>
    </row>
    <row r="666" spans="1:10" ht="15" x14ac:dyDescent="0.3">
      <c r="A666" t="str">
        <f t="shared" si="20"/>
        <v>山东46136</v>
      </c>
      <c r="B666" t="s">
        <v>187</v>
      </c>
      <c r="C666" t="s">
        <v>51</v>
      </c>
      <c r="D666" s="45">
        <v>46136</v>
      </c>
      <c r="F666" s="8">
        <f>SUMIFS(根据产能每天需要鲜销部分!$K:$K,根据产能每天需要鲜销部分!$B:$B,$B666,根据产能每天需要鲜销部分!$G:$G,$C666)</f>
        <v>893.83052377478896</v>
      </c>
      <c r="G666">
        <f>_xlfn.XLOOKUP($C666,价格系数辅助表!$C:$C,价格系数辅助表!$E:$E)</f>
        <v>2.76783242873949</v>
      </c>
      <c r="H666">
        <f t="shared" si="21"/>
        <v>25.375707405908098</v>
      </c>
      <c r="I666" t="str">
        <f>_xlfn.XLOOKUP(B666,'3.屠宰能力表'!B:B,'3.屠宰能力表'!D:D)</f>
        <v>山东</v>
      </c>
      <c r="J666">
        <f>_xlfn.XLOOKUP(A666,'1.出栏表'!A:A,'1.出栏表'!F:F)</f>
        <v>9.1680793759124093</v>
      </c>
    </row>
    <row r="667" spans="1:10" ht="15" x14ac:dyDescent="0.3">
      <c r="A667" t="str">
        <f t="shared" si="20"/>
        <v>山东46136</v>
      </c>
      <c r="B667" t="s">
        <v>187</v>
      </c>
      <c r="C667" t="s">
        <v>52</v>
      </c>
      <c r="D667" s="45">
        <v>46136</v>
      </c>
      <c r="F667" s="8">
        <f>SUMIFS(根据产能每天需要鲜销部分!$K:$K,根据产能每天需要鲜销部分!$B:$B,$B667,根据产能每天需要鲜销部分!$G:$G,$C667)</f>
        <v>747.30092971334795</v>
      </c>
      <c r="G667">
        <f>_xlfn.XLOOKUP($C667,价格系数辅助表!$C:$C,价格系数辅助表!$E:$E)</f>
        <v>1.61708641969264</v>
      </c>
      <c r="H667">
        <f t="shared" si="21"/>
        <v>14.825576653452099</v>
      </c>
      <c r="I667" t="str">
        <f>_xlfn.XLOOKUP(B667,'3.屠宰能力表'!B:B,'3.屠宰能力表'!D:D)</f>
        <v>山东</v>
      </c>
      <c r="J667">
        <f>_xlfn.XLOOKUP(A667,'1.出栏表'!A:A,'1.出栏表'!F:F)</f>
        <v>9.1680793759124093</v>
      </c>
    </row>
    <row r="668" spans="1:10" ht="15" x14ac:dyDescent="0.3">
      <c r="A668" t="str">
        <f t="shared" si="20"/>
        <v>山东46136</v>
      </c>
      <c r="B668" t="s">
        <v>187</v>
      </c>
      <c r="C668" t="s">
        <v>53</v>
      </c>
      <c r="D668" s="45">
        <v>46136</v>
      </c>
      <c r="F668" s="8">
        <f>SUMIFS(根据产能每天需要鲜销部分!$K:$K,根据产能每天需要鲜销部分!$B:$B,$B668,根据产能每天需要鲜销部分!$G:$G,$C668)</f>
        <v>659.38317327648394</v>
      </c>
      <c r="G668">
        <f>_xlfn.XLOOKUP($C668,价格系数辅助表!$C:$C,价格系数辅助表!$E:$E)</f>
        <v>1.4850675377364999</v>
      </c>
      <c r="H668">
        <f t="shared" si="21"/>
        <v>13.615217064558999</v>
      </c>
      <c r="I668" t="str">
        <f>_xlfn.XLOOKUP(B668,'3.屠宰能力表'!B:B,'3.屠宰能力表'!D:D)</f>
        <v>山东</v>
      </c>
      <c r="J668">
        <f>_xlfn.XLOOKUP(A668,'1.出栏表'!A:A,'1.出栏表'!F:F)</f>
        <v>9.1680793759124093</v>
      </c>
    </row>
    <row r="669" spans="1:10" ht="15" x14ac:dyDescent="0.3">
      <c r="A669" t="str">
        <f t="shared" si="20"/>
        <v>山东46136</v>
      </c>
      <c r="B669" t="s">
        <v>187</v>
      </c>
      <c r="C669" t="s">
        <v>54</v>
      </c>
      <c r="D669" s="45">
        <v>46136</v>
      </c>
      <c r="F669" s="8">
        <f>SUMIFS(根据产能每天需要鲜销部分!$K:$K,根据产能每天需要鲜销部分!$B:$B,$B669,根据产能每天需要鲜销部分!$G:$G,$C669)</f>
        <v>483.54766040275598</v>
      </c>
      <c r="G669">
        <f>_xlfn.XLOOKUP($C669,价格系数辅助表!$C:$C,价格系数辅助表!$E:$E)</f>
        <v>1.8971615295629001</v>
      </c>
      <c r="H669">
        <f t="shared" si="21"/>
        <v>17.393327491960001</v>
      </c>
      <c r="I669" t="str">
        <f>_xlfn.XLOOKUP(B669,'3.屠宰能力表'!B:B,'3.屠宰能力表'!D:D)</f>
        <v>山东</v>
      </c>
      <c r="J669">
        <f>_xlfn.XLOOKUP(A669,'1.出栏表'!A:A,'1.出栏表'!F:F)</f>
        <v>9.1680793759124093</v>
      </c>
    </row>
    <row r="670" spans="1:10" ht="15" x14ac:dyDescent="0.3">
      <c r="A670" t="str">
        <f t="shared" si="20"/>
        <v>山东46136</v>
      </c>
      <c r="B670" t="s">
        <v>187</v>
      </c>
      <c r="C670" t="s">
        <v>55</v>
      </c>
      <c r="D670" s="45">
        <v>46136</v>
      </c>
      <c r="F670" s="8">
        <f>SUMIFS(根据产能每天需要鲜销部分!$K:$K,根据产能每天需要鲜销部分!$B:$B,$B670,根据产能每天需要鲜销部分!$G:$G,$C670)</f>
        <v>52.228370160513698</v>
      </c>
      <c r="G670">
        <f>_xlfn.XLOOKUP($C670,价格系数辅助表!$C:$C,价格系数辅助表!$E:$E)</f>
        <v>3.2997148664303801</v>
      </c>
      <c r="H670">
        <f t="shared" si="21"/>
        <v>30.252047813311901</v>
      </c>
      <c r="I670" t="str">
        <f>_xlfn.XLOOKUP(B670,'3.屠宰能力表'!B:B,'3.屠宰能力表'!D:D)</f>
        <v>山东</v>
      </c>
      <c r="J670">
        <f>_xlfn.XLOOKUP(A670,'1.出栏表'!A:A,'1.出栏表'!F:F)</f>
        <v>9.1680793759124093</v>
      </c>
    </row>
    <row r="671" spans="1:10" ht="15" x14ac:dyDescent="0.3">
      <c r="A671" t="str">
        <f t="shared" si="20"/>
        <v>山东46136</v>
      </c>
      <c r="B671" t="s">
        <v>187</v>
      </c>
      <c r="C671" t="s">
        <v>57</v>
      </c>
      <c r="D671" s="45">
        <v>46136</v>
      </c>
      <c r="F671" s="8">
        <f>SUMIFS(根据产能每天需要鲜销部分!$K:$K,根据产能每天需要鲜销部分!$B:$B,$B671,根据产能每天需要鲜销部分!$G:$G,$C671)</f>
        <v>1844.26789607521</v>
      </c>
      <c r="G671">
        <f>_xlfn.XLOOKUP($C671,价格系数辅助表!$C:$C,价格系数辅助表!$E:$E)</f>
        <v>0.130070801908548</v>
      </c>
      <c r="H671">
        <f t="shared" si="21"/>
        <v>1.1924994363861501</v>
      </c>
      <c r="I671" t="str">
        <f>_xlfn.XLOOKUP(B671,'3.屠宰能力表'!B:B,'3.屠宰能力表'!D:D)</f>
        <v>山东</v>
      </c>
      <c r="J671">
        <f>_xlfn.XLOOKUP(A671,'1.出栏表'!A:A,'1.出栏表'!F:F)</f>
        <v>9.1680793759124093</v>
      </c>
    </row>
    <row r="672" spans="1:10" ht="15" x14ac:dyDescent="0.3">
      <c r="A672" t="str">
        <f t="shared" si="20"/>
        <v>山东46136</v>
      </c>
      <c r="B672" t="s">
        <v>187</v>
      </c>
      <c r="C672" t="s">
        <v>58</v>
      </c>
      <c r="D672" s="45">
        <v>46136</v>
      </c>
      <c r="F672" s="8">
        <f>SUMIFS(根据产能每天需要鲜销部分!$K:$K,根据产能每天需要鲜销部分!$B:$B,$B672,根据产能每天需要鲜销部分!$G:$G,$C672)</f>
        <v>2628.0985230178699</v>
      </c>
      <c r="G672">
        <f>_xlfn.XLOOKUP($C672,价格系数辅助表!$C:$C,价格系数辅助表!$E:$E)</f>
        <v>0.69784384029908697</v>
      </c>
      <c r="H672">
        <f t="shared" si="21"/>
        <v>6.3978877198535802</v>
      </c>
      <c r="I672" t="str">
        <f>_xlfn.XLOOKUP(B672,'3.屠宰能力表'!B:B,'3.屠宰能力表'!D:D)</f>
        <v>山东</v>
      </c>
      <c r="J672">
        <f>_xlfn.XLOOKUP(A672,'1.出栏表'!A:A,'1.出栏表'!F:F)</f>
        <v>9.1680793759124093</v>
      </c>
    </row>
    <row r="673" spans="1:10" ht="15" x14ac:dyDescent="0.3">
      <c r="A673" t="str">
        <f t="shared" si="20"/>
        <v>山东46136</v>
      </c>
      <c r="B673" t="s">
        <v>187</v>
      </c>
      <c r="C673" t="s">
        <v>59</v>
      </c>
      <c r="D673" s="45">
        <v>46136</v>
      </c>
      <c r="F673" s="8">
        <f>SUMIFS(根据产能每天需要鲜销部分!$K:$K,根据产能每天需要鲜销部分!$B:$B,$B673,根据产能每天需要鲜销部分!$G:$G,$C673)</f>
        <v>2649.38302013774</v>
      </c>
      <c r="G673">
        <f>_xlfn.XLOOKUP($C673,价格系数辅助表!$C:$C,价格系数辅助表!$E:$E)</f>
        <v>0.456447335288171</v>
      </c>
      <c r="H673">
        <f t="shared" si="21"/>
        <v>4.1847454008456504</v>
      </c>
      <c r="I673" t="str">
        <f>_xlfn.XLOOKUP(B673,'3.屠宰能力表'!B:B,'3.屠宰能力表'!D:D)</f>
        <v>山东</v>
      </c>
      <c r="J673">
        <f>_xlfn.XLOOKUP(A673,'1.出栏表'!A:A,'1.出栏表'!F:F)</f>
        <v>9.1680793759124093</v>
      </c>
    </row>
    <row r="674" spans="1:10" ht="15" x14ac:dyDescent="0.3">
      <c r="A674" t="str">
        <f t="shared" si="20"/>
        <v>山东46136</v>
      </c>
      <c r="B674" t="s">
        <v>187</v>
      </c>
      <c r="C674" t="s">
        <v>60</v>
      </c>
      <c r="D674" s="45">
        <v>46136</v>
      </c>
      <c r="F674" s="8">
        <f>SUMIFS(根据产能每天需要鲜销部分!$K:$K,根据产能每天需要鲜销部分!$B:$B,$B674,根据产能每天需要鲜销部分!$G:$G,$C674)</f>
        <v>1228.8436010171599</v>
      </c>
      <c r="G674">
        <f>_xlfn.XLOOKUP($C674,价格系数辅助表!$C:$C,价格系数辅助表!$E:$E)</f>
        <v>0.30253913346115902</v>
      </c>
      <c r="H674">
        <f t="shared" si="21"/>
        <v>2.77370278989167</v>
      </c>
      <c r="I674" t="str">
        <f>_xlfn.XLOOKUP(B674,'3.屠宰能力表'!B:B,'3.屠宰能力表'!D:D)</f>
        <v>山东</v>
      </c>
      <c r="J674">
        <f>_xlfn.XLOOKUP(A674,'1.出栏表'!A:A,'1.出栏表'!F:F)</f>
        <v>9.1680793759124093</v>
      </c>
    </row>
    <row r="675" spans="1:10" ht="15" x14ac:dyDescent="0.3">
      <c r="A675" t="str">
        <f t="shared" si="20"/>
        <v>山东46136</v>
      </c>
      <c r="B675" t="s">
        <v>187</v>
      </c>
      <c r="C675" t="s">
        <v>61</v>
      </c>
      <c r="D675" s="45">
        <v>46136</v>
      </c>
      <c r="F675" s="8">
        <f>SUMIFS(根据产能每天需要鲜销部分!$K:$K,根据产能每天需要鲜销部分!$B:$B,$B675,根据产能每天需要鲜销部分!$G:$G,$C675)</f>
        <v>1406.6841029898301</v>
      </c>
      <c r="G675">
        <f>_xlfn.XLOOKUP($C675,价格系数辅助表!$C:$C,价格系数辅助表!$E:$E)</f>
        <v>5.2234050059701297E-2</v>
      </c>
      <c r="H675">
        <f t="shared" si="21"/>
        <v>0.47888591707272399</v>
      </c>
      <c r="I675" t="str">
        <f>_xlfn.XLOOKUP(B675,'3.屠宰能力表'!B:B,'3.屠宰能力表'!D:D)</f>
        <v>山东</v>
      </c>
      <c r="J675">
        <f>_xlfn.XLOOKUP(A675,'1.出栏表'!A:A,'1.出栏表'!F:F)</f>
        <v>9.1680793759124093</v>
      </c>
    </row>
    <row r="676" spans="1:10" ht="15" x14ac:dyDescent="0.3">
      <c r="A676" t="str">
        <f t="shared" si="20"/>
        <v>山东46136</v>
      </c>
      <c r="B676" t="s">
        <v>187</v>
      </c>
      <c r="C676" t="s">
        <v>62</v>
      </c>
      <c r="D676" s="45">
        <v>46136</v>
      </c>
      <c r="F676" s="8">
        <f>SUMIFS(根据产能每天需要鲜销部分!$K:$K,根据产能每天需要鲜销部分!$B:$B,$B676,根据产能每天需要鲜销部分!$G:$G,$C676)</f>
        <v>1318.7663465529699</v>
      </c>
      <c r="G676">
        <f>_xlfn.XLOOKUP($C676,价格系数辅助表!$C:$C,价格系数辅助表!$E:$E)</f>
        <v>0.27335161219757498</v>
      </c>
      <c r="H676">
        <f t="shared" si="21"/>
        <v>2.5061092781609999</v>
      </c>
      <c r="I676" t="str">
        <f>_xlfn.XLOOKUP(B676,'3.屠宰能力表'!B:B,'3.屠宰能力表'!D:D)</f>
        <v>山东</v>
      </c>
      <c r="J676">
        <f>_xlfn.XLOOKUP(A676,'1.出栏表'!A:A,'1.出栏表'!F:F)</f>
        <v>9.1680793759124093</v>
      </c>
    </row>
    <row r="677" spans="1:10" ht="15" x14ac:dyDescent="0.3">
      <c r="A677" t="str">
        <f t="shared" si="20"/>
        <v>山东46136</v>
      </c>
      <c r="B677" t="s">
        <v>187</v>
      </c>
      <c r="C677" t="s">
        <v>63</v>
      </c>
      <c r="D677" s="45">
        <v>46136</v>
      </c>
      <c r="F677" s="8">
        <f>SUMIFS(根据产能每天需要鲜销部分!$K:$K,根据产能每天需要鲜销部分!$B:$B,$B677,根据产能每天需要鲜销部分!$G:$G,$C677)</f>
        <v>1107.3009297133499</v>
      </c>
      <c r="G677">
        <f>_xlfn.XLOOKUP($C677,价格系数辅助表!$C:$C,价格系数辅助表!$E:$E)</f>
        <v>0.25083638292710098</v>
      </c>
      <c r="H677">
        <f t="shared" si="21"/>
        <v>2.2996878690424198</v>
      </c>
      <c r="I677" t="str">
        <f>_xlfn.XLOOKUP(B677,'3.屠宰能力表'!B:B,'3.屠宰能力表'!D:D)</f>
        <v>山东</v>
      </c>
      <c r="J677">
        <f>_xlfn.XLOOKUP(A677,'1.出栏表'!A:A,'1.出栏表'!F:F)</f>
        <v>9.1680793759124093</v>
      </c>
    </row>
    <row r="678" spans="1:10" ht="15" x14ac:dyDescent="0.3">
      <c r="A678" t="str">
        <f t="shared" si="20"/>
        <v>山东46136</v>
      </c>
      <c r="B678" t="s">
        <v>187</v>
      </c>
      <c r="C678" t="s">
        <v>64</v>
      </c>
      <c r="D678" s="45">
        <v>46136</v>
      </c>
      <c r="F678" s="8">
        <f>SUMIFS(根据产能每天需要鲜销部分!$K:$K,根据产能每天需要鲜销部分!$B:$B,$B678,根据产能每天需要鲜销部分!$G:$G,$C678)</f>
        <v>191.504023921883</v>
      </c>
      <c r="G678">
        <f>_xlfn.XLOOKUP($C678,价格系数辅助表!$C:$C,价格系数辅助表!$E:$E)</f>
        <v>0.87755384758256405</v>
      </c>
      <c r="H678">
        <f t="shared" si="21"/>
        <v>8.0454833312742906</v>
      </c>
      <c r="I678" t="str">
        <f>_xlfn.XLOOKUP(B678,'3.屠宰能力表'!B:B,'3.屠宰能力表'!D:D)</f>
        <v>山东</v>
      </c>
      <c r="J678">
        <f>_xlfn.XLOOKUP(A678,'1.出栏表'!A:A,'1.出栏表'!F:F)</f>
        <v>9.1680793759124093</v>
      </c>
    </row>
    <row r="679" spans="1:10" ht="15" x14ac:dyDescent="0.3">
      <c r="A679" t="str">
        <f t="shared" si="20"/>
        <v>山东46136</v>
      </c>
      <c r="B679" t="s">
        <v>187</v>
      </c>
      <c r="C679" t="s">
        <v>65</v>
      </c>
      <c r="D679" s="45">
        <v>46136</v>
      </c>
      <c r="F679" s="8">
        <f>SUMIFS(根据产能每天需要鲜销部分!$K:$K,根据产能每天需要鲜销部分!$B:$B,$B679,根据产能每天需要鲜销部分!$G:$G,$C679)</f>
        <v>87.047283600856105</v>
      </c>
      <c r="G679">
        <f>_xlfn.XLOOKUP($C679,价格系数辅助表!$C:$C,价格系数辅助表!$E:$E)</f>
        <v>1.02785250036373</v>
      </c>
      <c r="H679">
        <f t="shared" si="21"/>
        <v>9.4234333100647607</v>
      </c>
      <c r="I679" t="str">
        <f>_xlfn.XLOOKUP(B679,'3.屠宰能力表'!B:B,'3.屠宰能力表'!D:D)</f>
        <v>山东</v>
      </c>
      <c r="J679">
        <f>_xlfn.XLOOKUP(A679,'1.出栏表'!A:A,'1.出栏表'!F:F)</f>
        <v>9.1680793759124093</v>
      </c>
    </row>
    <row r="680" spans="1:10" ht="15" x14ac:dyDescent="0.3">
      <c r="A680" t="str">
        <f t="shared" si="20"/>
        <v>山东46136</v>
      </c>
      <c r="B680" t="s">
        <v>187</v>
      </c>
      <c r="C680" t="s">
        <v>66</v>
      </c>
      <c r="D680" s="45">
        <v>46136</v>
      </c>
      <c r="F680" s="8">
        <f>SUMIFS(根据产能每天需要鲜销部分!$K:$K,根据产能每天需要鲜销部分!$B:$B,$B680,根据产能每天需要鲜销部分!$G:$G,$C680)</f>
        <v>307.71214752902603</v>
      </c>
      <c r="G680">
        <f>_xlfn.XLOOKUP($C680,价格系数辅助表!$C:$C,价格系数辅助表!$E:$E)</f>
        <v>0.29390609194172401</v>
      </c>
      <c r="H680">
        <f t="shared" si="21"/>
        <v>2.6945543799859402</v>
      </c>
      <c r="I680" t="str">
        <f>_xlfn.XLOOKUP(B680,'3.屠宰能力表'!B:B,'3.屠宰能力表'!D:D)</f>
        <v>山东</v>
      </c>
      <c r="J680">
        <f>_xlfn.XLOOKUP(A680,'1.出栏表'!A:A,'1.出栏表'!F:F)</f>
        <v>9.1680793759124093</v>
      </c>
    </row>
    <row r="681" spans="1:10" ht="15" x14ac:dyDescent="0.3">
      <c r="A681" t="str">
        <f t="shared" si="20"/>
        <v>山东46136</v>
      </c>
      <c r="B681" t="s">
        <v>187</v>
      </c>
      <c r="C681" t="s">
        <v>67</v>
      </c>
      <c r="D681" s="45">
        <v>46136</v>
      </c>
      <c r="F681" s="8">
        <f>SUMIFS(根据产能每天需要鲜销部分!$K:$K,根据产能每天需要鲜销部分!$B:$B,$B681,根据产能每天需要鲜销部分!$G:$G,$C681)</f>
        <v>3600</v>
      </c>
      <c r="G681">
        <f>_xlfn.XLOOKUP($C681,价格系数辅助表!$C:$C,价格系数辅助表!$E:$E)</f>
        <v>8.7444985304843598E-2</v>
      </c>
      <c r="H681">
        <f t="shared" si="21"/>
        <v>0.80170256630030001</v>
      </c>
      <c r="I681" t="str">
        <f>_xlfn.XLOOKUP(B681,'3.屠宰能力表'!B:B,'3.屠宰能力表'!D:D)</f>
        <v>山东</v>
      </c>
      <c r="J681">
        <f>_xlfn.XLOOKUP(A681,'1.出栏表'!A:A,'1.出栏表'!F:F)</f>
        <v>9.1680793759124093</v>
      </c>
    </row>
    <row r="682" spans="1:10" ht="15" x14ac:dyDescent="0.3">
      <c r="A682" t="str">
        <f t="shared" si="20"/>
        <v>广东46136</v>
      </c>
      <c r="B682" t="s">
        <v>189</v>
      </c>
      <c r="C682" t="s">
        <v>41</v>
      </c>
      <c r="D682" s="45">
        <v>46136</v>
      </c>
      <c r="F682" s="8">
        <f>SUMIFS(根据产能每天需要鲜销部分!$K:$K,根据产能每天需要鲜销部分!$B:$B,$B682,根据产能每天需要鲜销部分!$G:$G,$C682)</f>
        <v>136422</v>
      </c>
      <c r="G682">
        <f>_xlfn.XLOOKUP($C682,价格系数辅助表!$C:$C,价格系数辅助表!$E:$E)</f>
        <v>1.1852119074341301</v>
      </c>
      <c r="H682">
        <f t="shared" si="21"/>
        <v>10.916211447063199</v>
      </c>
      <c r="I682" t="str">
        <f>_xlfn.XLOOKUP(B682,'3.屠宰能力表'!B:B,'3.屠宰能力表'!D:D)</f>
        <v>广东</v>
      </c>
      <c r="J682">
        <f>_xlfn.XLOOKUP(A682,'1.出栏表'!A:A,'1.出栏表'!F:F)</f>
        <v>9.2103457437377596</v>
      </c>
    </row>
    <row r="683" spans="1:10" ht="15" x14ac:dyDescent="0.3">
      <c r="A683" t="str">
        <f t="shared" si="20"/>
        <v>广东46136</v>
      </c>
      <c r="B683" t="s">
        <v>189</v>
      </c>
      <c r="C683" t="s">
        <v>44</v>
      </c>
      <c r="D683" s="45">
        <v>46136</v>
      </c>
      <c r="F683" s="8">
        <f>SUMIFS(根据产能每天需要鲜销部分!$K:$K,根据产能每天需要鲜销部分!$B:$B,$B683,根据产能每天需要鲜销部分!$G:$G,$C683)</f>
        <v>8269.6989492256998</v>
      </c>
      <c r="G683">
        <f>_xlfn.XLOOKUP($C683,价格系数辅助表!$C:$C,价格系数辅助表!$E:$E)</f>
        <v>0.81317166851852996</v>
      </c>
      <c r="H683">
        <f t="shared" si="21"/>
        <v>7.4895922160677699</v>
      </c>
      <c r="I683" t="str">
        <f>_xlfn.XLOOKUP(B683,'3.屠宰能力表'!B:B,'3.屠宰能力表'!D:D)</f>
        <v>广东</v>
      </c>
      <c r="J683">
        <f>_xlfn.XLOOKUP(A683,'1.出栏表'!A:A,'1.出栏表'!F:F)</f>
        <v>9.2103457437377596</v>
      </c>
    </row>
    <row r="684" spans="1:10" ht="15" x14ac:dyDescent="0.3">
      <c r="A684" t="str">
        <f t="shared" si="20"/>
        <v>广东46136</v>
      </c>
      <c r="B684" t="s">
        <v>189</v>
      </c>
      <c r="C684" t="s">
        <v>46</v>
      </c>
      <c r="D684" s="45">
        <v>46136</v>
      </c>
      <c r="F684" s="8">
        <f>SUMIFS(根据产能每天需要鲜销部分!$K:$K,根据产能每天需要鲜销部分!$B:$B,$B684,根据产能每天需要鲜销部分!$G:$G,$C684)</f>
        <v>62.128547882051102</v>
      </c>
      <c r="G684">
        <f>_xlfn.XLOOKUP($C684,价格系数辅助表!$C:$C,价格系数辅助表!$E:$E)</f>
        <v>4.0225512045395799</v>
      </c>
      <c r="H684">
        <f t="shared" si="21"/>
        <v>37.049087365698298</v>
      </c>
      <c r="I684" t="str">
        <f>_xlfn.XLOOKUP(B684,'3.屠宰能力表'!B:B,'3.屠宰能力表'!D:D)</f>
        <v>广东</v>
      </c>
      <c r="J684">
        <f>_xlfn.XLOOKUP(A684,'1.出栏表'!A:A,'1.出栏表'!F:F)</f>
        <v>9.2103457437377596</v>
      </c>
    </row>
    <row r="685" spans="1:10" ht="15" x14ac:dyDescent="0.3">
      <c r="A685" t="str">
        <f t="shared" si="20"/>
        <v>广东46136</v>
      </c>
      <c r="B685" t="s">
        <v>189</v>
      </c>
      <c r="C685" t="s">
        <v>47</v>
      </c>
      <c r="D685" s="45">
        <v>46136</v>
      </c>
      <c r="F685" s="8">
        <f>SUMIFS(根据产能每天需要鲜销部分!$K:$K,根据产能每天需要鲜销部分!$B:$B,$B685,根据产能每天需要鲜销部分!$G:$G,$C685)</f>
        <v>584.46616367307297</v>
      </c>
      <c r="G685">
        <f>_xlfn.XLOOKUP($C685,价格系数辅助表!$C:$C,价格系数辅助表!$E:$E)</f>
        <v>0.84535964262204399</v>
      </c>
      <c r="H685">
        <f t="shared" si="21"/>
        <v>7.7860545863516197</v>
      </c>
      <c r="I685" t="str">
        <f>_xlfn.XLOOKUP(B685,'3.屠宰能力表'!B:B,'3.屠宰能力表'!D:D)</f>
        <v>广东</v>
      </c>
      <c r="J685">
        <f>_xlfn.XLOOKUP(A685,'1.出栏表'!A:A,'1.出栏表'!F:F)</f>
        <v>9.2103457437377596</v>
      </c>
    </row>
    <row r="686" spans="1:10" ht="15" x14ac:dyDescent="0.3">
      <c r="A686" t="str">
        <f t="shared" si="20"/>
        <v>广东46136</v>
      </c>
      <c r="B686" t="s">
        <v>189</v>
      </c>
      <c r="C686" t="s">
        <v>48</v>
      </c>
      <c r="D686" s="45">
        <v>46136</v>
      </c>
      <c r="F686" s="8">
        <f>SUMIFS(根据产能每天需要鲜销部分!$K:$K,根据产能每天需要鲜销部分!$B:$B,$B686,根据产能每天需要鲜销部分!$G:$G,$C686)</f>
        <v>3018.98961348588</v>
      </c>
      <c r="G686">
        <f>_xlfn.XLOOKUP($C686,价格系数辅助表!$C:$C,价格系数辅助表!$E:$E)</f>
        <v>0.37320475421536098</v>
      </c>
      <c r="H686">
        <f t="shared" si="21"/>
        <v>3.4373448195301401</v>
      </c>
      <c r="I686" t="str">
        <f>_xlfn.XLOOKUP(B686,'3.屠宰能力表'!B:B,'3.屠宰能力表'!D:D)</f>
        <v>广东</v>
      </c>
      <c r="J686">
        <f>_xlfn.XLOOKUP(A686,'1.出栏表'!A:A,'1.出栏表'!F:F)</f>
        <v>9.2103457437377596</v>
      </c>
    </row>
    <row r="687" spans="1:10" ht="15" x14ac:dyDescent="0.3">
      <c r="A687" t="str">
        <f t="shared" si="20"/>
        <v>广东46136</v>
      </c>
      <c r="B687" t="s">
        <v>189</v>
      </c>
      <c r="C687" t="s">
        <v>49</v>
      </c>
      <c r="D687" s="45">
        <v>46136</v>
      </c>
      <c r="F687" s="8">
        <f>SUMIFS(根据产能每天需要鲜销部分!$K:$K,根据产能每天需要鲜销部分!$B:$B,$B687,根据产能每天需要鲜销部分!$G:$G,$C687)</f>
        <v>590.22120487948303</v>
      </c>
      <c r="G687">
        <f>_xlfn.XLOOKUP($C687,价格系数辅助表!$C:$C,价格系数辅助表!$E:$E)</f>
        <v>1.1550192014842</v>
      </c>
      <c r="H687">
        <f t="shared" si="21"/>
        <v>10.638126186325399</v>
      </c>
      <c r="I687" t="str">
        <f>_xlfn.XLOOKUP(B687,'3.屠宰能力表'!B:B,'3.屠宰能力表'!D:D)</f>
        <v>广东</v>
      </c>
      <c r="J687">
        <f>_xlfn.XLOOKUP(A687,'1.出栏表'!A:A,'1.出栏表'!F:F)</f>
        <v>9.2103457437377596</v>
      </c>
    </row>
    <row r="688" spans="1:10" ht="15" x14ac:dyDescent="0.3">
      <c r="A688" t="str">
        <f t="shared" si="20"/>
        <v>广东46136</v>
      </c>
      <c r="B688" t="s">
        <v>189</v>
      </c>
      <c r="C688" t="s">
        <v>50</v>
      </c>
      <c r="D688" s="45">
        <v>46136</v>
      </c>
      <c r="F688" s="8">
        <f>SUMIFS(根据产能每天需要鲜销部分!$K:$K,根据产能每天需要鲜销部分!$B:$B,$B688,根据产能每天需要鲜销部分!$G:$G,$C688)</f>
        <v>2065.3716271635899</v>
      </c>
      <c r="G688">
        <f>_xlfn.XLOOKUP($C688,价格系数辅助表!$C:$C,价格系数辅助表!$E:$E)</f>
        <v>1.90800135982928</v>
      </c>
      <c r="H688">
        <f t="shared" si="21"/>
        <v>17.573352203549501</v>
      </c>
      <c r="I688" t="str">
        <f>_xlfn.XLOOKUP(B688,'3.屠宰能力表'!B:B,'3.屠宰能力表'!D:D)</f>
        <v>广东</v>
      </c>
      <c r="J688">
        <f>_xlfn.XLOOKUP(A688,'1.出栏表'!A:A,'1.出栏表'!F:F)</f>
        <v>9.2103457437377596</v>
      </c>
    </row>
    <row r="689" spans="1:10" ht="15" x14ac:dyDescent="0.3">
      <c r="A689" t="str">
        <f t="shared" si="20"/>
        <v>广东46136</v>
      </c>
      <c r="B689" t="s">
        <v>189</v>
      </c>
      <c r="C689" t="s">
        <v>51</v>
      </c>
      <c r="D689" s="45">
        <v>46136</v>
      </c>
      <c r="F689" s="8">
        <f>SUMIFS(根据产能每天需要鲜销部分!$K:$K,根据产能每天需要鲜销部分!$B:$B,$B689,根据产能每天需要鲜销部分!$G:$G,$C689)</f>
        <v>947.460355201276</v>
      </c>
      <c r="G689">
        <f>_xlfn.XLOOKUP($C689,价格系数辅助表!$C:$C,价格系数辅助表!$E:$E)</f>
        <v>2.76783242873949</v>
      </c>
      <c r="H689">
        <f t="shared" si="21"/>
        <v>25.492693629420099</v>
      </c>
      <c r="I689" t="str">
        <f>_xlfn.XLOOKUP(B689,'3.屠宰能力表'!B:B,'3.屠宰能力表'!D:D)</f>
        <v>广东</v>
      </c>
      <c r="J689">
        <f>_xlfn.XLOOKUP(A689,'1.出栏表'!A:A,'1.出栏表'!F:F)</f>
        <v>9.2103457437377596</v>
      </c>
    </row>
    <row r="690" spans="1:10" ht="15" x14ac:dyDescent="0.3">
      <c r="A690" t="str">
        <f t="shared" si="20"/>
        <v>广东46136</v>
      </c>
      <c r="B690" t="s">
        <v>189</v>
      </c>
      <c r="C690" t="s">
        <v>52</v>
      </c>
      <c r="D690" s="45">
        <v>46136</v>
      </c>
      <c r="F690" s="8">
        <f>SUMIFS(根据产能每天需要鲜销部分!$K:$K,根据产能每天需要鲜销部分!$B:$B,$B690,根据产能每天需要鲜销部分!$G:$G,$C690)</f>
        <v>792.13898549614896</v>
      </c>
      <c r="G690">
        <f>_xlfn.XLOOKUP($C690,价格系数辅助表!$C:$C,价格系数辅助表!$E:$E)</f>
        <v>1.61708641969264</v>
      </c>
      <c r="H690">
        <f t="shared" si="21"/>
        <v>14.8939250228722</v>
      </c>
      <c r="I690" t="str">
        <f>_xlfn.XLOOKUP(B690,'3.屠宰能力表'!B:B,'3.屠宰能力表'!D:D)</f>
        <v>广东</v>
      </c>
      <c r="J690">
        <f>_xlfn.XLOOKUP(A690,'1.出栏表'!A:A,'1.出栏表'!F:F)</f>
        <v>9.2103457437377596</v>
      </c>
    </row>
    <row r="691" spans="1:10" ht="15" x14ac:dyDescent="0.3">
      <c r="A691" t="str">
        <f t="shared" si="20"/>
        <v>广东46136</v>
      </c>
      <c r="B691" t="s">
        <v>189</v>
      </c>
      <c r="C691" t="s">
        <v>53</v>
      </c>
      <c r="D691" s="45">
        <v>46136</v>
      </c>
      <c r="F691" s="8">
        <f>SUMIFS(根据产能每天需要鲜销部分!$K:$K,根据产能每天需要鲜销部分!$B:$B,$B691,根据产能每天需要鲜销部分!$G:$G,$C691)</f>
        <v>698.94616367307299</v>
      </c>
      <c r="G691">
        <f>_xlfn.XLOOKUP($C691,价格系数辅助表!$C:$C,价格系数辅助表!$E:$E)</f>
        <v>1.4850675377364999</v>
      </c>
      <c r="H691">
        <f t="shared" si="21"/>
        <v>13.6779854753545</v>
      </c>
      <c r="I691" t="str">
        <f>_xlfn.XLOOKUP(B691,'3.屠宰能力表'!B:B,'3.屠宰能力表'!D:D)</f>
        <v>广东</v>
      </c>
      <c r="J691">
        <f>_xlfn.XLOOKUP(A691,'1.出栏表'!A:A,'1.出栏表'!F:F)</f>
        <v>9.2103457437377596</v>
      </c>
    </row>
    <row r="692" spans="1:10" ht="15" x14ac:dyDescent="0.3">
      <c r="A692" t="str">
        <f t="shared" si="20"/>
        <v>广东46136</v>
      </c>
      <c r="B692" t="s">
        <v>189</v>
      </c>
      <c r="C692" t="s">
        <v>54</v>
      </c>
      <c r="D692" s="45">
        <v>46136</v>
      </c>
      <c r="F692" s="8">
        <f>SUMIFS(根据产能每天需要鲜销部分!$K:$K,根据产能每天需要鲜销部分!$B:$B,$B692,根据产能每天需要鲜销部分!$G:$G,$C692)</f>
        <v>512.56052002692104</v>
      </c>
      <c r="G692">
        <f>_xlfn.XLOOKUP($C692,价格系数辅助表!$C:$C,价格系数辅助表!$E:$E)</f>
        <v>1.8971615295629001</v>
      </c>
      <c r="H692">
        <f t="shared" si="21"/>
        <v>17.473513618992602</v>
      </c>
      <c r="I692" t="str">
        <f>_xlfn.XLOOKUP(B692,'3.屠宰能力表'!B:B,'3.屠宰能力表'!D:D)</f>
        <v>广东</v>
      </c>
      <c r="J692">
        <f>_xlfn.XLOOKUP(A692,'1.出栏表'!A:A,'1.出栏表'!F:F)</f>
        <v>9.2103457437377596</v>
      </c>
    </row>
    <row r="693" spans="1:10" ht="15" x14ac:dyDescent="0.3">
      <c r="A693" t="str">
        <f t="shared" si="20"/>
        <v>广东46136</v>
      </c>
      <c r="B693" t="s">
        <v>189</v>
      </c>
      <c r="C693" t="s">
        <v>55</v>
      </c>
      <c r="D693" s="45">
        <v>46136</v>
      </c>
      <c r="F693" s="8">
        <f>SUMIFS(根据产能每天需要鲜销部分!$K:$K,根据产能每天需要鲜销部分!$B:$B,$B693,根据产能每天需要鲜销部分!$G:$G,$C693)</f>
        <v>55.362072370144503</v>
      </c>
      <c r="G693">
        <f>_xlfn.XLOOKUP($C693,价格系数辅助表!$C:$C,价格系数辅助表!$E:$E)</f>
        <v>3.2997148664303801</v>
      </c>
      <c r="H693">
        <f t="shared" si="21"/>
        <v>30.3915147755752</v>
      </c>
      <c r="I693" t="str">
        <f>_xlfn.XLOOKUP(B693,'3.屠宰能力表'!B:B,'3.屠宰能力表'!D:D)</f>
        <v>广东</v>
      </c>
      <c r="J693">
        <f>_xlfn.XLOOKUP(A693,'1.出栏表'!A:A,'1.出栏表'!F:F)</f>
        <v>9.2103457437377596</v>
      </c>
    </row>
    <row r="694" spans="1:10" ht="15" x14ac:dyDescent="0.3">
      <c r="A694" t="str">
        <f t="shared" si="20"/>
        <v>广东46136</v>
      </c>
      <c r="B694" t="s">
        <v>189</v>
      </c>
      <c r="C694" t="s">
        <v>57</v>
      </c>
      <c r="D694" s="45">
        <v>46136</v>
      </c>
      <c r="F694" s="8">
        <f>SUMIFS(根据产能每天需要鲜销部分!$K:$K,根据产能每天需要鲜销部分!$B:$B,$B694,根据产能每天需要鲜销部分!$G:$G,$C694)</f>
        <v>1954.92396983972</v>
      </c>
      <c r="G694">
        <f>_xlfn.XLOOKUP($C694,价格系数辅助表!$C:$C,价格系数辅助表!$E:$E)</f>
        <v>0.130070801908548</v>
      </c>
      <c r="H694">
        <f t="shared" si="21"/>
        <v>1.1979970567429501</v>
      </c>
      <c r="I694" t="str">
        <f>_xlfn.XLOOKUP(B694,'3.屠宰能力表'!B:B,'3.屠宰能力表'!D:D)</f>
        <v>广东</v>
      </c>
      <c r="J694">
        <f>_xlfn.XLOOKUP(A694,'1.出栏表'!A:A,'1.出栏表'!F:F)</f>
        <v>9.2103457437377596</v>
      </c>
    </row>
    <row r="695" spans="1:10" ht="15" x14ac:dyDescent="0.3">
      <c r="A695" t="str">
        <f t="shared" si="20"/>
        <v>广东46136</v>
      </c>
      <c r="B695" t="s">
        <v>189</v>
      </c>
      <c r="C695" t="s">
        <v>58</v>
      </c>
      <c r="D695" s="45">
        <v>46136</v>
      </c>
      <c r="F695" s="8">
        <f>SUMIFS(根据产能每天需要鲜销部分!$K:$K,根据产能每天需要鲜销部分!$B:$B,$B695,根据产能每天需要鲜销部分!$G:$G,$C695)</f>
        <v>2785.78443439895</v>
      </c>
      <c r="G695">
        <f>_xlfn.XLOOKUP($C695,价格系数辅助表!$C:$C,价格系数辅助表!$E:$E)</f>
        <v>0.69784384029908697</v>
      </c>
      <c r="H695">
        <f t="shared" si="21"/>
        <v>6.4273830442923101</v>
      </c>
      <c r="I695" t="str">
        <f>_xlfn.XLOOKUP(B695,'3.屠宰能力表'!B:B,'3.屠宰能力表'!D:D)</f>
        <v>广东</v>
      </c>
      <c r="J695">
        <f>_xlfn.XLOOKUP(A695,'1.出栏表'!A:A,'1.出栏表'!F:F)</f>
        <v>9.2103457437377596</v>
      </c>
    </row>
    <row r="696" spans="1:10" ht="15" x14ac:dyDescent="0.3">
      <c r="A696" t="str">
        <f t="shared" si="20"/>
        <v>广东46136</v>
      </c>
      <c r="B696" t="s">
        <v>189</v>
      </c>
      <c r="C696" t="s">
        <v>59</v>
      </c>
      <c r="D696" s="45">
        <v>46136</v>
      </c>
      <c r="F696" s="8">
        <f>SUMIFS(根据产能每天需要鲜销部分!$K:$K,根据产能每天需要鲜销部分!$B:$B,$B696,根据产能每天需要鲜销部分!$G:$G,$C696)</f>
        <v>2808.3460013460099</v>
      </c>
      <c r="G696">
        <f>_xlfn.XLOOKUP($C696,价格系数辅助表!$C:$C,价格系数辅助表!$E:$E)</f>
        <v>0.456447335288171</v>
      </c>
      <c r="H696">
        <f t="shared" si="21"/>
        <v>4.2040377718118398</v>
      </c>
      <c r="I696" t="str">
        <f>_xlfn.XLOOKUP(B696,'3.屠宰能力表'!B:B,'3.屠宰能力表'!D:D)</f>
        <v>广东</v>
      </c>
      <c r="J696">
        <f>_xlfn.XLOOKUP(A696,'1.出栏表'!A:A,'1.出栏表'!F:F)</f>
        <v>9.2103457437377596</v>
      </c>
    </row>
    <row r="697" spans="1:10" ht="15" x14ac:dyDescent="0.3">
      <c r="A697" t="str">
        <f t="shared" si="20"/>
        <v>广东46136</v>
      </c>
      <c r="B697" t="s">
        <v>189</v>
      </c>
      <c r="C697" t="s">
        <v>60</v>
      </c>
      <c r="D697" s="45">
        <v>46136</v>
      </c>
      <c r="F697" s="8">
        <f>SUMIFS(根据产能每天需要鲜销部分!$K:$K,根据产能每天需要鲜销部分!$B:$B,$B697,根据产能每天需要鲜销部分!$G:$G,$C697)</f>
        <v>1302.57421707819</v>
      </c>
      <c r="G697">
        <f>_xlfn.XLOOKUP($C697,价格系数辅助表!$C:$C,价格系数辅助表!$E:$E)</f>
        <v>0.30253913346115902</v>
      </c>
      <c r="H697">
        <f t="shared" si="21"/>
        <v>2.7864900201881002</v>
      </c>
      <c r="I697" t="str">
        <f>_xlfn.XLOOKUP(B697,'3.屠宰能力表'!B:B,'3.屠宰能力表'!D:D)</f>
        <v>广东</v>
      </c>
      <c r="J697">
        <f>_xlfn.XLOOKUP(A697,'1.出栏表'!A:A,'1.出栏表'!F:F)</f>
        <v>9.2103457437377596</v>
      </c>
    </row>
    <row r="698" spans="1:10" ht="15" x14ac:dyDescent="0.3">
      <c r="A698" t="str">
        <f t="shared" si="20"/>
        <v>广东46136</v>
      </c>
      <c r="B698" t="s">
        <v>189</v>
      </c>
      <c r="C698" t="s">
        <v>61</v>
      </c>
      <c r="D698" s="45">
        <v>46136</v>
      </c>
      <c r="F698" s="8">
        <f>SUMIFS(根据产能每天需要鲜销部分!$K:$K,根据产能每天需要鲜销部分!$B:$B,$B698,根据产能每天需要鲜销部分!$G:$G,$C698)</f>
        <v>1491.0851491692199</v>
      </c>
      <c r="G698">
        <f>_xlfn.XLOOKUP($C698,价格系数辅助表!$C:$C,价格系数辅助表!$E:$E)</f>
        <v>5.2234050059701297E-2</v>
      </c>
      <c r="H698">
        <f t="shared" si="21"/>
        <v>0.48109366064555498</v>
      </c>
      <c r="I698" t="str">
        <f>_xlfn.XLOOKUP(B698,'3.屠宰能力表'!B:B,'3.屠宰能力表'!D:D)</f>
        <v>广东</v>
      </c>
      <c r="J698">
        <f>_xlfn.XLOOKUP(A698,'1.出栏表'!A:A,'1.出栏表'!F:F)</f>
        <v>9.2103457437377596</v>
      </c>
    </row>
    <row r="699" spans="1:10" ht="15" x14ac:dyDescent="0.3">
      <c r="A699" t="str">
        <f t="shared" si="20"/>
        <v>广东46136</v>
      </c>
      <c r="B699" t="s">
        <v>189</v>
      </c>
      <c r="C699" t="s">
        <v>62</v>
      </c>
      <c r="D699" s="45">
        <v>46136</v>
      </c>
      <c r="F699" s="8">
        <f>SUMIFS(根据产能每天需要鲜销部分!$K:$K,根据产能每天需要鲜销部分!$B:$B,$B699,根据产能每天需要鲜销部分!$G:$G,$C699)</f>
        <v>1397.8923273461501</v>
      </c>
      <c r="G699">
        <f>_xlfn.XLOOKUP($C699,价格系数辅助表!$C:$C,价格系数辅助表!$E:$E)</f>
        <v>0.27335161219757498</v>
      </c>
      <c r="H699">
        <f t="shared" si="21"/>
        <v>2.5176628579477902</v>
      </c>
      <c r="I699" t="str">
        <f>_xlfn.XLOOKUP(B699,'3.屠宰能力表'!B:B,'3.屠宰能力表'!D:D)</f>
        <v>广东</v>
      </c>
      <c r="J699">
        <f>_xlfn.XLOOKUP(A699,'1.出栏表'!A:A,'1.出栏表'!F:F)</f>
        <v>9.2103457437377596</v>
      </c>
    </row>
    <row r="700" spans="1:10" ht="15" x14ac:dyDescent="0.3">
      <c r="A700" t="str">
        <f t="shared" si="20"/>
        <v>广东46136</v>
      </c>
      <c r="B700" t="s">
        <v>189</v>
      </c>
      <c r="C700" t="s">
        <v>63</v>
      </c>
      <c r="D700" s="45">
        <v>46136</v>
      </c>
      <c r="F700" s="8">
        <f>SUMIFS(根据产能每天需要鲜销部分!$K:$K,根据产能每天需要鲜销部分!$B:$B,$B700,根据产能每天需要鲜销部分!$G:$G,$C700)</f>
        <v>1173.73898549615</v>
      </c>
      <c r="G700">
        <f>_xlfn.XLOOKUP($C700,价格系数辅助表!$C:$C,价格系数辅助表!$E:$E)</f>
        <v>0.25083638292710098</v>
      </c>
      <c r="H700">
        <f t="shared" si="21"/>
        <v>2.3102898118672002</v>
      </c>
      <c r="I700" t="str">
        <f>_xlfn.XLOOKUP(B700,'3.屠宰能力表'!B:B,'3.屠宰能力表'!D:D)</f>
        <v>广东</v>
      </c>
      <c r="J700">
        <f>_xlfn.XLOOKUP(A700,'1.出栏表'!A:A,'1.出栏表'!F:F)</f>
        <v>9.2103457437377596</v>
      </c>
    </row>
    <row r="701" spans="1:10" ht="15" x14ac:dyDescent="0.3">
      <c r="A701" t="str">
        <f t="shared" si="20"/>
        <v>广东46136</v>
      </c>
      <c r="B701" t="s">
        <v>189</v>
      </c>
      <c r="C701" t="s">
        <v>64</v>
      </c>
      <c r="D701" s="45">
        <v>46136</v>
      </c>
      <c r="F701" s="8">
        <f>SUMIFS(根据产能每天需要鲜销部分!$K:$K,根据产能每天需要鲜销部分!$B:$B,$B701,根据产能每天需要鲜销部分!$G:$G,$C701)</f>
        <v>202.99426535719601</v>
      </c>
      <c r="G701">
        <f>_xlfn.XLOOKUP($C701,价格系数辅助表!$C:$C,价格系数辅助表!$E:$E)</f>
        <v>0.87755384758256405</v>
      </c>
      <c r="H701">
        <f t="shared" si="21"/>
        <v>8.0825743449827705</v>
      </c>
      <c r="I701" t="str">
        <f>_xlfn.XLOOKUP(B701,'3.屠宰能力表'!B:B,'3.屠宰能力表'!D:D)</f>
        <v>广东</v>
      </c>
      <c r="J701">
        <f>_xlfn.XLOOKUP(A701,'1.出栏表'!A:A,'1.出栏表'!F:F)</f>
        <v>9.2103457437377596</v>
      </c>
    </row>
    <row r="702" spans="1:10" ht="15" x14ac:dyDescent="0.3">
      <c r="A702" t="str">
        <f t="shared" si="20"/>
        <v>广东46136</v>
      </c>
      <c r="B702" t="s">
        <v>189</v>
      </c>
      <c r="C702" t="s">
        <v>65</v>
      </c>
      <c r="D702" s="45">
        <v>46136</v>
      </c>
      <c r="F702" s="8">
        <f>SUMIFS(根据产能每天需要鲜销部分!$K:$K,根据产能每天需要鲜销部分!$B:$B,$B702,根据产能每天需要鲜销部分!$G:$G,$C702)</f>
        <v>92.270120616907406</v>
      </c>
      <c r="G702">
        <f>_xlfn.XLOOKUP($C702,价格系数辅助表!$C:$C,价格系数辅助表!$E:$E)</f>
        <v>1.02785250036373</v>
      </c>
      <c r="H702">
        <f t="shared" si="21"/>
        <v>9.4668769019153398</v>
      </c>
      <c r="I702" t="str">
        <f>_xlfn.XLOOKUP(B702,'3.屠宰能力表'!B:B,'3.屠宰能力表'!D:D)</f>
        <v>广东</v>
      </c>
      <c r="J702">
        <f>_xlfn.XLOOKUP(A702,'1.出栏表'!A:A,'1.出栏表'!F:F)</f>
        <v>9.2103457437377596</v>
      </c>
    </row>
    <row r="703" spans="1:10" ht="15" x14ac:dyDescent="0.3">
      <c r="A703" t="str">
        <f t="shared" si="20"/>
        <v>广东46136</v>
      </c>
      <c r="B703" t="s">
        <v>189</v>
      </c>
      <c r="C703" t="s">
        <v>66</v>
      </c>
      <c r="D703" s="45">
        <v>46136</v>
      </c>
      <c r="F703" s="8">
        <f>SUMIFS(根据产能每天需要鲜销部分!$K:$K,根据产能每天需要鲜销部分!$B:$B,$B703,根据产能每天需要鲜销部分!$G:$G,$C703)</f>
        <v>326.17487638076699</v>
      </c>
      <c r="G703">
        <f>_xlfn.XLOOKUP($C703,价格系数辅助表!$C:$C,价格系数辅助表!$E:$E)</f>
        <v>0.29390609194172401</v>
      </c>
      <c r="H703">
        <f t="shared" si="21"/>
        <v>2.70697672297405</v>
      </c>
      <c r="I703" t="str">
        <f>_xlfn.XLOOKUP(B703,'3.屠宰能力表'!B:B,'3.屠宰能力表'!D:D)</f>
        <v>广东</v>
      </c>
      <c r="J703">
        <f>_xlfn.XLOOKUP(A703,'1.出栏表'!A:A,'1.出栏表'!F:F)</f>
        <v>9.2103457437377596</v>
      </c>
    </row>
    <row r="704" spans="1:10" ht="15" x14ac:dyDescent="0.3">
      <c r="A704" t="str">
        <f t="shared" si="20"/>
        <v>广东46136</v>
      </c>
      <c r="B704" t="s">
        <v>189</v>
      </c>
      <c r="C704" t="s">
        <v>67</v>
      </c>
      <c r="D704" s="45">
        <v>46136</v>
      </c>
      <c r="F704" s="8">
        <f>SUMIFS(根据产能每天需要鲜销部分!$K:$K,根据产能每天需要鲜销部分!$B:$B,$B704,根据产能每天需要鲜销部分!$G:$G,$C704)</f>
        <v>3816</v>
      </c>
      <c r="G704">
        <f>_xlfn.XLOOKUP($C704,价格系数辅助表!$C:$C,价格系数辅助表!$E:$E)</f>
        <v>8.7444985304843598E-2</v>
      </c>
      <c r="H704">
        <f t="shared" si="21"/>
        <v>0.80539854821367696</v>
      </c>
      <c r="I704" t="str">
        <f>_xlfn.XLOOKUP(B704,'3.屠宰能力表'!B:B,'3.屠宰能力表'!D:D)</f>
        <v>广东</v>
      </c>
      <c r="J704">
        <f>_xlfn.XLOOKUP(A704,'1.出栏表'!A:A,'1.出栏表'!F:F)</f>
        <v>9.2103457437377596</v>
      </c>
    </row>
  </sheetData>
  <autoFilter ref="B2:I704" xr:uid="{00000000-0009-0000-0000-000007000000}"/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128"/>
  <sheetViews>
    <sheetView workbookViewId="0">
      <selection activeCell="J8" sqref="J8"/>
    </sheetView>
  </sheetViews>
  <sheetFormatPr defaultColWidth="9" defaultRowHeight="13.5" x14ac:dyDescent="0.3"/>
  <cols>
    <col min="2" max="2" width="9.06640625" style="89"/>
    <col min="3" max="3" width="29.19921875" bestFit="1" customWidth="1"/>
    <col min="4" max="5" width="9.06640625"/>
    <col min="6" max="6" width="10.796875" bestFit="1" customWidth="1"/>
    <col min="7" max="7" width="22.06640625" customWidth="1"/>
    <col min="8" max="8" width="9.06640625"/>
    <col min="9" max="9" width="12.86328125" bestFit="1" customWidth="1"/>
  </cols>
  <sheetData>
    <row r="2" spans="2:9" x14ac:dyDescent="0.3">
      <c r="B2" s="88" t="s">
        <v>301</v>
      </c>
      <c r="C2" s="41" t="s">
        <v>302</v>
      </c>
      <c r="D2" s="41" t="s">
        <v>194</v>
      </c>
      <c r="E2" s="41" t="s">
        <v>5</v>
      </c>
      <c r="F2" s="41" t="s">
        <v>212</v>
      </c>
      <c r="G2" s="42" t="s">
        <v>213</v>
      </c>
      <c r="H2" s="41" t="s">
        <v>209</v>
      </c>
      <c r="I2" s="39" t="s">
        <v>210</v>
      </c>
    </row>
    <row r="3" spans="2:9" x14ac:dyDescent="0.3">
      <c r="B3" s="47" t="s">
        <v>303</v>
      </c>
      <c r="C3" t="s">
        <v>304</v>
      </c>
      <c r="D3" t="s">
        <v>75</v>
      </c>
      <c r="F3" s="2" t="s">
        <v>305</v>
      </c>
      <c r="G3">
        <v>2409.3542087270584</v>
      </c>
      <c r="H3">
        <v>13.292810619757436</v>
      </c>
      <c r="I3" s="2" t="s">
        <v>316</v>
      </c>
    </row>
    <row r="4" spans="2:9" x14ac:dyDescent="0.3">
      <c r="B4" s="47" t="s">
        <v>306</v>
      </c>
      <c r="C4" t="s">
        <v>307</v>
      </c>
      <c r="D4" t="s">
        <v>75</v>
      </c>
      <c r="F4" s="2" t="s">
        <v>305</v>
      </c>
      <c r="G4">
        <v>8519.8799841568016</v>
      </c>
      <c r="H4">
        <v>13.292810619757436</v>
      </c>
      <c r="I4" s="2" t="s">
        <v>21</v>
      </c>
    </row>
    <row r="5" spans="2:9" x14ac:dyDescent="0.3">
      <c r="B5">
        <v>1537</v>
      </c>
      <c r="C5" t="s">
        <v>147</v>
      </c>
      <c r="D5" t="s">
        <v>75</v>
      </c>
      <c r="F5" s="2" t="s">
        <v>305</v>
      </c>
      <c r="G5">
        <v>753.84305979713008</v>
      </c>
      <c r="H5">
        <v>13.292810619757436</v>
      </c>
      <c r="I5" s="2" t="s">
        <v>32</v>
      </c>
    </row>
    <row r="6" spans="2:9" x14ac:dyDescent="0.3">
      <c r="B6" s="47" t="s">
        <v>308</v>
      </c>
      <c r="C6" t="s">
        <v>309</v>
      </c>
      <c r="D6" t="s">
        <v>75</v>
      </c>
      <c r="F6" s="2" t="s">
        <v>305</v>
      </c>
      <c r="G6">
        <v>1319.2253546449776</v>
      </c>
      <c r="H6">
        <v>13.292810619757436</v>
      </c>
      <c r="I6" s="2" t="s">
        <v>23</v>
      </c>
    </row>
    <row r="7" spans="2:9" x14ac:dyDescent="0.3">
      <c r="B7" s="47" t="s">
        <v>310</v>
      </c>
      <c r="C7" t="s">
        <v>311</v>
      </c>
      <c r="D7" t="s">
        <v>75</v>
      </c>
      <c r="F7" s="2" t="s">
        <v>305</v>
      </c>
      <c r="G7">
        <v>994.65403723232464</v>
      </c>
      <c r="H7">
        <v>13.292810619757436</v>
      </c>
      <c r="I7" s="2" t="s">
        <v>26</v>
      </c>
    </row>
    <row r="8" spans="2:9" x14ac:dyDescent="0.3">
      <c r="B8">
        <v>1537</v>
      </c>
      <c r="C8" t="s">
        <v>312</v>
      </c>
      <c r="D8" t="s">
        <v>75</v>
      </c>
      <c r="F8" s="2" t="s">
        <v>305</v>
      </c>
      <c r="G8">
        <v>5634.9925925925927</v>
      </c>
      <c r="H8">
        <v>13.292810619757436</v>
      </c>
      <c r="I8" s="2" t="s">
        <v>32</v>
      </c>
    </row>
    <row r="9" spans="2:9" x14ac:dyDescent="0.3">
      <c r="B9">
        <v>1538</v>
      </c>
      <c r="C9" t="s">
        <v>313</v>
      </c>
      <c r="D9" t="s">
        <v>75</v>
      </c>
      <c r="F9" s="2" t="s">
        <v>305</v>
      </c>
      <c r="G9">
        <v>2669.9644444444448</v>
      </c>
      <c r="H9">
        <v>13.292810619757436</v>
      </c>
      <c r="I9" s="2" t="s">
        <v>27</v>
      </c>
    </row>
    <row r="10" spans="2:9" x14ac:dyDescent="0.3">
      <c r="B10">
        <v>1448</v>
      </c>
      <c r="C10" t="s">
        <v>314</v>
      </c>
      <c r="D10" t="s">
        <v>75</v>
      </c>
      <c r="F10" s="2" t="s">
        <v>305</v>
      </c>
      <c r="G10">
        <v>3596.666666666667</v>
      </c>
      <c r="H10">
        <v>13.292810619757436</v>
      </c>
      <c r="I10" s="2" t="s">
        <v>20</v>
      </c>
    </row>
    <row r="11" spans="2:9" x14ac:dyDescent="0.3">
      <c r="B11">
        <v>1306</v>
      </c>
      <c r="C11" t="s">
        <v>315</v>
      </c>
      <c r="D11" t="s">
        <v>75</v>
      </c>
      <c r="F11" s="2" t="s">
        <v>305</v>
      </c>
      <c r="G11">
        <v>1045.0334564319467</v>
      </c>
      <c r="H11">
        <v>13.292810619757436</v>
      </c>
      <c r="I11" s="2" t="s">
        <v>14</v>
      </c>
    </row>
    <row r="12" spans="2:9" x14ac:dyDescent="0.3">
      <c r="B12" s="47" t="s">
        <v>303</v>
      </c>
      <c r="C12" t="s">
        <v>304</v>
      </c>
      <c r="D12" t="s">
        <v>76</v>
      </c>
      <c r="F12" s="2" t="s">
        <v>305</v>
      </c>
      <c r="G12">
        <v>5326.9645462931749</v>
      </c>
      <c r="H12">
        <v>13.545027902939449</v>
      </c>
      <c r="I12" s="2" t="s">
        <v>316</v>
      </c>
    </row>
    <row r="13" spans="2:9" x14ac:dyDescent="0.3">
      <c r="B13" s="47" t="s">
        <v>306</v>
      </c>
      <c r="C13" t="s">
        <v>307</v>
      </c>
      <c r="D13" t="s">
        <v>76</v>
      </c>
      <c r="F13" s="2" t="s">
        <v>305</v>
      </c>
      <c r="G13">
        <v>25155.053865219306</v>
      </c>
      <c r="H13">
        <v>13.545027902939449</v>
      </c>
      <c r="I13" s="2" t="s">
        <v>21</v>
      </c>
    </row>
    <row r="14" spans="2:9" x14ac:dyDescent="0.3">
      <c r="B14">
        <v>1537</v>
      </c>
      <c r="C14" t="s">
        <v>147</v>
      </c>
      <c r="D14" t="s">
        <v>76</v>
      </c>
      <c r="F14" s="2" t="s">
        <v>305</v>
      </c>
      <c r="G14">
        <v>1594.3848218281651</v>
      </c>
      <c r="H14">
        <v>13.545027902939449</v>
      </c>
      <c r="I14" s="2" t="s">
        <v>32</v>
      </c>
    </row>
    <row r="15" spans="2:9" x14ac:dyDescent="0.3">
      <c r="B15" s="47" t="s">
        <v>308</v>
      </c>
      <c r="C15" t="s">
        <v>309</v>
      </c>
      <c r="D15" t="s">
        <v>76</v>
      </c>
      <c r="F15" s="2" t="s">
        <v>305</v>
      </c>
      <c r="G15">
        <v>2790.1734381992887</v>
      </c>
      <c r="H15">
        <v>13.545027902939449</v>
      </c>
      <c r="I15" s="2" t="s">
        <v>23</v>
      </c>
    </row>
    <row r="16" spans="2:9" x14ac:dyDescent="0.3">
      <c r="B16" s="47" t="s">
        <v>310</v>
      </c>
      <c r="C16" t="s">
        <v>311</v>
      </c>
      <c r="D16" t="s">
        <v>76</v>
      </c>
      <c r="F16" s="2" t="s">
        <v>305</v>
      </c>
      <c r="G16">
        <v>2103.7021954677184</v>
      </c>
      <c r="H16">
        <v>13.545027902939449</v>
      </c>
      <c r="I16" s="2" t="s">
        <v>26</v>
      </c>
    </row>
    <row r="17" spans="2:9" x14ac:dyDescent="0.3">
      <c r="B17">
        <v>1537</v>
      </c>
      <c r="C17" t="s">
        <v>312</v>
      </c>
      <c r="D17" t="s">
        <v>76</v>
      </c>
      <c r="F17" s="2" t="s">
        <v>305</v>
      </c>
      <c r="G17">
        <v>987.67706139666848</v>
      </c>
      <c r="H17">
        <v>13.545027902939449</v>
      </c>
      <c r="I17" s="2" t="s">
        <v>32</v>
      </c>
    </row>
    <row r="18" spans="2:9" x14ac:dyDescent="0.3">
      <c r="B18">
        <v>1538</v>
      </c>
      <c r="C18" t="s">
        <v>313</v>
      </c>
      <c r="D18" t="s">
        <v>76</v>
      </c>
      <c r="F18" s="2" t="s">
        <v>305</v>
      </c>
      <c r="G18">
        <v>3068.3947423751674</v>
      </c>
      <c r="H18">
        <v>13.545027902939449</v>
      </c>
      <c r="I18" s="2" t="s">
        <v>27</v>
      </c>
    </row>
    <row r="19" spans="2:9" x14ac:dyDescent="0.3">
      <c r="B19">
        <v>1448</v>
      </c>
      <c r="C19" t="s">
        <v>314</v>
      </c>
      <c r="D19" t="s">
        <v>76</v>
      </c>
      <c r="F19" s="2" t="s">
        <v>305</v>
      </c>
      <c r="G19">
        <v>7136.5869391981141</v>
      </c>
      <c r="H19">
        <v>13.545027902939449</v>
      </c>
      <c r="I19" s="2" t="s">
        <v>20</v>
      </c>
    </row>
    <row r="20" spans="2:9" x14ac:dyDescent="0.3">
      <c r="B20">
        <v>1306</v>
      </c>
      <c r="C20" t="s">
        <v>315</v>
      </c>
      <c r="D20" t="s">
        <v>76</v>
      </c>
      <c r="F20" s="2" t="s">
        <v>305</v>
      </c>
      <c r="G20">
        <v>5890.7019612145486</v>
      </c>
      <c r="H20">
        <v>13.545027902939449</v>
      </c>
      <c r="I20" s="2" t="s">
        <v>14</v>
      </c>
    </row>
    <row r="21" spans="2:9" x14ac:dyDescent="0.3">
      <c r="B21" s="47" t="s">
        <v>303</v>
      </c>
      <c r="C21" t="s">
        <v>304</v>
      </c>
      <c r="D21" t="s">
        <v>89</v>
      </c>
      <c r="F21" s="2" t="s">
        <v>305</v>
      </c>
      <c r="G21">
        <v>1045.888224</v>
      </c>
      <c r="H21">
        <v>10.779303255243731</v>
      </c>
      <c r="I21" s="2" t="s">
        <v>316</v>
      </c>
    </row>
    <row r="22" spans="2:9" x14ac:dyDescent="0.3">
      <c r="B22" s="47" t="s">
        <v>306</v>
      </c>
      <c r="C22" t="s">
        <v>307</v>
      </c>
      <c r="D22" t="s">
        <v>89</v>
      </c>
      <c r="F22" s="2" t="s">
        <v>305</v>
      </c>
      <c r="G22">
        <v>3014.5798961101873</v>
      </c>
      <c r="H22">
        <v>10.779303255243731</v>
      </c>
      <c r="I22" s="2" t="s">
        <v>21</v>
      </c>
    </row>
    <row r="23" spans="2:9" x14ac:dyDescent="0.3">
      <c r="B23">
        <v>1537</v>
      </c>
      <c r="C23" t="s">
        <v>147</v>
      </c>
      <c r="D23" t="s">
        <v>89</v>
      </c>
      <c r="F23" s="2" t="s">
        <v>305</v>
      </c>
      <c r="G23">
        <v>300</v>
      </c>
      <c r="H23">
        <v>10.779303255243731</v>
      </c>
      <c r="I23" s="2" t="s">
        <v>32</v>
      </c>
    </row>
    <row r="24" spans="2:9" x14ac:dyDescent="0.3">
      <c r="B24" s="47" t="s">
        <v>308</v>
      </c>
      <c r="C24" t="s">
        <v>309</v>
      </c>
      <c r="D24" t="s">
        <v>89</v>
      </c>
      <c r="F24" s="2" t="s">
        <v>305</v>
      </c>
      <c r="G24">
        <v>525</v>
      </c>
      <c r="H24">
        <v>10.779303255243731</v>
      </c>
      <c r="I24" s="2" t="s">
        <v>23</v>
      </c>
    </row>
    <row r="25" spans="2:9" x14ac:dyDescent="0.3">
      <c r="B25" s="47" t="s">
        <v>310</v>
      </c>
      <c r="C25" t="s">
        <v>311</v>
      </c>
      <c r="D25" t="s">
        <v>89</v>
      </c>
      <c r="F25" s="2" t="s">
        <v>305</v>
      </c>
      <c r="G25">
        <v>395.83333333333343</v>
      </c>
      <c r="H25">
        <v>10.779303255243731</v>
      </c>
      <c r="I25" s="2" t="s">
        <v>26</v>
      </c>
    </row>
    <row r="26" spans="2:9" x14ac:dyDescent="0.3">
      <c r="B26">
        <v>1537</v>
      </c>
      <c r="C26" t="s">
        <v>312</v>
      </c>
      <c r="D26" t="s">
        <v>89</v>
      </c>
      <c r="F26" s="2" t="s">
        <v>305</v>
      </c>
      <c r="G26">
        <v>0</v>
      </c>
      <c r="H26">
        <v>10.779303255243731</v>
      </c>
      <c r="I26" s="2" t="s">
        <v>32</v>
      </c>
    </row>
    <row r="27" spans="2:9" x14ac:dyDescent="0.3">
      <c r="B27">
        <v>1538</v>
      </c>
      <c r="C27" t="s">
        <v>313</v>
      </c>
      <c r="D27" t="s">
        <v>89</v>
      </c>
      <c r="F27" s="2" t="s">
        <v>305</v>
      </c>
      <c r="G27">
        <v>110.47111111111111</v>
      </c>
      <c r="H27">
        <v>10.779303255243731</v>
      </c>
      <c r="I27" s="2" t="s">
        <v>27</v>
      </c>
    </row>
    <row r="28" spans="2:9" x14ac:dyDescent="0.3">
      <c r="B28">
        <v>1448</v>
      </c>
      <c r="C28" t="s">
        <v>314</v>
      </c>
      <c r="D28" t="s">
        <v>89</v>
      </c>
      <c r="F28" s="2" t="s">
        <v>305</v>
      </c>
      <c r="G28">
        <v>173.33333333333331</v>
      </c>
      <c r="H28">
        <v>10.779303255243731</v>
      </c>
      <c r="I28" s="2" t="s">
        <v>20</v>
      </c>
    </row>
    <row r="29" spans="2:9" x14ac:dyDescent="0.3">
      <c r="B29">
        <v>1306</v>
      </c>
      <c r="C29" t="s">
        <v>315</v>
      </c>
      <c r="D29" t="s">
        <v>89</v>
      </c>
      <c r="F29" s="2" t="s">
        <v>305</v>
      </c>
      <c r="G29">
        <v>522.29785163694578</v>
      </c>
      <c r="H29">
        <v>10.779303255243731</v>
      </c>
      <c r="I29" s="2" t="s">
        <v>14</v>
      </c>
    </row>
    <row r="30" spans="2:9" x14ac:dyDescent="0.3">
      <c r="B30" s="47" t="s">
        <v>303</v>
      </c>
      <c r="C30" t="s">
        <v>304</v>
      </c>
      <c r="D30" t="s">
        <v>79</v>
      </c>
      <c r="F30" s="2" t="s">
        <v>305</v>
      </c>
      <c r="G30">
        <v>4700.5025889797671</v>
      </c>
      <c r="H30">
        <v>8.0437800264832298</v>
      </c>
      <c r="I30" s="2" t="s">
        <v>316</v>
      </c>
    </row>
    <row r="31" spans="2:9" x14ac:dyDescent="0.3">
      <c r="B31" s="47" t="s">
        <v>306</v>
      </c>
      <c r="C31" t="s">
        <v>307</v>
      </c>
      <c r="D31" t="s">
        <v>79</v>
      </c>
      <c r="F31" s="2" t="s">
        <v>305</v>
      </c>
      <c r="G31">
        <v>18200.839319977771</v>
      </c>
      <c r="H31">
        <v>8.0437800264832298</v>
      </c>
      <c r="I31" s="2" t="s">
        <v>21</v>
      </c>
    </row>
    <row r="32" spans="2:9" x14ac:dyDescent="0.3">
      <c r="B32">
        <v>1537</v>
      </c>
      <c r="C32" t="s">
        <v>147</v>
      </c>
      <c r="D32" t="s">
        <v>79</v>
      </c>
      <c r="F32" s="2" t="s">
        <v>305</v>
      </c>
      <c r="G32">
        <v>1451.7721183747051</v>
      </c>
      <c r="H32">
        <v>8.0437800264832298</v>
      </c>
      <c r="I32" s="2" t="s">
        <v>32</v>
      </c>
    </row>
    <row r="33" spans="2:9" x14ac:dyDescent="0.3">
      <c r="B33" s="47" t="s">
        <v>308</v>
      </c>
      <c r="C33" t="s">
        <v>309</v>
      </c>
      <c r="D33" t="s">
        <v>79</v>
      </c>
      <c r="F33" s="2" t="s">
        <v>305</v>
      </c>
      <c r="G33">
        <v>2540.6012071557338</v>
      </c>
      <c r="H33">
        <v>8.0437800264832298</v>
      </c>
      <c r="I33" s="2" t="s">
        <v>23</v>
      </c>
    </row>
    <row r="34" spans="2:9" x14ac:dyDescent="0.3">
      <c r="B34" s="47" t="s">
        <v>310</v>
      </c>
      <c r="C34" t="s">
        <v>311</v>
      </c>
      <c r="D34" t="s">
        <v>79</v>
      </c>
      <c r="F34" s="2" t="s">
        <v>305</v>
      </c>
      <c r="G34">
        <v>1915.5326561888476</v>
      </c>
      <c r="H34">
        <v>8.0437800264832298</v>
      </c>
      <c r="I34" s="2" t="s">
        <v>26</v>
      </c>
    </row>
    <row r="35" spans="2:9" x14ac:dyDescent="0.3">
      <c r="B35">
        <v>1537</v>
      </c>
      <c r="C35" t="s">
        <v>312</v>
      </c>
      <c r="D35" t="s">
        <v>79</v>
      </c>
      <c r="F35" s="2" t="s">
        <v>305</v>
      </c>
      <c r="G35">
        <v>0</v>
      </c>
      <c r="H35">
        <v>8.0437800264832298</v>
      </c>
      <c r="I35" s="2" t="s">
        <v>32</v>
      </c>
    </row>
    <row r="36" spans="2:9" x14ac:dyDescent="0.3">
      <c r="B36">
        <v>1538</v>
      </c>
      <c r="C36" t="s">
        <v>313</v>
      </c>
      <c r="D36" t="s">
        <v>79</v>
      </c>
      <c r="F36" s="2" t="s">
        <v>305</v>
      </c>
      <c r="G36">
        <v>331.41333333333336</v>
      </c>
      <c r="H36">
        <v>8.0437800264832298</v>
      </c>
      <c r="I36" s="2" t="s">
        <v>27</v>
      </c>
    </row>
    <row r="37" spans="2:9" x14ac:dyDescent="0.3">
      <c r="B37">
        <v>1448</v>
      </c>
      <c r="C37" t="s">
        <v>314</v>
      </c>
      <c r="D37" t="s">
        <v>79</v>
      </c>
      <c r="F37" s="2" t="s">
        <v>305</v>
      </c>
      <c r="G37">
        <v>520</v>
      </c>
      <c r="H37">
        <v>8.0437800264832298</v>
      </c>
      <c r="I37" s="2" t="s">
        <v>20</v>
      </c>
    </row>
    <row r="38" spans="2:9" x14ac:dyDescent="0.3">
      <c r="B38">
        <v>1306</v>
      </c>
      <c r="C38" t="s">
        <v>315</v>
      </c>
      <c r="D38" t="s">
        <v>79</v>
      </c>
      <c r="F38" s="2" t="s">
        <v>305</v>
      </c>
      <c r="G38">
        <v>1385.8457032738916</v>
      </c>
      <c r="H38">
        <v>8.0437800264832298</v>
      </c>
      <c r="I38" s="2" t="s">
        <v>14</v>
      </c>
    </row>
    <row r="39" spans="2:9" x14ac:dyDescent="0.3">
      <c r="B39" s="47" t="s">
        <v>303</v>
      </c>
      <c r="C39" t="s">
        <v>304</v>
      </c>
      <c r="D39" t="s">
        <v>56</v>
      </c>
      <c r="F39" s="2" t="s">
        <v>305</v>
      </c>
      <c r="G39">
        <v>522.94411200000002</v>
      </c>
      <c r="H39">
        <v>4.9513781932625482</v>
      </c>
      <c r="I39" s="2" t="s">
        <v>316</v>
      </c>
    </row>
    <row r="40" spans="2:9" x14ac:dyDescent="0.3">
      <c r="B40" s="47" t="s">
        <v>306</v>
      </c>
      <c r="C40" t="s">
        <v>307</v>
      </c>
      <c r="D40" t="s">
        <v>56</v>
      </c>
      <c r="F40" s="2" t="s">
        <v>305</v>
      </c>
      <c r="G40">
        <v>1689.7606629263564</v>
      </c>
      <c r="H40">
        <v>4.9513781932625482</v>
      </c>
      <c r="I40" s="2" t="s">
        <v>21</v>
      </c>
    </row>
    <row r="41" spans="2:9" x14ac:dyDescent="0.3">
      <c r="B41">
        <v>1537</v>
      </c>
      <c r="C41" t="s">
        <v>147</v>
      </c>
      <c r="D41" t="s">
        <v>56</v>
      </c>
      <c r="F41" s="2" t="s">
        <v>305</v>
      </c>
      <c r="G41">
        <v>150</v>
      </c>
      <c r="H41">
        <v>4.9513781932625482</v>
      </c>
      <c r="I41" s="2" t="s">
        <v>32</v>
      </c>
    </row>
    <row r="42" spans="2:9" x14ac:dyDescent="0.3">
      <c r="B42" s="47" t="s">
        <v>308</v>
      </c>
      <c r="C42" t="s">
        <v>309</v>
      </c>
      <c r="D42" t="s">
        <v>56</v>
      </c>
      <c r="F42" s="2" t="s">
        <v>305</v>
      </c>
      <c r="G42">
        <v>262.5</v>
      </c>
      <c r="H42">
        <v>4.9513781932625482</v>
      </c>
      <c r="I42" s="2" t="s">
        <v>23</v>
      </c>
    </row>
    <row r="43" spans="2:9" x14ac:dyDescent="0.3">
      <c r="B43" s="47" t="s">
        <v>310</v>
      </c>
      <c r="C43" t="s">
        <v>311</v>
      </c>
      <c r="D43" t="s">
        <v>56</v>
      </c>
      <c r="F43" s="2" t="s">
        <v>305</v>
      </c>
      <c r="G43">
        <v>197.91666666666671</v>
      </c>
      <c r="H43">
        <v>4.9513781932625482</v>
      </c>
      <c r="I43" s="2" t="s">
        <v>26</v>
      </c>
    </row>
    <row r="44" spans="2:9" x14ac:dyDescent="0.3">
      <c r="B44">
        <v>1537</v>
      </c>
      <c r="C44" t="s">
        <v>312</v>
      </c>
      <c r="D44" t="s">
        <v>56</v>
      </c>
      <c r="F44" s="2" t="s">
        <v>305</v>
      </c>
      <c r="G44">
        <v>2222.1481481481483</v>
      </c>
      <c r="H44">
        <v>4.9513781932625482</v>
      </c>
      <c r="I44" s="2" t="s">
        <v>32</v>
      </c>
    </row>
    <row r="45" spans="2:9" x14ac:dyDescent="0.3">
      <c r="B45">
        <v>1538</v>
      </c>
      <c r="C45" t="s">
        <v>313</v>
      </c>
      <c r="D45" t="s">
        <v>56</v>
      </c>
      <c r="F45" s="2" t="s">
        <v>305</v>
      </c>
      <c r="G45">
        <v>938.88888888888891</v>
      </c>
      <c r="H45">
        <v>4.9513781932625482</v>
      </c>
      <c r="I45" s="2" t="s">
        <v>27</v>
      </c>
    </row>
    <row r="46" spans="2:9" x14ac:dyDescent="0.3">
      <c r="B46">
        <v>1448</v>
      </c>
      <c r="C46" t="s">
        <v>314</v>
      </c>
      <c r="D46" t="s">
        <v>56</v>
      </c>
      <c r="F46" s="2" t="s">
        <v>305</v>
      </c>
      <c r="G46">
        <v>1733.3333333333335</v>
      </c>
      <c r="H46">
        <v>4.9513781932625482</v>
      </c>
      <c r="I46" s="2" t="s">
        <v>20</v>
      </c>
    </row>
    <row r="47" spans="2:9" x14ac:dyDescent="0.3">
      <c r="B47">
        <v>1306</v>
      </c>
      <c r="C47" t="s">
        <v>315</v>
      </c>
      <c r="D47" t="s">
        <v>56</v>
      </c>
      <c r="F47" s="2" t="s">
        <v>305</v>
      </c>
      <c r="G47">
        <v>323.7962962962963</v>
      </c>
      <c r="H47">
        <v>4.9513781932625482</v>
      </c>
      <c r="I47" s="2" t="s">
        <v>14</v>
      </c>
    </row>
    <row r="48" spans="2:9" x14ac:dyDescent="0.3">
      <c r="B48" s="47" t="s">
        <v>303</v>
      </c>
      <c r="C48" t="s">
        <v>304</v>
      </c>
      <c r="D48" t="s">
        <v>82</v>
      </c>
      <c r="F48" s="2" t="s">
        <v>305</v>
      </c>
      <c r="G48">
        <v>0</v>
      </c>
      <c r="H48">
        <v>9.3292895071253419</v>
      </c>
      <c r="I48" s="2" t="s">
        <v>316</v>
      </c>
    </row>
    <row r="49" spans="2:9" x14ac:dyDescent="0.3">
      <c r="B49" s="47" t="s">
        <v>306</v>
      </c>
      <c r="C49" t="s">
        <v>307</v>
      </c>
      <c r="D49" t="s">
        <v>82</v>
      </c>
      <c r="F49" s="2" t="s">
        <v>305</v>
      </c>
      <c r="G49">
        <v>0</v>
      </c>
      <c r="H49">
        <v>9.3292895071253419</v>
      </c>
      <c r="I49" s="2" t="s">
        <v>21</v>
      </c>
    </row>
    <row r="50" spans="2:9" x14ac:dyDescent="0.3">
      <c r="B50">
        <v>1537</v>
      </c>
      <c r="C50" t="s">
        <v>147</v>
      </c>
      <c r="D50" t="s">
        <v>82</v>
      </c>
      <c r="F50" s="2" t="s">
        <v>305</v>
      </c>
      <c r="G50">
        <v>0</v>
      </c>
      <c r="H50">
        <v>9.3292895071253419</v>
      </c>
      <c r="I50" s="2" t="s">
        <v>32</v>
      </c>
    </row>
    <row r="51" spans="2:9" x14ac:dyDescent="0.3">
      <c r="B51" s="47" t="s">
        <v>308</v>
      </c>
      <c r="C51" t="s">
        <v>309</v>
      </c>
      <c r="D51" t="s">
        <v>82</v>
      </c>
      <c r="F51" s="2" t="s">
        <v>305</v>
      </c>
      <c r="G51">
        <v>0</v>
      </c>
      <c r="H51">
        <v>9.3292895071253419</v>
      </c>
      <c r="I51" s="2" t="s">
        <v>23</v>
      </c>
    </row>
    <row r="52" spans="2:9" x14ac:dyDescent="0.3">
      <c r="B52" s="47" t="s">
        <v>310</v>
      </c>
      <c r="C52" t="s">
        <v>311</v>
      </c>
      <c r="D52" t="s">
        <v>82</v>
      </c>
      <c r="F52" s="2" t="s">
        <v>305</v>
      </c>
      <c r="G52">
        <v>0</v>
      </c>
      <c r="H52">
        <v>9.3292895071253419</v>
      </c>
      <c r="I52" s="2" t="s">
        <v>26</v>
      </c>
    </row>
    <row r="53" spans="2:9" x14ac:dyDescent="0.3">
      <c r="B53">
        <v>1537</v>
      </c>
      <c r="C53" t="s">
        <v>312</v>
      </c>
      <c r="D53" t="s">
        <v>82</v>
      </c>
      <c r="F53" s="2" t="s">
        <v>305</v>
      </c>
      <c r="G53">
        <v>2266.3287348131362</v>
      </c>
      <c r="H53">
        <v>9.3292895071253419</v>
      </c>
      <c r="I53" s="2" t="s">
        <v>32</v>
      </c>
    </row>
    <row r="54" spans="2:9" x14ac:dyDescent="0.3">
      <c r="B54">
        <v>1538</v>
      </c>
      <c r="C54" t="s">
        <v>313</v>
      </c>
      <c r="D54" t="s">
        <v>82</v>
      </c>
      <c r="F54" s="2" t="s">
        <v>305</v>
      </c>
      <c r="G54">
        <v>605.13397755420954</v>
      </c>
      <c r="H54">
        <v>9.3292895071253419</v>
      </c>
      <c r="I54" s="2" t="s">
        <v>27</v>
      </c>
    </row>
    <row r="55" spans="2:9" x14ac:dyDescent="0.3">
      <c r="B55">
        <v>1448</v>
      </c>
      <c r="C55" t="s">
        <v>314</v>
      </c>
      <c r="D55" t="s">
        <v>82</v>
      </c>
      <c r="F55" s="2" t="s">
        <v>305</v>
      </c>
      <c r="G55">
        <v>0</v>
      </c>
      <c r="H55">
        <v>9.3292895071253419</v>
      </c>
      <c r="I55" s="2" t="s">
        <v>20</v>
      </c>
    </row>
    <row r="56" spans="2:9" x14ac:dyDescent="0.3">
      <c r="B56">
        <v>1306</v>
      </c>
      <c r="C56" t="s">
        <v>315</v>
      </c>
      <c r="D56" t="s">
        <v>82</v>
      </c>
      <c r="F56" s="2" t="s">
        <v>305</v>
      </c>
      <c r="G56">
        <v>117.8538083626176</v>
      </c>
      <c r="H56">
        <v>9.3292895071253419</v>
      </c>
      <c r="I56" s="2" t="s">
        <v>14</v>
      </c>
    </row>
    <row r="57" spans="2:9" x14ac:dyDescent="0.3">
      <c r="B57" s="47" t="s">
        <v>303</v>
      </c>
      <c r="C57" t="s">
        <v>304</v>
      </c>
      <c r="D57" t="s">
        <v>71</v>
      </c>
      <c r="F57" s="2" t="s">
        <v>305</v>
      </c>
      <c r="G57">
        <v>0</v>
      </c>
      <c r="H57">
        <v>37.577805312454714</v>
      </c>
      <c r="I57" s="2" t="s">
        <v>316</v>
      </c>
    </row>
    <row r="58" spans="2:9" x14ac:dyDescent="0.3">
      <c r="B58" s="47" t="s">
        <v>306</v>
      </c>
      <c r="C58" t="s">
        <v>307</v>
      </c>
      <c r="D58" t="s">
        <v>71</v>
      </c>
      <c r="F58" s="2" t="s">
        <v>305</v>
      </c>
      <c r="G58">
        <v>0</v>
      </c>
      <c r="H58">
        <v>37.577805312454714</v>
      </c>
      <c r="I58" s="2" t="s">
        <v>21</v>
      </c>
    </row>
    <row r="59" spans="2:9" x14ac:dyDescent="0.3">
      <c r="B59">
        <v>1537</v>
      </c>
      <c r="C59" t="s">
        <v>147</v>
      </c>
      <c r="D59" t="s">
        <v>71</v>
      </c>
      <c r="F59" s="2" t="s">
        <v>305</v>
      </c>
      <c r="G59">
        <v>0</v>
      </c>
      <c r="H59">
        <v>37.577805312454714</v>
      </c>
      <c r="I59" s="2" t="s">
        <v>32</v>
      </c>
    </row>
    <row r="60" spans="2:9" x14ac:dyDescent="0.3">
      <c r="B60" s="47" t="s">
        <v>308</v>
      </c>
      <c r="C60" t="s">
        <v>309</v>
      </c>
      <c r="D60" t="s">
        <v>71</v>
      </c>
      <c r="F60" s="2" t="s">
        <v>305</v>
      </c>
      <c r="G60">
        <v>0</v>
      </c>
      <c r="H60">
        <v>37.577805312454714</v>
      </c>
      <c r="I60" s="2" t="s">
        <v>23</v>
      </c>
    </row>
    <row r="61" spans="2:9" x14ac:dyDescent="0.3">
      <c r="B61" s="47" t="s">
        <v>310</v>
      </c>
      <c r="C61" t="s">
        <v>311</v>
      </c>
      <c r="D61" t="s">
        <v>71</v>
      </c>
      <c r="F61" s="2" t="s">
        <v>305</v>
      </c>
      <c r="G61">
        <v>0</v>
      </c>
      <c r="H61">
        <v>37.577805312454714</v>
      </c>
      <c r="I61" s="2" t="s">
        <v>26</v>
      </c>
    </row>
    <row r="62" spans="2:9" x14ac:dyDescent="0.3">
      <c r="B62">
        <v>1537</v>
      </c>
      <c r="C62" t="s">
        <v>312</v>
      </c>
      <c r="D62" t="s">
        <v>71</v>
      </c>
      <c r="F62" s="2" t="s">
        <v>305</v>
      </c>
      <c r="G62">
        <v>6694.4378083584506</v>
      </c>
      <c r="H62">
        <v>37.577805312454714</v>
      </c>
      <c r="I62" s="2" t="s">
        <v>32</v>
      </c>
    </row>
    <row r="63" spans="2:9" x14ac:dyDescent="0.3">
      <c r="B63">
        <v>1538</v>
      </c>
      <c r="C63" t="s">
        <v>313</v>
      </c>
      <c r="D63" t="s">
        <v>71</v>
      </c>
      <c r="F63" s="2" t="s">
        <v>305</v>
      </c>
      <c r="G63">
        <v>2046.6500941688064</v>
      </c>
      <c r="H63">
        <v>37.577805312454714</v>
      </c>
      <c r="I63" s="2" t="s">
        <v>27</v>
      </c>
    </row>
    <row r="64" spans="2:9" x14ac:dyDescent="0.3">
      <c r="B64">
        <v>1448</v>
      </c>
      <c r="C64" t="s">
        <v>314</v>
      </c>
      <c r="D64" t="s">
        <v>71</v>
      </c>
      <c r="F64" s="2" t="s">
        <v>305</v>
      </c>
      <c r="G64">
        <v>1300</v>
      </c>
      <c r="H64">
        <v>37.577805312454714</v>
      </c>
      <c r="I64" s="2" t="s">
        <v>20</v>
      </c>
    </row>
    <row r="65" spans="2:9" x14ac:dyDescent="0.3">
      <c r="B65">
        <v>1306</v>
      </c>
      <c r="C65" t="s">
        <v>315</v>
      </c>
      <c r="D65" t="s">
        <v>71</v>
      </c>
      <c r="F65" s="2" t="s">
        <v>305</v>
      </c>
      <c r="G65">
        <v>333.67966877694607</v>
      </c>
      <c r="H65">
        <v>37.577805312454714</v>
      </c>
      <c r="I65" s="2" t="s">
        <v>14</v>
      </c>
    </row>
    <row r="66" spans="2:9" x14ac:dyDescent="0.3">
      <c r="B66" s="47" t="s">
        <v>303</v>
      </c>
      <c r="C66" t="s">
        <v>304</v>
      </c>
      <c r="D66" t="s">
        <v>68</v>
      </c>
      <c r="F66" s="2" t="s">
        <v>305</v>
      </c>
      <c r="G66">
        <v>0</v>
      </c>
      <c r="H66">
        <v>21.245895357263592</v>
      </c>
      <c r="I66" s="2" t="s">
        <v>316</v>
      </c>
    </row>
    <row r="67" spans="2:9" x14ac:dyDescent="0.3">
      <c r="B67" s="47" t="s">
        <v>306</v>
      </c>
      <c r="C67" t="s">
        <v>307</v>
      </c>
      <c r="D67" t="s">
        <v>68</v>
      </c>
      <c r="F67" s="2" t="s">
        <v>305</v>
      </c>
      <c r="G67">
        <v>0</v>
      </c>
      <c r="H67">
        <v>21.245895357263592</v>
      </c>
      <c r="I67" s="2" t="s">
        <v>21</v>
      </c>
    </row>
    <row r="68" spans="2:9" x14ac:dyDescent="0.3">
      <c r="B68">
        <v>1537</v>
      </c>
      <c r="C68" t="s">
        <v>147</v>
      </c>
      <c r="D68" t="s">
        <v>68</v>
      </c>
      <c r="F68" s="2" t="s">
        <v>305</v>
      </c>
      <c r="G68">
        <v>0</v>
      </c>
      <c r="H68">
        <v>21.245895357263592</v>
      </c>
      <c r="I68" s="2" t="s">
        <v>32</v>
      </c>
    </row>
    <row r="69" spans="2:9" x14ac:dyDescent="0.3">
      <c r="B69" s="47" t="s">
        <v>308</v>
      </c>
      <c r="C69" t="s">
        <v>309</v>
      </c>
      <c r="D69" t="s">
        <v>68</v>
      </c>
      <c r="F69" s="2" t="s">
        <v>305</v>
      </c>
      <c r="G69">
        <v>0</v>
      </c>
      <c r="H69">
        <v>21.245895357263592</v>
      </c>
      <c r="I69" s="2" t="s">
        <v>23</v>
      </c>
    </row>
    <row r="70" spans="2:9" x14ac:dyDescent="0.3">
      <c r="B70" s="47" t="s">
        <v>310</v>
      </c>
      <c r="C70" t="s">
        <v>311</v>
      </c>
      <c r="D70" t="s">
        <v>68</v>
      </c>
      <c r="F70" s="2" t="s">
        <v>305</v>
      </c>
      <c r="G70">
        <v>0</v>
      </c>
      <c r="H70">
        <v>21.245895357263592</v>
      </c>
      <c r="I70" s="2" t="s">
        <v>26</v>
      </c>
    </row>
    <row r="71" spans="2:9" x14ac:dyDescent="0.3">
      <c r="B71">
        <v>1537</v>
      </c>
      <c r="C71" t="s">
        <v>312</v>
      </c>
      <c r="D71" t="s">
        <v>68</v>
      </c>
      <c r="F71" s="2" t="s">
        <v>305</v>
      </c>
      <c r="G71">
        <v>15712.4</v>
      </c>
      <c r="H71">
        <v>21.245895357263592</v>
      </c>
      <c r="I71" s="2" t="s">
        <v>32</v>
      </c>
    </row>
    <row r="72" spans="2:9" x14ac:dyDescent="0.3">
      <c r="B72">
        <v>1538</v>
      </c>
      <c r="C72" t="s">
        <v>313</v>
      </c>
      <c r="D72" t="s">
        <v>68</v>
      </c>
      <c r="F72" s="2" t="s">
        <v>305</v>
      </c>
      <c r="G72">
        <v>4924.4444444444443</v>
      </c>
      <c r="H72">
        <v>21.245895357263592</v>
      </c>
      <c r="I72" s="2" t="s">
        <v>27</v>
      </c>
    </row>
    <row r="73" spans="2:9" x14ac:dyDescent="0.3">
      <c r="B73">
        <v>1448</v>
      </c>
      <c r="C73" t="s">
        <v>314</v>
      </c>
      <c r="D73" t="s">
        <v>68</v>
      </c>
      <c r="F73" s="2" t="s">
        <v>305</v>
      </c>
      <c r="G73">
        <v>4550</v>
      </c>
      <c r="H73">
        <v>21.245895357263592</v>
      </c>
      <c r="I73" s="2" t="s">
        <v>20</v>
      </c>
    </row>
    <row r="74" spans="2:9" x14ac:dyDescent="0.3">
      <c r="B74">
        <v>1306</v>
      </c>
      <c r="C74" t="s">
        <v>315</v>
      </c>
      <c r="D74" t="s">
        <v>68</v>
      </c>
      <c r="F74" s="2" t="s">
        <v>305</v>
      </c>
      <c r="G74">
        <v>731.85185185185185</v>
      </c>
      <c r="H74">
        <v>21.245895357263592</v>
      </c>
      <c r="I74" s="2" t="s">
        <v>14</v>
      </c>
    </row>
    <row r="75" spans="2:9" x14ac:dyDescent="0.3">
      <c r="B75" s="47" t="s">
        <v>303</v>
      </c>
      <c r="C75" t="s">
        <v>304</v>
      </c>
      <c r="D75" t="s">
        <v>70</v>
      </c>
      <c r="F75" s="2" t="s">
        <v>305</v>
      </c>
      <c r="G75">
        <v>0</v>
      </c>
      <c r="H75">
        <v>14.198625544886132</v>
      </c>
      <c r="I75" s="2" t="s">
        <v>316</v>
      </c>
    </row>
    <row r="76" spans="2:9" x14ac:dyDescent="0.3">
      <c r="B76" s="47" t="s">
        <v>306</v>
      </c>
      <c r="C76" t="s">
        <v>307</v>
      </c>
      <c r="D76" t="s">
        <v>70</v>
      </c>
      <c r="F76" s="2" t="s">
        <v>305</v>
      </c>
      <c r="G76">
        <v>0</v>
      </c>
      <c r="H76">
        <v>14.198625544886132</v>
      </c>
      <c r="I76" s="2" t="s">
        <v>21</v>
      </c>
    </row>
    <row r="77" spans="2:9" x14ac:dyDescent="0.3">
      <c r="B77">
        <v>1537</v>
      </c>
      <c r="C77" t="s">
        <v>147</v>
      </c>
      <c r="D77" t="s">
        <v>70</v>
      </c>
      <c r="F77" s="2" t="s">
        <v>305</v>
      </c>
      <c r="G77">
        <v>0</v>
      </c>
      <c r="H77">
        <v>14.198625544886132</v>
      </c>
      <c r="I77" s="2" t="s">
        <v>32</v>
      </c>
    </row>
    <row r="78" spans="2:9" x14ac:dyDescent="0.3">
      <c r="B78" s="47" t="s">
        <v>308</v>
      </c>
      <c r="C78" t="s">
        <v>309</v>
      </c>
      <c r="D78" t="s">
        <v>70</v>
      </c>
      <c r="F78" s="2" t="s">
        <v>305</v>
      </c>
      <c r="G78">
        <v>0</v>
      </c>
      <c r="H78">
        <v>14.198625544886132</v>
      </c>
      <c r="I78" s="2" t="s">
        <v>23</v>
      </c>
    </row>
    <row r="79" spans="2:9" x14ac:dyDescent="0.3">
      <c r="B79" s="47" t="s">
        <v>310</v>
      </c>
      <c r="C79" t="s">
        <v>311</v>
      </c>
      <c r="D79" t="s">
        <v>70</v>
      </c>
      <c r="F79" s="2" t="s">
        <v>305</v>
      </c>
      <c r="G79">
        <v>0</v>
      </c>
      <c r="H79">
        <v>14.198625544886132</v>
      </c>
      <c r="I79" s="2" t="s">
        <v>26</v>
      </c>
    </row>
    <row r="80" spans="2:9" x14ac:dyDescent="0.3">
      <c r="B80">
        <v>1537</v>
      </c>
      <c r="C80" t="s">
        <v>312</v>
      </c>
      <c r="D80" t="s">
        <v>70</v>
      </c>
      <c r="F80" s="2" t="s">
        <v>305</v>
      </c>
      <c r="G80">
        <v>787.03703703703707</v>
      </c>
      <c r="H80">
        <v>14.198625544886132</v>
      </c>
      <c r="I80" s="2" t="s">
        <v>32</v>
      </c>
    </row>
    <row r="81" spans="2:9" x14ac:dyDescent="0.3">
      <c r="B81">
        <v>1538</v>
      </c>
      <c r="C81" t="s">
        <v>313</v>
      </c>
      <c r="D81" t="s">
        <v>70</v>
      </c>
      <c r="F81" s="2" t="s">
        <v>305</v>
      </c>
      <c r="G81">
        <v>2814.6198507642571</v>
      </c>
      <c r="H81">
        <v>14.198625544886132</v>
      </c>
      <c r="I81" s="2" t="s">
        <v>27</v>
      </c>
    </row>
    <row r="82" spans="2:9" x14ac:dyDescent="0.3">
      <c r="B82">
        <v>1448</v>
      </c>
      <c r="C82" t="s">
        <v>314</v>
      </c>
      <c r="D82" t="s">
        <v>70</v>
      </c>
      <c r="F82" s="2" t="s">
        <v>305</v>
      </c>
      <c r="G82">
        <v>6617.7089708644198</v>
      </c>
      <c r="H82">
        <v>14.198625544886132</v>
      </c>
      <c r="I82" s="2" t="s">
        <v>20</v>
      </c>
    </row>
    <row r="83" spans="2:9" x14ac:dyDescent="0.3">
      <c r="B83">
        <v>1306</v>
      </c>
      <c r="C83" t="s">
        <v>315</v>
      </c>
      <c r="D83" t="s">
        <v>70</v>
      </c>
      <c r="F83" s="2" t="s">
        <v>305</v>
      </c>
      <c r="G83">
        <v>0</v>
      </c>
      <c r="H83">
        <v>14.198625544886132</v>
      </c>
      <c r="I83" s="2" t="s">
        <v>14</v>
      </c>
    </row>
    <row r="84" spans="2:9" x14ac:dyDescent="0.3">
      <c r="B84" s="47" t="s">
        <v>303</v>
      </c>
      <c r="C84" t="s">
        <v>304</v>
      </c>
      <c r="D84" t="s">
        <v>227</v>
      </c>
      <c r="F84" s="2" t="s">
        <v>305</v>
      </c>
      <c r="G84">
        <v>0</v>
      </c>
      <c r="H84">
        <v>9.6959999999999997</v>
      </c>
      <c r="I84" s="2" t="s">
        <v>316</v>
      </c>
    </row>
    <row r="85" spans="2:9" x14ac:dyDescent="0.3">
      <c r="B85" s="47" t="s">
        <v>306</v>
      </c>
      <c r="C85" t="s">
        <v>307</v>
      </c>
      <c r="D85" t="s">
        <v>227</v>
      </c>
      <c r="F85" s="2" t="s">
        <v>305</v>
      </c>
      <c r="G85">
        <v>10390.072549033153</v>
      </c>
      <c r="H85">
        <v>9.6959999999999997</v>
      </c>
      <c r="I85" s="2" t="s">
        <v>21</v>
      </c>
    </row>
    <row r="86" spans="2:9" x14ac:dyDescent="0.3">
      <c r="B86">
        <v>1537</v>
      </c>
      <c r="C86" t="s">
        <v>147</v>
      </c>
      <c r="D86" t="s">
        <v>227</v>
      </c>
      <c r="F86" s="2" t="s">
        <v>305</v>
      </c>
      <c r="G86">
        <v>0</v>
      </c>
      <c r="H86">
        <v>9.6959999999999997</v>
      </c>
      <c r="I86" s="2" t="s">
        <v>32</v>
      </c>
    </row>
    <row r="87" spans="2:9" x14ac:dyDescent="0.3">
      <c r="B87" s="47" t="s">
        <v>308</v>
      </c>
      <c r="C87" t="s">
        <v>309</v>
      </c>
      <c r="D87" t="s">
        <v>227</v>
      </c>
      <c r="F87" s="2" t="s">
        <v>305</v>
      </c>
      <c r="G87">
        <v>0</v>
      </c>
      <c r="H87">
        <v>9.6959999999999997</v>
      </c>
      <c r="I87" s="2" t="s">
        <v>23</v>
      </c>
    </row>
    <row r="88" spans="2:9" x14ac:dyDescent="0.3">
      <c r="B88" s="47" t="s">
        <v>310</v>
      </c>
      <c r="C88" t="s">
        <v>311</v>
      </c>
      <c r="D88" t="s">
        <v>227</v>
      </c>
      <c r="F88" s="2" t="s">
        <v>305</v>
      </c>
      <c r="G88">
        <v>0</v>
      </c>
      <c r="H88">
        <v>9.6959999999999997</v>
      </c>
      <c r="I88" s="2" t="s">
        <v>26</v>
      </c>
    </row>
    <row r="89" spans="2:9" x14ac:dyDescent="0.3">
      <c r="B89">
        <v>1537</v>
      </c>
      <c r="C89" t="s">
        <v>312</v>
      </c>
      <c r="D89" t="s">
        <v>227</v>
      </c>
      <c r="F89" s="2" t="s">
        <v>305</v>
      </c>
      <c r="G89">
        <v>5925.7037037037035</v>
      </c>
      <c r="H89">
        <v>9.6959999999999997</v>
      </c>
      <c r="I89" s="2" t="s">
        <v>32</v>
      </c>
    </row>
    <row r="90" spans="2:9" x14ac:dyDescent="0.3">
      <c r="B90">
        <v>1538</v>
      </c>
      <c r="C90" t="s">
        <v>313</v>
      </c>
      <c r="D90" t="s">
        <v>227</v>
      </c>
      <c r="F90" s="2" t="s">
        <v>305</v>
      </c>
      <c r="G90">
        <v>1927.7777777777778</v>
      </c>
      <c r="H90">
        <v>9.6959999999999997</v>
      </c>
      <c r="I90" s="2" t="s">
        <v>27</v>
      </c>
    </row>
    <row r="91" spans="2:9" x14ac:dyDescent="0.3">
      <c r="B91">
        <v>1448</v>
      </c>
      <c r="C91" t="s">
        <v>314</v>
      </c>
      <c r="D91" t="s">
        <v>227</v>
      </c>
      <c r="F91" s="2" t="s">
        <v>305</v>
      </c>
      <c r="G91">
        <v>1733.3333333333335</v>
      </c>
      <c r="H91">
        <v>9.6959999999999997</v>
      </c>
      <c r="I91" s="2" t="s">
        <v>20</v>
      </c>
    </row>
    <row r="92" spans="2:9" x14ac:dyDescent="0.3">
      <c r="B92">
        <v>1306</v>
      </c>
      <c r="C92" t="s">
        <v>315</v>
      </c>
      <c r="D92" t="s">
        <v>227</v>
      </c>
      <c r="F92" s="2" t="s">
        <v>305</v>
      </c>
      <c r="G92">
        <v>288.88888888888886</v>
      </c>
      <c r="H92">
        <v>9.6959999999999997</v>
      </c>
      <c r="I92" s="2" t="s">
        <v>14</v>
      </c>
    </row>
    <row r="93" spans="2:9" x14ac:dyDescent="0.3">
      <c r="B93" s="47" t="s">
        <v>303</v>
      </c>
      <c r="C93" t="s">
        <v>304</v>
      </c>
      <c r="D93" t="s">
        <v>45</v>
      </c>
      <c r="F93" s="2" t="s">
        <v>305</v>
      </c>
      <c r="G93">
        <v>0</v>
      </c>
      <c r="H93">
        <v>19.15439878625649</v>
      </c>
      <c r="I93" s="2" t="s">
        <v>316</v>
      </c>
    </row>
    <row r="94" spans="2:9" x14ac:dyDescent="0.3">
      <c r="B94" s="47" t="s">
        <v>306</v>
      </c>
      <c r="C94" t="s">
        <v>307</v>
      </c>
      <c r="D94" t="s">
        <v>45</v>
      </c>
      <c r="F94" s="2" t="s">
        <v>305</v>
      </c>
      <c r="G94">
        <v>0</v>
      </c>
      <c r="H94">
        <v>19.15439878625649</v>
      </c>
      <c r="I94" s="2" t="s">
        <v>21</v>
      </c>
    </row>
    <row r="95" spans="2:9" x14ac:dyDescent="0.3">
      <c r="B95">
        <v>1537</v>
      </c>
      <c r="C95" t="s">
        <v>147</v>
      </c>
      <c r="D95" t="s">
        <v>45</v>
      </c>
      <c r="F95" s="2" t="s">
        <v>305</v>
      </c>
      <c r="G95">
        <v>0</v>
      </c>
      <c r="H95">
        <v>19.15439878625649</v>
      </c>
      <c r="I95" s="2" t="s">
        <v>32</v>
      </c>
    </row>
    <row r="96" spans="2:9" x14ac:dyDescent="0.3">
      <c r="B96" s="47" t="s">
        <v>308</v>
      </c>
      <c r="C96" t="s">
        <v>309</v>
      </c>
      <c r="D96" t="s">
        <v>45</v>
      </c>
      <c r="F96" s="2" t="s">
        <v>305</v>
      </c>
      <c r="G96">
        <v>0</v>
      </c>
      <c r="H96">
        <v>19.15439878625649</v>
      </c>
      <c r="I96" s="2" t="s">
        <v>23</v>
      </c>
    </row>
    <row r="97" spans="2:9" x14ac:dyDescent="0.3">
      <c r="B97" s="47" t="s">
        <v>310</v>
      </c>
      <c r="C97" t="s">
        <v>311</v>
      </c>
      <c r="D97" t="s">
        <v>45</v>
      </c>
      <c r="F97" s="2" t="s">
        <v>305</v>
      </c>
      <c r="G97">
        <v>0</v>
      </c>
      <c r="H97">
        <v>19.15439878625649</v>
      </c>
      <c r="I97" s="2" t="s">
        <v>26</v>
      </c>
    </row>
    <row r="98" spans="2:9" x14ac:dyDescent="0.3">
      <c r="B98">
        <v>1537</v>
      </c>
      <c r="C98" t="s">
        <v>312</v>
      </c>
      <c r="D98" t="s">
        <v>45</v>
      </c>
      <c r="F98" s="2" t="s">
        <v>305</v>
      </c>
      <c r="G98">
        <v>2360.3860250613866</v>
      </c>
      <c r="H98">
        <v>19.15439878625649</v>
      </c>
      <c r="I98" s="2" t="s">
        <v>32</v>
      </c>
    </row>
    <row r="99" spans="2:9" x14ac:dyDescent="0.3">
      <c r="B99">
        <v>1538</v>
      </c>
      <c r="C99" t="s">
        <v>313</v>
      </c>
      <c r="D99" t="s">
        <v>45</v>
      </c>
      <c r="F99" s="2" t="s">
        <v>305</v>
      </c>
      <c r="G99">
        <v>932.60592848408521</v>
      </c>
      <c r="H99">
        <v>19.15439878625649</v>
      </c>
      <c r="I99" s="2" t="s">
        <v>27</v>
      </c>
    </row>
    <row r="100" spans="2:9" x14ac:dyDescent="0.3">
      <c r="B100">
        <v>1448</v>
      </c>
      <c r="C100" t="s">
        <v>314</v>
      </c>
      <c r="D100" t="s">
        <v>45</v>
      </c>
      <c r="F100" s="2" t="s">
        <v>305</v>
      </c>
      <c r="G100">
        <v>1516.666666666667</v>
      </c>
      <c r="H100">
        <v>19.15439878625649</v>
      </c>
      <c r="I100" s="2" t="s">
        <v>20</v>
      </c>
    </row>
    <row r="101" spans="2:9" x14ac:dyDescent="0.3">
      <c r="B101">
        <v>1306</v>
      </c>
      <c r="C101" t="s">
        <v>315</v>
      </c>
      <c r="D101" t="s">
        <v>45</v>
      </c>
      <c r="F101" s="2" t="s">
        <v>305</v>
      </c>
      <c r="G101">
        <v>105.89245714962624</v>
      </c>
      <c r="H101">
        <v>19.15439878625649</v>
      </c>
      <c r="I101" s="2" t="s">
        <v>14</v>
      </c>
    </row>
    <row r="102" spans="2:9" x14ac:dyDescent="0.3">
      <c r="B102" s="47" t="s">
        <v>303</v>
      </c>
      <c r="C102" t="s">
        <v>304</v>
      </c>
      <c r="D102" t="s">
        <v>91</v>
      </c>
      <c r="F102" s="2" t="s">
        <v>305</v>
      </c>
      <c r="G102">
        <v>666.23271999999997</v>
      </c>
      <c r="H102">
        <v>5.6478168470969514</v>
      </c>
      <c r="I102" s="2" t="s">
        <v>316</v>
      </c>
    </row>
    <row r="103" spans="2:9" x14ac:dyDescent="0.3">
      <c r="B103" s="47" t="s">
        <v>306</v>
      </c>
      <c r="C103" t="s">
        <v>307</v>
      </c>
      <c r="D103" t="s">
        <v>91</v>
      </c>
      <c r="F103" s="2" t="s">
        <v>305</v>
      </c>
      <c r="G103">
        <v>5489.1993036653066</v>
      </c>
      <c r="H103">
        <v>5.6478168470969514</v>
      </c>
      <c r="I103" s="2" t="s">
        <v>21</v>
      </c>
    </row>
    <row r="104" spans="2:9" x14ac:dyDescent="0.3">
      <c r="B104">
        <v>1537</v>
      </c>
      <c r="C104" t="s">
        <v>147</v>
      </c>
      <c r="D104" t="s">
        <v>91</v>
      </c>
      <c r="F104" s="2" t="s">
        <v>305</v>
      </c>
      <c r="G104">
        <v>250</v>
      </c>
      <c r="H104">
        <v>5.6478168470969514</v>
      </c>
      <c r="I104" s="2" t="s">
        <v>32</v>
      </c>
    </row>
    <row r="105" spans="2:9" x14ac:dyDescent="0.3">
      <c r="B105" s="47" t="s">
        <v>308</v>
      </c>
      <c r="C105" t="s">
        <v>309</v>
      </c>
      <c r="D105" t="s">
        <v>91</v>
      </c>
      <c r="F105" s="2" t="s">
        <v>305</v>
      </c>
      <c r="G105">
        <v>437.5</v>
      </c>
      <c r="H105">
        <v>5.6478168470969514</v>
      </c>
      <c r="I105" s="2" t="s">
        <v>23</v>
      </c>
    </row>
    <row r="106" spans="2:9" x14ac:dyDescent="0.3">
      <c r="B106" s="47" t="s">
        <v>310</v>
      </c>
      <c r="C106" t="s">
        <v>311</v>
      </c>
      <c r="D106" t="s">
        <v>91</v>
      </c>
      <c r="F106" s="2" t="s">
        <v>305</v>
      </c>
      <c r="G106">
        <v>329.86111111111126</v>
      </c>
      <c r="H106">
        <v>5.6478168470969514</v>
      </c>
      <c r="I106" s="2" t="s">
        <v>26</v>
      </c>
    </row>
    <row r="107" spans="2:9" x14ac:dyDescent="0.3">
      <c r="B107">
        <v>1537</v>
      </c>
      <c r="C107" t="s">
        <v>312</v>
      </c>
      <c r="D107" t="s">
        <v>91</v>
      </c>
      <c r="F107" s="2" t="s">
        <v>305</v>
      </c>
      <c r="G107">
        <v>0</v>
      </c>
      <c r="H107">
        <v>5.6478168470969514</v>
      </c>
      <c r="I107" s="2" t="s">
        <v>32</v>
      </c>
    </row>
    <row r="108" spans="2:9" x14ac:dyDescent="0.3">
      <c r="B108">
        <v>1538</v>
      </c>
      <c r="C108" t="s">
        <v>313</v>
      </c>
      <c r="D108" t="s">
        <v>91</v>
      </c>
      <c r="F108" s="2" t="s">
        <v>305</v>
      </c>
      <c r="G108">
        <v>927.7687399868156</v>
      </c>
      <c r="H108">
        <v>5.6478168470969514</v>
      </c>
      <c r="I108" s="2" t="s">
        <v>27</v>
      </c>
    </row>
    <row r="109" spans="2:9" x14ac:dyDescent="0.3">
      <c r="B109">
        <v>1448</v>
      </c>
      <c r="C109" t="s">
        <v>314</v>
      </c>
      <c r="D109" t="s">
        <v>91</v>
      </c>
      <c r="F109" s="2" t="s">
        <v>305</v>
      </c>
      <c r="G109">
        <v>1455.7040899374722</v>
      </c>
      <c r="H109">
        <v>5.6478168470969514</v>
      </c>
      <c r="I109" s="2" t="s">
        <v>20</v>
      </c>
    </row>
    <row r="110" spans="2:9" x14ac:dyDescent="0.3">
      <c r="B110">
        <v>1306</v>
      </c>
      <c r="C110" t="s">
        <v>315</v>
      </c>
      <c r="D110" t="s">
        <v>91</v>
      </c>
      <c r="F110" s="2" t="s">
        <v>305</v>
      </c>
      <c r="G110">
        <v>0</v>
      </c>
      <c r="H110">
        <v>5.6478168470969514</v>
      </c>
      <c r="I110" s="2" t="s">
        <v>14</v>
      </c>
    </row>
    <row r="111" spans="2:9" x14ac:dyDescent="0.3">
      <c r="B111" s="47" t="s">
        <v>303</v>
      </c>
      <c r="C111" t="s">
        <v>304</v>
      </c>
      <c r="D111" t="s">
        <v>73</v>
      </c>
      <c r="F111" s="2" t="s">
        <v>305</v>
      </c>
      <c r="G111">
        <v>0</v>
      </c>
      <c r="H111">
        <v>13.147080589399845</v>
      </c>
      <c r="I111" s="2" t="s">
        <v>316</v>
      </c>
    </row>
    <row r="112" spans="2:9" x14ac:dyDescent="0.3">
      <c r="B112" s="47" t="s">
        <v>306</v>
      </c>
      <c r="C112" t="s">
        <v>307</v>
      </c>
      <c r="D112" t="s">
        <v>73</v>
      </c>
      <c r="F112" s="2" t="s">
        <v>305</v>
      </c>
      <c r="G112">
        <v>724.0901383780265</v>
      </c>
      <c r="H112">
        <v>13.147080589399845</v>
      </c>
      <c r="I112" s="2" t="s">
        <v>21</v>
      </c>
    </row>
    <row r="113" spans="2:9" x14ac:dyDescent="0.3">
      <c r="B113">
        <v>1537</v>
      </c>
      <c r="C113" t="s">
        <v>147</v>
      </c>
      <c r="D113" t="s">
        <v>73</v>
      </c>
      <c r="F113" s="2" t="s">
        <v>305</v>
      </c>
      <c r="G113">
        <v>0</v>
      </c>
      <c r="H113">
        <v>13.147080589399845</v>
      </c>
      <c r="I113" s="2" t="s">
        <v>32</v>
      </c>
    </row>
    <row r="114" spans="2:9" x14ac:dyDescent="0.3">
      <c r="B114" s="47" t="s">
        <v>308</v>
      </c>
      <c r="C114" t="s">
        <v>309</v>
      </c>
      <c r="D114" t="s">
        <v>73</v>
      </c>
      <c r="F114" s="2" t="s">
        <v>305</v>
      </c>
      <c r="G114">
        <v>0</v>
      </c>
      <c r="H114">
        <v>13.147080589399845</v>
      </c>
      <c r="I114" s="2" t="s">
        <v>23</v>
      </c>
    </row>
    <row r="115" spans="2:9" x14ac:dyDescent="0.3">
      <c r="B115" s="47" t="s">
        <v>310</v>
      </c>
      <c r="C115" t="s">
        <v>311</v>
      </c>
      <c r="D115" t="s">
        <v>73</v>
      </c>
      <c r="F115" s="2" t="s">
        <v>305</v>
      </c>
      <c r="G115">
        <v>0</v>
      </c>
      <c r="H115">
        <v>13.147080589399845</v>
      </c>
      <c r="I115" s="2" t="s">
        <v>26</v>
      </c>
    </row>
    <row r="116" spans="2:9" x14ac:dyDescent="0.3">
      <c r="B116">
        <v>1537</v>
      </c>
      <c r="C116" t="s">
        <v>312</v>
      </c>
      <c r="D116" t="s">
        <v>73</v>
      </c>
      <c r="F116" s="2" t="s">
        <v>305</v>
      </c>
      <c r="G116">
        <v>0</v>
      </c>
      <c r="H116">
        <v>13.147080589399845</v>
      </c>
      <c r="I116" s="2" t="s">
        <v>32</v>
      </c>
    </row>
    <row r="117" spans="2:9" x14ac:dyDescent="0.3">
      <c r="B117">
        <v>1538</v>
      </c>
      <c r="C117" t="s">
        <v>313</v>
      </c>
      <c r="D117" t="s">
        <v>73</v>
      </c>
      <c r="F117" s="2" t="s">
        <v>305</v>
      </c>
      <c r="G117">
        <v>3756.0177777777781</v>
      </c>
      <c r="H117">
        <v>13.147080589399845</v>
      </c>
      <c r="I117" s="2" t="s">
        <v>27</v>
      </c>
    </row>
    <row r="118" spans="2:9" x14ac:dyDescent="0.3">
      <c r="B118">
        <v>1448</v>
      </c>
      <c r="C118" t="s">
        <v>314</v>
      </c>
      <c r="D118" t="s">
        <v>73</v>
      </c>
      <c r="F118" s="2" t="s">
        <v>305</v>
      </c>
      <c r="G118">
        <v>5893.333333333333</v>
      </c>
      <c r="H118">
        <v>13.147080589399845</v>
      </c>
      <c r="I118" s="2" t="s">
        <v>20</v>
      </c>
    </row>
    <row r="119" spans="2:9" x14ac:dyDescent="0.3">
      <c r="B119">
        <v>1306</v>
      </c>
      <c r="C119" t="s">
        <v>315</v>
      </c>
      <c r="D119" t="s">
        <v>73</v>
      </c>
      <c r="F119" s="2" t="s">
        <v>305</v>
      </c>
      <c r="G119">
        <v>0</v>
      </c>
      <c r="H119">
        <v>13.147080589399845</v>
      </c>
      <c r="I119" s="2" t="s">
        <v>14</v>
      </c>
    </row>
    <row r="120" spans="2:9" x14ac:dyDescent="0.3">
      <c r="B120" s="47" t="s">
        <v>303</v>
      </c>
      <c r="C120" t="s">
        <v>304</v>
      </c>
      <c r="D120" t="s">
        <v>90</v>
      </c>
      <c r="F120" s="2" t="s">
        <v>305</v>
      </c>
      <c r="G120">
        <v>1732.88</v>
      </c>
      <c r="H120">
        <v>6.8115308992806556</v>
      </c>
      <c r="I120" s="2" t="s">
        <v>316</v>
      </c>
    </row>
    <row r="121" spans="2:9" x14ac:dyDescent="0.3">
      <c r="B121" s="47" t="s">
        <v>306</v>
      </c>
      <c r="C121" t="s">
        <v>307</v>
      </c>
      <c r="D121" t="s">
        <v>90</v>
      </c>
      <c r="F121" s="2" t="s">
        <v>305</v>
      </c>
      <c r="G121">
        <v>5983.71034353094</v>
      </c>
      <c r="H121">
        <v>6.8115308992806556</v>
      </c>
      <c r="I121" s="2" t="s">
        <v>21</v>
      </c>
    </row>
    <row r="122" spans="2:9" x14ac:dyDescent="0.3">
      <c r="B122">
        <v>1537</v>
      </c>
      <c r="C122" t="s">
        <v>147</v>
      </c>
      <c r="D122" t="s">
        <v>90</v>
      </c>
      <c r="F122" s="2" t="s">
        <v>305</v>
      </c>
      <c r="G122">
        <v>500</v>
      </c>
      <c r="H122">
        <v>6.8115308992806556</v>
      </c>
      <c r="I122" s="2" t="s">
        <v>32</v>
      </c>
    </row>
    <row r="123" spans="2:9" x14ac:dyDescent="0.3">
      <c r="B123" s="47" t="s">
        <v>308</v>
      </c>
      <c r="C123" t="s">
        <v>309</v>
      </c>
      <c r="D123" t="s">
        <v>90</v>
      </c>
      <c r="F123" s="2" t="s">
        <v>305</v>
      </c>
      <c r="G123">
        <v>875</v>
      </c>
      <c r="H123">
        <v>6.8115308992806556</v>
      </c>
      <c r="I123" s="2" t="s">
        <v>23</v>
      </c>
    </row>
    <row r="124" spans="2:9" x14ac:dyDescent="0.3">
      <c r="B124" s="47" t="s">
        <v>310</v>
      </c>
      <c r="C124" t="s">
        <v>311</v>
      </c>
      <c r="D124" t="s">
        <v>90</v>
      </c>
      <c r="F124" s="2" t="s">
        <v>305</v>
      </c>
      <c r="G124">
        <v>659.72222222222251</v>
      </c>
      <c r="H124">
        <v>6.8115308992806556</v>
      </c>
      <c r="I124" s="2" t="s">
        <v>26</v>
      </c>
    </row>
    <row r="125" spans="2:9" x14ac:dyDescent="0.3">
      <c r="B125">
        <v>1537</v>
      </c>
      <c r="C125" t="s">
        <v>312</v>
      </c>
      <c r="D125" t="s">
        <v>90</v>
      </c>
      <c r="F125" s="2" t="s">
        <v>305</v>
      </c>
      <c r="G125">
        <v>185.18518518518519</v>
      </c>
      <c r="H125">
        <v>6.8115308992806556</v>
      </c>
      <c r="I125" s="2" t="s">
        <v>32</v>
      </c>
    </row>
    <row r="126" spans="2:9" x14ac:dyDescent="0.3">
      <c r="B126">
        <v>1538</v>
      </c>
      <c r="C126" t="s">
        <v>313</v>
      </c>
      <c r="D126" t="s">
        <v>90</v>
      </c>
      <c r="F126" s="2" t="s">
        <v>305</v>
      </c>
      <c r="G126">
        <v>1437.4044444444444</v>
      </c>
      <c r="H126">
        <v>6.8115308992806556</v>
      </c>
      <c r="I126" s="2" t="s">
        <v>27</v>
      </c>
    </row>
    <row r="127" spans="2:9" x14ac:dyDescent="0.3">
      <c r="B127">
        <v>1448</v>
      </c>
      <c r="C127" t="s">
        <v>314</v>
      </c>
      <c r="D127" t="s">
        <v>90</v>
      </c>
      <c r="F127" s="2" t="s">
        <v>305</v>
      </c>
      <c r="G127">
        <v>2773.333333333333</v>
      </c>
      <c r="H127">
        <v>6.8115308992806556</v>
      </c>
      <c r="I127" s="2" t="s">
        <v>20</v>
      </c>
    </row>
    <row r="128" spans="2:9" x14ac:dyDescent="0.3">
      <c r="B128">
        <v>1306</v>
      </c>
      <c r="C128" t="s">
        <v>315</v>
      </c>
      <c r="D128" t="s">
        <v>90</v>
      </c>
      <c r="F128" s="2" t="s">
        <v>305</v>
      </c>
      <c r="G128">
        <v>1006.6790366072248</v>
      </c>
      <c r="H128">
        <v>6.8115308992806556</v>
      </c>
      <c r="I128" s="2" t="s">
        <v>14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618"/>
  <sheetViews>
    <sheetView workbookViewId="0">
      <selection activeCell="G17" sqref="G17"/>
    </sheetView>
  </sheetViews>
  <sheetFormatPr defaultColWidth="9" defaultRowHeight="13.5" x14ac:dyDescent="0.3"/>
  <cols>
    <col min="2" max="3" width="13.59765625" customWidth="1"/>
    <col min="4" max="4" width="23.06640625" customWidth="1"/>
    <col min="5" max="5" width="13.59765625" customWidth="1"/>
  </cols>
  <sheetData>
    <row r="2" spans="2:5" x14ac:dyDescent="0.3">
      <c r="B2" s="39" t="s">
        <v>193</v>
      </c>
      <c r="C2" s="39" t="s">
        <v>210</v>
      </c>
      <c r="D2" s="39" t="s">
        <v>214</v>
      </c>
      <c r="E2" s="39" t="s">
        <v>215</v>
      </c>
    </row>
    <row r="3" spans="2:5" x14ac:dyDescent="0.3">
      <c r="B3" t="s">
        <v>146</v>
      </c>
      <c r="C3" t="s">
        <v>32</v>
      </c>
      <c r="D3">
        <v>6.2500000000000001E-4</v>
      </c>
      <c r="E3">
        <v>1250</v>
      </c>
    </row>
    <row r="4" spans="2:5" x14ac:dyDescent="0.3">
      <c r="B4" t="s">
        <v>146</v>
      </c>
      <c r="C4" t="s">
        <v>32</v>
      </c>
      <c r="D4">
        <v>6.2500000000000001E-4</v>
      </c>
      <c r="E4">
        <v>1200</v>
      </c>
    </row>
    <row r="5" spans="2:5" x14ac:dyDescent="0.3">
      <c r="B5" t="s">
        <v>146</v>
      </c>
      <c r="C5" t="s">
        <v>32</v>
      </c>
      <c r="D5">
        <v>9.5833333333333296E-4</v>
      </c>
      <c r="E5">
        <v>800</v>
      </c>
    </row>
    <row r="6" spans="2:5" x14ac:dyDescent="0.3">
      <c r="B6" t="s">
        <v>146</v>
      </c>
      <c r="C6" t="s">
        <v>32</v>
      </c>
      <c r="D6">
        <v>9.5833333333333296E-4</v>
      </c>
      <c r="E6">
        <v>700</v>
      </c>
    </row>
    <row r="7" spans="2:5" x14ac:dyDescent="0.3">
      <c r="B7" t="s">
        <v>146</v>
      </c>
      <c r="C7" t="s">
        <v>32</v>
      </c>
      <c r="D7">
        <v>6.2500000000000001E-4</v>
      </c>
      <c r="E7">
        <v>1400</v>
      </c>
    </row>
    <row r="8" spans="2:5" x14ac:dyDescent="0.3">
      <c r="B8" t="s">
        <v>146</v>
      </c>
      <c r="C8" t="s">
        <v>32</v>
      </c>
      <c r="D8">
        <v>9.5833333333333296E-4</v>
      </c>
      <c r="E8">
        <v>500</v>
      </c>
    </row>
    <row r="9" spans="2:5" x14ac:dyDescent="0.3">
      <c r="B9" t="s">
        <v>146</v>
      </c>
      <c r="C9" t="s">
        <v>32</v>
      </c>
      <c r="D9">
        <v>9.5833333333333296E-4</v>
      </c>
      <c r="E9">
        <v>750</v>
      </c>
    </row>
    <row r="10" spans="2:5" x14ac:dyDescent="0.3">
      <c r="B10" t="s">
        <v>146</v>
      </c>
      <c r="C10" t="s">
        <v>32</v>
      </c>
      <c r="D10">
        <v>5.0000000000000001E-4</v>
      </c>
      <c r="E10">
        <v>3200</v>
      </c>
    </row>
    <row r="11" spans="2:5" x14ac:dyDescent="0.3">
      <c r="B11" t="s">
        <v>146</v>
      </c>
      <c r="C11" t="s">
        <v>32</v>
      </c>
      <c r="D11">
        <v>5.8333333333333295E-4</v>
      </c>
      <c r="E11">
        <v>1700</v>
      </c>
    </row>
    <row r="12" spans="2:5" x14ac:dyDescent="0.3">
      <c r="B12" t="s">
        <v>146</v>
      </c>
      <c r="C12" t="s">
        <v>32</v>
      </c>
      <c r="D12">
        <v>1.0416666666666699E-3</v>
      </c>
      <c r="E12">
        <v>400</v>
      </c>
    </row>
    <row r="13" spans="2:5" x14ac:dyDescent="0.3">
      <c r="B13" t="s">
        <v>146</v>
      </c>
      <c r="C13" t="s">
        <v>32</v>
      </c>
      <c r="D13">
        <v>1.0416666666666699E-3</v>
      </c>
      <c r="E13">
        <v>400</v>
      </c>
    </row>
    <row r="14" spans="2:5" x14ac:dyDescent="0.3">
      <c r="B14" t="s">
        <v>146</v>
      </c>
      <c r="C14" t="s">
        <v>32</v>
      </c>
      <c r="D14">
        <v>0</v>
      </c>
      <c r="E14">
        <v>0</v>
      </c>
    </row>
    <row r="15" spans="2:5" x14ac:dyDescent="0.3">
      <c r="B15" t="s">
        <v>146</v>
      </c>
      <c r="C15" t="s">
        <v>32</v>
      </c>
      <c r="D15">
        <v>6.2500000000000001E-4</v>
      </c>
      <c r="E15">
        <v>1000</v>
      </c>
    </row>
    <row r="16" spans="2:5" x14ac:dyDescent="0.3">
      <c r="B16" t="s">
        <v>146</v>
      </c>
      <c r="C16" t="s">
        <v>32</v>
      </c>
      <c r="D16">
        <v>6.2500000000000001E-4</v>
      </c>
      <c r="E16">
        <v>1100</v>
      </c>
    </row>
    <row r="17" spans="2:5" x14ac:dyDescent="0.3">
      <c r="B17" t="s">
        <v>146</v>
      </c>
      <c r="C17" t="s">
        <v>32</v>
      </c>
      <c r="D17">
        <v>9.5833333333333296E-4</v>
      </c>
      <c r="E17">
        <v>500</v>
      </c>
    </row>
    <row r="18" spans="2:5" x14ac:dyDescent="0.3">
      <c r="B18" t="s">
        <v>146</v>
      </c>
      <c r="C18" t="s">
        <v>32</v>
      </c>
      <c r="D18">
        <v>9.5833333333333296E-4</v>
      </c>
      <c r="E18">
        <v>900</v>
      </c>
    </row>
    <row r="19" spans="2:5" x14ac:dyDescent="0.3">
      <c r="B19" t="s">
        <v>146</v>
      </c>
      <c r="C19" t="s">
        <v>32</v>
      </c>
      <c r="D19">
        <v>6.2500000000000001E-4</v>
      </c>
      <c r="E19">
        <v>1200</v>
      </c>
    </row>
    <row r="20" spans="2:5" x14ac:dyDescent="0.3">
      <c r="B20" t="s">
        <v>146</v>
      </c>
      <c r="C20" t="s">
        <v>32</v>
      </c>
      <c r="D20">
        <v>9.5833333333333296E-4</v>
      </c>
      <c r="E20">
        <v>900</v>
      </c>
    </row>
    <row r="21" spans="2:5" x14ac:dyDescent="0.3">
      <c r="B21" t="s">
        <v>146</v>
      </c>
      <c r="C21" t="s">
        <v>32</v>
      </c>
      <c r="D21">
        <v>5.8333333333333295E-4</v>
      </c>
      <c r="E21">
        <v>1600</v>
      </c>
    </row>
    <row r="22" spans="2:5" x14ac:dyDescent="0.3">
      <c r="B22" t="s">
        <v>146</v>
      </c>
      <c r="C22" t="s">
        <v>32</v>
      </c>
      <c r="D22">
        <v>5.0000000000000001E-4</v>
      </c>
      <c r="E22">
        <v>2300</v>
      </c>
    </row>
    <row r="23" spans="2:5" x14ac:dyDescent="0.3">
      <c r="B23" t="s">
        <v>146</v>
      </c>
      <c r="C23" t="s">
        <v>32</v>
      </c>
      <c r="D23">
        <v>5.0000000000000001E-4</v>
      </c>
      <c r="E23">
        <v>2100</v>
      </c>
    </row>
    <row r="24" spans="2:5" x14ac:dyDescent="0.3">
      <c r="B24" t="s">
        <v>146</v>
      </c>
      <c r="C24" t="s">
        <v>32</v>
      </c>
      <c r="D24">
        <v>1.0416666666666699E-3</v>
      </c>
      <c r="E24">
        <v>400</v>
      </c>
    </row>
    <row r="25" spans="2:5" x14ac:dyDescent="0.3">
      <c r="B25" t="s">
        <v>146</v>
      </c>
      <c r="C25" t="s">
        <v>32</v>
      </c>
      <c r="D25">
        <v>6.2500000000000001E-4</v>
      </c>
      <c r="E25">
        <v>1000</v>
      </c>
    </row>
    <row r="26" spans="2:5" x14ac:dyDescent="0.3">
      <c r="B26" t="s">
        <v>146</v>
      </c>
      <c r="C26" t="s">
        <v>32</v>
      </c>
      <c r="D26">
        <v>5.8333333333333295E-4</v>
      </c>
      <c r="E26">
        <v>1600</v>
      </c>
    </row>
    <row r="27" spans="2:5" x14ac:dyDescent="0.3">
      <c r="B27" t="s">
        <v>146</v>
      </c>
      <c r="C27" t="s">
        <v>32</v>
      </c>
      <c r="D27">
        <v>6.2500000000000001E-4</v>
      </c>
      <c r="E27">
        <v>1200</v>
      </c>
    </row>
    <row r="28" spans="2:5" x14ac:dyDescent="0.3">
      <c r="B28" t="s">
        <v>146</v>
      </c>
      <c r="C28" t="s">
        <v>32</v>
      </c>
      <c r="D28">
        <v>6.2500000000000001E-4</v>
      </c>
      <c r="E28">
        <v>1400</v>
      </c>
    </row>
    <row r="29" spans="2:5" x14ac:dyDescent="0.3">
      <c r="B29" t="s">
        <v>146</v>
      </c>
      <c r="C29" t="s">
        <v>32</v>
      </c>
      <c r="D29">
        <v>6.2500000000000001E-4</v>
      </c>
      <c r="E29">
        <v>1100</v>
      </c>
    </row>
    <row r="30" spans="2:5" x14ac:dyDescent="0.3">
      <c r="B30" t="s">
        <v>146</v>
      </c>
      <c r="C30" t="s">
        <v>32</v>
      </c>
      <c r="D30">
        <v>6.2500000000000001E-4</v>
      </c>
      <c r="E30">
        <v>1412</v>
      </c>
    </row>
    <row r="31" spans="2:5" x14ac:dyDescent="0.3">
      <c r="B31" t="s">
        <v>148</v>
      </c>
      <c r="C31" t="s">
        <v>27</v>
      </c>
      <c r="D31">
        <v>9.5833333333333296E-4</v>
      </c>
      <c r="E31">
        <v>750</v>
      </c>
    </row>
    <row r="32" spans="2:5" x14ac:dyDescent="0.3">
      <c r="B32" t="s">
        <v>148</v>
      </c>
      <c r="C32" t="s">
        <v>27</v>
      </c>
      <c r="D32">
        <v>9.5833333333333296E-4</v>
      </c>
      <c r="E32">
        <v>700</v>
      </c>
    </row>
    <row r="33" spans="2:5" x14ac:dyDescent="0.3">
      <c r="B33" t="s">
        <v>148</v>
      </c>
      <c r="C33" t="s">
        <v>27</v>
      </c>
      <c r="D33">
        <v>9.5833333333333296E-4</v>
      </c>
      <c r="E33">
        <v>950</v>
      </c>
    </row>
    <row r="34" spans="2:5" x14ac:dyDescent="0.3">
      <c r="B34" t="s">
        <v>148</v>
      </c>
      <c r="C34" t="s">
        <v>27</v>
      </c>
      <c r="D34">
        <v>9.5833333333333296E-4</v>
      </c>
      <c r="E34">
        <v>900</v>
      </c>
    </row>
    <row r="35" spans="2:5" x14ac:dyDescent="0.3">
      <c r="B35" t="s">
        <v>148</v>
      </c>
      <c r="C35" t="s">
        <v>27</v>
      </c>
      <c r="D35">
        <v>6.2500000000000001E-4</v>
      </c>
      <c r="E35">
        <v>1000</v>
      </c>
    </row>
    <row r="36" spans="2:5" x14ac:dyDescent="0.3">
      <c r="B36" t="s">
        <v>148</v>
      </c>
      <c r="C36" t="s">
        <v>27</v>
      </c>
      <c r="D36">
        <v>0</v>
      </c>
      <c r="E36">
        <v>0</v>
      </c>
    </row>
    <row r="37" spans="2:5" x14ac:dyDescent="0.3">
      <c r="B37" t="s">
        <v>148</v>
      </c>
      <c r="C37" t="s">
        <v>27</v>
      </c>
      <c r="D37">
        <v>9.5833333333333296E-4</v>
      </c>
      <c r="E37">
        <v>500</v>
      </c>
    </row>
    <row r="38" spans="2:5" x14ac:dyDescent="0.3">
      <c r="B38" t="s">
        <v>148</v>
      </c>
      <c r="C38" t="s">
        <v>27</v>
      </c>
      <c r="D38">
        <v>5.0000000000000001E-4</v>
      </c>
      <c r="E38">
        <v>3000</v>
      </c>
    </row>
    <row r="39" spans="2:5" x14ac:dyDescent="0.3">
      <c r="B39" t="s">
        <v>148</v>
      </c>
      <c r="C39" t="s">
        <v>27</v>
      </c>
      <c r="D39">
        <v>6.2500000000000001E-4</v>
      </c>
      <c r="E39">
        <v>1300</v>
      </c>
    </row>
    <row r="40" spans="2:5" x14ac:dyDescent="0.3">
      <c r="B40" t="s">
        <v>148</v>
      </c>
      <c r="C40" t="s">
        <v>27</v>
      </c>
      <c r="D40">
        <v>9.5833333333333296E-4</v>
      </c>
      <c r="E40">
        <v>550</v>
      </c>
    </row>
    <row r="41" spans="2:5" x14ac:dyDescent="0.3">
      <c r="B41" t="s">
        <v>148</v>
      </c>
      <c r="C41" t="s">
        <v>27</v>
      </c>
      <c r="D41">
        <v>9.5833333333333296E-4</v>
      </c>
      <c r="E41">
        <v>800</v>
      </c>
    </row>
    <row r="42" spans="2:5" x14ac:dyDescent="0.3">
      <c r="B42" t="s">
        <v>148</v>
      </c>
      <c r="C42" t="s">
        <v>27</v>
      </c>
      <c r="D42">
        <v>9.5833333333333296E-4</v>
      </c>
      <c r="E42">
        <v>500</v>
      </c>
    </row>
    <row r="43" spans="2:5" x14ac:dyDescent="0.3">
      <c r="B43" t="s">
        <v>148</v>
      </c>
      <c r="C43" t="s">
        <v>27</v>
      </c>
      <c r="D43">
        <v>9.5833333333333296E-4</v>
      </c>
      <c r="E43">
        <v>500</v>
      </c>
    </row>
    <row r="44" spans="2:5" x14ac:dyDescent="0.3">
      <c r="B44" t="s">
        <v>148</v>
      </c>
      <c r="C44" t="s">
        <v>27</v>
      </c>
      <c r="D44">
        <v>6.2500000000000001E-4</v>
      </c>
      <c r="E44">
        <v>1400</v>
      </c>
    </row>
    <row r="45" spans="2:5" x14ac:dyDescent="0.3">
      <c r="B45" t="s">
        <v>148</v>
      </c>
      <c r="C45" t="s">
        <v>27</v>
      </c>
      <c r="D45">
        <v>9.5833333333333296E-4</v>
      </c>
      <c r="E45">
        <v>650</v>
      </c>
    </row>
    <row r="46" spans="2:5" x14ac:dyDescent="0.3">
      <c r="B46" t="s">
        <v>148</v>
      </c>
      <c r="C46" t="s">
        <v>27</v>
      </c>
      <c r="D46">
        <v>6.2500000000000001E-4</v>
      </c>
      <c r="E46">
        <v>1370</v>
      </c>
    </row>
    <row r="47" spans="2:5" x14ac:dyDescent="0.3">
      <c r="B47" t="s">
        <v>148</v>
      </c>
      <c r="C47" t="s">
        <v>27</v>
      </c>
      <c r="D47">
        <v>6.2500000000000001E-4</v>
      </c>
      <c r="E47">
        <v>1250</v>
      </c>
    </row>
    <row r="48" spans="2:5" x14ac:dyDescent="0.3">
      <c r="B48" t="s">
        <v>148</v>
      </c>
      <c r="C48" t="s">
        <v>27</v>
      </c>
      <c r="D48">
        <v>6.2500000000000001E-4</v>
      </c>
      <c r="E48">
        <v>1200</v>
      </c>
    </row>
    <row r="49" spans="2:5" x14ac:dyDescent="0.3">
      <c r="B49" t="s">
        <v>148</v>
      </c>
      <c r="C49" t="s">
        <v>27</v>
      </c>
      <c r="D49">
        <v>5.0000000000000001E-4</v>
      </c>
      <c r="E49">
        <v>2000</v>
      </c>
    </row>
    <row r="50" spans="2:5" x14ac:dyDescent="0.3">
      <c r="B50" t="s">
        <v>148</v>
      </c>
      <c r="C50" t="s">
        <v>27</v>
      </c>
      <c r="D50">
        <v>5.8333333333333295E-4</v>
      </c>
      <c r="E50">
        <v>1900</v>
      </c>
    </row>
    <row r="51" spans="2:5" x14ac:dyDescent="0.3">
      <c r="B51" t="s">
        <v>148</v>
      </c>
      <c r="C51" t="s">
        <v>27</v>
      </c>
      <c r="D51">
        <v>5.8333333333333295E-4</v>
      </c>
      <c r="E51">
        <v>1700</v>
      </c>
    </row>
    <row r="52" spans="2:5" x14ac:dyDescent="0.3">
      <c r="B52" t="s">
        <v>148</v>
      </c>
      <c r="C52" t="s">
        <v>27</v>
      </c>
      <c r="D52">
        <v>9.5833333333333296E-4</v>
      </c>
      <c r="E52">
        <v>810</v>
      </c>
    </row>
    <row r="53" spans="2:5" x14ac:dyDescent="0.3">
      <c r="B53" t="s">
        <v>148</v>
      </c>
      <c r="C53" t="s">
        <v>27</v>
      </c>
      <c r="D53">
        <v>6.2500000000000001E-4</v>
      </c>
      <c r="E53">
        <v>1450</v>
      </c>
    </row>
    <row r="54" spans="2:5" x14ac:dyDescent="0.3">
      <c r="B54" t="s">
        <v>148</v>
      </c>
      <c r="C54" t="s">
        <v>27</v>
      </c>
      <c r="D54">
        <v>5.8333333333333295E-4</v>
      </c>
      <c r="E54">
        <v>1900</v>
      </c>
    </row>
    <row r="55" spans="2:5" x14ac:dyDescent="0.3">
      <c r="B55" t="s">
        <v>148</v>
      </c>
      <c r="C55" t="s">
        <v>27</v>
      </c>
      <c r="D55">
        <v>5.8333333333333295E-4</v>
      </c>
      <c r="E55">
        <v>1700</v>
      </c>
    </row>
    <row r="56" spans="2:5" x14ac:dyDescent="0.3">
      <c r="B56" t="s">
        <v>148</v>
      </c>
      <c r="C56" t="s">
        <v>27</v>
      </c>
      <c r="D56">
        <v>6.2500000000000001E-4</v>
      </c>
      <c r="E56">
        <v>1150</v>
      </c>
    </row>
    <row r="57" spans="2:5" x14ac:dyDescent="0.3">
      <c r="B57" t="s">
        <v>148</v>
      </c>
      <c r="C57" t="s">
        <v>27</v>
      </c>
      <c r="D57">
        <v>9.5833333333333296E-4</v>
      </c>
      <c r="E57">
        <v>750</v>
      </c>
    </row>
    <row r="58" spans="2:5" x14ac:dyDescent="0.3">
      <c r="B58" t="s">
        <v>148</v>
      </c>
      <c r="C58" t="s">
        <v>27</v>
      </c>
      <c r="D58">
        <v>9.5833333333333296E-4</v>
      </c>
      <c r="E58">
        <v>900</v>
      </c>
    </row>
    <row r="59" spans="2:5" x14ac:dyDescent="0.3">
      <c r="B59" t="s">
        <v>150</v>
      </c>
      <c r="C59" t="s">
        <v>20</v>
      </c>
      <c r="D59">
        <v>6.2500000000000001E-4</v>
      </c>
      <c r="E59">
        <v>1100</v>
      </c>
    </row>
    <row r="60" spans="2:5" x14ac:dyDescent="0.3">
      <c r="B60" t="s">
        <v>150</v>
      </c>
      <c r="C60" t="s">
        <v>20</v>
      </c>
      <c r="D60">
        <v>9.5833333333333296E-4</v>
      </c>
      <c r="E60">
        <v>900</v>
      </c>
    </row>
    <row r="61" spans="2:5" x14ac:dyDescent="0.3">
      <c r="B61" t="s">
        <v>150</v>
      </c>
      <c r="C61" t="s">
        <v>20</v>
      </c>
      <c r="D61">
        <v>1.0416666666666699E-3</v>
      </c>
      <c r="E61">
        <v>310</v>
      </c>
    </row>
    <row r="62" spans="2:5" x14ac:dyDescent="0.3">
      <c r="B62" t="s">
        <v>150</v>
      </c>
      <c r="C62" t="s">
        <v>20</v>
      </c>
      <c r="D62">
        <v>1.2666666666666701E-3</v>
      </c>
      <c r="E62">
        <v>250</v>
      </c>
    </row>
    <row r="63" spans="2:5" x14ac:dyDescent="0.3">
      <c r="B63" t="s">
        <v>150</v>
      </c>
      <c r="C63" t="s">
        <v>20</v>
      </c>
      <c r="D63">
        <v>6.2500000000000001E-4</v>
      </c>
      <c r="E63">
        <v>1150</v>
      </c>
    </row>
    <row r="64" spans="2:5" x14ac:dyDescent="0.3">
      <c r="B64" t="s">
        <v>150</v>
      </c>
      <c r="C64" t="s">
        <v>20</v>
      </c>
      <c r="D64">
        <v>9.5833333333333296E-4</v>
      </c>
      <c r="E64">
        <v>650</v>
      </c>
    </row>
    <row r="65" spans="2:5" x14ac:dyDescent="0.3">
      <c r="B65" t="s">
        <v>150</v>
      </c>
      <c r="C65" t="s">
        <v>20</v>
      </c>
      <c r="D65">
        <v>6.2500000000000001E-4</v>
      </c>
      <c r="E65">
        <v>1100</v>
      </c>
    </row>
    <row r="66" spans="2:5" x14ac:dyDescent="0.3">
      <c r="B66" t="s">
        <v>150</v>
      </c>
      <c r="C66" t="s">
        <v>20</v>
      </c>
      <c r="D66">
        <v>5.0000000000000001E-4</v>
      </c>
      <c r="E66">
        <v>3600</v>
      </c>
    </row>
    <row r="67" spans="2:5" x14ac:dyDescent="0.3">
      <c r="B67" t="s">
        <v>150</v>
      </c>
      <c r="C67" t="s">
        <v>20</v>
      </c>
      <c r="D67">
        <v>5.8333333333333295E-4</v>
      </c>
      <c r="E67">
        <v>1500</v>
      </c>
    </row>
    <row r="68" spans="2:5" x14ac:dyDescent="0.3">
      <c r="B68" t="s">
        <v>150</v>
      </c>
      <c r="C68" t="s">
        <v>20</v>
      </c>
      <c r="D68">
        <v>1.58333333333333E-3</v>
      </c>
      <c r="E68">
        <v>200</v>
      </c>
    </row>
    <row r="69" spans="2:5" x14ac:dyDescent="0.3">
      <c r="B69" t="s">
        <v>150</v>
      </c>
      <c r="C69" t="s">
        <v>20</v>
      </c>
      <c r="D69">
        <v>9.5833333333333296E-4</v>
      </c>
      <c r="E69">
        <v>600</v>
      </c>
    </row>
    <row r="70" spans="2:5" x14ac:dyDescent="0.3">
      <c r="B70" t="s">
        <v>150</v>
      </c>
      <c r="C70" t="s">
        <v>20</v>
      </c>
      <c r="D70">
        <v>9.5833333333333296E-4</v>
      </c>
      <c r="E70">
        <v>500</v>
      </c>
    </row>
    <row r="71" spans="2:5" x14ac:dyDescent="0.3">
      <c r="B71" t="s">
        <v>150</v>
      </c>
      <c r="C71" t="s">
        <v>20</v>
      </c>
      <c r="D71">
        <v>6.2500000000000001E-4</v>
      </c>
      <c r="E71">
        <v>1100</v>
      </c>
    </row>
    <row r="72" spans="2:5" x14ac:dyDescent="0.3">
      <c r="B72" t="s">
        <v>150</v>
      </c>
      <c r="C72" t="s">
        <v>20</v>
      </c>
      <c r="D72">
        <v>5.8333333333333295E-4</v>
      </c>
      <c r="E72">
        <v>1600</v>
      </c>
    </row>
    <row r="73" spans="2:5" x14ac:dyDescent="0.3">
      <c r="B73" t="s">
        <v>150</v>
      </c>
      <c r="C73" t="s">
        <v>20</v>
      </c>
      <c r="D73">
        <v>0</v>
      </c>
      <c r="E73">
        <v>0</v>
      </c>
    </row>
    <row r="74" spans="2:5" x14ac:dyDescent="0.3">
      <c r="B74" t="s">
        <v>150</v>
      </c>
      <c r="C74" t="s">
        <v>20</v>
      </c>
      <c r="D74">
        <v>9.5833333333333296E-4</v>
      </c>
      <c r="E74">
        <v>900</v>
      </c>
    </row>
    <row r="75" spans="2:5" x14ac:dyDescent="0.3">
      <c r="B75" t="s">
        <v>150</v>
      </c>
      <c r="C75" t="s">
        <v>20</v>
      </c>
      <c r="D75">
        <v>5.8333333333333295E-4</v>
      </c>
      <c r="E75">
        <v>1700</v>
      </c>
    </row>
    <row r="76" spans="2:5" x14ac:dyDescent="0.3">
      <c r="B76" t="s">
        <v>150</v>
      </c>
      <c r="C76" t="s">
        <v>20</v>
      </c>
      <c r="D76">
        <v>6.2500000000000001E-4</v>
      </c>
      <c r="E76">
        <v>1400</v>
      </c>
    </row>
    <row r="77" spans="2:5" x14ac:dyDescent="0.3">
      <c r="B77" t="s">
        <v>150</v>
      </c>
      <c r="C77" t="s">
        <v>20</v>
      </c>
      <c r="D77">
        <v>5.0000000000000001E-4</v>
      </c>
      <c r="E77">
        <v>2000</v>
      </c>
    </row>
    <row r="78" spans="2:5" x14ac:dyDescent="0.3">
      <c r="B78" t="s">
        <v>150</v>
      </c>
      <c r="C78" t="s">
        <v>20</v>
      </c>
      <c r="D78">
        <v>5.0000000000000001E-4</v>
      </c>
      <c r="E78">
        <v>2100</v>
      </c>
    </row>
    <row r="79" spans="2:5" x14ac:dyDescent="0.3">
      <c r="B79" t="s">
        <v>150</v>
      </c>
      <c r="C79" t="s">
        <v>20</v>
      </c>
      <c r="D79">
        <v>5.8333333333333295E-4</v>
      </c>
      <c r="E79">
        <v>1900</v>
      </c>
    </row>
    <row r="80" spans="2:5" x14ac:dyDescent="0.3">
      <c r="B80" t="s">
        <v>150</v>
      </c>
      <c r="C80" t="s">
        <v>20</v>
      </c>
      <c r="D80">
        <v>9.5833333333333296E-4</v>
      </c>
      <c r="E80">
        <v>900</v>
      </c>
    </row>
    <row r="81" spans="2:5" x14ac:dyDescent="0.3">
      <c r="B81" t="s">
        <v>150</v>
      </c>
      <c r="C81" t="s">
        <v>20</v>
      </c>
      <c r="D81">
        <v>6.2500000000000001E-4</v>
      </c>
      <c r="E81">
        <v>1400</v>
      </c>
    </row>
    <row r="82" spans="2:5" x14ac:dyDescent="0.3">
      <c r="B82" t="s">
        <v>150</v>
      </c>
      <c r="C82" t="s">
        <v>20</v>
      </c>
      <c r="D82">
        <v>5.0000000000000001E-4</v>
      </c>
      <c r="E82">
        <v>2100</v>
      </c>
    </row>
    <row r="83" spans="2:5" x14ac:dyDescent="0.3">
      <c r="B83" t="s">
        <v>150</v>
      </c>
      <c r="C83" t="s">
        <v>20</v>
      </c>
      <c r="D83">
        <v>5.8333333333333295E-4</v>
      </c>
      <c r="E83">
        <v>1700</v>
      </c>
    </row>
    <row r="84" spans="2:5" x14ac:dyDescent="0.3">
      <c r="B84" t="s">
        <v>150</v>
      </c>
      <c r="C84" t="s">
        <v>20</v>
      </c>
      <c r="D84">
        <v>5.8333333333333295E-4</v>
      </c>
      <c r="E84">
        <v>1700</v>
      </c>
    </row>
    <row r="85" spans="2:5" x14ac:dyDescent="0.3">
      <c r="B85" t="s">
        <v>150</v>
      </c>
      <c r="C85" t="s">
        <v>20</v>
      </c>
      <c r="D85">
        <v>9.5833333333333296E-4</v>
      </c>
      <c r="E85">
        <v>600</v>
      </c>
    </row>
    <row r="86" spans="2:5" x14ac:dyDescent="0.3">
      <c r="B86" t="s">
        <v>150</v>
      </c>
      <c r="C86" t="s">
        <v>20</v>
      </c>
      <c r="D86">
        <v>6.2500000000000001E-4</v>
      </c>
      <c r="E86">
        <v>1464</v>
      </c>
    </row>
    <row r="87" spans="2:5" x14ac:dyDescent="0.3">
      <c r="B87" t="s">
        <v>152</v>
      </c>
      <c r="C87" t="s">
        <v>14</v>
      </c>
      <c r="D87">
        <v>9.5833333333333296E-4</v>
      </c>
      <c r="E87">
        <v>500</v>
      </c>
    </row>
    <row r="88" spans="2:5" x14ac:dyDescent="0.3">
      <c r="B88" t="s">
        <v>152</v>
      </c>
      <c r="C88" t="s">
        <v>14</v>
      </c>
      <c r="D88">
        <v>9.5833333333333296E-4</v>
      </c>
      <c r="E88">
        <v>600</v>
      </c>
    </row>
    <row r="89" spans="2:5" x14ac:dyDescent="0.3">
      <c r="B89" t="s">
        <v>152</v>
      </c>
      <c r="C89" t="s">
        <v>14</v>
      </c>
      <c r="D89">
        <v>5.8333333333333295E-4</v>
      </c>
      <c r="E89">
        <v>1700</v>
      </c>
    </row>
    <row r="90" spans="2:5" x14ac:dyDescent="0.3">
      <c r="B90" t="s">
        <v>152</v>
      </c>
      <c r="C90" t="s">
        <v>14</v>
      </c>
      <c r="D90">
        <v>5.8333333333333295E-4</v>
      </c>
      <c r="E90">
        <v>1700</v>
      </c>
    </row>
    <row r="91" spans="2:5" x14ac:dyDescent="0.3">
      <c r="B91" t="s">
        <v>152</v>
      </c>
      <c r="C91" t="s">
        <v>14</v>
      </c>
      <c r="D91">
        <v>9.5833333333333296E-4</v>
      </c>
      <c r="E91">
        <v>800</v>
      </c>
    </row>
    <row r="92" spans="2:5" x14ac:dyDescent="0.3">
      <c r="B92" t="s">
        <v>152</v>
      </c>
      <c r="C92" t="s">
        <v>14</v>
      </c>
      <c r="D92">
        <v>9.5833333333333296E-4</v>
      </c>
      <c r="E92">
        <v>900</v>
      </c>
    </row>
    <row r="93" spans="2:5" x14ac:dyDescent="0.3">
      <c r="B93" t="s">
        <v>152</v>
      </c>
      <c r="C93" t="s">
        <v>14</v>
      </c>
      <c r="D93">
        <v>6.2500000000000001E-4</v>
      </c>
      <c r="E93">
        <v>1000</v>
      </c>
    </row>
    <row r="94" spans="2:5" x14ac:dyDescent="0.3">
      <c r="B94" t="s">
        <v>152</v>
      </c>
      <c r="C94" t="s">
        <v>14</v>
      </c>
      <c r="D94">
        <v>5.0000000000000001E-4</v>
      </c>
      <c r="E94">
        <v>2300</v>
      </c>
    </row>
    <row r="95" spans="2:5" x14ac:dyDescent="0.3">
      <c r="B95" t="s">
        <v>152</v>
      </c>
      <c r="C95" t="s">
        <v>14</v>
      </c>
      <c r="D95">
        <v>6.2500000000000001E-4</v>
      </c>
      <c r="E95">
        <v>1200</v>
      </c>
    </row>
    <row r="96" spans="2:5" x14ac:dyDescent="0.3">
      <c r="B96" t="s">
        <v>152</v>
      </c>
      <c r="C96" t="s">
        <v>14</v>
      </c>
      <c r="D96">
        <v>5.8333333333333295E-4</v>
      </c>
      <c r="E96">
        <v>1500</v>
      </c>
    </row>
    <row r="97" spans="2:5" x14ac:dyDescent="0.3">
      <c r="B97" t="s">
        <v>152</v>
      </c>
      <c r="C97" t="s">
        <v>14</v>
      </c>
      <c r="D97">
        <v>5.8333333333333295E-4</v>
      </c>
      <c r="E97">
        <v>1800</v>
      </c>
    </row>
    <row r="98" spans="2:5" x14ac:dyDescent="0.3">
      <c r="B98" t="s">
        <v>152</v>
      </c>
      <c r="C98" t="s">
        <v>14</v>
      </c>
      <c r="D98">
        <v>6.2500000000000001E-4</v>
      </c>
      <c r="E98">
        <v>1412</v>
      </c>
    </row>
    <row r="99" spans="2:5" x14ac:dyDescent="0.3">
      <c r="B99" t="s">
        <v>152</v>
      </c>
      <c r="C99" t="s">
        <v>14</v>
      </c>
      <c r="D99">
        <v>9.5833333333333296E-4</v>
      </c>
      <c r="E99">
        <v>500</v>
      </c>
    </row>
    <row r="100" spans="2:5" x14ac:dyDescent="0.3">
      <c r="B100" t="s">
        <v>152</v>
      </c>
      <c r="C100" t="s">
        <v>14</v>
      </c>
      <c r="D100">
        <v>5.0000000000000001E-4</v>
      </c>
      <c r="E100">
        <v>2000</v>
      </c>
    </row>
    <row r="101" spans="2:5" x14ac:dyDescent="0.3">
      <c r="B101" t="s">
        <v>152</v>
      </c>
      <c r="C101" t="s">
        <v>14</v>
      </c>
      <c r="D101">
        <v>6.2500000000000001E-4</v>
      </c>
      <c r="E101">
        <v>1464</v>
      </c>
    </row>
    <row r="102" spans="2:5" x14ac:dyDescent="0.3">
      <c r="B102" t="s">
        <v>152</v>
      </c>
      <c r="C102" t="s">
        <v>14</v>
      </c>
      <c r="D102">
        <v>5.0000000000000001E-4</v>
      </c>
      <c r="E102">
        <v>2300</v>
      </c>
    </row>
    <row r="103" spans="2:5" x14ac:dyDescent="0.3">
      <c r="B103" t="s">
        <v>152</v>
      </c>
      <c r="C103" t="s">
        <v>14</v>
      </c>
      <c r="D103">
        <v>5.8333333333333295E-4</v>
      </c>
      <c r="E103">
        <v>1700</v>
      </c>
    </row>
    <row r="104" spans="2:5" x14ac:dyDescent="0.3">
      <c r="B104" t="s">
        <v>152</v>
      </c>
      <c r="C104" t="s">
        <v>14</v>
      </c>
      <c r="D104">
        <v>5.8333333333333295E-4</v>
      </c>
      <c r="E104">
        <v>1700</v>
      </c>
    </row>
    <row r="105" spans="2:5" x14ac:dyDescent="0.3">
      <c r="B105" t="s">
        <v>152</v>
      </c>
      <c r="C105" t="s">
        <v>14</v>
      </c>
      <c r="D105">
        <v>5.0000000000000001E-4</v>
      </c>
      <c r="E105">
        <v>2900</v>
      </c>
    </row>
    <row r="106" spans="2:5" x14ac:dyDescent="0.3">
      <c r="B106" t="s">
        <v>152</v>
      </c>
      <c r="C106" t="s">
        <v>14</v>
      </c>
      <c r="D106">
        <v>5.8333333333333295E-4</v>
      </c>
      <c r="E106">
        <v>1700</v>
      </c>
    </row>
    <row r="107" spans="2:5" x14ac:dyDescent="0.3">
      <c r="B107" t="s">
        <v>152</v>
      </c>
      <c r="C107" t="s">
        <v>14</v>
      </c>
      <c r="D107">
        <v>5.8333333333333295E-4</v>
      </c>
      <c r="E107">
        <v>1500</v>
      </c>
    </row>
    <row r="108" spans="2:5" x14ac:dyDescent="0.3">
      <c r="B108" t="s">
        <v>152</v>
      </c>
      <c r="C108" t="s">
        <v>14</v>
      </c>
      <c r="D108">
        <v>5.8333333333333295E-4</v>
      </c>
      <c r="E108">
        <v>1700</v>
      </c>
    </row>
    <row r="109" spans="2:5" x14ac:dyDescent="0.3">
      <c r="B109" t="s">
        <v>152</v>
      </c>
      <c r="C109" t="s">
        <v>14</v>
      </c>
      <c r="D109">
        <v>5.0000000000000001E-4</v>
      </c>
      <c r="E109">
        <v>2400</v>
      </c>
    </row>
    <row r="110" spans="2:5" x14ac:dyDescent="0.3">
      <c r="B110" t="s">
        <v>152</v>
      </c>
      <c r="C110" t="s">
        <v>14</v>
      </c>
      <c r="D110">
        <v>5.0000000000000001E-4</v>
      </c>
      <c r="E110">
        <v>2400</v>
      </c>
    </row>
    <row r="111" spans="2:5" x14ac:dyDescent="0.3">
      <c r="B111" t="s">
        <v>152</v>
      </c>
      <c r="C111" t="s">
        <v>14</v>
      </c>
      <c r="D111">
        <v>5.0000000000000001E-4</v>
      </c>
      <c r="E111">
        <v>2500</v>
      </c>
    </row>
    <row r="112" spans="2:5" x14ac:dyDescent="0.3">
      <c r="B112" t="s">
        <v>152</v>
      </c>
      <c r="C112" t="s">
        <v>14</v>
      </c>
      <c r="D112">
        <v>6.2500000000000001E-4</v>
      </c>
      <c r="E112">
        <v>1100</v>
      </c>
    </row>
    <row r="113" spans="2:5" x14ac:dyDescent="0.3">
      <c r="B113" t="s">
        <v>152</v>
      </c>
      <c r="C113" t="s">
        <v>14</v>
      </c>
      <c r="D113">
        <v>6.2500000000000001E-4</v>
      </c>
      <c r="E113">
        <v>1200</v>
      </c>
    </row>
    <row r="114" spans="2:5" x14ac:dyDescent="0.3">
      <c r="B114" t="s">
        <v>152</v>
      </c>
      <c r="C114" t="s">
        <v>14</v>
      </c>
      <c r="D114">
        <v>0</v>
      </c>
      <c r="E114">
        <v>0</v>
      </c>
    </row>
    <row r="115" spans="2:5" x14ac:dyDescent="0.3">
      <c r="B115" t="s">
        <v>154</v>
      </c>
      <c r="C115" t="s">
        <v>15</v>
      </c>
      <c r="D115">
        <v>9.5833333333333296E-4</v>
      </c>
      <c r="E115">
        <v>550</v>
      </c>
    </row>
    <row r="116" spans="2:5" x14ac:dyDescent="0.3">
      <c r="B116" t="s">
        <v>154</v>
      </c>
      <c r="C116" t="s">
        <v>15</v>
      </c>
      <c r="D116">
        <v>9.5833333333333296E-4</v>
      </c>
      <c r="E116">
        <v>529</v>
      </c>
    </row>
    <row r="117" spans="2:5" x14ac:dyDescent="0.3">
      <c r="B117" t="s">
        <v>154</v>
      </c>
      <c r="C117" t="s">
        <v>15</v>
      </c>
      <c r="D117">
        <v>6.2500000000000001E-4</v>
      </c>
      <c r="E117">
        <v>1350</v>
      </c>
    </row>
    <row r="118" spans="2:5" x14ac:dyDescent="0.3">
      <c r="B118" t="s">
        <v>154</v>
      </c>
      <c r="C118" t="s">
        <v>15</v>
      </c>
      <c r="D118">
        <v>6.2500000000000001E-4</v>
      </c>
      <c r="E118">
        <v>1300</v>
      </c>
    </row>
    <row r="119" spans="2:5" x14ac:dyDescent="0.3">
      <c r="B119" t="s">
        <v>154</v>
      </c>
      <c r="C119" t="s">
        <v>15</v>
      </c>
      <c r="D119">
        <v>9.5833333333333296E-4</v>
      </c>
      <c r="E119">
        <v>800</v>
      </c>
    </row>
    <row r="120" spans="2:5" x14ac:dyDescent="0.3">
      <c r="B120" t="s">
        <v>154</v>
      </c>
      <c r="C120" t="s">
        <v>15</v>
      </c>
      <c r="D120">
        <v>9.5833333333333296E-4</v>
      </c>
      <c r="E120">
        <v>500</v>
      </c>
    </row>
    <row r="121" spans="2:5" x14ac:dyDescent="0.3">
      <c r="B121" t="s">
        <v>154</v>
      </c>
      <c r="C121" t="s">
        <v>15</v>
      </c>
      <c r="D121">
        <v>9.5833333333333296E-4</v>
      </c>
      <c r="E121">
        <v>600</v>
      </c>
    </row>
    <row r="122" spans="2:5" x14ac:dyDescent="0.3">
      <c r="B122" t="s">
        <v>154</v>
      </c>
      <c r="C122" t="s">
        <v>15</v>
      </c>
      <c r="D122">
        <v>5.0000000000000001E-4</v>
      </c>
      <c r="E122">
        <v>2700</v>
      </c>
    </row>
    <row r="123" spans="2:5" x14ac:dyDescent="0.3">
      <c r="B123" t="s">
        <v>154</v>
      </c>
      <c r="C123" t="s">
        <v>15</v>
      </c>
      <c r="D123">
        <v>6.2500000000000001E-4</v>
      </c>
      <c r="E123">
        <v>1100</v>
      </c>
    </row>
    <row r="124" spans="2:5" x14ac:dyDescent="0.3">
      <c r="B124" t="s">
        <v>154</v>
      </c>
      <c r="C124" t="s">
        <v>15</v>
      </c>
      <c r="D124">
        <v>6.2500000000000001E-4</v>
      </c>
      <c r="E124">
        <v>1000</v>
      </c>
    </row>
    <row r="125" spans="2:5" x14ac:dyDescent="0.3">
      <c r="B125" t="s">
        <v>154</v>
      </c>
      <c r="C125" t="s">
        <v>15</v>
      </c>
      <c r="D125">
        <v>6.2500000000000001E-4</v>
      </c>
      <c r="E125">
        <v>1300</v>
      </c>
    </row>
    <row r="126" spans="2:5" x14ac:dyDescent="0.3">
      <c r="B126" t="s">
        <v>154</v>
      </c>
      <c r="C126" t="s">
        <v>15</v>
      </c>
      <c r="D126">
        <v>6.2500000000000001E-4</v>
      </c>
      <c r="E126">
        <v>1000</v>
      </c>
    </row>
    <row r="127" spans="2:5" x14ac:dyDescent="0.3">
      <c r="B127" t="s">
        <v>154</v>
      </c>
      <c r="C127" t="s">
        <v>15</v>
      </c>
      <c r="D127">
        <v>0</v>
      </c>
      <c r="E127">
        <v>0</v>
      </c>
    </row>
    <row r="128" spans="2:5" x14ac:dyDescent="0.3">
      <c r="B128" t="s">
        <v>154</v>
      </c>
      <c r="C128" t="s">
        <v>15</v>
      </c>
      <c r="D128">
        <v>5.8333333333333295E-4</v>
      </c>
      <c r="E128">
        <v>1600</v>
      </c>
    </row>
    <row r="129" spans="2:5" x14ac:dyDescent="0.3">
      <c r="B129" t="s">
        <v>154</v>
      </c>
      <c r="C129" t="s">
        <v>15</v>
      </c>
      <c r="D129">
        <v>6.2500000000000001E-4</v>
      </c>
      <c r="E129">
        <v>1100</v>
      </c>
    </row>
    <row r="130" spans="2:5" x14ac:dyDescent="0.3">
      <c r="B130" t="s">
        <v>154</v>
      </c>
      <c r="C130" t="s">
        <v>15</v>
      </c>
      <c r="D130">
        <v>5.8333333333333295E-4</v>
      </c>
      <c r="E130">
        <v>1800</v>
      </c>
    </row>
    <row r="131" spans="2:5" x14ac:dyDescent="0.3">
      <c r="B131" t="s">
        <v>154</v>
      </c>
      <c r="C131" t="s">
        <v>15</v>
      </c>
      <c r="D131">
        <v>6.2500000000000001E-4</v>
      </c>
      <c r="E131">
        <v>1400</v>
      </c>
    </row>
    <row r="132" spans="2:5" x14ac:dyDescent="0.3">
      <c r="B132" t="s">
        <v>154</v>
      </c>
      <c r="C132" t="s">
        <v>15</v>
      </c>
      <c r="D132">
        <v>6.2500000000000001E-4</v>
      </c>
      <c r="E132">
        <v>1300</v>
      </c>
    </row>
    <row r="133" spans="2:5" x14ac:dyDescent="0.3">
      <c r="B133" t="s">
        <v>154</v>
      </c>
      <c r="C133" t="s">
        <v>15</v>
      </c>
      <c r="D133">
        <v>5.0000000000000001E-4</v>
      </c>
      <c r="E133">
        <v>2400</v>
      </c>
    </row>
    <row r="134" spans="2:5" x14ac:dyDescent="0.3">
      <c r="B134" t="s">
        <v>154</v>
      </c>
      <c r="C134" t="s">
        <v>15</v>
      </c>
      <c r="D134">
        <v>5.8333333333333295E-4</v>
      </c>
      <c r="E134">
        <v>1700</v>
      </c>
    </row>
    <row r="135" spans="2:5" x14ac:dyDescent="0.3">
      <c r="B135" t="s">
        <v>154</v>
      </c>
      <c r="C135" t="s">
        <v>15</v>
      </c>
      <c r="D135">
        <v>5.8333333333333295E-4</v>
      </c>
      <c r="E135">
        <v>1500</v>
      </c>
    </row>
    <row r="136" spans="2:5" x14ac:dyDescent="0.3">
      <c r="B136" t="s">
        <v>154</v>
      </c>
      <c r="C136" t="s">
        <v>15</v>
      </c>
      <c r="D136">
        <v>6.2500000000000001E-4</v>
      </c>
      <c r="E136">
        <v>1200</v>
      </c>
    </row>
    <row r="137" spans="2:5" x14ac:dyDescent="0.3">
      <c r="B137" t="s">
        <v>154</v>
      </c>
      <c r="C137" t="s">
        <v>15</v>
      </c>
      <c r="D137">
        <v>5.8333333333333295E-4</v>
      </c>
      <c r="E137">
        <v>1900</v>
      </c>
    </row>
    <row r="138" spans="2:5" x14ac:dyDescent="0.3">
      <c r="B138" t="s">
        <v>154</v>
      </c>
      <c r="C138" t="s">
        <v>15</v>
      </c>
      <c r="D138">
        <v>5.0000000000000001E-4</v>
      </c>
      <c r="E138">
        <v>2100</v>
      </c>
    </row>
    <row r="139" spans="2:5" x14ac:dyDescent="0.3">
      <c r="B139" t="s">
        <v>154</v>
      </c>
      <c r="C139" t="s">
        <v>15</v>
      </c>
      <c r="D139">
        <v>5.0000000000000001E-4</v>
      </c>
      <c r="E139">
        <v>2100</v>
      </c>
    </row>
    <row r="140" spans="2:5" x14ac:dyDescent="0.3">
      <c r="B140" t="s">
        <v>154</v>
      </c>
      <c r="C140" t="s">
        <v>15</v>
      </c>
      <c r="D140">
        <v>6.2500000000000001E-4</v>
      </c>
      <c r="E140">
        <v>1000</v>
      </c>
    </row>
    <row r="141" spans="2:5" x14ac:dyDescent="0.3">
      <c r="B141" t="s">
        <v>154</v>
      </c>
      <c r="C141" t="s">
        <v>15</v>
      </c>
      <c r="D141">
        <v>9.5833333333333296E-4</v>
      </c>
      <c r="E141">
        <v>800</v>
      </c>
    </row>
    <row r="142" spans="2:5" x14ac:dyDescent="0.3">
      <c r="B142" t="s">
        <v>154</v>
      </c>
      <c r="C142" t="s">
        <v>15</v>
      </c>
      <c r="D142">
        <v>9.5833333333333296E-4</v>
      </c>
      <c r="E142">
        <v>500</v>
      </c>
    </row>
    <row r="143" spans="2:5" x14ac:dyDescent="0.3">
      <c r="B143" t="s">
        <v>156</v>
      </c>
      <c r="C143" t="s">
        <v>11</v>
      </c>
      <c r="D143">
        <v>5.8333333333333295E-4</v>
      </c>
      <c r="E143">
        <v>1500</v>
      </c>
    </row>
    <row r="144" spans="2:5" x14ac:dyDescent="0.3">
      <c r="B144" t="s">
        <v>156</v>
      </c>
      <c r="C144" t="s">
        <v>11</v>
      </c>
      <c r="D144">
        <v>5.8333333333333295E-4</v>
      </c>
      <c r="E144">
        <v>1500</v>
      </c>
    </row>
    <row r="145" spans="2:5" x14ac:dyDescent="0.3">
      <c r="B145" t="s">
        <v>156</v>
      </c>
      <c r="C145" t="s">
        <v>11</v>
      </c>
      <c r="D145">
        <v>5.0000000000000001E-4</v>
      </c>
      <c r="E145">
        <v>2050</v>
      </c>
    </row>
    <row r="146" spans="2:5" x14ac:dyDescent="0.3">
      <c r="B146" t="s">
        <v>156</v>
      </c>
      <c r="C146" t="s">
        <v>11</v>
      </c>
      <c r="D146">
        <v>5.8333333333333295E-4</v>
      </c>
      <c r="E146">
        <v>1955</v>
      </c>
    </row>
    <row r="147" spans="2:5" x14ac:dyDescent="0.3">
      <c r="B147" t="s">
        <v>156</v>
      </c>
      <c r="C147" t="s">
        <v>11</v>
      </c>
      <c r="D147">
        <v>5.8333333333333295E-4</v>
      </c>
      <c r="E147">
        <v>1800</v>
      </c>
    </row>
    <row r="148" spans="2:5" x14ac:dyDescent="0.3">
      <c r="B148" t="s">
        <v>156</v>
      </c>
      <c r="C148" t="s">
        <v>11</v>
      </c>
      <c r="D148">
        <v>6.2500000000000001E-4</v>
      </c>
      <c r="E148">
        <v>1150</v>
      </c>
    </row>
    <row r="149" spans="2:5" x14ac:dyDescent="0.3">
      <c r="B149" t="s">
        <v>156</v>
      </c>
      <c r="C149" t="s">
        <v>11</v>
      </c>
      <c r="D149">
        <v>9.5833333333333296E-4</v>
      </c>
      <c r="E149">
        <v>650</v>
      </c>
    </row>
    <row r="150" spans="2:5" x14ac:dyDescent="0.3">
      <c r="B150" t="s">
        <v>156</v>
      </c>
      <c r="C150" t="s">
        <v>11</v>
      </c>
      <c r="D150">
        <v>5.8333333333333295E-4</v>
      </c>
      <c r="E150">
        <v>1900</v>
      </c>
    </row>
    <row r="151" spans="2:5" x14ac:dyDescent="0.3">
      <c r="B151" t="s">
        <v>156</v>
      </c>
      <c r="C151" t="s">
        <v>11</v>
      </c>
      <c r="D151">
        <v>5.0000000000000001E-4</v>
      </c>
      <c r="E151">
        <v>2100</v>
      </c>
    </row>
    <row r="152" spans="2:5" x14ac:dyDescent="0.3">
      <c r="B152" t="s">
        <v>156</v>
      </c>
      <c r="C152" t="s">
        <v>11</v>
      </c>
      <c r="D152">
        <v>5.8333333333333295E-4</v>
      </c>
      <c r="E152">
        <v>1600</v>
      </c>
    </row>
    <row r="153" spans="2:5" x14ac:dyDescent="0.3">
      <c r="B153" t="s">
        <v>156</v>
      </c>
      <c r="C153" t="s">
        <v>11</v>
      </c>
      <c r="D153">
        <v>5.8333333333333295E-4</v>
      </c>
      <c r="E153">
        <v>1700</v>
      </c>
    </row>
    <row r="154" spans="2:5" x14ac:dyDescent="0.3">
      <c r="B154" t="s">
        <v>156</v>
      </c>
      <c r="C154" t="s">
        <v>11</v>
      </c>
      <c r="D154">
        <v>6.2500000000000001E-4</v>
      </c>
      <c r="E154">
        <v>1400</v>
      </c>
    </row>
    <row r="155" spans="2:5" x14ac:dyDescent="0.3">
      <c r="B155" t="s">
        <v>156</v>
      </c>
      <c r="C155" t="s">
        <v>11</v>
      </c>
      <c r="D155">
        <v>6.2500000000000001E-4</v>
      </c>
      <c r="E155">
        <v>1000</v>
      </c>
    </row>
    <row r="156" spans="2:5" x14ac:dyDescent="0.3">
      <c r="B156" t="s">
        <v>156</v>
      </c>
      <c r="C156" t="s">
        <v>11</v>
      </c>
      <c r="D156">
        <v>6.2500000000000001E-4</v>
      </c>
      <c r="E156">
        <v>1400</v>
      </c>
    </row>
    <row r="157" spans="2:5" x14ac:dyDescent="0.3">
      <c r="B157" t="s">
        <v>156</v>
      </c>
      <c r="C157" t="s">
        <v>11</v>
      </c>
      <c r="D157">
        <v>5.8333333333333295E-4</v>
      </c>
      <c r="E157">
        <v>1700</v>
      </c>
    </row>
    <row r="158" spans="2:5" x14ac:dyDescent="0.3">
      <c r="B158" t="s">
        <v>156</v>
      </c>
      <c r="C158" t="s">
        <v>11</v>
      </c>
      <c r="D158">
        <v>5.0000000000000001E-4</v>
      </c>
      <c r="E158">
        <v>2300</v>
      </c>
    </row>
    <row r="159" spans="2:5" x14ac:dyDescent="0.3">
      <c r="B159" t="s">
        <v>156</v>
      </c>
      <c r="C159" t="s">
        <v>11</v>
      </c>
      <c r="D159">
        <v>9.5833333333333296E-4</v>
      </c>
      <c r="E159">
        <v>900</v>
      </c>
    </row>
    <row r="160" spans="2:5" x14ac:dyDescent="0.3">
      <c r="B160" t="s">
        <v>156</v>
      </c>
      <c r="C160" t="s">
        <v>11</v>
      </c>
      <c r="D160">
        <v>6.2500000000000001E-4</v>
      </c>
      <c r="E160">
        <v>1000</v>
      </c>
    </row>
    <row r="161" spans="2:5" x14ac:dyDescent="0.3">
      <c r="B161" t="s">
        <v>156</v>
      </c>
      <c r="C161" t="s">
        <v>11</v>
      </c>
      <c r="D161">
        <v>5.0000000000000001E-4</v>
      </c>
      <c r="E161">
        <v>2400</v>
      </c>
    </row>
    <row r="162" spans="2:5" x14ac:dyDescent="0.3">
      <c r="B162" t="s">
        <v>156</v>
      </c>
      <c r="C162" t="s">
        <v>11</v>
      </c>
      <c r="D162">
        <v>5.0000000000000001E-4</v>
      </c>
      <c r="E162">
        <v>2700</v>
      </c>
    </row>
    <row r="163" spans="2:5" x14ac:dyDescent="0.3">
      <c r="B163" t="s">
        <v>156</v>
      </c>
      <c r="C163" t="s">
        <v>11</v>
      </c>
      <c r="D163">
        <v>5.0000000000000001E-4</v>
      </c>
      <c r="E163">
        <v>2500</v>
      </c>
    </row>
    <row r="164" spans="2:5" x14ac:dyDescent="0.3">
      <c r="B164" t="s">
        <v>156</v>
      </c>
      <c r="C164" t="s">
        <v>11</v>
      </c>
      <c r="D164">
        <v>5.8333333333333295E-4</v>
      </c>
      <c r="E164">
        <v>1600</v>
      </c>
    </row>
    <row r="165" spans="2:5" x14ac:dyDescent="0.3">
      <c r="B165" t="s">
        <v>156</v>
      </c>
      <c r="C165" t="s">
        <v>11</v>
      </c>
      <c r="D165">
        <v>5.0000000000000001E-4</v>
      </c>
      <c r="E165">
        <v>2300</v>
      </c>
    </row>
    <row r="166" spans="2:5" x14ac:dyDescent="0.3">
      <c r="B166" t="s">
        <v>156</v>
      </c>
      <c r="C166" t="s">
        <v>11</v>
      </c>
      <c r="D166">
        <v>5.8333333333333295E-4</v>
      </c>
      <c r="E166">
        <v>1700</v>
      </c>
    </row>
    <row r="167" spans="2:5" x14ac:dyDescent="0.3">
      <c r="B167" t="s">
        <v>156</v>
      </c>
      <c r="C167" t="s">
        <v>11</v>
      </c>
      <c r="D167">
        <v>5.0000000000000001E-4</v>
      </c>
      <c r="E167">
        <v>2000</v>
      </c>
    </row>
    <row r="168" spans="2:5" x14ac:dyDescent="0.3">
      <c r="B168" t="s">
        <v>156</v>
      </c>
      <c r="C168" t="s">
        <v>11</v>
      </c>
      <c r="D168">
        <v>0</v>
      </c>
      <c r="E168">
        <v>0</v>
      </c>
    </row>
    <row r="169" spans="2:5" x14ac:dyDescent="0.3">
      <c r="B169" t="s">
        <v>156</v>
      </c>
      <c r="C169" t="s">
        <v>11</v>
      </c>
      <c r="D169">
        <v>5.8333333333333295E-4</v>
      </c>
      <c r="E169">
        <v>1700</v>
      </c>
    </row>
    <row r="170" spans="2:5" x14ac:dyDescent="0.3">
      <c r="B170" t="s">
        <v>156</v>
      </c>
      <c r="C170" t="s">
        <v>11</v>
      </c>
      <c r="D170">
        <v>6.2500000000000001E-4</v>
      </c>
      <c r="E170">
        <v>1100</v>
      </c>
    </row>
    <row r="171" spans="2:5" x14ac:dyDescent="0.3">
      <c r="B171" t="s">
        <v>158</v>
      </c>
      <c r="C171" t="s">
        <v>23</v>
      </c>
      <c r="D171">
        <v>5.8333333333333295E-4</v>
      </c>
      <c r="E171">
        <v>1900</v>
      </c>
    </row>
    <row r="172" spans="2:5" x14ac:dyDescent="0.3">
      <c r="B172" t="s">
        <v>158</v>
      </c>
      <c r="C172" t="s">
        <v>23</v>
      </c>
      <c r="D172">
        <v>5.8333333333333295E-4</v>
      </c>
      <c r="E172">
        <v>1800</v>
      </c>
    </row>
    <row r="173" spans="2:5" x14ac:dyDescent="0.3">
      <c r="B173" t="s">
        <v>158</v>
      </c>
      <c r="C173" t="s">
        <v>23</v>
      </c>
      <c r="D173">
        <v>5.0000000000000001E-4</v>
      </c>
      <c r="E173">
        <v>2000</v>
      </c>
    </row>
    <row r="174" spans="2:5" x14ac:dyDescent="0.3">
      <c r="B174" t="s">
        <v>158</v>
      </c>
      <c r="C174" t="s">
        <v>23</v>
      </c>
      <c r="D174">
        <v>5.8333333333333295E-4</v>
      </c>
      <c r="E174">
        <v>1900</v>
      </c>
    </row>
    <row r="175" spans="2:5" x14ac:dyDescent="0.3">
      <c r="B175" t="s">
        <v>158</v>
      </c>
      <c r="C175" t="s">
        <v>23</v>
      </c>
      <c r="D175">
        <v>5.0000000000000001E-4</v>
      </c>
      <c r="E175">
        <v>2100</v>
      </c>
    </row>
    <row r="176" spans="2:5" x14ac:dyDescent="0.3">
      <c r="B176" t="s">
        <v>158</v>
      </c>
      <c r="C176" t="s">
        <v>23</v>
      </c>
      <c r="D176">
        <v>6.2500000000000001E-4</v>
      </c>
      <c r="E176">
        <v>1250</v>
      </c>
    </row>
    <row r="177" spans="2:5" x14ac:dyDescent="0.3">
      <c r="B177" t="s">
        <v>158</v>
      </c>
      <c r="C177" t="s">
        <v>23</v>
      </c>
      <c r="D177">
        <v>9.5833333333333296E-4</v>
      </c>
      <c r="E177">
        <v>750</v>
      </c>
    </row>
    <row r="178" spans="2:5" x14ac:dyDescent="0.3">
      <c r="B178" t="s">
        <v>158</v>
      </c>
      <c r="C178" t="s">
        <v>23</v>
      </c>
      <c r="D178">
        <v>5.0000000000000001E-4</v>
      </c>
      <c r="E178">
        <v>2700</v>
      </c>
    </row>
    <row r="179" spans="2:5" x14ac:dyDescent="0.3">
      <c r="B179" t="s">
        <v>158</v>
      </c>
      <c r="C179" t="s">
        <v>23</v>
      </c>
      <c r="D179">
        <v>5.0000000000000001E-4</v>
      </c>
      <c r="E179">
        <v>2500</v>
      </c>
    </row>
    <row r="180" spans="2:5" x14ac:dyDescent="0.3">
      <c r="B180" t="s">
        <v>158</v>
      </c>
      <c r="C180" t="s">
        <v>23</v>
      </c>
      <c r="D180">
        <v>5.8333333333333295E-4</v>
      </c>
      <c r="E180">
        <v>1600</v>
      </c>
    </row>
    <row r="181" spans="2:5" x14ac:dyDescent="0.3">
      <c r="B181" t="s">
        <v>158</v>
      </c>
      <c r="C181" t="s">
        <v>23</v>
      </c>
      <c r="D181">
        <v>5.8333333333333295E-4</v>
      </c>
      <c r="E181">
        <v>1500</v>
      </c>
    </row>
    <row r="182" spans="2:5" x14ac:dyDescent="0.3">
      <c r="B182" t="s">
        <v>158</v>
      </c>
      <c r="C182" t="s">
        <v>23</v>
      </c>
      <c r="D182">
        <v>6.2500000000000001E-4</v>
      </c>
      <c r="E182">
        <v>1200</v>
      </c>
    </row>
    <row r="183" spans="2:5" x14ac:dyDescent="0.3">
      <c r="B183" t="s">
        <v>158</v>
      </c>
      <c r="C183" t="s">
        <v>23</v>
      </c>
      <c r="D183">
        <v>6.2500000000000001E-4</v>
      </c>
      <c r="E183">
        <v>1400</v>
      </c>
    </row>
    <row r="184" spans="2:5" x14ac:dyDescent="0.3">
      <c r="B184" t="s">
        <v>158</v>
      </c>
      <c r="C184" t="s">
        <v>23</v>
      </c>
      <c r="D184">
        <v>9.5833333333333296E-4</v>
      </c>
      <c r="E184">
        <v>600</v>
      </c>
    </row>
    <row r="185" spans="2:5" x14ac:dyDescent="0.3">
      <c r="B185" t="s">
        <v>158</v>
      </c>
      <c r="C185" t="s">
        <v>23</v>
      </c>
      <c r="D185">
        <v>5.8333333333333295E-4</v>
      </c>
      <c r="E185">
        <v>1700</v>
      </c>
    </row>
    <row r="186" spans="2:5" x14ac:dyDescent="0.3">
      <c r="B186" t="s">
        <v>158</v>
      </c>
      <c r="C186" t="s">
        <v>23</v>
      </c>
      <c r="D186">
        <v>5.0000000000000001E-4</v>
      </c>
      <c r="E186">
        <v>2000</v>
      </c>
    </row>
    <row r="187" spans="2:5" x14ac:dyDescent="0.3">
      <c r="B187" t="s">
        <v>158</v>
      </c>
      <c r="C187" t="s">
        <v>23</v>
      </c>
      <c r="D187">
        <v>0</v>
      </c>
      <c r="E187">
        <v>0</v>
      </c>
    </row>
    <row r="188" spans="2:5" x14ac:dyDescent="0.3">
      <c r="B188" t="s">
        <v>158</v>
      </c>
      <c r="C188" t="s">
        <v>23</v>
      </c>
      <c r="D188">
        <v>1.0416666666666699E-3</v>
      </c>
      <c r="E188">
        <v>300</v>
      </c>
    </row>
    <row r="189" spans="2:5" x14ac:dyDescent="0.3">
      <c r="B189" t="s">
        <v>158</v>
      </c>
      <c r="C189" t="s">
        <v>23</v>
      </c>
      <c r="D189">
        <v>5.8333333333333295E-4</v>
      </c>
      <c r="E189">
        <v>1700</v>
      </c>
    </row>
    <row r="190" spans="2:5" x14ac:dyDescent="0.3">
      <c r="B190" t="s">
        <v>158</v>
      </c>
      <c r="C190" t="s">
        <v>23</v>
      </c>
      <c r="D190">
        <v>5.0000000000000001E-4</v>
      </c>
      <c r="E190">
        <v>3100</v>
      </c>
    </row>
    <row r="191" spans="2:5" x14ac:dyDescent="0.3">
      <c r="B191" t="s">
        <v>158</v>
      </c>
      <c r="C191" t="s">
        <v>23</v>
      </c>
      <c r="D191">
        <v>5.0000000000000001E-4</v>
      </c>
      <c r="E191">
        <v>2900</v>
      </c>
    </row>
    <row r="192" spans="2:5" x14ac:dyDescent="0.3">
      <c r="B192" t="s">
        <v>158</v>
      </c>
      <c r="C192" t="s">
        <v>23</v>
      </c>
      <c r="D192">
        <v>6.2500000000000001E-4</v>
      </c>
      <c r="E192">
        <v>1200</v>
      </c>
    </row>
    <row r="193" spans="2:5" x14ac:dyDescent="0.3">
      <c r="B193" t="s">
        <v>158</v>
      </c>
      <c r="C193" t="s">
        <v>23</v>
      </c>
      <c r="D193">
        <v>5.8333333333333295E-4</v>
      </c>
      <c r="E193">
        <v>1600</v>
      </c>
    </row>
    <row r="194" spans="2:5" x14ac:dyDescent="0.3">
      <c r="B194" t="s">
        <v>158</v>
      </c>
      <c r="C194" t="s">
        <v>23</v>
      </c>
      <c r="D194">
        <v>9.5833333333333296E-4</v>
      </c>
      <c r="E194">
        <v>800</v>
      </c>
    </row>
    <row r="195" spans="2:5" x14ac:dyDescent="0.3">
      <c r="B195" t="s">
        <v>158</v>
      </c>
      <c r="C195" t="s">
        <v>23</v>
      </c>
      <c r="D195">
        <v>6.2500000000000001E-4</v>
      </c>
      <c r="E195">
        <v>1200</v>
      </c>
    </row>
    <row r="196" spans="2:5" x14ac:dyDescent="0.3">
      <c r="B196" t="s">
        <v>158</v>
      </c>
      <c r="C196" t="s">
        <v>23</v>
      </c>
      <c r="D196">
        <v>9.5833333333333296E-4</v>
      </c>
      <c r="E196">
        <v>900</v>
      </c>
    </row>
    <row r="197" spans="2:5" x14ac:dyDescent="0.3">
      <c r="B197" t="s">
        <v>158</v>
      </c>
      <c r="C197" t="s">
        <v>23</v>
      </c>
      <c r="D197">
        <v>5.0000000000000001E-4</v>
      </c>
      <c r="E197">
        <v>2000</v>
      </c>
    </row>
    <row r="198" spans="2:5" x14ac:dyDescent="0.3">
      <c r="B198" t="s">
        <v>158</v>
      </c>
      <c r="C198" t="s">
        <v>23</v>
      </c>
      <c r="D198">
        <v>5.8333333333333295E-4</v>
      </c>
      <c r="E198">
        <v>1700</v>
      </c>
    </row>
    <row r="199" spans="2:5" x14ac:dyDescent="0.3">
      <c r="B199" t="s">
        <v>160</v>
      </c>
      <c r="C199" t="s">
        <v>33</v>
      </c>
      <c r="D199">
        <v>5.8333333333333295E-4</v>
      </c>
      <c r="E199">
        <v>1500</v>
      </c>
    </row>
    <row r="200" spans="2:5" x14ac:dyDescent="0.3">
      <c r="B200" t="s">
        <v>160</v>
      </c>
      <c r="C200" t="s">
        <v>33</v>
      </c>
      <c r="D200">
        <v>6.2500000000000001E-4</v>
      </c>
      <c r="E200">
        <v>1450</v>
      </c>
    </row>
    <row r="201" spans="2:5" x14ac:dyDescent="0.3">
      <c r="B201" t="s">
        <v>160</v>
      </c>
      <c r="C201" t="s">
        <v>33</v>
      </c>
      <c r="D201">
        <v>6.2500000000000001E-4</v>
      </c>
      <c r="E201">
        <v>1050</v>
      </c>
    </row>
    <row r="202" spans="2:5" x14ac:dyDescent="0.3">
      <c r="B202" t="s">
        <v>160</v>
      </c>
      <c r="C202" t="s">
        <v>33</v>
      </c>
      <c r="D202">
        <v>9.5833333333333296E-4</v>
      </c>
      <c r="E202">
        <v>900</v>
      </c>
    </row>
    <row r="203" spans="2:5" x14ac:dyDescent="0.3">
      <c r="B203" t="s">
        <v>160</v>
      </c>
      <c r="C203" t="s">
        <v>33</v>
      </c>
      <c r="D203">
        <v>5.8333333333333295E-4</v>
      </c>
      <c r="E203">
        <v>1700</v>
      </c>
    </row>
    <row r="204" spans="2:5" x14ac:dyDescent="0.3">
      <c r="B204" t="s">
        <v>160</v>
      </c>
      <c r="C204" t="s">
        <v>33</v>
      </c>
      <c r="D204">
        <v>9.5833333333333296E-4</v>
      </c>
      <c r="E204">
        <v>810</v>
      </c>
    </row>
    <row r="205" spans="2:5" x14ac:dyDescent="0.3">
      <c r="B205" t="s">
        <v>160</v>
      </c>
      <c r="C205" t="s">
        <v>33</v>
      </c>
      <c r="D205">
        <v>6.2500000000000001E-4</v>
      </c>
      <c r="E205">
        <v>1000</v>
      </c>
    </row>
    <row r="206" spans="2:5" x14ac:dyDescent="0.3">
      <c r="B206" t="s">
        <v>160</v>
      </c>
      <c r="C206" t="s">
        <v>33</v>
      </c>
      <c r="D206">
        <v>5.0000000000000001E-4</v>
      </c>
      <c r="E206">
        <v>3500</v>
      </c>
    </row>
    <row r="207" spans="2:5" x14ac:dyDescent="0.3">
      <c r="B207" t="s">
        <v>160</v>
      </c>
      <c r="C207" t="s">
        <v>33</v>
      </c>
      <c r="D207">
        <v>5.0000000000000001E-4</v>
      </c>
      <c r="E207">
        <v>2100</v>
      </c>
    </row>
    <row r="208" spans="2:5" x14ac:dyDescent="0.3">
      <c r="B208" t="s">
        <v>160</v>
      </c>
      <c r="C208" t="s">
        <v>33</v>
      </c>
      <c r="D208">
        <v>9.5833333333333296E-4</v>
      </c>
      <c r="E208">
        <v>700</v>
      </c>
    </row>
    <row r="209" spans="2:5" x14ac:dyDescent="0.3">
      <c r="B209" t="s">
        <v>160</v>
      </c>
      <c r="C209" t="s">
        <v>33</v>
      </c>
      <c r="D209">
        <v>1.0416666666666699E-3</v>
      </c>
      <c r="E209">
        <v>350</v>
      </c>
    </row>
    <row r="210" spans="2:5" x14ac:dyDescent="0.3">
      <c r="B210" t="s">
        <v>160</v>
      </c>
      <c r="C210" t="s">
        <v>33</v>
      </c>
      <c r="D210">
        <v>1.0416666666666699E-3</v>
      </c>
      <c r="E210">
        <v>400</v>
      </c>
    </row>
    <row r="211" spans="2:5" x14ac:dyDescent="0.3">
      <c r="B211" t="s">
        <v>160</v>
      </c>
      <c r="C211" t="s">
        <v>33</v>
      </c>
      <c r="D211">
        <v>6.2500000000000001E-4</v>
      </c>
      <c r="E211">
        <v>1200</v>
      </c>
    </row>
    <row r="212" spans="2:5" x14ac:dyDescent="0.3">
      <c r="B212" t="s">
        <v>160</v>
      </c>
      <c r="C212" t="s">
        <v>33</v>
      </c>
      <c r="D212">
        <v>9.5833333333333296E-4</v>
      </c>
      <c r="E212">
        <v>800</v>
      </c>
    </row>
    <row r="213" spans="2:5" x14ac:dyDescent="0.3">
      <c r="B213" t="s">
        <v>160</v>
      </c>
      <c r="C213" t="s">
        <v>33</v>
      </c>
      <c r="D213">
        <v>9.5833333333333296E-4</v>
      </c>
      <c r="E213">
        <v>900</v>
      </c>
    </row>
    <row r="214" spans="2:5" x14ac:dyDescent="0.3">
      <c r="B214" t="s">
        <v>160</v>
      </c>
      <c r="C214" t="s">
        <v>33</v>
      </c>
      <c r="D214">
        <v>9.5833333333333296E-4</v>
      </c>
      <c r="E214">
        <v>900</v>
      </c>
    </row>
    <row r="215" spans="2:5" x14ac:dyDescent="0.3">
      <c r="B215" t="s">
        <v>160</v>
      </c>
      <c r="C215" t="s">
        <v>33</v>
      </c>
      <c r="D215">
        <v>6.2500000000000001E-4</v>
      </c>
      <c r="E215">
        <v>1200</v>
      </c>
    </row>
    <row r="216" spans="2:5" x14ac:dyDescent="0.3">
      <c r="B216" t="s">
        <v>160</v>
      </c>
      <c r="C216" t="s">
        <v>33</v>
      </c>
      <c r="D216">
        <v>9.5833333333333296E-4</v>
      </c>
      <c r="E216">
        <v>900</v>
      </c>
    </row>
    <row r="217" spans="2:5" x14ac:dyDescent="0.3">
      <c r="B217" t="s">
        <v>160</v>
      </c>
      <c r="C217" t="s">
        <v>33</v>
      </c>
      <c r="D217">
        <v>6.2500000000000001E-4</v>
      </c>
      <c r="E217">
        <v>1200</v>
      </c>
    </row>
    <row r="218" spans="2:5" x14ac:dyDescent="0.3">
      <c r="B218" t="s">
        <v>160</v>
      </c>
      <c r="C218" t="s">
        <v>33</v>
      </c>
      <c r="D218">
        <v>5.0000000000000001E-4</v>
      </c>
      <c r="E218">
        <v>2700</v>
      </c>
    </row>
    <row r="219" spans="2:5" x14ac:dyDescent="0.3">
      <c r="B219" t="s">
        <v>160</v>
      </c>
      <c r="C219" t="s">
        <v>33</v>
      </c>
      <c r="D219">
        <v>5.0000000000000001E-4</v>
      </c>
      <c r="E219">
        <v>2500</v>
      </c>
    </row>
    <row r="220" spans="2:5" x14ac:dyDescent="0.3">
      <c r="B220" t="s">
        <v>160</v>
      </c>
      <c r="C220" t="s">
        <v>33</v>
      </c>
      <c r="D220">
        <v>0</v>
      </c>
      <c r="E220">
        <v>0</v>
      </c>
    </row>
    <row r="221" spans="2:5" x14ac:dyDescent="0.3">
      <c r="B221" t="s">
        <v>160</v>
      </c>
      <c r="C221" t="s">
        <v>33</v>
      </c>
      <c r="D221">
        <v>9.5833333333333296E-4</v>
      </c>
      <c r="E221">
        <v>700</v>
      </c>
    </row>
    <row r="222" spans="2:5" x14ac:dyDescent="0.3">
      <c r="B222" t="s">
        <v>160</v>
      </c>
      <c r="C222" t="s">
        <v>33</v>
      </c>
      <c r="D222">
        <v>6.2500000000000001E-4</v>
      </c>
      <c r="E222">
        <v>1300</v>
      </c>
    </row>
    <row r="223" spans="2:5" x14ac:dyDescent="0.3">
      <c r="B223" t="s">
        <v>160</v>
      </c>
      <c r="C223" t="s">
        <v>33</v>
      </c>
      <c r="D223">
        <v>9.5833333333333296E-4</v>
      </c>
      <c r="E223">
        <v>900</v>
      </c>
    </row>
    <row r="224" spans="2:5" x14ac:dyDescent="0.3">
      <c r="B224" t="s">
        <v>160</v>
      </c>
      <c r="C224" t="s">
        <v>33</v>
      </c>
      <c r="D224">
        <v>5.8333333333333295E-4</v>
      </c>
      <c r="E224">
        <v>1600</v>
      </c>
    </row>
    <row r="225" spans="2:5" x14ac:dyDescent="0.3">
      <c r="B225" t="s">
        <v>160</v>
      </c>
      <c r="C225" t="s">
        <v>33</v>
      </c>
      <c r="D225">
        <v>6.2500000000000001E-4</v>
      </c>
      <c r="E225">
        <v>1400</v>
      </c>
    </row>
    <row r="226" spans="2:5" x14ac:dyDescent="0.3">
      <c r="B226" t="s">
        <v>160</v>
      </c>
      <c r="C226" t="s">
        <v>33</v>
      </c>
      <c r="D226">
        <v>5.8333333333333295E-4</v>
      </c>
      <c r="E226">
        <v>1700</v>
      </c>
    </row>
    <row r="227" spans="2:5" x14ac:dyDescent="0.3">
      <c r="B227" t="s">
        <v>164</v>
      </c>
      <c r="C227" t="s">
        <v>13</v>
      </c>
      <c r="D227">
        <v>9.5833333333333296E-4</v>
      </c>
      <c r="E227">
        <v>680</v>
      </c>
    </row>
    <row r="228" spans="2:5" x14ac:dyDescent="0.3">
      <c r="B228" t="s">
        <v>164</v>
      </c>
      <c r="C228" t="s">
        <v>13</v>
      </c>
      <c r="D228">
        <v>9.5833333333333296E-4</v>
      </c>
      <c r="E228">
        <v>700</v>
      </c>
    </row>
    <row r="229" spans="2:5" x14ac:dyDescent="0.3">
      <c r="B229" t="s">
        <v>164</v>
      </c>
      <c r="C229" t="s">
        <v>13</v>
      </c>
      <c r="D229">
        <v>5.8333333333333295E-4</v>
      </c>
      <c r="E229">
        <v>1681</v>
      </c>
    </row>
    <row r="230" spans="2:5" x14ac:dyDescent="0.3">
      <c r="B230" t="s">
        <v>164</v>
      </c>
      <c r="C230" t="s">
        <v>13</v>
      </c>
      <c r="D230">
        <v>5.8333333333333295E-4</v>
      </c>
      <c r="E230">
        <v>1700</v>
      </c>
    </row>
    <row r="231" spans="2:5" x14ac:dyDescent="0.3">
      <c r="B231" t="s">
        <v>164</v>
      </c>
      <c r="C231" t="s">
        <v>13</v>
      </c>
      <c r="D231">
        <v>1.0416666666666699E-3</v>
      </c>
      <c r="E231">
        <v>400</v>
      </c>
    </row>
    <row r="232" spans="2:5" x14ac:dyDescent="0.3">
      <c r="B232" t="s">
        <v>164</v>
      </c>
      <c r="C232" t="s">
        <v>13</v>
      </c>
      <c r="D232">
        <v>6.2500000000000001E-4</v>
      </c>
      <c r="E232">
        <v>1300</v>
      </c>
    </row>
    <row r="233" spans="2:5" x14ac:dyDescent="0.3">
      <c r="B233" t="s">
        <v>164</v>
      </c>
      <c r="C233" t="s">
        <v>13</v>
      </c>
      <c r="D233">
        <v>5.8333333333333295E-4</v>
      </c>
      <c r="E233">
        <v>1700</v>
      </c>
    </row>
    <row r="234" spans="2:5" x14ac:dyDescent="0.3">
      <c r="B234" t="s">
        <v>164</v>
      </c>
      <c r="C234" t="s">
        <v>13</v>
      </c>
      <c r="D234">
        <v>5.0000000000000001E-4</v>
      </c>
      <c r="E234">
        <v>3400</v>
      </c>
    </row>
    <row r="235" spans="2:5" x14ac:dyDescent="0.3">
      <c r="B235" t="s">
        <v>164</v>
      </c>
      <c r="C235" t="s">
        <v>13</v>
      </c>
      <c r="D235">
        <v>0</v>
      </c>
      <c r="E235">
        <v>0</v>
      </c>
    </row>
    <row r="236" spans="2:5" x14ac:dyDescent="0.3">
      <c r="B236" t="s">
        <v>164</v>
      </c>
      <c r="C236" t="s">
        <v>13</v>
      </c>
      <c r="D236">
        <v>5.8333333333333295E-4</v>
      </c>
      <c r="E236">
        <v>1600</v>
      </c>
    </row>
    <row r="237" spans="2:5" x14ac:dyDescent="0.3">
      <c r="B237" t="s">
        <v>164</v>
      </c>
      <c r="C237" t="s">
        <v>13</v>
      </c>
      <c r="D237">
        <v>5.0000000000000001E-4</v>
      </c>
      <c r="E237">
        <v>2000</v>
      </c>
    </row>
    <row r="238" spans="2:5" x14ac:dyDescent="0.3">
      <c r="B238" t="s">
        <v>164</v>
      </c>
      <c r="C238" t="s">
        <v>13</v>
      </c>
      <c r="D238">
        <v>5.8333333333333295E-4</v>
      </c>
      <c r="E238">
        <v>1700</v>
      </c>
    </row>
    <row r="239" spans="2:5" x14ac:dyDescent="0.3">
      <c r="B239" t="s">
        <v>164</v>
      </c>
      <c r="C239" t="s">
        <v>13</v>
      </c>
      <c r="D239">
        <v>6.2500000000000001E-4</v>
      </c>
      <c r="E239">
        <v>1100</v>
      </c>
    </row>
    <row r="240" spans="2:5" x14ac:dyDescent="0.3">
      <c r="B240" t="s">
        <v>164</v>
      </c>
      <c r="C240" t="s">
        <v>13</v>
      </c>
      <c r="D240">
        <v>5.0000000000000001E-4</v>
      </c>
      <c r="E240">
        <v>2700</v>
      </c>
    </row>
    <row r="241" spans="2:5" x14ac:dyDescent="0.3">
      <c r="B241" t="s">
        <v>164</v>
      </c>
      <c r="C241" t="s">
        <v>13</v>
      </c>
      <c r="D241">
        <v>5.8333333333333295E-4</v>
      </c>
      <c r="E241">
        <v>1500</v>
      </c>
    </row>
    <row r="242" spans="2:5" x14ac:dyDescent="0.3">
      <c r="B242" t="s">
        <v>164</v>
      </c>
      <c r="C242" t="s">
        <v>13</v>
      </c>
      <c r="D242">
        <v>5.0000000000000001E-4</v>
      </c>
      <c r="E242">
        <v>2400</v>
      </c>
    </row>
    <row r="243" spans="2:5" x14ac:dyDescent="0.3">
      <c r="B243" t="s">
        <v>164</v>
      </c>
      <c r="C243" t="s">
        <v>13</v>
      </c>
      <c r="D243">
        <v>5.0000000000000001E-4</v>
      </c>
      <c r="E243">
        <v>2500</v>
      </c>
    </row>
    <row r="244" spans="2:5" x14ac:dyDescent="0.3">
      <c r="B244" t="s">
        <v>164</v>
      </c>
      <c r="C244" t="s">
        <v>13</v>
      </c>
      <c r="D244">
        <v>5.0000000000000001E-4</v>
      </c>
      <c r="E244">
        <v>2400</v>
      </c>
    </row>
    <row r="245" spans="2:5" x14ac:dyDescent="0.3">
      <c r="B245" t="s">
        <v>164</v>
      </c>
      <c r="C245" t="s">
        <v>13</v>
      </c>
      <c r="D245">
        <v>5.0000000000000001E-4</v>
      </c>
      <c r="E245">
        <v>3300</v>
      </c>
    </row>
    <row r="246" spans="2:5" x14ac:dyDescent="0.3">
      <c r="B246" t="s">
        <v>164</v>
      </c>
      <c r="C246" t="s">
        <v>13</v>
      </c>
      <c r="D246">
        <v>9.5833333333333296E-4</v>
      </c>
      <c r="E246">
        <v>600</v>
      </c>
    </row>
    <row r="247" spans="2:5" x14ac:dyDescent="0.3">
      <c r="B247" t="s">
        <v>164</v>
      </c>
      <c r="C247" t="s">
        <v>13</v>
      </c>
      <c r="D247">
        <v>1.0416666666666699E-3</v>
      </c>
      <c r="E247">
        <v>400</v>
      </c>
    </row>
    <row r="248" spans="2:5" x14ac:dyDescent="0.3">
      <c r="B248" t="s">
        <v>164</v>
      </c>
      <c r="C248" t="s">
        <v>13</v>
      </c>
      <c r="D248">
        <v>5.0000000000000001E-4</v>
      </c>
      <c r="E248">
        <v>2100</v>
      </c>
    </row>
    <row r="249" spans="2:5" x14ac:dyDescent="0.3">
      <c r="B249" t="s">
        <v>164</v>
      </c>
      <c r="C249" t="s">
        <v>13</v>
      </c>
      <c r="D249">
        <v>5.0000000000000001E-4</v>
      </c>
      <c r="E249">
        <v>2800</v>
      </c>
    </row>
    <row r="250" spans="2:5" x14ac:dyDescent="0.3">
      <c r="B250" t="s">
        <v>164</v>
      </c>
      <c r="C250" t="s">
        <v>13</v>
      </c>
      <c r="D250">
        <v>5.0000000000000001E-4</v>
      </c>
      <c r="E250">
        <v>3200</v>
      </c>
    </row>
    <row r="251" spans="2:5" x14ac:dyDescent="0.3">
      <c r="B251" t="s">
        <v>164</v>
      </c>
      <c r="C251" t="s">
        <v>13</v>
      </c>
      <c r="D251">
        <v>5.0000000000000001E-4</v>
      </c>
      <c r="E251">
        <v>3000</v>
      </c>
    </row>
    <row r="252" spans="2:5" x14ac:dyDescent="0.3">
      <c r="B252" t="s">
        <v>164</v>
      </c>
      <c r="C252" t="s">
        <v>13</v>
      </c>
      <c r="D252">
        <v>5.0000000000000001E-4</v>
      </c>
      <c r="E252">
        <v>2100</v>
      </c>
    </row>
    <row r="253" spans="2:5" x14ac:dyDescent="0.3">
      <c r="B253" t="s">
        <v>164</v>
      </c>
      <c r="C253" t="s">
        <v>13</v>
      </c>
      <c r="D253">
        <v>6.2500000000000001E-4</v>
      </c>
      <c r="E253">
        <v>1100</v>
      </c>
    </row>
    <row r="254" spans="2:5" x14ac:dyDescent="0.3">
      <c r="B254" t="s">
        <v>164</v>
      </c>
      <c r="C254" t="s">
        <v>13</v>
      </c>
      <c r="D254">
        <v>6.2500000000000001E-4</v>
      </c>
      <c r="E254">
        <v>1200</v>
      </c>
    </row>
    <row r="255" spans="2:5" x14ac:dyDescent="0.3">
      <c r="B255" t="s">
        <v>166</v>
      </c>
      <c r="C255" t="s">
        <v>12</v>
      </c>
      <c r="D255">
        <v>6.2500000000000001E-4</v>
      </c>
      <c r="E255">
        <v>1050</v>
      </c>
    </row>
    <row r="256" spans="2:5" x14ac:dyDescent="0.3">
      <c r="B256" t="s">
        <v>166</v>
      </c>
      <c r="C256" t="s">
        <v>12</v>
      </c>
      <c r="D256">
        <v>6.2500000000000001E-4</v>
      </c>
      <c r="E256">
        <v>1050</v>
      </c>
    </row>
    <row r="257" spans="2:5" x14ac:dyDescent="0.3">
      <c r="B257" t="s">
        <v>166</v>
      </c>
      <c r="C257" t="s">
        <v>12</v>
      </c>
      <c r="D257">
        <v>5.0000000000000001E-4</v>
      </c>
      <c r="E257">
        <v>2100</v>
      </c>
    </row>
    <row r="258" spans="2:5" x14ac:dyDescent="0.3">
      <c r="B258" t="s">
        <v>166</v>
      </c>
      <c r="C258" t="s">
        <v>12</v>
      </c>
      <c r="D258">
        <v>5.0000000000000001E-4</v>
      </c>
      <c r="E258">
        <v>2100</v>
      </c>
    </row>
    <row r="259" spans="2:5" x14ac:dyDescent="0.3">
      <c r="B259" t="s">
        <v>166</v>
      </c>
      <c r="C259" t="s">
        <v>12</v>
      </c>
      <c r="D259">
        <v>9.5833333333333296E-4</v>
      </c>
      <c r="E259">
        <v>750</v>
      </c>
    </row>
    <row r="260" spans="2:5" x14ac:dyDescent="0.3">
      <c r="B260" t="s">
        <v>166</v>
      </c>
      <c r="C260" t="s">
        <v>12</v>
      </c>
      <c r="D260">
        <v>5.8333333333333295E-4</v>
      </c>
      <c r="E260">
        <v>1700</v>
      </c>
    </row>
    <row r="261" spans="2:5" x14ac:dyDescent="0.3">
      <c r="B261" t="s">
        <v>166</v>
      </c>
      <c r="C261" t="s">
        <v>12</v>
      </c>
      <c r="D261">
        <v>5.0000000000000001E-4</v>
      </c>
      <c r="E261">
        <v>2100</v>
      </c>
    </row>
    <row r="262" spans="2:5" x14ac:dyDescent="0.3">
      <c r="B262" t="s">
        <v>166</v>
      </c>
      <c r="C262" t="s">
        <v>12</v>
      </c>
      <c r="D262">
        <v>5.0000000000000001E-4</v>
      </c>
      <c r="E262">
        <v>3800</v>
      </c>
    </row>
    <row r="263" spans="2:5" x14ac:dyDescent="0.3">
      <c r="B263" t="s">
        <v>166</v>
      </c>
      <c r="C263" t="s">
        <v>12</v>
      </c>
      <c r="D263">
        <v>1.0416666666666699E-3</v>
      </c>
      <c r="E263">
        <v>400</v>
      </c>
    </row>
    <row r="264" spans="2:5" x14ac:dyDescent="0.3">
      <c r="B264" t="s">
        <v>166</v>
      </c>
      <c r="C264" t="s">
        <v>12</v>
      </c>
      <c r="D264">
        <v>5.0000000000000001E-4</v>
      </c>
      <c r="E264">
        <v>2000</v>
      </c>
    </row>
    <row r="265" spans="2:5" x14ac:dyDescent="0.3">
      <c r="B265" t="s">
        <v>166</v>
      </c>
      <c r="C265" t="s">
        <v>12</v>
      </c>
      <c r="D265">
        <v>5.0000000000000001E-4</v>
      </c>
      <c r="E265">
        <v>2400</v>
      </c>
    </row>
    <row r="266" spans="2:5" x14ac:dyDescent="0.3">
      <c r="B266" t="s">
        <v>166</v>
      </c>
      <c r="C266" t="s">
        <v>12</v>
      </c>
      <c r="D266">
        <v>5.0000000000000001E-4</v>
      </c>
      <c r="E266">
        <v>2100</v>
      </c>
    </row>
    <row r="267" spans="2:5" x14ac:dyDescent="0.3">
      <c r="B267" t="s">
        <v>166</v>
      </c>
      <c r="C267" t="s">
        <v>12</v>
      </c>
      <c r="D267">
        <v>5.8333333333333295E-4</v>
      </c>
      <c r="E267">
        <v>1500</v>
      </c>
    </row>
    <row r="268" spans="2:5" x14ac:dyDescent="0.3">
      <c r="B268" t="s">
        <v>166</v>
      </c>
      <c r="C268" t="s">
        <v>12</v>
      </c>
      <c r="D268">
        <v>5.0000000000000001E-4</v>
      </c>
      <c r="E268">
        <v>3100</v>
      </c>
    </row>
    <row r="269" spans="2:5" x14ac:dyDescent="0.3">
      <c r="B269" t="s">
        <v>166</v>
      </c>
      <c r="C269" t="s">
        <v>12</v>
      </c>
      <c r="D269">
        <v>5.8333333333333295E-4</v>
      </c>
      <c r="E269">
        <v>1900</v>
      </c>
    </row>
    <row r="270" spans="2:5" x14ac:dyDescent="0.3">
      <c r="B270" t="s">
        <v>166</v>
      </c>
      <c r="C270" t="s">
        <v>12</v>
      </c>
      <c r="D270">
        <v>5.0000000000000001E-4</v>
      </c>
      <c r="E270">
        <v>2800</v>
      </c>
    </row>
    <row r="271" spans="2:5" x14ac:dyDescent="0.3">
      <c r="B271" t="s">
        <v>166</v>
      </c>
      <c r="C271" t="s">
        <v>12</v>
      </c>
      <c r="D271">
        <v>5.0000000000000001E-4</v>
      </c>
      <c r="E271">
        <v>2900</v>
      </c>
    </row>
    <row r="272" spans="2:5" x14ac:dyDescent="0.3">
      <c r="B272" t="s">
        <v>166</v>
      </c>
      <c r="C272" t="s">
        <v>12</v>
      </c>
      <c r="D272">
        <v>5.0000000000000001E-4</v>
      </c>
      <c r="E272">
        <v>2800</v>
      </c>
    </row>
    <row r="273" spans="2:5" x14ac:dyDescent="0.3">
      <c r="B273" t="s">
        <v>166</v>
      </c>
      <c r="C273" t="s">
        <v>12</v>
      </c>
      <c r="D273">
        <v>5.0000000000000001E-4</v>
      </c>
      <c r="E273">
        <v>3700</v>
      </c>
    </row>
    <row r="274" spans="2:5" x14ac:dyDescent="0.3">
      <c r="B274" t="s">
        <v>166</v>
      </c>
      <c r="C274" t="s">
        <v>12</v>
      </c>
      <c r="D274">
        <v>1.58333333333333E-3</v>
      </c>
      <c r="E274">
        <v>200</v>
      </c>
    </row>
    <row r="275" spans="2:5" x14ac:dyDescent="0.3">
      <c r="B275" t="s">
        <v>166</v>
      </c>
      <c r="C275" t="s">
        <v>12</v>
      </c>
      <c r="D275">
        <v>0</v>
      </c>
      <c r="E275">
        <v>0</v>
      </c>
    </row>
    <row r="276" spans="2:5" x14ac:dyDescent="0.3">
      <c r="B276" t="s">
        <v>166</v>
      </c>
      <c r="C276" t="s">
        <v>12</v>
      </c>
      <c r="D276">
        <v>5.0000000000000001E-4</v>
      </c>
      <c r="E276">
        <v>2500</v>
      </c>
    </row>
    <row r="277" spans="2:5" x14ac:dyDescent="0.3">
      <c r="B277" t="s">
        <v>166</v>
      </c>
      <c r="C277" t="s">
        <v>12</v>
      </c>
      <c r="D277">
        <v>5.0000000000000001E-4</v>
      </c>
      <c r="E277">
        <v>3200</v>
      </c>
    </row>
    <row r="278" spans="2:5" x14ac:dyDescent="0.3">
      <c r="B278" t="s">
        <v>166</v>
      </c>
      <c r="C278" t="s">
        <v>12</v>
      </c>
      <c r="D278">
        <v>5.0000000000000001E-4</v>
      </c>
      <c r="E278">
        <v>3600</v>
      </c>
    </row>
    <row r="279" spans="2:5" x14ac:dyDescent="0.3">
      <c r="B279" t="s">
        <v>166</v>
      </c>
      <c r="C279" t="s">
        <v>12</v>
      </c>
      <c r="D279">
        <v>5.0000000000000001E-4</v>
      </c>
      <c r="E279">
        <v>3400</v>
      </c>
    </row>
    <row r="280" spans="2:5" x14ac:dyDescent="0.3">
      <c r="B280" t="s">
        <v>166</v>
      </c>
      <c r="C280" t="s">
        <v>12</v>
      </c>
      <c r="D280">
        <v>5.0000000000000001E-4</v>
      </c>
      <c r="E280">
        <v>2500</v>
      </c>
    </row>
    <row r="281" spans="2:5" x14ac:dyDescent="0.3">
      <c r="B281" t="s">
        <v>166</v>
      </c>
      <c r="C281" t="s">
        <v>12</v>
      </c>
      <c r="D281">
        <v>5.8333333333333295E-4</v>
      </c>
      <c r="E281">
        <v>1500</v>
      </c>
    </row>
    <row r="282" spans="2:5" x14ac:dyDescent="0.3">
      <c r="B282" t="s">
        <v>166</v>
      </c>
      <c r="C282" t="s">
        <v>12</v>
      </c>
      <c r="D282">
        <v>5.8333333333333295E-4</v>
      </c>
      <c r="E282">
        <v>1500</v>
      </c>
    </row>
    <row r="283" spans="2:5" x14ac:dyDescent="0.3">
      <c r="B283" t="s">
        <v>168</v>
      </c>
      <c r="C283" t="s">
        <v>17</v>
      </c>
      <c r="D283">
        <v>5.0000000000000001E-4</v>
      </c>
      <c r="E283">
        <v>2800</v>
      </c>
    </row>
    <row r="284" spans="2:5" x14ac:dyDescent="0.3">
      <c r="B284" t="s">
        <v>168</v>
      </c>
      <c r="C284" t="s">
        <v>17</v>
      </c>
      <c r="D284">
        <v>5.0000000000000001E-4</v>
      </c>
      <c r="E284">
        <v>2900</v>
      </c>
    </row>
    <row r="285" spans="2:5" x14ac:dyDescent="0.3">
      <c r="B285" t="s">
        <v>168</v>
      </c>
      <c r="C285" t="s">
        <v>17</v>
      </c>
      <c r="D285">
        <v>5.0000000000000001E-4</v>
      </c>
      <c r="E285">
        <v>3909</v>
      </c>
    </row>
    <row r="286" spans="2:5" x14ac:dyDescent="0.3">
      <c r="B286" t="s">
        <v>168</v>
      </c>
      <c r="C286" t="s">
        <v>17</v>
      </c>
      <c r="D286">
        <v>5.0000000000000001E-4</v>
      </c>
      <c r="E286">
        <v>3800</v>
      </c>
    </row>
    <row r="287" spans="2:5" x14ac:dyDescent="0.3">
      <c r="B287" t="s">
        <v>168</v>
      </c>
      <c r="C287" t="s">
        <v>17</v>
      </c>
      <c r="D287">
        <v>5.0000000000000001E-4</v>
      </c>
      <c r="E287">
        <v>3100</v>
      </c>
    </row>
    <row r="288" spans="2:5" x14ac:dyDescent="0.3">
      <c r="B288" t="s">
        <v>168</v>
      </c>
      <c r="C288" t="s">
        <v>17</v>
      </c>
      <c r="D288">
        <v>5.0000000000000001E-4</v>
      </c>
      <c r="E288">
        <v>3000</v>
      </c>
    </row>
    <row r="289" spans="2:5" x14ac:dyDescent="0.3">
      <c r="B289" t="s">
        <v>168</v>
      </c>
      <c r="C289" t="s">
        <v>17</v>
      </c>
      <c r="D289">
        <v>5.0000000000000001E-4</v>
      </c>
      <c r="E289">
        <v>2500</v>
      </c>
    </row>
    <row r="290" spans="2:5" x14ac:dyDescent="0.3">
      <c r="B290" t="s">
        <v>168</v>
      </c>
      <c r="C290" t="s">
        <v>17</v>
      </c>
      <c r="D290">
        <v>0</v>
      </c>
      <c r="E290">
        <v>0</v>
      </c>
    </row>
    <row r="291" spans="2:5" x14ac:dyDescent="0.3">
      <c r="B291" t="s">
        <v>168</v>
      </c>
      <c r="C291" t="s">
        <v>17</v>
      </c>
      <c r="D291">
        <v>5.0000000000000001E-4</v>
      </c>
      <c r="E291">
        <v>3400</v>
      </c>
    </row>
    <row r="292" spans="2:5" x14ac:dyDescent="0.3">
      <c r="B292" t="s">
        <v>168</v>
      </c>
      <c r="C292" t="s">
        <v>17</v>
      </c>
      <c r="D292">
        <v>5.0000000000000001E-4</v>
      </c>
      <c r="E292">
        <v>3400</v>
      </c>
    </row>
    <row r="293" spans="2:5" x14ac:dyDescent="0.3">
      <c r="B293" t="s">
        <v>168</v>
      </c>
      <c r="C293" t="s">
        <v>17</v>
      </c>
      <c r="D293">
        <v>5.0000000000000001E-4</v>
      </c>
      <c r="E293">
        <v>3600</v>
      </c>
    </row>
    <row r="294" spans="2:5" x14ac:dyDescent="0.3">
      <c r="B294" t="s">
        <v>168</v>
      </c>
      <c r="C294" t="s">
        <v>17</v>
      </c>
      <c r="D294">
        <v>5.0000000000000001E-4</v>
      </c>
      <c r="E294">
        <v>3200</v>
      </c>
    </row>
    <row r="295" spans="2:5" x14ac:dyDescent="0.3">
      <c r="B295" t="s">
        <v>168</v>
      </c>
      <c r="C295" t="s">
        <v>17</v>
      </c>
      <c r="D295">
        <v>5.0000000000000001E-4</v>
      </c>
      <c r="E295">
        <v>2700</v>
      </c>
    </row>
    <row r="296" spans="2:5" x14ac:dyDescent="0.3">
      <c r="B296" t="s">
        <v>168</v>
      </c>
      <c r="C296" t="s">
        <v>17</v>
      </c>
      <c r="D296">
        <v>5.0000000000000001E-4</v>
      </c>
      <c r="E296">
        <v>3200</v>
      </c>
    </row>
    <row r="297" spans="2:5" x14ac:dyDescent="0.3">
      <c r="B297" t="s">
        <v>168</v>
      </c>
      <c r="C297" t="s">
        <v>17</v>
      </c>
      <c r="D297">
        <v>5.0000000000000001E-4</v>
      </c>
      <c r="E297">
        <v>3600</v>
      </c>
    </row>
    <row r="298" spans="2:5" x14ac:dyDescent="0.3">
      <c r="B298" t="s">
        <v>168</v>
      </c>
      <c r="C298" t="s">
        <v>17</v>
      </c>
      <c r="D298">
        <v>5.0000000000000001E-4</v>
      </c>
      <c r="E298">
        <v>4100</v>
      </c>
    </row>
    <row r="299" spans="2:5" x14ac:dyDescent="0.3">
      <c r="B299" t="s">
        <v>168</v>
      </c>
      <c r="C299" t="s">
        <v>17</v>
      </c>
      <c r="D299">
        <v>5.0000000000000001E-4</v>
      </c>
      <c r="E299">
        <v>2700</v>
      </c>
    </row>
    <row r="300" spans="2:5" x14ac:dyDescent="0.3">
      <c r="B300" t="s">
        <v>168</v>
      </c>
      <c r="C300" t="s">
        <v>17</v>
      </c>
      <c r="D300">
        <v>5.0000000000000001E-4</v>
      </c>
      <c r="E300">
        <v>2890</v>
      </c>
    </row>
    <row r="301" spans="2:5" x14ac:dyDescent="0.3">
      <c r="B301" t="s">
        <v>168</v>
      </c>
      <c r="C301" t="s">
        <v>17</v>
      </c>
      <c r="D301">
        <v>5.0000000000000001E-4</v>
      </c>
      <c r="E301">
        <v>4289</v>
      </c>
    </row>
    <row r="302" spans="2:5" x14ac:dyDescent="0.3">
      <c r="B302" t="s">
        <v>168</v>
      </c>
      <c r="C302" t="s">
        <v>17</v>
      </c>
      <c r="D302">
        <v>5.0000000000000001E-4</v>
      </c>
      <c r="E302">
        <v>4000</v>
      </c>
    </row>
    <row r="303" spans="2:5" x14ac:dyDescent="0.3">
      <c r="B303" t="s">
        <v>168</v>
      </c>
      <c r="C303" t="s">
        <v>17</v>
      </c>
      <c r="D303">
        <v>5.0000000000000001E-4</v>
      </c>
      <c r="E303">
        <v>3800</v>
      </c>
    </row>
    <row r="304" spans="2:5" x14ac:dyDescent="0.3">
      <c r="B304" t="s">
        <v>168</v>
      </c>
      <c r="C304" t="s">
        <v>17</v>
      </c>
      <c r="D304">
        <v>5.0000000000000001E-4</v>
      </c>
      <c r="E304">
        <v>3500</v>
      </c>
    </row>
    <row r="305" spans="2:5" x14ac:dyDescent="0.3">
      <c r="B305" t="s">
        <v>168</v>
      </c>
      <c r="C305" t="s">
        <v>17</v>
      </c>
      <c r="D305">
        <v>5.0000000000000001E-4</v>
      </c>
      <c r="E305">
        <v>4100</v>
      </c>
    </row>
    <row r="306" spans="2:5" x14ac:dyDescent="0.3">
      <c r="B306" t="s">
        <v>168</v>
      </c>
      <c r="C306" t="s">
        <v>17</v>
      </c>
      <c r="D306">
        <v>5.0000000000000001E-4</v>
      </c>
      <c r="E306">
        <v>3500</v>
      </c>
    </row>
    <row r="307" spans="2:5" x14ac:dyDescent="0.3">
      <c r="B307" t="s">
        <v>168</v>
      </c>
      <c r="C307" t="s">
        <v>17</v>
      </c>
      <c r="D307">
        <v>5.0000000000000001E-4</v>
      </c>
      <c r="E307">
        <v>3800</v>
      </c>
    </row>
    <row r="308" spans="2:5" x14ac:dyDescent="0.3">
      <c r="B308" t="s">
        <v>168</v>
      </c>
      <c r="C308" t="s">
        <v>17</v>
      </c>
      <c r="D308">
        <v>5.8333333333333295E-4</v>
      </c>
      <c r="E308">
        <v>1900</v>
      </c>
    </row>
    <row r="309" spans="2:5" x14ac:dyDescent="0.3">
      <c r="B309" t="s">
        <v>168</v>
      </c>
      <c r="C309" t="s">
        <v>17</v>
      </c>
      <c r="D309">
        <v>5.0000000000000001E-4</v>
      </c>
      <c r="E309">
        <v>3400</v>
      </c>
    </row>
    <row r="310" spans="2:5" x14ac:dyDescent="0.3">
      <c r="B310" t="s">
        <v>168</v>
      </c>
      <c r="C310" t="s">
        <v>17</v>
      </c>
      <c r="D310">
        <v>5.0000000000000001E-4</v>
      </c>
      <c r="E310">
        <v>2300</v>
      </c>
    </row>
    <row r="311" spans="2:5" x14ac:dyDescent="0.3">
      <c r="B311" t="s">
        <v>170</v>
      </c>
      <c r="C311" t="s">
        <v>16</v>
      </c>
      <c r="D311">
        <v>6.2500000000000001E-4</v>
      </c>
      <c r="E311">
        <v>1150</v>
      </c>
    </row>
    <row r="312" spans="2:5" x14ac:dyDescent="0.3">
      <c r="B312" t="s">
        <v>170</v>
      </c>
      <c r="C312" t="s">
        <v>16</v>
      </c>
      <c r="D312">
        <v>6.2500000000000001E-4</v>
      </c>
      <c r="E312">
        <v>1100</v>
      </c>
    </row>
    <row r="313" spans="2:5" x14ac:dyDescent="0.3">
      <c r="B313" t="s">
        <v>170</v>
      </c>
      <c r="C313" t="s">
        <v>16</v>
      </c>
      <c r="D313">
        <v>6.2500000000000001E-4</v>
      </c>
      <c r="E313">
        <v>1400</v>
      </c>
    </row>
    <row r="314" spans="2:5" x14ac:dyDescent="0.3">
      <c r="B314" t="s">
        <v>170</v>
      </c>
      <c r="C314" t="s">
        <v>16</v>
      </c>
      <c r="D314">
        <v>6.2500000000000001E-4</v>
      </c>
      <c r="E314">
        <v>1300</v>
      </c>
    </row>
    <row r="315" spans="2:5" x14ac:dyDescent="0.3">
      <c r="B315" t="s">
        <v>170</v>
      </c>
      <c r="C315" t="s">
        <v>16</v>
      </c>
      <c r="D315">
        <v>6.2500000000000001E-4</v>
      </c>
      <c r="E315">
        <v>1400</v>
      </c>
    </row>
    <row r="316" spans="2:5" x14ac:dyDescent="0.3">
      <c r="B316" t="s">
        <v>170</v>
      </c>
      <c r="C316" t="s">
        <v>16</v>
      </c>
      <c r="D316">
        <v>9.5833333333333296E-4</v>
      </c>
      <c r="E316">
        <v>500</v>
      </c>
    </row>
    <row r="317" spans="2:5" x14ac:dyDescent="0.3">
      <c r="B317" t="s">
        <v>170</v>
      </c>
      <c r="C317" t="s">
        <v>16</v>
      </c>
      <c r="D317">
        <v>0</v>
      </c>
      <c r="E317">
        <v>0</v>
      </c>
    </row>
    <row r="318" spans="2:5" x14ac:dyDescent="0.3">
      <c r="B318" t="s">
        <v>170</v>
      </c>
      <c r="C318" t="s">
        <v>16</v>
      </c>
      <c r="D318">
        <v>5.0000000000000001E-4</v>
      </c>
      <c r="E318">
        <v>2500</v>
      </c>
    </row>
    <row r="319" spans="2:5" x14ac:dyDescent="0.3">
      <c r="B319" t="s">
        <v>170</v>
      </c>
      <c r="C319" t="s">
        <v>16</v>
      </c>
      <c r="D319">
        <v>5.8333333333333295E-4</v>
      </c>
      <c r="E319">
        <v>1700</v>
      </c>
    </row>
    <row r="320" spans="2:5" x14ac:dyDescent="0.3">
      <c r="B320" t="s">
        <v>170</v>
      </c>
      <c r="C320" t="s">
        <v>16</v>
      </c>
      <c r="D320">
        <v>9.5833333333333296E-4</v>
      </c>
      <c r="E320">
        <v>950</v>
      </c>
    </row>
    <row r="321" spans="2:5" x14ac:dyDescent="0.3">
      <c r="B321" t="s">
        <v>170</v>
      </c>
      <c r="C321" t="s">
        <v>16</v>
      </c>
      <c r="D321">
        <v>6.2500000000000001E-4</v>
      </c>
      <c r="E321">
        <v>1100</v>
      </c>
    </row>
    <row r="322" spans="2:5" x14ac:dyDescent="0.3">
      <c r="B322" t="s">
        <v>170</v>
      </c>
      <c r="C322" t="s">
        <v>16</v>
      </c>
      <c r="D322">
        <v>9.5833333333333296E-4</v>
      </c>
      <c r="E322">
        <v>750</v>
      </c>
    </row>
    <row r="323" spans="2:5" x14ac:dyDescent="0.3">
      <c r="B323" t="s">
        <v>170</v>
      </c>
      <c r="C323" t="s">
        <v>16</v>
      </c>
      <c r="D323">
        <v>9.5833333333333296E-4</v>
      </c>
      <c r="E323">
        <v>600</v>
      </c>
    </row>
    <row r="324" spans="2:5" x14ac:dyDescent="0.3">
      <c r="B324" t="s">
        <v>170</v>
      </c>
      <c r="C324" t="s">
        <v>16</v>
      </c>
      <c r="D324">
        <v>6.2500000000000001E-4</v>
      </c>
      <c r="E324">
        <v>1050</v>
      </c>
    </row>
    <row r="325" spans="2:5" x14ac:dyDescent="0.3">
      <c r="B325" t="s">
        <v>170</v>
      </c>
      <c r="C325" t="s">
        <v>16</v>
      </c>
      <c r="D325">
        <v>6.2500000000000001E-4</v>
      </c>
      <c r="E325">
        <v>1100</v>
      </c>
    </row>
    <row r="326" spans="2:5" x14ac:dyDescent="0.3">
      <c r="B326" t="s">
        <v>170</v>
      </c>
      <c r="C326" t="s">
        <v>16</v>
      </c>
      <c r="D326">
        <v>5.8333333333333295E-4</v>
      </c>
      <c r="E326">
        <v>1600</v>
      </c>
    </row>
    <row r="327" spans="2:5" x14ac:dyDescent="0.3">
      <c r="B327" t="s">
        <v>170</v>
      </c>
      <c r="C327" t="s">
        <v>16</v>
      </c>
      <c r="D327">
        <v>9.5833333333333296E-4</v>
      </c>
      <c r="E327">
        <v>750</v>
      </c>
    </row>
    <row r="328" spans="2:5" x14ac:dyDescent="0.3">
      <c r="B328" t="s">
        <v>170</v>
      </c>
      <c r="C328" t="s">
        <v>16</v>
      </c>
      <c r="D328">
        <v>9.5833333333333296E-4</v>
      </c>
      <c r="E328">
        <v>750</v>
      </c>
    </row>
    <row r="329" spans="2:5" x14ac:dyDescent="0.3">
      <c r="B329" t="s">
        <v>170</v>
      </c>
      <c r="C329" t="s">
        <v>16</v>
      </c>
      <c r="D329">
        <v>5.0000000000000001E-4</v>
      </c>
      <c r="E329">
        <v>2100</v>
      </c>
    </row>
    <row r="330" spans="2:5" x14ac:dyDescent="0.3">
      <c r="B330" t="s">
        <v>170</v>
      </c>
      <c r="C330" t="s">
        <v>16</v>
      </c>
      <c r="D330">
        <v>5.0000000000000001E-4</v>
      </c>
      <c r="E330">
        <v>2300</v>
      </c>
    </row>
    <row r="331" spans="2:5" x14ac:dyDescent="0.3">
      <c r="B331" t="s">
        <v>170</v>
      </c>
      <c r="C331" t="s">
        <v>16</v>
      </c>
      <c r="D331">
        <v>5.0000000000000001E-4</v>
      </c>
      <c r="E331">
        <v>2100</v>
      </c>
    </row>
    <row r="332" spans="2:5" x14ac:dyDescent="0.3">
      <c r="B332" t="s">
        <v>170</v>
      </c>
      <c r="C332" t="s">
        <v>16</v>
      </c>
      <c r="D332">
        <v>6.2500000000000001E-4</v>
      </c>
      <c r="E332">
        <v>1000</v>
      </c>
    </row>
    <row r="333" spans="2:5" x14ac:dyDescent="0.3">
      <c r="B333" t="s">
        <v>170</v>
      </c>
      <c r="C333" t="s">
        <v>16</v>
      </c>
      <c r="D333">
        <v>5.8333333333333295E-4</v>
      </c>
      <c r="E333">
        <v>1700</v>
      </c>
    </row>
    <row r="334" spans="2:5" x14ac:dyDescent="0.3">
      <c r="B334" t="s">
        <v>170</v>
      </c>
      <c r="C334" t="s">
        <v>16</v>
      </c>
      <c r="D334">
        <v>5.8333333333333295E-4</v>
      </c>
      <c r="E334">
        <v>1500</v>
      </c>
    </row>
    <row r="335" spans="2:5" x14ac:dyDescent="0.3">
      <c r="B335" t="s">
        <v>170</v>
      </c>
      <c r="C335" t="s">
        <v>16</v>
      </c>
      <c r="D335">
        <v>5.8333333333333295E-4</v>
      </c>
      <c r="E335">
        <v>1600</v>
      </c>
    </row>
    <row r="336" spans="2:5" x14ac:dyDescent="0.3">
      <c r="B336" t="s">
        <v>170</v>
      </c>
      <c r="C336" t="s">
        <v>16</v>
      </c>
      <c r="D336">
        <v>9.5833333333333296E-4</v>
      </c>
      <c r="E336">
        <v>650</v>
      </c>
    </row>
    <row r="337" spans="2:5" x14ac:dyDescent="0.3">
      <c r="B337" t="s">
        <v>170</v>
      </c>
      <c r="C337" t="s">
        <v>16</v>
      </c>
      <c r="D337">
        <v>6.2500000000000001E-4</v>
      </c>
      <c r="E337">
        <v>1250</v>
      </c>
    </row>
    <row r="338" spans="2:5" x14ac:dyDescent="0.3">
      <c r="B338" t="s">
        <v>170</v>
      </c>
      <c r="C338" t="s">
        <v>16</v>
      </c>
      <c r="D338">
        <v>6.2500000000000001E-4</v>
      </c>
      <c r="E338">
        <v>1000</v>
      </c>
    </row>
    <row r="339" spans="2:5" x14ac:dyDescent="0.3">
      <c r="B339" t="s">
        <v>172</v>
      </c>
      <c r="C339" t="s">
        <v>28</v>
      </c>
      <c r="D339">
        <v>6.2500000000000001E-4</v>
      </c>
      <c r="E339">
        <v>1100</v>
      </c>
    </row>
    <row r="340" spans="2:5" x14ac:dyDescent="0.3">
      <c r="B340" t="s">
        <v>172</v>
      </c>
      <c r="C340" t="s">
        <v>28</v>
      </c>
      <c r="D340">
        <v>9.5833333333333296E-4</v>
      </c>
      <c r="E340">
        <v>950</v>
      </c>
    </row>
    <row r="341" spans="2:5" x14ac:dyDescent="0.3">
      <c r="B341" t="s">
        <v>172</v>
      </c>
      <c r="C341" t="s">
        <v>28</v>
      </c>
      <c r="D341">
        <v>9.5833333333333296E-4</v>
      </c>
      <c r="E341">
        <v>500</v>
      </c>
    </row>
    <row r="342" spans="2:5" x14ac:dyDescent="0.3">
      <c r="B342" t="s">
        <v>172</v>
      </c>
      <c r="C342" t="s">
        <v>28</v>
      </c>
      <c r="D342">
        <v>1.0416666666666699E-3</v>
      </c>
      <c r="E342">
        <v>400</v>
      </c>
    </row>
    <row r="343" spans="2:5" x14ac:dyDescent="0.3">
      <c r="B343" t="s">
        <v>172</v>
      </c>
      <c r="C343" t="s">
        <v>28</v>
      </c>
      <c r="D343">
        <v>6.2500000000000001E-4</v>
      </c>
      <c r="E343">
        <v>1200</v>
      </c>
    </row>
    <row r="344" spans="2:5" x14ac:dyDescent="0.3">
      <c r="B344" t="s">
        <v>172</v>
      </c>
      <c r="C344" t="s">
        <v>28</v>
      </c>
      <c r="D344">
        <v>9.5833333333333296E-4</v>
      </c>
      <c r="E344">
        <v>550</v>
      </c>
    </row>
    <row r="345" spans="2:5" x14ac:dyDescent="0.3">
      <c r="B345" t="s">
        <v>172</v>
      </c>
      <c r="C345" t="s">
        <v>28</v>
      </c>
      <c r="D345">
        <v>9.5833333333333296E-4</v>
      </c>
      <c r="E345">
        <v>950</v>
      </c>
    </row>
    <row r="346" spans="2:5" x14ac:dyDescent="0.3">
      <c r="B346" t="s">
        <v>172</v>
      </c>
      <c r="C346" t="s">
        <v>28</v>
      </c>
      <c r="D346">
        <v>5.0000000000000001E-4</v>
      </c>
      <c r="E346">
        <v>3400</v>
      </c>
    </row>
    <row r="347" spans="2:5" x14ac:dyDescent="0.3">
      <c r="B347" t="s">
        <v>172</v>
      </c>
      <c r="C347" t="s">
        <v>28</v>
      </c>
      <c r="D347">
        <v>5.8333333333333295E-4</v>
      </c>
      <c r="E347">
        <v>1600</v>
      </c>
    </row>
    <row r="348" spans="2:5" x14ac:dyDescent="0.3">
      <c r="B348" t="s">
        <v>172</v>
      </c>
      <c r="C348" t="s">
        <v>28</v>
      </c>
      <c r="D348">
        <v>0</v>
      </c>
      <c r="E348">
        <v>0</v>
      </c>
    </row>
    <row r="349" spans="2:5" x14ac:dyDescent="0.3">
      <c r="B349" t="s">
        <v>172</v>
      </c>
      <c r="C349" t="s">
        <v>28</v>
      </c>
      <c r="D349">
        <v>9.5833333333333296E-4</v>
      </c>
      <c r="E349">
        <v>500</v>
      </c>
    </row>
    <row r="350" spans="2:5" x14ac:dyDescent="0.3">
      <c r="B350" t="s">
        <v>172</v>
      </c>
      <c r="C350" t="s">
        <v>28</v>
      </c>
      <c r="D350">
        <v>1.0416666666666699E-3</v>
      </c>
      <c r="E350">
        <v>400</v>
      </c>
    </row>
    <row r="351" spans="2:5" x14ac:dyDescent="0.3">
      <c r="B351" t="s">
        <v>172</v>
      </c>
      <c r="C351" t="s">
        <v>28</v>
      </c>
      <c r="D351">
        <v>6.2500000000000001E-4</v>
      </c>
      <c r="E351">
        <v>1000</v>
      </c>
    </row>
    <row r="352" spans="2:5" x14ac:dyDescent="0.3">
      <c r="B352" t="s">
        <v>172</v>
      </c>
      <c r="C352" t="s">
        <v>28</v>
      </c>
      <c r="D352">
        <v>6.2500000000000001E-4</v>
      </c>
      <c r="E352">
        <v>1400</v>
      </c>
    </row>
    <row r="353" spans="2:5" x14ac:dyDescent="0.3">
      <c r="B353" t="s">
        <v>172</v>
      </c>
      <c r="C353" t="s">
        <v>28</v>
      </c>
      <c r="D353">
        <v>1.58333333333333E-3</v>
      </c>
      <c r="E353">
        <v>200</v>
      </c>
    </row>
    <row r="354" spans="2:5" x14ac:dyDescent="0.3">
      <c r="B354" t="s">
        <v>172</v>
      </c>
      <c r="C354" t="s">
        <v>28</v>
      </c>
      <c r="D354">
        <v>9.5833333333333296E-4</v>
      </c>
      <c r="E354">
        <v>900</v>
      </c>
    </row>
    <row r="355" spans="2:5" x14ac:dyDescent="0.3">
      <c r="B355" t="s">
        <v>172</v>
      </c>
      <c r="C355" t="s">
        <v>28</v>
      </c>
      <c r="D355">
        <v>5.8333333333333295E-4</v>
      </c>
      <c r="E355">
        <v>1600</v>
      </c>
    </row>
    <row r="356" spans="2:5" x14ac:dyDescent="0.3">
      <c r="B356" t="s">
        <v>172</v>
      </c>
      <c r="C356" t="s">
        <v>28</v>
      </c>
      <c r="D356">
        <v>6.2500000000000001E-4</v>
      </c>
      <c r="E356">
        <v>1300</v>
      </c>
    </row>
    <row r="357" spans="2:5" x14ac:dyDescent="0.3">
      <c r="B357" t="s">
        <v>172</v>
      </c>
      <c r="C357" t="s">
        <v>28</v>
      </c>
      <c r="D357">
        <v>5.8333333333333295E-4</v>
      </c>
      <c r="E357">
        <v>1800</v>
      </c>
    </row>
    <row r="358" spans="2:5" x14ac:dyDescent="0.3">
      <c r="B358" t="s">
        <v>172</v>
      </c>
      <c r="C358" t="s">
        <v>28</v>
      </c>
      <c r="D358">
        <v>5.0000000000000001E-4</v>
      </c>
      <c r="E358">
        <v>2100</v>
      </c>
    </row>
    <row r="359" spans="2:5" x14ac:dyDescent="0.3">
      <c r="B359" t="s">
        <v>172</v>
      </c>
      <c r="C359" t="s">
        <v>28</v>
      </c>
      <c r="D359">
        <v>5.0000000000000001E-4</v>
      </c>
      <c r="E359">
        <v>2000</v>
      </c>
    </row>
    <row r="360" spans="2:5" x14ac:dyDescent="0.3">
      <c r="B360" t="s">
        <v>172</v>
      </c>
      <c r="C360" t="s">
        <v>28</v>
      </c>
      <c r="D360">
        <v>9.5833333333333296E-4</v>
      </c>
      <c r="E360">
        <v>700</v>
      </c>
    </row>
    <row r="361" spans="2:5" x14ac:dyDescent="0.3">
      <c r="B361" t="s">
        <v>172</v>
      </c>
      <c r="C361" t="s">
        <v>28</v>
      </c>
      <c r="D361">
        <v>6.2500000000000001E-4</v>
      </c>
      <c r="E361">
        <v>1300</v>
      </c>
    </row>
    <row r="362" spans="2:5" x14ac:dyDescent="0.3">
      <c r="B362" t="s">
        <v>172</v>
      </c>
      <c r="C362" t="s">
        <v>28</v>
      </c>
      <c r="D362">
        <v>5.0000000000000001E-4</v>
      </c>
      <c r="E362">
        <v>2000</v>
      </c>
    </row>
    <row r="363" spans="2:5" x14ac:dyDescent="0.3">
      <c r="B363" t="s">
        <v>172</v>
      </c>
      <c r="C363" t="s">
        <v>28</v>
      </c>
      <c r="D363">
        <v>5.8333333333333295E-4</v>
      </c>
      <c r="E363">
        <v>1600</v>
      </c>
    </row>
    <row r="364" spans="2:5" x14ac:dyDescent="0.3">
      <c r="B364" t="s">
        <v>172</v>
      </c>
      <c r="C364" t="s">
        <v>28</v>
      </c>
      <c r="D364">
        <v>5.8333333333333295E-4</v>
      </c>
      <c r="E364">
        <v>1600</v>
      </c>
    </row>
    <row r="365" spans="2:5" x14ac:dyDescent="0.3">
      <c r="B365" t="s">
        <v>172</v>
      </c>
      <c r="C365" t="s">
        <v>28</v>
      </c>
      <c r="D365">
        <v>9.5833333333333296E-4</v>
      </c>
      <c r="E365">
        <v>700</v>
      </c>
    </row>
    <row r="366" spans="2:5" x14ac:dyDescent="0.3">
      <c r="B366" t="s">
        <v>172</v>
      </c>
      <c r="C366" t="s">
        <v>28</v>
      </c>
      <c r="D366">
        <v>5.8333333333333295E-4</v>
      </c>
      <c r="E366">
        <v>1500</v>
      </c>
    </row>
    <row r="367" spans="2:5" x14ac:dyDescent="0.3">
      <c r="B367" t="s">
        <v>174</v>
      </c>
      <c r="C367" t="s">
        <v>24</v>
      </c>
      <c r="D367">
        <v>5.0000000000000001E-4</v>
      </c>
      <c r="E367">
        <v>2670</v>
      </c>
    </row>
    <row r="368" spans="2:5" x14ac:dyDescent="0.3">
      <c r="B368" t="s">
        <v>174</v>
      </c>
      <c r="C368" t="s">
        <v>24</v>
      </c>
      <c r="D368">
        <v>5.0000000000000001E-4</v>
      </c>
      <c r="E368">
        <v>2600</v>
      </c>
    </row>
    <row r="369" spans="2:5" x14ac:dyDescent="0.3">
      <c r="B369" t="s">
        <v>174</v>
      </c>
      <c r="C369" t="s">
        <v>24</v>
      </c>
      <c r="D369">
        <v>5.0000000000000001E-4</v>
      </c>
      <c r="E369">
        <v>2350</v>
      </c>
    </row>
    <row r="370" spans="2:5" x14ac:dyDescent="0.3">
      <c r="B370" t="s">
        <v>174</v>
      </c>
      <c r="C370" t="s">
        <v>24</v>
      </c>
      <c r="D370">
        <v>5.0000000000000001E-4</v>
      </c>
      <c r="E370">
        <v>2200</v>
      </c>
    </row>
    <row r="371" spans="2:5" x14ac:dyDescent="0.3">
      <c r="B371" t="s">
        <v>174</v>
      </c>
      <c r="C371" t="s">
        <v>24</v>
      </c>
      <c r="D371">
        <v>5.0000000000000001E-4</v>
      </c>
      <c r="E371">
        <v>2900</v>
      </c>
    </row>
    <row r="372" spans="2:5" x14ac:dyDescent="0.3">
      <c r="B372" t="s">
        <v>174</v>
      </c>
      <c r="C372" t="s">
        <v>24</v>
      </c>
      <c r="D372">
        <v>5.8333333333333295E-4</v>
      </c>
      <c r="E372">
        <v>1900</v>
      </c>
    </row>
    <row r="373" spans="2:5" x14ac:dyDescent="0.3">
      <c r="B373" t="s">
        <v>174</v>
      </c>
      <c r="C373" t="s">
        <v>24</v>
      </c>
      <c r="D373">
        <v>5.8333333333333295E-4</v>
      </c>
      <c r="E373">
        <v>1500</v>
      </c>
    </row>
    <row r="374" spans="2:5" x14ac:dyDescent="0.3">
      <c r="B374" t="s">
        <v>174</v>
      </c>
      <c r="C374" t="s">
        <v>24</v>
      </c>
      <c r="D374">
        <v>5.0000000000000001E-4</v>
      </c>
      <c r="E374">
        <v>3500</v>
      </c>
    </row>
    <row r="375" spans="2:5" x14ac:dyDescent="0.3">
      <c r="B375" t="s">
        <v>174</v>
      </c>
      <c r="C375" t="s">
        <v>24</v>
      </c>
      <c r="D375">
        <v>5.0000000000000001E-4</v>
      </c>
      <c r="E375">
        <v>3200</v>
      </c>
    </row>
    <row r="376" spans="2:5" x14ac:dyDescent="0.3">
      <c r="B376" t="s">
        <v>174</v>
      </c>
      <c r="C376" t="s">
        <v>24</v>
      </c>
      <c r="D376">
        <v>5.0000000000000001E-4</v>
      </c>
      <c r="E376">
        <v>2000</v>
      </c>
    </row>
    <row r="377" spans="2:5" x14ac:dyDescent="0.3">
      <c r="B377" t="s">
        <v>174</v>
      </c>
      <c r="C377" t="s">
        <v>24</v>
      </c>
      <c r="D377">
        <v>5.8333333333333295E-4</v>
      </c>
      <c r="E377">
        <v>1600</v>
      </c>
    </row>
    <row r="378" spans="2:5" x14ac:dyDescent="0.3">
      <c r="B378" t="s">
        <v>174</v>
      </c>
      <c r="C378" t="s">
        <v>24</v>
      </c>
      <c r="D378">
        <v>5.8333333333333295E-4</v>
      </c>
      <c r="E378">
        <v>1600</v>
      </c>
    </row>
    <row r="379" spans="2:5" x14ac:dyDescent="0.3">
      <c r="B379" t="s">
        <v>174</v>
      </c>
      <c r="C379" t="s">
        <v>24</v>
      </c>
      <c r="D379">
        <v>5.0000000000000001E-4</v>
      </c>
      <c r="E379">
        <v>2100</v>
      </c>
    </row>
    <row r="380" spans="2:5" x14ac:dyDescent="0.3">
      <c r="B380" t="s">
        <v>174</v>
      </c>
      <c r="C380" t="s">
        <v>24</v>
      </c>
      <c r="D380">
        <v>9.5833333333333296E-4</v>
      </c>
      <c r="E380">
        <v>500</v>
      </c>
    </row>
    <row r="381" spans="2:5" x14ac:dyDescent="0.3">
      <c r="B381" t="s">
        <v>174</v>
      </c>
      <c r="C381" t="s">
        <v>24</v>
      </c>
      <c r="D381">
        <v>5.0000000000000001E-4</v>
      </c>
      <c r="E381">
        <v>2100</v>
      </c>
    </row>
    <row r="382" spans="2:5" x14ac:dyDescent="0.3">
      <c r="B382" t="s">
        <v>174</v>
      </c>
      <c r="C382" t="s">
        <v>24</v>
      </c>
      <c r="D382">
        <v>5.0000000000000001E-4</v>
      </c>
      <c r="E382">
        <v>2000</v>
      </c>
    </row>
    <row r="383" spans="2:5" x14ac:dyDescent="0.3">
      <c r="B383" t="s">
        <v>174</v>
      </c>
      <c r="C383" t="s">
        <v>24</v>
      </c>
      <c r="D383">
        <v>9.5833333333333296E-4</v>
      </c>
      <c r="E383">
        <v>800</v>
      </c>
    </row>
    <row r="384" spans="2:5" x14ac:dyDescent="0.3">
      <c r="B384" t="s">
        <v>174</v>
      </c>
      <c r="C384" t="s">
        <v>24</v>
      </c>
      <c r="D384">
        <v>9.5833333333333296E-4</v>
      </c>
      <c r="E384">
        <v>800</v>
      </c>
    </row>
    <row r="385" spans="2:5" x14ac:dyDescent="0.3">
      <c r="B385" t="s">
        <v>174</v>
      </c>
      <c r="C385" t="s">
        <v>24</v>
      </c>
      <c r="D385">
        <v>6.2500000000000001E-4</v>
      </c>
      <c r="E385">
        <v>1300</v>
      </c>
    </row>
    <row r="386" spans="2:5" x14ac:dyDescent="0.3">
      <c r="B386" t="s">
        <v>174</v>
      </c>
      <c r="C386" t="s">
        <v>24</v>
      </c>
      <c r="D386">
        <v>5.0000000000000001E-4</v>
      </c>
      <c r="E386">
        <v>3800</v>
      </c>
    </row>
    <row r="387" spans="2:5" x14ac:dyDescent="0.3">
      <c r="B387" t="s">
        <v>174</v>
      </c>
      <c r="C387" t="s">
        <v>24</v>
      </c>
      <c r="D387">
        <v>5.0000000000000001E-4</v>
      </c>
      <c r="E387">
        <v>3600</v>
      </c>
    </row>
    <row r="388" spans="2:5" x14ac:dyDescent="0.3">
      <c r="B388" t="s">
        <v>174</v>
      </c>
      <c r="C388" t="s">
        <v>24</v>
      </c>
      <c r="D388">
        <v>6.2500000000000001E-4</v>
      </c>
      <c r="E388">
        <v>1300</v>
      </c>
    </row>
    <row r="389" spans="2:5" x14ac:dyDescent="0.3">
      <c r="B389" t="s">
        <v>174</v>
      </c>
      <c r="C389" t="s">
        <v>24</v>
      </c>
      <c r="D389">
        <v>6.2500000000000001E-4</v>
      </c>
      <c r="E389">
        <v>1300</v>
      </c>
    </row>
    <row r="390" spans="2:5" x14ac:dyDescent="0.3">
      <c r="B390" t="s">
        <v>174</v>
      </c>
      <c r="C390" t="s">
        <v>24</v>
      </c>
      <c r="D390">
        <v>0</v>
      </c>
      <c r="E390">
        <v>0</v>
      </c>
    </row>
    <row r="391" spans="2:5" x14ac:dyDescent="0.3">
      <c r="B391" t="s">
        <v>174</v>
      </c>
      <c r="C391" t="s">
        <v>24</v>
      </c>
      <c r="D391">
        <v>9.5833333333333296E-4</v>
      </c>
      <c r="E391">
        <v>800</v>
      </c>
    </row>
    <row r="392" spans="2:5" x14ac:dyDescent="0.3">
      <c r="B392" t="s">
        <v>174</v>
      </c>
      <c r="C392" t="s">
        <v>24</v>
      </c>
      <c r="D392">
        <v>5.8333333333333295E-4</v>
      </c>
      <c r="E392">
        <v>1700</v>
      </c>
    </row>
    <row r="393" spans="2:5" x14ac:dyDescent="0.3">
      <c r="B393" t="s">
        <v>174</v>
      </c>
      <c r="C393" t="s">
        <v>24</v>
      </c>
      <c r="D393">
        <v>5.0000000000000001E-4</v>
      </c>
      <c r="E393">
        <v>2700</v>
      </c>
    </row>
    <row r="394" spans="2:5" x14ac:dyDescent="0.3">
      <c r="B394" t="s">
        <v>174</v>
      </c>
      <c r="C394" t="s">
        <v>24</v>
      </c>
      <c r="D394">
        <v>5.0000000000000001E-4</v>
      </c>
      <c r="E394">
        <v>2400</v>
      </c>
    </row>
    <row r="395" spans="2:5" x14ac:dyDescent="0.3">
      <c r="B395" t="s">
        <v>179</v>
      </c>
      <c r="C395" t="s">
        <v>34</v>
      </c>
      <c r="D395">
        <v>5.8333333333333295E-4</v>
      </c>
      <c r="E395">
        <v>1500</v>
      </c>
    </row>
    <row r="396" spans="2:5" x14ac:dyDescent="0.3">
      <c r="B396" t="s">
        <v>179</v>
      </c>
      <c r="C396" t="s">
        <v>34</v>
      </c>
      <c r="D396">
        <v>6.2500000000000001E-4</v>
      </c>
      <c r="E396">
        <v>1300</v>
      </c>
    </row>
    <row r="397" spans="2:5" x14ac:dyDescent="0.3">
      <c r="B397" t="s">
        <v>179</v>
      </c>
      <c r="C397" t="s">
        <v>34</v>
      </c>
      <c r="D397">
        <v>9.5833333333333296E-4</v>
      </c>
      <c r="E397">
        <v>700</v>
      </c>
    </row>
    <row r="398" spans="2:5" x14ac:dyDescent="0.3">
      <c r="B398" t="s">
        <v>179</v>
      </c>
      <c r="C398" t="s">
        <v>34</v>
      </c>
      <c r="D398">
        <v>9.5833333333333296E-4</v>
      </c>
      <c r="E398">
        <v>600</v>
      </c>
    </row>
    <row r="399" spans="2:5" x14ac:dyDescent="0.3">
      <c r="B399" t="s">
        <v>179</v>
      </c>
      <c r="C399" t="s">
        <v>34</v>
      </c>
      <c r="D399">
        <v>5.8333333333333295E-4</v>
      </c>
      <c r="E399">
        <v>1600</v>
      </c>
    </row>
    <row r="400" spans="2:5" x14ac:dyDescent="0.3">
      <c r="B400" t="s">
        <v>179</v>
      </c>
      <c r="C400" t="s">
        <v>34</v>
      </c>
      <c r="D400">
        <v>9.5833333333333296E-4</v>
      </c>
      <c r="E400">
        <v>800</v>
      </c>
    </row>
    <row r="401" spans="2:5" x14ac:dyDescent="0.3">
      <c r="B401" t="s">
        <v>179</v>
      </c>
      <c r="C401" t="s">
        <v>34</v>
      </c>
      <c r="D401">
        <v>6.2500000000000001E-4</v>
      </c>
      <c r="E401">
        <v>1100</v>
      </c>
    </row>
    <row r="402" spans="2:5" x14ac:dyDescent="0.3">
      <c r="B402" t="s">
        <v>179</v>
      </c>
      <c r="C402" t="s">
        <v>34</v>
      </c>
      <c r="D402">
        <v>5.0000000000000001E-4</v>
      </c>
      <c r="E402">
        <v>3600</v>
      </c>
    </row>
    <row r="403" spans="2:5" x14ac:dyDescent="0.3">
      <c r="B403" t="s">
        <v>179</v>
      </c>
      <c r="C403" t="s">
        <v>34</v>
      </c>
      <c r="D403">
        <v>5.0000000000000001E-4</v>
      </c>
      <c r="E403">
        <v>2000</v>
      </c>
    </row>
    <row r="404" spans="2:5" x14ac:dyDescent="0.3">
      <c r="B404" t="s">
        <v>179</v>
      </c>
      <c r="C404" t="s">
        <v>34</v>
      </c>
      <c r="D404">
        <v>9.5833333333333296E-4</v>
      </c>
      <c r="E404">
        <v>500</v>
      </c>
    </row>
    <row r="405" spans="2:5" x14ac:dyDescent="0.3">
      <c r="B405" t="s">
        <v>179</v>
      </c>
      <c r="C405" t="s">
        <v>34</v>
      </c>
      <c r="D405">
        <v>0</v>
      </c>
      <c r="E405">
        <v>0</v>
      </c>
    </row>
    <row r="406" spans="2:5" x14ac:dyDescent="0.3">
      <c r="B406" t="s">
        <v>179</v>
      </c>
      <c r="C406" t="s">
        <v>34</v>
      </c>
      <c r="D406">
        <v>1.0416666666666699E-3</v>
      </c>
      <c r="E406">
        <v>400</v>
      </c>
    </row>
    <row r="407" spans="2:5" x14ac:dyDescent="0.3">
      <c r="B407" t="s">
        <v>179</v>
      </c>
      <c r="C407" t="s">
        <v>34</v>
      </c>
      <c r="D407">
        <v>6.2500000000000001E-4</v>
      </c>
      <c r="E407">
        <v>1300</v>
      </c>
    </row>
    <row r="408" spans="2:5" x14ac:dyDescent="0.3">
      <c r="B408" t="s">
        <v>179</v>
      </c>
      <c r="C408" t="s">
        <v>34</v>
      </c>
      <c r="D408">
        <v>6.2500000000000001E-4</v>
      </c>
      <c r="E408">
        <v>1100</v>
      </c>
    </row>
    <row r="409" spans="2:5" x14ac:dyDescent="0.3">
      <c r="B409" t="s">
        <v>179</v>
      </c>
      <c r="C409" t="s">
        <v>34</v>
      </c>
      <c r="D409">
        <v>9.5833333333333296E-4</v>
      </c>
      <c r="E409">
        <v>600</v>
      </c>
    </row>
    <row r="410" spans="2:5" x14ac:dyDescent="0.3">
      <c r="B410" t="s">
        <v>179</v>
      </c>
      <c r="C410" t="s">
        <v>34</v>
      </c>
      <c r="D410">
        <v>9.5833333333333296E-4</v>
      </c>
      <c r="E410">
        <v>600</v>
      </c>
    </row>
    <row r="411" spans="2:5" x14ac:dyDescent="0.3">
      <c r="B411" t="s">
        <v>179</v>
      </c>
      <c r="C411" t="s">
        <v>34</v>
      </c>
      <c r="D411">
        <v>5.8333333333333295E-4</v>
      </c>
      <c r="E411">
        <v>1500</v>
      </c>
    </row>
    <row r="412" spans="2:5" x14ac:dyDescent="0.3">
      <c r="B412" t="s">
        <v>179</v>
      </c>
      <c r="C412" t="s">
        <v>34</v>
      </c>
      <c r="D412">
        <v>6.2500000000000001E-4</v>
      </c>
      <c r="E412">
        <v>1200</v>
      </c>
    </row>
    <row r="413" spans="2:5" x14ac:dyDescent="0.3">
      <c r="B413" t="s">
        <v>179</v>
      </c>
      <c r="C413" t="s">
        <v>34</v>
      </c>
      <c r="D413">
        <v>6.2500000000000001E-4</v>
      </c>
      <c r="E413">
        <v>1400</v>
      </c>
    </row>
    <row r="414" spans="2:5" x14ac:dyDescent="0.3">
      <c r="B414" t="s">
        <v>179</v>
      </c>
      <c r="C414" t="s">
        <v>34</v>
      </c>
      <c r="D414">
        <v>5.0000000000000001E-4</v>
      </c>
      <c r="E414">
        <v>2600</v>
      </c>
    </row>
    <row r="415" spans="2:5" x14ac:dyDescent="0.3">
      <c r="B415" t="s">
        <v>179</v>
      </c>
      <c r="C415" t="s">
        <v>34</v>
      </c>
      <c r="D415">
        <v>5.0000000000000001E-4</v>
      </c>
      <c r="E415">
        <v>2400</v>
      </c>
    </row>
    <row r="416" spans="2:5" x14ac:dyDescent="0.3">
      <c r="B416" t="s">
        <v>179</v>
      </c>
      <c r="C416" t="s">
        <v>34</v>
      </c>
      <c r="D416">
        <v>1.0416666666666699E-3</v>
      </c>
      <c r="E416">
        <v>350</v>
      </c>
    </row>
    <row r="417" spans="2:5" x14ac:dyDescent="0.3">
      <c r="B417" t="s">
        <v>179</v>
      </c>
      <c r="C417" t="s">
        <v>34</v>
      </c>
      <c r="D417">
        <v>9.5833333333333296E-4</v>
      </c>
      <c r="E417">
        <v>800</v>
      </c>
    </row>
    <row r="418" spans="2:5" x14ac:dyDescent="0.3">
      <c r="B418" t="s">
        <v>179</v>
      </c>
      <c r="C418" t="s">
        <v>34</v>
      </c>
      <c r="D418">
        <v>5.8333333333333295E-4</v>
      </c>
      <c r="E418">
        <v>1600</v>
      </c>
    </row>
    <row r="419" spans="2:5" x14ac:dyDescent="0.3">
      <c r="B419" t="s">
        <v>179</v>
      </c>
      <c r="C419" t="s">
        <v>34</v>
      </c>
      <c r="D419">
        <v>6.2500000000000001E-4</v>
      </c>
      <c r="E419">
        <v>1200</v>
      </c>
    </row>
    <row r="420" spans="2:5" x14ac:dyDescent="0.3">
      <c r="B420" t="s">
        <v>179</v>
      </c>
      <c r="C420" t="s">
        <v>34</v>
      </c>
      <c r="D420">
        <v>5.8333333333333295E-4</v>
      </c>
      <c r="E420">
        <v>1700</v>
      </c>
    </row>
    <row r="421" spans="2:5" x14ac:dyDescent="0.3">
      <c r="B421" t="s">
        <v>179</v>
      </c>
      <c r="C421" t="s">
        <v>34</v>
      </c>
      <c r="D421">
        <v>6.2500000000000001E-4</v>
      </c>
      <c r="E421">
        <v>1200</v>
      </c>
    </row>
    <row r="422" spans="2:5" x14ac:dyDescent="0.3">
      <c r="B422" t="s">
        <v>179</v>
      </c>
      <c r="C422" t="s">
        <v>34</v>
      </c>
      <c r="D422">
        <v>5.8333333333333295E-4</v>
      </c>
      <c r="E422">
        <v>1800</v>
      </c>
    </row>
    <row r="423" spans="2:5" x14ac:dyDescent="0.3">
      <c r="B423" t="s">
        <v>181</v>
      </c>
      <c r="C423" t="s">
        <v>30</v>
      </c>
      <c r="D423">
        <v>5.0000000000000001E-4</v>
      </c>
      <c r="E423">
        <v>2500</v>
      </c>
    </row>
    <row r="424" spans="2:5" x14ac:dyDescent="0.3">
      <c r="B424" t="s">
        <v>181</v>
      </c>
      <c r="C424" t="s">
        <v>30</v>
      </c>
      <c r="D424">
        <v>5.0000000000000001E-4</v>
      </c>
      <c r="E424">
        <v>2400</v>
      </c>
    </row>
    <row r="425" spans="2:5" x14ac:dyDescent="0.3">
      <c r="B425" t="s">
        <v>181</v>
      </c>
      <c r="C425" t="s">
        <v>30</v>
      </c>
      <c r="D425">
        <v>5.8333333333333295E-4</v>
      </c>
      <c r="E425">
        <v>1900</v>
      </c>
    </row>
    <row r="426" spans="2:5" x14ac:dyDescent="0.3">
      <c r="B426" t="s">
        <v>181</v>
      </c>
      <c r="C426" t="s">
        <v>30</v>
      </c>
      <c r="D426">
        <v>5.8333333333333295E-4</v>
      </c>
      <c r="E426">
        <v>1750</v>
      </c>
    </row>
    <row r="427" spans="2:5" x14ac:dyDescent="0.3">
      <c r="B427" t="s">
        <v>181</v>
      </c>
      <c r="C427" t="s">
        <v>30</v>
      </c>
      <c r="D427">
        <v>5.0000000000000001E-4</v>
      </c>
      <c r="E427">
        <v>2600</v>
      </c>
    </row>
    <row r="428" spans="2:5" x14ac:dyDescent="0.3">
      <c r="B428" t="s">
        <v>181</v>
      </c>
      <c r="C428" t="s">
        <v>30</v>
      </c>
      <c r="D428">
        <v>5.8333333333333295E-4</v>
      </c>
      <c r="E428">
        <v>1700</v>
      </c>
    </row>
    <row r="429" spans="2:5" x14ac:dyDescent="0.3">
      <c r="B429" t="s">
        <v>181</v>
      </c>
      <c r="C429" t="s">
        <v>30</v>
      </c>
      <c r="D429">
        <v>5.8333333333333295E-4</v>
      </c>
      <c r="E429">
        <v>1600</v>
      </c>
    </row>
    <row r="430" spans="2:5" x14ac:dyDescent="0.3">
      <c r="B430" t="s">
        <v>181</v>
      </c>
      <c r="C430" t="s">
        <v>30</v>
      </c>
      <c r="D430">
        <v>5.0000000000000001E-4</v>
      </c>
      <c r="E430">
        <v>3800</v>
      </c>
    </row>
    <row r="431" spans="2:5" x14ac:dyDescent="0.3">
      <c r="B431" t="s">
        <v>181</v>
      </c>
      <c r="C431" t="s">
        <v>30</v>
      </c>
      <c r="D431">
        <v>5.0000000000000001E-4</v>
      </c>
      <c r="E431">
        <v>3000</v>
      </c>
    </row>
    <row r="432" spans="2:5" x14ac:dyDescent="0.3">
      <c r="B432" t="s">
        <v>181</v>
      </c>
      <c r="C432" t="s">
        <v>30</v>
      </c>
      <c r="D432">
        <v>5.8333333333333295E-4</v>
      </c>
      <c r="E432">
        <v>1600</v>
      </c>
    </row>
    <row r="433" spans="2:5" x14ac:dyDescent="0.3">
      <c r="B433" t="s">
        <v>181</v>
      </c>
      <c r="C433" t="s">
        <v>30</v>
      </c>
      <c r="D433">
        <v>6.2500000000000001E-4</v>
      </c>
      <c r="E433">
        <v>1200</v>
      </c>
    </row>
    <row r="434" spans="2:5" x14ac:dyDescent="0.3">
      <c r="B434" t="s">
        <v>181</v>
      </c>
      <c r="C434" t="s">
        <v>30</v>
      </c>
      <c r="D434">
        <v>6.2500000000000001E-4</v>
      </c>
      <c r="E434">
        <v>1200</v>
      </c>
    </row>
    <row r="435" spans="2:5" x14ac:dyDescent="0.3">
      <c r="B435" t="s">
        <v>181</v>
      </c>
      <c r="C435" t="s">
        <v>30</v>
      </c>
      <c r="D435">
        <v>5.0000000000000001E-4</v>
      </c>
      <c r="E435">
        <v>2100</v>
      </c>
    </row>
    <row r="436" spans="2:5" x14ac:dyDescent="0.3">
      <c r="B436" t="s">
        <v>181</v>
      </c>
      <c r="C436" t="s">
        <v>30</v>
      </c>
      <c r="D436">
        <v>9.5833333333333296E-4</v>
      </c>
      <c r="E436">
        <v>600</v>
      </c>
    </row>
    <row r="437" spans="2:5" x14ac:dyDescent="0.3">
      <c r="B437" t="s">
        <v>181</v>
      </c>
      <c r="C437" t="s">
        <v>30</v>
      </c>
      <c r="D437">
        <v>5.8333333333333295E-4</v>
      </c>
      <c r="E437">
        <v>1700</v>
      </c>
    </row>
    <row r="438" spans="2:5" x14ac:dyDescent="0.3">
      <c r="B438" t="s">
        <v>181</v>
      </c>
      <c r="C438" t="s">
        <v>30</v>
      </c>
      <c r="D438">
        <v>6.2500000000000001E-4</v>
      </c>
      <c r="E438">
        <v>1400</v>
      </c>
    </row>
    <row r="439" spans="2:5" x14ac:dyDescent="0.3">
      <c r="B439" t="s">
        <v>181</v>
      </c>
      <c r="C439" t="s">
        <v>30</v>
      </c>
      <c r="D439">
        <v>6.2500000000000001E-4</v>
      </c>
      <c r="E439">
        <v>1200</v>
      </c>
    </row>
    <row r="440" spans="2:5" x14ac:dyDescent="0.3">
      <c r="B440" t="s">
        <v>181</v>
      </c>
      <c r="C440" t="s">
        <v>30</v>
      </c>
      <c r="D440">
        <v>9.5833333333333296E-4</v>
      </c>
      <c r="E440">
        <v>900</v>
      </c>
    </row>
    <row r="441" spans="2:5" x14ac:dyDescent="0.3">
      <c r="B441" t="s">
        <v>181</v>
      </c>
      <c r="C441" t="s">
        <v>30</v>
      </c>
      <c r="D441">
        <v>9.5833333333333296E-4</v>
      </c>
      <c r="E441">
        <v>500</v>
      </c>
    </row>
    <row r="442" spans="2:5" x14ac:dyDescent="0.3">
      <c r="B442" t="s">
        <v>181</v>
      </c>
      <c r="C442" t="s">
        <v>30</v>
      </c>
      <c r="D442">
        <v>5.0000000000000001E-4</v>
      </c>
      <c r="E442">
        <v>3500</v>
      </c>
    </row>
    <row r="443" spans="2:5" x14ac:dyDescent="0.3">
      <c r="B443" t="s">
        <v>181</v>
      </c>
      <c r="C443" t="s">
        <v>30</v>
      </c>
      <c r="D443">
        <v>5.0000000000000001E-4</v>
      </c>
      <c r="E443">
        <v>3400</v>
      </c>
    </row>
    <row r="444" spans="2:5" x14ac:dyDescent="0.3">
      <c r="B444" t="s">
        <v>181</v>
      </c>
      <c r="C444" t="s">
        <v>30</v>
      </c>
      <c r="D444">
        <v>9.5833333333333296E-4</v>
      </c>
      <c r="E444">
        <v>900</v>
      </c>
    </row>
    <row r="445" spans="2:5" x14ac:dyDescent="0.3">
      <c r="B445" t="s">
        <v>181</v>
      </c>
      <c r="C445" t="s">
        <v>30</v>
      </c>
      <c r="D445">
        <v>9.5833333333333296E-4</v>
      </c>
      <c r="E445">
        <v>600</v>
      </c>
    </row>
    <row r="446" spans="2:5" x14ac:dyDescent="0.3">
      <c r="B446" t="s">
        <v>181</v>
      </c>
      <c r="C446" t="s">
        <v>30</v>
      </c>
      <c r="D446">
        <v>9.5833333333333296E-4</v>
      </c>
      <c r="E446">
        <v>800</v>
      </c>
    </row>
    <row r="447" spans="2:5" x14ac:dyDescent="0.3">
      <c r="B447" t="s">
        <v>181</v>
      </c>
      <c r="C447" t="s">
        <v>30</v>
      </c>
      <c r="D447">
        <v>0</v>
      </c>
      <c r="E447">
        <v>0</v>
      </c>
    </row>
    <row r="448" spans="2:5" x14ac:dyDescent="0.3">
      <c r="B448" t="s">
        <v>181</v>
      </c>
      <c r="C448" t="s">
        <v>30</v>
      </c>
      <c r="D448">
        <v>5.0000000000000001E-4</v>
      </c>
      <c r="E448">
        <v>2000</v>
      </c>
    </row>
    <row r="449" spans="2:5" x14ac:dyDescent="0.3">
      <c r="B449" t="s">
        <v>181</v>
      </c>
      <c r="C449" t="s">
        <v>30</v>
      </c>
      <c r="D449">
        <v>5.0000000000000001E-4</v>
      </c>
      <c r="E449">
        <v>2300</v>
      </c>
    </row>
    <row r="450" spans="2:5" x14ac:dyDescent="0.3">
      <c r="B450" t="s">
        <v>181</v>
      </c>
      <c r="C450" t="s">
        <v>30</v>
      </c>
      <c r="D450">
        <v>5.0000000000000001E-4</v>
      </c>
      <c r="E450">
        <v>2500</v>
      </c>
    </row>
    <row r="451" spans="2:5" x14ac:dyDescent="0.3">
      <c r="B451" t="s">
        <v>183</v>
      </c>
      <c r="C451" t="s">
        <v>22</v>
      </c>
      <c r="D451">
        <v>5.0000000000000001E-4</v>
      </c>
      <c r="E451">
        <v>2100</v>
      </c>
    </row>
    <row r="452" spans="2:5" x14ac:dyDescent="0.3">
      <c r="B452" t="s">
        <v>183</v>
      </c>
      <c r="C452" t="s">
        <v>22</v>
      </c>
      <c r="D452">
        <v>5.0000000000000001E-4</v>
      </c>
      <c r="E452">
        <v>2000</v>
      </c>
    </row>
    <row r="453" spans="2:5" x14ac:dyDescent="0.3">
      <c r="B453" t="s">
        <v>183</v>
      </c>
      <c r="C453" t="s">
        <v>22</v>
      </c>
      <c r="D453">
        <v>5.8333333333333295E-4</v>
      </c>
      <c r="E453">
        <v>1800</v>
      </c>
    </row>
    <row r="454" spans="2:5" x14ac:dyDescent="0.3">
      <c r="B454" t="s">
        <v>183</v>
      </c>
      <c r="C454" t="s">
        <v>22</v>
      </c>
      <c r="D454">
        <v>5.8333333333333295E-4</v>
      </c>
      <c r="E454">
        <v>1700</v>
      </c>
    </row>
    <row r="455" spans="2:5" x14ac:dyDescent="0.3">
      <c r="B455" t="s">
        <v>183</v>
      </c>
      <c r="C455" t="s">
        <v>22</v>
      </c>
      <c r="D455">
        <v>5.0000000000000001E-4</v>
      </c>
      <c r="E455">
        <v>2350</v>
      </c>
    </row>
    <row r="456" spans="2:5" x14ac:dyDescent="0.3">
      <c r="B456" t="s">
        <v>183</v>
      </c>
      <c r="C456" t="s">
        <v>22</v>
      </c>
      <c r="D456">
        <v>6.2500000000000001E-4</v>
      </c>
      <c r="E456">
        <v>1400</v>
      </c>
    </row>
    <row r="457" spans="2:5" x14ac:dyDescent="0.3">
      <c r="B457" t="s">
        <v>183</v>
      </c>
      <c r="C457" t="s">
        <v>22</v>
      </c>
      <c r="D457">
        <v>6.2500000000000001E-4</v>
      </c>
      <c r="E457">
        <v>1050</v>
      </c>
    </row>
    <row r="458" spans="2:5" x14ac:dyDescent="0.3">
      <c r="B458" t="s">
        <v>183</v>
      </c>
      <c r="C458" t="s">
        <v>22</v>
      </c>
      <c r="D458">
        <v>5.0000000000000001E-4</v>
      </c>
      <c r="E458">
        <v>3200</v>
      </c>
    </row>
    <row r="459" spans="2:5" x14ac:dyDescent="0.3">
      <c r="B459" t="s">
        <v>183</v>
      </c>
      <c r="C459" t="s">
        <v>22</v>
      </c>
      <c r="D459">
        <v>5.0000000000000001E-4</v>
      </c>
      <c r="E459">
        <v>2700</v>
      </c>
    </row>
    <row r="460" spans="2:5" x14ac:dyDescent="0.3">
      <c r="B460" t="s">
        <v>183</v>
      </c>
      <c r="C460" t="s">
        <v>22</v>
      </c>
      <c r="D460">
        <v>6.2500000000000001E-4</v>
      </c>
      <c r="E460">
        <v>1400</v>
      </c>
    </row>
    <row r="461" spans="2:5" x14ac:dyDescent="0.3">
      <c r="B461" t="s">
        <v>183</v>
      </c>
      <c r="C461" t="s">
        <v>22</v>
      </c>
      <c r="D461">
        <v>6.2500000000000001E-4</v>
      </c>
      <c r="E461">
        <v>1100</v>
      </c>
    </row>
    <row r="462" spans="2:5" x14ac:dyDescent="0.3">
      <c r="B462" t="s">
        <v>183</v>
      </c>
      <c r="C462" t="s">
        <v>22</v>
      </c>
      <c r="D462">
        <v>6.2500000000000001E-4</v>
      </c>
      <c r="E462">
        <v>1100</v>
      </c>
    </row>
    <row r="463" spans="2:5" x14ac:dyDescent="0.3">
      <c r="B463" t="s">
        <v>183</v>
      </c>
      <c r="C463" t="s">
        <v>22</v>
      </c>
      <c r="D463">
        <v>5.8333333333333295E-4</v>
      </c>
      <c r="E463">
        <v>1600</v>
      </c>
    </row>
    <row r="464" spans="2:5" x14ac:dyDescent="0.3">
      <c r="B464" t="s">
        <v>183</v>
      </c>
      <c r="C464" t="s">
        <v>22</v>
      </c>
      <c r="D464">
        <v>0</v>
      </c>
      <c r="E464">
        <v>0</v>
      </c>
    </row>
    <row r="465" spans="2:5" x14ac:dyDescent="0.3">
      <c r="B465" t="s">
        <v>183</v>
      </c>
      <c r="C465" t="s">
        <v>22</v>
      </c>
      <c r="D465">
        <v>5.8333333333333295E-4</v>
      </c>
      <c r="E465">
        <v>1600</v>
      </c>
    </row>
    <row r="466" spans="2:5" x14ac:dyDescent="0.3">
      <c r="B466" t="s">
        <v>183</v>
      </c>
      <c r="C466" t="s">
        <v>22</v>
      </c>
      <c r="D466">
        <v>5.8333333333333295E-4</v>
      </c>
      <c r="E466">
        <v>1600</v>
      </c>
    </row>
    <row r="467" spans="2:5" x14ac:dyDescent="0.3">
      <c r="B467" t="s">
        <v>183</v>
      </c>
      <c r="C467" t="s">
        <v>22</v>
      </c>
      <c r="D467">
        <v>9.5833333333333296E-4</v>
      </c>
      <c r="E467">
        <v>600</v>
      </c>
    </row>
    <row r="468" spans="2:5" x14ac:dyDescent="0.3">
      <c r="B468" t="s">
        <v>183</v>
      </c>
      <c r="C468" t="s">
        <v>22</v>
      </c>
      <c r="D468">
        <v>1.0416666666666699E-3</v>
      </c>
      <c r="E468">
        <v>400</v>
      </c>
    </row>
    <row r="469" spans="2:5" x14ac:dyDescent="0.3">
      <c r="B469" t="s">
        <v>183</v>
      </c>
      <c r="C469" t="s">
        <v>22</v>
      </c>
      <c r="D469">
        <v>6.2500000000000001E-4</v>
      </c>
      <c r="E469">
        <v>1100</v>
      </c>
    </row>
    <row r="470" spans="2:5" x14ac:dyDescent="0.3">
      <c r="B470" t="s">
        <v>183</v>
      </c>
      <c r="C470" t="s">
        <v>22</v>
      </c>
      <c r="D470">
        <v>5.0000000000000001E-4</v>
      </c>
      <c r="E470">
        <v>3300</v>
      </c>
    </row>
    <row r="471" spans="2:5" x14ac:dyDescent="0.3">
      <c r="B471" t="s">
        <v>183</v>
      </c>
      <c r="C471" t="s">
        <v>22</v>
      </c>
      <c r="D471">
        <v>5.0000000000000001E-4</v>
      </c>
      <c r="E471">
        <v>3100</v>
      </c>
    </row>
    <row r="472" spans="2:5" x14ac:dyDescent="0.3">
      <c r="B472" t="s">
        <v>183</v>
      </c>
      <c r="C472" t="s">
        <v>22</v>
      </c>
      <c r="D472">
        <v>9.5833333333333296E-4</v>
      </c>
      <c r="E472">
        <v>800</v>
      </c>
    </row>
    <row r="473" spans="2:5" x14ac:dyDescent="0.3">
      <c r="B473" t="s">
        <v>183</v>
      </c>
      <c r="C473" t="s">
        <v>22</v>
      </c>
      <c r="D473">
        <v>6.2500000000000001E-4</v>
      </c>
      <c r="E473">
        <v>1000</v>
      </c>
    </row>
    <row r="474" spans="2:5" x14ac:dyDescent="0.3">
      <c r="B474" t="s">
        <v>183</v>
      </c>
      <c r="C474" t="s">
        <v>22</v>
      </c>
      <c r="D474">
        <v>9.5833333333333296E-4</v>
      </c>
      <c r="E474">
        <v>500</v>
      </c>
    </row>
    <row r="475" spans="2:5" x14ac:dyDescent="0.3">
      <c r="B475" t="s">
        <v>183</v>
      </c>
      <c r="C475" t="s">
        <v>22</v>
      </c>
      <c r="D475">
        <v>9.5833333333333296E-4</v>
      </c>
      <c r="E475">
        <v>600</v>
      </c>
    </row>
    <row r="476" spans="2:5" x14ac:dyDescent="0.3">
      <c r="B476" t="s">
        <v>183</v>
      </c>
      <c r="C476" t="s">
        <v>22</v>
      </c>
      <c r="D476">
        <v>6.2500000000000001E-4</v>
      </c>
      <c r="E476">
        <v>1400</v>
      </c>
    </row>
    <row r="477" spans="2:5" x14ac:dyDescent="0.3">
      <c r="B477" t="s">
        <v>183</v>
      </c>
      <c r="C477" t="s">
        <v>22</v>
      </c>
      <c r="D477">
        <v>5.0000000000000001E-4</v>
      </c>
      <c r="E477">
        <v>2100</v>
      </c>
    </row>
    <row r="478" spans="2:5" x14ac:dyDescent="0.3">
      <c r="B478" t="s">
        <v>183</v>
      </c>
      <c r="C478" t="s">
        <v>22</v>
      </c>
      <c r="D478">
        <v>5.0000000000000001E-4</v>
      </c>
      <c r="E478">
        <v>2000</v>
      </c>
    </row>
    <row r="479" spans="2:5" x14ac:dyDescent="0.3">
      <c r="B479" t="s">
        <v>185</v>
      </c>
      <c r="C479" t="s">
        <v>25</v>
      </c>
      <c r="D479">
        <v>5.8333333333333295E-4</v>
      </c>
      <c r="E479">
        <v>1800</v>
      </c>
    </row>
    <row r="480" spans="2:5" x14ac:dyDescent="0.3">
      <c r="B480" t="s">
        <v>185</v>
      </c>
      <c r="C480" t="s">
        <v>25</v>
      </c>
      <c r="D480">
        <v>5.8333333333333295E-4</v>
      </c>
      <c r="E480">
        <v>1700</v>
      </c>
    </row>
    <row r="481" spans="2:5" x14ac:dyDescent="0.3">
      <c r="B481" t="s">
        <v>185</v>
      </c>
      <c r="C481" t="s">
        <v>25</v>
      </c>
      <c r="D481">
        <v>5.8333333333333295E-4</v>
      </c>
      <c r="E481">
        <v>1730</v>
      </c>
    </row>
    <row r="482" spans="2:5" x14ac:dyDescent="0.3">
      <c r="B482" t="s">
        <v>185</v>
      </c>
      <c r="C482" t="s">
        <v>25</v>
      </c>
      <c r="D482">
        <v>5.8333333333333295E-4</v>
      </c>
      <c r="E482">
        <v>1633</v>
      </c>
    </row>
    <row r="483" spans="2:5" x14ac:dyDescent="0.3">
      <c r="B483" t="s">
        <v>185</v>
      </c>
      <c r="C483" t="s">
        <v>25</v>
      </c>
      <c r="D483">
        <v>5.0000000000000001E-4</v>
      </c>
      <c r="E483">
        <v>2050</v>
      </c>
    </row>
    <row r="484" spans="2:5" x14ac:dyDescent="0.3">
      <c r="B484" t="s">
        <v>185</v>
      </c>
      <c r="C484" t="s">
        <v>25</v>
      </c>
      <c r="D484">
        <v>6.2500000000000001E-4</v>
      </c>
      <c r="E484">
        <v>1200</v>
      </c>
    </row>
    <row r="485" spans="2:5" x14ac:dyDescent="0.3">
      <c r="B485" t="s">
        <v>185</v>
      </c>
      <c r="C485" t="s">
        <v>25</v>
      </c>
      <c r="D485">
        <v>9.5833333333333296E-4</v>
      </c>
      <c r="E485">
        <v>750</v>
      </c>
    </row>
    <row r="486" spans="2:5" x14ac:dyDescent="0.3">
      <c r="B486" t="s">
        <v>185</v>
      </c>
      <c r="C486" t="s">
        <v>25</v>
      </c>
      <c r="D486">
        <v>5.0000000000000001E-4</v>
      </c>
      <c r="E486">
        <v>2890</v>
      </c>
    </row>
    <row r="487" spans="2:5" x14ac:dyDescent="0.3">
      <c r="B487" t="s">
        <v>185</v>
      </c>
      <c r="C487" t="s">
        <v>25</v>
      </c>
      <c r="D487">
        <v>5.0000000000000001E-4</v>
      </c>
      <c r="E487">
        <v>2400</v>
      </c>
    </row>
    <row r="488" spans="2:5" x14ac:dyDescent="0.3">
      <c r="B488" t="s">
        <v>185</v>
      </c>
      <c r="C488" t="s">
        <v>25</v>
      </c>
      <c r="D488">
        <v>6.2500000000000001E-4</v>
      </c>
      <c r="E488">
        <v>1300</v>
      </c>
    </row>
    <row r="489" spans="2:5" x14ac:dyDescent="0.3">
      <c r="B489" t="s">
        <v>185</v>
      </c>
      <c r="C489" t="s">
        <v>25</v>
      </c>
      <c r="D489">
        <v>6.2500000000000001E-4</v>
      </c>
      <c r="E489">
        <v>1200</v>
      </c>
    </row>
    <row r="490" spans="2:5" x14ac:dyDescent="0.3">
      <c r="B490" t="s">
        <v>185</v>
      </c>
      <c r="C490" t="s">
        <v>25</v>
      </c>
      <c r="D490">
        <v>9.5833333333333296E-4</v>
      </c>
      <c r="E490">
        <v>900</v>
      </c>
    </row>
    <row r="491" spans="2:5" x14ac:dyDescent="0.3">
      <c r="B491" t="s">
        <v>185</v>
      </c>
      <c r="C491" t="s">
        <v>25</v>
      </c>
      <c r="D491">
        <v>6.2500000000000001E-4</v>
      </c>
      <c r="E491">
        <v>1300</v>
      </c>
    </row>
    <row r="492" spans="2:5" x14ac:dyDescent="0.3">
      <c r="B492" t="s">
        <v>185</v>
      </c>
      <c r="C492" t="s">
        <v>25</v>
      </c>
      <c r="D492">
        <v>1.0416666666666699E-3</v>
      </c>
      <c r="E492">
        <v>400</v>
      </c>
    </row>
    <row r="493" spans="2:5" x14ac:dyDescent="0.3">
      <c r="B493" t="s">
        <v>185</v>
      </c>
      <c r="C493" t="s">
        <v>25</v>
      </c>
      <c r="D493">
        <v>6.2500000000000001E-4</v>
      </c>
      <c r="E493">
        <v>1400</v>
      </c>
    </row>
    <row r="494" spans="2:5" x14ac:dyDescent="0.3">
      <c r="B494" t="s">
        <v>185</v>
      </c>
      <c r="C494" t="s">
        <v>25</v>
      </c>
      <c r="D494">
        <v>5.8333333333333295E-4</v>
      </c>
      <c r="E494">
        <v>1800</v>
      </c>
    </row>
    <row r="495" spans="2:5" x14ac:dyDescent="0.3">
      <c r="B495" t="s">
        <v>185</v>
      </c>
      <c r="C495" t="s">
        <v>25</v>
      </c>
      <c r="D495">
        <v>1.0416666666666699E-3</v>
      </c>
      <c r="E495">
        <v>300</v>
      </c>
    </row>
    <row r="496" spans="2:5" x14ac:dyDescent="0.3">
      <c r="B496" t="s">
        <v>185</v>
      </c>
      <c r="C496" t="s">
        <v>25</v>
      </c>
      <c r="D496">
        <v>0</v>
      </c>
      <c r="E496">
        <v>0</v>
      </c>
    </row>
    <row r="497" spans="2:5" x14ac:dyDescent="0.3">
      <c r="B497" t="s">
        <v>185</v>
      </c>
      <c r="C497" t="s">
        <v>25</v>
      </c>
      <c r="D497">
        <v>5.8333333333333295E-4</v>
      </c>
      <c r="E497">
        <v>1500</v>
      </c>
    </row>
    <row r="498" spans="2:5" x14ac:dyDescent="0.3">
      <c r="B498" t="s">
        <v>185</v>
      </c>
      <c r="C498" t="s">
        <v>25</v>
      </c>
      <c r="D498">
        <v>5.0000000000000001E-4</v>
      </c>
      <c r="E498">
        <v>3000</v>
      </c>
    </row>
    <row r="499" spans="2:5" x14ac:dyDescent="0.3">
      <c r="B499" t="s">
        <v>185</v>
      </c>
      <c r="C499" t="s">
        <v>25</v>
      </c>
      <c r="D499">
        <v>5.0000000000000001E-4</v>
      </c>
      <c r="E499">
        <v>2800</v>
      </c>
    </row>
    <row r="500" spans="2:5" x14ac:dyDescent="0.3">
      <c r="B500" t="s">
        <v>185</v>
      </c>
      <c r="C500" t="s">
        <v>25</v>
      </c>
      <c r="D500">
        <v>9.5833333333333296E-4</v>
      </c>
      <c r="E500">
        <v>900</v>
      </c>
    </row>
    <row r="501" spans="2:5" x14ac:dyDescent="0.3">
      <c r="B501" t="s">
        <v>185</v>
      </c>
      <c r="C501" t="s">
        <v>25</v>
      </c>
      <c r="D501">
        <v>6.2500000000000001E-4</v>
      </c>
      <c r="E501">
        <v>1300</v>
      </c>
    </row>
    <row r="502" spans="2:5" x14ac:dyDescent="0.3">
      <c r="B502" t="s">
        <v>185</v>
      </c>
      <c r="C502" t="s">
        <v>25</v>
      </c>
      <c r="D502">
        <v>9.5833333333333296E-4</v>
      </c>
      <c r="E502">
        <v>800</v>
      </c>
    </row>
    <row r="503" spans="2:5" x14ac:dyDescent="0.3">
      <c r="B503" t="s">
        <v>185</v>
      </c>
      <c r="C503" t="s">
        <v>25</v>
      </c>
      <c r="D503">
        <v>9.5833333333333296E-4</v>
      </c>
      <c r="E503">
        <v>900</v>
      </c>
    </row>
    <row r="504" spans="2:5" x14ac:dyDescent="0.3">
      <c r="B504" t="s">
        <v>185</v>
      </c>
      <c r="C504" t="s">
        <v>25</v>
      </c>
      <c r="D504">
        <v>6.2500000000000001E-4</v>
      </c>
      <c r="E504">
        <v>1000</v>
      </c>
    </row>
    <row r="505" spans="2:5" x14ac:dyDescent="0.3">
      <c r="B505" t="s">
        <v>185</v>
      </c>
      <c r="C505" t="s">
        <v>25</v>
      </c>
      <c r="D505">
        <v>5.8333333333333295E-4</v>
      </c>
      <c r="E505">
        <v>1900</v>
      </c>
    </row>
    <row r="506" spans="2:5" x14ac:dyDescent="0.3">
      <c r="B506" t="s">
        <v>185</v>
      </c>
      <c r="C506" t="s">
        <v>25</v>
      </c>
      <c r="D506">
        <v>5.8333333333333295E-4</v>
      </c>
      <c r="E506">
        <v>1700</v>
      </c>
    </row>
    <row r="507" spans="2:5" x14ac:dyDescent="0.3">
      <c r="B507" t="s">
        <v>187</v>
      </c>
      <c r="C507" t="s">
        <v>21</v>
      </c>
      <c r="D507">
        <v>9.5833333333333296E-4</v>
      </c>
      <c r="E507">
        <v>700</v>
      </c>
    </row>
    <row r="508" spans="2:5" x14ac:dyDescent="0.3">
      <c r="B508" t="s">
        <v>187</v>
      </c>
      <c r="C508" t="s">
        <v>21</v>
      </c>
      <c r="D508">
        <v>9.5833333333333296E-4</v>
      </c>
      <c r="E508">
        <v>500</v>
      </c>
    </row>
    <row r="509" spans="2:5" x14ac:dyDescent="0.3">
      <c r="B509" t="s">
        <v>187</v>
      </c>
      <c r="C509" t="s">
        <v>21</v>
      </c>
      <c r="D509">
        <v>9.5833333333333296E-4</v>
      </c>
      <c r="E509">
        <v>800</v>
      </c>
    </row>
    <row r="510" spans="2:5" x14ac:dyDescent="0.3">
      <c r="B510" t="s">
        <v>187</v>
      </c>
      <c r="C510" t="s">
        <v>21</v>
      </c>
      <c r="D510">
        <v>9.5833333333333296E-4</v>
      </c>
      <c r="E510">
        <v>800</v>
      </c>
    </row>
    <row r="511" spans="2:5" x14ac:dyDescent="0.3">
      <c r="B511" t="s">
        <v>187</v>
      </c>
      <c r="C511" t="s">
        <v>21</v>
      </c>
      <c r="D511">
        <v>9.5833333333333296E-4</v>
      </c>
      <c r="E511">
        <v>700</v>
      </c>
    </row>
    <row r="512" spans="2:5" x14ac:dyDescent="0.3">
      <c r="B512" t="s">
        <v>187</v>
      </c>
      <c r="C512" t="s">
        <v>21</v>
      </c>
      <c r="D512">
        <v>9.5833333333333296E-4</v>
      </c>
      <c r="E512">
        <v>750</v>
      </c>
    </row>
    <row r="513" spans="2:5" x14ac:dyDescent="0.3">
      <c r="B513" t="s">
        <v>187</v>
      </c>
      <c r="C513" t="s">
        <v>21</v>
      </c>
      <c r="D513">
        <v>6.2500000000000001E-4</v>
      </c>
      <c r="E513">
        <v>1250</v>
      </c>
    </row>
    <row r="514" spans="2:5" x14ac:dyDescent="0.3">
      <c r="B514" t="s">
        <v>187</v>
      </c>
      <c r="C514" t="s">
        <v>21</v>
      </c>
      <c r="D514">
        <v>5.0000000000000001E-4</v>
      </c>
      <c r="E514">
        <v>3400</v>
      </c>
    </row>
    <row r="515" spans="2:5" x14ac:dyDescent="0.3">
      <c r="B515" t="s">
        <v>187</v>
      </c>
      <c r="C515" t="s">
        <v>21</v>
      </c>
      <c r="D515">
        <v>6.2500000000000001E-4</v>
      </c>
      <c r="E515">
        <v>1100</v>
      </c>
    </row>
    <row r="516" spans="2:5" x14ac:dyDescent="0.3">
      <c r="B516" t="s">
        <v>187</v>
      </c>
      <c r="C516" t="s">
        <v>21</v>
      </c>
      <c r="D516">
        <v>9.5833333333333296E-4</v>
      </c>
      <c r="E516">
        <v>700</v>
      </c>
    </row>
    <row r="517" spans="2:5" x14ac:dyDescent="0.3">
      <c r="B517" t="s">
        <v>187</v>
      </c>
      <c r="C517" t="s">
        <v>21</v>
      </c>
      <c r="D517">
        <v>6.2500000000000001E-4</v>
      </c>
      <c r="E517">
        <v>1200</v>
      </c>
    </row>
    <row r="518" spans="2:5" x14ac:dyDescent="0.3">
      <c r="B518" t="s">
        <v>187</v>
      </c>
      <c r="C518" t="s">
        <v>21</v>
      </c>
      <c r="D518">
        <v>6.2500000000000001E-4</v>
      </c>
      <c r="E518">
        <v>1100</v>
      </c>
    </row>
    <row r="519" spans="2:5" x14ac:dyDescent="0.3">
      <c r="B519" t="s">
        <v>187</v>
      </c>
      <c r="C519" t="s">
        <v>21</v>
      </c>
      <c r="D519">
        <v>9.5833333333333296E-4</v>
      </c>
      <c r="E519">
        <v>800</v>
      </c>
    </row>
    <row r="520" spans="2:5" x14ac:dyDescent="0.3">
      <c r="B520" t="s">
        <v>187</v>
      </c>
      <c r="C520" t="s">
        <v>21</v>
      </c>
      <c r="D520">
        <v>5.0000000000000001E-4</v>
      </c>
      <c r="E520">
        <v>2100</v>
      </c>
    </row>
    <row r="521" spans="2:5" x14ac:dyDescent="0.3">
      <c r="B521" t="s">
        <v>187</v>
      </c>
      <c r="C521" t="s">
        <v>21</v>
      </c>
      <c r="D521">
        <v>9.5833333333333296E-4</v>
      </c>
      <c r="E521">
        <v>600</v>
      </c>
    </row>
    <row r="522" spans="2:5" x14ac:dyDescent="0.3">
      <c r="B522" t="s">
        <v>187</v>
      </c>
      <c r="C522" t="s">
        <v>21</v>
      </c>
      <c r="D522">
        <v>5.8333333333333295E-4</v>
      </c>
      <c r="E522">
        <v>1500</v>
      </c>
    </row>
    <row r="523" spans="2:5" x14ac:dyDescent="0.3">
      <c r="B523" t="s">
        <v>187</v>
      </c>
      <c r="C523" t="s">
        <v>21</v>
      </c>
      <c r="D523">
        <v>5.0000000000000001E-4</v>
      </c>
      <c r="E523">
        <v>2000</v>
      </c>
    </row>
    <row r="524" spans="2:5" x14ac:dyDescent="0.3">
      <c r="B524" t="s">
        <v>187</v>
      </c>
      <c r="C524" t="s">
        <v>21</v>
      </c>
      <c r="D524">
        <v>5.8333333333333295E-4</v>
      </c>
      <c r="E524">
        <v>1900</v>
      </c>
    </row>
    <row r="525" spans="2:5" x14ac:dyDescent="0.3">
      <c r="B525" t="s">
        <v>187</v>
      </c>
      <c r="C525" t="s">
        <v>21</v>
      </c>
      <c r="D525">
        <v>5.0000000000000001E-4</v>
      </c>
      <c r="E525">
        <v>2500</v>
      </c>
    </row>
    <row r="526" spans="2:5" x14ac:dyDescent="0.3">
      <c r="B526" t="s">
        <v>187</v>
      </c>
      <c r="C526" t="s">
        <v>21</v>
      </c>
      <c r="D526">
        <v>5.8333333333333295E-4</v>
      </c>
      <c r="E526">
        <v>1700</v>
      </c>
    </row>
    <row r="527" spans="2:5" x14ac:dyDescent="0.3">
      <c r="B527" t="s">
        <v>187</v>
      </c>
      <c r="C527" t="s">
        <v>21</v>
      </c>
      <c r="D527">
        <v>5.8333333333333295E-4</v>
      </c>
      <c r="E527">
        <v>1500</v>
      </c>
    </row>
    <row r="528" spans="2:5" x14ac:dyDescent="0.3">
      <c r="B528" t="s">
        <v>187</v>
      </c>
      <c r="C528" t="s">
        <v>21</v>
      </c>
      <c r="D528">
        <v>6.2500000000000001E-4</v>
      </c>
      <c r="E528">
        <v>1400</v>
      </c>
    </row>
    <row r="529" spans="2:5" x14ac:dyDescent="0.3">
      <c r="B529" t="s">
        <v>187</v>
      </c>
      <c r="C529" t="s">
        <v>21</v>
      </c>
      <c r="D529">
        <v>5.0000000000000001E-4</v>
      </c>
      <c r="E529">
        <v>2000</v>
      </c>
    </row>
    <row r="530" spans="2:5" x14ac:dyDescent="0.3">
      <c r="B530" t="s">
        <v>187</v>
      </c>
      <c r="C530" t="s">
        <v>21</v>
      </c>
      <c r="D530">
        <v>5.0000000000000001E-4</v>
      </c>
      <c r="E530">
        <v>2700</v>
      </c>
    </row>
    <row r="531" spans="2:5" x14ac:dyDescent="0.3">
      <c r="B531" t="s">
        <v>187</v>
      </c>
      <c r="C531" t="s">
        <v>21</v>
      </c>
      <c r="D531">
        <v>5.0000000000000001E-4</v>
      </c>
      <c r="E531">
        <v>2300</v>
      </c>
    </row>
    <row r="532" spans="2:5" x14ac:dyDescent="0.3">
      <c r="B532" t="s">
        <v>187</v>
      </c>
      <c r="C532" t="s">
        <v>21</v>
      </c>
      <c r="D532">
        <v>5.8333333333333295E-4</v>
      </c>
      <c r="E532">
        <v>1700</v>
      </c>
    </row>
    <row r="533" spans="2:5" x14ac:dyDescent="0.3">
      <c r="B533" t="s">
        <v>187</v>
      </c>
      <c r="C533" t="s">
        <v>21</v>
      </c>
      <c r="D533">
        <v>0</v>
      </c>
      <c r="E533">
        <v>0</v>
      </c>
    </row>
    <row r="534" spans="2:5" x14ac:dyDescent="0.3">
      <c r="B534" t="s">
        <v>187</v>
      </c>
      <c r="C534" t="s">
        <v>21</v>
      </c>
      <c r="D534">
        <v>6.2500000000000001E-4</v>
      </c>
      <c r="E534">
        <v>1200</v>
      </c>
    </row>
    <row r="535" spans="2:5" x14ac:dyDescent="0.3">
      <c r="B535" t="s">
        <v>189</v>
      </c>
      <c r="C535" t="s">
        <v>29</v>
      </c>
      <c r="D535">
        <v>5.0000000000000001E-4</v>
      </c>
      <c r="E535">
        <v>2196</v>
      </c>
    </row>
    <row r="536" spans="2:5" x14ac:dyDescent="0.3">
      <c r="B536" t="s">
        <v>189</v>
      </c>
      <c r="C536" t="s">
        <v>29</v>
      </c>
      <c r="D536">
        <v>5.0000000000000001E-4</v>
      </c>
      <c r="E536">
        <v>2100</v>
      </c>
    </row>
    <row r="537" spans="2:5" x14ac:dyDescent="0.3">
      <c r="B537" t="s">
        <v>189</v>
      </c>
      <c r="C537" t="s">
        <v>29</v>
      </c>
      <c r="D537">
        <v>6.2500000000000001E-4</v>
      </c>
      <c r="E537">
        <v>1450</v>
      </c>
    </row>
    <row r="538" spans="2:5" x14ac:dyDescent="0.3">
      <c r="B538" t="s">
        <v>189</v>
      </c>
      <c r="C538" t="s">
        <v>29</v>
      </c>
      <c r="D538">
        <v>6.2500000000000001E-4</v>
      </c>
      <c r="E538">
        <v>1300</v>
      </c>
    </row>
    <row r="539" spans="2:5" x14ac:dyDescent="0.3">
      <c r="B539" t="s">
        <v>189</v>
      </c>
      <c r="C539" t="s">
        <v>29</v>
      </c>
      <c r="D539">
        <v>5.0000000000000001E-4</v>
      </c>
      <c r="E539">
        <v>2400</v>
      </c>
    </row>
    <row r="540" spans="2:5" x14ac:dyDescent="0.3">
      <c r="B540" t="s">
        <v>189</v>
      </c>
      <c r="C540" t="s">
        <v>29</v>
      </c>
      <c r="D540">
        <v>6.2500000000000001E-4</v>
      </c>
      <c r="E540">
        <v>1450</v>
      </c>
    </row>
    <row r="541" spans="2:5" x14ac:dyDescent="0.3">
      <c r="B541" t="s">
        <v>189</v>
      </c>
      <c r="C541" t="s">
        <v>29</v>
      </c>
      <c r="D541">
        <v>5.8333333333333295E-4</v>
      </c>
      <c r="E541">
        <v>1700</v>
      </c>
    </row>
    <row r="542" spans="2:5" x14ac:dyDescent="0.3">
      <c r="B542" t="s">
        <v>189</v>
      </c>
      <c r="C542" t="s">
        <v>29</v>
      </c>
      <c r="D542">
        <v>5.0000000000000001E-4</v>
      </c>
      <c r="E542">
        <v>4100</v>
      </c>
    </row>
    <row r="543" spans="2:5" x14ac:dyDescent="0.3">
      <c r="B543" t="s">
        <v>189</v>
      </c>
      <c r="C543" t="s">
        <v>29</v>
      </c>
      <c r="D543">
        <v>5.0000000000000001E-4</v>
      </c>
      <c r="E543">
        <v>2800</v>
      </c>
    </row>
    <row r="544" spans="2:5" x14ac:dyDescent="0.3">
      <c r="B544" t="s">
        <v>189</v>
      </c>
      <c r="C544" t="s">
        <v>29</v>
      </c>
      <c r="D544">
        <v>6.2500000000000001E-4</v>
      </c>
      <c r="E544">
        <v>1300</v>
      </c>
    </row>
    <row r="545" spans="2:5" x14ac:dyDescent="0.3">
      <c r="B545" t="s">
        <v>189</v>
      </c>
      <c r="C545" t="s">
        <v>29</v>
      </c>
      <c r="D545">
        <v>9.5833333333333296E-4</v>
      </c>
      <c r="E545">
        <v>800</v>
      </c>
    </row>
    <row r="546" spans="2:5" x14ac:dyDescent="0.3">
      <c r="B546" t="s">
        <v>189</v>
      </c>
      <c r="C546" t="s">
        <v>29</v>
      </c>
      <c r="D546">
        <v>6.2500000000000001E-4</v>
      </c>
      <c r="E546">
        <v>1000</v>
      </c>
    </row>
    <row r="547" spans="2:5" x14ac:dyDescent="0.3">
      <c r="B547" t="s">
        <v>189</v>
      </c>
      <c r="C547" t="s">
        <v>29</v>
      </c>
      <c r="D547">
        <v>5.8333333333333295E-4</v>
      </c>
      <c r="E547">
        <v>1900</v>
      </c>
    </row>
    <row r="548" spans="2:5" x14ac:dyDescent="0.3">
      <c r="B548" t="s">
        <v>189</v>
      </c>
      <c r="C548" t="s">
        <v>29</v>
      </c>
      <c r="D548">
        <v>6.2500000000000001E-4</v>
      </c>
      <c r="E548">
        <v>1000</v>
      </c>
    </row>
    <row r="549" spans="2:5" x14ac:dyDescent="0.3">
      <c r="B549" t="s">
        <v>189</v>
      </c>
      <c r="C549" t="s">
        <v>29</v>
      </c>
      <c r="D549">
        <v>6.2500000000000001E-4</v>
      </c>
      <c r="E549">
        <v>1400</v>
      </c>
    </row>
    <row r="550" spans="2:5" x14ac:dyDescent="0.3">
      <c r="B550" t="s">
        <v>189</v>
      </c>
      <c r="C550" t="s">
        <v>29</v>
      </c>
      <c r="D550">
        <v>9.5833333333333296E-4</v>
      </c>
      <c r="E550">
        <v>900</v>
      </c>
    </row>
    <row r="551" spans="2:5" x14ac:dyDescent="0.3">
      <c r="B551" t="s">
        <v>189</v>
      </c>
      <c r="C551" t="s">
        <v>29</v>
      </c>
      <c r="D551">
        <v>5.8333333333333295E-4</v>
      </c>
      <c r="E551">
        <v>1600</v>
      </c>
    </row>
    <row r="552" spans="2:5" x14ac:dyDescent="0.3">
      <c r="B552" t="s">
        <v>189</v>
      </c>
      <c r="C552" t="s">
        <v>29</v>
      </c>
      <c r="D552">
        <v>6.2500000000000001E-4</v>
      </c>
      <c r="E552">
        <v>1300</v>
      </c>
    </row>
    <row r="553" spans="2:5" x14ac:dyDescent="0.3">
      <c r="B553" t="s">
        <v>189</v>
      </c>
      <c r="C553" t="s">
        <v>29</v>
      </c>
      <c r="D553">
        <v>9.5833333333333296E-4</v>
      </c>
      <c r="E553">
        <v>600</v>
      </c>
    </row>
    <row r="554" spans="2:5" x14ac:dyDescent="0.3">
      <c r="B554" t="s">
        <v>189</v>
      </c>
      <c r="C554" t="s">
        <v>29</v>
      </c>
      <c r="D554">
        <v>5.0000000000000001E-4</v>
      </c>
      <c r="E554">
        <v>3300</v>
      </c>
    </row>
    <row r="555" spans="2:5" x14ac:dyDescent="0.3">
      <c r="B555" t="s">
        <v>189</v>
      </c>
      <c r="C555" t="s">
        <v>29</v>
      </c>
      <c r="D555">
        <v>5.0000000000000001E-4</v>
      </c>
      <c r="E555">
        <v>3200</v>
      </c>
    </row>
    <row r="556" spans="2:5" x14ac:dyDescent="0.3">
      <c r="B556" t="s">
        <v>189</v>
      </c>
      <c r="C556" t="s">
        <v>29</v>
      </c>
      <c r="D556">
        <v>9.5833333333333296E-4</v>
      </c>
      <c r="E556">
        <v>700</v>
      </c>
    </row>
    <row r="557" spans="2:5" x14ac:dyDescent="0.3">
      <c r="B557" t="s">
        <v>189</v>
      </c>
      <c r="C557" t="s">
        <v>29</v>
      </c>
      <c r="D557">
        <v>0</v>
      </c>
      <c r="E557">
        <v>0</v>
      </c>
    </row>
    <row r="558" spans="2:5" x14ac:dyDescent="0.3">
      <c r="B558" t="s">
        <v>189</v>
      </c>
      <c r="C558" t="s">
        <v>29</v>
      </c>
      <c r="D558">
        <v>6.2500000000000001E-4</v>
      </c>
      <c r="E558">
        <v>1300</v>
      </c>
    </row>
    <row r="559" spans="2:5" x14ac:dyDescent="0.3">
      <c r="B559" t="s">
        <v>189</v>
      </c>
      <c r="C559" t="s">
        <v>29</v>
      </c>
      <c r="D559">
        <v>9.5833333333333296E-4</v>
      </c>
      <c r="E559">
        <v>600</v>
      </c>
    </row>
    <row r="560" spans="2:5" x14ac:dyDescent="0.3">
      <c r="B560" t="s">
        <v>189</v>
      </c>
      <c r="C560" t="s">
        <v>29</v>
      </c>
      <c r="D560">
        <v>5.0000000000000001E-4</v>
      </c>
      <c r="E560">
        <v>2300</v>
      </c>
    </row>
    <row r="561" spans="2:5" x14ac:dyDescent="0.3">
      <c r="B561" t="s">
        <v>189</v>
      </c>
      <c r="C561" t="s">
        <v>29</v>
      </c>
      <c r="D561">
        <v>5.0000000000000001E-4</v>
      </c>
      <c r="E561">
        <v>2000</v>
      </c>
    </row>
    <row r="562" spans="2:5" x14ac:dyDescent="0.3">
      <c r="B562" t="s">
        <v>189</v>
      </c>
      <c r="C562" t="s">
        <v>29</v>
      </c>
      <c r="D562">
        <v>5.0000000000000001E-4</v>
      </c>
      <c r="E562">
        <v>2400</v>
      </c>
    </row>
    <row r="563" spans="2:5" x14ac:dyDescent="0.3">
      <c r="B563" s="40">
        <v>1522</v>
      </c>
      <c r="C563" s="2" t="s">
        <v>32</v>
      </c>
      <c r="D563">
        <v>6.2500000000000001E-4</v>
      </c>
      <c r="E563">
        <v>1250</v>
      </c>
    </row>
    <row r="564" spans="2:5" x14ac:dyDescent="0.3">
      <c r="B564" s="40">
        <v>1522</v>
      </c>
      <c r="C564" s="2" t="s">
        <v>32</v>
      </c>
      <c r="D564">
        <v>6.2500000000000001E-4</v>
      </c>
      <c r="E564">
        <v>1200</v>
      </c>
    </row>
    <row r="565" spans="2:5" x14ac:dyDescent="0.3">
      <c r="B565" s="40">
        <v>1522</v>
      </c>
      <c r="C565" s="2" t="s">
        <v>32</v>
      </c>
      <c r="D565">
        <v>9.5833333333333296E-4</v>
      </c>
      <c r="E565">
        <v>800</v>
      </c>
    </row>
    <row r="566" spans="2:5" x14ac:dyDescent="0.3">
      <c r="B566" s="40">
        <v>1522</v>
      </c>
      <c r="C566" s="2" t="s">
        <v>32</v>
      </c>
      <c r="D566">
        <v>9.5833333333333296E-4</v>
      </c>
      <c r="E566">
        <v>700</v>
      </c>
    </row>
    <row r="567" spans="2:5" x14ac:dyDescent="0.3">
      <c r="B567" s="40">
        <v>1522</v>
      </c>
      <c r="C567" s="2" t="s">
        <v>32</v>
      </c>
      <c r="D567">
        <v>6.2500000000000001E-4</v>
      </c>
      <c r="E567">
        <v>1400</v>
      </c>
    </row>
    <row r="568" spans="2:5" x14ac:dyDescent="0.3">
      <c r="B568" s="40">
        <v>1522</v>
      </c>
      <c r="C568" s="2" t="s">
        <v>32</v>
      </c>
      <c r="D568">
        <v>9.5833333333333296E-4</v>
      </c>
      <c r="E568">
        <v>500</v>
      </c>
    </row>
    <row r="569" spans="2:5" x14ac:dyDescent="0.3">
      <c r="B569" s="40">
        <v>1522</v>
      </c>
      <c r="C569" s="2" t="s">
        <v>32</v>
      </c>
      <c r="D569">
        <v>9.5833333333333296E-4</v>
      </c>
      <c r="E569">
        <v>750</v>
      </c>
    </row>
    <row r="570" spans="2:5" x14ac:dyDescent="0.3">
      <c r="B570" s="40">
        <v>1522</v>
      </c>
      <c r="C570" s="2" t="s">
        <v>32</v>
      </c>
      <c r="D570">
        <v>5.0000000000000001E-4</v>
      </c>
      <c r="E570">
        <v>3200</v>
      </c>
    </row>
    <row r="571" spans="2:5" x14ac:dyDescent="0.3">
      <c r="B571" s="40">
        <v>1522</v>
      </c>
      <c r="C571" s="2" t="s">
        <v>32</v>
      </c>
      <c r="D571">
        <v>5.8333333333333295E-4</v>
      </c>
      <c r="E571">
        <v>1700</v>
      </c>
    </row>
    <row r="572" spans="2:5" x14ac:dyDescent="0.3">
      <c r="B572" s="40">
        <v>1522</v>
      </c>
      <c r="C572" s="2" t="s">
        <v>32</v>
      </c>
      <c r="D572">
        <v>1.0416666666666699E-3</v>
      </c>
      <c r="E572">
        <v>400</v>
      </c>
    </row>
    <row r="573" spans="2:5" x14ac:dyDescent="0.3">
      <c r="B573" s="40">
        <v>1522</v>
      </c>
      <c r="C573" s="2" t="s">
        <v>32</v>
      </c>
      <c r="D573">
        <v>1.0416666666666699E-3</v>
      </c>
      <c r="E573">
        <v>400</v>
      </c>
    </row>
    <row r="574" spans="2:5" x14ac:dyDescent="0.3">
      <c r="B574" s="40">
        <v>1522</v>
      </c>
      <c r="C574" s="2" t="s">
        <v>32</v>
      </c>
      <c r="D574">
        <v>0</v>
      </c>
      <c r="E574">
        <v>0</v>
      </c>
    </row>
    <row r="575" spans="2:5" x14ac:dyDescent="0.3">
      <c r="B575" s="40">
        <v>1522</v>
      </c>
      <c r="C575" s="2" t="s">
        <v>32</v>
      </c>
      <c r="D575">
        <v>6.2500000000000001E-4</v>
      </c>
      <c r="E575">
        <v>1000</v>
      </c>
    </row>
    <row r="576" spans="2:5" x14ac:dyDescent="0.3">
      <c r="B576" s="40">
        <v>1522</v>
      </c>
      <c r="C576" s="2" t="s">
        <v>32</v>
      </c>
      <c r="D576">
        <v>6.2500000000000001E-4</v>
      </c>
      <c r="E576">
        <v>1100</v>
      </c>
    </row>
    <row r="577" spans="2:5" x14ac:dyDescent="0.3">
      <c r="B577" s="40">
        <v>1522</v>
      </c>
      <c r="C577" s="2" t="s">
        <v>32</v>
      </c>
      <c r="D577">
        <v>9.5833333333333296E-4</v>
      </c>
      <c r="E577">
        <v>500</v>
      </c>
    </row>
    <row r="578" spans="2:5" x14ac:dyDescent="0.3">
      <c r="B578" s="40">
        <v>1522</v>
      </c>
      <c r="C578" s="2" t="s">
        <v>32</v>
      </c>
      <c r="D578">
        <v>9.5833333333333296E-4</v>
      </c>
      <c r="E578">
        <v>900</v>
      </c>
    </row>
    <row r="579" spans="2:5" x14ac:dyDescent="0.3">
      <c r="B579" s="40">
        <v>1522</v>
      </c>
      <c r="C579" s="2" t="s">
        <v>32</v>
      </c>
      <c r="D579">
        <v>6.2500000000000001E-4</v>
      </c>
      <c r="E579">
        <v>1200</v>
      </c>
    </row>
    <row r="580" spans="2:5" x14ac:dyDescent="0.3">
      <c r="B580" s="40">
        <v>1522</v>
      </c>
      <c r="C580" s="2" t="s">
        <v>32</v>
      </c>
      <c r="D580">
        <v>9.5833333333333296E-4</v>
      </c>
      <c r="E580">
        <v>900</v>
      </c>
    </row>
    <row r="581" spans="2:5" x14ac:dyDescent="0.3">
      <c r="B581" s="40">
        <v>1522</v>
      </c>
      <c r="C581" s="2" t="s">
        <v>32</v>
      </c>
      <c r="D581">
        <v>5.8333333333333295E-4</v>
      </c>
      <c r="E581">
        <v>1600</v>
      </c>
    </row>
    <row r="582" spans="2:5" x14ac:dyDescent="0.3">
      <c r="B582" s="40">
        <v>1522</v>
      </c>
      <c r="C582" s="2" t="s">
        <v>32</v>
      </c>
      <c r="D582">
        <v>5.0000000000000001E-4</v>
      </c>
      <c r="E582">
        <v>2300</v>
      </c>
    </row>
    <row r="583" spans="2:5" x14ac:dyDescent="0.3">
      <c r="B583" s="40">
        <v>1522</v>
      </c>
      <c r="C583" s="2" t="s">
        <v>32</v>
      </c>
      <c r="D583">
        <v>5.0000000000000001E-4</v>
      </c>
      <c r="E583">
        <v>2100</v>
      </c>
    </row>
    <row r="584" spans="2:5" x14ac:dyDescent="0.3">
      <c r="B584" s="40">
        <v>1522</v>
      </c>
      <c r="C584" s="2" t="s">
        <v>32</v>
      </c>
      <c r="D584">
        <v>1.0416666666666699E-3</v>
      </c>
      <c r="E584">
        <v>400</v>
      </c>
    </row>
    <row r="585" spans="2:5" x14ac:dyDescent="0.3">
      <c r="B585" s="40">
        <v>1522</v>
      </c>
      <c r="C585" s="2" t="s">
        <v>32</v>
      </c>
      <c r="D585">
        <v>6.2500000000000001E-4</v>
      </c>
      <c r="E585">
        <v>1000</v>
      </c>
    </row>
    <row r="586" spans="2:5" x14ac:dyDescent="0.3">
      <c r="B586" s="40">
        <v>1522</v>
      </c>
      <c r="C586" s="2" t="s">
        <v>32</v>
      </c>
      <c r="D586">
        <v>5.8333333333333295E-4</v>
      </c>
      <c r="E586">
        <v>1600</v>
      </c>
    </row>
    <row r="587" spans="2:5" x14ac:dyDescent="0.3">
      <c r="B587" s="40">
        <v>1522</v>
      </c>
      <c r="C587" s="2" t="s">
        <v>32</v>
      </c>
      <c r="D587">
        <v>6.2500000000000001E-4</v>
      </c>
      <c r="E587">
        <v>1200</v>
      </c>
    </row>
    <row r="588" spans="2:5" x14ac:dyDescent="0.3">
      <c r="B588" s="40">
        <v>1522</v>
      </c>
      <c r="C588" s="2" t="s">
        <v>32</v>
      </c>
      <c r="D588">
        <v>6.2500000000000001E-4</v>
      </c>
      <c r="E588">
        <v>1400</v>
      </c>
    </row>
    <row r="589" spans="2:5" x14ac:dyDescent="0.3">
      <c r="B589" s="40">
        <v>1522</v>
      </c>
      <c r="C589" s="2" t="s">
        <v>32</v>
      </c>
      <c r="D589">
        <v>6.2500000000000001E-4</v>
      </c>
      <c r="E589">
        <v>1100</v>
      </c>
    </row>
    <row r="590" spans="2:5" x14ac:dyDescent="0.3">
      <c r="B590" s="40">
        <v>1522</v>
      </c>
      <c r="C590" s="2" t="s">
        <v>32</v>
      </c>
      <c r="D590">
        <v>6.2500000000000001E-4</v>
      </c>
      <c r="E590">
        <v>1412</v>
      </c>
    </row>
    <row r="591" spans="2:5" x14ac:dyDescent="0.3">
      <c r="B591" s="40" t="s">
        <v>177</v>
      </c>
      <c r="C591" s="2" t="s">
        <v>32</v>
      </c>
      <c r="D591">
        <v>6.2500000000000001E-4</v>
      </c>
      <c r="E591">
        <v>1250</v>
      </c>
    </row>
    <row r="592" spans="2:5" x14ac:dyDescent="0.3">
      <c r="B592" s="40" t="s">
        <v>177</v>
      </c>
      <c r="C592" s="2" t="s">
        <v>32</v>
      </c>
      <c r="D592">
        <v>6.2500000000000001E-4</v>
      </c>
      <c r="E592">
        <v>1200</v>
      </c>
    </row>
    <row r="593" spans="2:5" x14ac:dyDescent="0.3">
      <c r="B593" s="40" t="s">
        <v>177</v>
      </c>
      <c r="C593" s="2" t="s">
        <v>32</v>
      </c>
      <c r="D593">
        <v>9.5833333333333296E-4</v>
      </c>
      <c r="E593">
        <v>800</v>
      </c>
    </row>
    <row r="594" spans="2:5" x14ac:dyDescent="0.3">
      <c r="B594" s="40" t="s">
        <v>177</v>
      </c>
      <c r="C594" s="2" t="s">
        <v>32</v>
      </c>
      <c r="D594">
        <v>9.5833333333333296E-4</v>
      </c>
      <c r="E594">
        <v>700</v>
      </c>
    </row>
    <row r="595" spans="2:5" x14ac:dyDescent="0.3">
      <c r="B595" s="40" t="s">
        <v>177</v>
      </c>
      <c r="C595" s="2" t="s">
        <v>32</v>
      </c>
      <c r="D595">
        <v>6.2500000000000001E-4</v>
      </c>
      <c r="E595">
        <v>1400</v>
      </c>
    </row>
    <row r="596" spans="2:5" x14ac:dyDescent="0.3">
      <c r="B596" s="40" t="s">
        <v>177</v>
      </c>
      <c r="C596" s="2" t="s">
        <v>32</v>
      </c>
      <c r="D596">
        <v>9.5833333333333296E-4</v>
      </c>
      <c r="E596">
        <v>500</v>
      </c>
    </row>
    <row r="597" spans="2:5" x14ac:dyDescent="0.3">
      <c r="B597" s="40" t="s">
        <v>177</v>
      </c>
      <c r="C597" s="2" t="s">
        <v>32</v>
      </c>
      <c r="D597">
        <v>9.5833333333333296E-4</v>
      </c>
      <c r="E597">
        <v>750</v>
      </c>
    </row>
    <row r="598" spans="2:5" x14ac:dyDescent="0.3">
      <c r="B598" s="40" t="s">
        <v>177</v>
      </c>
      <c r="C598" s="2" t="s">
        <v>32</v>
      </c>
      <c r="D598">
        <v>5.0000000000000001E-4</v>
      </c>
      <c r="E598">
        <v>3200</v>
      </c>
    </row>
    <row r="599" spans="2:5" x14ac:dyDescent="0.3">
      <c r="B599" s="40" t="s">
        <v>177</v>
      </c>
      <c r="C599" s="2" t="s">
        <v>32</v>
      </c>
      <c r="D599">
        <v>5.8333333333333295E-4</v>
      </c>
      <c r="E599">
        <v>1700</v>
      </c>
    </row>
    <row r="600" spans="2:5" x14ac:dyDescent="0.3">
      <c r="B600" s="40" t="s">
        <v>177</v>
      </c>
      <c r="C600" s="2" t="s">
        <v>32</v>
      </c>
      <c r="D600">
        <v>1.0416666666666699E-3</v>
      </c>
      <c r="E600">
        <v>400</v>
      </c>
    </row>
    <row r="601" spans="2:5" x14ac:dyDescent="0.3">
      <c r="B601" s="40" t="s">
        <v>177</v>
      </c>
      <c r="C601" s="2" t="s">
        <v>32</v>
      </c>
      <c r="D601">
        <v>1.0416666666666699E-3</v>
      </c>
      <c r="E601">
        <v>400</v>
      </c>
    </row>
    <row r="602" spans="2:5" x14ac:dyDescent="0.3">
      <c r="B602" s="40" t="s">
        <v>177</v>
      </c>
      <c r="C602" s="2" t="s">
        <v>32</v>
      </c>
      <c r="D602">
        <v>0</v>
      </c>
      <c r="E602">
        <v>0</v>
      </c>
    </row>
    <row r="603" spans="2:5" x14ac:dyDescent="0.3">
      <c r="B603" s="40" t="s">
        <v>177</v>
      </c>
      <c r="C603" s="2" t="s">
        <v>32</v>
      </c>
      <c r="D603">
        <v>6.2500000000000001E-4</v>
      </c>
      <c r="E603">
        <v>1000</v>
      </c>
    </row>
    <row r="604" spans="2:5" x14ac:dyDescent="0.3">
      <c r="B604" s="40" t="s">
        <v>177</v>
      </c>
      <c r="C604" s="2" t="s">
        <v>32</v>
      </c>
      <c r="D604">
        <v>6.2500000000000001E-4</v>
      </c>
      <c r="E604">
        <v>1100</v>
      </c>
    </row>
    <row r="605" spans="2:5" x14ac:dyDescent="0.3">
      <c r="B605" s="40" t="s">
        <v>177</v>
      </c>
      <c r="C605" s="2" t="s">
        <v>32</v>
      </c>
      <c r="D605">
        <v>9.5833333333333296E-4</v>
      </c>
      <c r="E605">
        <v>500</v>
      </c>
    </row>
    <row r="606" spans="2:5" x14ac:dyDescent="0.3">
      <c r="B606" s="40" t="s">
        <v>177</v>
      </c>
      <c r="C606" s="2" t="s">
        <v>32</v>
      </c>
      <c r="D606">
        <v>9.5833333333333296E-4</v>
      </c>
      <c r="E606">
        <v>900</v>
      </c>
    </row>
    <row r="607" spans="2:5" x14ac:dyDescent="0.3">
      <c r="B607" s="40" t="s">
        <v>177</v>
      </c>
      <c r="C607" s="2" t="s">
        <v>32</v>
      </c>
      <c r="D607">
        <v>6.2500000000000001E-4</v>
      </c>
      <c r="E607">
        <v>1200</v>
      </c>
    </row>
    <row r="608" spans="2:5" x14ac:dyDescent="0.3">
      <c r="B608" s="40" t="s">
        <v>177</v>
      </c>
      <c r="C608" s="2" t="s">
        <v>32</v>
      </c>
      <c r="D608">
        <v>9.5833333333333296E-4</v>
      </c>
      <c r="E608">
        <v>900</v>
      </c>
    </row>
    <row r="609" spans="2:5" x14ac:dyDescent="0.3">
      <c r="B609" s="40" t="s">
        <v>177</v>
      </c>
      <c r="C609" s="2" t="s">
        <v>32</v>
      </c>
      <c r="D609">
        <v>5.8333333333333295E-4</v>
      </c>
      <c r="E609">
        <v>1600</v>
      </c>
    </row>
    <row r="610" spans="2:5" x14ac:dyDescent="0.3">
      <c r="B610" s="40" t="s">
        <v>177</v>
      </c>
      <c r="C610" s="2" t="s">
        <v>32</v>
      </c>
      <c r="D610">
        <v>5.0000000000000001E-4</v>
      </c>
      <c r="E610">
        <v>2300</v>
      </c>
    </row>
    <row r="611" spans="2:5" x14ac:dyDescent="0.3">
      <c r="B611" s="40" t="s">
        <v>177</v>
      </c>
      <c r="C611" s="2" t="s">
        <v>32</v>
      </c>
      <c r="D611">
        <v>5.0000000000000001E-4</v>
      </c>
      <c r="E611">
        <v>2100</v>
      </c>
    </row>
    <row r="612" spans="2:5" x14ac:dyDescent="0.3">
      <c r="B612" s="40" t="s">
        <v>177</v>
      </c>
      <c r="C612" s="2" t="s">
        <v>32</v>
      </c>
      <c r="D612">
        <v>1.0416666666666699E-3</v>
      </c>
      <c r="E612">
        <v>400</v>
      </c>
    </row>
    <row r="613" spans="2:5" x14ac:dyDescent="0.3">
      <c r="B613" s="40" t="s">
        <v>177</v>
      </c>
      <c r="C613" s="2" t="s">
        <v>32</v>
      </c>
      <c r="D613">
        <v>6.2500000000000001E-4</v>
      </c>
      <c r="E613">
        <v>1000</v>
      </c>
    </row>
    <row r="614" spans="2:5" x14ac:dyDescent="0.3">
      <c r="B614" s="40" t="s">
        <v>177</v>
      </c>
      <c r="C614" s="2" t="s">
        <v>32</v>
      </c>
      <c r="D614">
        <v>5.8333333333333295E-4</v>
      </c>
      <c r="E614">
        <v>1600</v>
      </c>
    </row>
    <row r="615" spans="2:5" x14ac:dyDescent="0.3">
      <c r="B615" s="40" t="s">
        <v>177</v>
      </c>
      <c r="C615" s="2" t="s">
        <v>32</v>
      </c>
      <c r="D615">
        <v>6.2500000000000001E-4</v>
      </c>
      <c r="E615">
        <v>1200</v>
      </c>
    </row>
    <row r="616" spans="2:5" x14ac:dyDescent="0.3">
      <c r="B616" s="40" t="s">
        <v>177</v>
      </c>
      <c r="C616" s="2" t="s">
        <v>32</v>
      </c>
      <c r="D616">
        <v>6.2500000000000001E-4</v>
      </c>
      <c r="E616">
        <v>1400</v>
      </c>
    </row>
    <row r="617" spans="2:5" x14ac:dyDescent="0.3">
      <c r="B617" s="40" t="s">
        <v>177</v>
      </c>
      <c r="C617" s="2" t="s">
        <v>32</v>
      </c>
      <c r="D617">
        <v>6.2500000000000001E-4</v>
      </c>
      <c r="E617">
        <v>1100</v>
      </c>
    </row>
    <row r="618" spans="2:5" x14ac:dyDescent="0.3">
      <c r="B618" s="40" t="s">
        <v>177</v>
      </c>
      <c r="C618" s="2" t="s">
        <v>32</v>
      </c>
      <c r="D618">
        <v>6.2500000000000001E-4</v>
      </c>
      <c r="E618">
        <v>1412</v>
      </c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H23" sqref="H23"/>
    </sheetView>
  </sheetViews>
  <sheetFormatPr defaultColWidth="9" defaultRowHeight="13.5" x14ac:dyDescent="0.3"/>
  <sheetData/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54"/>
  <sheetViews>
    <sheetView workbookViewId="0">
      <selection activeCell="D9" sqref="D9"/>
    </sheetView>
  </sheetViews>
  <sheetFormatPr defaultColWidth="9" defaultRowHeight="13.5" x14ac:dyDescent="0.3"/>
  <cols>
    <col min="4" max="4" width="9.06640625" style="35"/>
    <col min="6" max="6" width="9.06640625" style="36"/>
    <col min="9" max="9" width="14.796875" customWidth="1"/>
  </cols>
  <sheetData>
    <row r="2" spans="2:10" x14ac:dyDescent="0.3">
      <c r="C2" t="s">
        <v>216</v>
      </c>
      <c r="D2" s="35" t="s">
        <v>217</v>
      </c>
      <c r="E2" t="s">
        <v>218</v>
      </c>
      <c r="F2" s="36" t="s">
        <v>219</v>
      </c>
      <c r="G2" s="2" t="s">
        <v>220</v>
      </c>
    </row>
    <row r="3" spans="2:10" x14ac:dyDescent="0.3">
      <c r="B3" t="s">
        <v>39</v>
      </c>
      <c r="D3" s="35" t="s">
        <v>221</v>
      </c>
      <c r="E3" t="s">
        <v>222</v>
      </c>
      <c r="G3" s="2" t="s">
        <v>221</v>
      </c>
    </row>
    <row r="4" spans="2:10" x14ac:dyDescent="0.3">
      <c r="C4" s="2" t="s">
        <v>41</v>
      </c>
      <c r="D4" s="35">
        <v>0.71499999999999997</v>
      </c>
      <c r="E4" s="36">
        <f>120*D4</f>
        <v>85.8</v>
      </c>
      <c r="F4" s="36">
        <v>1.33</v>
      </c>
      <c r="G4" s="37">
        <v>0.85</v>
      </c>
    </row>
    <row r="5" spans="2:10" x14ac:dyDescent="0.3">
      <c r="B5" t="s">
        <v>223</v>
      </c>
      <c r="C5" t="s">
        <v>68</v>
      </c>
      <c r="D5" s="35">
        <v>9.7050751819787603E-2</v>
      </c>
      <c r="E5" s="36">
        <v>11.6460902183745</v>
      </c>
      <c r="F5" s="36">
        <v>2.2799999999999998</v>
      </c>
      <c r="G5" s="35">
        <v>0.20344028883022799</v>
      </c>
      <c r="I5" s="2" t="s">
        <v>224</v>
      </c>
      <c r="J5" s="37">
        <v>0.85</v>
      </c>
    </row>
    <row r="6" spans="2:10" x14ac:dyDescent="0.3">
      <c r="B6" t="s">
        <v>223</v>
      </c>
      <c r="C6" t="s">
        <v>70</v>
      </c>
      <c r="D6" s="35">
        <v>4.6512517384561802E-2</v>
      </c>
      <c r="E6" s="36">
        <v>5.5815020861474203</v>
      </c>
      <c r="F6" s="36">
        <v>1.5237233215154999</v>
      </c>
      <c r="G6" s="35">
        <v>6.5159714501273294E-2</v>
      </c>
      <c r="I6" s="2" t="s">
        <v>225</v>
      </c>
      <c r="J6" s="37">
        <v>0.15</v>
      </c>
    </row>
    <row r="7" spans="2:10" x14ac:dyDescent="0.3">
      <c r="B7" t="s">
        <v>223</v>
      </c>
      <c r="C7" t="s">
        <v>71</v>
      </c>
      <c r="D7" s="35">
        <v>2.8731737554939799E-2</v>
      </c>
      <c r="E7" s="36">
        <v>3.4478085065927799</v>
      </c>
      <c r="F7" s="36">
        <v>4.0326564106466396</v>
      </c>
      <c r="G7" s="35">
        <v>0.10652617283469799</v>
      </c>
    </row>
    <row r="8" spans="2:10" x14ac:dyDescent="0.3">
      <c r="B8" t="s">
        <v>226</v>
      </c>
      <c r="C8" t="s">
        <v>72</v>
      </c>
      <c r="D8" s="35">
        <v>2.9020999088867499E-2</v>
      </c>
      <c r="E8" s="36">
        <v>3.4825198906641002</v>
      </c>
      <c r="F8" s="36">
        <v>2.34857997367385</v>
      </c>
      <c r="G8" s="35">
        <v>6.2664405747845597E-2</v>
      </c>
    </row>
    <row r="9" spans="2:10" x14ac:dyDescent="0.3">
      <c r="B9" t="s">
        <v>223</v>
      </c>
      <c r="C9" t="s">
        <v>73</v>
      </c>
      <c r="D9" s="1">
        <v>3.3890751204307498E-2</v>
      </c>
      <c r="E9" s="36">
        <v>4.0668901445168997</v>
      </c>
      <c r="F9" s="36">
        <v>1.41087693598112</v>
      </c>
      <c r="G9" s="35">
        <v>4.3961605221673097E-2</v>
      </c>
    </row>
    <row r="10" spans="2:10" x14ac:dyDescent="0.3">
      <c r="B10" t="s">
        <v>223</v>
      </c>
      <c r="C10" t="s">
        <v>74</v>
      </c>
      <c r="D10" s="35">
        <v>6.6683830901271496E-3</v>
      </c>
      <c r="E10" s="36">
        <v>0.80020597081525802</v>
      </c>
      <c r="F10" s="36">
        <v>1.9051022985038799</v>
      </c>
      <c r="G10" s="35">
        <v>1.16799788191881E-2</v>
      </c>
    </row>
    <row r="11" spans="2:10" x14ac:dyDescent="0.3">
      <c r="B11" t="s">
        <v>223</v>
      </c>
      <c r="C11" t="s">
        <v>75</v>
      </c>
      <c r="D11" s="35">
        <v>7.3037535376360693E-2</v>
      </c>
      <c r="E11" s="36">
        <v>8.7645042451632804</v>
      </c>
      <c r="F11" s="36">
        <v>1.42651593182611</v>
      </c>
      <c r="G11" s="35">
        <v>9.5791273871121102E-2</v>
      </c>
    </row>
    <row r="12" spans="2:10" x14ac:dyDescent="0.3">
      <c r="B12" t="s">
        <v>223</v>
      </c>
      <c r="C12" t="s">
        <v>76</v>
      </c>
      <c r="D12" s="35">
        <v>0.122051725196981</v>
      </c>
      <c r="E12" s="36">
        <v>14.6462070236377</v>
      </c>
      <c r="F12" s="36">
        <v>1.4535825908670701</v>
      </c>
      <c r="G12" s="35">
        <v>0.16311235126558599</v>
      </c>
    </row>
    <row r="13" spans="2:10" x14ac:dyDescent="0.3">
      <c r="B13" s="2" t="s">
        <v>223</v>
      </c>
      <c r="C13" s="2" t="s">
        <v>77</v>
      </c>
      <c r="D13" s="38">
        <v>1.9521507261015199E-2</v>
      </c>
      <c r="E13" s="36">
        <v>2.3425808713218199</v>
      </c>
      <c r="F13" s="36">
        <v>1.4410381331603499</v>
      </c>
      <c r="G13" s="1">
        <v>2.5863782097747399E-2</v>
      </c>
    </row>
    <row r="14" spans="2:10" x14ac:dyDescent="0.3">
      <c r="B14" s="2" t="s">
        <v>223</v>
      </c>
      <c r="C14" s="2" t="s">
        <v>78</v>
      </c>
      <c r="D14" s="38">
        <v>2.7552209592914899E-2</v>
      </c>
      <c r="E14" s="36">
        <v>3.3062651511497898</v>
      </c>
      <c r="F14" s="36">
        <v>1.2358326291892801</v>
      </c>
      <c r="G14" s="1">
        <v>3.1305403347210603E-2</v>
      </c>
    </row>
    <row r="15" spans="2:10" x14ac:dyDescent="0.3">
      <c r="B15" s="2" t="s">
        <v>223</v>
      </c>
      <c r="C15" s="2" t="s">
        <v>227</v>
      </c>
      <c r="D15" s="1">
        <v>4.7073716853930102E-2</v>
      </c>
      <c r="E15" s="36">
        <v>5.6488460224716102</v>
      </c>
      <c r="F15" s="36">
        <v>1.33843538117481</v>
      </c>
      <c r="G15" s="35">
        <v>5.7169185444957998E-2</v>
      </c>
    </row>
    <row r="16" spans="2:10" x14ac:dyDescent="0.3">
      <c r="B16" t="s">
        <v>223</v>
      </c>
      <c r="C16" t="s">
        <v>79</v>
      </c>
      <c r="D16" s="35">
        <v>6.1357302939246697E-2</v>
      </c>
      <c r="E16" s="36">
        <v>7.3628763527096002</v>
      </c>
      <c r="F16" s="36">
        <v>0.86321701919291904</v>
      </c>
      <c r="G16" s="35">
        <v>4.8695571619553998E-2</v>
      </c>
    </row>
    <row r="17" spans="2:7" x14ac:dyDescent="0.3">
      <c r="B17" t="s">
        <v>226</v>
      </c>
      <c r="C17" t="s">
        <v>80</v>
      </c>
      <c r="D17" s="35">
        <v>1.30165882845583E-2</v>
      </c>
      <c r="E17" s="36">
        <v>1.561990594147</v>
      </c>
      <c r="F17" s="36">
        <v>0.796873928394225</v>
      </c>
      <c r="G17" s="35">
        <v>9.5365216503854097E-3</v>
      </c>
    </row>
    <row r="18" spans="2:7" x14ac:dyDescent="0.3">
      <c r="B18" t="s">
        <v>226</v>
      </c>
      <c r="C18" t="s">
        <v>81</v>
      </c>
      <c r="D18" s="35">
        <v>2.9868560985823099E-2</v>
      </c>
      <c r="E18" s="36">
        <v>3.5842273182987698</v>
      </c>
      <c r="F18" s="36">
        <v>1.09880870991909</v>
      </c>
      <c r="G18" s="35">
        <v>3.0174466864137502E-2</v>
      </c>
    </row>
    <row r="19" spans="2:7" x14ac:dyDescent="0.3">
      <c r="B19" t="s">
        <v>223</v>
      </c>
      <c r="C19" t="s">
        <v>82</v>
      </c>
      <c r="D19" s="35">
        <v>1.31753271660773E-2</v>
      </c>
      <c r="E19" s="36">
        <v>1.58103925992928</v>
      </c>
      <c r="F19" s="36">
        <v>1.0011712718416299</v>
      </c>
      <c r="G19" s="35">
        <v>1.21275479440627E-2</v>
      </c>
    </row>
    <row r="20" spans="2:7" x14ac:dyDescent="0.3">
      <c r="B20" t="s">
        <v>226</v>
      </c>
      <c r="C20" t="s">
        <v>83</v>
      </c>
      <c r="D20" s="35">
        <v>7.2226191091146899E-3</v>
      </c>
      <c r="E20" s="36">
        <v>0.86671429309376302</v>
      </c>
      <c r="F20" s="36">
        <v>0.90035276680685095</v>
      </c>
      <c r="G20" s="35">
        <v>5.9787532335315897E-3</v>
      </c>
    </row>
    <row r="21" spans="2:7" x14ac:dyDescent="0.3">
      <c r="B21" t="s">
        <v>226</v>
      </c>
      <c r="C21" t="s">
        <v>84</v>
      </c>
      <c r="D21" s="35">
        <v>2.34933544648127E-2</v>
      </c>
      <c r="E21" s="36">
        <v>2.8192025357775199</v>
      </c>
      <c r="F21" s="36">
        <v>0.90432945273957599</v>
      </c>
      <c r="G21" s="35">
        <v>1.95332684821511E-2</v>
      </c>
    </row>
    <row r="22" spans="2:7" x14ac:dyDescent="0.3">
      <c r="B22" t="s">
        <v>226</v>
      </c>
      <c r="C22" t="s">
        <v>85</v>
      </c>
      <c r="D22" s="35">
        <v>9.8418106541782492E-3</v>
      </c>
      <c r="E22" s="36">
        <v>1.1810172785013899</v>
      </c>
      <c r="F22" s="36">
        <v>1.12437525363977</v>
      </c>
      <c r="G22" s="35">
        <v>1.0173947605859501E-2</v>
      </c>
    </row>
    <row r="23" spans="2:7" x14ac:dyDescent="0.3">
      <c r="B23" t="s">
        <v>226</v>
      </c>
      <c r="C23" t="s">
        <v>86</v>
      </c>
      <c r="D23" s="35">
        <v>6.9845107868361997E-3</v>
      </c>
      <c r="E23" s="36">
        <v>0.83814129442034402</v>
      </c>
      <c r="F23" s="36">
        <v>0.98317248347795105</v>
      </c>
      <c r="G23" s="35">
        <v>6.3134816178322698E-3</v>
      </c>
    </row>
    <row r="24" spans="2:7" x14ac:dyDescent="0.3">
      <c r="B24" t="s">
        <v>226</v>
      </c>
      <c r="C24" t="s">
        <v>87</v>
      </c>
      <c r="D24" s="35">
        <v>2.2223443412660699E-3</v>
      </c>
      <c r="E24" s="36">
        <v>0.26668132095192798</v>
      </c>
      <c r="F24" s="36">
        <v>0.71210471151782795</v>
      </c>
      <c r="G24" s="35">
        <v>1.45498468995394E-3</v>
      </c>
    </row>
    <row r="25" spans="2:7" x14ac:dyDescent="0.3">
      <c r="B25" t="s">
        <v>226</v>
      </c>
      <c r="C25" t="s">
        <v>88</v>
      </c>
      <c r="D25" s="35">
        <v>1.5880638483545301E-3</v>
      </c>
      <c r="E25" s="36">
        <v>0.190567661802544</v>
      </c>
      <c r="F25" s="36">
        <v>2.6895912029178799</v>
      </c>
      <c r="G25" s="35">
        <v>3.9269687712452398E-3</v>
      </c>
    </row>
    <row r="26" spans="2:7" x14ac:dyDescent="0.3">
      <c r="B26" t="s">
        <v>223</v>
      </c>
      <c r="C26" t="s">
        <v>89</v>
      </c>
      <c r="D26" s="35">
        <v>1.0324777630380101E-2</v>
      </c>
      <c r="E26" s="36">
        <v>1.23897331564561</v>
      </c>
      <c r="F26" s="36">
        <v>1.1567792747107399</v>
      </c>
      <c r="G26" s="35">
        <v>1.09808110489996E-2</v>
      </c>
    </row>
    <row r="27" spans="2:7" x14ac:dyDescent="0.3">
      <c r="B27" t="s">
        <v>223</v>
      </c>
      <c r="C27" t="s">
        <v>90</v>
      </c>
      <c r="D27" s="35">
        <v>2.86E-2</v>
      </c>
      <c r="E27" s="36">
        <v>3.4319999999999999</v>
      </c>
      <c r="F27" s="36">
        <v>0.73097839320056501</v>
      </c>
      <c r="G27" s="35">
        <v>1.92209029444474E-2</v>
      </c>
    </row>
    <row r="28" spans="2:7" x14ac:dyDescent="0.3">
      <c r="B28" t="s">
        <v>223</v>
      </c>
      <c r="C28" t="s">
        <v>91</v>
      </c>
      <c r="D28" s="35">
        <v>2.1645581232916301E-2</v>
      </c>
      <c r="E28" s="36">
        <v>2.59746974794996</v>
      </c>
      <c r="F28" s="36">
        <v>0.60609459826688905</v>
      </c>
      <c r="G28" s="35">
        <v>1.2061820973677299E-2</v>
      </c>
    </row>
    <row r="29" spans="2:7" x14ac:dyDescent="0.3">
      <c r="B29" t="s">
        <v>226</v>
      </c>
      <c r="C29" t="s">
        <v>92</v>
      </c>
      <c r="D29" s="1">
        <v>1.4286499336710399E-3</v>
      </c>
      <c r="E29" s="36">
        <v>0.17143799204052501</v>
      </c>
      <c r="F29" s="36">
        <v>0.24056092393508099</v>
      </c>
      <c r="G29" s="35">
        <v>3.1597601759057498E-4</v>
      </c>
    </row>
    <row r="30" spans="2:7" x14ac:dyDescent="0.3">
      <c r="B30" t="s">
        <v>226</v>
      </c>
      <c r="C30" t="s">
        <v>44</v>
      </c>
      <c r="D30" s="35">
        <v>4.3342237679380002E-2</v>
      </c>
      <c r="E30" s="36">
        <v>5.2010685215255998</v>
      </c>
      <c r="F30" s="36">
        <v>0.789027855994753</v>
      </c>
      <c r="G30" s="35">
        <v>0.196464690226272</v>
      </c>
    </row>
    <row r="31" spans="2:7" x14ac:dyDescent="0.3">
      <c r="B31" t="s">
        <v>223</v>
      </c>
      <c r="C31" t="s">
        <v>45</v>
      </c>
      <c r="D31" s="35">
        <v>1.8327694979870301E-2</v>
      </c>
      <c r="E31" s="36">
        <v>2.1993233975844402</v>
      </c>
      <c r="F31" s="36">
        <v>2.1087744754070901</v>
      </c>
      <c r="G31" s="35">
        <v>0.22203366477404199</v>
      </c>
    </row>
    <row r="32" spans="2:7" x14ac:dyDescent="0.3">
      <c r="B32" t="s">
        <v>226</v>
      </c>
      <c r="C32" t="s">
        <v>46</v>
      </c>
      <c r="D32" s="35">
        <v>3.2562132013653599E-4</v>
      </c>
      <c r="E32" s="36">
        <v>3.9074558416384297E-2</v>
      </c>
      <c r="F32" s="36">
        <v>3.9031179705625099</v>
      </c>
      <c r="G32" s="35">
        <v>7.3013867456982601E-3</v>
      </c>
    </row>
    <row r="33" spans="2:7" x14ac:dyDescent="0.3">
      <c r="B33" t="s">
        <v>226</v>
      </c>
      <c r="C33" t="s">
        <v>47</v>
      </c>
      <c r="D33" s="35">
        <v>3.0632398515360198E-3</v>
      </c>
      <c r="E33" s="36">
        <v>0.367588782184322</v>
      </c>
      <c r="F33" s="36">
        <v>0.82026013963048305</v>
      </c>
      <c r="G33" s="35">
        <v>1.4434889162111501E-2</v>
      </c>
    </row>
    <row r="34" spans="2:7" x14ac:dyDescent="0.3">
      <c r="B34" t="s">
        <v>226</v>
      </c>
      <c r="C34" t="s">
        <v>48</v>
      </c>
      <c r="D34" s="35">
        <v>1.5822796716383002E-2</v>
      </c>
      <c r="E34" s="36">
        <v>1.8987356059659599</v>
      </c>
      <c r="F34" s="36">
        <v>0.36212396283071502</v>
      </c>
      <c r="G34" s="35">
        <v>3.2917083972384097E-2</v>
      </c>
    </row>
    <row r="35" spans="2:7" x14ac:dyDescent="0.3">
      <c r="B35" t="s">
        <v>226</v>
      </c>
      <c r="C35" t="s">
        <v>49</v>
      </c>
      <c r="D35" s="35">
        <v>3.0934025412970799E-3</v>
      </c>
      <c r="E35" s="36">
        <v>0.37120830495564999</v>
      </c>
      <c r="F35" s="36">
        <v>1.1207256222295201</v>
      </c>
      <c r="G35" s="35">
        <v>1.9916663298816799E-2</v>
      </c>
    </row>
    <row r="36" spans="2:7" x14ac:dyDescent="0.3">
      <c r="B36" t="s">
        <v>226</v>
      </c>
      <c r="C36" t="s">
        <v>50</v>
      </c>
      <c r="D36" s="35">
        <v>1.08247988845052E-2</v>
      </c>
      <c r="E36" s="36">
        <v>1.2989758661406201</v>
      </c>
      <c r="F36" s="36">
        <v>1.8513510498021799</v>
      </c>
      <c r="G36" s="35">
        <v>0.115130252061498</v>
      </c>
    </row>
    <row r="37" spans="2:7" x14ac:dyDescent="0.3">
      <c r="B37" t="s">
        <v>226</v>
      </c>
      <c r="C37" t="s">
        <v>51</v>
      </c>
      <c r="D37" s="35">
        <v>4.9657251320821601E-3</v>
      </c>
      <c r="E37" s="36">
        <v>0.59588701584985904</v>
      </c>
      <c r="F37" s="36">
        <v>2.68565294580391</v>
      </c>
      <c r="G37" s="35">
        <v>7.6614929984548705E-2</v>
      </c>
    </row>
    <row r="38" spans="2:7" x14ac:dyDescent="0.3">
      <c r="B38" t="s">
        <v>226</v>
      </c>
      <c r="C38" t="s">
        <v>52</v>
      </c>
      <c r="D38" s="35">
        <v>4.1516718317408203E-3</v>
      </c>
      <c r="E38" s="36">
        <v>0.49820061980889802</v>
      </c>
      <c r="F38" s="36">
        <v>1.5690736410097099</v>
      </c>
      <c r="G38" s="35">
        <v>3.74237399539789E-2</v>
      </c>
    </row>
    <row r="39" spans="2:7" x14ac:dyDescent="0.3">
      <c r="B39" t="s">
        <v>226</v>
      </c>
      <c r="C39" t="s">
        <v>53</v>
      </c>
      <c r="D39" s="35">
        <v>3.6632398515360201E-3</v>
      </c>
      <c r="E39" s="36">
        <v>0.43958878218432201</v>
      </c>
      <c r="F39" s="36">
        <v>1.44097452072131</v>
      </c>
      <c r="G39" s="35">
        <v>3.0325117993008101E-2</v>
      </c>
    </row>
    <row r="40" spans="2:7" x14ac:dyDescent="0.3">
      <c r="B40" t="s">
        <v>226</v>
      </c>
      <c r="C40" t="s">
        <v>54</v>
      </c>
      <c r="D40" s="35">
        <v>2.68637589112642E-3</v>
      </c>
      <c r="E40" s="36">
        <v>0.32236510693517001</v>
      </c>
      <c r="F40" s="36">
        <v>1.8408330640366199</v>
      </c>
      <c r="G40" s="35">
        <v>2.8409397934779899E-2</v>
      </c>
    </row>
    <row r="41" spans="2:7" x14ac:dyDescent="0.3">
      <c r="B41" t="s">
        <v>226</v>
      </c>
      <c r="C41" t="s">
        <v>55</v>
      </c>
      <c r="D41" s="35">
        <v>2.9015761200285397E-4</v>
      </c>
      <c r="E41" s="36">
        <v>3.4818913440342499E-2</v>
      </c>
      <c r="F41" s="36">
        <v>3.2017433061789502</v>
      </c>
      <c r="G41" s="35">
        <v>5.3370506094488502E-3</v>
      </c>
    </row>
    <row r="42" spans="2:7" x14ac:dyDescent="0.3">
      <c r="B42" t="s">
        <v>223</v>
      </c>
      <c r="C42" t="s">
        <v>56</v>
      </c>
      <c r="D42" s="35">
        <v>1.85007717386486E-2</v>
      </c>
      <c r="E42" s="36">
        <v>2.2200926086378301</v>
      </c>
      <c r="F42" s="36">
        <v>0.54511447049599404</v>
      </c>
      <c r="G42" s="35">
        <v>5.7937319473462402E-2</v>
      </c>
    </row>
    <row r="43" spans="2:7" x14ac:dyDescent="0.3">
      <c r="B43" t="s">
        <v>226</v>
      </c>
      <c r="C43" t="s">
        <v>57</v>
      </c>
      <c r="D43" s="35">
        <v>1.0245932755973399E-2</v>
      </c>
      <c r="E43" s="36">
        <v>1.2295119307168101</v>
      </c>
      <c r="F43" s="36">
        <v>0.126208880523832</v>
      </c>
      <c r="G43" s="35">
        <v>7.4288614434532404E-3</v>
      </c>
    </row>
    <row r="44" spans="2:7" x14ac:dyDescent="0.3">
      <c r="B44" t="s">
        <v>226</v>
      </c>
      <c r="C44" t="s">
        <v>58</v>
      </c>
      <c r="D44" s="35">
        <v>1.46005473500993E-2</v>
      </c>
      <c r="E44" s="36">
        <v>1.75206568201192</v>
      </c>
      <c r="F44" s="36">
        <v>0.67712421675176204</v>
      </c>
      <c r="G44" s="35">
        <v>5.6796075237026303E-2</v>
      </c>
    </row>
    <row r="45" spans="2:7" x14ac:dyDescent="0.3">
      <c r="B45" t="s">
        <v>226</v>
      </c>
      <c r="C45" t="s">
        <v>59</v>
      </c>
      <c r="D45" s="35">
        <v>1.4718794556320801E-2</v>
      </c>
      <c r="E45" s="36">
        <v>1.7662553467585</v>
      </c>
      <c r="F45" s="36">
        <v>0.44289499533730498</v>
      </c>
      <c r="G45" s="35">
        <v>3.7450175638739001E-2</v>
      </c>
    </row>
    <row r="46" spans="2:7" x14ac:dyDescent="0.3">
      <c r="B46" t="s">
        <v>226</v>
      </c>
      <c r="C46" t="s">
        <v>60</v>
      </c>
      <c r="D46" s="35">
        <v>6.8269088945398003E-3</v>
      </c>
      <c r="E46" s="36">
        <v>0.81922906734477596</v>
      </c>
      <c r="F46" s="36">
        <v>0.29355646915769201</v>
      </c>
      <c r="G46" s="35">
        <v>1.1513214743877301E-2</v>
      </c>
    </row>
    <row r="47" spans="2:7" x14ac:dyDescent="0.3">
      <c r="B47" t="s">
        <v>226</v>
      </c>
      <c r="C47" t="s">
        <v>61</v>
      </c>
      <c r="D47" s="35">
        <v>7.8149116832768404E-3</v>
      </c>
      <c r="E47" s="36">
        <v>0.93778940199322103</v>
      </c>
      <c r="F47" s="36">
        <v>5.0683173214352499E-2</v>
      </c>
      <c r="G47" s="35">
        <v>2.27545742820909E-3</v>
      </c>
    </row>
    <row r="48" spans="2:7" x14ac:dyDescent="0.3">
      <c r="B48" t="s">
        <v>226</v>
      </c>
      <c r="C48" t="s">
        <v>62</v>
      </c>
      <c r="D48" s="35">
        <v>7.3264797030720401E-3</v>
      </c>
      <c r="E48" s="36">
        <v>0.87917756436864503</v>
      </c>
      <c r="F48" s="36">
        <v>0.26523555216563399</v>
      </c>
      <c r="G48" s="35">
        <v>1.11636941523953E-2</v>
      </c>
    </row>
    <row r="49" spans="2:7" x14ac:dyDescent="0.3">
      <c r="B49" t="s">
        <v>226</v>
      </c>
      <c r="C49" t="s">
        <v>63</v>
      </c>
      <c r="D49" s="35">
        <v>6.1516718317408204E-3</v>
      </c>
      <c r="E49" s="36">
        <v>0.73820061980889795</v>
      </c>
      <c r="F49" s="36">
        <v>0.24338882069886</v>
      </c>
      <c r="G49" s="35">
        <v>8.6015086095346804E-3</v>
      </c>
    </row>
    <row r="50" spans="2:7" x14ac:dyDescent="0.3">
      <c r="B50" t="s">
        <v>226</v>
      </c>
      <c r="C50" t="s">
        <v>64</v>
      </c>
      <c r="D50" s="35">
        <v>1.0639112440104599E-3</v>
      </c>
      <c r="E50" s="36">
        <v>0.12766934928125501</v>
      </c>
      <c r="F50" s="36">
        <v>0.85149846912336002</v>
      </c>
      <c r="G50" s="35">
        <v>5.20439334439066E-3</v>
      </c>
    </row>
    <row r="51" spans="2:7" x14ac:dyDescent="0.3">
      <c r="B51" t="s">
        <v>226</v>
      </c>
      <c r="C51" t="s">
        <v>65</v>
      </c>
      <c r="D51" s="35">
        <v>4.8359602000475603E-4</v>
      </c>
      <c r="E51" s="36">
        <v>5.8031522400570697E-2</v>
      </c>
      <c r="F51" s="36">
        <v>0.99733461707829196</v>
      </c>
      <c r="G51" s="35">
        <v>2.7707953745228701E-3</v>
      </c>
    </row>
    <row r="52" spans="2:7" x14ac:dyDescent="0.3">
      <c r="B52" t="s">
        <v>226</v>
      </c>
      <c r="C52" t="s">
        <v>66</v>
      </c>
      <c r="D52" s="35">
        <v>1.70951193071681E-3</v>
      </c>
      <c r="E52" s="36">
        <v>0.20514143168601701</v>
      </c>
      <c r="F52" s="36">
        <v>0.28517975055754302</v>
      </c>
      <c r="G52" s="35">
        <v>2.8007327089455102E-3</v>
      </c>
    </row>
    <row r="53" spans="2:7" x14ac:dyDescent="0.3">
      <c r="B53" t="s">
        <v>226</v>
      </c>
      <c r="C53" t="s">
        <v>67</v>
      </c>
      <c r="D53" s="35">
        <v>0.02</v>
      </c>
      <c r="E53" s="36">
        <v>2.4</v>
      </c>
      <c r="F53" s="36">
        <v>8.4848663503333893E-2</v>
      </c>
      <c r="G53" s="35">
        <v>9.74890512885721E-3</v>
      </c>
    </row>
    <row r="54" spans="2:7" x14ac:dyDescent="0.3">
      <c r="G54" s="35"/>
    </row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53"/>
  <sheetViews>
    <sheetView topLeftCell="A28" workbookViewId="0">
      <selection activeCell="B54" sqref="B54"/>
    </sheetView>
  </sheetViews>
  <sheetFormatPr defaultColWidth="9" defaultRowHeight="13.5" x14ac:dyDescent="0.3"/>
  <cols>
    <col min="3" max="3" width="11.33203125" customWidth="1"/>
  </cols>
  <sheetData>
    <row r="2" spans="2:5" x14ac:dyDescent="0.3">
      <c r="C2" t="s">
        <v>216</v>
      </c>
      <c r="D2" t="s">
        <v>228</v>
      </c>
      <c r="E2" t="s">
        <v>229</v>
      </c>
    </row>
    <row r="4" spans="2:5" x14ac:dyDescent="0.3">
      <c r="B4" t="s">
        <v>223</v>
      </c>
      <c r="C4" t="s">
        <v>68</v>
      </c>
      <c r="D4" s="34">
        <v>2.2131140997149599</v>
      </c>
      <c r="E4" s="34">
        <v>2.3363490079598002</v>
      </c>
    </row>
    <row r="5" spans="2:5" x14ac:dyDescent="0.3">
      <c r="B5" t="s">
        <v>223</v>
      </c>
      <c r="C5" t="s">
        <v>70</v>
      </c>
      <c r="D5" s="34">
        <v>1.47902349425897</v>
      </c>
      <c r="E5" s="34">
        <v>1.56138134676664</v>
      </c>
    </row>
    <row r="6" spans="2:5" x14ac:dyDescent="0.3">
      <c r="B6" t="s">
        <v>223</v>
      </c>
      <c r="C6" t="s">
        <v>71</v>
      </c>
      <c r="D6" s="34">
        <v>3.9143547200473701</v>
      </c>
      <c r="E6" s="34">
        <v>4.1323214054635997</v>
      </c>
    </row>
    <row r="7" spans="2:5" x14ac:dyDescent="0.3">
      <c r="B7" t="s">
        <v>226</v>
      </c>
      <c r="C7" t="s">
        <v>72</v>
      </c>
      <c r="D7" s="34">
        <v>2.2796822166867501</v>
      </c>
      <c r="E7" s="34">
        <v>2.4066238998277001</v>
      </c>
    </row>
    <row r="8" spans="2:5" x14ac:dyDescent="0.3">
      <c r="B8" t="s">
        <v>223</v>
      </c>
      <c r="C8" t="s">
        <v>73</v>
      </c>
      <c r="D8" s="34">
        <v>1.36948756139582</v>
      </c>
      <c r="E8" s="34">
        <v>1.4457460218126601</v>
      </c>
    </row>
    <row r="9" spans="2:5" x14ac:dyDescent="0.3">
      <c r="B9" t="s">
        <v>223</v>
      </c>
      <c r="C9" t="s">
        <v>74</v>
      </c>
      <c r="D9" s="34">
        <v>1.84921436763961</v>
      </c>
      <c r="E9" s="34">
        <v>1.9521859057769599</v>
      </c>
    </row>
    <row r="10" spans="2:5" x14ac:dyDescent="0.3">
      <c r="B10" t="s">
        <v>223</v>
      </c>
      <c r="C10" t="s">
        <v>75</v>
      </c>
      <c r="D10" s="34">
        <v>1.3846677728914001</v>
      </c>
      <c r="E10" s="34">
        <v>1.4617715272634999</v>
      </c>
    </row>
    <row r="11" spans="2:5" x14ac:dyDescent="0.3">
      <c r="B11" t="s">
        <v>223</v>
      </c>
      <c r="C11" t="s">
        <v>76</v>
      </c>
      <c r="D11" s="34">
        <v>1.4109404065561899</v>
      </c>
      <c r="E11" s="34">
        <v>1.4895071246315399</v>
      </c>
    </row>
    <row r="12" spans="2:5" x14ac:dyDescent="0.3">
      <c r="B12" t="s">
        <v>226</v>
      </c>
      <c r="C12" t="s">
        <v>77</v>
      </c>
      <c r="D12" s="34">
        <v>1.3987639520719699</v>
      </c>
      <c r="E12" s="34">
        <v>1.4766526372111499</v>
      </c>
    </row>
    <row r="13" spans="2:5" x14ac:dyDescent="0.3">
      <c r="B13" t="s">
        <v>226</v>
      </c>
      <c r="C13" t="s">
        <v>78</v>
      </c>
      <c r="D13" s="34">
        <v>1.19957834059061</v>
      </c>
      <c r="E13" s="34">
        <v>1.2663755864959301</v>
      </c>
    </row>
    <row r="14" spans="2:5" x14ac:dyDescent="0.3">
      <c r="B14" t="s">
        <v>223</v>
      </c>
      <c r="C14" t="s">
        <v>79</v>
      </c>
      <c r="D14" s="34">
        <v>0.83789375275866995</v>
      </c>
      <c r="E14" s="34">
        <v>0.88455097651113601</v>
      </c>
    </row>
    <row r="15" spans="2:5" x14ac:dyDescent="0.3">
      <c r="B15" t="s">
        <v>226</v>
      </c>
      <c r="C15" t="s">
        <v>80</v>
      </c>
      <c r="D15" s="34">
        <v>0.77349689764232799</v>
      </c>
      <c r="E15" s="34">
        <v>0.81656825090915597</v>
      </c>
    </row>
    <row r="16" spans="2:5" x14ac:dyDescent="0.3">
      <c r="B16" t="s">
        <v>226</v>
      </c>
      <c r="C16" t="s">
        <v>81</v>
      </c>
      <c r="D16" s="34">
        <v>1.0665741442155801</v>
      </c>
      <c r="E16" s="34">
        <v>1.1259651927004599</v>
      </c>
    </row>
    <row r="17" spans="2:5" x14ac:dyDescent="0.3">
      <c r="B17" t="s">
        <v>223</v>
      </c>
      <c r="C17" t="s">
        <v>82</v>
      </c>
      <c r="D17" s="34">
        <v>0.971800990325556</v>
      </c>
      <c r="E17" s="34">
        <v>1.02591469638818</v>
      </c>
    </row>
    <row r="18" spans="2:5" x14ac:dyDescent="0.3">
      <c r="B18" t="s">
        <v>226</v>
      </c>
      <c r="C18" t="s">
        <v>83</v>
      </c>
      <c r="D18" s="34">
        <v>0.87394008900772602</v>
      </c>
      <c r="E18" s="34">
        <v>0.922604514711862</v>
      </c>
    </row>
    <row r="19" spans="2:5" x14ac:dyDescent="0.3">
      <c r="B19" t="s">
        <v>226</v>
      </c>
      <c r="C19" t="s">
        <v>84</v>
      </c>
      <c r="D19" s="34">
        <v>0.87780011519538004</v>
      </c>
      <c r="E19" s="34">
        <v>0.926679482358305</v>
      </c>
    </row>
    <row r="20" spans="2:5" x14ac:dyDescent="0.3">
      <c r="B20" t="s">
        <v>226</v>
      </c>
      <c r="C20" t="s">
        <v>85</v>
      </c>
      <c r="D20" s="34">
        <v>1.0913906698248901</v>
      </c>
      <c r="E20" s="34">
        <v>1.1521636001823701</v>
      </c>
    </row>
    <row r="21" spans="2:5" x14ac:dyDescent="0.3">
      <c r="B21" t="s">
        <v>226</v>
      </c>
      <c r="C21" t="s">
        <v>86</v>
      </c>
      <c r="D21" s="34">
        <v>0.95433021299860799</v>
      </c>
      <c r="E21" s="34">
        <v>1.0074710773803</v>
      </c>
    </row>
    <row r="22" spans="2:5" x14ac:dyDescent="0.3">
      <c r="B22" t="s">
        <v>226</v>
      </c>
      <c r="C22" t="s">
        <v>87</v>
      </c>
      <c r="D22" s="34">
        <v>0.691214463830508</v>
      </c>
      <c r="E22" s="34">
        <v>0.72970400715709505</v>
      </c>
    </row>
    <row r="23" spans="2:5" x14ac:dyDescent="0.3">
      <c r="B23" t="s">
        <v>226</v>
      </c>
      <c r="C23" t="s">
        <v>88</v>
      </c>
      <c r="D23" s="34">
        <v>2.6106895673889801</v>
      </c>
      <c r="E23" s="34">
        <v>2.7560630433134201</v>
      </c>
    </row>
    <row r="24" spans="2:5" x14ac:dyDescent="0.3">
      <c r="B24" t="s">
        <v>223</v>
      </c>
      <c r="C24" t="s">
        <v>89</v>
      </c>
      <c r="D24" s="34">
        <v>1.1228440890878899</v>
      </c>
      <c r="E24" s="34">
        <v>1.1853684696925</v>
      </c>
    </row>
    <row r="25" spans="2:5" x14ac:dyDescent="0.3">
      <c r="B25" t="s">
        <v>223</v>
      </c>
      <c r="C25" t="s">
        <v>90</v>
      </c>
      <c r="D25" s="34">
        <v>0.70953446867506798</v>
      </c>
      <c r="E25" s="34">
        <v>0.74904414201499503</v>
      </c>
    </row>
    <row r="26" spans="2:5" x14ac:dyDescent="0.3">
      <c r="B26" t="s">
        <v>223</v>
      </c>
      <c r="C26" t="s">
        <v>91</v>
      </c>
      <c r="D26" s="34">
        <v>0.58831425490593203</v>
      </c>
      <c r="E26" s="34">
        <v>0.62107390938185902</v>
      </c>
    </row>
    <row r="27" spans="2:5" x14ac:dyDescent="0.3">
      <c r="B27" t="s">
        <v>226</v>
      </c>
      <c r="C27" t="s">
        <v>92</v>
      </c>
      <c r="D27" s="34">
        <v>0.233503847632099</v>
      </c>
      <c r="E27" s="34">
        <v>0.24650626139895601</v>
      </c>
    </row>
    <row r="28" spans="2:5" x14ac:dyDescent="0.3">
      <c r="B28" t="s">
        <v>230</v>
      </c>
      <c r="C28" t="s">
        <v>231</v>
      </c>
      <c r="D28" s="34">
        <v>1.4769866795731901</v>
      </c>
      <c r="E28" s="34">
        <v>0</v>
      </c>
    </row>
    <row r="29" spans="2:5" x14ac:dyDescent="0.3">
      <c r="B29" t="s">
        <v>226</v>
      </c>
      <c r="C29" t="s">
        <v>44</v>
      </c>
      <c r="D29" s="34">
        <v>0.74655101732087903</v>
      </c>
      <c r="E29" s="34">
        <v>0.81317166851852996</v>
      </c>
    </row>
    <row r="30" spans="2:5" x14ac:dyDescent="0.3">
      <c r="B30" t="s">
        <v>223</v>
      </c>
      <c r="C30" t="s">
        <v>45</v>
      </c>
      <c r="D30" s="34">
        <v>1.9952498735683799</v>
      </c>
      <c r="E30" s="34">
        <v>2.1733017987485002</v>
      </c>
    </row>
    <row r="31" spans="2:5" x14ac:dyDescent="0.3">
      <c r="B31" t="s">
        <v>226</v>
      </c>
      <c r="C31" t="s">
        <v>46</v>
      </c>
      <c r="D31" s="34">
        <v>3.6929959690374101</v>
      </c>
      <c r="E31" s="34">
        <v>4.0225512045395799</v>
      </c>
    </row>
    <row r="32" spans="2:5" x14ac:dyDescent="0.3">
      <c r="B32" t="s">
        <v>226</v>
      </c>
      <c r="C32" t="s">
        <v>47</v>
      </c>
      <c r="D32" s="34">
        <v>0.77610192980686799</v>
      </c>
      <c r="E32" s="34">
        <v>0.84535964262204399</v>
      </c>
    </row>
    <row r="33" spans="2:5" x14ac:dyDescent="0.3">
      <c r="B33" t="s">
        <v>226</v>
      </c>
      <c r="C33" t="s">
        <v>48</v>
      </c>
      <c r="D33" s="34">
        <v>0.34262923773040599</v>
      </c>
      <c r="E33" s="34">
        <v>0.37320475421536098</v>
      </c>
    </row>
    <row r="34" spans="2:5" x14ac:dyDescent="0.3">
      <c r="B34" t="s">
        <v>226</v>
      </c>
      <c r="C34" t="s">
        <v>49</v>
      </c>
      <c r="D34" s="34">
        <v>1.06039203439554</v>
      </c>
      <c r="E34" s="34">
        <v>1.1550192014842</v>
      </c>
    </row>
    <row r="35" spans="2:5" x14ac:dyDescent="0.3">
      <c r="B35" t="s">
        <v>226</v>
      </c>
      <c r="C35" t="s">
        <v>50</v>
      </c>
      <c r="D35" s="34">
        <v>1.7516846827991901</v>
      </c>
      <c r="E35" s="34">
        <v>1.90800135982928</v>
      </c>
    </row>
    <row r="36" spans="2:5" x14ac:dyDescent="0.3">
      <c r="B36" t="s">
        <v>226</v>
      </c>
      <c r="C36" t="s">
        <v>51</v>
      </c>
      <c r="D36" s="34">
        <v>2.5410724394932598</v>
      </c>
      <c r="E36" s="34">
        <v>2.76783242873949</v>
      </c>
    </row>
    <row r="37" spans="2:5" x14ac:dyDescent="0.3">
      <c r="B37" t="s">
        <v>226</v>
      </c>
      <c r="C37" t="s">
        <v>52</v>
      </c>
      <c r="D37" s="34">
        <v>1.4846035080350399</v>
      </c>
      <c r="E37" s="34">
        <v>1.61708641969264</v>
      </c>
    </row>
    <row r="38" spans="2:5" x14ac:dyDescent="0.3">
      <c r="B38" t="s">
        <v>226</v>
      </c>
      <c r="C38" t="s">
        <v>53</v>
      </c>
      <c r="D38" s="34">
        <v>1.3634005266160201</v>
      </c>
      <c r="E38" s="34">
        <v>1.4850675377364999</v>
      </c>
    </row>
    <row r="39" spans="2:5" x14ac:dyDescent="0.3">
      <c r="B39" t="s">
        <v>226</v>
      </c>
      <c r="C39" t="s">
        <v>54</v>
      </c>
      <c r="D39" s="34">
        <v>1.7417329264527099</v>
      </c>
      <c r="E39" s="34">
        <v>1.8971615295629001</v>
      </c>
    </row>
    <row r="40" spans="2:5" x14ac:dyDescent="0.3">
      <c r="B40" t="s">
        <v>226</v>
      </c>
      <c r="C40" t="s">
        <v>55</v>
      </c>
      <c r="D40" s="34">
        <v>3.0293793866310699</v>
      </c>
      <c r="E40" s="34">
        <v>3.2997148664303801</v>
      </c>
    </row>
    <row r="41" spans="2:5" x14ac:dyDescent="0.3">
      <c r="B41" t="s">
        <v>223</v>
      </c>
      <c r="C41" t="s">
        <v>56</v>
      </c>
      <c r="D41" s="34">
        <v>0.51576856179818198</v>
      </c>
      <c r="E41" s="34">
        <v>0.56179466940109002</v>
      </c>
    </row>
    <row r="42" spans="2:5" x14ac:dyDescent="0.3">
      <c r="B42" t="s">
        <v>226</v>
      </c>
      <c r="C42" t="s">
        <v>57</v>
      </c>
      <c r="D42" s="34">
        <v>0.119414501571947</v>
      </c>
      <c r="E42" s="34">
        <v>0.130070801908548</v>
      </c>
    </row>
    <row r="43" spans="2:5" x14ac:dyDescent="0.3">
      <c r="B43" t="s">
        <v>226</v>
      </c>
      <c r="C43" t="s">
        <v>58</v>
      </c>
      <c r="D43" s="34">
        <v>0.64067164299455803</v>
      </c>
      <c r="E43" s="34">
        <v>0.69784384029908697</v>
      </c>
    </row>
    <row r="44" spans="2:5" x14ac:dyDescent="0.3">
      <c r="B44" t="s">
        <v>226</v>
      </c>
      <c r="C44" t="s">
        <v>59</v>
      </c>
      <c r="D44" s="34">
        <v>0.419052010424319</v>
      </c>
      <c r="E44" s="34">
        <v>0.456447335288171</v>
      </c>
    </row>
    <row r="45" spans="2:5" x14ac:dyDescent="0.3">
      <c r="B45" t="s">
        <v>226</v>
      </c>
      <c r="C45" t="s">
        <v>60</v>
      </c>
      <c r="D45" s="34">
        <v>0.277753033718315</v>
      </c>
      <c r="E45" s="34">
        <v>0.30253913346115902</v>
      </c>
    </row>
    <row r="46" spans="2:5" x14ac:dyDescent="0.3">
      <c r="B46" t="s">
        <v>226</v>
      </c>
      <c r="C46" t="s">
        <v>61</v>
      </c>
      <c r="D46" s="34">
        <v>4.7954675157218803E-2</v>
      </c>
      <c r="E46" s="34">
        <v>5.2234050059701297E-2</v>
      </c>
    </row>
    <row r="47" spans="2:5" x14ac:dyDescent="0.3">
      <c r="B47" t="s">
        <v>226</v>
      </c>
      <c r="C47" t="s">
        <v>62</v>
      </c>
      <c r="D47" s="34">
        <v>0.250956756208916</v>
      </c>
      <c r="E47" s="34">
        <v>0.27335161219757498</v>
      </c>
    </row>
    <row r="48" spans="2:5" x14ac:dyDescent="0.3">
      <c r="B48" t="s">
        <v>226</v>
      </c>
      <c r="C48" t="s">
        <v>63</v>
      </c>
      <c r="D48" s="34">
        <v>0.230286130352375</v>
      </c>
      <c r="E48" s="34">
        <v>0.25083638292710098</v>
      </c>
    </row>
    <row r="49" spans="2:5" x14ac:dyDescent="0.3">
      <c r="B49" t="s">
        <v>226</v>
      </c>
      <c r="C49" t="s">
        <v>64</v>
      </c>
      <c r="D49" s="34">
        <v>0.80565856267493197</v>
      </c>
      <c r="E49" s="34">
        <v>0.87755384758256405</v>
      </c>
    </row>
    <row r="50" spans="2:5" x14ac:dyDescent="0.3">
      <c r="B50" t="s">
        <v>226</v>
      </c>
      <c r="C50" t="s">
        <v>65</v>
      </c>
      <c r="D50" s="34">
        <v>0.94364370957529198</v>
      </c>
      <c r="E50" s="34">
        <v>1.02785250036373</v>
      </c>
    </row>
    <row r="51" spans="2:5" x14ac:dyDescent="0.3">
      <c r="B51" t="s">
        <v>226</v>
      </c>
      <c r="C51" t="s">
        <v>66</v>
      </c>
      <c r="D51" s="34">
        <v>0.26982727071104001</v>
      </c>
      <c r="E51" s="34">
        <v>0.29390609194172401</v>
      </c>
    </row>
    <row r="52" spans="2:5" x14ac:dyDescent="0.3">
      <c r="B52" t="s">
        <v>226</v>
      </c>
      <c r="C52" t="s">
        <v>67</v>
      </c>
      <c r="D52" s="34">
        <v>8.0280886885636296E-2</v>
      </c>
      <c r="E52" s="34">
        <v>8.7444985304843598E-2</v>
      </c>
    </row>
    <row r="53" spans="2:5" x14ac:dyDescent="0.3">
      <c r="B53" s="2" t="s">
        <v>226</v>
      </c>
      <c r="C53" s="2" t="s">
        <v>41</v>
      </c>
      <c r="E53">
        <v>1.1852119074341301</v>
      </c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O39"/>
  <sheetViews>
    <sheetView showGridLines="0" showZeros="0" zoomScale="55" zoomScaleNormal="55" workbookViewId="0">
      <selection activeCell="D5" sqref="D5"/>
    </sheetView>
  </sheetViews>
  <sheetFormatPr defaultColWidth="9.06640625" defaultRowHeight="15" x14ac:dyDescent="0.5"/>
  <cols>
    <col min="1" max="1" width="2.9296875" style="9" customWidth="1"/>
    <col min="2" max="2" width="11.06640625" style="9" customWidth="1"/>
    <col min="3" max="4" width="10.06640625" style="9" customWidth="1"/>
    <col min="5" max="5" width="36.59765625" style="9" customWidth="1"/>
    <col min="6" max="6" width="19.06640625" style="9" customWidth="1"/>
    <col min="7" max="9" width="14.73046875" style="9" customWidth="1"/>
    <col min="10" max="10" width="19.796875" style="9" customWidth="1"/>
    <col min="11" max="14" width="15" style="9" customWidth="1"/>
    <col min="15" max="15" width="17.265625" style="9" customWidth="1"/>
    <col min="16" max="16384" width="9.06640625" style="9"/>
  </cols>
  <sheetData>
    <row r="2" spans="2:15" ht="20.25" x14ac:dyDescent="0.5">
      <c r="B2" s="93" t="s">
        <v>232</v>
      </c>
      <c r="C2" s="96" t="s">
        <v>233</v>
      </c>
      <c r="D2" s="96" t="s">
        <v>234</v>
      </c>
      <c r="E2" s="99" t="s">
        <v>144</v>
      </c>
      <c r="F2" s="10"/>
      <c r="G2" s="10"/>
      <c r="H2" s="10"/>
      <c r="I2" s="10"/>
      <c r="J2" s="10"/>
      <c r="K2" s="91" t="s">
        <v>235</v>
      </c>
      <c r="L2" s="91"/>
      <c r="M2" s="91"/>
      <c r="N2" s="92"/>
      <c r="O2" s="90"/>
    </row>
    <row r="3" spans="2:15" ht="22.5" customHeight="1" x14ac:dyDescent="0.5">
      <c r="B3" s="94"/>
      <c r="C3" s="97"/>
      <c r="D3" s="97"/>
      <c r="E3" s="100"/>
      <c r="F3" s="100" t="s">
        <v>236</v>
      </c>
      <c r="G3" s="100" t="s">
        <v>237</v>
      </c>
      <c r="H3" s="100" t="s">
        <v>238</v>
      </c>
      <c r="I3" s="100" t="s">
        <v>239</v>
      </c>
      <c r="J3" s="97" t="s">
        <v>240</v>
      </c>
      <c r="K3" s="11" t="s">
        <v>0</v>
      </c>
      <c r="L3" s="11" t="s">
        <v>1</v>
      </c>
      <c r="M3" s="11" t="s">
        <v>2</v>
      </c>
      <c r="N3" s="12" t="s">
        <v>3</v>
      </c>
      <c r="O3" s="90"/>
    </row>
    <row r="4" spans="2:15" ht="23.55" customHeight="1" x14ac:dyDescent="0.5">
      <c r="B4" s="95"/>
      <c r="C4" s="98"/>
      <c r="D4" s="98"/>
      <c r="E4" s="101"/>
      <c r="F4" s="101"/>
      <c r="G4" s="101"/>
      <c r="H4" s="101"/>
      <c r="I4" s="101"/>
      <c r="J4" s="98"/>
      <c r="K4" s="13" t="s">
        <v>241</v>
      </c>
      <c r="L4" s="13" t="s">
        <v>241</v>
      </c>
      <c r="M4" s="13" t="s">
        <v>241</v>
      </c>
      <c r="N4" s="14" t="s">
        <v>241</v>
      </c>
      <c r="O4" s="90"/>
    </row>
    <row r="5" spans="2:15" ht="25.5" customHeight="1" x14ac:dyDescent="0.5">
      <c r="B5" s="15" t="s">
        <v>242</v>
      </c>
      <c r="C5" s="16" t="s">
        <v>32</v>
      </c>
      <c r="D5" s="16" t="s">
        <v>146</v>
      </c>
      <c r="E5" s="17" t="s">
        <v>147</v>
      </c>
      <c r="F5" s="18" t="s">
        <v>243</v>
      </c>
      <c r="G5" s="18" t="s">
        <v>244</v>
      </c>
      <c r="H5" s="18" t="s">
        <v>245</v>
      </c>
      <c r="I5" s="18" t="s">
        <v>245</v>
      </c>
      <c r="J5" s="18"/>
      <c r="K5" s="19">
        <v>40</v>
      </c>
      <c r="L5" s="19">
        <v>80</v>
      </c>
      <c r="M5" s="19">
        <v>15</v>
      </c>
      <c r="N5" s="20">
        <v>10</v>
      </c>
      <c r="O5" s="21"/>
    </row>
    <row r="6" spans="2:15" ht="25.5" customHeight="1" x14ac:dyDescent="0.5">
      <c r="B6" s="22" t="s">
        <v>246</v>
      </c>
      <c r="C6" s="23" t="s">
        <v>27</v>
      </c>
      <c r="D6" s="23" t="s">
        <v>148</v>
      </c>
      <c r="E6" s="24" t="s">
        <v>149</v>
      </c>
      <c r="F6" s="25" t="s">
        <v>243</v>
      </c>
      <c r="G6" s="25" t="s">
        <v>244</v>
      </c>
      <c r="H6" s="25" t="s">
        <v>245</v>
      </c>
      <c r="I6" s="25" t="s">
        <v>245</v>
      </c>
      <c r="J6" s="25"/>
      <c r="K6" s="26">
        <v>32.492327581228302</v>
      </c>
      <c r="L6" s="26">
        <v>52.4570863702696</v>
      </c>
      <c r="M6" s="26">
        <v>14.4238540452065</v>
      </c>
      <c r="N6" s="27">
        <v>2.3719415435736302</v>
      </c>
      <c r="O6" s="21"/>
    </row>
    <row r="7" spans="2:15" ht="25.5" customHeight="1" x14ac:dyDescent="0.5">
      <c r="B7" s="15" t="s">
        <v>247</v>
      </c>
      <c r="C7" s="16" t="s">
        <v>20</v>
      </c>
      <c r="D7" s="16" t="s">
        <v>150</v>
      </c>
      <c r="E7" s="17" t="s">
        <v>151</v>
      </c>
      <c r="F7" s="18" t="s">
        <v>243</v>
      </c>
      <c r="G7" s="18" t="s">
        <v>244</v>
      </c>
      <c r="H7" s="18" t="s">
        <v>245</v>
      </c>
      <c r="I7" s="18" t="s">
        <v>245</v>
      </c>
      <c r="J7" s="18"/>
      <c r="K7" s="19">
        <v>43.901675471385303</v>
      </c>
      <c r="L7" s="19">
        <v>51.169902194060299</v>
      </c>
      <c r="M7" s="19">
        <v>15.7163385579197</v>
      </c>
      <c r="N7" s="20">
        <v>17.516810005714301</v>
      </c>
      <c r="O7" s="21"/>
    </row>
    <row r="8" spans="2:15" ht="25.5" customHeight="1" x14ac:dyDescent="0.5">
      <c r="B8" s="22" t="s">
        <v>248</v>
      </c>
      <c r="C8" s="23" t="s">
        <v>249</v>
      </c>
      <c r="D8" s="23" t="s">
        <v>152</v>
      </c>
      <c r="E8" s="24" t="s">
        <v>153</v>
      </c>
      <c r="F8" s="25" t="s">
        <v>243</v>
      </c>
      <c r="G8" s="25" t="s">
        <v>244</v>
      </c>
      <c r="H8" s="25" t="s">
        <v>245</v>
      </c>
      <c r="I8" s="25" t="s">
        <v>245</v>
      </c>
      <c r="J8" s="25"/>
      <c r="K8" s="26">
        <v>46.607942128330897</v>
      </c>
      <c r="L8" s="26">
        <v>51.983905408567999</v>
      </c>
      <c r="M8" s="26">
        <v>16.8460068171999</v>
      </c>
      <c r="N8" s="27">
        <v>8.1479757485714295</v>
      </c>
      <c r="O8" s="21"/>
    </row>
    <row r="9" spans="2:15" ht="25.5" customHeight="1" x14ac:dyDescent="0.5">
      <c r="B9" s="15" t="s">
        <v>248</v>
      </c>
      <c r="C9" s="16" t="s">
        <v>15</v>
      </c>
      <c r="D9" s="16" t="s">
        <v>154</v>
      </c>
      <c r="E9" s="17" t="s">
        <v>250</v>
      </c>
      <c r="F9" s="18" t="s">
        <v>243</v>
      </c>
      <c r="G9" s="18" t="s">
        <v>244</v>
      </c>
      <c r="H9" s="18" t="s">
        <v>245</v>
      </c>
      <c r="I9" s="18" t="s">
        <v>245</v>
      </c>
      <c r="J9" s="18"/>
      <c r="K9" s="19">
        <v>60.276451679495501</v>
      </c>
      <c r="L9" s="19">
        <v>51.6333031285846</v>
      </c>
      <c r="M9" s="19">
        <v>19.368691793771301</v>
      </c>
      <c r="N9" s="20">
        <v>4.8505056437198304</v>
      </c>
      <c r="O9" s="21"/>
    </row>
    <row r="10" spans="2:15" ht="25.5" customHeight="1" x14ac:dyDescent="0.5">
      <c r="B10" s="22" t="s">
        <v>248</v>
      </c>
      <c r="C10" s="23" t="s">
        <v>11</v>
      </c>
      <c r="D10" s="23" t="s">
        <v>156</v>
      </c>
      <c r="E10" s="24" t="s">
        <v>251</v>
      </c>
      <c r="F10" s="25" t="s">
        <v>243</v>
      </c>
      <c r="G10" s="25" t="s">
        <v>252</v>
      </c>
      <c r="H10" s="25" t="s">
        <v>245</v>
      </c>
      <c r="I10" s="25" t="s">
        <v>245</v>
      </c>
      <c r="J10" s="25"/>
      <c r="K10" s="26">
        <v>48.5861231368688</v>
      </c>
      <c r="L10" s="26">
        <v>53.4723287716971</v>
      </c>
      <c r="M10" s="26">
        <v>16.1384360127044</v>
      </c>
      <c r="N10" s="27">
        <v>7.6396363428571403</v>
      </c>
      <c r="O10" s="21"/>
    </row>
    <row r="11" spans="2:15" ht="25.5" customHeight="1" x14ac:dyDescent="0.5">
      <c r="B11" s="15" t="s">
        <v>253</v>
      </c>
      <c r="C11" s="16" t="s">
        <v>23</v>
      </c>
      <c r="D11" s="16" t="s">
        <v>158</v>
      </c>
      <c r="E11" s="17" t="s">
        <v>159</v>
      </c>
      <c r="F11" s="18" t="s">
        <v>254</v>
      </c>
      <c r="G11" s="18" t="s">
        <v>252</v>
      </c>
      <c r="H11" s="18" t="s">
        <v>245</v>
      </c>
      <c r="I11" s="18" t="s">
        <v>245</v>
      </c>
      <c r="J11" s="18"/>
      <c r="K11" s="19">
        <v>48</v>
      </c>
      <c r="L11" s="19">
        <v>120</v>
      </c>
      <c r="M11" s="19">
        <v>2</v>
      </c>
      <c r="N11" s="20">
        <v>0.27692812963596902</v>
      </c>
      <c r="O11" s="21"/>
    </row>
    <row r="12" spans="2:15" ht="25.5" customHeight="1" x14ac:dyDescent="0.5">
      <c r="B12" s="22" t="s">
        <v>242</v>
      </c>
      <c r="C12" s="23" t="s">
        <v>33</v>
      </c>
      <c r="D12" s="23" t="s">
        <v>160</v>
      </c>
      <c r="E12" s="24" t="s">
        <v>161</v>
      </c>
      <c r="F12" s="25" t="s">
        <v>254</v>
      </c>
      <c r="G12" s="25" t="s">
        <v>252</v>
      </c>
      <c r="H12" s="25" t="s">
        <v>245</v>
      </c>
      <c r="I12" s="25" t="s">
        <v>245</v>
      </c>
      <c r="J12" s="25"/>
      <c r="K12" s="26">
        <v>77.058492026464293</v>
      </c>
      <c r="L12" s="26">
        <v>60</v>
      </c>
      <c r="M12" s="26">
        <v>21.8</v>
      </c>
      <c r="N12" s="27">
        <v>6.16</v>
      </c>
      <c r="O12" s="21"/>
    </row>
    <row r="13" spans="2:15" ht="25.5" customHeight="1" x14ac:dyDescent="0.5">
      <c r="B13" s="15" t="s">
        <v>246</v>
      </c>
      <c r="C13" s="16" t="s">
        <v>28</v>
      </c>
      <c r="D13" s="16" t="s">
        <v>172</v>
      </c>
      <c r="E13" s="17" t="s">
        <v>255</v>
      </c>
      <c r="F13" s="18" t="s">
        <v>254</v>
      </c>
      <c r="G13" s="18" t="s">
        <v>256</v>
      </c>
      <c r="H13" s="18" t="s">
        <v>245</v>
      </c>
      <c r="I13" s="18" t="s">
        <v>245</v>
      </c>
      <c r="J13" s="18"/>
      <c r="K13" s="19">
        <v>55</v>
      </c>
      <c r="L13" s="19">
        <v>39</v>
      </c>
      <c r="M13" s="19">
        <v>15</v>
      </c>
      <c r="N13" s="20">
        <v>7.4075080187987405E-2</v>
      </c>
      <c r="O13" s="21"/>
    </row>
    <row r="14" spans="2:15" ht="25.5" customHeight="1" x14ac:dyDescent="0.5">
      <c r="B14" s="22" t="s">
        <v>242</v>
      </c>
      <c r="C14" s="23" t="s">
        <v>30</v>
      </c>
      <c r="D14" s="23" t="s">
        <v>181</v>
      </c>
      <c r="E14" s="24" t="s">
        <v>182</v>
      </c>
      <c r="F14" s="25" t="s">
        <v>254</v>
      </c>
      <c r="G14" s="25" t="s">
        <v>257</v>
      </c>
      <c r="H14" s="25" t="s">
        <v>245</v>
      </c>
      <c r="I14" s="25" t="s">
        <v>245</v>
      </c>
      <c r="J14" s="25"/>
      <c r="K14" s="26">
        <v>78.288112077983797</v>
      </c>
      <c r="L14" s="26">
        <v>79.617503414034104</v>
      </c>
      <c r="M14" s="26">
        <v>25.978965870888199</v>
      </c>
      <c r="N14" s="27">
        <v>1.25702237837838</v>
      </c>
      <c r="O14" s="21"/>
    </row>
    <row r="15" spans="2:15" ht="25.5" customHeight="1" x14ac:dyDescent="0.5">
      <c r="B15" s="15" t="s">
        <v>242</v>
      </c>
      <c r="C15" s="16" t="s">
        <v>32</v>
      </c>
      <c r="D15" s="16" t="s">
        <v>201</v>
      </c>
      <c r="E15" s="17" t="s">
        <v>176</v>
      </c>
      <c r="F15" s="18" t="s">
        <v>254</v>
      </c>
      <c r="G15" s="18" t="s">
        <v>258</v>
      </c>
      <c r="H15" s="18" t="s">
        <v>245</v>
      </c>
      <c r="I15" s="18"/>
      <c r="J15" s="18"/>
      <c r="K15" s="19">
        <v>71.808426716887993</v>
      </c>
      <c r="L15" s="19">
        <v>44</v>
      </c>
      <c r="M15" s="19">
        <v>37</v>
      </c>
      <c r="N15" s="20">
        <v>0</v>
      </c>
      <c r="O15" s="21"/>
    </row>
    <row r="16" spans="2:15" ht="25.5" customHeight="1" x14ac:dyDescent="0.5">
      <c r="B16" s="22" t="s">
        <v>242</v>
      </c>
      <c r="C16" s="23" t="s">
        <v>34</v>
      </c>
      <c r="D16" s="23" t="s">
        <v>259</v>
      </c>
      <c r="E16" s="24" t="s">
        <v>260</v>
      </c>
      <c r="F16" s="25" t="s">
        <v>254</v>
      </c>
      <c r="G16" s="25" t="s">
        <v>257</v>
      </c>
      <c r="H16" s="25" t="s">
        <v>245</v>
      </c>
      <c r="I16" s="25" t="s">
        <v>245</v>
      </c>
      <c r="J16" s="25"/>
      <c r="K16" s="26">
        <v>71.948383743404904</v>
      </c>
      <c r="L16" s="26"/>
      <c r="M16" s="26">
        <v>7.5434944095137899</v>
      </c>
      <c r="N16" s="27">
        <v>0</v>
      </c>
      <c r="O16" s="21"/>
    </row>
    <row r="17" spans="2:15" ht="25.5" customHeight="1" x14ac:dyDescent="0.5">
      <c r="B17" s="15" t="s">
        <v>248</v>
      </c>
      <c r="C17" s="16" t="s">
        <v>13</v>
      </c>
      <c r="D17" s="16" t="s">
        <v>261</v>
      </c>
      <c r="E17" s="17" t="s">
        <v>262</v>
      </c>
      <c r="F17" s="18" t="s">
        <v>254</v>
      </c>
      <c r="G17" s="18" t="s">
        <v>257</v>
      </c>
      <c r="H17" s="18" t="s">
        <v>245</v>
      </c>
      <c r="I17" s="18" t="s">
        <v>245</v>
      </c>
      <c r="J17" s="18"/>
      <c r="K17" s="19">
        <v>54.165598648029302</v>
      </c>
      <c r="L17" s="19">
        <v>0</v>
      </c>
      <c r="M17" s="19">
        <v>1.50238814808593</v>
      </c>
      <c r="N17" s="20">
        <v>0</v>
      </c>
      <c r="O17" s="21"/>
    </row>
    <row r="18" spans="2:15" ht="25.5" customHeight="1" x14ac:dyDescent="0.5">
      <c r="B18" s="22" t="s">
        <v>248</v>
      </c>
      <c r="C18" s="23" t="s">
        <v>12</v>
      </c>
      <c r="D18" s="23" t="s">
        <v>166</v>
      </c>
      <c r="E18" s="24" t="s">
        <v>167</v>
      </c>
      <c r="F18" s="25" t="s">
        <v>254</v>
      </c>
      <c r="G18" s="25" t="s">
        <v>257</v>
      </c>
      <c r="H18" s="25" t="s">
        <v>245</v>
      </c>
      <c r="I18" s="25" t="s">
        <v>245</v>
      </c>
      <c r="J18" s="25"/>
      <c r="K18" s="26">
        <v>47.9965510046611</v>
      </c>
      <c r="L18" s="26">
        <v>0</v>
      </c>
      <c r="M18" s="26">
        <v>1.7307985466793501</v>
      </c>
      <c r="N18" s="27">
        <v>2.9229053938155902E-2</v>
      </c>
      <c r="O18" s="21"/>
    </row>
    <row r="19" spans="2:15" ht="25.5" customHeight="1" x14ac:dyDescent="0.5">
      <c r="B19" s="15" t="s">
        <v>248</v>
      </c>
      <c r="C19" s="16" t="s">
        <v>17</v>
      </c>
      <c r="D19" s="16" t="s">
        <v>168</v>
      </c>
      <c r="E19" s="17" t="s">
        <v>169</v>
      </c>
      <c r="F19" s="18" t="s">
        <v>254</v>
      </c>
      <c r="G19" s="18" t="s">
        <v>257</v>
      </c>
      <c r="H19" s="18" t="s">
        <v>245</v>
      </c>
      <c r="I19" s="18" t="s">
        <v>245</v>
      </c>
      <c r="J19" s="18"/>
      <c r="K19" s="19">
        <v>48.531442273950198</v>
      </c>
      <c r="L19" s="19">
        <v>0</v>
      </c>
      <c r="M19" s="19">
        <v>16.376324407826999</v>
      </c>
      <c r="N19" s="20">
        <v>0</v>
      </c>
      <c r="O19" s="21"/>
    </row>
    <row r="20" spans="2:15" ht="25.5" customHeight="1" x14ac:dyDescent="0.5">
      <c r="B20" s="22" t="s">
        <v>248</v>
      </c>
      <c r="C20" s="23" t="s">
        <v>16</v>
      </c>
      <c r="D20" s="23" t="s">
        <v>170</v>
      </c>
      <c r="E20" s="24" t="s">
        <v>263</v>
      </c>
      <c r="F20" s="25" t="s">
        <v>254</v>
      </c>
      <c r="G20" s="25" t="s">
        <v>257</v>
      </c>
      <c r="H20" s="25" t="s">
        <v>245</v>
      </c>
      <c r="I20" s="25" t="s">
        <v>245</v>
      </c>
      <c r="J20" s="25"/>
      <c r="K20" s="26">
        <v>55.3333333333333</v>
      </c>
      <c r="L20" s="26">
        <v>0</v>
      </c>
      <c r="M20" s="26">
        <v>8.3383838958702405</v>
      </c>
      <c r="N20" s="27">
        <v>0</v>
      </c>
      <c r="O20" s="21"/>
    </row>
    <row r="21" spans="2:15" ht="25.5" customHeight="1" x14ac:dyDescent="0.5">
      <c r="B21" s="15" t="s">
        <v>253</v>
      </c>
      <c r="C21" s="16" t="s">
        <v>25</v>
      </c>
      <c r="D21" s="16" t="s">
        <v>185</v>
      </c>
      <c r="E21" s="17" t="s">
        <v>264</v>
      </c>
      <c r="F21" s="18" t="s">
        <v>254</v>
      </c>
      <c r="G21" s="18" t="s">
        <v>257</v>
      </c>
      <c r="H21" s="18" t="s">
        <v>245</v>
      </c>
      <c r="I21" s="18" t="s">
        <v>245</v>
      </c>
      <c r="J21" s="18"/>
      <c r="K21" s="19">
        <v>58.069380892169697</v>
      </c>
      <c r="L21" s="19">
        <v>0</v>
      </c>
      <c r="M21" s="19">
        <v>24.548006099999998</v>
      </c>
      <c r="N21" s="20">
        <v>0.6</v>
      </c>
      <c r="O21" s="21"/>
    </row>
    <row r="22" spans="2:15" ht="25.5" customHeight="1" x14ac:dyDescent="0.5">
      <c r="B22" s="22" t="s">
        <v>253</v>
      </c>
      <c r="C22" s="23" t="s">
        <v>24</v>
      </c>
      <c r="D22" s="23" t="s">
        <v>174</v>
      </c>
      <c r="E22" s="24" t="s">
        <v>265</v>
      </c>
      <c r="F22" s="25" t="s">
        <v>254</v>
      </c>
      <c r="G22" s="25" t="s">
        <v>257</v>
      </c>
      <c r="H22" s="25" t="s">
        <v>245</v>
      </c>
      <c r="I22" s="25" t="s">
        <v>245</v>
      </c>
      <c r="J22" s="25"/>
      <c r="K22" s="26">
        <v>65.194922789142694</v>
      </c>
      <c r="L22" s="26">
        <v>0</v>
      </c>
      <c r="M22" s="26">
        <v>2.1</v>
      </c>
      <c r="N22" s="27">
        <v>2</v>
      </c>
      <c r="O22" s="21"/>
    </row>
    <row r="23" spans="2:15" ht="25.5" customHeight="1" x14ac:dyDescent="0.5">
      <c r="B23" s="15" t="s">
        <v>242</v>
      </c>
      <c r="C23" s="16" t="s">
        <v>266</v>
      </c>
      <c r="D23" s="16" t="s">
        <v>267</v>
      </c>
      <c r="E23" s="17" t="s">
        <v>268</v>
      </c>
      <c r="F23" s="18" t="s">
        <v>254</v>
      </c>
      <c r="G23" s="18" t="s">
        <v>257</v>
      </c>
      <c r="H23" s="18" t="s">
        <v>245</v>
      </c>
      <c r="I23" s="18" t="s">
        <v>245</v>
      </c>
      <c r="J23" s="18"/>
      <c r="K23" s="19">
        <v>92.981952322378305</v>
      </c>
      <c r="L23" s="19">
        <v>0</v>
      </c>
      <c r="M23" s="19">
        <v>7</v>
      </c>
      <c r="N23" s="20">
        <v>0</v>
      </c>
      <c r="O23" s="21"/>
    </row>
    <row r="24" spans="2:15" ht="25.5" customHeight="1" x14ac:dyDescent="0.5">
      <c r="B24" s="22" t="s">
        <v>242</v>
      </c>
      <c r="C24" s="23" t="s">
        <v>22</v>
      </c>
      <c r="D24" s="23" t="s">
        <v>183</v>
      </c>
      <c r="E24" s="24" t="s">
        <v>184</v>
      </c>
      <c r="F24" s="25" t="s">
        <v>254</v>
      </c>
      <c r="G24" s="25" t="s">
        <v>257</v>
      </c>
      <c r="H24" s="25" t="s">
        <v>245</v>
      </c>
      <c r="I24" s="25" t="s">
        <v>245</v>
      </c>
      <c r="J24" s="25"/>
      <c r="K24" s="26">
        <v>64.293107958732506</v>
      </c>
      <c r="L24" s="26">
        <v>0</v>
      </c>
      <c r="M24" s="26">
        <v>30</v>
      </c>
      <c r="N24" s="27">
        <v>0.137996861377507</v>
      </c>
      <c r="O24" s="21"/>
    </row>
    <row r="25" spans="2:15" ht="25.5" customHeight="1" x14ac:dyDescent="0.5">
      <c r="B25" s="15" t="s">
        <v>242</v>
      </c>
      <c r="C25" s="16" t="s">
        <v>32</v>
      </c>
      <c r="D25" s="16" t="s">
        <v>269</v>
      </c>
      <c r="E25" s="17"/>
      <c r="F25" s="18" t="s">
        <v>254</v>
      </c>
      <c r="G25" s="18" t="s">
        <v>258</v>
      </c>
      <c r="H25" s="18" t="s">
        <v>245</v>
      </c>
      <c r="I25" s="18"/>
      <c r="J25" s="18"/>
      <c r="K25" s="19">
        <v>50</v>
      </c>
      <c r="L25" s="19">
        <v>0</v>
      </c>
      <c r="M25" s="19">
        <v>8</v>
      </c>
      <c r="N25" s="20">
        <v>1</v>
      </c>
      <c r="O25" s="21"/>
    </row>
    <row r="26" spans="2:15" ht="25.5" customHeight="1" x14ac:dyDescent="0.5">
      <c r="B26" s="22" t="s">
        <v>247</v>
      </c>
      <c r="C26" s="23" t="s">
        <v>21</v>
      </c>
      <c r="D26" s="23" t="s">
        <v>187</v>
      </c>
      <c r="E26" s="24" t="s">
        <v>188</v>
      </c>
      <c r="F26" s="25" t="s">
        <v>270</v>
      </c>
      <c r="G26" s="25" t="s">
        <v>252</v>
      </c>
      <c r="H26" s="25"/>
      <c r="I26" s="25" t="s">
        <v>245</v>
      </c>
      <c r="J26" s="25"/>
      <c r="K26" s="26">
        <v>46</v>
      </c>
      <c r="L26" s="26">
        <v>0</v>
      </c>
      <c r="M26" s="26">
        <v>7</v>
      </c>
      <c r="N26" s="27">
        <v>1</v>
      </c>
      <c r="O26" s="21"/>
    </row>
    <row r="27" spans="2:15" ht="25.5" customHeight="1" x14ac:dyDescent="0.5">
      <c r="B27" s="15" t="s">
        <v>242</v>
      </c>
      <c r="C27" s="16" t="s">
        <v>19</v>
      </c>
      <c r="D27" s="16" t="s">
        <v>271</v>
      </c>
      <c r="E27" s="17" t="s">
        <v>272</v>
      </c>
      <c r="F27" s="18"/>
      <c r="G27" s="18"/>
      <c r="H27" s="18"/>
      <c r="I27" s="18"/>
      <c r="J27" s="18"/>
      <c r="K27" s="19">
        <v>0</v>
      </c>
      <c r="L27" s="19">
        <v>0</v>
      </c>
      <c r="M27" s="19">
        <v>0</v>
      </c>
      <c r="N27" s="20">
        <v>0</v>
      </c>
      <c r="O27" s="21">
        <f t="shared" ref="O27:O28" si="0">K27+L27+M27+N27</f>
        <v>0</v>
      </c>
    </row>
    <row r="28" spans="2:15" ht="25.5" customHeight="1" x14ac:dyDescent="0.5">
      <c r="B28" s="22" t="s">
        <v>273</v>
      </c>
      <c r="C28" s="23" t="s">
        <v>26</v>
      </c>
      <c r="D28" s="23" t="s">
        <v>274</v>
      </c>
      <c r="E28" s="24" t="s">
        <v>275</v>
      </c>
      <c r="F28" s="25" t="s">
        <v>254</v>
      </c>
      <c r="G28" s="25" t="s">
        <v>252</v>
      </c>
      <c r="H28" s="25" t="s">
        <v>245</v>
      </c>
      <c r="I28" s="25" t="s">
        <v>245</v>
      </c>
      <c r="J28" s="25"/>
      <c r="K28" s="26">
        <v>0</v>
      </c>
      <c r="L28" s="26">
        <v>0</v>
      </c>
      <c r="M28" s="26">
        <v>0</v>
      </c>
      <c r="N28" s="27">
        <v>0</v>
      </c>
      <c r="O28" s="21">
        <f t="shared" si="0"/>
        <v>0</v>
      </c>
    </row>
    <row r="29" spans="2:15" ht="25.5" customHeight="1" x14ac:dyDescent="0.5">
      <c r="B29" s="15" t="s">
        <v>247</v>
      </c>
      <c r="C29" s="16" t="s">
        <v>276</v>
      </c>
      <c r="D29" s="16">
        <v>1825</v>
      </c>
      <c r="E29" s="17" t="s">
        <v>277</v>
      </c>
      <c r="F29" s="18" t="s">
        <v>254</v>
      </c>
      <c r="G29" s="18" t="s">
        <v>252</v>
      </c>
      <c r="H29" s="18" t="s">
        <v>245</v>
      </c>
      <c r="I29" s="18" t="s">
        <v>245</v>
      </c>
      <c r="J29" s="18"/>
      <c r="K29" s="19" t="s">
        <v>278</v>
      </c>
      <c r="L29" s="19" t="s">
        <v>278</v>
      </c>
      <c r="M29" s="19" t="s">
        <v>278</v>
      </c>
      <c r="N29" s="20" t="s">
        <v>278</v>
      </c>
    </row>
    <row r="30" spans="2:15" ht="25.5" customHeight="1" x14ac:dyDescent="0.5">
      <c r="B30" s="22"/>
      <c r="C30" s="23"/>
      <c r="D30" s="23" t="s">
        <v>279</v>
      </c>
      <c r="E30" s="24"/>
      <c r="F30" s="25"/>
      <c r="G30" s="25"/>
      <c r="H30" s="25"/>
      <c r="I30" s="25"/>
      <c r="J30" s="25"/>
      <c r="K30" s="26" t="s">
        <v>278</v>
      </c>
      <c r="L30" s="26" t="s">
        <v>278</v>
      </c>
      <c r="M30" s="26" t="s">
        <v>278</v>
      </c>
      <c r="N30" s="27" t="s">
        <v>278</v>
      </c>
    </row>
    <row r="31" spans="2:15" ht="25.5" customHeight="1" x14ac:dyDescent="0.5">
      <c r="B31" s="15" t="s">
        <v>247</v>
      </c>
      <c r="C31" s="16" t="s">
        <v>280</v>
      </c>
      <c r="D31" s="16" t="s">
        <v>281</v>
      </c>
      <c r="E31" s="17" t="s">
        <v>282</v>
      </c>
      <c r="F31" s="18" t="s">
        <v>270</v>
      </c>
      <c r="G31" s="18" t="s">
        <v>252</v>
      </c>
      <c r="H31" s="18"/>
      <c r="I31" s="18" t="s">
        <v>245</v>
      </c>
      <c r="J31" s="18"/>
      <c r="K31" s="19" t="s">
        <v>278</v>
      </c>
      <c r="L31" s="19" t="s">
        <v>278</v>
      </c>
      <c r="M31" s="19" t="s">
        <v>278</v>
      </c>
      <c r="N31" s="20" t="s">
        <v>278</v>
      </c>
    </row>
    <row r="32" spans="2:15" ht="25.5" customHeight="1" x14ac:dyDescent="0.5">
      <c r="B32" s="22" t="s">
        <v>247</v>
      </c>
      <c r="C32" s="23" t="s">
        <v>20</v>
      </c>
      <c r="D32" s="23">
        <v>1434</v>
      </c>
      <c r="E32" s="24" t="s">
        <v>283</v>
      </c>
      <c r="F32" s="25" t="s">
        <v>270</v>
      </c>
      <c r="G32" s="25" t="s">
        <v>252</v>
      </c>
      <c r="H32" s="25"/>
      <c r="I32" s="25" t="s">
        <v>245</v>
      </c>
      <c r="J32" s="25"/>
      <c r="K32" s="26" t="s">
        <v>278</v>
      </c>
      <c r="L32" s="26" t="s">
        <v>278</v>
      </c>
      <c r="M32" s="26" t="s">
        <v>278</v>
      </c>
      <c r="N32" s="27" t="s">
        <v>278</v>
      </c>
    </row>
    <row r="33" spans="2:15" ht="25.5" customHeight="1" x14ac:dyDescent="0.5">
      <c r="B33" s="15" t="s">
        <v>247</v>
      </c>
      <c r="C33" s="16" t="s">
        <v>26</v>
      </c>
      <c r="D33" s="16" t="s">
        <v>284</v>
      </c>
      <c r="E33" s="17" t="s">
        <v>285</v>
      </c>
      <c r="F33" s="18" t="s">
        <v>270</v>
      </c>
      <c r="G33" s="18" t="s">
        <v>252</v>
      </c>
      <c r="H33" s="18"/>
      <c r="I33" s="18" t="s">
        <v>245</v>
      </c>
      <c r="J33" s="18"/>
      <c r="K33" s="19" t="s">
        <v>278</v>
      </c>
      <c r="L33" s="19" t="s">
        <v>278</v>
      </c>
      <c r="M33" s="19" t="s">
        <v>278</v>
      </c>
      <c r="N33" s="20" t="s">
        <v>278</v>
      </c>
    </row>
    <row r="34" spans="2:15" ht="25.5" customHeight="1" x14ac:dyDescent="0.5">
      <c r="B34" s="28" t="s">
        <v>286</v>
      </c>
      <c r="C34" s="29" t="s">
        <v>287</v>
      </c>
      <c r="D34" s="29">
        <v>1142</v>
      </c>
      <c r="E34" s="30" t="s">
        <v>288</v>
      </c>
      <c r="F34" s="31" t="s">
        <v>270</v>
      </c>
      <c r="G34" s="31" t="s">
        <v>252</v>
      </c>
      <c r="H34" s="31"/>
      <c r="I34" s="31" t="s">
        <v>245</v>
      </c>
      <c r="J34" s="31"/>
      <c r="K34" s="32" t="s">
        <v>278</v>
      </c>
      <c r="L34" s="32" t="s">
        <v>278</v>
      </c>
      <c r="M34" s="32" t="s">
        <v>278</v>
      </c>
      <c r="N34" s="33" t="s">
        <v>278</v>
      </c>
    </row>
    <row r="35" spans="2:15" ht="25.5" customHeight="1" x14ac:dyDescent="0.5">
      <c r="B35" s="15" t="s">
        <v>248</v>
      </c>
      <c r="C35" s="16" t="s">
        <v>13</v>
      </c>
      <c r="D35" s="16" t="s">
        <v>164</v>
      </c>
      <c r="E35" s="17" t="s">
        <v>165</v>
      </c>
      <c r="F35" s="18" t="s">
        <v>254</v>
      </c>
      <c r="G35" s="18" t="s">
        <v>257</v>
      </c>
      <c r="H35" s="18" t="s">
        <v>245</v>
      </c>
      <c r="I35" s="18" t="s">
        <v>245</v>
      </c>
      <c r="J35" s="18"/>
      <c r="K35" s="19">
        <v>54.165598648029302</v>
      </c>
      <c r="L35" s="19">
        <v>0</v>
      </c>
      <c r="M35" s="19">
        <v>1.50238814808593</v>
      </c>
      <c r="N35" s="20">
        <v>0</v>
      </c>
      <c r="O35" s="21"/>
    </row>
    <row r="36" spans="2:15" ht="25.5" customHeight="1" x14ac:dyDescent="0.5">
      <c r="B36" s="22" t="s">
        <v>248</v>
      </c>
      <c r="C36" s="23" t="s">
        <v>11</v>
      </c>
      <c r="D36" s="23" t="s">
        <v>162</v>
      </c>
      <c r="E36" s="24" t="s">
        <v>289</v>
      </c>
      <c r="F36" s="25" t="s">
        <v>243</v>
      </c>
      <c r="G36" s="25" t="s">
        <v>252</v>
      </c>
      <c r="H36" s="25" t="s">
        <v>245</v>
      </c>
      <c r="I36" s="25" t="s">
        <v>245</v>
      </c>
      <c r="J36" s="25"/>
      <c r="K36" s="26">
        <v>48.5861231368688</v>
      </c>
      <c r="L36" s="26">
        <v>53.4723287716971</v>
      </c>
      <c r="M36" s="26">
        <v>16.1384360127044</v>
      </c>
      <c r="N36" s="27">
        <v>7.6396363428571403</v>
      </c>
      <c r="O36" s="21"/>
    </row>
    <row r="37" spans="2:15" ht="25.5" customHeight="1" x14ac:dyDescent="0.5">
      <c r="B37" s="15" t="s">
        <v>242</v>
      </c>
      <c r="C37" s="16" t="s">
        <v>32</v>
      </c>
      <c r="D37" s="16" t="s">
        <v>177</v>
      </c>
      <c r="E37" s="17" t="s">
        <v>178</v>
      </c>
      <c r="F37" s="18" t="s">
        <v>254</v>
      </c>
      <c r="G37" s="18" t="s">
        <v>258</v>
      </c>
      <c r="H37" s="18" t="s">
        <v>245</v>
      </c>
      <c r="I37" s="18"/>
      <c r="J37" s="18"/>
      <c r="K37" s="19">
        <v>50</v>
      </c>
      <c r="L37" s="19">
        <v>0</v>
      </c>
      <c r="M37" s="19">
        <v>8</v>
      </c>
      <c r="N37" s="20">
        <v>1</v>
      </c>
      <c r="O37" s="21"/>
    </row>
    <row r="38" spans="2:15" ht="25.5" customHeight="1" x14ac:dyDescent="0.5">
      <c r="B38" s="22" t="s">
        <v>242</v>
      </c>
      <c r="C38" s="23" t="s">
        <v>34</v>
      </c>
      <c r="D38" s="23" t="s">
        <v>179</v>
      </c>
      <c r="E38" s="24" t="s">
        <v>180</v>
      </c>
      <c r="F38" s="25" t="s">
        <v>254</v>
      </c>
      <c r="G38" s="25" t="s">
        <v>257</v>
      </c>
      <c r="H38" s="25" t="s">
        <v>245</v>
      </c>
      <c r="I38" s="25" t="s">
        <v>245</v>
      </c>
      <c r="J38" s="25"/>
      <c r="K38" s="26">
        <v>71.948383743404904</v>
      </c>
      <c r="L38" s="26"/>
      <c r="M38" s="26">
        <v>7.5434944095137899</v>
      </c>
      <c r="N38" s="27">
        <v>0</v>
      </c>
      <c r="O38" s="21"/>
    </row>
    <row r="39" spans="2:15" ht="25.5" customHeight="1" x14ac:dyDescent="0.5">
      <c r="B39" s="15" t="s">
        <v>242</v>
      </c>
      <c r="C39" s="16" t="s">
        <v>266</v>
      </c>
      <c r="D39" s="16" t="s">
        <v>189</v>
      </c>
      <c r="E39" s="17" t="s">
        <v>190</v>
      </c>
      <c r="F39" s="18" t="s">
        <v>254</v>
      </c>
      <c r="G39" s="18" t="s">
        <v>257</v>
      </c>
      <c r="H39" s="18" t="s">
        <v>245</v>
      </c>
      <c r="I39" s="18" t="s">
        <v>245</v>
      </c>
      <c r="J39" s="18"/>
      <c r="K39" s="19">
        <v>92.981952322378305</v>
      </c>
      <c r="L39" s="19">
        <v>0</v>
      </c>
      <c r="M39" s="19">
        <v>7</v>
      </c>
      <c r="N39" s="20">
        <v>0</v>
      </c>
      <c r="O39" s="21"/>
    </row>
  </sheetData>
  <autoFilter ref="B4:J39" xr:uid="{00000000-0009-0000-0000-00000D000000}"/>
  <mergeCells count="11">
    <mergeCell ref="O2:O4"/>
    <mergeCell ref="K2:N2"/>
    <mergeCell ref="B2:B4"/>
    <mergeCell ref="C2:C4"/>
    <mergeCell ref="D2:D4"/>
    <mergeCell ref="E2:E4"/>
    <mergeCell ref="F3:F4"/>
    <mergeCell ref="G3:G4"/>
    <mergeCell ref="H3:H4"/>
    <mergeCell ref="I3:I4"/>
    <mergeCell ref="J3:J4"/>
  </mergeCells>
  <phoneticPr fontId="14" type="noConversion"/>
  <conditionalFormatting sqref="D2 D5:D39">
    <cfRule type="duplicateValues" dxfId="3" priority="1"/>
  </conditionalFormatting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845"/>
  <sheetViews>
    <sheetView zoomScale="85" zoomScaleNormal="85" workbookViewId="0">
      <pane xSplit="2" ySplit="4" topLeftCell="F41" activePane="bottomRight" state="frozen"/>
      <selection pane="topRight"/>
      <selection pane="bottomLeft"/>
      <selection pane="bottomRight" activeCell="L1" sqref="L1:L1048576"/>
    </sheetView>
  </sheetViews>
  <sheetFormatPr defaultColWidth="9" defaultRowHeight="13.5" x14ac:dyDescent="0.3"/>
  <cols>
    <col min="3" max="6" width="39.46484375" customWidth="1"/>
    <col min="7" max="7" width="17.265625" customWidth="1"/>
    <col min="8" max="8" width="11.33203125" style="1" customWidth="1"/>
    <col min="9" max="9" width="13.53125" customWidth="1"/>
    <col min="10" max="10" width="12.796875"/>
    <col min="11" max="11" width="14.59765625" customWidth="1"/>
    <col min="12" max="12" width="12.265625" customWidth="1"/>
  </cols>
  <sheetData>
    <row r="1" spans="1:12" x14ac:dyDescent="0.3">
      <c r="C1" s="2" t="s">
        <v>290</v>
      </c>
      <c r="D1">
        <v>120</v>
      </c>
    </row>
    <row r="2" spans="1:12" x14ac:dyDescent="0.3">
      <c r="C2" s="2"/>
      <c r="D2" s="2"/>
      <c r="E2" s="2"/>
      <c r="F2" s="2"/>
    </row>
    <row r="3" spans="1:12" x14ac:dyDescent="0.3">
      <c r="B3" s="2" t="s">
        <v>291</v>
      </c>
      <c r="C3" s="2" t="s">
        <v>144</v>
      </c>
      <c r="D3" s="2" t="s">
        <v>292</v>
      </c>
      <c r="E3" s="2" t="s">
        <v>293</v>
      </c>
      <c r="F3" s="2" t="s">
        <v>294</v>
      </c>
      <c r="G3" s="2" t="s">
        <v>204</v>
      </c>
      <c r="H3" s="3" t="s">
        <v>295</v>
      </c>
      <c r="J3" s="2" t="s">
        <v>296</v>
      </c>
      <c r="K3" s="2" t="s">
        <v>297</v>
      </c>
      <c r="L3" s="2" t="s">
        <v>223</v>
      </c>
    </row>
    <row r="4" spans="1:12" x14ac:dyDescent="0.3">
      <c r="A4" t="s">
        <v>298</v>
      </c>
      <c r="B4" t="s">
        <v>146</v>
      </c>
      <c r="C4" t="s">
        <v>147</v>
      </c>
      <c r="D4">
        <f>_xlfn.XLOOKUP(B4,'3.屠宰能力表'!B:B,'3.屠宰能力表'!E:E)</f>
        <v>3200</v>
      </c>
      <c r="E4">
        <f>_xlfn.XLOOKUP(B4,'4.分割能力表'!B:B,'4.分割能力表'!D:D)</f>
        <v>1600</v>
      </c>
      <c r="F4">
        <f>_xlfn.XLOOKUP(B4,'4.分割能力表'!B:B,'4.分割能力表'!E:E)</f>
        <v>72000</v>
      </c>
      <c r="G4" s="4" t="s">
        <v>41</v>
      </c>
      <c r="H4" s="1">
        <f>_xlfn.XLOOKUP(G4,系数辅助表!$C:$C,系数辅助表!$D:$D)</f>
        <v>0.71499999999999997</v>
      </c>
      <c r="J4">
        <f>(D4-E4)*H4*$D$1</f>
        <v>137280</v>
      </c>
      <c r="K4">
        <f>IF(J4-L4&lt;0,0,J4-L4)</f>
        <v>137280</v>
      </c>
    </row>
    <row r="5" spans="1:12" x14ac:dyDescent="0.3">
      <c r="A5" t="s">
        <v>298</v>
      </c>
      <c r="B5" t="s">
        <v>146</v>
      </c>
      <c r="C5" t="s">
        <v>147</v>
      </c>
      <c r="D5">
        <f>_xlfn.XLOOKUP(B5,'3.屠宰能力表'!B:B,'3.屠宰能力表'!E:E)</f>
        <v>3200</v>
      </c>
      <c r="E5">
        <f>_xlfn.XLOOKUP(B5,'4.分割能力表'!B:B,'4.分割能力表'!D:D)</f>
        <v>1600</v>
      </c>
      <c r="F5">
        <f>_xlfn.XLOOKUP(B5,'4.分割能力表'!B:B,'4.分割能力表'!E:E)</f>
        <v>72000</v>
      </c>
      <c r="G5" s="4" t="s">
        <v>44</v>
      </c>
      <c r="H5" s="1">
        <f>_xlfn.XLOOKUP(G5,系数辅助表!$C:$C,系数辅助表!$D:$D)</f>
        <v>4.3342237679380002E-2</v>
      </c>
      <c r="J5">
        <f>$D5*H5*$D$1</f>
        <v>16643.419268881898</v>
      </c>
      <c r="K5">
        <f t="shared" ref="K5:K52" si="0">IF(J5-L5&lt;0,0,J5-L5)</f>
        <v>16643.419268881898</v>
      </c>
    </row>
    <row r="6" spans="1:12" x14ac:dyDescent="0.3">
      <c r="A6" t="s">
        <v>298</v>
      </c>
      <c r="B6" t="s">
        <v>146</v>
      </c>
      <c r="C6" t="s">
        <v>147</v>
      </c>
      <c r="D6">
        <f>_xlfn.XLOOKUP(B6,'3.屠宰能力表'!B:B,'3.屠宰能力表'!E:E)</f>
        <v>3200</v>
      </c>
      <c r="E6">
        <f>_xlfn.XLOOKUP(B6,'4.分割能力表'!B:B,'4.分割能力表'!D:D)</f>
        <v>1600</v>
      </c>
      <c r="F6">
        <f>_xlfn.XLOOKUP(B6,'4.分割能力表'!B:B,'4.分割能力表'!E:E)</f>
        <v>72000</v>
      </c>
      <c r="G6" s="4" t="s">
        <v>46</v>
      </c>
      <c r="H6" s="1">
        <f>_xlfn.XLOOKUP(G6,系数辅助表!$C:$C,系数辅助表!$D:$D)</f>
        <v>3.2562132013653599E-4</v>
      </c>
      <c r="J6">
        <f t="shared" ref="J6:J26" si="1">$D6*H6*$D$1</f>
        <v>125.03858693242999</v>
      </c>
      <c r="K6">
        <f t="shared" si="0"/>
        <v>125.03858693242999</v>
      </c>
    </row>
    <row r="7" spans="1:12" x14ac:dyDescent="0.3">
      <c r="A7" t="s">
        <v>298</v>
      </c>
      <c r="B7" t="s">
        <v>146</v>
      </c>
      <c r="C7" t="s">
        <v>147</v>
      </c>
      <c r="D7">
        <f>_xlfn.XLOOKUP(B7,'3.屠宰能力表'!B:B,'3.屠宰能力表'!E:E)</f>
        <v>3200</v>
      </c>
      <c r="E7">
        <f>_xlfn.XLOOKUP(B7,'4.分割能力表'!B:B,'4.分割能力表'!D:D)</f>
        <v>1600</v>
      </c>
      <c r="F7">
        <f>_xlfn.XLOOKUP(B7,'4.分割能力表'!B:B,'4.分割能力表'!E:E)</f>
        <v>72000</v>
      </c>
      <c r="G7" s="4" t="s">
        <v>47</v>
      </c>
      <c r="H7" s="1">
        <f>_xlfn.XLOOKUP(G7,系数辅助表!$C:$C,系数辅助表!$D:$D)</f>
        <v>3.0632398515360198E-3</v>
      </c>
      <c r="J7">
        <f t="shared" si="1"/>
        <v>1176.28410298983</v>
      </c>
      <c r="K7">
        <f t="shared" si="0"/>
        <v>1176.28410298983</v>
      </c>
    </row>
    <row r="8" spans="1:12" x14ac:dyDescent="0.3">
      <c r="A8" t="s">
        <v>298</v>
      </c>
      <c r="B8" t="s">
        <v>146</v>
      </c>
      <c r="C8" t="s">
        <v>147</v>
      </c>
      <c r="D8">
        <f>_xlfn.XLOOKUP(B8,'3.屠宰能力表'!B:B,'3.屠宰能力表'!E:E)</f>
        <v>3200</v>
      </c>
      <c r="E8">
        <f>_xlfn.XLOOKUP(B8,'4.分割能力表'!B:B,'4.分割能力表'!D:D)</f>
        <v>1600</v>
      </c>
      <c r="F8">
        <f>_xlfn.XLOOKUP(B8,'4.分割能力表'!B:B,'4.分割能力表'!E:E)</f>
        <v>72000</v>
      </c>
      <c r="G8" s="4" t="s">
        <v>48</v>
      </c>
      <c r="H8" s="1">
        <f>_xlfn.XLOOKUP(G8,系数辅助表!$C:$C,系数辅助表!$D:$D)</f>
        <v>1.5822796716383002E-2</v>
      </c>
      <c r="J8">
        <f t="shared" si="1"/>
        <v>6075.9539390910704</v>
      </c>
      <c r="K8">
        <f t="shared" si="0"/>
        <v>6075.9539390910704</v>
      </c>
    </row>
    <row r="9" spans="1:12" x14ac:dyDescent="0.3">
      <c r="A9" t="s">
        <v>298</v>
      </c>
      <c r="B9" t="s">
        <v>146</v>
      </c>
      <c r="C9" t="s">
        <v>147</v>
      </c>
      <c r="D9">
        <f>_xlfn.XLOOKUP(B9,'3.屠宰能力表'!B:B,'3.屠宰能力表'!E:E)</f>
        <v>3200</v>
      </c>
      <c r="E9">
        <f>_xlfn.XLOOKUP(B9,'4.分割能力表'!B:B,'4.分割能力表'!D:D)</f>
        <v>1600</v>
      </c>
      <c r="F9">
        <f>_xlfn.XLOOKUP(B9,'4.分割能力表'!B:B,'4.分割能力表'!E:E)</f>
        <v>72000</v>
      </c>
      <c r="G9" s="4" t="s">
        <v>49</v>
      </c>
      <c r="H9" s="1">
        <f>_xlfn.XLOOKUP(G9,系数辅助表!$C:$C,系数辅助表!$D:$D)</f>
        <v>3.0934025412970799E-3</v>
      </c>
      <c r="J9">
        <f t="shared" si="1"/>
        <v>1187.8665758580801</v>
      </c>
      <c r="K9">
        <f t="shared" si="0"/>
        <v>1187.8665758580801</v>
      </c>
    </row>
    <row r="10" spans="1:12" x14ac:dyDescent="0.3">
      <c r="A10" t="s">
        <v>298</v>
      </c>
      <c r="B10" t="s">
        <v>146</v>
      </c>
      <c r="C10" t="s">
        <v>147</v>
      </c>
      <c r="D10">
        <f>_xlfn.XLOOKUP(B10,'3.屠宰能力表'!B:B,'3.屠宰能力表'!E:E)</f>
        <v>3200</v>
      </c>
      <c r="E10">
        <f>_xlfn.XLOOKUP(B10,'4.分割能力表'!B:B,'4.分割能力表'!D:D)</f>
        <v>1600</v>
      </c>
      <c r="F10">
        <f>_xlfn.XLOOKUP(B10,'4.分割能力表'!B:B,'4.分割能力表'!E:E)</f>
        <v>72000</v>
      </c>
      <c r="G10" s="4" t="s">
        <v>50</v>
      </c>
      <c r="H10" s="1">
        <f>_xlfn.XLOOKUP(G10,系数辅助表!$C:$C,系数辅助表!$D:$D)</f>
        <v>1.08247988845052E-2</v>
      </c>
      <c r="J10">
        <f t="shared" si="1"/>
        <v>4156.7227716500001</v>
      </c>
      <c r="K10">
        <f t="shared" si="0"/>
        <v>4156.7227716500001</v>
      </c>
    </row>
    <row r="11" spans="1:12" x14ac:dyDescent="0.3">
      <c r="A11" t="s">
        <v>298</v>
      </c>
      <c r="B11" t="s">
        <v>146</v>
      </c>
      <c r="C11" t="s">
        <v>147</v>
      </c>
      <c r="D11">
        <f>_xlfn.XLOOKUP(B11,'3.屠宰能力表'!B:B,'3.屠宰能力表'!E:E)</f>
        <v>3200</v>
      </c>
      <c r="E11">
        <f>_xlfn.XLOOKUP(B11,'4.分割能力表'!B:B,'4.分割能力表'!D:D)</f>
        <v>1600</v>
      </c>
      <c r="F11">
        <f>_xlfn.XLOOKUP(B11,'4.分割能力表'!B:B,'4.分割能力表'!E:E)</f>
        <v>72000</v>
      </c>
      <c r="G11" s="4" t="s">
        <v>51</v>
      </c>
      <c r="H11" s="1">
        <f>_xlfn.XLOOKUP(G11,系数辅助表!$C:$C,系数辅助表!$D:$D)</f>
        <v>4.9657251320821601E-3</v>
      </c>
      <c r="J11">
        <f t="shared" si="1"/>
        <v>1906.8384507195501</v>
      </c>
      <c r="K11">
        <f t="shared" si="0"/>
        <v>1906.8384507195501</v>
      </c>
    </row>
    <row r="12" spans="1:12" x14ac:dyDescent="0.3">
      <c r="A12" t="s">
        <v>298</v>
      </c>
      <c r="B12" t="s">
        <v>146</v>
      </c>
      <c r="C12" t="s">
        <v>147</v>
      </c>
      <c r="D12">
        <f>_xlfn.XLOOKUP(B12,'3.屠宰能力表'!B:B,'3.屠宰能力表'!E:E)</f>
        <v>3200</v>
      </c>
      <c r="E12">
        <f>_xlfn.XLOOKUP(B12,'4.分割能力表'!B:B,'4.分割能力表'!D:D)</f>
        <v>1600</v>
      </c>
      <c r="F12">
        <f>_xlfn.XLOOKUP(B12,'4.分割能力表'!B:B,'4.分割能力表'!E:E)</f>
        <v>72000</v>
      </c>
      <c r="G12" s="4" t="s">
        <v>52</v>
      </c>
      <c r="H12" s="1">
        <f>_xlfn.XLOOKUP(G12,系数辅助表!$C:$C,系数辅助表!$D:$D)</f>
        <v>4.1516718317408203E-3</v>
      </c>
      <c r="J12">
        <f t="shared" si="1"/>
        <v>1594.2419833884701</v>
      </c>
      <c r="K12">
        <f t="shared" si="0"/>
        <v>1594.2419833884701</v>
      </c>
    </row>
    <row r="13" spans="1:12" x14ac:dyDescent="0.3">
      <c r="A13" t="s">
        <v>298</v>
      </c>
      <c r="B13" t="s">
        <v>146</v>
      </c>
      <c r="C13" t="s">
        <v>147</v>
      </c>
      <c r="D13">
        <f>_xlfn.XLOOKUP(B13,'3.屠宰能力表'!B:B,'3.屠宰能力表'!E:E)</f>
        <v>3200</v>
      </c>
      <c r="E13">
        <f>_xlfn.XLOOKUP(B13,'4.分割能力表'!B:B,'4.分割能力表'!D:D)</f>
        <v>1600</v>
      </c>
      <c r="F13">
        <f>_xlfn.XLOOKUP(B13,'4.分割能力表'!B:B,'4.分割能力表'!E:E)</f>
        <v>72000</v>
      </c>
      <c r="G13" s="4" t="s">
        <v>53</v>
      </c>
      <c r="H13" s="1">
        <f>_xlfn.XLOOKUP(G13,系数辅助表!$C:$C,系数辅助表!$D:$D)</f>
        <v>3.6632398515360201E-3</v>
      </c>
      <c r="J13">
        <f t="shared" si="1"/>
        <v>1406.6841029898301</v>
      </c>
      <c r="K13">
        <f t="shared" si="0"/>
        <v>1406.6841029898301</v>
      </c>
    </row>
    <row r="14" spans="1:12" x14ac:dyDescent="0.3">
      <c r="A14" t="s">
        <v>298</v>
      </c>
      <c r="B14" t="s">
        <v>146</v>
      </c>
      <c r="C14" t="s">
        <v>147</v>
      </c>
      <c r="D14">
        <f>_xlfn.XLOOKUP(B14,'3.屠宰能力表'!B:B,'3.屠宰能力表'!E:E)</f>
        <v>3200</v>
      </c>
      <c r="E14">
        <f>_xlfn.XLOOKUP(B14,'4.分割能力表'!B:B,'4.分割能力表'!D:D)</f>
        <v>1600</v>
      </c>
      <c r="F14">
        <f>_xlfn.XLOOKUP(B14,'4.分割能力表'!B:B,'4.分割能力表'!E:E)</f>
        <v>72000</v>
      </c>
      <c r="G14" s="4" t="s">
        <v>54</v>
      </c>
      <c r="H14" s="1">
        <f>_xlfn.XLOOKUP(G14,系数辅助表!$C:$C,系数辅助表!$D:$D)</f>
        <v>2.68637589112642E-3</v>
      </c>
      <c r="J14">
        <f t="shared" si="1"/>
        <v>1031.5683421925501</v>
      </c>
      <c r="K14">
        <f t="shared" si="0"/>
        <v>1031.5683421925501</v>
      </c>
    </row>
    <row r="15" spans="1:12" x14ac:dyDescent="0.3">
      <c r="A15" t="s">
        <v>298</v>
      </c>
      <c r="B15" t="s">
        <v>146</v>
      </c>
      <c r="C15" t="s">
        <v>147</v>
      </c>
      <c r="D15">
        <f>_xlfn.XLOOKUP(B15,'3.屠宰能力表'!B:B,'3.屠宰能力表'!E:E)</f>
        <v>3200</v>
      </c>
      <c r="E15">
        <f>_xlfn.XLOOKUP(B15,'4.分割能力表'!B:B,'4.分割能力表'!D:D)</f>
        <v>1600</v>
      </c>
      <c r="F15">
        <f>_xlfn.XLOOKUP(B15,'4.分割能力表'!B:B,'4.分割能力表'!E:E)</f>
        <v>72000</v>
      </c>
      <c r="G15" s="4" t="s">
        <v>55</v>
      </c>
      <c r="H15" s="1">
        <f>_xlfn.XLOOKUP(G15,系数辅助表!$C:$C,系数辅助表!$D:$D)</f>
        <v>2.9015761200285397E-4</v>
      </c>
      <c r="J15">
        <f t="shared" si="1"/>
        <v>111.420523009096</v>
      </c>
      <c r="K15">
        <f t="shared" si="0"/>
        <v>111.420523009096</v>
      </c>
    </row>
    <row r="16" spans="1:12" x14ac:dyDescent="0.3">
      <c r="A16" t="s">
        <v>298</v>
      </c>
      <c r="B16" t="s">
        <v>146</v>
      </c>
      <c r="C16" t="s">
        <v>147</v>
      </c>
      <c r="D16">
        <f>_xlfn.XLOOKUP(B16,'3.屠宰能力表'!B:B,'3.屠宰能力表'!E:E)</f>
        <v>3200</v>
      </c>
      <c r="E16">
        <f>_xlfn.XLOOKUP(B16,'4.分割能力表'!B:B,'4.分割能力表'!D:D)</f>
        <v>1600</v>
      </c>
      <c r="F16">
        <f>_xlfn.XLOOKUP(B16,'4.分割能力表'!B:B,'4.分割能力表'!E:E)</f>
        <v>72000</v>
      </c>
      <c r="G16" s="4" t="s">
        <v>57</v>
      </c>
      <c r="H16" s="1">
        <f>_xlfn.XLOOKUP(G16,系数辅助表!$C:$C,系数辅助表!$D:$D)</f>
        <v>1.0245932755973399E-2</v>
      </c>
      <c r="J16">
        <f t="shared" si="1"/>
        <v>3934.4381782937899</v>
      </c>
      <c r="K16">
        <f t="shared" si="0"/>
        <v>3934.4381782937899</v>
      </c>
    </row>
    <row r="17" spans="1:12" x14ac:dyDescent="0.3">
      <c r="A17" t="s">
        <v>298</v>
      </c>
      <c r="B17" t="s">
        <v>146</v>
      </c>
      <c r="C17" t="s">
        <v>147</v>
      </c>
      <c r="D17">
        <f>_xlfn.XLOOKUP(B17,'3.屠宰能力表'!B:B,'3.屠宰能力表'!E:E)</f>
        <v>3200</v>
      </c>
      <c r="E17">
        <f>_xlfn.XLOOKUP(B17,'4.分割能力表'!B:B,'4.分割能力表'!D:D)</f>
        <v>1600</v>
      </c>
      <c r="F17">
        <f>_xlfn.XLOOKUP(B17,'4.分割能力表'!B:B,'4.分割能力表'!E:E)</f>
        <v>72000</v>
      </c>
      <c r="G17" s="4" t="s">
        <v>58</v>
      </c>
      <c r="H17" s="1">
        <f>_xlfn.XLOOKUP(G17,系数辅助表!$C:$C,系数辅助表!$D:$D)</f>
        <v>1.46005473500993E-2</v>
      </c>
      <c r="J17">
        <f t="shared" si="1"/>
        <v>5606.6101824381303</v>
      </c>
      <c r="K17">
        <f t="shared" si="0"/>
        <v>5606.6101824381303</v>
      </c>
    </row>
    <row r="18" spans="1:12" x14ac:dyDescent="0.3">
      <c r="A18" t="s">
        <v>298</v>
      </c>
      <c r="B18" t="s">
        <v>146</v>
      </c>
      <c r="C18" t="s">
        <v>147</v>
      </c>
      <c r="D18">
        <f>_xlfn.XLOOKUP(B18,'3.屠宰能力表'!B:B,'3.屠宰能力表'!E:E)</f>
        <v>3200</v>
      </c>
      <c r="E18">
        <f>_xlfn.XLOOKUP(B18,'4.分割能力表'!B:B,'4.分割能力表'!D:D)</f>
        <v>1600</v>
      </c>
      <c r="F18">
        <f>_xlfn.XLOOKUP(B18,'4.分割能力表'!B:B,'4.分割能力表'!E:E)</f>
        <v>72000</v>
      </c>
      <c r="G18" s="4" t="s">
        <v>59</v>
      </c>
      <c r="H18" s="1">
        <f>_xlfn.XLOOKUP(G18,系数辅助表!$C:$C,系数辅助表!$D:$D)</f>
        <v>1.4718794556320801E-2</v>
      </c>
      <c r="J18">
        <f t="shared" si="1"/>
        <v>5652.0171096271897</v>
      </c>
      <c r="K18">
        <f t="shared" si="0"/>
        <v>5652.0171096271897</v>
      </c>
    </row>
    <row r="19" spans="1:12" x14ac:dyDescent="0.3">
      <c r="A19" t="s">
        <v>298</v>
      </c>
      <c r="B19" t="s">
        <v>146</v>
      </c>
      <c r="C19" t="s">
        <v>147</v>
      </c>
      <c r="D19">
        <f>_xlfn.XLOOKUP(B19,'3.屠宰能力表'!B:B,'3.屠宰能力表'!E:E)</f>
        <v>3200</v>
      </c>
      <c r="E19">
        <f>_xlfn.XLOOKUP(B19,'4.分割能力表'!B:B,'4.分割能力表'!D:D)</f>
        <v>1600</v>
      </c>
      <c r="F19">
        <f>_xlfn.XLOOKUP(B19,'4.分割能力表'!B:B,'4.分割能力表'!E:E)</f>
        <v>72000</v>
      </c>
      <c r="G19" s="4" t="s">
        <v>60</v>
      </c>
      <c r="H19" s="1">
        <f>_xlfn.XLOOKUP(G19,系数辅助表!$C:$C,系数辅助表!$D:$D)</f>
        <v>6.8269088945398003E-3</v>
      </c>
      <c r="J19">
        <f t="shared" si="1"/>
        <v>2621.5330155032798</v>
      </c>
      <c r="K19">
        <f t="shared" si="0"/>
        <v>2621.5330155032798</v>
      </c>
    </row>
    <row r="20" spans="1:12" x14ac:dyDescent="0.3">
      <c r="A20" t="s">
        <v>298</v>
      </c>
      <c r="B20" t="s">
        <v>146</v>
      </c>
      <c r="C20" t="s">
        <v>147</v>
      </c>
      <c r="D20">
        <f>_xlfn.XLOOKUP(B20,'3.屠宰能力表'!B:B,'3.屠宰能力表'!E:E)</f>
        <v>3200</v>
      </c>
      <c r="E20">
        <f>_xlfn.XLOOKUP(B20,'4.分割能力表'!B:B,'4.分割能力表'!D:D)</f>
        <v>1600</v>
      </c>
      <c r="F20">
        <f>_xlfn.XLOOKUP(B20,'4.分割能力表'!B:B,'4.分割能力表'!E:E)</f>
        <v>72000</v>
      </c>
      <c r="G20" s="4" t="s">
        <v>61</v>
      </c>
      <c r="H20" s="1">
        <f>_xlfn.XLOOKUP(G20,系数辅助表!$C:$C,系数辅助表!$D:$D)</f>
        <v>7.8149116832768404E-3</v>
      </c>
      <c r="J20">
        <f t="shared" si="1"/>
        <v>3000.9260863783102</v>
      </c>
      <c r="K20">
        <f t="shared" si="0"/>
        <v>3000.9260863783102</v>
      </c>
    </row>
    <row r="21" spans="1:12" x14ac:dyDescent="0.3">
      <c r="A21" t="s">
        <v>298</v>
      </c>
      <c r="B21" t="s">
        <v>146</v>
      </c>
      <c r="C21" t="s">
        <v>147</v>
      </c>
      <c r="D21">
        <f>_xlfn.XLOOKUP(B21,'3.屠宰能力表'!B:B,'3.屠宰能力表'!E:E)</f>
        <v>3200</v>
      </c>
      <c r="E21">
        <f>_xlfn.XLOOKUP(B21,'4.分割能力表'!B:B,'4.分割能力表'!D:D)</f>
        <v>1600</v>
      </c>
      <c r="F21">
        <f>_xlfn.XLOOKUP(B21,'4.分割能力表'!B:B,'4.分割能力表'!E:E)</f>
        <v>72000</v>
      </c>
      <c r="G21" s="4" t="s">
        <v>62</v>
      </c>
      <c r="H21" s="1">
        <f>_xlfn.XLOOKUP(G21,系数辅助表!$C:$C,系数辅助表!$D:$D)</f>
        <v>7.3264797030720401E-3</v>
      </c>
      <c r="J21">
        <f t="shared" si="1"/>
        <v>2813.3682059796602</v>
      </c>
      <c r="K21">
        <f t="shared" si="0"/>
        <v>2813.3682059796602</v>
      </c>
    </row>
    <row r="22" spans="1:12" x14ac:dyDescent="0.3">
      <c r="A22" t="s">
        <v>298</v>
      </c>
      <c r="B22" t="s">
        <v>146</v>
      </c>
      <c r="C22" t="s">
        <v>147</v>
      </c>
      <c r="D22">
        <f>_xlfn.XLOOKUP(B22,'3.屠宰能力表'!B:B,'3.屠宰能力表'!E:E)</f>
        <v>3200</v>
      </c>
      <c r="E22">
        <f>_xlfn.XLOOKUP(B22,'4.分割能力表'!B:B,'4.分割能力表'!D:D)</f>
        <v>1600</v>
      </c>
      <c r="F22">
        <f>_xlfn.XLOOKUP(B22,'4.分割能力表'!B:B,'4.分割能力表'!E:E)</f>
        <v>72000</v>
      </c>
      <c r="G22" s="4" t="s">
        <v>63</v>
      </c>
      <c r="H22" s="1">
        <f>_xlfn.XLOOKUP(G22,系数辅助表!$C:$C,系数辅助表!$D:$D)</f>
        <v>6.1516718317408204E-3</v>
      </c>
      <c r="J22">
        <f t="shared" si="1"/>
        <v>2362.2419833884801</v>
      </c>
      <c r="K22">
        <f t="shared" si="0"/>
        <v>2362.2419833884801</v>
      </c>
    </row>
    <row r="23" spans="1:12" x14ac:dyDescent="0.3">
      <c r="A23" t="s">
        <v>298</v>
      </c>
      <c r="B23" t="s">
        <v>146</v>
      </c>
      <c r="C23" t="s">
        <v>147</v>
      </c>
      <c r="D23">
        <f>_xlfn.XLOOKUP(B23,'3.屠宰能力表'!B:B,'3.屠宰能力表'!E:E)</f>
        <v>3200</v>
      </c>
      <c r="E23">
        <f>_xlfn.XLOOKUP(B23,'4.分割能力表'!B:B,'4.分割能力表'!D:D)</f>
        <v>1600</v>
      </c>
      <c r="F23">
        <f>_xlfn.XLOOKUP(B23,'4.分割能力表'!B:B,'4.分割能力表'!E:E)</f>
        <v>72000</v>
      </c>
      <c r="G23" s="4" t="s">
        <v>64</v>
      </c>
      <c r="H23" s="1">
        <f>_xlfn.XLOOKUP(G23,系数辅助表!$C:$C,系数辅助表!$D:$D)</f>
        <v>1.0639112440104599E-3</v>
      </c>
      <c r="J23">
        <f t="shared" si="1"/>
        <v>408.541917700017</v>
      </c>
      <c r="K23">
        <f t="shared" si="0"/>
        <v>408.541917700017</v>
      </c>
    </row>
    <row r="24" spans="1:12" x14ac:dyDescent="0.3">
      <c r="A24" t="s">
        <v>298</v>
      </c>
      <c r="B24" t="s">
        <v>146</v>
      </c>
      <c r="C24" t="s">
        <v>147</v>
      </c>
      <c r="D24">
        <f>_xlfn.XLOOKUP(B24,'3.屠宰能力表'!B:B,'3.屠宰能力表'!E:E)</f>
        <v>3200</v>
      </c>
      <c r="E24">
        <f>_xlfn.XLOOKUP(B24,'4.分割能力表'!B:B,'4.分割能力表'!D:D)</f>
        <v>1600</v>
      </c>
      <c r="F24">
        <f>_xlfn.XLOOKUP(B24,'4.分割能力表'!B:B,'4.分割能力表'!E:E)</f>
        <v>72000</v>
      </c>
      <c r="G24" s="4" t="s">
        <v>65</v>
      </c>
      <c r="H24" s="1">
        <f>_xlfn.XLOOKUP(G24,系数辅助表!$C:$C,系数辅助表!$D:$D)</f>
        <v>4.8359602000475603E-4</v>
      </c>
      <c r="J24">
        <f t="shared" si="1"/>
        <v>185.70087168182599</v>
      </c>
      <c r="K24">
        <f t="shared" si="0"/>
        <v>185.70087168182599</v>
      </c>
    </row>
    <row r="25" spans="1:12" x14ac:dyDescent="0.3">
      <c r="A25" t="s">
        <v>298</v>
      </c>
      <c r="B25" t="s">
        <v>146</v>
      </c>
      <c r="C25" t="s">
        <v>147</v>
      </c>
      <c r="D25">
        <f>_xlfn.XLOOKUP(B25,'3.屠宰能力表'!B:B,'3.屠宰能力表'!E:E)</f>
        <v>3200</v>
      </c>
      <c r="E25">
        <f>_xlfn.XLOOKUP(B25,'4.分割能力表'!B:B,'4.分割能力表'!D:D)</f>
        <v>1600</v>
      </c>
      <c r="F25">
        <f>_xlfn.XLOOKUP(B25,'4.分割能力表'!B:B,'4.分割能力表'!E:E)</f>
        <v>72000</v>
      </c>
      <c r="G25" s="4" t="s">
        <v>66</v>
      </c>
      <c r="H25" s="1">
        <f>_xlfn.XLOOKUP(G25,系数辅助表!$C:$C,系数辅助表!$D:$D)</f>
        <v>1.70951193071681E-3</v>
      </c>
      <c r="J25">
        <f t="shared" si="1"/>
        <v>656.45258139525504</v>
      </c>
      <c r="K25">
        <f t="shared" si="0"/>
        <v>656.45258139525504</v>
      </c>
    </row>
    <row r="26" spans="1:12" x14ac:dyDescent="0.3">
      <c r="A26" t="s">
        <v>298</v>
      </c>
      <c r="B26" t="s">
        <v>146</v>
      </c>
      <c r="C26" t="s">
        <v>147</v>
      </c>
      <c r="D26">
        <f>_xlfn.XLOOKUP(B26,'3.屠宰能力表'!B:B,'3.屠宰能力表'!E:E)</f>
        <v>3200</v>
      </c>
      <c r="E26">
        <f>_xlfn.XLOOKUP(B26,'4.分割能力表'!B:B,'4.分割能力表'!D:D)</f>
        <v>1600</v>
      </c>
      <c r="F26">
        <f>_xlfn.XLOOKUP(B26,'4.分割能力表'!B:B,'4.分割能力表'!E:E)</f>
        <v>72000</v>
      </c>
      <c r="G26" s="4" t="s">
        <v>67</v>
      </c>
      <c r="H26" s="1">
        <f>_xlfn.XLOOKUP(G26,系数辅助表!$C:$C,系数辅助表!$D:$D)</f>
        <v>0.02</v>
      </c>
      <c r="J26">
        <f t="shared" si="1"/>
        <v>7680</v>
      </c>
      <c r="K26">
        <f t="shared" si="0"/>
        <v>7680</v>
      </c>
    </row>
    <row r="27" spans="1:12" x14ac:dyDescent="0.3">
      <c r="A27" t="s">
        <v>298</v>
      </c>
      <c r="B27" t="s">
        <v>146</v>
      </c>
      <c r="C27" t="s">
        <v>147</v>
      </c>
      <c r="D27">
        <f>_xlfn.XLOOKUP(B27,'3.屠宰能力表'!B:B,'3.屠宰能力表'!E:E)</f>
        <v>3200</v>
      </c>
      <c r="E27">
        <f>_xlfn.XLOOKUP(B27,'4.分割能力表'!B:B,'4.分割能力表'!D:D)</f>
        <v>1600</v>
      </c>
      <c r="F27">
        <f>_xlfn.XLOOKUP(B27,'4.分割能力表'!B:B,'4.分割能力表'!E:E)</f>
        <v>72000</v>
      </c>
      <c r="G27" t="s">
        <v>56</v>
      </c>
      <c r="H27" s="1">
        <f>_xlfn.XLOOKUP(G27,系数辅助表!$C:$C,系数辅助表!$D:$D)</f>
        <v>1.85007717386486E-2</v>
      </c>
      <c r="J27">
        <f t="shared" ref="J27:J35" si="2">$E27*H27*$D$1</f>
        <v>3552.1481738205298</v>
      </c>
      <c r="K27" s="5">
        <f t="shared" si="0"/>
        <v>1449.3335885747499</v>
      </c>
      <c r="L27">
        <v>2102.8145852457801</v>
      </c>
    </row>
    <row r="28" spans="1:12" x14ac:dyDescent="0.3">
      <c r="A28" t="s">
        <v>298</v>
      </c>
      <c r="B28" t="s">
        <v>146</v>
      </c>
      <c r="C28" t="s">
        <v>147</v>
      </c>
      <c r="D28">
        <f>_xlfn.XLOOKUP(B28,'3.屠宰能力表'!B:B,'3.屠宰能力表'!E:E)</f>
        <v>3200</v>
      </c>
      <c r="E28">
        <f>_xlfn.XLOOKUP(B28,'4.分割能力表'!B:B,'4.分割能力表'!D:D)</f>
        <v>1600</v>
      </c>
      <c r="F28">
        <f>_xlfn.XLOOKUP(B28,'4.分割能力表'!B:B,'4.分割能力表'!E:E)</f>
        <v>72000</v>
      </c>
      <c r="G28" t="s">
        <v>45</v>
      </c>
      <c r="H28" s="1">
        <f>_xlfn.XLOOKUP(G28,系数辅助表!$C:$C,系数辅助表!$D:$D)</f>
        <v>1.8327694979870301E-2</v>
      </c>
      <c r="J28">
        <f t="shared" si="2"/>
        <v>3518.9174361351002</v>
      </c>
      <c r="K28" s="5">
        <f t="shared" si="0"/>
        <v>1435.7749131074399</v>
      </c>
      <c r="L28">
        <v>2083.14252302766</v>
      </c>
    </row>
    <row r="29" spans="1:12" x14ac:dyDescent="0.3">
      <c r="A29" t="s">
        <v>298</v>
      </c>
      <c r="B29" t="s">
        <v>146</v>
      </c>
      <c r="C29" t="s">
        <v>147</v>
      </c>
      <c r="D29">
        <f>_xlfn.XLOOKUP(B29,'3.屠宰能力表'!B:B,'3.屠宰能力表'!E:E)</f>
        <v>3200</v>
      </c>
      <c r="E29">
        <f>_xlfn.XLOOKUP(B29,'4.分割能力表'!B:B,'4.分割能力表'!D:D)</f>
        <v>1600</v>
      </c>
      <c r="F29">
        <f>_xlfn.XLOOKUP(B29,'4.分割能力表'!B:B,'4.分割能力表'!E:E)</f>
        <v>72000</v>
      </c>
      <c r="G29" t="s">
        <v>68</v>
      </c>
      <c r="H29" s="1">
        <f>_xlfn.XLOOKUP(G29,系数辅助表!$C:$C,系数辅助表!$D:$D)</f>
        <v>9.7050751819787603E-2</v>
      </c>
      <c r="J29">
        <f t="shared" si="2"/>
        <v>18633.7443493992</v>
      </c>
      <c r="K29" s="5">
        <f t="shared" si="0"/>
        <v>9257.4989461881796</v>
      </c>
      <c r="L29">
        <v>9376.24540321104</v>
      </c>
    </row>
    <row r="30" spans="1:12" x14ac:dyDescent="0.3">
      <c r="A30" t="s">
        <v>298</v>
      </c>
      <c r="B30" t="s">
        <v>146</v>
      </c>
      <c r="C30" t="s">
        <v>147</v>
      </c>
      <c r="D30">
        <f>_xlfn.XLOOKUP(B30,'3.屠宰能力表'!B:B,'3.屠宰能力表'!E:E)</f>
        <v>3200</v>
      </c>
      <c r="E30">
        <f>_xlfn.XLOOKUP(B30,'4.分割能力表'!B:B,'4.分割能力表'!D:D)</f>
        <v>1600</v>
      </c>
      <c r="F30">
        <f>_xlfn.XLOOKUP(B30,'4.分割能力表'!B:B,'4.分割能力表'!E:E)</f>
        <v>72000</v>
      </c>
      <c r="G30" t="s">
        <v>70</v>
      </c>
      <c r="H30" s="1">
        <f>_xlfn.XLOOKUP(G30,系数辅助表!$C:$C,系数辅助表!$D:$D)</f>
        <v>4.6512517384561802E-2</v>
      </c>
      <c r="J30">
        <f t="shared" si="2"/>
        <v>8930.4033378358708</v>
      </c>
      <c r="K30" s="5">
        <f t="shared" si="0"/>
        <v>7275.7717960927403</v>
      </c>
      <c r="L30">
        <v>1654.6315417431299</v>
      </c>
    </row>
    <row r="31" spans="1:12" x14ac:dyDescent="0.3">
      <c r="A31" t="s">
        <v>298</v>
      </c>
      <c r="B31" t="s">
        <v>146</v>
      </c>
      <c r="C31" t="s">
        <v>147</v>
      </c>
      <c r="D31">
        <f>_xlfn.XLOOKUP(B31,'3.屠宰能力表'!B:B,'3.屠宰能力表'!E:E)</f>
        <v>3200</v>
      </c>
      <c r="E31">
        <f>_xlfn.XLOOKUP(B31,'4.分割能力表'!B:B,'4.分割能力表'!D:D)</f>
        <v>1600</v>
      </c>
      <c r="F31">
        <f>_xlfn.XLOOKUP(B31,'4.分割能力表'!B:B,'4.分割能力表'!E:E)</f>
        <v>72000</v>
      </c>
      <c r="G31" t="s">
        <v>71</v>
      </c>
      <c r="H31" s="1">
        <f>_xlfn.XLOOKUP(G31,系数辅助表!$C:$C,系数辅助表!$D:$D)</f>
        <v>2.8731737554939799E-2</v>
      </c>
      <c r="J31">
        <f t="shared" si="2"/>
        <v>5516.4936105484403</v>
      </c>
      <c r="K31" s="5">
        <f t="shared" si="0"/>
        <v>2250.8181217920601</v>
      </c>
      <c r="L31">
        <v>3265.6754887563802</v>
      </c>
    </row>
    <row r="32" spans="1:12" x14ac:dyDescent="0.3">
      <c r="A32" t="s">
        <v>298</v>
      </c>
      <c r="B32" t="s">
        <v>146</v>
      </c>
      <c r="C32" t="s">
        <v>147</v>
      </c>
      <c r="D32">
        <f>_xlfn.XLOOKUP(B32,'3.屠宰能力表'!B:B,'3.屠宰能力表'!E:E)</f>
        <v>3200</v>
      </c>
      <c r="E32">
        <f>_xlfn.XLOOKUP(B32,'4.分割能力表'!B:B,'4.分割能力表'!D:D)</f>
        <v>1600</v>
      </c>
      <c r="F32">
        <f>_xlfn.XLOOKUP(B32,'4.分割能力表'!B:B,'4.分割能力表'!E:E)</f>
        <v>72000</v>
      </c>
      <c r="G32" t="s">
        <v>72</v>
      </c>
      <c r="H32" s="1">
        <f>_xlfn.XLOOKUP(G32,系数辅助表!$C:$C,系数辅助表!$D:$D)</f>
        <v>2.9020999088867499E-2</v>
      </c>
      <c r="J32">
        <f t="shared" si="2"/>
        <v>5572.0318250625596</v>
      </c>
      <c r="K32" s="5">
        <f t="shared" si="0"/>
        <v>5572.0318250625596</v>
      </c>
      <c r="L32">
        <v>0</v>
      </c>
    </row>
    <row r="33" spans="1:12" x14ac:dyDescent="0.3">
      <c r="A33" t="s">
        <v>298</v>
      </c>
      <c r="B33" t="s">
        <v>146</v>
      </c>
      <c r="C33" t="s">
        <v>147</v>
      </c>
      <c r="D33">
        <f>_xlfn.XLOOKUP(B33,'3.屠宰能力表'!B:B,'3.屠宰能力表'!E:E)</f>
        <v>3200</v>
      </c>
      <c r="E33">
        <f>_xlfn.XLOOKUP(B33,'4.分割能力表'!B:B,'4.分割能力表'!D:D)</f>
        <v>1600</v>
      </c>
      <c r="F33">
        <f>_xlfn.XLOOKUP(B33,'4.分割能力表'!B:B,'4.分割能力表'!E:E)</f>
        <v>72000</v>
      </c>
      <c r="G33" t="s">
        <v>73</v>
      </c>
      <c r="H33" s="1">
        <f>_xlfn.XLOOKUP(G33,系数辅助表!$C:$C,系数辅助表!$D:$D)</f>
        <v>3.3890751204307498E-2</v>
      </c>
      <c r="J33">
        <f t="shared" si="2"/>
        <v>6507.0242312270402</v>
      </c>
      <c r="K33" s="5">
        <f t="shared" si="0"/>
        <v>1156.5826507070501</v>
      </c>
      <c r="L33">
        <v>5350.4415805199897</v>
      </c>
    </row>
    <row r="34" spans="1:12" x14ac:dyDescent="0.3">
      <c r="A34" t="s">
        <v>298</v>
      </c>
      <c r="B34" t="s">
        <v>146</v>
      </c>
      <c r="C34" t="s">
        <v>147</v>
      </c>
      <c r="D34">
        <f>_xlfn.XLOOKUP(B34,'3.屠宰能力表'!B:B,'3.屠宰能力表'!E:E)</f>
        <v>3200</v>
      </c>
      <c r="E34">
        <f>_xlfn.XLOOKUP(B34,'4.分割能力表'!B:B,'4.分割能力表'!D:D)</f>
        <v>1600</v>
      </c>
      <c r="F34">
        <f>_xlfn.XLOOKUP(B34,'4.分割能力表'!B:B,'4.分割能力表'!E:E)</f>
        <v>72000</v>
      </c>
      <c r="G34" t="s">
        <v>74</v>
      </c>
      <c r="H34" s="1">
        <f>_xlfn.XLOOKUP(G34,系数辅助表!$C:$C,系数辅助表!$D:$D)</f>
        <v>6.6683830901271496E-3</v>
      </c>
      <c r="J34">
        <f t="shared" si="2"/>
        <v>1280.32955330441</v>
      </c>
      <c r="K34" s="6">
        <f>J34-L34</f>
        <v>0</v>
      </c>
      <c r="L34" s="7">
        <f>J34</f>
        <v>1280.32955330441</v>
      </c>
    </row>
    <row r="35" spans="1:12" x14ac:dyDescent="0.3">
      <c r="A35" t="s">
        <v>298</v>
      </c>
      <c r="B35" t="s">
        <v>146</v>
      </c>
      <c r="C35" t="s">
        <v>147</v>
      </c>
      <c r="D35">
        <f>_xlfn.XLOOKUP(B35,'3.屠宰能力表'!B:B,'3.屠宰能力表'!E:E)</f>
        <v>3200</v>
      </c>
      <c r="E35">
        <f>_xlfn.XLOOKUP(B35,'4.分割能力表'!B:B,'4.分割能力表'!D:D)</f>
        <v>1600</v>
      </c>
      <c r="F35">
        <f>_xlfn.XLOOKUP(B35,'4.分割能力表'!B:B,'4.分割能力表'!E:E)</f>
        <v>72000</v>
      </c>
      <c r="G35" t="s">
        <v>75</v>
      </c>
      <c r="H35" s="1">
        <f>_xlfn.XLOOKUP(G35,系数辅助表!$C:$C,系数辅助表!$D:$D)</f>
        <v>7.3037535376360693E-2</v>
      </c>
      <c r="J35">
        <f t="shared" si="2"/>
        <v>14023.206792261301</v>
      </c>
      <c r="K35" s="5">
        <f t="shared" si="0"/>
        <v>1559.9408114311</v>
      </c>
      <c r="L35">
        <v>12463.2659808302</v>
      </c>
    </row>
    <row r="36" spans="1:12" x14ac:dyDescent="0.3">
      <c r="A36" t="s">
        <v>298</v>
      </c>
      <c r="B36" t="s">
        <v>146</v>
      </c>
      <c r="C36" t="s">
        <v>147</v>
      </c>
      <c r="D36">
        <f>_xlfn.XLOOKUP(B36,'3.屠宰能力表'!B:B,'3.屠宰能力表'!E:E)</f>
        <v>3200</v>
      </c>
      <c r="E36">
        <f>_xlfn.XLOOKUP(B36,'4.分割能力表'!B:B,'4.分割能力表'!D:D)</f>
        <v>1600</v>
      </c>
      <c r="F36">
        <f>_xlfn.XLOOKUP(B36,'4.分割能力表'!B:B,'4.分割能力表'!E:E)</f>
        <v>72000</v>
      </c>
      <c r="G36" t="s">
        <v>76</v>
      </c>
      <c r="H36" s="1">
        <f>_xlfn.XLOOKUP(G36,系数辅助表!$C:$C,系数辅助表!$D:$D)</f>
        <v>0.122051725196981</v>
      </c>
      <c r="J36">
        <f t="shared" ref="J36:J52" si="3">$E36*H36*$D$1</f>
        <v>23433.931237820401</v>
      </c>
      <c r="K36" s="5">
        <f t="shared" si="0"/>
        <v>13723.173974990699</v>
      </c>
      <c r="L36">
        <v>9710.7572628296493</v>
      </c>
    </row>
    <row r="37" spans="1:12" x14ac:dyDescent="0.3">
      <c r="A37" t="s">
        <v>298</v>
      </c>
      <c r="B37" t="s">
        <v>146</v>
      </c>
      <c r="C37" t="s">
        <v>147</v>
      </c>
      <c r="D37">
        <f>_xlfn.XLOOKUP(B37,'3.屠宰能力表'!B:B,'3.屠宰能力表'!E:E)</f>
        <v>3200</v>
      </c>
      <c r="E37">
        <f>_xlfn.XLOOKUP(B37,'4.分割能力表'!B:B,'4.分割能力表'!D:D)</f>
        <v>1600</v>
      </c>
      <c r="F37">
        <f>_xlfn.XLOOKUP(B37,'4.分割能力表'!B:B,'4.分割能力表'!E:E)</f>
        <v>72000</v>
      </c>
      <c r="G37" s="2" t="s">
        <v>77</v>
      </c>
      <c r="H37" s="1">
        <f>_xlfn.XLOOKUP(G37,系数辅助表!$C:$C,系数辅助表!$D:$D)</f>
        <v>1.9521507261015199E-2</v>
      </c>
      <c r="J37">
        <f t="shared" si="3"/>
        <v>3748.1293941149202</v>
      </c>
      <c r="K37">
        <f t="shared" si="0"/>
        <v>1529.2970786667199</v>
      </c>
      <c r="L37">
        <v>2218.8323154482</v>
      </c>
    </row>
    <row r="38" spans="1:12" x14ac:dyDescent="0.3">
      <c r="A38" t="s">
        <v>298</v>
      </c>
      <c r="B38" t="s">
        <v>146</v>
      </c>
      <c r="C38" t="s">
        <v>147</v>
      </c>
      <c r="D38">
        <f>_xlfn.XLOOKUP(B38,'3.屠宰能力表'!B:B,'3.屠宰能力表'!E:E)</f>
        <v>3200</v>
      </c>
      <c r="E38">
        <f>_xlfn.XLOOKUP(B38,'4.分割能力表'!B:B,'4.分割能力表'!D:D)</f>
        <v>1600</v>
      </c>
      <c r="F38">
        <f>_xlfn.XLOOKUP(B38,'4.分割能力表'!B:B,'4.分割能力表'!E:E)</f>
        <v>72000</v>
      </c>
      <c r="G38" s="2" t="s">
        <v>78</v>
      </c>
      <c r="H38" s="1">
        <f>_xlfn.XLOOKUP(G38,系数辅助表!$C:$C,系数辅助表!$D:$D)</f>
        <v>2.7552209592914899E-2</v>
      </c>
      <c r="J38">
        <f t="shared" si="3"/>
        <v>5290.0242418396601</v>
      </c>
      <c r="K38">
        <f t="shared" si="0"/>
        <v>2158.41497676787</v>
      </c>
      <c r="L38">
        <v>3131.6092650717901</v>
      </c>
    </row>
    <row r="39" spans="1:12" x14ac:dyDescent="0.3">
      <c r="A39" t="s">
        <v>298</v>
      </c>
      <c r="B39" t="s">
        <v>146</v>
      </c>
      <c r="C39" t="s">
        <v>147</v>
      </c>
      <c r="D39">
        <f>_xlfn.XLOOKUP(B39,'3.屠宰能力表'!B:B,'3.屠宰能力表'!E:E)</f>
        <v>3200</v>
      </c>
      <c r="E39">
        <f>_xlfn.XLOOKUP(B39,'4.分割能力表'!B:B,'4.分割能力表'!D:D)</f>
        <v>1600</v>
      </c>
      <c r="F39">
        <f>_xlfn.XLOOKUP(B39,'4.分割能力表'!B:B,'4.分割能力表'!E:E)</f>
        <v>72000</v>
      </c>
      <c r="G39" t="s">
        <v>79</v>
      </c>
      <c r="H39" s="1">
        <f>_xlfn.XLOOKUP(G39,系数辅助表!$C:$C,系数辅助表!$D:$D)</f>
        <v>6.1357302939246697E-2</v>
      </c>
      <c r="J39">
        <f t="shared" si="3"/>
        <v>11780.6021643354</v>
      </c>
      <c r="K39" s="5">
        <f t="shared" si="0"/>
        <v>4806.67516525459</v>
      </c>
      <c r="L39">
        <v>6973.9269990807697</v>
      </c>
    </row>
    <row r="40" spans="1:12" x14ac:dyDescent="0.3">
      <c r="A40" t="s">
        <v>298</v>
      </c>
      <c r="B40" t="s">
        <v>146</v>
      </c>
      <c r="C40" t="s">
        <v>147</v>
      </c>
      <c r="D40">
        <f>_xlfn.XLOOKUP(B40,'3.屠宰能力表'!B:B,'3.屠宰能力表'!E:E)</f>
        <v>3200</v>
      </c>
      <c r="E40">
        <f>_xlfn.XLOOKUP(B40,'4.分割能力表'!B:B,'4.分割能力表'!D:D)</f>
        <v>1600</v>
      </c>
      <c r="F40">
        <f>_xlfn.XLOOKUP(B40,'4.分割能力表'!B:B,'4.分割能力表'!E:E)</f>
        <v>72000</v>
      </c>
      <c r="G40" t="s">
        <v>80</v>
      </c>
      <c r="H40" s="1">
        <f>_xlfn.XLOOKUP(G40,系数辅助表!$C:$C,系数辅助表!$D:$D)</f>
        <v>1.30165882845583E-2</v>
      </c>
      <c r="J40">
        <f t="shared" si="3"/>
        <v>2499.18495063519</v>
      </c>
      <c r="K40" s="5">
        <f t="shared" si="0"/>
        <v>2499.18495063519</v>
      </c>
      <c r="L40">
        <v>0</v>
      </c>
    </row>
    <row r="41" spans="1:12" x14ac:dyDescent="0.3">
      <c r="A41" t="s">
        <v>298</v>
      </c>
      <c r="B41" t="s">
        <v>146</v>
      </c>
      <c r="C41" t="s">
        <v>147</v>
      </c>
      <c r="D41">
        <f>_xlfn.XLOOKUP(B41,'3.屠宰能力表'!B:B,'3.屠宰能力表'!E:E)</f>
        <v>3200</v>
      </c>
      <c r="E41">
        <f>_xlfn.XLOOKUP(B41,'4.分割能力表'!B:B,'4.分割能力表'!D:D)</f>
        <v>1600</v>
      </c>
      <c r="F41">
        <f>_xlfn.XLOOKUP(B41,'4.分割能力表'!B:B,'4.分割能力表'!E:E)</f>
        <v>72000</v>
      </c>
      <c r="G41" t="s">
        <v>81</v>
      </c>
      <c r="H41" s="1">
        <f>_xlfn.XLOOKUP(G41,系数辅助表!$C:$C,系数辅助表!$D:$D)</f>
        <v>2.9868560985823099E-2</v>
      </c>
      <c r="J41">
        <f t="shared" si="3"/>
        <v>5734.7637092780396</v>
      </c>
      <c r="K41" s="5">
        <f t="shared" si="0"/>
        <v>5734.7637092780396</v>
      </c>
      <c r="L41">
        <v>0</v>
      </c>
    </row>
    <row r="42" spans="1:12" x14ac:dyDescent="0.3">
      <c r="A42" t="s">
        <v>298</v>
      </c>
      <c r="B42" t="s">
        <v>146</v>
      </c>
      <c r="C42" t="s">
        <v>147</v>
      </c>
      <c r="D42">
        <f>_xlfn.XLOOKUP(B42,'3.屠宰能力表'!B:B,'3.屠宰能力表'!E:E)</f>
        <v>3200</v>
      </c>
      <c r="E42">
        <f>_xlfn.XLOOKUP(B42,'4.分割能力表'!B:B,'4.分割能力表'!D:D)</f>
        <v>1600</v>
      </c>
      <c r="F42">
        <f>_xlfn.XLOOKUP(B42,'4.分割能力表'!B:B,'4.分割能力表'!E:E)</f>
        <v>72000</v>
      </c>
      <c r="G42" t="s">
        <v>82</v>
      </c>
      <c r="H42" s="1">
        <f>_xlfn.XLOOKUP(G42,系数辅助表!$C:$C,系数辅助表!$D:$D)</f>
        <v>1.31753271660773E-2</v>
      </c>
      <c r="J42">
        <f t="shared" si="3"/>
        <v>2529.6628158868398</v>
      </c>
      <c r="K42" s="5">
        <f t="shared" si="0"/>
        <v>1032.1431166228699</v>
      </c>
      <c r="L42">
        <v>1497.5196992639701</v>
      </c>
    </row>
    <row r="43" spans="1:12" x14ac:dyDescent="0.3">
      <c r="A43" t="s">
        <v>298</v>
      </c>
      <c r="B43" t="s">
        <v>146</v>
      </c>
      <c r="C43" t="s">
        <v>147</v>
      </c>
      <c r="D43">
        <f>_xlfn.XLOOKUP(B43,'3.屠宰能力表'!B:B,'3.屠宰能力表'!E:E)</f>
        <v>3200</v>
      </c>
      <c r="E43">
        <f>_xlfn.XLOOKUP(B43,'4.分割能力表'!B:B,'4.分割能力表'!D:D)</f>
        <v>1600</v>
      </c>
      <c r="F43">
        <f>_xlfn.XLOOKUP(B43,'4.分割能力表'!B:B,'4.分割能力表'!E:E)</f>
        <v>72000</v>
      </c>
      <c r="G43" t="s">
        <v>83</v>
      </c>
      <c r="H43" s="1">
        <f>_xlfn.XLOOKUP(G43,系数辅助表!$C:$C,系数辅助表!$D:$D)</f>
        <v>7.2226191091146899E-3</v>
      </c>
      <c r="J43">
        <f t="shared" si="3"/>
        <v>1386.74286895002</v>
      </c>
      <c r="K43" s="5">
        <f t="shared" si="0"/>
        <v>1386.74286895002</v>
      </c>
      <c r="L43">
        <v>0</v>
      </c>
    </row>
    <row r="44" spans="1:12" x14ac:dyDescent="0.3">
      <c r="A44" t="s">
        <v>298</v>
      </c>
      <c r="B44" t="s">
        <v>146</v>
      </c>
      <c r="C44" t="s">
        <v>147</v>
      </c>
      <c r="D44">
        <f>_xlfn.XLOOKUP(B44,'3.屠宰能力表'!B:B,'3.屠宰能力表'!E:E)</f>
        <v>3200</v>
      </c>
      <c r="E44">
        <f>_xlfn.XLOOKUP(B44,'4.分割能力表'!B:B,'4.分割能力表'!D:D)</f>
        <v>1600</v>
      </c>
      <c r="F44">
        <f>_xlfn.XLOOKUP(B44,'4.分割能力表'!B:B,'4.分割能力表'!E:E)</f>
        <v>72000</v>
      </c>
      <c r="G44" t="s">
        <v>84</v>
      </c>
      <c r="H44" s="1">
        <f>_xlfn.XLOOKUP(G44,系数辅助表!$C:$C,系数辅助表!$D:$D)</f>
        <v>2.34933544648127E-2</v>
      </c>
      <c r="J44">
        <f t="shared" si="3"/>
        <v>4510.7240572440396</v>
      </c>
      <c r="K44" s="5">
        <f t="shared" si="0"/>
        <v>4510.7240572440396</v>
      </c>
      <c r="L44">
        <v>0</v>
      </c>
    </row>
    <row r="45" spans="1:12" x14ac:dyDescent="0.3">
      <c r="A45" t="s">
        <v>298</v>
      </c>
      <c r="B45" t="s">
        <v>146</v>
      </c>
      <c r="C45" t="s">
        <v>147</v>
      </c>
      <c r="D45">
        <f>_xlfn.XLOOKUP(B45,'3.屠宰能力表'!B:B,'3.屠宰能力表'!E:E)</f>
        <v>3200</v>
      </c>
      <c r="E45">
        <f>_xlfn.XLOOKUP(B45,'4.分割能力表'!B:B,'4.分割能力表'!D:D)</f>
        <v>1600</v>
      </c>
      <c r="F45">
        <f>_xlfn.XLOOKUP(B45,'4.分割能力表'!B:B,'4.分割能力表'!E:E)</f>
        <v>72000</v>
      </c>
      <c r="G45" t="s">
        <v>85</v>
      </c>
      <c r="H45" s="1">
        <f>_xlfn.XLOOKUP(G45,系数辅助表!$C:$C,系数辅助表!$D:$D)</f>
        <v>9.8418106541782492E-3</v>
      </c>
      <c r="J45">
        <f t="shared" si="3"/>
        <v>1889.6276456022199</v>
      </c>
      <c r="K45" s="5">
        <f t="shared" si="0"/>
        <v>1889.6276456022199</v>
      </c>
      <c r="L45">
        <v>0</v>
      </c>
    </row>
    <row r="46" spans="1:12" x14ac:dyDescent="0.3">
      <c r="A46" t="s">
        <v>298</v>
      </c>
      <c r="B46" t="s">
        <v>146</v>
      </c>
      <c r="C46" t="s">
        <v>147</v>
      </c>
      <c r="D46">
        <f>_xlfn.XLOOKUP(B46,'3.屠宰能力表'!B:B,'3.屠宰能力表'!E:E)</f>
        <v>3200</v>
      </c>
      <c r="E46">
        <f>_xlfn.XLOOKUP(B46,'4.分割能力表'!B:B,'4.分割能力表'!D:D)</f>
        <v>1600</v>
      </c>
      <c r="F46">
        <f>_xlfn.XLOOKUP(B46,'4.分割能力表'!B:B,'4.分割能力表'!E:E)</f>
        <v>72000</v>
      </c>
      <c r="G46" t="s">
        <v>86</v>
      </c>
      <c r="H46" s="1">
        <f>_xlfn.XLOOKUP(G46,系数辅助表!$C:$C,系数辅助表!$D:$D)</f>
        <v>6.9845107868361997E-3</v>
      </c>
      <c r="J46">
        <f t="shared" si="3"/>
        <v>1341.0260710725499</v>
      </c>
      <c r="K46" s="5">
        <f t="shared" si="0"/>
        <v>1341.0260710725499</v>
      </c>
      <c r="L46">
        <v>0</v>
      </c>
    </row>
    <row r="47" spans="1:12" x14ac:dyDescent="0.3">
      <c r="A47" t="s">
        <v>298</v>
      </c>
      <c r="B47" t="s">
        <v>146</v>
      </c>
      <c r="C47" t="s">
        <v>147</v>
      </c>
      <c r="D47">
        <f>_xlfn.XLOOKUP(B47,'3.屠宰能力表'!B:B,'3.屠宰能力表'!E:E)</f>
        <v>3200</v>
      </c>
      <c r="E47">
        <f>_xlfn.XLOOKUP(B47,'4.分割能力表'!B:B,'4.分割能力表'!D:D)</f>
        <v>1600</v>
      </c>
      <c r="F47">
        <f>_xlfn.XLOOKUP(B47,'4.分割能力表'!B:B,'4.分割能力表'!E:E)</f>
        <v>72000</v>
      </c>
      <c r="G47" t="s">
        <v>87</v>
      </c>
      <c r="H47" s="1">
        <f>_xlfn.XLOOKUP(G47,系数辅助表!$C:$C,系数辅助表!$D:$D)</f>
        <v>2.2223443412660699E-3</v>
      </c>
      <c r="J47">
        <f t="shared" si="3"/>
        <v>426.69011352308502</v>
      </c>
      <c r="K47" s="5">
        <f t="shared" si="0"/>
        <v>426.69011352308502</v>
      </c>
      <c r="L47">
        <v>0</v>
      </c>
    </row>
    <row r="48" spans="1:12" x14ac:dyDescent="0.3">
      <c r="A48" t="s">
        <v>298</v>
      </c>
      <c r="B48" t="s">
        <v>146</v>
      </c>
      <c r="C48" t="s">
        <v>147</v>
      </c>
      <c r="D48">
        <f>_xlfn.XLOOKUP(B48,'3.屠宰能力表'!B:B,'3.屠宰能力表'!E:E)</f>
        <v>3200</v>
      </c>
      <c r="E48">
        <f>_xlfn.XLOOKUP(B48,'4.分割能力表'!B:B,'4.分割能力表'!D:D)</f>
        <v>1600</v>
      </c>
      <c r="F48">
        <f>_xlfn.XLOOKUP(B48,'4.分割能力表'!B:B,'4.分割能力表'!E:E)</f>
        <v>72000</v>
      </c>
      <c r="G48" t="s">
        <v>88</v>
      </c>
      <c r="H48" s="1">
        <f>_xlfn.XLOOKUP(G48,系数辅助表!$C:$C,系数辅助表!$D:$D)</f>
        <v>1.5880638483545301E-3</v>
      </c>
      <c r="J48">
        <f t="shared" si="3"/>
        <v>304.90825888406999</v>
      </c>
      <c r="K48" s="5">
        <f t="shared" si="0"/>
        <v>304.90825888406999</v>
      </c>
      <c r="L48">
        <v>0</v>
      </c>
    </row>
    <row r="49" spans="1:12" x14ac:dyDescent="0.3">
      <c r="A49" t="s">
        <v>298</v>
      </c>
      <c r="B49" t="s">
        <v>146</v>
      </c>
      <c r="C49" t="s">
        <v>147</v>
      </c>
      <c r="D49">
        <f>_xlfn.XLOOKUP(B49,'3.屠宰能力表'!B:B,'3.屠宰能力表'!E:E)</f>
        <v>3200</v>
      </c>
      <c r="E49">
        <f>_xlfn.XLOOKUP(B49,'4.分割能力表'!B:B,'4.分割能力表'!D:D)</f>
        <v>1600</v>
      </c>
      <c r="F49">
        <f>_xlfn.XLOOKUP(B49,'4.分割能力表'!B:B,'4.分割能力表'!E:E)</f>
        <v>72000</v>
      </c>
      <c r="G49" t="s">
        <v>89</v>
      </c>
      <c r="H49" s="1">
        <f>_xlfn.XLOOKUP(G49,系数辅助表!$C:$C,系数辅助表!$D:$D)</f>
        <v>1.0324777630380101E-2</v>
      </c>
      <c r="J49">
        <f t="shared" si="3"/>
        <v>1982.3573050329801</v>
      </c>
      <c r="K49" s="5">
        <f t="shared" si="0"/>
        <v>808.83366519326296</v>
      </c>
      <c r="L49">
        <v>1173.5236398397201</v>
      </c>
    </row>
    <row r="50" spans="1:12" x14ac:dyDescent="0.3">
      <c r="A50" t="s">
        <v>298</v>
      </c>
      <c r="B50" t="s">
        <v>146</v>
      </c>
      <c r="C50" t="s">
        <v>147</v>
      </c>
      <c r="D50">
        <f>_xlfn.XLOOKUP(B50,'3.屠宰能力表'!B:B,'3.屠宰能力表'!E:E)</f>
        <v>3200</v>
      </c>
      <c r="E50">
        <f>_xlfn.XLOOKUP(B50,'4.分割能力表'!B:B,'4.分割能力表'!D:D)</f>
        <v>1600</v>
      </c>
      <c r="F50">
        <f>_xlfn.XLOOKUP(B50,'4.分割能力表'!B:B,'4.分割能力表'!E:E)</f>
        <v>72000</v>
      </c>
      <c r="G50" t="s">
        <v>90</v>
      </c>
      <c r="H50" s="1">
        <f>_xlfn.XLOOKUP(G50,系数辅助表!$C:$C,系数辅助表!$D:$D)</f>
        <v>2.86E-2</v>
      </c>
      <c r="J50">
        <f t="shared" si="3"/>
        <v>5491.2</v>
      </c>
      <c r="K50" s="5">
        <f t="shared" si="0"/>
        <v>2240.4979218594199</v>
      </c>
      <c r="L50">
        <v>3250.7020781405799</v>
      </c>
    </row>
    <row r="51" spans="1:12" x14ac:dyDescent="0.3">
      <c r="A51" t="s">
        <v>298</v>
      </c>
      <c r="B51" t="s">
        <v>146</v>
      </c>
      <c r="C51" t="s">
        <v>147</v>
      </c>
      <c r="D51">
        <f>_xlfn.XLOOKUP(B51,'3.屠宰能力表'!B:B,'3.屠宰能力表'!E:E)</f>
        <v>3200</v>
      </c>
      <c r="E51">
        <f>_xlfn.XLOOKUP(B51,'4.分割能力表'!B:B,'4.分割能力表'!D:D)</f>
        <v>1600</v>
      </c>
      <c r="F51">
        <f>_xlfn.XLOOKUP(B51,'4.分割能力表'!B:B,'4.分割能力表'!E:E)</f>
        <v>72000</v>
      </c>
      <c r="G51" t="s">
        <v>91</v>
      </c>
      <c r="H51" s="1">
        <f>_xlfn.XLOOKUP(G51,系数辅助表!$C:$C,系数辅助表!$D:$D)</f>
        <v>2.1645581232916301E-2</v>
      </c>
      <c r="J51">
        <f t="shared" si="3"/>
        <v>4155.9515967199304</v>
      </c>
      <c r="K51" s="5">
        <f t="shared" si="0"/>
        <v>1695.69509684575</v>
      </c>
      <c r="L51">
        <v>2460.25649987418</v>
      </c>
    </row>
    <row r="52" spans="1:12" x14ac:dyDescent="0.3">
      <c r="A52" t="s">
        <v>298</v>
      </c>
      <c r="B52" t="s">
        <v>146</v>
      </c>
      <c r="C52" t="s">
        <v>147</v>
      </c>
      <c r="D52">
        <f>_xlfn.XLOOKUP(B52,'3.屠宰能力表'!B:B,'3.屠宰能力表'!E:E)</f>
        <v>3200</v>
      </c>
      <c r="E52">
        <f>_xlfn.XLOOKUP(B52,'4.分割能力表'!B:B,'4.分割能力表'!D:D)</f>
        <v>1600</v>
      </c>
      <c r="F52">
        <f>_xlfn.XLOOKUP(B52,'4.分割能力表'!B:B,'4.分割能力表'!E:E)</f>
        <v>72000</v>
      </c>
      <c r="G52" t="s">
        <v>92</v>
      </c>
      <c r="H52" s="1">
        <f>_xlfn.XLOOKUP(G52,系数辅助表!$C:$C,系数辅助表!$D:$D)</f>
        <v>1.4286499336710399E-3</v>
      </c>
      <c r="J52">
        <f t="shared" si="3"/>
        <v>274.30078726483998</v>
      </c>
      <c r="K52" s="5">
        <f t="shared" si="0"/>
        <v>274.30078726483998</v>
      </c>
      <c r="L52">
        <v>0</v>
      </c>
    </row>
    <row r="53" spans="1:12" x14ac:dyDescent="0.3">
      <c r="A53" t="s">
        <v>298</v>
      </c>
      <c r="B53" t="s">
        <v>146</v>
      </c>
      <c r="C53" t="s">
        <v>147</v>
      </c>
      <c r="D53">
        <f>_xlfn.XLOOKUP(B53,'3.屠宰能力表'!B:B,'3.屠宰能力表'!E:E)</f>
        <v>3200</v>
      </c>
      <c r="E53">
        <f>_xlfn.XLOOKUP(B53,'4.分割能力表'!B:B,'4.分割能力表'!D:D)</f>
        <v>1600</v>
      </c>
      <c r="F53">
        <f>_xlfn.XLOOKUP(B53,'4.分割能力表'!B:B,'4.分割能力表'!E:E)</f>
        <v>72000</v>
      </c>
      <c r="G53" t="s">
        <v>93</v>
      </c>
      <c r="H53"/>
      <c r="J53">
        <f>IFERROR(INDEX($L:$L,MATCH(SUBSTITUTE(G53,"-冷冻",""),$G:$G,0)),"")</f>
        <v>9376.24540321104</v>
      </c>
      <c r="K53" s="5"/>
    </row>
    <row r="54" spans="1:12" x14ac:dyDescent="0.3">
      <c r="A54" t="s">
        <v>298</v>
      </c>
      <c r="B54" t="s">
        <v>146</v>
      </c>
      <c r="C54" t="s">
        <v>147</v>
      </c>
      <c r="D54">
        <f>_xlfn.XLOOKUP(B54,'3.屠宰能力表'!B:B,'3.屠宰能力表'!E:E)</f>
        <v>3200</v>
      </c>
      <c r="E54">
        <f>_xlfn.XLOOKUP(B54,'4.分割能力表'!B:B,'4.分割能力表'!D:D)</f>
        <v>1600</v>
      </c>
      <c r="F54">
        <f>_xlfn.XLOOKUP(B54,'4.分割能力表'!B:B,'4.分割能力表'!E:E)</f>
        <v>72000</v>
      </c>
      <c r="G54" t="s">
        <v>96</v>
      </c>
      <c r="H54"/>
      <c r="J54">
        <f>IFERROR(INDEX($L:$L,MATCH(SUBSTITUTE(G54,"-冷冻",""),$G:$G,0)),"")</f>
        <v>1654.6315417431299</v>
      </c>
    </row>
    <row r="55" spans="1:12" x14ac:dyDescent="0.3">
      <c r="A55" t="s">
        <v>298</v>
      </c>
      <c r="B55" t="s">
        <v>146</v>
      </c>
      <c r="C55" t="s">
        <v>147</v>
      </c>
      <c r="D55">
        <f>_xlfn.XLOOKUP(B55,'3.屠宰能力表'!B:B,'3.屠宰能力表'!E:E)</f>
        <v>3200</v>
      </c>
      <c r="E55">
        <f>_xlfn.XLOOKUP(B55,'4.分割能力表'!B:B,'4.分割能力表'!D:D)</f>
        <v>1600</v>
      </c>
      <c r="F55">
        <f>_xlfn.XLOOKUP(B55,'4.分割能力表'!B:B,'4.分割能力表'!E:E)</f>
        <v>72000</v>
      </c>
      <c r="G55" t="s">
        <v>97</v>
      </c>
      <c r="H55"/>
      <c r="J55">
        <f t="shared" ref="J55:J60" si="4">IFERROR(INDEX($L:$L,MATCH(SUBSTITUTE(G55,"-冷冻",""),$G:$G,0)),"")</f>
        <v>3265.6754887563802</v>
      </c>
    </row>
    <row r="56" spans="1:12" x14ac:dyDescent="0.3">
      <c r="A56" t="s">
        <v>298</v>
      </c>
      <c r="B56" t="s">
        <v>146</v>
      </c>
      <c r="C56" t="s">
        <v>147</v>
      </c>
      <c r="D56">
        <f>_xlfn.XLOOKUP(B56,'3.屠宰能力表'!B:B,'3.屠宰能力表'!E:E)</f>
        <v>3200</v>
      </c>
      <c r="E56">
        <f>_xlfn.XLOOKUP(B56,'4.分割能力表'!B:B,'4.分割能力表'!D:D)</f>
        <v>1600</v>
      </c>
      <c r="F56">
        <f>_xlfn.XLOOKUP(B56,'4.分割能力表'!B:B,'4.分割能力表'!E:E)</f>
        <v>72000</v>
      </c>
      <c r="G56" t="s">
        <v>99</v>
      </c>
      <c r="H56"/>
      <c r="J56">
        <f t="shared" si="4"/>
        <v>5350.4415805199897</v>
      </c>
    </row>
    <row r="57" spans="1:12" x14ac:dyDescent="0.3">
      <c r="A57" t="s">
        <v>298</v>
      </c>
      <c r="B57" t="s">
        <v>146</v>
      </c>
      <c r="C57" t="s">
        <v>147</v>
      </c>
      <c r="D57">
        <f>_xlfn.XLOOKUP(B57,'3.屠宰能力表'!B:B,'3.屠宰能力表'!E:E)</f>
        <v>3200</v>
      </c>
      <c r="E57">
        <f>_xlfn.XLOOKUP(B57,'4.分割能力表'!B:B,'4.分割能力表'!D:D)</f>
        <v>1600</v>
      </c>
      <c r="F57">
        <f>_xlfn.XLOOKUP(B57,'4.分割能力表'!B:B,'4.分割能力表'!E:E)</f>
        <v>72000</v>
      </c>
      <c r="G57" t="s">
        <v>100</v>
      </c>
      <c r="H57"/>
      <c r="J57">
        <f t="shared" si="4"/>
        <v>1280.32955330441</v>
      </c>
    </row>
    <row r="58" spans="1:12" x14ac:dyDescent="0.3">
      <c r="A58" t="s">
        <v>298</v>
      </c>
      <c r="B58" t="s">
        <v>146</v>
      </c>
      <c r="C58" t="s">
        <v>147</v>
      </c>
      <c r="D58">
        <f>_xlfn.XLOOKUP(B58,'3.屠宰能力表'!B:B,'3.屠宰能力表'!E:E)</f>
        <v>3200</v>
      </c>
      <c r="E58">
        <f>_xlfn.XLOOKUP(B58,'4.分割能力表'!B:B,'4.分割能力表'!D:D)</f>
        <v>1600</v>
      </c>
      <c r="F58">
        <f>_xlfn.XLOOKUP(B58,'4.分割能力表'!B:B,'4.分割能力表'!E:E)</f>
        <v>72000</v>
      </c>
      <c r="G58" t="s">
        <v>101</v>
      </c>
      <c r="H58"/>
      <c r="J58">
        <f t="shared" si="4"/>
        <v>12463.2659808302</v>
      </c>
    </row>
    <row r="59" spans="1:12" x14ac:dyDescent="0.3">
      <c r="A59" t="s">
        <v>298</v>
      </c>
      <c r="B59" t="s">
        <v>146</v>
      </c>
      <c r="C59" t="s">
        <v>147</v>
      </c>
      <c r="D59">
        <f>_xlfn.XLOOKUP(B59,'3.屠宰能力表'!B:B,'3.屠宰能力表'!E:E)</f>
        <v>3200</v>
      </c>
      <c r="E59">
        <f>_xlfn.XLOOKUP(B59,'4.分割能力表'!B:B,'4.分割能力表'!D:D)</f>
        <v>1600</v>
      </c>
      <c r="F59">
        <f>_xlfn.XLOOKUP(B59,'4.分割能力表'!B:B,'4.分割能力表'!E:E)</f>
        <v>72000</v>
      </c>
      <c r="G59" t="s">
        <v>102</v>
      </c>
      <c r="H59"/>
      <c r="J59">
        <f t="shared" si="4"/>
        <v>9710.7572628296493</v>
      </c>
    </row>
    <row r="60" spans="1:12" x14ac:dyDescent="0.3">
      <c r="A60" t="s">
        <v>298</v>
      </c>
      <c r="B60" t="s">
        <v>146</v>
      </c>
      <c r="C60" t="s">
        <v>147</v>
      </c>
      <c r="D60">
        <f>_xlfn.XLOOKUP(B60,'3.屠宰能力表'!B:B,'3.屠宰能力表'!E:E)</f>
        <v>3200</v>
      </c>
      <c r="E60">
        <f>_xlfn.XLOOKUP(B60,'4.分割能力表'!B:B,'4.分割能力表'!D:D)</f>
        <v>1600</v>
      </c>
      <c r="F60">
        <f>_xlfn.XLOOKUP(B60,'4.分割能力表'!B:B,'4.分割能力表'!E:E)</f>
        <v>72000</v>
      </c>
      <c r="G60" s="2" t="s">
        <v>103</v>
      </c>
      <c r="H60"/>
      <c r="J60">
        <f t="shared" si="4"/>
        <v>2218.8323154482</v>
      </c>
    </row>
    <row r="61" spans="1:12" x14ac:dyDescent="0.3">
      <c r="A61" t="s">
        <v>298</v>
      </c>
      <c r="B61" t="s">
        <v>146</v>
      </c>
      <c r="C61" t="s">
        <v>147</v>
      </c>
      <c r="D61">
        <f>_xlfn.XLOOKUP(B61,'3.屠宰能力表'!B:B,'3.屠宰能力表'!E:E)</f>
        <v>3200</v>
      </c>
      <c r="E61">
        <f>_xlfn.XLOOKUP(B61,'4.分割能力表'!B:B,'4.分割能力表'!D:D)</f>
        <v>1600</v>
      </c>
      <c r="F61">
        <f>_xlfn.XLOOKUP(B61,'4.分割能力表'!B:B,'4.分割能力表'!E:E)</f>
        <v>72000</v>
      </c>
      <c r="G61" s="2" t="s">
        <v>104</v>
      </c>
      <c r="H61"/>
      <c r="J61">
        <f t="shared" ref="J61:J68" si="5">IFERROR(INDEX($L:$L,MATCH(SUBSTITUTE(G61,"-冷冻",""),$G:$G,0)),"")</f>
        <v>3131.6092650717901</v>
      </c>
    </row>
    <row r="62" spans="1:12" x14ac:dyDescent="0.3">
      <c r="A62" t="s">
        <v>298</v>
      </c>
      <c r="B62" t="s">
        <v>146</v>
      </c>
      <c r="C62" t="s">
        <v>147</v>
      </c>
      <c r="D62">
        <f>_xlfn.XLOOKUP(B62,'3.屠宰能力表'!B:B,'3.屠宰能力表'!E:E)</f>
        <v>3200</v>
      </c>
      <c r="E62">
        <f>_xlfn.XLOOKUP(B62,'4.分割能力表'!B:B,'4.分割能力表'!D:D)</f>
        <v>1600</v>
      </c>
      <c r="F62">
        <f>_xlfn.XLOOKUP(B62,'4.分割能力表'!B:B,'4.分割能力表'!E:E)</f>
        <v>72000</v>
      </c>
      <c r="G62" t="s">
        <v>105</v>
      </c>
      <c r="H62"/>
      <c r="J62">
        <f t="shared" si="5"/>
        <v>6973.9269990807697</v>
      </c>
    </row>
    <row r="63" spans="1:12" x14ac:dyDescent="0.3">
      <c r="A63" t="s">
        <v>298</v>
      </c>
      <c r="B63" t="s">
        <v>146</v>
      </c>
      <c r="C63" t="s">
        <v>147</v>
      </c>
      <c r="D63">
        <f>_xlfn.XLOOKUP(B63,'3.屠宰能力表'!B:B,'3.屠宰能力表'!E:E)</f>
        <v>3200</v>
      </c>
      <c r="E63">
        <f>_xlfn.XLOOKUP(B63,'4.分割能力表'!B:B,'4.分割能力表'!D:D)</f>
        <v>1600</v>
      </c>
      <c r="F63">
        <f>_xlfn.XLOOKUP(B63,'4.分割能力表'!B:B,'4.分割能力表'!E:E)</f>
        <v>72000</v>
      </c>
      <c r="G63" t="s">
        <v>108</v>
      </c>
      <c r="H63"/>
      <c r="J63">
        <f t="shared" si="5"/>
        <v>1497.5196992639701</v>
      </c>
    </row>
    <row r="64" spans="1:12" x14ac:dyDescent="0.3">
      <c r="A64" t="s">
        <v>298</v>
      </c>
      <c r="B64" t="s">
        <v>146</v>
      </c>
      <c r="C64" t="s">
        <v>147</v>
      </c>
      <c r="D64">
        <f>_xlfn.XLOOKUP(B64,'3.屠宰能力表'!B:B,'3.屠宰能力表'!E:E)</f>
        <v>3200</v>
      </c>
      <c r="E64">
        <f>_xlfn.XLOOKUP(B64,'4.分割能力表'!B:B,'4.分割能力表'!D:D)</f>
        <v>1600</v>
      </c>
      <c r="F64">
        <f>_xlfn.XLOOKUP(B64,'4.分割能力表'!B:B,'4.分割能力表'!E:E)</f>
        <v>72000</v>
      </c>
      <c r="G64" t="s">
        <v>115</v>
      </c>
      <c r="H64"/>
      <c r="J64">
        <f t="shared" si="5"/>
        <v>1173.5236398397201</v>
      </c>
    </row>
    <row r="65" spans="1:11" x14ac:dyDescent="0.3">
      <c r="A65" t="s">
        <v>298</v>
      </c>
      <c r="B65" t="s">
        <v>146</v>
      </c>
      <c r="C65" t="s">
        <v>147</v>
      </c>
      <c r="D65">
        <f>_xlfn.XLOOKUP(B65,'3.屠宰能力表'!B:B,'3.屠宰能力表'!E:E)</f>
        <v>3200</v>
      </c>
      <c r="E65">
        <f>_xlfn.XLOOKUP(B65,'4.分割能力表'!B:B,'4.分割能力表'!D:D)</f>
        <v>1600</v>
      </c>
      <c r="F65">
        <f>_xlfn.XLOOKUP(B65,'4.分割能力表'!B:B,'4.分割能力表'!E:E)</f>
        <v>72000</v>
      </c>
      <c r="G65" t="s">
        <v>116</v>
      </c>
      <c r="H65"/>
      <c r="J65">
        <f t="shared" si="5"/>
        <v>3250.7020781405799</v>
      </c>
    </row>
    <row r="66" spans="1:11" x14ac:dyDescent="0.3">
      <c r="A66" t="s">
        <v>298</v>
      </c>
      <c r="B66" t="s">
        <v>146</v>
      </c>
      <c r="C66" t="s">
        <v>147</v>
      </c>
      <c r="D66">
        <f>_xlfn.XLOOKUP(B66,'3.屠宰能力表'!B:B,'3.屠宰能力表'!E:E)</f>
        <v>3200</v>
      </c>
      <c r="E66">
        <f>_xlfn.XLOOKUP(B66,'4.分割能力表'!B:B,'4.分割能力表'!D:D)</f>
        <v>1600</v>
      </c>
      <c r="F66">
        <f>_xlfn.XLOOKUP(B66,'4.分割能力表'!B:B,'4.分割能力表'!E:E)</f>
        <v>72000</v>
      </c>
      <c r="G66" t="s">
        <v>117</v>
      </c>
      <c r="H66"/>
      <c r="J66">
        <f t="shared" si="5"/>
        <v>2460.25649987418</v>
      </c>
    </row>
    <row r="67" spans="1:11" x14ac:dyDescent="0.3">
      <c r="A67" t="s">
        <v>298</v>
      </c>
      <c r="B67" t="s">
        <v>146</v>
      </c>
      <c r="C67" t="s">
        <v>147</v>
      </c>
      <c r="D67">
        <f>_xlfn.XLOOKUP(B67,'3.屠宰能力表'!B:B,'3.屠宰能力表'!E:E)</f>
        <v>3200</v>
      </c>
      <c r="E67">
        <f>_xlfn.XLOOKUP(B67,'4.分割能力表'!B:B,'4.分割能力表'!D:D)</f>
        <v>1600</v>
      </c>
      <c r="F67">
        <f>_xlfn.XLOOKUP(B67,'4.分割能力表'!B:B,'4.分割能力表'!E:E)</f>
        <v>72000</v>
      </c>
      <c r="G67" t="s">
        <v>120</v>
      </c>
      <c r="H67"/>
      <c r="J67">
        <f t="shared" si="5"/>
        <v>2083.14252302766</v>
      </c>
    </row>
    <row r="68" spans="1:11" x14ac:dyDescent="0.3">
      <c r="A68" t="s">
        <v>298</v>
      </c>
      <c r="B68" t="s">
        <v>146</v>
      </c>
      <c r="C68" t="s">
        <v>147</v>
      </c>
      <c r="D68">
        <f>_xlfn.XLOOKUP(B68,'3.屠宰能力表'!B:B,'3.屠宰能力表'!E:E)</f>
        <v>3200</v>
      </c>
      <c r="E68">
        <f>_xlfn.XLOOKUP(B68,'4.分割能力表'!B:B,'4.分割能力表'!D:D)</f>
        <v>1600</v>
      </c>
      <c r="F68">
        <f>_xlfn.XLOOKUP(B68,'4.分割能力表'!B:B,'4.分割能力表'!E:E)</f>
        <v>72000</v>
      </c>
      <c r="G68" t="s">
        <v>131</v>
      </c>
      <c r="H68"/>
      <c r="J68">
        <f t="shared" si="5"/>
        <v>2102.8145852457801</v>
      </c>
    </row>
    <row r="69" spans="1:11" x14ac:dyDescent="0.3">
      <c r="A69" s="2" t="s">
        <v>27</v>
      </c>
      <c r="B69" t="s">
        <v>148</v>
      </c>
      <c r="C69" t="s">
        <v>149</v>
      </c>
      <c r="D69">
        <f>_xlfn.XLOOKUP(B69,'3.屠宰能力表'!B:B,'3.屠宰能力表'!E:E)</f>
        <v>3200</v>
      </c>
      <c r="E69">
        <f>_xlfn.XLOOKUP(B69,'4.分割能力表'!B:B,'4.分割能力表'!D:D)</f>
        <v>960</v>
      </c>
      <c r="F69">
        <f>_xlfn.XLOOKUP(B69,'4.分割能力表'!B:B,'4.分割能力表'!E:E)</f>
        <v>60000</v>
      </c>
      <c r="G69" s="4" t="s">
        <v>41</v>
      </c>
      <c r="H69" s="1">
        <f>_xlfn.XLOOKUP(G69,系数辅助表!$C:$C,系数辅助表!$D:$D)</f>
        <v>0.71499999999999997</v>
      </c>
      <c r="J69">
        <f>(D69-E69)*H69*$D$1</f>
        <v>192192</v>
      </c>
      <c r="K69">
        <f>J69-L69</f>
        <v>192192</v>
      </c>
    </row>
    <row r="70" spans="1:11" x14ac:dyDescent="0.3">
      <c r="A70" t="s">
        <v>27</v>
      </c>
      <c r="B70" t="s">
        <v>148</v>
      </c>
      <c r="C70" t="s">
        <v>149</v>
      </c>
      <c r="D70">
        <f>_xlfn.XLOOKUP(B70,'3.屠宰能力表'!B:B,'3.屠宰能力表'!E:E)</f>
        <v>3200</v>
      </c>
      <c r="E70">
        <f>_xlfn.XLOOKUP(B70,'4.分割能力表'!B:B,'4.分割能力表'!D:D)</f>
        <v>960</v>
      </c>
      <c r="F70">
        <f>_xlfn.XLOOKUP(B70,'4.分割能力表'!B:B,'4.分割能力表'!E:E)</f>
        <v>60000</v>
      </c>
      <c r="G70" s="4" t="s">
        <v>44</v>
      </c>
      <c r="H70" s="1">
        <f>_xlfn.XLOOKUP(G70,系数辅助表!$C:$C,系数辅助表!$D:$D)</f>
        <v>4.3342237679380002E-2</v>
      </c>
      <c r="J70">
        <f>$D70*H70*$D$1</f>
        <v>16643.419268881898</v>
      </c>
      <c r="K70">
        <f t="shared" ref="K70:K117" si="6">J70-L70</f>
        <v>16643.419268881898</v>
      </c>
    </row>
    <row r="71" spans="1:11" x14ac:dyDescent="0.3">
      <c r="A71" t="s">
        <v>27</v>
      </c>
      <c r="B71" t="s">
        <v>148</v>
      </c>
      <c r="C71" t="s">
        <v>149</v>
      </c>
      <c r="D71">
        <f>_xlfn.XLOOKUP(B71,'3.屠宰能力表'!B:B,'3.屠宰能力表'!E:E)</f>
        <v>3200</v>
      </c>
      <c r="E71">
        <f>_xlfn.XLOOKUP(B71,'4.分割能力表'!B:B,'4.分割能力表'!D:D)</f>
        <v>960</v>
      </c>
      <c r="F71">
        <f>_xlfn.XLOOKUP(B71,'4.分割能力表'!B:B,'4.分割能力表'!E:E)</f>
        <v>60000</v>
      </c>
      <c r="G71" s="4" t="s">
        <v>46</v>
      </c>
      <c r="H71" s="1">
        <f>_xlfn.XLOOKUP(G71,系数辅助表!$C:$C,系数辅助表!$D:$D)</f>
        <v>3.2562132013653599E-4</v>
      </c>
      <c r="J71">
        <f t="shared" ref="J71:J91" si="7">$D71*H71*$D$1</f>
        <v>125.03858693242999</v>
      </c>
      <c r="K71">
        <f t="shared" si="6"/>
        <v>125.03858693242999</v>
      </c>
    </row>
    <row r="72" spans="1:11" x14ac:dyDescent="0.3">
      <c r="A72" t="s">
        <v>27</v>
      </c>
      <c r="B72" t="s">
        <v>148</v>
      </c>
      <c r="C72" t="s">
        <v>149</v>
      </c>
      <c r="D72">
        <f>_xlfn.XLOOKUP(B72,'3.屠宰能力表'!B:B,'3.屠宰能力表'!E:E)</f>
        <v>3200</v>
      </c>
      <c r="E72">
        <f>_xlfn.XLOOKUP(B72,'4.分割能力表'!B:B,'4.分割能力表'!D:D)</f>
        <v>960</v>
      </c>
      <c r="F72">
        <f>_xlfn.XLOOKUP(B72,'4.分割能力表'!B:B,'4.分割能力表'!E:E)</f>
        <v>60000</v>
      </c>
      <c r="G72" s="4" t="s">
        <v>47</v>
      </c>
      <c r="H72" s="1">
        <f>_xlfn.XLOOKUP(G72,系数辅助表!$C:$C,系数辅助表!$D:$D)</f>
        <v>3.0632398515360198E-3</v>
      </c>
      <c r="J72">
        <f t="shared" si="7"/>
        <v>1176.28410298983</v>
      </c>
      <c r="K72">
        <f t="shared" si="6"/>
        <v>1176.28410298983</v>
      </c>
    </row>
    <row r="73" spans="1:11" x14ac:dyDescent="0.3">
      <c r="A73" t="s">
        <v>27</v>
      </c>
      <c r="B73" t="s">
        <v>148</v>
      </c>
      <c r="C73" t="s">
        <v>149</v>
      </c>
      <c r="D73">
        <f>_xlfn.XLOOKUP(B73,'3.屠宰能力表'!B:B,'3.屠宰能力表'!E:E)</f>
        <v>3200</v>
      </c>
      <c r="E73">
        <f>_xlfn.XLOOKUP(B73,'4.分割能力表'!B:B,'4.分割能力表'!D:D)</f>
        <v>960</v>
      </c>
      <c r="F73">
        <f>_xlfn.XLOOKUP(B73,'4.分割能力表'!B:B,'4.分割能力表'!E:E)</f>
        <v>60000</v>
      </c>
      <c r="G73" s="4" t="s">
        <v>48</v>
      </c>
      <c r="H73" s="1">
        <f>_xlfn.XLOOKUP(G73,系数辅助表!$C:$C,系数辅助表!$D:$D)</f>
        <v>1.5822796716383002E-2</v>
      </c>
      <c r="J73">
        <f t="shared" si="7"/>
        <v>6075.9539390910704</v>
      </c>
      <c r="K73">
        <f t="shared" si="6"/>
        <v>6075.9539390910704</v>
      </c>
    </row>
    <row r="74" spans="1:11" x14ac:dyDescent="0.3">
      <c r="A74" t="s">
        <v>27</v>
      </c>
      <c r="B74" t="s">
        <v>148</v>
      </c>
      <c r="C74" t="s">
        <v>149</v>
      </c>
      <c r="D74">
        <f>_xlfn.XLOOKUP(B74,'3.屠宰能力表'!B:B,'3.屠宰能力表'!E:E)</f>
        <v>3200</v>
      </c>
      <c r="E74">
        <f>_xlfn.XLOOKUP(B74,'4.分割能力表'!B:B,'4.分割能力表'!D:D)</f>
        <v>960</v>
      </c>
      <c r="F74">
        <f>_xlfn.XLOOKUP(B74,'4.分割能力表'!B:B,'4.分割能力表'!E:E)</f>
        <v>60000</v>
      </c>
      <c r="G74" s="4" t="s">
        <v>49</v>
      </c>
      <c r="H74" s="1">
        <f>_xlfn.XLOOKUP(G74,系数辅助表!$C:$C,系数辅助表!$D:$D)</f>
        <v>3.0934025412970799E-3</v>
      </c>
      <c r="J74">
        <f t="shared" si="7"/>
        <v>1187.8665758580801</v>
      </c>
      <c r="K74">
        <f t="shared" si="6"/>
        <v>1187.8665758580801</v>
      </c>
    </row>
    <row r="75" spans="1:11" x14ac:dyDescent="0.3">
      <c r="A75" t="s">
        <v>27</v>
      </c>
      <c r="B75" t="s">
        <v>148</v>
      </c>
      <c r="C75" t="s">
        <v>149</v>
      </c>
      <c r="D75">
        <f>_xlfn.XLOOKUP(B75,'3.屠宰能力表'!B:B,'3.屠宰能力表'!E:E)</f>
        <v>3200</v>
      </c>
      <c r="E75">
        <f>_xlfn.XLOOKUP(B75,'4.分割能力表'!B:B,'4.分割能力表'!D:D)</f>
        <v>960</v>
      </c>
      <c r="F75">
        <f>_xlfn.XLOOKUP(B75,'4.分割能力表'!B:B,'4.分割能力表'!E:E)</f>
        <v>60000</v>
      </c>
      <c r="G75" s="4" t="s">
        <v>50</v>
      </c>
      <c r="H75" s="1">
        <f>_xlfn.XLOOKUP(G75,系数辅助表!$C:$C,系数辅助表!$D:$D)</f>
        <v>1.08247988845052E-2</v>
      </c>
      <c r="J75">
        <f t="shared" si="7"/>
        <v>4156.7227716500001</v>
      </c>
      <c r="K75">
        <f t="shared" si="6"/>
        <v>4156.7227716500001</v>
      </c>
    </row>
    <row r="76" spans="1:11" x14ac:dyDescent="0.3">
      <c r="A76" t="s">
        <v>27</v>
      </c>
      <c r="B76" t="s">
        <v>148</v>
      </c>
      <c r="C76" t="s">
        <v>149</v>
      </c>
      <c r="D76">
        <f>_xlfn.XLOOKUP(B76,'3.屠宰能力表'!B:B,'3.屠宰能力表'!E:E)</f>
        <v>3200</v>
      </c>
      <c r="E76">
        <f>_xlfn.XLOOKUP(B76,'4.分割能力表'!B:B,'4.分割能力表'!D:D)</f>
        <v>960</v>
      </c>
      <c r="F76">
        <f>_xlfn.XLOOKUP(B76,'4.分割能力表'!B:B,'4.分割能力表'!E:E)</f>
        <v>60000</v>
      </c>
      <c r="G76" s="4" t="s">
        <v>51</v>
      </c>
      <c r="H76" s="1">
        <f>_xlfn.XLOOKUP(G76,系数辅助表!$C:$C,系数辅助表!$D:$D)</f>
        <v>4.9657251320821601E-3</v>
      </c>
      <c r="J76">
        <f t="shared" si="7"/>
        <v>1906.8384507195501</v>
      </c>
      <c r="K76">
        <f t="shared" si="6"/>
        <v>1906.8384507195501</v>
      </c>
    </row>
    <row r="77" spans="1:11" x14ac:dyDescent="0.3">
      <c r="A77" t="s">
        <v>27</v>
      </c>
      <c r="B77" t="s">
        <v>148</v>
      </c>
      <c r="C77" t="s">
        <v>149</v>
      </c>
      <c r="D77">
        <f>_xlfn.XLOOKUP(B77,'3.屠宰能力表'!B:B,'3.屠宰能力表'!E:E)</f>
        <v>3200</v>
      </c>
      <c r="E77">
        <f>_xlfn.XLOOKUP(B77,'4.分割能力表'!B:B,'4.分割能力表'!D:D)</f>
        <v>960</v>
      </c>
      <c r="F77">
        <f>_xlfn.XLOOKUP(B77,'4.分割能力表'!B:B,'4.分割能力表'!E:E)</f>
        <v>60000</v>
      </c>
      <c r="G77" s="4" t="s">
        <v>52</v>
      </c>
      <c r="H77" s="1">
        <f>_xlfn.XLOOKUP(G77,系数辅助表!$C:$C,系数辅助表!$D:$D)</f>
        <v>4.1516718317408203E-3</v>
      </c>
      <c r="J77">
        <f t="shared" si="7"/>
        <v>1594.2419833884701</v>
      </c>
      <c r="K77">
        <f t="shared" si="6"/>
        <v>1594.2419833884701</v>
      </c>
    </row>
    <row r="78" spans="1:11" x14ac:dyDescent="0.3">
      <c r="A78" t="s">
        <v>27</v>
      </c>
      <c r="B78" t="s">
        <v>148</v>
      </c>
      <c r="C78" t="s">
        <v>149</v>
      </c>
      <c r="D78">
        <f>_xlfn.XLOOKUP(B78,'3.屠宰能力表'!B:B,'3.屠宰能力表'!E:E)</f>
        <v>3200</v>
      </c>
      <c r="E78">
        <f>_xlfn.XLOOKUP(B78,'4.分割能力表'!B:B,'4.分割能力表'!D:D)</f>
        <v>960</v>
      </c>
      <c r="F78">
        <f>_xlfn.XLOOKUP(B78,'4.分割能力表'!B:B,'4.分割能力表'!E:E)</f>
        <v>60000</v>
      </c>
      <c r="G78" s="4" t="s">
        <v>53</v>
      </c>
      <c r="H78" s="1">
        <f>_xlfn.XLOOKUP(G78,系数辅助表!$C:$C,系数辅助表!$D:$D)</f>
        <v>3.6632398515360201E-3</v>
      </c>
      <c r="J78">
        <f t="shared" si="7"/>
        <v>1406.6841029898301</v>
      </c>
      <c r="K78">
        <f t="shared" si="6"/>
        <v>1406.6841029898301</v>
      </c>
    </row>
    <row r="79" spans="1:11" x14ac:dyDescent="0.3">
      <c r="A79" t="s">
        <v>27</v>
      </c>
      <c r="B79" t="s">
        <v>148</v>
      </c>
      <c r="C79" t="s">
        <v>149</v>
      </c>
      <c r="D79">
        <f>_xlfn.XLOOKUP(B79,'3.屠宰能力表'!B:B,'3.屠宰能力表'!E:E)</f>
        <v>3200</v>
      </c>
      <c r="E79">
        <f>_xlfn.XLOOKUP(B79,'4.分割能力表'!B:B,'4.分割能力表'!D:D)</f>
        <v>960</v>
      </c>
      <c r="F79">
        <f>_xlfn.XLOOKUP(B79,'4.分割能力表'!B:B,'4.分割能力表'!E:E)</f>
        <v>60000</v>
      </c>
      <c r="G79" s="4" t="s">
        <v>54</v>
      </c>
      <c r="H79" s="1">
        <f>_xlfn.XLOOKUP(G79,系数辅助表!$C:$C,系数辅助表!$D:$D)</f>
        <v>2.68637589112642E-3</v>
      </c>
      <c r="J79">
        <f t="shared" si="7"/>
        <v>1031.5683421925501</v>
      </c>
      <c r="K79">
        <f t="shared" si="6"/>
        <v>1031.5683421925501</v>
      </c>
    </row>
    <row r="80" spans="1:11" x14ac:dyDescent="0.3">
      <c r="A80" t="s">
        <v>27</v>
      </c>
      <c r="B80" t="s">
        <v>148</v>
      </c>
      <c r="C80" t="s">
        <v>149</v>
      </c>
      <c r="D80">
        <f>_xlfn.XLOOKUP(B80,'3.屠宰能力表'!B:B,'3.屠宰能力表'!E:E)</f>
        <v>3200</v>
      </c>
      <c r="E80">
        <f>_xlfn.XLOOKUP(B80,'4.分割能力表'!B:B,'4.分割能力表'!D:D)</f>
        <v>960</v>
      </c>
      <c r="F80">
        <f>_xlfn.XLOOKUP(B80,'4.分割能力表'!B:B,'4.分割能力表'!E:E)</f>
        <v>60000</v>
      </c>
      <c r="G80" s="4" t="s">
        <v>55</v>
      </c>
      <c r="H80" s="1">
        <f>_xlfn.XLOOKUP(G80,系数辅助表!$C:$C,系数辅助表!$D:$D)</f>
        <v>2.9015761200285397E-4</v>
      </c>
      <c r="J80">
        <f t="shared" si="7"/>
        <v>111.420523009096</v>
      </c>
      <c r="K80">
        <f t="shared" si="6"/>
        <v>111.420523009096</v>
      </c>
    </row>
    <row r="81" spans="1:12" x14ac:dyDescent="0.3">
      <c r="A81" t="s">
        <v>27</v>
      </c>
      <c r="B81" t="s">
        <v>148</v>
      </c>
      <c r="C81" t="s">
        <v>149</v>
      </c>
      <c r="D81">
        <f>_xlfn.XLOOKUP(B81,'3.屠宰能力表'!B:B,'3.屠宰能力表'!E:E)</f>
        <v>3200</v>
      </c>
      <c r="E81">
        <f>_xlfn.XLOOKUP(B81,'4.分割能力表'!B:B,'4.分割能力表'!D:D)</f>
        <v>960</v>
      </c>
      <c r="F81">
        <f>_xlfn.XLOOKUP(B81,'4.分割能力表'!B:B,'4.分割能力表'!E:E)</f>
        <v>60000</v>
      </c>
      <c r="G81" s="4" t="s">
        <v>57</v>
      </c>
      <c r="H81" s="1">
        <f>_xlfn.XLOOKUP(G81,系数辅助表!$C:$C,系数辅助表!$D:$D)</f>
        <v>1.0245932755973399E-2</v>
      </c>
      <c r="J81">
        <f t="shared" si="7"/>
        <v>3934.4381782937899</v>
      </c>
      <c r="K81">
        <f t="shared" si="6"/>
        <v>3934.4381782937899</v>
      </c>
    </row>
    <row r="82" spans="1:12" x14ac:dyDescent="0.3">
      <c r="A82" t="s">
        <v>27</v>
      </c>
      <c r="B82" t="s">
        <v>148</v>
      </c>
      <c r="C82" t="s">
        <v>149</v>
      </c>
      <c r="D82">
        <f>_xlfn.XLOOKUP(B82,'3.屠宰能力表'!B:B,'3.屠宰能力表'!E:E)</f>
        <v>3200</v>
      </c>
      <c r="E82">
        <f>_xlfn.XLOOKUP(B82,'4.分割能力表'!B:B,'4.分割能力表'!D:D)</f>
        <v>960</v>
      </c>
      <c r="F82">
        <f>_xlfn.XLOOKUP(B82,'4.分割能力表'!B:B,'4.分割能力表'!E:E)</f>
        <v>60000</v>
      </c>
      <c r="G82" s="4" t="s">
        <v>58</v>
      </c>
      <c r="H82" s="1">
        <f>_xlfn.XLOOKUP(G82,系数辅助表!$C:$C,系数辅助表!$D:$D)</f>
        <v>1.46005473500993E-2</v>
      </c>
      <c r="J82">
        <f t="shared" si="7"/>
        <v>5606.6101824381303</v>
      </c>
      <c r="K82">
        <f t="shared" si="6"/>
        <v>5606.6101824381303</v>
      </c>
    </row>
    <row r="83" spans="1:12" x14ac:dyDescent="0.3">
      <c r="A83" t="s">
        <v>27</v>
      </c>
      <c r="B83" t="s">
        <v>148</v>
      </c>
      <c r="C83" t="s">
        <v>149</v>
      </c>
      <c r="D83">
        <f>_xlfn.XLOOKUP(B83,'3.屠宰能力表'!B:B,'3.屠宰能力表'!E:E)</f>
        <v>3200</v>
      </c>
      <c r="E83">
        <f>_xlfn.XLOOKUP(B83,'4.分割能力表'!B:B,'4.分割能力表'!D:D)</f>
        <v>960</v>
      </c>
      <c r="F83">
        <f>_xlfn.XLOOKUP(B83,'4.分割能力表'!B:B,'4.分割能力表'!E:E)</f>
        <v>60000</v>
      </c>
      <c r="G83" s="4" t="s">
        <v>59</v>
      </c>
      <c r="H83" s="1">
        <f>_xlfn.XLOOKUP(G83,系数辅助表!$C:$C,系数辅助表!$D:$D)</f>
        <v>1.4718794556320801E-2</v>
      </c>
      <c r="J83">
        <f t="shared" si="7"/>
        <v>5652.0171096271897</v>
      </c>
      <c r="K83">
        <f t="shared" si="6"/>
        <v>5652.0171096271897</v>
      </c>
    </row>
    <row r="84" spans="1:12" x14ac:dyDescent="0.3">
      <c r="A84" t="s">
        <v>27</v>
      </c>
      <c r="B84" t="s">
        <v>148</v>
      </c>
      <c r="C84" t="s">
        <v>149</v>
      </c>
      <c r="D84">
        <f>_xlfn.XLOOKUP(B84,'3.屠宰能力表'!B:B,'3.屠宰能力表'!E:E)</f>
        <v>3200</v>
      </c>
      <c r="E84">
        <f>_xlfn.XLOOKUP(B84,'4.分割能力表'!B:B,'4.分割能力表'!D:D)</f>
        <v>960</v>
      </c>
      <c r="F84">
        <f>_xlfn.XLOOKUP(B84,'4.分割能力表'!B:B,'4.分割能力表'!E:E)</f>
        <v>60000</v>
      </c>
      <c r="G84" s="4" t="s">
        <v>60</v>
      </c>
      <c r="H84" s="1">
        <f>_xlfn.XLOOKUP(G84,系数辅助表!$C:$C,系数辅助表!$D:$D)</f>
        <v>6.8269088945398003E-3</v>
      </c>
      <c r="J84">
        <f t="shared" si="7"/>
        <v>2621.5330155032798</v>
      </c>
      <c r="K84">
        <f t="shared" si="6"/>
        <v>2621.5330155032798</v>
      </c>
    </row>
    <row r="85" spans="1:12" x14ac:dyDescent="0.3">
      <c r="A85" t="s">
        <v>27</v>
      </c>
      <c r="B85" t="s">
        <v>148</v>
      </c>
      <c r="C85" t="s">
        <v>149</v>
      </c>
      <c r="D85">
        <f>_xlfn.XLOOKUP(B85,'3.屠宰能力表'!B:B,'3.屠宰能力表'!E:E)</f>
        <v>3200</v>
      </c>
      <c r="E85">
        <f>_xlfn.XLOOKUP(B85,'4.分割能力表'!B:B,'4.分割能力表'!D:D)</f>
        <v>960</v>
      </c>
      <c r="F85">
        <f>_xlfn.XLOOKUP(B85,'4.分割能力表'!B:B,'4.分割能力表'!E:E)</f>
        <v>60000</v>
      </c>
      <c r="G85" s="4" t="s">
        <v>61</v>
      </c>
      <c r="H85" s="1">
        <f>_xlfn.XLOOKUP(G85,系数辅助表!$C:$C,系数辅助表!$D:$D)</f>
        <v>7.8149116832768404E-3</v>
      </c>
      <c r="J85">
        <f t="shared" si="7"/>
        <v>3000.9260863783102</v>
      </c>
      <c r="K85">
        <f t="shared" si="6"/>
        <v>3000.9260863783102</v>
      </c>
    </row>
    <row r="86" spans="1:12" x14ac:dyDescent="0.3">
      <c r="A86" t="s">
        <v>27</v>
      </c>
      <c r="B86" t="s">
        <v>148</v>
      </c>
      <c r="C86" t="s">
        <v>149</v>
      </c>
      <c r="D86">
        <f>_xlfn.XLOOKUP(B86,'3.屠宰能力表'!B:B,'3.屠宰能力表'!E:E)</f>
        <v>3200</v>
      </c>
      <c r="E86">
        <f>_xlfn.XLOOKUP(B86,'4.分割能力表'!B:B,'4.分割能力表'!D:D)</f>
        <v>960</v>
      </c>
      <c r="F86">
        <f>_xlfn.XLOOKUP(B86,'4.分割能力表'!B:B,'4.分割能力表'!E:E)</f>
        <v>60000</v>
      </c>
      <c r="G86" s="4" t="s">
        <v>62</v>
      </c>
      <c r="H86" s="1">
        <f>_xlfn.XLOOKUP(G86,系数辅助表!$C:$C,系数辅助表!$D:$D)</f>
        <v>7.3264797030720401E-3</v>
      </c>
      <c r="J86">
        <f t="shared" si="7"/>
        <v>2813.3682059796602</v>
      </c>
      <c r="K86">
        <f t="shared" si="6"/>
        <v>2813.3682059796602</v>
      </c>
    </row>
    <row r="87" spans="1:12" x14ac:dyDescent="0.3">
      <c r="A87" t="s">
        <v>27</v>
      </c>
      <c r="B87" t="s">
        <v>148</v>
      </c>
      <c r="C87" t="s">
        <v>149</v>
      </c>
      <c r="D87">
        <f>_xlfn.XLOOKUP(B87,'3.屠宰能力表'!B:B,'3.屠宰能力表'!E:E)</f>
        <v>3200</v>
      </c>
      <c r="E87">
        <f>_xlfn.XLOOKUP(B87,'4.分割能力表'!B:B,'4.分割能力表'!D:D)</f>
        <v>960</v>
      </c>
      <c r="F87">
        <f>_xlfn.XLOOKUP(B87,'4.分割能力表'!B:B,'4.分割能力表'!E:E)</f>
        <v>60000</v>
      </c>
      <c r="G87" s="4" t="s">
        <v>63</v>
      </c>
      <c r="H87" s="1">
        <f>_xlfn.XLOOKUP(G87,系数辅助表!$C:$C,系数辅助表!$D:$D)</f>
        <v>6.1516718317408204E-3</v>
      </c>
      <c r="J87">
        <f t="shared" si="7"/>
        <v>2362.2419833884801</v>
      </c>
      <c r="K87">
        <f t="shared" si="6"/>
        <v>2362.2419833884801</v>
      </c>
    </row>
    <row r="88" spans="1:12" x14ac:dyDescent="0.3">
      <c r="A88" t="s">
        <v>27</v>
      </c>
      <c r="B88" t="s">
        <v>148</v>
      </c>
      <c r="C88" t="s">
        <v>149</v>
      </c>
      <c r="D88">
        <f>_xlfn.XLOOKUP(B88,'3.屠宰能力表'!B:B,'3.屠宰能力表'!E:E)</f>
        <v>3200</v>
      </c>
      <c r="E88">
        <f>_xlfn.XLOOKUP(B88,'4.分割能力表'!B:B,'4.分割能力表'!D:D)</f>
        <v>960</v>
      </c>
      <c r="F88">
        <f>_xlfn.XLOOKUP(B88,'4.分割能力表'!B:B,'4.分割能力表'!E:E)</f>
        <v>60000</v>
      </c>
      <c r="G88" s="4" t="s">
        <v>64</v>
      </c>
      <c r="H88" s="1">
        <f>_xlfn.XLOOKUP(G88,系数辅助表!$C:$C,系数辅助表!$D:$D)</f>
        <v>1.0639112440104599E-3</v>
      </c>
      <c r="J88">
        <f t="shared" si="7"/>
        <v>408.541917700017</v>
      </c>
      <c r="K88">
        <f t="shared" si="6"/>
        <v>408.541917700017</v>
      </c>
    </row>
    <row r="89" spans="1:12" x14ac:dyDescent="0.3">
      <c r="A89" t="s">
        <v>27</v>
      </c>
      <c r="B89" t="s">
        <v>148</v>
      </c>
      <c r="C89" t="s">
        <v>149</v>
      </c>
      <c r="D89">
        <f>_xlfn.XLOOKUP(B89,'3.屠宰能力表'!B:B,'3.屠宰能力表'!E:E)</f>
        <v>3200</v>
      </c>
      <c r="E89">
        <f>_xlfn.XLOOKUP(B89,'4.分割能力表'!B:B,'4.分割能力表'!D:D)</f>
        <v>960</v>
      </c>
      <c r="F89">
        <f>_xlfn.XLOOKUP(B89,'4.分割能力表'!B:B,'4.分割能力表'!E:E)</f>
        <v>60000</v>
      </c>
      <c r="G89" s="4" t="s">
        <v>65</v>
      </c>
      <c r="H89" s="1">
        <f>_xlfn.XLOOKUP(G89,系数辅助表!$C:$C,系数辅助表!$D:$D)</f>
        <v>4.8359602000475603E-4</v>
      </c>
      <c r="J89">
        <f t="shared" si="7"/>
        <v>185.70087168182599</v>
      </c>
      <c r="K89">
        <f t="shared" si="6"/>
        <v>185.70087168182599</v>
      </c>
    </row>
    <row r="90" spans="1:12" x14ac:dyDescent="0.3">
      <c r="A90" t="s">
        <v>27</v>
      </c>
      <c r="B90" t="s">
        <v>148</v>
      </c>
      <c r="C90" t="s">
        <v>149</v>
      </c>
      <c r="D90">
        <f>_xlfn.XLOOKUP(B90,'3.屠宰能力表'!B:B,'3.屠宰能力表'!E:E)</f>
        <v>3200</v>
      </c>
      <c r="E90">
        <f>_xlfn.XLOOKUP(B90,'4.分割能力表'!B:B,'4.分割能力表'!D:D)</f>
        <v>960</v>
      </c>
      <c r="F90">
        <f>_xlfn.XLOOKUP(B90,'4.分割能力表'!B:B,'4.分割能力表'!E:E)</f>
        <v>60000</v>
      </c>
      <c r="G90" s="4" t="s">
        <v>66</v>
      </c>
      <c r="H90" s="1">
        <f>_xlfn.XLOOKUP(G90,系数辅助表!$C:$C,系数辅助表!$D:$D)</f>
        <v>1.70951193071681E-3</v>
      </c>
      <c r="J90">
        <f t="shared" si="7"/>
        <v>656.45258139525504</v>
      </c>
      <c r="K90">
        <f t="shared" si="6"/>
        <v>656.45258139525504</v>
      </c>
    </row>
    <row r="91" spans="1:12" x14ac:dyDescent="0.3">
      <c r="A91" t="s">
        <v>27</v>
      </c>
      <c r="B91" t="s">
        <v>148</v>
      </c>
      <c r="C91" t="s">
        <v>149</v>
      </c>
      <c r="D91">
        <f>_xlfn.XLOOKUP(B91,'3.屠宰能力表'!B:B,'3.屠宰能力表'!E:E)</f>
        <v>3200</v>
      </c>
      <c r="E91">
        <f>_xlfn.XLOOKUP(B91,'4.分割能力表'!B:B,'4.分割能力表'!D:D)</f>
        <v>960</v>
      </c>
      <c r="F91">
        <f>_xlfn.XLOOKUP(B91,'4.分割能力表'!B:B,'4.分割能力表'!E:E)</f>
        <v>60000</v>
      </c>
      <c r="G91" s="4" t="s">
        <v>67</v>
      </c>
      <c r="H91" s="1">
        <f>_xlfn.XLOOKUP(G91,系数辅助表!$C:$C,系数辅助表!$D:$D)</f>
        <v>0.02</v>
      </c>
      <c r="J91">
        <f t="shared" si="7"/>
        <v>7680</v>
      </c>
      <c r="K91">
        <f t="shared" si="6"/>
        <v>7680</v>
      </c>
    </row>
    <row r="92" spans="1:12" x14ac:dyDescent="0.3">
      <c r="A92" t="s">
        <v>27</v>
      </c>
      <c r="B92" t="s">
        <v>148</v>
      </c>
      <c r="C92" t="s">
        <v>149</v>
      </c>
      <c r="D92">
        <f>_xlfn.XLOOKUP(B92,'3.屠宰能力表'!B:B,'3.屠宰能力表'!E:E)</f>
        <v>3200</v>
      </c>
      <c r="E92">
        <f>_xlfn.XLOOKUP(B92,'4.分割能力表'!B:B,'4.分割能力表'!D:D)</f>
        <v>960</v>
      </c>
      <c r="F92">
        <f>_xlfn.XLOOKUP(B92,'4.分割能力表'!B:B,'4.分割能力表'!E:E)</f>
        <v>60000</v>
      </c>
      <c r="G92" t="s">
        <v>56</v>
      </c>
      <c r="H92" s="1">
        <f>_xlfn.XLOOKUP(G92,系数辅助表!$C:$C,系数辅助表!$D:$D)</f>
        <v>1.85007717386486E-2</v>
      </c>
      <c r="J92">
        <f t="shared" ref="J92:J100" si="8">$E92*H92*$D$1</f>
        <v>2131.2889042923198</v>
      </c>
      <c r="K92" s="5">
        <f t="shared" si="6"/>
        <v>378.94341658749897</v>
      </c>
      <c r="L92">
        <v>1752.34548770482</v>
      </c>
    </row>
    <row r="93" spans="1:12" x14ac:dyDescent="0.3">
      <c r="A93" t="s">
        <v>27</v>
      </c>
      <c r="B93" t="s">
        <v>148</v>
      </c>
      <c r="C93" t="s">
        <v>149</v>
      </c>
      <c r="D93">
        <f>_xlfn.XLOOKUP(B93,'3.屠宰能力表'!B:B,'3.屠宰能力表'!E:E)</f>
        <v>3200</v>
      </c>
      <c r="E93">
        <f>_xlfn.XLOOKUP(B93,'4.分割能力表'!B:B,'4.分割能力表'!D:D)</f>
        <v>960</v>
      </c>
      <c r="F93">
        <f>_xlfn.XLOOKUP(B93,'4.分割能力表'!B:B,'4.分割能力表'!E:E)</f>
        <v>60000</v>
      </c>
      <c r="G93" t="s">
        <v>45</v>
      </c>
      <c r="H93" s="1">
        <f>_xlfn.XLOOKUP(G93,系数辅助表!$C:$C,系数辅助表!$D:$D)</f>
        <v>1.8327694979870301E-2</v>
      </c>
      <c r="J93">
        <f t="shared" si="8"/>
        <v>2111.3504616810601</v>
      </c>
      <c r="K93" s="5">
        <f t="shared" si="6"/>
        <v>375.398359158007</v>
      </c>
      <c r="L93">
        <v>1735.9521025230499</v>
      </c>
    </row>
    <row r="94" spans="1:12" x14ac:dyDescent="0.3">
      <c r="A94" t="s">
        <v>27</v>
      </c>
      <c r="B94" t="s">
        <v>148</v>
      </c>
      <c r="C94" t="s">
        <v>149</v>
      </c>
      <c r="D94">
        <f>_xlfn.XLOOKUP(B94,'3.屠宰能力表'!B:B,'3.屠宰能力表'!E:E)</f>
        <v>3200</v>
      </c>
      <c r="E94">
        <f>_xlfn.XLOOKUP(B94,'4.分割能力表'!B:B,'4.分割能力表'!D:D)</f>
        <v>960</v>
      </c>
      <c r="F94">
        <f>_xlfn.XLOOKUP(B94,'4.分割能力表'!B:B,'4.分割能力表'!E:E)</f>
        <v>60000</v>
      </c>
      <c r="G94" t="s">
        <v>68</v>
      </c>
      <c r="H94" s="1">
        <f>_xlfn.XLOOKUP(G94,系数辅助表!$C:$C,系数辅助表!$D:$D)</f>
        <v>9.7050751819787603E-2</v>
      </c>
      <c r="J94">
        <f t="shared" si="8"/>
        <v>11180.2466096395</v>
      </c>
      <c r="K94" s="5">
        <f t="shared" si="6"/>
        <v>3366.7087736303301</v>
      </c>
      <c r="L94">
        <v>7813.5378360092</v>
      </c>
    </row>
    <row r="95" spans="1:12" x14ac:dyDescent="0.3">
      <c r="A95" t="s">
        <v>27</v>
      </c>
      <c r="B95" t="s">
        <v>148</v>
      </c>
      <c r="C95" t="s">
        <v>149</v>
      </c>
      <c r="D95">
        <f>_xlfn.XLOOKUP(B95,'3.屠宰能力表'!B:B,'3.屠宰能力表'!E:E)</f>
        <v>3200</v>
      </c>
      <c r="E95">
        <f>_xlfn.XLOOKUP(B95,'4.分割能力表'!B:B,'4.分割能力表'!D:D)</f>
        <v>960</v>
      </c>
      <c r="F95">
        <f>_xlfn.XLOOKUP(B95,'4.分割能力表'!B:B,'4.分割能力表'!E:E)</f>
        <v>60000</v>
      </c>
      <c r="G95" t="s">
        <v>70</v>
      </c>
      <c r="H95" s="1">
        <f>_xlfn.XLOOKUP(G95,系数辅助表!$C:$C,系数辅助表!$D:$D)</f>
        <v>4.6512517384561802E-2</v>
      </c>
      <c r="J95">
        <f t="shared" si="8"/>
        <v>5358.2420027015196</v>
      </c>
      <c r="K95" s="5">
        <f t="shared" si="6"/>
        <v>3979.3823845822499</v>
      </c>
      <c r="L95">
        <v>1378.85961811927</v>
      </c>
    </row>
    <row r="96" spans="1:12" x14ac:dyDescent="0.3">
      <c r="A96" t="s">
        <v>27</v>
      </c>
      <c r="B96" t="s">
        <v>148</v>
      </c>
      <c r="C96" t="s">
        <v>149</v>
      </c>
      <c r="D96">
        <f>_xlfn.XLOOKUP(B96,'3.屠宰能力表'!B:B,'3.屠宰能力表'!E:E)</f>
        <v>3200</v>
      </c>
      <c r="E96">
        <f>_xlfn.XLOOKUP(B96,'4.分割能力表'!B:B,'4.分割能力表'!D:D)</f>
        <v>960</v>
      </c>
      <c r="F96">
        <f>_xlfn.XLOOKUP(B96,'4.分割能力表'!B:B,'4.分割能力表'!E:E)</f>
        <v>60000</v>
      </c>
      <c r="G96" t="s">
        <v>71</v>
      </c>
      <c r="H96" s="1">
        <f>_xlfn.XLOOKUP(G96,系数辅助表!$C:$C,系数辅助表!$D:$D)</f>
        <v>2.8731737554939799E-2</v>
      </c>
      <c r="J96">
        <f t="shared" si="8"/>
        <v>3309.8961663290602</v>
      </c>
      <c r="K96" s="5">
        <f t="shared" si="6"/>
        <v>588.49992569874496</v>
      </c>
      <c r="L96">
        <v>2721.3962406303199</v>
      </c>
    </row>
    <row r="97" spans="1:12" x14ac:dyDescent="0.3">
      <c r="A97" t="s">
        <v>27</v>
      </c>
      <c r="B97" t="s">
        <v>148</v>
      </c>
      <c r="C97" t="s">
        <v>149</v>
      </c>
      <c r="D97">
        <f>_xlfn.XLOOKUP(B97,'3.屠宰能力表'!B:B,'3.屠宰能力表'!E:E)</f>
        <v>3200</v>
      </c>
      <c r="E97">
        <f>_xlfn.XLOOKUP(B97,'4.分割能力表'!B:B,'4.分割能力表'!D:D)</f>
        <v>960</v>
      </c>
      <c r="F97">
        <f>_xlfn.XLOOKUP(B97,'4.分割能力表'!B:B,'4.分割能力表'!E:E)</f>
        <v>60000</v>
      </c>
      <c r="G97" t="s">
        <v>72</v>
      </c>
      <c r="H97" s="1">
        <f>_xlfn.XLOOKUP(G97,系数辅助表!$C:$C,系数辅助表!$D:$D)</f>
        <v>2.9020999088867499E-2</v>
      </c>
      <c r="J97">
        <f t="shared" si="8"/>
        <v>3343.2190950375398</v>
      </c>
      <c r="K97" s="5">
        <f t="shared" si="6"/>
        <v>3343.2190950375398</v>
      </c>
      <c r="L97">
        <v>0</v>
      </c>
    </row>
    <row r="98" spans="1:12" x14ac:dyDescent="0.3">
      <c r="A98" t="s">
        <v>27</v>
      </c>
      <c r="B98" t="s">
        <v>148</v>
      </c>
      <c r="C98" t="s">
        <v>149</v>
      </c>
      <c r="D98">
        <f>_xlfn.XLOOKUP(B98,'3.屠宰能力表'!B:B,'3.屠宰能力表'!E:E)</f>
        <v>3200</v>
      </c>
      <c r="E98">
        <f>_xlfn.XLOOKUP(B98,'4.分割能力表'!B:B,'4.分割能力表'!D:D)</f>
        <v>960</v>
      </c>
      <c r="F98">
        <f>_xlfn.XLOOKUP(B98,'4.分割能力表'!B:B,'4.分割能力表'!E:E)</f>
        <v>60000</v>
      </c>
      <c r="G98" t="s">
        <v>73</v>
      </c>
      <c r="H98" s="1">
        <f>_xlfn.XLOOKUP(G98,系数辅助表!$C:$C,系数辅助表!$D:$D)</f>
        <v>3.3890751204307498E-2</v>
      </c>
      <c r="J98">
        <f t="shared" si="8"/>
        <v>3904.2145387362202</v>
      </c>
      <c r="K98" s="6">
        <f t="shared" si="6"/>
        <v>0</v>
      </c>
      <c r="L98" s="7">
        <f t="shared" ref="L98:L100" si="9">J98</f>
        <v>3904.2145387362202</v>
      </c>
    </row>
    <row r="99" spans="1:12" x14ac:dyDescent="0.3">
      <c r="A99" t="s">
        <v>27</v>
      </c>
      <c r="B99" t="s">
        <v>148</v>
      </c>
      <c r="C99" t="s">
        <v>149</v>
      </c>
      <c r="D99">
        <f>_xlfn.XLOOKUP(B99,'3.屠宰能力表'!B:B,'3.屠宰能力表'!E:E)</f>
        <v>3200</v>
      </c>
      <c r="E99">
        <f>_xlfn.XLOOKUP(B99,'4.分割能力表'!B:B,'4.分割能力表'!D:D)</f>
        <v>960</v>
      </c>
      <c r="F99">
        <f>_xlfn.XLOOKUP(B99,'4.分割能力表'!B:B,'4.分割能力表'!E:E)</f>
        <v>60000</v>
      </c>
      <c r="G99" t="s">
        <v>74</v>
      </c>
      <c r="H99" s="1">
        <f>_xlfn.XLOOKUP(G99,系数辅助表!$C:$C,系数辅助表!$D:$D)</f>
        <v>6.6683830901271496E-3</v>
      </c>
      <c r="J99">
        <f t="shared" si="8"/>
        <v>768.19773198264795</v>
      </c>
      <c r="K99" s="6">
        <f t="shared" si="6"/>
        <v>0</v>
      </c>
      <c r="L99" s="7">
        <f t="shared" si="9"/>
        <v>768.19773198264795</v>
      </c>
    </row>
    <row r="100" spans="1:12" x14ac:dyDescent="0.3">
      <c r="A100" t="s">
        <v>27</v>
      </c>
      <c r="B100" t="s">
        <v>148</v>
      </c>
      <c r="C100" t="s">
        <v>149</v>
      </c>
      <c r="D100">
        <f>_xlfn.XLOOKUP(B100,'3.屠宰能力表'!B:B,'3.屠宰能力表'!E:E)</f>
        <v>3200</v>
      </c>
      <c r="E100">
        <f>_xlfn.XLOOKUP(B100,'4.分割能力表'!B:B,'4.分割能力表'!D:D)</f>
        <v>960</v>
      </c>
      <c r="F100">
        <f>_xlfn.XLOOKUP(B100,'4.分割能力表'!B:B,'4.分割能力表'!E:E)</f>
        <v>60000</v>
      </c>
      <c r="G100" t="s">
        <v>75</v>
      </c>
      <c r="H100" s="1">
        <f>_xlfn.XLOOKUP(G100,系数辅助表!$C:$C,系数辅助表!$D:$D)</f>
        <v>7.3037535376360693E-2</v>
      </c>
      <c r="J100">
        <f t="shared" si="8"/>
        <v>8413.9240753567501</v>
      </c>
      <c r="K100" s="6">
        <f t="shared" si="6"/>
        <v>0</v>
      </c>
      <c r="L100" s="7">
        <f t="shared" si="9"/>
        <v>8413.9240753567501</v>
      </c>
    </row>
    <row r="101" spans="1:12" x14ac:dyDescent="0.3">
      <c r="A101" t="s">
        <v>27</v>
      </c>
      <c r="B101" t="s">
        <v>148</v>
      </c>
      <c r="C101" t="s">
        <v>149</v>
      </c>
      <c r="D101">
        <f>_xlfn.XLOOKUP(B101,'3.屠宰能力表'!B:B,'3.屠宰能力表'!E:E)</f>
        <v>3200</v>
      </c>
      <c r="E101">
        <f>_xlfn.XLOOKUP(B101,'4.分割能力表'!B:B,'4.分割能力表'!D:D)</f>
        <v>960</v>
      </c>
      <c r="F101">
        <f>_xlfn.XLOOKUP(B101,'4.分割能力表'!B:B,'4.分割能力表'!E:E)</f>
        <v>60000</v>
      </c>
      <c r="G101" t="s">
        <v>76</v>
      </c>
      <c r="H101" s="1">
        <f>_xlfn.XLOOKUP(G101,系数辅助表!$C:$C,系数辅助表!$D:$D)</f>
        <v>0.122051725196981</v>
      </c>
      <c r="J101">
        <f t="shared" ref="J101:J117" si="10">$E101*H101*$D$1</f>
        <v>14060.3587426922</v>
      </c>
      <c r="K101" s="5">
        <f t="shared" si="6"/>
        <v>5968.0610236675002</v>
      </c>
      <c r="L101">
        <v>8092.2977190247102</v>
      </c>
    </row>
    <row r="102" spans="1:12" x14ac:dyDescent="0.3">
      <c r="A102" t="s">
        <v>27</v>
      </c>
      <c r="B102" t="s">
        <v>148</v>
      </c>
      <c r="C102" t="s">
        <v>149</v>
      </c>
      <c r="D102">
        <f>_xlfn.XLOOKUP(B102,'3.屠宰能力表'!B:B,'3.屠宰能力表'!E:E)</f>
        <v>3200</v>
      </c>
      <c r="E102">
        <f>_xlfn.XLOOKUP(B102,'4.分割能力表'!B:B,'4.分割能力表'!D:D)</f>
        <v>960</v>
      </c>
      <c r="F102">
        <f>_xlfn.XLOOKUP(B102,'4.分割能力表'!B:B,'4.分割能力表'!E:E)</f>
        <v>60000</v>
      </c>
      <c r="G102" s="2" t="s">
        <v>77</v>
      </c>
      <c r="H102" s="1">
        <f>_xlfn.XLOOKUP(G102,系数辅助表!$C:$C,系数辅助表!$D:$D)</f>
        <v>1.9521507261015199E-2</v>
      </c>
      <c r="J102">
        <f t="shared" si="10"/>
        <v>2248.8776364689502</v>
      </c>
      <c r="K102">
        <f t="shared" si="6"/>
        <v>399.85070692878401</v>
      </c>
      <c r="L102">
        <v>1849.0269295401699</v>
      </c>
    </row>
    <row r="103" spans="1:12" x14ac:dyDescent="0.3">
      <c r="A103" t="s">
        <v>27</v>
      </c>
      <c r="B103" t="s">
        <v>148</v>
      </c>
      <c r="C103" t="s">
        <v>149</v>
      </c>
      <c r="D103">
        <f>_xlfn.XLOOKUP(B103,'3.屠宰能力表'!B:B,'3.屠宰能力表'!E:E)</f>
        <v>3200</v>
      </c>
      <c r="E103">
        <f>_xlfn.XLOOKUP(B103,'4.分割能力表'!B:B,'4.分割能力表'!D:D)</f>
        <v>960</v>
      </c>
      <c r="F103">
        <f>_xlfn.XLOOKUP(B103,'4.分割能力表'!B:B,'4.分割能力表'!E:E)</f>
        <v>60000</v>
      </c>
      <c r="G103" s="2" t="s">
        <v>78</v>
      </c>
      <c r="H103" s="1">
        <f>_xlfn.XLOOKUP(G103,系数辅助表!$C:$C,系数辅助表!$D:$D)</f>
        <v>2.7552209592914899E-2</v>
      </c>
      <c r="J103">
        <f t="shared" si="10"/>
        <v>3174.0145451038002</v>
      </c>
      <c r="K103">
        <f t="shared" si="6"/>
        <v>564.34015754396899</v>
      </c>
      <c r="L103">
        <v>2609.6743875598299</v>
      </c>
    </row>
    <row r="104" spans="1:12" x14ac:dyDescent="0.3">
      <c r="A104" t="s">
        <v>27</v>
      </c>
      <c r="B104" t="s">
        <v>148</v>
      </c>
      <c r="C104" t="s">
        <v>149</v>
      </c>
      <c r="D104">
        <f>_xlfn.XLOOKUP(B104,'3.屠宰能力表'!B:B,'3.屠宰能力表'!E:E)</f>
        <v>3200</v>
      </c>
      <c r="E104">
        <f>_xlfn.XLOOKUP(B104,'4.分割能力表'!B:B,'4.分割能力表'!D:D)</f>
        <v>960</v>
      </c>
      <c r="F104">
        <f>_xlfn.XLOOKUP(B104,'4.分割能力表'!B:B,'4.分割能力表'!E:E)</f>
        <v>60000</v>
      </c>
      <c r="G104" t="s">
        <v>79</v>
      </c>
      <c r="H104" s="1">
        <f>_xlfn.XLOOKUP(G104,系数辅助表!$C:$C,系数辅助表!$D:$D)</f>
        <v>6.1357302939246697E-2</v>
      </c>
      <c r="J104">
        <f t="shared" si="10"/>
        <v>7068.3612986012204</v>
      </c>
      <c r="K104" s="5">
        <f t="shared" si="6"/>
        <v>1256.7554660339099</v>
      </c>
      <c r="L104">
        <v>5811.6058325673102</v>
      </c>
    </row>
    <row r="105" spans="1:12" x14ac:dyDescent="0.3">
      <c r="A105" t="s">
        <v>27</v>
      </c>
      <c r="B105" t="s">
        <v>148</v>
      </c>
      <c r="C105" t="s">
        <v>149</v>
      </c>
      <c r="D105">
        <f>_xlfn.XLOOKUP(B105,'3.屠宰能力表'!B:B,'3.屠宰能力表'!E:E)</f>
        <v>3200</v>
      </c>
      <c r="E105">
        <f>_xlfn.XLOOKUP(B105,'4.分割能力表'!B:B,'4.分割能力表'!D:D)</f>
        <v>960</v>
      </c>
      <c r="F105">
        <f>_xlfn.XLOOKUP(B105,'4.分割能力表'!B:B,'4.分割能力表'!E:E)</f>
        <v>60000</v>
      </c>
      <c r="G105" t="s">
        <v>80</v>
      </c>
      <c r="H105" s="1">
        <f>_xlfn.XLOOKUP(G105,系数辅助表!$C:$C,系数辅助表!$D:$D)</f>
        <v>1.30165882845583E-2</v>
      </c>
      <c r="J105">
        <f t="shared" si="10"/>
        <v>1499.5109703811199</v>
      </c>
      <c r="K105" s="5">
        <f t="shared" si="6"/>
        <v>1499.5109703811199</v>
      </c>
      <c r="L105">
        <v>0</v>
      </c>
    </row>
    <row r="106" spans="1:12" x14ac:dyDescent="0.3">
      <c r="A106" t="s">
        <v>27</v>
      </c>
      <c r="B106" t="s">
        <v>148</v>
      </c>
      <c r="C106" t="s">
        <v>149</v>
      </c>
      <c r="D106">
        <f>_xlfn.XLOOKUP(B106,'3.屠宰能力表'!B:B,'3.屠宰能力表'!E:E)</f>
        <v>3200</v>
      </c>
      <c r="E106">
        <f>_xlfn.XLOOKUP(B106,'4.分割能力表'!B:B,'4.分割能力表'!D:D)</f>
        <v>960</v>
      </c>
      <c r="F106">
        <f>_xlfn.XLOOKUP(B106,'4.分割能力表'!B:B,'4.分割能力表'!E:E)</f>
        <v>60000</v>
      </c>
      <c r="G106" t="s">
        <v>81</v>
      </c>
      <c r="H106" s="1">
        <f>_xlfn.XLOOKUP(G106,系数辅助表!$C:$C,系数辅助表!$D:$D)</f>
        <v>2.9868560985823099E-2</v>
      </c>
      <c r="J106">
        <f t="shared" si="10"/>
        <v>3440.8582255668198</v>
      </c>
      <c r="K106" s="5">
        <f t="shared" si="6"/>
        <v>3440.8582255668198</v>
      </c>
      <c r="L106">
        <v>0</v>
      </c>
    </row>
    <row r="107" spans="1:12" x14ac:dyDescent="0.3">
      <c r="A107" t="s">
        <v>27</v>
      </c>
      <c r="B107" t="s">
        <v>148</v>
      </c>
      <c r="C107" t="s">
        <v>149</v>
      </c>
      <c r="D107">
        <f>_xlfn.XLOOKUP(B107,'3.屠宰能力表'!B:B,'3.屠宰能力表'!E:E)</f>
        <v>3200</v>
      </c>
      <c r="E107">
        <f>_xlfn.XLOOKUP(B107,'4.分割能力表'!B:B,'4.分割能力表'!D:D)</f>
        <v>960</v>
      </c>
      <c r="F107">
        <f>_xlfn.XLOOKUP(B107,'4.分割能力表'!B:B,'4.分割能力表'!E:E)</f>
        <v>60000</v>
      </c>
      <c r="G107" t="s">
        <v>82</v>
      </c>
      <c r="H107" s="1">
        <f>_xlfn.XLOOKUP(G107,系数辅助表!$C:$C,系数辅助表!$D:$D)</f>
        <v>1.31753271660773E-2</v>
      </c>
      <c r="J107">
        <f t="shared" si="10"/>
        <v>1517.7976895321001</v>
      </c>
      <c r="K107" s="5">
        <f t="shared" si="6"/>
        <v>269.86460681212901</v>
      </c>
      <c r="L107">
        <v>1247.9330827199799</v>
      </c>
    </row>
    <row r="108" spans="1:12" x14ac:dyDescent="0.3">
      <c r="A108" t="s">
        <v>27</v>
      </c>
      <c r="B108" t="s">
        <v>148</v>
      </c>
      <c r="C108" t="s">
        <v>149</v>
      </c>
      <c r="D108">
        <f>_xlfn.XLOOKUP(B108,'3.屠宰能力表'!B:B,'3.屠宰能力表'!E:E)</f>
        <v>3200</v>
      </c>
      <c r="E108">
        <f>_xlfn.XLOOKUP(B108,'4.分割能力表'!B:B,'4.分割能力表'!D:D)</f>
        <v>960</v>
      </c>
      <c r="F108">
        <f>_xlfn.XLOOKUP(B108,'4.分割能力表'!B:B,'4.分割能力表'!E:E)</f>
        <v>60000</v>
      </c>
      <c r="G108" t="s">
        <v>83</v>
      </c>
      <c r="H108" s="1">
        <f>_xlfn.XLOOKUP(G108,系数辅助表!$C:$C,系数辅助表!$D:$D)</f>
        <v>7.2226191091146899E-3</v>
      </c>
      <c r="J108">
        <f t="shared" si="10"/>
        <v>832.04572137001196</v>
      </c>
      <c r="K108" s="5">
        <f t="shared" si="6"/>
        <v>832.04572137001196</v>
      </c>
      <c r="L108">
        <v>0</v>
      </c>
    </row>
    <row r="109" spans="1:12" x14ac:dyDescent="0.3">
      <c r="A109" t="s">
        <v>27</v>
      </c>
      <c r="B109" t="s">
        <v>148</v>
      </c>
      <c r="C109" t="s">
        <v>149</v>
      </c>
      <c r="D109">
        <f>_xlfn.XLOOKUP(B109,'3.屠宰能力表'!B:B,'3.屠宰能力表'!E:E)</f>
        <v>3200</v>
      </c>
      <c r="E109">
        <f>_xlfn.XLOOKUP(B109,'4.分割能力表'!B:B,'4.分割能力表'!D:D)</f>
        <v>960</v>
      </c>
      <c r="F109">
        <f>_xlfn.XLOOKUP(B109,'4.分割能力表'!B:B,'4.分割能力表'!E:E)</f>
        <v>60000</v>
      </c>
      <c r="G109" t="s">
        <v>84</v>
      </c>
      <c r="H109" s="1">
        <f>_xlfn.XLOOKUP(G109,系数辅助表!$C:$C,系数辅助表!$D:$D)</f>
        <v>2.34933544648127E-2</v>
      </c>
      <c r="J109">
        <f t="shared" si="10"/>
        <v>2706.4344343464199</v>
      </c>
      <c r="K109" s="5">
        <f t="shared" si="6"/>
        <v>2706.4344343464199</v>
      </c>
      <c r="L109">
        <v>0</v>
      </c>
    </row>
    <row r="110" spans="1:12" x14ac:dyDescent="0.3">
      <c r="A110" t="s">
        <v>27</v>
      </c>
      <c r="B110" t="s">
        <v>148</v>
      </c>
      <c r="C110" t="s">
        <v>149</v>
      </c>
      <c r="D110">
        <f>_xlfn.XLOOKUP(B110,'3.屠宰能力表'!B:B,'3.屠宰能力表'!E:E)</f>
        <v>3200</v>
      </c>
      <c r="E110">
        <f>_xlfn.XLOOKUP(B110,'4.分割能力表'!B:B,'4.分割能力表'!D:D)</f>
        <v>960</v>
      </c>
      <c r="F110">
        <f>_xlfn.XLOOKUP(B110,'4.分割能力表'!B:B,'4.分割能力表'!E:E)</f>
        <v>60000</v>
      </c>
      <c r="G110" t="s">
        <v>85</v>
      </c>
      <c r="H110" s="1">
        <f>_xlfn.XLOOKUP(G110,系数辅助表!$C:$C,系数辅助表!$D:$D)</f>
        <v>9.8418106541782492E-3</v>
      </c>
      <c r="J110">
        <f t="shared" si="10"/>
        <v>1133.77658736133</v>
      </c>
      <c r="K110" s="5">
        <f t="shared" si="6"/>
        <v>1133.77658736133</v>
      </c>
      <c r="L110">
        <v>0</v>
      </c>
    </row>
    <row r="111" spans="1:12" x14ac:dyDescent="0.3">
      <c r="A111" t="s">
        <v>27</v>
      </c>
      <c r="B111" t="s">
        <v>148</v>
      </c>
      <c r="C111" t="s">
        <v>149</v>
      </c>
      <c r="D111">
        <f>_xlfn.XLOOKUP(B111,'3.屠宰能力表'!B:B,'3.屠宰能力表'!E:E)</f>
        <v>3200</v>
      </c>
      <c r="E111">
        <f>_xlfn.XLOOKUP(B111,'4.分割能力表'!B:B,'4.分割能力表'!D:D)</f>
        <v>960</v>
      </c>
      <c r="F111">
        <f>_xlfn.XLOOKUP(B111,'4.分割能力表'!B:B,'4.分割能力表'!E:E)</f>
        <v>60000</v>
      </c>
      <c r="G111" t="s">
        <v>86</v>
      </c>
      <c r="H111" s="1">
        <f>_xlfn.XLOOKUP(G111,系数辅助表!$C:$C,系数辅助表!$D:$D)</f>
        <v>6.9845107868361997E-3</v>
      </c>
      <c r="J111">
        <f t="shared" si="10"/>
        <v>804.61564264353001</v>
      </c>
      <c r="K111" s="5">
        <f t="shared" si="6"/>
        <v>804.61564264353001</v>
      </c>
      <c r="L111">
        <v>0</v>
      </c>
    </row>
    <row r="112" spans="1:12" x14ac:dyDescent="0.3">
      <c r="A112" t="s">
        <v>27</v>
      </c>
      <c r="B112" t="s">
        <v>148</v>
      </c>
      <c r="C112" t="s">
        <v>149</v>
      </c>
      <c r="D112">
        <f>_xlfn.XLOOKUP(B112,'3.屠宰能力表'!B:B,'3.屠宰能力表'!E:E)</f>
        <v>3200</v>
      </c>
      <c r="E112">
        <f>_xlfn.XLOOKUP(B112,'4.分割能力表'!B:B,'4.分割能力表'!D:D)</f>
        <v>960</v>
      </c>
      <c r="F112">
        <f>_xlfn.XLOOKUP(B112,'4.分割能力表'!B:B,'4.分割能力表'!E:E)</f>
        <v>60000</v>
      </c>
      <c r="G112" t="s">
        <v>87</v>
      </c>
      <c r="H112" s="1">
        <f>_xlfn.XLOOKUP(G112,系数辅助表!$C:$C,系数辅助表!$D:$D)</f>
        <v>2.2223443412660699E-3</v>
      </c>
      <c r="J112">
        <f t="shared" si="10"/>
        <v>256.01406811385101</v>
      </c>
      <c r="K112" s="5">
        <f t="shared" si="6"/>
        <v>256.01406811385101</v>
      </c>
      <c r="L112">
        <v>0</v>
      </c>
    </row>
    <row r="113" spans="1:12" x14ac:dyDescent="0.3">
      <c r="A113" t="s">
        <v>27</v>
      </c>
      <c r="B113" t="s">
        <v>148</v>
      </c>
      <c r="C113" t="s">
        <v>149</v>
      </c>
      <c r="D113">
        <f>_xlfn.XLOOKUP(B113,'3.屠宰能力表'!B:B,'3.屠宰能力表'!E:E)</f>
        <v>3200</v>
      </c>
      <c r="E113">
        <f>_xlfn.XLOOKUP(B113,'4.分割能力表'!B:B,'4.分割能力表'!D:D)</f>
        <v>960</v>
      </c>
      <c r="F113">
        <f>_xlfn.XLOOKUP(B113,'4.分割能力表'!B:B,'4.分割能力表'!E:E)</f>
        <v>60000</v>
      </c>
      <c r="G113" t="s">
        <v>88</v>
      </c>
      <c r="H113" s="1">
        <f>_xlfn.XLOOKUP(G113,系数辅助表!$C:$C,系数辅助表!$D:$D)</f>
        <v>1.5880638483545301E-3</v>
      </c>
      <c r="J113">
        <f t="shared" si="10"/>
        <v>182.94495533044201</v>
      </c>
      <c r="K113" s="5">
        <f t="shared" si="6"/>
        <v>182.94495533044201</v>
      </c>
      <c r="L113">
        <v>0</v>
      </c>
    </row>
    <row r="114" spans="1:12" x14ac:dyDescent="0.3">
      <c r="A114" t="s">
        <v>27</v>
      </c>
      <c r="B114" t="s">
        <v>148</v>
      </c>
      <c r="C114" t="s">
        <v>149</v>
      </c>
      <c r="D114">
        <f>_xlfn.XLOOKUP(B114,'3.屠宰能力表'!B:B,'3.屠宰能力表'!E:E)</f>
        <v>3200</v>
      </c>
      <c r="E114">
        <f>_xlfn.XLOOKUP(B114,'4.分割能力表'!B:B,'4.分割能力表'!D:D)</f>
        <v>960</v>
      </c>
      <c r="F114">
        <f>_xlfn.XLOOKUP(B114,'4.分割能力表'!B:B,'4.分割能力表'!E:E)</f>
        <v>60000</v>
      </c>
      <c r="G114" t="s">
        <v>89</v>
      </c>
      <c r="H114" s="1">
        <f>_xlfn.XLOOKUP(G114,系数辅助表!$C:$C,系数辅助表!$D:$D)</f>
        <v>1.0324777630380101E-2</v>
      </c>
      <c r="J114">
        <f t="shared" si="10"/>
        <v>1189.41438301979</v>
      </c>
      <c r="K114" s="5">
        <f t="shared" si="6"/>
        <v>211.47801648669099</v>
      </c>
      <c r="L114">
        <v>977.93636653309704</v>
      </c>
    </row>
    <row r="115" spans="1:12" x14ac:dyDescent="0.3">
      <c r="A115" t="s">
        <v>27</v>
      </c>
      <c r="B115" t="s">
        <v>148</v>
      </c>
      <c r="C115" t="s">
        <v>149</v>
      </c>
      <c r="D115">
        <f>_xlfn.XLOOKUP(B115,'3.屠宰能力表'!B:B,'3.屠宰能力表'!E:E)</f>
        <v>3200</v>
      </c>
      <c r="E115">
        <f>_xlfn.XLOOKUP(B115,'4.分割能力表'!B:B,'4.分割能力表'!D:D)</f>
        <v>960</v>
      </c>
      <c r="F115">
        <f>_xlfn.XLOOKUP(B115,'4.分割能力表'!B:B,'4.分割能力表'!E:E)</f>
        <v>60000</v>
      </c>
      <c r="G115" t="s">
        <v>90</v>
      </c>
      <c r="H115" s="1">
        <f>_xlfn.XLOOKUP(G115,系数辅助表!$C:$C,系数辅助表!$D:$D)</f>
        <v>2.86E-2</v>
      </c>
      <c r="J115">
        <f t="shared" si="10"/>
        <v>3294.72</v>
      </c>
      <c r="K115" s="5">
        <f t="shared" si="6"/>
        <v>585.80160154951898</v>
      </c>
      <c r="L115">
        <v>2708.9183984504798</v>
      </c>
    </row>
    <row r="116" spans="1:12" x14ac:dyDescent="0.3">
      <c r="A116" t="s">
        <v>27</v>
      </c>
      <c r="B116" t="s">
        <v>148</v>
      </c>
      <c r="C116" t="s">
        <v>149</v>
      </c>
      <c r="D116">
        <f>_xlfn.XLOOKUP(B116,'3.屠宰能力表'!B:B,'3.屠宰能力表'!E:E)</f>
        <v>3200</v>
      </c>
      <c r="E116">
        <f>_xlfn.XLOOKUP(B116,'4.分割能力表'!B:B,'4.分割能力表'!D:D)</f>
        <v>960</v>
      </c>
      <c r="F116">
        <f>_xlfn.XLOOKUP(B116,'4.分割能力表'!B:B,'4.分割能力表'!E:E)</f>
        <v>60000</v>
      </c>
      <c r="G116" t="s">
        <v>91</v>
      </c>
      <c r="H116" s="1">
        <f>_xlfn.XLOOKUP(G116,系数辅助表!$C:$C,系数辅助表!$D:$D)</f>
        <v>2.1645581232916301E-2</v>
      </c>
      <c r="J116">
        <f t="shared" si="10"/>
        <v>2493.5709580319599</v>
      </c>
      <c r="K116" s="5">
        <f t="shared" si="6"/>
        <v>443.35720813680501</v>
      </c>
      <c r="L116">
        <v>2050.2137498951502</v>
      </c>
    </row>
    <row r="117" spans="1:12" x14ac:dyDescent="0.3">
      <c r="A117" t="s">
        <v>27</v>
      </c>
      <c r="B117" t="s">
        <v>148</v>
      </c>
      <c r="C117" t="s">
        <v>149</v>
      </c>
      <c r="D117">
        <f>_xlfn.XLOOKUP(B117,'3.屠宰能力表'!B:B,'3.屠宰能力表'!E:E)</f>
        <v>3200</v>
      </c>
      <c r="E117">
        <f>_xlfn.XLOOKUP(B117,'4.分割能力表'!B:B,'4.分割能力表'!D:D)</f>
        <v>960</v>
      </c>
      <c r="F117">
        <f>_xlfn.XLOOKUP(B117,'4.分割能力表'!B:B,'4.分割能力表'!E:E)</f>
        <v>60000</v>
      </c>
      <c r="G117" t="s">
        <v>92</v>
      </c>
      <c r="H117" s="1">
        <f>_xlfn.XLOOKUP(G117,系数辅助表!$C:$C,系数辅助表!$D:$D)</f>
        <v>1.4286499336710399E-3</v>
      </c>
      <c r="J117">
        <f t="shared" si="10"/>
        <v>164.58047235890399</v>
      </c>
      <c r="K117" s="5">
        <f t="shared" si="6"/>
        <v>164.58047235890399</v>
      </c>
      <c r="L117">
        <v>0</v>
      </c>
    </row>
    <row r="118" spans="1:12" x14ac:dyDescent="0.3">
      <c r="A118" t="s">
        <v>27</v>
      </c>
      <c r="B118" t="s">
        <v>148</v>
      </c>
      <c r="C118" t="s">
        <v>149</v>
      </c>
      <c r="D118">
        <f>_xlfn.XLOOKUP(B118,'3.屠宰能力表'!B:B,'3.屠宰能力表'!E:E)</f>
        <v>3200</v>
      </c>
      <c r="E118">
        <f>_xlfn.XLOOKUP(B118,'4.分割能力表'!B:B,'4.分割能力表'!D:D)</f>
        <v>960</v>
      </c>
      <c r="F118">
        <f>_xlfn.XLOOKUP(B118,'4.分割能力表'!B:B,'4.分割能力表'!E:E)</f>
        <v>60000</v>
      </c>
      <c r="G118" t="s">
        <v>93</v>
      </c>
      <c r="H118"/>
      <c r="J118">
        <f>IFERROR(INDEX($L:$L,MATCH(SUBSTITUTE(G118,"-冷冻",""),$G:$G,0)),"")</f>
        <v>9376.24540321104</v>
      </c>
      <c r="K118" s="5"/>
    </row>
    <row r="119" spans="1:12" x14ac:dyDescent="0.3">
      <c r="A119" t="s">
        <v>27</v>
      </c>
      <c r="B119" t="s">
        <v>148</v>
      </c>
      <c r="C119" t="s">
        <v>149</v>
      </c>
      <c r="D119">
        <f>_xlfn.XLOOKUP(B119,'3.屠宰能力表'!B:B,'3.屠宰能力表'!E:E)</f>
        <v>3200</v>
      </c>
      <c r="E119">
        <f>_xlfn.XLOOKUP(B119,'4.分割能力表'!B:B,'4.分割能力表'!D:D)</f>
        <v>960</v>
      </c>
      <c r="F119">
        <f>_xlfn.XLOOKUP(B119,'4.分割能力表'!B:B,'4.分割能力表'!E:E)</f>
        <v>60000</v>
      </c>
      <c r="G119" t="s">
        <v>96</v>
      </c>
      <c r="H119"/>
      <c r="J119">
        <f>IFERROR(INDEX($L:$L,MATCH(SUBSTITUTE(G119,"-冷冻",""),$G:$G,0)),"")</f>
        <v>1654.6315417431299</v>
      </c>
    </row>
    <row r="120" spans="1:12" x14ac:dyDescent="0.3">
      <c r="A120" t="s">
        <v>27</v>
      </c>
      <c r="B120" t="s">
        <v>148</v>
      </c>
      <c r="C120" t="s">
        <v>149</v>
      </c>
      <c r="D120">
        <f>_xlfn.XLOOKUP(B120,'3.屠宰能力表'!B:B,'3.屠宰能力表'!E:E)</f>
        <v>3200</v>
      </c>
      <c r="E120">
        <f>_xlfn.XLOOKUP(B120,'4.分割能力表'!B:B,'4.分割能力表'!D:D)</f>
        <v>960</v>
      </c>
      <c r="F120">
        <f>_xlfn.XLOOKUP(B120,'4.分割能力表'!B:B,'4.分割能力表'!E:E)</f>
        <v>60000</v>
      </c>
      <c r="G120" t="s">
        <v>97</v>
      </c>
      <c r="H120"/>
      <c r="J120">
        <f t="shared" ref="J120:J125" si="11">IFERROR(INDEX($L:$L,MATCH(SUBSTITUTE(G120,"-冷冻",""),$G:$G,0)),"")</f>
        <v>3265.6754887563802</v>
      </c>
    </row>
    <row r="121" spans="1:12" x14ac:dyDescent="0.3">
      <c r="A121" t="s">
        <v>27</v>
      </c>
      <c r="B121" t="s">
        <v>148</v>
      </c>
      <c r="C121" t="s">
        <v>149</v>
      </c>
      <c r="D121">
        <f>_xlfn.XLOOKUP(B121,'3.屠宰能力表'!B:B,'3.屠宰能力表'!E:E)</f>
        <v>3200</v>
      </c>
      <c r="E121">
        <f>_xlfn.XLOOKUP(B121,'4.分割能力表'!B:B,'4.分割能力表'!D:D)</f>
        <v>960</v>
      </c>
      <c r="F121">
        <f>_xlfn.XLOOKUP(B121,'4.分割能力表'!B:B,'4.分割能力表'!E:E)</f>
        <v>60000</v>
      </c>
      <c r="G121" t="s">
        <v>99</v>
      </c>
      <c r="H121"/>
      <c r="J121">
        <f t="shared" si="11"/>
        <v>5350.4415805199897</v>
      </c>
    </row>
    <row r="122" spans="1:12" x14ac:dyDescent="0.3">
      <c r="A122" t="s">
        <v>27</v>
      </c>
      <c r="B122" t="s">
        <v>148</v>
      </c>
      <c r="C122" t="s">
        <v>149</v>
      </c>
      <c r="D122">
        <f>_xlfn.XLOOKUP(B122,'3.屠宰能力表'!B:B,'3.屠宰能力表'!E:E)</f>
        <v>3200</v>
      </c>
      <c r="E122">
        <f>_xlfn.XLOOKUP(B122,'4.分割能力表'!B:B,'4.分割能力表'!D:D)</f>
        <v>960</v>
      </c>
      <c r="F122">
        <f>_xlfn.XLOOKUP(B122,'4.分割能力表'!B:B,'4.分割能力表'!E:E)</f>
        <v>60000</v>
      </c>
      <c r="G122" t="s">
        <v>100</v>
      </c>
      <c r="H122"/>
      <c r="J122">
        <f t="shared" si="11"/>
        <v>1280.32955330441</v>
      </c>
    </row>
    <row r="123" spans="1:12" x14ac:dyDescent="0.3">
      <c r="A123" t="s">
        <v>27</v>
      </c>
      <c r="B123" t="s">
        <v>148</v>
      </c>
      <c r="C123" t="s">
        <v>149</v>
      </c>
      <c r="D123">
        <f>_xlfn.XLOOKUP(B123,'3.屠宰能力表'!B:B,'3.屠宰能力表'!E:E)</f>
        <v>3200</v>
      </c>
      <c r="E123">
        <f>_xlfn.XLOOKUP(B123,'4.分割能力表'!B:B,'4.分割能力表'!D:D)</f>
        <v>960</v>
      </c>
      <c r="F123">
        <f>_xlfn.XLOOKUP(B123,'4.分割能力表'!B:B,'4.分割能力表'!E:E)</f>
        <v>60000</v>
      </c>
      <c r="G123" t="s">
        <v>101</v>
      </c>
      <c r="H123"/>
      <c r="J123">
        <f t="shared" si="11"/>
        <v>12463.2659808302</v>
      </c>
    </row>
    <row r="124" spans="1:12" x14ac:dyDescent="0.3">
      <c r="A124" t="s">
        <v>27</v>
      </c>
      <c r="B124" t="s">
        <v>148</v>
      </c>
      <c r="C124" t="s">
        <v>149</v>
      </c>
      <c r="D124">
        <f>_xlfn.XLOOKUP(B124,'3.屠宰能力表'!B:B,'3.屠宰能力表'!E:E)</f>
        <v>3200</v>
      </c>
      <c r="E124">
        <f>_xlfn.XLOOKUP(B124,'4.分割能力表'!B:B,'4.分割能力表'!D:D)</f>
        <v>960</v>
      </c>
      <c r="F124">
        <f>_xlfn.XLOOKUP(B124,'4.分割能力表'!B:B,'4.分割能力表'!E:E)</f>
        <v>60000</v>
      </c>
      <c r="G124" t="s">
        <v>102</v>
      </c>
      <c r="H124"/>
      <c r="J124">
        <f t="shared" si="11"/>
        <v>9710.7572628296493</v>
      </c>
    </row>
    <row r="125" spans="1:12" x14ac:dyDescent="0.3">
      <c r="A125" t="s">
        <v>27</v>
      </c>
      <c r="B125" t="s">
        <v>148</v>
      </c>
      <c r="C125" t="s">
        <v>149</v>
      </c>
      <c r="D125">
        <f>_xlfn.XLOOKUP(B125,'3.屠宰能力表'!B:B,'3.屠宰能力表'!E:E)</f>
        <v>3200</v>
      </c>
      <c r="E125">
        <f>_xlfn.XLOOKUP(B125,'4.分割能力表'!B:B,'4.分割能力表'!D:D)</f>
        <v>960</v>
      </c>
      <c r="F125">
        <f>_xlfn.XLOOKUP(B125,'4.分割能力表'!B:B,'4.分割能力表'!E:E)</f>
        <v>60000</v>
      </c>
      <c r="G125" s="2" t="s">
        <v>103</v>
      </c>
      <c r="H125"/>
      <c r="J125">
        <f t="shared" si="11"/>
        <v>2218.8323154482</v>
      </c>
    </row>
    <row r="126" spans="1:12" x14ac:dyDescent="0.3">
      <c r="A126" t="s">
        <v>27</v>
      </c>
      <c r="B126" t="s">
        <v>148</v>
      </c>
      <c r="C126" t="s">
        <v>149</v>
      </c>
      <c r="D126">
        <f>_xlfn.XLOOKUP(B126,'3.屠宰能力表'!B:B,'3.屠宰能力表'!E:E)</f>
        <v>3200</v>
      </c>
      <c r="E126">
        <f>_xlfn.XLOOKUP(B126,'4.分割能力表'!B:B,'4.分割能力表'!D:D)</f>
        <v>960</v>
      </c>
      <c r="F126">
        <f>_xlfn.XLOOKUP(B126,'4.分割能力表'!B:B,'4.分割能力表'!E:E)</f>
        <v>60000</v>
      </c>
      <c r="G126" s="2" t="s">
        <v>104</v>
      </c>
      <c r="H126"/>
      <c r="J126">
        <f t="shared" ref="J126:J133" si="12">IFERROR(INDEX($L:$L,MATCH(SUBSTITUTE(G126,"-冷冻",""),$G:$G,0)),"")</f>
        <v>3131.6092650717901</v>
      </c>
    </row>
    <row r="127" spans="1:12" x14ac:dyDescent="0.3">
      <c r="A127" t="s">
        <v>27</v>
      </c>
      <c r="B127" t="s">
        <v>148</v>
      </c>
      <c r="C127" t="s">
        <v>149</v>
      </c>
      <c r="D127">
        <f>_xlfn.XLOOKUP(B127,'3.屠宰能力表'!B:B,'3.屠宰能力表'!E:E)</f>
        <v>3200</v>
      </c>
      <c r="E127">
        <f>_xlfn.XLOOKUP(B127,'4.分割能力表'!B:B,'4.分割能力表'!D:D)</f>
        <v>960</v>
      </c>
      <c r="F127">
        <f>_xlfn.XLOOKUP(B127,'4.分割能力表'!B:B,'4.分割能力表'!E:E)</f>
        <v>60000</v>
      </c>
      <c r="G127" t="s">
        <v>105</v>
      </c>
      <c r="H127"/>
      <c r="J127">
        <f t="shared" si="12"/>
        <v>6973.9269990807697</v>
      </c>
    </row>
    <row r="128" spans="1:12" x14ac:dyDescent="0.3">
      <c r="A128" t="s">
        <v>27</v>
      </c>
      <c r="B128" t="s">
        <v>148</v>
      </c>
      <c r="C128" t="s">
        <v>149</v>
      </c>
      <c r="D128">
        <f>_xlfn.XLOOKUP(B128,'3.屠宰能力表'!B:B,'3.屠宰能力表'!E:E)</f>
        <v>3200</v>
      </c>
      <c r="E128">
        <f>_xlfn.XLOOKUP(B128,'4.分割能力表'!B:B,'4.分割能力表'!D:D)</f>
        <v>960</v>
      </c>
      <c r="F128">
        <f>_xlfn.XLOOKUP(B128,'4.分割能力表'!B:B,'4.分割能力表'!E:E)</f>
        <v>60000</v>
      </c>
      <c r="G128" t="s">
        <v>108</v>
      </c>
      <c r="H128"/>
      <c r="J128">
        <f t="shared" si="12"/>
        <v>1497.5196992639701</v>
      </c>
    </row>
    <row r="129" spans="1:11" x14ac:dyDescent="0.3">
      <c r="A129" t="s">
        <v>27</v>
      </c>
      <c r="B129" t="s">
        <v>148</v>
      </c>
      <c r="C129" t="s">
        <v>149</v>
      </c>
      <c r="D129">
        <f>_xlfn.XLOOKUP(B129,'3.屠宰能力表'!B:B,'3.屠宰能力表'!E:E)</f>
        <v>3200</v>
      </c>
      <c r="E129">
        <f>_xlfn.XLOOKUP(B129,'4.分割能力表'!B:B,'4.分割能力表'!D:D)</f>
        <v>960</v>
      </c>
      <c r="F129">
        <f>_xlfn.XLOOKUP(B129,'4.分割能力表'!B:B,'4.分割能力表'!E:E)</f>
        <v>60000</v>
      </c>
      <c r="G129" t="s">
        <v>115</v>
      </c>
      <c r="H129"/>
      <c r="J129">
        <f t="shared" si="12"/>
        <v>1173.5236398397201</v>
      </c>
    </row>
    <row r="130" spans="1:11" x14ac:dyDescent="0.3">
      <c r="A130" t="s">
        <v>27</v>
      </c>
      <c r="B130" t="s">
        <v>148</v>
      </c>
      <c r="C130" t="s">
        <v>149</v>
      </c>
      <c r="D130">
        <f>_xlfn.XLOOKUP(B130,'3.屠宰能力表'!B:B,'3.屠宰能力表'!E:E)</f>
        <v>3200</v>
      </c>
      <c r="E130">
        <f>_xlfn.XLOOKUP(B130,'4.分割能力表'!B:B,'4.分割能力表'!D:D)</f>
        <v>960</v>
      </c>
      <c r="F130">
        <f>_xlfn.XLOOKUP(B130,'4.分割能力表'!B:B,'4.分割能力表'!E:E)</f>
        <v>60000</v>
      </c>
      <c r="G130" t="s">
        <v>116</v>
      </c>
      <c r="H130"/>
      <c r="J130">
        <f t="shared" si="12"/>
        <v>3250.7020781405799</v>
      </c>
    </row>
    <row r="131" spans="1:11" x14ac:dyDescent="0.3">
      <c r="A131" t="s">
        <v>27</v>
      </c>
      <c r="B131" t="s">
        <v>148</v>
      </c>
      <c r="C131" t="s">
        <v>149</v>
      </c>
      <c r="D131">
        <f>_xlfn.XLOOKUP(B131,'3.屠宰能力表'!B:B,'3.屠宰能力表'!E:E)</f>
        <v>3200</v>
      </c>
      <c r="E131">
        <f>_xlfn.XLOOKUP(B131,'4.分割能力表'!B:B,'4.分割能力表'!D:D)</f>
        <v>960</v>
      </c>
      <c r="F131">
        <f>_xlfn.XLOOKUP(B131,'4.分割能力表'!B:B,'4.分割能力表'!E:E)</f>
        <v>60000</v>
      </c>
      <c r="G131" t="s">
        <v>117</v>
      </c>
      <c r="H131"/>
      <c r="J131">
        <f t="shared" si="12"/>
        <v>2460.25649987418</v>
      </c>
    </row>
    <row r="132" spans="1:11" x14ac:dyDescent="0.3">
      <c r="A132" t="s">
        <v>27</v>
      </c>
      <c r="B132" t="s">
        <v>148</v>
      </c>
      <c r="C132" t="s">
        <v>149</v>
      </c>
      <c r="D132">
        <f>_xlfn.XLOOKUP(B132,'3.屠宰能力表'!B:B,'3.屠宰能力表'!E:E)</f>
        <v>3200</v>
      </c>
      <c r="E132">
        <f>_xlfn.XLOOKUP(B132,'4.分割能力表'!B:B,'4.分割能力表'!D:D)</f>
        <v>960</v>
      </c>
      <c r="F132">
        <f>_xlfn.XLOOKUP(B132,'4.分割能力表'!B:B,'4.分割能力表'!E:E)</f>
        <v>60000</v>
      </c>
      <c r="G132" t="s">
        <v>120</v>
      </c>
      <c r="H132"/>
      <c r="J132">
        <f t="shared" si="12"/>
        <v>2083.14252302766</v>
      </c>
    </row>
    <row r="133" spans="1:11" x14ac:dyDescent="0.3">
      <c r="A133" t="s">
        <v>27</v>
      </c>
      <c r="B133" t="s">
        <v>148</v>
      </c>
      <c r="C133" t="s">
        <v>149</v>
      </c>
      <c r="D133">
        <f>_xlfn.XLOOKUP(B133,'3.屠宰能力表'!B:B,'3.屠宰能力表'!E:E)</f>
        <v>3200</v>
      </c>
      <c r="E133">
        <f>_xlfn.XLOOKUP(B133,'4.分割能力表'!B:B,'4.分割能力表'!D:D)</f>
        <v>960</v>
      </c>
      <c r="F133">
        <f>_xlfn.XLOOKUP(B133,'4.分割能力表'!B:B,'4.分割能力表'!E:E)</f>
        <v>60000</v>
      </c>
      <c r="G133" t="s">
        <v>131</v>
      </c>
      <c r="H133"/>
      <c r="J133">
        <f t="shared" si="12"/>
        <v>2102.8145852457801</v>
      </c>
    </row>
    <row r="134" spans="1:11" x14ac:dyDescent="0.3">
      <c r="A134" t="s">
        <v>20</v>
      </c>
      <c r="B134" t="s">
        <v>150</v>
      </c>
      <c r="C134" t="s">
        <v>151</v>
      </c>
      <c r="D134">
        <f>_xlfn.XLOOKUP(B134,'3.屠宰能力表'!B:B,'3.屠宰能力表'!E:E)</f>
        <v>3200</v>
      </c>
      <c r="E134">
        <f>_xlfn.XLOOKUP(B134,'4.分割能力表'!B:B,'4.分割能力表'!D:D)</f>
        <v>1600</v>
      </c>
      <c r="F134">
        <f>_xlfn.XLOOKUP(B134,'4.分割能力表'!B:B,'4.分割能力表'!E:E)</f>
        <v>72000</v>
      </c>
      <c r="G134" t="s">
        <v>41</v>
      </c>
      <c r="H134">
        <f>_xlfn.XLOOKUP(G134,系数辅助表!$C:$C,系数辅助表!$D:$D)</f>
        <v>0.71499999999999997</v>
      </c>
      <c r="J134">
        <f>(D134-E134)*H134*$D$1</f>
        <v>137280</v>
      </c>
      <c r="K134">
        <f>J134-L134</f>
        <v>137280</v>
      </c>
    </row>
    <row r="135" spans="1:11" x14ac:dyDescent="0.3">
      <c r="A135" t="s">
        <v>20</v>
      </c>
      <c r="B135" t="s">
        <v>150</v>
      </c>
      <c r="C135" t="s">
        <v>151</v>
      </c>
      <c r="D135">
        <f>_xlfn.XLOOKUP(B135,'3.屠宰能力表'!B:B,'3.屠宰能力表'!E:E)</f>
        <v>3200</v>
      </c>
      <c r="E135">
        <f>_xlfn.XLOOKUP(B135,'4.分割能力表'!B:B,'4.分割能力表'!D:D)</f>
        <v>1600</v>
      </c>
      <c r="F135">
        <f>_xlfn.XLOOKUP(B135,'4.分割能力表'!B:B,'4.分割能力表'!E:E)</f>
        <v>72000</v>
      </c>
      <c r="G135" t="s">
        <v>44</v>
      </c>
      <c r="H135">
        <f>_xlfn.XLOOKUP(G135,系数辅助表!$C:$C,系数辅助表!$D:$D)</f>
        <v>4.3342237679380002E-2</v>
      </c>
      <c r="J135">
        <f>$D135*H135*$D$1</f>
        <v>16643.419268881898</v>
      </c>
      <c r="K135">
        <f t="shared" ref="K135:K182" si="13">J135-L135</f>
        <v>16643.419268881898</v>
      </c>
    </row>
    <row r="136" spans="1:11" x14ac:dyDescent="0.3">
      <c r="A136" t="s">
        <v>20</v>
      </c>
      <c r="B136" t="s">
        <v>150</v>
      </c>
      <c r="C136" t="s">
        <v>151</v>
      </c>
      <c r="D136">
        <f>_xlfn.XLOOKUP(B136,'3.屠宰能力表'!B:B,'3.屠宰能力表'!E:E)</f>
        <v>3200</v>
      </c>
      <c r="E136">
        <f>_xlfn.XLOOKUP(B136,'4.分割能力表'!B:B,'4.分割能力表'!D:D)</f>
        <v>1600</v>
      </c>
      <c r="F136">
        <f>_xlfn.XLOOKUP(B136,'4.分割能力表'!B:B,'4.分割能力表'!E:E)</f>
        <v>72000</v>
      </c>
      <c r="G136" t="s">
        <v>46</v>
      </c>
      <c r="H136">
        <f>_xlfn.XLOOKUP(G136,系数辅助表!$C:$C,系数辅助表!$D:$D)</f>
        <v>3.2562132013653599E-4</v>
      </c>
      <c r="J136">
        <f t="shared" ref="J136:J156" si="14">$D136*H136*$D$1</f>
        <v>125.03858693242999</v>
      </c>
      <c r="K136">
        <f t="shared" si="13"/>
        <v>125.03858693242999</v>
      </c>
    </row>
    <row r="137" spans="1:11" x14ac:dyDescent="0.3">
      <c r="A137" t="s">
        <v>20</v>
      </c>
      <c r="B137" t="s">
        <v>150</v>
      </c>
      <c r="C137" t="s">
        <v>151</v>
      </c>
      <c r="D137">
        <f>_xlfn.XLOOKUP(B137,'3.屠宰能力表'!B:B,'3.屠宰能力表'!E:E)</f>
        <v>3200</v>
      </c>
      <c r="E137">
        <f>_xlfn.XLOOKUP(B137,'4.分割能力表'!B:B,'4.分割能力表'!D:D)</f>
        <v>1600</v>
      </c>
      <c r="F137">
        <f>_xlfn.XLOOKUP(B137,'4.分割能力表'!B:B,'4.分割能力表'!E:E)</f>
        <v>72000</v>
      </c>
      <c r="G137" t="s">
        <v>47</v>
      </c>
      <c r="H137">
        <f>_xlfn.XLOOKUP(G137,系数辅助表!$C:$C,系数辅助表!$D:$D)</f>
        <v>3.0632398515360198E-3</v>
      </c>
      <c r="J137">
        <f t="shared" si="14"/>
        <v>1176.28410298983</v>
      </c>
      <c r="K137">
        <f t="shared" si="13"/>
        <v>1176.28410298983</v>
      </c>
    </row>
    <row r="138" spans="1:11" x14ac:dyDescent="0.3">
      <c r="A138" t="s">
        <v>20</v>
      </c>
      <c r="B138" t="s">
        <v>150</v>
      </c>
      <c r="C138" t="s">
        <v>151</v>
      </c>
      <c r="D138">
        <f>_xlfn.XLOOKUP(B138,'3.屠宰能力表'!B:B,'3.屠宰能力表'!E:E)</f>
        <v>3200</v>
      </c>
      <c r="E138">
        <f>_xlfn.XLOOKUP(B138,'4.分割能力表'!B:B,'4.分割能力表'!D:D)</f>
        <v>1600</v>
      </c>
      <c r="F138">
        <f>_xlfn.XLOOKUP(B138,'4.分割能力表'!B:B,'4.分割能力表'!E:E)</f>
        <v>72000</v>
      </c>
      <c r="G138" t="s">
        <v>48</v>
      </c>
      <c r="H138">
        <f>_xlfn.XLOOKUP(G138,系数辅助表!$C:$C,系数辅助表!$D:$D)</f>
        <v>1.5822796716383002E-2</v>
      </c>
      <c r="J138">
        <f t="shared" si="14"/>
        <v>6075.9539390910704</v>
      </c>
      <c r="K138">
        <f t="shared" si="13"/>
        <v>6075.9539390910704</v>
      </c>
    </row>
    <row r="139" spans="1:11" x14ac:dyDescent="0.3">
      <c r="A139" t="s">
        <v>20</v>
      </c>
      <c r="B139" t="s">
        <v>150</v>
      </c>
      <c r="C139" t="s">
        <v>151</v>
      </c>
      <c r="D139">
        <f>_xlfn.XLOOKUP(B139,'3.屠宰能力表'!B:B,'3.屠宰能力表'!E:E)</f>
        <v>3200</v>
      </c>
      <c r="E139">
        <f>_xlfn.XLOOKUP(B139,'4.分割能力表'!B:B,'4.分割能力表'!D:D)</f>
        <v>1600</v>
      </c>
      <c r="F139">
        <f>_xlfn.XLOOKUP(B139,'4.分割能力表'!B:B,'4.分割能力表'!E:E)</f>
        <v>72000</v>
      </c>
      <c r="G139" t="s">
        <v>49</v>
      </c>
      <c r="H139">
        <f>_xlfn.XLOOKUP(G139,系数辅助表!$C:$C,系数辅助表!$D:$D)</f>
        <v>3.0934025412970799E-3</v>
      </c>
      <c r="J139">
        <f t="shared" si="14"/>
        <v>1187.8665758580801</v>
      </c>
      <c r="K139">
        <f t="shared" si="13"/>
        <v>1187.8665758580801</v>
      </c>
    </row>
    <row r="140" spans="1:11" x14ac:dyDescent="0.3">
      <c r="A140" t="s">
        <v>20</v>
      </c>
      <c r="B140" t="s">
        <v>150</v>
      </c>
      <c r="C140" t="s">
        <v>151</v>
      </c>
      <c r="D140">
        <f>_xlfn.XLOOKUP(B140,'3.屠宰能力表'!B:B,'3.屠宰能力表'!E:E)</f>
        <v>3200</v>
      </c>
      <c r="E140">
        <f>_xlfn.XLOOKUP(B140,'4.分割能力表'!B:B,'4.分割能力表'!D:D)</f>
        <v>1600</v>
      </c>
      <c r="F140">
        <f>_xlfn.XLOOKUP(B140,'4.分割能力表'!B:B,'4.分割能力表'!E:E)</f>
        <v>72000</v>
      </c>
      <c r="G140" t="s">
        <v>50</v>
      </c>
      <c r="H140">
        <f>_xlfn.XLOOKUP(G140,系数辅助表!$C:$C,系数辅助表!$D:$D)</f>
        <v>1.08247988845052E-2</v>
      </c>
      <c r="J140">
        <f t="shared" si="14"/>
        <v>4156.7227716500001</v>
      </c>
      <c r="K140">
        <f t="shared" si="13"/>
        <v>4156.7227716500001</v>
      </c>
    </row>
    <row r="141" spans="1:11" x14ac:dyDescent="0.3">
      <c r="A141" t="s">
        <v>20</v>
      </c>
      <c r="B141" t="s">
        <v>150</v>
      </c>
      <c r="C141" t="s">
        <v>151</v>
      </c>
      <c r="D141">
        <f>_xlfn.XLOOKUP(B141,'3.屠宰能力表'!B:B,'3.屠宰能力表'!E:E)</f>
        <v>3200</v>
      </c>
      <c r="E141">
        <f>_xlfn.XLOOKUP(B141,'4.分割能力表'!B:B,'4.分割能力表'!D:D)</f>
        <v>1600</v>
      </c>
      <c r="F141">
        <f>_xlfn.XLOOKUP(B141,'4.分割能力表'!B:B,'4.分割能力表'!E:E)</f>
        <v>72000</v>
      </c>
      <c r="G141" t="s">
        <v>51</v>
      </c>
      <c r="H141">
        <f>_xlfn.XLOOKUP(G141,系数辅助表!$C:$C,系数辅助表!$D:$D)</f>
        <v>4.9657251320821601E-3</v>
      </c>
      <c r="J141">
        <f t="shared" si="14"/>
        <v>1906.8384507195501</v>
      </c>
      <c r="K141">
        <f t="shared" si="13"/>
        <v>1906.8384507195501</v>
      </c>
    </row>
    <row r="142" spans="1:11" x14ac:dyDescent="0.3">
      <c r="A142" t="s">
        <v>20</v>
      </c>
      <c r="B142" t="s">
        <v>150</v>
      </c>
      <c r="C142" t="s">
        <v>151</v>
      </c>
      <c r="D142">
        <f>_xlfn.XLOOKUP(B142,'3.屠宰能力表'!B:B,'3.屠宰能力表'!E:E)</f>
        <v>3200</v>
      </c>
      <c r="E142">
        <f>_xlfn.XLOOKUP(B142,'4.分割能力表'!B:B,'4.分割能力表'!D:D)</f>
        <v>1600</v>
      </c>
      <c r="F142">
        <f>_xlfn.XLOOKUP(B142,'4.分割能力表'!B:B,'4.分割能力表'!E:E)</f>
        <v>72000</v>
      </c>
      <c r="G142" t="s">
        <v>52</v>
      </c>
      <c r="H142">
        <f>_xlfn.XLOOKUP(G142,系数辅助表!$C:$C,系数辅助表!$D:$D)</f>
        <v>4.1516718317408203E-3</v>
      </c>
      <c r="J142">
        <f t="shared" si="14"/>
        <v>1594.2419833884701</v>
      </c>
      <c r="K142">
        <f t="shared" si="13"/>
        <v>1594.2419833884701</v>
      </c>
    </row>
    <row r="143" spans="1:11" x14ac:dyDescent="0.3">
      <c r="A143" t="s">
        <v>20</v>
      </c>
      <c r="B143" t="s">
        <v>150</v>
      </c>
      <c r="C143" t="s">
        <v>151</v>
      </c>
      <c r="D143">
        <f>_xlfn.XLOOKUP(B143,'3.屠宰能力表'!B:B,'3.屠宰能力表'!E:E)</f>
        <v>3200</v>
      </c>
      <c r="E143">
        <f>_xlfn.XLOOKUP(B143,'4.分割能力表'!B:B,'4.分割能力表'!D:D)</f>
        <v>1600</v>
      </c>
      <c r="F143">
        <f>_xlfn.XLOOKUP(B143,'4.分割能力表'!B:B,'4.分割能力表'!E:E)</f>
        <v>72000</v>
      </c>
      <c r="G143" t="s">
        <v>53</v>
      </c>
      <c r="H143">
        <f>_xlfn.XLOOKUP(G143,系数辅助表!$C:$C,系数辅助表!$D:$D)</f>
        <v>3.6632398515360201E-3</v>
      </c>
      <c r="J143">
        <f t="shared" si="14"/>
        <v>1406.6841029898301</v>
      </c>
      <c r="K143">
        <f t="shared" si="13"/>
        <v>1406.6841029898301</v>
      </c>
    </row>
    <row r="144" spans="1:11" x14ac:dyDescent="0.3">
      <c r="A144" t="s">
        <v>20</v>
      </c>
      <c r="B144" t="s">
        <v>150</v>
      </c>
      <c r="C144" t="s">
        <v>151</v>
      </c>
      <c r="D144">
        <f>_xlfn.XLOOKUP(B144,'3.屠宰能力表'!B:B,'3.屠宰能力表'!E:E)</f>
        <v>3200</v>
      </c>
      <c r="E144">
        <f>_xlfn.XLOOKUP(B144,'4.分割能力表'!B:B,'4.分割能力表'!D:D)</f>
        <v>1600</v>
      </c>
      <c r="F144">
        <f>_xlfn.XLOOKUP(B144,'4.分割能力表'!B:B,'4.分割能力表'!E:E)</f>
        <v>72000</v>
      </c>
      <c r="G144" t="s">
        <v>54</v>
      </c>
      <c r="H144">
        <f>_xlfn.XLOOKUP(G144,系数辅助表!$C:$C,系数辅助表!$D:$D)</f>
        <v>2.68637589112642E-3</v>
      </c>
      <c r="J144">
        <f t="shared" si="14"/>
        <v>1031.5683421925501</v>
      </c>
      <c r="K144">
        <f t="shared" si="13"/>
        <v>1031.5683421925501</v>
      </c>
    </row>
    <row r="145" spans="1:12" x14ac:dyDescent="0.3">
      <c r="A145" t="s">
        <v>20</v>
      </c>
      <c r="B145" t="s">
        <v>150</v>
      </c>
      <c r="C145" t="s">
        <v>151</v>
      </c>
      <c r="D145">
        <f>_xlfn.XLOOKUP(B145,'3.屠宰能力表'!B:B,'3.屠宰能力表'!E:E)</f>
        <v>3200</v>
      </c>
      <c r="E145">
        <f>_xlfn.XLOOKUP(B145,'4.分割能力表'!B:B,'4.分割能力表'!D:D)</f>
        <v>1600</v>
      </c>
      <c r="F145">
        <f>_xlfn.XLOOKUP(B145,'4.分割能力表'!B:B,'4.分割能力表'!E:E)</f>
        <v>72000</v>
      </c>
      <c r="G145" t="s">
        <v>55</v>
      </c>
      <c r="H145">
        <f>_xlfn.XLOOKUP(G145,系数辅助表!$C:$C,系数辅助表!$D:$D)</f>
        <v>2.9015761200285397E-4</v>
      </c>
      <c r="J145">
        <f t="shared" si="14"/>
        <v>111.420523009096</v>
      </c>
      <c r="K145">
        <f t="shared" si="13"/>
        <v>111.420523009096</v>
      </c>
    </row>
    <row r="146" spans="1:12" x14ac:dyDescent="0.3">
      <c r="A146" t="s">
        <v>20</v>
      </c>
      <c r="B146" t="s">
        <v>150</v>
      </c>
      <c r="C146" t="s">
        <v>151</v>
      </c>
      <c r="D146">
        <f>_xlfn.XLOOKUP(B146,'3.屠宰能力表'!B:B,'3.屠宰能力表'!E:E)</f>
        <v>3200</v>
      </c>
      <c r="E146">
        <f>_xlfn.XLOOKUP(B146,'4.分割能力表'!B:B,'4.分割能力表'!D:D)</f>
        <v>1600</v>
      </c>
      <c r="F146">
        <f>_xlfn.XLOOKUP(B146,'4.分割能力表'!B:B,'4.分割能力表'!E:E)</f>
        <v>72000</v>
      </c>
      <c r="G146" t="s">
        <v>57</v>
      </c>
      <c r="H146">
        <f>_xlfn.XLOOKUP(G146,系数辅助表!$C:$C,系数辅助表!$D:$D)</f>
        <v>1.0245932755973399E-2</v>
      </c>
      <c r="J146">
        <f t="shared" si="14"/>
        <v>3934.4381782937899</v>
      </c>
      <c r="K146">
        <f t="shared" si="13"/>
        <v>3934.4381782937899</v>
      </c>
    </row>
    <row r="147" spans="1:12" x14ac:dyDescent="0.3">
      <c r="A147" t="s">
        <v>20</v>
      </c>
      <c r="B147" t="s">
        <v>150</v>
      </c>
      <c r="C147" t="s">
        <v>151</v>
      </c>
      <c r="D147">
        <f>_xlfn.XLOOKUP(B147,'3.屠宰能力表'!B:B,'3.屠宰能力表'!E:E)</f>
        <v>3200</v>
      </c>
      <c r="E147">
        <f>_xlfn.XLOOKUP(B147,'4.分割能力表'!B:B,'4.分割能力表'!D:D)</f>
        <v>1600</v>
      </c>
      <c r="F147">
        <f>_xlfn.XLOOKUP(B147,'4.分割能力表'!B:B,'4.分割能力表'!E:E)</f>
        <v>72000</v>
      </c>
      <c r="G147" t="s">
        <v>58</v>
      </c>
      <c r="H147">
        <f>_xlfn.XLOOKUP(G147,系数辅助表!$C:$C,系数辅助表!$D:$D)</f>
        <v>1.46005473500993E-2</v>
      </c>
      <c r="J147">
        <f t="shared" si="14"/>
        <v>5606.6101824381303</v>
      </c>
      <c r="K147">
        <f t="shared" si="13"/>
        <v>5606.6101824381303</v>
      </c>
    </row>
    <row r="148" spans="1:12" x14ac:dyDescent="0.3">
      <c r="A148" t="s">
        <v>20</v>
      </c>
      <c r="B148" t="s">
        <v>150</v>
      </c>
      <c r="C148" t="s">
        <v>151</v>
      </c>
      <c r="D148">
        <f>_xlfn.XLOOKUP(B148,'3.屠宰能力表'!B:B,'3.屠宰能力表'!E:E)</f>
        <v>3200</v>
      </c>
      <c r="E148">
        <f>_xlfn.XLOOKUP(B148,'4.分割能力表'!B:B,'4.分割能力表'!D:D)</f>
        <v>1600</v>
      </c>
      <c r="F148">
        <f>_xlfn.XLOOKUP(B148,'4.分割能力表'!B:B,'4.分割能力表'!E:E)</f>
        <v>72000</v>
      </c>
      <c r="G148" t="s">
        <v>59</v>
      </c>
      <c r="H148">
        <f>_xlfn.XLOOKUP(G148,系数辅助表!$C:$C,系数辅助表!$D:$D)</f>
        <v>1.4718794556320801E-2</v>
      </c>
      <c r="J148">
        <f t="shared" si="14"/>
        <v>5652.0171096271897</v>
      </c>
      <c r="K148">
        <f t="shared" si="13"/>
        <v>5652.0171096271897</v>
      </c>
    </row>
    <row r="149" spans="1:12" x14ac:dyDescent="0.3">
      <c r="A149" t="s">
        <v>20</v>
      </c>
      <c r="B149" t="s">
        <v>150</v>
      </c>
      <c r="C149" t="s">
        <v>151</v>
      </c>
      <c r="D149">
        <f>_xlfn.XLOOKUP(B149,'3.屠宰能力表'!B:B,'3.屠宰能力表'!E:E)</f>
        <v>3200</v>
      </c>
      <c r="E149">
        <f>_xlfn.XLOOKUP(B149,'4.分割能力表'!B:B,'4.分割能力表'!D:D)</f>
        <v>1600</v>
      </c>
      <c r="F149">
        <f>_xlfn.XLOOKUP(B149,'4.分割能力表'!B:B,'4.分割能力表'!E:E)</f>
        <v>72000</v>
      </c>
      <c r="G149" t="s">
        <v>60</v>
      </c>
      <c r="H149">
        <f>_xlfn.XLOOKUP(G149,系数辅助表!$C:$C,系数辅助表!$D:$D)</f>
        <v>6.8269088945398003E-3</v>
      </c>
      <c r="J149">
        <f t="shared" si="14"/>
        <v>2621.5330155032798</v>
      </c>
      <c r="K149">
        <f t="shared" si="13"/>
        <v>2621.5330155032798</v>
      </c>
    </row>
    <row r="150" spans="1:12" x14ac:dyDescent="0.3">
      <c r="A150" t="s">
        <v>20</v>
      </c>
      <c r="B150" t="s">
        <v>150</v>
      </c>
      <c r="C150" t="s">
        <v>151</v>
      </c>
      <c r="D150">
        <f>_xlfn.XLOOKUP(B150,'3.屠宰能力表'!B:B,'3.屠宰能力表'!E:E)</f>
        <v>3200</v>
      </c>
      <c r="E150">
        <f>_xlfn.XLOOKUP(B150,'4.分割能力表'!B:B,'4.分割能力表'!D:D)</f>
        <v>1600</v>
      </c>
      <c r="F150">
        <f>_xlfn.XLOOKUP(B150,'4.分割能力表'!B:B,'4.分割能力表'!E:E)</f>
        <v>72000</v>
      </c>
      <c r="G150" t="s">
        <v>61</v>
      </c>
      <c r="H150">
        <f>_xlfn.XLOOKUP(G150,系数辅助表!$C:$C,系数辅助表!$D:$D)</f>
        <v>7.8149116832768404E-3</v>
      </c>
      <c r="J150">
        <f t="shared" si="14"/>
        <v>3000.9260863783102</v>
      </c>
      <c r="K150">
        <f t="shared" si="13"/>
        <v>3000.9260863783102</v>
      </c>
    </row>
    <row r="151" spans="1:12" x14ac:dyDescent="0.3">
      <c r="A151" t="s">
        <v>20</v>
      </c>
      <c r="B151" t="s">
        <v>150</v>
      </c>
      <c r="C151" t="s">
        <v>151</v>
      </c>
      <c r="D151">
        <f>_xlfn.XLOOKUP(B151,'3.屠宰能力表'!B:B,'3.屠宰能力表'!E:E)</f>
        <v>3200</v>
      </c>
      <c r="E151">
        <f>_xlfn.XLOOKUP(B151,'4.分割能力表'!B:B,'4.分割能力表'!D:D)</f>
        <v>1600</v>
      </c>
      <c r="F151">
        <f>_xlfn.XLOOKUP(B151,'4.分割能力表'!B:B,'4.分割能力表'!E:E)</f>
        <v>72000</v>
      </c>
      <c r="G151" t="s">
        <v>62</v>
      </c>
      <c r="H151">
        <f>_xlfn.XLOOKUP(G151,系数辅助表!$C:$C,系数辅助表!$D:$D)</f>
        <v>7.3264797030720401E-3</v>
      </c>
      <c r="J151">
        <f t="shared" si="14"/>
        <v>2813.3682059796602</v>
      </c>
      <c r="K151">
        <f t="shared" si="13"/>
        <v>2813.3682059796602</v>
      </c>
    </row>
    <row r="152" spans="1:12" x14ac:dyDescent="0.3">
      <c r="A152" t="s">
        <v>20</v>
      </c>
      <c r="B152" t="s">
        <v>150</v>
      </c>
      <c r="C152" t="s">
        <v>151</v>
      </c>
      <c r="D152">
        <f>_xlfn.XLOOKUP(B152,'3.屠宰能力表'!B:B,'3.屠宰能力表'!E:E)</f>
        <v>3200</v>
      </c>
      <c r="E152">
        <f>_xlfn.XLOOKUP(B152,'4.分割能力表'!B:B,'4.分割能力表'!D:D)</f>
        <v>1600</v>
      </c>
      <c r="F152">
        <f>_xlfn.XLOOKUP(B152,'4.分割能力表'!B:B,'4.分割能力表'!E:E)</f>
        <v>72000</v>
      </c>
      <c r="G152" t="s">
        <v>63</v>
      </c>
      <c r="H152">
        <f>_xlfn.XLOOKUP(G152,系数辅助表!$C:$C,系数辅助表!$D:$D)</f>
        <v>6.1516718317408204E-3</v>
      </c>
      <c r="J152">
        <f t="shared" si="14"/>
        <v>2362.2419833884801</v>
      </c>
      <c r="K152">
        <f t="shared" si="13"/>
        <v>2362.2419833884801</v>
      </c>
    </row>
    <row r="153" spans="1:12" x14ac:dyDescent="0.3">
      <c r="A153" t="s">
        <v>20</v>
      </c>
      <c r="B153" t="s">
        <v>150</v>
      </c>
      <c r="C153" t="s">
        <v>151</v>
      </c>
      <c r="D153">
        <f>_xlfn.XLOOKUP(B153,'3.屠宰能力表'!B:B,'3.屠宰能力表'!E:E)</f>
        <v>3200</v>
      </c>
      <c r="E153">
        <f>_xlfn.XLOOKUP(B153,'4.分割能力表'!B:B,'4.分割能力表'!D:D)</f>
        <v>1600</v>
      </c>
      <c r="F153">
        <f>_xlfn.XLOOKUP(B153,'4.分割能力表'!B:B,'4.分割能力表'!E:E)</f>
        <v>72000</v>
      </c>
      <c r="G153" t="s">
        <v>64</v>
      </c>
      <c r="H153">
        <f>_xlfn.XLOOKUP(G153,系数辅助表!$C:$C,系数辅助表!$D:$D)</f>
        <v>1.0639112440104599E-3</v>
      </c>
      <c r="J153">
        <f t="shared" si="14"/>
        <v>408.541917700017</v>
      </c>
      <c r="K153">
        <f t="shared" si="13"/>
        <v>408.541917700017</v>
      </c>
    </row>
    <row r="154" spans="1:12" x14ac:dyDescent="0.3">
      <c r="A154" t="s">
        <v>20</v>
      </c>
      <c r="B154" t="s">
        <v>150</v>
      </c>
      <c r="C154" t="s">
        <v>151</v>
      </c>
      <c r="D154">
        <f>_xlfn.XLOOKUP(B154,'3.屠宰能力表'!B:B,'3.屠宰能力表'!E:E)</f>
        <v>3200</v>
      </c>
      <c r="E154">
        <f>_xlfn.XLOOKUP(B154,'4.分割能力表'!B:B,'4.分割能力表'!D:D)</f>
        <v>1600</v>
      </c>
      <c r="F154">
        <f>_xlfn.XLOOKUP(B154,'4.分割能力表'!B:B,'4.分割能力表'!E:E)</f>
        <v>72000</v>
      </c>
      <c r="G154" t="s">
        <v>65</v>
      </c>
      <c r="H154">
        <f>_xlfn.XLOOKUP(G154,系数辅助表!$C:$C,系数辅助表!$D:$D)</f>
        <v>4.8359602000475603E-4</v>
      </c>
      <c r="J154">
        <f t="shared" si="14"/>
        <v>185.70087168182599</v>
      </c>
      <c r="K154">
        <f t="shared" si="13"/>
        <v>185.70087168182599</v>
      </c>
    </row>
    <row r="155" spans="1:12" x14ac:dyDescent="0.3">
      <c r="A155" t="s">
        <v>20</v>
      </c>
      <c r="B155" t="s">
        <v>150</v>
      </c>
      <c r="C155" t="s">
        <v>151</v>
      </c>
      <c r="D155">
        <f>_xlfn.XLOOKUP(B155,'3.屠宰能力表'!B:B,'3.屠宰能力表'!E:E)</f>
        <v>3200</v>
      </c>
      <c r="E155">
        <f>_xlfn.XLOOKUP(B155,'4.分割能力表'!B:B,'4.分割能力表'!D:D)</f>
        <v>1600</v>
      </c>
      <c r="F155">
        <f>_xlfn.XLOOKUP(B155,'4.分割能力表'!B:B,'4.分割能力表'!E:E)</f>
        <v>72000</v>
      </c>
      <c r="G155" t="s">
        <v>66</v>
      </c>
      <c r="H155">
        <f>_xlfn.XLOOKUP(G155,系数辅助表!$C:$C,系数辅助表!$D:$D)</f>
        <v>1.70951193071681E-3</v>
      </c>
      <c r="J155">
        <f t="shared" si="14"/>
        <v>656.45258139525504</v>
      </c>
      <c r="K155">
        <f t="shared" si="13"/>
        <v>656.45258139525504</v>
      </c>
    </row>
    <row r="156" spans="1:12" x14ac:dyDescent="0.3">
      <c r="A156" t="s">
        <v>20</v>
      </c>
      <c r="B156" t="s">
        <v>150</v>
      </c>
      <c r="C156" t="s">
        <v>151</v>
      </c>
      <c r="D156">
        <f>_xlfn.XLOOKUP(B156,'3.屠宰能力表'!B:B,'3.屠宰能力表'!E:E)</f>
        <v>3200</v>
      </c>
      <c r="E156">
        <f>_xlfn.XLOOKUP(B156,'4.分割能力表'!B:B,'4.分割能力表'!D:D)</f>
        <v>1600</v>
      </c>
      <c r="F156">
        <f>_xlfn.XLOOKUP(B156,'4.分割能力表'!B:B,'4.分割能力表'!E:E)</f>
        <v>72000</v>
      </c>
      <c r="G156" t="s">
        <v>67</v>
      </c>
      <c r="H156">
        <f>_xlfn.XLOOKUP(G156,系数辅助表!$C:$C,系数辅助表!$D:$D)</f>
        <v>0.02</v>
      </c>
      <c r="J156">
        <f t="shared" si="14"/>
        <v>7680</v>
      </c>
      <c r="K156">
        <f t="shared" si="13"/>
        <v>7680</v>
      </c>
    </row>
    <row r="157" spans="1:12" x14ac:dyDescent="0.3">
      <c r="A157" t="s">
        <v>20</v>
      </c>
      <c r="B157" t="s">
        <v>150</v>
      </c>
      <c r="C157" t="s">
        <v>151</v>
      </c>
      <c r="D157">
        <f>_xlfn.XLOOKUP(B157,'3.屠宰能力表'!B:B,'3.屠宰能力表'!E:E)</f>
        <v>3200</v>
      </c>
      <c r="E157">
        <f>_xlfn.XLOOKUP(B157,'4.分割能力表'!B:B,'4.分割能力表'!D:D)</f>
        <v>1600</v>
      </c>
      <c r="F157">
        <f>_xlfn.XLOOKUP(B157,'4.分割能力表'!B:B,'4.分割能力表'!E:E)</f>
        <v>72000</v>
      </c>
      <c r="G157" t="s">
        <v>56</v>
      </c>
      <c r="H157">
        <f>_xlfn.XLOOKUP(G157,系数辅助表!$C:$C,系数辅助表!$D:$D)</f>
        <v>1.85007717386486E-2</v>
      </c>
      <c r="J157">
        <f t="shared" ref="J157:J165" si="15">$E157*H157*$D$1</f>
        <v>3552.1481738205298</v>
      </c>
      <c r="K157">
        <f t="shared" si="13"/>
        <v>1449.3335885747499</v>
      </c>
      <c r="L157">
        <v>2102.8145852457801</v>
      </c>
    </row>
    <row r="158" spans="1:12" x14ac:dyDescent="0.3">
      <c r="A158" t="s">
        <v>20</v>
      </c>
      <c r="B158" t="s">
        <v>150</v>
      </c>
      <c r="C158" t="s">
        <v>151</v>
      </c>
      <c r="D158">
        <f>_xlfn.XLOOKUP(B158,'3.屠宰能力表'!B:B,'3.屠宰能力表'!E:E)</f>
        <v>3200</v>
      </c>
      <c r="E158">
        <f>_xlfn.XLOOKUP(B158,'4.分割能力表'!B:B,'4.分割能力表'!D:D)</f>
        <v>1600</v>
      </c>
      <c r="F158">
        <f>_xlfn.XLOOKUP(B158,'4.分割能力表'!B:B,'4.分割能力表'!E:E)</f>
        <v>72000</v>
      </c>
      <c r="G158" t="s">
        <v>45</v>
      </c>
      <c r="H158">
        <f>_xlfn.XLOOKUP(G158,系数辅助表!$C:$C,系数辅助表!$D:$D)</f>
        <v>1.8327694979870301E-2</v>
      </c>
      <c r="J158">
        <f t="shared" si="15"/>
        <v>3518.9174361351002</v>
      </c>
      <c r="K158">
        <f t="shared" si="13"/>
        <v>1435.7749131074399</v>
      </c>
      <c r="L158">
        <v>2083.14252302766</v>
      </c>
    </row>
    <row r="159" spans="1:12" x14ac:dyDescent="0.3">
      <c r="A159" t="s">
        <v>20</v>
      </c>
      <c r="B159" t="s">
        <v>150</v>
      </c>
      <c r="C159" t="s">
        <v>151</v>
      </c>
      <c r="D159">
        <f>_xlfn.XLOOKUP(B159,'3.屠宰能力表'!B:B,'3.屠宰能力表'!E:E)</f>
        <v>3200</v>
      </c>
      <c r="E159">
        <f>_xlfn.XLOOKUP(B159,'4.分割能力表'!B:B,'4.分割能力表'!D:D)</f>
        <v>1600</v>
      </c>
      <c r="F159">
        <f>_xlfn.XLOOKUP(B159,'4.分割能力表'!B:B,'4.分割能力表'!E:E)</f>
        <v>72000</v>
      </c>
      <c r="G159" t="s">
        <v>68</v>
      </c>
      <c r="H159">
        <f>_xlfn.XLOOKUP(G159,系数辅助表!$C:$C,系数辅助表!$D:$D)</f>
        <v>9.7050751819787603E-2</v>
      </c>
      <c r="J159">
        <f t="shared" si="15"/>
        <v>18633.7443493992</v>
      </c>
      <c r="K159">
        <f t="shared" si="13"/>
        <v>9257.4989461881796</v>
      </c>
      <c r="L159">
        <v>9376.24540321104</v>
      </c>
    </row>
    <row r="160" spans="1:12" x14ac:dyDescent="0.3">
      <c r="A160" t="s">
        <v>20</v>
      </c>
      <c r="B160" t="s">
        <v>150</v>
      </c>
      <c r="C160" t="s">
        <v>151</v>
      </c>
      <c r="D160">
        <f>_xlfn.XLOOKUP(B160,'3.屠宰能力表'!B:B,'3.屠宰能力表'!E:E)</f>
        <v>3200</v>
      </c>
      <c r="E160">
        <f>_xlfn.XLOOKUP(B160,'4.分割能力表'!B:B,'4.分割能力表'!D:D)</f>
        <v>1600</v>
      </c>
      <c r="F160">
        <f>_xlfn.XLOOKUP(B160,'4.分割能力表'!B:B,'4.分割能力表'!E:E)</f>
        <v>72000</v>
      </c>
      <c r="G160" t="s">
        <v>70</v>
      </c>
      <c r="H160">
        <f>_xlfn.XLOOKUP(G160,系数辅助表!$C:$C,系数辅助表!$D:$D)</f>
        <v>4.6512517384561802E-2</v>
      </c>
      <c r="J160">
        <f t="shared" si="15"/>
        <v>8930.4033378358708</v>
      </c>
      <c r="K160">
        <f t="shared" si="13"/>
        <v>7275.7717960927403</v>
      </c>
      <c r="L160">
        <v>1654.6315417431299</v>
      </c>
    </row>
    <row r="161" spans="1:12" x14ac:dyDescent="0.3">
      <c r="A161" t="s">
        <v>20</v>
      </c>
      <c r="B161" t="s">
        <v>150</v>
      </c>
      <c r="C161" t="s">
        <v>151</v>
      </c>
      <c r="D161">
        <f>_xlfn.XLOOKUP(B161,'3.屠宰能力表'!B:B,'3.屠宰能力表'!E:E)</f>
        <v>3200</v>
      </c>
      <c r="E161">
        <f>_xlfn.XLOOKUP(B161,'4.分割能力表'!B:B,'4.分割能力表'!D:D)</f>
        <v>1600</v>
      </c>
      <c r="F161">
        <f>_xlfn.XLOOKUP(B161,'4.分割能力表'!B:B,'4.分割能力表'!E:E)</f>
        <v>72000</v>
      </c>
      <c r="G161" t="s">
        <v>71</v>
      </c>
      <c r="H161">
        <f>_xlfn.XLOOKUP(G161,系数辅助表!$C:$C,系数辅助表!$D:$D)</f>
        <v>2.8731737554939799E-2</v>
      </c>
      <c r="J161">
        <f t="shared" si="15"/>
        <v>5516.4936105484403</v>
      </c>
      <c r="K161">
        <f t="shared" si="13"/>
        <v>2250.8181217920601</v>
      </c>
      <c r="L161">
        <v>3265.6754887563802</v>
      </c>
    </row>
    <row r="162" spans="1:12" x14ac:dyDescent="0.3">
      <c r="A162" t="s">
        <v>20</v>
      </c>
      <c r="B162" t="s">
        <v>150</v>
      </c>
      <c r="C162" t="s">
        <v>151</v>
      </c>
      <c r="D162">
        <f>_xlfn.XLOOKUP(B162,'3.屠宰能力表'!B:B,'3.屠宰能力表'!E:E)</f>
        <v>3200</v>
      </c>
      <c r="E162">
        <f>_xlfn.XLOOKUP(B162,'4.分割能力表'!B:B,'4.分割能力表'!D:D)</f>
        <v>1600</v>
      </c>
      <c r="F162">
        <f>_xlfn.XLOOKUP(B162,'4.分割能力表'!B:B,'4.分割能力表'!E:E)</f>
        <v>72000</v>
      </c>
      <c r="G162" t="s">
        <v>72</v>
      </c>
      <c r="H162">
        <f>_xlfn.XLOOKUP(G162,系数辅助表!$C:$C,系数辅助表!$D:$D)</f>
        <v>2.9020999088867499E-2</v>
      </c>
      <c r="J162">
        <f t="shared" si="15"/>
        <v>5572.0318250625596</v>
      </c>
      <c r="K162">
        <f t="shared" si="13"/>
        <v>5572.0318250625596</v>
      </c>
      <c r="L162">
        <v>0</v>
      </c>
    </row>
    <row r="163" spans="1:12" x14ac:dyDescent="0.3">
      <c r="A163" t="s">
        <v>20</v>
      </c>
      <c r="B163" t="s">
        <v>150</v>
      </c>
      <c r="C163" t="s">
        <v>151</v>
      </c>
      <c r="D163">
        <f>_xlfn.XLOOKUP(B163,'3.屠宰能力表'!B:B,'3.屠宰能力表'!E:E)</f>
        <v>3200</v>
      </c>
      <c r="E163">
        <f>_xlfn.XLOOKUP(B163,'4.分割能力表'!B:B,'4.分割能力表'!D:D)</f>
        <v>1600</v>
      </c>
      <c r="F163">
        <f>_xlfn.XLOOKUP(B163,'4.分割能力表'!B:B,'4.分割能力表'!E:E)</f>
        <v>72000</v>
      </c>
      <c r="G163" t="s">
        <v>73</v>
      </c>
      <c r="H163">
        <f>_xlfn.XLOOKUP(G163,系数辅助表!$C:$C,系数辅助表!$D:$D)</f>
        <v>3.3890751204307498E-2</v>
      </c>
      <c r="J163">
        <f t="shared" si="15"/>
        <v>6507.0242312270402</v>
      </c>
      <c r="K163">
        <f t="shared" si="13"/>
        <v>1156.5826507070501</v>
      </c>
      <c r="L163">
        <v>5350.4415805199897</v>
      </c>
    </row>
    <row r="164" spans="1:12" x14ac:dyDescent="0.3">
      <c r="A164" t="s">
        <v>20</v>
      </c>
      <c r="B164" t="s">
        <v>150</v>
      </c>
      <c r="C164" t="s">
        <v>151</v>
      </c>
      <c r="D164">
        <f>_xlfn.XLOOKUP(B164,'3.屠宰能力表'!B:B,'3.屠宰能力表'!E:E)</f>
        <v>3200</v>
      </c>
      <c r="E164">
        <f>_xlfn.XLOOKUP(B164,'4.分割能力表'!B:B,'4.分割能力表'!D:D)</f>
        <v>1600</v>
      </c>
      <c r="F164">
        <f>_xlfn.XLOOKUP(B164,'4.分割能力表'!B:B,'4.分割能力表'!E:E)</f>
        <v>72000</v>
      </c>
      <c r="G164" t="s">
        <v>74</v>
      </c>
      <c r="H164">
        <f>_xlfn.XLOOKUP(G164,系数辅助表!$C:$C,系数辅助表!$D:$D)</f>
        <v>6.6683830901271496E-3</v>
      </c>
      <c r="J164">
        <f t="shared" si="15"/>
        <v>1280.32955330441</v>
      </c>
      <c r="K164" s="7">
        <f t="shared" si="13"/>
        <v>0</v>
      </c>
      <c r="L164" s="7">
        <f>J164</f>
        <v>1280.32955330441</v>
      </c>
    </row>
    <row r="165" spans="1:12" x14ac:dyDescent="0.3">
      <c r="A165" t="s">
        <v>20</v>
      </c>
      <c r="B165" t="s">
        <v>150</v>
      </c>
      <c r="C165" t="s">
        <v>151</v>
      </c>
      <c r="D165">
        <f>_xlfn.XLOOKUP(B165,'3.屠宰能力表'!B:B,'3.屠宰能力表'!E:E)</f>
        <v>3200</v>
      </c>
      <c r="E165">
        <f>_xlfn.XLOOKUP(B165,'4.分割能力表'!B:B,'4.分割能力表'!D:D)</f>
        <v>1600</v>
      </c>
      <c r="F165">
        <f>_xlfn.XLOOKUP(B165,'4.分割能力表'!B:B,'4.分割能力表'!E:E)</f>
        <v>72000</v>
      </c>
      <c r="G165" t="s">
        <v>75</v>
      </c>
      <c r="H165">
        <f>_xlfn.XLOOKUP(G165,系数辅助表!$C:$C,系数辅助表!$D:$D)</f>
        <v>7.3037535376360693E-2</v>
      </c>
      <c r="J165">
        <f t="shared" si="15"/>
        <v>14023.206792261301</v>
      </c>
      <c r="K165">
        <f t="shared" si="13"/>
        <v>1559.9408114311</v>
      </c>
      <c r="L165">
        <v>12463.2659808302</v>
      </c>
    </row>
    <row r="166" spans="1:12" x14ac:dyDescent="0.3">
      <c r="A166" t="s">
        <v>20</v>
      </c>
      <c r="B166" t="s">
        <v>150</v>
      </c>
      <c r="C166" t="s">
        <v>151</v>
      </c>
      <c r="D166">
        <f>_xlfn.XLOOKUP(B166,'3.屠宰能力表'!B:B,'3.屠宰能力表'!E:E)</f>
        <v>3200</v>
      </c>
      <c r="E166">
        <f>_xlfn.XLOOKUP(B166,'4.分割能力表'!B:B,'4.分割能力表'!D:D)</f>
        <v>1600</v>
      </c>
      <c r="F166">
        <f>_xlfn.XLOOKUP(B166,'4.分割能力表'!B:B,'4.分割能力表'!E:E)</f>
        <v>72000</v>
      </c>
      <c r="G166" t="s">
        <v>76</v>
      </c>
      <c r="H166">
        <f>_xlfn.XLOOKUP(G166,系数辅助表!$C:$C,系数辅助表!$D:$D)</f>
        <v>0.122051725196981</v>
      </c>
      <c r="J166">
        <f t="shared" ref="J166:J182" si="16">$E166*H166*$D$1</f>
        <v>23433.931237820401</v>
      </c>
      <c r="K166">
        <f t="shared" si="13"/>
        <v>13723.173974990699</v>
      </c>
      <c r="L166">
        <v>9710.7572628296493</v>
      </c>
    </row>
    <row r="167" spans="1:12" x14ac:dyDescent="0.3">
      <c r="A167" t="s">
        <v>20</v>
      </c>
      <c r="B167" t="s">
        <v>150</v>
      </c>
      <c r="C167" t="s">
        <v>151</v>
      </c>
      <c r="D167">
        <f>_xlfn.XLOOKUP(B167,'3.屠宰能力表'!B:B,'3.屠宰能力表'!E:E)</f>
        <v>3200</v>
      </c>
      <c r="E167">
        <f>_xlfn.XLOOKUP(B167,'4.分割能力表'!B:B,'4.分割能力表'!D:D)</f>
        <v>1600</v>
      </c>
      <c r="F167">
        <f>_xlfn.XLOOKUP(B167,'4.分割能力表'!B:B,'4.分割能力表'!E:E)</f>
        <v>72000</v>
      </c>
      <c r="G167" t="s">
        <v>77</v>
      </c>
      <c r="H167" s="1">
        <f>_xlfn.XLOOKUP(G167,系数辅助表!$C:$C,系数辅助表!$D:$D)</f>
        <v>1.9521507261015199E-2</v>
      </c>
      <c r="J167">
        <f t="shared" si="16"/>
        <v>3748.1293941149202</v>
      </c>
      <c r="K167">
        <f t="shared" si="13"/>
        <v>1529.2970786667199</v>
      </c>
      <c r="L167">
        <v>2218.8323154482</v>
      </c>
    </row>
    <row r="168" spans="1:12" x14ac:dyDescent="0.3">
      <c r="A168" t="s">
        <v>20</v>
      </c>
      <c r="B168" t="s">
        <v>150</v>
      </c>
      <c r="C168" t="s">
        <v>151</v>
      </c>
      <c r="D168">
        <f>_xlfn.XLOOKUP(B168,'3.屠宰能力表'!B:B,'3.屠宰能力表'!E:E)</f>
        <v>3200</v>
      </c>
      <c r="E168">
        <f>_xlfn.XLOOKUP(B168,'4.分割能力表'!B:B,'4.分割能力表'!D:D)</f>
        <v>1600</v>
      </c>
      <c r="F168">
        <f>_xlfn.XLOOKUP(B168,'4.分割能力表'!B:B,'4.分割能力表'!E:E)</f>
        <v>72000</v>
      </c>
      <c r="G168" t="s">
        <v>78</v>
      </c>
      <c r="H168" s="1">
        <f>_xlfn.XLOOKUP(G168,系数辅助表!$C:$C,系数辅助表!$D:$D)</f>
        <v>2.7552209592914899E-2</v>
      </c>
      <c r="J168">
        <f t="shared" si="16"/>
        <v>5290.0242418396601</v>
      </c>
      <c r="K168">
        <f t="shared" si="13"/>
        <v>2158.41497676787</v>
      </c>
      <c r="L168">
        <v>3131.6092650717901</v>
      </c>
    </row>
    <row r="169" spans="1:12" x14ac:dyDescent="0.3">
      <c r="A169" t="s">
        <v>20</v>
      </c>
      <c r="B169" t="s">
        <v>150</v>
      </c>
      <c r="C169" t="s">
        <v>151</v>
      </c>
      <c r="D169">
        <f>_xlfn.XLOOKUP(B169,'3.屠宰能力表'!B:B,'3.屠宰能力表'!E:E)</f>
        <v>3200</v>
      </c>
      <c r="E169">
        <f>_xlfn.XLOOKUP(B169,'4.分割能力表'!B:B,'4.分割能力表'!D:D)</f>
        <v>1600</v>
      </c>
      <c r="F169">
        <f>_xlfn.XLOOKUP(B169,'4.分割能力表'!B:B,'4.分割能力表'!E:E)</f>
        <v>72000</v>
      </c>
      <c r="G169" t="s">
        <v>79</v>
      </c>
      <c r="H169">
        <f>_xlfn.XLOOKUP(G169,系数辅助表!$C:$C,系数辅助表!$D:$D)</f>
        <v>6.1357302939246697E-2</v>
      </c>
      <c r="J169">
        <f t="shared" si="16"/>
        <v>11780.6021643354</v>
      </c>
      <c r="K169">
        <f t="shared" si="13"/>
        <v>4806.67516525459</v>
      </c>
      <c r="L169">
        <v>6973.9269990807697</v>
      </c>
    </row>
    <row r="170" spans="1:12" x14ac:dyDescent="0.3">
      <c r="A170" t="s">
        <v>20</v>
      </c>
      <c r="B170" t="s">
        <v>150</v>
      </c>
      <c r="C170" t="s">
        <v>151</v>
      </c>
      <c r="D170">
        <f>_xlfn.XLOOKUP(B170,'3.屠宰能力表'!B:B,'3.屠宰能力表'!E:E)</f>
        <v>3200</v>
      </c>
      <c r="E170">
        <f>_xlfn.XLOOKUP(B170,'4.分割能力表'!B:B,'4.分割能力表'!D:D)</f>
        <v>1600</v>
      </c>
      <c r="F170">
        <f>_xlfn.XLOOKUP(B170,'4.分割能力表'!B:B,'4.分割能力表'!E:E)</f>
        <v>72000</v>
      </c>
      <c r="G170" t="s">
        <v>80</v>
      </c>
      <c r="H170">
        <f>_xlfn.XLOOKUP(G170,系数辅助表!$C:$C,系数辅助表!$D:$D)</f>
        <v>1.30165882845583E-2</v>
      </c>
      <c r="J170">
        <f t="shared" si="16"/>
        <v>2499.18495063519</v>
      </c>
      <c r="K170">
        <f t="shared" si="13"/>
        <v>2499.18495063519</v>
      </c>
      <c r="L170">
        <v>0</v>
      </c>
    </row>
    <row r="171" spans="1:12" x14ac:dyDescent="0.3">
      <c r="A171" t="s">
        <v>20</v>
      </c>
      <c r="B171" t="s">
        <v>150</v>
      </c>
      <c r="C171" t="s">
        <v>151</v>
      </c>
      <c r="D171">
        <f>_xlfn.XLOOKUP(B171,'3.屠宰能力表'!B:B,'3.屠宰能力表'!E:E)</f>
        <v>3200</v>
      </c>
      <c r="E171">
        <f>_xlfn.XLOOKUP(B171,'4.分割能力表'!B:B,'4.分割能力表'!D:D)</f>
        <v>1600</v>
      </c>
      <c r="F171">
        <f>_xlfn.XLOOKUP(B171,'4.分割能力表'!B:B,'4.分割能力表'!E:E)</f>
        <v>72000</v>
      </c>
      <c r="G171" t="s">
        <v>81</v>
      </c>
      <c r="H171">
        <f>_xlfn.XLOOKUP(G171,系数辅助表!$C:$C,系数辅助表!$D:$D)</f>
        <v>2.9868560985823099E-2</v>
      </c>
      <c r="J171">
        <f t="shared" si="16"/>
        <v>5734.7637092780396</v>
      </c>
      <c r="K171">
        <f t="shared" si="13"/>
        <v>5734.7637092780396</v>
      </c>
      <c r="L171">
        <v>0</v>
      </c>
    </row>
    <row r="172" spans="1:12" x14ac:dyDescent="0.3">
      <c r="A172" t="s">
        <v>20</v>
      </c>
      <c r="B172" t="s">
        <v>150</v>
      </c>
      <c r="C172" t="s">
        <v>151</v>
      </c>
      <c r="D172">
        <f>_xlfn.XLOOKUP(B172,'3.屠宰能力表'!B:B,'3.屠宰能力表'!E:E)</f>
        <v>3200</v>
      </c>
      <c r="E172">
        <f>_xlfn.XLOOKUP(B172,'4.分割能力表'!B:B,'4.分割能力表'!D:D)</f>
        <v>1600</v>
      </c>
      <c r="F172">
        <f>_xlfn.XLOOKUP(B172,'4.分割能力表'!B:B,'4.分割能力表'!E:E)</f>
        <v>72000</v>
      </c>
      <c r="G172" t="s">
        <v>82</v>
      </c>
      <c r="H172">
        <f>_xlfn.XLOOKUP(G172,系数辅助表!$C:$C,系数辅助表!$D:$D)</f>
        <v>1.31753271660773E-2</v>
      </c>
      <c r="J172">
        <f t="shared" si="16"/>
        <v>2529.6628158868398</v>
      </c>
      <c r="K172">
        <f t="shared" si="13"/>
        <v>1032.1431166228699</v>
      </c>
      <c r="L172">
        <v>1497.5196992639701</v>
      </c>
    </row>
    <row r="173" spans="1:12" x14ac:dyDescent="0.3">
      <c r="A173" t="s">
        <v>20</v>
      </c>
      <c r="B173" t="s">
        <v>150</v>
      </c>
      <c r="C173" t="s">
        <v>151</v>
      </c>
      <c r="D173">
        <f>_xlfn.XLOOKUP(B173,'3.屠宰能力表'!B:B,'3.屠宰能力表'!E:E)</f>
        <v>3200</v>
      </c>
      <c r="E173">
        <f>_xlfn.XLOOKUP(B173,'4.分割能力表'!B:B,'4.分割能力表'!D:D)</f>
        <v>1600</v>
      </c>
      <c r="F173">
        <f>_xlfn.XLOOKUP(B173,'4.分割能力表'!B:B,'4.分割能力表'!E:E)</f>
        <v>72000</v>
      </c>
      <c r="G173" t="s">
        <v>83</v>
      </c>
      <c r="H173">
        <f>_xlfn.XLOOKUP(G173,系数辅助表!$C:$C,系数辅助表!$D:$D)</f>
        <v>7.2226191091146899E-3</v>
      </c>
      <c r="J173">
        <f t="shared" si="16"/>
        <v>1386.74286895002</v>
      </c>
      <c r="K173">
        <f t="shared" si="13"/>
        <v>1386.74286895002</v>
      </c>
      <c r="L173">
        <v>0</v>
      </c>
    </row>
    <row r="174" spans="1:12" x14ac:dyDescent="0.3">
      <c r="A174" t="s">
        <v>20</v>
      </c>
      <c r="B174" t="s">
        <v>150</v>
      </c>
      <c r="C174" t="s">
        <v>151</v>
      </c>
      <c r="D174">
        <f>_xlfn.XLOOKUP(B174,'3.屠宰能力表'!B:B,'3.屠宰能力表'!E:E)</f>
        <v>3200</v>
      </c>
      <c r="E174">
        <f>_xlfn.XLOOKUP(B174,'4.分割能力表'!B:B,'4.分割能力表'!D:D)</f>
        <v>1600</v>
      </c>
      <c r="F174">
        <f>_xlfn.XLOOKUP(B174,'4.分割能力表'!B:B,'4.分割能力表'!E:E)</f>
        <v>72000</v>
      </c>
      <c r="G174" t="s">
        <v>84</v>
      </c>
      <c r="H174">
        <f>_xlfn.XLOOKUP(G174,系数辅助表!$C:$C,系数辅助表!$D:$D)</f>
        <v>2.34933544648127E-2</v>
      </c>
      <c r="J174">
        <f t="shared" si="16"/>
        <v>4510.7240572440396</v>
      </c>
      <c r="K174">
        <f t="shared" si="13"/>
        <v>4510.7240572440396</v>
      </c>
      <c r="L174">
        <v>0</v>
      </c>
    </row>
    <row r="175" spans="1:12" x14ac:dyDescent="0.3">
      <c r="A175" t="s">
        <v>20</v>
      </c>
      <c r="B175" t="s">
        <v>150</v>
      </c>
      <c r="C175" t="s">
        <v>151</v>
      </c>
      <c r="D175">
        <f>_xlfn.XLOOKUP(B175,'3.屠宰能力表'!B:B,'3.屠宰能力表'!E:E)</f>
        <v>3200</v>
      </c>
      <c r="E175">
        <f>_xlfn.XLOOKUP(B175,'4.分割能力表'!B:B,'4.分割能力表'!D:D)</f>
        <v>1600</v>
      </c>
      <c r="F175">
        <f>_xlfn.XLOOKUP(B175,'4.分割能力表'!B:B,'4.分割能力表'!E:E)</f>
        <v>72000</v>
      </c>
      <c r="G175" t="s">
        <v>85</v>
      </c>
      <c r="H175">
        <f>_xlfn.XLOOKUP(G175,系数辅助表!$C:$C,系数辅助表!$D:$D)</f>
        <v>9.8418106541782492E-3</v>
      </c>
      <c r="J175">
        <f t="shared" si="16"/>
        <v>1889.6276456022199</v>
      </c>
      <c r="K175">
        <f t="shared" si="13"/>
        <v>1889.6276456022199</v>
      </c>
      <c r="L175">
        <v>0</v>
      </c>
    </row>
    <row r="176" spans="1:12" x14ac:dyDescent="0.3">
      <c r="A176" t="s">
        <v>20</v>
      </c>
      <c r="B176" t="s">
        <v>150</v>
      </c>
      <c r="C176" t="s">
        <v>151</v>
      </c>
      <c r="D176">
        <f>_xlfn.XLOOKUP(B176,'3.屠宰能力表'!B:B,'3.屠宰能力表'!E:E)</f>
        <v>3200</v>
      </c>
      <c r="E176">
        <f>_xlfn.XLOOKUP(B176,'4.分割能力表'!B:B,'4.分割能力表'!D:D)</f>
        <v>1600</v>
      </c>
      <c r="F176">
        <f>_xlfn.XLOOKUP(B176,'4.分割能力表'!B:B,'4.分割能力表'!E:E)</f>
        <v>72000</v>
      </c>
      <c r="G176" t="s">
        <v>86</v>
      </c>
      <c r="H176">
        <f>_xlfn.XLOOKUP(G176,系数辅助表!$C:$C,系数辅助表!$D:$D)</f>
        <v>6.9845107868361997E-3</v>
      </c>
      <c r="J176">
        <f t="shared" si="16"/>
        <v>1341.0260710725499</v>
      </c>
      <c r="K176">
        <f t="shared" si="13"/>
        <v>1341.0260710725499</v>
      </c>
      <c r="L176">
        <v>0</v>
      </c>
    </row>
    <row r="177" spans="1:12" x14ac:dyDescent="0.3">
      <c r="A177" t="s">
        <v>20</v>
      </c>
      <c r="B177" t="s">
        <v>150</v>
      </c>
      <c r="C177" t="s">
        <v>151</v>
      </c>
      <c r="D177">
        <f>_xlfn.XLOOKUP(B177,'3.屠宰能力表'!B:B,'3.屠宰能力表'!E:E)</f>
        <v>3200</v>
      </c>
      <c r="E177">
        <f>_xlfn.XLOOKUP(B177,'4.分割能力表'!B:B,'4.分割能力表'!D:D)</f>
        <v>1600</v>
      </c>
      <c r="F177">
        <f>_xlfn.XLOOKUP(B177,'4.分割能力表'!B:B,'4.分割能力表'!E:E)</f>
        <v>72000</v>
      </c>
      <c r="G177" t="s">
        <v>87</v>
      </c>
      <c r="H177">
        <f>_xlfn.XLOOKUP(G177,系数辅助表!$C:$C,系数辅助表!$D:$D)</f>
        <v>2.2223443412660699E-3</v>
      </c>
      <c r="J177">
        <f t="shared" si="16"/>
        <v>426.69011352308502</v>
      </c>
      <c r="K177">
        <f t="shared" si="13"/>
        <v>426.69011352308502</v>
      </c>
      <c r="L177">
        <v>0</v>
      </c>
    </row>
    <row r="178" spans="1:12" x14ac:dyDescent="0.3">
      <c r="A178" t="s">
        <v>20</v>
      </c>
      <c r="B178" t="s">
        <v>150</v>
      </c>
      <c r="C178" t="s">
        <v>151</v>
      </c>
      <c r="D178">
        <f>_xlfn.XLOOKUP(B178,'3.屠宰能力表'!B:B,'3.屠宰能力表'!E:E)</f>
        <v>3200</v>
      </c>
      <c r="E178">
        <f>_xlfn.XLOOKUP(B178,'4.分割能力表'!B:B,'4.分割能力表'!D:D)</f>
        <v>1600</v>
      </c>
      <c r="F178">
        <f>_xlfn.XLOOKUP(B178,'4.分割能力表'!B:B,'4.分割能力表'!E:E)</f>
        <v>72000</v>
      </c>
      <c r="G178" t="s">
        <v>88</v>
      </c>
      <c r="H178">
        <f>_xlfn.XLOOKUP(G178,系数辅助表!$C:$C,系数辅助表!$D:$D)</f>
        <v>1.5880638483545301E-3</v>
      </c>
      <c r="J178">
        <f t="shared" si="16"/>
        <v>304.90825888406999</v>
      </c>
      <c r="K178">
        <f t="shared" si="13"/>
        <v>304.90825888406999</v>
      </c>
      <c r="L178">
        <v>0</v>
      </c>
    </row>
    <row r="179" spans="1:12" x14ac:dyDescent="0.3">
      <c r="A179" t="s">
        <v>20</v>
      </c>
      <c r="B179" t="s">
        <v>150</v>
      </c>
      <c r="C179" t="s">
        <v>151</v>
      </c>
      <c r="D179">
        <f>_xlfn.XLOOKUP(B179,'3.屠宰能力表'!B:B,'3.屠宰能力表'!E:E)</f>
        <v>3200</v>
      </c>
      <c r="E179">
        <f>_xlfn.XLOOKUP(B179,'4.分割能力表'!B:B,'4.分割能力表'!D:D)</f>
        <v>1600</v>
      </c>
      <c r="F179">
        <f>_xlfn.XLOOKUP(B179,'4.分割能力表'!B:B,'4.分割能力表'!E:E)</f>
        <v>72000</v>
      </c>
      <c r="G179" t="s">
        <v>89</v>
      </c>
      <c r="H179">
        <f>_xlfn.XLOOKUP(G179,系数辅助表!$C:$C,系数辅助表!$D:$D)</f>
        <v>1.0324777630380101E-2</v>
      </c>
      <c r="J179">
        <f t="shared" si="16"/>
        <v>1982.3573050329801</v>
      </c>
      <c r="K179">
        <f t="shared" si="13"/>
        <v>808.83366519326296</v>
      </c>
      <c r="L179">
        <v>1173.5236398397201</v>
      </c>
    </row>
    <row r="180" spans="1:12" x14ac:dyDescent="0.3">
      <c r="A180" t="s">
        <v>20</v>
      </c>
      <c r="B180" t="s">
        <v>150</v>
      </c>
      <c r="C180" t="s">
        <v>151</v>
      </c>
      <c r="D180">
        <f>_xlfn.XLOOKUP(B180,'3.屠宰能力表'!B:B,'3.屠宰能力表'!E:E)</f>
        <v>3200</v>
      </c>
      <c r="E180">
        <f>_xlfn.XLOOKUP(B180,'4.分割能力表'!B:B,'4.分割能力表'!D:D)</f>
        <v>1600</v>
      </c>
      <c r="F180">
        <f>_xlfn.XLOOKUP(B180,'4.分割能力表'!B:B,'4.分割能力表'!E:E)</f>
        <v>72000</v>
      </c>
      <c r="G180" t="s">
        <v>90</v>
      </c>
      <c r="H180">
        <f>_xlfn.XLOOKUP(G180,系数辅助表!$C:$C,系数辅助表!$D:$D)</f>
        <v>2.86E-2</v>
      </c>
      <c r="J180">
        <f t="shared" si="16"/>
        <v>5491.2</v>
      </c>
      <c r="K180">
        <f t="shared" si="13"/>
        <v>2240.4979218594199</v>
      </c>
      <c r="L180">
        <v>3250.7020781405799</v>
      </c>
    </row>
    <row r="181" spans="1:12" x14ac:dyDescent="0.3">
      <c r="A181" t="s">
        <v>20</v>
      </c>
      <c r="B181" t="s">
        <v>150</v>
      </c>
      <c r="C181" t="s">
        <v>151</v>
      </c>
      <c r="D181">
        <f>_xlfn.XLOOKUP(B181,'3.屠宰能力表'!B:B,'3.屠宰能力表'!E:E)</f>
        <v>3200</v>
      </c>
      <c r="E181">
        <f>_xlfn.XLOOKUP(B181,'4.分割能力表'!B:B,'4.分割能力表'!D:D)</f>
        <v>1600</v>
      </c>
      <c r="F181">
        <f>_xlfn.XLOOKUP(B181,'4.分割能力表'!B:B,'4.分割能力表'!E:E)</f>
        <v>72000</v>
      </c>
      <c r="G181" t="s">
        <v>91</v>
      </c>
      <c r="H181">
        <f>_xlfn.XLOOKUP(G181,系数辅助表!$C:$C,系数辅助表!$D:$D)</f>
        <v>2.1645581232916301E-2</v>
      </c>
      <c r="J181">
        <f t="shared" si="16"/>
        <v>4155.9515967199304</v>
      </c>
      <c r="K181">
        <f t="shared" si="13"/>
        <v>1695.69509684575</v>
      </c>
      <c r="L181">
        <v>2460.25649987418</v>
      </c>
    </row>
    <row r="182" spans="1:12" x14ac:dyDescent="0.3">
      <c r="A182" t="s">
        <v>20</v>
      </c>
      <c r="B182" t="s">
        <v>150</v>
      </c>
      <c r="C182" t="s">
        <v>151</v>
      </c>
      <c r="D182">
        <f>_xlfn.XLOOKUP(B182,'3.屠宰能力表'!B:B,'3.屠宰能力表'!E:E)</f>
        <v>3200</v>
      </c>
      <c r="E182">
        <f>_xlfn.XLOOKUP(B182,'4.分割能力表'!B:B,'4.分割能力表'!D:D)</f>
        <v>1600</v>
      </c>
      <c r="F182">
        <f>_xlfn.XLOOKUP(B182,'4.分割能力表'!B:B,'4.分割能力表'!E:E)</f>
        <v>72000</v>
      </c>
      <c r="G182" t="s">
        <v>92</v>
      </c>
      <c r="H182">
        <f>_xlfn.XLOOKUP(G182,系数辅助表!$C:$C,系数辅助表!$D:$D)</f>
        <v>1.4286499336710399E-3</v>
      </c>
      <c r="J182">
        <f t="shared" si="16"/>
        <v>274.30078726483998</v>
      </c>
      <c r="K182">
        <f t="shared" si="13"/>
        <v>274.30078726483998</v>
      </c>
      <c r="L182">
        <v>0</v>
      </c>
    </row>
    <row r="183" spans="1:12" x14ac:dyDescent="0.3">
      <c r="A183" t="s">
        <v>20</v>
      </c>
      <c r="B183" t="s">
        <v>150</v>
      </c>
      <c r="C183" t="s">
        <v>151</v>
      </c>
      <c r="D183">
        <f>_xlfn.XLOOKUP(B183,'3.屠宰能力表'!B:B,'3.屠宰能力表'!E:E)</f>
        <v>3200</v>
      </c>
      <c r="E183">
        <f>_xlfn.XLOOKUP(B183,'4.分割能力表'!B:B,'4.分割能力表'!D:D)</f>
        <v>1600</v>
      </c>
      <c r="F183">
        <f>_xlfn.XLOOKUP(B183,'4.分割能力表'!B:B,'4.分割能力表'!E:E)</f>
        <v>72000</v>
      </c>
      <c r="G183" t="s">
        <v>93</v>
      </c>
      <c r="H183"/>
      <c r="J183">
        <f>IFERROR(INDEX($L:$L,MATCH(SUBSTITUTE(G183,"-冷冻",""),$G:$G,0)),"")</f>
        <v>9376.24540321104</v>
      </c>
    </row>
    <row r="184" spans="1:12" x14ac:dyDescent="0.3">
      <c r="A184" t="s">
        <v>20</v>
      </c>
      <c r="B184" t="s">
        <v>150</v>
      </c>
      <c r="C184" t="s">
        <v>151</v>
      </c>
      <c r="D184">
        <f>_xlfn.XLOOKUP(B184,'3.屠宰能力表'!B:B,'3.屠宰能力表'!E:E)</f>
        <v>3200</v>
      </c>
      <c r="E184">
        <f>_xlfn.XLOOKUP(B184,'4.分割能力表'!B:B,'4.分割能力表'!D:D)</f>
        <v>1600</v>
      </c>
      <c r="F184">
        <f>_xlfn.XLOOKUP(B184,'4.分割能力表'!B:B,'4.分割能力表'!E:E)</f>
        <v>72000</v>
      </c>
      <c r="G184" t="s">
        <v>96</v>
      </c>
      <c r="H184"/>
      <c r="J184">
        <f>IFERROR(INDEX($L:$L,MATCH(SUBSTITUTE(G184,"-冷冻",""),$G:$G,0)),"")</f>
        <v>1654.6315417431299</v>
      </c>
    </row>
    <row r="185" spans="1:12" x14ac:dyDescent="0.3">
      <c r="A185" t="s">
        <v>20</v>
      </c>
      <c r="B185" t="s">
        <v>150</v>
      </c>
      <c r="C185" t="s">
        <v>151</v>
      </c>
      <c r="D185">
        <f>_xlfn.XLOOKUP(B185,'3.屠宰能力表'!B:B,'3.屠宰能力表'!E:E)</f>
        <v>3200</v>
      </c>
      <c r="E185">
        <f>_xlfn.XLOOKUP(B185,'4.分割能力表'!B:B,'4.分割能力表'!D:D)</f>
        <v>1600</v>
      </c>
      <c r="F185">
        <f>_xlfn.XLOOKUP(B185,'4.分割能力表'!B:B,'4.分割能力表'!E:E)</f>
        <v>72000</v>
      </c>
      <c r="G185" t="s">
        <v>97</v>
      </c>
      <c r="H185"/>
      <c r="J185">
        <f t="shared" ref="J185:J190" si="17">IFERROR(INDEX($L:$L,MATCH(SUBSTITUTE(G185,"-冷冻",""),$G:$G,0)),"")</f>
        <v>3265.6754887563802</v>
      </c>
    </row>
    <row r="186" spans="1:12" x14ac:dyDescent="0.3">
      <c r="A186" t="s">
        <v>20</v>
      </c>
      <c r="B186" t="s">
        <v>150</v>
      </c>
      <c r="C186" t="s">
        <v>151</v>
      </c>
      <c r="D186">
        <f>_xlfn.XLOOKUP(B186,'3.屠宰能力表'!B:B,'3.屠宰能力表'!E:E)</f>
        <v>3200</v>
      </c>
      <c r="E186">
        <f>_xlfn.XLOOKUP(B186,'4.分割能力表'!B:B,'4.分割能力表'!D:D)</f>
        <v>1600</v>
      </c>
      <c r="F186">
        <f>_xlfn.XLOOKUP(B186,'4.分割能力表'!B:B,'4.分割能力表'!E:E)</f>
        <v>72000</v>
      </c>
      <c r="G186" t="s">
        <v>99</v>
      </c>
      <c r="H186"/>
      <c r="J186">
        <f t="shared" si="17"/>
        <v>5350.4415805199897</v>
      </c>
    </row>
    <row r="187" spans="1:12" x14ac:dyDescent="0.3">
      <c r="A187" t="s">
        <v>20</v>
      </c>
      <c r="B187" t="s">
        <v>150</v>
      </c>
      <c r="C187" t="s">
        <v>151</v>
      </c>
      <c r="D187">
        <f>_xlfn.XLOOKUP(B187,'3.屠宰能力表'!B:B,'3.屠宰能力表'!E:E)</f>
        <v>3200</v>
      </c>
      <c r="E187">
        <f>_xlfn.XLOOKUP(B187,'4.分割能力表'!B:B,'4.分割能力表'!D:D)</f>
        <v>1600</v>
      </c>
      <c r="F187">
        <f>_xlfn.XLOOKUP(B187,'4.分割能力表'!B:B,'4.分割能力表'!E:E)</f>
        <v>72000</v>
      </c>
      <c r="G187" t="s">
        <v>100</v>
      </c>
      <c r="H187"/>
      <c r="J187">
        <f t="shared" si="17"/>
        <v>1280.32955330441</v>
      </c>
    </row>
    <row r="188" spans="1:12" x14ac:dyDescent="0.3">
      <c r="A188" t="s">
        <v>20</v>
      </c>
      <c r="B188" t="s">
        <v>150</v>
      </c>
      <c r="C188" t="s">
        <v>151</v>
      </c>
      <c r="D188">
        <f>_xlfn.XLOOKUP(B188,'3.屠宰能力表'!B:B,'3.屠宰能力表'!E:E)</f>
        <v>3200</v>
      </c>
      <c r="E188">
        <f>_xlfn.XLOOKUP(B188,'4.分割能力表'!B:B,'4.分割能力表'!D:D)</f>
        <v>1600</v>
      </c>
      <c r="F188">
        <f>_xlfn.XLOOKUP(B188,'4.分割能力表'!B:B,'4.分割能力表'!E:E)</f>
        <v>72000</v>
      </c>
      <c r="G188" t="s">
        <v>101</v>
      </c>
      <c r="H188"/>
      <c r="J188">
        <f t="shared" si="17"/>
        <v>12463.2659808302</v>
      </c>
    </row>
    <row r="189" spans="1:12" x14ac:dyDescent="0.3">
      <c r="A189" t="s">
        <v>20</v>
      </c>
      <c r="B189" t="s">
        <v>150</v>
      </c>
      <c r="C189" t="s">
        <v>151</v>
      </c>
      <c r="D189">
        <f>_xlfn.XLOOKUP(B189,'3.屠宰能力表'!B:B,'3.屠宰能力表'!E:E)</f>
        <v>3200</v>
      </c>
      <c r="E189">
        <f>_xlfn.XLOOKUP(B189,'4.分割能力表'!B:B,'4.分割能力表'!D:D)</f>
        <v>1600</v>
      </c>
      <c r="F189">
        <f>_xlfn.XLOOKUP(B189,'4.分割能力表'!B:B,'4.分割能力表'!E:E)</f>
        <v>72000</v>
      </c>
      <c r="G189" t="s">
        <v>102</v>
      </c>
      <c r="H189"/>
      <c r="J189">
        <f t="shared" si="17"/>
        <v>9710.7572628296493</v>
      </c>
    </row>
    <row r="190" spans="1:12" x14ac:dyDescent="0.3">
      <c r="A190" t="s">
        <v>20</v>
      </c>
      <c r="B190" t="s">
        <v>150</v>
      </c>
      <c r="C190" t="s">
        <v>151</v>
      </c>
      <c r="D190">
        <f>_xlfn.XLOOKUP(B190,'3.屠宰能力表'!B:B,'3.屠宰能力表'!E:E)</f>
        <v>3200</v>
      </c>
      <c r="E190">
        <f>_xlfn.XLOOKUP(B190,'4.分割能力表'!B:B,'4.分割能力表'!D:D)</f>
        <v>1600</v>
      </c>
      <c r="F190">
        <f>_xlfn.XLOOKUP(B190,'4.分割能力表'!B:B,'4.分割能力表'!E:E)</f>
        <v>72000</v>
      </c>
      <c r="G190" t="s">
        <v>103</v>
      </c>
      <c r="H190"/>
      <c r="J190">
        <f t="shared" si="17"/>
        <v>2218.8323154482</v>
      </c>
    </row>
    <row r="191" spans="1:12" x14ac:dyDescent="0.3">
      <c r="A191" t="s">
        <v>20</v>
      </c>
      <c r="B191" t="s">
        <v>150</v>
      </c>
      <c r="C191" t="s">
        <v>151</v>
      </c>
      <c r="D191">
        <f>_xlfn.XLOOKUP(B191,'3.屠宰能力表'!B:B,'3.屠宰能力表'!E:E)</f>
        <v>3200</v>
      </c>
      <c r="E191">
        <f>_xlfn.XLOOKUP(B191,'4.分割能力表'!B:B,'4.分割能力表'!D:D)</f>
        <v>1600</v>
      </c>
      <c r="F191">
        <f>_xlfn.XLOOKUP(B191,'4.分割能力表'!B:B,'4.分割能力表'!E:E)</f>
        <v>72000</v>
      </c>
      <c r="G191" t="s">
        <v>104</v>
      </c>
      <c r="H191"/>
      <c r="J191">
        <f t="shared" ref="J191:J198" si="18">IFERROR(INDEX($L:$L,MATCH(SUBSTITUTE(G191,"-冷冻",""),$G:$G,0)),"")</f>
        <v>3131.6092650717901</v>
      </c>
    </row>
    <row r="192" spans="1:12" x14ac:dyDescent="0.3">
      <c r="A192" t="s">
        <v>20</v>
      </c>
      <c r="B192" t="s">
        <v>150</v>
      </c>
      <c r="C192" t="s">
        <v>151</v>
      </c>
      <c r="D192">
        <f>_xlfn.XLOOKUP(B192,'3.屠宰能力表'!B:B,'3.屠宰能力表'!E:E)</f>
        <v>3200</v>
      </c>
      <c r="E192">
        <f>_xlfn.XLOOKUP(B192,'4.分割能力表'!B:B,'4.分割能力表'!D:D)</f>
        <v>1600</v>
      </c>
      <c r="F192">
        <f>_xlfn.XLOOKUP(B192,'4.分割能力表'!B:B,'4.分割能力表'!E:E)</f>
        <v>72000</v>
      </c>
      <c r="G192" t="s">
        <v>105</v>
      </c>
      <c r="H192"/>
      <c r="J192">
        <f t="shared" si="18"/>
        <v>6973.9269990807697</v>
      </c>
    </row>
    <row r="193" spans="1:11" x14ac:dyDescent="0.3">
      <c r="A193" t="s">
        <v>20</v>
      </c>
      <c r="B193" t="s">
        <v>150</v>
      </c>
      <c r="C193" t="s">
        <v>151</v>
      </c>
      <c r="D193">
        <f>_xlfn.XLOOKUP(B193,'3.屠宰能力表'!B:B,'3.屠宰能力表'!E:E)</f>
        <v>3200</v>
      </c>
      <c r="E193">
        <f>_xlfn.XLOOKUP(B193,'4.分割能力表'!B:B,'4.分割能力表'!D:D)</f>
        <v>1600</v>
      </c>
      <c r="F193">
        <f>_xlfn.XLOOKUP(B193,'4.分割能力表'!B:B,'4.分割能力表'!E:E)</f>
        <v>72000</v>
      </c>
      <c r="G193" t="s">
        <v>108</v>
      </c>
      <c r="H193"/>
      <c r="J193">
        <f t="shared" si="18"/>
        <v>1497.5196992639701</v>
      </c>
    </row>
    <row r="194" spans="1:11" x14ac:dyDescent="0.3">
      <c r="A194" t="s">
        <v>20</v>
      </c>
      <c r="B194" t="s">
        <v>150</v>
      </c>
      <c r="C194" t="s">
        <v>151</v>
      </c>
      <c r="D194">
        <f>_xlfn.XLOOKUP(B194,'3.屠宰能力表'!B:B,'3.屠宰能力表'!E:E)</f>
        <v>3200</v>
      </c>
      <c r="E194">
        <f>_xlfn.XLOOKUP(B194,'4.分割能力表'!B:B,'4.分割能力表'!D:D)</f>
        <v>1600</v>
      </c>
      <c r="F194">
        <f>_xlfn.XLOOKUP(B194,'4.分割能力表'!B:B,'4.分割能力表'!E:E)</f>
        <v>72000</v>
      </c>
      <c r="G194" t="s">
        <v>115</v>
      </c>
      <c r="H194"/>
      <c r="J194">
        <f t="shared" si="18"/>
        <v>1173.5236398397201</v>
      </c>
    </row>
    <row r="195" spans="1:11" x14ac:dyDescent="0.3">
      <c r="A195" t="s">
        <v>20</v>
      </c>
      <c r="B195" t="s">
        <v>150</v>
      </c>
      <c r="C195" t="s">
        <v>151</v>
      </c>
      <c r="D195">
        <f>_xlfn.XLOOKUP(B195,'3.屠宰能力表'!B:B,'3.屠宰能力表'!E:E)</f>
        <v>3200</v>
      </c>
      <c r="E195">
        <f>_xlfn.XLOOKUP(B195,'4.分割能力表'!B:B,'4.分割能力表'!D:D)</f>
        <v>1600</v>
      </c>
      <c r="F195">
        <f>_xlfn.XLOOKUP(B195,'4.分割能力表'!B:B,'4.分割能力表'!E:E)</f>
        <v>72000</v>
      </c>
      <c r="G195" t="s">
        <v>116</v>
      </c>
      <c r="H195"/>
      <c r="J195">
        <f t="shared" si="18"/>
        <v>3250.7020781405799</v>
      </c>
    </row>
    <row r="196" spans="1:11" x14ac:dyDescent="0.3">
      <c r="A196" t="s">
        <v>20</v>
      </c>
      <c r="B196" t="s">
        <v>150</v>
      </c>
      <c r="C196" t="s">
        <v>151</v>
      </c>
      <c r="D196">
        <f>_xlfn.XLOOKUP(B196,'3.屠宰能力表'!B:B,'3.屠宰能力表'!E:E)</f>
        <v>3200</v>
      </c>
      <c r="E196">
        <f>_xlfn.XLOOKUP(B196,'4.分割能力表'!B:B,'4.分割能力表'!D:D)</f>
        <v>1600</v>
      </c>
      <c r="F196">
        <f>_xlfn.XLOOKUP(B196,'4.分割能力表'!B:B,'4.分割能力表'!E:E)</f>
        <v>72000</v>
      </c>
      <c r="G196" t="s">
        <v>117</v>
      </c>
      <c r="H196"/>
      <c r="J196">
        <f t="shared" si="18"/>
        <v>2460.25649987418</v>
      </c>
    </row>
    <row r="197" spans="1:11" x14ac:dyDescent="0.3">
      <c r="A197" t="s">
        <v>20</v>
      </c>
      <c r="B197" t="s">
        <v>150</v>
      </c>
      <c r="C197" t="s">
        <v>151</v>
      </c>
      <c r="D197">
        <f>_xlfn.XLOOKUP(B197,'3.屠宰能力表'!B:B,'3.屠宰能力表'!E:E)</f>
        <v>3200</v>
      </c>
      <c r="E197">
        <f>_xlfn.XLOOKUP(B197,'4.分割能力表'!B:B,'4.分割能力表'!D:D)</f>
        <v>1600</v>
      </c>
      <c r="F197">
        <f>_xlfn.XLOOKUP(B197,'4.分割能力表'!B:B,'4.分割能力表'!E:E)</f>
        <v>72000</v>
      </c>
      <c r="G197" t="s">
        <v>120</v>
      </c>
      <c r="H197"/>
      <c r="J197">
        <f t="shared" si="18"/>
        <v>2083.14252302766</v>
      </c>
    </row>
    <row r="198" spans="1:11" x14ac:dyDescent="0.3">
      <c r="A198" t="s">
        <v>20</v>
      </c>
      <c r="B198" t="s">
        <v>150</v>
      </c>
      <c r="C198" t="s">
        <v>151</v>
      </c>
      <c r="D198">
        <f>_xlfn.XLOOKUP(B198,'3.屠宰能力表'!B:B,'3.屠宰能力表'!E:E)</f>
        <v>3200</v>
      </c>
      <c r="E198">
        <f>_xlfn.XLOOKUP(B198,'4.分割能力表'!B:B,'4.分割能力表'!D:D)</f>
        <v>1600</v>
      </c>
      <c r="F198">
        <f>_xlfn.XLOOKUP(B198,'4.分割能力表'!B:B,'4.分割能力表'!E:E)</f>
        <v>72000</v>
      </c>
      <c r="G198" t="s">
        <v>131</v>
      </c>
      <c r="H198"/>
      <c r="J198">
        <f t="shared" si="18"/>
        <v>2102.8145852457801</v>
      </c>
    </row>
    <row r="199" spans="1:11" x14ac:dyDescent="0.3">
      <c r="A199" t="s">
        <v>14</v>
      </c>
      <c r="B199" t="s">
        <v>152</v>
      </c>
      <c r="C199" t="s">
        <v>153</v>
      </c>
      <c r="D199">
        <f>_xlfn.XLOOKUP(B199,'3.屠宰能力表'!B:B,'3.屠宰能力表'!E:E)</f>
        <v>4800</v>
      </c>
      <c r="E199">
        <f>_xlfn.XLOOKUP(B199,'4.分割能力表'!B:B,'4.分割能力表'!D:D)</f>
        <v>1600</v>
      </c>
      <c r="F199">
        <f>_xlfn.XLOOKUP(B199,'4.分割能力表'!B:B,'4.分割能力表'!E:E)</f>
        <v>100000</v>
      </c>
      <c r="G199" t="s">
        <v>41</v>
      </c>
      <c r="H199">
        <f>_xlfn.XLOOKUP(G199,系数辅助表!$C:$C,系数辅助表!$D:$D)</f>
        <v>0.71499999999999997</v>
      </c>
      <c r="J199">
        <f>(D199-E199)*H199*$D$1</f>
        <v>274560</v>
      </c>
      <c r="K199">
        <f>J199-L199</f>
        <v>274560</v>
      </c>
    </row>
    <row r="200" spans="1:11" x14ac:dyDescent="0.3">
      <c r="A200" t="s">
        <v>14</v>
      </c>
      <c r="B200" t="s">
        <v>152</v>
      </c>
      <c r="C200" t="s">
        <v>153</v>
      </c>
      <c r="D200">
        <f>_xlfn.XLOOKUP(B200,'3.屠宰能力表'!B:B,'3.屠宰能力表'!E:E)</f>
        <v>4800</v>
      </c>
      <c r="E200">
        <f>_xlfn.XLOOKUP(B200,'4.分割能力表'!B:B,'4.分割能力表'!D:D)</f>
        <v>1600</v>
      </c>
      <c r="F200">
        <f>_xlfn.XLOOKUP(B200,'4.分割能力表'!B:B,'4.分割能力表'!E:E)</f>
        <v>100000</v>
      </c>
      <c r="G200" t="s">
        <v>44</v>
      </c>
      <c r="H200">
        <f>_xlfn.XLOOKUP(G200,系数辅助表!$C:$C,系数辅助表!$D:$D)</f>
        <v>4.3342237679380002E-2</v>
      </c>
      <c r="J200">
        <f>$D200*H200*$D$1</f>
        <v>24965.1289033229</v>
      </c>
      <c r="K200">
        <f t="shared" ref="K200:K247" si="19">J200-L200</f>
        <v>24965.1289033229</v>
      </c>
    </row>
    <row r="201" spans="1:11" x14ac:dyDescent="0.3">
      <c r="A201" t="s">
        <v>14</v>
      </c>
      <c r="B201" t="s">
        <v>152</v>
      </c>
      <c r="C201" t="s">
        <v>153</v>
      </c>
      <c r="D201">
        <f>_xlfn.XLOOKUP(B201,'3.屠宰能力表'!B:B,'3.屠宰能力表'!E:E)</f>
        <v>4800</v>
      </c>
      <c r="E201">
        <f>_xlfn.XLOOKUP(B201,'4.分割能力表'!B:B,'4.分割能力表'!D:D)</f>
        <v>1600</v>
      </c>
      <c r="F201">
        <f>_xlfn.XLOOKUP(B201,'4.分割能力表'!B:B,'4.分割能力表'!E:E)</f>
        <v>100000</v>
      </c>
      <c r="G201" t="s">
        <v>46</v>
      </c>
      <c r="H201">
        <f>_xlfn.XLOOKUP(G201,系数辅助表!$C:$C,系数辅助表!$D:$D)</f>
        <v>3.2562132013653599E-4</v>
      </c>
      <c r="J201">
        <f t="shared" ref="J201:J221" si="20">$D201*H201*$D$1</f>
        <v>187.55788039864501</v>
      </c>
      <c r="K201">
        <f t="shared" si="19"/>
        <v>187.55788039864501</v>
      </c>
    </row>
    <row r="202" spans="1:11" x14ac:dyDescent="0.3">
      <c r="A202" t="s">
        <v>14</v>
      </c>
      <c r="B202" t="s">
        <v>152</v>
      </c>
      <c r="C202" t="s">
        <v>153</v>
      </c>
      <c r="D202">
        <f>_xlfn.XLOOKUP(B202,'3.屠宰能力表'!B:B,'3.屠宰能力表'!E:E)</f>
        <v>4800</v>
      </c>
      <c r="E202">
        <f>_xlfn.XLOOKUP(B202,'4.分割能力表'!B:B,'4.分割能力表'!D:D)</f>
        <v>1600</v>
      </c>
      <c r="F202">
        <f>_xlfn.XLOOKUP(B202,'4.分割能力表'!B:B,'4.分割能力表'!E:E)</f>
        <v>100000</v>
      </c>
      <c r="G202" t="s">
        <v>47</v>
      </c>
      <c r="H202">
        <f>_xlfn.XLOOKUP(G202,系数辅助表!$C:$C,系数辅助表!$D:$D)</f>
        <v>3.0632398515360198E-3</v>
      </c>
      <c r="J202">
        <f t="shared" si="20"/>
        <v>1764.42615448475</v>
      </c>
      <c r="K202">
        <f t="shared" si="19"/>
        <v>1764.42615448475</v>
      </c>
    </row>
    <row r="203" spans="1:11" x14ac:dyDescent="0.3">
      <c r="A203" t="s">
        <v>14</v>
      </c>
      <c r="B203" t="s">
        <v>152</v>
      </c>
      <c r="C203" t="s">
        <v>153</v>
      </c>
      <c r="D203">
        <f>_xlfn.XLOOKUP(B203,'3.屠宰能力表'!B:B,'3.屠宰能力表'!E:E)</f>
        <v>4800</v>
      </c>
      <c r="E203">
        <f>_xlfn.XLOOKUP(B203,'4.分割能力表'!B:B,'4.分割能力表'!D:D)</f>
        <v>1600</v>
      </c>
      <c r="F203">
        <f>_xlfn.XLOOKUP(B203,'4.分割能力表'!B:B,'4.分割能力表'!E:E)</f>
        <v>100000</v>
      </c>
      <c r="G203" t="s">
        <v>48</v>
      </c>
      <c r="H203">
        <f>_xlfn.XLOOKUP(G203,系数辅助表!$C:$C,系数辅助表!$D:$D)</f>
        <v>1.5822796716383002E-2</v>
      </c>
      <c r="J203">
        <f t="shared" si="20"/>
        <v>9113.9309086366102</v>
      </c>
      <c r="K203">
        <f t="shared" si="19"/>
        <v>9113.9309086366102</v>
      </c>
    </row>
    <row r="204" spans="1:11" x14ac:dyDescent="0.3">
      <c r="A204" t="s">
        <v>14</v>
      </c>
      <c r="B204" t="s">
        <v>152</v>
      </c>
      <c r="C204" t="s">
        <v>153</v>
      </c>
      <c r="D204">
        <f>_xlfn.XLOOKUP(B204,'3.屠宰能力表'!B:B,'3.屠宰能力表'!E:E)</f>
        <v>4800</v>
      </c>
      <c r="E204">
        <f>_xlfn.XLOOKUP(B204,'4.分割能力表'!B:B,'4.分割能力表'!D:D)</f>
        <v>1600</v>
      </c>
      <c r="F204">
        <f>_xlfn.XLOOKUP(B204,'4.分割能力表'!B:B,'4.分割能力表'!E:E)</f>
        <v>100000</v>
      </c>
      <c r="G204" t="s">
        <v>49</v>
      </c>
      <c r="H204">
        <f>_xlfn.XLOOKUP(G204,系数辅助表!$C:$C,系数辅助表!$D:$D)</f>
        <v>3.0934025412970799E-3</v>
      </c>
      <c r="J204">
        <f t="shared" si="20"/>
        <v>1781.7998637871201</v>
      </c>
      <c r="K204">
        <f t="shared" si="19"/>
        <v>1781.7998637871201</v>
      </c>
    </row>
    <row r="205" spans="1:11" x14ac:dyDescent="0.3">
      <c r="A205" t="s">
        <v>14</v>
      </c>
      <c r="B205" t="s">
        <v>152</v>
      </c>
      <c r="C205" t="s">
        <v>153</v>
      </c>
      <c r="D205">
        <f>_xlfn.XLOOKUP(B205,'3.屠宰能力表'!B:B,'3.屠宰能力表'!E:E)</f>
        <v>4800</v>
      </c>
      <c r="E205">
        <f>_xlfn.XLOOKUP(B205,'4.分割能力表'!B:B,'4.分割能力表'!D:D)</f>
        <v>1600</v>
      </c>
      <c r="F205">
        <f>_xlfn.XLOOKUP(B205,'4.分割能力表'!B:B,'4.分割能力表'!E:E)</f>
        <v>100000</v>
      </c>
      <c r="G205" t="s">
        <v>50</v>
      </c>
      <c r="H205">
        <f>_xlfn.XLOOKUP(G205,系数辅助表!$C:$C,系数辅助表!$D:$D)</f>
        <v>1.08247988845052E-2</v>
      </c>
      <c r="J205">
        <f t="shared" si="20"/>
        <v>6235.0841574750002</v>
      </c>
      <c r="K205">
        <f t="shared" si="19"/>
        <v>6235.0841574750002</v>
      </c>
    </row>
    <row r="206" spans="1:11" x14ac:dyDescent="0.3">
      <c r="A206" t="s">
        <v>14</v>
      </c>
      <c r="B206" t="s">
        <v>152</v>
      </c>
      <c r="C206" t="s">
        <v>153</v>
      </c>
      <c r="D206">
        <f>_xlfn.XLOOKUP(B206,'3.屠宰能力表'!B:B,'3.屠宰能力表'!E:E)</f>
        <v>4800</v>
      </c>
      <c r="E206">
        <f>_xlfn.XLOOKUP(B206,'4.分割能力表'!B:B,'4.分割能力表'!D:D)</f>
        <v>1600</v>
      </c>
      <c r="F206">
        <f>_xlfn.XLOOKUP(B206,'4.分割能力表'!B:B,'4.分割能力表'!E:E)</f>
        <v>100000</v>
      </c>
      <c r="G206" t="s">
        <v>51</v>
      </c>
      <c r="H206">
        <f>_xlfn.XLOOKUP(G206,系数辅助表!$C:$C,系数辅助表!$D:$D)</f>
        <v>4.9657251320821601E-3</v>
      </c>
      <c r="J206">
        <f t="shared" si="20"/>
        <v>2860.2576760793199</v>
      </c>
      <c r="K206">
        <f t="shared" si="19"/>
        <v>2860.2576760793199</v>
      </c>
    </row>
    <row r="207" spans="1:11" x14ac:dyDescent="0.3">
      <c r="A207" t="s">
        <v>14</v>
      </c>
      <c r="B207" t="s">
        <v>152</v>
      </c>
      <c r="C207" t="s">
        <v>153</v>
      </c>
      <c r="D207">
        <f>_xlfn.XLOOKUP(B207,'3.屠宰能力表'!B:B,'3.屠宰能力表'!E:E)</f>
        <v>4800</v>
      </c>
      <c r="E207">
        <f>_xlfn.XLOOKUP(B207,'4.分割能力表'!B:B,'4.分割能力表'!D:D)</f>
        <v>1600</v>
      </c>
      <c r="F207">
        <f>_xlfn.XLOOKUP(B207,'4.分割能力表'!B:B,'4.分割能力表'!E:E)</f>
        <v>100000</v>
      </c>
      <c r="G207" t="s">
        <v>52</v>
      </c>
      <c r="H207">
        <f>_xlfn.XLOOKUP(G207,系数辅助表!$C:$C,系数辅助表!$D:$D)</f>
        <v>4.1516718317408203E-3</v>
      </c>
      <c r="J207">
        <f t="shared" si="20"/>
        <v>2391.3629750827099</v>
      </c>
      <c r="K207">
        <f t="shared" si="19"/>
        <v>2391.3629750827099</v>
      </c>
    </row>
    <row r="208" spans="1:11" x14ac:dyDescent="0.3">
      <c r="A208" t="s">
        <v>14</v>
      </c>
      <c r="B208" t="s">
        <v>152</v>
      </c>
      <c r="C208" t="s">
        <v>153</v>
      </c>
      <c r="D208">
        <f>_xlfn.XLOOKUP(B208,'3.屠宰能力表'!B:B,'3.屠宰能力表'!E:E)</f>
        <v>4800</v>
      </c>
      <c r="E208">
        <f>_xlfn.XLOOKUP(B208,'4.分割能力表'!B:B,'4.分割能力表'!D:D)</f>
        <v>1600</v>
      </c>
      <c r="F208">
        <f>_xlfn.XLOOKUP(B208,'4.分割能力表'!B:B,'4.分割能力表'!E:E)</f>
        <v>100000</v>
      </c>
      <c r="G208" t="s">
        <v>53</v>
      </c>
      <c r="H208">
        <f>_xlfn.XLOOKUP(G208,系数辅助表!$C:$C,系数辅助表!$D:$D)</f>
        <v>3.6632398515360201E-3</v>
      </c>
      <c r="J208">
        <f t="shared" si="20"/>
        <v>2110.0261544847499</v>
      </c>
      <c r="K208">
        <f t="shared" si="19"/>
        <v>2110.0261544847499</v>
      </c>
    </row>
    <row r="209" spans="1:12" x14ac:dyDescent="0.3">
      <c r="A209" t="s">
        <v>14</v>
      </c>
      <c r="B209" t="s">
        <v>152</v>
      </c>
      <c r="C209" t="s">
        <v>153</v>
      </c>
      <c r="D209">
        <f>_xlfn.XLOOKUP(B209,'3.屠宰能力表'!B:B,'3.屠宰能力表'!E:E)</f>
        <v>4800</v>
      </c>
      <c r="E209">
        <f>_xlfn.XLOOKUP(B209,'4.分割能力表'!B:B,'4.分割能力表'!D:D)</f>
        <v>1600</v>
      </c>
      <c r="F209">
        <f>_xlfn.XLOOKUP(B209,'4.分割能力表'!B:B,'4.分割能力表'!E:E)</f>
        <v>100000</v>
      </c>
      <c r="G209" t="s">
        <v>54</v>
      </c>
      <c r="H209">
        <f>_xlfn.XLOOKUP(G209,系数辅助表!$C:$C,系数辅助表!$D:$D)</f>
        <v>2.68637589112642E-3</v>
      </c>
      <c r="J209">
        <f t="shared" si="20"/>
        <v>1547.3525132888201</v>
      </c>
      <c r="K209">
        <f t="shared" si="19"/>
        <v>1547.3525132888201</v>
      </c>
    </row>
    <row r="210" spans="1:12" x14ac:dyDescent="0.3">
      <c r="A210" t="s">
        <v>14</v>
      </c>
      <c r="B210" t="s">
        <v>152</v>
      </c>
      <c r="C210" t="s">
        <v>153</v>
      </c>
      <c r="D210">
        <f>_xlfn.XLOOKUP(B210,'3.屠宰能力表'!B:B,'3.屠宰能力表'!E:E)</f>
        <v>4800</v>
      </c>
      <c r="E210">
        <f>_xlfn.XLOOKUP(B210,'4.分割能力表'!B:B,'4.分割能力表'!D:D)</f>
        <v>1600</v>
      </c>
      <c r="F210">
        <f>_xlfn.XLOOKUP(B210,'4.分割能力表'!B:B,'4.分割能力表'!E:E)</f>
        <v>100000</v>
      </c>
      <c r="G210" t="s">
        <v>55</v>
      </c>
      <c r="H210">
        <f>_xlfn.XLOOKUP(G210,系数辅助表!$C:$C,系数辅助表!$D:$D)</f>
        <v>2.9015761200285397E-4</v>
      </c>
      <c r="J210">
        <f t="shared" si="20"/>
        <v>167.13078451364399</v>
      </c>
      <c r="K210">
        <f t="shared" si="19"/>
        <v>167.13078451364399</v>
      </c>
    </row>
    <row r="211" spans="1:12" x14ac:dyDescent="0.3">
      <c r="A211" t="s">
        <v>14</v>
      </c>
      <c r="B211" t="s">
        <v>152</v>
      </c>
      <c r="C211" t="s">
        <v>153</v>
      </c>
      <c r="D211">
        <f>_xlfn.XLOOKUP(B211,'3.屠宰能力表'!B:B,'3.屠宰能力表'!E:E)</f>
        <v>4800</v>
      </c>
      <c r="E211">
        <f>_xlfn.XLOOKUP(B211,'4.分割能力表'!B:B,'4.分割能力表'!D:D)</f>
        <v>1600</v>
      </c>
      <c r="F211">
        <f>_xlfn.XLOOKUP(B211,'4.分割能力表'!B:B,'4.分割能力表'!E:E)</f>
        <v>100000</v>
      </c>
      <c r="G211" t="s">
        <v>57</v>
      </c>
      <c r="H211">
        <f>_xlfn.XLOOKUP(G211,系数辅助表!$C:$C,系数辅助表!$D:$D)</f>
        <v>1.0245932755973399E-2</v>
      </c>
      <c r="J211">
        <f t="shared" si="20"/>
        <v>5901.6572674406798</v>
      </c>
      <c r="K211">
        <f t="shared" si="19"/>
        <v>5901.6572674406798</v>
      </c>
    </row>
    <row r="212" spans="1:12" x14ac:dyDescent="0.3">
      <c r="A212" t="s">
        <v>14</v>
      </c>
      <c r="B212" t="s">
        <v>152</v>
      </c>
      <c r="C212" t="s">
        <v>153</v>
      </c>
      <c r="D212">
        <f>_xlfn.XLOOKUP(B212,'3.屠宰能力表'!B:B,'3.屠宰能力表'!E:E)</f>
        <v>4800</v>
      </c>
      <c r="E212">
        <f>_xlfn.XLOOKUP(B212,'4.分割能力表'!B:B,'4.分割能力表'!D:D)</f>
        <v>1600</v>
      </c>
      <c r="F212">
        <f>_xlfn.XLOOKUP(B212,'4.分割能力表'!B:B,'4.分割能力表'!E:E)</f>
        <v>100000</v>
      </c>
      <c r="G212" t="s">
        <v>58</v>
      </c>
      <c r="H212">
        <f>_xlfn.XLOOKUP(G212,系数辅助表!$C:$C,系数辅助表!$D:$D)</f>
        <v>1.46005473500993E-2</v>
      </c>
      <c r="J212">
        <f t="shared" si="20"/>
        <v>8409.9152736571996</v>
      </c>
      <c r="K212">
        <f t="shared" si="19"/>
        <v>8409.9152736571996</v>
      </c>
    </row>
    <row r="213" spans="1:12" x14ac:dyDescent="0.3">
      <c r="A213" t="s">
        <v>14</v>
      </c>
      <c r="B213" t="s">
        <v>152</v>
      </c>
      <c r="C213" t="s">
        <v>153</v>
      </c>
      <c r="D213">
        <f>_xlfn.XLOOKUP(B213,'3.屠宰能力表'!B:B,'3.屠宰能力表'!E:E)</f>
        <v>4800</v>
      </c>
      <c r="E213">
        <f>_xlfn.XLOOKUP(B213,'4.分割能力表'!B:B,'4.分割能力表'!D:D)</f>
        <v>1600</v>
      </c>
      <c r="F213">
        <f>_xlfn.XLOOKUP(B213,'4.分割能力表'!B:B,'4.分割能力表'!E:E)</f>
        <v>100000</v>
      </c>
      <c r="G213" t="s">
        <v>59</v>
      </c>
      <c r="H213">
        <f>_xlfn.XLOOKUP(G213,系数辅助表!$C:$C,系数辅助表!$D:$D)</f>
        <v>1.4718794556320801E-2</v>
      </c>
      <c r="J213">
        <f t="shared" si="20"/>
        <v>8478.02566444078</v>
      </c>
      <c r="K213">
        <f t="shared" si="19"/>
        <v>8478.02566444078</v>
      </c>
    </row>
    <row r="214" spans="1:12" x14ac:dyDescent="0.3">
      <c r="A214" t="s">
        <v>14</v>
      </c>
      <c r="B214" t="s">
        <v>152</v>
      </c>
      <c r="C214" t="s">
        <v>153</v>
      </c>
      <c r="D214">
        <f>_xlfn.XLOOKUP(B214,'3.屠宰能力表'!B:B,'3.屠宰能力表'!E:E)</f>
        <v>4800</v>
      </c>
      <c r="E214">
        <f>_xlfn.XLOOKUP(B214,'4.分割能力表'!B:B,'4.分割能力表'!D:D)</f>
        <v>1600</v>
      </c>
      <c r="F214">
        <f>_xlfn.XLOOKUP(B214,'4.分割能力表'!B:B,'4.分割能力表'!E:E)</f>
        <v>100000</v>
      </c>
      <c r="G214" t="s">
        <v>60</v>
      </c>
      <c r="H214">
        <f>_xlfn.XLOOKUP(G214,系数辅助表!$C:$C,系数辅助表!$D:$D)</f>
        <v>6.8269088945398003E-3</v>
      </c>
      <c r="J214">
        <f t="shared" si="20"/>
        <v>3932.2995232549201</v>
      </c>
      <c r="K214">
        <f t="shared" si="19"/>
        <v>3932.2995232549201</v>
      </c>
    </row>
    <row r="215" spans="1:12" x14ac:dyDescent="0.3">
      <c r="A215" t="s">
        <v>14</v>
      </c>
      <c r="B215" t="s">
        <v>152</v>
      </c>
      <c r="C215" t="s">
        <v>153</v>
      </c>
      <c r="D215">
        <f>_xlfn.XLOOKUP(B215,'3.屠宰能力表'!B:B,'3.屠宰能力表'!E:E)</f>
        <v>4800</v>
      </c>
      <c r="E215">
        <f>_xlfn.XLOOKUP(B215,'4.分割能力表'!B:B,'4.分割能力表'!D:D)</f>
        <v>1600</v>
      </c>
      <c r="F215">
        <f>_xlfn.XLOOKUP(B215,'4.分割能力表'!B:B,'4.分割能力表'!E:E)</f>
        <v>100000</v>
      </c>
      <c r="G215" t="s">
        <v>61</v>
      </c>
      <c r="H215">
        <f>_xlfn.XLOOKUP(G215,系数辅助表!$C:$C,系数辅助表!$D:$D)</f>
        <v>7.8149116832768404E-3</v>
      </c>
      <c r="J215">
        <f t="shared" si="20"/>
        <v>4501.3891295674603</v>
      </c>
      <c r="K215">
        <f t="shared" si="19"/>
        <v>4501.3891295674603</v>
      </c>
    </row>
    <row r="216" spans="1:12" x14ac:dyDescent="0.3">
      <c r="A216" t="s">
        <v>14</v>
      </c>
      <c r="B216" t="s">
        <v>152</v>
      </c>
      <c r="C216" t="s">
        <v>153</v>
      </c>
      <c r="D216">
        <f>_xlfn.XLOOKUP(B216,'3.屠宰能力表'!B:B,'3.屠宰能力表'!E:E)</f>
        <v>4800</v>
      </c>
      <c r="E216">
        <f>_xlfn.XLOOKUP(B216,'4.分割能力表'!B:B,'4.分割能力表'!D:D)</f>
        <v>1600</v>
      </c>
      <c r="F216">
        <f>_xlfn.XLOOKUP(B216,'4.分割能力表'!B:B,'4.分割能力表'!E:E)</f>
        <v>100000</v>
      </c>
      <c r="G216" t="s">
        <v>62</v>
      </c>
      <c r="H216">
        <f>_xlfn.XLOOKUP(G216,系数辅助表!$C:$C,系数辅助表!$D:$D)</f>
        <v>7.3264797030720401E-3</v>
      </c>
      <c r="J216">
        <f t="shared" si="20"/>
        <v>4220.0523089694998</v>
      </c>
      <c r="K216">
        <f t="shared" si="19"/>
        <v>4220.0523089694998</v>
      </c>
    </row>
    <row r="217" spans="1:12" x14ac:dyDescent="0.3">
      <c r="A217" t="s">
        <v>14</v>
      </c>
      <c r="B217" t="s">
        <v>152</v>
      </c>
      <c r="C217" t="s">
        <v>153</v>
      </c>
      <c r="D217">
        <f>_xlfn.XLOOKUP(B217,'3.屠宰能力表'!B:B,'3.屠宰能力表'!E:E)</f>
        <v>4800</v>
      </c>
      <c r="E217">
        <f>_xlfn.XLOOKUP(B217,'4.分割能力表'!B:B,'4.分割能力表'!D:D)</f>
        <v>1600</v>
      </c>
      <c r="F217">
        <f>_xlfn.XLOOKUP(B217,'4.分割能力表'!B:B,'4.分割能力表'!E:E)</f>
        <v>100000</v>
      </c>
      <c r="G217" t="s">
        <v>63</v>
      </c>
      <c r="H217">
        <f>_xlfn.XLOOKUP(G217,系数辅助表!$C:$C,系数辅助表!$D:$D)</f>
        <v>6.1516718317408204E-3</v>
      </c>
      <c r="J217">
        <f t="shared" si="20"/>
        <v>3543.3629750827099</v>
      </c>
      <c r="K217">
        <f t="shared" si="19"/>
        <v>3543.3629750827099</v>
      </c>
    </row>
    <row r="218" spans="1:12" x14ac:dyDescent="0.3">
      <c r="A218" t="s">
        <v>14</v>
      </c>
      <c r="B218" t="s">
        <v>152</v>
      </c>
      <c r="C218" t="s">
        <v>153</v>
      </c>
      <c r="D218">
        <f>_xlfn.XLOOKUP(B218,'3.屠宰能力表'!B:B,'3.屠宰能力表'!E:E)</f>
        <v>4800</v>
      </c>
      <c r="E218">
        <f>_xlfn.XLOOKUP(B218,'4.分割能力表'!B:B,'4.分割能力表'!D:D)</f>
        <v>1600</v>
      </c>
      <c r="F218">
        <f>_xlfn.XLOOKUP(B218,'4.分割能力表'!B:B,'4.分割能力表'!E:E)</f>
        <v>100000</v>
      </c>
      <c r="G218" t="s">
        <v>64</v>
      </c>
      <c r="H218">
        <f>_xlfn.XLOOKUP(G218,系数辅助表!$C:$C,系数辅助表!$D:$D)</f>
        <v>1.0639112440104599E-3</v>
      </c>
      <c r="J218">
        <f t="shared" si="20"/>
        <v>612.81287655002495</v>
      </c>
      <c r="K218">
        <f t="shared" si="19"/>
        <v>612.81287655002495</v>
      </c>
    </row>
    <row r="219" spans="1:12" x14ac:dyDescent="0.3">
      <c r="A219" t="s">
        <v>14</v>
      </c>
      <c r="B219" t="s">
        <v>152</v>
      </c>
      <c r="C219" t="s">
        <v>153</v>
      </c>
      <c r="D219">
        <f>_xlfn.XLOOKUP(B219,'3.屠宰能力表'!B:B,'3.屠宰能力表'!E:E)</f>
        <v>4800</v>
      </c>
      <c r="E219">
        <f>_xlfn.XLOOKUP(B219,'4.分割能力表'!B:B,'4.分割能力表'!D:D)</f>
        <v>1600</v>
      </c>
      <c r="F219">
        <f>_xlfn.XLOOKUP(B219,'4.分割能力表'!B:B,'4.分割能力表'!E:E)</f>
        <v>100000</v>
      </c>
      <c r="G219" t="s">
        <v>65</v>
      </c>
      <c r="H219">
        <f>_xlfn.XLOOKUP(G219,系数辅助表!$C:$C,系数辅助表!$D:$D)</f>
        <v>4.8359602000475603E-4</v>
      </c>
      <c r="J219">
        <f t="shared" si="20"/>
        <v>278.55130752273902</v>
      </c>
      <c r="K219">
        <f t="shared" si="19"/>
        <v>278.55130752273902</v>
      </c>
    </row>
    <row r="220" spans="1:12" x14ac:dyDescent="0.3">
      <c r="A220" t="s">
        <v>14</v>
      </c>
      <c r="B220" t="s">
        <v>152</v>
      </c>
      <c r="C220" t="s">
        <v>153</v>
      </c>
      <c r="D220">
        <f>_xlfn.XLOOKUP(B220,'3.屠宰能力表'!B:B,'3.屠宰能力表'!E:E)</f>
        <v>4800</v>
      </c>
      <c r="E220">
        <f>_xlfn.XLOOKUP(B220,'4.分割能力表'!B:B,'4.分割能力表'!D:D)</f>
        <v>1600</v>
      </c>
      <c r="F220">
        <f>_xlfn.XLOOKUP(B220,'4.分割能力表'!B:B,'4.分割能力表'!E:E)</f>
        <v>100000</v>
      </c>
      <c r="G220" t="s">
        <v>66</v>
      </c>
      <c r="H220">
        <f>_xlfn.XLOOKUP(G220,系数辅助表!$C:$C,系数辅助表!$D:$D)</f>
        <v>1.70951193071681E-3</v>
      </c>
      <c r="J220">
        <f t="shared" si="20"/>
        <v>984.67887209288301</v>
      </c>
      <c r="K220">
        <f t="shared" si="19"/>
        <v>984.67887209288301</v>
      </c>
    </row>
    <row r="221" spans="1:12" x14ac:dyDescent="0.3">
      <c r="A221" t="s">
        <v>14</v>
      </c>
      <c r="B221" t="s">
        <v>152</v>
      </c>
      <c r="C221" t="s">
        <v>153</v>
      </c>
      <c r="D221">
        <f>_xlfn.XLOOKUP(B221,'3.屠宰能力表'!B:B,'3.屠宰能力表'!E:E)</f>
        <v>4800</v>
      </c>
      <c r="E221">
        <f>_xlfn.XLOOKUP(B221,'4.分割能力表'!B:B,'4.分割能力表'!D:D)</f>
        <v>1600</v>
      </c>
      <c r="F221">
        <f>_xlfn.XLOOKUP(B221,'4.分割能力表'!B:B,'4.分割能力表'!E:E)</f>
        <v>100000</v>
      </c>
      <c r="G221" t="s">
        <v>67</v>
      </c>
      <c r="H221">
        <f>_xlfn.XLOOKUP(G221,系数辅助表!$C:$C,系数辅助表!$D:$D)</f>
        <v>0.02</v>
      </c>
      <c r="J221">
        <f t="shared" si="20"/>
        <v>11520</v>
      </c>
      <c r="K221">
        <f t="shared" si="19"/>
        <v>11520</v>
      </c>
    </row>
    <row r="222" spans="1:12" x14ac:dyDescent="0.3">
      <c r="A222" t="s">
        <v>14</v>
      </c>
      <c r="B222" t="s">
        <v>152</v>
      </c>
      <c r="C222" t="s">
        <v>153</v>
      </c>
      <c r="D222">
        <f>_xlfn.XLOOKUP(B222,'3.屠宰能力表'!B:B,'3.屠宰能力表'!E:E)</f>
        <v>4800</v>
      </c>
      <c r="E222">
        <f>_xlfn.XLOOKUP(B222,'4.分割能力表'!B:B,'4.分割能力表'!D:D)</f>
        <v>1600</v>
      </c>
      <c r="F222">
        <f>_xlfn.XLOOKUP(B222,'4.分割能力表'!B:B,'4.分割能力表'!E:E)</f>
        <v>100000</v>
      </c>
      <c r="G222" t="s">
        <v>56</v>
      </c>
      <c r="H222">
        <f>_xlfn.XLOOKUP(G222,系数辅助表!$C:$C,系数辅助表!$D:$D)</f>
        <v>1.85007717386486E-2</v>
      </c>
      <c r="J222">
        <f t="shared" ref="J222:J230" si="21">$E222*H222*$D$1</f>
        <v>3552.1481738205298</v>
      </c>
      <c r="K222">
        <f t="shared" si="19"/>
        <v>631.57236097916496</v>
      </c>
      <c r="L222">
        <v>2920.57581284137</v>
      </c>
    </row>
    <row r="223" spans="1:12" x14ac:dyDescent="0.3">
      <c r="A223" t="s">
        <v>14</v>
      </c>
      <c r="B223" t="s">
        <v>152</v>
      </c>
      <c r="C223" t="s">
        <v>153</v>
      </c>
      <c r="D223">
        <f>_xlfn.XLOOKUP(B223,'3.屠宰能力表'!B:B,'3.屠宰能力表'!E:E)</f>
        <v>4800</v>
      </c>
      <c r="E223">
        <f>_xlfn.XLOOKUP(B223,'4.分割能力表'!B:B,'4.分割能力表'!D:D)</f>
        <v>1600</v>
      </c>
      <c r="F223">
        <f>_xlfn.XLOOKUP(B223,'4.分割能力表'!B:B,'4.分割能力表'!E:E)</f>
        <v>100000</v>
      </c>
      <c r="G223" t="s">
        <v>45</v>
      </c>
      <c r="H223">
        <f>_xlfn.XLOOKUP(G223,系数辅助表!$C:$C,系数辅助表!$D:$D)</f>
        <v>1.8327694979870301E-2</v>
      </c>
      <c r="J223">
        <f t="shared" si="21"/>
        <v>3518.9174361351002</v>
      </c>
      <c r="K223">
        <f t="shared" si="19"/>
        <v>625.66393193001204</v>
      </c>
      <c r="L223">
        <v>2893.2535042050899</v>
      </c>
    </row>
    <row r="224" spans="1:12" x14ac:dyDescent="0.3">
      <c r="A224" t="s">
        <v>14</v>
      </c>
      <c r="B224" t="s">
        <v>152</v>
      </c>
      <c r="C224" t="s">
        <v>153</v>
      </c>
      <c r="D224">
        <f>_xlfn.XLOOKUP(B224,'3.屠宰能力表'!B:B,'3.屠宰能力表'!E:E)</f>
        <v>4800</v>
      </c>
      <c r="E224">
        <f>_xlfn.XLOOKUP(B224,'4.分割能力表'!B:B,'4.分割能力表'!D:D)</f>
        <v>1600</v>
      </c>
      <c r="F224">
        <f>_xlfn.XLOOKUP(B224,'4.分割能力表'!B:B,'4.分割能力表'!E:E)</f>
        <v>100000</v>
      </c>
      <c r="G224" t="s">
        <v>68</v>
      </c>
      <c r="H224">
        <f>_xlfn.XLOOKUP(G224,系数辅助表!$C:$C,系数辅助表!$D:$D)</f>
        <v>9.7050751819787603E-2</v>
      </c>
      <c r="J224">
        <f t="shared" si="21"/>
        <v>18633.7443493992</v>
      </c>
      <c r="K224">
        <f t="shared" si="19"/>
        <v>5611.1812893838796</v>
      </c>
      <c r="L224">
        <v>13022.5630600153</v>
      </c>
    </row>
    <row r="225" spans="1:12" x14ac:dyDescent="0.3">
      <c r="A225" t="s">
        <v>14</v>
      </c>
      <c r="B225" t="s">
        <v>152</v>
      </c>
      <c r="C225" t="s">
        <v>153</v>
      </c>
      <c r="D225">
        <f>_xlfn.XLOOKUP(B225,'3.屠宰能力表'!B:B,'3.屠宰能力表'!E:E)</f>
        <v>4800</v>
      </c>
      <c r="E225">
        <f>_xlfn.XLOOKUP(B225,'4.分割能力表'!B:B,'4.分割能力表'!D:D)</f>
        <v>1600</v>
      </c>
      <c r="F225">
        <f>_xlfn.XLOOKUP(B225,'4.分割能力表'!B:B,'4.分割能力表'!E:E)</f>
        <v>100000</v>
      </c>
      <c r="G225" t="s">
        <v>70</v>
      </c>
      <c r="H225">
        <f>_xlfn.XLOOKUP(G225,系数辅助表!$C:$C,系数辅助表!$D:$D)</f>
        <v>4.6512517384561802E-2</v>
      </c>
      <c r="J225">
        <f t="shared" si="21"/>
        <v>8930.4033378358708</v>
      </c>
      <c r="K225">
        <f t="shared" si="19"/>
        <v>6632.3039743037398</v>
      </c>
      <c r="L225">
        <v>2298.0993635321202</v>
      </c>
    </row>
    <row r="226" spans="1:12" x14ac:dyDescent="0.3">
      <c r="A226" t="s">
        <v>14</v>
      </c>
      <c r="B226" t="s">
        <v>152</v>
      </c>
      <c r="C226" t="s">
        <v>153</v>
      </c>
      <c r="D226">
        <f>_xlfn.XLOOKUP(B226,'3.屠宰能力表'!B:B,'3.屠宰能力表'!E:E)</f>
        <v>4800</v>
      </c>
      <c r="E226">
        <f>_xlfn.XLOOKUP(B226,'4.分割能力表'!B:B,'4.分割能力表'!D:D)</f>
        <v>1600</v>
      </c>
      <c r="F226">
        <f>_xlfn.XLOOKUP(B226,'4.分割能力表'!B:B,'4.分割能力表'!E:E)</f>
        <v>100000</v>
      </c>
      <c r="G226" t="s">
        <v>71</v>
      </c>
      <c r="H226">
        <f>_xlfn.XLOOKUP(G226,系数辅助表!$C:$C,系数辅助表!$D:$D)</f>
        <v>2.8731737554939799E-2</v>
      </c>
      <c r="J226">
        <f t="shared" si="21"/>
        <v>5516.4936105484403</v>
      </c>
      <c r="K226">
        <f t="shared" si="19"/>
        <v>980.833209497908</v>
      </c>
      <c r="L226">
        <v>4535.6604010505298</v>
      </c>
    </row>
    <row r="227" spans="1:12" x14ac:dyDescent="0.3">
      <c r="A227" t="s">
        <v>14</v>
      </c>
      <c r="B227" t="s">
        <v>152</v>
      </c>
      <c r="C227" t="s">
        <v>153</v>
      </c>
      <c r="D227">
        <f>_xlfn.XLOOKUP(B227,'3.屠宰能力表'!B:B,'3.屠宰能力表'!E:E)</f>
        <v>4800</v>
      </c>
      <c r="E227">
        <f>_xlfn.XLOOKUP(B227,'4.分割能力表'!B:B,'4.分割能力表'!D:D)</f>
        <v>1600</v>
      </c>
      <c r="F227">
        <f>_xlfn.XLOOKUP(B227,'4.分割能力表'!B:B,'4.分割能力表'!E:E)</f>
        <v>100000</v>
      </c>
      <c r="G227" t="s">
        <v>72</v>
      </c>
      <c r="H227">
        <f>_xlfn.XLOOKUP(G227,系数辅助表!$C:$C,系数辅助表!$D:$D)</f>
        <v>2.9020999088867499E-2</v>
      </c>
      <c r="J227">
        <f t="shared" si="21"/>
        <v>5572.0318250625596</v>
      </c>
      <c r="K227">
        <f t="shared" si="19"/>
        <v>5572.0318250625596</v>
      </c>
      <c r="L227">
        <v>0</v>
      </c>
    </row>
    <row r="228" spans="1:12" x14ac:dyDescent="0.3">
      <c r="A228" t="s">
        <v>14</v>
      </c>
      <c r="B228" t="s">
        <v>152</v>
      </c>
      <c r="C228" t="s">
        <v>153</v>
      </c>
      <c r="D228">
        <f>_xlfn.XLOOKUP(B228,'3.屠宰能力表'!B:B,'3.屠宰能力表'!E:E)</f>
        <v>4800</v>
      </c>
      <c r="E228">
        <f>_xlfn.XLOOKUP(B228,'4.分割能力表'!B:B,'4.分割能力表'!D:D)</f>
        <v>1600</v>
      </c>
      <c r="F228">
        <f>_xlfn.XLOOKUP(B228,'4.分割能力表'!B:B,'4.分割能力表'!E:E)</f>
        <v>100000</v>
      </c>
      <c r="G228" t="s">
        <v>73</v>
      </c>
      <c r="H228">
        <f>_xlfn.XLOOKUP(G228,系数辅助表!$C:$C,系数辅助表!$D:$D)</f>
        <v>3.3890751204307498E-2</v>
      </c>
      <c r="J228">
        <f t="shared" si="21"/>
        <v>6507.0242312270402</v>
      </c>
      <c r="K228" s="7">
        <f t="shared" si="19"/>
        <v>0</v>
      </c>
      <c r="L228" s="7">
        <f t="shared" ref="L228:L230" si="22">J228</f>
        <v>6507.0242312270402</v>
      </c>
    </row>
    <row r="229" spans="1:12" x14ac:dyDescent="0.3">
      <c r="A229" t="s">
        <v>14</v>
      </c>
      <c r="B229" t="s">
        <v>152</v>
      </c>
      <c r="C229" t="s">
        <v>153</v>
      </c>
      <c r="D229">
        <f>_xlfn.XLOOKUP(B229,'3.屠宰能力表'!B:B,'3.屠宰能力表'!E:E)</f>
        <v>4800</v>
      </c>
      <c r="E229">
        <f>_xlfn.XLOOKUP(B229,'4.分割能力表'!B:B,'4.分割能力表'!D:D)</f>
        <v>1600</v>
      </c>
      <c r="F229">
        <f>_xlfn.XLOOKUP(B229,'4.分割能力表'!B:B,'4.分割能力表'!E:E)</f>
        <v>100000</v>
      </c>
      <c r="G229" t="s">
        <v>74</v>
      </c>
      <c r="H229">
        <f>_xlfn.XLOOKUP(G229,系数辅助表!$C:$C,系数辅助表!$D:$D)</f>
        <v>6.6683830901271496E-3</v>
      </c>
      <c r="J229">
        <f t="shared" si="21"/>
        <v>1280.32955330441</v>
      </c>
      <c r="K229" s="7">
        <f t="shared" si="19"/>
        <v>0</v>
      </c>
      <c r="L229" s="7">
        <f t="shared" si="22"/>
        <v>1280.32955330441</v>
      </c>
    </row>
    <row r="230" spans="1:12" x14ac:dyDescent="0.3">
      <c r="A230" t="s">
        <v>14</v>
      </c>
      <c r="B230" t="s">
        <v>152</v>
      </c>
      <c r="C230" t="s">
        <v>153</v>
      </c>
      <c r="D230">
        <f>_xlfn.XLOOKUP(B230,'3.屠宰能力表'!B:B,'3.屠宰能力表'!E:E)</f>
        <v>4800</v>
      </c>
      <c r="E230">
        <f>_xlfn.XLOOKUP(B230,'4.分割能力表'!B:B,'4.分割能力表'!D:D)</f>
        <v>1600</v>
      </c>
      <c r="F230">
        <f>_xlfn.XLOOKUP(B230,'4.分割能力表'!B:B,'4.分割能力表'!E:E)</f>
        <v>100000</v>
      </c>
      <c r="G230" t="s">
        <v>75</v>
      </c>
      <c r="H230">
        <f>_xlfn.XLOOKUP(G230,系数辅助表!$C:$C,系数辅助表!$D:$D)</f>
        <v>7.3037535376360693E-2</v>
      </c>
      <c r="J230">
        <f t="shared" si="21"/>
        <v>14023.206792261301</v>
      </c>
      <c r="K230" s="7">
        <f t="shared" si="19"/>
        <v>0</v>
      </c>
      <c r="L230" s="7">
        <f t="shared" si="22"/>
        <v>14023.206792261301</v>
      </c>
    </row>
    <row r="231" spans="1:12" x14ac:dyDescent="0.3">
      <c r="A231" t="s">
        <v>14</v>
      </c>
      <c r="B231" t="s">
        <v>152</v>
      </c>
      <c r="C231" t="s">
        <v>153</v>
      </c>
      <c r="D231">
        <f>_xlfn.XLOOKUP(B231,'3.屠宰能力表'!B:B,'3.屠宰能力表'!E:E)</f>
        <v>4800</v>
      </c>
      <c r="E231">
        <f>_xlfn.XLOOKUP(B231,'4.分割能力表'!B:B,'4.分割能力表'!D:D)</f>
        <v>1600</v>
      </c>
      <c r="F231">
        <f>_xlfn.XLOOKUP(B231,'4.分割能力表'!B:B,'4.分割能力表'!E:E)</f>
        <v>100000</v>
      </c>
      <c r="G231" t="s">
        <v>76</v>
      </c>
      <c r="H231">
        <f>_xlfn.XLOOKUP(G231,系数辅助表!$C:$C,系数辅助表!$D:$D)</f>
        <v>0.122051725196981</v>
      </c>
      <c r="J231">
        <f t="shared" ref="J231:J247" si="23">$E231*H231*$D$1</f>
        <v>23433.931237820401</v>
      </c>
      <c r="K231">
        <f t="shared" si="19"/>
        <v>9946.76837277917</v>
      </c>
      <c r="L231">
        <v>13487.1628650412</v>
      </c>
    </row>
    <row r="232" spans="1:12" x14ac:dyDescent="0.3">
      <c r="A232" t="s">
        <v>14</v>
      </c>
      <c r="B232" t="s">
        <v>152</v>
      </c>
      <c r="C232" t="s">
        <v>153</v>
      </c>
      <c r="D232">
        <f>_xlfn.XLOOKUP(B232,'3.屠宰能力表'!B:B,'3.屠宰能力表'!E:E)</f>
        <v>4800</v>
      </c>
      <c r="E232">
        <f>_xlfn.XLOOKUP(B232,'4.分割能力表'!B:B,'4.分割能力表'!D:D)</f>
        <v>1600</v>
      </c>
      <c r="F232">
        <f>_xlfn.XLOOKUP(B232,'4.分割能力表'!B:B,'4.分割能力表'!E:E)</f>
        <v>100000</v>
      </c>
      <c r="G232" t="s">
        <v>77</v>
      </c>
      <c r="H232" s="1">
        <f>_xlfn.XLOOKUP(G232,系数辅助表!$C:$C,系数辅助表!$D:$D)</f>
        <v>1.9521507261015199E-2</v>
      </c>
      <c r="J232">
        <f t="shared" si="23"/>
        <v>3748.1293941149202</v>
      </c>
      <c r="K232">
        <f t="shared" si="19"/>
        <v>666.41784488130702</v>
      </c>
      <c r="L232">
        <v>3081.7115492336102</v>
      </c>
    </row>
    <row r="233" spans="1:12" x14ac:dyDescent="0.3">
      <c r="A233" t="s">
        <v>14</v>
      </c>
      <c r="B233" t="s">
        <v>152</v>
      </c>
      <c r="C233" t="s">
        <v>153</v>
      </c>
      <c r="D233">
        <f>_xlfn.XLOOKUP(B233,'3.屠宰能力表'!B:B,'3.屠宰能力表'!E:E)</f>
        <v>4800</v>
      </c>
      <c r="E233">
        <f>_xlfn.XLOOKUP(B233,'4.分割能力表'!B:B,'4.分割能力表'!D:D)</f>
        <v>1600</v>
      </c>
      <c r="F233">
        <f>_xlfn.XLOOKUP(B233,'4.分割能力表'!B:B,'4.分割能力表'!E:E)</f>
        <v>100000</v>
      </c>
      <c r="G233" t="s">
        <v>78</v>
      </c>
      <c r="H233" s="1">
        <f>_xlfn.XLOOKUP(G233,系数辅助表!$C:$C,系数辅助表!$D:$D)</f>
        <v>2.7552209592914899E-2</v>
      </c>
      <c r="J233">
        <f t="shared" si="23"/>
        <v>5290.0242418396601</v>
      </c>
      <c r="K233">
        <f t="shared" si="19"/>
        <v>940.56692923994797</v>
      </c>
      <c r="L233">
        <v>4349.4573125997103</v>
      </c>
    </row>
    <row r="234" spans="1:12" x14ac:dyDescent="0.3">
      <c r="A234" t="s">
        <v>14</v>
      </c>
      <c r="B234" t="s">
        <v>152</v>
      </c>
      <c r="C234" t="s">
        <v>153</v>
      </c>
      <c r="D234">
        <f>_xlfn.XLOOKUP(B234,'3.屠宰能力表'!B:B,'3.屠宰能力表'!E:E)</f>
        <v>4800</v>
      </c>
      <c r="E234">
        <f>_xlfn.XLOOKUP(B234,'4.分割能力表'!B:B,'4.分割能力表'!D:D)</f>
        <v>1600</v>
      </c>
      <c r="F234">
        <f>_xlfn.XLOOKUP(B234,'4.分割能力表'!B:B,'4.分割能力表'!E:E)</f>
        <v>100000</v>
      </c>
      <c r="G234" t="s">
        <v>79</v>
      </c>
      <c r="H234">
        <f>_xlfn.XLOOKUP(G234,系数辅助表!$C:$C,系数辅助表!$D:$D)</f>
        <v>6.1357302939246697E-2</v>
      </c>
      <c r="J234">
        <f t="shared" si="23"/>
        <v>11780.6021643354</v>
      </c>
      <c r="K234">
        <f t="shared" si="19"/>
        <v>2094.5924433898499</v>
      </c>
      <c r="L234">
        <v>9686.0097209455198</v>
      </c>
    </row>
    <row r="235" spans="1:12" x14ac:dyDescent="0.3">
      <c r="A235" t="s">
        <v>14</v>
      </c>
      <c r="B235" t="s">
        <v>152</v>
      </c>
      <c r="C235" t="s">
        <v>153</v>
      </c>
      <c r="D235">
        <f>_xlfn.XLOOKUP(B235,'3.屠宰能力表'!B:B,'3.屠宰能力表'!E:E)</f>
        <v>4800</v>
      </c>
      <c r="E235">
        <f>_xlfn.XLOOKUP(B235,'4.分割能力表'!B:B,'4.分割能力表'!D:D)</f>
        <v>1600</v>
      </c>
      <c r="F235">
        <f>_xlfn.XLOOKUP(B235,'4.分割能力表'!B:B,'4.分割能力表'!E:E)</f>
        <v>100000</v>
      </c>
      <c r="G235" t="s">
        <v>80</v>
      </c>
      <c r="H235">
        <f>_xlfn.XLOOKUP(G235,系数辅助表!$C:$C,系数辅助表!$D:$D)</f>
        <v>1.30165882845583E-2</v>
      </c>
      <c r="J235">
        <f t="shared" si="23"/>
        <v>2499.18495063519</v>
      </c>
      <c r="K235">
        <f t="shared" si="19"/>
        <v>2499.18495063519</v>
      </c>
      <c r="L235">
        <v>0</v>
      </c>
    </row>
    <row r="236" spans="1:12" x14ac:dyDescent="0.3">
      <c r="A236" t="s">
        <v>14</v>
      </c>
      <c r="B236" t="s">
        <v>152</v>
      </c>
      <c r="C236" t="s">
        <v>153</v>
      </c>
      <c r="D236">
        <f>_xlfn.XLOOKUP(B236,'3.屠宰能力表'!B:B,'3.屠宰能力表'!E:E)</f>
        <v>4800</v>
      </c>
      <c r="E236">
        <f>_xlfn.XLOOKUP(B236,'4.分割能力表'!B:B,'4.分割能力表'!D:D)</f>
        <v>1600</v>
      </c>
      <c r="F236">
        <f>_xlfn.XLOOKUP(B236,'4.分割能力表'!B:B,'4.分割能力表'!E:E)</f>
        <v>100000</v>
      </c>
      <c r="G236" t="s">
        <v>81</v>
      </c>
      <c r="H236">
        <f>_xlfn.XLOOKUP(G236,系数辅助表!$C:$C,系数辅助表!$D:$D)</f>
        <v>2.9868560985823099E-2</v>
      </c>
      <c r="J236">
        <f t="shared" si="23"/>
        <v>5734.7637092780396</v>
      </c>
      <c r="K236">
        <f t="shared" si="19"/>
        <v>5734.7637092780396</v>
      </c>
      <c r="L236">
        <v>0</v>
      </c>
    </row>
    <row r="237" spans="1:12" x14ac:dyDescent="0.3">
      <c r="A237" t="s">
        <v>14</v>
      </c>
      <c r="B237" t="s">
        <v>152</v>
      </c>
      <c r="C237" t="s">
        <v>153</v>
      </c>
      <c r="D237">
        <f>_xlfn.XLOOKUP(B237,'3.屠宰能力表'!B:B,'3.屠宰能力表'!E:E)</f>
        <v>4800</v>
      </c>
      <c r="E237">
        <f>_xlfn.XLOOKUP(B237,'4.分割能力表'!B:B,'4.分割能力表'!D:D)</f>
        <v>1600</v>
      </c>
      <c r="F237">
        <f>_xlfn.XLOOKUP(B237,'4.分割能力表'!B:B,'4.分割能力表'!E:E)</f>
        <v>100000</v>
      </c>
      <c r="G237" t="s">
        <v>82</v>
      </c>
      <c r="H237">
        <f>_xlfn.XLOOKUP(G237,系数辅助表!$C:$C,系数辅助表!$D:$D)</f>
        <v>1.31753271660773E-2</v>
      </c>
      <c r="J237">
        <f t="shared" si="23"/>
        <v>2529.6628158868398</v>
      </c>
      <c r="K237">
        <f t="shared" si="19"/>
        <v>449.77434468688102</v>
      </c>
      <c r="L237">
        <v>2079.8884711999599</v>
      </c>
    </row>
    <row r="238" spans="1:12" x14ac:dyDescent="0.3">
      <c r="A238" t="s">
        <v>14</v>
      </c>
      <c r="B238" t="s">
        <v>152</v>
      </c>
      <c r="C238" t="s">
        <v>153</v>
      </c>
      <c r="D238">
        <f>_xlfn.XLOOKUP(B238,'3.屠宰能力表'!B:B,'3.屠宰能力表'!E:E)</f>
        <v>4800</v>
      </c>
      <c r="E238">
        <f>_xlfn.XLOOKUP(B238,'4.分割能力表'!B:B,'4.分割能力表'!D:D)</f>
        <v>1600</v>
      </c>
      <c r="F238">
        <f>_xlfn.XLOOKUP(B238,'4.分割能力表'!B:B,'4.分割能力表'!E:E)</f>
        <v>100000</v>
      </c>
      <c r="G238" t="s">
        <v>83</v>
      </c>
      <c r="H238">
        <f>_xlfn.XLOOKUP(G238,系数辅助表!$C:$C,系数辅助表!$D:$D)</f>
        <v>7.2226191091146899E-3</v>
      </c>
      <c r="J238">
        <f t="shared" si="23"/>
        <v>1386.74286895002</v>
      </c>
      <c r="K238">
        <f t="shared" si="19"/>
        <v>1386.74286895002</v>
      </c>
      <c r="L238">
        <v>0</v>
      </c>
    </row>
    <row r="239" spans="1:12" x14ac:dyDescent="0.3">
      <c r="A239" t="s">
        <v>14</v>
      </c>
      <c r="B239" t="s">
        <v>152</v>
      </c>
      <c r="C239" t="s">
        <v>153</v>
      </c>
      <c r="D239">
        <f>_xlfn.XLOOKUP(B239,'3.屠宰能力表'!B:B,'3.屠宰能力表'!E:E)</f>
        <v>4800</v>
      </c>
      <c r="E239">
        <f>_xlfn.XLOOKUP(B239,'4.分割能力表'!B:B,'4.分割能力表'!D:D)</f>
        <v>1600</v>
      </c>
      <c r="F239">
        <f>_xlfn.XLOOKUP(B239,'4.分割能力表'!B:B,'4.分割能力表'!E:E)</f>
        <v>100000</v>
      </c>
      <c r="G239" t="s">
        <v>84</v>
      </c>
      <c r="H239">
        <f>_xlfn.XLOOKUP(G239,系数辅助表!$C:$C,系数辅助表!$D:$D)</f>
        <v>2.34933544648127E-2</v>
      </c>
      <c r="J239">
        <f t="shared" si="23"/>
        <v>4510.7240572440396</v>
      </c>
      <c r="K239">
        <f t="shared" si="19"/>
        <v>4510.7240572440396</v>
      </c>
      <c r="L239">
        <v>0</v>
      </c>
    </row>
    <row r="240" spans="1:12" x14ac:dyDescent="0.3">
      <c r="A240" t="s">
        <v>14</v>
      </c>
      <c r="B240" t="s">
        <v>152</v>
      </c>
      <c r="C240" t="s">
        <v>153</v>
      </c>
      <c r="D240">
        <f>_xlfn.XLOOKUP(B240,'3.屠宰能力表'!B:B,'3.屠宰能力表'!E:E)</f>
        <v>4800</v>
      </c>
      <c r="E240">
        <f>_xlfn.XLOOKUP(B240,'4.分割能力表'!B:B,'4.分割能力表'!D:D)</f>
        <v>1600</v>
      </c>
      <c r="F240">
        <f>_xlfn.XLOOKUP(B240,'4.分割能力表'!B:B,'4.分割能力表'!E:E)</f>
        <v>100000</v>
      </c>
      <c r="G240" t="s">
        <v>85</v>
      </c>
      <c r="H240">
        <f>_xlfn.XLOOKUP(G240,系数辅助表!$C:$C,系数辅助表!$D:$D)</f>
        <v>9.8418106541782492E-3</v>
      </c>
      <c r="J240">
        <f t="shared" si="23"/>
        <v>1889.6276456022199</v>
      </c>
      <c r="K240">
        <f t="shared" si="19"/>
        <v>1889.6276456022199</v>
      </c>
      <c r="L240">
        <v>0</v>
      </c>
    </row>
    <row r="241" spans="1:12" x14ac:dyDescent="0.3">
      <c r="A241" t="s">
        <v>14</v>
      </c>
      <c r="B241" t="s">
        <v>152</v>
      </c>
      <c r="C241" t="s">
        <v>153</v>
      </c>
      <c r="D241">
        <f>_xlfn.XLOOKUP(B241,'3.屠宰能力表'!B:B,'3.屠宰能力表'!E:E)</f>
        <v>4800</v>
      </c>
      <c r="E241">
        <f>_xlfn.XLOOKUP(B241,'4.分割能力表'!B:B,'4.分割能力表'!D:D)</f>
        <v>1600</v>
      </c>
      <c r="F241">
        <f>_xlfn.XLOOKUP(B241,'4.分割能力表'!B:B,'4.分割能力表'!E:E)</f>
        <v>100000</v>
      </c>
      <c r="G241" t="s">
        <v>86</v>
      </c>
      <c r="H241">
        <f>_xlfn.XLOOKUP(G241,系数辅助表!$C:$C,系数辅助表!$D:$D)</f>
        <v>6.9845107868361997E-3</v>
      </c>
      <c r="J241">
        <f t="shared" si="23"/>
        <v>1341.0260710725499</v>
      </c>
      <c r="K241">
        <f t="shared" si="19"/>
        <v>1341.0260710725499</v>
      </c>
      <c r="L241">
        <v>0</v>
      </c>
    </row>
    <row r="242" spans="1:12" x14ac:dyDescent="0.3">
      <c r="A242" t="s">
        <v>14</v>
      </c>
      <c r="B242" t="s">
        <v>152</v>
      </c>
      <c r="C242" t="s">
        <v>153</v>
      </c>
      <c r="D242">
        <f>_xlfn.XLOOKUP(B242,'3.屠宰能力表'!B:B,'3.屠宰能力表'!E:E)</f>
        <v>4800</v>
      </c>
      <c r="E242">
        <f>_xlfn.XLOOKUP(B242,'4.分割能力表'!B:B,'4.分割能力表'!D:D)</f>
        <v>1600</v>
      </c>
      <c r="F242">
        <f>_xlfn.XLOOKUP(B242,'4.分割能力表'!B:B,'4.分割能力表'!E:E)</f>
        <v>100000</v>
      </c>
      <c r="G242" t="s">
        <v>87</v>
      </c>
      <c r="H242">
        <f>_xlfn.XLOOKUP(G242,系数辅助表!$C:$C,系数辅助表!$D:$D)</f>
        <v>2.2223443412660699E-3</v>
      </c>
      <c r="J242">
        <f t="shared" si="23"/>
        <v>426.69011352308502</v>
      </c>
      <c r="K242">
        <f t="shared" si="19"/>
        <v>426.69011352308502</v>
      </c>
      <c r="L242">
        <v>0</v>
      </c>
    </row>
    <row r="243" spans="1:12" x14ac:dyDescent="0.3">
      <c r="A243" t="s">
        <v>14</v>
      </c>
      <c r="B243" t="s">
        <v>152</v>
      </c>
      <c r="C243" t="s">
        <v>153</v>
      </c>
      <c r="D243">
        <f>_xlfn.XLOOKUP(B243,'3.屠宰能力表'!B:B,'3.屠宰能力表'!E:E)</f>
        <v>4800</v>
      </c>
      <c r="E243">
        <f>_xlfn.XLOOKUP(B243,'4.分割能力表'!B:B,'4.分割能力表'!D:D)</f>
        <v>1600</v>
      </c>
      <c r="F243">
        <f>_xlfn.XLOOKUP(B243,'4.分割能力表'!B:B,'4.分割能力表'!E:E)</f>
        <v>100000</v>
      </c>
      <c r="G243" t="s">
        <v>88</v>
      </c>
      <c r="H243">
        <f>_xlfn.XLOOKUP(G243,系数辅助表!$C:$C,系数辅助表!$D:$D)</f>
        <v>1.5880638483545301E-3</v>
      </c>
      <c r="J243">
        <f t="shared" si="23"/>
        <v>304.90825888406999</v>
      </c>
      <c r="K243">
        <f t="shared" si="19"/>
        <v>304.90825888406999</v>
      </c>
      <c r="L243">
        <v>0</v>
      </c>
    </row>
    <row r="244" spans="1:12" x14ac:dyDescent="0.3">
      <c r="A244" t="s">
        <v>14</v>
      </c>
      <c r="B244" t="s">
        <v>152</v>
      </c>
      <c r="C244" t="s">
        <v>153</v>
      </c>
      <c r="D244">
        <f>_xlfn.XLOOKUP(B244,'3.屠宰能力表'!B:B,'3.屠宰能力表'!E:E)</f>
        <v>4800</v>
      </c>
      <c r="E244">
        <f>_xlfn.XLOOKUP(B244,'4.分割能力表'!B:B,'4.分割能力表'!D:D)</f>
        <v>1600</v>
      </c>
      <c r="F244">
        <f>_xlfn.XLOOKUP(B244,'4.分割能力表'!B:B,'4.分割能力表'!E:E)</f>
        <v>100000</v>
      </c>
      <c r="G244" t="s">
        <v>89</v>
      </c>
      <c r="H244">
        <f>_xlfn.XLOOKUP(G244,系数辅助表!$C:$C,系数辅助表!$D:$D)</f>
        <v>1.0324777630380101E-2</v>
      </c>
      <c r="J244">
        <f t="shared" si="23"/>
        <v>1982.3573050329801</v>
      </c>
      <c r="K244">
        <f t="shared" si="19"/>
        <v>352.46336081115101</v>
      </c>
      <c r="L244">
        <v>1629.89394422183</v>
      </c>
    </row>
    <row r="245" spans="1:12" x14ac:dyDescent="0.3">
      <c r="A245" t="s">
        <v>14</v>
      </c>
      <c r="B245" t="s">
        <v>152</v>
      </c>
      <c r="C245" t="s">
        <v>153</v>
      </c>
      <c r="D245">
        <f>_xlfn.XLOOKUP(B245,'3.屠宰能力表'!B:B,'3.屠宰能力表'!E:E)</f>
        <v>4800</v>
      </c>
      <c r="E245">
        <f>_xlfn.XLOOKUP(B245,'4.分割能力表'!B:B,'4.分割能力表'!D:D)</f>
        <v>1600</v>
      </c>
      <c r="F245">
        <f>_xlfn.XLOOKUP(B245,'4.分割能力表'!B:B,'4.分割能力表'!E:E)</f>
        <v>100000</v>
      </c>
      <c r="G245" t="s">
        <v>90</v>
      </c>
      <c r="H245">
        <f>_xlfn.XLOOKUP(G245,系数辅助表!$C:$C,系数辅助表!$D:$D)</f>
        <v>2.86E-2</v>
      </c>
      <c r="J245">
        <f t="shared" si="23"/>
        <v>5491.2</v>
      </c>
      <c r="K245">
        <f t="shared" si="19"/>
        <v>976.33600258253102</v>
      </c>
      <c r="L245">
        <v>4514.8639974174703</v>
      </c>
    </row>
    <row r="246" spans="1:12" x14ac:dyDescent="0.3">
      <c r="A246" t="s">
        <v>14</v>
      </c>
      <c r="B246" t="s">
        <v>152</v>
      </c>
      <c r="C246" t="s">
        <v>153</v>
      </c>
      <c r="D246">
        <f>_xlfn.XLOOKUP(B246,'3.屠宰能力表'!B:B,'3.屠宰能力表'!E:E)</f>
        <v>4800</v>
      </c>
      <c r="E246">
        <f>_xlfn.XLOOKUP(B246,'4.分割能力表'!B:B,'4.分割能力表'!D:D)</f>
        <v>1600</v>
      </c>
      <c r="F246">
        <f>_xlfn.XLOOKUP(B246,'4.分割能力表'!B:B,'4.分割能力表'!E:E)</f>
        <v>100000</v>
      </c>
      <c r="G246" t="s">
        <v>91</v>
      </c>
      <c r="H246">
        <f>_xlfn.XLOOKUP(G246,系数辅助表!$C:$C,系数辅助表!$D:$D)</f>
        <v>2.1645581232916301E-2</v>
      </c>
      <c r="J246">
        <f t="shared" si="23"/>
        <v>4155.9515967199304</v>
      </c>
      <c r="K246">
        <f t="shared" si="19"/>
        <v>738.92868022800894</v>
      </c>
      <c r="L246">
        <v>3417.0229164919201</v>
      </c>
    </row>
    <row r="247" spans="1:12" x14ac:dyDescent="0.3">
      <c r="A247" t="s">
        <v>14</v>
      </c>
      <c r="B247" t="s">
        <v>152</v>
      </c>
      <c r="C247" t="s">
        <v>153</v>
      </c>
      <c r="D247">
        <f>_xlfn.XLOOKUP(B247,'3.屠宰能力表'!B:B,'3.屠宰能力表'!E:E)</f>
        <v>4800</v>
      </c>
      <c r="E247">
        <f>_xlfn.XLOOKUP(B247,'4.分割能力表'!B:B,'4.分割能力表'!D:D)</f>
        <v>1600</v>
      </c>
      <c r="F247">
        <f>_xlfn.XLOOKUP(B247,'4.分割能力表'!B:B,'4.分割能力表'!E:E)</f>
        <v>100000</v>
      </c>
      <c r="G247" t="s">
        <v>92</v>
      </c>
      <c r="H247">
        <f>_xlfn.XLOOKUP(G247,系数辅助表!$C:$C,系数辅助表!$D:$D)</f>
        <v>1.4286499336710399E-3</v>
      </c>
      <c r="J247">
        <f t="shared" si="23"/>
        <v>274.30078726483998</v>
      </c>
      <c r="K247">
        <f t="shared" si="19"/>
        <v>274.30078726483998</v>
      </c>
      <c r="L247">
        <v>0</v>
      </c>
    </row>
    <row r="248" spans="1:12" x14ac:dyDescent="0.3">
      <c r="A248" t="s">
        <v>14</v>
      </c>
      <c r="B248" t="s">
        <v>152</v>
      </c>
      <c r="C248" t="s">
        <v>153</v>
      </c>
      <c r="D248">
        <f>_xlfn.XLOOKUP(B248,'3.屠宰能力表'!B:B,'3.屠宰能力表'!E:E)</f>
        <v>4800</v>
      </c>
      <c r="E248">
        <f>_xlfn.XLOOKUP(B248,'4.分割能力表'!B:B,'4.分割能力表'!D:D)</f>
        <v>1600</v>
      </c>
      <c r="F248">
        <f>_xlfn.XLOOKUP(B248,'4.分割能力表'!B:B,'4.分割能力表'!E:E)</f>
        <v>100000</v>
      </c>
      <c r="G248" t="s">
        <v>93</v>
      </c>
      <c r="H248"/>
      <c r="J248">
        <f>IFERROR(INDEX($L:$L,MATCH(SUBSTITUTE(G248,"-冷冻",""),$G:$G,0)),"")</f>
        <v>9376.24540321104</v>
      </c>
    </row>
    <row r="249" spans="1:12" x14ac:dyDescent="0.3">
      <c r="A249" t="s">
        <v>14</v>
      </c>
      <c r="B249" t="s">
        <v>152</v>
      </c>
      <c r="C249" t="s">
        <v>153</v>
      </c>
      <c r="D249">
        <f>_xlfn.XLOOKUP(B249,'3.屠宰能力表'!B:B,'3.屠宰能力表'!E:E)</f>
        <v>4800</v>
      </c>
      <c r="E249">
        <f>_xlfn.XLOOKUP(B249,'4.分割能力表'!B:B,'4.分割能力表'!D:D)</f>
        <v>1600</v>
      </c>
      <c r="F249">
        <f>_xlfn.XLOOKUP(B249,'4.分割能力表'!B:B,'4.分割能力表'!E:E)</f>
        <v>100000</v>
      </c>
      <c r="G249" t="s">
        <v>96</v>
      </c>
      <c r="H249"/>
      <c r="J249">
        <f>IFERROR(INDEX($L:$L,MATCH(SUBSTITUTE(G249,"-冷冻",""),$G:$G,0)),"")</f>
        <v>1654.6315417431299</v>
      </c>
    </row>
    <row r="250" spans="1:12" x14ac:dyDescent="0.3">
      <c r="A250" t="s">
        <v>14</v>
      </c>
      <c r="B250" t="s">
        <v>152</v>
      </c>
      <c r="C250" t="s">
        <v>153</v>
      </c>
      <c r="D250">
        <f>_xlfn.XLOOKUP(B250,'3.屠宰能力表'!B:B,'3.屠宰能力表'!E:E)</f>
        <v>4800</v>
      </c>
      <c r="E250">
        <f>_xlfn.XLOOKUP(B250,'4.分割能力表'!B:B,'4.分割能力表'!D:D)</f>
        <v>1600</v>
      </c>
      <c r="F250">
        <f>_xlfn.XLOOKUP(B250,'4.分割能力表'!B:B,'4.分割能力表'!E:E)</f>
        <v>100000</v>
      </c>
      <c r="G250" t="s">
        <v>97</v>
      </c>
      <c r="H250"/>
      <c r="J250">
        <f t="shared" ref="J250:J255" si="24">IFERROR(INDEX($L:$L,MATCH(SUBSTITUTE(G250,"-冷冻",""),$G:$G,0)),"")</f>
        <v>3265.6754887563802</v>
      </c>
    </row>
    <row r="251" spans="1:12" x14ac:dyDescent="0.3">
      <c r="A251" t="s">
        <v>14</v>
      </c>
      <c r="B251" t="s">
        <v>152</v>
      </c>
      <c r="C251" t="s">
        <v>153</v>
      </c>
      <c r="D251">
        <f>_xlfn.XLOOKUP(B251,'3.屠宰能力表'!B:B,'3.屠宰能力表'!E:E)</f>
        <v>4800</v>
      </c>
      <c r="E251">
        <f>_xlfn.XLOOKUP(B251,'4.分割能力表'!B:B,'4.分割能力表'!D:D)</f>
        <v>1600</v>
      </c>
      <c r="F251">
        <f>_xlfn.XLOOKUP(B251,'4.分割能力表'!B:B,'4.分割能力表'!E:E)</f>
        <v>100000</v>
      </c>
      <c r="G251" t="s">
        <v>99</v>
      </c>
      <c r="H251"/>
      <c r="J251">
        <f t="shared" si="24"/>
        <v>5350.4415805199897</v>
      </c>
    </row>
    <row r="252" spans="1:12" x14ac:dyDescent="0.3">
      <c r="A252" t="s">
        <v>14</v>
      </c>
      <c r="B252" t="s">
        <v>152</v>
      </c>
      <c r="C252" t="s">
        <v>153</v>
      </c>
      <c r="D252">
        <f>_xlfn.XLOOKUP(B252,'3.屠宰能力表'!B:B,'3.屠宰能力表'!E:E)</f>
        <v>4800</v>
      </c>
      <c r="E252">
        <f>_xlfn.XLOOKUP(B252,'4.分割能力表'!B:B,'4.分割能力表'!D:D)</f>
        <v>1600</v>
      </c>
      <c r="F252">
        <f>_xlfn.XLOOKUP(B252,'4.分割能力表'!B:B,'4.分割能力表'!E:E)</f>
        <v>100000</v>
      </c>
      <c r="G252" t="s">
        <v>100</v>
      </c>
      <c r="H252"/>
      <c r="J252">
        <f t="shared" si="24"/>
        <v>1280.32955330441</v>
      </c>
    </row>
    <row r="253" spans="1:12" x14ac:dyDescent="0.3">
      <c r="A253" t="s">
        <v>14</v>
      </c>
      <c r="B253" t="s">
        <v>152</v>
      </c>
      <c r="C253" t="s">
        <v>153</v>
      </c>
      <c r="D253">
        <f>_xlfn.XLOOKUP(B253,'3.屠宰能力表'!B:B,'3.屠宰能力表'!E:E)</f>
        <v>4800</v>
      </c>
      <c r="E253">
        <f>_xlfn.XLOOKUP(B253,'4.分割能力表'!B:B,'4.分割能力表'!D:D)</f>
        <v>1600</v>
      </c>
      <c r="F253">
        <f>_xlfn.XLOOKUP(B253,'4.分割能力表'!B:B,'4.分割能力表'!E:E)</f>
        <v>100000</v>
      </c>
      <c r="G253" t="s">
        <v>101</v>
      </c>
      <c r="H253"/>
      <c r="J253">
        <f t="shared" si="24"/>
        <v>12463.2659808302</v>
      </c>
    </row>
    <row r="254" spans="1:12" x14ac:dyDescent="0.3">
      <c r="A254" t="s">
        <v>14</v>
      </c>
      <c r="B254" t="s">
        <v>152</v>
      </c>
      <c r="C254" t="s">
        <v>153</v>
      </c>
      <c r="D254">
        <f>_xlfn.XLOOKUP(B254,'3.屠宰能力表'!B:B,'3.屠宰能力表'!E:E)</f>
        <v>4800</v>
      </c>
      <c r="E254">
        <f>_xlfn.XLOOKUP(B254,'4.分割能力表'!B:B,'4.分割能力表'!D:D)</f>
        <v>1600</v>
      </c>
      <c r="F254">
        <f>_xlfn.XLOOKUP(B254,'4.分割能力表'!B:B,'4.分割能力表'!E:E)</f>
        <v>100000</v>
      </c>
      <c r="G254" t="s">
        <v>102</v>
      </c>
      <c r="H254"/>
      <c r="J254">
        <f t="shared" si="24"/>
        <v>9710.7572628296493</v>
      </c>
    </row>
    <row r="255" spans="1:12" x14ac:dyDescent="0.3">
      <c r="A255" t="s">
        <v>14</v>
      </c>
      <c r="B255" t="s">
        <v>152</v>
      </c>
      <c r="C255" t="s">
        <v>153</v>
      </c>
      <c r="D255">
        <f>_xlfn.XLOOKUP(B255,'3.屠宰能力表'!B:B,'3.屠宰能力表'!E:E)</f>
        <v>4800</v>
      </c>
      <c r="E255">
        <f>_xlfn.XLOOKUP(B255,'4.分割能力表'!B:B,'4.分割能力表'!D:D)</f>
        <v>1600</v>
      </c>
      <c r="F255">
        <f>_xlfn.XLOOKUP(B255,'4.分割能力表'!B:B,'4.分割能力表'!E:E)</f>
        <v>100000</v>
      </c>
      <c r="G255" t="s">
        <v>103</v>
      </c>
      <c r="H255"/>
      <c r="J255">
        <f t="shared" si="24"/>
        <v>2218.8323154482</v>
      </c>
    </row>
    <row r="256" spans="1:12" x14ac:dyDescent="0.3">
      <c r="A256" t="s">
        <v>14</v>
      </c>
      <c r="B256" t="s">
        <v>152</v>
      </c>
      <c r="C256" t="s">
        <v>153</v>
      </c>
      <c r="D256">
        <f>_xlfn.XLOOKUP(B256,'3.屠宰能力表'!B:B,'3.屠宰能力表'!E:E)</f>
        <v>4800</v>
      </c>
      <c r="E256">
        <f>_xlfn.XLOOKUP(B256,'4.分割能力表'!B:B,'4.分割能力表'!D:D)</f>
        <v>1600</v>
      </c>
      <c r="F256">
        <f>_xlfn.XLOOKUP(B256,'4.分割能力表'!B:B,'4.分割能力表'!E:E)</f>
        <v>100000</v>
      </c>
      <c r="G256" t="s">
        <v>104</v>
      </c>
      <c r="H256"/>
      <c r="J256">
        <f t="shared" ref="J256:J263" si="25">IFERROR(INDEX($L:$L,MATCH(SUBSTITUTE(G256,"-冷冻",""),$G:$G,0)),"")</f>
        <v>3131.6092650717901</v>
      </c>
    </row>
    <row r="257" spans="1:11" x14ac:dyDescent="0.3">
      <c r="A257" t="s">
        <v>14</v>
      </c>
      <c r="B257" t="s">
        <v>152</v>
      </c>
      <c r="C257" t="s">
        <v>153</v>
      </c>
      <c r="D257">
        <f>_xlfn.XLOOKUP(B257,'3.屠宰能力表'!B:B,'3.屠宰能力表'!E:E)</f>
        <v>4800</v>
      </c>
      <c r="E257">
        <f>_xlfn.XLOOKUP(B257,'4.分割能力表'!B:B,'4.分割能力表'!D:D)</f>
        <v>1600</v>
      </c>
      <c r="F257">
        <f>_xlfn.XLOOKUP(B257,'4.分割能力表'!B:B,'4.分割能力表'!E:E)</f>
        <v>100000</v>
      </c>
      <c r="G257" t="s">
        <v>105</v>
      </c>
      <c r="H257"/>
      <c r="J257">
        <f t="shared" si="25"/>
        <v>6973.9269990807697</v>
      </c>
    </row>
    <row r="258" spans="1:11" x14ac:dyDescent="0.3">
      <c r="A258" t="s">
        <v>14</v>
      </c>
      <c r="B258" t="s">
        <v>152</v>
      </c>
      <c r="C258" t="s">
        <v>153</v>
      </c>
      <c r="D258">
        <f>_xlfn.XLOOKUP(B258,'3.屠宰能力表'!B:B,'3.屠宰能力表'!E:E)</f>
        <v>4800</v>
      </c>
      <c r="E258">
        <f>_xlfn.XLOOKUP(B258,'4.分割能力表'!B:B,'4.分割能力表'!D:D)</f>
        <v>1600</v>
      </c>
      <c r="F258">
        <f>_xlfn.XLOOKUP(B258,'4.分割能力表'!B:B,'4.分割能力表'!E:E)</f>
        <v>100000</v>
      </c>
      <c r="G258" t="s">
        <v>108</v>
      </c>
      <c r="H258"/>
      <c r="J258">
        <f t="shared" si="25"/>
        <v>1497.5196992639701</v>
      </c>
    </row>
    <row r="259" spans="1:11" x14ac:dyDescent="0.3">
      <c r="A259" t="s">
        <v>14</v>
      </c>
      <c r="B259" t="s">
        <v>152</v>
      </c>
      <c r="C259" t="s">
        <v>153</v>
      </c>
      <c r="D259">
        <f>_xlfn.XLOOKUP(B259,'3.屠宰能力表'!B:B,'3.屠宰能力表'!E:E)</f>
        <v>4800</v>
      </c>
      <c r="E259">
        <f>_xlfn.XLOOKUP(B259,'4.分割能力表'!B:B,'4.分割能力表'!D:D)</f>
        <v>1600</v>
      </c>
      <c r="F259">
        <f>_xlfn.XLOOKUP(B259,'4.分割能力表'!B:B,'4.分割能力表'!E:E)</f>
        <v>100000</v>
      </c>
      <c r="G259" t="s">
        <v>115</v>
      </c>
      <c r="H259"/>
      <c r="J259">
        <f t="shared" si="25"/>
        <v>1173.5236398397201</v>
      </c>
    </row>
    <row r="260" spans="1:11" x14ac:dyDescent="0.3">
      <c r="A260" t="s">
        <v>14</v>
      </c>
      <c r="B260" t="s">
        <v>152</v>
      </c>
      <c r="C260" t="s">
        <v>153</v>
      </c>
      <c r="D260">
        <f>_xlfn.XLOOKUP(B260,'3.屠宰能力表'!B:B,'3.屠宰能力表'!E:E)</f>
        <v>4800</v>
      </c>
      <c r="E260">
        <f>_xlfn.XLOOKUP(B260,'4.分割能力表'!B:B,'4.分割能力表'!D:D)</f>
        <v>1600</v>
      </c>
      <c r="F260">
        <f>_xlfn.XLOOKUP(B260,'4.分割能力表'!B:B,'4.分割能力表'!E:E)</f>
        <v>100000</v>
      </c>
      <c r="G260" t="s">
        <v>116</v>
      </c>
      <c r="H260"/>
      <c r="J260">
        <f t="shared" si="25"/>
        <v>3250.7020781405799</v>
      </c>
    </row>
    <row r="261" spans="1:11" x14ac:dyDescent="0.3">
      <c r="A261" t="s">
        <v>14</v>
      </c>
      <c r="B261" t="s">
        <v>152</v>
      </c>
      <c r="C261" t="s">
        <v>153</v>
      </c>
      <c r="D261">
        <f>_xlfn.XLOOKUP(B261,'3.屠宰能力表'!B:B,'3.屠宰能力表'!E:E)</f>
        <v>4800</v>
      </c>
      <c r="E261">
        <f>_xlfn.XLOOKUP(B261,'4.分割能力表'!B:B,'4.分割能力表'!D:D)</f>
        <v>1600</v>
      </c>
      <c r="F261">
        <f>_xlfn.XLOOKUP(B261,'4.分割能力表'!B:B,'4.分割能力表'!E:E)</f>
        <v>100000</v>
      </c>
      <c r="G261" t="s">
        <v>117</v>
      </c>
      <c r="H261"/>
      <c r="J261">
        <f t="shared" si="25"/>
        <v>2460.25649987418</v>
      </c>
    </row>
    <row r="262" spans="1:11" x14ac:dyDescent="0.3">
      <c r="A262" t="s">
        <v>14</v>
      </c>
      <c r="B262" t="s">
        <v>152</v>
      </c>
      <c r="C262" t="s">
        <v>153</v>
      </c>
      <c r="D262">
        <f>_xlfn.XLOOKUP(B262,'3.屠宰能力表'!B:B,'3.屠宰能力表'!E:E)</f>
        <v>4800</v>
      </c>
      <c r="E262">
        <f>_xlfn.XLOOKUP(B262,'4.分割能力表'!B:B,'4.分割能力表'!D:D)</f>
        <v>1600</v>
      </c>
      <c r="F262">
        <f>_xlfn.XLOOKUP(B262,'4.分割能力表'!B:B,'4.分割能力表'!E:E)</f>
        <v>100000</v>
      </c>
      <c r="G262" t="s">
        <v>120</v>
      </c>
      <c r="H262"/>
      <c r="J262">
        <f t="shared" si="25"/>
        <v>2083.14252302766</v>
      </c>
    </row>
    <row r="263" spans="1:11" x14ac:dyDescent="0.3">
      <c r="A263" t="s">
        <v>14</v>
      </c>
      <c r="B263" t="s">
        <v>152</v>
      </c>
      <c r="C263" t="s">
        <v>153</v>
      </c>
      <c r="D263">
        <f>_xlfn.XLOOKUP(B263,'3.屠宰能力表'!B:B,'3.屠宰能力表'!E:E)</f>
        <v>4800</v>
      </c>
      <c r="E263">
        <f>_xlfn.XLOOKUP(B263,'4.分割能力表'!B:B,'4.分割能力表'!D:D)</f>
        <v>1600</v>
      </c>
      <c r="F263">
        <f>_xlfn.XLOOKUP(B263,'4.分割能力表'!B:B,'4.分割能力表'!E:E)</f>
        <v>100000</v>
      </c>
      <c r="G263" t="s">
        <v>131</v>
      </c>
      <c r="H263"/>
      <c r="J263">
        <f t="shared" si="25"/>
        <v>2102.8145852457801</v>
      </c>
    </row>
    <row r="264" spans="1:11" x14ac:dyDescent="0.3">
      <c r="A264" s="2" t="s">
        <v>15</v>
      </c>
      <c r="B264" t="s">
        <v>154</v>
      </c>
      <c r="C264" t="s">
        <v>155</v>
      </c>
      <c r="D264">
        <f>_xlfn.XLOOKUP(B264,'3.屠宰能力表'!B:B,'3.屠宰能力表'!E:E)</f>
        <v>800</v>
      </c>
      <c r="E264">
        <f>_xlfn.XLOOKUP(B264,'4.分割能力表'!B:B,'4.分割能力表'!D:D)</f>
        <v>480</v>
      </c>
      <c r="F264">
        <f>_xlfn.XLOOKUP(B264,'4.分割能力表'!B:B,'4.分割能力表'!E:E)</f>
        <v>20000</v>
      </c>
      <c r="G264" t="s">
        <v>41</v>
      </c>
      <c r="H264">
        <f>_xlfn.XLOOKUP(G264,系数辅助表!$C:$C,系数辅助表!$D:$D)</f>
        <v>0.71499999999999997</v>
      </c>
      <c r="J264">
        <f>(D264-E264)*H264*$D$1</f>
        <v>27456</v>
      </c>
      <c r="K264">
        <f>J264-L264</f>
        <v>27456</v>
      </c>
    </row>
    <row r="265" spans="1:11" x14ac:dyDescent="0.3">
      <c r="A265" s="2" t="s">
        <v>15</v>
      </c>
      <c r="B265" t="s">
        <v>154</v>
      </c>
      <c r="C265" t="s">
        <v>155</v>
      </c>
      <c r="D265">
        <f>_xlfn.XLOOKUP(B265,'3.屠宰能力表'!B:B,'3.屠宰能力表'!E:E)</f>
        <v>800</v>
      </c>
      <c r="E265">
        <f>_xlfn.XLOOKUP(B265,'4.分割能力表'!B:B,'4.分割能力表'!D:D)</f>
        <v>480</v>
      </c>
      <c r="F265">
        <f>_xlfn.XLOOKUP(B265,'4.分割能力表'!B:B,'4.分割能力表'!E:E)</f>
        <v>20000</v>
      </c>
      <c r="G265" t="s">
        <v>44</v>
      </c>
      <c r="H265">
        <f>_xlfn.XLOOKUP(G265,系数辅助表!$C:$C,系数辅助表!$D:$D)</f>
        <v>4.3342237679380002E-2</v>
      </c>
      <c r="J265">
        <f>$D265*H265*$D$1</f>
        <v>4160.8548172204801</v>
      </c>
      <c r="K265">
        <f t="shared" ref="K265:K312" si="26">J265-L265</f>
        <v>4160.8548172204801</v>
      </c>
    </row>
    <row r="266" spans="1:11" x14ac:dyDescent="0.3">
      <c r="A266" s="2" t="s">
        <v>15</v>
      </c>
      <c r="B266" t="s">
        <v>154</v>
      </c>
      <c r="C266" t="s">
        <v>155</v>
      </c>
      <c r="D266">
        <f>_xlfn.XLOOKUP(B266,'3.屠宰能力表'!B:B,'3.屠宰能力表'!E:E)</f>
        <v>800</v>
      </c>
      <c r="E266">
        <f>_xlfn.XLOOKUP(B266,'4.分割能力表'!B:B,'4.分割能力表'!D:D)</f>
        <v>480</v>
      </c>
      <c r="F266">
        <f>_xlfn.XLOOKUP(B266,'4.分割能力表'!B:B,'4.分割能力表'!E:E)</f>
        <v>20000</v>
      </c>
      <c r="G266" t="s">
        <v>46</v>
      </c>
      <c r="H266">
        <f>_xlfn.XLOOKUP(G266,系数辅助表!$C:$C,系数辅助表!$D:$D)</f>
        <v>3.2562132013653599E-4</v>
      </c>
      <c r="J266">
        <f t="shared" ref="J266:J286" si="27">$D266*H266*$D$1</f>
        <v>31.259646733107498</v>
      </c>
      <c r="K266">
        <f t="shared" si="26"/>
        <v>31.259646733107498</v>
      </c>
    </row>
    <row r="267" spans="1:11" x14ac:dyDescent="0.3">
      <c r="A267" s="2" t="s">
        <v>15</v>
      </c>
      <c r="B267" t="s">
        <v>154</v>
      </c>
      <c r="C267" t="s">
        <v>155</v>
      </c>
      <c r="D267">
        <f>_xlfn.XLOOKUP(B267,'3.屠宰能力表'!B:B,'3.屠宰能力表'!E:E)</f>
        <v>800</v>
      </c>
      <c r="E267">
        <f>_xlfn.XLOOKUP(B267,'4.分割能力表'!B:B,'4.分割能力表'!D:D)</f>
        <v>480</v>
      </c>
      <c r="F267">
        <f>_xlfn.XLOOKUP(B267,'4.分割能力表'!B:B,'4.分割能力表'!E:E)</f>
        <v>20000</v>
      </c>
      <c r="G267" t="s">
        <v>47</v>
      </c>
      <c r="H267">
        <f>_xlfn.XLOOKUP(G267,系数辅助表!$C:$C,系数辅助表!$D:$D)</f>
        <v>3.0632398515360198E-3</v>
      </c>
      <c r="J267">
        <f t="shared" si="27"/>
        <v>294.07102574745801</v>
      </c>
      <c r="K267">
        <f t="shared" si="26"/>
        <v>294.07102574745801</v>
      </c>
    </row>
    <row r="268" spans="1:11" x14ac:dyDescent="0.3">
      <c r="A268" s="2" t="s">
        <v>15</v>
      </c>
      <c r="B268" t="s">
        <v>154</v>
      </c>
      <c r="C268" t="s">
        <v>155</v>
      </c>
      <c r="D268">
        <f>_xlfn.XLOOKUP(B268,'3.屠宰能力表'!B:B,'3.屠宰能力表'!E:E)</f>
        <v>800</v>
      </c>
      <c r="E268">
        <f>_xlfn.XLOOKUP(B268,'4.分割能力表'!B:B,'4.分割能力表'!D:D)</f>
        <v>480</v>
      </c>
      <c r="F268">
        <f>_xlfn.XLOOKUP(B268,'4.分割能力表'!B:B,'4.分割能力表'!E:E)</f>
        <v>20000</v>
      </c>
      <c r="G268" t="s">
        <v>48</v>
      </c>
      <c r="H268">
        <f>_xlfn.XLOOKUP(G268,系数辅助表!$C:$C,系数辅助表!$D:$D)</f>
        <v>1.5822796716383002E-2</v>
      </c>
      <c r="J268">
        <f t="shared" si="27"/>
        <v>1518.9884847727701</v>
      </c>
      <c r="K268">
        <f t="shared" si="26"/>
        <v>1518.9884847727701</v>
      </c>
    </row>
    <row r="269" spans="1:11" x14ac:dyDescent="0.3">
      <c r="A269" s="2" t="s">
        <v>15</v>
      </c>
      <c r="B269" t="s">
        <v>154</v>
      </c>
      <c r="C269" t="s">
        <v>155</v>
      </c>
      <c r="D269">
        <f>_xlfn.XLOOKUP(B269,'3.屠宰能力表'!B:B,'3.屠宰能力表'!E:E)</f>
        <v>800</v>
      </c>
      <c r="E269">
        <f>_xlfn.XLOOKUP(B269,'4.分割能力表'!B:B,'4.分割能力表'!D:D)</f>
        <v>480</v>
      </c>
      <c r="F269">
        <f>_xlfn.XLOOKUP(B269,'4.分割能力表'!B:B,'4.分割能力表'!E:E)</f>
        <v>20000</v>
      </c>
      <c r="G269" t="s">
        <v>49</v>
      </c>
      <c r="H269">
        <f>_xlfn.XLOOKUP(G269,系数辅助表!$C:$C,系数辅助表!$D:$D)</f>
        <v>3.0934025412970799E-3</v>
      </c>
      <c r="J269">
        <f t="shared" si="27"/>
        <v>296.96664396452002</v>
      </c>
      <c r="K269">
        <f t="shared" si="26"/>
        <v>296.96664396452002</v>
      </c>
    </row>
    <row r="270" spans="1:11" x14ac:dyDescent="0.3">
      <c r="A270" s="2" t="s">
        <v>15</v>
      </c>
      <c r="B270" t="s">
        <v>154</v>
      </c>
      <c r="C270" t="s">
        <v>155</v>
      </c>
      <c r="D270">
        <f>_xlfn.XLOOKUP(B270,'3.屠宰能力表'!B:B,'3.屠宰能力表'!E:E)</f>
        <v>800</v>
      </c>
      <c r="E270">
        <f>_xlfn.XLOOKUP(B270,'4.分割能力表'!B:B,'4.分割能力表'!D:D)</f>
        <v>480</v>
      </c>
      <c r="F270">
        <f>_xlfn.XLOOKUP(B270,'4.分割能力表'!B:B,'4.分割能力表'!E:E)</f>
        <v>20000</v>
      </c>
      <c r="G270" t="s">
        <v>50</v>
      </c>
      <c r="H270">
        <f>_xlfn.XLOOKUP(G270,系数辅助表!$C:$C,系数辅助表!$D:$D)</f>
        <v>1.08247988845052E-2</v>
      </c>
      <c r="J270">
        <f t="shared" si="27"/>
        <v>1039.1806929125</v>
      </c>
      <c r="K270">
        <f t="shared" si="26"/>
        <v>1039.1806929125</v>
      </c>
    </row>
    <row r="271" spans="1:11" x14ac:dyDescent="0.3">
      <c r="A271" s="2" t="s">
        <v>15</v>
      </c>
      <c r="B271" t="s">
        <v>154</v>
      </c>
      <c r="C271" t="s">
        <v>155</v>
      </c>
      <c r="D271">
        <f>_xlfn.XLOOKUP(B271,'3.屠宰能力表'!B:B,'3.屠宰能力表'!E:E)</f>
        <v>800</v>
      </c>
      <c r="E271">
        <f>_xlfn.XLOOKUP(B271,'4.分割能力表'!B:B,'4.分割能力表'!D:D)</f>
        <v>480</v>
      </c>
      <c r="F271">
        <f>_xlfn.XLOOKUP(B271,'4.分割能力表'!B:B,'4.分割能力表'!E:E)</f>
        <v>20000</v>
      </c>
      <c r="G271" t="s">
        <v>51</v>
      </c>
      <c r="H271">
        <f>_xlfn.XLOOKUP(G271,系数辅助表!$C:$C,系数辅助表!$D:$D)</f>
        <v>4.9657251320821601E-3</v>
      </c>
      <c r="J271">
        <f t="shared" si="27"/>
        <v>476.70961267988702</v>
      </c>
      <c r="K271">
        <f t="shared" si="26"/>
        <v>476.70961267988702</v>
      </c>
    </row>
    <row r="272" spans="1:11" x14ac:dyDescent="0.3">
      <c r="A272" s="2" t="s">
        <v>15</v>
      </c>
      <c r="B272" t="s">
        <v>154</v>
      </c>
      <c r="C272" t="s">
        <v>155</v>
      </c>
      <c r="D272">
        <f>_xlfn.XLOOKUP(B272,'3.屠宰能力表'!B:B,'3.屠宰能力表'!E:E)</f>
        <v>800</v>
      </c>
      <c r="E272">
        <f>_xlfn.XLOOKUP(B272,'4.分割能力表'!B:B,'4.分割能力表'!D:D)</f>
        <v>480</v>
      </c>
      <c r="F272">
        <f>_xlfn.XLOOKUP(B272,'4.分割能力表'!B:B,'4.分割能力表'!E:E)</f>
        <v>20000</v>
      </c>
      <c r="G272" t="s">
        <v>52</v>
      </c>
      <c r="H272">
        <f>_xlfn.XLOOKUP(G272,系数辅助表!$C:$C,系数辅助表!$D:$D)</f>
        <v>4.1516718317408203E-3</v>
      </c>
      <c r="J272">
        <f t="shared" si="27"/>
        <v>398.560495847119</v>
      </c>
      <c r="K272">
        <f t="shared" si="26"/>
        <v>398.560495847119</v>
      </c>
    </row>
    <row r="273" spans="1:12" x14ac:dyDescent="0.3">
      <c r="A273" s="2" t="s">
        <v>15</v>
      </c>
      <c r="B273" t="s">
        <v>154</v>
      </c>
      <c r="C273" t="s">
        <v>155</v>
      </c>
      <c r="D273">
        <f>_xlfn.XLOOKUP(B273,'3.屠宰能力表'!B:B,'3.屠宰能力表'!E:E)</f>
        <v>800</v>
      </c>
      <c r="E273">
        <f>_xlfn.XLOOKUP(B273,'4.分割能力表'!B:B,'4.分割能力表'!D:D)</f>
        <v>480</v>
      </c>
      <c r="F273">
        <f>_xlfn.XLOOKUP(B273,'4.分割能力表'!B:B,'4.分割能力表'!E:E)</f>
        <v>20000</v>
      </c>
      <c r="G273" t="s">
        <v>53</v>
      </c>
      <c r="H273">
        <f>_xlfn.XLOOKUP(G273,系数辅助表!$C:$C,系数辅助表!$D:$D)</f>
        <v>3.6632398515360201E-3</v>
      </c>
      <c r="J273">
        <f t="shared" si="27"/>
        <v>351.67102574745797</v>
      </c>
      <c r="K273">
        <f t="shared" si="26"/>
        <v>351.67102574745797</v>
      </c>
    </row>
    <row r="274" spans="1:12" x14ac:dyDescent="0.3">
      <c r="A274" s="2" t="s">
        <v>15</v>
      </c>
      <c r="B274" t="s">
        <v>154</v>
      </c>
      <c r="C274" t="s">
        <v>155</v>
      </c>
      <c r="D274">
        <f>_xlfn.XLOOKUP(B274,'3.屠宰能力表'!B:B,'3.屠宰能力表'!E:E)</f>
        <v>800</v>
      </c>
      <c r="E274">
        <f>_xlfn.XLOOKUP(B274,'4.分割能力表'!B:B,'4.分割能力表'!D:D)</f>
        <v>480</v>
      </c>
      <c r="F274">
        <f>_xlfn.XLOOKUP(B274,'4.分割能力表'!B:B,'4.分割能力表'!E:E)</f>
        <v>20000</v>
      </c>
      <c r="G274" t="s">
        <v>54</v>
      </c>
      <c r="H274">
        <f>_xlfn.XLOOKUP(G274,系数辅助表!$C:$C,系数辅助表!$D:$D)</f>
        <v>2.68637589112642E-3</v>
      </c>
      <c r="J274">
        <f t="shared" si="27"/>
        <v>257.89208554813598</v>
      </c>
      <c r="K274">
        <f t="shared" si="26"/>
        <v>257.89208554813598</v>
      </c>
    </row>
    <row r="275" spans="1:12" x14ac:dyDescent="0.3">
      <c r="A275" s="2" t="s">
        <v>15</v>
      </c>
      <c r="B275" t="s">
        <v>154</v>
      </c>
      <c r="C275" t="s">
        <v>155</v>
      </c>
      <c r="D275">
        <f>_xlfn.XLOOKUP(B275,'3.屠宰能力表'!B:B,'3.屠宰能力表'!E:E)</f>
        <v>800</v>
      </c>
      <c r="E275">
        <f>_xlfn.XLOOKUP(B275,'4.分割能力表'!B:B,'4.分割能力表'!D:D)</f>
        <v>480</v>
      </c>
      <c r="F275">
        <f>_xlfn.XLOOKUP(B275,'4.分割能力表'!B:B,'4.分割能力表'!E:E)</f>
        <v>20000</v>
      </c>
      <c r="G275" t="s">
        <v>55</v>
      </c>
      <c r="H275">
        <f>_xlfn.XLOOKUP(G275,系数辅助表!$C:$C,系数辅助表!$D:$D)</f>
        <v>2.9015761200285397E-4</v>
      </c>
      <c r="J275">
        <f t="shared" si="27"/>
        <v>27.855130752274</v>
      </c>
      <c r="K275">
        <f t="shared" si="26"/>
        <v>27.855130752274</v>
      </c>
    </row>
    <row r="276" spans="1:12" x14ac:dyDescent="0.3">
      <c r="A276" s="2" t="s">
        <v>15</v>
      </c>
      <c r="B276" t="s">
        <v>154</v>
      </c>
      <c r="C276" t="s">
        <v>155</v>
      </c>
      <c r="D276">
        <f>_xlfn.XLOOKUP(B276,'3.屠宰能力表'!B:B,'3.屠宰能力表'!E:E)</f>
        <v>800</v>
      </c>
      <c r="E276">
        <f>_xlfn.XLOOKUP(B276,'4.分割能力表'!B:B,'4.分割能力表'!D:D)</f>
        <v>480</v>
      </c>
      <c r="F276">
        <f>_xlfn.XLOOKUP(B276,'4.分割能力表'!B:B,'4.分割能力表'!E:E)</f>
        <v>20000</v>
      </c>
      <c r="G276" t="s">
        <v>57</v>
      </c>
      <c r="H276">
        <f>_xlfn.XLOOKUP(G276,系数辅助表!$C:$C,系数辅助表!$D:$D)</f>
        <v>1.0245932755973399E-2</v>
      </c>
      <c r="J276">
        <f t="shared" si="27"/>
        <v>983.60954457344599</v>
      </c>
      <c r="K276">
        <f t="shared" si="26"/>
        <v>983.60954457344599</v>
      </c>
    </row>
    <row r="277" spans="1:12" x14ac:dyDescent="0.3">
      <c r="A277" s="2" t="s">
        <v>15</v>
      </c>
      <c r="B277" t="s">
        <v>154</v>
      </c>
      <c r="C277" t="s">
        <v>155</v>
      </c>
      <c r="D277">
        <f>_xlfn.XLOOKUP(B277,'3.屠宰能力表'!B:B,'3.屠宰能力表'!E:E)</f>
        <v>800</v>
      </c>
      <c r="E277">
        <f>_xlfn.XLOOKUP(B277,'4.分割能力表'!B:B,'4.分割能力表'!D:D)</f>
        <v>480</v>
      </c>
      <c r="F277">
        <f>_xlfn.XLOOKUP(B277,'4.分割能力表'!B:B,'4.分割能力表'!E:E)</f>
        <v>20000</v>
      </c>
      <c r="G277" t="s">
        <v>58</v>
      </c>
      <c r="H277">
        <f>_xlfn.XLOOKUP(G277,系数辅助表!$C:$C,系数辅助表!$D:$D)</f>
        <v>1.46005473500993E-2</v>
      </c>
      <c r="J277">
        <f t="shared" si="27"/>
        <v>1401.6525456095301</v>
      </c>
      <c r="K277">
        <f t="shared" si="26"/>
        <v>1401.6525456095301</v>
      </c>
    </row>
    <row r="278" spans="1:12" x14ac:dyDescent="0.3">
      <c r="A278" s="2" t="s">
        <v>15</v>
      </c>
      <c r="B278" t="s">
        <v>154</v>
      </c>
      <c r="C278" t="s">
        <v>155</v>
      </c>
      <c r="D278">
        <f>_xlfn.XLOOKUP(B278,'3.屠宰能力表'!B:B,'3.屠宰能力表'!E:E)</f>
        <v>800</v>
      </c>
      <c r="E278">
        <f>_xlfn.XLOOKUP(B278,'4.分割能力表'!B:B,'4.分割能力表'!D:D)</f>
        <v>480</v>
      </c>
      <c r="F278">
        <f>_xlfn.XLOOKUP(B278,'4.分割能力表'!B:B,'4.分割能力表'!E:E)</f>
        <v>20000</v>
      </c>
      <c r="G278" t="s">
        <v>59</v>
      </c>
      <c r="H278">
        <f>_xlfn.XLOOKUP(G278,系数辅助表!$C:$C,系数辅助表!$D:$D)</f>
        <v>1.4718794556320801E-2</v>
      </c>
      <c r="J278">
        <f t="shared" si="27"/>
        <v>1413.0042774067999</v>
      </c>
      <c r="K278">
        <f t="shared" si="26"/>
        <v>1413.0042774067999</v>
      </c>
    </row>
    <row r="279" spans="1:12" x14ac:dyDescent="0.3">
      <c r="A279" s="2" t="s">
        <v>15</v>
      </c>
      <c r="B279" t="s">
        <v>154</v>
      </c>
      <c r="C279" t="s">
        <v>155</v>
      </c>
      <c r="D279">
        <f>_xlfn.XLOOKUP(B279,'3.屠宰能力表'!B:B,'3.屠宰能力表'!E:E)</f>
        <v>800</v>
      </c>
      <c r="E279">
        <f>_xlfn.XLOOKUP(B279,'4.分割能力表'!B:B,'4.分割能力表'!D:D)</f>
        <v>480</v>
      </c>
      <c r="F279">
        <f>_xlfn.XLOOKUP(B279,'4.分割能力表'!B:B,'4.分割能力表'!E:E)</f>
        <v>20000</v>
      </c>
      <c r="G279" t="s">
        <v>60</v>
      </c>
      <c r="H279">
        <f>_xlfn.XLOOKUP(G279,系数辅助表!$C:$C,系数辅助表!$D:$D)</f>
        <v>6.8269088945398003E-3</v>
      </c>
      <c r="J279">
        <f t="shared" si="27"/>
        <v>655.38325387582097</v>
      </c>
      <c r="K279">
        <f t="shared" si="26"/>
        <v>655.38325387582097</v>
      </c>
    </row>
    <row r="280" spans="1:12" x14ac:dyDescent="0.3">
      <c r="A280" s="2" t="s">
        <v>15</v>
      </c>
      <c r="B280" t="s">
        <v>154</v>
      </c>
      <c r="C280" t="s">
        <v>155</v>
      </c>
      <c r="D280">
        <f>_xlfn.XLOOKUP(B280,'3.屠宰能力表'!B:B,'3.屠宰能力表'!E:E)</f>
        <v>800</v>
      </c>
      <c r="E280">
        <f>_xlfn.XLOOKUP(B280,'4.分割能力表'!B:B,'4.分割能力表'!D:D)</f>
        <v>480</v>
      </c>
      <c r="F280">
        <f>_xlfn.XLOOKUP(B280,'4.分割能力表'!B:B,'4.分割能力表'!E:E)</f>
        <v>20000</v>
      </c>
      <c r="G280" t="s">
        <v>61</v>
      </c>
      <c r="H280">
        <f>_xlfn.XLOOKUP(G280,系数辅助表!$C:$C,系数辅助表!$D:$D)</f>
        <v>7.8149116832768404E-3</v>
      </c>
      <c r="J280">
        <f t="shared" si="27"/>
        <v>750.23152159457698</v>
      </c>
      <c r="K280">
        <f t="shared" si="26"/>
        <v>750.23152159457698</v>
      </c>
    </row>
    <row r="281" spans="1:12" x14ac:dyDescent="0.3">
      <c r="A281" s="2" t="s">
        <v>15</v>
      </c>
      <c r="B281" t="s">
        <v>154</v>
      </c>
      <c r="C281" t="s">
        <v>155</v>
      </c>
      <c r="D281">
        <f>_xlfn.XLOOKUP(B281,'3.屠宰能力表'!B:B,'3.屠宰能力表'!E:E)</f>
        <v>800</v>
      </c>
      <c r="E281">
        <f>_xlfn.XLOOKUP(B281,'4.分割能力表'!B:B,'4.分割能力表'!D:D)</f>
        <v>480</v>
      </c>
      <c r="F281">
        <f>_xlfn.XLOOKUP(B281,'4.分割能力表'!B:B,'4.分割能力表'!E:E)</f>
        <v>20000</v>
      </c>
      <c r="G281" t="s">
        <v>62</v>
      </c>
      <c r="H281">
        <f>_xlfn.XLOOKUP(G281,系数辅助表!$C:$C,系数辅助表!$D:$D)</f>
        <v>7.3264797030720401E-3</v>
      </c>
      <c r="J281">
        <f t="shared" si="27"/>
        <v>703.34205149491595</v>
      </c>
      <c r="K281">
        <f t="shared" si="26"/>
        <v>703.34205149491595</v>
      </c>
    </row>
    <row r="282" spans="1:12" x14ac:dyDescent="0.3">
      <c r="A282" s="2" t="s">
        <v>15</v>
      </c>
      <c r="B282" t="s">
        <v>154</v>
      </c>
      <c r="C282" t="s">
        <v>155</v>
      </c>
      <c r="D282">
        <f>_xlfn.XLOOKUP(B282,'3.屠宰能力表'!B:B,'3.屠宰能力表'!E:E)</f>
        <v>800</v>
      </c>
      <c r="E282">
        <f>_xlfn.XLOOKUP(B282,'4.分割能力表'!B:B,'4.分割能力表'!D:D)</f>
        <v>480</v>
      </c>
      <c r="F282">
        <f>_xlfn.XLOOKUP(B282,'4.分割能力表'!B:B,'4.分割能力表'!E:E)</f>
        <v>20000</v>
      </c>
      <c r="G282" t="s">
        <v>63</v>
      </c>
      <c r="H282">
        <f>_xlfn.XLOOKUP(G282,系数辅助表!$C:$C,系数辅助表!$D:$D)</f>
        <v>6.1516718317408204E-3</v>
      </c>
      <c r="J282">
        <f t="shared" si="27"/>
        <v>590.560495847119</v>
      </c>
      <c r="K282">
        <f t="shared" si="26"/>
        <v>590.560495847119</v>
      </c>
    </row>
    <row r="283" spans="1:12" x14ac:dyDescent="0.3">
      <c r="A283" s="2" t="s">
        <v>15</v>
      </c>
      <c r="B283" t="s">
        <v>154</v>
      </c>
      <c r="C283" t="s">
        <v>155</v>
      </c>
      <c r="D283">
        <f>_xlfn.XLOOKUP(B283,'3.屠宰能力表'!B:B,'3.屠宰能力表'!E:E)</f>
        <v>800</v>
      </c>
      <c r="E283">
        <f>_xlfn.XLOOKUP(B283,'4.分割能力表'!B:B,'4.分割能力表'!D:D)</f>
        <v>480</v>
      </c>
      <c r="F283">
        <f>_xlfn.XLOOKUP(B283,'4.分割能力表'!B:B,'4.分割能力表'!E:E)</f>
        <v>20000</v>
      </c>
      <c r="G283" t="s">
        <v>64</v>
      </c>
      <c r="H283">
        <f>_xlfn.XLOOKUP(G283,系数辅助表!$C:$C,系数辅助表!$D:$D)</f>
        <v>1.0639112440104599E-3</v>
      </c>
      <c r="J283">
        <f t="shared" si="27"/>
        <v>102.13547942500399</v>
      </c>
      <c r="K283">
        <f t="shared" si="26"/>
        <v>102.13547942500399</v>
      </c>
    </row>
    <row r="284" spans="1:12" x14ac:dyDescent="0.3">
      <c r="A284" s="2" t="s">
        <v>15</v>
      </c>
      <c r="B284" t="s">
        <v>154</v>
      </c>
      <c r="C284" t="s">
        <v>155</v>
      </c>
      <c r="D284">
        <f>_xlfn.XLOOKUP(B284,'3.屠宰能力表'!B:B,'3.屠宰能力表'!E:E)</f>
        <v>800</v>
      </c>
      <c r="E284">
        <f>_xlfn.XLOOKUP(B284,'4.分割能力表'!B:B,'4.分割能力表'!D:D)</f>
        <v>480</v>
      </c>
      <c r="F284">
        <f>_xlfn.XLOOKUP(B284,'4.分割能力表'!B:B,'4.分割能力表'!E:E)</f>
        <v>20000</v>
      </c>
      <c r="G284" t="s">
        <v>65</v>
      </c>
      <c r="H284">
        <f>_xlfn.XLOOKUP(G284,系数辅助表!$C:$C,系数辅助表!$D:$D)</f>
        <v>4.8359602000475603E-4</v>
      </c>
      <c r="J284">
        <f t="shared" si="27"/>
        <v>46.425217920456603</v>
      </c>
      <c r="K284">
        <f t="shared" si="26"/>
        <v>46.425217920456603</v>
      </c>
    </row>
    <row r="285" spans="1:12" x14ac:dyDescent="0.3">
      <c r="A285" s="2" t="s">
        <v>15</v>
      </c>
      <c r="B285" t="s">
        <v>154</v>
      </c>
      <c r="C285" t="s">
        <v>155</v>
      </c>
      <c r="D285">
        <f>_xlfn.XLOOKUP(B285,'3.屠宰能力表'!B:B,'3.屠宰能力表'!E:E)</f>
        <v>800</v>
      </c>
      <c r="E285">
        <f>_xlfn.XLOOKUP(B285,'4.分割能力表'!B:B,'4.分割能力表'!D:D)</f>
        <v>480</v>
      </c>
      <c r="F285">
        <f>_xlfn.XLOOKUP(B285,'4.分割能力表'!B:B,'4.分割能力表'!E:E)</f>
        <v>20000</v>
      </c>
      <c r="G285" t="s">
        <v>66</v>
      </c>
      <c r="H285">
        <f>_xlfn.XLOOKUP(G285,系数辅助表!$C:$C,系数辅助表!$D:$D)</f>
        <v>1.70951193071681E-3</v>
      </c>
      <c r="J285">
        <f t="shared" si="27"/>
        <v>164.11314534881399</v>
      </c>
      <c r="K285">
        <f t="shared" si="26"/>
        <v>164.11314534881399</v>
      </c>
    </row>
    <row r="286" spans="1:12" x14ac:dyDescent="0.3">
      <c r="A286" s="2" t="s">
        <v>15</v>
      </c>
      <c r="B286" t="s">
        <v>154</v>
      </c>
      <c r="C286" t="s">
        <v>155</v>
      </c>
      <c r="D286">
        <f>_xlfn.XLOOKUP(B286,'3.屠宰能力表'!B:B,'3.屠宰能力表'!E:E)</f>
        <v>800</v>
      </c>
      <c r="E286">
        <f>_xlfn.XLOOKUP(B286,'4.分割能力表'!B:B,'4.分割能力表'!D:D)</f>
        <v>480</v>
      </c>
      <c r="F286">
        <f>_xlfn.XLOOKUP(B286,'4.分割能力表'!B:B,'4.分割能力表'!E:E)</f>
        <v>20000</v>
      </c>
      <c r="G286" t="s">
        <v>67</v>
      </c>
      <c r="H286">
        <f>_xlfn.XLOOKUP(G286,系数辅助表!$C:$C,系数辅助表!$D:$D)</f>
        <v>0.02</v>
      </c>
      <c r="J286">
        <f t="shared" si="27"/>
        <v>1920</v>
      </c>
      <c r="K286">
        <f t="shared" si="26"/>
        <v>1920</v>
      </c>
    </row>
    <row r="287" spans="1:12" x14ac:dyDescent="0.3">
      <c r="A287" s="2" t="s">
        <v>15</v>
      </c>
      <c r="B287" t="s">
        <v>154</v>
      </c>
      <c r="C287" t="s">
        <v>155</v>
      </c>
      <c r="D287">
        <f>_xlfn.XLOOKUP(B287,'3.屠宰能力表'!B:B,'3.屠宰能力表'!E:E)</f>
        <v>800</v>
      </c>
      <c r="E287">
        <f>_xlfn.XLOOKUP(B287,'4.分割能力表'!B:B,'4.分割能力表'!D:D)</f>
        <v>480</v>
      </c>
      <c r="F287">
        <f>_xlfn.XLOOKUP(B287,'4.分割能力表'!B:B,'4.分割能力表'!E:E)</f>
        <v>20000</v>
      </c>
      <c r="G287" t="s">
        <v>56</v>
      </c>
      <c r="H287">
        <f>_xlfn.XLOOKUP(G287,系数辅助表!$C:$C,系数辅助表!$D:$D)</f>
        <v>1.85007717386486E-2</v>
      </c>
      <c r="J287">
        <f t="shared" ref="J287:J295" si="28">$E287*H287*$D$1</f>
        <v>1065.6444521461599</v>
      </c>
      <c r="K287">
        <f t="shared" si="26"/>
        <v>481.529289577886</v>
      </c>
      <c r="L287">
        <v>584.11516256827304</v>
      </c>
    </row>
    <row r="288" spans="1:12" x14ac:dyDescent="0.3">
      <c r="A288" s="2" t="s">
        <v>15</v>
      </c>
      <c r="B288" t="s">
        <v>154</v>
      </c>
      <c r="C288" t="s">
        <v>155</v>
      </c>
      <c r="D288">
        <f>_xlfn.XLOOKUP(B288,'3.屠宰能力表'!B:B,'3.屠宰能力表'!E:E)</f>
        <v>800</v>
      </c>
      <c r="E288">
        <f>_xlfn.XLOOKUP(B288,'4.分割能力表'!B:B,'4.分割能力表'!D:D)</f>
        <v>480</v>
      </c>
      <c r="F288">
        <f>_xlfn.XLOOKUP(B288,'4.分割能力表'!B:B,'4.分割能力表'!E:E)</f>
        <v>20000</v>
      </c>
      <c r="G288" t="s">
        <v>45</v>
      </c>
      <c r="H288">
        <f>_xlfn.XLOOKUP(G288,系数辅助表!$C:$C,系数辅助表!$D:$D)</f>
        <v>1.8327694979870301E-2</v>
      </c>
      <c r="J288">
        <f t="shared" si="28"/>
        <v>1055.67523084053</v>
      </c>
      <c r="K288">
        <f t="shared" si="26"/>
        <v>477.02452999951203</v>
      </c>
      <c r="L288">
        <v>578.65070084101706</v>
      </c>
    </row>
    <row r="289" spans="1:12" x14ac:dyDescent="0.3">
      <c r="A289" s="2" t="s">
        <v>15</v>
      </c>
      <c r="B289" t="s">
        <v>154</v>
      </c>
      <c r="C289" t="s">
        <v>155</v>
      </c>
      <c r="D289">
        <f>_xlfn.XLOOKUP(B289,'3.屠宰能力表'!B:B,'3.屠宰能力表'!E:E)</f>
        <v>800</v>
      </c>
      <c r="E289">
        <f>_xlfn.XLOOKUP(B289,'4.分割能力表'!B:B,'4.分割能力表'!D:D)</f>
        <v>480</v>
      </c>
      <c r="F289">
        <f>_xlfn.XLOOKUP(B289,'4.分割能力表'!B:B,'4.分割能力表'!E:E)</f>
        <v>20000</v>
      </c>
      <c r="G289" t="s">
        <v>68</v>
      </c>
      <c r="H289">
        <f>_xlfn.XLOOKUP(G289,系数辅助表!$C:$C,系数辅助表!$D:$D)</f>
        <v>9.7050751819787603E-2</v>
      </c>
      <c r="J289">
        <f t="shared" si="28"/>
        <v>5590.1233048197701</v>
      </c>
      <c r="K289">
        <f t="shared" si="26"/>
        <v>2985.6106928167001</v>
      </c>
      <c r="L289">
        <v>2604.51261200307</v>
      </c>
    </row>
    <row r="290" spans="1:12" x14ac:dyDescent="0.3">
      <c r="A290" s="2" t="s">
        <v>15</v>
      </c>
      <c r="B290" t="s">
        <v>154</v>
      </c>
      <c r="C290" t="s">
        <v>155</v>
      </c>
      <c r="D290">
        <f>_xlfn.XLOOKUP(B290,'3.屠宰能力表'!B:B,'3.屠宰能力表'!E:E)</f>
        <v>800</v>
      </c>
      <c r="E290">
        <f>_xlfn.XLOOKUP(B290,'4.分割能力表'!B:B,'4.分割能力表'!D:D)</f>
        <v>480</v>
      </c>
      <c r="F290">
        <f>_xlfn.XLOOKUP(B290,'4.分割能力表'!B:B,'4.分割能力表'!E:E)</f>
        <v>20000</v>
      </c>
      <c r="G290" t="s">
        <v>70</v>
      </c>
      <c r="H290">
        <f>_xlfn.XLOOKUP(G290,系数辅助表!$C:$C,系数辅助表!$D:$D)</f>
        <v>4.6512517384561802E-2</v>
      </c>
      <c r="J290">
        <f t="shared" si="28"/>
        <v>2679.1210013507598</v>
      </c>
      <c r="K290">
        <f t="shared" si="26"/>
        <v>2219.50112864434</v>
      </c>
      <c r="L290">
        <v>459.61987270642402</v>
      </c>
    </row>
    <row r="291" spans="1:12" x14ac:dyDescent="0.3">
      <c r="A291" s="2" t="s">
        <v>15</v>
      </c>
      <c r="B291" t="s">
        <v>154</v>
      </c>
      <c r="C291" t="s">
        <v>155</v>
      </c>
      <c r="D291">
        <f>_xlfn.XLOOKUP(B291,'3.屠宰能力表'!B:B,'3.屠宰能力表'!E:E)</f>
        <v>800</v>
      </c>
      <c r="E291">
        <f>_xlfn.XLOOKUP(B291,'4.分割能力表'!B:B,'4.分割能力表'!D:D)</f>
        <v>480</v>
      </c>
      <c r="F291">
        <f>_xlfn.XLOOKUP(B291,'4.分割能力表'!B:B,'4.分割能力表'!E:E)</f>
        <v>20000</v>
      </c>
      <c r="G291" t="s">
        <v>71</v>
      </c>
      <c r="H291">
        <f>_xlfn.XLOOKUP(G291,系数辅助表!$C:$C,系数辅助表!$D:$D)</f>
        <v>2.8731737554939799E-2</v>
      </c>
      <c r="J291">
        <f t="shared" si="28"/>
        <v>1654.9480831645301</v>
      </c>
      <c r="K291">
        <f t="shared" si="26"/>
        <v>747.81600295442604</v>
      </c>
      <c r="L291">
        <v>907.13208021010701</v>
      </c>
    </row>
    <row r="292" spans="1:12" x14ac:dyDescent="0.3">
      <c r="A292" s="2" t="s">
        <v>15</v>
      </c>
      <c r="B292" t="s">
        <v>154</v>
      </c>
      <c r="C292" t="s">
        <v>155</v>
      </c>
      <c r="D292">
        <f>_xlfn.XLOOKUP(B292,'3.屠宰能力表'!B:B,'3.屠宰能力表'!E:E)</f>
        <v>800</v>
      </c>
      <c r="E292">
        <f>_xlfn.XLOOKUP(B292,'4.分割能力表'!B:B,'4.分割能力表'!D:D)</f>
        <v>480</v>
      </c>
      <c r="F292">
        <f>_xlfn.XLOOKUP(B292,'4.分割能力表'!B:B,'4.分割能力表'!E:E)</f>
        <v>20000</v>
      </c>
      <c r="G292" t="s">
        <v>72</v>
      </c>
      <c r="H292">
        <f>_xlfn.XLOOKUP(G292,系数辅助表!$C:$C,系数辅助表!$D:$D)</f>
        <v>2.9020999088867499E-2</v>
      </c>
      <c r="J292">
        <f t="shared" si="28"/>
        <v>1671.6095475187699</v>
      </c>
      <c r="K292">
        <f t="shared" si="26"/>
        <v>1671.6095475187699</v>
      </c>
      <c r="L292">
        <v>0</v>
      </c>
    </row>
    <row r="293" spans="1:12" x14ac:dyDescent="0.3">
      <c r="A293" s="2" t="s">
        <v>15</v>
      </c>
      <c r="B293" t="s">
        <v>154</v>
      </c>
      <c r="C293" t="s">
        <v>155</v>
      </c>
      <c r="D293">
        <f>_xlfn.XLOOKUP(B293,'3.屠宰能力表'!B:B,'3.屠宰能力表'!E:E)</f>
        <v>800</v>
      </c>
      <c r="E293">
        <f>_xlfn.XLOOKUP(B293,'4.分割能力表'!B:B,'4.分割能力表'!D:D)</f>
        <v>480</v>
      </c>
      <c r="F293">
        <f>_xlfn.XLOOKUP(B293,'4.分割能力表'!B:B,'4.分割能力表'!E:E)</f>
        <v>20000</v>
      </c>
      <c r="G293" t="s">
        <v>73</v>
      </c>
      <c r="H293">
        <f>_xlfn.XLOOKUP(G293,系数辅助表!$C:$C,系数辅助表!$D:$D)</f>
        <v>3.3890751204307498E-2</v>
      </c>
      <c r="J293">
        <f t="shared" si="28"/>
        <v>1952.1072693681101</v>
      </c>
      <c r="K293">
        <f t="shared" si="26"/>
        <v>465.87349700144898</v>
      </c>
      <c r="L293">
        <v>1486.2337723666601</v>
      </c>
    </row>
    <row r="294" spans="1:12" x14ac:dyDescent="0.3">
      <c r="A294" s="2" t="s">
        <v>15</v>
      </c>
      <c r="B294" t="s">
        <v>154</v>
      </c>
      <c r="C294" t="s">
        <v>155</v>
      </c>
      <c r="D294">
        <f>_xlfn.XLOOKUP(B294,'3.屠宰能力表'!B:B,'3.屠宰能力表'!E:E)</f>
        <v>800</v>
      </c>
      <c r="E294">
        <f>_xlfn.XLOOKUP(B294,'4.分割能力表'!B:B,'4.分割能力表'!D:D)</f>
        <v>480</v>
      </c>
      <c r="F294">
        <f>_xlfn.XLOOKUP(B294,'4.分割能力表'!B:B,'4.分割能力表'!E:E)</f>
        <v>20000</v>
      </c>
      <c r="G294" t="s">
        <v>74</v>
      </c>
      <c r="H294">
        <f>_xlfn.XLOOKUP(G294,系数辅助表!$C:$C,系数辅助表!$D:$D)</f>
        <v>6.6683830901271496E-3</v>
      </c>
      <c r="J294">
        <f t="shared" si="28"/>
        <v>384.09886599132398</v>
      </c>
      <c r="K294" s="7">
        <f t="shared" si="26"/>
        <v>0</v>
      </c>
      <c r="L294" s="7">
        <f>J294</f>
        <v>384.09886599132398</v>
      </c>
    </row>
    <row r="295" spans="1:12" x14ac:dyDescent="0.3">
      <c r="A295" s="2" t="s">
        <v>15</v>
      </c>
      <c r="B295" t="s">
        <v>154</v>
      </c>
      <c r="C295" t="s">
        <v>155</v>
      </c>
      <c r="D295">
        <f>_xlfn.XLOOKUP(B295,'3.屠宰能力表'!B:B,'3.屠宰能力表'!E:E)</f>
        <v>800</v>
      </c>
      <c r="E295">
        <f>_xlfn.XLOOKUP(B295,'4.分割能力表'!B:B,'4.分割能力表'!D:D)</f>
        <v>480</v>
      </c>
      <c r="F295">
        <f>_xlfn.XLOOKUP(B295,'4.分割能力表'!B:B,'4.分割能力表'!E:E)</f>
        <v>20000</v>
      </c>
      <c r="G295" t="s">
        <v>75</v>
      </c>
      <c r="H295">
        <f>_xlfn.XLOOKUP(G295,系数辅助表!$C:$C,系数辅助表!$D:$D)</f>
        <v>7.3037535376360693E-2</v>
      </c>
      <c r="J295">
        <f t="shared" si="28"/>
        <v>4206.9620376783796</v>
      </c>
      <c r="K295">
        <f t="shared" si="26"/>
        <v>744.943709670001</v>
      </c>
      <c r="L295">
        <v>3462.0183280083702</v>
      </c>
    </row>
    <row r="296" spans="1:12" x14ac:dyDescent="0.3">
      <c r="A296" s="2" t="s">
        <v>15</v>
      </c>
      <c r="B296" t="s">
        <v>154</v>
      </c>
      <c r="C296" t="s">
        <v>155</v>
      </c>
      <c r="D296">
        <f>_xlfn.XLOOKUP(B296,'3.屠宰能力表'!B:B,'3.屠宰能力表'!E:E)</f>
        <v>800</v>
      </c>
      <c r="E296">
        <f>_xlfn.XLOOKUP(B296,'4.分割能力表'!B:B,'4.分割能力表'!D:D)</f>
        <v>480</v>
      </c>
      <c r="F296">
        <f>_xlfn.XLOOKUP(B296,'4.分割能力表'!B:B,'4.分割能力表'!E:E)</f>
        <v>20000</v>
      </c>
      <c r="G296" t="s">
        <v>76</v>
      </c>
      <c r="H296">
        <f>_xlfn.XLOOKUP(G296,系数辅助表!$C:$C,系数辅助表!$D:$D)</f>
        <v>0.122051725196981</v>
      </c>
      <c r="J296">
        <f t="shared" ref="J296:J312" si="29">$E296*H296*$D$1</f>
        <v>7030.1793713461102</v>
      </c>
      <c r="K296">
        <f t="shared" si="26"/>
        <v>4332.7467983378701</v>
      </c>
      <c r="L296">
        <v>2697.4325730082401</v>
      </c>
    </row>
    <row r="297" spans="1:12" x14ac:dyDescent="0.3">
      <c r="A297" s="2" t="s">
        <v>15</v>
      </c>
      <c r="B297" t="s">
        <v>154</v>
      </c>
      <c r="C297" t="s">
        <v>155</v>
      </c>
      <c r="D297">
        <f>_xlfn.XLOOKUP(B297,'3.屠宰能力表'!B:B,'3.屠宰能力表'!E:E)</f>
        <v>800</v>
      </c>
      <c r="E297">
        <f>_xlfn.XLOOKUP(B297,'4.分割能力表'!B:B,'4.分割能力表'!D:D)</f>
        <v>480</v>
      </c>
      <c r="F297">
        <f>_xlfn.XLOOKUP(B297,'4.分割能力表'!B:B,'4.分割能力表'!E:E)</f>
        <v>20000</v>
      </c>
      <c r="G297" t="s">
        <v>77</v>
      </c>
      <c r="H297" s="1">
        <f>_xlfn.XLOOKUP(G297,系数辅助表!$C:$C,系数辅助表!$D:$D)</f>
        <v>1.9521507261015199E-2</v>
      </c>
      <c r="J297">
        <f t="shared" si="29"/>
        <v>1124.4388182344801</v>
      </c>
      <c r="K297">
        <f t="shared" si="26"/>
        <v>508.09650838775298</v>
      </c>
      <c r="L297">
        <v>616.34230984672195</v>
      </c>
    </row>
    <row r="298" spans="1:12" x14ac:dyDescent="0.3">
      <c r="A298" s="2" t="s">
        <v>15</v>
      </c>
      <c r="B298" t="s">
        <v>154</v>
      </c>
      <c r="C298" t="s">
        <v>155</v>
      </c>
      <c r="D298">
        <f>_xlfn.XLOOKUP(B298,'3.屠宰能力表'!B:B,'3.屠宰能力表'!E:E)</f>
        <v>800</v>
      </c>
      <c r="E298">
        <f>_xlfn.XLOOKUP(B298,'4.分割能力表'!B:B,'4.分割能力表'!D:D)</f>
        <v>480</v>
      </c>
      <c r="F298">
        <f>_xlfn.XLOOKUP(B298,'4.分割能力表'!B:B,'4.分割能力表'!E:E)</f>
        <v>20000</v>
      </c>
      <c r="G298" t="s">
        <v>78</v>
      </c>
      <c r="H298" s="1">
        <f>_xlfn.XLOOKUP(G298,系数辅助表!$C:$C,系数辅助表!$D:$D)</f>
        <v>2.7552209592914899E-2</v>
      </c>
      <c r="J298">
        <f t="shared" si="29"/>
        <v>1587.0072725519001</v>
      </c>
      <c r="K298">
        <f t="shared" si="26"/>
        <v>717.11581003195602</v>
      </c>
      <c r="L298">
        <v>869.89146251994305</v>
      </c>
    </row>
    <row r="299" spans="1:12" x14ac:dyDescent="0.3">
      <c r="A299" s="2" t="s">
        <v>15</v>
      </c>
      <c r="B299" t="s">
        <v>154</v>
      </c>
      <c r="C299" t="s">
        <v>155</v>
      </c>
      <c r="D299">
        <f>_xlfn.XLOOKUP(B299,'3.屠宰能力表'!B:B,'3.屠宰能力表'!E:E)</f>
        <v>800</v>
      </c>
      <c r="E299">
        <f>_xlfn.XLOOKUP(B299,'4.分割能力表'!B:B,'4.分割能力表'!D:D)</f>
        <v>480</v>
      </c>
      <c r="F299">
        <f>_xlfn.XLOOKUP(B299,'4.分割能力表'!B:B,'4.分割能力表'!E:E)</f>
        <v>20000</v>
      </c>
      <c r="G299" t="s">
        <v>79</v>
      </c>
      <c r="H299">
        <f>_xlfn.XLOOKUP(G299,系数辅助表!$C:$C,系数辅助表!$D:$D)</f>
        <v>6.1357302939246697E-2</v>
      </c>
      <c r="J299">
        <f t="shared" si="29"/>
        <v>3534.1806493006102</v>
      </c>
      <c r="K299">
        <f t="shared" si="26"/>
        <v>1596.97870511151</v>
      </c>
      <c r="L299">
        <v>1937.2019441891</v>
      </c>
    </row>
    <row r="300" spans="1:12" x14ac:dyDescent="0.3">
      <c r="A300" s="2" t="s">
        <v>15</v>
      </c>
      <c r="B300" t="s">
        <v>154</v>
      </c>
      <c r="C300" t="s">
        <v>155</v>
      </c>
      <c r="D300">
        <f>_xlfn.XLOOKUP(B300,'3.屠宰能力表'!B:B,'3.屠宰能力表'!E:E)</f>
        <v>800</v>
      </c>
      <c r="E300">
        <f>_xlfn.XLOOKUP(B300,'4.分割能力表'!B:B,'4.分割能力表'!D:D)</f>
        <v>480</v>
      </c>
      <c r="F300">
        <f>_xlfn.XLOOKUP(B300,'4.分割能力表'!B:B,'4.分割能力表'!E:E)</f>
        <v>20000</v>
      </c>
      <c r="G300" t="s">
        <v>80</v>
      </c>
      <c r="H300">
        <f>_xlfn.XLOOKUP(G300,系数辅助表!$C:$C,系数辅助表!$D:$D)</f>
        <v>1.30165882845583E-2</v>
      </c>
      <c r="J300">
        <f t="shared" si="29"/>
        <v>749.75548519055803</v>
      </c>
      <c r="K300">
        <f t="shared" si="26"/>
        <v>749.75548519055803</v>
      </c>
      <c r="L300">
        <v>0</v>
      </c>
    </row>
    <row r="301" spans="1:12" x14ac:dyDescent="0.3">
      <c r="A301" s="2" t="s">
        <v>15</v>
      </c>
      <c r="B301" t="s">
        <v>154</v>
      </c>
      <c r="C301" t="s">
        <v>155</v>
      </c>
      <c r="D301">
        <f>_xlfn.XLOOKUP(B301,'3.屠宰能力表'!B:B,'3.屠宰能力表'!E:E)</f>
        <v>800</v>
      </c>
      <c r="E301">
        <f>_xlfn.XLOOKUP(B301,'4.分割能力表'!B:B,'4.分割能力表'!D:D)</f>
        <v>480</v>
      </c>
      <c r="F301">
        <f>_xlfn.XLOOKUP(B301,'4.分割能力表'!B:B,'4.分割能力表'!E:E)</f>
        <v>20000</v>
      </c>
      <c r="G301" t="s">
        <v>81</v>
      </c>
      <c r="H301">
        <f>_xlfn.XLOOKUP(G301,系数辅助表!$C:$C,系数辅助表!$D:$D)</f>
        <v>2.9868560985823099E-2</v>
      </c>
      <c r="J301">
        <f t="shared" si="29"/>
        <v>1720.4291127834099</v>
      </c>
      <c r="K301">
        <f t="shared" si="26"/>
        <v>1720.4291127834099</v>
      </c>
      <c r="L301">
        <v>0</v>
      </c>
    </row>
    <row r="302" spans="1:12" x14ac:dyDescent="0.3">
      <c r="A302" s="2" t="s">
        <v>15</v>
      </c>
      <c r="B302" t="s">
        <v>154</v>
      </c>
      <c r="C302" t="s">
        <v>155</v>
      </c>
      <c r="D302">
        <f>_xlfn.XLOOKUP(B302,'3.屠宰能力表'!B:B,'3.屠宰能力表'!E:E)</f>
        <v>800</v>
      </c>
      <c r="E302">
        <f>_xlfn.XLOOKUP(B302,'4.分割能力表'!B:B,'4.分割能力表'!D:D)</f>
        <v>480</v>
      </c>
      <c r="F302">
        <f>_xlfn.XLOOKUP(B302,'4.分割能力表'!B:B,'4.分割能力表'!E:E)</f>
        <v>20000</v>
      </c>
      <c r="G302" t="s">
        <v>82</v>
      </c>
      <c r="H302">
        <f>_xlfn.XLOOKUP(G302,系数辅助表!$C:$C,系数辅助表!$D:$D)</f>
        <v>1.31753271660773E-2</v>
      </c>
      <c r="J302">
        <f t="shared" si="29"/>
        <v>758.89884476605198</v>
      </c>
      <c r="K302">
        <f t="shared" si="26"/>
        <v>342.92115052605999</v>
      </c>
      <c r="L302">
        <v>415.97769423999199</v>
      </c>
    </row>
    <row r="303" spans="1:12" x14ac:dyDescent="0.3">
      <c r="A303" s="2" t="s">
        <v>15</v>
      </c>
      <c r="B303" t="s">
        <v>154</v>
      </c>
      <c r="C303" t="s">
        <v>155</v>
      </c>
      <c r="D303">
        <f>_xlfn.XLOOKUP(B303,'3.屠宰能力表'!B:B,'3.屠宰能力表'!E:E)</f>
        <v>800</v>
      </c>
      <c r="E303">
        <f>_xlfn.XLOOKUP(B303,'4.分割能力表'!B:B,'4.分割能力表'!D:D)</f>
        <v>480</v>
      </c>
      <c r="F303">
        <f>_xlfn.XLOOKUP(B303,'4.分割能力表'!B:B,'4.分割能力表'!E:E)</f>
        <v>20000</v>
      </c>
      <c r="G303" t="s">
        <v>83</v>
      </c>
      <c r="H303">
        <f>_xlfn.XLOOKUP(G303,系数辅助表!$C:$C,系数辅助表!$D:$D)</f>
        <v>7.2226191091146899E-3</v>
      </c>
      <c r="J303">
        <f t="shared" si="29"/>
        <v>416.02286068500598</v>
      </c>
      <c r="K303">
        <f t="shared" si="26"/>
        <v>416.02286068500598</v>
      </c>
      <c r="L303">
        <v>0</v>
      </c>
    </row>
    <row r="304" spans="1:12" x14ac:dyDescent="0.3">
      <c r="A304" s="2" t="s">
        <v>15</v>
      </c>
      <c r="B304" t="s">
        <v>154</v>
      </c>
      <c r="C304" t="s">
        <v>155</v>
      </c>
      <c r="D304">
        <f>_xlfn.XLOOKUP(B304,'3.屠宰能力表'!B:B,'3.屠宰能力表'!E:E)</f>
        <v>800</v>
      </c>
      <c r="E304">
        <f>_xlfn.XLOOKUP(B304,'4.分割能力表'!B:B,'4.分割能力表'!D:D)</f>
        <v>480</v>
      </c>
      <c r="F304">
        <f>_xlfn.XLOOKUP(B304,'4.分割能力表'!B:B,'4.分割能力表'!E:E)</f>
        <v>20000</v>
      </c>
      <c r="G304" t="s">
        <v>84</v>
      </c>
      <c r="H304">
        <f>_xlfn.XLOOKUP(G304,系数辅助表!$C:$C,系数辅助表!$D:$D)</f>
        <v>2.34933544648127E-2</v>
      </c>
      <c r="J304">
        <f t="shared" si="29"/>
        <v>1353.21721717321</v>
      </c>
      <c r="K304">
        <f t="shared" si="26"/>
        <v>1353.21721717321</v>
      </c>
      <c r="L304">
        <v>0</v>
      </c>
    </row>
    <row r="305" spans="1:12" x14ac:dyDescent="0.3">
      <c r="A305" s="2" t="s">
        <v>15</v>
      </c>
      <c r="B305" t="s">
        <v>154</v>
      </c>
      <c r="C305" t="s">
        <v>155</v>
      </c>
      <c r="D305">
        <f>_xlfn.XLOOKUP(B305,'3.屠宰能力表'!B:B,'3.屠宰能力表'!E:E)</f>
        <v>800</v>
      </c>
      <c r="E305">
        <f>_xlfn.XLOOKUP(B305,'4.分割能力表'!B:B,'4.分割能力表'!D:D)</f>
        <v>480</v>
      </c>
      <c r="F305">
        <f>_xlfn.XLOOKUP(B305,'4.分割能力表'!B:B,'4.分割能力表'!E:E)</f>
        <v>20000</v>
      </c>
      <c r="G305" t="s">
        <v>85</v>
      </c>
      <c r="H305">
        <f>_xlfn.XLOOKUP(G305,系数辅助表!$C:$C,系数辅助表!$D:$D)</f>
        <v>9.8418106541782492E-3</v>
      </c>
      <c r="J305">
        <f t="shared" si="29"/>
        <v>566.88829368066695</v>
      </c>
      <c r="K305">
        <f t="shared" si="26"/>
        <v>566.88829368066695</v>
      </c>
      <c r="L305">
        <v>0</v>
      </c>
    </row>
    <row r="306" spans="1:12" x14ac:dyDescent="0.3">
      <c r="A306" s="2" t="s">
        <v>15</v>
      </c>
      <c r="B306" t="s">
        <v>154</v>
      </c>
      <c r="C306" t="s">
        <v>155</v>
      </c>
      <c r="D306">
        <f>_xlfn.XLOOKUP(B306,'3.屠宰能力表'!B:B,'3.屠宰能力表'!E:E)</f>
        <v>800</v>
      </c>
      <c r="E306">
        <f>_xlfn.XLOOKUP(B306,'4.分割能力表'!B:B,'4.分割能力表'!D:D)</f>
        <v>480</v>
      </c>
      <c r="F306">
        <f>_xlfn.XLOOKUP(B306,'4.分割能力表'!B:B,'4.分割能力表'!E:E)</f>
        <v>20000</v>
      </c>
      <c r="G306" t="s">
        <v>86</v>
      </c>
      <c r="H306">
        <f>_xlfn.XLOOKUP(G306,系数辅助表!$C:$C,系数辅助表!$D:$D)</f>
        <v>6.9845107868361997E-3</v>
      </c>
      <c r="J306">
        <f t="shared" si="29"/>
        <v>402.307821321765</v>
      </c>
      <c r="K306">
        <f t="shared" si="26"/>
        <v>402.307821321765</v>
      </c>
      <c r="L306">
        <v>0</v>
      </c>
    </row>
    <row r="307" spans="1:12" x14ac:dyDescent="0.3">
      <c r="A307" s="2" t="s">
        <v>15</v>
      </c>
      <c r="B307" t="s">
        <v>154</v>
      </c>
      <c r="C307" t="s">
        <v>155</v>
      </c>
      <c r="D307">
        <f>_xlfn.XLOOKUP(B307,'3.屠宰能力表'!B:B,'3.屠宰能力表'!E:E)</f>
        <v>800</v>
      </c>
      <c r="E307">
        <f>_xlfn.XLOOKUP(B307,'4.分割能力表'!B:B,'4.分割能力表'!D:D)</f>
        <v>480</v>
      </c>
      <c r="F307">
        <f>_xlfn.XLOOKUP(B307,'4.分割能力表'!B:B,'4.分割能力表'!E:E)</f>
        <v>20000</v>
      </c>
      <c r="G307" t="s">
        <v>87</v>
      </c>
      <c r="H307">
        <f>_xlfn.XLOOKUP(G307,系数辅助表!$C:$C,系数辅助表!$D:$D)</f>
        <v>2.2223443412660699E-3</v>
      </c>
      <c r="J307">
        <f t="shared" si="29"/>
        <v>128.00703405692599</v>
      </c>
      <c r="K307">
        <f t="shared" si="26"/>
        <v>128.00703405692599</v>
      </c>
      <c r="L307">
        <v>0</v>
      </c>
    </row>
    <row r="308" spans="1:12" x14ac:dyDescent="0.3">
      <c r="A308" s="2" t="s">
        <v>15</v>
      </c>
      <c r="B308" t="s">
        <v>154</v>
      </c>
      <c r="C308" t="s">
        <v>155</v>
      </c>
      <c r="D308">
        <f>_xlfn.XLOOKUP(B308,'3.屠宰能力表'!B:B,'3.屠宰能力表'!E:E)</f>
        <v>800</v>
      </c>
      <c r="E308">
        <f>_xlfn.XLOOKUP(B308,'4.分割能力表'!B:B,'4.分割能力表'!D:D)</f>
        <v>480</v>
      </c>
      <c r="F308">
        <f>_xlfn.XLOOKUP(B308,'4.分割能力表'!B:B,'4.分割能力表'!E:E)</f>
        <v>20000</v>
      </c>
      <c r="G308" t="s">
        <v>88</v>
      </c>
      <c r="H308">
        <f>_xlfn.XLOOKUP(G308,系数辅助表!$C:$C,系数辅助表!$D:$D)</f>
        <v>1.5880638483545301E-3</v>
      </c>
      <c r="J308">
        <f t="shared" si="29"/>
        <v>91.472477665220893</v>
      </c>
      <c r="K308">
        <f t="shared" si="26"/>
        <v>91.472477665220893</v>
      </c>
      <c r="L308">
        <v>0</v>
      </c>
    </row>
    <row r="309" spans="1:12" x14ac:dyDescent="0.3">
      <c r="A309" s="2" t="s">
        <v>15</v>
      </c>
      <c r="B309" t="s">
        <v>154</v>
      </c>
      <c r="C309" t="s">
        <v>155</v>
      </c>
      <c r="D309">
        <f>_xlfn.XLOOKUP(B309,'3.屠宰能力表'!B:B,'3.屠宰能力表'!E:E)</f>
        <v>800</v>
      </c>
      <c r="E309">
        <f>_xlfn.XLOOKUP(B309,'4.分割能力表'!B:B,'4.分割能力表'!D:D)</f>
        <v>480</v>
      </c>
      <c r="F309">
        <f>_xlfn.XLOOKUP(B309,'4.分割能力表'!B:B,'4.分割能力表'!E:E)</f>
        <v>20000</v>
      </c>
      <c r="G309" t="s">
        <v>89</v>
      </c>
      <c r="H309">
        <f>_xlfn.XLOOKUP(G309,系数辅助表!$C:$C,系数辅助表!$D:$D)</f>
        <v>1.0324777630380101E-2</v>
      </c>
      <c r="J309">
        <f t="shared" si="29"/>
        <v>594.70719150989396</v>
      </c>
      <c r="K309">
        <f t="shared" si="26"/>
        <v>268.72840266552799</v>
      </c>
      <c r="L309">
        <v>325.97878884436602</v>
      </c>
    </row>
    <row r="310" spans="1:12" x14ac:dyDescent="0.3">
      <c r="A310" s="2" t="s">
        <v>15</v>
      </c>
      <c r="B310" t="s">
        <v>154</v>
      </c>
      <c r="C310" t="s">
        <v>155</v>
      </c>
      <c r="D310">
        <f>_xlfn.XLOOKUP(B310,'3.屠宰能力表'!B:B,'3.屠宰能力表'!E:E)</f>
        <v>800</v>
      </c>
      <c r="E310">
        <f>_xlfn.XLOOKUP(B310,'4.分割能力表'!B:B,'4.分割能力表'!D:D)</f>
        <v>480</v>
      </c>
      <c r="F310">
        <f>_xlfn.XLOOKUP(B310,'4.分割能力表'!B:B,'4.分割能力表'!E:E)</f>
        <v>20000</v>
      </c>
      <c r="G310" t="s">
        <v>90</v>
      </c>
      <c r="H310">
        <f>_xlfn.XLOOKUP(G310,系数辅助表!$C:$C,系数辅助表!$D:$D)</f>
        <v>2.86E-2</v>
      </c>
      <c r="J310">
        <f t="shared" si="29"/>
        <v>1647.36</v>
      </c>
      <c r="K310">
        <f t="shared" si="26"/>
        <v>744.38720051650603</v>
      </c>
      <c r="L310">
        <v>902.97279948349399</v>
      </c>
    </row>
    <row r="311" spans="1:12" x14ac:dyDescent="0.3">
      <c r="A311" s="2" t="s">
        <v>15</v>
      </c>
      <c r="B311" t="s">
        <v>154</v>
      </c>
      <c r="C311" t="s">
        <v>155</v>
      </c>
      <c r="D311">
        <f>_xlfn.XLOOKUP(B311,'3.屠宰能力表'!B:B,'3.屠宰能力表'!E:E)</f>
        <v>800</v>
      </c>
      <c r="E311">
        <f>_xlfn.XLOOKUP(B311,'4.分割能力表'!B:B,'4.分割能力表'!D:D)</f>
        <v>480</v>
      </c>
      <c r="F311">
        <f>_xlfn.XLOOKUP(B311,'4.分割能力表'!B:B,'4.分割能力表'!E:E)</f>
        <v>20000</v>
      </c>
      <c r="G311" t="s">
        <v>91</v>
      </c>
      <c r="H311">
        <f>_xlfn.XLOOKUP(G311,系数辅助表!$C:$C,系数辅助表!$D:$D)</f>
        <v>2.1645581232916301E-2</v>
      </c>
      <c r="J311">
        <f t="shared" si="29"/>
        <v>1246.7854790159799</v>
      </c>
      <c r="K311">
        <f t="shared" si="26"/>
        <v>563.38089571759497</v>
      </c>
      <c r="L311">
        <v>683.40458329838395</v>
      </c>
    </row>
    <row r="312" spans="1:12" x14ac:dyDescent="0.3">
      <c r="A312" s="2" t="s">
        <v>15</v>
      </c>
      <c r="B312" t="s">
        <v>154</v>
      </c>
      <c r="C312" t="s">
        <v>155</v>
      </c>
      <c r="D312">
        <f>_xlfn.XLOOKUP(B312,'3.屠宰能力表'!B:B,'3.屠宰能力表'!E:E)</f>
        <v>800</v>
      </c>
      <c r="E312">
        <f>_xlfn.XLOOKUP(B312,'4.分割能力表'!B:B,'4.分割能力表'!D:D)</f>
        <v>480</v>
      </c>
      <c r="F312">
        <f>_xlfn.XLOOKUP(B312,'4.分割能力表'!B:B,'4.分割能力表'!E:E)</f>
        <v>20000</v>
      </c>
      <c r="G312" t="s">
        <v>92</v>
      </c>
      <c r="H312">
        <f>_xlfn.XLOOKUP(G312,系数辅助表!$C:$C,系数辅助表!$D:$D)</f>
        <v>1.4286499336710399E-3</v>
      </c>
      <c r="J312">
        <f t="shared" si="29"/>
        <v>82.290236179451895</v>
      </c>
      <c r="K312">
        <f t="shared" si="26"/>
        <v>82.290236179451895</v>
      </c>
      <c r="L312">
        <v>0</v>
      </c>
    </row>
    <row r="313" spans="1:12" x14ac:dyDescent="0.3">
      <c r="A313" s="2" t="s">
        <v>15</v>
      </c>
      <c r="B313" t="s">
        <v>154</v>
      </c>
      <c r="C313" t="s">
        <v>155</v>
      </c>
      <c r="D313">
        <f>_xlfn.XLOOKUP(B313,'3.屠宰能力表'!B:B,'3.屠宰能力表'!E:E)</f>
        <v>800</v>
      </c>
      <c r="E313">
        <f>_xlfn.XLOOKUP(B313,'4.分割能力表'!B:B,'4.分割能力表'!D:D)</f>
        <v>480</v>
      </c>
      <c r="F313">
        <f>_xlfn.XLOOKUP(B313,'4.分割能力表'!B:B,'4.分割能力表'!E:E)</f>
        <v>20000</v>
      </c>
      <c r="G313" t="s">
        <v>93</v>
      </c>
      <c r="H313"/>
      <c r="J313">
        <f t="shared" ref="J313:J321" si="30">IFERROR(INDEX($L:$L,MATCH(SUBSTITUTE(G313,"-冷冻",""),$G:$G,0)),"")</f>
        <v>9376.24540321104</v>
      </c>
    </row>
    <row r="314" spans="1:12" x14ac:dyDescent="0.3">
      <c r="A314" s="2" t="s">
        <v>15</v>
      </c>
      <c r="B314" t="s">
        <v>154</v>
      </c>
      <c r="C314" t="s">
        <v>155</v>
      </c>
      <c r="D314">
        <f>_xlfn.XLOOKUP(B314,'3.屠宰能力表'!B:B,'3.屠宰能力表'!E:E)</f>
        <v>800</v>
      </c>
      <c r="E314">
        <f>_xlfn.XLOOKUP(B314,'4.分割能力表'!B:B,'4.分割能力表'!D:D)</f>
        <v>480</v>
      </c>
      <c r="F314">
        <f>_xlfn.XLOOKUP(B314,'4.分割能力表'!B:B,'4.分割能力表'!E:E)</f>
        <v>20000</v>
      </c>
      <c r="G314" t="s">
        <v>96</v>
      </c>
      <c r="H314"/>
      <c r="J314">
        <f t="shared" si="30"/>
        <v>1654.6315417431299</v>
      </c>
    </row>
    <row r="315" spans="1:12" x14ac:dyDescent="0.3">
      <c r="A315" s="2" t="s">
        <v>15</v>
      </c>
      <c r="B315" t="s">
        <v>154</v>
      </c>
      <c r="C315" t="s">
        <v>155</v>
      </c>
      <c r="D315">
        <f>_xlfn.XLOOKUP(B315,'3.屠宰能力表'!B:B,'3.屠宰能力表'!E:E)</f>
        <v>800</v>
      </c>
      <c r="E315">
        <f>_xlfn.XLOOKUP(B315,'4.分割能力表'!B:B,'4.分割能力表'!D:D)</f>
        <v>480</v>
      </c>
      <c r="F315">
        <f>_xlfn.XLOOKUP(B315,'4.分割能力表'!B:B,'4.分割能力表'!E:E)</f>
        <v>20000</v>
      </c>
      <c r="G315" t="s">
        <v>97</v>
      </c>
      <c r="H315"/>
      <c r="J315">
        <f t="shared" si="30"/>
        <v>3265.6754887563802</v>
      </c>
    </row>
    <row r="316" spans="1:12" x14ac:dyDescent="0.3">
      <c r="A316" s="2" t="s">
        <v>15</v>
      </c>
      <c r="B316" t="s">
        <v>154</v>
      </c>
      <c r="C316" t="s">
        <v>155</v>
      </c>
      <c r="D316">
        <f>_xlfn.XLOOKUP(B316,'3.屠宰能力表'!B:B,'3.屠宰能力表'!E:E)</f>
        <v>800</v>
      </c>
      <c r="E316">
        <f>_xlfn.XLOOKUP(B316,'4.分割能力表'!B:B,'4.分割能力表'!D:D)</f>
        <v>480</v>
      </c>
      <c r="F316">
        <f>_xlfn.XLOOKUP(B316,'4.分割能力表'!B:B,'4.分割能力表'!E:E)</f>
        <v>20000</v>
      </c>
      <c r="G316" t="s">
        <v>99</v>
      </c>
      <c r="H316"/>
      <c r="J316">
        <f t="shared" si="30"/>
        <v>5350.4415805199897</v>
      </c>
    </row>
    <row r="317" spans="1:12" x14ac:dyDescent="0.3">
      <c r="A317" s="2" t="s">
        <v>15</v>
      </c>
      <c r="B317" t="s">
        <v>154</v>
      </c>
      <c r="C317" t="s">
        <v>155</v>
      </c>
      <c r="D317">
        <f>_xlfn.XLOOKUP(B317,'3.屠宰能力表'!B:B,'3.屠宰能力表'!E:E)</f>
        <v>800</v>
      </c>
      <c r="E317">
        <f>_xlfn.XLOOKUP(B317,'4.分割能力表'!B:B,'4.分割能力表'!D:D)</f>
        <v>480</v>
      </c>
      <c r="F317">
        <f>_xlfn.XLOOKUP(B317,'4.分割能力表'!B:B,'4.分割能力表'!E:E)</f>
        <v>20000</v>
      </c>
      <c r="G317" t="s">
        <v>100</v>
      </c>
      <c r="H317"/>
      <c r="J317">
        <f t="shared" si="30"/>
        <v>1280.32955330441</v>
      </c>
    </row>
    <row r="318" spans="1:12" x14ac:dyDescent="0.3">
      <c r="A318" s="2" t="s">
        <v>15</v>
      </c>
      <c r="B318" t="s">
        <v>154</v>
      </c>
      <c r="C318" t="s">
        <v>155</v>
      </c>
      <c r="D318">
        <f>_xlfn.XLOOKUP(B318,'3.屠宰能力表'!B:B,'3.屠宰能力表'!E:E)</f>
        <v>800</v>
      </c>
      <c r="E318">
        <f>_xlfn.XLOOKUP(B318,'4.分割能力表'!B:B,'4.分割能力表'!D:D)</f>
        <v>480</v>
      </c>
      <c r="F318">
        <f>_xlfn.XLOOKUP(B318,'4.分割能力表'!B:B,'4.分割能力表'!E:E)</f>
        <v>20000</v>
      </c>
      <c r="G318" t="s">
        <v>101</v>
      </c>
      <c r="H318"/>
      <c r="J318">
        <f t="shared" si="30"/>
        <v>12463.2659808302</v>
      </c>
    </row>
    <row r="319" spans="1:12" x14ac:dyDescent="0.3">
      <c r="A319" s="2" t="s">
        <v>15</v>
      </c>
      <c r="B319" t="s">
        <v>154</v>
      </c>
      <c r="C319" t="s">
        <v>155</v>
      </c>
      <c r="D319">
        <f>_xlfn.XLOOKUP(B319,'3.屠宰能力表'!B:B,'3.屠宰能力表'!E:E)</f>
        <v>800</v>
      </c>
      <c r="E319">
        <f>_xlfn.XLOOKUP(B319,'4.分割能力表'!B:B,'4.分割能力表'!D:D)</f>
        <v>480</v>
      </c>
      <c r="F319">
        <f>_xlfn.XLOOKUP(B319,'4.分割能力表'!B:B,'4.分割能力表'!E:E)</f>
        <v>20000</v>
      </c>
      <c r="G319" t="s">
        <v>102</v>
      </c>
      <c r="H319"/>
      <c r="J319">
        <f t="shared" si="30"/>
        <v>9710.7572628296493</v>
      </c>
    </row>
    <row r="320" spans="1:12" x14ac:dyDescent="0.3">
      <c r="A320" s="2" t="s">
        <v>15</v>
      </c>
      <c r="B320" t="s">
        <v>154</v>
      </c>
      <c r="C320" t="s">
        <v>155</v>
      </c>
      <c r="D320">
        <f>_xlfn.XLOOKUP(B320,'3.屠宰能力表'!B:B,'3.屠宰能力表'!E:E)</f>
        <v>800</v>
      </c>
      <c r="E320">
        <f>_xlfn.XLOOKUP(B320,'4.分割能力表'!B:B,'4.分割能力表'!D:D)</f>
        <v>480</v>
      </c>
      <c r="F320">
        <f>_xlfn.XLOOKUP(B320,'4.分割能力表'!B:B,'4.分割能力表'!E:E)</f>
        <v>20000</v>
      </c>
      <c r="G320" t="s">
        <v>103</v>
      </c>
      <c r="H320"/>
      <c r="J320">
        <f t="shared" si="30"/>
        <v>2218.8323154482</v>
      </c>
    </row>
    <row r="321" spans="1:11" x14ac:dyDescent="0.3">
      <c r="A321" s="2" t="s">
        <v>15</v>
      </c>
      <c r="B321" t="s">
        <v>154</v>
      </c>
      <c r="C321" t="s">
        <v>155</v>
      </c>
      <c r="D321">
        <f>_xlfn.XLOOKUP(B321,'3.屠宰能力表'!B:B,'3.屠宰能力表'!E:E)</f>
        <v>800</v>
      </c>
      <c r="E321">
        <f>_xlfn.XLOOKUP(B321,'4.分割能力表'!B:B,'4.分割能力表'!D:D)</f>
        <v>480</v>
      </c>
      <c r="F321">
        <f>_xlfn.XLOOKUP(B321,'4.分割能力表'!B:B,'4.分割能力表'!E:E)</f>
        <v>20000</v>
      </c>
      <c r="G321" t="s">
        <v>104</v>
      </c>
      <c r="H321"/>
      <c r="J321">
        <f t="shared" si="30"/>
        <v>3131.6092650717901</v>
      </c>
    </row>
    <row r="322" spans="1:11" x14ac:dyDescent="0.3">
      <c r="A322" s="2" t="s">
        <v>15</v>
      </c>
      <c r="B322" t="s">
        <v>154</v>
      </c>
      <c r="C322" t="s">
        <v>155</v>
      </c>
      <c r="D322">
        <f>_xlfn.XLOOKUP(B322,'3.屠宰能力表'!B:B,'3.屠宰能力表'!E:E)</f>
        <v>800</v>
      </c>
      <c r="E322">
        <f>_xlfn.XLOOKUP(B322,'4.分割能力表'!B:B,'4.分割能力表'!D:D)</f>
        <v>480</v>
      </c>
      <c r="F322">
        <f>_xlfn.XLOOKUP(B322,'4.分割能力表'!B:B,'4.分割能力表'!E:E)</f>
        <v>20000</v>
      </c>
      <c r="G322" t="s">
        <v>105</v>
      </c>
      <c r="H322"/>
      <c r="J322">
        <f t="shared" ref="J322:J328" si="31">IFERROR(INDEX($L:$L,MATCH(SUBSTITUTE(G322,"-冷冻",""),$G:$G,0)),"")</f>
        <v>6973.9269990807697</v>
      </c>
    </row>
    <row r="323" spans="1:11" x14ac:dyDescent="0.3">
      <c r="A323" s="2" t="s">
        <v>15</v>
      </c>
      <c r="B323" t="s">
        <v>154</v>
      </c>
      <c r="C323" t="s">
        <v>155</v>
      </c>
      <c r="D323">
        <f>_xlfn.XLOOKUP(B323,'3.屠宰能力表'!B:B,'3.屠宰能力表'!E:E)</f>
        <v>800</v>
      </c>
      <c r="E323">
        <f>_xlfn.XLOOKUP(B323,'4.分割能力表'!B:B,'4.分割能力表'!D:D)</f>
        <v>480</v>
      </c>
      <c r="F323">
        <f>_xlfn.XLOOKUP(B323,'4.分割能力表'!B:B,'4.分割能力表'!E:E)</f>
        <v>20000</v>
      </c>
      <c r="G323" t="s">
        <v>108</v>
      </c>
      <c r="H323"/>
      <c r="J323">
        <f t="shared" si="31"/>
        <v>1497.5196992639701</v>
      </c>
    </row>
    <row r="324" spans="1:11" x14ac:dyDescent="0.3">
      <c r="A324" s="2" t="s">
        <v>15</v>
      </c>
      <c r="B324" t="s">
        <v>154</v>
      </c>
      <c r="C324" t="s">
        <v>155</v>
      </c>
      <c r="D324">
        <f>_xlfn.XLOOKUP(B324,'3.屠宰能力表'!B:B,'3.屠宰能力表'!E:E)</f>
        <v>800</v>
      </c>
      <c r="E324">
        <f>_xlfn.XLOOKUP(B324,'4.分割能力表'!B:B,'4.分割能力表'!D:D)</f>
        <v>480</v>
      </c>
      <c r="F324">
        <f>_xlfn.XLOOKUP(B324,'4.分割能力表'!B:B,'4.分割能力表'!E:E)</f>
        <v>20000</v>
      </c>
      <c r="G324" t="s">
        <v>115</v>
      </c>
      <c r="H324"/>
      <c r="J324">
        <f t="shared" si="31"/>
        <v>1173.5236398397201</v>
      </c>
    </row>
    <row r="325" spans="1:11" x14ac:dyDescent="0.3">
      <c r="A325" s="2" t="s">
        <v>15</v>
      </c>
      <c r="B325" t="s">
        <v>154</v>
      </c>
      <c r="C325" t="s">
        <v>155</v>
      </c>
      <c r="D325">
        <f>_xlfn.XLOOKUP(B325,'3.屠宰能力表'!B:B,'3.屠宰能力表'!E:E)</f>
        <v>800</v>
      </c>
      <c r="E325">
        <f>_xlfn.XLOOKUP(B325,'4.分割能力表'!B:B,'4.分割能力表'!D:D)</f>
        <v>480</v>
      </c>
      <c r="F325">
        <f>_xlfn.XLOOKUP(B325,'4.分割能力表'!B:B,'4.分割能力表'!E:E)</f>
        <v>20000</v>
      </c>
      <c r="G325" t="s">
        <v>116</v>
      </c>
      <c r="H325"/>
      <c r="J325">
        <f t="shared" si="31"/>
        <v>3250.7020781405799</v>
      </c>
    </row>
    <row r="326" spans="1:11" x14ac:dyDescent="0.3">
      <c r="A326" s="2" t="s">
        <v>15</v>
      </c>
      <c r="B326" t="s">
        <v>154</v>
      </c>
      <c r="C326" t="s">
        <v>155</v>
      </c>
      <c r="D326">
        <f>_xlfn.XLOOKUP(B326,'3.屠宰能力表'!B:B,'3.屠宰能力表'!E:E)</f>
        <v>800</v>
      </c>
      <c r="E326">
        <f>_xlfn.XLOOKUP(B326,'4.分割能力表'!B:B,'4.分割能力表'!D:D)</f>
        <v>480</v>
      </c>
      <c r="F326">
        <f>_xlfn.XLOOKUP(B326,'4.分割能力表'!B:B,'4.分割能力表'!E:E)</f>
        <v>20000</v>
      </c>
      <c r="G326" t="s">
        <v>117</v>
      </c>
      <c r="H326"/>
      <c r="J326">
        <f t="shared" si="31"/>
        <v>2460.25649987418</v>
      </c>
    </row>
    <row r="327" spans="1:11" x14ac:dyDescent="0.3">
      <c r="A327" s="2" t="s">
        <v>15</v>
      </c>
      <c r="B327" t="s">
        <v>154</v>
      </c>
      <c r="C327" t="s">
        <v>155</v>
      </c>
      <c r="D327">
        <f>_xlfn.XLOOKUP(B327,'3.屠宰能力表'!B:B,'3.屠宰能力表'!E:E)</f>
        <v>800</v>
      </c>
      <c r="E327">
        <f>_xlfn.XLOOKUP(B327,'4.分割能力表'!B:B,'4.分割能力表'!D:D)</f>
        <v>480</v>
      </c>
      <c r="F327">
        <f>_xlfn.XLOOKUP(B327,'4.分割能力表'!B:B,'4.分割能力表'!E:E)</f>
        <v>20000</v>
      </c>
      <c r="G327" t="s">
        <v>120</v>
      </c>
      <c r="H327"/>
      <c r="J327">
        <f t="shared" si="31"/>
        <v>2083.14252302766</v>
      </c>
    </row>
    <row r="328" spans="1:11" x14ac:dyDescent="0.3">
      <c r="A328" s="2" t="s">
        <v>15</v>
      </c>
      <c r="B328" t="s">
        <v>154</v>
      </c>
      <c r="C328" t="s">
        <v>155</v>
      </c>
      <c r="D328">
        <f>_xlfn.XLOOKUP(B328,'3.屠宰能力表'!B:B,'3.屠宰能力表'!E:E)</f>
        <v>800</v>
      </c>
      <c r="E328">
        <f>_xlfn.XLOOKUP(B328,'4.分割能力表'!B:B,'4.分割能力表'!D:D)</f>
        <v>480</v>
      </c>
      <c r="F328">
        <f>_xlfn.XLOOKUP(B328,'4.分割能力表'!B:B,'4.分割能力表'!E:E)</f>
        <v>20000</v>
      </c>
      <c r="G328" t="s">
        <v>131</v>
      </c>
      <c r="H328"/>
      <c r="J328">
        <f t="shared" si="31"/>
        <v>2102.8145852457801</v>
      </c>
    </row>
    <row r="329" spans="1:11" x14ac:dyDescent="0.3">
      <c r="A329" s="2" t="s">
        <v>11</v>
      </c>
      <c r="B329" t="s">
        <v>156</v>
      </c>
      <c r="C329" t="s">
        <v>157</v>
      </c>
      <c r="D329">
        <f>_xlfn.XLOOKUP(B329,'3.屠宰能力表'!B:B,'3.屠宰能力表'!E:E)</f>
        <v>900</v>
      </c>
      <c r="E329">
        <f>_xlfn.XLOOKUP(B329,'4.分割能力表'!B:B,'4.分割能力表'!D:D)</f>
        <v>640</v>
      </c>
      <c r="F329">
        <f>_xlfn.XLOOKUP(B329,'4.分割能力表'!B:B,'4.分割能力表'!E:E)</f>
        <v>30000</v>
      </c>
      <c r="G329" t="s">
        <v>41</v>
      </c>
      <c r="H329">
        <f>_xlfn.XLOOKUP(G329,系数辅助表!$C:$C,系数辅助表!$D:$D)</f>
        <v>0.71499999999999997</v>
      </c>
      <c r="J329">
        <f>(D329-E329)*H329*$D$1</f>
        <v>22308</v>
      </c>
      <c r="K329">
        <f>J329-L329</f>
        <v>22308</v>
      </c>
    </row>
    <row r="330" spans="1:11" x14ac:dyDescent="0.3">
      <c r="A330" t="s">
        <v>11</v>
      </c>
      <c r="B330" t="s">
        <v>156</v>
      </c>
      <c r="C330" t="s">
        <v>157</v>
      </c>
      <c r="D330">
        <f>_xlfn.XLOOKUP(B330,'3.屠宰能力表'!B:B,'3.屠宰能力表'!E:E)</f>
        <v>900</v>
      </c>
      <c r="E330">
        <f>_xlfn.XLOOKUP(B330,'4.分割能力表'!B:B,'4.分割能力表'!D:D)</f>
        <v>640</v>
      </c>
      <c r="F330">
        <f>_xlfn.XLOOKUP(B330,'4.分割能力表'!B:B,'4.分割能力表'!E:E)</f>
        <v>30000</v>
      </c>
      <c r="G330" t="s">
        <v>44</v>
      </c>
      <c r="H330">
        <f>_xlfn.XLOOKUP(G330,系数辅助表!$C:$C,系数辅助表!$D:$D)</f>
        <v>4.3342237679380002E-2</v>
      </c>
      <c r="J330">
        <f>$D330*H330*$D$1</f>
        <v>4680.9616693730404</v>
      </c>
      <c r="K330">
        <f t="shared" ref="K330:K377" si="32">J330-L330</f>
        <v>4680.9616693730404</v>
      </c>
    </row>
    <row r="331" spans="1:11" x14ac:dyDescent="0.3">
      <c r="A331" t="s">
        <v>11</v>
      </c>
      <c r="B331" t="s">
        <v>156</v>
      </c>
      <c r="C331" t="s">
        <v>157</v>
      </c>
      <c r="D331">
        <f>_xlfn.XLOOKUP(B331,'3.屠宰能力表'!B:B,'3.屠宰能力表'!E:E)</f>
        <v>900</v>
      </c>
      <c r="E331">
        <f>_xlfn.XLOOKUP(B331,'4.分割能力表'!B:B,'4.分割能力表'!D:D)</f>
        <v>640</v>
      </c>
      <c r="F331">
        <f>_xlfn.XLOOKUP(B331,'4.分割能力表'!B:B,'4.分割能力表'!E:E)</f>
        <v>30000</v>
      </c>
      <c r="G331" t="s">
        <v>46</v>
      </c>
      <c r="H331">
        <f>_xlfn.XLOOKUP(G331,系数辅助表!$C:$C,系数辅助表!$D:$D)</f>
        <v>3.2562132013653599E-4</v>
      </c>
      <c r="J331">
        <f t="shared" ref="J331:J351" si="33">$D331*H331*$D$1</f>
        <v>35.167102574745897</v>
      </c>
      <c r="K331">
        <f t="shared" si="32"/>
        <v>35.167102574745897</v>
      </c>
    </row>
    <row r="332" spans="1:11" x14ac:dyDescent="0.3">
      <c r="A332" t="s">
        <v>11</v>
      </c>
      <c r="B332" t="s">
        <v>156</v>
      </c>
      <c r="C332" t="s">
        <v>157</v>
      </c>
      <c r="D332">
        <f>_xlfn.XLOOKUP(B332,'3.屠宰能力表'!B:B,'3.屠宰能力表'!E:E)</f>
        <v>900</v>
      </c>
      <c r="E332">
        <f>_xlfn.XLOOKUP(B332,'4.分割能力表'!B:B,'4.分割能力表'!D:D)</f>
        <v>640</v>
      </c>
      <c r="F332">
        <f>_xlfn.XLOOKUP(B332,'4.分割能力表'!B:B,'4.分割能力表'!E:E)</f>
        <v>30000</v>
      </c>
      <c r="G332" t="s">
        <v>47</v>
      </c>
      <c r="H332">
        <f>_xlfn.XLOOKUP(G332,系数辅助表!$C:$C,系数辅助表!$D:$D)</f>
        <v>3.0632398515360198E-3</v>
      </c>
      <c r="J332">
        <f t="shared" si="33"/>
        <v>330.82990396589003</v>
      </c>
      <c r="K332">
        <f t="shared" si="32"/>
        <v>330.82990396589003</v>
      </c>
    </row>
    <row r="333" spans="1:11" x14ac:dyDescent="0.3">
      <c r="A333" t="s">
        <v>11</v>
      </c>
      <c r="B333" t="s">
        <v>156</v>
      </c>
      <c r="C333" t="s">
        <v>157</v>
      </c>
      <c r="D333">
        <f>_xlfn.XLOOKUP(B333,'3.屠宰能力表'!B:B,'3.屠宰能力表'!E:E)</f>
        <v>900</v>
      </c>
      <c r="E333">
        <f>_xlfn.XLOOKUP(B333,'4.分割能力表'!B:B,'4.分割能力表'!D:D)</f>
        <v>640</v>
      </c>
      <c r="F333">
        <f>_xlfn.XLOOKUP(B333,'4.分割能力表'!B:B,'4.分割能力表'!E:E)</f>
        <v>30000</v>
      </c>
      <c r="G333" t="s">
        <v>48</v>
      </c>
      <c r="H333">
        <f>_xlfn.XLOOKUP(G333,系数辅助表!$C:$C,系数辅助表!$D:$D)</f>
        <v>1.5822796716383002E-2</v>
      </c>
      <c r="J333">
        <f t="shared" si="33"/>
        <v>1708.86204536936</v>
      </c>
      <c r="K333">
        <f t="shared" si="32"/>
        <v>1708.86204536936</v>
      </c>
    </row>
    <row r="334" spans="1:11" x14ac:dyDescent="0.3">
      <c r="A334" t="s">
        <v>11</v>
      </c>
      <c r="B334" t="s">
        <v>156</v>
      </c>
      <c r="C334" t="s">
        <v>157</v>
      </c>
      <c r="D334">
        <f>_xlfn.XLOOKUP(B334,'3.屠宰能力表'!B:B,'3.屠宰能力表'!E:E)</f>
        <v>900</v>
      </c>
      <c r="E334">
        <f>_xlfn.XLOOKUP(B334,'4.分割能力表'!B:B,'4.分割能力表'!D:D)</f>
        <v>640</v>
      </c>
      <c r="F334">
        <f>_xlfn.XLOOKUP(B334,'4.分割能力表'!B:B,'4.分割能力表'!E:E)</f>
        <v>30000</v>
      </c>
      <c r="G334" t="s">
        <v>49</v>
      </c>
      <c r="H334">
        <f>_xlfn.XLOOKUP(G334,系数辅助表!$C:$C,系数辅助表!$D:$D)</f>
        <v>3.0934025412970799E-3</v>
      </c>
      <c r="J334">
        <f t="shared" si="33"/>
        <v>334.08747446008499</v>
      </c>
      <c r="K334">
        <f t="shared" si="32"/>
        <v>334.08747446008499</v>
      </c>
    </row>
    <row r="335" spans="1:11" x14ac:dyDescent="0.3">
      <c r="A335" t="s">
        <v>11</v>
      </c>
      <c r="B335" t="s">
        <v>156</v>
      </c>
      <c r="C335" t="s">
        <v>157</v>
      </c>
      <c r="D335">
        <f>_xlfn.XLOOKUP(B335,'3.屠宰能力表'!B:B,'3.屠宰能力表'!E:E)</f>
        <v>900</v>
      </c>
      <c r="E335">
        <f>_xlfn.XLOOKUP(B335,'4.分割能力表'!B:B,'4.分割能力表'!D:D)</f>
        <v>640</v>
      </c>
      <c r="F335">
        <f>_xlfn.XLOOKUP(B335,'4.分割能力表'!B:B,'4.分割能力表'!E:E)</f>
        <v>30000</v>
      </c>
      <c r="G335" t="s">
        <v>50</v>
      </c>
      <c r="H335">
        <f>_xlfn.XLOOKUP(G335,系数辅助表!$C:$C,系数辅助表!$D:$D)</f>
        <v>1.08247988845052E-2</v>
      </c>
      <c r="J335">
        <f t="shared" si="33"/>
        <v>1169.07827952656</v>
      </c>
      <c r="K335">
        <f t="shared" si="32"/>
        <v>1169.07827952656</v>
      </c>
    </row>
    <row r="336" spans="1:11" x14ac:dyDescent="0.3">
      <c r="A336" t="s">
        <v>11</v>
      </c>
      <c r="B336" t="s">
        <v>156</v>
      </c>
      <c r="C336" t="s">
        <v>157</v>
      </c>
      <c r="D336">
        <f>_xlfn.XLOOKUP(B336,'3.屠宰能力表'!B:B,'3.屠宰能力表'!E:E)</f>
        <v>900</v>
      </c>
      <c r="E336">
        <f>_xlfn.XLOOKUP(B336,'4.分割能力表'!B:B,'4.分割能力表'!D:D)</f>
        <v>640</v>
      </c>
      <c r="F336">
        <f>_xlfn.XLOOKUP(B336,'4.分割能力表'!B:B,'4.分割能力表'!E:E)</f>
        <v>30000</v>
      </c>
      <c r="G336" t="s">
        <v>51</v>
      </c>
      <c r="H336">
        <f>_xlfn.XLOOKUP(G336,系数辅助表!$C:$C,系数辅助表!$D:$D)</f>
        <v>4.9657251320821601E-3</v>
      </c>
      <c r="J336">
        <f t="shared" si="33"/>
        <v>536.29831426487306</v>
      </c>
      <c r="K336">
        <f t="shared" si="32"/>
        <v>536.29831426487306</v>
      </c>
    </row>
    <row r="337" spans="1:12" x14ac:dyDescent="0.3">
      <c r="A337" t="s">
        <v>11</v>
      </c>
      <c r="B337" t="s">
        <v>156</v>
      </c>
      <c r="C337" t="s">
        <v>157</v>
      </c>
      <c r="D337">
        <f>_xlfn.XLOOKUP(B337,'3.屠宰能力表'!B:B,'3.屠宰能力表'!E:E)</f>
        <v>900</v>
      </c>
      <c r="E337">
        <f>_xlfn.XLOOKUP(B337,'4.分割能力表'!B:B,'4.分割能力表'!D:D)</f>
        <v>640</v>
      </c>
      <c r="F337">
        <f>_xlfn.XLOOKUP(B337,'4.分割能力表'!B:B,'4.分割能力表'!E:E)</f>
        <v>30000</v>
      </c>
      <c r="G337" t="s">
        <v>52</v>
      </c>
      <c r="H337">
        <f>_xlfn.XLOOKUP(G337,系数辅助表!$C:$C,系数辅助表!$D:$D)</f>
        <v>4.1516718317408203E-3</v>
      </c>
      <c r="J337">
        <f t="shared" si="33"/>
        <v>448.38055782800899</v>
      </c>
      <c r="K337">
        <f t="shared" si="32"/>
        <v>448.38055782800899</v>
      </c>
    </row>
    <row r="338" spans="1:12" x14ac:dyDescent="0.3">
      <c r="A338" t="s">
        <v>11</v>
      </c>
      <c r="B338" t="s">
        <v>156</v>
      </c>
      <c r="C338" t="s">
        <v>157</v>
      </c>
      <c r="D338">
        <f>_xlfn.XLOOKUP(B338,'3.屠宰能力表'!B:B,'3.屠宰能力表'!E:E)</f>
        <v>900</v>
      </c>
      <c r="E338">
        <f>_xlfn.XLOOKUP(B338,'4.分割能力表'!B:B,'4.分割能力表'!D:D)</f>
        <v>640</v>
      </c>
      <c r="F338">
        <f>_xlfn.XLOOKUP(B338,'4.分割能力表'!B:B,'4.分割能力表'!E:E)</f>
        <v>30000</v>
      </c>
      <c r="G338" t="s">
        <v>53</v>
      </c>
      <c r="H338">
        <f>_xlfn.XLOOKUP(G338,系数辅助表!$C:$C,系数辅助表!$D:$D)</f>
        <v>3.6632398515360201E-3</v>
      </c>
      <c r="J338">
        <f t="shared" si="33"/>
        <v>395.62990396588998</v>
      </c>
      <c r="K338">
        <f t="shared" si="32"/>
        <v>395.62990396588998</v>
      </c>
    </row>
    <row r="339" spans="1:12" x14ac:dyDescent="0.3">
      <c r="A339" t="s">
        <v>11</v>
      </c>
      <c r="B339" t="s">
        <v>156</v>
      </c>
      <c r="C339" t="s">
        <v>157</v>
      </c>
      <c r="D339">
        <f>_xlfn.XLOOKUP(B339,'3.屠宰能力表'!B:B,'3.屠宰能力表'!E:E)</f>
        <v>900</v>
      </c>
      <c r="E339">
        <f>_xlfn.XLOOKUP(B339,'4.分割能力表'!B:B,'4.分割能力表'!D:D)</f>
        <v>640</v>
      </c>
      <c r="F339">
        <f>_xlfn.XLOOKUP(B339,'4.分割能力表'!B:B,'4.分割能力表'!E:E)</f>
        <v>30000</v>
      </c>
      <c r="G339" t="s">
        <v>54</v>
      </c>
      <c r="H339">
        <f>_xlfn.XLOOKUP(G339,系数辅助表!$C:$C,系数辅助表!$D:$D)</f>
        <v>2.68637589112642E-3</v>
      </c>
      <c r="J339">
        <f t="shared" si="33"/>
        <v>290.12859624165299</v>
      </c>
      <c r="K339">
        <f t="shared" si="32"/>
        <v>290.12859624165299</v>
      </c>
    </row>
    <row r="340" spans="1:12" x14ac:dyDescent="0.3">
      <c r="A340" t="s">
        <v>11</v>
      </c>
      <c r="B340" t="s">
        <v>156</v>
      </c>
      <c r="C340" t="s">
        <v>157</v>
      </c>
      <c r="D340">
        <f>_xlfn.XLOOKUP(B340,'3.屠宰能力表'!B:B,'3.屠宰能力表'!E:E)</f>
        <v>900</v>
      </c>
      <c r="E340">
        <f>_xlfn.XLOOKUP(B340,'4.分割能力表'!B:B,'4.分割能力表'!D:D)</f>
        <v>640</v>
      </c>
      <c r="F340">
        <f>_xlfn.XLOOKUP(B340,'4.分割能力表'!B:B,'4.分割能力表'!E:E)</f>
        <v>30000</v>
      </c>
      <c r="G340" t="s">
        <v>55</v>
      </c>
      <c r="H340">
        <f>_xlfn.XLOOKUP(G340,系数辅助表!$C:$C,系数辅助表!$D:$D)</f>
        <v>2.9015761200285397E-4</v>
      </c>
      <c r="J340">
        <f t="shared" si="33"/>
        <v>31.3370220963082</v>
      </c>
      <c r="K340">
        <f t="shared" si="32"/>
        <v>31.3370220963082</v>
      </c>
    </row>
    <row r="341" spans="1:12" x14ac:dyDescent="0.3">
      <c r="A341" t="s">
        <v>11</v>
      </c>
      <c r="B341" t="s">
        <v>156</v>
      </c>
      <c r="C341" t="s">
        <v>157</v>
      </c>
      <c r="D341">
        <f>_xlfn.XLOOKUP(B341,'3.屠宰能力表'!B:B,'3.屠宰能力表'!E:E)</f>
        <v>900</v>
      </c>
      <c r="E341">
        <f>_xlfn.XLOOKUP(B341,'4.分割能力表'!B:B,'4.分割能力表'!D:D)</f>
        <v>640</v>
      </c>
      <c r="F341">
        <f>_xlfn.XLOOKUP(B341,'4.分割能力表'!B:B,'4.分割能力表'!E:E)</f>
        <v>30000</v>
      </c>
      <c r="G341" t="s">
        <v>57</v>
      </c>
      <c r="H341">
        <f>_xlfn.XLOOKUP(G341,系数辅助表!$C:$C,系数辅助表!$D:$D)</f>
        <v>1.0245932755973399E-2</v>
      </c>
      <c r="J341">
        <f t="shared" si="33"/>
        <v>1106.5607376451301</v>
      </c>
      <c r="K341">
        <f t="shared" si="32"/>
        <v>1106.5607376451301</v>
      </c>
    </row>
    <row r="342" spans="1:12" x14ac:dyDescent="0.3">
      <c r="A342" t="s">
        <v>11</v>
      </c>
      <c r="B342" t="s">
        <v>156</v>
      </c>
      <c r="C342" t="s">
        <v>157</v>
      </c>
      <c r="D342">
        <f>_xlfn.XLOOKUP(B342,'3.屠宰能力表'!B:B,'3.屠宰能力表'!E:E)</f>
        <v>900</v>
      </c>
      <c r="E342">
        <f>_xlfn.XLOOKUP(B342,'4.分割能力表'!B:B,'4.分割能力表'!D:D)</f>
        <v>640</v>
      </c>
      <c r="F342">
        <f>_xlfn.XLOOKUP(B342,'4.分割能力表'!B:B,'4.分割能力表'!E:E)</f>
        <v>30000</v>
      </c>
      <c r="G342" t="s">
        <v>58</v>
      </c>
      <c r="H342">
        <f>_xlfn.XLOOKUP(G342,系数辅助表!$C:$C,系数辅助表!$D:$D)</f>
        <v>1.46005473500993E-2</v>
      </c>
      <c r="J342">
        <f t="shared" si="33"/>
        <v>1576.8591138107199</v>
      </c>
      <c r="K342">
        <f t="shared" si="32"/>
        <v>1576.8591138107199</v>
      </c>
    </row>
    <row r="343" spans="1:12" x14ac:dyDescent="0.3">
      <c r="A343" t="s">
        <v>11</v>
      </c>
      <c r="B343" t="s">
        <v>156</v>
      </c>
      <c r="C343" t="s">
        <v>157</v>
      </c>
      <c r="D343">
        <f>_xlfn.XLOOKUP(B343,'3.屠宰能力表'!B:B,'3.屠宰能力表'!E:E)</f>
        <v>900</v>
      </c>
      <c r="E343">
        <f>_xlfn.XLOOKUP(B343,'4.分割能力表'!B:B,'4.分割能力表'!D:D)</f>
        <v>640</v>
      </c>
      <c r="F343">
        <f>_xlfn.XLOOKUP(B343,'4.分割能力表'!B:B,'4.分割能力表'!E:E)</f>
        <v>30000</v>
      </c>
      <c r="G343" t="s">
        <v>59</v>
      </c>
      <c r="H343">
        <f>_xlfn.XLOOKUP(G343,系数辅助表!$C:$C,系数辅助表!$D:$D)</f>
        <v>1.4718794556320801E-2</v>
      </c>
      <c r="J343">
        <f t="shared" si="33"/>
        <v>1589.62981208265</v>
      </c>
      <c r="K343">
        <f t="shared" si="32"/>
        <v>1589.62981208265</v>
      </c>
    </row>
    <row r="344" spans="1:12" x14ac:dyDescent="0.3">
      <c r="A344" t="s">
        <v>11</v>
      </c>
      <c r="B344" t="s">
        <v>156</v>
      </c>
      <c r="C344" t="s">
        <v>157</v>
      </c>
      <c r="D344">
        <f>_xlfn.XLOOKUP(B344,'3.屠宰能力表'!B:B,'3.屠宰能力表'!E:E)</f>
        <v>900</v>
      </c>
      <c r="E344">
        <f>_xlfn.XLOOKUP(B344,'4.分割能力表'!B:B,'4.分割能力表'!D:D)</f>
        <v>640</v>
      </c>
      <c r="F344">
        <f>_xlfn.XLOOKUP(B344,'4.分割能力表'!B:B,'4.分割能力表'!E:E)</f>
        <v>30000</v>
      </c>
      <c r="G344" t="s">
        <v>60</v>
      </c>
      <c r="H344">
        <f>_xlfn.XLOOKUP(G344,系数辅助表!$C:$C,系数辅助表!$D:$D)</f>
        <v>6.8269088945398003E-3</v>
      </c>
      <c r="J344">
        <f t="shared" si="33"/>
        <v>737.30616061029798</v>
      </c>
      <c r="K344">
        <f t="shared" si="32"/>
        <v>737.30616061029798</v>
      </c>
    </row>
    <row r="345" spans="1:12" x14ac:dyDescent="0.3">
      <c r="A345" t="s">
        <v>11</v>
      </c>
      <c r="B345" t="s">
        <v>156</v>
      </c>
      <c r="C345" t="s">
        <v>157</v>
      </c>
      <c r="D345">
        <f>_xlfn.XLOOKUP(B345,'3.屠宰能力表'!B:B,'3.屠宰能力表'!E:E)</f>
        <v>900</v>
      </c>
      <c r="E345">
        <f>_xlfn.XLOOKUP(B345,'4.分割能力表'!B:B,'4.分割能力表'!D:D)</f>
        <v>640</v>
      </c>
      <c r="F345">
        <f>_xlfn.XLOOKUP(B345,'4.分割能力表'!B:B,'4.分割能力表'!E:E)</f>
        <v>30000</v>
      </c>
      <c r="G345" t="s">
        <v>61</v>
      </c>
      <c r="H345">
        <f>_xlfn.XLOOKUP(G345,系数辅助表!$C:$C,系数辅助表!$D:$D)</f>
        <v>7.8149116832768404E-3</v>
      </c>
      <c r="J345">
        <f t="shared" si="33"/>
        <v>844.01046179389903</v>
      </c>
      <c r="K345">
        <f t="shared" si="32"/>
        <v>844.01046179389903</v>
      </c>
    </row>
    <row r="346" spans="1:12" x14ac:dyDescent="0.3">
      <c r="A346" t="s">
        <v>11</v>
      </c>
      <c r="B346" t="s">
        <v>156</v>
      </c>
      <c r="C346" t="s">
        <v>157</v>
      </c>
      <c r="D346">
        <f>_xlfn.XLOOKUP(B346,'3.屠宰能力表'!B:B,'3.屠宰能力表'!E:E)</f>
        <v>900</v>
      </c>
      <c r="E346">
        <f>_xlfn.XLOOKUP(B346,'4.分割能力表'!B:B,'4.分割能力表'!D:D)</f>
        <v>640</v>
      </c>
      <c r="F346">
        <f>_xlfn.XLOOKUP(B346,'4.分割能力表'!B:B,'4.分割能力表'!E:E)</f>
        <v>30000</v>
      </c>
      <c r="G346" t="s">
        <v>62</v>
      </c>
      <c r="H346">
        <f>_xlfn.XLOOKUP(G346,系数辅助表!$C:$C,系数辅助表!$D:$D)</f>
        <v>7.3264797030720401E-3</v>
      </c>
      <c r="J346">
        <f t="shared" si="33"/>
        <v>791.25980793177996</v>
      </c>
      <c r="K346">
        <f t="shared" si="32"/>
        <v>791.25980793177996</v>
      </c>
    </row>
    <row r="347" spans="1:12" x14ac:dyDescent="0.3">
      <c r="A347" t="s">
        <v>11</v>
      </c>
      <c r="B347" t="s">
        <v>156</v>
      </c>
      <c r="C347" t="s">
        <v>157</v>
      </c>
      <c r="D347">
        <f>_xlfn.XLOOKUP(B347,'3.屠宰能力表'!B:B,'3.屠宰能力表'!E:E)</f>
        <v>900</v>
      </c>
      <c r="E347">
        <f>_xlfn.XLOOKUP(B347,'4.分割能力表'!B:B,'4.分割能力表'!D:D)</f>
        <v>640</v>
      </c>
      <c r="F347">
        <f>_xlfn.XLOOKUP(B347,'4.分割能力表'!B:B,'4.分割能力表'!E:E)</f>
        <v>30000</v>
      </c>
      <c r="G347" t="s">
        <v>63</v>
      </c>
      <c r="H347">
        <f>_xlfn.XLOOKUP(G347,系数辅助表!$C:$C,系数辅助表!$D:$D)</f>
        <v>6.1516718317408204E-3</v>
      </c>
      <c r="J347">
        <f t="shared" si="33"/>
        <v>664.38055782800905</v>
      </c>
      <c r="K347">
        <f t="shared" si="32"/>
        <v>664.38055782800905</v>
      </c>
    </row>
    <row r="348" spans="1:12" x14ac:dyDescent="0.3">
      <c r="A348" t="s">
        <v>11</v>
      </c>
      <c r="B348" t="s">
        <v>156</v>
      </c>
      <c r="C348" t="s">
        <v>157</v>
      </c>
      <c r="D348">
        <f>_xlfn.XLOOKUP(B348,'3.屠宰能力表'!B:B,'3.屠宰能力表'!E:E)</f>
        <v>900</v>
      </c>
      <c r="E348">
        <f>_xlfn.XLOOKUP(B348,'4.分割能力表'!B:B,'4.分割能力表'!D:D)</f>
        <v>640</v>
      </c>
      <c r="F348">
        <f>_xlfn.XLOOKUP(B348,'4.分割能力表'!B:B,'4.分割能力表'!E:E)</f>
        <v>30000</v>
      </c>
      <c r="G348" t="s">
        <v>64</v>
      </c>
      <c r="H348">
        <f>_xlfn.XLOOKUP(G348,系数辅助表!$C:$C,系数辅助表!$D:$D)</f>
        <v>1.0639112440104599E-3</v>
      </c>
      <c r="J348">
        <f t="shared" si="33"/>
        <v>114.90241435313</v>
      </c>
      <c r="K348">
        <f t="shared" si="32"/>
        <v>114.90241435313</v>
      </c>
    </row>
    <row r="349" spans="1:12" x14ac:dyDescent="0.3">
      <c r="A349" t="s">
        <v>11</v>
      </c>
      <c r="B349" t="s">
        <v>156</v>
      </c>
      <c r="C349" t="s">
        <v>157</v>
      </c>
      <c r="D349">
        <f>_xlfn.XLOOKUP(B349,'3.屠宰能力表'!B:B,'3.屠宰能力表'!E:E)</f>
        <v>900</v>
      </c>
      <c r="E349">
        <f>_xlfn.XLOOKUP(B349,'4.分割能力表'!B:B,'4.分割能力表'!D:D)</f>
        <v>640</v>
      </c>
      <c r="F349">
        <f>_xlfn.XLOOKUP(B349,'4.分割能力表'!B:B,'4.分割能力表'!E:E)</f>
        <v>30000</v>
      </c>
      <c r="G349" t="s">
        <v>65</v>
      </c>
      <c r="H349">
        <f>_xlfn.XLOOKUP(G349,系数辅助表!$C:$C,系数辅助表!$D:$D)</f>
        <v>4.8359602000475603E-4</v>
      </c>
      <c r="J349">
        <f t="shared" si="33"/>
        <v>52.228370160513599</v>
      </c>
      <c r="K349">
        <f t="shared" si="32"/>
        <v>52.228370160513599</v>
      </c>
    </row>
    <row r="350" spans="1:12" x14ac:dyDescent="0.3">
      <c r="A350" t="s">
        <v>11</v>
      </c>
      <c r="B350" t="s">
        <v>156</v>
      </c>
      <c r="C350" t="s">
        <v>157</v>
      </c>
      <c r="D350">
        <f>_xlfn.XLOOKUP(B350,'3.屠宰能力表'!B:B,'3.屠宰能力表'!E:E)</f>
        <v>900</v>
      </c>
      <c r="E350">
        <f>_xlfn.XLOOKUP(B350,'4.分割能力表'!B:B,'4.分割能力表'!D:D)</f>
        <v>640</v>
      </c>
      <c r="F350">
        <f>_xlfn.XLOOKUP(B350,'4.分割能力表'!B:B,'4.分割能力表'!E:E)</f>
        <v>30000</v>
      </c>
      <c r="G350" t="s">
        <v>66</v>
      </c>
      <c r="H350">
        <f>_xlfn.XLOOKUP(G350,系数辅助表!$C:$C,系数辅助表!$D:$D)</f>
        <v>1.70951193071681E-3</v>
      </c>
      <c r="J350">
        <f t="shared" si="33"/>
        <v>184.627288517415</v>
      </c>
      <c r="K350">
        <f t="shared" si="32"/>
        <v>184.627288517415</v>
      </c>
    </row>
    <row r="351" spans="1:12" x14ac:dyDescent="0.3">
      <c r="A351" t="s">
        <v>11</v>
      </c>
      <c r="B351" t="s">
        <v>156</v>
      </c>
      <c r="C351" t="s">
        <v>157</v>
      </c>
      <c r="D351">
        <f>_xlfn.XLOOKUP(B351,'3.屠宰能力表'!B:B,'3.屠宰能力表'!E:E)</f>
        <v>900</v>
      </c>
      <c r="E351">
        <f>_xlfn.XLOOKUP(B351,'4.分割能力表'!B:B,'4.分割能力表'!D:D)</f>
        <v>640</v>
      </c>
      <c r="F351">
        <f>_xlfn.XLOOKUP(B351,'4.分割能力表'!B:B,'4.分割能力表'!E:E)</f>
        <v>30000</v>
      </c>
      <c r="G351" t="s">
        <v>67</v>
      </c>
      <c r="H351">
        <f>_xlfn.XLOOKUP(G351,系数辅助表!$C:$C,系数辅助表!$D:$D)</f>
        <v>0.02</v>
      </c>
      <c r="J351">
        <f t="shared" si="33"/>
        <v>2160</v>
      </c>
      <c r="K351">
        <f t="shared" si="32"/>
        <v>2160</v>
      </c>
    </row>
    <row r="352" spans="1:12" x14ac:dyDescent="0.3">
      <c r="A352" t="s">
        <v>11</v>
      </c>
      <c r="B352" t="s">
        <v>156</v>
      </c>
      <c r="C352" t="s">
        <v>157</v>
      </c>
      <c r="D352">
        <f>_xlfn.XLOOKUP(B352,'3.屠宰能力表'!B:B,'3.屠宰能力表'!E:E)</f>
        <v>900</v>
      </c>
      <c r="E352">
        <f>_xlfn.XLOOKUP(B352,'4.分割能力表'!B:B,'4.分割能力表'!D:D)</f>
        <v>640</v>
      </c>
      <c r="F352">
        <f>_xlfn.XLOOKUP(B352,'4.分割能力表'!B:B,'4.分割能力表'!E:E)</f>
        <v>30000</v>
      </c>
      <c r="G352" t="s">
        <v>56</v>
      </c>
      <c r="H352">
        <f>_xlfn.XLOOKUP(G352,系数辅助表!$C:$C,系数辅助表!$D:$D)</f>
        <v>1.85007717386486E-2</v>
      </c>
      <c r="J352">
        <f t="shared" ref="J352:J360" si="34">$E352*H352*$D$1</f>
        <v>1420.85926952821</v>
      </c>
      <c r="K352">
        <f t="shared" si="32"/>
        <v>544.68652567580295</v>
      </c>
      <c r="L352">
        <v>876.17274385241001</v>
      </c>
    </row>
    <row r="353" spans="1:12" x14ac:dyDescent="0.3">
      <c r="A353" t="s">
        <v>11</v>
      </c>
      <c r="B353" t="s">
        <v>156</v>
      </c>
      <c r="C353" t="s">
        <v>157</v>
      </c>
      <c r="D353">
        <f>_xlfn.XLOOKUP(B353,'3.屠宰能力表'!B:B,'3.屠宰能力表'!E:E)</f>
        <v>900</v>
      </c>
      <c r="E353">
        <f>_xlfn.XLOOKUP(B353,'4.分割能力表'!B:B,'4.分割能力表'!D:D)</f>
        <v>640</v>
      </c>
      <c r="F353">
        <f>_xlfn.XLOOKUP(B353,'4.分割能力表'!B:B,'4.分割能力表'!E:E)</f>
        <v>30000</v>
      </c>
      <c r="G353" t="s">
        <v>45</v>
      </c>
      <c r="H353">
        <f>_xlfn.XLOOKUP(G353,系数辅助表!$C:$C,系数辅助表!$D:$D)</f>
        <v>1.8327694979870301E-2</v>
      </c>
      <c r="J353">
        <f t="shared" si="34"/>
        <v>1407.5669744540401</v>
      </c>
      <c r="K353">
        <f t="shared" si="32"/>
        <v>539.59092319251397</v>
      </c>
      <c r="L353">
        <v>867.97605126152598</v>
      </c>
    </row>
    <row r="354" spans="1:12" x14ac:dyDescent="0.3">
      <c r="A354" t="s">
        <v>11</v>
      </c>
      <c r="B354" t="s">
        <v>156</v>
      </c>
      <c r="C354" t="s">
        <v>157</v>
      </c>
      <c r="D354">
        <f>_xlfn.XLOOKUP(B354,'3.屠宰能力表'!B:B,'3.屠宰能力表'!E:E)</f>
        <v>900</v>
      </c>
      <c r="E354">
        <f>_xlfn.XLOOKUP(B354,'4.分割能力表'!B:B,'4.分割能力表'!D:D)</f>
        <v>640</v>
      </c>
      <c r="F354">
        <f>_xlfn.XLOOKUP(B354,'4.分割能力表'!B:B,'4.分割能力表'!E:E)</f>
        <v>30000</v>
      </c>
      <c r="G354" t="s">
        <v>68</v>
      </c>
      <c r="H354">
        <f>_xlfn.XLOOKUP(G354,系数辅助表!$C:$C,系数辅助表!$D:$D)</f>
        <v>9.7050751819787603E-2</v>
      </c>
      <c r="J354">
        <f t="shared" si="34"/>
        <v>7453.4977397596904</v>
      </c>
      <c r="K354">
        <f t="shared" si="32"/>
        <v>3546.7288217550899</v>
      </c>
      <c r="L354">
        <v>3906.7689180046</v>
      </c>
    </row>
    <row r="355" spans="1:12" x14ac:dyDescent="0.3">
      <c r="A355" t="s">
        <v>11</v>
      </c>
      <c r="B355" t="s">
        <v>156</v>
      </c>
      <c r="C355" t="s">
        <v>157</v>
      </c>
      <c r="D355">
        <f>_xlfn.XLOOKUP(B355,'3.屠宰能力表'!B:B,'3.屠宰能力表'!E:E)</f>
        <v>900</v>
      </c>
      <c r="E355">
        <f>_xlfn.XLOOKUP(B355,'4.分割能力表'!B:B,'4.分割能力表'!D:D)</f>
        <v>640</v>
      </c>
      <c r="F355">
        <f>_xlfn.XLOOKUP(B355,'4.分割能力表'!B:B,'4.分割能力表'!E:E)</f>
        <v>30000</v>
      </c>
      <c r="G355" t="s">
        <v>70</v>
      </c>
      <c r="H355">
        <f>_xlfn.XLOOKUP(G355,系数辅助表!$C:$C,系数辅助表!$D:$D)</f>
        <v>4.6512517384561802E-2</v>
      </c>
      <c r="J355">
        <f t="shared" si="34"/>
        <v>3572.1613351343499</v>
      </c>
      <c r="K355">
        <f t="shared" si="32"/>
        <v>2882.73152607471</v>
      </c>
      <c r="L355">
        <v>689.429809059636</v>
      </c>
    </row>
    <row r="356" spans="1:12" x14ac:dyDescent="0.3">
      <c r="A356" t="s">
        <v>11</v>
      </c>
      <c r="B356" t="s">
        <v>156</v>
      </c>
      <c r="C356" t="s">
        <v>157</v>
      </c>
      <c r="D356">
        <f>_xlfn.XLOOKUP(B356,'3.屠宰能力表'!B:B,'3.屠宰能力表'!E:E)</f>
        <v>900</v>
      </c>
      <c r="E356">
        <f>_xlfn.XLOOKUP(B356,'4.分割能力表'!B:B,'4.分割能力表'!D:D)</f>
        <v>640</v>
      </c>
      <c r="F356">
        <f>_xlfn.XLOOKUP(B356,'4.分割能力表'!B:B,'4.分割能力表'!E:E)</f>
        <v>30000</v>
      </c>
      <c r="G356" t="s">
        <v>71</v>
      </c>
      <c r="H356">
        <f>_xlfn.XLOOKUP(G356,系数辅助表!$C:$C,系数辅助表!$D:$D)</f>
        <v>2.8731737554939799E-2</v>
      </c>
      <c r="J356">
        <f t="shared" si="34"/>
        <v>2206.5974442193801</v>
      </c>
      <c r="K356">
        <f t="shared" si="32"/>
        <v>845.899323904217</v>
      </c>
      <c r="L356">
        <v>1360.6981203151599</v>
      </c>
    </row>
    <row r="357" spans="1:12" x14ac:dyDescent="0.3">
      <c r="A357" t="s">
        <v>11</v>
      </c>
      <c r="B357" t="s">
        <v>156</v>
      </c>
      <c r="C357" t="s">
        <v>157</v>
      </c>
      <c r="D357">
        <f>_xlfn.XLOOKUP(B357,'3.屠宰能力表'!B:B,'3.屠宰能力表'!E:E)</f>
        <v>900</v>
      </c>
      <c r="E357">
        <f>_xlfn.XLOOKUP(B357,'4.分割能力表'!B:B,'4.分割能力表'!D:D)</f>
        <v>640</v>
      </c>
      <c r="F357">
        <f>_xlfn.XLOOKUP(B357,'4.分割能力表'!B:B,'4.分割能力表'!E:E)</f>
        <v>30000</v>
      </c>
      <c r="G357" t="s">
        <v>72</v>
      </c>
      <c r="H357">
        <f>_xlfn.XLOOKUP(G357,系数辅助表!$C:$C,系数辅助表!$D:$D)</f>
        <v>2.9020999088867499E-2</v>
      </c>
      <c r="J357">
        <f t="shared" si="34"/>
        <v>2228.8127300250198</v>
      </c>
      <c r="K357">
        <f t="shared" si="32"/>
        <v>2228.8127300250198</v>
      </c>
      <c r="L357">
        <v>0</v>
      </c>
    </row>
    <row r="358" spans="1:12" x14ac:dyDescent="0.3">
      <c r="A358" t="s">
        <v>11</v>
      </c>
      <c r="B358" t="s">
        <v>156</v>
      </c>
      <c r="C358" t="s">
        <v>157</v>
      </c>
      <c r="D358">
        <f>_xlfn.XLOOKUP(B358,'3.屠宰能力表'!B:B,'3.屠宰能力表'!E:E)</f>
        <v>900</v>
      </c>
      <c r="E358">
        <f>_xlfn.XLOOKUP(B358,'4.分割能力表'!B:B,'4.分割能力表'!D:D)</f>
        <v>640</v>
      </c>
      <c r="F358">
        <f>_xlfn.XLOOKUP(B358,'4.分割能力表'!B:B,'4.分割能力表'!E:E)</f>
        <v>30000</v>
      </c>
      <c r="G358" t="s">
        <v>73</v>
      </c>
      <c r="H358">
        <f>_xlfn.XLOOKUP(G358,系数辅助表!$C:$C,系数辅助表!$D:$D)</f>
        <v>3.3890751204307498E-2</v>
      </c>
      <c r="J358">
        <f t="shared" si="34"/>
        <v>2602.80969249082</v>
      </c>
      <c r="K358">
        <f t="shared" si="32"/>
        <v>373.45903394082097</v>
      </c>
      <c r="L358">
        <v>2229.3506585499899</v>
      </c>
    </row>
    <row r="359" spans="1:12" x14ac:dyDescent="0.3">
      <c r="A359" t="s">
        <v>11</v>
      </c>
      <c r="B359" t="s">
        <v>156</v>
      </c>
      <c r="C359" t="s">
        <v>157</v>
      </c>
      <c r="D359">
        <f>_xlfn.XLOOKUP(B359,'3.屠宰能力表'!B:B,'3.屠宰能力表'!E:E)</f>
        <v>900</v>
      </c>
      <c r="E359">
        <f>_xlfn.XLOOKUP(B359,'4.分割能力表'!B:B,'4.分割能力表'!D:D)</f>
        <v>640</v>
      </c>
      <c r="F359">
        <f>_xlfn.XLOOKUP(B359,'4.分割能力表'!B:B,'4.分割能力表'!E:E)</f>
        <v>30000</v>
      </c>
      <c r="G359" t="s">
        <v>74</v>
      </c>
      <c r="H359">
        <f>_xlfn.XLOOKUP(G359,系数辅助表!$C:$C,系数辅助表!$D:$D)</f>
        <v>6.6683830901271496E-3</v>
      </c>
      <c r="J359">
        <f t="shared" si="34"/>
        <v>512.13182132176496</v>
      </c>
      <c r="K359" s="7">
        <f t="shared" si="32"/>
        <v>0</v>
      </c>
      <c r="L359" s="7">
        <f>J359</f>
        <v>512.13182132176496</v>
      </c>
    </row>
    <row r="360" spans="1:12" x14ac:dyDescent="0.3">
      <c r="A360" t="s">
        <v>11</v>
      </c>
      <c r="B360" t="s">
        <v>156</v>
      </c>
      <c r="C360" t="s">
        <v>157</v>
      </c>
      <c r="D360">
        <f>_xlfn.XLOOKUP(B360,'3.屠宰能力表'!B:B,'3.屠宰能力表'!E:E)</f>
        <v>900</v>
      </c>
      <c r="E360">
        <f>_xlfn.XLOOKUP(B360,'4.分割能力表'!B:B,'4.分割能力表'!D:D)</f>
        <v>640</v>
      </c>
      <c r="F360">
        <f>_xlfn.XLOOKUP(B360,'4.分割能力表'!B:B,'4.分割能力表'!E:E)</f>
        <v>30000</v>
      </c>
      <c r="G360" t="s">
        <v>75</v>
      </c>
      <c r="H360">
        <f>_xlfn.XLOOKUP(G360,系数辅助表!$C:$C,系数辅助表!$D:$D)</f>
        <v>7.3037535376360693E-2</v>
      </c>
      <c r="J360">
        <f t="shared" si="34"/>
        <v>5609.2827169045004</v>
      </c>
      <c r="K360">
        <f t="shared" si="32"/>
        <v>416.25522489193901</v>
      </c>
      <c r="L360">
        <v>5193.0274920125603</v>
      </c>
    </row>
    <row r="361" spans="1:12" x14ac:dyDescent="0.3">
      <c r="A361" t="s">
        <v>11</v>
      </c>
      <c r="B361" t="s">
        <v>156</v>
      </c>
      <c r="C361" t="s">
        <v>157</v>
      </c>
      <c r="D361">
        <f>_xlfn.XLOOKUP(B361,'3.屠宰能力表'!B:B,'3.屠宰能力表'!E:E)</f>
        <v>900</v>
      </c>
      <c r="E361">
        <f>_xlfn.XLOOKUP(B361,'4.分割能力表'!B:B,'4.分割能力表'!D:D)</f>
        <v>640</v>
      </c>
      <c r="F361">
        <f>_xlfn.XLOOKUP(B361,'4.分割能力表'!B:B,'4.分割能力表'!E:E)</f>
        <v>30000</v>
      </c>
      <c r="G361" t="s">
        <v>76</v>
      </c>
      <c r="H361">
        <f>_xlfn.XLOOKUP(G361,系数辅助表!$C:$C,系数辅助表!$D:$D)</f>
        <v>0.122051725196981</v>
      </c>
      <c r="J361">
        <f t="shared" ref="J361:J377" si="35">$E361*H361*$D$1</f>
        <v>9373.5724951281409</v>
      </c>
      <c r="K361">
        <f t="shared" si="32"/>
        <v>5327.4236356157899</v>
      </c>
      <c r="L361">
        <v>4046.1488595123601</v>
      </c>
    </row>
    <row r="362" spans="1:12" x14ac:dyDescent="0.3">
      <c r="A362" t="s">
        <v>11</v>
      </c>
      <c r="B362" t="s">
        <v>156</v>
      </c>
      <c r="C362" t="s">
        <v>157</v>
      </c>
      <c r="D362">
        <f>_xlfn.XLOOKUP(B362,'3.屠宰能力表'!B:B,'3.屠宰能力表'!E:E)</f>
        <v>900</v>
      </c>
      <c r="E362">
        <f>_xlfn.XLOOKUP(B362,'4.分割能力表'!B:B,'4.分割能力表'!D:D)</f>
        <v>640</v>
      </c>
      <c r="F362">
        <f>_xlfn.XLOOKUP(B362,'4.分割能力表'!B:B,'4.分割能力表'!E:E)</f>
        <v>30000</v>
      </c>
      <c r="G362" t="s">
        <v>77</v>
      </c>
      <c r="H362" s="1">
        <f>_xlfn.XLOOKUP(G362,系数辅助表!$C:$C,系数辅助表!$D:$D)</f>
        <v>1.9521507261015199E-2</v>
      </c>
      <c r="J362">
        <f t="shared" si="35"/>
        <v>1499.25175764597</v>
      </c>
      <c r="K362">
        <f t="shared" si="32"/>
        <v>574.73829287588399</v>
      </c>
      <c r="L362">
        <v>924.51346477008303</v>
      </c>
    </row>
    <row r="363" spans="1:12" x14ac:dyDescent="0.3">
      <c r="A363" t="s">
        <v>11</v>
      </c>
      <c r="B363" t="s">
        <v>156</v>
      </c>
      <c r="C363" t="s">
        <v>157</v>
      </c>
      <c r="D363">
        <f>_xlfn.XLOOKUP(B363,'3.屠宰能力表'!B:B,'3.屠宰能力表'!E:E)</f>
        <v>900</v>
      </c>
      <c r="E363">
        <f>_xlfn.XLOOKUP(B363,'4.分割能力表'!B:B,'4.分割能力表'!D:D)</f>
        <v>640</v>
      </c>
      <c r="F363">
        <f>_xlfn.XLOOKUP(B363,'4.分割能力表'!B:B,'4.分割能力表'!E:E)</f>
        <v>30000</v>
      </c>
      <c r="G363" t="s">
        <v>78</v>
      </c>
      <c r="H363" s="1">
        <f>_xlfn.XLOOKUP(G363,系数辅助表!$C:$C,系数辅助表!$D:$D)</f>
        <v>2.7552209592914899E-2</v>
      </c>
      <c r="J363">
        <f t="shared" si="35"/>
        <v>2116.00969673586</v>
      </c>
      <c r="K363">
        <f t="shared" si="32"/>
        <v>811.17250295595102</v>
      </c>
      <c r="L363">
        <v>1304.83719377991</v>
      </c>
    </row>
    <row r="364" spans="1:12" x14ac:dyDescent="0.3">
      <c r="A364" t="s">
        <v>11</v>
      </c>
      <c r="B364" t="s">
        <v>156</v>
      </c>
      <c r="C364" t="s">
        <v>157</v>
      </c>
      <c r="D364">
        <f>_xlfn.XLOOKUP(B364,'3.屠宰能力表'!B:B,'3.屠宰能力表'!E:E)</f>
        <v>900</v>
      </c>
      <c r="E364">
        <f>_xlfn.XLOOKUP(B364,'4.分割能力表'!B:B,'4.分割能力表'!D:D)</f>
        <v>640</v>
      </c>
      <c r="F364">
        <f>_xlfn.XLOOKUP(B364,'4.分割能力表'!B:B,'4.分割能力表'!E:E)</f>
        <v>30000</v>
      </c>
      <c r="G364" t="s">
        <v>79</v>
      </c>
      <c r="H364">
        <f>_xlfn.XLOOKUP(G364,系数辅助表!$C:$C,系数辅助表!$D:$D)</f>
        <v>6.1357302939246697E-2</v>
      </c>
      <c r="J364">
        <f t="shared" si="35"/>
        <v>4712.2408657341502</v>
      </c>
      <c r="K364">
        <f t="shared" si="32"/>
        <v>1806.4379494504899</v>
      </c>
      <c r="L364">
        <v>2905.8029162836601</v>
      </c>
    </row>
    <row r="365" spans="1:12" x14ac:dyDescent="0.3">
      <c r="A365" t="s">
        <v>11</v>
      </c>
      <c r="B365" t="s">
        <v>156</v>
      </c>
      <c r="C365" t="s">
        <v>157</v>
      </c>
      <c r="D365">
        <f>_xlfn.XLOOKUP(B365,'3.屠宰能力表'!B:B,'3.屠宰能力表'!E:E)</f>
        <v>900</v>
      </c>
      <c r="E365">
        <f>_xlfn.XLOOKUP(B365,'4.分割能力表'!B:B,'4.分割能力表'!D:D)</f>
        <v>640</v>
      </c>
      <c r="F365">
        <f>_xlfn.XLOOKUP(B365,'4.分割能力表'!B:B,'4.分割能力表'!E:E)</f>
        <v>30000</v>
      </c>
      <c r="G365" t="s">
        <v>80</v>
      </c>
      <c r="H365">
        <f>_xlfn.XLOOKUP(G365,系数辅助表!$C:$C,系数辅助表!$D:$D)</f>
        <v>1.30165882845583E-2</v>
      </c>
      <c r="J365">
        <f t="shared" si="35"/>
        <v>999.67398025407704</v>
      </c>
      <c r="K365">
        <f t="shared" si="32"/>
        <v>999.67398025407704</v>
      </c>
      <c r="L365">
        <v>0</v>
      </c>
    </row>
    <row r="366" spans="1:12" x14ac:dyDescent="0.3">
      <c r="A366" t="s">
        <v>11</v>
      </c>
      <c r="B366" t="s">
        <v>156</v>
      </c>
      <c r="C366" t="s">
        <v>157</v>
      </c>
      <c r="D366">
        <f>_xlfn.XLOOKUP(B366,'3.屠宰能力表'!B:B,'3.屠宰能力表'!E:E)</f>
        <v>900</v>
      </c>
      <c r="E366">
        <f>_xlfn.XLOOKUP(B366,'4.分割能力表'!B:B,'4.分割能力表'!D:D)</f>
        <v>640</v>
      </c>
      <c r="F366">
        <f>_xlfn.XLOOKUP(B366,'4.分割能力表'!B:B,'4.分割能力表'!E:E)</f>
        <v>30000</v>
      </c>
      <c r="G366" t="s">
        <v>81</v>
      </c>
      <c r="H366">
        <f>_xlfn.XLOOKUP(G366,系数辅助表!$C:$C,系数辅助表!$D:$D)</f>
        <v>2.9868560985823099E-2</v>
      </c>
      <c r="J366">
        <f t="shared" si="35"/>
        <v>2293.9054837112099</v>
      </c>
      <c r="K366">
        <f t="shared" si="32"/>
        <v>2293.9054837112099</v>
      </c>
      <c r="L366">
        <v>0</v>
      </c>
    </row>
    <row r="367" spans="1:12" x14ac:dyDescent="0.3">
      <c r="A367" t="s">
        <v>11</v>
      </c>
      <c r="B367" t="s">
        <v>156</v>
      </c>
      <c r="C367" t="s">
        <v>157</v>
      </c>
      <c r="D367">
        <f>_xlfn.XLOOKUP(B367,'3.屠宰能力表'!B:B,'3.屠宰能力表'!E:E)</f>
        <v>900</v>
      </c>
      <c r="E367">
        <f>_xlfn.XLOOKUP(B367,'4.分割能力表'!B:B,'4.分割能力表'!D:D)</f>
        <v>640</v>
      </c>
      <c r="F367">
        <f>_xlfn.XLOOKUP(B367,'4.分割能力表'!B:B,'4.分割能力表'!E:E)</f>
        <v>30000</v>
      </c>
      <c r="G367" t="s">
        <v>82</v>
      </c>
      <c r="H367">
        <f>_xlfn.XLOOKUP(G367,系数辅助表!$C:$C,系数辅助表!$D:$D)</f>
        <v>1.31753271660773E-2</v>
      </c>
      <c r="J367">
        <f t="shared" si="35"/>
        <v>1011.86512635474</v>
      </c>
      <c r="K367">
        <f t="shared" si="32"/>
        <v>387.89858499474798</v>
      </c>
      <c r="L367">
        <v>623.96654135998801</v>
      </c>
    </row>
    <row r="368" spans="1:12" x14ac:dyDescent="0.3">
      <c r="A368" t="s">
        <v>11</v>
      </c>
      <c r="B368" t="s">
        <v>156</v>
      </c>
      <c r="C368" t="s">
        <v>157</v>
      </c>
      <c r="D368">
        <f>_xlfn.XLOOKUP(B368,'3.屠宰能力表'!B:B,'3.屠宰能力表'!E:E)</f>
        <v>900</v>
      </c>
      <c r="E368">
        <f>_xlfn.XLOOKUP(B368,'4.分割能力表'!B:B,'4.分割能力表'!D:D)</f>
        <v>640</v>
      </c>
      <c r="F368">
        <f>_xlfn.XLOOKUP(B368,'4.分割能力表'!B:B,'4.分割能力表'!E:E)</f>
        <v>30000</v>
      </c>
      <c r="G368" t="s">
        <v>83</v>
      </c>
      <c r="H368">
        <f>_xlfn.XLOOKUP(G368,系数辅助表!$C:$C,系数辅助表!$D:$D)</f>
        <v>7.2226191091146899E-3</v>
      </c>
      <c r="J368">
        <f t="shared" si="35"/>
        <v>554.69714758000805</v>
      </c>
      <c r="K368">
        <f t="shared" si="32"/>
        <v>554.69714758000805</v>
      </c>
      <c r="L368">
        <v>0</v>
      </c>
    </row>
    <row r="369" spans="1:12" x14ac:dyDescent="0.3">
      <c r="A369" t="s">
        <v>11</v>
      </c>
      <c r="B369" t="s">
        <v>156</v>
      </c>
      <c r="C369" t="s">
        <v>157</v>
      </c>
      <c r="D369">
        <f>_xlfn.XLOOKUP(B369,'3.屠宰能力表'!B:B,'3.屠宰能力表'!E:E)</f>
        <v>900</v>
      </c>
      <c r="E369">
        <f>_xlfn.XLOOKUP(B369,'4.分割能力表'!B:B,'4.分割能力表'!D:D)</f>
        <v>640</v>
      </c>
      <c r="F369">
        <f>_xlfn.XLOOKUP(B369,'4.分割能力表'!B:B,'4.分割能力表'!E:E)</f>
        <v>30000</v>
      </c>
      <c r="G369" t="s">
        <v>84</v>
      </c>
      <c r="H369">
        <f>_xlfn.XLOOKUP(G369,系数辅助表!$C:$C,系数辅助表!$D:$D)</f>
        <v>2.34933544648127E-2</v>
      </c>
      <c r="J369">
        <f t="shared" si="35"/>
        <v>1804.2896228976199</v>
      </c>
      <c r="K369">
        <f t="shared" si="32"/>
        <v>1804.2896228976199</v>
      </c>
      <c r="L369">
        <v>0</v>
      </c>
    </row>
    <row r="370" spans="1:12" x14ac:dyDescent="0.3">
      <c r="A370" t="s">
        <v>11</v>
      </c>
      <c r="B370" t="s">
        <v>156</v>
      </c>
      <c r="C370" t="s">
        <v>157</v>
      </c>
      <c r="D370">
        <f>_xlfn.XLOOKUP(B370,'3.屠宰能力表'!B:B,'3.屠宰能力表'!E:E)</f>
        <v>900</v>
      </c>
      <c r="E370">
        <f>_xlfn.XLOOKUP(B370,'4.分割能力表'!B:B,'4.分割能力表'!D:D)</f>
        <v>640</v>
      </c>
      <c r="F370">
        <f>_xlfn.XLOOKUP(B370,'4.分割能力表'!B:B,'4.分割能力表'!E:E)</f>
        <v>30000</v>
      </c>
      <c r="G370" t="s">
        <v>85</v>
      </c>
      <c r="H370">
        <f>_xlfn.XLOOKUP(G370,系数辅助表!$C:$C,系数辅助表!$D:$D)</f>
        <v>9.8418106541782492E-3</v>
      </c>
      <c r="J370">
        <f t="shared" si="35"/>
        <v>755.85105824088998</v>
      </c>
      <c r="K370">
        <f t="shared" si="32"/>
        <v>755.85105824088998</v>
      </c>
      <c r="L370">
        <v>0</v>
      </c>
    </row>
    <row r="371" spans="1:12" x14ac:dyDescent="0.3">
      <c r="A371" t="s">
        <v>11</v>
      </c>
      <c r="B371" t="s">
        <v>156</v>
      </c>
      <c r="C371" t="s">
        <v>157</v>
      </c>
      <c r="D371">
        <f>_xlfn.XLOOKUP(B371,'3.屠宰能力表'!B:B,'3.屠宰能力表'!E:E)</f>
        <v>900</v>
      </c>
      <c r="E371">
        <f>_xlfn.XLOOKUP(B371,'4.分割能力表'!B:B,'4.分割能力表'!D:D)</f>
        <v>640</v>
      </c>
      <c r="F371">
        <f>_xlfn.XLOOKUP(B371,'4.分割能力表'!B:B,'4.分割能力表'!E:E)</f>
        <v>30000</v>
      </c>
      <c r="G371" t="s">
        <v>86</v>
      </c>
      <c r="H371">
        <f>_xlfn.XLOOKUP(G371,系数辅助表!$C:$C,系数辅助表!$D:$D)</f>
        <v>6.9845107868361997E-3</v>
      </c>
      <c r="J371">
        <f t="shared" si="35"/>
        <v>536.41042842902004</v>
      </c>
      <c r="K371">
        <f t="shared" si="32"/>
        <v>536.41042842902004</v>
      </c>
      <c r="L371">
        <v>0</v>
      </c>
    </row>
    <row r="372" spans="1:12" x14ac:dyDescent="0.3">
      <c r="A372" t="s">
        <v>11</v>
      </c>
      <c r="B372" t="s">
        <v>156</v>
      </c>
      <c r="C372" t="s">
        <v>157</v>
      </c>
      <c r="D372">
        <f>_xlfn.XLOOKUP(B372,'3.屠宰能力表'!B:B,'3.屠宰能力表'!E:E)</f>
        <v>900</v>
      </c>
      <c r="E372">
        <f>_xlfn.XLOOKUP(B372,'4.分割能力表'!B:B,'4.分割能力表'!D:D)</f>
        <v>640</v>
      </c>
      <c r="F372">
        <f>_xlfn.XLOOKUP(B372,'4.分割能力表'!B:B,'4.分割能力表'!E:E)</f>
        <v>30000</v>
      </c>
      <c r="G372" t="s">
        <v>87</v>
      </c>
      <c r="H372">
        <f>_xlfn.XLOOKUP(G372,系数辅助表!$C:$C,系数辅助表!$D:$D)</f>
        <v>2.2223443412660699E-3</v>
      </c>
      <c r="J372">
        <f t="shared" si="35"/>
        <v>170.67604540923401</v>
      </c>
      <c r="K372">
        <f t="shared" si="32"/>
        <v>170.67604540923401</v>
      </c>
      <c r="L372">
        <v>0</v>
      </c>
    </row>
    <row r="373" spans="1:12" x14ac:dyDescent="0.3">
      <c r="A373" t="s">
        <v>11</v>
      </c>
      <c r="B373" t="s">
        <v>156</v>
      </c>
      <c r="C373" t="s">
        <v>157</v>
      </c>
      <c r="D373">
        <f>_xlfn.XLOOKUP(B373,'3.屠宰能力表'!B:B,'3.屠宰能力表'!E:E)</f>
        <v>900</v>
      </c>
      <c r="E373">
        <f>_xlfn.XLOOKUP(B373,'4.分割能力表'!B:B,'4.分割能力表'!D:D)</f>
        <v>640</v>
      </c>
      <c r="F373">
        <f>_xlfn.XLOOKUP(B373,'4.分割能力表'!B:B,'4.分割能力表'!E:E)</f>
        <v>30000</v>
      </c>
      <c r="G373" t="s">
        <v>88</v>
      </c>
      <c r="H373">
        <f>_xlfn.XLOOKUP(G373,系数辅助表!$C:$C,系数辅助表!$D:$D)</f>
        <v>1.5880638483545301E-3</v>
      </c>
      <c r="J373">
        <f t="shared" si="35"/>
        <v>121.96330355362799</v>
      </c>
      <c r="K373">
        <f t="shared" si="32"/>
        <v>121.96330355362799</v>
      </c>
      <c r="L373">
        <v>0</v>
      </c>
    </row>
    <row r="374" spans="1:12" x14ac:dyDescent="0.3">
      <c r="A374" t="s">
        <v>11</v>
      </c>
      <c r="B374" t="s">
        <v>156</v>
      </c>
      <c r="C374" t="s">
        <v>157</v>
      </c>
      <c r="D374">
        <f>_xlfn.XLOOKUP(B374,'3.屠宰能力表'!B:B,'3.屠宰能力表'!E:E)</f>
        <v>900</v>
      </c>
      <c r="E374">
        <f>_xlfn.XLOOKUP(B374,'4.分割能力表'!B:B,'4.分割能力表'!D:D)</f>
        <v>640</v>
      </c>
      <c r="F374">
        <f>_xlfn.XLOOKUP(B374,'4.分割能力表'!B:B,'4.分割能力表'!E:E)</f>
        <v>30000</v>
      </c>
      <c r="G374" t="s">
        <v>89</v>
      </c>
      <c r="H374">
        <f>_xlfn.XLOOKUP(G374,系数辅助表!$C:$C,系数辅助表!$D:$D)</f>
        <v>1.0324777630380101E-2</v>
      </c>
      <c r="J374">
        <f t="shared" si="35"/>
        <v>792.94292201319195</v>
      </c>
      <c r="K374">
        <f t="shared" si="32"/>
        <v>303.97473874664303</v>
      </c>
      <c r="L374">
        <v>488.96818326654801</v>
      </c>
    </row>
    <row r="375" spans="1:12" x14ac:dyDescent="0.3">
      <c r="A375" t="s">
        <v>11</v>
      </c>
      <c r="B375" t="s">
        <v>156</v>
      </c>
      <c r="C375" t="s">
        <v>157</v>
      </c>
      <c r="D375">
        <f>_xlfn.XLOOKUP(B375,'3.屠宰能力表'!B:B,'3.屠宰能力表'!E:E)</f>
        <v>900</v>
      </c>
      <c r="E375">
        <f>_xlfn.XLOOKUP(B375,'4.分割能力表'!B:B,'4.分割能力表'!D:D)</f>
        <v>640</v>
      </c>
      <c r="F375">
        <f>_xlfn.XLOOKUP(B375,'4.分割能力表'!B:B,'4.分割能力表'!E:E)</f>
        <v>30000</v>
      </c>
      <c r="G375" t="s">
        <v>90</v>
      </c>
      <c r="H375">
        <f>_xlfn.XLOOKUP(G375,系数辅助表!$C:$C,系数辅助表!$D:$D)</f>
        <v>2.86E-2</v>
      </c>
      <c r="J375">
        <f t="shared" si="35"/>
        <v>2196.48</v>
      </c>
      <c r="K375">
        <f t="shared" si="32"/>
        <v>842.02080077476</v>
      </c>
      <c r="L375">
        <v>1354.4591992252399</v>
      </c>
    </row>
    <row r="376" spans="1:12" x14ac:dyDescent="0.3">
      <c r="A376" t="s">
        <v>11</v>
      </c>
      <c r="B376" t="s">
        <v>156</v>
      </c>
      <c r="C376" t="s">
        <v>157</v>
      </c>
      <c r="D376">
        <f>_xlfn.XLOOKUP(B376,'3.屠宰能力表'!B:B,'3.屠宰能力表'!E:E)</f>
        <v>900</v>
      </c>
      <c r="E376">
        <f>_xlfn.XLOOKUP(B376,'4.分割能力表'!B:B,'4.分割能力表'!D:D)</f>
        <v>640</v>
      </c>
      <c r="F376">
        <f>_xlfn.XLOOKUP(B376,'4.分割能力表'!B:B,'4.分割能力表'!E:E)</f>
        <v>30000</v>
      </c>
      <c r="G376" t="s">
        <v>91</v>
      </c>
      <c r="H376">
        <f>_xlfn.XLOOKUP(G376,系数辅助表!$C:$C,系数辅助表!$D:$D)</f>
        <v>2.1645581232916301E-2</v>
      </c>
      <c r="J376">
        <f t="shared" si="35"/>
        <v>1662.3806386879701</v>
      </c>
      <c r="K376">
        <f t="shared" si="32"/>
        <v>637.27376374039602</v>
      </c>
      <c r="L376">
        <v>1025.1068749475801</v>
      </c>
    </row>
    <row r="377" spans="1:12" x14ac:dyDescent="0.3">
      <c r="A377" t="s">
        <v>11</v>
      </c>
      <c r="B377" t="s">
        <v>156</v>
      </c>
      <c r="C377" t="s">
        <v>157</v>
      </c>
      <c r="D377">
        <f>_xlfn.XLOOKUP(B377,'3.屠宰能力表'!B:B,'3.屠宰能力表'!E:E)</f>
        <v>900</v>
      </c>
      <c r="E377">
        <f>_xlfn.XLOOKUP(B377,'4.分割能力表'!B:B,'4.分割能力表'!D:D)</f>
        <v>640</v>
      </c>
      <c r="F377">
        <f>_xlfn.XLOOKUP(B377,'4.分割能力表'!B:B,'4.分割能力表'!E:E)</f>
        <v>30000</v>
      </c>
      <c r="G377" t="s">
        <v>92</v>
      </c>
      <c r="H377">
        <f>_xlfn.XLOOKUP(G377,系数辅助表!$C:$C,系数辅助表!$D:$D)</f>
        <v>1.4286499336710399E-3</v>
      </c>
      <c r="J377">
        <f t="shared" si="35"/>
        <v>109.72031490593599</v>
      </c>
      <c r="K377">
        <f t="shared" si="32"/>
        <v>109.72031490593599</v>
      </c>
      <c r="L377">
        <v>0</v>
      </c>
    </row>
    <row r="378" spans="1:12" x14ac:dyDescent="0.3">
      <c r="A378" t="s">
        <v>11</v>
      </c>
      <c r="B378" t="s">
        <v>156</v>
      </c>
      <c r="C378" t="s">
        <v>157</v>
      </c>
      <c r="D378">
        <f>_xlfn.XLOOKUP(B378,'3.屠宰能力表'!B:B,'3.屠宰能力表'!E:E)</f>
        <v>900</v>
      </c>
      <c r="E378">
        <f>_xlfn.XLOOKUP(B378,'4.分割能力表'!B:B,'4.分割能力表'!D:D)</f>
        <v>640</v>
      </c>
      <c r="F378">
        <f>_xlfn.XLOOKUP(B378,'4.分割能力表'!B:B,'4.分割能力表'!E:E)</f>
        <v>30000</v>
      </c>
      <c r="G378" t="s">
        <v>93</v>
      </c>
      <c r="H378"/>
      <c r="J378">
        <f>IFERROR(INDEX($L:$L,MATCH(SUBSTITUTE(G378,"-冷冻",""),$G:$G,0)),"")</f>
        <v>9376.24540321104</v>
      </c>
    </row>
    <row r="379" spans="1:12" x14ac:dyDescent="0.3">
      <c r="A379" t="s">
        <v>11</v>
      </c>
      <c r="B379" t="s">
        <v>156</v>
      </c>
      <c r="C379" t="s">
        <v>157</v>
      </c>
      <c r="D379">
        <f>_xlfn.XLOOKUP(B379,'3.屠宰能力表'!B:B,'3.屠宰能力表'!E:E)</f>
        <v>900</v>
      </c>
      <c r="E379">
        <f>_xlfn.XLOOKUP(B379,'4.分割能力表'!B:B,'4.分割能力表'!D:D)</f>
        <v>640</v>
      </c>
      <c r="F379">
        <f>_xlfn.XLOOKUP(B379,'4.分割能力表'!B:B,'4.分割能力表'!E:E)</f>
        <v>30000</v>
      </c>
      <c r="G379" t="s">
        <v>96</v>
      </c>
      <c r="H379"/>
      <c r="J379">
        <f>IFERROR(INDEX($L:$L,MATCH(SUBSTITUTE(G379,"-冷冻",""),$G:$G,0)),"")</f>
        <v>1654.6315417431299</v>
      </c>
    </row>
    <row r="380" spans="1:12" x14ac:dyDescent="0.3">
      <c r="A380" t="s">
        <v>11</v>
      </c>
      <c r="B380" t="s">
        <v>156</v>
      </c>
      <c r="C380" t="s">
        <v>157</v>
      </c>
      <c r="D380">
        <f>_xlfn.XLOOKUP(B380,'3.屠宰能力表'!B:B,'3.屠宰能力表'!E:E)</f>
        <v>900</v>
      </c>
      <c r="E380">
        <f>_xlfn.XLOOKUP(B380,'4.分割能力表'!B:B,'4.分割能力表'!D:D)</f>
        <v>640</v>
      </c>
      <c r="F380">
        <f>_xlfn.XLOOKUP(B380,'4.分割能力表'!B:B,'4.分割能力表'!E:E)</f>
        <v>30000</v>
      </c>
      <c r="G380" t="s">
        <v>97</v>
      </c>
      <c r="H380"/>
      <c r="J380">
        <f t="shared" ref="J380:J385" si="36">IFERROR(INDEX($L:$L,MATCH(SUBSTITUTE(G380,"-冷冻",""),$G:$G,0)),"")</f>
        <v>3265.6754887563802</v>
      </c>
    </row>
    <row r="381" spans="1:12" x14ac:dyDescent="0.3">
      <c r="A381" t="s">
        <v>11</v>
      </c>
      <c r="B381" t="s">
        <v>156</v>
      </c>
      <c r="C381" t="s">
        <v>157</v>
      </c>
      <c r="D381">
        <f>_xlfn.XLOOKUP(B381,'3.屠宰能力表'!B:B,'3.屠宰能力表'!E:E)</f>
        <v>900</v>
      </c>
      <c r="E381">
        <f>_xlfn.XLOOKUP(B381,'4.分割能力表'!B:B,'4.分割能力表'!D:D)</f>
        <v>640</v>
      </c>
      <c r="F381">
        <f>_xlfn.XLOOKUP(B381,'4.分割能力表'!B:B,'4.分割能力表'!E:E)</f>
        <v>30000</v>
      </c>
      <c r="G381" t="s">
        <v>99</v>
      </c>
      <c r="H381"/>
      <c r="J381">
        <f t="shared" si="36"/>
        <v>5350.4415805199897</v>
      </c>
    </row>
    <row r="382" spans="1:12" x14ac:dyDescent="0.3">
      <c r="A382" t="s">
        <v>11</v>
      </c>
      <c r="B382" t="s">
        <v>156</v>
      </c>
      <c r="C382" t="s">
        <v>157</v>
      </c>
      <c r="D382">
        <f>_xlfn.XLOOKUP(B382,'3.屠宰能力表'!B:B,'3.屠宰能力表'!E:E)</f>
        <v>900</v>
      </c>
      <c r="E382">
        <f>_xlfn.XLOOKUP(B382,'4.分割能力表'!B:B,'4.分割能力表'!D:D)</f>
        <v>640</v>
      </c>
      <c r="F382">
        <f>_xlfn.XLOOKUP(B382,'4.分割能力表'!B:B,'4.分割能力表'!E:E)</f>
        <v>30000</v>
      </c>
      <c r="G382" t="s">
        <v>100</v>
      </c>
      <c r="H382"/>
      <c r="J382">
        <f t="shared" si="36"/>
        <v>1280.32955330441</v>
      </c>
    </row>
    <row r="383" spans="1:12" x14ac:dyDescent="0.3">
      <c r="A383" t="s">
        <v>11</v>
      </c>
      <c r="B383" t="s">
        <v>156</v>
      </c>
      <c r="C383" t="s">
        <v>157</v>
      </c>
      <c r="D383">
        <f>_xlfn.XLOOKUP(B383,'3.屠宰能力表'!B:B,'3.屠宰能力表'!E:E)</f>
        <v>900</v>
      </c>
      <c r="E383">
        <f>_xlfn.XLOOKUP(B383,'4.分割能力表'!B:B,'4.分割能力表'!D:D)</f>
        <v>640</v>
      </c>
      <c r="F383">
        <f>_xlfn.XLOOKUP(B383,'4.分割能力表'!B:B,'4.分割能力表'!E:E)</f>
        <v>30000</v>
      </c>
      <c r="G383" t="s">
        <v>101</v>
      </c>
      <c r="H383"/>
      <c r="J383">
        <f t="shared" si="36"/>
        <v>12463.2659808302</v>
      </c>
    </row>
    <row r="384" spans="1:12" x14ac:dyDescent="0.3">
      <c r="A384" t="s">
        <v>11</v>
      </c>
      <c r="B384" t="s">
        <v>156</v>
      </c>
      <c r="C384" t="s">
        <v>157</v>
      </c>
      <c r="D384">
        <f>_xlfn.XLOOKUP(B384,'3.屠宰能力表'!B:B,'3.屠宰能力表'!E:E)</f>
        <v>900</v>
      </c>
      <c r="E384">
        <f>_xlfn.XLOOKUP(B384,'4.分割能力表'!B:B,'4.分割能力表'!D:D)</f>
        <v>640</v>
      </c>
      <c r="F384">
        <f>_xlfn.XLOOKUP(B384,'4.分割能力表'!B:B,'4.分割能力表'!E:E)</f>
        <v>30000</v>
      </c>
      <c r="G384" t="s">
        <v>102</v>
      </c>
      <c r="H384"/>
      <c r="J384">
        <f t="shared" si="36"/>
        <v>9710.7572628296493</v>
      </c>
    </row>
    <row r="385" spans="1:11" x14ac:dyDescent="0.3">
      <c r="A385" t="s">
        <v>11</v>
      </c>
      <c r="B385" t="s">
        <v>156</v>
      </c>
      <c r="C385" t="s">
        <v>157</v>
      </c>
      <c r="D385">
        <f>_xlfn.XLOOKUP(B385,'3.屠宰能力表'!B:B,'3.屠宰能力表'!E:E)</f>
        <v>900</v>
      </c>
      <c r="E385">
        <f>_xlfn.XLOOKUP(B385,'4.分割能力表'!B:B,'4.分割能力表'!D:D)</f>
        <v>640</v>
      </c>
      <c r="F385">
        <f>_xlfn.XLOOKUP(B385,'4.分割能力表'!B:B,'4.分割能力表'!E:E)</f>
        <v>30000</v>
      </c>
      <c r="G385" t="s">
        <v>103</v>
      </c>
      <c r="H385"/>
      <c r="J385">
        <f t="shared" si="36"/>
        <v>2218.8323154482</v>
      </c>
    </row>
    <row r="386" spans="1:11" x14ac:dyDescent="0.3">
      <c r="A386" t="s">
        <v>11</v>
      </c>
      <c r="B386" t="s">
        <v>156</v>
      </c>
      <c r="C386" t="s">
        <v>157</v>
      </c>
      <c r="D386">
        <f>_xlfn.XLOOKUP(B386,'3.屠宰能力表'!B:B,'3.屠宰能力表'!E:E)</f>
        <v>900</v>
      </c>
      <c r="E386">
        <f>_xlfn.XLOOKUP(B386,'4.分割能力表'!B:B,'4.分割能力表'!D:D)</f>
        <v>640</v>
      </c>
      <c r="F386">
        <f>_xlfn.XLOOKUP(B386,'4.分割能力表'!B:B,'4.分割能力表'!E:E)</f>
        <v>30000</v>
      </c>
      <c r="G386" t="s">
        <v>104</v>
      </c>
      <c r="H386"/>
      <c r="J386">
        <f t="shared" ref="J386:J393" si="37">IFERROR(INDEX($L:$L,MATCH(SUBSTITUTE(G386,"-冷冻",""),$G:$G,0)),"")</f>
        <v>3131.6092650717901</v>
      </c>
    </row>
    <row r="387" spans="1:11" x14ac:dyDescent="0.3">
      <c r="A387" t="s">
        <v>11</v>
      </c>
      <c r="B387" t="s">
        <v>156</v>
      </c>
      <c r="C387" t="s">
        <v>157</v>
      </c>
      <c r="D387">
        <f>_xlfn.XLOOKUP(B387,'3.屠宰能力表'!B:B,'3.屠宰能力表'!E:E)</f>
        <v>900</v>
      </c>
      <c r="E387">
        <f>_xlfn.XLOOKUP(B387,'4.分割能力表'!B:B,'4.分割能力表'!D:D)</f>
        <v>640</v>
      </c>
      <c r="F387">
        <f>_xlfn.XLOOKUP(B387,'4.分割能力表'!B:B,'4.分割能力表'!E:E)</f>
        <v>30000</v>
      </c>
      <c r="G387" t="s">
        <v>105</v>
      </c>
      <c r="H387"/>
      <c r="J387">
        <f t="shared" si="37"/>
        <v>6973.9269990807697</v>
      </c>
    </row>
    <row r="388" spans="1:11" x14ac:dyDescent="0.3">
      <c r="A388" t="s">
        <v>11</v>
      </c>
      <c r="B388" t="s">
        <v>156</v>
      </c>
      <c r="C388" t="s">
        <v>157</v>
      </c>
      <c r="D388">
        <f>_xlfn.XLOOKUP(B388,'3.屠宰能力表'!B:B,'3.屠宰能力表'!E:E)</f>
        <v>900</v>
      </c>
      <c r="E388">
        <f>_xlfn.XLOOKUP(B388,'4.分割能力表'!B:B,'4.分割能力表'!D:D)</f>
        <v>640</v>
      </c>
      <c r="F388">
        <f>_xlfn.XLOOKUP(B388,'4.分割能力表'!B:B,'4.分割能力表'!E:E)</f>
        <v>30000</v>
      </c>
      <c r="G388" t="s">
        <v>108</v>
      </c>
      <c r="H388"/>
      <c r="J388">
        <f t="shared" si="37"/>
        <v>1497.5196992639701</v>
      </c>
    </row>
    <row r="389" spans="1:11" x14ac:dyDescent="0.3">
      <c r="A389" t="s">
        <v>11</v>
      </c>
      <c r="B389" t="s">
        <v>156</v>
      </c>
      <c r="C389" t="s">
        <v>157</v>
      </c>
      <c r="D389">
        <f>_xlfn.XLOOKUP(B389,'3.屠宰能力表'!B:B,'3.屠宰能力表'!E:E)</f>
        <v>900</v>
      </c>
      <c r="E389">
        <f>_xlfn.XLOOKUP(B389,'4.分割能力表'!B:B,'4.分割能力表'!D:D)</f>
        <v>640</v>
      </c>
      <c r="F389">
        <f>_xlfn.XLOOKUP(B389,'4.分割能力表'!B:B,'4.分割能力表'!E:E)</f>
        <v>30000</v>
      </c>
      <c r="G389" t="s">
        <v>115</v>
      </c>
      <c r="H389"/>
      <c r="J389">
        <f t="shared" si="37"/>
        <v>1173.5236398397201</v>
      </c>
    </row>
    <row r="390" spans="1:11" x14ac:dyDescent="0.3">
      <c r="A390" t="s">
        <v>11</v>
      </c>
      <c r="B390" t="s">
        <v>156</v>
      </c>
      <c r="C390" t="s">
        <v>157</v>
      </c>
      <c r="D390">
        <f>_xlfn.XLOOKUP(B390,'3.屠宰能力表'!B:B,'3.屠宰能力表'!E:E)</f>
        <v>900</v>
      </c>
      <c r="E390">
        <f>_xlfn.XLOOKUP(B390,'4.分割能力表'!B:B,'4.分割能力表'!D:D)</f>
        <v>640</v>
      </c>
      <c r="F390">
        <f>_xlfn.XLOOKUP(B390,'4.分割能力表'!B:B,'4.分割能力表'!E:E)</f>
        <v>30000</v>
      </c>
      <c r="G390" t="s">
        <v>116</v>
      </c>
      <c r="H390"/>
      <c r="J390">
        <f t="shared" si="37"/>
        <v>3250.7020781405799</v>
      </c>
    </row>
    <row r="391" spans="1:11" x14ac:dyDescent="0.3">
      <c r="A391" t="s">
        <v>11</v>
      </c>
      <c r="B391" t="s">
        <v>156</v>
      </c>
      <c r="C391" t="s">
        <v>157</v>
      </c>
      <c r="D391">
        <f>_xlfn.XLOOKUP(B391,'3.屠宰能力表'!B:B,'3.屠宰能力表'!E:E)</f>
        <v>900</v>
      </c>
      <c r="E391">
        <f>_xlfn.XLOOKUP(B391,'4.分割能力表'!B:B,'4.分割能力表'!D:D)</f>
        <v>640</v>
      </c>
      <c r="F391">
        <f>_xlfn.XLOOKUP(B391,'4.分割能力表'!B:B,'4.分割能力表'!E:E)</f>
        <v>30000</v>
      </c>
      <c r="G391" t="s">
        <v>117</v>
      </c>
      <c r="H391"/>
      <c r="J391">
        <f t="shared" si="37"/>
        <v>2460.25649987418</v>
      </c>
    </row>
    <row r="392" spans="1:11" x14ac:dyDescent="0.3">
      <c r="A392" t="s">
        <v>11</v>
      </c>
      <c r="B392" t="s">
        <v>156</v>
      </c>
      <c r="C392" t="s">
        <v>157</v>
      </c>
      <c r="D392">
        <f>_xlfn.XLOOKUP(B392,'3.屠宰能力表'!B:B,'3.屠宰能力表'!E:E)</f>
        <v>900</v>
      </c>
      <c r="E392">
        <f>_xlfn.XLOOKUP(B392,'4.分割能力表'!B:B,'4.分割能力表'!D:D)</f>
        <v>640</v>
      </c>
      <c r="F392">
        <f>_xlfn.XLOOKUP(B392,'4.分割能力表'!B:B,'4.分割能力表'!E:E)</f>
        <v>30000</v>
      </c>
      <c r="G392" t="s">
        <v>120</v>
      </c>
      <c r="H392"/>
      <c r="J392">
        <f t="shared" si="37"/>
        <v>2083.14252302766</v>
      </c>
    </row>
    <row r="393" spans="1:11" x14ac:dyDescent="0.3">
      <c r="A393" t="s">
        <v>11</v>
      </c>
      <c r="B393" t="s">
        <v>156</v>
      </c>
      <c r="C393" t="s">
        <v>157</v>
      </c>
      <c r="D393">
        <f>_xlfn.XLOOKUP(B393,'3.屠宰能力表'!B:B,'3.屠宰能力表'!E:E)</f>
        <v>900</v>
      </c>
      <c r="E393">
        <f>_xlfn.XLOOKUP(B393,'4.分割能力表'!B:B,'4.分割能力表'!D:D)</f>
        <v>640</v>
      </c>
      <c r="F393">
        <f>_xlfn.XLOOKUP(B393,'4.分割能力表'!B:B,'4.分割能力表'!E:E)</f>
        <v>30000</v>
      </c>
      <c r="G393" t="s">
        <v>131</v>
      </c>
      <c r="H393"/>
      <c r="J393">
        <f t="shared" si="37"/>
        <v>2102.8145852457801</v>
      </c>
    </row>
    <row r="394" spans="1:11" x14ac:dyDescent="0.3">
      <c r="A394" s="2" t="s">
        <v>23</v>
      </c>
      <c r="B394" t="s">
        <v>158</v>
      </c>
      <c r="C394" t="s">
        <v>159</v>
      </c>
      <c r="D394">
        <f>_xlfn.XLOOKUP(B394,'3.屠宰能力表'!B:B,'3.屠宰能力表'!E:E)</f>
        <v>1500</v>
      </c>
      <c r="E394">
        <f>_xlfn.XLOOKUP(B394,'4.分割能力表'!B:B,'4.分割能力表'!D:D)</f>
        <v>400</v>
      </c>
      <c r="F394">
        <f>_xlfn.XLOOKUP(B394,'4.分割能力表'!B:B,'4.分割能力表'!E:E)</f>
        <v>7500</v>
      </c>
      <c r="G394" t="s">
        <v>41</v>
      </c>
      <c r="H394">
        <f>_xlfn.XLOOKUP(G394,系数辅助表!$C:$C,系数辅助表!$D:$D)</f>
        <v>0.71499999999999997</v>
      </c>
      <c r="J394">
        <f>(D394-E394)*H394*$D$1</f>
        <v>94380</v>
      </c>
      <c r="K394">
        <f>J394-L394</f>
        <v>94380</v>
      </c>
    </row>
    <row r="395" spans="1:11" x14ac:dyDescent="0.3">
      <c r="A395" t="s">
        <v>23</v>
      </c>
      <c r="B395" t="s">
        <v>158</v>
      </c>
      <c r="C395" t="s">
        <v>159</v>
      </c>
      <c r="D395">
        <f>_xlfn.XLOOKUP(B395,'3.屠宰能力表'!B:B,'3.屠宰能力表'!E:E)</f>
        <v>1500</v>
      </c>
      <c r="E395">
        <f>_xlfn.XLOOKUP(B395,'4.分割能力表'!B:B,'4.分割能力表'!D:D)</f>
        <v>400</v>
      </c>
      <c r="F395">
        <f>_xlfn.XLOOKUP(B395,'4.分割能力表'!B:B,'4.分割能力表'!E:E)</f>
        <v>7500</v>
      </c>
      <c r="G395" t="s">
        <v>44</v>
      </c>
      <c r="H395">
        <f>_xlfn.XLOOKUP(G395,系数辅助表!$C:$C,系数辅助表!$D:$D)</f>
        <v>4.3342237679380002E-2</v>
      </c>
      <c r="J395">
        <f>$D395*H395*$D$1</f>
        <v>7801.6027822883998</v>
      </c>
      <c r="K395">
        <f t="shared" ref="K395:K442" si="38">J395-L395</f>
        <v>7801.6027822883998</v>
      </c>
    </row>
    <row r="396" spans="1:11" x14ac:dyDescent="0.3">
      <c r="A396" t="s">
        <v>23</v>
      </c>
      <c r="B396" t="s">
        <v>158</v>
      </c>
      <c r="C396" t="s">
        <v>159</v>
      </c>
      <c r="D396">
        <f>_xlfn.XLOOKUP(B396,'3.屠宰能力表'!B:B,'3.屠宰能力表'!E:E)</f>
        <v>1500</v>
      </c>
      <c r="E396">
        <f>_xlfn.XLOOKUP(B396,'4.分割能力表'!B:B,'4.分割能力表'!D:D)</f>
        <v>400</v>
      </c>
      <c r="F396">
        <f>_xlfn.XLOOKUP(B396,'4.分割能力表'!B:B,'4.分割能力表'!E:E)</f>
        <v>7500</v>
      </c>
      <c r="G396" t="s">
        <v>46</v>
      </c>
      <c r="H396">
        <f>_xlfn.XLOOKUP(G396,系数辅助表!$C:$C,系数辅助表!$D:$D)</f>
        <v>3.2562132013653599E-4</v>
      </c>
      <c r="J396">
        <f t="shared" ref="J396:J416" si="39">$D396*H396*$D$1</f>
        <v>58.611837624576502</v>
      </c>
      <c r="K396">
        <f t="shared" si="38"/>
        <v>58.611837624576502</v>
      </c>
    </row>
    <row r="397" spans="1:11" x14ac:dyDescent="0.3">
      <c r="A397" t="s">
        <v>23</v>
      </c>
      <c r="B397" t="s">
        <v>158</v>
      </c>
      <c r="C397" t="s">
        <v>159</v>
      </c>
      <c r="D397">
        <f>_xlfn.XLOOKUP(B397,'3.屠宰能力表'!B:B,'3.屠宰能力表'!E:E)</f>
        <v>1500</v>
      </c>
      <c r="E397">
        <f>_xlfn.XLOOKUP(B397,'4.分割能力表'!B:B,'4.分割能力表'!D:D)</f>
        <v>400</v>
      </c>
      <c r="F397">
        <f>_xlfn.XLOOKUP(B397,'4.分割能力表'!B:B,'4.分割能力表'!E:E)</f>
        <v>7500</v>
      </c>
      <c r="G397" t="s">
        <v>47</v>
      </c>
      <c r="H397">
        <f>_xlfn.XLOOKUP(G397,系数辅助表!$C:$C,系数辅助表!$D:$D)</f>
        <v>3.0632398515360198E-3</v>
      </c>
      <c r="J397">
        <f t="shared" si="39"/>
        <v>551.38317327648394</v>
      </c>
      <c r="K397">
        <f t="shared" si="38"/>
        <v>551.38317327648394</v>
      </c>
    </row>
    <row r="398" spans="1:11" x14ac:dyDescent="0.3">
      <c r="A398" t="s">
        <v>23</v>
      </c>
      <c r="B398" t="s">
        <v>158</v>
      </c>
      <c r="C398" t="s">
        <v>159</v>
      </c>
      <c r="D398">
        <f>_xlfn.XLOOKUP(B398,'3.屠宰能力表'!B:B,'3.屠宰能力表'!E:E)</f>
        <v>1500</v>
      </c>
      <c r="E398">
        <f>_xlfn.XLOOKUP(B398,'4.分割能力表'!B:B,'4.分割能力表'!D:D)</f>
        <v>400</v>
      </c>
      <c r="F398">
        <f>_xlfn.XLOOKUP(B398,'4.分割能力表'!B:B,'4.分割能力表'!E:E)</f>
        <v>7500</v>
      </c>
      <c r="G398" t="s">
        <v>48</v>
      </c>
      <c r="H398">
        <f>_xlfn.XLOOKUP(G398,系数辅助表!$C:$C,系数辅助表!$D:$D)</f>
        <v>1.5822796716383002E-2</v>
      </c>
      <c r="J398">
        <f t="shared" si="39"/>
        <v>2848.1034089489399</v>
      </c>
      <c r="K398">
        <f t="shared" si="38"/>
        <v>2848.1034089489399</v>
      </c>
    </row>
    <row r="399" spans="1:11" x14ac:dyDescent="0.3">
      <c r="A399" t="s">
        <v>23</v>
      </c>
      <c r="B399" t="s">
        <v>158</v>
      </c>
      <c r="C399" t="s">
        <v>159</v>
      </c>
      <c r="D399">
        <f>_xlfn.XLOOKUP(B399,'3.屠宰能力表'!B:B,'3.屠宰能力表'!E:E)</f>
        <v>1500</v>
      </c>
      <c r="E399">
        <f>_xlfn.XLOOKUP(B399,'4.分割能力表'!B:B,'4.分割能力表'!D:D)</f>
        <v>400</v>
      </c>
      <c r="F399">
        <f>_xlfn.XLOOKUP(B399,'4.分割能力表'!B:B,'4.分割能力表'!E:E)</f>
        <v>7500</v>
      </c>
      <c r="G399" t="s">
        <v>49</v>
      </c>
      <c r="H399">
        <f>_xlfn.XLOOKUP(G399,系数辅助表!$C:$C,系数辅助表!$D:$D)</f>
        <v>3.0934025412970799E-3</v>
      </c>
      <c r="J399">
        <f t="shared" si="39"/>
        <v>556.81245743347404</v>
      </c>
      <c r="K399">
        <f t="shared" si="38"/>
        <v>556.81245743347404</v>
      </c>
    </row>
    <row r="400" spans="1:11" x14ac:dyDescent="0.3">
      <c r="A400" t="s">
        <v>23</v>
      </c>
      <c r="B400" t="s">
        <v>158</v>
      </c>
      <c r="C400" t="s">
        <v>159</v>
      </c>
      <c r="D400">
        <f>_xlfn.XLOOKUP(B400,'3.屠宰能力表'!B:B,'3.屠宰能力表'!E:E)</f>
        <v>1500</v>
      </c>
      <c r="E400">
        <f>_xlfn.XLOOKUP(B400,'4.分割能力表'!B:B,'4.分割能力表'!D:D)</f>
        <v>400</v>
      </c>
      <c r="F400">
        <f>_xlfn.XLOOKUP(B400,'4.分割能力表'!B:B,'4.分割能力表'!E:E)</f>
        <v>7500</v>
      </c>
      <c r="G400" t="s">
        <v>50</v>
      </c>
      <c r="H400">
        <f>_xlfn.XLOOKUP(G400,系数辅助表!$C:$C,系数辅助表!$D:$D)</f>
        <v>1.08247988845052E-2</v>
      </c>
      <c r="J400">
        <f t="shared" si="39"/>
        <v>1948.4637992109399</v>
      </c>
      <c r="K400">
        <f t="shared" si="38"/>
        <v>1948.4637992109399</v>
      </c>
    </row>
    <row r="401" spans="1:11" x14ac:dyDescent="0.3">
      <c r="A401" t="s">
        <v>23</v>
      </c>
      <c r="B401" t="s">
        <v>158</v>
      </c>
      <c r="C401" t="s">
        <v>159</v>
      </c>
      <c r="D401">
        <f>_xlfn.XLOOKUP(B401,'3.屠宰能力表'!B:B,'3.屠宰能力表'!E:E)</f>
        <v>1500</v>
      </c>
      <c r="E401">
        <f>_xlfn.XLOOKUP(B401,'4.分割能力表'!B:B,'4.分割能力表'!D:D)</f>
        <v>400</v>
      </c>
      <c r="F401">
        <f>_xlfn.XLOOKUP(B401,'4.分割能力表'!B:B,'4.分割能力表'!E:E)</f>
        <v>7500</v>
      </c>
      <c r="G401" t="s">
        <v>51</v>
      </c>
      <c r="H401">
        <f>_xlfn.XLOOKUP(G401,系数辅助表!$C:$C,系数辅助表!$D:$D)</f>
        <v>4.9657251320821601E-3</v>
      </c>
      <c r="J401">
        <f t="shared" si="39"/>
        <v>893.83052377478896</v>
      </c>
      <c r="K401">
        <f t="shared" si="38"/>
        <v>893.83052377478896</v>
      </c>
    </row>
    <row r="402" spans="1:11" x14ac:dyDescent="0.3">
      <c r="A402" t="s">
        <v>23</v>
      </c>
      <c r="B402" t="s">
        <v>158</v>
      </c>
      <c r="C402" t="s">
        <v>159</v>
      </c>
      <c r="D402">
        <f>_xlfn.XLOOKUP(B402,'3.屠宰能力表'!B:B,'3.屠宰能力表'!E:E)</f>
        <v>1500</v>
      </c>
      <c r="E402">
        <f>_xlfn.XLOOKUP(B402,'4.分割能力表'!B:B,'4.分割能力表'!D:D)</f>
        <v>400</v>
      </c>
      <c r="F402">
        <f>_xlfn.XLOOKUP(B402,'4.分割能力表'!B:B,'4.分割能力表'!E:E)</f>
        <v>7500</v>
      </c>
      <c r="G402" t="s">
        <v>52</v>
      </c>
      <c r="H402">
        <f>_xlfn.XLOOKUP(G402,系数辅助表!$C:$C,系数辅助表!$D:$D)</f>
        <v>4.1516718317408203E-3</v>
      </c>
      <c r="J402">
        <f t="shared" si="39"/>
        <v>747.30092971334795</v>
      </c>
      <c r="K402">
        <f t="shared" si="38"/>
        <v>747.30092971334795</v>
      </c>
    </row>
    <row r="403" spans="1:11" x14ac:dyDescent="0.3">
      <c r="A403" t="s">
        <v>23</v>
      </c>
      <c r="B403" t="s">
        <v>158</v>
      </c>
      <c r="C403" t="s">
        <v>159</v>
      </c>
      <c r="D403">
        <f>_xlfn.XLOOKUP(B403,'3.屠宰能力表'!B:B,'3.屠宰能力表'!E:E)</f>
        <v>1500</v>
      </c>
      <c r="E403">
        <f>_xlfn.XLOOKUP(B403,'4.分割能力表'!B:B,'4.分割能力表'!D:D)</f>
        <v>400</v>
      </c>
      <c r="F403">
        <f>_xlfn.XLOOKUP(B403,'4.分割能力表'!B:B,'4.分割能力表'!E:E)</f>
        <v>7500</v>
      </c>
      <c r="G403" t="s">
        <v>53</v>
      </c>
      <c r="H403">
        <f>_xlfn.XLOOKUP(G403,系数辅助表!$C:$C,系数辅助表!$D:$D)</f>
        <v>3.6632398515360201E-3</v>
      </c>
      <c r="J403">
        <f t="shared" si="39"/>
        <v>659.38317327648394</v>
      </c>
      <c r="K403">
        <f t="shared" si="38"/>
        <v>659.38317327648394</v>
      </c>
    </row>
    <row r="404" spans="1:11" x14ac:dyDescent="0.3">
      <c r="A404" t="s">
        <v>23</v>
      </c>
      <c r="B404" t="s">
        <v>158</v>
      </c>
      <c r="C404" t="s">
        <v>159</v>
      </c>
      <c r="D404">
        <f>_xlfn.XLOOKUP(B404,'3.屠宰能力表'!B:B,'3.屠宰能力表'!E:E)</f>
        <v>1500</v>
      </c>
      <c r="E404">
        <f>_xlfn.XLOOKUP(B404,'4.分割能力表'!B:B,'4.分割能力表'!D:D)</f>
        <v>400</v>
      </c>
      <c r="F404">
        <f>_xlfn.XLOOKUP(B404,'4.分割能力表'!B:B,'4.分割能力表'!E:E)</f>
        <v>7500</v>
      </c>
      <c r="G404" t="s">
        <v>54</v>
      </c>
      <c r="H404">
        <f>_xlfn.XLOOKUP(G404,系数辅助表!$C:$C,系数辅助表!$D:$D)</f>
        <v>2.68637589112642E-3</v>
      </c>
      <c r="J404">
        <f t="shared" si="39"/>
        <v>483.54766040275598</v>
      </c>
      <c r="K404">
        <f t="shared" si="38"/>
        <v>483.54766040275598</v>
      </c>
    </row>
    <row r="405" spans="1:11" x14ac:dyDescent="0.3">
      <c r="A405" t="s">
        <v>23</v>
      </c>
      <c r="B405" t="s">
        <v>158</v>
      </c>
      <c r="C405" t="s">
        <v>159</v>
      </c>
      <c r="D405">
        <f>_xlfn.XLOOKUP(B405,'3.屠宰能力表'!B:B,'3.屠宰能力表'!E:E)</f>
        <v>1500</v>
      </c>
      <c r="E405">
        <f>_xlfn.XLOOKUP(B405,'4.分割能力表'!B:B,'4.分割能力表'!D:D)</f>
        <v>400</v>
      </c>
      <c r="F405">
        <f>_xlfn.XLOOKUP(B405,'4.分割能力表'!B:B,'4.分割能力表'!E:E)</f>
        <v>7500</v>
      </c>
      <c r="G405" t="s">
        <v>55</v>
      </c>
      <c r="H405">
        <f>_xlfn.XLOOKUP(G405,系数辅助表!$C:$C,系数辅助表!$D:$D)</f>
        <v>2.9015761200285397E-4</v>
      </c>
      <c r="J405">
        <f t="shared" si="39"/>
        <v>52.228370160513698</v>
      </c>
      <c r="K405">
        <f t="shared" si="38"/>
        <v>52.228370160513698</v>
      </c>
    </row>
    <row r="406" spans="1:11" x14ac:dyDescent="0.3">
      <c r="A406" t="s">
        <v>23</v>
      </c>
      <c r="B406" t="s">
        <v>158</v>
      </c>
      <c r="C406" t="s">
        <v>159</v>
      </c>
      <c r="D406">
        <f>_xlfn.XLOOKUP(B406,'3.屠宰能力表'!B:B,'3.屠宰能力表'!E:E)</f>
        <v>1500</v>
      </c>
      <c r="E406">
        <f>_xlfn.XLOOKUP(B406,'4.分割能力表'!B:B,'4.分割能力表'!D:D)</f>
        <v>400</v>
      </c>
      <c r="F406">
        <f>_xlfn.XLOOKUP(B406,'4.分割能力表'!B:B,'4.分割能力表'!E:E)</f>
        <v>7500</v>
      </c>
      <c r="G406" t="s">
        <v>57</v>
      </c>
      <c r="H406">
        <f>_xlfn.XLOOKUP(G406,系数辅助表!$C:$C,系数辅助表!$D:$D)</f>
        <v>1.0245932755973399E-2</v>
      </c>
      <c r="J406">
        <f t="shared" si="39"/>
        <v>1844.26789607521</v>
      </c>
      <c r="K406">
        <f t="shared" si="38"/>
        <v>1844.26789607521</v>
      </c>
    </row>
    <row r="407" spans="1:11" x14ac:dyDescent="0.3">
      <c r="A407" t="s">
        <v>23</v>
      </c>
      <c r="B407" t="s">
        <v>158</v>
      </c>
      <c r="C407" t="s">
        <v>159</v>
      </c>
      <c r="D407">
        <f>_xlfn.XLOOKUP(B407,'3.屠宰能力表'!B:B,'3.屠宰能力表'!E:E)</f>
        <v>1500</v>
      </c>
      <c r="E407">
        <f>_xlfn.XLOOKUP(B407,'4.分割能力表'!B:B,'4.分割能力表'!D:D)</f>
        <v>400</v>
      </c>
      <c r="F407">
        <f>_xlfn.XLOOKUP(B407,'4.分割能力表'!B:B,'4.分割能力表'!E:E)</f>
        <v>7500</v>
      </c>
      <c r="G407" t="s">
        <v>58</v>
      </c>
      <c r="H407">
        <f>_xlfn.XLOOKUP(G407,系数辅助表!$C:$C,系数辅助表!$D:$D)</f>
        <v>1.46005473500993E-2</v>
      </c>
      <c r="J407">
        <f t="shared" si="39"/>
        <v>2628.0985230178699</v>
      </c>
      <c r="K407">
        <f t="shared" si="38"/>
        <v>2628.0985230178699</v>
      </c>
    </row>
    <row r="408" spans="1:11" x14ac:dyDescent="0.3">
      <c r="A408" t="s">
        <v>23</v>
      </c>
      <c r="B408" t="s">
        <v>158</v>
      </c>
      <c r="C408" t="s">
        <v>159</v>
      </c>
      <c r="D408">
        <f>_xlfn.XLOOKUP(B408,'3.屠宰能力表'!B:B,'3.屠宰能力表'!E:E)</f>
        <v>1500</v>
      </c>
      <c r="E408">
        <f>_xlfn.XLOOKUP(B408,'4.分割能力表'!B:B,'4.分割能力表'!D:D)</f>
        <v>400</v>
      </c>
      <c r="F408">
        <f>_xlfn.XLOOKUP(B408,'4.分割能力表'!B:B,'4.分割能力表'!E:E)</f>
        <v>7500</v>
      </c>
      <c r="G408" t="s">
        <v>59</v>
      </c>
      <c r="H408">
        <f>_xlfn.XLOOKUP(G408,系数辅助表!$C:$C,系数辅助表!$D:$D)</f>
        <v>1.4718794556320801E-2</v>
      </c>
      <c r="J408">
        <f t="shared" si="39"/>
        <v>2649.38302013774</v>
      </c>
      <c r="K408">
        <f t="shared" si="38"/>
        <v>2649.38302013774</v>
      </c>
    </row>
    <row r="409" spans="1:11" x14ac:dyDescent="0.3">
      <c r="A409" t="s">
        <v>23</v>
      </c>
      <c r="B409" t="s">
        <v>158</v>
      </c>
      <c r="C409" t="s">
        <v>159</v>
      </c>
      <c r="D409">
        <f>_xlfn.XLOOKUP(B409,'3.屠宰能力表'!B:B,'3.屠宰能力表'!E:E)</f>
        <v>1500</v>
      </c>
      <c r="E409">
        <f>_xlfn.XLOOKUP(B409,'4.分割能力表'!B:B,'4.分割能力表'!D:D)</f>
        <v>400</v>
      </c>
      <c r="F409">
        <f>_xlfn.XLOOKUP(B409,'4.分割能力表'!B:B,'4.分割能力表'!E:E)</f>
        <v>7500</v>
      </c>
      <c r="G409" t="s">
        <v>60</v>
      </c>
      <c r="H409">
        <f>_xlfn.XLOOKUP(G409,系数辅助表!$C:$C,系数辅助表!$D:$D)</f>
        <v>6.8269088945398003E-3</v>
      </c>
      <c r="J409">
        <f t="shared" si="39"/>
        <v>1228.8436010171599</v>
      </c>
      <c r="K409">
        <f t="shared" si="38"/>
        <v>1228.8436010171599</v>
      </c>
    </row>
    <row r="410" spans="1:11" x14ac:dyDescent="0.3">
      <c r="A410" t="s">
        <v>23</v>
      </c>
      <c r="B410" t="s">
        <v>158</v>
      </c>
      <c r="C410" t="s">
        <v>159</v>
      </c>
      <c r="D410">
        <f>_xlfn.XLOOKUP(B410,'3.屠宰能力表'!B:B,'3.屠宰能力表'!E:E)</f>
        <v>1500</v>
      </c>
      <c r="E410">
        <f>_xlfn.XLOOKUP(B410,'4.分割能力表'!B:B,'4.分割能力表'!D:D)</f>
        <v>400</v>
      </c>
      <c r="F410">
        <f>_xlfn.XLOOKUP(B410,'4.分割能力表'!B:B,'4.分割能力表'!E:E)</f>
        <v>7500</v>
      </c>
      <c r="G410" t="s">
        <v>61</v>
      </c>
      <c r="H410">
        <f>_xlfn.XLOOKUP(G410,系数辅助表!$C:$C,系数辅助表!$D:$D)</f>
        <v>7.8149116832768404E-3</v>
      </c>
      <c r="J410">
        <f t="shared" si="39"/>
        <v>1406.6841029898301</v>
      </c>
      <c r="K410">
        <f t="shared" si="38"/>
        <v>1406.6841029898301</v>
      </c>
    </row>
    <row r="411" spans="1:11" x14ac:dyDescent="0.3">
      <c r="A411" t="s">
        <v>23</v>
      </c>
      <c r="B411" t="s">
        <v>158</v>
      </c>
      <c r="C411" t="s">
        <v>159</v>
      </c>
      <c r="D411">
        <f>_xlfn.XLOOKUP(B411,'3.屠宰能力表'!B:B,'3.屠宰能力表'!E:E)</f>
        <v>1500</v>
      </c>
      <c r="E411">
        <f>_xlfn.XLOOKUP(B411,'4.分割能力表'!B:B,'4.分割能力表'!D:D)</f>
        <v>400</v>
      </c>
      <c r="F411">
        <f>_xlfn.XLOOKUP(B411,'4.分割能力表'!B:B,'4.分割能力表'!E:E)</f>
        <v>7500</v>
      </c>
      <c r="G411" t="s">
        <v>62</v>
      </c>
      <c r="H411">
        <f>_xlfn.XLOOKUP(G411,系数辅助表!$C:$C,系数辅助表!$D:$D)</f>
        <v>7.3264797030720401E-3</v>
      </c>
      <c r="J411">
        <f t="shared" si="39"/>
        <v>1318.7663465529699</v>
      </c>
      <c r="K411">
        <f t="shared" si="38"/>
        <v>1318.7663465529699</v>
      </c>
    </row>
    <row r="412" spans="1:11" x14ac:dyDescent="0.3">
      <c r="A412" t="s">
        <v>23</v>
      </c>
      <c r="B412" t="s">
        <v>158</v>
      </c>
      <c r="C412" t="s">
        <v>159</v>
      </c>
      <c r="D412">
        <f>_xlfn.XLOOKUP(B412,'3.屠宰能力表'!B:B,'3.屠宰能力表'!E:E)</f>
        <v>1500</v>
      </c>
      <c r="E412">
        <f>_xlfn.XLOOKUP(B412,'4.分割能力表'!B:B,'4.分割能力表'!D:D)</f>
        <v>400</v>
      </c>
      <c r="F412">
        <f>_xlfn.XLOOKUP(B412,'4.分割能力表'!B:B,'4.分割能力表'!E:E)</f>
        <v>7500</v>
      </c>
      <c r="G412" t="s">
        <v>63</v>
      </c>
      <c r="H412">
        <f>_xlfn.XLOOKUP(G412,系数辅助表!$C:$C,系数辅助表!$D:$D)</f>
        <v>6.1516718317408204E-3</v>
      </c>
      <c r="J412">
        <f t="shared" si="39"/>
        <v>1107.3009297133499</v>
      </c>
      <c r="K412">
        <f t="shared" si="38"/>
        <v>1107.3009297133499</v>
      </c>
    </row>
    <row r="413" spans="1:11" x14ac:dyDescent="0.3">
      <c r="A413" t="s">
        <v>23</v>
      </c>
      <c r="B413" t="s">
        <v>158</v>
      </c>
      <c r="C413" t="s">
        <v>159</v>
      </c>
      <c r="D413">
        <f>_xlfn.XLOOKUP(B413,'3.屠宰能力表'!B:B,'3.屠宰能力表'!E:E)</f>
        <v>1500</v>
      </c>
      <c r="E413">
        <f>_xlfn.XLOOKUP(B413,'4.分割能力表'!B:B,'4.分割能力表'!D:D)</f>
        <v>400</v>
      </c>
      <c r="F413">
        <f>_xlfn.XLOOKUP(B413,'4.分割能力表'!B:B,'4.分割能力表'!E:E)</f>
        <v>7500</v>
      </c>
      <c r="G413" t="s">
        <v>64</v>
      </c>
      <c r="H413">
        <f>_xlfn.XLOOKUP(G413,系数辅助表!$C:$C,系数辅助表!$D:$D)</f>
        <v>1.0639112440104599E-3</v>
      </c>
      <c r="J413">
        <f t="shared" si="39"/>
        <v>191.504023921883</v>
      </c>
      <c r="K413">
        <f t="shared" si="38"/>
        <v>191.504023921883</v>
      </c>
    </row>
    <row r="414" spans="1:11" x14ac:dyDescent="0.3">
      <c r="A414" t="s">
        <v>23</v>
      </c>
      <c r="B414" t="s">
        <v>158</v>
      </c>
      <c r="C414" t="s">
        <v>159</v>
      </c>
      <c r="D414">
        <f>_xlfn.XLOOKUP(B414,'3.屠宰能力表'!B:B,'3.屠宰能力表'!E:E)</f>
        <v>1500</v>
      </c>
      <c r="E414">
        <f>_xlfn.XLOOKUP(B414,'4.分割能力表'!B:B,'4.分割能力表'!D:D)</f>
        <v>400</v>
      </c>
      <c r="F414">
        <f>_xlfn.XLOOKUP(B414,'4.分割能力表'!B:B,'4.分割能力表'!E:E)</f>
        <v>7500</v>
      </c>
      <c r="G414" t="s">
        <v>65</v>
      </c>
      <c r="H414">
        <f>_xlfn.XLOOKUP(G414,系数辅助表!$C:$C,系数辅助表!$D:$D)</f>
        <v>4.8359602000475603E-4</v>
      </c>
      <c r="J414">
        <f t="shared" si="39"/>
        <v>87.047283600856105</v>
      </c>
      <c r="K414">
        <f t="shared" si="38"/>
        <v>87.047283600856105</v>
      </c>
    </row>
    <row r="415" spans="1:11" x14ac:dyDescent="0.3">
      <c r="A415" t="s">
        <v>23</v>
      </c>
      <c r="B415" t="s">
        <v>158</v>
      </c>
      <c r="C415" t="s">
        <v>159</v>
      </c>
      <c r="D415">
        <f>_xlfn.XLOOKUP(B415,'3.屠宰能力表'!B:B,'3.屠宰能力表'!E:E)</f>
        <v>1500</v>
      </c>
      <c r="E415">
        <f>_xlfn.XLOOKUP(B415,'4.分割能力表'!B:B,'4.分割能力表'!D:D)</f>
        <v>400</v>
      </c>
      <c r="F415">
        <f>_xlfn.XLOOKUP(B415,'4.分割能力表'!B:B,'4.分割能力表'!E:E)</f>
        <v>7500</v>
      </c>
      <c r="G415" t="s">
        <v>66</v>
      </c>
      <c r="H415">
        <f>_xlfn.XLOOKUP(G415,系数辅助表!$C:$C,系数辅助表!$D:$D)</f>
        <v>1.70951193071681E-3</v>
      </c>
      <c r="J415">
        <f t="shared" si="39"/>
        <v>307.71214752902603</v>
      </c>
      <c r="K415">
        <f t="shared" si="38"/>
        <v>307.71214752902603</v>
      </c>
    </row>
    <row r="416" spans="1:11" x14ac:dyDescent="0.3">
      <c r="A416" t="s">
        <v>23</v>
      </c>
      <c r="B416" t="s">
        <v>158</v>
      </c>
      <c r="C416" t="s">
        <v>159</v>
      </c>
      <c r="D416">
        <f>_xlfn.XLOOKUP(B416,'3.屠宰能力表'!B:B,'3.屠宰能力表'!E:E)</f>
        <v>1500</v>
      </c>
      <c r="E416">
        <f>_xlfn.XLOOKUP(B416,'4.分割能力表'!B:B,'4.分割能力表'!D:D)</f>
        <v>400</v>
      </c>
      <c r="F416">
        <f>_xlfn.XLOOKUP(B416,'4.分割能力表'!B:B,'4.分割能力表'!E:E)</f>
        <v>7500</v>
      </c>
      <c r="G416" t="s">
        <v>67</v>
      </c>
      <c r="H416">
        <f>_xlfn.XLOOKUP(G416,系数辅助表!$C:$C,系数辅助表!$D:$D)</f>
        <v>0.02</v>
      </c>
      <c r="J416">
        <f t="shared" si="39"/>
        <v>3600</v>
      </c>
      <c r="K416">
        <f t="shared" si="38"/>
        <v>3600</v>
      </c>
    </row>
    <row r="417" spans="1:12" x14ac:dyDescent="0.3">
      <c r="A417" t="s">
        <v>23</v>
      </c>
      <c r="B417" t="s">
        <v>158</v>
      </c>
      <c r="C417" t="s">
        <v>159</v>
      </c>
      <c r="D417">
        <f>_xlfn.XLOOKUP(B417,'3.屠宰能力表'!B:B,'3.屠宰能力表'!E:E)</f>
        <v>1500</v>
      </c>
      <c r="E417">
        <f>_xlfn.XLOOKUP(B417,'4.分割能力表'!B:B,'4.分割能力表'!D:D)</f>
        <v>400</v>
      </c>
      <c r="F417">
        <f>_xlfn.XLOOKUP(B417,'4.分割能力表'!B:B,'4.分割能力表'!E:E)</f>
        <v>7500</v>
      </c>
      <c r="G417" t="s">
        <v>56</v>
      </c>
      <c r="H417">
        <f>_xlfn.XLOOKUP(G417,系数辅助表!$C:$C,系数辅助表!$D:$D)</f>
        <v>1.85007717386486E-2</v>
      </c>
      <c r="J417">
        <f t="shared" ref="J417:J425" si="40">$E417*H417*$D$1</f>
        <v>888.03704345513302</v>
      </c>
      <c r="K417">
        <f t="shared" si="38"/>
        <v>668.99385749202997</v>
      </c>
      <c r="L417">
        <v>219.04318596310199</v>
      </c>
    </row>
    <row r="418" spans="1:12" x14ac:dyDescent="0.3">
      <c r="A418" t="s">
        <v>23</v>
      </c>
      <c r="B418" t="s">
        <v>158</v>
      </c>
      <c r="C418" t="s">
        <v>159</v>
      </c>
      <c r="D418">
        <f>_xlfn.XLOOKUP(B418,'3.屠宰能力表'!B:B,'3.屠宰能力表'!E:E)</f>
        <v>1500</v>
      </c>
      <c r="E418">
        <f>_xlfn.XLOOKUP(B418,'4.分割能力表'!B:B,'4.分割能力表'!D:D)</f>
        <v>400</v>
      </c>
      <c r="F418">
        <f>_xlfn.XLOOKUP(B418,'4.分割能力表'!B:B,'4.分割能力表'!E:E)</f>
        <v>7500</v>
      </c>
      <c r="G418" t="s">
        <v>45</v>
      </c>
      <c r="H418">
        <f>_xlfn.XLOOKUP(G418,系数辅助表!$C:$C,系数辅助表!$D:$D)</f>
        <v>1.8327694979870301E-2</v>
      </c>
      <c r="J418">
        <f t="shared" si="40"/>
        <v>879.72935903377402</v>
      </c>
      <c r="K418">
        <f t="shared" si="38"/>
        <v>662.73534621839303</v>
      </c>
      <c r="L418">
        <v>216.99401281538101</v>
      </c>
    </row>
    <row r="419" spans="1:12" x14ac:dyDescent="0.3">
      <c r="A419" t="s">
        <v>23</v>
      </c>
      <c r="B419" t="s">
        <v>158</v>
      </c>
      <c r="C419" t="s">
        <v>159</v>
      </c>
      <c r="D419">
        <f>_xlfn.XLOOKUP(B419,'3.屠宰能力表'!B:B,'3.屠宰能力表'!E:E)</f>
        <v>1500</v>
      </c>
      <c r="E419">
        <f>_xlfn.XLOOKUP(B419,'4.分割能力表'!B:B,'4.分割能力表'!D:D)</f>
        <v>400</v>
      </c>
      <c r="F419">
        <f>_xlfn.XLOOKUP(B419,'4.分割能力表'!B:B,'4.分割能力表'!E:E)</f>
        <v>7500</v>
      </c>
      <c r="G419" t="s">
        <v>68</v>
      </c>
      <c r="H419">
        <f>_xlfn.XLOOKUP(G419,系数辅助表!$C:$C,系数辅助表!$D:$D)</f>
        <v>9.7050751819787603E-2</v>
      </c>
      <c r="J419">
        <f t="shared" si="40"/>
        <v>4658.4360873497999</v>
      </c>
      <c r="K419">
        <f t="shared" si="38"/>
        <v>3681.7438578486499</v>
      </c>
      <c r="L419">
        <v>976.69222950115</v>
      </c>
    </row>
    <row r="420" spans="1:12" x14ac:dyDescent="0.3">
      <c r="A420" t="s">
        <v>23</v>
      </c>
      <c r="B420" t="s">
        <v>158</v>
      </c>
      <c r="C420" t="s">
        <v>159</v>
      </c>
      <c r="D420">
        <f>_xlfn.XLOOKUP(B420,'3.屠宰能力表'!B:B,'3.屠宰能力表'!E:E)</f>
        <v>1500</v>
      </c>
      <c r="E420">
        <f>_xlfn.XLOOKUP(B420,'4.分割能力表'!B:B,'4.分割能力表'!D:D)</f>
        <v>400</v>
      </c>
      <c r="F420">
        <f>_xlfn.XLOOKUP(B420,'4.分割能力表'!B:B,'4.分割能力表'!E:E)</f>
        <v>7500</v>
      </c>
      <c r="G420" t="s">
        <v>70</v>
      </c>
      <c r="H420">
        <f>_xlfn.XLOOKUP(G420,系数辅助表!$C:$C,系数辅助表!$D:$D)</f>
        <v>4.6512517384561802E-2</v>
      </c>
      <c r="J420">
        <f t="shared" si="40"/>
        <v>2232.60083445897</v>
      </c>
      <c r="K420">
        <f t="shared" si="38"/>
        <v>2060.2433821940599</v>
      </c>
      <c r="L420">
        <v>172.357452264909</v>
      </c>
    </row>
    <row r="421" spans="1:12" x14ac:dyDescent="0.3">
      <c r="A421" t="s">
        <v>23</v>
      </c>
      <c r="B421" t="s">
        <v>158</v>
      </c>
      <c r="C421" t="s">
        <v>159</v>
      </c>
      <c r="D421">
        <f>_xlfn.XLOOKUP(B421,'3.屠宰能力表'!B:B,'3.屠宰能力表'!E:E)</f>
        <v>1500</v>
      </c>
      <c r="E421">
        <f>_xlfn.XLOOKUP(B421,'4.分割能力表'!B:B,'4.分割能力表'!D:D)</f>
        <v>400</v>
      </c>
      <c r="F421">
        <f>_xlfn.XLOOKUP(B421,'4.分割能力表'!B:B,'4.分割能力表'!E:E)</f>
        <v>7500</v>
      </c>
      <c r="G421" t="s">
        <v>71</v>
      </c>
      <c r="H421">
        <f>_xlfn.XLOOKUP(G421,系数辅助表!$C:$C,系数辅助表!$D:$D)</f>
        <v>2.8731737554939799E-2</v>
      </c>
      <c r="J421">
        <f t="shared" si="40"/>
        <v>1379.1234026371101</v>
      </c>
      <c r="K421">
        <f t="shared" si="38"/>
        <v>1038.9488725583201</v>
      </c>
      <c r="L421">
        <v>340.17453007878999</v>
      </c>
    </row>
    <row r="422" spans="1:12" x14ac:dyDescent="0.3">
      <c r="A422" t="s">
        <v>23</v>
      </c>
      <c r="B422" t="s">
        <v>158</v>
      </c>
      <c r="C422" t="s">
        <v>159</v>
      </c>
      <c r="D422">
        <f>_xlfn.XLOOKUP(B422,'3.屠宰能力表'!B:B,'3.屠宰能力表'!E:E)</f>
        <v>1500</v>
      </c>
      <c r="E422">
        <f>_xlfn.XLOOKUP(B422,'4.分割能力表'!B:B,'4.分割能力表'!D:D)</f>
        <v>400</v>
      </c>
      <c r="F422">
        <f>_xlfn.XLOOKUP(B422,'4.分割能力表'!B:B,'4.分割能力表'!E:E)</f>
        <v>7500</v>
      </c>
      <c r="G422" t="s">
        <v>72</v>
      </c>
      <c r="H422">
        <f>_xlfn.XLOOKUP(G422,系数辅助表!$C:$C,系数辅助表!$D:$D)</f>
        <v>2.9020999088867499E-2</v>
      </c>
      <c r="J422">
        <f t="shared" si="40"/>
        <v>1393.0079562656399</v>
      </c>
      <c r="K422">
        <f t="shared" si="38"/>
        <v>1393.0079562656399</v>
      </c>
      <c r="L422">
        <v>0</v>
      </c>
    </row>
    <row r="423" spans="1:12" x14ac:dyDescent="0.3">
      <c r="A423" t="s">
        <v>23</v>
      </c>
      <c r="B423" t="s">
        <v>158</v>
      </c>
      <c r="C423" t="s">
        <v>159</v>
      </c>
      <c r="D423">
        <f>_xlfn.XLOOKUP(B423,'3.屠宰能力表'!B:B,'3.屠宰能力表'!E:E)</f>
        <v>1500</v>
      </c>
      <c r="E423">
        <f>_xlfn.XLOOKUP(B423,'4.分割能力表'!B:B,'4.分割能力表'!D:D)</f>
        <v>400</v>
      </c>
      <c r="F423">
        <f>_xlfn.XLOOKUP(B423,'4.分割能力表'!B:B,'4.分割能力表'!E:E)</f>
        <v>7500</v>
      </c>
      <c r="G423" t="s">
        <v>73</v>
      </c>
      <c r="H423">
        <f>_xlfn.XLOOKUP(G423,系数辅助表!$C:$C,系数辅助表!$D:$D)</f>
        <v>3.3890751204307498E-2</v>
      </c>
      <c r="J423">
        <f t="shared" si="40"/>
        <v>1626.7560578067601</v>
      </c>
      <c r="K423">
        <f t="shared" si="38"/>
        <v>1069.4183931692601</v>
      </c>
      <c r="L423">
        <v>557.33766463749896</v>
      </c>
    </row>
    <row r="424" spans="1:12" x14ac:dyDescent="0.3">
      <c r="A424" t="s">
        <v>23</v>
      </c>
      <c r="B424" t="s">
        <v>158</v>
      </c>
      <c r="C424" t="s">
        <v>159</v>
      </c>
      <c r="D424">
        <f>_xlfn.XLOOKUP(B424,'3.屠宰能力表'!B:B,'3.屠宰能力表'!E:E)</f>
        <v>1500</v>
      </c>
      <c r="E424">
        <f>_xlfn.XLOOKUP(B424,'4.分割能力表'!B:B,'4.分割能力表'!D:D)</f>
        <v>400</v>
      </c>
      <c r="F424">
        <f>_xlfn.XLOOKUP(B424,'4.分割能力表'!B:B,'4.分割能力表'!E:E)</f>
        <v>7500</v>
      </c>
      <c r="G424" t="s">
        <v>74</v>
      </c>
      <c r="H424">
        <f>_xlfn.XLOOKUP(G424,系数辅助表!$C:$C,系数辅助表!$D:$D)</f>
        <v>6.6683830901271496E-3</v>
      </c>
      <c r="J424">
        <f t="shared" si="40"/>
        <v>320.082388326103</v>
      </c>
      <c r="K424" s="7">
        <f t="shared" si="38"/>
        <v>0</v>
      </c>
      <c r="L424" s="7">
        <f>J424</f>
        <v>320.082388326103</v>
      </c>
    </row>
    <row r="425" spans="1:12" x14ac:dyDescent="0.3">
      <c r="A425" t="s">
        <v>23</v>
      </c>
      <c r="B425" t="s">
        <v>158</v>
      </c>
      <c r="C425" t="s">
        <v>159</v>
      </c>
      <c r="D425">
        <f>_xlfn.XLOOKUP(B425,'3.屠宰能力表'!B:B,'3.屠宰能力表'!E:E)</f>
        <v>1500</v>
      </c>
      <c r="E425">
        <f>_xlfn.XLOOKUP(B425,'4.分割能力表'!B:B,'4.分割能力表'!D:D)</f>
        <v>400</v>
      </c>
      <c r="F425">
        <f>_xlfn.XLOOKUP(B425,'4.分割能力表'!B:B,'4.分割能力表'!E:E)</f>
        <v>7500</v>
      </c>
      <c r="G425" t="s">
        <v>75</v>
      </c>
      <c r="H425">
        <f>_xlfn.XLOOKUP(G425,系数辅助表!$C:$C,系数辅助表!$D:$D)</f>
        <v>7.3037535376360693E-2</v>
      </c>
      <c r="J425">
        <f t="shared" si="40"/>
        <v>3505.8016980653101</v>
      </c>
      <c r="K425">
        <f t="shared" si="38"/>
        <v>2207.5448250621698</v>
      </c>
      <c r="L425">
        <v>1298.2568730031401</v>
      </c>
    </row>
    <row r="426" spans="1:12" x14ac:dyDescent="0.3">
      <c r="A426" t="s">
        <v>23</v>
      </c>
      <c r="B426" t="s">
        <v>158</v>
      </c>
      <c r="C426" t="s">
        <v>159</v>
      </c>
      <c r="D426">
        <f>_xlfn.XLOOKUP(B426,'3.屠宰能力表'!B:B,'3.屠宰能力表'!E:E)</f>
        <v>1500</v>
      </c>
      <c r="E426">
        <f>_xlfn.XLOOKUP(B426,'4.分割能力表'!B:B,'4.分割能力表'!D:D)</f>
        <v>400</v>
      </c>
      <c r="F426">
        <f>_xlfn.XLOOKUP(B426,'4.分割能力表'!B:B,'4.分割能力表'!E:E)</f>
        <v>7500</v>
      </c>
      <c r="G426" t="s">
        <v>76</v>
      </c>
      <c r="H426">
        <f>_xlfn.XLOOKUP(G426,系数辅助表!$C:$C,系数辅助表!$D:$D)</f>
        <v>0.122051725196981</v>
      </c>
      <c r="J426">
        <f t="shared" ref="J426:J442" si="41">$E426*H426*$D$1</f>
        <v>5858.4828094550903</v>
      </c>
      <c r="K426">
        <f t="shared" si="38"/>
        <v>4846.9455945769996</v>
      </c>
      <c r="L426">
        <v>1011.53721487809</v>
      </c>
    </row>
    <row r="427" spans="1:12" x14ac:dyDescent="0.3">
      <c r="A427" t="s">
        <v>23</v>
      </c>
      <c r="B427" t="s">
        <v>158</v>
      </c>
      <c r="C427" t="s">
        <v>159</v>
      </c>
      <c r="D427">
        <f>_xlfn.XLOOKUP(B427,'3.屠宰能力表'!B:B,'3.屠宰能力表'!E:E)</f>
        <v>1500</v>
      </c>
      <c r="E427">
        <f>_xlfn.XLOOKUP(B427,'4.分割能力表'!B:B,'4.分割能力表'!D:D)</f>
        <v>400</v>
      </c>
      <c r="F427">
        <f>_xlfn.XLOOKUP(B427,'4.分割能力表'!B:B,'4.分割能力表'!E:E)</f>
        <v>7500</v>
      </c>
      <c r="G427" t="s">
        <v>77</v>
      </c>
      <c r="H427" s="1">
        <f>_xlfn.XLOOKUP(G427,系数辅助表!$C:$C,系数辅助表!$D:$D)</f>
        <v>1.9521507261015199E-2</v>
      </c>
      <c r="J427">
        <f t="shared" si="41"/>
        <v>937.03234852872902</v>
      </c>
      <c r="K427">
        <f t="shared" si="38"/>
        <v>705.90398233620897</v>
      </c>
      <c r="L427">
        <v>231.12836619252101</v>
      </c>
    </row>
    <row r="428" spans="1:12" x14ac:dyDescent="0.3">
      <c r="A428" t="s">
        <v>23</v>
      </c>
      <c r="B428" t="s">
        <v>158</v>
      </c>
      <c r="C428" t="s">
        <v>159</v>
      </c>
      <c r="D428">
        <f>_xlfn.XLOOKUP(B428,'3.屠宰能力表'!B:B,'3.屠宰能力表'!E:E)</f>
        <v>1500</v>
      </c>
      <c r="E428">
        <f>_xlfn.XLOOKUP(B428,'4.分割能力表'!B:B,'4.分割能力表'!D:D)</f>
        <v>400</v>
      </c>
      <c r="F428">
        <f>_xlfn.XLOOKUP(B428,'4.分割能力表'!B:B,'4.分割能力表'!E:E)</f>
        <v>7500</v>
      </c>
      <c r="G428" t="s">
        <v>78</v>
      </c>
      <c r="H428" s="1">
        <f>_xlfn.XLOOKUP(G428,系数辅助表!$C:$C,系数辅助表!$D:$D)</f>
        <v>2.7552209592914899E-2</v>
      </c>
      <c r="J428">
        <f t="shared" si="41"/>
        <v>1322.50606045992</v>
      </c>
      <c r="K428">
        <f t="shared" si="38"/>
        <v>996.29676201493703</v>
      </c>
      <c r="L428">
        <v>326.209298444978</v>
      </c>
    </row>
    <row r="429" spans="1:12" x14ac:dyDescent="0.3">
      <c r="A429" t="s">
        <v>23</v>
      </c>
      <c r="B429" t="s">
        <v>158</v>
      </c>
      <c r="C429" t="s">
        <v>159</v>
      </c>
      <c r="D429">
        <f>_xlfn.XLOOKUP(B429,'3.屠宰能力表'!B:B,'3.屠宰能力表'!E:E)</f>
        <v>1500</v>
      </c>
      <c r="E429">
        <f>_xlfn.XLOOKUP(B429,'4.分割能力表'!B:B,'4.分割能力表'!D:D)</f>
        <v>400</v>
      </c>
      <c r="F429">
        <f>_xlfn.XLOOKUP(B429,'4.分割能力表'!B:B,'4.分割能力表'!E:E)</f>
        <v>7500</v>
      </c>
      <c r="G429" t="s">
        <v>79</v>
      </c>
      <c r="H429">
        <f>_xlfn.XLOOKUP(G429,系数辅助表!$C:$C,系数辅助表!$D:$D)</f>
        <v>6.1357302939246697E-2</v>
      </c>
      <c r="J429">
        <f t="shared" si="41"/>
        <v>2945.1505410838399</v>
      </c>
      <c r="K429">
        <f t="shared" si="38"/>
        <v>2218.6998120129301</v>
      </c>
      <c r="L429">
        <v>726.45072907091401</v>
      </c>
    </row>
    <row r="430" spans="1:12" x14ac:dyDescent="0.3">
      <c r="A430" t="s">
        <v>23</v>
      </c>
      <c r="B430" t="s">
        <v>158</v>
      </c>
      <c r="C430" t="s">
        <v>159</v>
      </c>
      <c r="D430">
        <f>_xlfn.XLOOKUP(B430,'3.屠宰能力表'!B:B,'3.屠宰能力表'!E:E)</f>
        <v>1500</v>
      </c>
      <c r="E430">
        <f>_xlfn.XLOOKUP(B430,'4.分割能力表'!B:B,'4.分割能力表'!D:D)</f>
        <v>400</v>
      </c>
      <c r="F430">
        <f>_xlfn.XLOOKUP(B430,'4.分割能力表'!B:B,'4.分割能力表'!E:E)</f>
        <v>7500</v>
      </c>
      <c r="G430" t="s">
        <v>80</v>
      </c>
      <c r="H430">
        <f>_xlfn.XLOOKUP(G430,系数辅助表!$C:$C,系数辅助表!$D:$D)</f>
        <v>1.30165882845583E-2</v>
      </c>
      <c r="J430">
        <f t="shared" si="41"/>
        <v>624.79623765879796</v>
      </c>
      <c r="K430">
        <f t="shared" si="38"/>
        <v>624.79623765879796</v>
      </c>
      <c r="L430">
        <v>0</v>
      </c>
    </row>
    <row r="431" spans="1:12" x14ac:dyDescent="0.3">
      <c r="A431" t="s">
        <v>23</v>
      </c>
      <c r="B431" t="s">
        <v>158</v>
      </c>
      <c r="C431" t="s">
        <v>159</v>
      </c>
      <c r="D431">
        <f>_xlfn.XLOOKUP(B431,'3.屠宰能力表'!B:B,'3.屠宰能力表'!E:E)</f>
        <v>1500</v>
      </c>
      <c r="E431">
        <f>_xlfn.XLOOKUP(B431,'4.分割能力表'!B:B,'4.分割能力表'!D:D)</f>
        <v>400</v>
      </c>
      <c r="F431">
        <f>_xlfn.XLOOKUP(B431,'4.分割能力表'!B:B,'4.分割能力表'!E:E)</f>
        <v>7500</v>
      </c>
      <c r="G431" t="s">
        <v>81</v>
      </c>
      <c r="H431">
        <f>_xlfn.XLOOKUP(G431,系数辅助表!$C:$C,系数辅助表!$D:$D)</f>
        <v>2.9868560985823099E-2</v>
      </c>
      <c r="J431">
        <f t="shared" si="41"/>
        <v>1433.6909273195099</v>
      </c>
      <c r="K431">
        <f t="shared" si="38"/>
        <v>1433.6909273195099</v>
      </c>
      <c r="L431">
        <v>0</v>
      </c>
    </row>
    <row r="432" spans="1:12" x14ac:dyDescent="0.3">
      <c r="A432" t="s">
        <v>23</v>
      </c>
      <c r="B432" t="s">
        <v>158</v>
      </c>
      <c r="C432" t="s">
        <v>159</v>
      </c>
      <c r="D432">
        <f>_xlfn.XLOOKUP(B432,'3.屠宰能力表'!B:B,'3.屠宰能力表'!E:E)</f>
        <v>1500</v>
      </c>
      <c r="E432">
        <f>_xlfn.XLOOKUP(B432,'4.分割能力表'!B:B,'4.分割能力表'!D:D)</f>
        <v>400</v>
      </c>
      <c r="F432">
        <f>_xlfn.XLOOKUP(B432,'4.分割能力表'!B:B,'4.分割能力表'!E:E)</f>
        <v>7500</v>
      </c>
      <c r="G432" t="s">
        <v>82</v>
      </c>
      <c r="H432">
        <f>_xlfn.XLOOKUP(G432,系数辅助表!$C:$C,系数辅助表!$D:$D)</f>
        <v>1.31753271660773E-2</v>
      </c>
      <c r="J432">
        <f t="shared" si="41"/>
        <v>632.41570397170995</v>
      </c>
      <c r="K432">
        <f t="shared" si="38"/>
        <v>476.424068631713</v>
      </c>
      <c r="L432">
        <v>155.991635339997</v>
      </c>
    </row>
    <row r="433" spans="1:12" x14ac:dyDescent="0.3">
      <c r="A433" t="s">
        <v>23</v>
      </c>
      <c r="B433" t="s">
        <v>158</v>
      </c>
      <c r="C433" t="s">
        <v>159</v>
      </c>
      <c r="D433">
        <f>_xlfn.XLOOKUP(B433,'3.屠宰能力表'!B:B,'3.屠宰能力表'!E:E)</f>
        <v>1500</v>
      </c>
      <c r="E433">
        <f>_xlfn.XLOOKUP(B433,'4.分割能力表'!B:B,'4.分割能力表'!D:D)</f>
        <v>400</v>
      </c>
      <c r="F433">
        <f>_xlfn.XLOOKUP(B433,'4.分割能力表'!B:B,'4.分割能力表'!E:E)</f>
        <v>7500</v>
      </c>
      <c r="G433" t="s">
        <v>83</v>
      </c>
      <c r="H433">
        <f>_xlfn.XLOOKUP(G433,系数辅助表!$C:$C,系数辅助表!$D:$D)</f>
        <v>7.2226191091146899E-3</v>
      </c>
      <c r="J433">
        <f t="shared" si="41"/>
        <v>346.685717237505</v>
      </c>
      <c r="K433">
        <f t="shared" si="38"/>
        <v>346.685717237505</v>
      </c>
      <c r="L433">
        <v>0</v>
      </c>
    </row>
    <row r="434" spans="1:12" x14ac:dyDescent="0.3">
      <c r="A434" t="s">
        <v>23</v>
      </c>
      <c r="B434" t="s">
        <v>158</v>
      </c>
      <c r="C434" t="s">
        <v>159</v>
      </c>
      <c r="D434">
        <f>_xlfn.XLOOKUP(B434,'3.屠宰能力表'!B:B,'3.屠宰能力表'!E:E)</f>
        <v>1500</v>
      </c>
      <c r="E434">
        <f>_xlfn.XLOOKUP(B434,'4.分割能力表'!B:B,'4.分割能力表'!D:D)</f>
        <v>400</v>
      </c>
      <c r="F434">
        <f>_xlfn.XLOOKUP(B434,'4.分割能力表'!B:B,'4.分割能力表'!E:E)</f>
        <v>7500</v>
      </c>
      <c r="G434" t="s">
        <v>84</v>
      </c>
      <c r="H434">
        <f>_xlfn.XLOOKUP(G434,系数辅助表!$C:$C,系数辅助表!$D:$D)</f>
        <v>2.34933544648127E-2</v>
      </c>
      <c r="J434">
        <f t="shared" si="41"/>
        <v>1127.6810143110099</v>
      </c>
      <c r="K434">
        <f t="shared" si="38"/>
        <v>1127.6810143110099</v>
      </c>
      <c r="L434">
        <v>0</v>
      </c>
    </row>
    <row r="435" spans="1:12" x14ac:dyDescent="0.3">
      <c r="A435" t="s">
        <v>23</v>
      </c>
      <c r="B435" t="s">
        <v>158</v>
      </c>
      <c r="C435" t="s">
        <v>159</v>
      </c>
      <c r="D435">
        <f>_xlfn.XLOOKUP(B435,'3.屠宰能力表'!B:B,'3.屠宰能力表'!E:E)</f>
        <v>1500</v>
      </c>
      <c r="E435">
        <f>_xlfn.XLOOKUP(B435,'4.分割能力表'!B:B,'4.分割能力表'!D:D)</f>
        <v>400</v>
      </c>
      <c r="F435">
        <f>_xlfn.XLOOKUP(B435,'4.分割能力表'!B:B,'4.分割能力表'!E:E)</f>
        <v>7500</v>
      </c>
      <c r="G435" t="s">
        <v>85</v>
      </c>
      <c r="H435">
        <f>_xlfn.XLOOKUP(G435,系数辅助表!$C:$C,系数辅助表!$D:$D)</f>
        <v>9.8418106541782492E-3</v>
      </c>
      <c r="J435">
        <f t="shared" si="41"/>
        <v>472.406911400556</v>
      </c>
      <c r="K435">
        <f t="shared" si="38"/>
        <v>472.406911400556</v>
      </c>
      <c r="L435">
        <v>0</v>
      </c>
    </row>
    <row r="436" spans="1:12" x14ac:dyDescent="0.3">
      <c r="A436" t="s">
        <v>23</v>
      </c>
      <c r="B436" t="s">
        <v>158</v>
      </c>
      <c r="C436" t="s">
        <v>159</v>
      </c>
      <c r="D436">
        <f>_xlfn.XLOOKUP(B436,'3.屠宰能力表'!B:B,'3.屠宰能力表'!E:E)</f>
        <v>1500</v>
      </c>
      <c r="E436">
        <f>_xlfn.XLOOKUP(B436,'4.分割能力表'!B:B,'4.分割能力表'!D:D)</f>
        <v>400</v>
      </c>
      <c r="F436">
        <f>_xlfn.XLOOKUP(B436,'4.分割能力表'!B:B,'4.分割能力表'!E:E)</f>
        <v>7500</v>
      </c>
      <c r="G436" t="s">
        <v>86</v>
      </c>
      <c r="H436">
        <f>_xlfn.XLOOKUP(G436,系数辅助表!$C:$C,系数辅助表!$D:$D)</f>
        <v>6.9845107868361997E-3</v>
      </c>
      <c r="J436">
        <f t="shared" si="41"/>
        <v>335.256517768138</v>
      </c>
      <c r="K436">
        <f t="shared" si="38"/>
        <v>335.256517768138</v>
      </c>
      <c r="L436">
        <v>0</v>
      </c>
    </row>
    <row r="437" spans="1:12" x14ac:dyDescent="0.3">
      <c r="A437" t="s">
        <v>23</v>
      </c>
      <c r="B437" t="s">
        <v>158</v>
      </c>
      <c r="C437" t="s">
        <v>159</v>
      </c>
      <c r="D437">
        <f>_xlfn.XLOOKUP(B437,'3.屠宰能力表'!B:B,'3.屠宰能力表'!E:E)</f>
        <v>1500</v>
      </c>
      <c r="E437">
        <f>_xlfn.XLOOKUP(B437,'4.分割能力表'!B:B,'4.分割能力表'!D:D)</f>
        <v>400</v>
      </c>
      <c r="F437">
        <f>_xlfn.XLOOKUP(B437,'4.分割能力表'!B:B,'4.分割能力表'!E:E)</f>
        <v>7500</v>
      </c>
      <c r="G437" t="s">
        <v>87</v>
      </c>
      <c r="H437">
        <f>_xlfn.XLOOKUP(G437,系数辅助表!$C:$C,系数辅助表!$D:$D)</f>
        <v>2.2223443412660699E-3</v>
      </c>
      <c r="J437">
        <f t="shared" si="41"/>
        <v>106.672528380771</v>
      </c>
      <c r="K437">
        <f t="shared" si="38"/>
        <v>106.672528380771</v>
      </c>
      <c r="L437">
        <v>0</v>
      </c>
    </row>
    <row r="438" spans="1:12" x14ac:dyDescent="0.3">
      <c r="A438" t="s">
        <v>23</v>
      </c>
      <c r="B438" t="s">
        <v>158</v>
      </c>
      <c r="C438" t="s">
        <v>159</v>
      </c>
      <c r="D438">
        <f>_xlfn.XLOOKUP(B438,'3.屠宰能力表'!B:B,'3.屠宰能力表'!E:E)</f>
        <v>1500</v>
      </c>
      <c r="E438">
        <f>_xlfn.XLOOKUP(B438,'4.分割能力表'!B:B,'4.分割能力表'!D:D)</f>
        <v>400</v>
      </c>
      <c r="F438">
        <f>_xlfn.XLOOKUP(B438,'4.分割能力表'!B:B,'4.分割能力表'!E:E)</f>
        <v>7500</v>
      </c>
      <c r="G438" t="s">
        <v>88</v>
      </c>
      <c r="H438">
        <f>_xlfn.XLOOKUP(G438,系数辅助表!$C:$C,系数辅助表!$D:$D)</f>
        <v>1.5880638483545301E-3</v>
      </c>
      <c r="J438">
        <f t="shared" si="41"/>
        <v>76.227064721017399</v>
      </c>
      <c r="K438">
        <f t="shared" si="38"/>
        <v>76.227064721017399</v>
      </c>
      <c r="L438">
        <v>0</v>
      </c>
    </row>
    <row r="439" spans="1:12" x14ac:dyDescent="0.3">
      <c r="A439" t="s">
        <v>23</v>
      </c>
      <c r="B439" t="s">
        <v>158</v>
      </c>
      <c r="C439" t="s">
        <v>159</v>
      </c>
      <c r="D439">
        <f>_xlfn.XLOOKUP(B439,'3.屠宰能力表'!B:B,'3.屠宰能力表'!E:E)</f>
        <v>1500</v>
      </c>
      <c r="E439">
        <f>_xlfn.XLOOKUP(B439,'4.分割能力表'!B:B,'4.分割能力表'!D:D)</f>
        <v>400</v>
      </c>
      <c r="F439">
        <f>_xlfn.XLOOKUP(B439,'4.分割能力表'!B:B,'4.分割能力表'!E:E)</f>
        <v>7500</v>
      </c>
      <c r="G439" t="s">
        <v>89</v>
      </c>
      <c r="H439">
        <f>_xlfn.XLOOKUP(G439,系数辅助表!$C:$C,系数辅助表!$D:$D)</f>
        <v>1.0324777630380101E-2</v>
      </c>
      <c r="J439">
        <f t="shared" si="41"/>
        <v>495.58932625824502</v>
      </c>
      <c r="K439">
        <f t="shared" si="38"/>
        <v>373.34728044160801</v>
      </c>
      <c r="L439">
        <v>122.242045816637</v>
      </c>
    </row>
    <row r="440" spans="1:12" x14ac:dyDescent="0.3">
      <c r="A440" t="s">
        <v>23</v>
      </c>
      <c r="B440" t="s">
        <v>158</v>
      </c>
      <c r="C440" t="s">
        <v>159</v>
      </c>
      <c r="D440">
        <f>_xlfn.XLOOKUP(B440,'3.屠宰能力表'!B:B,'3.屠宰能力表'!E:E)</f>
        <v>1500</v>
      </c>
      <c r="E440">
        <f>_xlfn.XLOOKUP(B440,'4.分割能力表'!B:B,'4.分割能力表'!D:D)</f>
        <v>400</v>
      </c>
      <c r="F440">
        <f>_xlfn.XLOOKUP(B440,'4.分割能力表'!B:B,'4.分割能力表'!E:E)</f>
        <v>7500</v>
      </c>
      <c r="G440" t="s">
        <v>90</v>
      </c>
      <c r="H440">
        <f>_xlfn.XLOOKUP(G440,系数辅助表!$C:$C,系数辅助表!$D:$D)</f>
        <v>2.86E-2</v>
      </c>
      <c r="J440">
        <f t="shared" si="41"/>
        <v>1372.8</v>
      </c>
      <c r="K440">
        <f t="shared" si="38"/>
        <v>1034.18520019369</v>
      </c>
      <c r="L440">
        <v>338.61479980630997</v>
      </c>
    </row>
    <row r="441" spans="1:12" x14ac:dyDescent="0.3">
      <c r="A441" t="s">
        <v>23</v>
      </c>
      <c r="B441" t="s">
        <v>158</v>
      </c>
      <c r="C441" t="s">
        <v>159</v>
      </c>
      <c r="D441">
        <f>_xlfn.XLOOKUP(B441,'3.屠宰能力表'!B:B,'3.屠宰能力表'!E:E)</f>
        <v>1500</v>
      </c>
      <c r="E441">
        <f>_xlfn.XLOOKUP(B441,'4.分割能力表'!B:B,'4.分割能力表'!D:D)</f>
        <v>400</v>
      </c>
      <c r="F441">
        <f>_xlfn.XLOOKUP(B441,'4.分割能力表'!B:B,'4.分割能力表'!E:E)</f>
        <v>7500</v>
      </c>
      <c r="G441" t="s">
        <v>91</v>
      </c>
      <c r="H441">
        <f>_xlfn.XLOOKUP(G441,系数辅助表!$C:$C,系数辅助表!$D:$D)</f>
        <v>2.1645581232916301E-2</v>
      </c>
      <c r="J441">
        <f t="shared" si="41"/>
        <v>1038.9878991799801</v>
      </c>
      <c r="K441">
        <f t="shared" si="38"/>
        <v>782.71118044308901</v>
      </c>
      <c r="L441">
        <v>256.276718736894</v>
      </c>
    </row>
    <row r="442" spans="1:12" x14ac:dyDescent="0.3">
      <c r="A442" t="s">
        <v>23</v>
      </c>
      <c r="B442" t="s">
        <v>158</v>
      </c>
      <c r="C442" t="s">
        <v>159</v>
      </c>
      <c r="D442">
        <f>_xlfn.XLOOKUP(B442,'3.屠宰能力表'!B:B,'3.屠宰能力表'!E:E)</f>
        <v>1500</v>
      </c>
      <c r="E442">
        <f>_xlfn.XLOOKUP(B442,'4.分割能力表'!B:B,'4.分割能力表'!D:D)</f>
        <v>400</v>
      </c>
      <c r="F442">
        <f>_xlfn.XLOOKUP(B442,'4.分割能力表'!B:B,'4.分割能力表'!E:E)</f>
        <v>7500</v>
      </c>
      <c r="G442" t="s">
        <v>92</v>
      </c>
      <c r="H442">
        <f>_xlfn.XLOOKUP(G442,系数辅助表!$C:$C,系数辅助表!$D:$D)</f>
        <v>1.4286499336710399E-3</v>
      </c>
      <c r="J442">
        <f t="shared" si="41"/>
        <v>68.575196816209896</v>
      </c>
      <c r="K442">
        <f t="shared" si="38"/>
        <v>68.575196816209896</v>
      </c>
      <c r="L442">
        <v>0</v>
      </c>
    </row>
    <row r="443" spans="1:12" x14ac:dyDescent="0.3">
      <c r="A443" t="s">
        <v>23</v>
      </c>
      <c r="B443" t="s">
        <v>158</v>
      </c>
      <c r="C443" t="s">
        <v>159</v>
      </c>
      <c r="D443">
        <f>_xlfn.XLOOKUP(B443,'3.屠宰能力表'!B:B,'3.屠宰能力表'!E:E)</f>
        <v>1500</v>
      </c>
      <c r="E443">
        <f>_xlfn.XLOOKUP(B443,'4.分割能力表'!B:B,'4.分割能力表'!D:D)</f>
        <v>400</v>
      </c>
      <c r="F443">
        <f>_xlfn.XLOOKUP(B443,'4.分割能力表'!B:B,'4.分割能力表'!E:E)</f>
        <v>7500</v>
      </c>
      <c r="G443" t="s">
        <v>93</v>
      </c>
      <c r="H443"/>
      <c r="J443">
        <f>IFERROR(INDEX($L:$L,MATCH(SUBSTITUTE(G443,"-冷冻",""),$G:$G,0)),"")</f>
        <v>9376.24540321104</v>
      </c>
    </row>
    <row r="444" spans="1:12" x14ac:dyDescent="0.3">
      <c r="A444" t="s">
        <v>23</v>
      </c>
      <c r="B444" t="s">
        <v>158</v>
      </c>
      <c r="C444" t="s">
        <v>159</v>
      </c>
      <c r="D444">
        <f>_xlfn.XLOOKUP(B444,'3.屠宰能力表'!B:B,'3.屠宰能力表'!E:E)</f>
        <v>1500</v>
      </c>
      <c r="E444">
        <f>_xlfn.XLOOKUP(B444,'4.分割能力表'!B:B,'4.分割能力表'!D:D)</f>
        <v>400</v>
      </c>
      <c r="F444">
        <f>_xlfn.XLOOKUP(B444,'4.分割能力表'!B:B,'4.分割能力表'!E:E)</f>
        <v>7500</v>
      </c>
      <c r="G444" t="s">
        <v>96</v>
      </c>
      <c r="H444"/>
      <c r="J444">
        <f>IFERROR(INDEX($L:$L,MATCH(SUBSTITUTE(G444,"-冷冻",""),$G:$G,0)),"")</f>
        <v>1654.6315417431299</v>
      </c>
    </row>
    <row r="445" spans="1:12" x14ac:dyDescent="0.3">
      <c r="A445" t="s">
        <v>23</v>
      </c>
      <c r="B445" t="s">
        <v>158</v>
      </c>
      <c r="C445" t="s">
        <v>159</v>
      </c>
      <c r="D445">
        <f>_xlfn.XLOOKUP(B445,'3.屠宰能力表'!B:B,'3.屠宰能力表'!E:E)</f>
        <v>1500</v>
      </c>
      <c r="E445">
        <f>_xlfn.XLOOKUP(B445,'4.分割能力表'!B:B,'4.分割能力表'!D:D)</f>
        <v>400</v>
      </c>
      <c r="F445">
        <f>_xlfn.XLOOKUP(B445,'4.分割能力表'!B:B,'4.分割能力表'!E:E)</f>
        <v>7500</v>
      </c>
      <c r="G445" t="s">
        <v>97</v>
      </c>
      <c r="H445"/>
      <c r="J445">
        <f t="shared" ref="J445:J450" si="42">IFERROR(INDEX($L:$L,MATCH(SUBSTITUTE(G445,"-冷冻",""),$G:$G,0)),"")</f>
        <v>3265.6754887563802</v>
      </c>
    </row>
    <row r="446" spans="1:12" x14ac:dyDescent="0.3">
      <c r="A446" t="s">
        <v>23</v>
      </c>
      <c r="B446" t="s">
        <v>158</v>
      </c>
      <c r="C446" t="s">
        <v>159</v>
      </c>
      <c r="D446">
        <f>_xlfn.XLOOKUP(B446,'3.屠宰能力表'!B:B,'3.屠宰能力表'!E:E)</f>
        <v>1500</v>
      </c>
      <c r="E446">
        <f>_xlfn.XLOOKUP(B446,'4.分割能力表'!B:B,'4.分割能力表'!D:D)</f>
        <v>400</v>
      </c>
      <c r="F446">
        <f>_xlfn.XLOOKUP(B446,'4.分割能力表'!B:B,'4.分割能力表'!E:E)</f>
        <v>7500</v>
      </c>
      <c r="G446" t="s">
        <v>99</v>
      </c>
      <c r="H446"/>
      <c r="J446">
        <f t="shared" si="42"/>
        <v>5350.4415805199897</v>
      </c>
    </row>
    <row r="447" spans="1:12" x14ac:dyDescent="0.3">
      <c r="A447" t="s">
        <v>23</v>
      </c>
      <c r="B447" t="s">
        <v>158</v>
      </c>
      <c r="C447" t="s">
        <v>159</v>
      </c>
      <c r="D447">
        <f>_xlfn.XLOOKUP(B447,'3.屠宰能力表'!B:B,'3.屠宰能力表'!E:E)</f>
        <v>1500</v>
      </c>
      <c r="E447">
        <f>_xlfn.XLOOKUP(B447,'4.分割能力表'!B:B,'4.分割能力表'!D:D)</f>
        <v>400</v>
      </c>
      <c r="F447">
        <f>_xlfn.XLOOKUP(B447,'4.分割能力表'!B:B,'4.分割能力表'!E:E)</f>
        <v>7500</v>
      </c>
      <c r="G447" t="s">
        <v>100</v>
      </c>
      <c r="H447"/>
      <c r="J447">
        <f t="shared" si="42"/>
        <v>1280.32955330441</v>
      </c>
    </row>
    <row r="448" spans="1:12" x14ac:dyDescent="0.3">
      <c r="A448" t="s">
        <v>23</v>
      </c>
      <c r="B448" t="s">
        <v>158</v>
      </c>
      <c r="C448" t="s">
        <v>159</v>
      </c>
      <c r="D448">
        <f>_xlfn.XLOOKUP(B448,'3.屠宰能力表'!B:B,'3.屠宰能力表'!E:E)</f>
        <v>1500</v>
      </c>
      <c r="E448">
        <f>_xlfn.XLOOKUP(B448,'4.分割能力表'!B:B,'4.分割能力表'!D:D)</f>
        <v>400</v>
      </c>
      <c r="F448">
        <f>_xlfn.XLOOKUP(B448,'4.分割能力表'!B:B,'4.分割能力表'!E:E)</f>
        <v>7500</v>
      </c>
      <c r="G448" t="s">
        <v>101</v>
      </c>
      <c r="H448"/>
      <c r="J448">
        <f t="shared" si="42"/>
        <v>12463.2659808302</v>
      </c>
    </row>
    <row r="449" spans="1:11" x14ac:dyDescent="0.3">
      <c r="A449" t="s">
        <v>23</v>
      </c>
      <c r="B449" t="s">
        <v>158</v>
      </c>
      <c r="C449" t="s">
        <v>159</v>
      </c>
      <c r="D449">
        <f>_xlfn.XLOOKUP(B449,'3.屠宰能力表'!B:B,'3.屠宰能力表'!E:E)</f>
        <v>1500</v>
      </c>
      <c r="E449">
        <f>_xlfn.XLOOKUP(B449,'4.分割能力表'!B:B,'4.分割能力表'!D:D)</f>
        <v>400</v>
      </c>
      <c r="F449">
        <f>_xlfn.XLOOKUP(B449,'4.分割能力表'!B:B,'4.分割能力表'!E:E)</f>
        <v>7500</v>
      </c>
      <c r="G449" t="s">
        <v>102</v>
      </c>
      <c r="H449"/>
      <c r="J449">
        <f t="shared" si="42"/>
        <v>9710.7572628296493</v>
      </c>
    </row>
    <row r="450" spans="1:11" x14ac:dyDescent="0.3">
      <c r="A450" t="s">
        <v>23</v>
      </c>
      <c r="B450" t="s">
        <v>158</v>
      </c>
      <c r="C450" t="s">
        <v>159</v>
      </c>
      <c r="D450">
        <f>_xlfn.XLOOKUP(B450,'3.屠宰能力表'!B:B,'3.屠宰能力表'!E:E)</f>
        <v>1500</v>
      </c>
      <c r="E450">
        <f>_xlfn.XLOOKUP(B450,'4.分割能力表'!B:B,'4.分割能力表'!D:D)</f>
        <v>400</v>
      </c>
      <c r="F450">
        <f>_xlfn.XLOOKUP(B450,'4.分割能力表'!B:B,'4.分割能力表'!E:E)</f>
        <v>7500</v>
      </c>
      <c r="G450" t="s">
        <v>103</v>
      </c>
      <c r="H450"/>
      <c r="J450">
        <f t="shared" si="42"/>
        <v>2218.8323154482</v>
      </c>
    </row>
    <row r="451" spans="1:11" x14ac:dyDescent="0.3">
      <c r="A451" t="s">
        <v>23</v>
      </c>
      <c r="B451" t="s">
        <v>158</v>
      </c>
      <c r="C451" t="s">
        <v>159</v>
      </c>
      <c r="D451">
        <f>_xlfn.XLOOKUP(B451,'3.屠宰能力表'!B:B,'3.屠宰能力表'!E:E)</f>
        <v>1500</v>
      </c>
      <c r="E451">
        <f>_xlfn.XLOOKUP(B451,'4.分割能力表'!B:B,'4.分割能力表'!D:D)</f>
        <v>400</v>
      </c>
      <c r="F451">
        <f>_xlfn.XLOOKUP(B451,'4.分割能力表'!B:B,'4.分割能力表'!E:E)</f>
        <v>7500</v>
      </c>
      <c r="G451" t="s">
        <v>104</v>
      </c>
      <c r="H451"/>
      <c r="J451">
        <f t="shared" ref="J451:J458" si="43">IFERROR(INDEX($L:$L,MATCH(SUBSTITUTE(G451,"-冷冻",""),$G:$G,0)),"")</f>
        <v>3131.6092650717901</v>
      </c>
    </row>
    <row r="452" spans="1:11" x14ac:dyDescent="0.3">
      <c r="A452" t="s">
        <v>23</v>
      </c>
      <c r="B452" t="s">
        <v>158</v>
      </c>
      <c r="C452" t="s">
        <v>159</v>
      </c>
      <c r="D452">
        <f>_xlfn.XLOOKUP(B452,'3.屠宰能力表'!B:B,'3.屠宰能力表'!E:E)</f>
        <v>1500</v>
      </c>
      <c r="E452">
        <f>_xlfn.XLOOKUP(B452,'4.分割能力表'!B:B,'4.分割能力表'!D:D)</f>
        <v>400</v>
      </c>
      <c r="F452">
        <f>_xlfn.XLOOKUP(B452,'4.分割能力表'!B:B,'4.分割能力表'!E:E)</f>
        <v>7500</v>
      </c>
      <c r="G452" t="s">
        <v>105</v>
      </c>
      <c r="H452"/>
      <c r="J452">
        <f t="shared" si="43"/>
        <v>6973.9269990807697</v>
      </c>
    </row>
    <row r="453" spans="1:11" x14ac:dyDescent="0.3">
      <c r="A453" t="s">
        <v>23</v>
      </c>
      <c r="B453" t="s">
        <v>158</v>
      </c>
      <c r="C453" t="s">
        <v>159</v>
      </c>
      <c r="D453">
        <f>_xlfn.XLOOKUP(B453,'3.屠宰能力表'!B:B,'3.屠宰能力表'!E:E)</f>
        <v>1500</v>
      </c>
      <c r="E453">
        <f>_xlfn.XLOOKUP(B453,'4.分割能力表'!B:B,'4.分割能力表'!D:D)</f>
        <v>400</v>
      </c>
      <c r="F453">
        <f>_xlfn.XLOOKUP(B453,'4.分割能力表'!B:B,'4.分割能力表'!E:E)</f>
        <v>7500</v>
      </c>
      <c r="G453" t="s">
        <v>108</v>
      </c>
      <c r="H453"/>
      <c r="J453">
        <f t="shared" si="43"/>
        <v>1497.5196992639701</v>
      </c>
    </row>
    <row r="454" spans="1:11" x14ac:dyDescent="0.3">
      <c r="A454" t="s">
        <v>23</v>
      </c>
      <c r="B454" t="s">
        <v>158</v>
      </c>
      <c r="C454" t="s">
        <v>159</v>
      </c>
      <c r="D454">
        <f>_xlfn.XLOOKUP(B454,'3.屠宰能力表'!B:B,'3.屠宰能力表'!E:E)</f>
        <v>1500</v>
      </c>
      <c r="E454">
        <f>_xlfn.XLOOKUP(B454,'4.分割能力表'!B:B,'4.分割能力表'!D:D)</f>
        <v>400</v>
      </c>
      <c r="F454">
        <f>_xlfn.XLOOKUP(B454,'4.分割能力表'!B:B,'4.分割能力表'!E:E)</f>
        <v>7500</v>
      </c>
      <c r="G454" t="s">
        <v>115</v>
      </c>
      <c r="H454"/>
      <c r="J454">
        <f t="shared" si="43"/>
        <v>1173.5236398397201</v>
      </c>
    </row>
    <row r="455" spans="1:11" x14ac:dyDescent="0.3">
      <c r="A455" t="s">
        <v>23</v>
      </c>
      <c r="B455" t="s">
        <v>158</v>
      </c>
      <c r="C455" t="s">
        <v>159</v>
      </c>
      <c r="D455">
        <f>_xlfn.XLOOKUP(B455,'3.屠宰能力表'!B:B,'3.屠宰能力表'!E:E)</f>
        <v>1500</v>
      </c>
      <c r="E455">
        <f>_xlfn.XLOOKUP(B455,'4.分割能力表'!B:B,'4.分割能力表'!D:D)</f>
        <v>400</v>
      </c>
      <c r="F455">
        <f>_xlfn.XLOOKUP(B455,'4.分割能力表'!B:B,'4.分割能力表'!E:E)</f>
        <v>7500</v>
      </c>
      <c r="G455" t="s">
        <v>116</v>
      </c>
      <c r="H455"/>
      <c r="J455">
        <f t="shared" si="43"/>
        <v>3250.7020781405799</v>
      </c>
    </row>
    <row r="456" spans="1:11" x14ac:dyDescent="0.3">
      <c r="A456" t="s">
        <v>23</v>
      </c>
      <c r="B456" t="s">
        <v>158</v>
      </c>
      <c r="C456" t="s">
        <v>159</v>
      </c>
      <c r="D456">
        <f>_xlfn.XLOOKUP(B456,'3.屠宰能力表'!B:B,'3.屠宰能力表'!E:E)</f>
        <v>1500</v>
      </c>
      <c r="E456">
        <f>_xlfn.XLOOKUP(B456,'4.分割能力表'!B:B,'4.分割能力表'!D:D)</f>
        <v>400</v>
      </c>
      <c r="F456">
        <f>_xlfn.XLOOKUP(B456,'4.分割能力表'!B:B,'4.分割能力表'!E:E)</f>
        <v>7500</v>
      </c>
      <c r="G456" t="s">
        <v>117</v>
      </c>
      <c r="H456"/>
      <c r="J456">
        <f t="shared" si="43"/>
        <v>2460.25649987418</v>
      </c>
    </row>
    <row r="457" spans="1:11" x14ac:dyDescent="0.3">
      <c r="A457" t="s">
        <v>23</v>
      </c>
      <c r="B457" t="s">
        <v>158</v>
      </c>
      <c r="C457" t="s">
        <v>159</v>
      </c>
      <c r="D457">
        <f>_xlfn.XLOOKUP(B457,'3.屠宰能力表'!B:B,'3.屠宰能力表'!E:E)</f>
        <v>1500</v>
      </c>
      <c r="E457">
        <f>_xlfn.XLOOKUP(B457,'4.分割能力表'!B:B,'4.分割能力表'!D:D)</f>
        <v>400</v>
      </c>
      <c r="F457">
        <f>_xlfn.XLOOKUP(B457,'4.分割能力表'!B:B,'4.分割能力表'!E:E)</f>
        <v>7500</v>
      </c>
      <c r="G457" t="s">
        <v>120</v>
      </c>
      <c r="H457"/>
      <c r="J457">
        <f t="shared" si="43"/>
        <v>2083.14252302766</v>
      </c>
    </row>
    <row r="458" spans="1:11" x14ac:dyDescent="0.3">
      <c r="A458" t="s">
        <v>23</v>
      </c>
      <c r="B458" t="s">
        <v>158</v>
      </c>
      <c r="C458" t="s">
        <v>159</v>
      </c>
      <c r="D458">
        <f>_xlfn.XLOOKUP(B458,'3.屠宰能力表'!B:B,'3.屠宰能力表'!E:E)</f>
        <v>1500</v>
      </c>
      <c r="E458">
        <f>_xlfn.XLOOKUP(B458,'4.分割能力表'!B:B,'4.分割能力表'!D:D)</f>
        <v>400</v>
      </c>
      <c r="F458">
        <f>_xlfn.XLOOKUP(B458,'4.分割能力表'!B:B,'4.分割能力表'!E:E)</f>
        <v>7500</v>
      </c>
      <c r="G458" t="s">
        <v>131</v>
      </c>
      <c r="H458"/>
      <c r="J458">
        <f t="shared" si="43"/>
        <v>2102.8145852457801</v>
      </c>
    </row>
    <row r="459" spans="1:11" x14ac:dyDescent="0.3">
      <c r="A459" s="2" t="s">
        <v>33</v>
      </c>
      <c r="B459" t="s">
        <v>160</v>
      </c>
      <c r="C459" t="s">
        <v>161</v>
      </c>
      <c r="D459">
        <f>_xlfn.XLOOKUP(B459,'3.屠宰能力表'!B:B,'3.屠宰能力表'!E:E)</f>
        <v>838</v>
      </c>
      <c r="E459">
        <f>_xlfn.XLOOKUP(B459,'4.分割能力表'!B:B,'4.分割能力表'!D:D)</f>
        <v>320</v>
      </c>
      <c r="F459">
        <f>_xlfn.XLOOKUP(B459,'4.分割能力表'!B:B,'4.分割能力表'!E:E)</f>
        <v>7500</v>
      </c>
      <c r="G459" t="s">
        <v>41</v>
      </c>
      <c r="H459">
        <f>_xlfn.XLOOKUP(G459,系数辅助表!$C:$C,系数辅助表!$D:$D)</f>
        <v>0.71499999999999997</v>
      </c>
      <c r="J459">
        <f>(D459-E459)*H459*$D$1</f>
        <v>44444.4</v>
      </c>
      <c r="K459">
        <f>J459-L459</f>
        <v>44444.4</v>
      </c>
    </row>
    <row r="460" spans="1:11" x14ac:dyDescent="0.3">
      <c r="A460" s="2" t="s">
        <v>33</v>
      </c>
      <c r="B460" t="s">
        <v>160</v>
      </c>
      <c r="C460" t="s">
        <v>161</v>
      </c>
      <c r="D460">
        <f>_xlfn.XLOOKUP(B460,'3.屠宰能力表'!B:B,'3.屠宰能力表'!E:E)</f>
        <v>838</v>
      </c>
      <c r="E460">
        <f>_xlfn.XLOOKUP(B460,'4.分割能力表'!B:B,'4.分割能力表'!D:D)</f>
        <v>320</v>
      </c>
      <c r="F460">
        <f>_xlfn.XLOOKUP(B460,'4.分割能力表'!B:B,'4.分割能力表'!E:E)</f>
        <v>7500</v>
      </c>
      <c r="G460" t="s">
        <v>44</v>
      </c>
      <c r="H460">
        <f>_xlfn.XLOOKUP(G460,系数辅助表!$C:$C,系数辅助表!$D:$D)</f>
        <v>4.3342237679380002E-2</v>
      </c>
      <c r="J460">
        <f>$D460*H460*$D$1</f>
        <v>4358.4954210384503</v>
      </c>
      <c r="K460">
        <f t="shared" ref="K460:K507" si="44">J460-L460</f>
        <v>4358.4954210384503</v>
      </c>
    </row>
    <row r="461" spans="1:11" x14ac:dyDescent="0.3">
      <c r="A461" s="2" t="s">
        <v>33</v>
      </c>
      <c r="B461" t="s">
        <v>160</v>
      </c>
      <c r="C461" t="s">
        <v>161</v>
      </c>
      <c r="D461">
        <f>_xlfn.XLOOKUP(B461,'3.屠宰能力表'!B:B,'3.屠宰能力表'!E:E)</f>
        <v>838</v>
      </c>
      <c r="E461">
        <f>_xlfn.XLOOKUP(B461,'4.分割能力表'!B:B,'4.分割能力表'!D:D)</f>
        <v>320</v>
      </c>
      <c r="F461">
        <f>_xlfn.XLOOKUP(B461,'4.分割能力表'!B:B,'4.分割能力表'!E:E)</f>
        <v>7500</v>
      </c>
      <c r="G461" t="s">
        <v>46</v>
      </c>
      <c r="H461">
        <f>_xlfn.XLOOKUP(G461,系数辅助表!$C:$C,系数辅助表!$D:$D)</f>
        <v>3.2562132013653599E-4</v>
      </c>
      <c r="J461">
        <f t="shared" ref="J461:J481" si="45">$D461*H461*$D$1</f>
        <v>32.744479952930099</v>
      </c>
      <c r="K461">
        <f t="shared" si="44"/>
        <v>32.744479952930099</v>
      </c>
    </row>
    <row r="462" spans="1:11" x14ac:dyDescent="0.3">
      <c r="A462" s="2" t="s">
        <v>33</v>
      </c>
      <c r="B462" t="s">
        <v>160</v>
      </c>
      <c r="C462" t="s">
        <v>161</v>
      </c>
      <c r="D462">
        <f>_xlfn.XLOOKUP(B462,'3.屠宰能力表'!B:B,'3.屠宰能力表'!E:E)</f>
        <v>838</v>
      </c>
      <c r="E462">
        <f>_xlfn.XLOOKUP(B462,'4.分割能力表'!B:B,'4.分割能力表'!D:D)</f>
        <v>320</v>
      </c>
      <c r="F462">
        <f>_xlfn.XLOOKUP(B462,'4.分割能力表'!B:B,'4.分割能力表'!E:E)</f>
        <v>7500</v>
      </c>
      <c r="G462" t="s">
        <v>47</v>
      </c>
      <c r="H462">
        <f>_xlfn.XLOOKUP(G462,系数辅助表!$C:$C,系数辅助表!$D:$D)</f>
        <v>3.0632398515360198E-3</v>
      </c>
      <c r="J462">
        <f t="shared" si="45"/>
        <v>308.039399470462</v>
      </c>
      <c r="K462">
        <f t="shared" si="44"/>
        <v>308.039399470462</v>
      </c>
    </row>
    <row r="463" spans="1:11" x14ac:dyDescent="0.3">
      <c r="A463" s="2" t="s">
        <v>33</v>
      </c>
      <c r="B463" t="s">
        <v>160</v>
      </c>
      <c r="C463" t="s">
        <v>161</v>
      </c>
      <c r="D463">
        <f>_xlfn.XLOOKUP(B463,'3.屠宰能力表'!B:B,'3.屠宰能力表'!E:E)</f>
        <v>838</v>
      </c>
      <c r="E463">
        <f>_xlfn.XLOOKUP(B463,'4.分割能力表'!B:B,'4.分割能力表'!D:D)</f>
        <v>320</v>
      </c>
      <c r="F463">
        <f>_xlfn.XLOOKUP(B463,'4.分割能力表'!B:B,'4.分割能力表'!E:E)</f>
        <v>7500</v>
      </c>
      <c r="G463" t="s">
        <v>48</v>
      </c>
      <c r="H463">
        <f>_xlfn.XLOOKUP(G463,系数辅助表!$C:$C,系数辅助表!$D:$D)</f>
        <v>1.5822796716383002E-2</v>
      </c>
      <c r="J463">
        <f t="shared" si="45"/>
        <v>1591.14043779947</v>
      </c>
      <c r="K463">
        <f t="shared" si="44"/>
        <v>1591.14043779947</v>
      </c>
    </row>
    <row r="464" spans="1:11" x14ac:dyDescent="0.3">
      <c r="A464" s="2" t="s">
        <v>33</v>
      </c>
      <c r="B464" t="s">
        <v>160</v>
      </c>
      <c r="C464" t="s">
        <v>161</v>
      </c>
      <c r="D464">
        <f>_xlfn.XLOOKUP(B464,'3.屠宰能力表'!B:B,'3.屠宰能力表'!E:E)</f>
        <v>838</v>
      </c>
      <c r="E464">
        <f>_xlfn.XLOOKUP(B464,'4.分割能力表'!B:B,'4.分割能力表'!D:D)</f>
        <v>320</v>
      </c>
      <c r="F464">
        <f>_xlfn.XLOOKUP(B464,'4.分割能力表'!B:B,'4.分割能力表'!E:E)</f>
        <v>7500</v>
      </c>
      <c r="G464" t="s">
        <v>49</v>
      </c>
      <c r="H464">
        <f>_xlfn.XLOOKUP(G464,系数辅助表!$C:$C,系数辅助表!$D:$D)</f>
        <v>3.0934025412970799E-3</v>
      </c>
      <c r="J464">
        <f t="shared" si="45"/>
        <v>311.07255955283398</v>
      </c>
      <c r="K464">
        <f t="shared" si="44"/>
        <v>311.07255955283398</v>
      </c>
    </row>
    <row r="465" spans="1:11" x14ac:dyDescent="0.3">
      <c r="A465" s="2" t="s">
        <v>33</v>
      </c>
      <c r="B465" t="s">
        <v>160</v>
      </c>
      <c r="C465" t="s">
        <v>161</v>
      </c>
      <c r="D465">
        <f>_xlfn.XLOOKUP(B465,'3.屠宰能力表'!B:B,'3.屠宰能力表'!E:E)</f>
        <v>838</v>
      </c>
      <c r="E465">
        <f>_xlfn.XLOOKUP(B465,'4.分割能力表'!B:B,'4.分割能力表'!D:D)</f>
        <v>320</v>
      </c>
      <c r="F465">
        <f>_xlfn.XLOOKUP(B465,'4.分割能力表'!B:B,'4.分割能力表'!E:E)</f>
        <v>7500</v>
      </c>
      <c r="G465" t="s">
        <v>50</v>
      </c>
      <c r="H465">
        <f>_xlfn.XLOOKUP(G465,系数辅助表!$C:$C,系数辅助表!$D:$D)</f>
        <v>1.08247988845052E-2</v>
      </c>
      <c r="J465">
        <f t="shared" si="45"/>
        <v>1088.54177582584</v>
      </c>
      <c r="K465">
        <f t="shared" si="44"/>
        <v>1088.54177582584</v>
      </c>
    </row>
    <row r="466" spans="1:11" x14ac:dyDescent="0.3">
      <c r="A466" s="2" t="s">
        <v>33</v>
      </c>
      <c r="B466" t="s">
        <v>160</v>
      </c>
      <c r="C466" t="s">
        <v>161</v>
      </c>
      <c r="D466">
        <f>_xlfn.XLOOKUP(B466,'3.屠宰能力表'!B:B,'3.屠宰能力表'!E:E)</f>
        <v>838</v>
      </c>
      <c r="E466">
        <f>_xlfn.XLOOKUP(B466,'4.分割能力表'!B:B,'4.分割能力表'!D:D)</f>
        <v>320</v>
      </c>
      <c r="F466">
        <f>_xlfn.XLOOKUP(B466,'4.分割能力表'!B:B,'4.分割能力表'!E:E)</f>
        <v>7500</v>
      </c>
      <c r="G466" t="s">
        <v>51</v>
      </c>
      <c r="H466">
        <f>_xlfn.XLOOKUP(G466,系数辅助表!$C:$C,系数辅助表!$D:$D)</f>
        <v>4.9657251320821601E-3</v>
      </c>
      <c r="J466">
        <f t="shared" si="45"/>
        <v>499.35331928218199</v>
      </c>
      <c r="K466">
        <f t="shared" si="44"/>
        <v>499.35331928218199</v>
      </c>
    </row>
    <row r="467" spans="1:11" x14ac:dyDescent="0.3">
      <c r="A467" s="2" t="s">
        <v>33</v>
      </c>
      <c r="B467" t="s">
        <v>160</v>
      </c>
      <c r="C467" t="s">
        <v>161</v>
      </c>
      <c r="D467">
        <f>_xlfn.XLOOKUP(B467,'3.屠宰能力表'!B:B,'3.屠宰能力表'!E:E)</f>
        <v>838</v>
      </c>
      <c r="E467">
        <f>_xlfn.XLOOKUP(B467,'4.分割能力表'!B:B,'4.分割能力表'!D:D)</f>
        <v>320</v>
      </c>
      <c r="F467">
        <f>_xlfn.XLOOKUP(B467,'4.分割能力表'!B:B,'4.分割能力表'!E:E)</f>
        <v>7500</v>
      </c>
      <c r="G467" t="s">
        <v>52</v>
      </c>
      <c r="H467">
        <f>_xlfn.XLOOKUP(G467,系数辅助表!$C:$C,系数辅助表!$D:$D)</f>
        <v>4.1516718317408203E-3</v>
      </c>
      <c r="J467">
        <f t="shared" si="45"/>
        <v>417.49211939985702</v>
      </c>
      <c r="K467">
        <f t="shared" si="44"/>
        <v>417.49211939985702</v>
      </c>
    </row>
    <row r="468" spans="1:11" x14ac:dyDescent="0.3">
      <c r="A468" s="2" t="s">
        <v>33</v>
      </c>
      <c r="B468" t="s">
        <v>160</v>
      </c>
      <c r="C468" t="s">
        <v>161</v>
      </c>
      <c r="D468">
        <f>_xlfn.XLOOKUP(B468,'3.屠宰能力表'!B:B,'3.屠宰能力表'!E:E)</f>
        <v>838</v>
      </c>
      <c r="E468">
        <f>_xlfn.XLOOKUP(B468,'4.分割能力表'!B:B,'4.分割能力表'!D:D)</f>
        <v>320</v>
      </c>
      <c r="F468">
        <f>_xlfn.XLOOKUP(B468,'4.分割能力表'!B:B,'4.分割能力表'!E:E)</f>
        <v>7500</v>
      </c>
      <c r="G468" t="s">
        <v>53</v>
      </c>
      <c r="H468">
        <f>_xlfn.XLOOKUP(G468,系数辅助表!$C:$C,系数辅助表!$D:$D)</f>
        <v>3.6632398515360201E-3</v>
      </c>
      <c r="J468">
        <f t="shared" si="45"/>
        <v>368.37539947046201</v>
      </c>
      <c r="K468">
        <f t="shared" si="44"/>
        <v>368.37539947046201</v>
      </c>
    </row>
    <row r="469" spans="1:11" x14ac:dyDescent="0.3">
      <c r="A469" s="2" t="s">
        <v>33</v>
      </c>
      <c r="B469" t="s">
        <v>160</v>
      </c>
      <c r="C469" t="s">
        <v>161</v>
      </c>
      <c r="D469">
        <f>_xlfn.XLOOKUP(B469,'3.屠宰能力表'!B:B,'3.屠宰能力表'!E:E)</f>
        <v>838</v>
      </c>
      <c r="E469">
        <f>_xlfn.XLOOKUP(B469,'4.分割能力表'!B:B,'4.分割能力表'!D:D)</f>
        <v>320</v>
      </c>
      <c r="F469">
        <f>_xlfn.XLOOKUP(B469,'4.分割能力表'!B:B,'4.分割能力表'!E:E)</f>
        <v>7500</v>
      </c>
      <c r="G469" t="s">
        <v>54</v>
      </c>
      <c r="H469">
        <f>_xlfn.XLOOKUP(G469,系数辅助表!$C:$C,系数辅助表!$D:$D)</f>
        <v>2.68637589112642E-3</v>
      </c>
      <c r="J469">
        <f t="shared" si="45"/>
        <v>270.14195961167297</v>
      </c>
      <c r="K469">
        <f t="shared" si="44"/>
        <v>270.14195961167297</v>
      </c>
    </row>
    <row r="470" spans="1:11" x14ac:dyDescent="0.3">
      <c r="A470" s="2" t="s">
        <v>33</v>
      </c>
      <c r="B470" t="s">
        <v>160</v>
      </c>
      <c r="C470" t="s">
        <v>161</v>
      </c>
      <c r="D470">
        <f>_xlfn.XLOOKUP(B470,'3.屠宰能力表'!B:B,'3.屠宰能力表'!E:E)</f>
        <v>838</v>
      </c>
      <c r="E470">
        <f>_xlfn.XLOOKUP(B470,'4.分割能力表'!B:B,'4.分割能力表'!D:D)</f>
        <v>320</v>
      </c>
      <c r="F470">
        <f>_xlfn.XLOOKUP(B470,'4.分割能力表'!B:B,'4.分割能力表'!E:E)</f>
        <v>7500</v>
      </c>
      <c r="G470" t="s">
        <v>55</v>
      </c>
      <c r="H470">
        <f>_xlfn.XLOOKUP(G470,系数辅助表!$C:$C,系数辅助表!$D:$D)</f>
        <v>2.9015761200285397E-4</v>
      </c>
      <c r="J470">
        <f t="shared" si="45"/>
        <v>29.178249463006999</v>
      </c>
      <c r="K470">
        <f t="shared" si="44"/>
        <v>29.178249463006999</v>
      </c>
    </row>
    <row r="471" spans="1:11" x14ac:dyDescent="0.3">
      <c r="A471" s="2" t="s">
        <v>33</v>
      </c>
      <c r="B471" t="s">
        <v>160</v>
      </c>
      <c r="C471" t="s">
        <v>161</v>
      </c>
      <c r="D471">
        <f>_xlfn.XLOOKUP(B471,'3.屠宰能力表'!B:B,'3.屠宰能力表'!E:E)</f>
        <v>838</v>
      </c>
      <c r="E471">
        <f>_xlfn.XLOOKUP(B471,'4.分割能力表'!B:B,'4.分割能力表'!D:D)</f>
        <v>320</v>
      </c>
      <c r="F471">
        <f>_xlfn.XLOOKUP(B471,'4.分割能力表'!B:B,'4.分割能力表'!E:E)</f>
        <v>7500</v>
      </c>
      <c r="G471" t="s">
        <v>57</v>
      </c>
      <c r="H471">
        <f>_xlfn.XLOOKUP(G471,系数辅助表!$C:$C,系数辅助表!$D:$D)</f>
        <v>1.0245932755973399E-2</v>
      </c>
      <c r="J471">
        <f t="shared" si="45"/>
        <v>1030.3309979406899</v>
      </c>
      <c r="K471">
        <f t="shared" si="44"/>
        <v>1030.3309979406899</v>
      </c>
    </row>
    <row r="472" spans="1:11" x14ac:dyDescent="0.3">
      <c r="A472" s="2" t="s">
        <v>33</v>
      </c>
      <c r="B472" t="s">
        <v>160</v>
      </c>
      <c r="C472" t="s">
        <v>161</v>
      </c>
      <c r="D472">
        <f>_xlfn.XLOOKUP(B472,'3.屠宰能力表'!B:B,'3.屠宰能力表'!E:E)</f>
        <v>838</v>
      </c>
      <c r="E472">
        <f>_xlfn.XLOOKUP(B472,'4.分割能力表'!B:B,'4.分割能力表'!D:D)</f>
        <v>320</v>
      </c>
      <c r="F472">
        <f>_xlfn.XLOOKUP(B472,'4.分割能力表'!B:B,'4.分割能力表'!E:E)</f>
        <v>7500</v>
      </c>
      <c r="G472" t="s">
        <v>58</v>
      </c>
      <c r="H472">
        <f>_xlfn.XLOOKUP(G472,系数辅助表!$C:$C,系数辅助表!$D:$D)</f>
        <v>1.46005473500993E-2</v>
      </c>
      <c r="J472">
        <f t="shared" si="45"/>
        <v>1468.2310415259899</v>
      </c>
      <c r="K472">
        <f t="shared" si="44"/>
        <v>1468.2310415259899</v>
      </c>
    </row>
    <row r="473" spans="1:11" x14ac:dyDescent="0.3">
      <c r="A473" s="2" t="s">
        <v>33</v>
      </c>
      <c r="B473" t="s">
        <v>160</v>
      </c>
      <c r="C473" t="s">
        <v>161</v>
      </c>
      <c r="D473">
        <f>_xlfn.XLOOKUP(B473,'3.屠宰能力表'!B:B,'3.屠宰能力表'!E:E)</f>
        <v>838</v>
      </c>
      <c r="E473">
        <f>_xlfn.XLOOKUP(B473,'4.分割能力表'!B:B,'4.分割能力表'!D:D)</f>
        <v>320</v>
      </c>
      <c r="F473">
        <f>_xlfn.XLOOKUP(B473,'4.分割能力表'!B:B,'4.分割能力表'!E:E)</f>
        <v>7500</v>
      </c>
      <c r="G473" t="s">
        <v>59</v>
      </c>
      <c r="H473">
        <f>_xlfn.XLOOKUP(G473,系数辅助表!$C:$C,系数辅助表!$D:$D)</f>
        <v>1.4718794556320801E-2</v>
      </c>
      <c r="J473">
        <f t="shared" si="45"/>
        <v>1480.1219805836199</v>
      </c>
      <c r="K473">
        <f t="shared" si="44"/>
        <v>1480.1219805836199</v>
      </c>
    </row>
    <row r="474" spans="1:11" x14ac:dyDescent="0.3">
      <c r="A474" s="2" t="s">
        <v>33</v>
      </c>
      <c r="B474" t="s">
        <v>160</v>
      </c>
      <c r="C474" t="s">
        <v>161</v>
      </c>
      <c r="D474">
        <f>_xlfn.XLOOKUP(B474,'3.屠宰能力表'!B:B,'3.屠宰能力表'!E:E)</f>
        <v>838</v>
      </c>
      <c r="E474">
        <f>_xlfn.XLOOKUP(B474,'4.分割能力表'!B:B,'4.分割能力表'!D:D)</f>
        <v>320</v>
      </c>
      <c r="F474">
        <f>_xlfn.XLOOKUP(B474,'4.分割能力表'!B:B,'4.分割能力表'!E:E)</f>
        <v>7500</v>
      </c>
      <c r="G474" t="s">
        <v>60</v>
      </c>
      <c r="H474">
        <f>_xlfn.XLOOKUP(G474,系数辅助表!$C:$C,系数辅助表!$D:$D)</f>
        <v>6.8269088945398003E-3</v>
      </c>
      <c r="J474">
        <f t="shared" si="45"/>
        <v>686.51395843492196</v>
      </c>
      <c r="K474">
        <f t="shared" si="44"/>
        <v>686.51395843492196</v>
      </c>
    </row>
    <row r="475" spans="1:11" x14ac:dyDescent="0.3">
      <c r="A475" s="2" t="s">
        <v>33</v>
      </c>
      <c r="B475" t="s">
        <v>160</v>
      </c>
      <c r="C475" t="s">
        <v>161</v>
      </c>
      <c r="D475">
        <f>_xlfn.XLOOKUP(B475,'3.屠宰能力表'!B:B,'3.屠宰能力表'!E:E)</f>
        <v>838</v>
      </c>
      <c r="E475">
        <f>_xlfn.XLOOKUP(B475,'4.分割能力表'!B:B,'4.分割能力表'!D:D)</f>
        <v>320</v>
      </c>
      <c r="F475">
        <f>_xlfn.XLOOKUP(B475,'4.分割能力表'!B:B,'4.分割能力表'!E:E)</f>
        <v>7500</v>
      </c>
      <c r="G475" t="s">
        <v>61</v>
      </c>
      <c r="H475">
        <f>_xlfn.XLOOKUP(G475,系数辅助表!$C:$C,系数辅助表!$D:$D)</f>
        <v>7.8149116832768404E-3</v>
      </c>
      <c r="J475">
        <f t="shared" si="45"/>
        <v>785.86751887031903</v>
      </c>
      <c r="K475">
        <f t="shared" si="44"/>
        <v>785.86751887031903</v>
      </c>
    </row>
    <row r="476" spans="1:11" x14ac:dyDescent="0.3">
      <c r="A476" s="2" t="s">
        <v>33</v>
      </c>
      <c r="B476" t="s">
        <v>160</v>
      </c>
      <c r="C476" t="s">
        <v>161</v>
      </c>
      <c r="D476">
        <f>_xlfn.XLOOKUP(B476,'3.屠宰能力表'!B:B,'3.屠宰能力表'!E:E)</f>
        <v>838</v>
      </c>
      <c r="E476">
        <f>_xlfn.XLOOKUP(B476,'4.分割能力表'!B:B,'4.分割能力表'!D:D)</f>
        <v>320</v>
      </c>
      <c r="F476">
        <f>_xlfn.XLOOKUP(B476,'4.分割能力表'!B:B,'4.分割能力表'!E:E)</f>
        <v>7500</v>
      </c>
      <c r="G476" t="s">
        <v>62</v>
      </c>
      <c r="H476">
        <f>_xlfn.XLOOKUP(G476,系数辅助表!$C:$C,系数辅助表!$D:$D)</f>
        <v>7.3264797030720401E-3</v>
      </c>
      <c r="J476">
        <f t="shared" si="45"/>
        <v>736.75079894092403</v>
      </c>
      <c r="K476">
        <f t="shared" si="44"/>
        <v>736.75079894092403</v>
      </c>
    </row>
    <row r="477" spans="1:11" x14ac:dyDescent="0.3">
      <c r="A477" s="2" t="s">
        <v>33</v>
      </c>
      <c r="B477" t="s">
        <v>160</v>
      </c>
      <c r="C477" t="s">
        <v>161</v>
      </c>
      <c r="D477">
        <f>_xlfn.XLOOKUP(B477,'3.屠宰能力表'!B:B,'3.屠宰能力表'!E:E)</f>
        <v>838</v>
      </c>
      <c r="E477">
        <f>_xlfn.XLOOKUP(B477,'4.分割能力表'!B:B,'4.分割能力表'!D:D)</f>
        <v>320</v>
      </c>
      <c r="F477">
        <f>_xlfn.XLOOKUP(B477,'4.分割能力表'!B:B,'4.分割能力表'!E:E)</f>
        <v>7500</v>
      </c>
      <c r="G477" t="s">
        <v>63</v>
      </c>
      <c r="H477">
        <f>_xlfn.XLOOKUP(G477,系数辅助表!$C:$C,系数辅助表!$D:$D)</f>
        <v>6.1516718317408204E-3</v>
      </c>
      <c r="J477">
        <f t="shared" si="45"/>
        <v>618.61211939985697</v>
      </c>
      <c r="K477">
        <f t="shared" si="44"/>
        <v>618.61211939985697</v>
      </c>
    </row>
    <row r="478" spans="1:11" x14ac:dyDescent="0.3">
      <c r="A478" s="2" t="s">
        <v>33</v>
      </c>
      <c r="B478" t="s">
        <v>160</v>
      </c>
      <c r="C478" t="s">
        <v>161</v>
      </c>
      <c r="D478">
        <f>_xlfn.XLOOKUP(B478,'3.屠宰能力表'!B:B,'3.屠宰能力表'!E:E)</f>
        <v>838</v>
      </c>
      <c r="E478">
        <f>_xlfn.XLOOKUP(B478,'4.分割能力表'!B:B,'4.分割能力表'!D:D)</f>
        <v>320</v>
      </c>
      <c r="F478">
        <f>_xlfn.XLOOKUP(B478,'4.分割能力表'!B:B,'4.分割能力表'!E:E)</f>
        <v>7500</v>
      </c>
      <c r="G478" t="s">
        <v>64</v>
      </c>
      <c r="H478">
        <f>_xlfn.XLOOKUP(G478,系数辅助表!$C:$C,系数辅助表!$D:$D)</f>
        <v>1.0639112440104599E-3</v>
      </c>
      <c r="J478">
        <f t="shared" si="45"/>
        <v>106.986914697692</v>
      </c>
      <c r="K478">
        <f t="shared" si="44"/>
        <v>106.986914697692</v>
      </c>
    </row>
    <row r="479" spans="1:11" x14ac:dyDescent="0.3">
      <c r="A479" s="2" t="s">
        <v>33</v>
      </c>
      <c r="B479" t="s">
        <v>160</v>
      </c>
      <c r="C479" t="s">
        <v>161</v>
      </c>
      <c r="D479">
        <f>_xlfn.XLOOKUP(B479,'3.屠宰能力表'!B:B,'3.屠宰能力表'!E:E)</f>
        <v>838</v>
      </c>
      <c r="E479">
        <f>_xlfn.XLOOKUP(B479,'4.分割能力表'!B:B,'4.分割能力表'!D:D)</f>
        <v>320</v>
      </c>
      <c r="F479">
        <f>_xlfn.XLOOKUP(B479,'4.分割能力表'!B:B,'4.分割能力表'!E:E)</f>
        <v>7500</v>
      </c>
      <c r="G479" t="s">
        <v>65</v>
      </c>
      <c r="H479">
        <f>_xlfn.XLOOKUP(G479,系数辅助表!$C:$C,系数辅助表!$D:$D)</f>
        <v>4.8359602000475603E-4</v>
      </c>
      <c r="J479">
        <f t="shared" si="45"/>
        <v>48.630415771678301</v>
      </c>
      <c r="K479">
        <f t="shared" si="44"/>
        <v>48.630415771678301</v>
      </c>
    </row>
    <row r="480" spans="1:11" x14ac:dyDescent="0.3">
      <c r="A480" s="2" t="s">
        <v>33</v>
      </c>
      <c r="B480" t="s">
        <v>160</v>
      </c>
      <c r="C480" t="s">
        <v>161</v>
      </c>
      <c r="D480">
        <f>_xlfn.XLOOKUP(B480,'3.屠宰能力表'!B:B,'3.屠宰能力表'!E:E)</f>
        <v>838</v>
      </c>
      <c r="E480">
        <f>_xlfn.XLOOKUP(B480,'4.分割能力表'!B:B,'4.分割能力表'!D:D)</f>
        <v>320</v>
      </c>
      <c r="F480">
        <f>_xlfn.XLOOKUP(B480,'4.分割能力表'!B:B,'4.分割能力表'!E:E)</f>
        <v>7500</v>
      </c>
      <c r="G480" t="s">
        <v>66</v>
      </c>
      <c r="H480">
        <f>_xlfn.XLOOKUP(G480,系数辅助表!$C:$C,系数辅助表!$D:$D)</f>
        <v>1.70951193071681E-3</v>
      </c>
      <c r="J480">
        <f t="shared" si="45"/>
        <v>171.908519752882</v>
      </c>
      <c r="K480">
        <f t="shared" si="44"/>
        <v>171.908519752882</v>
      </c>
    </row>
    <row r="481" spans="1:12" x14ac:dyDescent="0.3">
      <c r="A481" s="2" t="s">
        <v>33</v>
      </c>
      <c r="B481" t="s">
        <v>160</v>
      </c>
      <c r="C481" t="s">
        <v>161</v>
      </c>
      <c r="D481">
        <f>_xlfn.XLOOKUP(B481,'3.屠宰能力表'!B:B,'3.屠宰能力表'!E:E)</f>
        <v>838</v>
      </c>
      <c r="E481">
        <f>_xlfn.XLOOKUP(B481,'4.分割能力表'!B:B,'4.分割能力表'!D:D)</f>
        <v>320</v>
      </c>
      <c r="F481">
        <f>_xlfn.XLOOKUP(B481,'4.分割能力表'!B:B,'4.分割能力表'!E:E)</f>
        <v>7500</v>
      </c>
      <c r="G481" t="s">
        <v>67</v>
      </c>
      <c r="H481">
        <f>_xlfn.XLOOKUP(G481,系数辅助表!$C:$C,系数辅助表!$D:$D)</f>
        <v>0.02</v>
      </c>
      <c r="J481">
        <f t="shared" si="45"/>
        <v>2011.2</v>
      </c>
      <c r="K481">
        <f t="shared" si="44"/>
        <v>2011.2</v>
      </c>
    </row>
    <row r="482" spans="1:12" x14ac:dyDescent="0.3">
      <c r="A482" s="2" t="s">
        <v>33</v>
      </c>
      <c r="B482" t="s">
        <v>160</v>
      </c>
      <c r="C482" t="s">
        <v>161</v>
      </c>
      <c r="D482">
        <f>_xlfn.XLOOKUP(B482,'3.屠宰能力表'!B:B,'3.屠宰能力表'!E:E)</f>
        <v>838</v>
      </c>
      <c r="E482">
        <f>_xlfn.XLOOKUP(B482,'4.分割能力表'!B:B,'4.分割能力表'!D:D)</f>
        <v>320</v>
      </c>
      <c r="F482">
        <f>_xlfn.XLOOKUP(B482,'4.分割能力表'!B:B,'4.分割能力表'!E:E)</f>
        <v>7500</v>
      </c>
      <c r="G482" t="s">
        <v>56</v>
      </c>
      <c r="H482">
        <f>_xlfn.XLOOKUP(G482,系数辅助表!$C:$C,系数辅助表!$D:$D)</f>
        <v>1.85007717386486E-2</v>
      </c>
      <c r="J482">
        <f t="shared" ref="J482:J490" si="46">$E482*H482*$D$1</f>
        <v>710.42963476410603</v>
      </c>
      <c r="K482">
        <f t="shared" si="44"/>
        <v>491.38644880100401</v>
      </c>
      <c r="L482">
        <v>219.04318596310199</v>
      </c>
    </row>
    <row r="483" spans="1:12" x14ac:dyDescent="0.3">
      <c r="A483" s="2" t="s">
        <v>33</v>
      </c>
      <c r="B483" t="s">
        <v>160</v>
      </c>
      <c r="C483" t="s">
        <v>161</v>
      </c>
      <c r="D483">
        <f>_xlfn.XLOOKUP(B483,'3.屠宰能力表'!B:B,'3.屠宰能力表'!E:E)</f>
        <v>838</v>
      </c>
      <c r="E483">
        <f>_xlfn.XLOOKUP(B483,'4.分割能力表'!B:B,'4.分割能力表'!D:D)</f>
        <v>320</v>
      </c>
      <c r="F483">
        <f>_xlfn.XLOOKUP(B483,'4.分割能力表'!B:B,'4.分割能力表'!E:E)</f>
        <v>7500</v>
      </c>
      <c r="G483" t="s">
        <v>45</v>
      </c>
      <c r="H483">
        <f>_xlfn.XLOOKUP(G483,系数辅助表!$C:$C,系数辅助表!$D:$D)</f>
        <v>1.8327694979870301E-2</v>
      </c>
      <c r="J483">
        <f t="shared" si="46"/>
        <v>703.78348722702003</v>
      </c>
      <c r="K483">
        <f t="shared" si="44"/>
        <v>486.78947441163803</v>
      </c>
      <c r="L483">
        <v>216.99401281538101</v>
      </c>
    </row>
    <row r="484" spans="1:12" x14ac:dyDescent="0.3">
      <c r="A484" s="2" t="s">
        <v>33</v>
      </c>
      <c r="B484" t="s">
        <v>160</v>
      </c>
      <c r="C484" t="s">
        <v>161</v>
      </c>
      <c r="D484">
        <f>_xlfn.XLOOKUP(B484,'3.屠宰能力表'!B:B,'3.屠宰能力表'!E:E)</f>
        <v>838</v>
      </c>
      <c r="E484">
        <f>_xlfn.XLOOKUP(B484,'4.分割能力表'!B:B,'4.分割能力表'!D:D)</f>
        <v>320</v>
      </c>
      <c r="F484">
        <f>_xlfn.XLOOKUP(B484,'4.分割能力表'!B:B,'4.分割能力表'!E:E)</f>
        <v>7500</v>
      </c>
      <c r="G484" t="s">
        <v>68</v>
      </c>
      <c r="H484">
        <f>_xlfn.XLOOKUP(G484,系数辅助表!$C:$C,系数辅助表!$D:$D)</f>
        <v>9.7050751819787603E-2</v>
      </c>
      <c r="J484">
        <f t="shared" si="46"/>
        <v>3726.7488698798402</v>
      </c>
      <c r="K484">
        <f t="shared" si="44"/>
        <v>2750.0566403786902</v>
      </c>
      <c r="L484">
        <v>976.69222950115</v>
      </c>
    </row>
    <row r="485" spans="1:12" x14ac:dyDescent="0.3">
      <c r="A485" s="2" t="s">
        <v>33</v>
      </c>
      <c r="B485" t="s">
        <v>160</v>
      </c>
      <c r="C485" t="s">
        <v>161</v>
      </c>
      <c r="D485">
        <f>_xlfn.XLOOKUP(B485,'3.屠宰能力表'!B:B,'3.屠宰能力表'!E:E)</f>
        <v>838</v>
      </c>
      <c r="E485">
        <f>_xlfn.XLOOKUP(B485,'4.分割能力表'!B:B,'4.分割能力表'!D:D)</f>
        <v>320</v>
      </c>
      <c r="F485">
        <f>_xlfn.XLOOKUP(B485,'4.分割能力表'!B:B,'4.分割能力表'!E:E)</f>
        <v>7500</v>
      </c>
      <c r="G485" t="s">
        <v>70</v>
      </c>
      <c r="H485">
        <f>_xlfn.XLOOKUP(G485,系数辅助表!$C:$C,系数辅助表!$D:$D)</f>
        <v>4.6512517384561802E-2</v>
      </c>
      <c r="J485">
        <f t="shared" si="46"/>
        <v>1786.0806675671699</v>
      </c>
      <c r="K485">
        <f t="shared" si="44"/>
        <v>1613.7232153022601</v>
      </c>
      <c r="L485">
        <v>172.357452264909</v>
      </c>
    </row>
    <row r="486" spans="1:12" x14ac:dyDescent="0.3">
      <c r="A486" s="2" t="s">
        <v>33</v>
      </c>
      <c r="B486" t="s">
        <v>160</v>
      </c>
      <c r="C486" t="s">
        <v>161</v>
      </c>
      <c r="D486">
        <f>_xlfn.XLOOKUP(B486,'3.屠宰能力表'!B:B,'3.屠宰能力表'!E:E)</f>
        <v>838</v>
      </c>
      <c r="E486">
        <f>_xlfn.XLOOKUP(B486,'4.分割能力表'!B:B,'4.分割能力表'!D:D)</f>
        <v>320</v>
      </c>
      <c r="F486">
        <f>_xlfn.XLOOKUP(B486,'4.分割能力表'!B:B,'4.分割能力表'!E:E)</f>
        <v>7500</v>
      </c>
      <c r="G486" t="s">
        <v>71</v>
      </c>
      <c r="H486">
        <f>_xlfn.XLOOKUP(G486,系数辅助表!$C:$C,系数辅助表!$D:$D)</f>
        <v>2.8731737554939799E-2</v>
      </c>
      <c r="J486">
        <f t="shared" si="46"/>
        <v>1103.2987221096901</v>
      </c>
      <c r="K486">
        <f t="shared" si="44"/>
        <v>763.12419203089803</v>
      </c>
      <c r="L486">
        <v>340.17453007878999</v>
      </c>
    </row>
    <row r="487" spans="1:12" x14ac:dyDescent="0.3">
      <c r="A487" s="2" t="s">
        <v>33</v>
      </c>
      <c r="B487" t="s">
        <v>160</v>
      </c>
      <c r="C487" t="s">
        <v>161</v>
      </c>
      <c r="D487">
        <f>_xlfn.XLOOKUP(B487,'3.屠宰能力表'!B:B,'3.屠宰能力表'!E:E)</f>
        <v>838</v>
      </c>
      <c r="E487">
        <f>_xlfn.XLOOKUP(B487,'4.分割能力表'!B:B,'4.分割能力表'!D:D)</f>
        <v>320</v>
      </c>
      <c r="F487">
        <f>_xlfn.XLOOKUP(B487,'4.分割能力表'!B:B,'4.分割能力表'!E:E)</f>
        <v>7500</v>
      </c>
      <c r="G487" t="s">
        <v>72</v>
      </c>
      <c r="H487">
        <f>_xlfn.XLOOKUP(G487,系数辅助表!$C:$C,系数辅助表!$D:$D)</f>
        <v>2.9020999088867499E-2</v>
      </c>
      <c r="J487">
        <f t="shared" si="46"/>
        <v>1114.4063650125099</v>
      </c>
      <c r="K487">
        <f t="shared" si="44"/>
        <v>1114.4063650125099</v>
      </c>
      <c r="L487">
        <v>0</v>
      </c>
    </row>
    <row r="488" spans="1:12" x14ac:dyDescent="0.3">
      <c r="A488" s="2" t="s">
        <v>33</v>
      </c>
      <c r="B488" t="s">
        <v>160</v>
      </c>
      <c r="C488" t="s">
        <v>161</v>
      </c>
      <c r="D488">
        <f>_xlfn.XLOOKUP(B488,'3.屠宰能力表'!B:B,'3.屠宰能力表'!E:E)</f>
        <v>838</v>
      </c>
      <c r="E488">
        <f>_xlfn.XLOOKUP(B488,'4.分割能力表'!B:B,'4.分割能力表'!D:D)</f>
        <v>320</v>
      </c>
      <c r="F488">
        <f>_xlfn.XLOOKUP(B488,'4.分割能力表'!B:B,'4.分割能力表'!E:E)</f>
        <v>7500</v>
      </c>
      <c r="G488" t="s">
        <v>73</v>
      </c>
      <c r="H488">
        <f>_xlfn.XLOOKUP(G488,系数辅助表!$C:$C,系数辅助表!$D:$D)</f>
        <v>3.3890751204307498E-2</v>
      </c>
      <c r="J488">
        <f t="shared" si="46"/>
        <v>1301.40484624541</v>
      </c>
      <c r="K488">
        <f t="shared" si="44"/>
        <v>744.06718160790899</v>
      </c>
      <c r="L488">
        <v>557.33766463749896</v>
      </c>
    </row>
    <row r="489" spans="1:12" x14ac:dyDescent="0.3">
      <c r="A489" s="2" t="s">
        <v>33</v>
      </c>
      <c r="B489" t="s">
        <v>160</v>
      </c>
      <c r="C489" t="s">
        <v>161</v>
      </c>
      <c r="D489">
        <f>_xlfn.XLOOKUP(B489,'3.屠宰能力表'!B:B,'3.屠宰能力表'!E:E)</f>
        <v>838</v>
      </c>
      <c r="E489">
        <f>_xlfn.XLOOKUP(B489,'4.分割能力表'!B:B,'4.分割能力表'!D:D)</f>
        <v>320</v>
      </c>
      <c r="F489">
        <f>_xlfn.XLOOKUP(B489,'4.分割能力表'!B:B,'4.分割能力表'!E:E)</f>
        <v>7500</v>
      </c>
      <c r="G489" t="s">
        <v>74</v>
      </c>
      <c r="H489">
        <f>_xlfn.XLOOKUP(G489,系数辅助表!$C:$C,系数辅助表!$D:$D)</f>
        <v>6.6683830901271496E-3</v>
      </c>
      <c r="J489">
        <f t="shared" si="46"/>
        <v>256.06591066088299</v>
      </c>
      <c r="K489" s="7">
        <f t="shared" si="44"/>
        <v>0</v>
      </c>
      <c r="L489" s="7">
        <f>J489</f>
        <v>256.06591066088299</v>
      </c>
    </row>
    <row r="490" spans="1:12" x14ac:dyDescent="0.3">
      <c r="A490" s="2" t="s">
        <v>33</v>
      </c>
      <c r="B490" t="s">
        <v>160</v>
      </c>
      <c r="C490" t="s">
        <v>161</v>
      </c>
      <c r="D490">
        <f>_xlfn.XLOOKUP(B490,'3.屠宰能力表'!B:B,'3.屠宰能力表'!E:E)</f>
        <v>838</v>
      </c>
      <c r="E490">
        <f>_xlfn.XLOOKUP(B490,'4.分割能力表'!B:B,'4.分割能力表'!D:D)</f>
        <v>320</v>
      </c>
      <c r="F490">
        <f>_xlfn.XLOOKUP(B490,'4.分割能力表'!B:B,'4.分割能力表'!E:E)</f>
        <v>7500</v>
      </c>
      <c r="G490" t="s">
        <v>75</v>
      </c>
      <c r="H490">
        <f>_xlfn.XLOOKUP(G490,系数辅助表!$C:$C,系数辅助表!$D:$D)</f>
        <v>7.3037535376360693E-2</v>
      </c>
      <c r="J490">
        <f t="shared" si="46"/>
        <v>2804.6413584522502</v>
      </c>
      <c r="K490">
        <f t="shared" si="44"/>
        <v>1506.3844854491099</v>
      </c>
      <c r="L490">
        <v>1298.2568730031401</v>
      </c>
    </row>
    <row r="491" spans="1:12" x14ac:dyDescent="0.3">
      <c r="A491" s="2" t="s">
        <v>33</v>
      </c>
      <c r="B491" t="s">
        <v>160</v>
      </c>
      <c r="C491" t="s">
        <v>161</v>
      </c>
      <c r="D491">
        <f>_xlfn.XLOOKUP(B491,'3.屠宰能力表'!B:B,'3.屠宰能力表'!E:E)</f>
        <v>838</v>
      </c>
      <c r="E491">
        <f>_xlfn.XLOOKUP(B491,'4.分割能力表'!B:B,'4.分割能力表'!D:D)</f>
        <v>320</v>
      </c>
      <c r="F491">
        <f>_xlfn.XLOOKUP(B491,'4.分割能力表'!B:B,'4.分割能力表'!E:E)</f>
        <v>7500</v>
      </c>
      <c r="G491" t="s">
        <v>76</v>
      </c>
      <c r="H491">
        <f>_xlfn.XLOOKUP(G491,系数辅助表!$C:$C,系数辅助表!$D:$D)</f>
        <v>0.122051725196981</v>
      </c>
      <c r="J491">
        <f t="shared" ref="J491:J507" si="47">$E491*H491*$D$1</f>
        <v>4686.7862475640704</v>
      </c>
      <c r="K491">
        <f t="shared" si="44"/>
        <v>3675.2490326859802</v>
      </c>
      <c r="L491">
        <v>1011.53721487809</v>
      </c>
    </row>
    <row r="492" spans="1:12" x14ac:dyDescent="0.3">
      <c r="A492" s="2" t="s">
        <v>33</v>
      </c>
      <c r="B492" t="s">
        <v>160</v>
      </c>
      <c r="C492" t="s">
        <v>161</v>
      </c>
      <c r="D492">
        <f>_xlfn.XLOOKUP(B492,'3.屠宰能力表'!B:B,'3.屠宰能力表'!E:E)</f>
        <v>838</v>
      </c>
      <c r="E492">
        <f>_xlfn.XLOOKUP(B492,'4.分割能力表'!B:B,'4.分割能力表'!D:D)</f>
        <v>320</v>
      </c>
      <c r="F492">
        <f>_xlfn.XLOOKUP(B492,'4.分割能力表'!B:B,'4.分割能力表'!E:E)</f>
        <v>7500</v>
      </c>
      <c r="G492" t="s">
        <v>77</v>
      </c>
      <c r="H492" s="1">
        <f>_xlfn.XLOOKUP(G492,系数辅助表!$C:$C,系数辅助表!$D:$D)</f>
        <v>1.9521507261015199E-2</v>
      </c>
      <c r="J492">
        <f t="shared" si="47"/>
        <v>749.62587882298396</v>
      </c>
      <c r="K492">
        <f t="shared" si="44"/>
        <v>518.49751263046301</v>
      </c>
      <c r="L492">
        <v>231.12836619252101</v>
      </c>
    </row>
    <row r="493" spans="1:12" x14ac:dyDescent="0.3">
      <c r="A493" s="2" t="s">
        <v>33</v>
      </c>
      <c r="B493" t="s">
        <v>160</v>
      </c>
      <c r="C493" t="s">
        <v>161</v>
      </c>
      <c r="D493">
        <f>_xlfn.XLOOKUP(B493,'3.屠宰能力表'!B:B,'3.屠宰能力表'!E:E)</f>
        <v>838</v>
      </c>
      <c r="E493">
        <f>_xlfn.XLOOKUP(B493,'4.分割能力表'!B:B,'4.分割能力表'!D:D)</f>
        <v>320</v>
      </c>
      <c r="F493">
        <f>_xlfn.XLOOKUP(B493,'4.分割能力表'!B:B,'4.分割能力表'!E:E)</f>
        <v>7500</v>
      </c>
      <c r="G493" t="s">
        <v>78</v>
      </c>
      <c r="H493" s="1">
        <f>_xlfn.XLOOKUP(G493,系数辅助表!$C:$C,系数辅助表!$D:$D)</f>
        <v>2.7552209592914899E-2</v>
      </c>
      <c r="J493">
        <f t="shared" si="47"/>
        <v>1058.00484836793</v>
      </c>
      <c r="K493">
        <f t="shared" si="44"/>
        <v>731.79554992295402</v>
      </c>
      <c r="L493">
        <v>326.209298444978</v>
      </c>
    </row>
    <row r="494" spans="1:12" x14ac:dyDescent="0.3">
      <c r="A494" s="2" t="s">
        <v>33</v>
      </c>
      <c r="B494" t="s">
        <v>160</v>
      </c>
      <c r="C494" t="s">
        <v>161</v>
      </c>
      <c r="D494">
        <f>_xlfn.XLOOKUP(B494,'3.屠宰能力表'!B:B,'3.屠宰能力表'!E:E)</f>
        <v>838</v>
      </c>
      <c r="E494">
        <f>_xlfn.XLOOKUP(B494,'4.分割能力表'!B:B,'4.分割能力表'!D:D)</f>
        <v>320</v>
      </c>
      <c r="F494">
        <f>_xlfn.XLOOKUP(B494,'4.分割能力表'!B:B,'4.分割能力表'!E:E)</f>
        <v>7500</v>
      </c>
      <c r="G494" t="s">
        <v>79</v>
      </c>
      <c r="H494">
        <f>_xlfn.XLOOKUP(G494,系数辅助表!$C:$C,系数辅助表!$D:$D)</f>
        <v>6.1357302939246697E-2</v>
      </c>
      <c r="J494">
        <f t="shared" si="47"/>
        <v>2356.1204328670701</v>
      </c>
      <c r="K494">
        <f t="shared" si="44"/>
        <v>1629.6697037961601</v>
      </c>
      <c r="L494">
        <v>726.45072907091401</v>
      </c>
    </row>
    <row r="495" spans="1:12" x14ac:dyDescent="0.3">
      <c r="A495" s="2" t="s">
        <v>33</v>
      </c>
      <c r="B495" t="s">
        <v>160</v>
      </c>
      <c r="C495" t="s">
        <v>161</v>
      </c>
      <c r="D495">
        <f>_xlfn.XLOOKUP(B495,'3.屠宰能力表'!B:B,'3.屠宰能力表'!E:E)</f>
        <v>838</v>
      </c>
      <c r="E495">
        <f>_xlfn.XLOOKUP(B495,'4.分割能力表'!B:B,'4.分割能力表'!D:D)</f>
        <v>320</v>
      </c>
      <c r="F495">
        <f>_xlfn.XLOOKUP(B495,'4.分割能力表'!B:B,'4.分割能力表'!E:E)</f>
        <v>7500</v>
      </c>
      <c r="G495" t="s">
        <v>80</v>
      </c>
      <c r="H495">
        <f>_xlfn.XLOOKUP(G495,系数辅助表!$C:$C,系数辅助表!$D:$D)</f>
        <v>1.30165882845583E-2</v>
      </c>
      <c r="J495">
        <f t="shared" si="47"/>
        <v>499.83699012703897</v>
      </c>
      <c r="K495">
        <f t="shared" si="44"/>
        <v>499.83699012703897</v>
      </c>
      <c r="L495">
        <v>0</v>
      </c>
    </row>
    <row r="496" spans="1:12" x14ac:dyDescent="0.3">
      <c r="A496" s="2" t="s">
        <v>33</v>
      </c>
      <c r="B496" t="s">
        <v>160</v>
      </c>
      <c r="C496" t="s">
        <v>161</v>
      </c>
      <c r="D496">
        <f>_xlfn.XLOOKUP(B496,'3.屠宰能力表'!B:B,'3.屠宰能力表'!E:E)</f>
        <v>838</v>
      </c>
      <c r="E496">
        <f>_xlfn.XLOOKUP(B496,'4.分割能力表'!B:B,'4.分割能力表'!D:D)</f>
        <v>320</v>
      </c>
      <c r="F496">
        <f>_xlfn.XLOOKUP(B496,'4.分割能力表'!B:B,'4.分割能力表'!E:E)</f>
        <v>7500</v>
      </c>
      <c r="G496" t="s">
        <v>81</v>
      </c>
      <c r="H496">
        <f>_xlfn.XLOOKUP(G496,系数辅助表!$C:$C,系数辅助表!$D:$D)</f>
        <v>2.9868560985823099E-2</v>
      </c>
      <c r="J496">
        <f t="shared" si="47"/>
        <v>1146.9527418556099</v>
      </c>
      <c r="K496">
        <f t="shared" si="44"/>
        <v>1146.9527418556099</v>
      </c>
      <c r="L496">
        <v>0</v>
      </c>
    </row>
    <row r="497" spans="1:12" x14ac:dyDescent="0.3">
      <c r="A497" s="2" t="s">
        <v>33</v>
      </c>
      <c r="B497" t="s">
        <v>160</v>
      </c>
      <c r="C497" t="s">
        <v>161</v>
      </c>
      <c r="D497">
        <f>_xlfn.XLOOKUP(B497,'3.屠宰能力表'!B:B,'3.屠宰能力表'!E:E)</f>
        <v>838</v>
      </c>
      <c r="E497">
        <f>_xlfn.XLOOKUP(B497,'4.分割能力表'!B:B,'4.分割能力表'!D:D)</f>
        <v>320</v>
      </c>
      <c r="F497">
        <f>_xlfn.XLOOKUP(B497,'4.分割能力表'!B:B,'4.分割能力表'!E:E)</f>
        <v>7500</v>
      </c>
      <c r="G497" t="s">
        <v>82</v>
      </c>
      <c r="H497">
        <f>_xlfn.XLOOKUP(G497,系数辅助表!$C:$C,系数辅助表!$D:$D)</f>
        <v>1.31753271660773E-2</v>
      </c>
      <c r="J497">
        <f t="shared" si="47"/>
        <v>505.93256317736802</v>
      </c>
      <c r="K497">
        <f t="shared" si="44"/>
        <v>349.94092783737102</v>
      </c>
      <c r="L497">
        <v>155.991635339997</v>
      </c>
    </row>
    <row r="498" spans="1:12" x14ac:dyDescent="0.3">
      <c r="A498" s="2" t="s">
        <v>33</v>
      </c>
      <c r="B498" t="s">
        <v>160</v>
      </c>
      <c r="C498" t="s">
        <v>161</v>
      </c>
      <c r="D498">
        <f>_xlfn.XLOOKUP(B498,'3.屠宰能力表'!B:B,'3.屠宰能力表'!E:E)</f>
        <v>838</v>
      </c>
      <c r="E498">
        <f>_xlfn.XLOOKUP(B498,'4.分割能力表'!B:B,'4.分割能力表'!D:D)</f>
        <v>320</v>
      </c>
      <c r="F498">
        <f>_xlfn.XLOOKUP(B498,'4.分割能力表'!B:B,'4.分割能力表'!E:E)</f>
        <v>7500</v>
      </c>
      <c r="G498" t="s">
        <v>83</v>
      </c>
      <c r="H498">
        <f>_xlfn.XLOOKUP(G498,系数辅助表!$C:$C,系数辅助表!$D:$D)</f>
        <v>7.2226191091146899E-3</v>
      </c>
      <c r="J498">
        <f t="shared" si="47"/>
        <v>277.34857379000402</v>
      </c>
      <c r="K498">
        <f t="shared" si="44"/>
        <v>277.34857379000402</v>
      </c>
      <c r="L498">
        <v>0</v>
      </c>
    </row>
    <row r="499" spans="1:12" x14ac:dyDescent="0.3">
      <c r="A499" s="2" t="s">
        <v>33</v>
      </c>
      <c r="B499" t="s">
        <v>160</v>
      </c>
      <c r="C499" t="s">
        <v>161</v>
      </c>
      <c r="D499">
        <f>_xlfn.XLOOKUP(B499,'3.屠宰能力表'!B:B,'3.屠宰能力表'!E:E)</f>
        <v>838</v>
      </c>
      <c r="E499">
        <f>_xlfn.XLOOKUP(B499,'4.分割能力表'!B:B,'4.分割能力表'!D:D)</f>
        <v>320</v>
      </c>
      <c r="F499">
        <f>_xlfn.XLOOKUP(B499,'4.分割能力表'!B:B,'4.分割能力表'!E:E)</f>
        <v>7500</v>
      </c>
      <c r="G499" t="s">
        <v>84</v>
      </c>
      <c r="H499">
        <f>_xlfn.XLOOKUP(G499,系数辅助表!$C:$C,系数辅助表!$D:$D)</f>
        <v>2.34933544648127E-2</v>
      </c>
      <c r="J499">
        <f t="shared" si="47"/>
        <v>902.14481144880801</v>
      </c>
      <c r="K499">
        <f t="shared" si="44"/>
        <v>902.14481144880801</v>
      </c>
      <c r="L499">
        <v>0</v>
      </c>
    </row>
    <row r="500" spans="1:12" x14ac:dyDescent="0.3">
      <c r="A500" s="2" t="s">
        <v>33</v>
      </c>
      <c r="B500" t="s">
        <v>160</v>
      </c>
      <c r="C500" t="s">
        <v>161</v>
      </c>
      <c r="D500">
        <f>_xlfn.XLOOKUP(B500,'3.屠宰能力表'!B:B,'3.屠宰能力表'!E:E)</f>
        <v>838</v>
      </c>
      <c r="E500">
        <f>_xlfn.XLOOKUP(B500,'4.分割能力表'!B:B,'4.分割能力表'!D:D)</f>
        <v>320</v>
      </c>
      <c r="F500">
        <f>_xlfn.XLOOKUP(B500,'4.分割能力表'!B:B,'4.分割能力表'!E:E)</f>
        <v>7500</v>
      </c>
      <c r="G500" t="s">
        <v>85</v>
      </c>
      <c r="H500">
        <f>_xlfn.XLOOKUP(G500,系数辅助表!$C:$C,系数辅助表!$D:$D)</f>
        <v>9.8418106541782492E-3</v>
      </c>
      <c r="J500">
        <f t="shared" si="47"/>
        <v>377.92552912044499</v>
      </c>
      <c r="K500">
        <f t="shared" si="44"/>
        <v>377.92552912044499</v>
      </c>
      <c r="L500">
        <v>0</v>
      </c>
    </row>
    <row r="501" spans="1:12" x14ac:dyDescent="0.3">
      <c r="A501" s="2" t="s">
        <v>33</v>
      </c>
      <c r="B501" t="s">
        <v>160</v>
      </c>
      <c r="C501" t="s">
        <v>161</v>
      </c>
      <c r="D501">
        <f>_xlfn.XLOOKUP(B501,'3.屠宰能力表'!B:B,'3.屠宰能力表'!E:E)</f>
        <v>838</v>
      </c>
      <c r="E501">
        <f>_xlfn.XLOOKUP(B501,'4.分割能力表'!B:B,'4.分割能力表'!D:D)</f>
        <v>320</v>
      </c>
      <c r="F501">
        <f>_xlfn.XLOOKUP(B501,'4.分割能力表'!B:B,'4.分割能力表'!E:E)</f>
        <v>7500</v>
      </c>
      <c r="G501" t="s">
        <v>86</v>
      </c>
      <c r="H501">
        <f>_xlfn.XLOOKUP(G501,系数辅助表!$C:$C,系数辅助表!$D:$D)</f>
        <v>6.9845107868361997E-3</v>
      </c>
      <c r="J501">
        <f t="shared" si="47"/>
        <v>268.20521421451002</v>
      </c>
      <c r="K501">
        <f t="shared" si="44"/>
        <v>268.20521421451002</v>
      </c>
      <c r="L501">
        <v>0</v>
      </c>
    </row>
    <row r="502" spans="1:12" x14ac:dyDescent="0.3">
      <c r="A502" s="2" t="s">
        <v>33</v>
      </c>
      <c r="B502" t="s">
        <v>160</v>
      </c>
      <c r="C502" t="s">
        <v>161</v>
      </c>
      <c r="D502">
        <f>_xlfn.XLOOKUP(B502,'3.屠宰能力表'!B:B,'3.屠宰能力表'!E:E)</f>
        <v>838</v>
      </c>
      <c r="E502">
        <f>_xlfn.XLOOKUP(B502,'4.分割能力表'!B:B,'4.分割能力表'!D:D)</f>
        <v>320</v>
      </c>
      <c r="F502">
        <f>_xlfn.XLOOKUP(B502,'4.分割能力表'!B:B,'4.分割能力表'!E:E)</f>
        <v>7500</v>
      </c>
      <c r="G502" t="s">
        <v>87</v>
      </c>
      <c r="H502">
        <f>_xlfn.XLOOKUP(G502,系数辅助表!$C:$C,系数辅助表!$D:$D)</f>
        <v>2.2223443412660699E-3</v>
      </c>
      <c r="J502">
        <f t="shared" si="47"/>
        <v>85.338022704617103</v>
      </c>
      <c r="K502">
        <f t="shared" si="44"/>
        <v>85.338022704617103</v>
      </c>
      <c r="L502">
        <v>0</v>
      </c>
    </row>
    <row r="503" spans="1:12" x14ac:dyDescent="0.3">
      <c r="A503" s="2" t="s">
        <v>33</v>
      </c>
      <c r="B503" t="s">
        <v>160</v>
      </c>
      <c r="C503" t="s">
        <v>161</v>
      </c>
      <c r="D503">
        <f>_xlfn.XLOOKUP(B503,'3.屠宰能力表'!B:B,'3.屠宰能力表'!E:E)</f>
        <v>838</v>
      </c>
      <c r="E503">
        <f>_xlfn.XLOOKUP(B503,'4.分割能力表'!B:B,'4.分割能力表'!D:D)</f>
        <v>320</v>
      </c>
      <c r="F503">
        <f>_xlfn.XLOOKUP(B503,'4.分割能力表'!B:B,'4.分割能力表'!E:E)</f>
        <v>7500</v>
      </c>
      <c r="G503" t="s">
        <v>88</v>
      </c>
      <c r="H503">
        <f>_xlfn.XLOOKUP(G503,系数辅助表!$C:$C,系数辅助表!$D:$D)</f>
        <v>1.5880638483545301E-3</v>
      </c>
      <c r="J503">
        <f t="shared" si="47"/>
        <v>60.981651776813997</v>
      </c>
      <c r="K503">
        <f t="shared" si="44"/>
        <v>60.981651776813997</v>
      </c>
      <c r="L503">
        <v>0</v>
      </c>
    </row>
    <row r="504" spans="1:12" x14ac:dyDescent="0.3">
      <c r="A504" s="2" t="s">
        <v>33</v>
      </c>
      <c r="B504" t="s">
        <v>160</v>
      </c>
      <c r="C504" t="s">
        <v>161</v>
      </c>
      <c r="D504">
        <f>_xlfn.XLOOKUP(B504,'3.屠宰能力表'!B:B,'3.屠宰能力表'!E:E)</f>
        <v>838</v>
      </c>
      <c r="E504">
        <f>_xlfn.XLOOKUP(B504,'4.分割能力表'!B:B,'4.分割能力表'!D:D)</f>
        <v>320</v>
      </c>
      <c r="F504">
        <f>_xlfn.XLOOKUP(B504,'4.分割能力表'!B:B,'4.分割能力表'!E:E)</f>
        <v>7500</v>
      </c>
      <c r="G504" t="s">
        <v>89</v>
      </c>
      <c r="H504">
        <f>_xlfn.XLOOKUP(G504,系数辅助表!$C:$C,系数辅助表!$D:$D)</f>
        <v>1.0324777630380101E-2</v>
      </c>
      <c r="J504">
        <f t="shared" si="47"/>
        <v>396.47146100659597</v>
      </c>
      <c r="K504">
        <f t="shared" si="44"/>
        <v>274.22941518995901</v>
      </c>
      <c r="L504">
        <v>122.242045816637</v>
      </c>
    </row>
    <row r="505" spans="1:12" x14ac:dyDescent="0.3">
      <c r="A505" s="2" t="s">
        <v>33</v>
      </c>
      <c r="B505" t="s">
        <v>160</v>
      </c>
      <c r="C505" t="s">
        <v>161</v>
      </c>
      <c r="D505">
        <f>_xlfn.XLOOKUP(B505,'3.屠宰能力表'!B:B,'3.屠宰能力表'!E:E)</f>
        <v>838</v>
      </c>
      <c r="E505">
        <f>_xlfn.XLOOKUP(B505,'4.分割能力表'!B:B,'4.分割能力表'!D:D)</f>
        <v>320</v>
      </c>
      <c r="F505">
        <f>_xlfn.XLOOKUP(B505,'4.分割能力表'!B:B,'4.分割能力表'!E:E)</f>
        <v>7500</v>
      </c>
      <c r="G505" t="s">
        <v>90</v>
      </c>
      <c r="H505">
        <f>_xlfn.XLOOKUP(G505,系数辅助表!$C:$C,系数辅助表!$D:$D)</f>
        <v>2.86E-2</v>
      </c>
      <c r="J505">
        <f t="shared" si="47"/>
        <v>1098.24</v>
      </c>
      <c r="K505">
        <f t="shared" si="44"/>
        <v>759.62520019369003</v>
      </c>
      <c r="L505">
        <v>338.61479980630997</v>
      </c>
    </row>
    <row r="506" spans="1:12" x14ac:dyDescent="0.3">
      <c r="A506" s="2" t="s">
        <v>33</v>
      </c>
      <c r="B506" t="s">
        <v>160</v>
      </c>
      <c r="C506" t="s">
        <v>161</v>
      </c>
      <c r="D506">
        <f>_xlfn.XLOOKUP(B506,'3.屠宰能力表'!B:B,'3.屠宰能力表'!E:E)</f>
        <v>838</v>
      </c>
      <c r="E506">
        <f>_xlfn.XLOOKUP(B506,'4.分割能力表'!B:B,'4.分割能力表'!D:D)</f>
        <v>320</v>
      </c>
      <c r="F506">
        <f>_xlfn.XLOOKUP(B506,'4.分割能力表'!B:B,'4.分割能力表'!E:E)</f>
        <v>7500</v>
      </c>
      <c r="G506" t="s">
        <v>91</v>
      </c>
      <c r="H506">
        <f>_xlfn.XLOOKUP(G506,系数辅助表!$C:$C,系数辅助表!$D:$D)</f>
        <v>2.1645581232916301E-2</v>
      </c>
      <c r="J506">
        <f t="shared" si="47"/>
        <v>831.19031934398595</v>
      </c>
      <c r="K506">
        <f t="shared" si="44"/>
        <v>574.91360060709201</v>
      </c>
      <c r="L506">
        <v>256.276718736894</v>
      </c>
    </row>
    <row r="507" spans="1:12" x14ac:dyDescent="0.3">
      <c r="A507" s="2" t="s">
        <v>33</v>
      </c>
      <c r="B507" t="s">
        <v>160</v>
      </c>
      <c r="C507" t="s">
        <v>161</v>
      </c>
      <c r="D507">
        <f>_xlfn.XLOOKUP(B507,'3.屠宰能力表'!B:B,'3.屠宰能力表'!E:E)</f>
        <v>838</v>
      </c>
      <c r="E507">
        <f>_xlfn.XLOOKUP(B507,'4.分割能力表'!B:B,'4.分割能力表'!D:D)</f>
        <v>320</v>
      </c>
      <c r="F507">
        <f>_xlfn.XLOOKUP(B507,'4.分割能力表'!B:B,'4.分割能力表'!E:E)</f>
        <v>7500</v>
      </c>
      <c r="G507" t="s">
        <v>92</v>
      </c>
      <c r="H507">
        <f>_xlfn.XLOOKUP(G507,系数辅助表!$C:$C,系数辅助表!$D:$D)</f>
        <v>1.4286499336710399E-3</v>
      </c>
      <c r="J507">
        <f t="shared" si="47"/>
        <v>54.860157452967897</v>
      </c>
      <c r="K507">
        <f t="shared" si="44"/>
        <v>54.860157452967897</v>
      </c>
      <c r="L507">
        <v>0</v>
      </c>
    </row>
    <row r="508" spans="1:12" x14ac:dyDescent="0.3">
      <c r="A508" s="2" t="s">
        <v>33</v>
      </c>
      <c r="B508" t="s">
        <v>160</v>
      </c>
      <c r="C508" t="s">
        <v>161</v>
      </c>
      <c r="D508">
        <f>_xlfn.XLOOKUP(B508,'3.屠宰能力表'!B:B,'3.屠宰能力表'!E:E)</f>
        <v>838</v>
      </c>
      <c r="E508">
        <f>_xlfn.XLOOKUP(B508,'4.分割能力表'!B:B,'4.分割能力表'!D:D)</f>
        <v>320</v>
      </c>
      <c r="F508">
        <f>_xlfn.XLOOKUP(B508,'4.分割能力表'!B:B,'4.分割能力表'!E:E)</f>
        <v>7500</v>
      </c>
      <c r="G508" t="s">
        <v>93</v>
      </c>
      <c r="H508"/>
      <c r="J508">
        <f t="shared" ref="J508:J516" si="48">IFERROR(INDEX($L:$L,MATCH(SUBSTITUTE(G508,"-冷冻",""),$G:$G,0)),"")</f>
        <v>9376.24540321104</v>
      </c>
    </row>
    <row r="509" spans="1:12" x14ac:dyDescent="0.3">
      <c r="A509" s="2" t="s">
        <v>33</v>
      </c>
      <c r="B509" t="s">
        <v>160</v>
      </c>
      <c r="C509" t="s">
        <v>161</v>
      </c>
      <c r="D509">
        <f>_xlfn.XLOOKUP(B509,'3.屠宰能力表'!B:B,'3.屠宰能力表'!E:E)</f>
        <v>838</v>
      </c>
      <c r="E509">
        <f>_xlfn.XLOOKUP(B509,'4.分割能力表'!B:B,'4.分割能力表'!D:D)</f>
        <v>320</v>
      </c>
      <c r="F509">
        <f>_xlfn.XLOOKUP(B509,'4.分割能力表'!B:B,'4.分割能力表'!E:E)</f>
        <v>7500</v>
      </c>
      <c r="G509" t="s">
        <v>96</v>
      </c>
      <c r="H509"/>
      <c r="J509">
        <f t="shared" si="48"/>
        <v>1654.6315417431299</v>
      </c>
    </row>
    <row r="510" spans="1:12" x14ac:dyDescent="0.3">
      <c r="A510" s="2" t="s">
        <v>33</v>
      </c>
      <c r="B510" t="s">
        <v>160</v>
      </c>
      <c r="C510" t="s">
        <v>161</v>
      </c>
      <c r="D510">
        <f>_xlfn.XLOOKUP(B510,'3.屠宰能力表'!B:B,'3.屠宰能力表'!E:E)</f>
        <v>838</v>
      </c>
      <c r="E510">
        <f>_xlfn.XLOOKUP(B510,'4.分割能力表'!B:B,'4.分割能力表'!D:D)</f>
        <v>320</v>
      </c>
      <c r="F510">
        <f>_xlfn.XLOOKUP(B510,'4.分割能力表'!B:B,'4.分割能力表'!E:E)</f>
        <v>7500</v>
      </c>
      <c r="G510" t="s">
        <v>97</v>
      </c>
      <c r="H510"/>
      <c r="J510">
        <f t="shared" si="48"/>
        <v>3265.6754887563802</v>
      </c>
    </row>
    <row r="511" spans="1:12" x14ac:dyDescent="0.3">
      <c r="A511" s="2" t="s">
        <v>33</v>
      </c>
      <c r="B511" t="s">
        <v>160</v>
      </c>
      <c r="C511" t="s">
        <v>161</v>
      </c>
      <c r="D511">
        <f>_xlfn.XLOOKUP(B511,'3.屠宰能力表'!B:B,'3.屠宰能力表'!E:E)</f>
        <v>838</v>
      </c>
      <c r="E511">
        <f>_xlfn.XLOOKUP(B511,'4.分割能力表'!B:B,'4.分割能力表'!D:D)</f>
        <v>320</v>
      </c>
      <c r="F511">
        <f>_xlfn.XLOOKUP(B511,'4.分割能力表'!B:B,'4.分割能力表'!E:E)</f>
        <v>7500</v>
      </c>
      <c r="G511" t="s">
        <v>99</v>
      </c>
      <c r="H511"/>
      <c r="J511">
        <f t="shared" si="48"/>
        <v>5350.4415805199897</v>
      </c>
    </row>
    <row r="512" spans="1:12" x14ac:dyDescent="0.3">
      <c r="A512" s="2" t="s">
        <v>33</v>
      </c>
      <c r="B512" t="s">
        <v>160</v>
      </c>
      <c r="C512" t="s">
        <v>161</v>
      </c>
      <c r="D512">
        <f>_xlfn.XLOOKUP(B512,'3.屠宰能力表'!B:B,'3.屠宰能力表'!E:E)</f>
        <v>838</v>
      </c>
      <c r="E512">
        <f>_xlfn.XLOOKUP(B512,'4.分割能力表'!B:B,'4.分割能力表'!D:D)</f>
        <v>320</v>
      </c>
      <c r="F512">
        <f>_xlfn.XLOOKUP(B512,'4.分割能力表'!B:B,'4.分割能力表'!E:E)</f>
        <v>7500</v>
      </c>
      <c r="G512" t="s">
        <v>100</v>
      </c>
      <c r="H512"/>
      <c r="J512">
        <f t="shared" si="48"/>
        <v>1280.32955330441</v>
      </c>
    </row>
    <row r="513" spans="1:11" x14ac:dyDescent="0.3">
      <c r="A513" s="2" t="s">
        <v>33</v>
      </c>
      <c r="B513" t="s">
        <v>160</v>
      </c>
      <c r="C513" t="s">
        <v>161</v>
      </c>
      <c r="D513">
        <f>_xlfn.XLOOKUP(B513,'3.屠宰能力表'!B:B,'3.屠宰能力表'!E:E)</f>
        <v>838</v>
      </c>
      <c r="E513">
        <f>_xlfn.XLOOKUP(B513,'4.分割能力表'!B:B,'4.分割能力表'!D:D)</f>
        <v>320</v>
      </c>
      <c r="F513">
        <f>_xlfn.XLOOKUP(B513,'4.分割能力表'!B:B,'4.分割能力表'!E:E)</f>
        <v>7500</v>
      </c>
      <c r="G513" t="s">
        <v>101</v>
      </c>
      <c r="H513"/>
      <c r="J513">
        <f t="shared" si="48"/>
        <v>12463.2659808302</v>
      </c>
    </row>
    <row r="514" spans="1:11" x14ac:dyDescent="0.3">
      <c r="A514" s="2" t="s">
        <v>33</v>
      </c>
      <c r="B514" t="s">
        <v>160</v>
      </c>
      <c r="C514" t="s">
        <v>161</v>
      </c>
      <c r="D514">
        <f>_xlfn.XLOOKUP(B514,'3.屠宰能力表'!B:B,'3.屠宰能力表'!E:E)</f>
        <v>838</v>
      </c>
      <c r="E514">
        <f>_xlfn.XLOOKUP(B514,'4.分割能力表'!B:B,'4.分割能力表'!D:D)</f>
        <v>320</v>
      </c>
      <c r="F514">
        <f>_xlfn.XLOOKUP(B514,'4.分割能力表'!B:B,'4.分割能力表'!E:E)</f>
        <v>7500</v>
      </c>
      <c r="G514" t="s">
        <v>102</v>
      </c>
      <c r="H514"/>
      <c r="J514">
        <f t="shared" si="48"/>
        <v>9710.7572628296493</v>
      </c>
    </row>
    <row r="515" spans="1:11" x14ac:dyDescent="0.3">
      <c r="A515" s="2" t="s">
        <v>33</v>
      </c>
      <c r="B515" t="s">
        <v>160</v>
      </c>
      <c r="C515" t="s">
        <v>161</v>
      </c>
      <c r="D515">
        <f>_xlfn.XLOOKUP(B515,'3.屠宰能力表'!B:B,'3.屠宰能力表'!E:E)</f>
        <v>838</v>
      </c>
      <c r="E515">
        <f>_xlfn.XLOOKUP(B515,'4.分割能力表'!B:B,'4.分割能力表'!D:D)</f>
        <v>320</v>
      </c>
      <c r="F515">
        <f>_xlfn.XLOOKUP(B515,'4.分割能力表'!B:B,'4.分割能力表'!E:E)</f>
        <v>7500</v>
      </c>
      <c r="G515" t="s">
        <v>103</v>
      </c>
      <c r="H515"/>
      <c r="J515">
        <f t="shared" si="48"/>
        <v>2218.8323154482</v>
      </c>
    </row>
    <row r="516" spans="1:11" x14ac:dyDescent="0.3">
      <c r="A516" s="2" t="s">
        <v>33</v>
      </c>
      <c r="B516" t="s">
        <v>160</v>
      </c>
      <c r="C516" t="s">
        <v>161</v>
      </c>
      <c r="D516">
        <f>_xlfn.XLOOKUP(B516,'3.屠宰能力表'!B:B,'3.屠宰能力表'!E:E)</f>
        <v>838</v>
      </c>
      <c r="E516">
        <f>_xlfn.XLOOKUP(B516,'4.分割能力表'!B:B,'4.分割能力表'!D:D)</f>
        <v>320</v>
      </c>
      <c r="F516">
        <f>_xlfn.XLOOKUP(B516,'4.分割能力表'!B:B,'4.分割能力表'!E:E)</f>
        <v>7500</v>
      </c>
      <c r="G516" t="s">
        <v>104</v>
      </c>
      <c r="H516"/>
      <c r="J516">
        <f t="shared" si="48"/>
        <v>3131.6092650717901</v>
      </c>
    </row>
    <row r="517" spans="1:11" x14ac:dyDescent="0.3">
      <c r="A517" s="2" t="s">
        <v>33</v>
      </c>
      <c r="B517" t="s">
        <v>160</v>
      </c>
      <c r="C517" t="s">
        <v>161</v>
      </c>
      <c r="D517">
        <f>_xlfn.XLOOKUP(B517,'3.屠宰能力表'!B:B,'3.屠宰能力表'!E:E)</f>
        <v>838</v>
      </c>
      <c r="E517">
        <f>_xlfn.XLOOKUP(B517,'4.分割能力表'!B:B,'4.分割能力表'!D:D)</f>
        <v>320</v>
      </c>
      <c r="F517">
        <f>_xlfn.XLOOKUP(B517,'4.分割能力表'!B:B,'4.分割能力表'!E:E)</f>
        <v>7500</v>
      </c>
      <c r="G517" t="s">
        <v>105</v>
      </c>
      <c r="H517"/>
      <c r="J517">
        <f t="shared" ref="J517:J523" si="49">IFERROR(INDEX($L:$L,MATCH(SUBSTITUTE(G517,"-冷冻",""),$G:$G,0)),"")</f>
        <v>6973.9269990807697</v>
      </c>
    </row>
    <row r="518" spans="1:11" x14ac:dyDescent="0.3">
      <c r="A518" s="2" t="s">
        <v>33</v>
      </c>
      <c r="B518" t="s">
        <v>160</v>
      </c>
      <c r="C518" t="s">
        <v>161</v>
      </c>
      <c r="D518">
        <f>_xlfn.XLOOKUP(B518,'3.屠宰能力表'!B:B,'3.屠宰能力表'!E:E)</f>
        <v>838</v>
      </c>
      <c r="E518">
        <f>_xlfn.XLOOKUP(B518,'4.分割能力表'!B:B,'4.分割能力表'!D:D)</f>
        <v>320</v>
      </c>
      <c r="F518">
        <f>_xlfn.XLOOKUP(B518,'4.分割能力表'!B:B,'4.分割能力表'!E:E)</f>
        <v>7500</v>
      </c>
      <c r="G518" t="s">
        <v>108</v>
      </c>
      <c r="H518"/>
      <c r="J518">
        <f t="shared" si="49"/>
        <v>1497.5196992639701</v>
      </c>
    </row>
    <row r="519" spans="1:11" x14ac:dyDescent="0.3">
      <c r="A519" s="2" t="s">
        <v>33</v>
      </c>
      <c r="B519" t="s">
        <v>160</v>
      </c>
      <c r="C519" t="s">
        <v>161</v>
      </c>
      <c r="D519">
        <f>_xlfn.XLOOKUP(B519,'3.屠宰能力表'!B:B,'3.屠宰能力表'!E:E)</f>
        <v>838</v>
      </c>
      <c r="E519">
        <f>_xlfn.XLOOKUP(B519,'4.分割能力表'!B:B,'4.分割能力表'!D:D)</f>
        <v>320</v>
      </c>
      <c r="F519">
        <f>_xlfn.XLOOKUP(B519,'4.分割能力表'!B:B,'4.分割能力表'!E:E)</f>
        <v>7500</v>
      </c>
      <c r="G519" t="s">
        <v>115</v>
      </c>
      <c r="H519"/>
      <c r="J519">
        <f t="shared" si="49"/>
        <v>1173.5236398397201</v>
      </c>
    </row>
    <row r="520" spans="1:11" x14ac:dyDescent="0.3">
      <c r="A520" s="2" t="s">
        <v>33</v>
      </c>
      <c r="B520" t="s">
        <v>160</v>
      </c>
      <c r="C520" t="s">
        <v>161</v>
      </c>
      <c r="D520">
        <f>_xlfn.XLOOKUP(B520,'3.屠宰能力表'!B:B,'3.屠宰能力表'!E:E)</f>
        <v>838</v>
      </c>
      <c r="E520">
        <f>_xlfn.XLOOKUP(B520,'4.分割能力表'!B:B,'4.分割能力表'!D:D)</f>
        <v>320</v>
      </c>
      <c r="F520">
        <f>_xlfn.XLOOKUP(B520,'4.分割能力表'!B:B,'4.分割能力表'!E:E)</f>
        <v>7500</v>
      </c>
      <c r="G520" t="s">
        <v>116</v>
      </c>
      <c r="H520"/>
      <c r="J520">
        <f t="shared" si="49"/>
        <v>3250.7020781405799</v>
      </c>
    </row>
    <row r="521" spans="1:11" x14ac:dyDescent="0.3">
      <c r="A521" s="2" t="s">
        <v>33</v>
      </c>
      <c r="B521" t="s">
        <v>160</v>
      </c>
      <c r="C521" t="s">
        <v>161</v>
      </c>
      <c r="D521">
        <f>_xlfn.XLOOKUP(B521,'3.屠宰能力表'!B:B,'3.屠宰能力表'!E:E)</f>
        <v>838</v>
      </c>
      <c r="E521">
        <f>_xlfn.XLOOKUP(B521,'4.分割能力表'!B:B,'4.分割能力表'!D:D)</f>
        <v>320</v>
      </c>
      <c r="F521">
        <f>_xlfn.XLOOKUP(B521,'4.分割能力表'!B:B,'4.分割能力表'!E:E)</f>
        <v>7500</v>
      </c>
      <c r="G521" t="s">
        <v>117</v>
      </c>
      <c r="H521"/>
      <c r="J521">
        <f t="shared" si="49"/>
        <v>2460.25649987418</v>
      </c>
    </row>
    <row r="522" spans="1:11" x14ac:dyDescent="0.3">
      <c r="A522" s="2" t="s">
        <v>33</v>
      </c>
      <c r="B522" t="s">
        <v>160</v>
      </c>
      <c r="C522" t="s">
        <v>161</v>
      </c>
      <c r="D522">
        <f>_xlfn.XLOOKUP(B522,'3.屠宰能力表'!B:B,'3.屠宰能力表'!E:E)</f>
        <v>838</v>
      </c>
      <c r="E522">
        <f>_xlfn.XLOOKUP(B522,'4.分割能力表'!B:B,'4.分割能力表'!D:D)</f>
        <v>320</v>
      </c>
      <c r="F522">
        <f>_xlfn.XLOOKUP(B522,'4.分割能力表'!B:B,'4.分割能力表'!E:E)</f>
        <v>7500</v>
      </c>
      <c r="G522" t="s">
        <v>120</v>
      </c>
      <c r="H522"/>
      <c r="J522">
        <f t="shared" si="49"/>
        <v>2083.14252302766</v>
      </c>
    </row>
    <row r="523" spans="1:11" x14ac:dyDescent="0.3">
      <c r="A523" s="2" t="s">
        <v>33</v>
      </c>
      <c r="B523" t="s">
        <v>160</v>
      </c>
      <c r="C523" t="s">
        <v>161</v>
      </c>
      <c r="D523">
        <f>_xlfn.XLOOKUP(B523,'3.屠宰能力表'!B:B,'3.屠宰能力表'!E:E)</f>
        <v>838</v>
      </c>
      <c r="E523">
        <f>_xlfn.XLOOKUP(B523,'4.分割能力表'!B:B,'4.分割能力表'!D:D)</f>
        <v>320</v>
      </c>
      <c r="F523">
        <f>_xlfn.XLOOKUP(B523,'4.分割能力表'!B:B,'4.分割能力表'!E:E)</f>
        <v>7500</v>
      </c>
      <c r="G523" t="s">
        <v>131</v>
      </c>
      <c r="H523"/>
      <c r="J523">
        <f t="shared" si="49"/>
        <v>2102.8145852457801</v>
      </c>
    </row>
    <row r="524" spans="1:11" x14ac:dyDescent="0.3">
      <c r="A524" s="2" t="s">
        <v>13</v>
      </c>
      <c r="B524" t="s">
        <v>164</v>
      </c>
      <c r="C524" t="s">
        <v>165</v>
      </c>
      <c r="D524" s="8">
        <f>_xlfn.XLOOKUP(B524,'3.屠宰能力表'!B:B,'3.屠宰能力表'!E:E)</f>
        <v>2739.7260273972602</v>
      </c>
      <c r="E524">
        <f>_xlfn.XLOOKUP(B524,'4.分割能力表'!B:B,'4.分割能力表'!D:D)</f>
        <v>0</v>
      </c>
      <c r="F524">
        <f>_xlfn.XLOOKUP(B524,'4.分割能力表'!B:B,'4.分割能力表'!E:E)</f>
        <v>0</v>
      </c>
      <c r="G524" t="s">
        <v>41</v>
      </c>
      <c r="H524">
        <f>_xlfn.XLOOKUP(G524,系数辅助表!$C:$C,系数辅助表!$D:$D)</f>
        <v>0.71499999999999997</v>
      </c>
      <c r="J524">
        <f>(D524-E524)*H524*$D$1</f>
        <v>235068.49315068501</v>
      </c>
      <c r="K524">
        <f>J524-L524</f>
        <v>235068.49315068501</v>
      </c>
    </row>
    <row r="525" spans="1:11" x14ac:dyDescent="0.3">
      <c r="A525" s="2" t="s">
        <v>13</v>
      </c>
      <c r="B525" t="s">
        <v>164</v>
      </c>
      <c r="C525" t="s">
        <v>165</v>
      </c>
      <c r="D525" s="8">
        <f>_xlfn.XLOOKUP(B525,'3.屠宰能力表'!B:B,'3.屠宰能力表'!E:E)</f>
        <v>2739.7260273972602</v>
      </c>
      <c r="E525">
        <f>_xlfn.XLOOKUP(B525,'4.分割能力表'!B:B,'4.分割能力表'!D:D)</f>
        <v>0</v>
      </c>
      <c r="F525">
        <f>_xlfn.XLOOKUP(B525,'4.分割能力表'!B:B,'4.分割能力表'!E:E)</f>
        <v>0</v>
      </c>
      <c r="G525" t="s">
        <v>44</v>
      </c>
      <c r="H525">
        <f>_xlfn.XLOOKUP(G525,系数辅助表!$C:$C,系数辅助表!$D:$D)</f>
        <v>4.3342237679380002E-2</v>
      </c>
      <c r="J525">
        <f>$D525*H525*$D$1</f>
        <v>14249.5027987003</v>
      </c>
      <c r="K525">
        <f t="shared" ref="K525:K588" si="50">J525-L525</f>
        <v>14249.5027987003</v>
      </c>
    </row>
    <row r="526" spans="1:11" x14ac:dyDescent="0.3">
      <c r="A526" s="2" t="s">
        <v>13</v>
      </c>
      <c r="B526" t="s">
        <v>164</v>
      </c>
      <c r="C526" t="s">
        <v>165</v>
      </c>
      <c r="D526" s="8">
        <f>_xlfn.XLOOKUP(B526,'3.屠宰能力表'!B:B,'3.屠宰能力表'!E:E)</f>
        <v>2739.7260273972602</v>
      </c>
      <c r="E526">
        <f>_xlfn.XLOOKUP(B526,'4.分割能力表'!B:B,'4.分割能力表'!D:D)</f>
        <v>0</v>
      </c>
      <c r="F526">
        <f>_xlfn.XLOOKUP(B526,'4.分割能力表'!B:B,'4.分割能力表'!E:E)</f>
        <v>0</v>
      </c>
      <c r="G526" t="s">
        <v>46</v>
      </c>
      <c r="H526">
        <f>_xlfn.XLOOKUP(G526,系数辅助表!$C:$C,系数辅助表!$D:$D)</f>
        <v>3.2562132013653599E-4</v>
      </c>
      <c r="J526">
        <f t="shared" ref="J526:J546" si="51">$D526*H526*$D$1</f>
        <v>107.053584702423</v>
      </c>
      <c r="K526">
        <f t="shared" si="50"/>
        <v>107.053584702423</v>
      </c>
    </row>
    <row r="527" spans="1:11" x14ac:dyDescent="0.3">
      <c r="A527" s="2" t="s">
        <v>13</v>
      </c>
      <c r="B527" t="s">
        <v>164</v>
      </c>
      <c r="C527" t="s">
        <v>165</v>
      </c>
      <c r="D527" s="8">
        <f>_xlfn.XLOOKUP(B527,'3.屠宰能力表'!B:B,'3.屠宰能力表'!E:E)</f>
        <v>2739.7260273972602</v>
      </c>
      <c r="E527">
        <f>_xlfn.XLOOKUP(B527,'4.分割能力表'!B:B,'4.分割能力表'!D:D)</f>
        <v>0</v>
      </c>
      <c r="F527">
        <f>_xlfn.XLOOKUP(B527,'4.分割能力表'!B:B,'4.分割能力表'!E:E)</f>
        <v>0</v>
      </c>
      <c r="G527" t="s">
        <v>47</v>
      </c>
      <c r="H527">
        <f>_xlfn.XLOOKUP(G527,系数辅助表!$C:$C,系数辅助表!$D:$D)</f>
        <v>3.0632398515360198E-3</v>
      </c>
      <c r="J527">
        <f t="shared" si="51"/>
        <v>1007.09255392965</v>
      </c>
      <c r="K527">
        <f t="shared" si="50"/>
        <v>1007.09255392965</v>
      </c>
    </row>
    <row r="528" spans="1:11" x14ac:dyDescent="0.3">
      <c r="A528" s="2" t="s">
        <v>13</v>
      </c>
      <c r="B528" t="s">
        <v>164</v>
      </c>
      <c r="C528" t="s">
        <v>165</v>
      </c>
      <c r="D528" s="8">
        <f>_xlfn.XLOOKUP(B528,'3.屠宰能力表'!B:B,'3.屠宰能力表'!E:E)</f>
        <v>2739.7260273972602</v>
      </c>
      <c r="E528">
        <f>_xlfn.XLOOKUP(B528,'4.分割能力表'!B:B,'4.分割能力表'!D:D)</f>
        <v>0</v>
      </c>
      <c r="F528">
        <f>_xlfn.XLOOKUP(B528,'4.分割能力表'!B:B,'4.分割能力表'!E:E)</f>
        <v>0</v>
      </c>
      <c r="G528" t="s">
        <v>48</v>
      </c>
      <c r="H528">
        <f>_xlfn.XLOOKUP(G528,系数辅助表!$C:$C,系数辅助表!$D:$D)</f>
        <v>1.5822796716383002E-2</v>
      </c>
      <c r="J528">
        <f t="shared" si="51"/>
        <v>5202.0153588108496</v>
      </c>
      <c r="K528">
        <f t="shared" si="50"/>
        <v>5202.0153588108496</v>
      </c>
    </row>
    <row r="529" spans="1:11" x14ac:dyDescent="0.3">
      <c r="A529" s="2" t="s">
        <v>13</v>
      </c>
      <c r="B529" t="s">
        <v>164</v>
      </c>
      <c r="C529" t="s">
        <v>165</v>
      </c>
      <c r="D529" s="8">
        <f>_xlfn.XLOOKUP(B529,'3.屠宰能力表'!B:B,'3.屠宰能力表'!E:E)</f>
        <v>2739.7260273972602</v>
      </c>
      <c r="E529">
        <f>_xlfn.XLOOKUP(B529,'4.分割能力表'!B:B,'4.分割能力表'!D:D)</f>
        <v>0</v>
      </c>
      <c r="F529">
        <f>_xlfn.XLOOKUP(B529,'4.分割能力表'!B:B,'4.分割能力表'!E:E)</f>
        <v>0</v>
      </c>
      <c r="G529" t="s">
        <v>49</v>
      </c>
      <c r="H529">
        <f>_xlfn.XLOOKUP(G529,系数辅助表!$C:$C,系数辅助表!$D:$D)</f>
        <v>3.0934025412970799E-3</v>
      </c>
      <c r="J529">
        <f t="shared" si="51"/>
        <v>1017.00905467301</v>
      </c>
      <c r="K529">
        <f t="shared" si="50"/>
        <v>1017.00905467301</v>
      </c>
    </row>
    <row r="530" spans="1:11" x14ac:dyDescent="0.3">
      <c r="A530" s="2" t="s">
        <v>13</v>
      </c>
      <c r="B530" t="s">
        <v>164</v>
      </c>
      <c r="C530" t="s">
        <v>165</v>
      </c>
      <c r="D530" s="8">
        <f>_xlfn.XLOOKUP(B530,'3.屠宰能力表'!B:B,'3.屠宰能力表'!E:E)</f>
        <v>2739.7260273972602</v>
      </c>
      <c r="E530">
        <f>_xlfn.XLOOKUP(B530,'4.分割能力表'!B:B,'4.分割能力表'!D:D)</f>
        <v>0</v>
      </c>
      <c r="F530">
        <f>_xlfn.XLOOKUP(B530,'4.分割能力表'!B:B,'4.分割能力表'!E:E)</f>
        <v>0</v>
      </c>
      <c r="G530" t="s">
        <v>50</v>
      </c>
      <c r="H530">
        <f>_xlfn.XLOOKUP(G530,系数辅助表!$C:$C,系数辅助表!$D:$D)</f>
        <v>1.08247988845052E-2</v>
      </c>
      <c r="J530">
        <f t="shared" si="51"/>
        <v>3558.8379894263699</v>
      </c>
      <c r="K530">
        <f t="shared" si="50"/>
        <v>3558.8379894263699</v>
      </c>
    </row>
    <row r="531" spans="1:11" x14ac:dyDescent="0.3">
      <c r="A531" s="2" t="s">
        <v>13</v>
      </c>
      <c r="B531" t="s">
        <v>164</v>
      </c>
      <c r="C531" t="s">
        <v>165</v>
      </c>
      <c r="D531" s="8">
        <f>_xlfn.XLOOKUP(B531,'3.屠宰能力表'!B:B,'3.屠宰能力表'!E:E)</f>
        <v>2739.7260273972602</v>
      </c>
      <c r="E531">
        <f>_xlfn.XLOOKUP(B531,'4.分割能力表'!B:B,'4.分割能力表'!D:D)</f>
        <v>0</v>
      </c>
      <c r="F531">
        <f>_xlfn.XLOOKUP(B531,'4.分割能力表'!B:B,'4.分割能力表'!E:E)</f>
        <v>0</v>
      </c>
      <c r="G531" t="s">
        <v>51</v>
      </c>
      <c r="H531">
        <f>_xlfn.XLOOKUP(G531,系数辅助表!$C:$C,系数辅助表!$D:$D)</f>
        <v>4.9657251320821601E-3</v>
      </c>
      <c r="J531">
        <f t="shared" si="51"/>
        <v>1632.56716671194</v>
      </c>
      <c r="K531">
        <f t="shared" si="50"/>
        <v>1632.56716671194</v>
      </c>
    </row>
    <row r="532" spans="1:11" x14ac:dyDescent="0.3">
      <c r="A532" s="2" t="s">
        <v>13</v>
      </c>
      <c r="B532" t="s">
        <v>164</v>
      </c>
      <c r="C532" t="s">
        <v>165</v>
      </c>
      <c r="D532" s="8">
        <f>_xlfn.XLOOKUP(B532,'3.屠宰能力表'!B:B,'3.屠宰能力表'!E:E)</f>
        <v>2739.7260273972602</v>
      </c>
      <c r="E532">
        <f>_xlfn.XLOOKUP(B532,'4.分割能力表'!B:B,'4.分割能力表'!D:D)</f>
        <v>0</v>
      </c>
      <c r="F532">
        <f>_xlfn.XLOOKUP(B532,'4.分割能力表'!B:B,'4.分割能力表'!E:E)</f>
        <v>0</v>
      </c>
      <c r="G532" t="s">
        <v>52</v>
      </c>
      <c r="H532">
        <f>_xlfn.XLOOKUP(G532,系数辅助表!$C:$C,系数辅助表!$D:$D)</f>
        <v>4.1516718317408203E-3</v>
      </c>
      <c r="J532">
        <f t="shared" si="51"/>
        <v>1364.93320495589</v>
      </c>
      <c r="K532">
        <f t="shared" si="50"/>
        <v>1364.93320495589</v>
      </c>
    </row>
    <row r="533" spans="1:11" x14ac:dyDescent="0.3">
      <c r="A533" s="2" t="s">
        <v>13</v>
      </c>
      <c r="B533" t="s">
        <v>164</v>
      </c>
      <c r="C533" t="s">
        <v>165</v>
      </c>
      <c r="D533" s="8">
        <f>_xlfn.XLOOKUP(B533,'3.屠宰能力表'!B:B,'3.屠宰能力表'!E:E)</f>
        <v>2739.7260273972602</v>
      </c>
      <c r="E533">
        <f>_xlfn.XLOOKUP(B533,'4.分割能力表'!B:B,'4.分割能力表'!D:D)</f>
        <v>0</v>
      </c>
      <c r="F533">
        <f>_xlfn.XLOOKUP(B533,'4.分割能力表'!B:B,'4.分割能力表'!E:E)</f>
        <v>0</v>
      </c>
      <c r="G533" t="s">
        <v>53</v>
      </c>
      <c r="H533">
        <f>_xlfn.XLOOKUP(G533,系数辅助表!$C:$C,系数辅助表!$D:$D)</f>
        <v>3.6632398515360201E-3</v>
      </c>
      <c r="J533">
        <f t="shared" si="51"/>
        <v>1204.3528279022501</v>
      </c>
      <c r="K533">
        <f t="shared" si="50"/>
        <v>1204.3528279022501</v>
      </c>
    </row>
    <row r="534" spans="1:11" x14ac:dyDescent="0.3">
      <c r="A534" s="2" t="s">
        <v>13</v>
      </c>
      <c r="B534" t="s">
        <v>164</v>
      </c>
      <c r="C534" t="s">
        <v>165</v>
      </c>
      <c r="D534" s="8">
        <f>_xlfn.XLOOKUP(B534,'3.屠宰能力表'!B:B,'3.屠宰能力表'!E:E)</f>
        <v>2739.7260273972602</v>
      </c>
      <c r="E534">
        <f>_xlfn.XLOOKUP(B534,'4.分割能力表'!B:B,'4.分割能力表'!D:D)</f>
        <v>0</v>
      </c>
      <c r="F534">
        <f>_xlfn.XLOOKUP(B534,'4.分割能力表'!B:B,'4.分割能力表'!E:E)</f>
        <v>0</v>
      </c>
      <c r="G534" t="s">
        <v>54</v>
      </c>
      <c r="H534">
        <f>_xlfn.XLOOKUP(G534,系数辅助表!$C:$C,系数辅助表!$D:$D)</f>
        <v>2.68637589112642E-3</v>
      </c>
      <c r="J534">
        <f t="shared" si="51"/>
        <v>883.19207379498698</v>
      </c>
      <c r="K534">
        <f t="shared" si="50"/>
        <v>883.19207379498698</v>
      </c>
    </row>
    <row r="535" spans="1:11" x14ac:dyDescent="0.3">
      <c r="A535" s="2" t="s">
        <v>13</v>
      </c>
      <c r="B535" t="s">
        <v>164</v>
      </c>
      <c r="C535" t="s">
        <v>165</v>
      </c>
      <c r="D535" s="8">
        <f>_xlfn.XLOOKUP(B535,'3.屠宰能力表'!B:B,'3.屠宰能力表'!E:E)</f>
        <v>2739.7260273972602</v>
      </c>
      <c r="E535">
        <f>_xlfn.XLOOKUP(B535,'4.分割能力表'!B:B,'4.分割能力表'!D:D)</f>
        <v>0</v>
      </c>
      <c r="F535">
        <f>_xlfn.XLOOKUP(B535,'4.分割能力表'!B:B,'4.分割能力表'!E:E)</f>
        <v>0</v>
      </c>
      <c r="G535" t="s">
        <v>55</v>
      </c>
      <c r="H535">
        <f>_xlfn.XLOOKUP(G535,系数辅助表!$C:$C,系数辅助表!$D:$D)</f>
        <v>2.9015761200285397E-4</v>
      </c>
      <c r="J535">
        <f t="shared" si="51"/>
        <v>95.394283398198596</v>
      </c>
      <c r="K535">
        <f t="shared" si="50"/>
        <v>95.394283398198596</v>
      </c>
    </row>
    <row r="536" spans="1:11" x14ac:dyDescent="0.3">
      <c r="A536" s="2" t="s">
        <v>13</v>
      </c>
      <c r="B536" t="s">
        <v>164</v>
      </c>
      <c r="C536" t="s">
        <v>165</v>
      </c>
      <c r="D536" s="8">
        <f>_xlfn.XLOOKUP(B536,'3.屠宰能力表'!B:B,'3.屠宰能力表'!E:E)</f>
        <v>2739.7260273972602</v>
      </c>
      <c r="E536">
        <f>_xlfn.XLOOKUP(B536,'4.分割能力表'!B:B,'4.分割能力表'!D:D)</f>
        <v>0</v>
      </c>
      <c r="F536">
        <f>_xlfn.XLOOKUP(B536,'4.分割能力表'!B:B,'4.分割能力表'!E:E)</f>
        <v>0</v>
      </c>
      <c r="G536" t="s">
        <v>57</v>
      </c>
      <c r="H536">
        <f>_xlfn.XLOOKUP(G536,系数辅助表!$C:$C,系数辅助表!$D:$D)</f>
        <v>1.0245932755973399E-2</v>
      </c>
      <c r="J536">
        <f t="shared" si="51"/>
        <v>3368.5258375803</v>
      </c>
      <c r="K536">
        <f t="shared" si="50"/>
        <v>3368.5258375803</v>
      </c>
    </row>
    <row r="537" spans="1:11" x14ac:dyDescent="0.3">
      <c r="A537" s="2" t="s">
        <v>13</v>
      </c>
      <c r="B537" t="s">
        <v>164</v>
      </c>
      <c r="C537" t="s">
        <v>165</v>
      </c>
      <c r="D537" s="8">
        <f>_xlfn.XLOOKUP(B537,'3.屠宰能力表'!B:B,'3.屠宰能力表'!E:E)</f>
        <v>2739.7260273972602</v>
      </c>
      <c r="E537">
        <f>_xlfn.XLOOKUP(B537,'4.分割能力表'!B:B,'4.分割能力表'!D:D)</f>
        <v>0</v>
      </c>
      <c r="F537">
        <f>_xlfn.XLOOKUP(B537,'4.分割能力表'!B:B,'4.分割能力表'!E:E)</f>
        <v>0</v>
      </c>
      <c r="G537" t="s">
        <v>58</v>
      </c>
      <c r="H537">
        <f>_xlfn.XLOOKUP(G537,系数辅助表!$C:$C,系数辅助表!$D:$D)</f>
        <v>1.46005473500993E-2</v>
      </c>
      <c r="J537">
        <f t="shared" si="51"/>
        <v>4800.1799507175801</v>
      </c>
      <c r="K537">
        <f t="shared" si="50"/>
        <v>4800.1799507175801</v>
      </c>
    </row>
    <row r="538" spans="1:11" x14ac:dyDescent="0.3">
      <c r="A538" s="2" t="s">
        <v>13</v>
      </c>
      <c r="B538" t="s">
        <v>164</v>
      </c>
      <c r="C538" t="s">
        <v>165</v>
      </c>
      <c r="D538" s="8">
        <f>_xlfn.XLOOKUP(B538,'3.屠宰能力表'!B:B,'3.屠宰能力表'!E:E)</f>
        <v>2739.7260273972602</v>
      </c>
      <c r="E538">
        <f>_xlfn.XLOOKUP(B538,'4.分割能力表'!B:B,'4.分割能力表'!D:D)</f>
        <v>0</v>
      </c>
      <c r="F538">
        <f>_xlfn.XLOOKUP(B538,'4.分割能力表'!B:B,'4.分割能力表'!E:E)</f>
        <v>0</v>
      </c>
      <c r="G538" t="s">
        <v>59</v>
      </c>
      <c r="H538">
        <f>_xlfn.XLOOKUP(G538,系数辅助表!$C:$C,系数辅助表!$D:$D)</f>
        <v>1.4718794556320801E-2</v>
      </c>
      <c r="J538">
        <f t="shared" si="51"/>
        <v>4839.0557445438299</v>
      </c>
      <c r="K538">
        <f t="shared" si="50"/>
        <v>4839.0557445438299</v>
      </c>
    </row>
    <row r="539" spans="1:11" x14ac:dyDescent="0.3">
      <c r="A539" s="2" t="s">
        <v>13</v>
      </c>
      <c r="B539" t="s">
        <v>164</v>
      </c>
      <c r="C539" t="s">
        <v>165</v>
      </c>
      <c r="D539" s="8">
        <f>_xlfn.XLOOKUP(B539,'3.屠宰能力表'!B:B,'3.屠宰能力表'!E:E)</f>
        <v>2739.7260273972602</v>
      </c>
      <c r="E539">
        <f>_xlfn.XLOOKUP(B539,'4.分割能力表'!B:B,'4.分割能力表'!D:D)</f>
        <v>0</v>
      </c>
      <c r="F539">
        <f>_xlfn.XLOOKUP(B539,'4.分割能力表'!B:B,'4.分割能力表'!E:E)</f>
        <v>0</v>
      </c>
      <c r="G539" t="s">
        <v>60</v>
      </c>
      <c r="H539">
        <f>_xlfn.XLOOKUP(G539,系数辅助表!$C:$C,系数辅助表!$D:$D)</f>
        <v>6.8269088945398003E-3</v>
      </c>
      <c r="J539">
        <f t="shared" si="51"/>
        <v>2244.46319820487</v>
      </c>
      <c r="K539">
        <f t="shared" si="50"/>
        <v>2244.46319820487</v>
      </c>
    </row>
    <row r="540" spans="1:11" x14ac:dyDescent="0.3">
      <c r="A540" s="2" t="s">
        <v>13</v>
      </c>
      <c r="B540" t="s">
        <v>164</v>
      </c>
      <c r="C540" t="s">
        <v>165</v>
      </c>
      <c r="D540" s="8">
        <f>_xlfn.XLOOKUP(B540,'3.屠宰能力表'!B:B,'3.屠宰能力表'!E:E)</f>
        <v>2739.7260273972602</v>
      </c>
      <c r="E540">
        <f>_xlfn.XLOOKUP(B540,'4.分割能力表'!B:B,'4.分割能力表'!D:D)</f>
        <v>0</v>
      </c>
      <c r="F540">
        <f>_xlfn.XLOOKUP(B540,'4.分割能力表'!B:B,'4.分割能力表'!E:E)</f>
        <v>0</v>
      </c>
      <c r="G540" t="s">
        <v>61</v>
      </c>
      <c r="H540">
        <f>_xlfn.XLOOKUP(G540,系数辅助表!$C:$C,系数辅助表!$D:$D)</f>
        <v>7.8149116832768404E-3</v>
      </c>
      <c r="J540">
        <f t="shared" si="51"/>
        <v>2569.2860328581401</v>
      </c>
      <c r="K540">
        <f t="shared" si="50"/>
        <v>2569.2860328581401</v>
      </c>
    </row>
    <row r="541" spans="1:11" x14ac:dyDescent="0.3">
      <c r="A541" s="2" t="s">
        <v>13</v>
      </c>
      <c r="B541" t="s">
        <v>164</v>
      </c>
      <c r="C541" t="s">
        <v>165</v>
      </c>
      <c r="D541" s="8">
        <f>_xlfn.XLOOKUP(B541,'3.屠宰能力表'!B:B,'3.屠宰能力表'!E:E)</f>
        <v>2739.7260273972602</v>
      </c>
      <c r="E541">
        <f>_xlfn.XLOOKUP(B541,'4.分割能力表'!B:B,'4.分割能力表'!D:D)</f>
        <v>0</v>
      </c>
      <c r="F541">
        <f>_xlfn.XLOOKUP(B541,'4.分割能力表'!B:B,'4.分割能力表'!E:E)</f>
        <v>0</v>
      </c>
      <c r="G541" t="s">
        <v>62</v>
      </c>
      <c r="H541">
        <f>_xlfn.XLOOKUP(G541,系数辅助表!$C:$C,系数辅助表!$D:$D)</f>
        <v>7.3264797030720401E-3</v>
      </c>
      <c r="J541">
        <f t="shared" si="51"/>
        <v>2408.7056558045101</v>
      </c>
      <c r="K541">
        <f t="shared" si="50"/>
        <v>2408.7056558045101</v>
      </c>
    </row>
    <row r="542" spans="1:11" x14ac:dyDescent="0.3">
      <c r="A542" s="2" t="s">
        <v>13</v>
      </c>
      <c r="B542" t="s">
        <v>164</v>
      </c>
      <c r="C542" t="s">
        <v>165</v>
      </c>
      <c r="D542" s="8">
        <f>_xlfn.XLOOKUP(B542,'3.屠宰能力表'!B:B,'3.屠宰能力表'!E:E)</f>
        <v>2739.7260273972602</v>
      </c>
      <c r="E542">
        <f>_xlfn.XLOOKUP(B542,'4.分割能力表'!B:B,'4.分割能力表'!D:D)</f>
        <v>0</v>
      </c>
      <c r="F542">
        <f>_xlfn.XLOOKUP(B542,'4.分割能力表'!B:B,'4.分割能力表'!E:E)</f>
        <v>0</v>
      </c>
      <c r="G542" t="s">
        <v>63</v>
      </c>
      <c r="H542">
        <f>_xlfn.XLOOKUP(G542,系数辅助表!$C:$C,系数辅助表!$D:$D)</f>
        <v>6.1516718317408204E-3</v>
      </c>
      <c r="J542">
        <f t="shared" si="51"/>
        <v>2022.4674515312299</v>
      </c>
      <c r="K542">
        <f t="shared" si="50"/>
        <v>2022.4674515312299</v>
      </c>
    </row>
    <row r="543" spans="1:11" x14ac:dyDescent="0.3">
      <c r="A543" s="2" t="s">
        <v>13</v>
      </c>
      <c r="B543" t="s">
        <v>164</v>
      </c>
      <c r="C543" t="s">
        <v>165</v>
      </c>
      <c r="D543" s="8">
        <f>_xlfn.XLOOKUP(B543,'3.屠宰能力表'!B:B,'3.屠宰能力表'!E:E)</f>
        <v>2739.7260273972602</v>
      </c>
      <c r="E543">
        <f>_xlfn.XLOOKUP(B543,'4.分割能力表'!B:B,'4.分割能力表'!D:D)</f>
        <v>0</v>
      </c>
      <c r="F543">
        <f>_xlfn.XLOOKUP(B543,'4.分割能力表'!B:B,'4.分割能力表'!E:E)</f>
        <v>0</v>
      </c>
      <c r="G543" t="s">
        <v>64</v>
      </c>
      <c r="H543">
        <f>_xlfn.XLOOKUP(G543,系数辅助表!$C:$C,系数辅助表!$D:$D)</f>
        <v>1.0639112440104599E-3</v>
      </c>
      <c r="J543">
        <f t="shared" si="51"/>
        <v>349.77903912672701</v>
      </c>
      <c r="K543">
        <f t="shared" si="50"/>
        <v>349.77903912672701</v>
      </c>
    </row>
    <row r="544" spans="1:11" x14ac:dyDescent="0.3">
      <c r="A544" s="2" t="s">
        <v>13</v>
      </c>
      <c r="B544" t="s">
        <v>164</v>
      </c>
      <c r="C544" t="s">
        <v>165</v>
      </c>
      <c r="D544" s="8">
        <f>_xlfn.XLOOKUP(B544,'3.屠宰能力表'!B:B,'3.屠宰能力表'!E:E)</f>
        <v>2739.7260273972602</v>
      </c>
      <c r="E544">
        <f>_xlfn.XLOOKUP(B544,'4.分割能力表'!B:B,'4.分割能力表'!D:D)</f>
        <v>0</v>
      </c>
      <c r="F544">
        <f>_xlfn.XLOOKUP(B544,'4.分割能力表'!B:B,'4.分割能力表'!E:E)</f>
        <v>0</v>
      </c>
      <c r="G544" t="s">
        <v>65</v>
      </c>
      <c r="H544">
        <f>_xlfn.XLOOKUP(G544,系数辅助表!$C:$C,系数辅助表!$D:$D)</f>
        <v>4.8359602000475603E-4</v>
      </c>
      <c r="J544">
        <f t="shared" si="51"/>
        <v>158.99047233033099</v>
      </c>
      <c r="K544">
        <f t="shared" si="50"/>
        <v>158.99047233033099</v>
      </c>
    </row>
    <row r="545" spans="1:11" x14ac:dyDescent="0.3">
      <c r="A545" s="2" t="s">
        <v>13</v>
      </c>
      <c r="B545" t="s">
        <v>164</v>
      </c>
      <c r="C545" t="s">
        <v>165</v>
      </c>
      <c r="D545" s="8">
        <f>_xlfn.XLOOKUP(B545,'3.屠宰能力表'!B:B,'3.屠宰能力表'!E:E)</f>
        <v>2739.7260273972602</v>
      </c>
      <c r="E545">
        <f>_xlfn.XLOOKUP(B545,'4.分割能力表'!B:B,'4.分割能力表'!D:D)</f>
        <v>0</v>
      </c>
      <c r="F545">
        <f>_xlfn.XLOOKUP(B545,'4.分割能力表'!B:B,'4.分割能力表'!E:E)</f>
        <v>0</v>
      </c>
      <c r="G545" t="s">
        <v>66</v>
      </c>
      <c r="H545">
        <f>_xlfn.XLOOKUP(G545,系数辅助表!$C:$C,系数辅助表!$D:$D)</f>
        <v>1.70951193071681E-3</v>
      </c>
      <c r="J545">
        <f t="shared" si="51"/>
        <v>562.031319687718</v>
      </c>
      <c r="K545">
        <f t="shared" si="50"/>
        <v>562.031319687718</v>
      </c>
    </row>
    <row r="546" spans="1:11" x14ac:dyDescent="0.3">
      <c r="A546" s="2" t="s">
        <v>13</v>
      </c>
      <c r="B546" t="s">
        <v>164</v>
      </c>
      <c r="C546" t="s">
        <v>165</v>
      </c>
      <c r="D546" s="8">
        <f>_xlfn.XLOOKUP(B546,'3.屠宰能力表'!B:B,'3.屠宰能力表'!E:E)</f>
        <v>2739.7260273972602</v>
      </c>
      <c r="E546">
        <f>_xlfn.XLOOKUP(B546,'4.分割能力表'!B:B,'4.分割能力表'!D:D)</f>
        <v>0</v>
      </c>
      <c r="F546">
        <f>_xlfn.XLOOKUP(B546,'4.分割能力表'!B:B,'4.分割能力表'!E:E)</f>
        <v>0</v>
      </c>
      <c r="G546" t="s">
        <v>67</v>
      </c>
      <c r="H546">
        <f>_xlfn.XLOOKUP(G546,系数辅助表!$C:$C,系数辅助表!$D:$D)</f>
        <v>0.02</v>
      </c>
      <c r="J546">
        <f t="shared" si="51"/>
        <v>6575.3424657534197</v>
      </c>
      <c r="K546">
        <f t="shared" si="50"/>
        <v>6575.3424657534197</v>
      </c>
    </row>
    <row r="547" spans="1:11" x14ac:dyDescent="0.3">
      <c r="A547" s="2" t="s">
        <v>12</v>
      </c>
      <c r="B547" t="s">
        <v>166</v>
      </c>
      <c r="C547" t="s">
        <v>167</v>
      </c>
      <c r="D547" s="8">
        <f>_xlfn.XLOOKUP(B547,'3.屠宰能力表'!B:B,'3.屠宰能力表'!E:E)</f>
        <v>1500</v>
      </c>
      <c r="E547">
        <f>_xlfn.XLOOKUP(B547,'4.分割能力表'!B:B,'4.分割能力表'!D:D)</f>
        <v>0</v>
      </c>
      <c r="F547">
        <f>_xlfn.XLOOKUP(B547,'4.分割能力表'!B:B,'4.分割能力表'!E:E)</f>
        <v>0</v>
      </c>
      <c r="G547" t="s">
        <v>41</v>
      </c>
      <c r="H547">
        <f>_xlfn.XLOOKUP(G547,系数辅助表!$C:$C,系数辅助表!$D:$D)</f>
        <v>0.71499999999999997</v>
      </c>
      <c r="J547">
        <f>(D547-E547)*H547*$D$1</f>
        <v>128700</v>
      </c>
      <c r="K547">
        <f t="shared" si="50"/>
        <v>128700</v>
      </c>
    </row>
    <row r="548" spans="1:11" x14ac:dyDescent="0.3">
      <c r="A548" s="2" t="s">
        <v>12</v>
      </c>
      <c r="B548" t="s">
        <v>166</v>
      </c>
      <c r="C548" t="s">
        <v>167</v>
      </c>
      <c r="D548" s="8">
        <f>_xlfn.XLOOKUP(B548,'3.屠宰能力表'!B:B,'3.屠宰能力表'!E:E)</f>
        <v>1500</v>
      </c>
      <c r="E548">
        <f>_xlfn.XLOOKUP(B548,'4.分割能力表'!B:B,'4.分割能力表'!D:D)</f>
        <v>0</v>
      </c>
      <c r="F548">
        <f>_xlfn.XLOOKUP(B548,'4.分割能力表'!B:B,'4.分割能力表'!E:E)</f>
        <v>0</v>
      </c>
      <c r="G548" t="s">
        <v>44</v>
      </c>
      <c r="H548">
        <f>_xlfn.XLOOKUP(G548,系数辅助表!$C:$C,系数辅助表!$D:$D)</f>
        <v>4.3342237679380002E-2</v>
      </c>
      <c r="J548">
        <f>$D548*H548*$D$1</f>
        <v>7801.6027822883998</v>
      </c>
      <c r="K548">
        <f t="shared" si="50"/>
        <v>7801.6027822883998</v>
      </c>
    </row>
    <row r="549" spans="1:11" x14ac:dyDescent="0.3">
      <c r="A549" s="2" t="s">
        <v>12</v>
      </c>
      <c r="B549" t="s">
        <v>166</v>
      </c>
      <c r="C549" t="s">
        <v>167</v>
      </c>
      <c r="D549" s="8">
        <f>_xlfn.XLOOKUP(B549,'3.屠宰能力表'!B:B,'3.屠宰能力表'!E:E)</f>
        <v>1500</v>
      </c>
      <c r="E549">
        <f>_xlfn.XLOOKUP(B549,'4.分割能力表'!B:B,'4.分割能力表'!D:D)</f>
        <v>0</v>
      </c>
      <c r="F549">
        <f>_xlfn.XLOOKUP(B549,'4.分割能力表'!B:B,'4.分割能力表'!E:E)</f>
        <v>0</v>
      </c>
      <c r="G549" t="s">
        <v>46</v>
      </c>
      <c r="H549">
        <f>_xlfn.XLOOKUP(G549,系数辅助表!$C:$C,系数辅助表!$D:$D)</f>
        <v>3.2562132013653599E-4</v>
      </c>
      <c r="J549">
        <f t="shared" ref="J549:J569" si="52">$D549*H549*$D$1</f>
        <v>58.611837624576502</v>
      </c>
      <c r="K549">
        <f t="shared" si="50"/>
        <v>58.611837624576502</v>
      </c>
    </row>
    <row r="550" spans="1:11" x14ac:dyDescent="0.3">
      <c r="A550" s="2" t="s">
        <v>12</v>
      </c>
      <c r="B550" t="s">
        <v>166</v>
      </c>
      <c r="C550" t="s">
        <v>167</v>
      </c>
      <c r="D550" s="8">
        <f>_xlfn.XLOOKUP(B550,'3.屠宰能力表'!B:B,'3.屠宰能力表'!E:E)</f>
        <v>1500</v>
      </c>
      <c r="E550">
        <f>_xlfn.XLOOKUP(B550,'4.分割能力表'!B:B,'4.分割能力表'!D:D)</f>
        <v>0</v>
      </c>
      <c r="F550">
        <f>_xlfn.XLOOKUP(B550,'4.分割能力表'!B:B,'4.分割能力表'!E:E)</f>
        <v>0</v>
      </c>
      <c r="G550" t="s">
        <v>47</v>
      </c>
      <c r="H550">
        <f>_xlfn.XLOOKUP(G550,系数辅助表!$C:$C,系数辅助表!$D:$D)</f>
        <v>3.0632398515360198E-3</v>
      </c>
      <c r="J550">
        <f t="shared" si="52"/>
        <v>551.38317327648394</v>
      </c>
      <c r="K550">
        <f t="shared" si="50"/>
        <v>551.38317327648394</v>
      </c>
    </row>
    <row r="551" spans="1:11" x14ac:dyDescent="0.3">
      <c r="A551" s="2" t="s">
        <v>12</v>
      </c>
      <c r="B551" t="s">
        <v>166</v>
      </c>
      <c r="C551" t="s">
        <v>167</v>
      </c>
      <c r="D551" s="8">
        <f>_xlfn.XLOOKUP(B551,'3.屠宰能力表'!B:B,'3.屠宰能力表'!E:E)</f>
        <v>1500</v>
      </c>
      <c r="E551">
        <f>_xlfn.XLOOKUP(B551,'4.分割能力表'!B:B,'4.分割能力表'!D:D)</f>
        <v>0</v>
      </c>
      <c r="F551">
        <f>_xlfn.XLOOKUP(B551,'4.分割能力表'!B:B,'4.分割能力表'!E:E)</f>
        <v>0</v>
      </c>
      <c r="G551" t="s">
        <v>48</v>
      </c>
      <c r="H551">
        <f>_xlfn.XLOOKUP(G551,系数辅助表!$C:$C,系数辅助表!$D:$D)</f>
        <v>1.5822796716383002E-2</v>
      </c>
      <c r="J551">
        <f t="shared" si="52"/>
        <v>2848.1034089489399</v>
      </c>
      <c r="K551">
        <f t="shared" si="50"/>
        <v>2848.1034089489399</v>
      </c>
    </row>
    <row r="552" spans="1:11" x14ac:dyDescent="0.3">
      <c r="A552" s="2" t="s">
        <v>12</v>
      </c>
      <c r="B552" t="s">
        <v>166</v>
      </c>
      <c r="C552" t="s">
        <v>167</v>
      </c>
      <c r="D552" s="8">
        <f>_xlfn.XLOOKUP(B552,'3.屠宰能力表'!B:B,'3.屠宰能力表'!E:E)</f>
        <v>1500</v>
      </c>
      <c r="E552">
        <f>_xlfn.XLOOKUP(B552,'4.分割能力表'!B:B,'4.分割能力表'!D:D)</f>
        <v>0</v>
      </c>
      <c r="F552">
        <f>_xlfn.XLOOKUP(B552,'4.分割能力表'!B:B,'4.分割能力表'!E:E)</f>
        <v>0</v>
      </c>
      <c r="G552" t="s">
        <v>49</v>
      </c>
      <c r="H552">
        <f>_xlfn.XLOOKUP(G552,系数辅助表!$C:$C,系数辅助表!$D:$D)</f>
        <v>3.0934025412970799E-3</v>
      </c>
      <c r="J552">
        <f t="shared" si="52"/>
        <v>556.81245743347404</v>
      </c>
      <c r="K552">
        <f t="shared" si="50"/>
        <v>556.81245743347404</v>
      </c>
    </row>
    <row r="553" spans="1:11" x14ac:dyDescent="0.3">
      <c r="A553" s="2" t="s">
        <v>12</v>
      </c>
      <c r="B553" t="s">
        <v>166</v>
      </c>
      <c r="C553" t="s">
        <v>167</v>
      </c>
      <c r="D553" s="8">
        <f>_xlfn.XLOOKUP(B553,'3.屠宰能力表'!B:B,'3.屠宰能力表'!E:E)</f>
        <v>1500</v>
      </c>
      <c r="E553">
        <f>_xlfn.XLOOKUP(B553,'4.分割能力表'!B:B,'4.分割能力表'!D:D)</f>
        <v>0</v>
      </c>
      <c r="F553">
        <f>_xlfn.XLOOKUP(B553,'4.分割能力表'!B:B,'4.分割能力表'!E:E)</f>
        <v>0</v>
      </c>
      <c r="G553" t="s">
        <v>50</v>
      </c>
      <c r="H553">
        <f>_xlfn.XLOOKUP(G553,系数辅助表!$C:$C,系数辅助表!$D:$D)</f>
        <v>1.08247988845052E-2</v>
      </c>
      <c r="J553">
        <f t="shared" si="52"/>
        <v>1948.4637992109399</v>
      </c>
      <c r="K553">
        <f t="shared" si="50"/>
        <v>1948.4637992109399</v>
      </c>
    </row>
    <row r="554" spans="1:11" x14ac:dyDescent="0.3">
      <c r="A554" s="2" t="s">
        <v>12</v>
      </c>
      <c r="B554" t="s">
        <v>166</v>
      </c>
      <c r="C554" t="s">
        <v>167</v>
      </c>
      <c r="D554" s="8">
        <f>_xlfn.XLOOKUP(B554,'3.屠宰能力表'!B:B,'3.屠宰能力表'!E:E)</f>
        <v>1500</v>
      </c>
      <c r="E554">
        <f>_xlfn.XLOOKUP(B554,'4.分割能力表'!B:B,'4.分割能力表'!D:D)</f>
        <v>0</v>
      </c>
      <c r="F554">
        <f>_xlfn.XLOOKUP(B554,'4.分割能力表'!B:B,'4.分割能力表'!E:E)</f>
        <v>0</v>
      </c>
      <c r="G554" t="s">
        <v>51</v>
      </c>
      <c r="H554">
        <f>_xlfn.XLOOKUP(G554,系数辅助表!$C:$C,系数辅助表!$D:$D)</f>
        <v>4.9657251320821601E-3</v>
      </c>
      <c r="J554">
        <f t="shared" si="52"/>
        <v>893.83052377478896</v>
      </c>
      <c r="K554">
        <f t="shared" si="50"/>
        <v>893.83052377478896</v>
      </c>
    </row>
    <row r="555" spans="1:11" x14ac:dyDescent="0.3">
      <c r="A555" s="2" t="s">
        <v>12</v>
      </c>
      <c r="B555" t="s">
        <v>166</v>
      </c>
      <c r="C555" t="s">
        <v>167</v>
      </c>
      <c r="D555" s="8">
        <f>_xlfn.XLOOKUP(B555,'3.屠宰能力表'!B:B,'3.屠宰能力表'!E:E)</f>
        <v>1500</v>
      </c>
      <c r="E555">
        <f>_xlfn.XLOOKUP(B555,'4.分割能力表'!B:B,'4.分割能力表'!D:D)</f>
        <v>0</v>
      </c>
      <c r="F555">
        <f>_xlfn.XLOOKUP(B555,'4.分割能力表'!B:B,'4.分割能力表'!E:E)</f>
        <v>0</v>
      </c>
      <c r="G555" t="s">
        <v>52</v>
      </c>
      <c r="H555">
        <f>_xlfn.XLOOKUP(G555,系数辅助表!$C:$C,系数辅助表!$D:$D)</f>
        <v>4.1516718317408203E-3</v>
      </c>
      <c r="J555">
        <f t="shared" si="52"/>
        <v>747.30092971334795</v>
      </c>
      <c r="K555">
        <f t="shared" si="50"/>
        <v>747.30092971334795</v>
      </c>
    </row>
    <row r="556" spans="1:11" x14ac:dyDescent="0.3">
      <c r="A556" s="2" t="s">
        <v>12</v>
      </c>
      <c r="B556" t="s">
        <v>166</v>
      </c>
      <c r="C556" t="s">
        <v>167</v>
      </c>
      <c r="D556" s="8">
        <f>_xlfn.XLOOKUP(B556,'3.屠宰能力表'!B:B,'3.屠宰能力表'!E:E)</f>
        <v>1500</v>
      </c>
      <c r="E556">
        <f>_xlfn.XLOOKUP(B556,'4.分割能力表'!B:B,'4.分割能力表'!D:D)</f>
        <v>0</v>
      </c>
      <c r="F556">
        <f>_xlfn.XLOOKUP(B556,'4.分割能力表'!B:B,'4.分割能力表'!E:E)</f>
        <v>0</v>
      </c>
      <c r="G556" t="s">
        <v>53</v>
      </c>
      <c r="H556">
        <f>_xlfn.XLOOKUP(G556,系数辅助表!$C:$C,系数辅助表!$D:$D)</f>
        <v>3.6632398515360201E-3</v>
      </c>
      <c r="J556">
        <f t="shared" si="52"/>
        <v>659.38317327648394</v>
      </c>
      <c r="K556">
        <f t="shared" si="50"/>
        <v>659.38317327648394</v>
      </c>
    </row>
    <row r="557" spans="1:11" x14ac:dyDescent="0.3">
      <c r="A557" s="2" t="s">
        <v>12</v>
      </c>
      <c r="B557" t="s">
        <v>166</v>
      </c>
      <c r="C557" t="s">
        <v>167</v>
      </c>
      <c r="D557" s="8">
        <f>_xlfn.XLOOKUP(B557,'3.屠宰能力表'!B:B,'3.屠宰能力表'!E:E)</f>
        <v>1500</v>
      </c>
      <c r="E557">
        <f>_xlfn.XLOOKUP(B557,'4.分割能力表'!B:B,'4.分割能力表'!D:D)</f>
        <v>0</v>
      </c>
      <c r="F557">
        <f>_xlfn.XLOOKUP(B557,'4.分割能力表'!B:B,'4.分割能力表'!E:E)</f>
        <v>0</v>
      </c>
      <c r="G557" t="s">
        <v>54</v>
      </c>
      <c r="H557">
        <f>_xlfn.XLOOKUP(G557,系数辅助表!$C:$C,系数辅助表!$D:$D)</f>
        <v>2.68637589112642E-3</v>
      </c>
      <c r="J557">
        <f t="shared" si="52"/>
        <v>483.54766040275598</v>
      </c>
      <c r="K557">
        <f t="shared" si="50"/>
        <v>483.54766040275598</v>
      </c>
    </row>
    <row r="558" spans="1:11" x14ac:dyDescent="0.3">
      <c r="A558" s="2" t="s">
        <v>12</v>
      </c>
      <c r="B558" t="s">
        <v>166</v>
      </c>
      <c r="C558" t="s">
        <v>167</v>
      </c>
      <c r="D558" s="8">
        <f>_xlfn.XLOOKUP(B558,'3.屠宰能力表'!B:B,'3.屠宰能力表'!E:E)</f>
        <v>1500</v>
      </c>
      <c r="E558">
        <f>_xlfn.XLOOKUP(B558,'4.分割能力表'!B:B,'4.分割能力表'!D:D)</f>
        <v>0</v>
      </c>
      <c r="F558">
        <f>_xlfn.XLOOKUP(B558,'4.分割能力表'!B:B,'4.分割能力表'!E:E)</f>
        <v>0</v>
      </c>
      <c r="G558" t="s">
        <v>55</v>
      </c>
      <c r="H558">
        <f>_xlfn.XLOOKUP(G558,系数辅助表!$C:$C,系数辅助表!$D:$D)</f>
        <v>2.9015761200285397E-4</v>
      </c>
      <c r="J558">
        <f t="shared" si="52"/>
        <v>52.228370160513698</v>
      </c>
      <c r="K558">
        <f t="shared" si="50"/>
        <v>52.228370160513698</v>
      </c>
    </row>
    <row r="559" spans="1:11" x14ac:dyDescent="0.3">
      <c r="A559" s="2" t="s">
        <v>12</v>
      </c>
      <c r="B559" t="s">
        <v>166</v>
      </c>
      <c r="C559" t="s">
        <v>167</v>
      </c>
      <c r="D559" s="8">
        <f>_xlfn.XLOOKUP(B559,'3.屠宰能力表'!B:B,'3.屠宰能力表'!E:E)</f>
        <v>1500</v>
      </c>
      <c r="E559">
        <f>_xlfn.XLOOKUP(B559,'4.分割能力表'!B:B,'4.分割能力表'!D:D)</f>
        <v>0</v>
      </c>
      <c r="F559">
        <f>_xlfn.XLOOKUP(B559,'4.分割能力表'!B:B,'4.分割能力表'!E:E)</f>
        <v>0</v>
      </c>
      <c r="G559" t="s">
        <v>57</v>
      </c>
      <c r="H559">
        <f>_xlfn.XLOOKUP(G559,系数辅助表!$C:$C,系数辅助表!$D:$D)</f>
        <v>1.0245932755973399E-2</v>
      </c>
      <c r="J559">
        <f t="shared" si="52"/>
        <v>1844.26789607521</v>
      </c>
      <c r="K559">
        <f t="shared" si="50"/>
        <v>1844.26789607521</v>
      </c>
    </row>
    <row r="560" spans="1:11" x14ac:dyDescent="0.3">
      <c r="A560" s="2" t="s">
        <v>12</v>
      </c>
      <c r="B560" t="s">
        <v>166</v>
      </c>
      <c r="C560" t="s">
        <v>167</v>
      </c>
      <c r="D560" s="8">
        <f>_xlfn.XLOOKUP(B560,'3.屠宰能力表'!B:B,'3.屠宰能力表'!E:E)</f>
        <v>1500</v>
      </c>
      <c r="E560">
        <f>_xlfn.XLOOKUP(B560,'4.分割能力表'!B:B,'4.分割能力表'!D:D)</f>
        <v>0</v>
      </c>
      <c r="F560">
        <f>_xlfn.XLOOKUP(B560,'4.分割能力表'!B:B,'4.分割能力表'!E:E)</f>
        <v>0</v>
      </c>
      <c r="G560" t="s">
        <v>58</v>
      </c>
      <c r="H560">
        <f>_xlfn.XLOOKUP(G560,系数辅助表!$C:$C,系数辅助表!$D:$D)</f>
        <v>1.46005473500993E-2</v>
      </c>
      <c r="J560">
        <f t="shared" si="52"/>
        <v>2628.0985230178699</v>
      </c>
      <c r="K560">
        <f t="shared" si="50"/>
        <v>2628.0985230178699</v>
      </c>
    </row>
    <row r="561" spans="1:11" x14ac:dyDescent="0.3">
      <c r="A561" s="2" t="s">
        <v>12</v>
      </c>
      <c r="B561" t="s">
        <v>166</v>
      </c>
      <c r="C561" t="s">
        <v>167</v>
      </c>
      <c r="D561" s="8">
        <f>_xlfn.XLOOKUP(B561,'3.屠宰能力表'!B:B,'3.屠宰能力表'!E:E)</f>
        <v>1500</v>
      </c>
      <c r="E561">
        <f>_xlfn.XLOOKUP(B561,'4.分割能力表'!B:B,'4.分割能力表'!D:D)</f>
        <v>0</v>
      </c>
      <c r="F561">
        <f>_xlfn.XLOOKUP(B561,'4.分割能力表'!B:B,'4.分割能力表'!E:E)</f>
        <v>0</v>
      </c>
      <c r="G561" t="s">
        <v>59</v>
      </c>
      <c r="H561">
        <f>_xlfn.XLOOKUP(G561,系数辅助表!$C:$C,系数辅助表!$D:$D)</f>
        <v>1.4718794556320801E-2</v>
      </c>
      <c r="J561">
        <f t="shared" si="52"/>
        <v>2649.38302013774</v>
      </c>
      <c r="K561">
        <f t="shared" si="50"/>
        <v>2649.38302013774</v>
      </c>
    </row>
    <row r="562" spans="1:11" x14ac:dyDescent="0.3">
      <c r="A562" s="2" t="s">
        <v>12</v>
      </c>
      <c r="B562" t="s">
        <v>166</v>
      </c>
      <c r="C562" t="s">
        <v>167</v>
      </c>
      <c r="D562" s="8">
        <f>_xlfn.XLOOKUP(B562,'3.屠宰能力表'!B:B,'3.屠宰能力表'!E:E)</f>
        <v>1500</v>
      </c>
      <c r="E562">
        <f>_xlfn.XLOOKUP(B562,'4.分割能力表'!B:B,'4.分割能力表'!D:D)</f>
        <v>0</v>
      </c>
      <c r="F562">
        <f>_xlfn.XLOOKUP(B562,'4.分割能力表'!B:B,'4.分割能力表'!E:E)</f>
        <v>0</v>
      </c>
      <c r="G562" t="s">
        <v>60</v>
      </c>
      <c r="H562">
        <f>_xlfn.XLOOKUP(G562,系数辅助表!$C:$C,系数辅助表!$D:$D)</f>
        <v>6.8269088945398003E-3</v>
      </c>
      <c r="J562">
        <f t="shared" si="52"/>
        <v>1228.8436010171599</v>
      </c>
      <c r="K562">
        <f t="shared" si="50"/>
        <v>1228.8436010171599</v>
      </c>
    </row>
    <row r="563" spans="1:11" x14ac:dyDescent="0.3">
      <c r="A563" s="2" t="s">
        <v>12</v>
      </c>
      <c r="B563" t="s">
        <v>166</v>
      </c>
      <c r="C563" t="s">
        <v>167</v>
      </c>
      <c r="D563" s="8">
        <f>_xlfn.XLOOKUP(B563,'3.屠宰能力表'!B:B,'3.屠宰能力表'!E:E)</f>
        <v>1500</v>
      </c>
      <c r="E563">
        <f>_xlfn.XLOOKUP(B563,'4.分割能力表'!B:B,'4.分割能力表'!D:D)</f>
        <v>0</v>
      </c>
      <c r="F563">
        <f>_xlfn.XLOOKUP(B563,'4.分割能力表'!B:B,'4.分割能力表'!E:E)</f>
        <v>0</v>
      </c>
      <c r="G563" t="s">
        <v>61</v>
      </c>
      <c r="H563">
        <f>_xlfn.XLOOKUP(G563,系数辅助表!$C:$C,系数辅助表!$D:$D)</f>
        <v>7.8149116832768404E-3</v>
      </c>
      <c r="J563">
        <f t="shared" si="52"/>
        <v>1406.6841029898301</v>
      </c>
      <c r="K563">
        <f t="shared" si="50"/>
        <v>1406.6841029898301</v>
      </c>
    </row>
    <row r="564" spans="1:11" x14ac:dyDescent="0.3">
      <c r="A564" s="2" t="s">
        <v>12</v>
      </c>
      <c r="B564" t="s">
        <v>166</v>
      </c>
      <c r="C564" t="s">
        <v>167</v>
      </c>
      <c r="D564" s="8">
        <f>_xlfn.XLOOKUP(B564,'3.屠宰能力表'!B:B,'3.屠宰能力表'!E:E)</f>
        <v>1500</v>
      </c>
      <c r="E564">
        <f>_xlfn.XLOOKUP(B564,'4.分割能力表'!B:B,'4.分割能力表'!D:D)</f>
        <v>0</v>
      </c>
      <c r="F564">
        <f>_xlfn.XLOOKUP(B564,'4.分割能力表'!B:B,'4.分割能力表'!E:E)</f>
        <v>0</v>
      </c>
      <c r="G564" t="s">
        <v>62</v>
      </c>
      <c r="H564">
        <f>_xlfn.XLOOKUP(G564,系数辅助表!$C:$C,系数辅助表!$D:$D)</f>
        <v>7.3264797030720401E-3</v>
      </c>
      <c r="J564">
        <f t="shared" si="52"/>
        <v>1318.7663465529699</v>
      </c>
      <c r="K564">
        <f t="shared" si="50"/>
        <v>1318.7663465529699</v>
      </c>
    </row>
    <row r="565" spans="1:11" x14ac:dyDescent="0.3">
      <c r="A565" s="2" t="s">
        <v>12</v>
      </c>
      <c r="B565" t="s">
        <v>166</v>
      </c>
      <c r="C565" t="s">
        <v>167</v>
      </c>
      <c r="D565" s="8">
        <f>_xlfn.XLOOKUP(B565,'3.屠宰能力表'!B:B,'3.屠宰能力表'!E:E)</f>
        <v>1500</v>
      </c>
      <c r="E565">
        <f>_xlfn.XLOOKUP(B565,'4.分割能力表'!B:B,'4.分割能力表'!D:D)</f>
        <v>0</v>
      </c>
      <c r="F565">
        <f>_xlfn.XLOOKUP(B565,'4.分割能力表'!B:B,'4.分割能力表'!E:E)</f>
        <v>0</v>
      </c>
      <c r="G565" t="s">
        <v>63</v>
      </c>
      <c r="H565">
        <f>_xlfn.XLOOKUP(G565,系数辅助表!$C:$C,系数辅助表!$D:$D)</f>
        <v>6.1516718317408204E-3</v>
      </c>
      <c r="J565">
        <f t="shared" si="52"/>
        <v>1107.3009297133499</v>
      </c>
      <c r="K565">
        <f t="shared" si="50"/>
        <v>1107.3009297133499</v>
      </c>
    </row>
    <row r="566" spans="1:11" x14ac:dyDescent="0.3">
      <c r="A566" s="2" t="s">
        <v>12</v>
      </c>
      <c r="B566" t="s">
        <v>166</v>
      </c>
      <c r="C566" t="s">
        <v>167</v>
      </c>
      <c r="D566" s="8">
        <f>_xlfn.XLOOKUP(B566,'3.屠宰能力表'!B:B,'3.屠宰能力表'!E:E)</f>
        <v>1500</v>
      </c>
      <c r="E566">
        <f>_xlfn.XLOOKUP(B566,'4.分割能力表'!B:B,'4.分割能力表'!D:D)</f>
        <v>0</v>
      </c>
      <c r="F566">
        <f>_xlfn.XLOOKUP(B566,'4.分割能力表'!B:B,'4.分割能力表'!E:E)</f>
        <v>0</v>
      </c>
      <c r="G566" t="s">
        <v>64</v>
      </c>
      <c r="H566">
        <f>_xlfn.XLOOKUP(G566,系数辅助表!$C:$C,系数辅助表!$D:$D)</f>
        <v>1.0639112440104599E-3</v>
      </c>
      <c r="J566">
        <f t="shared" si="52"/>
        <v>191.504023921883</v>
      </c>
      <c r="K566">
        <f t="shared" si="50"/>
        <v>191.504023921883</v>
      </c>
    </row>
    <row r="567" spans="1:11" x14ac:dyDescent="0.3">
      <c r="A567" s="2" t="s">
        <v>12</v>
      </c>
      <c r="B567" t="s">
        <v>166</v>
      </c>
      <c r="C567" t="s">
        <v>167</v>
      </c>
      <c r="D567" s="8">
        <f>_xlfn.XLOOKUP(B567,'3.屠宰能力表'!B:B,'3.屠宰能力表'!E:E)</f>
        <v>1500</v>
      </c>
      <c r="E567">
        <f>_xlfn.XLOOKUP(B567,'4.分割能力表'!B:B,'4.分割能力表'!D:D)</f>
        <v>0</v>
      </c>
      <c r="F567">
        <f>_xlfn.XLOOKUP(B567,'4.分割能力表'!B:B,'4.分割能力表'!E:E)</f>
        <v>0</v>
      </c>
      <c r="G567" t="s">
        <v>65</v>
      </c>
      <c r="H567">
        <f>_xlfn.XLOOKUP(G567,系数辅助表!$C:$C,系数辅助表!$D:$D)</f>
        <v>4.8359602000475603E-4</v>
      </c>
      <c r="J567">
        <f t="shared" si="52"/>
        <v>87.047283600856105</v>
      </c>
      <c r="K567">
        <f t="shared" si="50"/>
        <v>87.047283600856105</v>
      </c>
    </row>
    <row r="568" spans="1:11" x14ac:dyDescent="0.3">
      <c r="A568" s="2" t="s">
        <v>12</v>
      </c>
      <c r="B568" t="s">
        <v>166</v>
      </c>
      <c r="C568" t="s">
        <v>167</v>
      </c>
      <c r="D568" s="8">
        <f>_xlfn.XLOOKUP(B568,'3.屠宰能力表'!B:B,'3.屠宰能力表'!E:E)</f>
        <v>1500</v>
      </c>
      <c r="E568">
        <f>_xlfn.XLOOKUP(B568,'4.分割能力表'!B:B,'4.分割能力表'!D:D)</f>
        <v>0</v>
      </c>
      <c r="F568">
        <f>_xlfn.XLOOKUP(B568,'4.分割能力表'!B:B,'4.分割能力表'!E:E)</f>
        <v>0</v>
      </c>
      <c r="G568" t="s">
        <v>66</v>
      </c>
      <c r="H568">
        <f>_xlfn.XLOOKUP(G568,系数辅助表!$C:$C,系数辅助表!$D:$D)</f>
        <v>1.70951193071681E-3</v>
      </c>
      <c r="J568">
        <f t="shared" si="52"/>
        <v>307.71214752902603</v>
      </c>
      <c r="K568">
        <f t="shared" si="50"/>
        <v>307.71214752902603</v>
      </c>
    </row>
    <row r="569" spans="1:11" x14ac:dyDescent="0.3">
      <c r="A569" s="2" t="s">
        <v>12</v>
      </c>
      <c r="B569" t="s">
        <v>166</v>
      </c>
      <c r="C569" t="s">
        <v>167</v>
      </c>
      <c r="D569" s="8">
        <f>_xlfn.XLOOKUP(B569,'3.屠宰能力表'!B:B,'3.屠宰能力表'!E:E)</f>
        <v>1500</v>
      </c>
      <c r="E569">
        <f>_xlfn.XLOOKUP(B569,'4.分割能力表'!B:B,'4.分割能力表'!D:D)</f>
        <v>0</v>
      </c>
      <c r="F569">
        <f>_xlfn.XLOOKUP(B569,'4.分割能力表'!B:B,'4.分割能力表'!E:E)</f>
        <v>0</v>
      </c>
      <c r="G569" t="s">
        <v>67</v>
      </c>
      <c r="H569">
        <f>_xlfn.XLOOKUP(G569,系数辅助表!$C:$C,系数辅助表!$D:$D)</f>
        <v>0.02</v>
      </c>
      <c r="J569">
        <f t="shared" si="52"/>
        <v>3600</v>
      </c>
      <c r="K569">
        <f t="shared" si="50"/>
        <v>3600</v>
      </c>
    </row>
    <row r="570" spans="1:11" x14ac:dyDescent="0.3">
      <c r="A570" s="2" t="s">
        <v>17</v>
      </c>
      <c r="B570" t="s">
        <v>168</v>
      </c>
      <c r="C570" t="s">
        <v>169</v>
      </c>
      <c r="D570" s="8">
        <f>_xlfn.XLOOKUP(B570,'3.屠宰能力表'!B:B,'3.屠宰能力表'!E:E)</f>
        <v>150</v>
      </c>
      <c r="E570">
        <f>_xlfn.XLOOKUP(B570,'4.分割能力表'!B:B,'4.分割能力表'!D:D)</f>
        <v>0</v>
      </c>
      <c r="F570">
        <f>_xlfn.XLOOKUP(B570,'4.分割能力表'!B:B,'4.分割能力表'!E:E)</f>
        <v>0</v>
      </c>
      <c r="G570" t="s">
        <v>41</v>
      </c>
      <c r="H570">
        <f>_xlfn.XLOOKUP(G570,系数辅助表!$C:$C,系数辅助表!$D:$D)</f>
        <v>0.71499999999999997</v>
      </c>
      <c r="J570">
        <f>(D570-E570)*H570*$D$1</f>
        <v>12870</v>
      </c>
      <c r="K570">
        <f t="shared" si="50"/>
        <v>12870</v>
      </c>
    </row>
    <row r="571" spans="1:11" x14ac:dyDescent="0.3">
      <c r="A571" t="s">
        <v>17</v>
      </c>
      <c r="B571" t="s">
        <v>168</v>
      </c>
      <c r="C571" t="s">
        <v>169</v>
      </c>
      <c r="D571" s="8">
        <f>_xlfn.XLOOKUP(B571,'3.屠宰能力表'!B:B,'3.屠宰能力表'!E:E)</f>
        <v>150</v>
      </c>
      <c r="E571">
        <f>_xlfn.XLOOKUP(B571,'4.分割能力表'!B:B,'4.分割能力表'!D:D)</f>
        <v>0</v>
      </c>
      <c r="F571">
        <f>_xlfn.XLOOKUP(B571,'4.分割能力表'!B:B,'4.分割能力表'!E:E)</f>
        <v>0</v>
      </c>
      <c r="G571" t="s">
        <v>44</v>
      </c>
      <c r="H571">
        <f>_xlfn.XLOOKUP(G571,系数辅助表!$C:$C,系数辅助表!$D:$D)</f>
        <v>4.3342237679380002E-2</v>
      </c>
      <c r="J571">
        <f>$D571*H571*$D$1</f>
        <v>780.16027822883996</v>
      </c>
      <c r="K571">
        <f t="shared" si="50"/>
        <v>780.16027822883996</v>
      </c>
    </row>
    <row r="572" spans="1:11" x14ac:dyDescent="0.3">
      <c r="A572" t="s">
        <v>17</v>
      </c>
      <c r="B572" t="s">
        <v>168</v>
      </c>
      <c r="C572" t="s">
        <v>169</v>
      </c>
      <c r="D572" s="8">
        <f>_xlfn.XLOOKUP(B572,'3.屠宰能力表'!B:B,'3.屠宰能力表'!E:E)</f>
        <v>150</v>
      </c>
      <c r="E572">
        <f>_xlfn.XLOOKUP(B572,'4.分割能力表'!B:B,'4.分割能力表'!D:D)</f>
        <v>0</v>
      </c>
      <c r="F572">
        <f>_xlfn.XLOOKUP(B572,'4.分割能力表'!B:B,'4.分割能力表'!E:E)</f>
        <v>0</v>
      </c>
      <c r="G572" t="s">
        <v>46</v>
      </c>
      <c r="H572">
        <f>_xlfn.XLOOKUP(G572,系数辅助表!$C:$C,系数辅助表!$D:$D)</f>
        <v>3.2562132013653599E-4</v>
      </c>
      <c r="J572">
        <f t="shared" ref="J572:J592" si="53">$D572*H572*$D$1</f>
        <v>5.8611837624576504</v>
      </c>
      <c r="K572">
        <f t="shared" si="50"/>
        <v>5.8611837624576504</v>
      </c>
    </row>
    <row r="573" spans="1:11" x14ac:dyDescent="0.3">
      <c r="A573" t="s">
        <v>17</v>
      </c>
      <c r="B573" t="s">
        <v>168</v>
      </c>
      <c r="C573" t="s">
        <v>169</v>
      </c>
      <c r="D573" s="8">
        <f>_xlfn.XLOOKUP(B573,'3.屠宰能力表'!B:B,'3.屠宰能力表'!E:E)</f>
        <v>150</v>
      </c>
      <c r="E573">
        <f>_xlfn.XLOOKUP(B573,'4.分割能力表'!B:B,'4.分割能力表'!D:D)</f>
        <v>0</v>
      </c>
      <c r="F573">
        <f>_xlfn.XLOOKUP(B573,'4.分割能力表'!B:B,'4.分割能力表'!E:E)</f>
        <v>0</v>
      </c>
      <c r="G573" t="s">
        <v>47</v>
      </c>
      <c r="H573">
        <f>_xlfn.XLOOKUP(G573,系数辅助表!$C:$C,系数辅助表!$D:$D)</f>
        <v>3.0632398515360198E-3</v>
      </c>
      <c r="J573">
        <f t="shared" si="53"/>
        <v>55.138317327648402</v>
      </c>
      <c r="K573">
        <f t="shared" si="50"/>
        <v>55.138317327648402</v>
      </c>
    </row>
    <row r="574" spans="1:11" x14ac:dyDescent="0.3">
      <c r="A574" t="s">
        <v>17</v>
      </c>
      <c r="B574" t="s">
        <v>168</v>
      </c>
      <c r="C574" t="s">
        <v>169</v>
      </c>
      <c r="D574" s="8">
        <f>_xlfn.XLOOKUP(B574,'3.屠宰能力表'!B:B,'3.屠宰能力表'!E:E)</f>
        <v>150</v>
      </c>
      <c r="E574">
        <f>_xlfn.XLOOKUP(B574,'4.分割能力表'!B:B,'4.分割能力表'!D:D)</f>
        <v>0</v>
      </c>
      <c r="F574">
        <f>_xlfn.XLOOKUP(B574,'4.分割能力表'!B:B,'4.分割能力表'!E:E)</f>
        <v>0</v>
      </c>
      <c r="G574" t="s">
        <v>48</v>
      </c>
      <c r="H574">
        <f>_xlfn.XLOOKUP(G574,系数辅助表!$C:$C,系数辅助表!$D:$D)</f>
        <v>1.5822796716383002E-2</v>
      </c>
      <c r="J574">
        <f t="shared" si="53"/>
        <v>284.81034089489401</v>
      </c>
      <c r="K574">
        <f t="shared" si="50"/>
        <v>284.81034089489401</v>
      </c>
    </row>
    <row r="575" spans="1:11" x14ac:dyDescent="0.3">
      <c r="A575" t="s">
        <v>17</v>
      </c>
      <c r="B575" t="s">
        <v>168</v>
      </c>
      <c r="C575" t="s">
        <v>169</v>
      </c>
      <c r="D575" s="8">
        <f>_xlfn.XLOOKUP(B575,'3.屠宰能力表'!B:B,'3.屠宰能力表'!E:E)</f>
        <v>150</v>
      </c>
      <c r="E575">
        <f>_xlfn.XLOOKUP(B575,'4.分割能力表'!B:B,'4.分割能力表'!D:D)</f>
        <v>0</v>
      </c>
      <c r="F575">
        <f>_xlfn.XLOOKUP(B575,'4.分割能力表'!B:B,'4.分割能力表'!E:E)</f>
        <v>0</v>
      </c>
      <c r="G575" t="s">
        <v>49</v>
      </c>
      <c r="H575">
        <f>_xlfn.XLOOKUP(G575,系数辅助表!$C:$C,系数辅助表!$D:$D)</f>
        <v>3.0934025412970799E-3</v>
      </c>
      <c r="J575">
        <f t="shared" si="53"/>
        <v>55.681245743347397</v>
      </c>
      <c r="K575">
        <f t="shared" si="50"/>
        <v>55.681245743347397</v>
      </c>
    </row>
    <row r="576" spans="1:11" x14ac:dyDescent="0.3">
      <c r="A576" t="s">
        <v>17</v>
      </c>
      <c r="B576" t="s">
        <v>168</v>
      </c>
      <c r="C576" t="s">
        <v>169</v>
      </c>
      <c r="D576" s="8">
        <f>_xlfn.XLOOKUP(B576,'3.屠宰能力表'!B:B,'3.屠宰能力表'!E:E)</f>
        <v>150</v>
      </c>
      <c r="E576">
        <f>_xlfn.XLOOKUP(B576,'4.分割能力表'!B:B,'4.分割能力表'!D:D)</f>
        <v>0</v>
      </c>
      <c r="F576">
        <f>_xlfn.XLOOKUP(B576,'4.分割能力表'!B:B,'4.分割能力表'!E:E)</f>
        <v>0</v>
      </c>
      <c r="G576" t="s">
        <v>50</v>
      </c>
      <c r="H576">
        <f>_xlfn.XLOOKUP(G576,系数辅助表!$C:$C,系数辅助表!$D:$D)</f>
        <v>1.08247988845052E-2</v>
      </c>
      <c r="J576">
        <f t="shared" si="53"/>
        <v>194.84637992109401</v>
      </c>
      <c r="K576">
        <f t="shared" si="50"/>
        <v>194.84637992109401</v>
      </c>
    </row>
    <row r="577" spans="1:11" x14ac:dyDescent="0.3">
      <c r="A577" t="s">
        <v>17</v>
      </c>
      <c r="B577" t="s">
        <v>168</v>
      </c>
      <c r="C577" t="s">
        <v>169</v>
      </c>
      <c r="D577" s="8">
        <f>_xlfn.XLOOKUP(B577,'3.屠宰能力表'!B:B,'3.屠宰能力表'!E:E)</f>
        <v>150</v>
      </c>
      <c r="E577">
        <f>_xlfn.XLOOKUP(B577,'4.分割能力表'!B:B,'4.分割能力表'!D:D)</f>
        <v>0</v>
      </c>
      <c r="F577">
        <f>_xlfn.XLOOKUP(B577,'4.分割能力表'!B:B,'4.分割能力表'!E:E)</f>
        <v>0</v>
      </c>
      <c r="G577" t="s">
        <v>51</v>
      </c>
      <c r="H577">
        <f>_xlfn.XLOOKUP(G577,系数辅助表!$C:$C,系数辅助表!$D:$D)</f>
        <v>4.9657251320821601E-3</v>
      </c>
      <c r="J577">
        <f t="shared" si="53"/>
        <v>89.383052377478904</v>
      </c>
      <c r="K577">
        <f t="shared" si="50"/>
        <v>89.383052377478904</v>
      </c>
    </row>
    <row r="578" spans="1:11" x14ac:dyDescent="0.3">
      <c r="A578" t="s">
        <v>17</v>
      </c>
      <c r="B578" t="s">
        <v>168</v>
      </c>
      <c r="C578" t="s">
        <v>169</v>
      </c>
      <c r="D578" s="8">
        <f>_xlfn.XLOOKUP(B578,'3.屠宰能力表'!B:B,'3.屠宰能力表'!E:E)</f>
        <v>150</v>
      </c>
      <c r="E578">
        <f>_xlfn.XLOOKUP(B578,'4.分割能力表'!B:B,'4.分割能力表'!D:D)</f>
        <v>0</v>
      </c>
      <c r="F578">
        <f>_xlfn.XLOOKUP(B578,'4.分割能力表'!B:B,'4.分割能力表'!E:E)</f>
        <v>0</v>
      </c>
      <c r="G578" t="s">
        <v>52</v>
      </c>
      <c r="H578">
        <f>_xlfn.XLOOKUP(G578,系数辅助表!$C:$C,系数辅助表!$D:$D)</f>
        <v>4.1516718317408203E-3</v>
      </c>
      <c r="J578">
        <f t="shared" si="53"/>
        <v>74.730092971334798</v>
      </c>
      <c r="K578">
        <f t="shared" si="50"/>
        <v>74.730092971334798</v>
      </c>
    </row>
    <row r="579" spans="1:11" x14ac:dyDescent="0.3">
      <c r="A579" t="s">
        <v>17</v>
      </c>
      <c r="B579" t="s">
        <v>168</v>
      </c>
      <c r="C579" t="s">
        <v>169</v>
      </c>
      <c r="D579" s="8">
        <f>_xlfn.XLOOKUP(B579,'3.屠宰能力表'!B:B,'3.屠宰能力表'!E:E)</f>
        <v>150</v>
      </c>
      <c r="E579">
        <f>_xlfn.XLOOKUP(B579,'4.分割能力表'!B:B,'4.分割能力表'!D:D)</f>
        <v>0</v>
      </c>
      <c r="F579">
        <f>_xlfn.XLOOKUP(B579,'4.分割能力表'!B:B,'4.分割能力表'!E:E)</f>
        <v>0</v>
      </c>
      <c r="G579" t="s">
        <v>53</v>
      </c>
      <c r="H579">
        <f>_xlfn.XLOOKUP(G579,系数辅助表!$C:$C,系数辅助表!$D:$D)</f>
        <v>3.6632398515360201E-3</v>
      </c>
      <c r="J579">
        <f t="shared" si="53"/>
        <v>65.938317327648406</v>
      </c>
      <c r="K579">
        <f t="shared" si="50"/>
        <v>65.938317327648406</v>
      </c>
    </row>
    <row r="580" spans="1:11" x14ac:dyDescent="0.3">
      <c r="A580" t="s">
        <v>17</v>
      </c>
      <c r="B580" t="s">
        <v>168</v>
      </c>
      <c r="C580" t="s">
        <v>169</v>
      </c>
      <c r="D580" s="8">
        <f>_xlfn.XLOOKUP(B580,'3.屠宰能力表'!B:B,'3.屠宰能力表'!E:E)</f>
        <v>150</v>
      </c>
      <c r="E580">
        <f>_xlfn.XLOOKUP(B580,'4.分割能力表'!B:B,'4.分割能力表'!D:D)</f>
        <v>0</v>
      </c>
      <c r="F580">
        <f>_xlfn.XLOOKUP(B580,'4.分割能力表'!B:B,'4.分割能力表'!E:E)</f>
        <v>0</v>
      </c>
      <c r="G580" t="s">
        <v>54</v>
      </c>
      <c r="H580">
        <f>_xlfn.XLOOKUP(G580,系数辅助表!$C:$C,系数辅助表!$D:$D)</f>
        <v>2.68637589112642E-3</v>
      </c>
      <c r="J580">
        <f t="shared" si="53"/>
        <v>48.354766040275599</v>
      </c>
      <c r="K580">
        <f t="shared" si="50"/>
        <v>48.354766040275599</v>
      </c>
    </row>
    <row r="581" spans="1:11" x14ac:dyDescent="0.3">
      <c r="A581" t="s">
        <v>17</v>
      </c>
      <c r="B581" t="s">
        <v>168</v>
      </c>
      <c r="C581" t="s">
        <v>169</v>
      </c>
      <c r="D581" s="8">
        <f>_xlfn.XLOOKUP(B581,'3.屠宰能力表'!B:B,'3.屠宰能力表'!E:E)</f>
        <v>150</v>
      </c>
      <c r="E581">
        <f>_xlfn.XLOOKUP(B581,'4.分割能力表'!B:B,'4.分割能力表'!D:D)</f>
        <v>0</v>
      </c>
      <c r="F581">
        <f>_xlfn.XLOOKUP(B581,'4.分割能力表'!B:B,'4.分割能力表'!E:E)</f>
        <v>0</v>
      </c>
      <c r="G581" t="s">
        <v>55</v>
      </c>
      <c r="H581">
        <f>_xlfn.XLOOKUP(G581,系数辅助表!$C:$C,系数辅助表!$D:$D)</f>
        <v>2.9015761200285397E-4</v>
      </c>
      <c r="J581">
        <f t="shared" si="53"/>
        <v>5.2228370160513702</v>
      </c>
      <c r="K581">
        <f t="shared" si="50"/>
        <v>5.2228370160513702</v>
      </c>
    </row>
    <row r="582" spans="1:11" x14ac:dyDescent="0.3">
      <c r="A582" t="s">
        <v>17</v>
      </c>
      <c r="B582" t="s">
        <v>168</v>
      </c>
      <c r="C582" t="s">
        <v>169</v>
      </c>
      <c r="D582" s="8">
        <f>_xlfn.XLOOKUP(B582,'3.屠宰能力表'!B:B,'3.屠宰能力表'!E:E)</f>
        <v>150</v>
      </c>
      <c r="E582">
        <f>_xlfn.XLOOKUP(B582,'4.分割能力表'!B:B,'4.分割能力表'!D:D)</f>
        <v>0</v>
      </c>
      <c r="F582">
        <f>_xlfn.XLOOKUP(B582,'4.分割能力表'!B:B,'4.分割能力表'!E:E)</f>
        <v>0</v>
      </c>
      <c r="G582" t="s">
        <v>57</v>
      </c>
      <c r="H582">
        <f>_xlfn.XLOOKUP(G582,系数辅助表!$C:$C,系数辅助表!$D:$D)</f>
        <v>1.0245932755973399E-2</v>
      </c>
      <c r="J582">
        <f t="shared" si="53"/>
        <v>184.42678960752099</v>
      </c>
      <c r="K582">
        <f t="shared" si="50"/>
        <v>184.42678960752099</v>
      </c>
    </row>
    <row r="583" spans="1:11" x14ac:dyDescent="0.3">
      <c r="A583" t="s">
        <v>17</v>
      </c>
      <c r="B583" t="s">
        <v>168</v>
      </c>
      <c r="C583" t="s">
        <v>169</v>
      </c>
      <c r="D583" s="8">
        <f>_xlfn.XLOOKUP(B583,'3.屠宰能力表'!B:B,'3.屠宰能力表'!E:E)</f>
        <v>150</v>
      </c>
      <c r="E583">
        <f>_xlfn.XLOOKUP(B583,'4.分割能力表'!B:B,'4.分割能力表'!D:D)</f>
        <v>0</v>
      </c>
      <c r="F583">
        <f>_xlfn.XLOOKUP(B583,'4.分割能力表'!B:B,'4.分割能力表'!E:E)</f>
        <v>0</v>
      </c>
      <c r="G583" t="s">
        <v>58</v>
      </c>
      <c r="H583">
        <f>_xlfn.XLOOKUP(G583,系数辅助表!$C:$C,系数辅助表!$D:$D)</f>
        <v>1.46005473500993E-2</v>
      </c>
      <c r="J583">
        <f t="shared" si="53"/>
        <v>262.80985230178698</v>
      </c>
      <c r="K583">
        <f t="shared" si="50"/>
        <v>262.80985230178698</v>
      </c>
    </row>
    <row r="584" spans="1:11" x14ac:dyDescent="0.3">
      <c r="A584" t="s">
        <v>17</v>
      </c>
      <c r="B584" t="s">
        <v>168</v>
      </c>
      <c r="C584" t="s">
        <v>169</v>
      </c>
      <c r="D584" s="8">
        <f>_xlfn.XLOOKUP(B584,'3.屠宰能力表'!B:B,'3.屠宰能力表'!E:E)</f>
        <v>150</v>
      </c>
      <c r="E584">
        <f>_xlfn.XLOOKUP(B584,'4.分割能力表'!B:B,'4.分割能力表'!D:D)</f>
        <v>0</v>
      </c>
      <c r="F584">
        <f>_xlfn.XLOOKUP(B584,'4.分割能力表'!B:B,'4.分割能力表'!E:E)</f>
        <v>0</v>
      </c>
      <c r="G584" t="s">
        <v>59</v>
      </c>
      <c r="H584">
        <f>_xlfn.XLOOKUP(G584,系数辅助表!$C:$C,系数辅助表!$D:$D)</f>
        <v>1.4718794556320801E-2</v>
      </c>
      <c r="J584">
        <f t="shared" si="53"/>
        <v>264.93830201377398</v>
      </c>
      <c r="K584">
        <f t="shared" si="50"/>
        <v>264.93830201377398</v>
      </c>
    </row>
    <row r="585" spans="1:11" x14ac:dyDescent="0.3">
      <c r="A585" t="s">
        <v>17</v>
      </c>
      <c r="B585" t="s">
        <v>168</v>
      </c>
      <c r="C585" t="s">
        <v>169</v>
      </c>
      <c r="D585" s="8">
        <f>_xlfn.XLOOKUP(B585,'3.屠宰能力表'!B:B,'3.屠宰能力表'!E:E)</f>
        <v>150</v>
      </c>
      <c r="E585">
        <f>_xlfn.XLOOKUP(B585,'4.分割能力表'!B:B,'4.分割能力表'!D:D)</f>
        <v>0</v>
      </c>
      <c r="F585">
        <f>_xlfn.XLOOKUP(B585,'4.分割能力表'!B:B,'4.分割能力表'!E:E)</f>
        <v>0</v>
      </c>
      <c r="G585" t="s">
        <v>60</v>
      </c>
      <c r="H585">
        <f>_xlfn.XLOOKUP(G585,系数辅助表!$C:$C,系数辅助表!$D:$D)</f>
        <v>6.8269088945398003E-3</v>
      </c>
      <c r="J585">
        <f t="shared" si="53"/>
        <v>122.884360101716</v>
      </c>
      <c r="K585">
        <f t="shared" si="50"/>
        <v>122.884360101716</v>
      </c>
    </row>
    <row r="586" spans="1:11" x14ac:dyDescent="0.3">
      <c r="A586" t="s">
        <v>17</v>
      </c>
      <c r="B586" t="s">
        <v>168</v>
      </c>
      <c r="C586" t="s">
        <v>169</v>
      </c>
      <c r="D586" s="8">
        <f>_xlfn.XLOOKUP(B586,'3.屠宰能力表'!B:B,'3.屠宰能力表'!E:E)</f>
        <v>150</v>
      </c>
      <c r="E586">
        <f>_xlfn.XLOOKUP(B586,'4.分割能力表'!B:B,'4.分割能力表'!D:D)</f>
        <v>0</v>
      </c>
      <c r="F586">
        <f>_xlfn.XLOOKUP(B586,'4.分割能力表'!B:B,'4.分割能力表'!E:E)</f>
        <v>0</v>
      </c>
      <c r="G586" t="s">
        <v>61</v>
      </c>
      <c r="H586">
        <f>_xlfn.XLOOKUP(G586,系数辅助表!$C:$C,系数辅助表!$D:$D)</f>
        <v>7.8149116832768404E-3</v>
      </c>
      <c r="J586">
        <f t="shared" si="53"/>
        <v>140.66841029898299</v>
      </c>
      <c r="K586">
        <f t="shared" si="50"/>
        <v>140.66841029898299</v>
      </c>
    </row>
    <row r="587" spans="1:11" x14ac:dyDescent="0.3">
      <c r="A587" t="s">
        <v>17</v>
      </c>
      <c r="B587" t="s">
        <v>168</v>
      </c>
      <c r="C587" t="s">
        <v>169</v>
      </c>
      <c r="D587" s="8">
        <f>_xlfn.XLOOKUP(B587,'3.屠宰能力表'!B:B,'3.屠宰能力表'!E:E)</f>
        <v>150</v>
      </c>
      <c r="E587">
        <f>_xlfn.XLOOKUP(B587,'4.分割能力表'!B:B,'4.分割能力表'!D:D)</f>
        <v>0</v>
      </c>
      <c r="F587">
        <f>_xlfn.XLOOKUP(B587,'4.分割能力表'!B:B,'4.分割能力表'!E:E)</f>
        <v>0</v>
      </c>
      <c r="G587" t="s">
        <v>62</v>
      </c>
      <c r="H587">
        <f>_xlfn.XLOOKUP(G587,系数辅助表!$C:$C,系数辅助表!$D:$D)</f>
        <v>7.3264797030720401E-3</v>
      </c>
      <c r="J587">
        <f t="shared" si="53"/>
        <v>131.87663465529701</v>
      </c>
      <c r="K587">
        <f t="shared" si="50"/>
        <v>131.87663465529701</v>
      </c>
    </row>
    <row r="588" spans="1:11" x14ac:dyDescent="0.3">
      <c r="A588" t="s">
        <v>17</v>
      </c>
      <c r="B588" t="s">
        <v>168</v>
      </c>
      <c r="C588" t="s">
        <v>169</v>
      </c>
      <c r="D588" s="8">
        <f>_xlfn.XLOOKUP(B588,'3.屠宰能力表'!B:B,'3.屠宰能力表'!E:E)</f>
        <v>150</v>
      </c>
      <c r="E588">
        <f>_xlfn.XLOOKUP(B588,'4.分割能力表'!B:B,'4.分割能力表'!D:D)</f>
        <v>0</v>
      </c>
      <c r="F588">
        <f>_xlfn.XLOOKUP(B588,'4.分割能力表'!B:B,'4.分割能力表'!E:E)</f>
        <v>0</v>
      </c>
      <c r="G588" t="s">
        <v>63</v>
      </c>
      <c r="H588">
        <f>_xlfn.XLOOKUP(G588,系数辅助表!$C:$C,系数辅助表!$D:$D)</f>
        <v>6.1516718317408204E-3</v>
      </c>
      <c r="J588">
        <f t="shared" si="53"/>
        <v>110.730092971335</v>
      </c>
      <c r="K588">
        <f t="shared" si="50"/>
        <v>110.730092971335</v>
      </c>
    </row>
    <row r="589" spans="1:11" x14ac:dyDescent="0.3">
      <c r="A589" t="s">
        <v>17</v>
      </c>
      <c r="B589" t="s">
        <v>168</v>
      </c>
      <c r="C589" t="s">
        <v>169</v>
      </c>
      <c r="D589" s="8">
        <f>_xlfn.XLOOKUP(B589,'3.屠宰能力表'!B:B,'3.屠宰能力表'!E:E)</f>
        <v>150</v>
      </c>
      <c r="E589">
        <f>_xlfn.XLOOKUP(B589,'4.分割能力表'!B:B,'4.分割能力表'!D:D)</f>
        <v>0</v>
      </c>
      <c r="F589">
        <f>_xlfn.XLOOKUP(B589,'4.分割能力表'!B:B,'4.分割能力表'!E:E)</f>
        <v>0</v>
      </c>
      <c r="G589" t="s">
        <v>64</v>
      </c>
      <c r="H589">
        <f>_xlfn.XLOOKUP(G589,系数辅助表!$C:$C,系数辅助表!$D:$D)</f>
        <v>1.0639112440104599E-3</v>
      </c>
      <c r="J589">
        <f t="shared" si="53"/>
        <v>19.150402392188301</v>
      </c>
      <c r="K589">
        <f t="shared" ref="K589:K593" si="54">J589-L589</f>
        <v>19.150402392188301</v>
      </c>
    </row>
    <row r="590" spans="1:11" x14ac:dyDescent="0.3">
      <c r="A590" t="s">
        <v>17</v>
      </c>
      <c r="B590" t="s">
        <v>168</v>
      </c>
      <c r="C590" t="s">
        <v>169</v>
      </c>
      <c r="D590" s="8">
        <f>_xlfn.XLOOKUP(B590,'3.屠宰能力表'!B:B,'3.屠宰能力表'!E:E)</f>
        <v>150</v>
      </c>
      <c r="E590">
        <f>_xlfn.XLOOKUP(B590,'4.分割能力表'!B:B,'4.分割能力表'!D:D)</f>
        <v>0</v>
      </c>
      <c r="F590">
        <f>_xlfn.XLOOKUP(B590,'4.分割能力表'!B:B,'4.分割能力表'!E:E)</f>
        <v>0</v>
      </c>
      <c r="G590" t="s">
        <v>65</v>
      </c>
      <c r="H590">
        <f>_xlfn.XLOOKUP(G590,系数辅助表!$C:$C,系数辅助表!$D:$D)</f>
        <v>4.8359602000475603E-4</v>
      </c>
      <c r="J590">
        <f t="shared" si="53"/>
        <v>8.7047283600856105</v>
      </c>
      <c r="K590">
        <f t="shared" si="54"/>
        <v>8.7047283600856105</v>
      </c>
    </row>
    <row r="591" spans="1:11" x14ac:dyDescent="0.3">
      <c r="A591" t="s">
        <v>17</v>
      </c>
      <c r="B591" t="s">
        <v>168</v>
      </c>
      <c r="C591" t="s">
        <v>169</v>
      </c>
      <c r="D591" s="8">
        <f>_xlfn.XLOOKUP(B591,'3.屠宰能力表'!B:B,'3.屠宰能力表'!E:E)</f>
        <v>150</v>
      </c>
      <c r="E591">
        <f>_xlfn.XLOOKUP(B591,'4.分割能力表'!B:B,'4.分割能力表'!D:D)</f>
        <v>0</v>
      </c>
      <c r="F591">
        <f>_xlfn.XLOOKUP(B591,'4.分割能力表'!B:B,'4.分割能力表'!E:E)</f>
        <v>0</v>
      </c>
      <c r="G591" t="s">
        <v>66</v>
      </c>
      <c r="H591">
        <f>_xlfn.XLOOKUP(G591,系数辅助表!$C:$C,系数辅助表!$D:$D)</f>
        <v>1.70951193071681E-3</v>
      </c>
      <c r="J591">
        <f t="shared" si="53"/>
        <v>30.771214752902601</v>
      </c>
      <c r="K591">
        <f t="shared" si="54"/>
        <v>30.771214752902601</v>
      </c>
    </row>
    <row r="592" spans="1:11" x14ac:dyDescent="0.3">
      <c r="A592" t="s">
        <v>17</v>
      </c>
      <c r="B592" t="s">
        <v>168</v>
      </c>
      <c r="C592" t="s">
        <v>169</v>
      </c>
      <c r="D592" s="8">
        <f>_xlfn.XLOOKUP(B592,'3.屠宰能力表'!B:B,'3.屠宰能力表'!E:E)</f>
        <v>150</v>
      </c>
      <c r="E592">
        <f>_xlfn.XLOOKUP(B592,'4.分割能力表'!B:B,'4.分割能力表'!D:D)</f>
        <v>0</v>
      </c>
      <c r="F592">
        <f>_xlfn.XLOOKUP(B592,'4.分割能力表'!B:B,'4.分割能力表'!E:E)</f>
        <v>0</v>
      </c>
      <c r="G592" t="s">
        <v>67</v>
      </c>
      <c r="H592">
        <f>_xlfn.XLOOKUP(G592,系数辅助表!$C:$C,系数辅助表!$D:$D)</f>
        <v>0.02</v>
      </c>
      <c r="J592">
        <f t="shared" si="53"/>
        <v>360</v>
      </c>
      <c r="K592">
        <f t="shared" si="54"/>
        <v>360</v>
      </c>
    </row>
    <row r="593" spans="1:11" x14ac:dyDescent="0.3">
      <c r="A593" s="2" t="s">
        <v>16</v>
      </c>
      <c r="B593" t="s">
        <v>170</v>
      </c>
      <c r="C593" t="s">
        <v>171</v>
      </c>
      <c r="D593">
        <f>_xlfn.XLOOKUP(B593,'3.屠宰能力表'!B:B,'3.屠宰能力表'!E:E)</f>
        <v>1760</v>
      </c>
      <c r="E593">
        <f>_xlfn.XLOOKUP(B593,'4.分割能力表'!B:B,'4.分割能力表'!D:D)</f>
        <v>100</v>
      </c>
      <c r="F593">
        <f>_xlfn.XLOOKUP(B593,'4.分割能力表'!B:B,'4.分割能力表'!E:E)</f>
        <v>0</v>
      </c>
      <c r="G593" t="s">
        <v>41</v>
      </c>
      <c r="H593">
        <f>_xlfn.XLOOKUP(G593,系数辅助表!$C:$C,系数辅助表!$D:$D)</f>
        <v>0.71499999999999997</v>
      </c>
      <c r="J593">
        <f>(D593-E593)*H593*$D$1</f>
        <v>142428</v>
      </c>
      <c r="K593">
        <f t="shared" si="54"/>
        <v>142428</v>
      </c>
    </row>
    <row r="594" spans="1:11" x14ac:dyDescent="0.3">
      <c r="A594" t="s">
        <v>16</v>
      </c>
      <c r="B594" t="s">
        <v>170</v>
      </c>
      <c r="C594" t="s">
        <v>171</v>
      </c>
      <c r="D594">
        <f>_xlfn.XLOOKUP(B594,'3.屠宰能力表'!B:B,'3.屠宰能力表'!E:E)</f>
        <v>1760</v>
      </c>
      <c r="E594">
        <f>_xlfn.XLOOKUP(B594,'4.分割能力表'!B:B,'4.分割能力表'!D:D)</f>
        <v>100</v>
      </c>
      <c r="F594">
        <f>_xlfn.XLOOKUP(B594,'4.分割能力表'!B:B,'4.分割能力表'!E:E)</f>
        <v>0</v>
      </c>
      <c r="G594" t="s">
        <v>44</v>
      </c>
      <c r="H594">
        <f>_xlfn.XLOOKUP(G594,系数辅助表!$C:$C,系数辅助表!$D:$D)</f>
        <v>4.3342237679380002E-2</v>
      </c>
      <c r="J594">
        <f>$D594*H594*$D$1</f>
        <v>9153.8805978850596</v>
      </c>
      <c r="K594">
        <f t="shared" ref="K594:K657" si="55">J594-L594</f>
        <v>9153.8805978850596</v>
      </c>
    </row>
    <row r="595" spans="1:11" x14ac:dyDescent="0.3">
      <c r="A595" t="s">
        <v>16</v>
      </c>
      <c r="B595" t="s">
        <v>170</v>
      </c>
      <c r="C595" t="s">
        <v>171</v>
      </c>
      <c r="D595">
        <f>_xlfn.XLOOKUP(B595,'3.屠宰能力表'!B:B,'3.屠宰能力表'!E:E)</f>
        <v>1760</v>
      </c>
      <c r="E595">
        <f>_xlfn.XLOOKUP(B595,'4.分割能力表'!B:B,'4.分割能力表'!D:D)</f>
        <v>100</v>
      </c>
      <c r="F595">
        <f>_xlfn.XLOOKUP(B595,'4.分割能力表'!B:B,'4.分割能力表'!E:E)</f>
        <v>0</v>
      </c>
      <c r="G595" t="s">
        <v>46</v>
      </c>
      <c r="H595">
        <f>_xlfn.XLOOKUP(G595,系数辅助表!$C:$C,系数辅助表!$D:$D)</f>
        <v>3.2562132013653599E-4</v>
      </c>
      <c r="J595">
        <f t="shared" ref="J595:J615" si="56">$D595*H595*$D$1</f>
        <v>68.771222812836399</v>
      </c>
      <c r="K595">
        <f t="shared" si="55"/>
        <v>68.771222812836399</v>
      </c>
    </row>
    <row r="596" spans="1:11" x14ac:dyDescent="0.3">
      <c r="A596" t="s">
        <v>16</v>
      </c>
      <c r="B596" t="s">
        <v>170</v>
      </c>
      <c r="C596" t="s">
        <v>171</v>
      </c>
      <c r="D596">
        <f>_xlfn.XLOOKUP(B596,'3.屠宰能力表'!B:B,'3.屠宰能力表'!E:E)</f>
        <v>1760</v>
      </c>
      <c r="E596">
        <f>_xlfn.XLOOKUP(B596,'4.分割能力表'!B:B,'4.分割能力表'!D:D)</f>
        <v>100</v>
      </c>
      <c r="F596">
        <f>_xlfn.XLOOKUP(B596,'4.分割能力表'!B:B,'4.分割能力表'!E:E)</f>
        <v>0</v>
      </c>
      <c r="G596" t="s">
        <v>47</v>
      </c>
      <c r="H596">
        <f>_xlfn.XLOOKUP(G596,系数辅助表!$C:$C,系数辅助表!$D:$D)</f>
        <v>3.0632398515360198E-3</v>
      </c>
      <c r="J596">
        <f t="shared" si="56"/>
        <v>646.95625664440695</v>
      </c>
      <c r="K596">
        <f t="shared" si="55"/>
        <v>646.95625664440695</v>
      </c>
    </row>
    <row r="597" spans="1:11" x14ac:dyDescent="0.3">
      <c r="A597" t="s">
        <v>16</v>
      </c>
      <c r="B597" t="s">
        <v>170</v>
      </c>
      <c r="C597" t="s">
        <v>171</v>
      </c>
      <c r="D597">
        <f>_xlfn.XLOOKUP(B597,'3.屠宰能力表'!B:B,'3.屠宰能力表'!E:E)</f>
        <v>1760</v>
      </c>
      <c r="E597">
        <f>_xlfn.XLOOKUP(B597,'4.分割能力表'!B:B,'4.分割能力表'!D:D)</f>
        <v>100</v>
      </c>
      <c r="F597">
        <f>_xlfn.XLOOKUP(B597,'4.分割能力表'!B:B,'4.分割能力表'!E:E)</f>
        <v>0</v>
      </c>
      <c r="G597" t="s">
        <v>48</v>
      </c>
      <c r="H597">
        <f>_xlfn.XLOOKUP(G597,系数辅助表!$C:$C,系数辅助表!$D:$D)</f>
        <v>1.5822796716383002E-2</v>
      </c>
      <c r="J597">
        <f t="shared" si="56"/>
        <v>3341.77466650009</v>
      </c>
      <c r="K597">
        <f t="shared" si="55"/>
        <v>3341.77466650009</v>
      </c>
    </row>
    <row r="598" spans="1:11" x14ac:dyDescent="0.3">
      <c r="A598" t="s">
        <v>16</v>
      </c>
      <c r="B598" t="s">
        <v>170</v>
      </c>
      <c r="C598" t="s">
        <v>171</v>
      </c>
      <c r="D598">
        <f>_xlfn.XLOOKUP(B598,'3.屠宰能力表'!B:B,'3.屠宰能力表'!E:E)</f>
        <v>1760</v>
      </c>
      <c r="E598">
        <f>_xlfn.XLOOKUP(B598,'4.分割能力表'!B:B,'4.分割能力表'!D:D)</f>
        <v>100</v>
      </c>
      <c r="F598">
        <f>_xlfn.XLOOKUP(B598,'4.分割能力表'!B:B,'4.分割能力表'!E:E)</f>
        <v>0</v>
      </c>
      <c r="G598" t="s">
        <v>49</v>
      </c>
      <c r="H598">
        <f>_xlfn.XLOOKUP(G598,系数辅助表!$C:$C,系数辅助表!$D:$D)</f>
        <v>3.0934025412970799E-3</v>
      </c>
      <c r="J598">
        <f t="shared" si="56"/>
        <v>653.32661672194297</v>
      </c>
      <c r="K598">
        <f t="shared" si="55"/>
        <v>653.32661672194297</v>
      </c>
    </row>
    <row r="599" spans="1:11" x14ac:dyDescent="0.3">
      <c r="A599" t="s">
        <v>16</v>
      </c>
      <c r="B599" t="s">
        <v>170</v>
      </c>
      <c r="C599" t="s">
        <v>171</v>
      </c>
      <c r="D599">
        <f>_xlfn.XLOOKUP(B599,'3.屠宰能力表'!B:B,'3.屠宰能力表'!E:E)</f>
        <v>1760</v>
      </c>
      <c r="E599">
        <f>_xlfn.XLOOKUP(B599,'4.分割能力表'!B:B,'4.分割能力表'!D:D)</f>
        <v>100</v>
      </c>
      <c r="F599">
        <f>_xlfn.XLOOKUP(B599,'4.分割能力表'!B:B,'4.分割能力表'!E:E)</f>
        <v>0</v>
      </c>
      <c r="G599" t="s">
        <v>50</v>
      </c>
      <c r="H599">
        <f>_xlfn.XLOOKUP(G599,系数辅助表!$C:$C,系数辅助表!$D:$D)</f>
        <v>1.08247988845052E-2</v>
      </c>
      <c r="J599">
        <f t="shared" si="56"/>
        <v>2286.1975244075002</v>
      </c>
      <c r="K599">
        <f t="shared" si="55"/>
        <v>2286.1975244075002</v>
      </c>
    </row>
    <row r="600" spans="1:11" x14ac:dyDescent="0.3">
      <c r="A600" t="s">
        <v>16</v>
      </c>
      <c r="B600" t="s">
        <v>170</v>
      </c>
      <c r="C600" t="s">
        <v>171</v>
      </c>
      <c r="D600">
        <f>_xlfn.XLOOKUP(B600,'3.屠宰能力表'!B:B,'3.屠宰能力表'!E:E)</f>
        <v>1760</v>
      </c>
      <c r="E600">
        <f>_xlfn.XLOOKUP(B600,'4.分割能力表'!B:B,'4.分割能力表'!D:D)</f>
        <v>100</v>
      </c>
      <c r="F600">
        <f>_xlfn.XLOOKUP(B600,'4.分割能力表'!B:B,'4.分割能力表'!E:E)</f>
        <v>0</v>
      </c>
      <c r="G600" t="s">
        <v>51</v>
      </c>
      <c r="H600">
        <f>_xlfn.XLOOKUP(G600,系数辅助表!$C:$C,系数辅助表!$D:$D)</f>
        <v>4.9657251320821601E-3</v>
      </c>
      <c r="J600">
        <f t="shared" si="56"/>
        <v>1048.7611478957499</v>
      </c>
      <c r="K600">
        <f t="shared" si="55"/>
        <v>1048.7611478957499</v>
      </c>
    </row>
    <row r="601" spans="1:11" x14ac:dyDescent="0.3">
      <c r="A601" t="s">
        <v>16</v>
      </c>
      <c r="B601" t="s">
        <v>170</v>
      </c>
      <c r="C601" t="s">
        <v>171</v>
      </c>
      <c r="D601">
        <f>_xlfn.XLOOKUP(B601,'3.屠宰能力表'!B:B,'3.屠宰能力表'!E:E)</f>
        <v>1760</v>
      </c>
      <c r="E601">
        <f>_xlfn.XLOOKUP(B601,'4.分割能力表'!B:B,'4.分割能力表'!D:D)</f>
        <v>100</v>
      </c>
      <c r="F601">
        <f>_xlfn.XLOOKUP(B601,'4.分割能力表'!B:B,'4.分割能力表'!E:E)</f>
        <v>0</v>
      </c>
      <c r="G601" t="s">
        <v>52</v>
      </c>
      <c r="H601">
        <f>_xlfn.XLOOKUP(G601,系数辅助表!$C:$C,系数辅助表!$D:$D)</f>
        <v>4.1516718317408203E-3</v>
      </c>
      <c r="J601">
        <f t="shared" si="56"/>
        <v>876.83309086366103</v>
      </c>
      <c r="K601">
        <f t="shared" si="55"/>
        <v>876.83309086366103</v>
      </c>
    </row>
    <row r="602" spans="1:11" x14ac:dyDescent="0.3">
      <c r="A602" t="s">
        <v>16</v>
      </c>
      <c r="B602" t="s">
        <v>170</v>
      </c>
      <c r="C602" t="s">
        <v>171</v>
      </c>
      <c r="D602">
        <f>_xlfn.XLOOKUP(B602,'3.屠宰能力表'!B:B,'3.屠宰能力表'!E:E)</f>
        <v>1760</v>
      </c>
      <c r="E602">
        <f>_xlfn.XLOOKUP(B602,'4.分割能力表'!B:B,'4.分割能力表'!D:D)</f>
        <v>100</v>
      </c>
      <c r="F602">
        <f>_xlfn.XLOOKUP(B602,'4.分割能力表'!B:B,'4.分割能力表'!E:E)</f>
        <v>0</v>
      </c>
      <c r="G602" t="s">
        <v>53</v>
      </c>
      <c r="H602">
        <f>_xlfn.XLOOKUP(G602,系数辅助表!$C:$C,系数辅助表!$D:$D)</f>
        <v>3.6632398515360201E-3</v>
      </c>
      <c r="J602">
        <f t="shared" si="56"/>
        <v>773.67625664440698</v>
      </c>
      <c r="K602">
        <f t="shared" si="55"/>
        <v>773.67625664440698</v>
      </c>
    </row>
    <row r="603" spans="1:11" x14ac:dyDescent="0.3">
      <c r="A603" t="s">
        <v>16</v>
      </c>
      <c r="B603" t="s">
        <v>170</v>
      </c>
      <c r="C603" t="s">
        <v>171</v>
      </c>
      <c r="D603">
        <f>_xlfn.XLOOKUP(B603,'3.屠宰能力表'!B:B,'3.屠宰能力表'!E:E)</f>
        <v>1760</v>
      </c>
      <c r="E603">
        <f>_xlfn.XLOOKUP(B603,'4.分割能力表'!B:B,'4.分割能力表'!D:D)</f>
        <v>100</v>
      </c>
      <c r="F603">
        <f>_xlfn.XLOOKUP(B603,'4.分割能力表'!B:B,'4.分割能力表'!E:E)</f>
        <v>0</v>
      </c>
      <c r="G603" t="s">
        <v>54</v>
      </c>
      <c r="H603">
        <f>_xlfn.XLOOKUP(G603,系数辅助表!$C:$C,系数辅助表!$D:$D)</f>
        <v>2.68637589112642E-3</v>
      </c>
      <c r="J603">
        <f t="shared" si="56"/>
        <v>567.36258820590001</v>
      </c>
      <c r="K603">
        <f t="shared" si="55"/>
        <v>567.36258820590001</v>
      </c>
    </row>
    <row r="604" spans="1:11" x14ac:dyDescent="0.3">
      <c r="A604" t="s">
        <v>16</v>
      </c>
      <c r="B604" t="s">
        <v>170</v>
      </c>
      <c r="C604" t="s">
        <v>171</v>
      </c>
      <c r="D604">
        <f>_xlfn.XLOOKUP(B604,'3.屠宰能力表'!B:B,'3.屠宰能力表'!E:E)</f>
        <v>1760</v>
      </c>
      <c r="E604">
        <f>_xlfn.XLOOKUP(B604,'4.分割能力表'!B:B,'4.分割能力表'!D:D)</f>
        <v>100</v>
      </c>
      <c r="F604">
        <f>_xlfn.XLOOKUP(B604,'4.分割能力表'!B:B,'4.分割能力表'!E:E)</f>
        <v>0</v>
      </c>
      <c r="G604" t="s">
        <v>55</v>
      </c>
      <c r="H604">
        <f>_xlfn.XLOOKUP(G604,系数辅助表!$C:$C,系数辅助表!$D:$D)</f>
        <v>2.9015761200285397E-4</v>
      </c>
      <c r="J604">
        <f t="shared" si="56"/>
        <v>61.281287655002799</v>
      </c>
      <c r="K604">
        <f t="shared" si="55"/>
        <v>61.281287655002799</v>
      </c>
    </row>
    <row r="605" spans="1:11" x14ac:dyDescent="0.3">
      <c r="A605" t="s">
        <v>16</v>
      </c>
      <c r="B605" t="s">
        <v>170</v>
      </c>
      <c r="C605" t="s">
        <v>171</v>
      </c>
      <c r="D605">
        <f>_xlfn.XLOOKUP(B605,'3.屠宰能力表'!B:B,'3.屠宰能力表'!E:E)</f>
        <v>1760</v>
      </c>
      <c r="E605">
        <f>_xlfn.XLOOKUP(B605,'4.分割能力表'!B:B,'4.分割能力表'!D:D)</f>
        <v>100</v>
      </c>
      <c r="F605">
        <f>_xlfn.XLOOKUP(B605,'4.分割能力表'!B:B,'4.分割能力表'!E:E)</f>
        <v>0</v>
      </c>
      <c r="G605" t="s">
        <v>57</v>
      </c>
      <c r="H605">
        <f>_xlfn.XLOOKUP(G605,系数辅助表!$C:$C,系数辅助表!$D:$D)</f>
        <v>1.0245932755973399E-2</v>
      </c>
      <c r="J605">
        <f t="shared" si="56"/>
        <v>2163.9409980615801</v>
      </c>
      <c r="K605">
        <f t="shared" si="55"/>
        <v>2163.9409980615801</v>
      </c>
    </row>
    <row r="606" spans="1:11" x14ac:dyDescent="0.3">
      <c r="A606" t="s">
        <v>16</v>
      </c>
      <c r="B606" t="s">
        <v>170</v>
      </c>
      <c r="C606" t="s">
        <v>171</v>
      </c>
      <c r="D606">
        <f>_xlfn.XLOOKUP(B606,'3.屠宰能力表'!B:B,'3.屠宰能力表'!E:E)</f>
        <v>1760</v>
      </c>
      <c r="E606">
        <f>_xlfn.XLOOKUP(B606,'4.分割能力表'!B:B,'4.分割能力表'!D:D)</f>
        <v>100</v>
      </c>
      <c r="F606">
        <f>_xlfn.XLOOKUP(B606,'4.分割能力表'!B:B,'4.分割能力表'!E:E)</f>
        <v>0</v>
      </c>
      <c r="G606" t="s">
        <v>58</v>
      </c>
      <c r="H606">
        <f>_xlfn.XLOOKUP(G606,系数辅助表!$C:$C,系数辅助表!$D:$D)</f>
        <v>1.46005473500993E-2</v>
      </c>
      <c r="J606">
        <f t="shared" si="56"/>
        <v>3083.6356003409701</v>
      </c>
      <c r="K606">
        <f t="shared" si="55"/>
        <v>3083.6356003409701</v>
      </c>
    </row>
    <row r="607" spans="1:11" x14ac:dyDescent="0.3">
      <c r="A607" t="s">
        <v>16</v>
      </c>
      <c r="B607" t="s">
        <v>170</v>
      </c>
      <c r="C607" t="s">
        <v>171</v>
      </c>
      <c r="D607">
        <f>_xlfn.XLOOKUP(B607,'3.屠宰能力表'!B:B,'3.屠宰能力表'!E:E)</f>
        <v>1760</v>
      </c>
      <c r="E607">
        <f>_xlfn.XLOOKUP(B607,'4.分割能力表'!B:B,'4.分割能力表'!D:D)</f>
        <v>100</v>
      </c>
      <c r="F607">
        <f>_xlfn.XLOOKUP(B607,'4.分割能力表'!B:B,'4.分割能力表'!E:E)</f>
        <v>0</v>
      </c>
      <c r="G607" t="s">
        <v>59</v>
      </c>
      <c r="H607">
        <f>_xlfn.XLOOKUP(G607,系数辅助表!$C:$C,系数辅助表!$D:$D)</f>
        <v>1.4718794556320801E-2</v>
      </c>
      <c r="J607">
        <f t="shared" si="56"/>
        <v>3108.6094102949501</v>
      </c>
      <c r="K607">
        <f t="shared" si="55"/>
        <v>3108.6094102949501</v>
      </c>
    </row>
    <row r="608" spans="1:11" x14ac:dyDescent="0.3">
      <c r="A608" t="s">
        <v>16</v>
      </c>
      <c r="B608" t="s">
        <v>170</v>
      </c>
      <c r="C608" t="s">
        <v>171</v>
      </c>
      <c r="D608">
        <f>_xlfn.XLOOKUP(B608,'3.屠宰能力表'!B:B,'3.屠宰能力表'!E:E)</f>
        <v>1760</v>
      </c>
      <c r="E608">
        <f>_xlfn.XLOOKUP(B608,'4.分割能力表'!B:B,'4.分割能力表'!D:D)</f>
        <v>100</v>
      </c>
      <c r="F608">
        <f>_xlfn.XLOOKUP(B608,'4.分割能力表'!B:B,'4.分割能力表'!E:E)</f>
        <v>0</v>
      </c>
      <c r="G608" t="s">
        <v>60</v>
      </c>
      <c r="H608">
        <f>_xlfn.XLOOKUP(G608,系数辅助表!$C:$C,系数辅助表!$D:$D)</f>
        <v>6.8269088945398003E-3</v>
      </c>
      <c r="J608">
        <f t="shared" si="56"/>
        <v>1441.8431585268099</v>
      </c>
      <c r="K608">
        <f t="shared" si="55"/>
        <v>1441.8431585268099</v>
      </c>
    </row>
    <row r="609" spans="1:11" x14ac:dyDescent="0.3">
      <c r="A609" t="s">
        <v>16</v>
      </c>
      <c r="B609" t="s">
        <v>170</v>
      </c>
      <c r="C609" t="s">
        <v>171</v>
      </c>
      <c r="D609">
        <f>_xlfn.XLOOKUP(B609,'3.屠宰能力表'!B:B,'3.屠宰能力表'!E:E)</f>
        <v>1760</v>
      </c>
      <c r="E609">
        <f>_xlfn.XLOOKUP(B609,'4.分割能力表'!B:B,'4.分割能力表'!D:D)</f>
        <v>100</v>
      </c>
      <c r="F609">
        <f>_xlfn.XLOOKUP(B609,'4.分割能力表'!B:B,'4.分割能力表'!E:E)</f>
        <v>0</v>
      </c>
      <c r="G609" t="s">
        <v>61</v>
      </c>
      <c r="H609">
        <f>_xlfn.XLOOKUP(G609,系数辅助表!$C:$C,系数辅助表!$D:$D)</f>
        <v>7.8149116832768404E-3</v>
      </c>
      <c r="J609">
        <f t="shared" si="56"/>
        <v>1650.5093475080701</v>
      </c>
      <c r="K609">
        <f t="shared" si="55"/>
        <v>1650.5093475080701</v>
      </c>
    </row>
    <row r="610" spans="1:11" x14ac:dyDescent="0.3">
      <c r="A610" t="s">
        <v>16</v>
      </c>
      <c r="B610" t="s">
        <v>170</v>
      </c>
      <c r="C610" t="s">
        <v>171</v>
      </c>
      <c r="D610">
        <f>_xlfn.XLOOKUP(B610,'3.屠宰能力表'!B:B,'3.屠宰能力表'!E:E)</f>
        <v>1760</v>
      </c>
      <c r="E610">
        <f>_xlfn.XLOOKUP(B610,'4.分割能力表'!B:B,'4.分割能力表'!D:D)</f>
        <v>100</v>
      </c>
      <c r="F610">
        <f>_xlfn.XLOOKUP(B610,'4.分割能力表'!B:B,'4.分割能力表'!E:E)</f>
        <v>0</v>
      </c>
      <c r="G610" t="s">
        <v>62</v>
      </c>
      <c r="H610">
        <f>_xlfn.XLOOKUP(G610,系数辅助表!$C:$C,系数辅助表!$D:$D)</f>
        <v>7.3264797030720401E-3</v>
      </c>
      <c r="J610">
        <f t="shared" si="56"/>
        <v>1547.3525132888101</v>
      </c>
      <c r="K610">
        <f t="shared" si="55"/>
        <v>1547.3525132888101</v>
      </c>
    </row>
    <row r="611" spans="1:11" x14ac:dyDescent="0.3">
      <c r="A611" t="s">
        <v>16</v>
      </c>
      <c r="B611" t="s">
        <v>170</v>
      </c>
      <c r="C611" t="s">
        <v>171</v>
      </c>
      <c r="D611">
        <f>_xlfn.XLOOKUP(B611,'3.屠宰能力表'!B:B,'3.屠宰能力表'!E:E)</f>
        <v>1760</v>
      </c>
      <c r="E611">
        <f>_xlfn.XLOOKUP(B611,'4.分割能力表'!B:B,'4.分割能力表'!D:D)</f>
        <v>100</v>
      </c>
      <c r="F611">
        <f>_xlfn.XLOOKUP(B611,'4.分割能力表'!B:B,'4.分割能力表'!E:E)</f>
        <v>0</v>
      </c>
      <c r="G611" t="s">
        <v>63</v>
      </c>
      <c r="H611">
        <f>_xlfn.XLOOKUP(G611,系数辅助表!$C:$C,系数辅助表!$D:$D)</f>
        <v>6.1516718317408204E-3</v>
      </c>
      <c r="J611">
        <f t="shared" si="56"/>
        <v>1299.23309086366</v>
      </c>
      <c r="K611">
        <f t="shared" si="55"/>
        <v>1299.23309086366</v>
      </c>
    </row>
    <row r="612" spans="1:11" x14ac:dyDescent="0.3">
      <c r="A612" t="s">
        <v>16</v>
      </c>
      <c r="B612" t="s">
        <v>170</v>
      </c>
      <c r="C612" t="s">
        <v>171</v>
      </c>
      <c r="D612">
        <f>_xlfn.XLOOKUP(B612,'3.屠宰能力表'!B:B,'3.屠宰能力表'!E:E)</f>
        <v>1760</v>
      </c>
      <c r="E612">
        <f>_xlfn.XLOOKUP(B612,'4.分割能力表'!B:B,'4.分割能力表'!D:D)</f>
        <v>100</v>
      </c>
      <c r="F612">
        <f>_xlfn.XLOOKUP(B612,'4.分割能力表'!B:B,'4.分割能力表'!E:E)</f>
        <v>0</v>
      </c>
      <c r="G612" t="s">
        <v>64</v>
      </c>
      <c r="H612">
        <f>_xlfn.XLOOKUP(G612,系数辅助表!$C:$C,系数辅助表!$D:$D)</f>
        <v>1.0639112440104599E-3</v>
      </c>
      <c r="J612">
        <f t="shared" si="56"/>
        <v>224.69805473500901</v>
      </c>
      <c r="K612">
        <f t="shared" si="55"/>
        <v>224.69805473500901</v>
      </c>
    </row>
    <row r="613" spans="1:11" x14ac:dyDescent="0.3">
      <c r="A613" t="s">
        <v>16</v>
      </c>
      <c r="B613" t="s">
        <v>170</v>
      </c>
      <c r="C613" t="s">
        <v>171</v>
      </c>
      <c r="D613">
        <f>_xlfn.XLOOKUP(B613,'3.屠宰能力表'!B:B,'3.屠宰能力表'!E:E)</f>
        <v>1760</v>
      </c>
      <c r="E613">
        <f>_xlfn.XLOOKUP(B613,'4.分割能力表'!B:B,'4.分割能力表'!D:D)</f>
        <v>100</v>
      </c>
      <c r="F613">
        <f>_xlfn.XLOOKUP(B613,'4.分割能力表'!B:B,'4.分割能力表'!E:E)</f>
        <v>0</v>
      </c>
      <c r="G613" t="s">
        <v>65</v>
      </c>
      <c r="H613">
        <f>_xlfn.XLOOKUP(G613,系数辅助表!$C:$C,系数辅助表!$D:$D)</f>
        <v>4.8359602000475603E-4</v>
      </c>
      <c r="J613">
        <f t="shared" si="56"/>
        <v>102.13547942500399</v>
      </c>
      <c r="K613">
        <f t="shared" si="55"/>
        <v>102.13547942500399</v>
      </c>
    </row>
    <row r="614" spans="1:11" x14ac:dyDescent="0.3">
      <c r="A614" t="s">
        <v>16</v>
      </c>
      <c r="B614" t="s">
        <v>170</v>
      </c>
      <c r="C614" t="s">
        <v>171</v>
      </c>
      <c r="D614">
        <f>_xlfn.XLOOKUP(B614,'3.屠宰能力表'!B:B,'3.屠宰能力表'!E:E)</f>
        <v>1760</v>
      </c>
      <c r="E614">
        <f>_xlfn.XLOOKUP(B614,'4.分割能力表'!B:B,'4.分割能力表'!D:D)</f>
        <v>100</v>
      </c>
      <c r="F614">
        <f>_xlfn.XLOOKUP(B614,'4.分割能力表'!B:B,'4.分割能力表'!E:E)</f>
        <v>0</v>
      </c>
      <c r="G614" t="s">
        <v>66</v>
      </c>
      <c r="H614">
        <f>_xlfn.XLOOKUP(G614,系数辅助表!$C:$C,系数辅助表!$D:$D)</f>
        <v>1.70951193071681E-3</v>
      </c>
      <c r="J614">
        <f t="shared" si="56"/>
        <v>361.04891976738998</v>
      </c>
      <c r="K614">
        <f t="shared" si="55"/>
        <v>361.04891976738998</v>
      </c>
    </row>
    <row r="615" spans="1:11" x14ac:dyDescent="0.3">
      <c r="A615" t="s">
        <v>16</v>
      </c>
      <c r="B615" t="s">
        <v>170</v>
      </c>
      <c r="C615" t="s">
        <v>171</v>
      </c>
      <c r="D615">
        <f>_xlfn.XLOOKUP(B615,'3.屠宰能力表'!B:B,'3.屠宰能力表'!E:E)</f>
        <v>1760</v>
      </c>
      <c r="E615">
        <f>_xlfn.XLOOKUP(B615,'4.分割能力表'!B:B,'4.分割能力表'!D:D)</f>
        <v>100</v>
      </c>
      <c r="F615">
        <f>_xlfn.XLOOKUP(B615,'4.分割能力表'!B:B,'4.分割能力表'!E:E)</f>
        <v>0</v>
      </c>
      <c r="G615" t="s">
        <v>67</v>
      </c>
      <c r="H615">
        <f>_xlfn.XLOOKUP(G615,系数辅助表!$C:$C,系数辅助表!$D:$D)</f>
        <v>0.02</v>
      </c>
      <c r="J615">
        <f t="shared" si="56"/>
        <v>4224</v>
      </c>
      <c r="K615">
        <f t="shared" si="55"/>
        <v>4224</v>
      </c>
    </row>
    <row r="616" spans="1:11" x14ac:dyDescent="0.3">
      <c r="A616" s="2" t="s">
        <v>28</v>
      </c>
      <c r="B616" t="s">
        <v>172</v>
      </c>
      <c r="C616" t="s">
        <v>173</v>
      </c>
      <c r="D616">
        <f>_xlfn.XLOOKUP(B616,'3.屠宰能力表'!B:B,'3.屠宰能力表'!E:E)</f>
        <v>1250</v>
      </c>
      <c r="E616">
        <f>_xlfn.XLOOKUP(B616,'4.分割能力表'!B:B,'4.分割能力表'!D:D)</f>
        <v>0</v>
      </c>
      <c r="F616">
        <f>_xlfn.XLOOKUP(B616,'4.分割能力表'!B:B,'4.分割能力表'!E:E)</f>
        <v>0</v>
      </c>
      <c r="G616" t="s">
        <v>41</v>
      </c>
      <c r="H616">
        <f>_xlfn.XLOOKUP(G616,系数辅助表!$C:$C,系数辅助表!$D:$D)</f>
        <v>0.71499999999999997</v>
      </c>
      <c r="J616">
        <f>(D616-E616)*H616*$D$1</f>
        <v>107250</v>
      </c>
      <c r="K616">
        <f t="shared" si="55"/>
        <v>107250</v>
      </c>
    </row>
    <row r="617" spans="1:11" x14ac:dyDescent="0.3">
      <c r="A617" t="s">
        <v>28</v>
      </c>
      <c r="B617" t="s">
        <v>172</v>
      </c>
      <c r="C617" t="s">
        <v>173</v>
      </c>
      <c r="D617">
        <f>_xlfn.XLOOKUP(B617,'3.屠宰能力表'!B:B,'3.屠宰能力表'!E:E)</f>
        <v>1250</v>
      </c>
      <c r="E617">
        <f>_xlfn.XLOOKUP(B617,'4.分割能力表'!B:B,'4.分割能力表'!D:D)</f>
        <v>0</v>
      </c>
      <c r="F617">
        <f>_xlfn.XLOOKUP(B617,'4.分割能力表'!B:B,'4.分割能力表'!E:E)</f>
        <v>0</v>
      </c>
      <c r="G617" t="s">
        <v>44</v>
      </c>
      <c r="H617">
        <f>_xlfn.XLOOKUP(G617,系数辅助表!$C:$C,系数辅助表!$D:$D)</f>
        <v>4.3342237679380002E-2</v>
      </c>
      <c r="J617">
        <f>$D617*H617*$D$1</f>
        <v>6501.3356519070003</v>
      </c>
      <c r="K617">
        <f t="shared" si="55"/>
        <v>6501.3356519070003</v>
      </c>
    </row>
    <row r="618" spans="1:11" x14ac:dyDescent="0.3">
      <c r="A618" t="s">
        <v>28</v>
      </c>
      <c r="B618" t="s">
        <v>172</v>
      </c>
      <c r="C618" t="s">
        <v>173</v>
      </c>
      <c r="D618">
        <f>_xlfn.XLOOKUP(B618,'3.屠宰能力表'!B:B,'3.屠宰能力表'!E:E)</f>
        <v>1250</v>
      </c>
      <c r="E618">
        <f>_xlfn.XLOOKUP(B618,'4.分割能力表'!B:B,'4.分割能力表'!D:D)</f>
        <v>0</v>
      </c>
      <c r="F618">
        <f>_xlfn.XLOOKUP(B618,'4.分割能力表'!B:B,'4.分割能力表'!E:E)</f>
        <v>0</v>
      </c>
      <c r="G618" t="s">
        <v>46</v>
      </c>
      <c r="H618">
        <f>_xlfn.XLOOKUP(G618,系数辅助表!$C:$C,系数辅助表!$D:$D)</f>
        <v>3.2562132013653599E-4</v>
      </c>
      <c r="J618">
        <f t="shared" ref="J618:J638" si="57">$D618*H618*$D$1</f>
        <v>48.843198020480401</v>
      </c>
      <c r="K618">
        <f t="shared" si="55"/>
        <v>48.843198020480401</v>
      </c>
    </row>
    <row r="619" spans="1:11" x14ac:dyDescent="0.3">
      <c r="A619" t="s">
        <v>28</v>
      </c>
      <c r="B619" t="s">
        <v>172</v>
      </c>
      <c r="C619" t="s">
        <v>173</v>
      </c>
      <c r="D619">
        <f>_xlfn.XLOOKUP(B619,'3.屠宰能力表'!B:B,'3.屠宰能力表'!E:E)</f>
        <v>1250</v>
      </c>
      <c r="E619">
        <f>_xlfn.XLOOKUP(B619,'4.分割能力表'!B:B,'4.分割能力表'!D:D)</f>
        <v>0</v>
      </c>
      <c r="F619">
        <f>_xlfn.XLOOKUP(B619,'4.分割能力表'!B:B,'4.分割能力表'!E:E)</f>
        <v>0</v>
      </c>
      <c r="G619" t="s">
        <v>47</v>
      </c>
      <c r="H619">
        <f>_xlfn.XLOOKUP(G619,系数辅助表!$C:$C,系数辅助表!$D:$D)</f>
        <v>3.0632398515360198E-3</v>
      </c>
      <c r="J619">
        <f t="shared" si="57"/>
        <v>459.48597773040302</v>
      </c>
      <c r="K619">
        <f t="shared" si="55"/>
        <v>459.48597773040302</v>
      </c>
    </row>
    <row r="620" spans="1:11" x14ac:dyDescent="0.3">
      <c r="A620" t="s">
        <v>28</v>
      </c>
      <c r="B620" t="s">
        <v>172</v>
      </c>
      <c r="C620" t="s">
        <v>173</v>
      </c>
      <c r="D620">
        <f>_xlfn.XLOOKUP(B620,'3.屠宰能力表'!B:B,'3.屠宰能力表'!E:E)</f>
        <v>1250</v>
      </c>
      <c r="E620">
        <f>_xlfn.XLOOKUP(B620,'4.分割能力表'!B:B,'4.分割能力表'!D:D)</f>
        <v>0</v>
      </c>
      <c r="F620">
        <f>_xlfn.XLOOKUP(B620,'4.分割能力表'!B:B,'4.分割能力表'!E:E)</f>
        <v>0</v>
      </c>
      <c r="G620" t="s">
        <v>48</v>
      </c>
      <c r="H620">
        <f>_xlfn.XLOOKUP(G620,系数辅助表!$C:$C,系数辅助表!$D:$D)</f>
        <v>1.5822796716383002E-2</v>
      </c>
      <c r="J620">
        <f t="shared" si="57"/>
        <v>2373.41950745745</v>
      </c>
      <c r="K620">
        <f t="shared" si="55"/>
        <v>2373.41950745745</v>
      </c>
    </row>
    <row r="621" spans="1:11" x14ac:dyDescent="0.3">
      <c r="A621" t="s">
        <v>28</v>
      </c>
      <c r="B621" t="s">
        <v>172</v>
      </c>
      <c r="C621" t="s">
        <v>173</v>
      </c>
      <c r="D621">
        <f>_xlfn.XLOOKUP(B621,'3.屠宰能力表'!B:B,'3.屠宰能力表'!E:E)</f>
        <v>1250</v>
      </c>
      <c r="E621">
        <f>_xlfn.XLOOKUP(B621,'4.分割能力表'!B:B,'4.分割能力表'!D:D)</f>
        <v>0</v>
      </c>
      <c r="F621">
        <f>_xlfn.XLOOKUP(B621,'4.分割能力表'!B:B,'4.分割能力表'!E:E)</f>
        <v>0</v>
      </c>
      <c r="G621" t="s">
        <v>49</v>
      </c>
      <c r="H621">
        <f>_xlfn.XLOOKUP(G621,系数辅助表!$C:$C,系数辅助表!$D:$D)</f>
        <v>3.0934025412970799E-3</v>
      </c>
      <c r="J621">
        <f t="shared" si="57"/>
        <v>464.010381194562</v>
      </c>
      <c r="K621">
        <f t="shared" si="55"/>
        <v>464.010381194562</v>
      </c>
    </row>
    <row r="622" spans="1:11" x14ac:dyDescent="0.3">
      <c r="A622" t="s">
        <v>28</v>
      </c>
      <c r="B622" t="s">
        <v>172</v>
      </c>
      <c r="C622" t="s">
        <v>173</v>
      </c>
      <c r="D622">
        <f>_xlfn.XLOOKUP(B622,'3.屠宰能力表'!B:B,'3.屠宰能力表'!E:E)</f>
        <v>1250</v>
      </c>
      <c r="E622">
        <f>_xlfn.XLOOKUP(B622,'4.分割能力表'!B:B,'4.分割能力表'!D:D)</f>
        <v>0</v>
      </c>
      <c r="F622">
        <f>_xlfn.XLOOKUP(B622,'4.分割能力表'!B:B,'4.分割能力表'!E:E)</f>
        <v>0</v>
      </c>
      <c r="G622" t="s">
        <v>50</v>
      </c>
      <c r="H622">
        <f>_xlfn.XLOOKUP(G622,系数辅助表!$C:$C,系数辅助表!$D:$D)</f>
        <v>1.08247988845052E-2</v>
      </c>
      <c r="J622">
        <f t="shared" si="57"/>
        <v>1623.71983267578</v>
      </c>
      <c r="K622">
        <f t="shared" si="55"/>
        <v>1623.71983267578</v>
      </c>
    </row>
    <row r="623" spans="1:11" x14ac:dyDescent="0.3">
      <c r="A623" t="s">
        <v>28</v>
      </c>
      <c r="B623" t="s">
        <v>172</v>
      </c>
      <c r="C623" t="s">
        <v>173</v>
      </c>
      <c r="D623">
        <f>_xlfn.XLOOKUP(B623,'3.屠宰能力表'!B:B,'3.屠宰能力表'!E:E)</f>
        <v>1250</v>
      </c>
      <c r="E623">
        <f>_xlfn.XLOOKUP(B623,'4.分割能力表'!B:B,'4.分割能力表'!D:D)</f>
        <v>0</v>
      </c>
      <c r="F623">
        <f>_xlfn.XLOOKUP(B623,'4.分割能力表'!B:B,'4.分割能力表'!E:E)</f>
        <v>0</v>
      </c>
      <c r="G623" t="s">
        <v>51</v>
      </c>
      <c r="H623">
        <f>_xlfn.XLOOKUP(G623,系数辅助表!$C:$C,系数辅助表!$D:$D)</f>
        <v>4.9657251320821601E-3</v>
      </c>
      <c r="J623">
        <f t="shared" si="57"/>
        <v>744.858769812324</v>
      </c>
      <c r="K623">
        <f t="shared" si="55"/>
        <v>744.858769812324</v>
      </c>
    </row>
    <row r="624" spans="1:11" x14ac:dyDescent="0.3">
      <c r="A624" t="s">
        <v>28</v>
      </c>
      <c r="B624" t="s">
        <v>172</v>
      </c>
      <c r="C624" t="s">
        <v>173</v>
      </c>
      <c r="D624">
        <f>_xlfn.XLOOKUP(B624,'3.屠宰能力表'!B:B,'3.屠宰能力表'!E:E)</f>
        <v>1250</v>
      </c>
      <c r="E624">
        <f>_xlfn.XLOOKUP(B624,'4.分割能力表'!B:B,'4.分割能力表'!D:D)</f>
        <v>0</v>
      </c>
      <c r="F624">
        <f>_xlfn.XLOOKUP(B624,'4.分割能力表'!B:B,'4.分割能力表'!E:E)</f>
        <v>0</v>
      </c>
      <c r="G624" t="s">
        <v>52</v>
      </c>
      <c r="H624">
        <f>_xlfn.XLOOKUP(G624,系数辅助表!$C:$C,系数辅助表!$D:$D)</f>
        <v>4.1516718317408203E-3</v>
      </c>
      <c r="J624">
        <f t="shared" si="57"/>
        <v>622.75077476112301</v>
      </c>
      <c r="K624">
        <f t="shared" si="55"/>
        <v>622.75077476112301</v>
      </c>
    </row>
    <row r="625" spans="1:11" x14ac:dyDescent="0.3">
      <c r="A625" t="s">
        <v>28</v>
      </c>
      <c r="B625" t="s">
        <v>172</v>
      </c>
      <c r="C625" t="s">
        <v>173</v>
      </c>
      <c r="D625">
        <f>_xlfn.XLOOKUP(B625,'3.屠宰能力表'!B:B,'3.屠宰能力表'!E:E)</f>
        <v>1250</v>
      </c>
      <c r="E625">
        <f>_xlfn.XLOOKUP(B625,'4.分割能力表'!B:B,'4.分割能力表'!D:D)</f>
        <v>0</v>
      </c>
      <c r="F625">
        <f>_xlfn.XLOOKUP(B625,'4.分割能力表'!B:B,'4.分割能力表'!E:E)</f>
        <v>0</v>
      </c>
      <c r="G625" t="s">
        <v>53</v>
      </c>
      <c r="H625">
        <f>_xlfn.XLOOKUP(G625,系数辅助表!$C:$C,系数辅助表!$D:$D)</f>
        <v>3.6632398515360201E-3</v>
      </c>
      <c r="J625">
        <f t="shared" si="57"/>
        <v>549.48597773040296</v>
      </c>
      <c r="K625">
        <f t="shared" si="55"/>
        <v>549.48597773040296</v>
      </c>
    </row>
    <row r="626" spans="1:11" x14ac:dyDescent="0.3">
      <c r="A626" t="s">
        <v>28</v>
      </c>
      <c r="B626" t="s">
        <v>172</v>
      </c>
      <c r="C626" t="s">
        <v>173</v>
      </c>
      <c r="D626">
        <f>_xlfn.XLOOKUP(B626,'3.屠宰能力表'!B:B,'3.屠宰能力表'!E:E)</f>
        <v>1250</v>
      </c>
      <c r="E626">
        <f>_xlfn.XLOOKUP(B626,'4.分割能力表'!B:B,'4.分割能力表'!D:D)</f>
        <v>0</v>
      </c>
      <c r="F626">
        <f>_xlfn.XLOOKUP(B626,'4.分割能力表'!B:B,'4.分割能力表'!E:E)</f>
        <v>0</v>
      </c>
      <c r="G626" t="s">
        <v>54</v>
      </c>
      <c r="H626">
        <f>_xlfn.XLOOKUP(G626,系数辅助表!$C:$C,系数辅助表!$D:$D)</f>
        <v>2.68637589112642E-3</v>
      </c>
      <c r="J626">
        <f t="shared" si="57"/>
        <v>402.95638366896299</v>
      </c>
      <c r="K626">
        <f t="shared" si="55"/>
        <v>402.95638366896299</v>
      </c>
    </row>
    <row r="627" spans="1:11" x14ac:dyDescent="0.3">
      <c r="A627" t="s">
        <v>28</v>
      </c>
      <c r="B627" t="s">
        <v>172</v>
      </c>
      <c r="C627" t="s">
        <v>173</v>
      </c>
      <c r="D627">
        <f>_xlfn.XLOOKUP(B627,'3.屠宰能力表'!B:B,'3.屠宰能力表'!E:E)</f>
        <v>1250</v>
      </c>
      <c r="E627">
        <f>_xlfn.XLOOKUP(B627,'4.分割能力表'!B:B,'4.分割能力表'!D:D)</f>
        <v>0</v>
      </c>
      <c r="F627">
        <f>_xlfn.XLOOKUP(B627,'4.分割能力表'!B:B,'4.分割能力表'!E:E)</f>
        <v>0</v>
      </c>
      <c r="G627" t="s">
        <v>55</v>
      </c>
      <c r="H627">
        <f>_xlfn.XLOOKUP(G627,系数辅助表!$C:$C,系数辅助表!$D:$D)</f>
        <v>2.9015761200285397E-4</v>
      </c>
      <c r="J627">
        <f t="shared" si="57"/>
        <v>43.523641800428102</v>
      </c>
      <c r="K627">
        <f t="shared" si="55"/>
        <v>43.523641800428102</v>
      </c>
    </row>
    <row r="628" spans="1:11" x14ac:dyDescent="0.3">
      <c r="A628" t="s">
        <v>28</v>
      </c>
      <c r="B628" t="s">
        <v>172</v>
      </c>
      <c r="C628" t="s">
        <v>173</v>
      </c>
      <c r="D628">
        <f>_xlfn.XLOOKUP(B628,'3.屠宰能力表'!B:B,'3.屠宰能力表'!E:E)</f>
        <v>1250</v>
      </c>
      <c r="E628">
        <f>_xlfn.XLOOKUP(B628,'4.分割能力表'!B:B,'4.分割能力表'!D:D)</f>
        <v>0</v>
      </c>
      <c r="F628">
        <f>_xlfn.XLOOKUP(B628,'4.分割能力表'!B:B,'4.分割能力表'!E:E)</f>
        <v>0</v>
      </c>
      <c r="G628" t="s">
        <v>57</v>
      </c>
      <c r="H628">
        <f>_xlfn.XLOOKUP(G628,系数辅助表!$C:$C,系数辅助表!$D:$D)</f>
        <v>1.0245932755973399E-2</v>
      </c>
      <c r="J628">
        <f t="shared" si="57"/>
        <v>1536.8899133960099</v>
      </c>
      <c r="K628">
        <f t="shared" si="55"/>
        <v>1536.8899133960099</v>
      </c>
    </row>
    <row r="629" spans="1:11" x14ac:dyDescent="0.3">
      <c r="A629" t="s">
        <v>28</v>
      </c>
      <c r="B629" t="s">
        <v>172</v>
      </c>
      <c r="C629" t="s">
        <v>173</v>
      </c>
      <c r="D629">
        <f>_xlfn.XLOOKUP(B629,'3.屠宰能力表'!B:B,'3.屠宰能力表'!E:E)</f>
        <v>1250</v>
      </c>
      <c r="E629">
        <f>_xlfn.XLOOKUP(B629,'4.分割能力表'!B:B,'4.分割能力表'!D:D)</f>
        <v>0</v>
      </c>
      <c r="F629">
        <f>_xlfn.XLOOKUP(B629,'4.分割能力表'!B:B,'4.分割能力表'!E:E)</f>
        <v>0</v>
      </c>
      <c r="G629" t="s">
        <v>58</v>
      </c>
      <c r="H629">
        <f>_xlfn.XLOOKUP(G629,系数辅助表!$C:$C,系数辅助表!$D:$D)</f>
        <v>1.46005473500993E-2</v>
      </c>
      <c r="J629">
        <f t="shared" si="57"/>
        <v>2190.0821025148898</v>
      </c>
      <c r="K629">
        <f t="shared" si="55"/>
        <v>2190.0821025148898</v>
      </c>
    </row>
    <row r="630" spans="1:11" x14ac:dyDescent="0.3">
      <c r="A630" t="s">
        <v>28</v>
      </c>
      <c r="B630" t="s">
        <v>172</v>
      </c>
      <c r="C630" t="s">
        <v>173</v>
      </c>
      <c r="D630">
        <f>_xlfn.XLOOKUP(B630,'3.屠宰能力表'!B:B,'3.屠宰能力表'!E:E)</f>
        <v>1250</v>
      </c>
      <c r="E630">
        <f>_xlfn.XLOOKUP(B630,'4.分割能力表'!B:B,'4.分割能力表'!D:D)</f>
        <v>0</v>
      </c>
      <c r="F630">
        <f>_xlfn.XLOOKUP(B630,'4.分割能力表'!B:B,'4.分割能力表'!E:E)</f>
        <v>0</v>
      </c>
      <c r="G630" t="s">
        <v>59</v>
      </c>
      <c r="H630">
        <f>_xlfn.XLOOKUP(G630,系数辅助表!$C:$C,系数辅助表!$D:$D)</f>
        <v>1.4718794556320801E-2</v>
      </c>
      <c r="J630">
        <f t="shared" si="57"/>
        <v>2207.8191834481199</v>
      </c>
      <c r="K630">
        <f t="shared" si="55"/>
        <v>2207.8191834481199</v>
      </c>
    </row>
    <row r="631" spans="1:11" x14ac:dyDescent="0.3">
      <c r="A631" t="s">
        <v>28</v>
      </c>
      <c r="B631" t="s">
        <v>172</v>
      </c>
      <c r="C631" t="s">
        <v>173</v>
      </c>
      <c r="D631">
        <f>_xlfn.XLOOKUP(B631,'3.屠宰能力表'!B:B,'3.屠宰能力表'!E:E)</f>
        <v>1250</v>
      </c>
      <c r="E631">
        <f>_xlfn.XLOOKUP(B631,'4.分割能力表'!B:B,'4.分割能力表'!D:D)</f>
        <v>0</v>
      </c>
      <c r="F631">
        <f>_xlfn.XLOOKUP(B631,'4.分割能力表'!B:B,'4.分割能力表'!E:E)</f>
        <v>0</v>
      </c>
      <c r="G631" t="s">
        <v>60</v>
      </c>
      <c r="H631">
        <f>_xlfn.XLOOKUP(G631,系数辅助表!$C:$C,系数辅助表!$D:$D)</f>
        <v>6.8269088945398003E-3</v>
      </c>
      <c r="J631">
        <f t="shared" si="57"/>
        <v>1024.03633418097</v>
      </c>
      <c r="K631">
        <f t="shared" si="55"/>
        <v>1024.03633418097</v>
      </c>
    </row>
    <row r="632" spans="1:11" x14ac:dyDescent="0.3">
      <c r="A632" t="s">
        <v>28</v>
      </c>
      <c r="B632" t="s">
        <v>172</v>
      </c>
      <c r="C632" t="s">
        <v>173</v>
      </c>
      <c r="D632">
        <f>_xlfn.XLOOKUP(B632,'3.屠宰能力表'!B:B,'3.屠宰能力表'!E:E)</f>
        <v>1250</v>
      </c>
      <c r="E632">
        <f>_xlfn.XLOOKUP(B632,'4.分割能力表'!B:B,'4.分割能力表'!D:D)</f>
        <v>0</v>
      </c>
      <c r="F632">
        <f>_xlfn.XLOOKUP(B632,'4.分割能力表'!B:B,'4.分割能力表'!E:E)</f>
        <v>0</v>
      </c>
      <c r="G632" t="s">
        <v>61</v>
      </c>
      <c r="H632">
        <f>_xlfn.XLOOKUP(G632,系数辅助表!$C:$C,系数辅助表!$D:$D)</f>
        <v>7.8149116832768404E-3</v>
      </c>
      <c r="J632">
        <f t="shared" si="57"/>
        <v>1172.2367524915301</v>
      </c>
      <c r="K632">
        <f t="shared" si="55"/>
        <v>1172.2367524915301</v>
      </c>
    </row>
    <row r="633" spans="1:11" x14ac:dyDescent="0.3">
      <c r="A633" t="s">
        <v>28</v>
      </c>
      <c r="B633" t="s">
        <v>172</v>
      </c>
      <c r="C633" t="s">
        <v>173</v>
      </c>
      <c r="D633">
        <f>_xlfn.XLOOKUP(B633,'3.屠宰能力表'!B:B,'3.屠宰能力表'!E:E)</f>
        <v>1250</v>
      </c>
      <c r="E633">
        <f>_xlfn.XLOOKUP(B633,'4.分割能力表'!B:B,'4.分割能力表'!D:D)</f>
        <v>0</v>
      </c>
      <c r="F633">
        <f>_xlfn.XLOOKUP(B633,'4.分割能力表'!B:B,'4.分割能力表'!E:E)</f>
        <v>0</v>
      </c>
      <c r="G633" t="s">
        <v>62</v>
      </c>
      <c r="H633">
        <f>_xlfn.XLOOKUP(G633,系数辅助表!$C:$C,系数辅助表!$D:$D)</f>
        <v>7.3264797030720401E-3</v>
      </c>
      <c r="J633">
        <f t="shared" si="57"/>
        <v>1098.97195546081</v>
      </c>
      <c r="K633">
        <f t="shared" si="55"/>
        <v>1098.97195546081</v>
      </c>
    </row>
    <row r="634" spans="1:11" x14ac:dyDescent="0.3">
      <c r="A634" t="s">
        <v>28</v>
      </c>
      <c r="B634" t="s">
        <v>172</v>
      </c>
      <c r="C634" t="s">
        <v>173</v>
      </c>
      <c r="D634">
        <f>_xlfn.XLOOKUP(B634,'3.屠宰能力表'!B:B,'3.屠宰能力表'!E:E)</f>
        <v>1250</v>
      </c>
      <c r="E634">
        <f>_xlfn.XLOOKUP(B634,'4.分割能力表'!B:B,'4.分割能力表'!D:D)</f>
        <v>0</v>
      </c>
      <c r="F634">
        <f>_xlfn.XLOOKUP(B634,'4.分割能力表'!B:B,'4.分割能力表'!E:E)</f>
        <v>0</v>
      </c>
      <c r="G634" t="s">
        <v>63</v>
      </c>
      <c r="H634">
        <f>_xlfn.XLOOKUP(G634,系数辅助表!$C:$C,系数辅助表!$D:$D)</f>
        <v>6.1516718317408204E-3</v>
      </c>
      <c r="J634">
        <f t="shared" si="57"/>
        <v>922.75077476112301</v>
      </c>
      <c r="K634">
        <f t="shared" si="55"/>
        <v>922.75077476112301</v>
      </c>
    </row>
    <row r="635" spans="1:11" x14ac:dyDescent="0.3">
      <c r="A635" t="s">
        <v>28</v>
      </c>
      <c r="B635" t="s">
        <v>172</v>
      </c>
      <c r="C635" t="s">
        <v>173</v>
      </c>
      <c r="D635">
        <f>_xlfn.XLOOKUP(B635,'3.屠宰能力表'!B:B,'3.屠宰能力表'!E:E)</f>
        <v>1250</v>
      </c>
      <c r="E635">
        <f>_xlfn.XLOOKUP(B635,'4.分割能力表'!B:B,'4.分割能力表'!D:D)</f>
        <v>0</v>
      </c>
      <c r="F635">
        <f>_xlfn.XLOOKUP(B635,'4.分割能力表'!B:B,'4.分割能力表'!E:E)</f>
        <v>0</v>
      </c>
      <c r="G635" t="s">
        <v>64</v>
      </c>
      <c r="H635">
        <f>_xlfn.XLOOKUP(G635,系数辅助表!$C:$C,系数辅助表!$D:$D)</f>
        <v>1.0639112440104599E-3</v>
      </c>
      <c r="J635">
        <f t="shared" si="57"/>
        <v>159.586686601569</v>
      </c>
      <c r="K635">
        <f t="shared" si="55"/>
        <v>159.586686601569</v>
      </c>
    </row>
    <row r="636" spans="1:11" x14ac:dyDescent="0.3">
      <c r="A636" t="s">
        <v>28</v>
      </c>
      <c r="B636" t="s">
        <v>172</v>
      </c>
      <c r="C636" t="s">
        <v>173</v>
      </c>
      <c r="D636">
        <f>_xlfn.XLOOKUP(B636,'3.屠宰能力表'!B:B,'3.屠宰能力表'!E:E)</f>
        <v>1250</v>
      </c>
      <c r="E636">
        <f>_xlfn.XLOOKUP(B636,'4.分割能力表'!B:B,'4.分割能力表'!D:D)</f>
        <v>0</v>
      </c>
      <c r="F636">
        <f>_xlfn.XLOOKUP(B636,'4.分割能力表'!B:B,'4.分割能力表'!E:E)</f>
        <v>0</v>
      </c>
      <c r="G636" t="s">
        <v>65</v>
      </c>
      <c r="H636">
        <f>_xlfn.XLOOKUP(G636,系数辅助表!$C:$C,系数辅助表!$D:$D)</f>
        <v>4.8359602000475603E-4</v>
      </c>
      <c r="J636">
        <f t="shared" si="57"/>
        <v>72.539403000713406</v>
      </c>
      <c r="K636">
        <f t="shared" si="55"/>
        <v>72.539403000713406</v>
      </c>
    </row>
    <row r="637" spans="1:11" x14ac:dyDescent="0.3">
      <c r="A637" t="s">
        <v>28</v>
      </c>
      <c r="B637" t="s">
        <v>172</v>
      </c>
      <c r="C637" t="s">
        <v>173</v>
      </c>
      <c r="D637">
        <f>_xlfn.XLOOKUP(B637,'3.屠宰能力表'!B:B,'3.屠宰能力表'!E:E)</f>
        <v>1250</v>
      </c>
      <c r="E637">
        <f>_xlfn.XLOOKUP(B637,'4.分割能力表'!B:B,'4.分割能力表'!D:D)</f>
        <v>0</v>
      </c>
      <c r="F637">
        <f>_xlfn.XLOOKUP(B637,'4.分割能力表'!B:B,'4.分割能力表'!E:E)</f>
        <v>0</v>
      </c>
      <c r="G637" t="s">
        <v>66</v>
      </c>
      <c r="H637">
        <f>_xlfn.XLOOKUP(G637,系数辅助表!$C:$C,系数辅助表!$D:$D)</f>
        <v>1.70951193071681E-3</v>
      </c>
      <c r="J637">
        <f t="shared" si="57"/>
        <v>256.42678960752198</v>
      </c>
      <c r="K637">
        <f t="shared" si="55"/>
        <v>256.42678960752198</v>
      </c>
    </row>
    <row r="638" spans="1:11" x14ac:dyDescent="0.3">
      <c r="A638" t="s">
        <v>28</v>
      </c>
      <c r="B638" t="s">
        <v>172</v>
      </c>
      <c r="C638" t="s">
        <v>173</v>
      </c>
      <c r="D638">
        <f>_xlfn.XLOOKUP(B638,'3.屠宰能力表'!B:B,'3.屠宰能力表'!E:E)</f>
        <v>1250</v>
      </c>
      <c r="E638">
        <f>_xlfn.XLOOKUP(B638,'4.分割能力表'!B:B,'4.分割能力表'!D:D)</f>
        <v>0</v>
      </c>
      <c r="F638">
        <f>_xlfn.XLOOKUP(B638,'4.分割能力表'!B:B,'4.分割能力表'!E:E)</f>
        <v>0</v>
      </c>
      <c r="G638" t="s">
        <v>67</v>
      </c>
      <c r="H638">
        <f>_xlfn.XLOOKUP(G638,系数辅助表!$C:$C,系数辅助表!$D:$D)</f>
        <v>0.02</v>
      </c>
      <c r="J638">
        <f t="shared" si="57"/>
        <v>3000</v>
      </c>
      <c r="K638">
        <f t="shared" si="55"/>
        <v>3000</v>
      </c>
    </row>
    <row r="639" spans="1:11" x14ac:dyDescent="0.3">
      <c r="A639" s="2" t="s">
        <v>24</v>
      </c>
      <c r="B639" t="s">
        <v>174</v>
      </c>
      <c r="C639" t="s">
        <v>175</v>
      </c>
      <c r="D639">
        <f>_xlfn.XLOOKUP(B639,'3.屠宰能力表'!B:B,'3.屠宰能力表'!E:E)</f>
        <v>900</v>
      </c>
      <c r="E639">
        <f>_xlfn.XLOOKUP(B639,'4.分割能力表'!B:B,'4.分割能力表'!D:D)</f>
        <v>260</v>
      </c>
      <c r="F639">
        <f>_xlfn.XLOOKUP(B639,'4.分割能力表'!B:B,'4.分割能力表'!E:E)</f>
        <v>0</v>
      </c>
      <c r="G639" t="s">
        <v>41</v>
      </c>
      <c r="H639">
        <f>_xlfn.XLOOKUP(G639,系数辅助表!$C:$C,系数辅助表!$D:$D)</f>
        <v>0.71499999999999997</v>
      </c>
      <c r="J639">
        <f>(D639-E639)*H639*$D$1</f>
        <v>54912</v>
      </c>
      <c r="K639">
        <f t="shared" si="55"/>
        <v>54912</v>
      </c>
    </row>
    <row r="640" spans="1:11" x14ac:dyDescent="0.3">
      <c r="A640" s="2" t="s">
        <v>24</v>
      </c>
      <c r="B640" t="s">
        <v>174</v>
      </c>
      <c r="C640" t="s">
        <v>175</v>
      </c>
      <c r="D640">
        <f>_xlfn.XLOOKUP(B640,'3.屠宰能力表'!B:B,'3.屠宰能力表'!E:E)</f>
        <v>900</v>
      </c>
      <c r="E640">
        <f>_xlfn.XLOOKUP(B640,'4.分割能力表'!B:B,'4.分割能力表'!D:D)</f>
        <v>260</v>
      </c>
      <c r="F640">
        <f>_xlfn.XLOOKUP(B640,'4.分割能力表'!B:B,'4.分割能力表'!E:E)</f>
        <v>0</v>
      </c>
      <c r="G640" t="s">
        <v>44</v>
      </c>
      <c r="H640">
        <f>_xlfn.XLOOKUP(G640,系数辅助表!$C:$C,系数辅助表!$D:$D)</f>
        <v>4.3342237679380002E-2</v>
      </c>
      <c r="J640">
        <f>$D640*H640*$D$1</f>
        <v>4680.9616693730404</v>
      </c>
      <c r="K640">
        <f t="shared" si="55"/>
        <v>4680.9616693730404</v>
      </c>
    </row>
    <row r="641" spans="1:11" x14ac:dyDescent="0.3">
      <c r="A641" s="2" t="s">
        <v>24</v>
      </c>
      <c r="B641" t="s">
        <v>174</v>
      </c>
      <c r="C641" t="s">
        <v>175</v>
      </c>
      <c r="D641">
        <f>_xlfn.XLOOKUP(B641,'3.屠宰能力表'!B:B,'3.屠宰能力表'!E:E)</f>
        <v>900</v>
      </c>
      <c r="E641">
        <f>_xlfn.XLOOKUP(B641,'4.分割能力表'!B:B,'4.分割能力表'!D:D)</f>
        <v>260</v>
      </c>
      <c r="F641">
        <f>_xlfn.XLOOKUP(B641,'4.分割能力表'!B:B,'4.分割能力表'!E:E)</f>
        <v>0</v>
      </c>
      <c r="G641" t="s">
        <v>46</v>
      </c>
      <c r="H641">
        <f>_xlfn.XLOOKUP(G641,系数辅助表!$C:$C,系数辅助表!$D:$D)</f>
        <v>3.2562132013653599E-4</v>
      </c>
      <c r="J641">
        <f t="shared" ref="J641:J661" si="58">$D641*H641*$D$1</f>
        <v>35.167102574745897</v>
      </c>
      <c r="K641">
        <f t="shared" si="55"/>
        <v>35.167102574745897</v>
      </c>
    </row>
    <row r="642" spans="1:11" x14ac:dyDescent="0.3">
      <c r="A642" s="2" t="s">
        <v>24</v>
      </c>
      <c r="B642" t="s">
        <v>174</v>
      </c>
      <c r="C642" t="s">
        <v>175</v>
      </c>
      <c r="D642">
        <f>_xlfn.XLOOKUP(B642,'3.屠宰能力表'!B:B,'3.屠宰能力表'!E:E)</f>
        <v>900</v>
      </c>
      <c r="E642">
        <f>_xlfn.XLOOKUP(B642,'4.分割能力表'!B:B,'4.分割能力表'!D:D)</f>
        <v>260</v>
      </c>
      <c r="F642">
        <f>_xlfn.XLOOKUP(B642,'4.分割能力表'!B:B,'4.分割能力表'!E:E)</f>
        <v>0</v>
      </c>
      <c r="G642" t="s">
        <v>47</v>
      </c>
      <c r="H642">
        <f>_xlfn.XLOOKUP(G642,系数辅助表!$C:$C,系数辅助表!$D:$D)</f>
        <v>3.0632398515360198E-3</v>
      </c>
      <c r="J642">
        <f t="shared" si="58"/>
        <v>330.82990396589003</v>
      </c>
      <c r="K642">
        <f t="shared" si="55"/>
        <v>330.82990396589003</v>
      </c>
    </row>
    <row r="643" spans="1:11" x14ac:dyDescent="0.3">
      <c r="A643" s="2" t="s">
        <v>24</v>
      </c>
      <c r="B643" t="s">
        <v>174</v>
      </c>
      <c r="C643" t="s">
        <v>175</v>
      </c>
      <c r="D643">
        <f>_xlfn.XLOOKUP(B643,'3.屠宰能力表'!B:B,'3.屠宰能力表'!E:E)</f>
        <v>900</v>
      </c>
      <c r="E643">
        <f>_xlfn.XLOOKUP(B643,'4.分割能力表'!B:B,'4.分割能力表'!D:D)</f>
        <v>260</v>
      </c>
      <c r="F643">
        <f>_xlfn.XLOOKUP(B643,'4.分割能力表'!B:B,'4.分割能力表'!E:E)</f>
        <v>0</v>
      </c>
      <c r="G643" t="s">
        <v>48</v>
      </c>
      <c r="H643">
        <f>_xlfn.XLOOKUP(G643,系数辅助表!$C:$C,系数辅助表!$D:$D)</f>
        <v>1.5822796716383002E-2</v>
      </c>
      <c r="J643">
        <f t="shared" si="58"/>
        <v>1708.86204536936</v>
      </c>
      <c r="K643">
        <f t="shared" si="55"/>
        <v>1708.86204536936</v>
      </c>
    </row>
    <row r="644" spans="1:11" x14ac:dyDescent="0.3">
      <c r="A644" s="2" t="s">
        <v>24</v>
      </c>
      <c r="B644" t="s">
        <v>174</v>
      </c>
      <c r="C644" t="s">
        <v>175</v>
      </c>
      <c r="D644">
        <f>_xlfn.XLOOKUP(B644,'3.屠宰能力表'!B:B,'3.屠宰能力表'!E:E)</f>
        <v>900</v>
      </c>
      <c r="E644">
        <f>_xlfn.XLOOKUP(B644,'4.分割能力表'!B:B,'4.分割能力表'!D:D)</f>
        <v>260</v>
      </c>
      <c r="F644">
        <f>_xlfn.XLOOKUP(B644,'4.分割能力表'!B:B,'4.分割能力表'!E:E)</f>
        <v>0</v>
      </c>
      <c r="G644" t="s">
        <v>49</v>
      </c>
      <c r="H644">
        <f>_xlfn.XLOOKUP(G644,系数辅助表!$C:$C,系数辅助表!$D:$D)</f>
        <v>3.0934025412970799E-3</v>
      </c>
      <c r="J644">
        <f t="shared" si="58"/>
        <v>334.08747446008499</v>
      </c>
      <c r="K644">
        <f t="shared" si="55"/>
        <v>334.08747446008499</v>
      </c>
    </row>
    <row r="645" spans="1:11" x14ac:dyDescent="0.3">
      <c r="A645" s="2" t="s">
        <v>24</v>
      </c>
      <c r="B645" t="s">
        <v>174</v>
      </c>
      <c r="C645" t="s">
        <v>175</v>
      </c>
      <c r="D645">
        <f>_xlfn.XLOOKUP(B645,'3.屠宰能力表'!B:B,'3.屠宰能力表'!E:E)</f>
        <v>900</v>
      </c>
      <c r="E645">
        <f>_xlfn.XLOOKUP(B645,'4.分割能力表'!B:B,'4.分割能力表'!D:D)</f>
        <v>260</v>
      </c>
      <c r="F645">
        <f>_xlfn.XLOOKUP(B645,'4.分割能力表'!B:B,'4.分割能力表'!E:E)</f>
        <v>0</v>
      </c>
      <c r="G645" t="s">
        <v>50</v>
      </c>
      <c r="H645">
        <f>_xlfn.XLOOKUP(G645,系数辅助表!$C:$C,系数辅助表!$D:$D)</f>
        <v>1.08247988845052E-2</v>
      </c>
      <c r="J645">
        <f t="shared" si="58"/>
        <v>1169.07827952656</v>
      </c>
      <c r="K645">
        <f t="shared" si="55"/>
        <v>1169.07827952656</v>
      </c>
    </row>
    <row r="646" spans="1:11" x14ac:dyDescent="0.3">
      <c r="A646" s="2" t="s">
        <v>24</v>
      </c>
      <c r="B646" t="s">
        <v>174</v>
      </c>
      <c r="C646" t="s">
        <v>175</v>
      </c>
      <c r="D646">
        <f>_xlfn.XLOOKUP(B646,'3.屠宰能力表'!B:B,'3.屠宰能力表'!E:E)</f>
        <v>900</v>
      </c>
      <c r="E646">
        <f>_xlfn.XLOOKUP(B646,'4.分割能力表'!B:B,'4.分割能力表'!D:D)</f>
        <v>260</v>
      </c>
      <c r="F646">
        <f>_xlfn.XLOOKUP(B646,'4.分割能力表'!B:B,'4.分割能力表'!E:E)</f>
        <v>0</v>
      </c>
      <c r="G646" t="s">
        <v>51</v>
      </c>
      <c r="H646">
        <f>_xlfn.XLOOKUP(G646,系数辅助表!$C:$C,系数辅助表!$D:$D)</f>
        <v>4.9657251320821601E-3</v>
      </c>
      <c r="J646">
        <f t="shared" si="58"/>
        <v>536.29831426487306</v>
      </c>
      <c r="K646">
        <f t="shared" si="55"/>
        <v>536.29831426487306</v>
      </c>
    </row>
    <row r="647" spans="1:11" x14ac:dyDescent="0.3">
      <c r="A647" s="2" t="s">
        <v>24</v>
      </c>
      <c r="B647" t="s">
        <v>174</v>
      </c>
      <c r="C647" t="s">
        <v>175</v>
      </c>
      <c r="D647">
        <f>_xlfn.XLOOKUP(B647,'3.屠宰能力表'!B:B,'3.屠宰能力表'!E:E)</f>
        <v>900</v>
      </c>
      <c r="E647">
        <f>_xlfn.XLOOKUP(B647,'4.分割能力表'!B:B,'4.分割能力表'!D:D)</f>
        <v>260</v>
      </c>
      <c r="F647">
        <f>_xlfn.XLOOKUP(B647,'4.分割能力表'!B:B,'4.分割能力表'!E:E)</f>
        <v>0</v>
      </c>
      <c r="G647" t="s">
        <v>52</v>
      </c>
      <c r="H647">
        <f>_xlfn.XLOOKUP(G647,系数辅助表!$C:$C,系数辅助表!$D:$D)</f>
        <v>4.1516718317408203E-3</v>
      </c>
      <c r="J647">
        <f t="shared" si="58"/>
        <v>448.38055782800899</v>
      </c>
      <c r="K647">
        <f t="shared" si="55"/>
        <v>448.38055782800899</v>
      </c>
    </row>
    <row r="648" spans="1:11" x14ac:dyDescent="0.3">
      <c r="A648" s="2" t="s">
        <v>24</v>
      </c>
      <c r="B648" t="s">
        <v>174</v>
      </c>
      <c r="C648" t="s">
        <v>175</v>
      </c>
      <c r="D648">
        <f>_xlfn.XLOOKUP(B648,'3.屠宰能力表'!B:B,'3.屠宰能力表'!E:E)</f>
        <v>900</v>
      </c>
      <c r="E648">
        <f>_xlfn.XLOOKUP(B648,'4.分割能力表'!B:B,'4.分割能力表'!D:D)</f>
        <v>260</v>
      </c>
      <c r="F648">
        <f>_xlfn.XLOOKUP(B648,'4.分割能力表'!B:B,'4.分割能力表'!E:E)</f>
        <v>0</v>
      </c>
      <c r="G648" t="s">
        <v>53</v>
      </c>
      <c r="H648">
        <f>_xlfn.XLOOKUP(G648,系数辅助表!$C:$C,系数辅助表!$D:$D)</f>
        <v>3.6632398515360201E-3</v>
      </c>
      <c r="J648">
        <f t="shared" si="58"/>
        <v>395.62990396588998</v>
      </c>
      <c r="K648">
        <f t="shared" si="55"/>
        <v>395.62990396588998</v>
      </c>
    </row>
    <row r="649" spans="1:11" x14ac:dyDescent="0.3">
      <c r="A649" s="2" t="s">
        <v>24</v>
      </c>
      <c r="B649" t="s">
        <v>174</v>
      </c>
      <c r="C649" t="s">
        <v>175</v>
      </c>
      <c r="D649">
        <f>_xlfn.XLOOKUP(B649,'3.屠宰能力表'!B:B,'3.屠宰能力表'!E:E)</f>
        <v>900</v>
      </c>
      <c r="E649">
        <f>_xlfn.XLOOKUP(B649,'4.分割能力表'!B:B,'4.分割能力表'!D:D)</f>
        <v>260</v>
      </c>
      <c r="F649">
        <f>_xlfn.XLOOKUP(B649,'4.分割能力表'!B:B,'4.分割能力表'!E:E)</f>
        <v>0</v>
      </c>
      <c r="G649" t="s">
        <v>54</v>
      </c>
      <c r="H649">
        <f>_xlfn.XLOOKUP(G649,系数辅助表!$C:$C,系数辅助表!$D:$D)</f>
        <v>2.68637589112642E-3</v>
      </c>
      <c r="J649">
        <f t="shared" si="58"/>
        <v>290.12859624165299</v>
      </c>
      <c r="K649">
        <f t="shared" si="55"/>
        <v>290.12859624165299</v>
      </c>
    </row>
    <row r="650" spans="1:11" x14ac:dyDescent="0.3">
      <c r="A650" s="2" t="s">
        <v>24</v>
      </c>
      <c r="B650" t="s">
        <v>174</v>
      </c>
      <c r="C650" t="s">
        <v>175</v>
      </c>
      <c r="D650">
        <f>_xlfn.XLOOKUP(B650,'3.屠宰能力表'!B:B,'3.屠宰能力表'!E:E)</f>
        <v>900</v>
      </c>
      <c r="E650">
        <f>_xlfn.XLOOKUP(B650,'4.分割能力表'!B:B,'4.分割能力表'!D:D)</f>
        <v>260</v>
      </c>
      <c r="F650">
        <f>_xlfn.XLOOKUP(B650,'4.分割能力表'!B:B,'4.分割能力表'!E:E)</f>
        <v>0</v>
      </c>
      <c r="G650" t="s">
        <v>55</v>
      </c>
      <c r="H650">
        <f>_xlfn.XLOOKUP(G650,系数辅助表!$C:$C,系数辅助表!$D:$D)</f>
        <v>2.9015761200285397E-4</v>
      </c>
      <c r="J650">
        <f t="shared" si="58"/>
        <v>31.3370220963082</v>
      </c>
      <c r="K650">
        <f t="shared" si="55"/>
        <v>31.3370220963082</v>
      </c>
    </row>
    <row r="651" spans="1:11" x14ac:dyDescent="0.3">
      <c r="A651" s="2" t="s">
        <v>24</v>
      </c>
      <c r="B651" t="s">
        <v>174</v>
      </c>
      <c r="C651" t="s">
        <v>175</v>
      </c>
      <c r="D651">
        <f>_xlfn.XLOOKUP(B651,'3.屠宰能力表'!B:B,'3.屠宰能力表'!E:E)</f>
        <v>900</v>
      </c>
      <c r="E651">
        <f>_xlfn.XLOOKUP(B651,'4.分割能力表'!B:B,'4.分割能力表'!D:D)</f>
        <v>260</v>
      </c>
      <c r="F651">
        <f>_xlfn.XLOOKUP(B651,'4.分割能力表'!B:B,'4.分割能力表'!E:E)</f>
        <v>0</v>
      </c>
      <c r="G651" t="s">
        <v>57</v>
      </c>
      <c r="H651">
        <f>_xlfn.XLOOKUP(G651,系数辅助表!$C:$C,系数辅助表!$D:$D)</f>
        <v>1.0245932755973399E-2</v>
      </c>
      <c r="J651">
        <f t="shared" si="58"/>
        <v>1106.5607376451301</v>
      </c>
      <c r="K651">
        <f t="shared" si="55"/>
        <v>1106.5607376451301</v>
      </c>
    </row>
    <row r="652" spans="1:11" x14ac:dyDescent="0.3">
      <c r="A652" s="2" t="s">
        <v>24</v>
      </c>
      <c r="B652" t="s">
        <v>174</v>
      </c>
      <c r="C652" t="s">
        <v>175</v>
      </c>
      <c r="D652">
        <f>_xlfn.XLOOKUP(B652,'3.屠宰能力表'!B:B,'3.屠宰能力表'!E:E)</f>
        <v>900</v>
      </c>
      <c r="E652">
        <f>_xlfn.XLOOKUP(B652,'4.分割能力表'!B:B,'4.分割能力表'!D:D)</f>
        <v>260</v>
      </c>
      <c r="F652">
        <f>_xlfn.XLOOKUP(B652,'4.分割能力表'!B:B,'4.分割能力表'!E:E)</f>
        <v>0</v>
      </c>
      <c r="G652" t="s">
        <v>58</v>
      </c>
      <c r="H652">
        <f>_xlfn.XLOOKUP(G652,系数辅助表!$C:$C,系数辅助表!$D:$D)</f>
        <v>1.46005473500993E-2</v>
      </c>
      <c r="J652">
        <f t="shared" si="58"/>
        <v>1576.8591138107199</v>
      </c>
      <c r="K652">
        <f t="shared" si="55"/>
        <v>1576.8591138107199</v>
      </c>
    </row>
    <row r="653" spans="1:11" x14ac:dyDescent="0.3">
      <c r="A653" s="2" t="s">
        <v>24</v>
      </c>
      <c r="B653" t="s">
        <v>174</v>
      </c>
      <c r="C653" t="s">
        <v>175</v>
      </c>
      <c r="D653">
        <f>_xlfn.XLOOKUP(B653,'3.屠宰能力表'!B:B,'3.屠宰能力表'!E:E)</f>
        <v>900</v>
      </c>
      <c r="E653">
        <f>_xlfn.XLOOKUP(B653,'4.分割能力表'!B:B,'4.分割能力表'!D:D)</f>
        <v>260</v>
      </c>
      <c r="F653">
        <f>_xlfn.XLOOKUP(B653,'4.分割能力表'!B:B,'4.分割能力表'!E:E)</f>
        <v>0</v>
      </c>
      <c r="G653" t="s">
        <v>59</v>
      </c>
      <c r="H653">
        <f>_xlfn.XLOOKUP(G653,系数辅助表!$C:$C,系数辅助表!$D:$D)</f>
        <v>1.4718794556320801E-2</v>
      </c>
      <c r="J653">
        <f t="shared" si="58"/>
        <v>1589.62981208265</v>
      </c>
      <c r="K653">
        <f t="shared" si="55"/>
        <v>1589.62981208265</v>
      </c>
    </row>
    <row r="654" spans="1:11" x14ac:dyDescent="0.3">
      <c r="A654" s="2" t="s">
        <v>24</v>
      </c>
      <c r="B654" t="s">
        <v>174</v>
      </c>
      <c r="C654" t="s">
        <v>175</v>
      </c>
      <c r="D654">
        <f>_xlfn.XLOOKUP(B654,'3.屠宰能力表'!B:B,'3.屠宰能力表'!E:E)</f>
        <v>900</v>
      </c>
      <c r="E654">
        <f>_xlfn.XLOOKUP(B654,'4.分割能力表'!B:B,'4.分割能力表'!D:D)</f>
        <v>260</v>
      </c>
      <c r="F654">
        <f>_xlfn.XLOOKUP(B654,'4.分割能力表'!B:B,'4.分割能力表'!E:E)</f>
        <v>0</v>
      </c>
      <c r="G654" t="s">
        <v>60</v>
      </c>
      <c r="H654">
        <f>_xlfn.XLOOKUP(G654,系数辅助表!$C:$C,系数辅助表!$D:$D)</f>
        <v>6.8269088945398003E-3</v>
      </c>
      <c r="J654">
        <f t="shared" si="58"/>
        <v>737.30616061029798</v>
      </c>
      <c r="K654">
        <f t="shared" si="55"/>
        <v>737.30616061029798</v>
      </c>
    </row>
    <row r="655" spans="1:11" x14ac:dyDescent="0.3">
      <c r="A655" s="2" t="s">
        <v>24</v>
      </c>
      <c r="B655" t="s">
        <v>174</v>
      </c>
      <c r="C655" t="s">
        <v>175</v>
      </c>
      <c r="D655">
        <f>_xlfn.XLOOKUP(B655,'3.屠宰能力表'!B:B,'3.屠宰能力表'!E:E)</f>
        <v>900</v>
      </c>
      <c r="E655">
        <f>_xlfn.XLOOKUP(B655,'4.分割能力表'!B:B,'4.分割能力表'!D:D)</f>
        <v>260</v>
      </c>
      <c r="F655">
        <f>_xlfn.XLOOKUP(B655,'4.分割能力表'!B:B,'4.分割能力表'!E:E)</f>
        <v>0</v>
      </c>
      <c r="G655" t="s">
        <v>61</v>
      </c>
      <c r="H655">
        <f>_xlfn.XLOOKUP(G655,系数辅助表!$C:$C,系数辅助表!$D:$D)</f>
        <v>7.8149116832768404E-3</v>
      </c>
      <c r="J655">
        <f t="shared" si="58"/>
        <v>844.01046179389903</v>
      </c>
      <c r="K655">
        <f t="shared" si="55"/>
        <v>844.01046179389903</v>
      </c>
    </row>
    <row r="656" spans="1:11" x14ac:dyDescent="0.3">
      <c r="A656" s="2" t="s">
        <v>24</v>
      </c>
      <c r="B656" t="s">
        <v>174</v>
      </c>
      <c r="C656" t="s">
        <v>175</v>
      </c>
      <c r="D656">
        <f>_xlfn.XLOOKUP(B656,'3.屠宰能力表'!B:B,'3.屠宰能力表'!E:E)</f>
        <v>900</v>
      </c>
      <c r="E656">
        <f>_xlfn.XLOOKUP(B656,'4.分割能力表'!B:B,'4.分割能力表'!D:D)</f>
        <v>260</v>
      </c>
      <c r="F656">
        <f>_xlfn.XLOOKUP(B656,'4.分割能力表'!B:B,'4.分割能力表'!E:E)</f>
        <v>0</v>
      </c>
      <c r="G656" t="s">
        <v>62</v>
      </c>
      <c r="H656">
        <f>_xlfn.XLOOKUP(G656,系数辅助表!$C:$C,系数辅助表!$D:$D)</f>
        <v>7.3264797030720401E-3</v>
      </c>
      <c r="J656">
        <f t="shared" si="58"/>
        <v>791.25980793177996</v>
      </c>
      <c r="K656">
        <f t="shared" si="55"/>
        <v>791.25980793177996</v>
      </c>
    </row>
    <row r="657" spans="1:11" x14ac:dyDescent="0.3">
      <c r="A657" s="2" t="s">
        <v>24</v>
      </c>
      <c r="B657" t="s">
        <v>174</v>
      </c>
      <c r="C657" t="s">
        <v>175</v>
      </c>
      <c r="D657">
        <f>_xlfn.XLOOKUP(B657,'3.屠宰能力表'!B:B,'3.屠宰能力表'!E:E)</f>
        <v>900</v>
      </c>
      <c r="E657">
        <f>_xlfn.XLOOKUP(B657,'4.分割能力表'!B:B,'4.分割能力表'!D:D)</f>
        <v>260</v>
      </c>
      <c r="F657">
        <f>_xlfn.XLOOKUP(B657,'4.分割能力表'!B:B,'4.分割能力表'!E:E)</f>
        <v>0</v>
      </c>
      <c r="G657" t="s">
        <v>63</v>
      </c>
      <c r="H657">
        <f>_xlfn.XLOOKUP(G657,系数辅助表!$C:$C,系数辅助表!$D:$D)</f>
        <v>6.1516718317408204E-3</v>
      </c>
      <c r="J657">
        <f t="shared" si="58"/>
        <v>664.38055782800905</v>
      </c>
      <c r="K657">
        <f t="shared" si="55"/>
        <v>664.38055782800905</v>
      </c>
    </row>
    <row r="658" spans="1:11" x14ac:dyDescent="0.3">
      <c r="A658" s="2" t="s">
        <v>24</v>
      </c>
      <c r="B658" t="s">
        <v>174</v>
      </c>
      <c r="C658" t="s">
        <v>175</v>
      </c>
      <c r="D658">
        <f>_xlfn.XLOOKUP(B658,'3.屠宰能力表'!B:B,'3.屠宰能力表'!E:E)</f>
        <v>900</v>
      </c>
      <c r="E658">
        <f>_xlfn.XLOOKUP(B658,'4.分割能力表'!B:B,'4.分割能力表'!D:D)</f>
        <v>260</v>
      </c>
      <c r="F658">
        <f>_xlfn.XLOOKUP(B658,'4.分割能力表'!B:B,'4.分割能力表'!E:E)</f>
        <v>0</v>
      </c>
      <c r="G658" t="s">
        <v>64</v>
      </c>
      <c r="H658">
        <f>_xlfn.XLOOKUP(G658,系数辅助表!$C:$C,系数辅助表!$D:$D)</f>
        <v>1.0639112440104599E-3</v>
      </c>
      <c r="J658">
        <f t="shared" si="58"/>
        <v>114.90241435313</v>
      </c>
      <c r="K658">
        <f t="shared" ref="K658:K662" si="59">J658-L658</f>
        <v>114.90241435313</v>
      </c>
    </row>
    <row r="659" spans="1:11" x14ac:dyDescent="0.3">
      <c r="A659" s="2" t="s">
        <v>24</v>
      </c>
      <c r="B659" t="s">
        <v>174</v>
      </c>
      <c r="C659" t="s">
        <v>175</v>
      </c>
      <c r="D659">
        <f>_xlfn.XLOOKUP(B659,'3.屠宰能力表'!B:B,'3.屠宰能力表'!E:E)</f>
        <v>900</v>
      </c>
      <c r="E659">
        <f>_xlfn.XLOOKUP(B659,'4.分割能力表'!B:B,'4.分割能力表'!D:D)</f>
        <v>260</v>
      </c>
      <c r="F659">
        <f>_xlfn.XLOOKUP(B659,'4.分割能力表'!B:B,'4.分割能力表'!E:E)</f>
        <v>0</v>
      </c>
      <c r="G659" t="s">
        <v>65</v>
      </c>
      <c r="H659">
        <f>_xlfn.XLOOKUP(G659,系数辅助表!$C:$C,系数辅助表!$D:$D)</f>
        <v>4.8359602000475603E-4</v>
      </c>
      <c r="J659">
        <f t="shared" si="58"/>
        <v>52.228370160513599</v>
      </c>
      <c r="K659">
        <f t="shared" si="59"/>
        <v>52.228370160513599</v>
      </c>
    </row>
    <row r="660" spans="1:11" x14ac:dyDescent="0.3">
      <c r="A660" s="2" t="s">
        <v>24</v>
      </c>
      <c r="B660" t="s">
        <v>174</v>
      </c>
      <c r="C660" t="s">
        <v>175</v>
      </c>
      <c r="D660">
        <f>_xlfn.XLOOKUP(B660,'3.屠宰能力表'!B:B,'3.屠宰能力表'!E:E)</f>
        <v>900</v>
      </c>
      <c r="E660">
        <f>_xlfn.XLOOKUP(B660,'4.分割能力表'!B:B,'4.分割能力表'!D:D)</f>
        <v>260</v>
      </c>
      <c r="F660">
        <f>_xlfn.XLOOKUP(B660,'4.分割能力表'!B:B,'4.分割能力表'!E:E)</f>
        <v>0</v>
      </c>
      <c r="G660" t="s">
        <v>66</v>
      </c>
      <c r="H660">
        <f>_xlfn.XLOOKUP(G660,系数辅助表!$C:$C,系数辅助表!$D:$D)</f>
        <v>1.70951193071681E-3</v>
      </c>
      <c r="J660">
        <f t="shared" si="58"/>
        <v>184.627288517415</v>
      </c>
      <c r="K660">
        <f t="shared" si="59"/>
        <v>184.627288517415</v>
      </c>
    </row>
    <row r="661" spans="1:11" x14ac:dyDescent="0.3">
      <c r="A661" s="2" t="s">
        <v>24</v>
      </c>
      <c r="B661" t="s">
        <v>174</v>
      </c>
      <c r="C661" t="s">
        <v>175</v>
      </c>
      <c r="D661">
        <f>_xlfn.XLOOKUP(B661,'3.屠宰能力表'!B:B,'3.屠宰能力表'!E:E)</f>
        <v>900</v>
      </c>
      <c r="E661">
        <f>_xlfn.XLOOKUP(B661,'4.分割能力表'!B:B,'4.分割能力表'!D:D)</f>
        <v>260</v>
      </c>
      <c r="F661">
        <f>_xlfn.XLOOKUP(B661,'4.分割能力表'!B:B,'4.分割能力表'!E:E)</f>
        <v>0</v>
      </c>
      <c r="G661" t="s">
        <v>67</v>
      </c>
      <c r="H661">
        <f>_xlfn.XLOOKUP(G661,系数辅助表!$C:$C,系数辅助表!$D:$D)</f>
        <v>0.02</v>
      </c>
      <c r="J661">
        <f t="shared" si="58"/>
        <v>2160</v>
      </c>
      <c r="K661">
        <f t="shared" si="59"/>
        <v>2160</v>
      </c>
    </row>
    <row r="662" spans="1:11" x14ac:dyDescent="0.3">
      <c r="A662" t="s">
        <v>299</v>
      </c>
      <c r="B662">
        <v>1522</v>
      </c>
      <c r="C662" t="s">
        <v>176</v>
      </c>
      <c r="D662">
        <f>_xlfn.XLOOKUP(B662,'3.屠宰能力表'!B:B,'3.屠宰能力表'!E:E)</f>
        <v>1820</v>
      </c>
      <c r="E662">
        <f>_xlfn.XLOOKUP(B662,'4.分割能力表'!B:B,'4.分割能力表'!D:D)</f>
        <v>0</v>
      </c>
      <c r="F662">
        <f>_xlfn.XLOOKUP(B662,'4.分割能力表'!B:B,'4.分割能力表'!E:E)</f>
        <v>0</v>
      </c>
      <c r="G662" t="s">
        <v>41</v>
      </c>
      <c r="H662">
        <f>_xlfn.XLOOKUP(G662,系数辅助表!$C:$C,系数辅助表!$D:$D)</f>
        <v>0.71499999999999997</v>
      </c>
      <c r="J662">
        <f>(D662-E662)*H662*$D$1</f>
        <v>156156</v>
      </c>
      <c r="K662">
        <f t="shared" si="59"/>
        <v>156156</v>
      </c>
    </row>
    <row r="663" spans="1:11" x14ac:dyDescent="0.3">
      <c r="A663" t="s">
        <v>299</v>
      </c>
      <c r="B663">
        <v>1522</v>
      </c>
      <c r="C663" t="s">
        <v>176</v>
      </c>
      <c r="D663">
        <f>_xlfn.XLOOKUP(B663,'3.屠宰能力表'!B:B,'3.屠宰能力表'!E:E)</f>
        <v>1820</v>
      </c>
      <c r="E663">
        <f>_xlfn.XLOOKUP(B663,'4.分割能力表'!B:B,'4.分割能力表'!D:D)</f>
        <v>0</v>
      </c>
      <c r="F663">
        <f>_xlfn.XLOOKUP(B663,'4.分割能力表'!B:B,'4.分割能力表'!E:E)</f>
        <v>0</v>
      </c>
      <c r="G663" t="s">
        <v>44</v>
      </c>
      <c r="H663">
        <f>_xlfn.XLOOKUP(G663,系数辅助表!$C:$C,系数辅助表!$D:$D)</f>
        <v>4.3342237679380002E-2</v>
      </c>
      <c r="J663">
        <f>$D663*H663*$D$1</f>
        <v>9465.9447091765905</v>
      </c>
      <c r="K663">
        <f t="shared" ref="K663:K726" si="60">J663-L663</f>
        <v>9465.9447091765905</v>
      </c>
    </row>
    <row r="664" spans="1:11" x14ac:dyDescent="0.3">
      <c r="A664" t="s">
        <v>299</v>
      </c>
      <c r="B664">
        <v>1522</v>
      </c>
      <c r="C664" t="s">
        <v>176</v>
      </c>
      <c r="D664">
        <f>_xlfn.XLOOKUP(B664,'3.屠宰能力表'!B:B,'3.屠宰能力表'!E:E)</f>
        <v>1820</v>
      </c>
      <c r="E664">
        <f>_xlfn.XLOOKUP(B664,'4.分割能力表'!B:B,'4.分割能力表'!D:D)</f>
        <v>0</v>
      </c>
      <c r="F664">
        <f>_xlfn.XLOOKUP(B664,'4.分割能力表'!B:B,'4.分割能力表'!E:E)</f>
        <v>0</v>
      </c>
      <c r="G664" t="s">
        <v>46</v>
      </c>
      <c r="H664">
        <f>_xlfn.XLOOKUP(G664,系数辅助表!$C:$C,系数辅助表!$D:$D)</f>
        <v>3.2562132013653599E-4</v>
      </c>
      <c r="J664">
        <f t="shared" ref="J664:J684" si="61">$D664*H664*$D$1</f>
        <v>71.115696317819499</v>
      </c>
      <c r="K664">
        <f t="shared" si="60"/>
        <v>71.115696317819499</v>
      </c>
    </row>
    <row r="665" spans="1:11" x14ac:dyDescent="0.3">
      <c r="A665" t="s">
        <v>299</v>
      </c>
      <c r="B665">
        <v>1522</v>
      </c>
      <c r="C665" t="s">
        <v>176</v>
      </c>
      <c r="D665">
        <f>_xlfn.XLOOKUP(B665,'3.屠宰能力表'!B:B,'3.屠宰能力表'!E:E)</f>
        <v>1820</v>
      </c>
      <c r="E665">
        <f>_xlfn.XLOOKUP(B665,'4.分割能力表'!B:B,'4.分割能力表'!D:D)</f>
        <v>0</v>
      </c>
      <c r="F665">
        <f>_xlfn.XLOOKUP(B665,'4.分割能力表'!B:B,'4.分割能力表'!E:E)</f>
        <v>0</v>
      </c>
      <c r="G665" t="s">
        <v>47</v>
      </c>
      <c r="H665">
        <f>_xlfn.XLOOKUP(G665,系数辅助表!$C:$C,系数辅助表!$D:$D)</f>
        <v>3.0632398515360198E-3</v>
      </c>
      <c r="J665">
        <f t="shared" si="61"/>
        <v>669.01158357546694</v>
      </c>
      <c r="K665">
        <f t="shared" si="60"/>
        <v>669.01158357546694</v>
      </c>
    </row>
    <row r="666" spans="1:11" x14ac:dyDescent="0.3">
      <c r="A666" t="s">
        <v>299</v>
      </c>
      <c r="B666">
        <v>1522</v>
      </c>
      <c r="C666" t="s">
        <v>176</v>
      </c>
      <c r="D666">
        <f>_xlfn.XLOOKUP(B666,'3.屠宰能力表'!B:B,'3.屠宰能力表'!E:E)</f>
        <v>1820</v>
      </c>
      <c r="E666">
        <f>_xlfn.XLOOKUP(B666,'4.分割能力表'!B:B,'4.分割能力表'!D:D)</f>
        <v>0</v>
      </c>
      <c r="F666">
        <f>_xlfn.XLOOKUP(B666,'4.分割能力表'!B:B,'4.分割能力表'!E:E)</f>
        <v>0</v>
      </c>
      <c r="G666" t="s">
        <v>48</v>
      </c>
      <c r="H666">
        <f>_xlfn.XLOOKUP(G666,系数辅助表!$C:$C,系数辅助表!$D:$D)</f>
        <v>1.5822796716383002E-2</v>
      </c>
      <c r="J666">
        <f t="shared" si="61"/>
        <v>3455.6988028580499</v>
      </c>
      <c r="K666">
        <f t="shared" si="60"/>
        <v>3455.6988028580499</v>
      </c>
    </row>
    <row r="667" spans="1:11" x14ac:dyDescent="0.3">
      <c r="A667" t="s">
        <v>299</v>
      </c>
      <c r="B667">
        <v>1522</v>
      </c>
      <c r="C667" t="s">
        <v>176</v>
      </c>
      <c r="D667">
        <f>_xlfn.XLOOKUP(B667,'3.屠宰能力表'!B:B,'3.屠宰能力表'!E:E)</f>
        <v>1820</v>
      </c>
      <c r="E667">
        <f>_xlfn.XLOOKUP(B667,'4.分割能力表'!B:B,'4.分割能力表'!D:D)</f>
        <v>0</v>
      </c>
      <c r="F667">
        <f>_xlfn.XLOOKUP(B667,'4.分割能力表'!B:B,'4.分割能力表'!E:E)</f>
        <v>0</v>
      </c>
      <c r="G667" t="s">
        <v>49</v>
      </c>
      <c r="H667">
        <f>_xlfn.XLOOKUP(G667,系数辅助表!$C:$C,系数辅助表!$D:$D)</f>
        <v>3.0934025412970799E-3</v>
      </c>
      <c r="J667">
        <f t="shared" si="61"/>
        <v>675.59911501928195</v>
      </c>
      <c r="K667">
        <f t="shared" si="60"/>
        <v>675.59911501928195</v>
      </c>
    </row>
    <row r="668" spans="1:11" x14ac:dyDescent="0.3">
      <c r="A668" t="s">
        <v>299</v>
      </c>
      <c r="B668">
        <v>1522</v>
      </c>
      <c r="C668" t="s">
        <v>176</v>
      </c>
      <c r="D668">
        <f>_xlfn.XLOOKUP(B668,'3.屠宰能力表'!B:B,'3.屠宰能力表'!E:E)</f>
        <v>1820</v>
      </c>
      <c r="E668">
        <f>_xlfn.XLOOKUP(B668,'4.分割能力表'!B:B,'4.分割能力表'!D:D)</f>
        <v>0</v>
      </c>
      <c r="F668">
        <f>_xlfn.XLOOKUP(B668,'4.分割能力表'!B:B,'4.分割能力表'!E:E)</f>
        <v>0</v>
      </c>
      <c r="G668" t="s">
        <v>50</v>
      </c>
      <c r="H668">
        <f>_xlfn.XLOOKUP(G668,系数辅助表!$C:$C,系数辅助表!$D:$D)</f>
        <v>1.08247988845052E-2</v>
      </c>
      <c r="J668">
        <f t="shared" si="61"/>
        <v>2364.1360763759399</v>
      </c>
      <c r="K668">
        <f t="shared" si="60"/>
        <v>2364.1360763759399</v>
      </c>
    </row>
    <row r="669" spans="1:11" x14ac:dyDescent="0.3">
      <c r="A669" t="s">
        <v>299</v>
      </c>
      <c r="B669">
        <v>1522</v>
      </c>
      <c r="C669" t="s">
        <v>176</v>
      </c>
      <c r="D669">
        <f>_xlfn.XLOOKUP(B669,'3.屠宰能力表'!B:B,'3.屠宰能力表'!E:E)</f>
        <v>1820</v>
      </c>
      <c r="E669">
        <f>_xlfn.XLOOKUP(B669,'4.分割能力表'!B:B,'4.分割能力表'!D:D)</f>
        <v>0</v>
      </c>
      <c r="F669">
        <f>_xlfn.XLOOKUP(B669,'4.分割能力表'!B:B,'4.分割能力表'!E:E)</f>
        <v>0</v>
      </c>
      <c r="G669" t="s">
        <v>51</v>
      </c>
      <c r="H669">
        <f>_xlfn.XLOOKUP(G669,系数辅助表!$C:$C,系数辅助表!$D:$D)</f>
        <v>4.9657251320821601E-3</v>
      </c>
      <c r="J669">
        <f t="shared" si="61"/>
        <v>1084.5143688467399</v>
      </c>
      <c r="K669">
        <f t="shared" si="60"/>
        <v>1084.5143688467399</v>
      </c>
    </row>
    <row r="670" spans="1:11" x14ac:dyDescent="0.3">
      <c r="A670" t="s">
        <v>299</v>
      </c>
      <c r="B670">
        <v>1522</v>
      </c>
      <c r="C670" t="s">
        <v>176</v>
      </c>
      <c r="D670">
        <f>_xlfn.XLOOKUP(B670,'3.屠宰能力表'!B:B,'3.屠宰能力表'!E:E)</f>
        <v>1820</v>
      </c>
      <c r="E670">
        <f>_xlfn.XLOOKUP(B670,'4.分割能力表'!B:B,'4.分割能力表'!D:D)</f>
        <v>0</v>
      </c>
      <c r="F670">
        <f>_xlfn.XLOOKUP(B670,'4.分割能力表'!B:B,'4.分割能力表'!E:E)</f>
        <v>0</v>
      </c>
      <c r="G670" t="s">
        <v>52</v>
      </c>
      <c r="H670">
        <f>_xlfn.XLOOKUP(G670,系数辅助表!$C:$C,系数辅助表!$D:$D)</f>
        <v>4.1516718317408203E-3</v>
      </c>
      <c r="J670">
        <f t="shared" si="61"/>
        <v>906.72512805219503</v>
      </c>
      <c r="K670">
        <f t="shared" si="60"/>
        <v>906.72512805219503</v>
      </c>
    </row>
    <row r="671" spans="1:11" x14ac:dyDescent="0.3">
      <c r="A671" t="s">
        <v>299</v>
      </c>
      <c r="B671">
        <v>1522</v>
      </c>
      <c r="C671" t="s">
        <v>176</v>
      </c>
      <c r="D671">
        <f>_xlfn.XLOOKUP(B671,'3.屠宰能力表'!B:B,'3.屠宰能力表'!E:E)</f>
        <v>1820</v>
      </c>
      <c r="E671">
        <f>_xlfn.XLOOKUP(B671,'4.分割能力表'!B:B,'4.分割能力表'!D:D)</f>
        <v>0</v>
      </c>
      <c r="F671">
        <f>_xlfn.XLOOKUP(B671,'4.分割能力表'!B:B,'4.分割能力表'!E:E)</f>
        <v>0</v>
      </c>
      <c r="G671" t="s">
        <v>53</v>
      </c>
      <c r="H671">
        <f>_xlfn.XLOOKUP(G671,系数辅助表!$C:$C,系数辅助表!$D:$D)</f>
        <v>3.6632398515360201E-3</v>
      </c>
      <c r="J671">
        <f t="shared" si="61"/>
        <v>800.05158357546702</v>
      </c>
      <c r="K671">
        <f t="shared" si="60"/>
        <v>800.05158357546702</v>
      </c>
    </row>
    <row r="672" spans="1:11" x14ac:dyDescent="0.3">
      <c r="A672" t="s">
        <v>299</v>
      </c>
      <c r="B672">
        <v>1522</v>
      </c>
      <c r="C672" t="s">
        <v>176</v>
      </c>
      <c r="D672">
        <f>_xlfn.XLOOKUP(B672,'3.屠宰能力表'!B:B,'3.屠宰能力表'!E:E)</f>
        <v>1820</v>
      </c>
      <c r="E672">
        <f>_xlfn.XLOOKUP(B672,'4.分割能力表'!B:B,'4.分割能力表'!D:D)</f>
        <v>0</v>
      </c>
      <c r="F672">
        <f>_xlfn.XLOOKUP(B672,'4.分割能力表'!B:B,'4.分割能力表'!E:E)</f>
        <v>0</v>
      </c>
      <c r="G672" t="s">
        <v>54</v>
      </c>
      <c r="H672">
        <f>_xlfn.XLOOKUP(G672,系数辅助表!$C:$C,系数辅助表!$D:$D)</f>
        <v>2.68637589112642E-3</v>
      </c>
      <c r="J672">
        <f t="shared" si="61"/>
        <v>586.70449462200997</v>
      </c>
      <c r="K672">
        <f t="shared" si="60"/>
        <v>586.70449462200997</v>
      </c>
    </row>
    <row r="673" spans="1:11" x14ac:dyDescent="0.3">
      <c r="A673" t="s">
        <v>299</v>
      </c>
      <c r="B673">
        <v>1522</v>
      </c>
      <c r="C673" t="s">
        <v>176</v>
      </c>
      <c r="D673">
        <f>_xlfn.XLOOKUP(B673,'3.屠宰能力表'!B:B,'3.屠宰能力表'!E:E)</f>
        <v>1820</v>
      </c>
      <c r="E673">
        <f>_xlfn.XLOOKUP(B673,'4.分割能力表'!B:B,'4.分割能力表'!D:D)</f>
        <v>0</v>
      </c>
      <c r="F673">
        <f>_xlfn.XLOOKUP(B673,'4.分割能力表'!B:B,'4.分割能力表'!E:E)</f>
        <v>0</v>
      </c>
      <c r="G673" t="s">
        <v>55</v>
      </c>
      <c r="H673">
        <f>_xlfn.XLOOKUP(G673,系数辅助表!$C:$C,系数辅助表!$D:$D)</f>
        <v>2.9015761200285397E-4</v>
      </c>
      <c r="J673">
        <f t="shared" si="61"/>
        <v>63.370422461423303</v>
      </c>
      <c r="K673">
        <f t="shared" si="60"/>
        <v>63.370422461423303</v>
      </c>
    </row>
    <row r="674" spans="1:11" x14ac:dyDescent="0.3">
      <c r="A674" t="s">
        <v>299</v>
      </c>
      <c r="B674">
        <v>1522</v>
      </c>
      <c r="C674" t="s">
        <v>176</v>
      </c>
      <c r="D674">
        <f>_xlfn.XLOOKUP(B674,'3.屠宰能力表'!B:B,'3.屠宰能力表'!E:E)</f>
        <v>1820</v>
      </c>
      <c r="E674">
        <f>_xlfn.XLOOKUP(B674,'4.分割能力表'!B:B,'4.分割能力表'!D:D)</f>
        <v>0</v>
      </c>
      <c r="F674">
        <f>_xlfn.XLOOKUP(B674,'4.分割能力表'!B:B,'4.分割能力表'!E:E)</f>
        <v>0</v>
      </c>
      <c r="G674" t="s">
        <v>57</v>
      </c>
      <c r="H674">
        <f>_xlfn.XLOOKUP(G674,系数辅助表!$C:$C,系数辅助表!$D:$D)</f>
        <v>1.0245932755973399E-2</v>
      </c>
      <c r="J674">
        <f t="shared" si="61"/>
        <v>2237.7117139045899</v>
      </c>
      <c r="K674">
        <f t="shared" si="60"/>
        <v>2237.7117139045899</v>
      </c>
    </row>
    <row r="675" spans="1:11" x14ac:dyDescent="0.3">
      <c r="A675" t="s">
        <v>299</v>
      </c>
      <c r="B675">
        <v>1522</v>
      </c>
      <c r="C675" t="s">
        <v>176</v>
      </c>
      <c r="D675">
        <f>_xlfn.XLOOKUP(B675,'3.屠宰能力表'!B:B,'3.屠宰能力表'!E:E)</f>
        <v>1820</v>
      </c>
      <c r="E675">
        <f>_xlfn.XLOOKUP(B675,'4.分割能力表'!B:B,'4.分割能力表'!D:D)</f>
        <v>0</v>
      </c>
      <c r="F675">
        <f>_xlfn.XLOOKUP(B675,'4.分割能力表'!B:B,'4.分割能力表'!E:E)</f>
        <v>0</v>
      </c>
      <c r="G675" t="s">
        <v>58</v>
      </c>
      <c r="H675">
        <f>_xlfn.XLOOKUP(G675,系数辅助表!$C:$C,系数辅助表!$D:$D)</f>
        <v>1.46005473500993E-2</v>
      </c>
      <c r="J675">
        <f t="shared" si="61"/>
        <v>3188.7595412616902</v>
      </c>
      <c r="K675">
        <f t="shared" si="60"/>
        <v>3188.7595412616902</v>
      </c>
    </row>
    <row r="676" spans="1:11" x14ac:dyDescent="0.3">
      <c r="A676" t="s">
        <v>299</v>
      </c>
      <c r="B676">
        <v>1522</v>
      </c>
      <c r="C676" t="s">
        <v>176</v>
      </c>
      <c r="D676">
        <f>_xlfn.XLOOKUP(B676,'3.屠宰能力表'!B:B,'3.屠宰能力表'!E:E)</f>
        <v>1820</v>
      </c>
      <c r="E676">
        <f>_xlfn.XLOOKUP(B676,'4.分割能力表'!B:B,'4.分割能力表'!D:D)</f>
        <v>0</v>
      </c>
      <c r="F676">
        <f>_xlfn.XLOOKUP(B676,'4.分割能力表'!B:B,'4.分割能力表'!E:E)</f>
        <v>0</v>
      </c>
      <c r="G676" t="s">
        <v>59</v>
      </c>
      <c r="H676">
        <f>_xlfn.XLOOKUP(G676,系数辅助表!$C:$C,系数辅助表!$D:$D)</f>
        <v>1.4718794556320801E-2</v>
      </c>
      <c r="J676">
        <f t="shared" si="61"/>
        <v>3214.58473110046</v>
      </c>
      <c r="K676">
        <f t="shared" si="60"/>
        <v>3214.58473110046</v>
      </c>
    </row>
    <row r="677" spans="1:11" x14ac:dyDescent="0.3">
      <c r="A677" t="s">
        <v>299</v>
      </c>
      <c r="B677">
        <v>1522</v>
      </c>
      <c r="C677" t="s">
        <v>176</v>
      </c>
      <c r="D677">
        <f>_xlfn.XLOOKUP(B677,'3.屠宰能力表'!B:B,'3.屠宰能力表'!E:E)</f>
        <v>1820</v>
      </c>
      <c r="E677">
        <f>_xlfn.XLOOKUP(B677,'4.分割能力表'!B:B,'4.分割能力表'!D:D)</f>
        <v>0</v>
      </c>
      <c r="F677">
        <f>_xlfn.XLOOKUP(B677,'4.分割能力表'!B:B,'4.分割能力表'!E:E)</f>
        <v>0</v>
      </c>
      <c r="G677" t="s">
        <v>60</v>
      </c>
      <c r="H677">
        <f>_xlfn.XLOOKUP(G677,系数辅助表!$C:$C,系数辅助表!$D:$D)</f>
        <v>6.8269088945398003E-3</v>
      </c>
      <c r="J677">
        <f t="shared" si="61"/>
        <v>1490.99690256749</v>
      </c>
      <c r="K677">
        <f t="shared" si="60"/>
        <v>1490.99690256749</v>
      </c>
    </row>
    <row r="678" spans="1:11" x14ac:dyDescent="0.3">
      <c r="A678" t="s">
        <v>299</v>
      </c>
      <c r="B678">
        <v>1522</v>
      </c>
      <c r="C678" t="s">
        <v>176</v>
      </c>
      <c r="D678">
        <f>_xlfn.XLOOKUP(B678,'3.屠宰能力表'!B:B,'3.屠宰能力表'!E:E)</f>
        <v>1820</v>
      </c>
      <c r="E678">
        <f>_xlfn.XLOOKUP(B678,'4.分割能力表'!B:B,'4.分割能力表'!D:D)</f>
        <v>0</v>
      </c>
      <c r="F678">
        <f>_xlfn.XLOOKUP(B678,'4.分割能力表'!B:B,'4.分割能力表'!E:E)</f>
        <v>0</v>
      </c>
      <c r="G678" t="s">
        <v>61</v>
      </c>
      <c r="H678">
        <f>_xlfn.XLOOKUP(G678,系数辅助表!$C:$C,系数辅助表!$D:$D)</f>
        <v>7.8149116832768404E-3</v>
      </c>
      <c r="J678">
        <f t="shared" si="61"/>
        <v>1706.77671162766</v>
      </c>
      <c r="K678">
        <f t="shared" si="60"/>
        <v>1706.77671162766</v>
      </c>
    </row>
    <row r="679" spans="1:11" x14ac:dyDescent="0.3">
      <c r="A679" t="s">
        <v>299</v>
      </c>
      <c r="B679">
        <v>1522</v>
      </c>
      <c r="C679" t="s">
        <v>176</v>
      </c>
      <c r="D679">
        <f>_xlfn.XLOOKUP(B679,'3.屠宰能力表'!B:B,'3.屠宰能力表'!E:E)</f>
        <v>1820</v>
      </c>
      <c r="E679">
        <f>_xlfn.XLOOKUP(B679,'4.分割能力表'!B:B,'4.分割能力表'!D:D)</f>
        <v>0</v>
      </c>
      <c r="F679">
        <f>_xlfn.XLOOKUP(B679,'4.分割能力表'!B:B,'4.分割能力表'!E:E)</f>
        <v>0</v>
      </c>
      <c r="G679" t="s">
        <v>62</v>
      </c>
      <c r="H679">
        <f>_xlfn.XLOOKUP(G679,系数辅助表!$C:$C,系数辅助表!$D:$D)</f>
        <v>7.3264797030720401E-3</v>
      </c>
      <c r="J679">
        <f t="shared" si="61"/>
        <v>1600.1031671509299</v>
      </c>
      <c r="K679">
        <f t="shared" si="60"/>
        <v>1600.1031671509299</v>
      </c>
    </row>
    <row r="680" spans="1:11" x14ac:dyDescent="0.3">
      <c r="A680" t="s">
        <v>299</v>
      </c>
      <c r="B680">
        <v>1522</v>
      </c>
      <c r="C680" t="s">
        <v>176</v>
      </c>
      <c r="D680">
        <f>_xlfn.XLOOKUP(B680,'3.屠宰能力表'!B:B,'3.屠宰能力表'!E:E)</f>
        <v>1820</v>
      </c>
      <c r="E680">
        <f>_xlfn.XLOOKUP(B680,'4.分割能力表'!B:B,'4.分割能力表'!D:D)</f>
        <v>0</v>
      </c>
      <c r="F680">
        <f>_xlfn.XLOOKUP(B680,'4.分割能力表'!B:B,'4.分割能力表'!E:E)</f>
        <v>0</v>
      </c>
      <c r="G680" t="s">
        <v>63</v>
      </c>
      <c r="H680">
        <f>_xlfn.XLOOKUP(G680,系数辅助表!$C:$C,系数辅助表!$D:$D)</f>
        <v>6.1516718317408204E-3</v>
      </c>
      <c r="J680">
        <f t="shared" si="61"/>
        <v>1343.5251280522</v>
      </c>
      <c r="K680">
        <f t="shared" si="60"/>
        <v>1343.5251280522</v>
      </c>
    </row>
    <row r="681" spans="1:11" x14ac:dyDescent="0.3">
      <c r="A681" t="s">
        <v>299</v>
      </c>
      <c r="B681">
        <v>1522</v>
      </c>
      <c r="C681" t="s">
        <v>176</v>
      </c>
      <c r="D681">
        <f>_xlfn.XLOOKUP(B681,'3.屠宰能力表'!B:B,'3.屠宰能力表'!E:E)</f>
        <v>1820</v>
      </c>
      <c r="E681">
        <f>_xlfn.XLOOKUP(B681,'4.分割能力表'!B:B,'4.分割能力表'!D:D)</f>
        <v>0</v>
      </c>
      <c r="F681">
        <f>_xlfn.XLOOKUP(B681,'4.分割能力表'!B:B,'4.分割能力表'!E:E)</f>
        <v>0</v>
      </c>
      <c r="G681" t="s">
        <v>64</v>
      </c>
      <c r="H681">
        <f>_xlfn.XLOOKUP(G681,系数辅助表!$C:$C,系数辅助表!$D:$D)</f>
        <v>1.0639112440104599E-3</v>
      </c>
      <c r="J681">
        <f t="shared" si="61"/>
        <v>232.358215691884</v>
      </c>
      <c r="K681">
        <f t="shared" si="60"/>
        <v>232.358215691884</v>
      </c>
    </row>
    <row r="682" spans="1:11" x14ac:dyDescent="0.3">
      <c r="A682" t="s">
        <v>299</v>
      </c>
      <c r="B682">
        <v>1522</v>
      </c>
      <c r="C682" t="s">
        <v>176</v>
      </c>
      <c r="D682">
        <f>_xlfn.XLOOKUP(B682,'3.屠宰能力表'!B:B,'3.屠宰能力表'!E:E)</f>
        <v>1820</v>
      </c>
      <c r="E682">
        <f>_xlfn.XLOOKUP(B682,'4.分割能力表'!B:B,'4.分割能力表'!D:D)</f>
        <v>0</v>
      </c>
      <c r="F682">
        <f>_xlfn.XLOOKUP(B682,'4.分割能力表'!B:B,'4.分割能力表'!E:E)</f>
        <v>0</v>
      </c>
      <c r="G682" t="s">
        <v>65</v>
      </c>
      <c r="H682">
        <f>_xlfn.XLOOKUP(G682,系数辅助表!$C:$C,系数辅助表!$D:$D)</f>
        <v>4.8359602000475603E-4</v>
      </c>
      <c r="J682">
        <f t="shared" si="61"/>
        <v>105.617370769039</v>
      </c>
      <c r="K682">
        <f t="shared" si="60"/>
        <v>105.617370769039</v>
      </c>
    </row>
    <row r="683" spans="1:11" x14ac:dyDescent="0.3">
      <c r="A683" t="s">
        <v>299</v>
      </c>
      <c r="B683">
        <v>1522</v>
      </c>
      <c r="C683" t="s">
        <v>176</v>
      </c>
      <c r="D683">
        <f>_xlfn.XLOOKUP(B683,'3.屠宰能力表'!B:B,'3.屠宰能力表'!E:E)</f>
        <v>1820</v>
      </c>
      <c r="E683">
        <f>_xlfn.XLOOKUP(B683,'4.分割能力表'!B:B,'4.分割能力表'!D:D)</f>
        <v>0</v>
      </c>
      <c r="F683">
        <f>_xlfn.XLOOKUP(B683,'4.分割能力表'!B:B,'4.分割能力表'!E:E)</f>
        <v>0</v>
      </c>
      <c r="G683" t="s">
        <v>66</v>
      </c>
      <c r="H683">
        <f>_xlfn.XLOOKUP(G683,系数辅助表!$C:$C,系数辅助表!$D:$D)</f>
        <v>1.70951193071681E-3</v>
      </c>
      <c r="J683">
        <f t="shared" si="61"/>
        <v>373.357405668551</v>
      </c>
      <c r="K683">
        <f t="shared" si="60"/>
        <v>373.357405668551</v>
      </c>
    </row>
    <row r="684" spans="1:11" x14ac:dyDescent="0.3">
      <c r="A684" t="s">
        <v>299</v>
      </c>
      <c r="B684">
        <v>1522</v>
      </c>
      <c r="C684" t="s">
        <v>176</v>
      </c>
      <c r="D684">
        <f>_xlfn.XLOOKUP(B684,'3.屠宰能力表'!B:B,'3.屠宰能力表'!E:E)</f>
        <v>1820</v>
      </c>
      <c r="E684">
        <f>_xlfn.XLOOKUP(B684,'4.分割能力表'!B:B,'4.分割能力表'!D:D)</f>
        <v>0</v>
      </c>
      <c r="F684">
        <f>_xlfn.XLOOKUP(B684,'4.分割能力表'!B:B,'4.分割能力表'!E:E)</f>
        <v>0</v>
      </c>
      <c r="G684" t="s">
        <v>67</v>
      </c>
      <c r="H684">
        <f>_xlfn.XLOOKUP(G684,系数辅助表!$C:$C,系数辅助表!$D:$D)</f>
        <v>0.02</v>
      </c>
      <c r="J684">
        <f t="shared" si="61"/>
        <v>4368</v>
      </c>
      <c r="K684">
        <f t="shared" si="60"/>
        <v>4368</v>
      </c>
    </row>
    <row r="685" spans="1:11" x14ac:dyDescent="0.3">
      <c r="A685" s="2" t="s">
        <v>300</v>
      </c>
      <c r="B685" t="s">
        <v>177</v>
      </c>
      <c r="C685" t="s">
        <v>178</v>
      </c>
      <c r="D685">
        <f>_xlfn.XLOOKUP(B685,'3.屠宰能力表'!B:B,'3.屠宰能力表'!E:E)</f>
        <v>550</v>
      </c>
      <c r="E685">
        <f>_xlfn.XLOOKUP(B685,'4.分割能力表'!B:B,'4.分割能力表'!D:D)</f>
        <v>0</v>
      </c>
      <c r="F685">
        <f>_xlfn.XLOOKUP(B685,'4.分割能力表'!B:B,'4.分割能力表'!E:E)</f>
        <v>0</v>
      </c>
      <c r="G685" t="s">
        <v>41</v>
      </c>
      <c r="H685">
        <f>_xlfn.XLOOKUP(G685,系数辅助表!$C:$C,系数辅助表!$D:$D)</f>
        <v>0.71499999999999997</v>
      </c>
      <c r="J685">
        <f>(D685-E685)*H685*$D$1</f>
        <v>47190</v>
      </c>
      <c r="K685">
        <f t="shared" si="60"/>
        <v>47190</v>
      </c>
    </row>
    <row r="686" spans="1:11" x14ac:dyDescent="0.3">
      <c r="A686" s="2" t="s">
        <v>300</v>
      </c>
      <c r="B686" t="s">
        <v>177</v>
      </c>
      <c r="C686" t="s">
        <v>178</v>
      </c>
      <c r="D686">
        <f>_xlfn.XLOOKUP(B686,'3.屠宰能力表'!B:B,'3.屠宰能力表'!E:E)</f>
        <v>550</v>
      </c>
      <c r="E686">
        <f>_xlfn.XLOOKUP(B686,'4.分割能力表'!B:B,'4.分割能力表'!D:D)</f>
        <v>0</v>
      </c>
      <c r="F686">
        <f>_xlfn.XLOOKUP(B686,'4.分割能力表'!B:B,'4.分割能力表'!E:E)</f>
        <v>0</v>
      </c>
      <c r="G686" t="s">
        <v>44</v>
      </c>
      <c r="H686">
        <f>_xlfn.XLOOKUP(G686,系数辅助表!$C:$C,系数辅助表!$D:$D)</f>
        <v>4.3342237679380002E-2</v>
      </c>
      <c r="J686">
        <f>$D686*H686*$D$1</f>
        <v>2860.5876868390801</v>
      </c>
      <c r="K686">
        <f t="shared" si="60"/>
        <v>2860.5876868390801</v>
      </c>
    </row>
    <row r="687" spans="1:11" x14ac:dyDescent="0.3">
      <c r="A687" s="2" t="s">
        <v>300</v>
      </c>
      <c r="B687" t="s">
        <v>177</v>
      </c>
      <c r="C687" t="s">
        <v>178</v>
      </c>
      <c r="D687">
        <f>_xlfn.XLOOKUP(B687,'3.屠宰能力表'!B:B,'3.屠宰能力表'!E:E)</f>
        <v>550</v>
      </c>
      <c r="E687">
        <f>_xlfn.XLOOKUP(B687,'4.分割能力表'!B:B,'4.分割能力表'!D:D)</f>
        <v>0</v>
      </c>
      <c r="F687">
        <f>_xlfn.XLOOKUP(B687,'4.分割能力表'!B:B,'4.分割能力表'!E:E)</f>
        <v>0</v>
      </c>
      <c r="G687" t="s">
        <v>46</v>
      </c>
      <c r="H687">
        <f>_xlfn.XLOOKUP(G687,系数辅助表!$C:$C,系数辅助表!$D:$D)</f>
        <v>3.2562132013653599E-4</v>
      </c>
      <c r="J687">
        <f t="shared" ref="J687:J707" si="62">$D687*H687*$D$1</f>
        <v>21.4910071290114</v>
      </c>
      <c r="K687">
        <f t="shared" si="60"/>
        <v>21.4910071290114</v>
      </c>
    </row>
    <row r="688" spans="1:11" x14ac:dyDescent="0.3">
      <c r="A688" s="2" t="s">
        <v>300</v>
      </c>
      <c r="B688" t="s">
        <v>177</v>
      </c>
      <c r="C688" t="s">
        <v>178</v>
      </c>
      <c r="D688">
        <f>_xlfn.XLOOKUP(B688,'3.屠宰能力表'!B:B,'3.屠宰能力表'!E:E)</f>
        <v>550</v>
      </c>
      <c r="E688">
        <f>_xlfn.XLOOKUP(B688,'4.分割能力表'!B:B,'4.分割能力表'!D:D)</f>
        <v>0</v>
      </c>
      <c r="F688">
        <f>_xlfn.XLOOKUP(B688,'4.分割能力表'!B:B,'4.分割能力表'!E:E)</f>
        <v>0</v>
      </c>
      <c r="G688" t="s">
        <v>47</v>
      </c>
      <c r="H688">
        <f>_xlfn.XLOOKUP(G688,系数辅助表!$C:$C,系数辅助表!$D:$D)</f>
        <v>3.0632398515360198E-3</v>
      </c>
      <c r="J688">
        <f t="shared" si="62"/>
        <v>202.173830201377</v>
      </c>
      <c r="K688">
        <f t="shared" si="60"/>
        <v>202.173830201377</v>
      </c>
    </row>
    <row r="689" spans="1:11" x14ac:dyDescent="0.3">
      <c r="A689" s="2" t="s">
        <v>300</v>
      </c>
      <c r="B689" t="s">
        <v>177</v>
      </c>
      <c r="C689" t="s">
        <v>178</v>
      </c>
      <c r="D689">
        <f>_xlfn.XLOOKUP(B689,'3.屠宰能力表'!B:B,'3.屠宰能力表'!E:E)</f>
        <v>550</v>
      </c>
      <c r="E689">
        <f>_xlfn.XLOOKUP(B689,'4.分割能力表'!B:B,'4.分割能力表'!D:D)</f>
        <v>0</v>
      </c>
      <c r="F689">
        <f>_xlfn.XLOOKUP(B689,'4.分割能力表'!B:B,'4.分割能力表'!E:E)</f>
        <v>0</v>
      </c>
      <c r="G689" t="s">
        <v>48</v>
      </c>
      <c r="H689">
        <f>_xlfn.XLOOKUP(G689,系数辅助表!$C:$C,系数辅助表!$D:$D)</f>
        <v>1.5822796716383002E-2</v>
      </c>
      <c r="J689">
        <f t="shared" si="62"/>
        <v>1044.30458328128</v>
      </c>
      <c r="K689">
        <f t="shared" si="60"/>
        <v>1044.30458328128</v>
      </c>
    </row>
    <row r="690" spans="1:11" x14ac:dyDescent="0.3">
      <c r="A690" s="2" t="s">
        <v>300</v>
      </c>
      <c r="B690" t="s">
        <v>177</v>
      </c>
      <c r="C690" t="s">
        <v>178</v>
      </c>
      <c r="D690">
        <f>_xlfn.XLOOKUP(B690,'3.屠宰能力表'!B:B,'3.屠宰能力表'!E:E)</f>
        <v>550</v>
      </c>
      <c r="E690">
        <f>_xlfn.XLOOKUP(B690,'4.分割能力表'!B:B,'4.分割能力表'!D:D)</f>
        <v>0</v>
      </c>
      <c r="F690">
        <f>_xlfn.XLOOKUP(B690,'4.分割能力表'!B:B,'4.分割能力表'!E:E)</f>
        <v>0</v>
      </c>
      <c r="G690" t="s">
        <v>49</v>
      </c>
      <c r="H690">
        <f>_xlfn.XLOOKUP(G690,系数辅助表!$C:$C,系数辅助表!$D:$D)</f>
        <v>3.0934025412970799E-3</v>
      </c>
      <c r="J690">
        <f t="shared" si="62"/>
        <v>204.16456772560699</v>
      </c>
      <c r="K690">
        <f t="shared" si="60"/>
        <v>204.16456772560699</v>
      </c>
    </row>
    <row r="691" spans="1:11" x14ac:dyDescent="0.3">
      <c r="A691" s="2" t="s">
        <v>300</v>
      </c>
      <c r="B691" t="s">
        <v>177</v>
      </c>
      <c r="C691" t="s">
        <v>178</v>
      </c>
      <c r="D691">
        <f>_xlfn.XLOOKUP(B691,'3.屠宰能力表'!B:B,'3.屠宰能力表'!E:E)</f>
        <v>550</v>
      </c>
      <c r="E691">
        <f>_xlfn.XLOOKUP(B691,'4.分割能力表'!B:B,'4.分割能力表'!D:D)</f>
        <v>0</v>
      </c>
      <c r="F691">
        <f>_xlfn.XLOOKUP(B691,'4.分割能力表'!B:B,'4.分割能力表'!E:E)</f>
        <v>0</v>
      </c>
      <c r="G691" t="s">
        <v>50</v>
      </c>
      <c r="H691">
        <f>_xlfn.XLOOKUP(G691,系数辅助表!$C:$C,系数辅助表!$D:$D)</f>
        <v>1.08247988845052E-2</v>
      </c>
      <c r="J691">
        <f t="shared" si="62"/>
        <v>714.43672637734301</v>
      </c>
      <c r="K691">
        <f t="shared" si="60"/>
        <v>714.43672637734301</v>
      </c>
    </row>
    <row r="692" spans="1:11" x14ac:dyDescent="0.3">
      <c r="A692" s="2" t="s">
        <v>300</v>
      </c>
      <c r="B692" t="s">
        <v>177</v>
      </c>
      <c r="C692" t="s">
        <v>178</v>
      </c>
      <c r="D692">
        <f>_xlfn.XLOOKUP(B692,'3.屠宰能力表'!B:B,'3.屠宰能力表'!E:E)</f>
        <v>550</v>
      </c>
      <c r="E692">
        <f>_xlfn.XLOOKUP(B692,'4.分割能力表'!B:B,'4.分割能力表'!D:D)</f>
        <v>0</v>
      </c>
      <c r="F692">
        <f>_xlfn.XLOOKUP(B692,'4.分割能力表'!B:B,'4.分割能力表'!E:E)</f>
        <v>0</v>
      </c>
      <c r="G692" t="s">
        <v>51</v>
      </c>
      <c r="H692">
        <f>_xlfn.XLOOKUP(G692,系数辅助表!$C:$C,系数辅助表!$D:$D)</f>
        <v>4.9657251320821601E-3</v>
      </c>
      <c r="J692">
        <f t="shared" si="62"/>
        <v>327.73785871742302</v>
      </c>
      <c r="K692">
        <f t="shared" si="60"/>
        <v>327.73785871742302</v>
      </c>
    </row>
    <row r="693" spans="1:11" x14ac:dyDescent="0.3">
      <c r="A693" s="2" t="s">
        <v>300</v>
      </c>
      <c r="B693" t="s">
        <v>177</v>
      </c>
      <c r="C693" t="s">
        <v>178</v>
      </c>
      <c r="D693">
        <f>_xlfn.XLOOKUP(B693,'3.屠宰能力表'!B:B,'3.屠宰能力表'!E:E)</f>
        <v>550</v>
      </c>
      <c r="E693">
        <f>_xlfn.XLOOKUP(B693,'4.分割能力表'!B:B,'4.分割能力表'!D:D)</f>
        <v>0</v>
      </c>
      <c r="F693">
        <f>_xlfn.XLOOKUP(B693,'4.分割能力表'!B:B,'4.分割能力表'!E:E)</f>
        <v>0</v>
      </c>
      <c r="G693" t="s">
        <v>52</v>
      </c>
      <c r="H693">
        <f>_xlfn.XLOOKUP(G693,系数辅助表!$C:$C,系数辅助表!$D:$D)</f>
        <v>4.1516718317408203E-3</v>
      </c>
      <c r="J693">
        <f t="shared" si="62"/>
        <v>274.010340894894</v>
      </c>
      <c r="K693">
        <f t="shared" si="60"/>
        <v>274.010340894894</v>
      </c>
    </row>
    <row r="694" spans="1:11" x14ac:dyDescent="0.3">
      <c r="A694" s="2" t="s">
        <v>300</v>
      </c>
      <c r="B694" t="s">
        <v>177</v>
      </c>
      <c r="C694" t="s">
        <v>178</v>
      </c>
      <c r="D694">
        <f>_xlfn.XLOOKUP(B694,'3.屠宰能力表'!B:B,'3.屠宰能力表'!E:E)</f>
        <v>550</v>
      </c>
      <c r="E694">
        <f>_xlfn.XLOOKUP(B694,'4.分割能力表'!B:B,'4.分割能力表'!D:D)</f>
        <v>0</v>
      </c>
      <c r="F694">
        <f>_xlfn.XLOOKUP(B694,'4.分割能力表'!B:B,'4.分割能力表'!E:E)</f>
        <v>0</v>
      </c>
      <c r="G694" t="s">
        <v>53</v>
      </c>
      <c r="H694">
        <f>_xlfn.XLOOKUP(G694,系数辅助表!$C:$C,系数辅助表!$D:$D)</f>
        <v>3.6632398515360201E-3</v>
      </c>
      <c r="J694">
        <f t="shared" si="62"/>
        <v>241.773830201377</v>
      </c>
      <c r="K694">
        <f t="shared" si="60"/>
        <v>241.773830201377</v>
      </c>
    </row>
    <row r="695" spans="1:11" x14ac:dyDescent="0.3">
      <c r="A695" s="2" t="s">
        <v>300</v>
      </c>
      <c r="B695" t="s">
        <v>177</v>
      </c>
      <c r="C695" t="s">
        <v>178</v>
      </c>
      <c r="D695">
        <f>_xlfn.XLOOKUP(B695,'3.屠宰能力表'!B:B,'3.屠宰能力表'!E:E)</f>
        <v>550</v>
      </c>
      <c r="E695">
        <f>_xlfn.XLOOKUP(B695,'4.分割能力表'!B:B,'4.分割能力表'!D:D)</f>
        <v>0</v>
      </c>
      <c r="F695">
        <f>_xlfn.XLOOKUP(B695,'4.分割能力表'!B:B,'4.分割能力表'!E:E)</f>
        <v>0</v>
      </c>
      <c r="G695" t="s">
        <v>54</v>
      </c>
      <c r="H695">
        <f>_xlfn.XLOOKUP(G695,系数辅助表!$C:$C,系数辅助表!$D:$D)</f>
        <v>2.68637589112642E-3</v>
      </c>
      <c r="J695">
        <f t="shared" si="62"/>
        <v>177.30080881434401</v>
      </c>
      <c r="K695">
        <f t="shared" si="60"/>
        <v>177.30080881434401</v>
      </c>
    </row>
    <row r="696" spans="1:11" x14ac:dyDescent="0.3">
      <c r="A696" s="2" t="s">
        <v>300</v>
      </c>
      <c r="B696" t="s">
        <v>177</v>
      </c>
      <c r="C696" t="s">
        <v>178</v>
      </c>
      <c r="D696">
        <f>_xlfn.XLOOKUP(B696,'3.屠宰能力表'!B:B,'3.屠宰能力表'!E:E)</f>
        <v>550</v>
      </c>
      <c r="E696">
        <f>_xlfn.XLOOKUP(B696,'4.分割能力表'!B:B,'4.分割能力表'!D:D)</f>
        <v>0</v>
      </c>
      <c r="F696">
        <f>_xlfn.XLOOKUP(B696,'4.分割能力表'!B:B,'4.分割能力表'!E:E)</f>
        <v>0</v>
      </c>
      <c r="G696" t="s">
        <v>55</v>
      </c>
      <c r="H696">
        <f>_xlfn.XLOOKUP(G696,系数辅助表!$C:$C,系数辅助表!$D:$D)</f>
        <v>2.9015761200285397E-4</v>
      </c>
      <c r="J696">
        <f t="shared" si="62"/>
        <v>19.150402392188401</v>
      </c>
      <c r="K696">
        <f t="shared" si="60"/>
        <v>19.150402392188401</v>
      </c>
    </row>
    <row r="697" spans="1:11" x14ac:dyDescent="0.3">
      <c r="A697" s="2" t="s">
        <v>300</v>
      </c>
      <c r="B697" t="s">
        <v>177</v>
      </c>
      <c r="C697" t="s">
        <v>178</v>
      </c>
      <c r="D697">
        <f>_xlfn.XLOOKUP(B697,'3.屠宰能力表'!B:B,'3.屠宰能力表'!E:E)</f>
        <v>550</v>
      </c>
      <c r="E697">
        <f>_xlfn.XLOOKUP(B697,'4.分割能力表'!B:B,'4.分割能力表'!D:D)</f>
        <v>0</v>
      </c>
      <c r="F697">
        <f>_xlfn.XLOOKUP(B697,'4.分割能力表'!B:B,'4.分割能力表'!E:E)</f>
        <v>0</v>
      </c>
      <c r="G697" t="s">
        <v>57</v>
      </c>
      <c r="H697">
        <f>_xlfn.XLOOKUP(G697,系数辅助表!$C:$C,系数辅助表!$D:$D)</f>
        <v>1.0245932755973399E-2</v>
      </c>
      <c r="J697">
        <f t="shared" si="62"/>
        <v>676.23156189424401</v>
      </c>
      <c r="K697">
        <f t="shared" si="60"/>
        <v>676.23156189424401</v>
      </c>
    </row>
    <row r="698" spans="1:11" x14ac:dyDescent="0.3">
      <c r="A698" s="2" t="s">
        <v>300</v>
      </c>
      <c r="B698" t="s">
        <v>177</v>
      </c>
      <c r="C698" t="s">
        <v>178</v>
      </c>
      <c r="D698">
        <f>_xlfn.XLOOKUP(B698,'3.屠宰能力表'!B:B,'3.屠宰能力表'!E:E)</f>
        <v>550</v>
      </c>
      <c r="E698">
        <f>_xlfn.XLOOKUP(B698,'4.分割能力表'!B:B,'4.分割能力表'!D:D)</f>
        <v>0</v>
      </c>
      <c r="F698">
        <f>_xlfn.XLOOKUP(B698,'4.分割能力表'!B:B,'4.分割能力表'!E:E)</f>
        <v>0</v>
      </c>
      <c r="G698" t="s">
        <v>58</v>
      </c>
      <c r="H698">
        <f>_xlfn.XLOOKUP(G698,系数辅助表!$C:$C,系数辅助表!$D:$D)</f>
        <v>1.46005473500993E-2</v>
      </c>
      <c r="J698">
        <f t="shared" si="62"/>
        <v>963.636125106554</v>
      </c>
      <c r="K698">
        <f t="shared" si="60"/>
        <v>963.636125106554</v>
      </c>
    </row>
    <row r="699" spans="1:11" x14ac:dyDescent="0.3">
      <c r="A699" s="2" t="s">
        <v>300</v>
      </c>
      <c r="B699" t="s">
        <v>177</v>
      </c>
      <c r="C699" t="s">
        <v>178</v>
      </c>
      <c r="D699">
        <f>_xlfn.XLOOKUP(B699,'3.屠宰能力表'!B:B,'3.屠宰能力表'!E:E)</f>
        <v>550</v>
      </c>
      <c r="E699">
        <f>_xlfn.XLOOKUP(B699,'4.分割能力表'!B:B,'4.分割能力表'!D:D)</f>
        <v>0</v>
      </c>
      <c r="F699">
        <f>_xlfn.XLOOKUP(B699,'4.分割能力表'!B:B,'4.分割能力表'!E:E)</f>
        <v>0</v>
      </c>
      <c r="G699" t="s">
        <v>59</v>
      </c>
      <c r="H699">
        <f>_xlfn.XLOOKUP(G699,系数辅助表!$C:$C,系数辅助表!$D:$D)</f>
        <v>1.4718794556320801E-2</v>
      </c>
      <c r="J699">
        <f t="shared" si="62"/>
        <v>971.44044071717303</v>
      </c>
      <c r="K699">
        <f t="shared" si="60"/>
        <v>971.44044071717303</v>
      </c>
    </row>
    <row r="700" spans="1:11" x14ac:dyDescent="0.3">
      <c r="A700" s="2" t="s">
        <v>300</v>
      </c>
      <c r="B700" t="s">
        <v>177</v>
      </c>
      <c r="C700" t="s">
        <v>178</v>
      </c>
      <c r="D700">
        <f>_xlfn.XLOOKUP(B700,'3.屠宰能力表'!B:B,'3.屠宰能力表'!E:E)</f>
        <v>550</v>
      </c>
      <c r="E700">
        <f>_xlfn.XLOOKUP(B700,'4.分割能力表'!B:B,'4.分割能力表'!D:D)</f>
        <v>0</v>
      </c>
      <c r="F700">
        <f>_xlfn.XLOOKUP(B700,'4.分割能力表'!B:B,'4.分割能力表'!E:E)</f>
        <v>0</v>
      </c>
      <c r="G700" t="s">
        <v>60</v>
      </c>
      <c r="H700">
        <f>_xlfn.XLOOKUP(G700,系数辅助表!$C:$C,系数辅助表!$D:$D)</f>
        <v>6.8269088945398003E-3</v>
      </c>
      <c r="J700">
        <f t="shared" si="62"/>
        <v>450.57598703962702</v>
      </c>
      <c r="K700">
        <f t="shared" si="60"/>
        <v>450.57598703962702</v>
      </c>
    </row>
    <row r="701" spans="1:11" x14ac:dyDescent="0.3">
      <c r="A701" s="2" t="s">
        <v>300</v>
      </c>
      <c r="B701" t="s">
        <v>177</v>
      </c>
      <c r="C701" t="s">
        <v>178</v>
      </c>
      <c r="D701">
        <f>_xlfn.XLOOKUP(B701,'3.屠宰能力表'!B:B,'3.屠宰能力表'!E:E)</f>
        <v>550</v>
      </c>
      <c r="E701">
        <f>_xlfn.XLOOKUP(B701,'4.分割能力表'!B:B,'4.分割能力表'!D:D)</f>
        <v>0</v>
      </c>
      <c r="F701">
        <f>_xlfn.XLOOKUP(B701,'4.分割能力表'!B:B,'4.分割能力表'!E:E)</f>
        <v>0</v>
      </c>
      <c r="G701" t="s">
        <v>61</v>
      </c>
      <c r="H701">
        <f>_xlfn.XLOOKUP(G701,系数辅助表!$C:$C,系数辅助表!$D:$D)</f>
        <v>7.8149116832768404E-3</v>
      </c>
      <c r="J701">
        <f t="shared" si="62"/>
        <v>515.78417109627196</v>
      </c>
      <c r="K701">
        <f t="shared" si="60"/>
        <v>515.78417109627196</v>
      </c>
    </row>
    <row r="702" spans="1:11" x14ac:dyDescent="0.3">
      <c r="A702" s="2" t="s">
        <v>300</v>
      </c>
      <c r="B702" t="s">
        <v>177</v>
      </c>
      <c r="C702" t="s">
        <v>178</v>
      </c>
      <c r="D702">
        <f>_xlfn.XLOOKUP(B702,'3.屠宰能力表'!B:B,'3.屠宰能力表'!E:E)</f>
        <v>550</v>
      </c>
      <c r="E702">
        <f>_xlfn.XLOOKUP(B702,'4.分割能力表'!B:B,'4.分割能力表'!D:D)</f>
        <v>0</v>
      </c>
      <c r="F702">
        <f>_xlfn.XLOOKUP(B702,'4.分割能力表'!B:B,'4.分割能力表'!E:E)</f>
        <v>0</v>
      </c>
      <c r="G702" t="s">
        <v>62</v>
      </c>
      <c r="H702">
        <f>_xlfn.XLOOKUP(G702,系数辅助表!$C:$C,系数辅助表!$D:$D)</f>
        <v>7.3264797030720401E-3</v>
      </c>
      <c r="J702">
        <f t="shared" si="62"/>
        <v>483.54766040275501</v>
      </c>
      <c r="K702">
        <f t="shared" si="60"/>
        <v>483.54766040275501</v>
      </c>
    </row>
    <row r="703" spans="1:11" x14ac:dyDescent="0.3">
      <c r="A703" s="2" t="s">
        <v>300</v>
      </c>
      <c r="B703" t="s">
        <v>177</v>
      </c>
      <c r="C703" t="s">
        <v>178</v>
      </c>
      <c r="D703">
        <f>_xlfn.XLOOKUP(B703,'3.屠宰能力表'!B:B,'3.屠宰能力表'!E:E)</f>
        <v>550</v>
      </c>
      <c r="E703">
        <f>_xlfn.XLOOKUP(B703,'4.分割能力表'!B:B,'4.分割能力表'!D:D)</f>
        <v>0</v>
      </c>
      <c r="F703">
        <f>_xlfn.XLOOKUP(B703,'4.分割能力表'!B:B,'4.分割能力表'!E:E)</f>
        <v>0</v>
      </c>
      <c r="G703" t="s">
        <v>63</v>
      </c>
      <c r="H703">
        <f>_xlfn.XLOOKUP(G703,系数辅助表!$C:$C,系数辅助表!$D:$D)</f>
        <v>6.1516718317408204E-3</v>
      </c>
      <c r="J703">
        <f t="shared" si="62"/>
        <v>406.010340894894</v>
      </c>
      <c r="K703">
        <f t="shared" si="60"/>
        <v>406.010340894894</v>
      </c>
    </row>
    <row r="704" spans="1:11" x14ac:dyDescent="0.3">
      <c r="A704" s="2" t="s">
        <v>300</v>
      </c>
      <c r="B704" t="s">
        <v>177</v>
      </c>
      <c r="C704" t="s">
        <v>178</v>
      </c>
      <c r="D704">
        <f>_xlfn.XLOOKUP(B704,'3.屠宰能力表'!B:B,'3.屠宰能力表'!E:E)</f>
        <v>550</v>
      </c>
      <c r="E704">
        <f>_xlfn.XLOOKUP(B704,'4.分割能力表'!B:B,'4.分割能力表'!D:D)</f>
        <v>0</v>
      </c>
      <c r="F704">
        <f>_xlfn.XLOOKUP(B704,'4.分割能力表'!B:B,'4.分割能力表'!E:E)</f>
        <v>0</v>
      </c>
      <c r="G704" t="s">
        <v>64</v>
      </c>
      <c r="H704">
        <f>_xlfn.XLOOKUP(G704,系数辅助表!$C:$C,系数辅助表!$D:$D)</f>
        <v>1.0639112440104599E-3</v>
      </c>
      <c r="J704">
        <f t="shared" si="62"/>
        <v>70.218142104690401</v>
      </c>
      <c r="K704">
        <f t="shared" si="60"/>
        <v>70.218142104690401</v>
      </c>
    </row>
    <row r="705" spans="1:11" x14ac:dyDescent="0.3">
      <c r="A705" s="2" t="s">
        <v>300</v>
      </c>
      <c r="B705" t="s">
        <v>177</v>
      </c>
      <c r="C705" t="s">
        <v>178</v>
      </c>
      <c r="D705">
        <f>_xlfn.XLOOKUP(B705,'3.屠宰能力表'!B:B,'3.屠宰能力表'!E:E)</f>
        <v>550</v>
      </c>
      <c r="E705">
        <f>_xlfn.XLOOKUP(B705,'4.分割能力表'!B:B,'4.分割能力表'!D:D)</f>
        <v>0</v>
      </c>
      <c r="F705">
        <f>_xlfn.XLOOKUP(B705,'4.分割能力表'!B:B,'4.分割能力表'!E:E)</f>
        <v>0</v>
      </c>
      <c r="G705" t="s">
        <v>65</v>
      </c>
      <c r="H705">
        <f>_xlfn.XLOOKUP(G705,系数辅助表!$C:$C,系数辅助表!$D:$D)</f>
        <v>4.8359602000475603E-4</v>
      </c>
      <c r="J705">
        <f t="shared" si="62"/>
        <v>31.917337320313901</v>
      </c>
      <c r="K705">
        <f t="shared" si="60"/>
        <v>31.917337320313901</v>
      </c>
    </row>
    <row r="706" spans="1:11" x14ac:dyDescent="0.3">
      <c r="A706" s="2" t="s">
        <v>300</v>
      </c>
      <c r="B706" t="s">
        <v>177</v>
      </c>
      <c r="C706" t="s">
        <v>178</v>
      </c>
      <c r="D706">
        <f>_xlfn.XLOOKUP(B706,'3.屠宰能力表'!B:B,'3.屠宰能力表'!E:E)</f>
        <v>550</v>
      </c>
      <c r="E706">
        <f>_xlfn.XLOOKUP(B706,'4.分割能力表'!B:B,'4.分割能力表'!D:D)</f>
        <v>0</v>
      </c>
      <c r="F706">
        <f>_xlfn.XLOOKUP(B706,'4.分割能力表'!B:B,'4.分割能力表'!E:E)</f>
        <v>0</v>
      </c>
      <c r="G706" t="s">
        <v>66</v>
      </c>
      <c r="H706">
        <f>_xlfn.XLOOKUP(G706,系数辅助表!$C:$C,系数辅助表!$D:$D)</f>
        <v>1.70951193071681E-3</v>
      </c>
      <c r="J706">
        <f t="shared" si="62"/>
        <v>112.827787427309</v>
      </c>
      <c r="K706">
        <f t="shared" si="60"/>
        <v>112.827787427309</v>
      </c>
    </row>
    <row r="707" spans="1:11" x14ac:dyDescent="0.3">
      <c r="A707" s="2" t="s">
        <v>300</v>
      </c>
      <c r="B707" t="s">
        <v>177</v>
      </c>
      <c r="C707" t="s">
        <v>178</v>
      </c>
      <c r="D707">
        <f>_xlfn.XLOOKUP(B707,'3.屠宰能力表'!B:B,'3.屠宰能力表'!E:E)</f>
        <v>550</v>
      </c>
      <c r="E707">
        <f>_xlfn.XLOOKUP(B707,'4.分割能力表'!B:B,'4.分割能力表'!D:D)</f>
        <v>0</v>
      </c>
      <c r="F707">
        <f>_xlfn.XLOOKUP(B707,'4.分割能力表'!B:B,'4.分割能力表'!E:E)</f>
        <v>0</v>
      </c>
      <c r="G707" t="s">
        <v>67</v>
      </c>
      <c r="H707">
        <f>_xlfn.XLOOKUP(G707,系数辅助表!$C:$C,系数辅助表!$D:$D)</f>
        <v>0.02</v>
      </c>
      <c r="J707">
        <f t="shared" si="62"/>
        <v>1320</v>
      </c>
      <c r="K707">
        <f t="shared" si="60"/>
        <v>1320</v>
      </c>
    </row>
    <row r="708" spans="1:11" x14ac:dyDescent="0.3">
      <c r="A708" s="2" t="s">
        <v>34</v>
      </c>
      <c r="B708" t="s">
        <v>179</v>
      </c>
      <c r="C708" t="s">
        <v>180</v>
      </c>
      <c r="D708">
        <f>_xlfn.XLOOKUP(B708,'3.屠宰能力表'!B:B,'3.屠宰能力表'!E:E)</f>
        <v>1370</v>
      </c>
      <c r="E708">
        <f>_xlfn.XLOOKUP(B708,'4.分割能力表'!B:B,'4.分割能力表'!D:D)</f>
        <v>1000</v>
      </c>
      <c r="F708">
        <f>_xlfn.XLOOKUP(B708,'4.分割能力表'!B:B,'4.分割能力表'!E:E)</f>
        <v>0</v>
      </c>
      <c r="G708" t="s">
        <v>41</v>
      </c>
      <c r="H708">
        <f>_xlfn.XLOOKUP(G708,系数辅助表!$C:$C,系数辅助表!$D:$D)</f>
        <v>0.71499999999999997</v>
      </c>
      <c r="J708">
        <f>(D708-E708)*H708*$D$1</f>
        <v>31746</v>
      </c>
      <c r="K708">
        <f t="shared" si="60"/>
        <v>31746</v>
      </c>
    </row>
    <row r="709" spans="1:11" x14ac:dyDescent="0.3">
      <c r="A709" s="2" t="s">
        <v>34</v>
      </c>
      <c r="B709" t="s">
        <v>179</v>
      </c>
      <c r="C709" t="s">
        <v>180</v>
      </c>
      <c r="D709">
        <f>_xlfn.XLOOKUP(B709,'3.屠宰能力表'!B:B,'3.屠宰能力表'!E:E)</f>
        <v>1370</v>
      </c>
      <c r="E709">
        <f>_xlfn.XLOOKUP(B709,'4.分割能力表'!B:B,'4.分割能力表'!D:D)</f>
        <v>1000</v>
      </c>
      <c r="F709">
        <f>_xlfn.XLOOKUP(B709,'4.分割能力表'!B:B,'4.分割能力表'!E:E)</f>
        <v>0</v>
      </c>
      <c r="G709" t="s">
        <v>44</v>
      </c>
      <c r="H709">
        <f>_xlfn.XLOOKUP(G709,系数辅助表!$C:$C,系数辅助表!$D:$D)</f>
        <v>4.3342237679380002E-2</v>
      </c>
      <c r="J709">
        <f>$D709*H709*$D$1</f>
        <v>7125.4638744900703</v>
      </c>
      <c r="K709">
        <f t="shared" si="60"/>
        <v>7125.4638744900703</v>
      </c>
    </row>
    <row r="710" spans="1:11" x14ac:dyDescent="0.3">
      <c r="A710" s="2" t="s">
        <v>34</v>
      </c>
      <c r="B710" t="s">
        <v>179</v>
      </c>
      <c r="C710" t="s">
        <v>180</v>
      </c>
      <c r="D710">
        <f>_xlfn.XLOOKUP(B710,'3.屠宰能力表'!B:B,'3.屠宰能力表'!E:E)</f>
        <v>1370</v>
      </c>
      <c r="E710">
        <f>_xlfn.XLOOKUP(B710,'4.分割能力表'!B:B,'4.分割能力表'!D:D)</f>
        <v>1000</v>
      </c>
      <c r="F710">
        <f>_xlfn.XLOOKUP(B710,'4.分割能力表'!B:B,'4.分割能力表'!E:E)</f>
        <v>0</v>
      </c>
      <c r="G710" t="s">
        <v>46</v>
      </c>
      <c r="H710">
        <f>_xlfn.XLOOKUP(G710,系数辅助表!$C:$C,系数辅助表!$D:$D)</f>
        <v>3.2562132013653599E-4</v>
      </c>
      <c r="J710">
        <f t="shared" ref="J710:J730" si="63">$D710*H710*$D$1</f>
        <v>53.5321450304465</v>
      </c>
      <c r="K710">
        <f t="shared" si="60"/>
        <v>53.5321450304465</v>
      </c>
    </row>
    <row r="711" spans="1:11" x14ac:dyDescent="0.3">
      <c r="A711" s="2" t="s">
        <v>34</v>
      </c>
      <c r="B711" t="s">
        <v>179</v>
      </c>
      <c r="C711" t="s">
        <v>180</v>
      </c>
      <c r="D711">
        <f>_xlfn.XLOOKUP(B711,'3.屠宰能力表'!B:B,'3.屠宰能力表'!E:E)</f>
        <v>1370</v>
      </c>
      <c r="E711">
        <f>_xlfn.XLOOKUP(B711,'4.分割能力表'!B:B,'4.分割能力表'!D:D)</f>
        <v>1000</v>
      </c>
      <c r="F711">
        <f>_xlfn.XLOOKUP(B711,'4.分割能力表'!B:B,'4.分割能力表'!E:E)</f>
        <v>0</v>
      </c>
      <c r="G711" t="s">
        <v>47</v>
      </c>
      <c r="H711">
        <f>_xlfn.XLOOKUP(G711,系数辅助表!$C:$C,系数辅助表!$D:$D)</f>
        <v>3.0632398515360198E-3</v>
      </c>
      <c r="J711">
        <f t="shared" si="63"/>
        <v>503.59663159252199</v>
      </c>
      <c r="K711">
        <f t="shared" si="60"/>
        <v>503.59663159252199</v>
      </c>
    </row>
    <row r="712" spans="1:11" x14ac:dyDescent="0.3">
      <c r="A712" s="2" t="s">
        <v>34</v>
      </c>
      <c r="B712" t="s">
        <v>179</v>
      </c>
      <c r="C712" t="s">
        <v>180</v>
      </c>
      <c r="D712">
        <f>_xlfn.XLOOKUP(B712,'3.屠宰能力表'!B:B,'3.屠宰能力表'!E:E)</f>
        <v>1370</v>
      </c>
      <c r="E712">
        <f>_xlfn.XLOOKUP(B712,'4.分割能力表'!B:B,'4.分割能力表'!D:D)</f>
        <v>1000</v>
      </c>
      <c r="F712">
        <f>_xlfn.XLOOKUP(B712,'4.分割能力表'!B:B,'4.分割能力表'!E:E)</f>
        <v>0</v>
      </c>
      <c r="G712" t="s">
        <v>48</v>
      </c>
      <c r="H712">
        <f>_xlfn.XLOOKUP(G712,系数辅助表!$C:$C,系数辅助表!$D:$D)</f>
        <v>1.5822796716383002E-2</v>
      </c>
      <c r="J712">
        <f t="shared" si="63"/>
        <v>2601.2677801733698</v>
      </c>
      <c r="K712">
        <f t="shared" si="60"/>
        <v>2601.2677801733698</v>
      </c>
    </row>
    <row r="713" spans="1:11" x14ac:dyDescent="0.3">
      <c r="A713" s="2" t="s">
        <v>34</v>
      </c>
      <c r="B713" t="s">
        <v>179</v>
      </c>
      <c r="C713" t="s">
        <v>180</v>
      </c>
      <c r="D713">
        <f>_xlfn.XLOOKUP(B713,'3.屠宰能力表'!B:B,'3.屠宰能力表'!E:E)</f>
        <v>1370</v>
      </c>
      <c r="E713">
        <f>_xlfn.XLOOKUP(B713,'4.分割能力表'!B:B,'4.分割能力表'!D:D)</f>
        <v>1000</v>
      </c>
      <c r="F713">
        <f>_xlfn.XLOOKUP(B713,'4.分割能力表'!B:B,'4.分割能力表'!E:E)</f>
        <v>0</v>
      </c>
      <c r="G713" t="s">
        <v>49</v>
      </c>
      <c r="H713">
        <f>_xlfn.XLOOKUP(G713,系数辅助表!$C:$C,系数辅助表!$D:$D)</f>
        <v>3.0934025412970799E-3</v>
      </c>
      <c r="J713">
        <f t="shared" si="63"/>
        <v>508.55537778924003</v>
      </c>
      <c r="K713">
        <f t="shared" si="60"/>
        <v>508.55537778924003</v>
      </c>
    </row>
    <row r="714" spans="1:11" x14ac:dyDescent="0.3">
      <c r="A714" s="2" t="s">
        <v>34</v>
      </c>
      <c r="B714" t="s">
        <v>179</v>
      </c>
      <c r="C714" t="s">
        <v>180</v>
      </c>
      <c r="D714">
        <f>_xlfn.XLOOKUP(B714,'3.屠宰能力表'!B:B,'3.屠宰能力表'!E:E)</f>
        <v>1370</v>
      </c>
      <c r="E714">
        <f>_xlfn.XLOOKUP(B714,'4.分割能力表'!B:B,'4.分割能力表'!D:D)</f>
        <v>1000</v>
      </c>
      <c r="F714">
        <f>_xlfn.XLOOKUP(B714,'4.分割能力表'!B:B,'4.分割能力表'!E:E)</f>
        <v>0</v>
      </c>
      <c r="G714" t="s">
        <v>50</v>
      </c>
      <c r="H714">
        <f>_xlfn.XLOOKUP(G714,系数辅助表!$C:$C,系数辅助表!$D:$D)</f>
        <v>1.08247988845052E-2</v>
      </c>
      <c r="J714">
        <f t="shared" si="63"/>
        <v>1779.5969366126501</v>
      </c>
      <c r="K714">
        <f t="shared" si="60"/>
        <v>1779.5969366126501</v>
      </c>
    </row>
    <row r="715" spans="1:11" x14ac:dyDescent="0.3">
      <c r="A715" s="2" t="s">
        <v>34</v>
      </c>
      <c r="B715" t="s">
        <v>179</v>
      </c>
      <c r="C715" t="s">
        <v>180</v>
      </c>
      <c r="D715">
        <f>_xlfn.XLOOKUP(B715,'3.屠宰能力表'!B:B,'3.屠宰能力表'!E:E)</f>
        <v>1370</v>
      </c>
      <c r="E715">
        <f>_xlfn.XLOOKUP(B715,'4.分割能力表'!B:B,'4.分割能力表'!D:D)</f>
        <v>1000</v>
      </c>
      <c r="F715">
        <f>_xlfn.XLOOKUP(B715,'4.分割能力表'!B:B,'4.分割能力表'!E:E)</f>
        <v>0</v>
      </c>
      <c r="G715" t="s">
        <v>51</v>
      </c>
      <c r="H715">
        <f>_xlfn.XLOOKUP(G715,系数辅助表!$C:$C,系数辅助表!$D:$D)</f>
        <v>4.9657251320821601E-3</v>
      </c>
      <c r="J715">
        <f t="shared" si="63"/>
        <v>816.36521171430695</v>
      </c>
      <c r="K715">
        <f t="shared" si="60"/>
        <v>816.36521171430695</v>
      </c>
    </row>
    <row r="716" spans="1:11" x14ac:dyDescent="0.3">
      <c r="A716" s="2" t="s">
        <v>34</v>
      </c>
      <c r="B716" t="s">
        <v>179</v>
      </c>
      <c r="C716" t="s">
        <v>180</v>
      </c>
      <c r="D716">
        <f>_xlfn.XLOOKUP(B716,'3.屠宰能力表'!B:B,'3.屠宰能力表'!E:E)</f>
        <v>1370</v>
      </c>
      <c r="E716">
        <f>_xlfn.XLOOKUP(B716,'4.分割能力表'!B:B,'4.分割能力表'!D:D)</f>
        <v>1000</v>
      </c>
      <c r="F716">
        <f>_xlfn.XLOOKUP(B716,'4.分割能力表'!B:B,'4.分割能力表'!E:E)</f>
        <v>0</v>
      </c>
      <c r="G716" t="s">
        <v>52</v>
      </c>
      <c r="H716">
        <f>_xlfn.XLOOKUP(G716,系数辅助表!$C:$C,系数辅助表!$D:$D)</f>
        <v>4.1516718317408203E-3</v>
      </c>
      <c r="J716">
        <f t="shared" si="63"/>
        <v>682.53484913819102</v>
      </c>
      <c r="K716">
        <f t="shared" si="60"/>
        <v>682.53484913819102</v>
      </c>
    </row>
    <row r="717" spans="1:11" x14ac:dyDescent="0.3">
      <c r="A717" s="2" t="s">
        <v>34</v>
      </c>
      <c r="B717" t="s">
        <v>179</v>
      </c>
      <c r="C717" t="s">
        <v>180</v>
      </c>
      <c r="D717">
        <f>_xlfn.XLOOKUP(B717,'3.屠宰能力表'!B:B,'3.屠宰能力表'!E:E)</f>
        <v>1370</v>
      </c>
      <c r="E717">
        <f>_xlfn.XLOOKUP(B717,'4.分割能力表'!B:B,'4.分割能力表'!D:D)</f>
        <v>1000</v>
      </c>
      <c r="F717">
        <f>_xlfn.XLOOKUP(B717,'4.分割能力表'!B:B,'4.分割能力表'!E:E)</f>
        <v>0</v>
      </c>
      <c r="G717" t="s">
        <v>53</v>
      </c>
      <c r="H717">
        <f>_xlfn.XLOOKUP(G717,系数辅助表!$C:$C,系数辅助表!$D:$D)</f>
        <v>3.6632398515360201E-3</v>
      </c>
      <c r="J717">
        <f t="shared" si="63"/>
        <v>602.23663159252203</v>
      </c>
      <c r="K717">
        <f t="shared" si="60"/>
        <v>602.23663159252203</v>
      </c>
    </row>
    <row r="718" spans="1:11" x14ac:dyDescent="0.3">
      <c r="A718" s="2" t="s">
        <v>34</v>
      </c>
      <c r="B718" t="s">
        <v>179</v>
      </c>
      <c r="C718" t="s">
        <v>180</v>
      </c>
      <c r="D718">
        <f>_xlfn.XLOOKUP(B718,'3.屠宰能力表'!B:B,'3.屠宰能力表'!E:E)</f>
        <v>1370</v>
      </c>
      <c r="E718">
        <f>_xlfn.XLOOKUP(B718,'4.分割能力表'!B:B,'4.分割能力表'!D:D)</f>
        <v>1000</v>
      </c>
      <c r="F718">
        <f>_xlfn.XLOOKUP(B718,'4.分割能力表'!B:B,'4.分割能力表'!E:E)</f>
        <v>0</v>
      </c>
      <c r="G718" t="s">
        <v>54</v>
      </c>
      <c r="H718">
        <f>_xlfn.XLOOKUP(G718,系数辅助表!$C:$C,系数辅助表!$D:$D)</f>
        <v>2.68637589112642E-3</v>
      </c>
      <c r="J718">
        <f t="shared" si="63"/>
        <v>441.64019650118303</v>
      </c>
      <c r="K718">
        <f t="shared" si="60"/>
        <v>441.64019650118303</v>
      </c>
    </row>
    <row r="719" spans="1:11" x14ac:dyDescent="0.3">
      <c r="A719" s="2" t="s">
        <v>34</v>
      </c>
      <c r="B719" t="s">
        <v>179</v>
      </c>
      <c r="C719" t="s">
        <v>180</v>
      </c>
      <c r="D719">
        <f>_xlfn.XLOOKUP(B719,'3.屠宰能力表'!B:B,'3.屠宰能力表'!E:E)</f>
        <v>1370</v>
      </c>
      <c r="E719">
        <f>_xlfn.XLOOKUP(B719,'4.分割能力表'!B:B,'4.分割能力表'!D:D)</f>
        <v>1000</v>
      </c>
      <c r="F719">
        <f>_xlfn.XLOOKUP(B719,'4.分割能力表'!B:B,'4.分割能力表'!E:E)</f>
        <v>0</v>
      </c>
      <c r="G719" t="s">
        <v>55</v>
      </c>
      <c r="H719">
        <f>_xlfn.XLOOKUP(G719,系数辅助表!$C:$C,系数辅助表!$D:$D)</f>
        <v>2.9015761200285397E-4</v>
      </c>
      <c r="J719">
        <f t="shared" si="63"/>
        <v>47.701911413269201</v>
      </c>
      <c r="K719">
        <f t="shared" si="60"/>
        <v>47.701911413269201</v>
      </c>
    </row>
    <row r="720" spans="1:11" x14ac:dyDescent="0.3">
      <c r="A720" s="2" t="s">
        <v>34</v>
      </c>
      <c r="B720" t="s">
        <v>179</v>
      </c>
      <c r="C720" t="s">
        <v>180</v>
      </c>
      <c r="D720">
        <f>_xlfn.XLOOKUP(B720,'3.屠宰能力表'!B:B,'3.屠宰能力表'!E:E)</f>
        <v>1370</v>
      </c>
      <c r="E720">
        <f>_xlfn.XLOOKUP(B720,'4.分割能力表'!B:B,'4.分割能力表'!D:D)</f>
        <v>1000</v>
      </c>
      <c r="F720">
        <f>_xlfn.XLOOKUP(B720,'4.分割能力表'!B:B,'4.分割能力表'!E:E)</f>
        <v>0</v>
      </c>
      <c r="G720" t="s">
        <v>57</v>
      </c>
      <c r="H720">
        <f>_xlfn.XLOOKUP(G720,系数辅助表!$C:$C,系数辅助表!$D:$D)</f>
        <v>1.0245932755973399E-2</v>
      </c>
      <c r="J720">
        <f t="shared" si="63"/>
        <v>1684.43134508203</v>
      </c>
      <c r="K720">
        <f t="shared" si="60"/>
        <v>1684.43134508203</v>
      </c>
    </row>
    <row r="721" spans="1:11" x14ac:dyDescent="0.3">
      <c r="A721" s="2" t="s">
        <v>34</v>
      </c>
      <c r="B721" t="s">
        <v>179</v>
      </c>
      <c r="C721" t="s">
        <v>180</v>
      </c>
      <c r="D721">
        <f>_xlfn.XLOOKUP(B721,'3.屠宰能力表'!B:B,'3.屠宰能力表'!E:E)</f>
        <v>1370</v>
      </c>
      <c r="E721">
        <f>_xlfn.XLOOKUP(B721,'4.分割能力表'!B:B,'4.分割能力表'!D:D)</f>
        <v>1000</v>
      </c>
      <c r="F721">
        <f>_xlfn.XLOOKUP(B721,'4.分割能力表'!B:B,'4.分割能力表'!E:E)</f>
        <v>0</v>
      </c>
      <c r="G721" t="s">
        <v>58</v>
      </c>
      <c r="H721">
        <f>_xlfn.XLOOKUP(G721,系数辅助表!$C:$C,系数辅助表!$D:$D)</f>
        <v>1.46005473500993E-2</v>
      </c>
      <c r="J721">
        <f t="shared" si="63"/>
        <v>2400.32998435632</v>
      </c>
      <c r="K721">
        <f t="shared" si="60"/>
        <v>2400.32998435632</v>
      </c>
    </row>
    <row r="722" spans="1:11" x14ac:dyDescent="0.3">
      <c r="A722" s="2" t="s">
        <v>34</v>
      </c>
      <c r="B722" t="s">
        <v>179</v>
      </c>
      <c r="C722" t="s">
        <v>180</v>
      </c>
      <c r="D722">
        <f>_xlfn.XLOOKUP(B722,'3.屠宰能力表'!B:B,'3.屠宰能力表'!E:E)</f>
        <v>1370</v>
      </c>
      <c r="E722">
        <f>_xlfn.XLOOKUP(B722,'4.分割能力表'!B:B,'4.分割能力表'!D:D)</f>
        <v>1000</v>
      </c>
      <c r="F722">
        <f>_xlfn.XLOOKUP(B722,'4.分割能力表'!B:B,'4.分割能力表'!E:E)</f>
        <v>0</v>
      </c>
      <c r="G722" t="s">
        <v>59</v>
      </c>
      <c r="H722">
        <f>_xlfn.XLOOKUP(G722,系数辅助表!$C:$C,系数辅助表!$D:$D)</f>
        <v>1.4718794556320801E-2</v>
      </c>
      <c r="J722">
        <f t="shared" si="63"/>
        <v>2419.7698250591402</v>
      </c>
      <c r="K722">
        <f t="shared" si="60"/>
        <v>2419.7698250591402</v>
      </c>
    </row>
    <row r="723" spans="1:11" x14ac:dyDescent="0.3">
      <c r="A723" s="2" t="s">
        <v>34</v>
      </c>
      <c r="B723" t="s">
        <v>179</v>
      </c>
      <c r="C723" t="s">
        <v>180</v>
      </c>
      <c r="D723">
        <f>_xlfn.XLOOKUP(B723,'3.屠宰能力表'!B:B,'3.屠宰能力表'!E:E)</f>
        <v>1370</v>
      </c>
      <c r="E723">
        <f>_xlfn.XLOOKUP(B723,'4.分割能力表'!B:B,'4.分割能力表'!D:D)</f>
        <v>1000</v>
      </c>
      <c r="F723">
        <f>_xlfn.XLOOKUP(B723,'4.分割能力表'!B:B,'4.分割能力表'!E:E)</f>
        <v>0</v>
      </c>
      <c r="G723" t="s">
        <v>60</v>
      </c>
      <c r="H723">
        <f>_xlfn.XLOOKUP(G723,系数辅助表!$C:$C,系数辅助表!$D:$D)</f>
        <v>6.8269088945398003E-3</v>
      </c>
      <c r="J723">
        <f t="shared" si="63"/>
        <v>1122.3438222623399</v>
      </c>
      <c r="K723">
        <f t="shared" si="60"/>
        <v>1122.3438222623399</v>
      </c>
    </row>
    <row r="724" spans="1:11" x14ac:dyDescent="0.3">
      <c r="A724" s="2" t="s">
        <v>34</v>
      </c>
      <c r="B724" t="s">
        <v>179</v>
      </c>
      <c r="C724" t="s">
        <v>180</v>
      </c>
      <c r="D724">
        <f>_xlfn.XLOOKUP(B724,'3.屠宰能力表'!B:B,'3.屠宰能力表'!E:E)</f>
        <v>1370</v>
      </c>
      <c r="E724">
        <f>_xlfn.XLOOKUP(B724,'4.分割能力表'!B:B,'4.分割能力表'!D:D)</f>
        <v>1000</v>
      </c>
      <c r="F724">
        <f>_xlfn.XLOOKUP(B724,'4.分割能力表'!B:B,'4.分割能力表'!E:E)</f>
        <v>0</v>
      </c>
      <c r="G724" t="s">
        <v>61</v>
      </c>
      <c r="H724">
        <f>_xlfn.XLOOKUP(G724,系数辅助表!$C:$C,系数辅助表!$D:$D)</f>
        <v>7.8149116832768404E-3</v>
      </c>
      <c r="J724">
        <f t="shared" si="63"/>
        <v>1284.77148073071</v>
      </c>
      <c r="K724">
        <f t="shared" si="60"/>
        <v>1284.77148073071</v>
      </c>
    </row>
    <row r="725" spans="1:11" x14ac:dyDescent="0.3">
      <c r="A725" s="2" t="s">
        <v>34</v>
      </c>
      <c r="B725" t="s">
        <v>179</v>
      </c>
      <c r="C725" t="s">
        <v>180</v>
      </c>
      <c r="D725">
        <f>_xlfn.XLOOKUP(B725,'3.屠宰能力表'!B:B,'3.屠宰能力表'!E:E)</f>
        <v>1370</v>
      </c>
      <c r="E725">
        <f>_xlfn.XLOOKUP(B725,'4.分割能力表'!B:B,'4.分割能力表'!D:D)</f>
        <v>1000</v>
      </c>
      <c r="F725">
        <f>_xlfn.XLOOKUP(B725,'4.分割能力表'!B:B,'4.分割能力表'!E:E)</f>
        <v>0</v>
      </c>
      <c r="G725" t="s">
        <v>62</v>
      </c>
      <c r="H725">
        <f>_xlfn.XLOOKUP(G725,系数辅助表!$C:$C,系数辅助表!$D:$D)</f>
        <v>7.3264797030720401E-3</v>
      </c>
      <c r="J725">
        <f t="shared" si="63"/>
        <v>1204.47326318504</v>
      </c>
      <c r="K725">
        <f t="shared" si="60"/>
        <v>1204.47326318504</v>
      </c>
    </row>
    <row r="726" spans="1:11" x14ac:dyDescent="0.3">
      <c r="A726" s="2" t="s">
        <v>34</v>
      </c>
      <c r="B726" t="s">
        <v>179</v>
      </c>
      <c r="C726" t="s">
        <v>180</v>
      </c>
      <c r="D726">
        <f>_xlfn.XLOOKUP(B726,'3.屠宰能力表'!B:B,'3.屠宰能力表'!E:E)</f>
        <v>1370</v>
      </c>
      <c r="E726">
        <f>_xlfn.XLOOKUP(B726,'4.分割能力表'!B:B,'4.分割能力表'!D:D)</f>
        <v>1000</v>
      </c>
      <c r="F726">
        <f>_xlfn.XLOOKUP(B726,'4.分割能力表'!B:B,'4.分割能力表'!E:E)</f>
        <v>0</v>
      </c>
      <c r="G726" t="s">
        <v>63</v>
      </c>
      <c r="H726">
        <f>_xlfn.XLOOKUP(G726,系数辅助表!$C:$C,系数辅助表!$D:$D)</f>
        <v>6.1516718317408204E-3</v>
      </c>
      <c r="J726">
        <f t="shared" si="63"/>
        <v>1011.33484913819</v>
      </c>
      <c r="K726">
        <f t="shared" si="60"/>
        <v>1011.33484913819</v>
      </c>
    </row>
    <row r="727" spans="1:11" x14ac:dyDescent="0.3">
      <c r="A727" s="2" t="s">
        <v>34</v>
      </c>
      <c r="B727" t="s">
        <v>179</v>
      </c>
      <c r="C727" t="s">
        <v>180</v>
      </c>
      <c r="D727">
        <f>_xlfn.XLOOKUP(B727,'3.屠宰能力表'!B:B,'3.屠宰能力表'!E:E)</f>
        <v>1370</v>
      </c>
      <c r="E727">
        <f>_xlfn.XLOOKUP(B727,'4.分割能力表'!B:B,'4.分割能力表'!D:D)</f>
        <v>1000</v>
      </c>
      <c r="F727">
        <f>_xlfn.XLOOKUP(B727,'4.分割能力表'!B:B,'4.分割能力表'!E:E)</f>
        <v>0</v>
      </c>
      <c r="G727" t="s">
        <v>64</v>
      </c>
      <c r="H727">
        <f>_xlfn.XLOOKUP(G727,系数辅助表!$C:$C,系数辅助表!$D:$D)</f>
        <v>1.0639112440104599E-3</v>
      </c>
      <c r="J727">
        <f t="shared" si="63"/>
        <v>174.90700851532</v>
      </c>
      <c r="K727">
        <f t="shared" ref="K727:K731" si="64">J727-L727</f>
        <v>174.90700851532</v>
      </c>
    </row>
    <row r="728" spans="1:11" x14ac:dyDescent="0.3">
      <c r="A728" s="2" t="s">
        <v>34</v>
      </c>
      <c r="B728" t="s">
        <v>179</v>
      </c>
      <c r="C728" t="s">
        <v>180</v>
      </c>
      <c r="D728">
        <f>_xlfn.XLOOKUP(B728,'3.屠宰能力表'!B:B,'3.屠宰能力表'!E:E)</f>
        <v>1370</v>
      </c>
      <c r="E728">
        <f>_xlfn.XLOOKUP(B728,'4.分割能力表'!B:B,'4.分割能力表'!D:D)</f>
        <v>1000</v>
      </c>
      <c r="F728">
        <f>_xlfn.XLOOKUP(B728,'4.分割能力表'!B:B,'4.分割能力表'!E:E)</f>
        <v>0</v>
      </c>
      <c r="G728" t="s">
        <v>65</v>
      </c>
      <c r="H728">
        <f>_xlfn.XLOOKUP(G728,系数辅助表!$C:$C,系数辅助表!$D:$D)</f>
        <v>4.8359602000475603E-4</v>
      </c>
      <c r="J728">
        <f t="shared" si="63"/>
        <v>79.503185688781898</v>
      </c>
      <c r="K728">
        <f t="shared" si="64"/>
        <v>79.503185688781898</v>
      </c>
    </row>
    <row r="729" spans="1:11" x14ac:dyDescent="0.3">
      <c r="A729" s="2" t="s">
        <v>34</v>
      </c>
      <c r="B729" t="s">
        <v>179</v>
      </c>
      <c r="C729" t="s">
        <v>180</v>
      </c>
      <c r="D729">
        <f>_xlfn.XLOOKUP(B729,'3.屠宰能力表'!B:B,'3.屠宰能力表'!E:E)</f>
        <v>1370</v>
      </c>
      <c r="E729">
        <f>_xlfn.XLOOKUP(B729,'4.分割能力表'!B:B,'4.分割能力表'!D:D)</f>
        <v>1000</v>
      </c>
      <c r="F729">
        <f>_xlfn.XLOOKUP(B729,'4.分割能力表'!B:B,'4.分割能力表'!E:E)</f>
        <v>0</v>
      </c>
      <c r="G729" t="s">
        <v>66</v>
      </c>
      <c r="H729">
        <f>_xlfn.XLOOKUP(G729,系数辅助表!$C:$C,系数辅助表!$D:$D)</f>
        <v>1.70951193071681E-3</v>
      </c>
      <c r="J729">
        <f t="shared" si="63"/>
        <v>281.04376140984402</v>
      </c>
      <c r="K729">
        <f t="shared" si="64"/>
        <v>281.04376140984402</v>
      </c>
    </row>
    <row r="730" spans="1:11" x14ac:dyDescent="0.3">
      <c r="A730" s="2" t="s">
        <v>34</v>
      </c>
      <c r="B730" t="s">
        <v>179</v>
      </c>
      <c r="C730" t="s">
        <v>180</v>
      </c>
      <c r="D730">
        <f>_xlfn.XLOOKUP(B730,'3.屠宰能力表'!B:B,'3.屠宰能力表'!E:E)</f>
        <v>1370</v>
      </c>
      <c r="E730">
        <f>_xlfn.XLOOKUP(B730,'4.分割能力表'!B:B,'4.分割能力表'!D:D)</f>
        <v>1000</v>
      </c>
      <c r="F730">
        <f>_xlfn.XLOOKUP(B730,'4.分割能力表'!B:B,'4.分割能力表'!E:E)</f>
        <v>0</v>
      </c>
      <c r="G730" t="s">
        <v>67</v>
      </c>
      <c r="H730">
        <f>_xlfn.XLOOKUP(G730,系数辅助表!$C:$C,系数辅助表!$D:$D)</f>
        <v>0.02</v>
      </c>
      <c r="J730">
        <f t="shared" si="63"/>
        <v>3288</v>
      </c>
      <c r="K730">
        <f t="shared" si="64"/>
        <v>3288</v>
      </c>
    </row>
    <row r="731" spans="1:11" x14ac:dyDescent="0.3">
      <c r="A731" s="2" t="s">
        <v>30</v>
      </c>
      <c r="B731" t="s">
        <v>181</v>
      </c>
      <c r="C731" t="s">
        <v>182</v>
      </c>
      <c r="D731">
        <f>_xlfn.XLOOKUP(B731,'3.屠宰能力表'!B:B,'3.屠宰能力表'!E:E)</f>
        <v>2000</v>
      </c>
      <c r="E731">
        <f>_xlfn.XLOOKUP(B731,'4.分割能力表'!B:B,'4.分割能力表'!D:D)</f>
        <v>700</v>
      </c>
      <c r="F731">
        <f>_xlfn.XLOOKUP(B731,'4.分割能力表'!B:B,'4.分割能力表'!E:E)</f>
        <v>0</v>
      </c>
      <c r="G731" t="s">
        <v>41</v>
      </c>
      <c r="H731">
        <f>_xlfn.XLOOKUP(G731,系数辅助表!$C:$C,系数辅助表!$D:$D)</f>
        <v>0.71499999999999997</v>
      </c>
      <c r="J731">
        <f>(D731-E731)*H731*$D$1</f>
        <v>111540</v>
      </c>
      <c r="K731">
        <f t="shared" si="64"/>
        <v>111540</v>
      </c>
    </row>
    <row r="732" spans="1:11" x14ac:dyDescent="0.3">
      <c r="A732" s="2" t="s">
        <v>30</v>
      </c>
      <c r="B732" t="s">
        <v>181</v>
      </c>
      <c r="C732" t="s">
        <v>182</v>
      </c>
      <c r="D732">
        <f>_xlfn.XLOOKUP(B732,'3.屠宰能力表'!B:B,'3.屠宰能力表'!E:E)</f>
        <v>2000</v>
      </c>
      <c r="E732">
        <f>_xlfn.XLOOKUP(B732,'4.分割能力表'!B:B,'4.分割能力表'!D:D)</f>
        <v>700</v>
      </c>
      <c r="F732">
        <f>_xlfn.XLOOKUP(B732,'4.分割能力表'!B:B,'4.分割能力表'!E:E)</f>
        <v>0</v>
      </c>
      <c r="G732" t="s">
        <v>44</v>
      </c>
      <c r="H732">
        <f>_xlfn.XLOOKUP(G732,系数辅助表!$C:$C,系数辅助表!$D:$D)</f>
        <v>4.3342237679380002E-2</v>
      </c>
      <c r="J732">
        <f>$D732*H732*$D$1</f>
        <v>10402.1370430512</v>
      </c>
      <c r="K732">
        <f t="shared" ref="K732:K795" si="65">J732-L732</f>
        <v>10402.1370430512</v>
      </c>
    </row>
    <row r="733" spans="1:11" x14ac:dyDescent="0.3">
      <c r="A733" s="2" t="s">
        <v>30</v>
      </c>
      <c r="B733" t="s">
        <v>181</v>
      </c>
      <c r="C733" t="s">
        <v>182</v>
      </c>
      <c r="D733">
        <f>_xlfn.XLOOKUP(B733,'3.屠宰能力表'!B:B,'3.屠宰能力表'!E:E)</f>
        <v>2000</v>
      </c>
      <c r="E733">
        <f>_xlfn.XLOOKUP(B733,'4.分割能力表'!B:B,'4.分割能力表'!D:D)</f>
        <v>700</v>
      </c>
      <c r="F733">
        <f>_xlfn.XLOOKUP(B733,'4.分割能力表'!B:B,'4.分割能力表'!E:E)</f>
        <v>0</v>
      </c>
      <c r="G733" t="s">
        <v>46</v>
      </c>
      <c r="H733">
        <f>_xlfn.XLOOKUP(G733,系数辅助表!$C:$C,系数辅助表!$D:$D)</f>
        <v>3.2562132013653599E-4</v>
      </c>
      <c r="J733">
        <f t="shared" ref="J733:J753" si="66">$D733*H733*$D$1</f>
        <v>78.149116832768598</v>
      </c>
      <c r="K733">
        <f t="shared" si="65"/>
        <v>78.149116832768598</v>
      </c>
    </row>
    <row r="734" spans="1:11" x14ac:dyDescent="0.3">
      <c r="A734" s="2" t="s">
        <v>30</v>
      </c>
      <c r="B734" t="s">
        <v>181</v>
      </c>
      <c r="C734" t="s">
        <v>182</v>
      </c>
      <c r="D734">
        <f>_xlfn.XLOOKUP(B734,'3.屠宰能力表'!B:B,'3.屠宰能力表'!E:E)</f>
        <v>2000</v>
      </c>
      <c r="E734">
        <f>_xlfn.XLOOKUP(B734,'4.分割能力表'!B:B,'4.分割能力表'!D:D)</f>
        <v>700</v>
      </c>
      <c r="F734">
        <f>_xlfn.XLOOKUP(B734,'4.分割能力表'!B:B,'4.分割能力表'!E:E)</f>
        <v>0</v>
      </c>
      <c r="G734" t="s">
        <v>47</v>
      </c>
      <c r="H734">
        <f>_xlfn.XLOOKUP(G734,系数辅助表!$C:$C,系数辅助表!$D:$D)</f>
        <v>3.0632398515360198E-3</v>
      </c>
      <c r="J734">
        <f t="shared" si="66"/>
        <v>735.17756436864499</v>
      </c>
      <c r="K734">
        <f t="shared" si="65"/>
        <v>735.17756436864499</v>
      </c>
    </row>
    <row r="735" spans="1:11" x14ac:dyDescent="0.3">
      <c r="A735" s="2" t="s">
        <v>30</v>
      </c>
      <c r="B735" t="s">
        <v>181</v>
      </c>
      <c r="C735" t="s">
        <v>182</v>
      </c>
      <c r="D735">
        <f>_xlfn.XLOOKUP(B735,'3.屠宰能力表'!B:B,'3.屠宰能力表'!E:E)</f>
        <v>2000</v>
      </c>
      <c r="E735">
        <f>_xlfn.XLOOKUP(B735,'4.分割能力表'!B:B,'4.分割能力表'!D:D)</f>
        <v>700</v>
      </c>
      <c r="F735">
        <f>_xlfn.XLOOKUP(B735,'4.分割能力表'!B:B,'4.分割能力表'!E:E)</f>
        <v>0</v>
      </c>
      <c r="G735" t="s">
        <v>48</v>
      </c>
      <c r="H735">
        <f>_xlfn.XLOOKUP(G735,系数辅助表!$C:$C,系数辅助表!$D:$D)</f>
        <v>1.5822796716383002E-2</v>
      </c>
      <c r="J735">
        <f t="shared" si="66"/>
        <v>3797.4712119319202</v>
      </c>
      <c r="K735">
        <f t="shared" si="65"/>
        <v>3797.4712119319202</v>
      </c>
    </row>
    <row r="736" spans="1:11" x14ac:dyDescent="0.3">
      <c r="A736" s="2" t="s">
        <v>30</v>
      </c>
      <c r="B736" t="s">
        <v>181</v>
      </c>
      <c r="C736" t="s">
        <v>182</v>
      </c>
      <c r="D736">
        <f>_xlfn.XLOOKUP(B736,'3.屠宰能力表'!B:B,'3.屠宰能力表'!E:E)</f>
        <v>2000</v>
      </c>
      <c r="E736">
        <f>_xlfn.XLOOKUP(B736,'4.分割能力表'!B:B,'4.分割能力表'!D:D)</f>
        <v>700</v>
      </c>
      <c r="F736">
        <f>_xlfn.XLOOKUP(B736,'4.分割能力表'!B:B,'4.分割能力表'!E:E)</f>
        <v>0</v>
      </c>
      <c r="G736" t="s">
        <v>49</v>
      </c>
      <c r="H736">
        <f>_xlfn.XLOOKUP(G736,系数辅助表!$C:$C,系数辅助表!$D:$D)</f>
        <v>3.0934025412970799E-3</v>
      </c>
      <c r="J736">
        <f t="shared" si="66"/>
        <v>742.41660991129902</v>
      </c>
      <c r="K736">
        <f t="shared" si="65"/>
        <v>742.41660991129902</v>
      </c>
    </row>
    <row r="737" spans="1:11" x14ac:dyDescent="0.3">
      <c r="A737" s="2" t="s">
        <v>30</v>
      </c>
      <c r="B737" t="s">
        <v>181</v>
      </c>
      <c r="C737" t="s">
        <v>182</v>
      </c>
      <c r="D737">
        <f>_xlfn.XLOOKUP(B737,'3.屠宰能力表'!B:B,'3.屠宰能力表'!E:E)</f>
        <v>2000</v>
      </c>
      <c r="E737">
        <f>_xlfn.XLOOKUP(B737,'4.分割能力表'!B:B,'4.分割能力表'!D:D)</f>
        <v>700</v>
      </c>
      <c r="F737">
        <f>_xlfn.XLOOKUP(B737,'4.分割能力表'!B:B,'4.分割能力表'!E:E)</f>
        <v>0</v>
      </c>
      <c r="G737" t="s">
        <v>50</v>
      </c>
      <c r="H737">
        <f>_xlfn.XLOOKUP(G737,系数辅助表!$C:$C,系数辅助表!$D:$D)</f>
        <v>1.08247988845052E-2</v>
      </c>
      <c r="J737">
        <f t="shared" si="66"/>
        <v>2597.9517322812499</v>
      </c>
      <c r="K737">
        <f t="shared" si="65"/>
        <v>2597.9517322812499</v>
      </c>
    </row>
    <row r="738" spans="1:11" x14ac:dyDescent="0.3">
      <c r="A738" s="2" t="s">
        <v>30</v>
      </c>
      <c r="B738" t="s">
        <v>181</v>
      </c>
      <c r="C738" t="s">
        <v>182</v>
      </c>
      <c r="D738">
        <f>_xlfn.XLOOKUP(B738,'3.屠宰能力表'!B:B,'3.屠宰能力表'!E:E)</f>
        <v>2000</v>
      </c>
      <c r="E738">
        <f>_xlfn.XLOOKUP(B738,'4.分割能力表'!B:B,'4.分割能力表'!D:D)</f>
        <v>700</v>
      </c>
      <c r="F738">
        <f>_xlfn.XLOOKUP(B738,'4.分割能力表'!B:B,'4.分割能力表'!E:E)</f>
        <v>0</v>
      </c>
      <c r="G738" t="s">
        <v>51</v>
      </c>
      <c r="H738">
        <f>_xlfn.XLOOKUP(G738,系数辅助表!$C:$C,系数辅助表!$D:$D)</f>
        <v>4.9657251320821601E-3</v>
      </c>
      <c r="J738">
        <f t="shared" si="66"/>
        <v>1191.7740316997199</v>
      </c>
      <c r="K738">
        <f t="shared" si="65"/>
        <v>1191.7740316997199</v>
      </c>
    </row>
    <row r="739" spans="1:11" x14ac:dyDescent="0.3">
      <c r="A739" s="2" t="s">
        <v>30</v>
      </c>
      <c r="B739" t="s">
        <v>181</v>
      </c>
      <c r="C739" t="s">
        <v>182</v>
      </c>
      <c r="D739">
        <f>_xlfn.XLOOKUP(B739,'3.屠宰能力表'!B:B,'3.屠宰能力表'!E:E)</f>
        <v>2000</v>
      </c>
      <c r="E739">
        <f>_xlfn.XLOOKUP(B739,'4.分割能力表'!B:B,'4.分割能力表'!D:D)</f>
        <v>700</v>
      </c>
      <c r="F739">
        <f>_xlfn.XLOOKUP(B739,'4.分割能力表'!B:B,'4.分割能力表'!E:E)</f>
        <v>0</v>
      </c>
      <c r="G739" t="s">
        <v>52</v>
      </c>
      <c r="H739">
        <f>_xlfn.XLOOKUP(G739,系数辅助表!$C:$C,系数辅助表!$D:$D)</f>
        <v>4.1516718317408203E-3</v>
      </c>
      <c r="J739">
        <f t="shared" si="66"/>
        <v>996.40123961779705</v>
      </c>
      <c r="K739">
        <f t="shared" si="65"/>
        <v>996.40123961779705</v>
      </c>
    </row>
    <row r="740" spans="1:11" x14ac:dyDescent="0.3">
      <c r="A740" s="2" t="s">
        <v>30</v>
      </c>
      <c r="B740" t="s">
        <v>181</v>
      </c>
      <c r="C740" t="s">
        <v>182</v>
      </c>
      <c r="D740">
        <f>_xlfn.XLOOKUP(B740,'3.屠宰能力表'!B:B,'3.屠宰能力表'!E:E)</f>
        <v>2000</v>
      </c>
      <c r="E740">
        <f>_xlfn.XLOOKUP(B740,'4.分割能力表'!B:B,'4.分割能力表'!D:D)</f>
        <v>700</v>
      </c>
      <c r="F740">
        <f>_xlfn.XLOOKUP(B740,'4.分割能力表'!B:B,'4.分割能力表'!E:E)</f>
        <v>0</v>
      </c>
      <c r="G740" t="s">
        <v>53</v>
      </c>
      <c r="H740">
        <f>_xlfn.XLOOKUP(G740,系数辅助表!$C:$C,系数辅助表!$D:$D)</f>
        <v>3.6632398515360201E-3</v>
      </c>
      <c r="J740">
        <f t="shared" si="66"/>
        <v>879.17756436864499</v>
      </c>
      <c r="K740">
        <f t="shared" si="65"/>
        <v>879.17756436864499</v>
      </c>
    </row>
    <row r="741" spans="1:11" x14ac:dyDescent="0.3">
      <c r="A741" s="2" t="s">
        <v>30</v>
      </c>
      <c r="B741" t="s">
        <v>181</v>
      </c>
      <c r="C741" t="s">
        <v>182</v>
      </c>
      <c r="D741">
        <f>_xlfn.XLOOKUP(B741,'3.屠宰能力表'!B:B,'3.屠宰能力表'!E:E)</f>
        <v>2000</v>
      </c>
      <c r="E741">
        <f>_xlfn.XLOOKUP(B741,'4.分割能力表'!B:B,'4.分割能力表'!D:D)</f>
        <v>700</v>
      </c>
      <c r="F741">
        <f>_xlfn.XLOOKUP(B741,'4.分割能力表'!B:B,'4.分割能力表'!E:E)</f>
        <v>0</v>
      </c>
      <c r="G741" t="s">
        <v>54</v>
      </c>
      <c r="H741">
        <f>_xlfn.XLOOKUP(G741,系数辅助表!$C:$C,系数辅助表!$D:$D)</f>
        <v>2.68637589112642E-3</v>
      </c>
      <c r="J741">
        <f t="shared" si="66"/>
        <v>644.730213870341</v>
      </c>
      <c r="K741">
        <f t="shared" si="65"/>
        <v>644.730213870341</v>
      </c>
    </row>
    <row r="742" spans="1:11" x14ac:dyDescent="0.3">
      <c r="A742" s="2" t="s">
        <v>30</v>
      </c>
      <c r="B742" t="s">
        <v>181</v>
      </c>
      <c r="C742" t="s">
        <v>182</v>
      </c>
      <c r="D742">
        <f>_xlfn.XLOOKUP(B742,'3.屠宰能力表'!B:B,'3.屠宰能力表'!E:E)</f>
        <v>2000</v>
      </c>
      <c r="E742">
        <f>_xlfn.XLOOKUP(B742,'4.分割能力表'!B:B,'4.分割能力表'!D:D)</f>
        <v>700</v>
      </c>
      <c r="F742">
        <f>_xlfn.XLOOKUP(B742,'4.分割能力表'!B:B,'4.分割能力表'!E:E)</f>
        <v>0</v>
      </c>
      <c r="G742" t="s">
        <v>55</v>
      </c>
      <c r="H742">
        <f>_xlfn.XLOOKUP(G742,系数辅助表!$C:$C,系数辅助表!$D:$D)</f>
        <v>2.9015761200285397E-4</v>
      </c>
      <c r="J742">
        <f t="shared" si="66"/>
        <v>69.637826880684898</v>
      </c>
      <c r="K742">
        <f t="shared" si="65"/>
        <v>69.637826880684898</v>
      </c>
    </row>
    <row r="743" spans="1:11" x14ac:dyDescent="0.3">
      <c r="A743" s="2" t="s">
        <v>30</v>
      </c>
      <c r="B743" t="s">
        <v>181</v>
      </c>
      <c r="C743" t="s">
        <v>182</v>
      </c>
      <c r="D743">
        <f>_xlfn.XLOOKUP(B743,'3.屠宰能力表'!B:B,'3.屠宰能力表'!E:E)</f>
        <v>2000</v>
      </c>
      <c r="E743">
        <f>_xlfn.XLOOKUP(B743,'4.分割能力表'!B:B,'4.分割能力表'!D:D)</f>
        <v>700</v>
      </c>
      <c r="F743">
        <f>_xlfn.XLOOKUP(B743,'4.分割能力表'!B:B,'4.分割能力表'!E:E)</f>
        <v>0</v>
      </c>
      <c r="G743" t="s">
        <v>57</v>
      </c>
      <c r="H743">
        <f>_xlfn.XLOOKUP(G743,系数辅助表!$C:$C,系数辅助表!$D:$D)</f>
        <v>1.0245932755973399E-2</v>
      </c>
      <c r="J743">
        <f t="shared" si="66"/>
        <v>2459.0238614336199</v>
      </c>
      <c r="K743">
        <f t="shared" si="65"/>
        <v>2459.0238614336199</v>
      </c>
    </row>
    <row r="744" spans="1:11" x14ac:dyDescent="0.3">
      <c r="A744" s="2" t="s">
        <v>30</v>
      </c>
      <c r="B744" t="s">
        <v>181</v>
      </c>
      <c r="C744" t="s">
        <v>182</v>
      </c>
      <c r="D744">
        <f>_xlfn.XLOOKUP(B744,'3.屠宰能力表'!B:B,'3.屠宰能力表'!E:E)</f>
        <v>2000</v>
      </c>
      <c r="E744">
        <f>_xlfn.XLOOKUP(B744,'4.分割能力表'!B:B,'4.分割能力表'!D:D)</f>
        <v>700</v>
      </c>
      <c r="F744">
        <f>_xlfn.XLOOKUP(B744,'4.分割能力表'!B:B,'4.分割能力表'!E:E)</f>
        <v>0</v>
      </c>
      <c r="G744" t="s">
        <v>58</v>
      </c>
      <c r="H744">
        <f>_xlfn.XLOOKUP(G744,系数辅助表!$C:$C,系数辅助表!$D:$D)</f>
        <v>1.46005473500993E-2</v>
      </c>
      <c r="J744">
        <f t="shared" si="66"/>
        <v>3504.13136402383</v>
      </c>
      <c r="K744">
        <f t="shared" si="65"/>
        <v>3504.13136402383</v>
      </c>
    </row>
    <row r="745" spans="1:11" x14ac:dyDescent="0.3">
      <c r="A745" s="2" t="s">
        <v>30</v>
      </c>
      <c r="B745" t="s">
        <v>181</v>
      </c>
      <c r="C745" t="s">
        <v>182</v>
      </c>
      <c r="D745">
        <f>_xlfn.XLOOKUP(B745,'3.屠宰能力表'!B:B,'3.屠宰能力表'!E:E)</f>
        <v>2000</v>
      </c>
      <c r="E745">
        <f>_xlfn.XLOOKUP(B745,'4.分割能力表'!B:B,'4.分割能力表'!D:D)</f>
        <v>700</v>
      </c>
      <c r="F745">
        <f>_xlfn.XLOOKUP(B745,'4.分割能力表'!B:B,'4.分割能力表'!E:E)</f>
        <v>0</v>
      </c>
      <c r="G745" t="s">
        <v>59</v>
      </c>
      <c r="H745">
        <f>_xlfn.XLOOKUP(G745,系数辅助表!$C:$C,系数辅助表!$D:$D)</f>
        <v>1.4718794556320801E-2</v>
      </c>
      <c r="J745">
        <f t="shared" si="66"/>
        <v>3532.5106935169902</v>
      </c>
      <c r="K745">
        <f t="shared" si="65"/>
        <v>3532.5106935169902</v>
      </c>
    </row>
    <row r="746" spans="1:11" x14ac:dyDescent="0.3">
      <c r="A746" s="2" t="s">
        <v>30</v>
      </c>
      <c r="B746" t="s">
        <v>181</v>
      </c>
      <c r="C746" t="s">
        <v>182</v>
      </c>
      <c r="D746">
        <f>_xlfn.XLOOKUP(B746,'3.屠宰能力表'!B:B,'3.屠宰能力表'!E:E)</f>
        <v>2000</v>
      </c>
      <c r="E746">
        <f>_xlfn.XLOOKUP(B746,'4.分割能力表'!B:B,'4.分割能力表'!D:D)</f>
        <v>700</v>
      </c>
      <c r="F746">
        <f>_xlfn.XLOOKUP(B746,'4.分割能力表'!B:B,'4.分割能力表'!E:E)</f>
        <v>0</v>
      </c>
      <c r="G746" t="s">
        <v>60</v>
      </c>
      <c r="H746">
        <f>_xlfn.XLOOKUP(G746,系数辅助表!$C:$C,系数辅助表!$D:$D)</f>
        <v>6.8269088945398003E-3</v>
      </c>
      <c r="J746">
        <f t="shared" si="66"/>
        <v>1638.45813468955</v>
      </c>
      <c r="K746">
        <f t="shared" si="65"/>
        <v>1638.45813468955</v>
      </c>
    </row>
    <row r="747" spans="1:11" x14ac:dyDescent="0.3">
      <c r="A747" s="2" t="s">
        <v>30</v>
      </c>
      <c r="B747" t="s">
        <v>181</v>
      </c>
      <c r="C747" t="s">
        <v>182</v>
      </c>
      <c r="D747">
        <f>_xlfn.XLOOKUP(B747,'3.屠宰能力表'!B:B,'3.屠宰能力表'!E:E)</f>
        <v>2000</v>
      </c>
      <c r="E747">
        <f>_xlfn.XLOOKUP(B747,'4.分割能力表'!B:B,'4.分割能力表'!D:D)</f>
        <v>700</v>
      </c>
      <c r="F747">
        <f>_xlfn.XLOOKUP(B747,'4.分割能力表'!B:B,'4.分割能力表'!E:E)</f>
        <v>0</v>
      </c>
      <c r="G747" t="s">
        <v>61</v>
      </c>
      <c r="H747">
        <f>_xlfn.XLOOKUP(G747,系数辅助表!$C:$C,系数辅助表!$D:$D)</f>
        <v>7.8149116832768404E-3</v>
      </c>
      <c r="J747">
        <f t="shared" si="66"/>
        <v>1875.5788039864401</v>
      </c>
      <c r="K747">
        <f t="shared" si="65"/>
        <v>1875.5788039864401</v>
      </c>
    </row>
    <row r="748" spans="1:11" x14ac:dyDescent="0.3">
      <c r="A748" s="2" t="s">
        <v>30</v>
      </c>
      <c r="B748" t="s">
        <v>181</v>
      </c>
      <c r="C748" t="s">
        <v>182</v>
      </c>
      <c r="D748">
        <f>_xlfn.XLOOKUP(B748,'3.屠宰能力表'!B:B,'3.屠宰能力表'!E:E)</f>
        <v>2000</v>
      </c>
      <c r="E748">
        <f>_xlfn.XLOOKUP(B748,'4.分割能力表'!B:B,'4.分割能力表'!D:D)</f>
        <v>700</v>
      </c>
      <c r="F748">
        <f>_xlfn.XLOOKUP(B748,'4.分割能力表'!B:B,'4.分割能力表'!E:E)</f>
        <v>0</v>
      </c>
      <c r="G748" t="s">
        <v>62</v>
      </c>
      <c r="H748">
        <f>_xlfn.XLOOKUP(G748,系数辅助表!$C:$C,系数辅助表!$D:$D)</f>
        <v>7.3264797030720401E-3</v>
      </c>
      <c r="J748">
        <f t="shared" si="66"/>
        <v>1758.35512873729</v>
      </c>
      <c r="K748">
        <f t="shared" si="65"/>
        <v>1758.35512873729</v>
      </c>
    </row>
    <row r="749" spans="1:11" x14ac:dyDescent="0.3">
      <c r="A749" s="2" t="s">
        <v>30</v>
      </c>
      <c r="B749" t="s">
        <v>181</v>
      </c>
      <c r="C749" t="s">
        <v>182</v>
      </c>
      <c r="D749">
        <f>_xlfn.XLOOKUP(B749,'3.屠宰能力表'!B:B,'3.屠宰能力表'!E:E)</f>
        <v>2000</v>
      </c>
      <c r="E749">
        <f>_xlfn.XLOOKUP(B749,'4.分割能力表'!B:B,'4.分割能力表'!D:D)</f>
        <v>700</v>
      </c>
      <c r="F749">
        <f>_xlfn.XLOOKUP(B749,'4.分割能力表'!B:B,'4.分割能力表'!E:E)</f>
        <v>0</v>
      </c>
      <c r="G749" t="s">
        <v>63</v>
      </c>
      <c r="H749">
        <f>_xlfn.XLOOKUP(G749,系数辅助表!$C:$C,系数辅助表!$D:$D)</f>
        <v>6.1516718317408204E-3</v>
      </c>
      <c r="J749">
        <f t="shared" si="66"/>
        <v>1476.4012396178</v>
      </c>
      <c r="K749">
        <f t="shared" si="65"/>
        <v>1476.4012396178</v>
      </c>
    </row>
    <row r="750" spans="1:11" x14ac:dyDescent="0.3">
      <c r="A750" s="2" t="s">
        <v>30</v>
      </c>
      <c r="B750" t="s">
        <v>181</v>
      </c>
      <c r="C750" t="s">
        <v>182</v>
      </c>
      <c r="D750">
        <f>_xlfn.XLOOKUP(B750,'3.屠宰能力表'!B:B,'3.屠宰能力表'!E:E)</f>
        <v>2000</v>
      </c>
      <c r="E750">
        <f>_xlfn.XLOOKUP(B750,'4.分割能力表'!B:B,'4.分割能力表'!D:D)</f>
        <v>700</v>
      </c>
      <c r="F750">
        <f>_xlfn.XLOOKUP(B750,'4.分割能力表'!B:B,'4.分割能力表'!E:E)</f>
        <v>0</v>
      </c>
      <c r="G750" t="s">
        <v>64</v>
      </c>
      <c r="H750">
        <f>_xlfn.XLOOKUP(G750,系数辅助表!$C:$C,系数辅助表!$D:$D)</f>
        <v>1.0639112440104599E-3</v>
      </c>
      <c r="J750">
        <f t="shared" si="66"/>
        <v>255.33869856250999</v>
      </c>
      <c r="K750">
        <f t="shared" si="65"/>
        <v>255.33869856250999</v>
      </c>
    </row>
    <row r="751" spans="1:11" x14ac:dyDescent="0.3">
      <c r="A751" s="2" t="s">
        <v>30</v>
      </c>
      <c r="B751" t="s">
        <v>181</v>
      </c>
      <c r="C751" t="s">
        <v>182</v>
      </c>
      <c r="D751">
        <f>_xlfn.XLOOKUP(B751,'3.屠宰能力表'!B:B,'3.屠宰能力表'!E:E)</f>
        <v>2000</v>
      </c>
      <c r="E751">
        <f>_xlfn.XLOOKUP(B751,'4.分割能力表'!B:B,'4.分割能力表'!D:D)</f>
        <v>700</v>
      </c>
      <c r="F751">
        <f>_xlfn.XLOOKUP(B751,'4.分割能力表'!B:B,'4.分割能力表'!E:E)</f>
        <v>0</v>
      </c>
      <c r="G751" t="s">
        <v>65</v>
      </c>
      <c r="H751">
        <f>_xlfn.XLOOKUP(G751,系数辅助表!$C:$C,系数辅助表!$D:$D)</f>
        <v>4.8359602000475603E-4</v>
      </c>
      <c r="J751">
        <f t="shared" si="66"/>
        <v>116.063044801141</v>
      </c>
      <c r="K751">
        <f t="shared" si="65"/>
        <v>116.063044801141</v>
      </c>
    </row>
    <row r="752" spans="1:11" x14ac:dyDescent="0.3">
      <c r="A752" s="2" t="s">
        <v>30</v>
      </c>
      <c r="B752" t="s">
        <v>181</v>
      </c>
      <c r="C752" t="s">
        <v>182</v>
      </c>
      <c r="D752">
        <f>_xlfn.XLOOKUP(B752,'3.屠宰能力表'!B:B,'3.屠宰能力表'!E:E)</f>
        <v>2000</v>
      </c>
      <c r="E752">
        <f>_xlfn.XLOOKUP(B752,'4.分割能力表'!B:B,'4.分割能力表'!D:D)</f>
        <v>700</v>
      </c>
      <c r="F752">
        <f>_xlfn.XLOOKUP(B752,'4.分割能力表'!B:B,'4.分割能力表'!E:E)</f>
        <v>0</v>
      </c>
      <c r="G752" t="s">
        <v>66</v>
      </c>
      <c r="H752">
        <f>_xlfn.XLOOKUP(G752,系数辅助表!$C:$C,系数辅助表!$D:$D)</f>
        <v>1.70951193071681E-3</v>
      </c>
      <c r="J752">
        <f t="shared" si="66"/>
        <v>410.282863372034</v>
      </c>
      <c r="K752">
        <f t="shared" si="65"/>
        <v>410.282863372034</v>
      </c>
    </row>
    <row r="753" spans="1:11" x14ac:dyDescent="0.3">
      <c r="A753" s="2" t="s">
        <v>30</v>
      </c>
      <c r="B753" t="s">
        <v>181</v>
      </c>
      <c r="C753" t="s">
        <v>182</v>
      </c>
      <c r="D753">
        <f>_xlfn.XLOOKUP(B753,'3.屠宰能力表'!B:B,'3.屠宰能力表'!E:E)</f>
        <v>2000</v>
      </c>
      <c r="E753">
        <f>_xlfn.XLOOKUP(B753,'4.分割能力表'!B:B,'4.分割能力表'!D:D)</f>
        <v>700</v>
      </c>
      <c r="F753">
        <f>_xlfn.XLOOKUP(B753,'4.分割能力表'!B:B,'4.分割能力表'!E:E)</f>
        <v>0</v>
      </c>
      <c r="G753" t="s">
        <v>67</v>
      </c>
      <c r="H753">
        <f>_xlfn.XLOOKUP(G753,系数辅助表!$C:$C,系数辅助表!$D:$D)</f>
        <v>0.02</v>
      </c>
      <c r="J753">
        <f t="shared" si="66"/>
        <v>4800</v>
      </c>
      <c r="K753">
        <f t="shared" si="65"/>
        <v>4800</v>
      </c>
    </row>
    <row r="754" spans="1:11" x14ac:dyDescent="0.3">
      <c r="A754" s="2" t="s">
        <v>22</v>
      </c>
      <c r="B754" t="s">
        <v>183</v>
      </c>
      <c r="C754" t="s">
        <v>184</v>
      </c>
      <c r="D754">
        <f>_xlfn.XLOOKUP(B754,'3.屠宰能力表'!B:B,'3.屠宰能力表'!E:E)</f>
        <v>1000</v>
      </c>
      <c r="E754">
        <f>_xlfn.XLOOKUP(B754,'4.分割能力表'!B:B,'4.分割能力表'!D:D)</f>
        <v>200</v>
      </c>
      <c r="F754">
        <f>_xlfn.XLOOKUP(B754,'4.分割能力表'!B:B,'4.分割能力表'!E:E)</f>
        <v>0</v>
      </c>
      <c r="G754" t="s">
        <v>41</v>
      </c>
      <c r="H754">
        <f>_xlfn.XLOOKUP(G754,系数辅助表!$C:$C,系数辅助表!$D:$D)</f>
        <v>0.71499999999999997</v>
      </c>
      <c r="J754">
        <f>(D754-E754)*H754*$D$1</f>
        <v>68640</v>
      </c>
      <c r="K754">
        <f t="shared" si="65"/>
        <v>68640</v>
      </c>
    </row>
    <row r="755" spans="1:11" x14ac:dyDescent="0.3">
      <c r="A755" s="2" t="s">
        <v>22</v>
      </c>
      <c r="B755" t="s">
        <v>183</v>
      </c>
      <c r="C755" t="s">
        <v>184</v>
      </c>
      <c r="D755">
        <f>_xlfn.XLOOKUP(B755,'3.屠宰能力表'!B:B,'3.屠宰能力表'!E:E)</f>
        <v>1000</v>
      </c>
      <c r="E755">
        <f>_xlfn.XLOOKUP(B755,'4.分割能力表'!B:B,'4.分割能力表'!D:D)</f>
        <v>200</v>
      </c>
      <c r="F755">
        <f>_xlfn.XLOOKUP(B755,'4.分割能力表'!B:B,'4.分割能力表'!E:E)</f>
        <v>0</v>
      </c>
      <c r="G755" t="s">
        <v>44</v>
      </c>
      <c r="H755">
        <f>_xlfn.XLOOKUP(G755,系数辅助表!$C:$C,系数辅助表!$D:$D)</f>
        <v>4.3342237679380002E-2</v>
      </c>
      <c r="J755">
        <f>$D755*H755*$D$1</f>
        <v>5201.0685215255999</v>
      </c>
      <c r="K755">
        <f t="shared" si="65"/>
        <v>5201.0685215255999</v>
      </c>
    </row>
    <row r="756" spans="1:11" x14ac:dyDescent="0.3">
      <c r="A756" s="2" t="s">
        <v>22</v>
      </c>
      <c r="B756" t="s">
        <v>183</v>
      </c>
      <c r="C756" t="s">
        <v>184</v>
      </c>
      <c r="D756">
        <f>_xlfn.XLOOKUP(B756,'3.屠宰能力表'!B:B,'3.屠宰能力表'!E:E)</f>
        <v>1000</v>
      </c>
      <c r="E756">
        <f>_xlfn.XLOOKUP(B756,'4.分割能力表'!B:B,'4.分割能力表'!D:D)</f>
        <v>200</v>
      </c>
      <c r="F756">
        <f>_xlfn.XLOOKUP(B756,'4.分割能力表'!B:B,'4.分割能力表'!E:E)</f>
        <v>0</v>
      </c>
      <c r="G756" t="s">
        <v>46</v>
      </c>
      <c r="H756">
        <f>_xlfn.XLOOKUP(G756,系数辅助表!$C:$C,系数辅助表!$D:$D)</f>
        <v>3.2562132013653599E-4</v>
      </c>
      <c r="J756">
        <f t="shared" ref="J756:J776" si="67">$D756*H756*$D$1</f>
        <v>39.074558416384299</v>
      </c>
      <c r="K756">
        <f t="shared" si="65"/>
        <v>39.074558416384299</v>
      </c>
    </row>
    <row r="757" spans="1:11" x14ac:dyDescent="0.3">
      <c r="A757" s="2" t="s">
        <v>22</v>
      </c>
      <c r="B757" t="s">
        <v>183</v>
      </c>
      <c r="C757" t="s">
        <v>184</v>
      </c>
      <c r="D757">
        <f>_xlfn.XLOOKUP(B757,'3.屠宰能力表'!B:B,'3.屠宰能力表'!E:E)</f>
        <v>1000</v>
      </c>
      <c r="E757">
        <f>_xlfn.XLOOKUP(B757,'4.分割能力表'!B:B,'4.分割能力表'!D:D)</f>
        <v>200</v>
      </c>
      <c r="F757">
        <f>_xlfn.XLOOKUP(B757,'4.分割能力表'!B:B,'4.分割能力表'!E:E)</f>
        <v>0</v>
      </c>
      <c r="G757" t="s">
        <v>47</v>
      </c>
      <c r="H757">
        <f>_xlfn.XLOOKUP(G757,系数辅助表!$C:$C,系数辅助表!$D:$D)</f>
        <v>3.0632398515360198E-3</v>
      </c>
      <c r="J757">
        <f t="shared" si="67"/>
        <v>367.58878218432199</v>
      </c>
      <c r="K757">
        <f t="shared" si="65"/>
        <v>367.58878218432199</v>
      </c>
    </row>
    <row r="758" spans="1:11" x14ac:dyDescent="0.3">
      <c r="A758" s="2" t="s">
        <v>22</v>
      </c>
      <c r="B758" t="s">
        <v>183</v>
      </c>
      <c r="C758" t="s">
        <v>184</v>
      </c>
      <c r="D758">
        <f>_xlfn.XLOOKUP(B758,'3.屠宰能力表'!B:B,'3.屠宰能力表'!E:E)</f>
        <v>1000</v>
      </c>
      <c r="E758">
        <f>_xlfn.XLOOKUP(B758,'4.分割能力表'!B:B,'4.分割能力表'!D:D)</f>
        <v>200</v>
      </c>
      <c r="F758">
        <f>_xlfn.XLOOKUP(B758,'4.分割能力表'!B:B,'4.分割能力表'!E:E)</f>
        <v>0</v>
      </c>
      <c r="G758" t="s">
        <v>48</v>
      </c>
      <c r="H758">
        <f>_xlfn.XLOOKUP(G758,系数辅助表!$C:$C,系数辅助表!$D:$D)</f>
        <v>1.5822796716383002E-2</v>
      </c>
      <c r="J758">
        <f t="shared" si="67"/>
        <v>1898.7356059659601</v>
      </c>
      <c r="K758">
        <f t="shared" si="65"/>
        <v>1898.7356059659601</v>
      </c>
    </row>
    <row r="759" spans="1:11" x14ac:dyDescent="0.3">
      <c r="A759" s="2" t="s">
        <v>22</v>
      </c>
      <c r="B759" t="s">
        <v>183</v>
      </c>
      <c r="C759" t="s">
        <v>184</v>
      </c>
      <c r="D759">
        <f>_xlfn.XLOOKUP(B759,'3.屠宰能力表'!B:B,'3.屠宰能力表'!E:E)</f>
        <v>1000</v>
      </c>
      <c r="E759">
        <f>_xlfn.XLOOKUP(B759,'4.分割能力表'!B:B,'4.分割能力表'!D:D)</f>
        <v>200</v>
      </c>
      <c r="F759">
        <f>_xlfn.XLOOKUP(B759,'4.分割能力表'!B:B,'4.分割能力表'!E:E)</f>
        <v>0</v>
      </c>
      <c r="G759" t="s">
        <v>49</v>
      </c>
      <c r="H759">
        <f>_xlfn.XLOOKUP(G759,系数辅助表!$C:$C,系数辅助表!$D:$D)</f>
        <v>3.0934025412970799E-3</v>
      </c>
      <c r="J759">
        <f t="shared" si="67"/>
        <v>371.20830495565002</v>
      </c>
      <c r="K759">
        <f t="shared" si="65"/>
        <v>371.20830495565002</v>
      </c>
    </row>
    <row r="760" spans="1:11" x14ac:dyDescent="0.3">
      <c r="A760" s="2" t="s">
        <v>22</v>
      </c>
      <c r="B760" t="s">
        <v>183</v>
      </c>
      <c r="C760" t="s">
        <v>184</v>
      </c>
      <c r="D760">
        <f>_xlfn.XLOOKUP(B760,'3.屠宰能力表'!B:B,'3.屠宰能力表'!E:E)</f>
        <v>1000</v>
      </c>
      <c r="E760">
        <f>_xlfn.XLOOKUP(B760,'4.分割能力表'!B:B,'4.分割能力表'!D:D)</f>
        <v>200</v>
      </c>
      <c r="F760">
        <f>_xlfn.XLOOKUP(B760,'4.分割能力表'!B:B,'4.分割能力表'!E:E)</f>
        <v>0</v>
      </c>
      <c r="G760" t="s">
        <v>50</v>
      </c>
      <c r="H760">
        <f>_xlfn.XLOOKUP(G760,系数辅助表!$C:$C,系数辅助表!$D:$D)</f>
        <v>1.08247988845052E-2</v>
      </c>
      <c r="J760">
        <f t="shared" si="67"/>
        <v>1298.9758661406199</v>
      </c>
      <c r="K760">
        <f t="shared" si="65"/>
        <v>1298.9758661406199</v>
      </c>
    </row>
    <row r="761" spans="1:11" x14ac:dyDescent="0.3">
      <c r="A761" s="2" t="s">
        <v>22</v>
      </c>
      <c r="B761" t="s">
        <v>183</v>
      </c>
      <c r="C761" t="s">
        <v>184</v>
      </c>
      <c r="D761">
        <f>_xlfn.XLOOKUP(B761,'3.屠宰能力表'!B:B,'3.屠宰能力表'!E:E)</f>
        <v>1000</v>
      </c>
      <c r="E761">
        <f>_xlfn.XLOOKUP(B761,'4.分割能力表'!B:B,'4.分割能力表'!D:D)</f>
        <v>200</v>
      </c>
      <c r="F761">
        <f>_xlfn.XLOOKUP(B761,'4.分割能力表'!B:B,'4.分割能力表'!E:E)</f>
        <v>0</v>
      </c>
      <c r="G761" t="s">
        <v>51</v>
      </c>
      <c r="H761">
        <f>_xlfn.XLOOKUP(G761,系数辅助表!$C:$C,系数辅助表!$D:$D)</f>
        <v>4.9657251320821601E-3</v>
      </c>
      <c r="J761">
        <f t="shared" si="67"/>
        <v>595.88701584985904</v>
      </c>
      <c r="K761">
        <f t="shared" si="65"/>
        <v>595.88701584985904</v>
      </c>
    </row>
    <row r="762" spans="1:11" x14ac:dyDescent="0.3">
      <c r="A762" s="2" t="s">
        <v>22</v>
      </c>
      <c r="B762" t="s">
        <v>183</v>
      </c>
      <c r="C762" t="s">
        <v>184</v>
      </c>
      <c r="D762">
        <f>_xlfn.XLOOKUP(B762,'3.屠宰能力表'!B:B,'3.屠宰能力表'!E:E)</f>
        <v>1000</v>
      </c>
      <c r="E762">
        <f>_xlfn.XLOOKUP(B762,'4.分割能力表'!B:B,'4.分割能力表'!D:D)</f>
        <v>200</v>
      </c>
      <c r="F762">
        <f>_xlfn.XLOOKUP(B762,'4.分割能力表'!B:B,'4.分割能力表'!E:E)</f>
        <v>0</v>
      </c>
      <c r="G762" t="s">
        <v>52</v>
      </c>
      <c r="H762">
        <f>_xlfn.XLOOKUP(G762,系数辅助表!$C:$C,系数辅助表!$D:$D)</f>
        <v>4.1516718317408203E-3</v>
      </c>
      <c r="J762">
        <f t="shared" si="67"/>
        <v>498.20061980889801</v>
      </c>
      <c r="K762">
        <f t="shared" si="65"/>
        <v>498.20061980889801</v>
      </c>
    </row>
    <row r="763" spans="1:11" x14ac:dyDescent="0.3">
      <c r="A763" s="2" t="s">
        <v>22</v>
      </c>
      <c r="B763" t="s">
        <v>183</v>
      </c>
      <c r="C763" t="s">
        <v>184</v>
      </c>
      <c r="D763">
        <f>_xlfn.XLOOKUP(B763,'3.屠宰能力表'!B:B,'3.屠宰能力表'!E:E)</f>
        <v>1000</v>
      </c>
      <c r="E763">
        <f>_xlfn.XLOOKUP(B763,'4.分割能力表'!B:B,'4.分割能力表'!D:D)</f>
        <v>200</v>
      </c>
      <c r="F763">
        <f>_xlfn.XLOOKUP(B763,'4.分割能力表'!B:B,'4.分割能力表'!E:E)</f>
        <v>0</v>
      </c>
      <c r="G763" t="s">
        <v>53</v>
      </c>
      <c r="H763">
        <f>_xlfn.XLOOKUP(G763,系数辅助表!$C:$C,系数辅助表!$D:$D)</f>
        <v>3.6632398515360201E-3</v>
      </c>
      <c r="J763">
        <f t="shared" si="67"/>
        <v>439.58878218432199</v>
      </c>
      <c r="K763">
        <f t="shared" si="65"/>
        <v>439.58878218432199</v>
      </c>
    </row>
    <row r="764" spans="1:11" x14ac:dyDescent="0.3">
      <c r="A764" s="2" t="s">
        <v>22</v>
      </c>
      <c r="B764" t="s">
        <v>183</v>
      </c>
      <c r="C764" t="s">
        <v>184</v>
      </c>
      <c r="D764">
        <f>_xlfn.XLOOKUP(B764,'3.屠宰能力表'!B:B,'3.屠宰能力表'!E:E)</f>
        <v>1000</v>
      </c>
      <c r="E764">
        <f>_xlfn.XLOOKUP(B764,'4.分割能力表'!B:B,'4.分割能力表'!D:D)</f>
        <v>200</v>
      </c>
      <c r="F764">
        <f>_xlfn.XLOOKUP(B764,'4.分割能力表'!B:B,'4.分割能力表'!E:E)</f>
        <v>0</v>
      </c>
      <c r="G764" t="s">
        <v>54</v>
      </c>
      <c r="H764">
        <f>_xlfn.XLOOKUP(G764,系数辅助表!$C:$C,系数辅助表!$D:$D)</f>
        <v>2.68637589112642E-3</v>
      </c>
      <c r="J764">
        <f t="shared" si="67"/>
        <v>322.36510693516999</v>
      </c>
      <c r="K764">
        <f t="shared" si="65"/>
        <v>322.36510693516999</v>
      </c>
    </row>
    <row r="765" spans="1:11" x14ac:dyDescent="0.3">
      <c r="A765" s="2" t="s">
        <v>22</v>
      </c>
      <c r="B765" t="s">
        <v>183</v>
      </c>
      <c r="C765" t="s">
        <v>184</v>
      </c>
      <c r="D765">
        <f>_xlfn.XLOOKUP(B765,'3.屠宰能力表'!B:B,'3.屠宰能力表'!E:E)</f>
        <v>1000</v>
      </c>
      <c r="E765">
        <f>_xlfn.XLOOKUP(B765,'4.分割能力表'!B:B,'4.分割能力表'!D:D)</f>
        <v>200</v>
      </c>
      <c r="F765">
        <f>_xlfn.XLOOKUP(B765,'4.分割能力表'!B:B,'4.分割能力表'!E:E)</f>
        <v>0</v>
      </c>
      <c r="G765" t="s">
        <v>55</v>
      </c>
      <c r="H765">
        <f>_xlfn.XLOOKUP(G765,系数辅助表!$C:$C,系数辅助表!$D:$D)</f>
        <v>2.9015761200285397E-4</v>
      </c>
      <c r="J765">
        <f t="shared" si="67"/>
        <v>34.818913440342499</v>
      </c>
      <c r="K765">
        <f t="shared" si="65"/>
        <v>34.818913440342499</v>
      </c>
    </row>
    <row r="766" spans="1:11" x14ac:dyDescent="0.3">
      <c r="A766" s="2" t="s">
        <v>22</v>
      </c>
      <c r="B766" t="s">
        <v>183</v>
      </c>
      <c r="C766" t="s">
        <v>184</v>
      </c>
      <c r="D766">
        <f>_xlfn.XLOOKUP(B766,'3.屠宰能力表'!B:B,'3.屠宰能力表'!E:E)</f>
        <v>1000</v>
      </c>
      <c r="E766">
        <f>_xlfn.XLOOKUP(B766,'4.分割能力表'!B:B,'4.分割能力表'!D:D)</f>
        <v>200</v>
      </c>
      <c r="F766">
        <f>_xlfn.XLOOKUP(B766,'4.分割能力表'!B:B,'4.分割能力表'!E:E)</f>
        <v>0</v>
      </c>
      <c r="G766" t="s">
        <v>57</v>
      </c>
      <c r="H766">
        <f>_xlfn.XLOOKUP(G766,系数辅助表!$C:$C,系数辅助表!$D:$D)</f>
        <v>1.0245932755973399E-2</v>
      </c>
      <c r="J766">
        <f t="shared" si="67"/>
        <v>1229.51193071681</v>
      </c>
      <c r="K766">
        <f t="shared" si="65"/>
        <v>1229.51193071681</v>
      </c>
    </row>
    <row r="767" spans="1:11" x14ac:dyDescent="0.3">
      <c r="A767" s="2" t="s">
        <v>22</v>
      </c>
      <c r="B767" t="s">
        <v>183</v>
      </c>
      <c r="C767" t="s">
        <v>184</v>
      </c>
      <c r="D767">
        <f>_xlfn.XLOOKUP(B767,'3.屠宰能力表'!B:B,'3.屠宰能力表'!E:E)</f>
        <v>1000</v>
      </c>
      <c r="E767">
        <f>_xlfn.XLOOKUP(B767,'4.分割能力表'!B:B,'4.分割能力表'!D:D)</f>
        <v>200</v>
      </c>
      <c r="F767">
        <f>_xlfn.XLOOKUP(B767,'4.分割能力表'!B:B,'4.分割能力表'!E:E)</f>
        <v>0</v>
      </c>
      <c r="G767" t="s">
        <v>58</v>
      </c>
      <c r="H767">
        <f>_xlfn.XLOOKUP(G767,系数辅助表!$C:$C,系数辅助表!$D:$D)</f>
        <v>1.46005473500993E-2</v>
      </c>
      <c r="J767">
        <f t="shared" si="67"/>
        <v>1752.06568201192</v>
      </c>
      <c r="K767">
        <f t="shared" si="65"/>
        <v>1752.06568201192</v>
      </c>
    </row>
    <row r="768" spans="1:11" x14ac:dyDescent="0.3">
      <c r="A768" s="2" t="s">
        <v>22</v>
      </c>
      <c r="B768" t="s">
        <v>183</v>
      </c>
      <c r="C768" t="s">
        <v>184</v>
      </c>
      <c r="D768">
        <f>_xlfn.XLOOKUP(B768,'3.屠宰能力表'!B:B,'3.屠宰能力表'!E:E)</f>
        <v>1000</v>
      </c>
      <c r="E768">
        <f>_xlfn.XLOOKUP(B768,'4.分割能力表'!B:B,'4.分割能力表'!D:D)</f>
        <v>200</v>
      </c>
      <c r="F768">
        <f>_xlfn.XLOOKUP(B768,'4.分割能力表'!B:B,'4.分割能力表'!E:E)</f>
        <v>0</v>
      </c>
      <c r="G768" t="s">
        <v>59</v>
      </c>
      <c r="H768">
        <f>_xlfn.XLOOKUP(G768,系数辅助表!$C:$C,系数辅助表!$D:$D)</f>
        <v>1.4718794556320801E-2</v>
      </c>
      <c r="J768">
        <f t="shared" si="67"/>
        <v>1766.2553467585001</v>
      </c>
      <c r="K768">
        <f t="shared" si="65"/>
        <v>1766.2553467585001</v>
      </c>
    </row>
    <row r="769" spans="1:11" x14ac:dyDescent="0.3">
      <c r="A769" s="2" t="s">
        <v>22</v>
      </c>
      <c r="B769" t="s">
        <v>183</v>
      </c>
      <c r="C769" t="s">
        <v>184</v>
      </c>
      <c r="D769">
        <f>_xlfn.XLOOKUP(B769,'3.屠宰能力表'!B:B,'3.屠宰能力表'!E:E)</f>
        <v>1000</v>
      </c>
      <c r="E769">
        <f>_xlfn.XLOOKUP(B769,'4.分割能力表'!B:B,'4.分割能力表'!D:D)</f>
        <v>200</v>
      </c>
      <c r="F769">
        <f>_xlfn.XLOOKUP(B769,'4.分割能力表'!B:B,'4.分割能力表'!E:E)</f>
        <v>0</v>
      </c>
      <c r="G769" t="s">
        <v>60</v>
      </c>
      <c r="H769">
        <f>_xlfn.XLOOKUP(G769,系数辅助表!$C:$C,系数辅助表!$D:$D)</f>
        <v>6.8269088945398003E-3</v>
      </c>
      <c r="J769">
        <f t="shared" si="67"/>
        <v>819.22906734477601</v>
      </c>
      <c r="K769">
        <f t="shared" si="65"/>
        <v>819.22906734477601</v>
      </c>
    </row>
    <row r="770" spans="1:11" x14ac:dyDescent="0.3">
      <c r="A770" s="2" t="s">
        <v>22</v>
      </c>
      <c r="B770" t="s">
        <v>183</v>
      </c>
      <c r="C770" t="s">
        <v>184</v>
      </c>
      <c r="D770">
        <f>_xlfn.XLOOKUP(B770,'3.屠宰能力表'!B:B,'3.屠宰能力表'!E:E)</f>
        <v>1000</v>
      </c>
      <c r="E770">
        <f>_xlfn.XLOOKUP(B770,'4.分割能力表'!B:B,'4.分割能力表'!D:D)</f>
        <v>200</v>
      </c>
      <c r="F770">
        <f>_xlfn.XLOOKUP(B770,'4.分割能力表'!B:B,'4.分割能力表'!E:E)</f>
        <v>0</v>
      </c>
      <c r="G770" t="s">
        <v>61</v>
      </c>
      <c r="H770">
        <f>_xlfn.XLOOKUP(G770,系数辅助表!$C:$C,系数辅助表!$D:$D)</f>
        <v>7.8149116832768404E-3</v>
      </c>
      <c r="J770">
        <f t="shared" si="67"/>
        <v>937.78940199322096</v>
      </c>
      <c r="K770">
        <f t="shared" si="65"/>
        <v>937.78940199322096</v>
      </c>
    </row>
    <row r="771" spans="1:11" x14ac:dyDescent="0.3">
      <c r="A771" s="2" t="s">
        <v>22</v>
      </c>
      <c r="B771" t="s">
        <v>183</v>
      </c>
      <c r="C771" t="s">
        <v>184</v>
      </c>
      <c r="D771">
        <f>_xlfn.XLOOKUP(B771,'3.屠宰能力表'!B:B,'3.屠宰能力表'!E:E)</f>
        <v>1000</v>
      </c>
      <c r="E771">
        <f>_xlfn.XLOOKUP(B771,'4.分割能力表'!B:B,'4.分割能力表'!D:D)</f>
        <v>200</v>
      </c>
      <c r="F771">
        <f>_xlfn.XLOOKUP(B771,'4.分割能力表'!B:B,'4.分割能力表'!E:E)</f>
        <v>0</v>
      </c>
      <c r="G771" t="s">
        <v>62</v>
      </c>
      <c r="H771">
        <f>_xlfn.XLOOKUP(G771,系数辅助表!$C:$C,系数辅助表!$D:$D)</f>
        <v>7.3264797030720401E-3</v>
      </c>
      <c r="J771">
        <f t="shared" si="67"/>
        <v>879.17756436864499</v>
      </c>
      <c r="K771">
        <f t="shared" si="65"/>
        <v>879.17756436864499</v>
      </c>
    </row>
    <row r="772" spans="1:11" x14ac:dyDescent="0.3">
      <c r="A772" s="2" t="s">
        <v>22</v>
      </c>
      <c r="B772" t="s">
        <v>183</v>
      </c>
      <c r="C772" t="s">
        <v>184</v>
      </c>
      <c r="D772">
        <f>_xlfn.XLOOKUP(B772,'3.屠宰能力表'!B:B,'3.屠宰能力表'!E:E)</f>
        <v>1000</v>
      </c>
      <c r="E772">
        <f>_xlfn.XLOOKUP(B772,'4.分割能力表'!B:B,'4.分割能力表'!D:D)</f>
        <v>200</v>
      </c>
      <c r="F772">
        <f>_xlfn.XLOOKUP(B772,'4.分割能力表'!B:B,'4.分割能力表'!E:E)</f>
        <v>0</v>
      </c>
      <c r="G772" t="s">
        <v>63</v>
      </c>
      <c r="H772">
        <f>_xlfn.XLOOKUP(G772,系数辅助表!$C:$C,系数辅助表!$D:$D)</f>
        <v>6.1516718317408204E-3</v>
      </c>
      <c r="J772">
        <f t="shared" si="67"/>
        <v>738.20061980889795</v>
      </c>
      <c r="K772">
        <f t="shared" si="65"/>
        <v>738.20061980889795</v>
      </c>
    </row>
    <row r="773" spans="1:11" x14ac:dyDescent="0.3">
      <c r="A773" s="2" t="s">
        <v>22</v>
      </c>
      <c r="B773" t="s">
        <v>183</v>
      </c>
      <c r="C773" t="s">
        <v>184</v>
      </c>
      <c r="D773">
        <f>_xlfn.XLOOKUP(B773,'3.屠宰能力表'!B:B,'3.屠宰能力表'!E:E)</f>
        <v>1000</v>
      </c>
      <c r="E773">
        <f>_xlfn.XLOOKUP(B773,'4.分割能力表'!B:B,'4.分割能力表'!D:D)</f>
        <v>200</v>
      </c>
      <c r="F773">
        <f>_xlfn.XLOOKUP(B773,'4.分割能力表'!B:B,'4.分割能力表'!E:E)</f>
        <v>0</v>
      </c>
      <c r="G773" t="s">
        <v>64</v>
      </c>
      <c r="H773">
        <f>_xlfn.XLOOKUP(G773,系数辅助表!$C:$C,系数辅助表!$D:$D)</f>
        <v>1.0639112440104599E-3</v>
      </c>
      <c r="J773">
        <f t="shared" si="67"/>
        <v>127.66934928125499</v>
      </c>
      <c r="K773">
        <f t="shared" si="65"/>
        <v>127.66934928125499</v>
      </c>
    </row>
    <row r="774" spans="1:11" x14ac:dyDescent="0.3">
      <c r="A774" s="2" t="s">
        <v>22</v>
      </c>
      <c r="B774" t="s">
        <v>183</v>
      </c>
      <c r="C774" t="s">
        <v>184</v>
      </c>
      <c r="D774">
        <f>_xlfn.XLOOKUP(B774,'3.屠宰能力表'!B:B,'3.屠宰能力表'!E:E)</f>
        <v>1000</v>
      </c>
      <c r="E774">
        <f>_xlfn.XLOOKUP(B774,'4.分割能力表'!B:B,'4.分割能力表'!D:D)</f>
        <v>200</v>
      </c>
      <c r="F774">
        <f>_xlfn.XLOOKUP(B774,'4.分割能力表'!B:B,'4.分割能力表'!E:E)</f>
        <v>0</v>
      </c>
      <c r="G774" t="s">
        <v>65</v>
      </c>
      <c r="H774">
        <f>_xlfn.XLOOKUP(G774,系数辅助表!$C:$C,系数辅助表!$D:$D)</f>
        <v>4.8359602000475603E-4</v>
      </c>
      <c r="J774">
        <f t="shared" si="67"/>
        <v>58.031522400570701</v>
      </c>
      <c r="K774">
        <f t="shared" si="65"/>
        <v>58.031522400570701</v>
      </c>
    </row>
    <row r="775" spans="1:11" x14ac:dyDescent="0.3">
      <c r="A775" s="2" t="s">
        <v>22</v>
      </c>
      <c r="B775" t="s">
        <v>183</v>
      </c>
      <c r="C775" t="s">
        <v>184</v>
      </c>
      <c r="D775">
        <f>_xlfn.XLOOKUP(B775,'3.屠宰能力表'!B:B,'3.屠宰能力表'!E:E)</f>
        <v>1000</v>
      </c>
      <c r="E775">
        <f>_xlfn.XLOOKUP(B775,'4.分割能力表'!B:B,'4.分割能力表'!D:D)</f>
        <v>200</v>
      </c>
      <c r="F775">
        <f>_xlfn.XLOOKUP(B775,'4.分割能力表'!B:B,'4.分割能力表'!E:E)</f>
        <v>0</v>
      </c>
      <c r="G775" t="s">
        <v>66</v>
      </c>
      <c r="H775">
        <f>_xlfn.XLOOKUP(G775,系数辅助表!$C:$C,系数辅助表!$D:$D)</f>
        <v>1.70951193071681E-3</v>
      </c>
      <c r="J775">
        <f t="shared" si="67"/>
        <v>205.141431686017</v>
      </c>
      <c r="K775">
        <f t="shared" si="65"/>
        <v>205.141431686017</v>
      </c>
    </row>
    <row r="776" spans="1:11" x14ac:dyDescent="0.3">
      <c r="A776" s="2" t="s">
        <v>22</v>
      </c>
      <c r="B776" t="s">
        <v>183</v>
      </c>
      <c r="C776" t="s">
        <v>184</v>
      </c>
      <c r="D776">
        <f>_xlfn.XLOOKUP(B776,'3.屠宰能力表'!B:B,'3.屠宰能力表'!E:E)</f>
        <v>1000</v>
      </c>
      <c r="E776">
        <f>_xlfn.XLOOKUP(B776,'4.分割能力表'!B:B,'4.分割能力表'!D:D)</f>
        <v>200</v>
      </c>
      <c r="F776">
        <f>_xlfn.XLOOKUP(B776,'4.分割能力表'!B:B,'4.分割能力表'!E:E)</f>
        <v>0</v>
      </c>
      <c r="G776" t="s">
        <v>67</v>
      </c>
      <c r="H776">
        <f>_xlfn.XLOOKUP(G776,系数辅助表!$C:$C,系数辅助表!$D:$D)</f>
        <v>0.02</v>
      </c>
      <c r="J776">
        <f t="shared" si="67"/>
        <v>2400</v>
      </c>
      <c r="K776">
        <f t="shared" si="65"/>
        <v>2400</v>
      </c>
    </row>
    <row r="777" spans="1:11" x14ac:dyDescent="0.3">
      <c r="A777" s="2" t="s">
        <v>25</v>
      </c>
      <c r="B777" t="s">
        <v>185</v>
      </c>
      <c r="C777" t="s">
        <v>186</v>
      </c>
      <c r="D777">
        <f>_xlfn.XLOOKUP(B777,'3.屠宰能力表'!B:B,'3.屠宰能力表'!E:E)</f>
        <v>1000</v>
      </c>
      <c r="E777">
        <f>_xlfn.XLOOKUP(B777,'4.分割能力表'!B:B,'4.分割能力表'!D:D)</f>
        <v>500</v>
      </c>
      <c r="F777">
        <f>_xlfn.XLOOKUP(B777,'4.分割能力表'!B:B,'4.分割能力表'!E:E)</f>
        <v>0</v>
      </c>
      <c r="G777" t="s">
        <v>41</v>
      </c>
      <c r="H777">
        <f>_xlfn.XLOOKUP(G777,系数辅助表!$C:$C,系数辅助表!$D:$D)</f>
        <v>0.71499999999999997</v>
      </c>
      <c r="J777">
        <f>(D777-E777)*H777*$D$1</f>
        <v>42900</v>
      </c>
      <c r="K777">
        <f t="shared" si="65"/>
        <v>42900</v>
      </c>
    </row>
    <row r="778" spans="1:11" x14ac:dyDescent="0.3">
      <c r="A778" s="2" t="s">
        <v>25</v>
      </c>
      <c r="B778" t="s">
        <v>185</v>
      </c>
      <c r="C778" t="s">
        <v>186</v>
      </c>
      <c r="D778">
        <f>_xlfn.XLOOKUP(B778,'3.屠宰能力表'!B:B,'3.屠宰能力表'!E:E)</f>
        <v>1000</v>
      </c>
      <c r="E778">
        <f>_xlfn.XLOOKUP(B778,'4.分割能力表'!B:B,'4.分割能力表'!D:D)</f>
        <v>500</v>
      </c>
      <c r="F778">
        <f>_xlfn.XLOOKUP(B778,'4.分割能力表'!B:B,'4.分割能力表'!E:E)</f>
        <v>0</v>
      </c>
      <c r="G778" t="s">
        <v>44</v>
      </c>
      <c r="H778">
        <f>_xlfn.XLOOKUP(G778,系数辅助表!$C:$C,系数辅助表!$D:$D)</f>
        <v>4.3342237679380002E-2</v>
      </c>
      <c r="J778">
        <f>$D778*H778*$D$1</f>
        <v>5201.0685215255999</v>
      </c>
      <c r="K778">
        <f t="shared" si="65"/>
        <v>5201.0685215255999</v>
      </c>
    </row>
    <row r="779" spans="1:11" x14ac:dyDescent="0.3">
      <c r="A779" s="2" t="s">
        <v>25</v>
      </c>
      <c r="B779" t="s">
        <v>185</v>
      </c>
      <c r="C779" t="s">
        <v>186</v>
      </c>
      <c r="D779">
        <f>_xlfn.XLOOKUP(B779,'3.屠宰能力表'!B:B,'3.屠宰能力表'!E:E)</f>
        <v>1000</v>
      </c>
      <c r="E779">
        <f>_xlfn.XLOOKUP(B779,'4.分割能力表'!B:B,'4.分割能力表'!D:D)</f>
        <v>500</v>
      </c>
      <c r="F779">
        <f>_xlfn.XLOOKUP(B779,'4.分割能力表'!B:B,'4.分割能力表'!E:E)</f>
        <v>0</v>
      </c>
      <c r="G779" t="s">
        <v>46</v>
      </c>
      <c r="H779">
        <f>_xlfn.XLOOKUP(G779,系数辅助表!$C:$C,系数辅助表!$D:$D)</f>
        <v>3.2562132013653599E-4</v>
      </c>
      <c r="J779">
        <f t="shared" ref="J779:J799" si="68">$D779*H779*$D$1</f>
        <v>39.074558416384299</v>
      </c>
      <c r="K779">
        <f t="shared" si="65"/>
        <v>39.074558416384299</v>
      </c>
    </row>
    <row r="780" spans="1:11" x14ac:dyDescent="0.3">
      <c r="A780" s="2" t="s">
        <v>25</v>
      </c>
      <c r="B780" t="s">
        <v>185</v>
      </c>
      <c r="C780" t="s">
        <v>186</v>
      </c>
      <c r="D780">
        <f>_xlfn.XLOOKUP(B780,'3.屠宰能力表'!B:B,'3.屠宰能力表'!E:E)</f>
        <v>1000</v>
      </c>
      <c r="E780">
        <f>_xlfn.XLOOKUP(B780,'4.分割能力表'!B:B,'4.分割能力表'!D:D)</f>
        <v>500</v>
      </c>
      <c r="F780">
        <f>_xlfn.XLOOKUP(B780,'4.分割能力表'!B:B,'4.分割能力表'!E:E)</f>
        <v>0</v>
      </c>
      <c r="G780" t="s">
        <v>47</v>
      </c>
      <c r="H780">
        <f>_xlfn.XLOOKUP(G780,系数辅助表!$C:$C,系数辅助表!$D:$D)</f>
        <v>3.0632398515360198E-3</v>
      </c>
      <c r="J780">
        <f t="shared" si="68"/>
        <v>367.58878218432199</v>
      </c>
      <c r="K780">
        <f t="shared" si="65"/>
        <v>367.58878218432199</v>
      </c>
    </row>
    <row r="781" spans="1:11" x14ac:dyDescent="0.3">
      <c r="A781" s="2" t="s">
        <v>25</v>
      </c>
      <c r="B781" t="s">
        <v>185</v>
      </c>
      <c r="C781" t="s">
        <v>186</v>
      </c>
      <c r="D781">
        <f>_xlfn.XLOOKUP(B781,'3.屠宰能力表'!B:B,'3.屠宰能力表'!E:E)</f>
        <v>1000</v>
      </c>
      <c r="E781">
        <f>_xlfn.XLOOKUP(B781,'4.分割能力表'!B:B,'4.分割能力表'!D:D)</f>
        <v>500</v>
      </c>
      <c r="F781">
        <f>_xlfn.XLOOKUP(B781,'4.分割能力表'!B:B,'4.分割能力表'!E:E)</f>
        <v>0</v>
      </c>
      <c r="G781" t="s">
        <v>48</v>
      </c>
      <c r="H781">
        <f>_xlfn.XLOOKUP(G781,系数辅助表!$C:$C,系数辅助表!$D:$D)</f>
        <v>1.5822796716383002E-2</v>
      </c>
      <c r="J781">
        <f t="shared" si="68"/>
        <v>1898.7356059659601</v>
      </c>
      <c r="K781">
        <f t="shared" si="65"/>
        <v>1898.7356059659601</v>
      </c>
    </row>
    <row r="782" spans="1:11" x14ac:dyDescent="0.3">
      <c r="A782" s="2" t="s">
        <v>25</v>
      </c>
      <c r="B782" t="s">
        <v>185</v>
      </c>
      <c r="C782" t="s">
        <v>186</v>
      </c>
      <c r="D782">
        <f>_xlfn.XLOOKUP(B782,'3.屠宰能力表'!B:B,'3.屠宰能力表'!E:E)</f>
        <v>1000</v>
      </c>
      <c r="E782">
        <f>_xlfn.XLOOKUP(B782,'4.分割能力表'!B:B,'4.分割能力表'!D:D)</f>
        <v>500</v>
      </c>
      <c r="F782">
        <f>_xlfn.XLOOKUP(B782,'4.分割能力表'!B:B,'4.分割能力表'!E:E)</f>
        <v>0</v>
      </c>
      <c r="G782" t="s">
        <v>49</v>
      </c>
      <c r="H782">
        <f>_xlfn.XLOOKUP(G782,系数辅助表!$C:$C,系数辅助表!$D:$D)</f>
        <v>3.0934025412970799E-3</v>
      </c>
      <c r="J782">
        <f t="shared" si="68"/>
        <v>371.20830495565002</v>
      </c>
      <c r="K782">
        <f t="shared" si="65"/>
        <v>371.20830495565002</v>
      </c>
    </row>
    <row r="783" spans="1:11" x14ac:dyDescent="0.3">
      <c r="A783" s="2" t="s">
        <v>25</v>
      </c>
      <c r="B783" t="s">
        <v>185</v>
      </c>
      <c r="C783" t="s">
        <v>186</v>
      </c>
      <c r="D783">
        <f>_xlfn.XLOOKUP(B783,'3.屠宰能力表'!B:B,'3.屠宰能力表'!E:E)</f>
        <v>1000</v>
      </c>
      <c r="E783">
        <f>_xlfn.XLOOKUP(B783,'4.分割能力表'!B:B,'4.分割能力表'!D:D)</f>
        <v>500</v>
      </c>
      <c r="F783">
        <f>_xlfn.XLOOKUP(B783,'4.分割能力表'!B:B,'4.分割能力表'!E:E)</f>
        <v>0</v>
      </c>
      <c r="G783" t="s">
        <v>50</v>
      </c>
      <c r="H783">
        <f>_xlfn.XLOOKUP(G783,系数辅助表!$C:$C,系数辅助表!$D:$D)</f>
        <v>1.08247988845052E-2</v>
      </c>
      <c r="J783">
        <f t="shared" si="68"/>
        <v>1298.9758661406199</v>
      </c>
      <c r="K783">
        <f t="shared" si="65"/>
        <v>1298.9758661406199</v>
      </c>
    </row>
    <row r="784" spans="1:11" x14ac:dyDescent="0.3">
      <c r="A784" s="2" t="s">
        <v>25</v>
      </c>
      <c r="B784" t="s">
        <v>185</v>
      </c>
      <c r="C784" t="s">
        <v>186</v>
      </c>
      <c r="D784">
        <f>_xlfn.XLOOKUP(B784,'3.屠宰能力表'!B:B,'3.屠宰能力表'!E:E)</f>
        <v>1000</v>
      </c>
      <c r="E784">
        <f>_xlfn.XLOOKUP(B784,'4.分割能力表'!B:B,'4.分割能力表'!D:D)</f>
        <v>500</v>
      </c>
      <c r="F784">
        <f>_xlfn.XLOOKUP(B784,'4.分割能力表'!B:B,'4.分割能力表'!E:E)</f>
        <v>0</v>
      </c>
      <c r="G784" t="s">
        <v>51</v>
      </c>
      <c r="H784">
        <f>_xlfn.XLOOKUP(G784,系数辅助表!$C:$C,系数辅助表!$D:$D)</f>
        <v>4.9657251320821601E-3</v>
      </c>
      <c r="J784">
        <f t="shared" si="68"/>
        <v>595.88701584985904</v>
      </c>
      <c r="K784">
        <f t="shared" si="65"/>
        <v>595.88701584985904</v>
      </c>
    </row>
    <row r="785" spans="1:11" x14ac:dyDescent="0.3">
      <c r="A785" s="2" t="s">
        <v>25</v>
      </c>
      <c r="B785" t="s">
        <v>185</v>
      </c>
      <c r="C785" t="s">
        <v>186</v>
      </c>
      <c r="D785">
        <f>_xlfn.XLOOKUP(B785,'3.屠宰能力表'!B:B,'3.屠宰能力表'!E:E)</f>
        <v>1000</v>
      </c>
      <c r="E785">
        <f>_xlfn.XLOOKUP(B785,'4.分割能力表'!B:B,'4.分割能力表'!D:D)</f>
        <v>500</v>
      </c>
      <c r="F785">
        <f>_xlfn.XLOOKUP(B785,'4.分割能力表'!B:B,'4.分割能力表'!E:E)</f>
        <v>0</v>
      </c>
      <c r="G785" t="s">
        <v>52</v>
      </c>
      <c r="H785">
        <f>_xlfn.XLOOKUP(G785,系数辅助表!$C:$C,系数辅助表!$D:$D)</f>
        <v>4.1516718317408203E-3</v>
      </c>
      <c r="J785">
        <f t="shared" si="68"/>
        <v>498.20061980889801</v>
      </c>
      <c r="K785">
        <f t="shared" si="65"/>
        <v>498.20061980889801</v>
      </c>
    </row>
    <row r="786" spans="1:11" x14ac:dyDescent="0.3">
      <c r="A786" s="2" t="s">
        <v>25</v>
      </c>
      <c r="B786" t="s">
        <v>185</v>
      </c>
      <c r="C786" t="s">
        <v>186</v>
      </c>
      <c r="D786">
        <f>_xlfn.XLOOKUP(B786,'3.屠宰能力表'!B:B,'3.屠宰能力表'!E:E)</f>
        <v>1000</v>
      </c>
      <c r="E786">
        <f>_xlfn.XLOOKUP(B786,'4.分割能力表'!B:B,'4.分割能力表'!D:D)</f>
        <v>500</v>
      </c>
      <c r="F786">
        <f>_xlfn.XLOOKUP(B786,'4.分割能力表'!B:B,'4.分割能力表'!E:E)</f>
        <v>0</v>
      </c>
      <c r="G786" t="s">
        <v>53</v>
      </c>
      <c r="H786">
        <f>_xlfn.XLOOKUP(G786,系数辅助表!$C:$C,系数辅助表!$D:$D)</f>
        <v>3.6632398515360201E-3</v>
      </c>
      <c r="J786">
        <f t="shared" si="68"/>
        <v>439.58878218432199</v>
      </c>
      <c r="K786">
        <f t="shared" si="65"/>
        <v>439.58878218432199</v>
      </c>
    </row>
    <row r="787" spans="1:11" x14ac:dyDescent="0.3">
      <c r="A787" s="2" t="s">
        <v>25</v>
      </c>
      <c r="B787" t="s">
        <v>185</v>
      </c>
      <c r="C787" t="s">
        <v>186</v>
      </c>
      <c r="D787">
        <f>_xlfn.XLOOKUP(B787,'3.屠宰能力表'!B:B,'3.屠宰能力表'!E:E)</f>
        <v>1000</v>
      </c>
      <c r="E787">
        <f>_xlfn.XLOOKUP(B787,'4.分割能力表'!B:B,'4.分割能力表'!D:D)</f>
        <v>500</v>
      </c>
      <c r="F787">
        <f>_xlfn.XLOOKUP(B787,'4.分割能力表'!B:B,'4.分割能力表'!E:E)</f>
        <v>0</v>
      </c>
      <c r="G787" t="s">
        <v>54</v>
      </c>
      <c r="H787">
        <f>_xlfn.XLOOKUP(G787,系数辅助表!$C:$C,系数辅助表!$D:$D)</f>
        <v>2.68637589112642E-3</v>
      </c>
      <c r="J787">
        <f t="shared" si="68"/>
        <v>322.36510693516999</v>
      </c>
      <c r="K787">
        <f t="shared" si="65"/>
        <v>322.36510693516999</v>
      </c>
    </row>
    <row r="788" spans="1:11" x14ac:dyDescent="0.3">
      <c r="A788" s="2" t="s">
        <v>25</v>
      </c>
      <c r="B788" t="s">
        <v>185</v>
      </c>
      <c r="C788" t="s">
        <v>186</v>
      </c>
      <c r="D788">
        <f>_xlfn.XLOOKUP(B788,'3.屠宰能力表'!B:B,'3.屠宰能力表'!E:E)</f>
        <v>1000</v>
      </c>
      <c r="E788">
        <f>_xlfn.XLOOKUP(B788,'4.分割能力表'!B:B,'4.分割能力表'!D:D)</f>
        <v>500</v>
      </c>
      <c r="F788">
        <f>_xlfn.XLOOKUP(B788,'4.分割能力表'!B:B,'4.分割能力表'!E:E)</f>
        <v>0</v>
      </c>
      <c r="G788" t="s">
        <v>55</v>
      </c>
      <c r="H788">
        <f>_xlfn.XLOOKUP(G788,系数辅助表!$C:$C,系数辅助表!$D:$D)</f>
        <v>2.9015761200285397E-4</v>
      </c>
      <c r="J788">
        <f t="shared" si="68"/>
        <v>34.818913440342499</v>
      </c>
      <c r="K788">
        <f t="shared" si="65"/>
        <v>34.818913440342499</v>
      </c>
    </row>
    <row r="789" spans="1:11" x14ac:dyDescent="0.3">
      <c r="A789" s="2" t="s">
        <v>25</v>
      </c>
      <c r="B789" t="s">
        <v>185</v>
      </c>
      <c r="C789" t="s">
        <v>186</v>
      </c>
      <c r="D789">
        <f>_xlfn.XLOOKUP(B789,'3.屠宰能力表'!B:B,'3.屠宰能力表'!E:E)</f>
        <v>1000</v>
      </c>
      <c r="E789">
        <f>_xlfn.XLOOKUP(B789,'4.分割能力表'!B:B,'4.分割能力表'!D:D)</f>
        <v>500</v>
      </c>
      <c r="F789">
        <f>_xlfn.XLOOKUP(B789,'4.分割能力表'!B:B,'4.分割能力表'!E:E)</f>
        <v>0</v>
      </c>
      <c r="G789" t="s">
        <v>57</v>
      </c>
      <c r="H789">
        <f>_xlfn.XLOOKUP(G789,系数辅助表!$C:$C,系数辅助表!$D:$D)</f>
        <v>1.0245932755973399E-2</v>
      </c>
      <c r="J789">
        <f t="shared" si="68"/>
        <v>1229.51193071681</v>
      </c>
      <c r="K789">
        <f t="shared" si="65"/>
        <v>1229.51193071681</v>
      </c>
    </row>
    <row r="790" spans="1:11" x14ac:dyDescent="0.3">
      <c r="A790" s="2" t="s">
        <v>25</v>
      </c>
      <c r="B790" t="s">
        <v>185</v>
      </c>
      <c r="C790" t="s">
        <v>186</v>
      </c>
      <c r="D790">
        <f>_xlfn.XLOOKUP(B790,'3.屠宰能力表'!B:B,'3.屠宰能力表'!E:E)</f>
        <v>1000</v>
      </c>
      <c r="E790">
        <f>_xlfn.XLOOKUP(B790,'4.分割能力表'!B:B,'4.分割能力表'!D:D)</f>
        <v>500</v>
      </c>
      <c r="F790">
        <f>_xlfn.XLOOKUP(B790,'4.分割能力表'!B:B,'4.分割能力表'!E:E)</f>
        <v>0</v>
      </c>
      <c r="G790" t="s">
        <v>58</v>
      </c>
      <c r="H790">
        <f>_xlfn.XLOOKUP(G790,系数辅助表!$C:$C,系数辅助表!$D:$D)</f>
        <v>1.46005473500993E-2</v>
      </c>
      <c r="J790">
        <f t="shared" si="68"/>
        <v>1752.06568201192</v>
      </c>
      <c r="K790">
        <f t="shared" si="65"/>
        <v>1752.06568201192</v>
      </c>
    </row>
    <row r="791" spans="1:11" x14ac:dyDescent="0.3">
      <c r="A791" s="2" t="s">
        <v>25</v>
      </c>
      <c r="B791" t="s">
        <v>185</v>
      </c>
      <c r="C791" t="s">
        <v>186</v>
      </c>
      <c r="D791">
        <f>_xlfn.XLOOKUP(B791,'3.屠宰能力表'!B:B,'3.屠宰能力表'!E:E)</f>
        <v>1000</v>
      </c>
      <c r="E791">
        <f>_xlfn.XLOOKUP(B791,'4.分割能力表'!B:B,'4.分割能力表'!D:D)</f>
        <v>500</v>
      </c>
      <c r="F791">
        <f>_xlfn.XLOOKUP(B791,'4.分割能力表'!B:B,'4.分割能力表'!E:E)</f>
        <v>0</v>
      </c>
      <c r="G791" t="s">
        <v>59</v>
      </c>
      <c r="H791">
        <f>_xlfn.XLOOKUP(G791,系数辅助表!$C:$C,系数辅助表!$D:$D)</f>
        <v>1.4718794556320801E-2</v>
      </c>
      <c r="J791">
        <f t="shared" si="68"/>
        <v>1766.2553467585001</v>
      </c>
      <c r="K791">
        <f t="shared" si="65"/>
        <v>1766.2553467585001</v>
      </c>
    </row>
    <row r="792" spans="1:11" x14ac:dyDescent="0.3">
      <c r="A792" s="2" t="s">
        <v>25</v>
      </c>
      <c r="B792" t="s">
        <v>185</v>
      </c>
      <c r="C792" t="s">
        <v>186</v>
      </c>
      <c r="D792">
        <f>_xlfn.XLOOKUP(B792,'3.屠宰能力表'!B:B,'3.屠宰能力表'!E:E)</f>
        <v>1000</v>
      </c>
      <c r="E792">
        <f>_xlfn.XLOOKUP(B792,'4.分割能力表'!B:B,'4.分割能力表'!D:D)</f>
        <v>500</v>
      </c>
      <c r="F792">
        <f>_xlfn.XLOOKUP(B792,'4.分割能力表'!B:B,'4.分割能力表'!E:E)</f>
        <v>0</v>
      </c>
      <c r="G792" t="s">
        <v>60</v>
      </c>
      <c r="H792">
        <f>_xlfn.XLOOKUP(G792,系数辅助表!$C:$C,系数辅助表!$D:$D)</f>
        <v>6.8269088945398003E-3</v>
      </c>
      <c r="J792">
        <f t="shared" si="68"/>
        <v>819.22906734477601</v>
      </c>
      <c r="K792">
        <f t="shared" si="65"/>
        <v>819.22906734477601</v>
      </c>
    </row>
    <row r="793" spans="1:11" x14ac:dyDescent="0.3">
      <c r="A793" s="2" t="s">
        <v>25</v>
      </c>
      <c r="B793" t="s">
        <v>185</v>
      </c>
      <c r="C793" t="s">
        <v>186</v>
      </c>
      <c r="D793">
        <f>_xlfn.XLOOKUP(B793,'3.屠宰能力表'!B:B,'3.屠宰能力表'!E:E)</f>
        <v>1000</v>
      </c>
      <c r="E793">
        <f>_xlfn.XLOOKUP(B793,'4.分割能力表'!B:B,'4.分割能力表'!D:D)</f>
        <v>500</v>
      </c>
      <c r="F793">
        <f>_xlfn.XLOOKUP(B793,'4.分割能力表'!B:B,'4.分割能力表'!E:E)</f>
        <v>0</v>
      </c>
      <c r="G793" t="s">
        <v>61</v>
      </c>
      <c r="H793">
        <f>_xlfn.XLOOKUP(G793,系数辅助表!$C:$C,系数辅助表!$D:$D)</f>
        <v>7.8149116832768404E-3</v>
      </c>
      <c r="J793">
        <f t="shared" si="68"/>
        <v>937.78940199322096</v>
      </c>
      <c r="K793">
        <f t="shared" si="65"/>
        <v>937.78940199322096</v>
      </c>
    </row>
    <row r="794" spans="1:11" x14ac:dyDescent="0.3">
      <c r="A794" s="2" t="s">
        <v>25</v>
      </c>
      <c r="B794" t="s">
        <v>185</v>
      </c>
      <c r="C794" t="s">
        <v>186</v>
      </c>
      <c r="D794">
        <f>_xlfn.XLOOKUP(B794,'3.屠宰能力表'!B:B,'3.屠宰能力表'!E:E)</f>
        <v>1000</v>
      </c>
      <c r="E794">
        <f>_xlfn.XLOOKUP(B794,'4.分割能力表'!B:B,'4.分割能力表'!D:D)</f>
        <v>500</v>
      </c>
      <c r="F794">
        <f>_xlfn.XLOOKUP(B794,'4.分割能力表'!B:B,'4.分割能力表'!E:E)</f>
        <v>0</v>
      </c>
      <c r="G794" t="s">
        <v>62</v>
      </c>
      <c r="H794">
        <f>_xlfn.XLOOKUP(G794,系数辅助表!$C:$C,系数辅助表!$D:$D)</f>
        <v>7.3264797030720401E-3</v>
      </c>
      <c r="J794">
        <f t="shared" si="68"/>
        <v>879.17756436864499</v>
      </c>
      <c r="K794">
        <f t="shared" si="65"/>
        <v>879.17756436864499</v>
      </c>
    </row>
    <row r="795" spans="1:11" x14ac:dyDescent="0.3">
      <c r="A795" s="2" t="s">
        <v>25</v>
      </c>
      <c r="B795" t="s">
        <v>185</v>
      </c>
      <c r="C795" t="s">
        <v>186</v>
      </c>
      <c r="D795">
        <f>_xlfn.XLOOKUP(B795,'3.屠宰能力表'!B:B,'3.屠宰能力表'!E:E)</f>
        <v>1000</v>
      </c>
      <c r="E795">
        <f>_xlfn.XLOOKUP(B795,'4.分割能力表'!B:B,'4.分割能力表'!D:D)</f>
        <v>500</v>
      </c>
      <c r="F795">
        <f>_xlfn.XLOOKUP(B795,'4.分割能力表'!B:B,'4.分割能力表'!E:E)</f>
        <v>0</v>
      </c>
      <c r="G795" t="s">
        <v>63</v>
      </c>
      <c r="H795">
        <f>_xlfn.XLOOKUP(G795,系数辅助表!$C:$C,系数辅助表!$D:$D)</f>
        <v>6.1516718317408204E-3</v>
      </c>
      <c r="J795">
        <f t="shared" si="68"/>
        <v>738.20061980889795</v>
      </c>
      <c r="K795">
        <f t="shared" si="65"/>
        <v>738.20061980889795</v>
      </c>
    </row>
    <row r="796" spans="1:11" x14ac:dyDescent="0.3">
      <c r="A796" s="2" t="s">
        <v>25</v>
      </c>
      <c r="B796" t="s">
        <v>185</v>
      </c>
      <c r="C796" t="s">
        <v>186</v>
      </c>
      <c r="D796">
        <f>_xlfn.XLOOKUP(B796,'3.屠宰能力表'!B:B,'3.屠宰能力表'!E:E)</f>
        <v>1000</v>
      </c>
      <c r="E796">
        <f>_xlfn.XLOOKUP(B796,'4.分割能力表'!B:B,'4.分割能力表'!D:D)</f>
        <v>500</v>
      </c>
      <c r="F796">
        <f>_xlfn.XLOOKUP(B796,'4.分割能力表'!B:B,'4.分割能力表'!E:E)</f>
        <v>0</v>
      </c>
      <c r="G796" t="s">
        <v>64</v>
      </c>
      <c r="H796">
        <f>_xlfn.XLOOKUP(G796,系数辅助表!$C:$C,系数辅助表!$D:$D)</f>
        <v>1.0639112440104599E-3</v>
      </c>
      <c r="J796">
        <f t="shared" si="68"/>
        <v>127.66934928125499</v>
      </c>
      <c r="K796">
        <f t="shared" ref="K796:K800" si="69">J796-L796</f>
        <v>127.66934928125499</v>
      </c>
    </row>
    <row r="797" spans="1:11" x14ac:dyDescent="0.3">
      <c r="A797" s="2" t="s">
        <v>25</v>
      </c>
      <c r="B797" t="s">
        <v>185</v>
      </c>
      <c r="C797" t="s">
        <v>186</v>
      </c>
      <c r="D797">
        <f>_xlfn.XLOOKUP(B797,'3.屠宰能力表'!B:B,'3.屠宰能力表'!E:E)</f>
        <v>1000</v>
      </c>
      <c r="E797">
        <f>_xlfn.XLOOKUP(B797,'4.分割能力表'!B:B,'4.分割能力表'!D:D)</f>
        <v>500</v>
      </c>
      <c r="F797">
        <f>_xlfn.XLOOKUP(B797,'4.分割能力表'!B:B,'4.分割能力表'!E:E)</f>
        <v>0</v>
      </c>
      <c r="G797" t="s">
        <v>65</v>
      </c>
      <c r="H797">
        <f>_xlfn.XLOOKUP(G797,系数辅助表!$C:$C,系数辅助表!$D:$D)</f>
        <v>4.8359602000475603E-4</v>
      </c>
      <c r="J797">
        <f t="shared" si="68"/>
        <v>58.031522400570701</v>
      </c>
      <c r="K797">
        <f t="shared" si="69"/>
        <v>58.031522400570701</v>
      </c>
    </row>
    <row r="798" spans="1:11" x14ac:dyDescent="0.3">
      <c r="A798" s="2" t="s">
        <v>25</v>
      </c>
      <c r="B798" t="s">
        <v>185</v>
      </c>
      <c r="C798" t="s">
        <v>186</v>
      </c>
      <c r="D798">
        <f>_xlfn.XLOOKUP(B798,'3.屠宰能力表'!B:B,'3.屠宰能力表'!E:E)</f>
        <v>1000</v>
      </c>
      <c r="E798">
        <f>_xlfn.XLOOKUP(B798,'4.分割能力表'!B:B,'4.分割能力表'!D:D)</f>
        <v>500</v>
      </c>
      <c r="F798">
        <f>_xlfn.XLOOKUP(B798,'4.分割能力表'!B:B,'4.分割能力表'!E:E)</f>
        <v>0</v>
      </c>
      <c r="G798" t="s">
        <v>66</v>
      </c>
      <c r="H798">
        <f>_xlfn.XLOOKUP(G798,系数辅助表!$C:$C,系数辅助表!$D:$D)</f>
        <v>1.70951193071681E-3</v>
      </c>
      <c r="J798">
        <f t="shared" si="68"/>
        <v>205.141431686017</v>
      </c>
      <c r="K798">
        <f t="shared" si="69"/>
        <v>205.141431686017</v>
      </c>
    </row>
    <row r="799" spans="1:11" x14ac:dyDescent="0.3">
      <c r="A799" s="2" t="s">
        <v>25</v>
      </c>
      <c r="B799" t="s">
        <v>185</v>
      </c>
      <c r="C799" t="s">
        <v>186</v>
      </c>
      <c r="D799">
        <f>_xlfn.XLOOKUP(B799,'3.屠宰能力表'!B:B,'3.屠宰能力表'!E:E)</f>
        <v>1000</v>
      </c>
      <c r="E799">
        <f>_xlfn.XLOOKUP(B799,'4.分割能力表'!B:B,'4.分割能力表'!D:D)</f>
        <v>500</v>
      </c>
      <c r="F799">
        <f>_xlfn.XLOOKUP(B799,'4.分割能力表'!B:B,'4.分割能力表'!E:E)</f>
        <v>0</v>
      </c>
      <c r="G799" t="s">
        <v>67</v>
      </c>
      <c r="H799">
        <f>_xlfn.XLOOKUP(G799,系数辅助表!$C:$C,系数辅助表!$D:$D)</f>
        <v>0.02</v>
      </c>
      <c r="J799">
        <f t="shared" si="68"/>
        <v>2400</v>
      </c>
      <c r="K799">
        <f t="shared" si="69"/>
        <v>2400</v>
      </c>
    </row>
    <row r="800" spans="1:11" x14ac:dyDescent="0.3">
      <c r="A800" s="2" t="s">
        <v>21</v>
      </c>
      <c r="B800" t="s">
        <v>187</v>
      </c>
      <c r="C800" t="s">
        <v>188</v>
      </c>
      <c r="D800">
        <f>_xlfn.XLOOKUP(B800,'3.屠宰能力表'!B:B,'3.屠宰能力表'!E:E)</f>
        <v>1500</v>
      </c>
      <c r="E800">
        <f>_xlfn.XLOOKUP(B800,'4.分割能力表'!B:B,'4.分割能力表'!D:D)</f>
        <v>1000</v>
      </c>
      <c r="F800">
        <f>_xlfn.XLOOKUP(B800,'4.分割能力表'!B:B,'4.分割能力表'!E:E)</f>
        <v>0</v>
      </c>
      <c r="G800" t="s">
        <v>41</v>
      </c>
      <c r="H800">
        <f>_xlfn.XLOOKUP(G800,系数辅助表!$C:$C,系数辅助表!$D:$D)</f>
        <v>0.71499999999999997</v>
      </c>
      <c r="J800">
        <f>(D800-E800)*H800*$D$1</f>
        <v>42900</v>
      </c>
      <c r="K800">
        <f t="shared" si="69"/>
        <v>42900</v>
      </c>
    </row>
    <row r="801" spans="1:11" x14ac:dyDescent="0.3">
      <c r="A801" s="2" t="s">
        <v>21</v>
      </c>
      <c r="B801" t="s">
        <v>187</v>
      </c>
      <c r="C801" t="s">
        <v>188</v>
      </c>
      <c r="D801">
        <f>_xlfn.XLOOKUP(B801,'3.屠宰能力表'!B:B,'3.屠宰能力表'!E:E)</f>
        <v>1500</v>
      </c>
      <c r="E801">
        <f>_xlfn.XLOOKUP(B801,'4.分割能力表'!B:B,'4.分割能力表'!D:D)</f>
        <v>1000</v>
      </c>
      <c r="F801">
        <f>_xlfn.XLOOKUP(B801,'4.分割能力表'!B:B,'4.分割能力表'!E:E)</f>
        <v>0</v>
      </c>
      <c r="G801" t="s">
        <v>44</v>
      </c>
      <c r="H801">
        <f>_xlfn.XLOOKUP(G801,系数辅助表!$C:$C,系数辅助表!$D:$D)</f>
        <v>4.3342237679380002E-2</v>
      </c>
      <c r="J801">
        <f>$D801*H801*$D$1</f>
        <v>7801.6027822883998</v>
      </c>
      <c r="K801">
        <f t="shared" ref="K801:K845" si="70">J801-L801</f>
        <v>7801.6027822883998</v>
      </c>
    </row>
    <row r="802" spans="1:11" x14ac:dyDescent="0.3">
      <c r="A802" s="2" t="s">
        <v>21</v>
      </c>
      <c r="B802" t="s">
        <v>187</v>
      </c>
      <c r="C802" t="s">
        <v>188</v>
      </c>
      <c r="D802">
        <f>_xlfn.XLOOKUP(B802,'3.屠宰能力表'!B:B,'3.屠宰能力表'!E:E)</f>
        <v>1500</v>
      </c>
      <c r="E802">
        <f>_xlfn.XLOOKUP(B802,'4.分割能力表'!B:B,'4.分割能力表'!D:D)</f>
        <v>1000</v>
      </c>
      <c r="F802">
        <f>_xlfn.XLOOKUP(B802,'4.分割能力表'!B:B,'4.分割能力表'!E:E)</f>
        <v>0</v>
      </c>
      <c r="G802" t="s">
        <v>46</v>
      </c>
      <c r="H802">
        <f>_xlfn.XLOOKUP(G802,系数辅助表!$C:$C,系数辅助表!$D:$D)</f>
        <v>3.2562132013653599E-4</v>
      </c>
      <c r="J802">
        <f t="shared" ref="J802:J822" si="71">$D802*H802*$D$1</f>
        <v>58.611837624576502</v>
      </c>
      <c r="K802">
        <f t="shared" si="70"/>
        <v>58.611837624576502</v>
      </c>
    </row>
    <row r="803" spans="1:11" x14ac:dyDescent="0.3">
      <c r="A803" s="2" t="s">
        <v>21</v>
      </c>
      <c r="B803" t="s">
        <v>187</v>
      </c>
      <c r="C803" t="s">
        <v>188</v>
      </c>
      <c r="D803">
        <f>_xlfn.XLOOKUP(B803,'3.屠宰能力表'!B:B,'3.屠宰能力表'!E:E)</f>
        <v>1500</v>
      </c>
      <c r="E803">
        <f>_xlfn.XLOOKUP(B803,'4.分割能力表'!B:B,'4.分割能力表'!D:D)</f>
        <v>1000</v>
      </c>
      <c r="F803">
        <f>_xlfn.XLOOKUP(B803,'4.分割能力表'!B:B,'4.分割能力表'!E:E)</f>
        <v>0</v>
      </c>
      <c r="G803" t="s">
        <v>47</v>
      </c>
      <c r="H803">
        <f>_xlfn.XLOOKUP(G803,系数辅助表!$C:$C,系数辅助表!$D:$D)</f>
        <v>3.0632398515360198E-3</v>
      </c>
      <c r="J803">
        <f t="shared" si="71"/>
        <v>551.38317327648394</v>
      </c>
      <c r="K803">
        <f t="shared" si="70"/>
        <v>551.38317327648394</v>
      </c>
    </row>
    <row r="804" spans="1:11" x14ac:dyDescent="0.3">
      <c r="A804" s="2" t="s">
        <v>21</v>
      </c>
      <c r="B804" t="s">
        <v>187</v>
      </c>
      <c r="C804" t="s">
        <v>188</v>
      </c>
      <c r="D804">
        <f>_xlfn.XLOOKUP(B804,'3.屠宰能力表'!B:B,'3.屠宰能力表'!E:E)</f>
        <v>1500</v>
      </c>
      <c r="E804">
        <f>_xlfn.XLOOKUP(B804,'4.分割能力表'!B:B,'4.分割能力表'!D:D)</f>
        <v>1000</v>
      </c>
      <c r="F804">
        <f>_xlfn.XLOOKUP(B804,'4.分割能力表'!B:B,'4.分割能力表'!E:E)</f>
        <v>0</v>
      </c>
      <c r="G804" t="s">
        <v>48</v>
      </c>
      <c r="H804">
        <f>_xlfn.XLOOKUP(G804,系数辅助表!$C:$C,系数辅助表!$D:$D)</f>
        <v>1.5822796716383002E-2</v>
      </c>
      <c r="J804">
        <f t="shared" si="71"/>
        <v>2848.1034089489399</v>
      </c>
      <c r="K804">
        <f t="shared" si="70"/>
        <v>2848.1034089489399</v>
      </c>
    </row>
    <row r="805" spans="1:11" x14ac:dyDescent="0.3">
      <c r="A805" s="2" t="s">
        <v>21</v>
      </c>
      <c r="B805" t="s">
        <v>187</v>
      </c>
      <c r="C805" t="s">
        <v>188</v>
      </c>
      <c r="D805">
        <f>_xlfn.XLOOKUP(B805,'3.屠宰能力表'!B:B,'3.屠宰能力表'!E:E)</f>
        <v>1500</v>
      </c>
      <c r="E805">
        <f>_xlfn.XLOOKUP(B805,'4.分割能力表'!B:B,'4.分割能力表'!D:D)</f>
        <v>1000</v>
      </c>
      <c r="F805">
        <f>_xlfn.XLOOKUP(B805,'4.分割能力表'!B:B,'4.分割能力表'!E:E)</f>
        <v>0</v>
      </c>
      <c r="G805" t="s">
        <v>49</v>
      </c>
      <c r="H805">
        <f>_xlfn.XLOOKUP(G805,系数辅助表!$C:$C,系数辅助表!$D:$D)</f>
        <v>3.0934025412970799E-3</v>
      </c>
      <c r="J805">
        <f t="shared" si="71"/>
        <v>556.81245743347404</v>
      </c>
      <c r="K805">
        <f t="shared" si="70"/>
        <v>556.81245743347404</v>
      </c>
    </row>
    <row r="806" spans="1:11" x14ac:dyDescent="0.3">
      <c r="A806" s="2" t="s">
        <v>21</v>
      </c>
      <c r="B806" t="s">
        <v>187</v>
      </c>
      <c r="C806" t="s">
        <v>188</v>
      </c>
      <c r="D806">
        <f>_xlfn.XLOOKUP(B806,'3.屠宰能力表'!B:B,'3.屠宰能力表'!E:E)</f>
        <v>1500</v>
      </c>
      <c r="E806">
        <f>_xlfn.XLOOKUP(B806,'4.分割能力表'!B:B,'4.分割能力表'!D:D)</f>
        <v>1000</v>
      </c>
      <c r="F806">
        <f>_xlfn.XLOOKUP(B806,'4.分割能力表'!B:B,'4.分割能力表'!E:E)</f>
        <v>0</v>
      </c>
      <c r="G806" t="s">
        <v>50</v>
      </c>
      <c r="H806">
        <f>_xlfn.XLOOKUP(G806,系数辅助表!$C:$C,系数辅助表!$D:$D)</f>
        <v>1.08247988845052E-2</v>
      </c>
      <c r="J806">
        <f t="shared" si="71"/>
        <v>1948.4637992109399</v>
      </c>
      <c r="K806">
        <f t="shared" si="70"/>
        <v>1948.4637992109399</v>
      </c>
    </row>
    <row r="807" spans="1:11" x14ac:dyDescent="0.3">
      <c r="A807" s="2" t="s">
        <v>21</v>
      </c>
      <c r="B807" t="s">
        <v>187</v>
      </c>
      <c r="C807" t="s">
        <v>188</v>
      </c>
      <c r="D807">
        <f>_xlfn.XLOOKUP(B807,'3.屠宰能力表'!B:B,'3.屠宰能力表'!E:E)</f>
        <v>1500</v>
      </c>
      <c r="E807">
        <f>_xlfn.XLOOKUP(B807,'4.分割能力表'!B:B,'4.分割能力表'!D:D)</f>
        <v>1000</v>
      </c>
      <c r="F807">
        <f>_xlfn.XLOOKUP(B807,'4.分割能力表'!B:B,'4.分割能力表'!E:E)</f>
        <v>0</v>
      </c>
      <c r="G807" t="s">
        <v>51</v>
      </c>
      <c r="H807">
        <f>_xlfn.XLOOKUP(G807,系数辅助表!$C:$C,系数辅助表!$D:$D)</f>
        <v>4.9657251320821601E-3</v>
      </c>
      <c r="J807">
        <f t="shared" si="71"/>
        <v>893.83052377478896</v>
      </c>
      <c r="K807">
        <f t="shared" si="70"/>
        <v>893.83052377478896</v>
      </c>
    </row>
    <row r="808" spans="1:11" x14ac:dyDescent="0.3">
      <c r="A808" s="2" t="s">
        <v>21</v>
      </c>
      <c r="B808" t="s">
        <v>187</v>
      </c>
      <c r="C808" t="s">
        <v>188</v>
      </c>
      <c r="D808">
        <f>_xlfn.XLOOKUP(B808,'3.屠宰能力表'!B:B,'3.屠宰能力表'!E:E)</f>
        <v>1500</v>
      </c>
      <c r="E808">
        <f>_xlfn.XLOOKUP(B808,'4.分割能力表'!B:B,'4.分割能力表'!D:D)</f>
        <v>1000</v>
      </c>
      <c r="F808">
        <f>_xlfn.XLOOKUP(B808,'4.分割能力表'!B:B,'4.分割能力表'!E:E)</f>
        <v>0</v>
      </c>
      <c r="G808" t="s">
        <v>52</v>
      </c>
      <c r="H808">
        <f>_xlfn.XLOOKUP(G808,系数辅助表!$C:$C,系数辅助表!$D:$D)</f>
        <v>4.1516718317408203E-3</v>
      </c>
      <c r="J808">
        <f t="shared" si="71"/>
        <v>747.30092971334795</v>
      </c>
      <c r="K808">
        <f t="shared" si="70"/>
        <v>747.30092971334795</v>
      </c>
    </row>
    <row r="809" spans="1:11" x14ac:dyDescent="0.3">
      <c r="A809" s="2" t="s">
        <v>21</v>
      </c>
      <c r="B809" t="s">
        <v>187</v>
      </c>
      <c r="C809" t="s">
        <v>188</v>
      </c>
      <c r="D809">
        <f>_xlfn.XLOOKUP(B809,'3.屠宰能力表'!B:B,'3.屠宰能力表'!E:E)</f>
        <v>1500</v>
      </c>
      <c r="E809">
        <f>_xlfn.XLOOKUP(B809,'4.分割能力表'!B:B,'4.分割能力表'!D:D)</f>
        <v>1000</v>
      </c>
      <c r="F809">
        <f>_xlfn.XLOOKUP(B809,'4.分割能力表'!B:B,'4.分割能力表'!E:E)</f>
        <v>0</v>
      </c>
      <c r="G809" t="s">
        <v>53</v>
      </c>
      <c r="H809">
        <f>_xlfn.XLOOKUP(G809,系数辅助表!$C:$C,系数辅助表!$D:$D)</f>
        <v>3.6632398515360201E-3</v>
      </c>
      <c r="J809">
        <f t="shared" si="71"/>
        <v>659.38317327648394</v>
      </c>
      <c r="K809">
        <f t="shared" si="70"/>
        <v>659.38317327648394</v>
      </c>
    </row>
    <row r="810" spans="1:11" x14ac:dyDescent="0.3">
      <c r="A810" s="2" t="s">
        <v>21</v>
      </c>
      <c r="B810" t="s">
        <v>187</v>
      </c>
      <c r="C810" t="s">
        <v>188</v>
      </c>
      <c r="D810">
        <f>_xlfn.XLOOKUP(B810,'3.屠宰能力表'!B:B,'3.屠宰能力表'!E:E)</f>
        <v>1500</v>
      </c>
      <c r="E810">
        <f>_xlfn.XLOOKUP(B810,'4.分割能力表'!B:B,'4.分割能力表'!D:D)</f>
        <v>1000</v>
      </c>
      <c r="F810">
        <f>_xlfn.XLOOKUP(B810,'4.分割能力表'!B:B,'4.分割能力表'!E:E)</f>
        <v>0</v>
      </c>
      <c r="G810" t="s">
        <v>54</v>
      </c>
      <c r="H810">
        <f>_xlfn.XLOOKUP(G810,系数辅助表!$C:$C,系数辅助表!$D:$D)</f>
        <v>2.68637589112642E-3</v>
      </c>
      <c r="J810">
        <f t="shared" si="71"/>
        <v>483.54766040275598</v>
      </c>
      <c r="K810">
        <f t="shared" si="70"/>
        <v>483.54766040275598</v>
      </c>
    </row>
    <row r="811" spans="1:11" x14ac:dyDescent="0.3">
      <c r="A811" s="2" t="s">
        <v>21</v>
      </c>
      <c r="B811" t="s">
        <v>187</v>
      </c>
      <c r="C811" t="s">
        <v>188</v>
      </c>
      <c r="D811">
        <f>_xlfn.XLOOKUP(B811,'3.屠宰能力表'!B:B,'3.屠宰能力表'!E:E)</f>
        <v>1500</v>
      </c>
      <c r="E811">
        <f>_xlfn.XLOOKUP(B811,'4.分割能力表'!B:B,'4.分割能力表'!D:D)</f>
        <v>1000</v>
      </c>
      <c r="F811">
        <f>_xlfn.XLOOKUP(B811,'4.分割能力表'!B:B,'4.分割能力表'!E:E)</f>
        <v>0</v>
      </c>
      <c r="G811" t="s">
        <v>55</v>
      </c>
      <c r="H811">
        <f>_xlfn.XLOOKUP(G811,系数辅助表!$C:$C,系数辅助表!$D:$D)</f>
        <v>2.9015761200285397E-4</v>
      </c>
      <c r="J811">
        <f t="shared" si="71"/>
        <v>52.228370160513698</v>
      </c>
      <c r="K811">
        <f t="shared" si="70"/>
        <v>52.228370160513698</v>
      </c>
    </row>
    <row r="812" spans="1:11" x14ac:dyDescent="0.3">
      <c r="A812" s="2" t="s">
        <v>21</v>
      </c>
      <c r="B812" t="s">
        <v>187</v>
      </c>
      <c r="C812" t="s">
        <v>188</v>
      </c>
      <c r="D812">
        <f>_xlfn.XLOOKUP(B812,'3.屠宰能力表'!B:B,'3.屠宰能力表'!E:E)</f>
        <v>1500</v>
      </c>
      <c r="E812">
        <f>_xlfn.XLOOKUP(B812,'4.分割能力表'!B:B,'4.分割能力表'!D:D)</f>
        <v>1000</v>
      </c>
      <c r="F812">
        <f>_xlfn.XLOOKUP(B812,'4.分割能力表'!B:B,'4.分割能力表'!E:E)</f>
        <v>0</v>
      </c>
      <c r="G812" t="s">
        <v>57</v>
      </c>
      <c r="H812">
        <f>_xlfn.XLOOKUP(G812,系数辅助表!$C:$C,系数辅助表!$D:$D)</f>
        <v>1.0245932755973399E-2</v>
      </c>
      <c r="J812">
        <f t="shared" si="71"/>
        <v>1844.26789607521</v>
      </c>
      <c r="K812">
        <f t="shared" si="70"/>
        <v>1844.26789607521</v>
      </c>
    </row>
    <row r="813" spans="1:11" x14ac:dyDescent="0.3">
      <c r="A813" s="2" t="s">
        <v>21</v>
      </c>
      <c r="B813" t="s">
        <v>187</v>
      </c>
      <c r="C813" t="s">
        <v>188</v>
      </c>
      <c r="D813">
        <f>_xlfn.XLOOKUP(B813,'3.屠宰能力表'!B:B,'3.屠宰能力表'!E:E)</f>
        <v>1500</v>
      </c>
      <c r="E813">
        <f>_xlfn.XLOOKUP(B813,'4.分割能力表'!B:B,'4.分割能力表'!D:D)</f>
        <v>1000</v>
      </c>
      <c r="F813">
        <f>_xlfn.XLOOKUP(B813,'4.分割能力表'!B:B,'4.分割能力表'!E:E)</f>
        <v>0</v>
      </c>
      <c r="G813" t="s">
        <v>58</v>
      </c>
      <c r="H813">
        <f>_xlfn.XLOOKUP(G813,系数辅助表!$C:$C,系数辅助表!$D:$D)</f>
        <v>1.46005473500993E-2</v>
      </c>
      <c r="J813">
        <f t="shared" si="71"/>
        <v>2628.0985230178699</v>
      </c>
      <c r="K813">
        <f t="shared" si="70"/>
        <v>2628.0985230178699</v>
      </c>
    </row>
    <row r="814" spans="1:11" x14ac:dyDescent="0.3">
      <c r="A814" s="2" t="s">
        <v>21</v>
      </c>
      <c r="B814" t="s">
        <v>187</v>
      </c>
      <c r="C814" t="s">
        <v>188</v>
      </c>
      <c r="D814">
        <f>_xlfn.XLOOKUP(B814,'3.屠宰能力表'!B:B,'3.屠宰能力表'!E:E)</f>
        <v>1500</v>
      </c>
      <c r="E814">
        <f>_xlfn.XLOOKUP(B814,'4.分割能力表'!B:B,'4.分割能力表'!D:D)</f>
        <v>1000</v>
      </c>
      <c r="F814">
        <f>_xlfn.XLOOKUP(B814,'4.分割能力表'!B:B,'4.分割能力表'!E:E)</f>
        <v>0</v>
      </c>
      <c r="G814" t="s">
        <v>59</v>
      </c>
      <c r="H814">
        <f>_xlfn.XLOOKUP(G814,系数辅助表!$C:$C,系数辅助表!$D:$D)</f>
        <v>1.4718794556320801E-2</v>
      </c>
      <c r="J814">
        <f t="shared" si="71"/>
        <v>2649.38302013774</v>
      </c>
      <c r="K814">
        <f t="shared" si="70"/>
        <v>2649.38302013774</v>
      </c>
    </row>
    <row r="815" spans="1:11" x14ac:dyDescent="0.3">
      <c r="A815" s="2" t="s">
        <v>21</v>
      </c>
      <c r="B815" t="s">
        <v>187</v>
      </c>
      <c r="C815" t="s">
        <v>188</v>
      </c>
      <c r="D815">
        <f>_xlfn.XLOOKUP(B815,'3.屠宰能力表'!B:B,'3.屠宰能力表'!E:E)</f>
        <v>1500</v>
      </c>
      <c r="E815">
        <f>_xlfn.XLOOKUP(B815,'4.分割能力表'!B:B,'4.分割能力表'!D:D)</f>
        <v>1000</v>
      </c>
      <c r="F815">
        <f>_xlfn.XLOOKUP(B815,'4.分割能力表'!B:B,'4.分割能力表'!E:E)</f>
        <v>0</v>
      </c>
      <c r="G815" t="s">
        <v>60</v>
      </c>
      <c r="H815">
        <f>_xlfn.XLOOKUP(G815,系数辅助表!$C:$C,系数辅助表!$D:$D)</f>
        <v>6.8269088945398003E-3</v>
      </c>
      <c r="J815">
        <f t="shared" si="71"/>
        <v>1228.8436010171599</v>
      </c>
      <c r="K815">
        <f t="shared" si="70"/>
        <v>1228.8436010171599</v>
      </c>
    </row>
    <row r="816" spans="1:11" x14ac:dyDescent="0.3">
      <c r="A816" s="2" t="s">
        <v>21</v>
      </c>
      <c r="B816" t="s">
        <v>187</v>
      </c>
      <c r="C816" t="s">
        <v>188</v>
      </c>
      <c r="D816">
        <f>_xlfn.XLOOKUP(B816,'3.屠宰能力表'!B:B,'3.屠宰能力表'!E:E)</f>
        <v>1500</v>
      </c>
      <c r="E816">
        <f>_xlfn.XLOOKUP(B816,'4.分割能力表'!B:B,'4.分割能力表'!D:D)</f>
        <v>1000</v>
      </c>
      <c r="F816">
        <f>_xlfn.XLOOKUP(B816,'4.分割能力表'!B:B,'4.分割能力表'!E:E)</f>
        <v>0</v>
      </c>
      <c r="G816" t="s">
        <v>61</v>
      </c>
      <c r="H816">
        <f>_xlfn.XLOOKUP(G816,系数辅助表!$C:$C,系数辅助表!$D:$D)</f>
        <v>7.8149116832768404E-3</v>
      </c>
      <c r="J816">
        <f t="shared" si="71"/>
        <v>1406.6841029898301</v>
      </c>
      <c r="K816">
        <f t="shared" si="70"/>
        <v>1406.6841029898301</v>
      </c>
    </row>
    <row r="817" spans="1:11" x14ac:dyDescent="0.3">
      <c r="A817" s="2" t="s">
        <v>21</v>
      </c>
      <c r="B817" t="s">
        <v>187</v>
      </c>
      <c r="C817" t="s">
        <v>188</v>
      </c>
      <c r="D817">
        <f>_xlfn.XLOOKUP(B817,'3.屠宰能力表'!B:B,'3.屠宰能力表'!E:E)</f>
        <v>1500</v>
      </c>
      <c r="E817">
        <f>_xlfn.XLOOKUP(B817,'4.分割能力表'!B:B,'4.分割能力表'!D:D)</f>
        <v>1000</v>
      </c>
      <c r="F817">
        <f>_xlfn.XLOOKUP(B817,'4.分割能力表'!B:B,'4.分割能力表'!E:E)</f>
        <v>0</v>
      </c>
      <c r="G817" t="s">
        <v>62</v>
      </c>
      <c r="H817">
        <f>_xlfn.XLOOKUP(G817,系数辅助表!$C:$C,系数辅助表!$D:$D)</f>
        <v>7.3264797030720401E-3</v>
      </c>
      <c r="J817">
        <f t="shared" si="71"/>
        <v>1318.7663465529699</v>
      </c>
      <c r="K817">
        <f t="shared" si="70"/>
        <v>1318.7663465529699</v>
      </c>
    </row>
    <row r="818" spans="1:11" x14ac:dyDescent="0.3">
      <c r="A818" s="2" t="s">
        <v>21</v>
      </c>
      <c r="B818" t="s">
        <v>187</v>
      </c>
      <c r="C818" t="s">
        <v>188</v>
      </c>
      <c r="D818">
        <f>_xlfn.XLOOKUP(B818,'3.屠宰能力表'!B:B,'3.屠宰能力表'!E:E)</f>
        <v>1500</v>
      </c>
      <c r="E818">
        <f>_xlfn.XLOOKUP(B818,'4.分割能力表'!B:B,'4.分割能力表'!D:D)</f>
        <v>1000</v>
      </c>
      <c r="F818">
        <f>_xlfn.XLOOKUP(B818,'4.分割能力表'!B:B,'4.分割能力表'!E:E)</f>
        <v>0</v>
      </c>
      <c r="G818" t="s">
        <v>63</v>
      </c>
      <c r="H818">
        <f>_xlfn.XLOOKUP(G818,系数辅助表!$C:$C,系数辅助表!$D:$D)</f>
        <v>6.1516718317408204E-3</v>
      </c>
      <c r="J818">
        <f t="shared" si="71"/>
        <v>1107.3009297133499</v>
      </c>
      <c r="K818">
        <f t="shared" si="70"/>
        <v>1107.3009297133499</v>
      </c>
    </row>
    <row r="819" spans="1:11" x14ac:dyDescent="0.3">
      <c r="A819" s="2" t="s">
        <v>21</v>
      </c>
      <c r="B819" t="s">
        <v>187</v>
      </c>
      <c r="C819" t="s">
        <v>188</v>
      </c>
      <c r="D819">
        <f>_xlfn.XLOOKUP(B819,'3.屠宰能力表'!B:B,'3.屠宰能力表'!E:E)</f>
        <v>1500</v>
      </c>
      <c r="E819">
        <f>_xlfn.XLOOKUP(B819,'4.分割能力表'!B:B,'4.分割能力表'!D:D)</f>
        <v>1000</v>
      </c>
      <c r="F819">
        <f>_xlfn.XLOOKUP(B819,'4.分割能力表'!B:B,'4.分割能力表'!E:E)</f>
        <v>0</v>
      </c>
      <c r="G819" t="s">
        <v>64</v>
      </c>
      <c r="H819">
        <f>_xlfn.XLOOKUP(G819,系数辅助表!$C:$C,系数辅助表!$D:$D)</f>
        <v>1.0639112440104599E-3</v>
      </c>
      <c r="J819">
        <f t="shared" si="71"/>
        <v>191.504023921883</v>
      </c>
      <c r="K819">
        <f t="shared" si="70"/>
        <v>191.504023921883</v>
      </c>
    </row>
    <row r="820" spans="1:11" x14ac:dyDescent="0.3">
      <c r="A820" s="2" t="s">
        <v>21</v>
      </c>
      <c r="B820" t="s">
        <v>187</v>
      </c>
      <c r="C820" t="s">
        <v>188</v>
      </c>
      <c r="D820">
        <f>_xlfn.XLOOKUP(B820,'3.屠宰能力表'!B:B,'3.屠宰能力表'!E:E)</f>
        <v>1500</v>
      </c>
      <c r="E820">
        <f>_xlfn.XLOOKUP(B820,'4.分割能力表'!B:B,'4.分割能力表'!D:D)</f>
        <v>1000</v>
      </c>
      <c r="F820">
        <f>_xlfn.XLOOKUP(B820,'4.分割能力表'!B:B,'4.分割能力表'!E:E)</f>
        <v>0</v>
      </c>
      <c r="G820" t="s">
        <v>65</v>
      </c>
      <c r="H820">
        <f>_xlfn.XLOOKUP(G820,系数辅助表!$C:$C,系数辅助表!$D:$D)</f>
        <v>4.8359602000475603E-4</v>
      </c>
      <c r="J820">
        <f t="shared" si="71"/>
        <v>87.047283600856105</v>
      </c>
      <c r="K820">
        <f t="shared" si="70"/>
        <v>87.047283600856105</v>
      </c>
    </row>
    <row r="821" spans="1:11" x14ac:dyDescent="0.3">
      <c r="A821" s="2" t="s">
        <v>21</v>
      </c>
      <c r="B821" t="s">
        <v>187</v>
      </c>
      <c r="C821" t="s">
        <v>188</v>
      </c>
      <c r="D821">
        <f>_xlfn.XLOOKUP(B821,'3.屠宰能力表'!B:B,'3.屠宰能力表'!E:E)</f>
        <v>1500</v>
      </c>
      <c r="E821">
        <f>_xlfn.XLOOKUP(B821,'4.分割能力表'!B:B,'4.分割能力表'!D:D)</f>
        <v>1000</v>
      </c>
      <c r="F821">
        <f>_xlfn.XLOOKUP(B821,'4.分割能力表'!B:B,'4.分割能力表'!E:E)</f>
        <v>0</v>
      </c>
      <c r="G821" t="s">
        <v>66</v>
      </c>
      <c r="H821">
        <f>_xlfn.XLOOKUP(G821,系数辅助表!$C:$C,系数辅助表!$D:$D)</f>
        <v>1.70951193071681E-3</v>
      </c>
      <c r="J821">
        <f t="shared" si="71"/>
        <v>307.71214752902603</v>
      </c>
      <c r="K821">
        <f t="shared" si="70"/>
        <v>307.71214752902603</v>
      </c>
    </row>
    <row r="822" spans="1:11" x14ac:dyDescent="0.3">
      <c r="A822" s="2" t="s">
        <v>21</v>
      </c>
      <c r="B822" t="s">
        <v>187</v>
      </c>
      <c r="C822" t="s">
        <v>188</v>
      </c>
      <c r="D822">
        <f>_xlfn.XLOOKUP(B822,'3.屠宰能力表'!B:B,'3.屠宰能力表'!E:E)</f>
        <v>1500</v>
      </c>
      <c r="E822">
        <f>_xlfn.XLOOKUP(B822,'4.分割能力表'!B:B,'4.分割能力表'!D:D)</f>
        <v>1000</v>
      </c>
      <c r="F822">
        <f>_xlfn.XLOOKUP(B822,'4.分割能力表'!B:B,'4.分割能力表'!E:E)</f>
        <v>0</v>
      </c>
      <c r="G822" t="s">
        <v>67</v>
      </c>
      <c r="H822">
        <f>_xlfn.XLOOKUP(G822,系数辅助表!$C:$C,系数辅助表!$D:$D)</f>
        <v>0.02</v>
      </c>
      <c r="J822">
        <f t="shared" si="71"/>
        <v>3600</v>
      </c>
      <c r="K822">
        <f t="shared" si="70"/>
        <v>3600</v>
      </c>
    </row>
    <row r="823" spans="1:11" x14ac:dyDescent="0.3">
      <c r="A823" s="2" t="s">
        <v>29</v>
      </c>
      <c r="B823" t="s">
        <v>189</v>
      </c>
      <c r="C823" t="s">
        <v>190</v>
      </c>
      <c r="D823">
        <f>_xlfn.XLOOKUP(B823,'3.屠宰能力表'!B:B,'3.屠宰能力表'!E:E)</f>
        <v>1590</v>
      </c>
      <c r="E823">
        <f>_xlfn.XLOOKUP(B823,'4.分割能力表'!B:B,'4.分割能力表'!D:D)</f>
        <v>0</v>
      </c>
      <c r="F823">
        <f>_xlfn.XLOOKUP(B823,'4.分割能力表'!B:B,'4.分割能力表'!E:E)</f>
        <v>0</v>
      </c>
      <c r="G823" t="s">
        <v>41</v>
      </c>
      <c r="H823">
        <f>_xlfn.XLOOKUP(G823,系数辅助表!$C:$C,系数辅助表!$D:$D)</f>
        <v>0.71499999999999997</v>
      </c>
      <c r="J823">
        <f>(D823-E823)*H823*$D$1</f>
        <v>136422</v>
      </c>
      <c r="K823">
        <f t="shared" si="70"/>
        <v>136422</v>
      </c>
    </row>
    <row r="824" spans="1:11" x14ac:dyDescent="0.3">
      <c r="A824" s="2" t="s">
        <v>29</v>
      </c>
      <c r="B824" t="s">
        <v>189</v>
      </c>
      <c r="C824" t="s">
        <v>190</v>
      </c>
      <c r="D824">
        <f>_xlfn.XLOOKUP(B824,'3.屠宰能力表'!B:B,'3.屠宰能力表'!E:E)</f>
        <v>1590</v>
      </c>
      <c r="E824">
        <f>_xlfn.XLOOKUP(B824,'4.分割能力表'!B:B,'4.分割能力表'!D:D)</f>
        <v>0</v>
      </c>
      <c r="F824">
        <f>_xlfn.XLOOKUP(B824,'4.分割能力表'!B:B,'4.分割能力表'!E:E)</f>
        <v>0</v>
      </c>
      <c r="G824" t="s">
        <v>44</v>
      </c>
      <c r="H824">
        <f>_xlfn.XLOOKUP(G824,系数辅助表!$C:$C,系数辅助表!$D:$D)</f>
        <v>4.3342237679380002E-2</v>
      </c>
      <c r="J824">
        <f>$D824*H824*$D$1</f>
        <v>8269.6989492256998</v>
      </c>
      <c r="K824">
        <f t="shared" si="70"/>
        <v>8269.6989492256998</v>
      </c>
    </row>
    <row r="825" spans="1:11" x14ac:dyDescent="0.3">
      <c r="A825" s="2" t="s">
        <v>29</v>
      </c>
      <c r="B825" t="s">
        <v>189</v>
      </c>
      <c r="C825" t="s">
        <v>190</v>
      </c>
      <c r="D825">
        <f>_xlfn.XLOOKUP(B825,'3.屠宰能力表'!B:B,'3.屠宰能力表'!E:E)</f>
        <v>1590</v>
      </c>
      <c r="E825">
        <f>_xlfn.XLOOKUP(B825,'4.分割能力表'!B:B,'4.分割能力表'!D:D)</f>
        <v>0</v>
      </c>
      <c r="F825">
        <f>_xlfn.XLOOKUP(B825,'4.分割能力表'!B:B,'4.分割能力表'!E:E)</f>
        <v>0</v>
      </c>
      <c r="G825" t="s">
        <v>46</v>
      </c>
      <c r="H825">
        <f>_xlfn.XLOOKUP(G825,系数辅助表!$C:$C,系数辅助表!$D:$D)</f>
        <v>3.2562132013653599E-4</v>
      </c>
      <c r="J825">
        <f t="shared" ref="J825:J845" si="72">$D825*H825*$D$1</f>
        <v>62.128547882051102</v>
      </c>
      <c r="K825">
        <f t="shared" si="70"/>
        <v>62.128547882051102</v>
      </c>
    </row>
    <row r="826" spans="1:11" x14ac:dyDescent="0.3">
      <c r="A826" s="2" t="s">
        <v>29</v>
      </c>
      <c r="B826" t="s">
        <v>189</v>
      </c>
      <c r="C826" t="s">
        <v>190</v>
      </c>
      <c r="D826">
        <f>_xlfn.XLOOKUP(B826,'3.屠宰能力表'!B:B,'3.屠宰能力表'!E:E)</f>
        <v>1590</v>
      </c>
      <c r="E826">
        <f>_xlfn.XLOOKUP(B826,'4.分割能力表'!B:B,'4.分割能力表'!D:D)</f>
        <v>0</v>
      </c>
      <c r="F826">
        <f>_xlfn.XLOOKUP(B826,'4.分割能力表'!B:B,'4.分割能力表'!E:E)</f>
        <v>0</v>
      </c>
      <c r="G826" t="s">
        <v>47</v>
      </c>
      <c r="H826">
        <f>_xlfn.XLOOKUP(G826,系数辅助表!$C:$C,系数辅助表!$D:$D)</f>
        <v>3.0632398515360198E-3</v>
      </c>
      <c r="J826">
        <f t="shared" si="72"/>
        <v>584.46616367307297</v>
      </c>
      <c r="K826">
        <f t="shared" si="70"/>
        <v>584.46616367307297</v>
      </c>
    </row>
    <row r="827" spans="1:11" x14ac:dyDescent="0.3">
      <c r="A827" s="2" t="s">
        <v>29</v>
      </c>
      <c r="B827" t="s">
        <v>189</v>
      </c>
      <c r="C827" t="s">
        <v>190</v>
      </c>
      <c r="D827">
        <f>_xlfn.XLOOKUP(B827,'3.屠宰能力表'!B:B,'3.屠宰能力表'!E:E)</f>
        <v>1590</v>
      </c>
      <c r="E827">
        <f>_xlfn.XLOOKUP(B827,'4.分割能力表'!B:B,'4.分割能力表'!D:D)</f>
        <v>0</v>
      </c>
      <c r="F827">
        <f>_xlfn.XLOOKUP(B827,'4.分割能力表'!B:B,'4.分割能力表'!E:E)</f>
        <v>0</v>
      </c>
      <c r="G827" t="s">
        <v>48</v>
      </c>
      <c r="H827">
        <f>_xlfn.XLOOKUP(G827,系数辅助表!$C:$C,系数辅助表!$D:$D)</f>
        <v>1.5822796716383002E-2</v>
      </c>
      <c r="J827">
        <f t="shared" si="72"/>
        <v>3018.98961348588</v>
      </c>
      <c r="K827">
        <f t="shared" si="70"/>
        <v>3018.98961348588</v>
      </c>
    </row>
    <row r="828" spans="1:11" x14ac:dyDescent="0.3">
      <c r="A828" s="2" t="s">
        <v>29</v>
      </c>
      <c r="B828" t="s">
        <v>189</v>
      </c>
      <c r="C828" t="s">
        <v>190</v>
      </c>
      <c r="D828">
        <f>_xlfn.XLOOKUP(B828,'3.屠宰能力表'!B:B,'3.屠宰能力表'!E:E)</f>
        <v>1590</v>
      </c>
      <c r="E828">
        <f>_xlfn.XLOOKUP(B828,'4.分割能力表'!B:B,'4.分割能力表'!D:D)</f>
        <v>0</v>
      </c>
      <c r="F828">
        <f>_xlfn.XLOOKUP(B828,'4.分割能力表'!B:B,'4.分割能力表'!E:E)</f>
        <v>0</v>
      </c>
      <c r="G828" t="s">
        <v>49</v>
      </c>
      <c r="H828">
        <f>_xlfn.XLOOKUP(G828,系数辅助表!$C:$C,系数辅助表!$D:$D)</f>
        <v>3.0934025412970799E-3</v>
      </c>
      <c r="J828">
        <f t="shared" si="72"/>
        <v>590.22120487948303</v>
      </c>
      <c r="K828">
        <f t="shared" si="70"/>
        <v>590.22120487948303</v>
      </c>
    </row>
    <row r="829" spans="1:11" x14ac:dyDescent="0.3">
      <c r="A829" s="2" t="s">
        <v>29</v>
      </c>
      <c r="B829" t="s">
        <v>189</v>
      </c>
      <c r="C829" t="s">
        <v>190</v>
      </c>
      <c r="D829">
        <f>_xlfn.XLOOKUP(B829,'3.屠宰能力表'!B:B,'3.屠宰能力表'!E:E)</f>
        <v>1590</v>
      </c>
      <c r="E829">
        <f>_xlfn.XLOOKUP(B829,'4.分割能力表'!B:B,'4.分割能力表'!D:D)</f>
        <v>0</v>
      </c>
      <c r="F829">
        <f>_xlfn.XLOOKUP(B829,'4.分割能力表'!B:B,'4.分割能力表'!E:E)</f>
        <v>0</v>
      </c>
      <c r="G829" t="s">
        <v>50</v>
      </c>
      <c r="H829">
        <f>_xlfn.XLOOKUP(G829,系数辅助表!$C:$C,系数辅助表!$D:$D)</f>
        <v>1.08247988845052E-2</v>
      </c>
      <c r="J829">
        <f t="shared" si="72"/>
        <v>2065.3716271635899</v>
      </c>
      <c r="K829">
        <f t="shared" si="70"/>
        <v>2065.3716271635899</v>
      </c>
    </row>
    <row r="830" spans="1:11" x14ac:dyDescent="0.3">
      <c r="A830" s="2" t="s">
        <v>29</v>
      </c>
      <c r="B830" t="s">
        <v>189</v>
      </c>
      <c r="C830" t="s">
        <v>190</v>
      </c>
      <c r="D830">
        <f>_xlfn.XLOOKUP(B830,'3.屠宰能力表'!B:B,'3.屠宰能力表'!E:E)</f>
        <v>1590</v>
      </c>
      <c r="E830">
        <f>_xlfn.XLOOKUP(B830,'4.分割能力表'!B:B,'4.分割能力表'!D:D)</f>
        <v>0</v>
      </c>
      <c r="F830">
        <f>_xlfn.XLOOKUP(B830,'4.分割能力表'!B:B,'4.分割能力表'!E:E)</f>
        <v>0</v>
      </c>
      <c r="G830" t="s">
        <v>51</v>
      </c>
      <c r="H830">
        <f>_xlfn.XLOOKUP(G830,系数辅助表!$C:$C,系数辅助表!$D:$D)</f>
        <v>4.9657251320821601E-3</v>
      </c>
      <c r="J830">
        <f t="shared" si="72"/>
        <v>947.460355201276</v>
      </c>
      <c r="K830">
        <f t="shared" si="70"/>
        <v>947.460355201276</v>
      </c>
    </row>
    <row r="831" spans="1:11" x14ac:dyDescent="0.3">
      <c r="A831" s="2" t="s">
        <v>29</v>
      </c>
      <c r="B831" t="s">
        <v>189</v>
      </c>
      <c r="C831" t="s">
        <v>190</v>
      </c>
      <c r="D831">
        <f>_xlfn.XLOOKUP(B831,'3.屠宰能力表'!B:B,'3.屠宰能力表'!E:E)</f>
        <v>1590</v>
      </c>
      <c r="E831">
        <f>_xlfn.XLOOKUP(B831,'4.分割能力表'!B:B,'4.分割能力表'!D:D)</f>
        <v>0</v>
      </c>
      <c r="F831">
        <f>_xlfn.XLOOKUP(B831,'4.分割能力表'!B:B,'4.分割能力表'!E:E)</f>
        <v>0</v>
      </c>
      <c r="G831" t="s">
        <v>52</v>
      </c>
      <c r="H831">
        <f>_xlfn.XLOOKUP(G831,系数辅助表!$C:$C,系数辅助表!$D:$D)</f>
        <v>4.1516718317408203E-3</v>
      </c>
      <c r="J831">
        <f t="shared" si="72"/>
        <v>792.13898549614896</v>
      </c>
      <c r="K831">
        <f t="shared" si="70"/>
        <v>792.13898549614896</v>
      </c>
    </row>
    <row r="832" spans="1:11" x14ac:dyDescent="0.3">
      <c r="A832" s="2" t="s">
        <v>29</v>
      </c>
      <c r="B832" t="s">
        <v>189</v>
      </c>
      <c r="C832" t="s">
        <v>190</v>
      </c>
      <c r="D832">
        <f>_xlfn.XLOOKUP(B832,'3.屠宰能力表'!B:B,'3.屠宰能力表'!E:E)</f>
        <v>1590</v>
      </c>
      <c r="E832">
        <f>_xlfn.XLOOKUP(B832,'4.分割能力表'!B:B,'4.分割能力表'!D:D)</f>
        <v>0</v>
      </c>
      <c r="F832">
        <f>_xlfn.XLOOKUP(B832,'4.分割能力表'!B:B,'4.分割能力表'!E:E)</f>
        <v>0</v>
      </c>
      <c r="G832" t="s">
        <v>53</v>
      </c>
      <c r="H832">
        <f>_xlfn.XLOOKUP(G832,系数辅助表!$C:$C,系数辅助表!$D:$D)</f>
        <v>3.6632398515360201E-3</v>
      </c>
      <c r="J832">
        <f t="shared" si="72"/>
        <v>698.94616367307299</v>
      </c>
      <c r="K832">
        <f t="shared" si="70"/>
        <v>698.94616367307299</v>
      </c>
    </row>
    <row r="833" spans="1:11" x14ac:dyDescent="0.3">
      <c r="A833" s="2" t="s">
        <v>29</v>
      </c>
      <c r="B833" t="s">
        <v>189</v>
      </c>
      <c r="C833" t="s">
        <v>190</v>
      </c>
      <c r="D833">
        <f>_xlfn.XLOOKUP(B833,'3.屠宰能力表'!B:B,'3.屠宰能力表'!E:E)</f>
        <v>1590</v>
      </c>
      <c r="E833">
        <f>_xlfn.XLOOKUP(B833,'4.分割能力表'!B:B,'4.分割能力表'!D:D)</f>
        <v>0</v>
      </c>
      <c r="F833">
        <f>_xlfn.XLOOKUP(B833,'4.分割能力表'!B:B,'4.分割能力表'!E:E)</f>
        <v>0</v>
      </c>
      <c r="G833" t="s">
        <v>54</v>
      </c>
      <c r="H833">
        <f>_xlfn.XLOOKUP(G833,系数辅助表!$C:$C,系数辅助表!$D:$D)</f>
        <v>2.68637589112642E-3</v>
      </c>
      <c r="J833">
        <f t="shared" si="72"/>
        <v>512.56052002692104</v>
      </c>
      <c r="K833">
        <f t="shared" si="70"/>
        <v>512.56052002692104</v>
      </c>
    </row>
    <row r="834" spans="1:11" x14ac:dyDescent="0.3">
      <c r="A834" s="2" t="s">
        <v>29</v>
      </c>
      <c r="B834" t="s">
        <v>189</v>
      </c>
      <c r="C834" t="s">
        <v>190</v>
      </c>
      <c r="D834">
        <f>_xlfn.XLOOKUP(B834,'3.屠宰能力表'!B:B,'3.屠宰能力表'!E:E)</f>
        <v>1590</v>
      </c>
      <c r="E834">
        <f>_xlfn.XLOOKUP(B834,'4.分割能力表'!B:B,'4.分割能力表'!D:D)</f>
        <v>0</v>
      </c>
      <c r="F834">
        <f>_xlfn.XLOOKUP(B834,'4.分割能力表'!B:B,'4.分割能力表'!E:E)</f>
        <v>0</v>
      </c>
      <c r="G834" t="s">
        <v>55</v>
      </c>
      <c r="H834">
        <f>_xlfn.XLOOKUP(G834,系数辅助表!$C:$C,系数辅助表!$D:$D)</f>
        <v>2.9015761200285397E-4</v>
      </c>
      <c r="J834">
        <f t="shared" si="72"/>
        <v>55.362072370144503</v>
      </c>
      <c r="K834">
        <f t="shared" si="70"/>
        <v>55.362072370144503</v>
      </c>
    </row>
    <row r="835" spans="1:11" x14ac:dyDescent="0.3">
      <c r="A835" s="2" t="s">
        <v>29</v>
      </c>
      <c r="B835" t="s">
        <v>189</v>
      </c>
      <c r="C835" t="s">
        <v>190</v>
      </c>
      <c r="D835">
        <f>_xlfn.XLOOKUP(B835,'3.屠宰能力表'!B:B,'3.屠宰能力表'!E:E)</f>
        <v>1590</v>
      </c>
      <c r="E835">
        <f>_xlfn.XLOOKUP(B835,'4.分割能力表'!B:B,'4.分割能力表'!D:D)</f>
        <v>0</v>
      </c>
      <c r="F835">
        <f>_xlfn.XLOOKUP(B835,'4.分割能力表'!B:B,'4.分割能力表'!E:E)</f>
        <v>0</v>
      </c>
      <c r="G835" t="s">
        <v>57</v>
      </c>
      <c r="H835">
        <f>_xlfn.XLOOKUP(G835,系数辅助表!$C:$C,系数辅助表!$D:$D)</f>
        <v>1.0245932755973399E-2</v>
      </c>
      <c r="J835">
        <f t="shared" si="72"/>
        <v>1954.92396983972</v>
      </c>
      <c r="K835">
        <f t="shared" si="70"/>
        <v>1954.92396983972</v>
      </c>
    </row>
    <row r="836" spans="1:11" x14ac:dyDescent="0.3">
      <c r="A836" s="2" t="s">
        <v>29</v>
      </c>
      <c r="B836" t="s">
        <v>189</v>
      </c>
      <c r="C836" t="s">
        <v>190</v>
      </c>
      <c r="D836">
        <f>_xlfn.XLOOKUP(B836,'3.屠宰能力表'!B:B,'3.屠宰能力表'!E:E)</f>
        <v>1590</v>
      </c>
      <c r="E836">
        <f>_xlfn.XLOOKUP(B836,'4.分割能力表'!B:B,'4.分割能力表'!D:D)</f>
        <v>0</v>
      </c>
      <c r="F836">
        <f>_xlfn.XLOOKUP(B836,'4.分割能力表'!B:B,'4.分割能力表'!E:E)</f>
        <v>0</v>
      </c>
      <c r="G836" t="s">
        <v>58</v>
      </c>
      <c r="H836">
        <f>_xlfn.XLOOKUP(G836,系数辅助表!$C:$C,系数辅助表!$D:$D)</f>
        <v>1.46005473500993E-2</v>
      </c>
      <c r="J836">
        <f t="shared" si="72"/>
        <v>2785.78443439895</v>
      </c>
      <c r="K836">
        <f t="shared" si="70"/>
        <v>2785.78443439895</v>
      </c>
    </row>
    <row r="837" spans="1:11" x14ac:dyDescent="0.3">
      <c r="A837" s="2" t="s">
        <v>29</v>
      </c>
      <c r="B837" t="s">
        <v>189</v>
      </c>
      <c r="C837" t="s">
        <v>190</v>
      </c>
      <c r="D837">
        <f>_xlfn.XLOOKUP(B837,'3.屠宰能力表'!B:B,'3.屠宰能力表'!E:E)</f>
        <v>1590</v>
      </c>
      <c r="E837">
        <f>_xlfn.XLOOKUP(B837,'4.分割能力表'!B:B,'4.分割能力表'!D:D)</f>
        <v>0</v>
      </c>
      <c r="F837">
        <f>_xlfn.XLOOKUP(B837,'4.分割能力表'!B:B,'4.分割能力表'!E:E)</f>
        <v>0</v>
      </c>
      <c r="G837" t="s">
        <v>59</v>
      </c>
      <c r="H837">
        <f>_xlfn.XLOOKUP(G837,系数辅助表!$C:$C,系数辅助表!$D:$D)</f>
        <v>1.4718794556320801E-2</v>
      </c>
      <c r="J837">
        <f t="shared" si="72"/>
        <v>2808.3460013460099</v>
      </c>
      <c r="K837">
        <f t="shared" si="70"/>
        <v>2808.3460013460099</v>
      </c>
    </row>
    <row r="838" spans="1:11" x14ac:dyDescent="0.3">
      <c r="A838" s="2" t="s">
        <v>29</v>
      </c>
      <c r="B838" t="s">
        <v>189</v>
      </c>
      <c r="C838" t="s">
        <v>190</v>
      </c>
      <c r="D838">
        <f>_xlfn.XLOOKUP(B838,'3.屠宰能力表'!B:B,'3.屠宰能力表'!E:E)</f>
        <v>1590</v>
      </c>
      <c r="E838">
        <f>_xlfn.XLOOKUP(B838,'4.分割能力表'!B:B,'4.分割能力表'!D:D)</f>
        <v>0</v>
      </c>
      <c r="F838">
        <f>_xlfn.XLOOKUP(B838,'4.分割能力表'!B:B,'4.分割能力表'!E:E)</f>
        <v>0</v>
      </c>
      <c r="G838" t="s">
        <v>60</v>
      </c>
      <c r="H838">
        <f>_xlfn.XLOOKUP(G838,系数辅助表!$C:$C,系数辅助表!$D:$D)</f>
        <v>6.8269088945398003E-3</v>
      </c>
      <c r="J838">
        <f t="shared" si="72"/>
        <v>1302.57421707819</v>
      </c>
      <c r="K838">
        <f t="shared" si="70"/>
        <v>1302.57421707819</v>
      </c>
    </row>
    <row r="839" spans="1:11" x14ac:dyDescent="0.3">
      <c r="A839" s="2" t="s">
        <v>29</v>
      </c>
      <c r="B839" t="s">
        <v>189</v>
      </c>
      <c r="C839" t="s">
        <v>190</v>
      </c>
      <c r="D839">
        <f>_xlfn.XLOOKUP(B839,'3.屠宰能力表'!B:B,'3.屠宰能力表'!E:E)</f>
        <v>1590</v>
      </c>
      <c r="E839">
        <f>_xlfn.XLOOKUP(B839,'4.分割能力表'!B:B,'4.分割能力表'!D:D)</f>
        <v>0</v>
      </c>
      <c r="F839">
        <f>_xlfn.XLOOKUP(B839,'4.分割能力表'!B:B,'4.分割能力表'!E:E)</f>
        <v>0</v>
      </c>
      <c r="G839" t="s">
        <v>61</v>
      </c>
      <c r="H839">
        <f>_xlfn.XLOOKUP(G839,系数辅助表!$C:$C,系数辅助表!$D:$D)</f>
        <v>7.8149116832768404E-3</v>
      </c>
      <c r="J839">
        <f t="shared" si="72"/>
        <v>1491.0851491692199</v>
      </c>
      <c r="K839">
        <f t="shared" si="70"/>
        <v>1491.0851491692199</v>
      </c>
    </row>
    <row r="840" spans="1:11" x14ac:dyDescent="0.3">
      <c r="A840" s="2" t="s">
        <v>29</v>
      </c>
      <c r="B840" t="s">
        <v>189</v>
      </c>
      <c r="C840" t="s">
        <v>190</v>
      </c>
      <c r="D840">
        <f>_xlfn.XLOOKUP(B840,'3.屠宰能力表'!B:B,'3.屠宰能力表'!E:E)</f>
        <v>1590</v>
      </c>
      <c r="E840">
        <f>_xlfn.XLOOKUP(B840,'4.分割能力表'!B:B,'4.分割能力表'!D:D)</f>
        <v>0</v>
      </c>
      <c r="F840">
        <f>_xlfn.XLOOKUP(B840,'4.分割能力表'!B:B,'4.分割能力表'!E:E)</f>
        <v>0</v>
      </c>
      <c r="G840" t="s">
        <v>62</v>
      </c>
      <c r="H840">
        <f>_xlfn.XLOOKUP(G840,系数辅助表!$C:$C,系数辅助表!$D:$D)</f>
        <v>7.3264797030720401E-3</v>
      </c>
      <c r="J840">
        <f t="shared" si="72"/>
        <v>1397.8923273461501</v>
      </c>
      <c r="K840">
        <f t="shared" si="70"/>
        <v>1397.8923273461501</v>
      </c>
    </row>
    <row r="841" spans="1:11" x14ac:dyDescent="0.3">
      <c r="A841" s="2" t="s">
        <v>29</v>
      </c>
      <c r="B841" t="s">
        <v>189</v>
      </c>
      <c r="C841" t="s">
        <v>190</v>
      </c>
      <c r="D841">
        <f>_xlfn.XLOOKUP(B841,'3.屠宰能力表'!B:B,'3.屠宰能力表'!E:E)</f>
        <v>1590</v>
      </c>
      <c r="E841">
        <f>_xlfn.XLOOKUP(B841,'4.分割能力表'!B:B,'4.分割能力表'!D:D)</f>
        <v>0</v>
      </c>
      <c r="F841">
        <f>_xlfn.XLOOKUP(B841,'4.分割能力表'!B:B,'4.分割能力表'!E:E)</f>
        <v>0</v>
      </c>
      <c r="G841" t="s">
        <v>63</v>
      </c>
      <c r="H841">
        <f>_xlfn.XLOOKUP(G841,系数辅助表!$C:$C,系数辅助表!$D:$D)</f>
        <v>6.1516718317408204E-3</v>
      </c>
      <c r="J841">
        <f t="shared" si="72"/>
        <v>1173.73898549615</v>
      </c>
      <c r="K841">
        <f t="shared" si="70"/>
        <v>1173.73898549615</v>
      </c>
    </row>
    <row r="842" spans="1:11" x14ac:dyDescent="0.3">
      <c r="A842" s="2" t="s">
        <v>29</v>
      </c>
      <c r="B842" t="s">
        <v>189</v>
      </c>
      <c r="C842" t="s">
        <v>190</v>
      </c>
      <c r="D842">
        <f>_xlfn.XLOOKUP(B842,'3.屠宰能力表'!B:B,'3.屠宰能力表'!E:E)</f>
        <v>1590</v>
      </c>
      <c r="E842">
        <f>_xlfn.XLOOKUP(B842,'4.分割能力表'!B:B,'4.分割能力表'!D:D)</f>
        <v>0</v>
      </c>
      <c r="F842">
        <f>_xlfn.XLOOKUP(B842,'4.分割能力表'!B:B,'4.分割能力表'!E:E)</f>
        <v>0</v>
      </c>
      <c r="G842" t="s">
        <v>64</v>
      </c>
      <c r="H842">
        <f>_xlfn.XLOOKUP(G842,系数辅助表!$C:$C,系数辅助表!$D:$D)</f>
        <v>1.0639112440104599E-3</v>
      </c>
      <c r="J842">
        <f t="shared" si="72"/>
        <v>202.99426535719601</v>
      </c>
      <c r="K842">
        <f t="shared" si="70"/>
        <v>202.99426535719601</v>
      </c>
    </row>
    <row r="843" spans="1:11" x14ac:dyDescent="0.3">
      <c r="A843" s="2" t="s">
        <v>29</v>
      </c>
      <c r="B843" t="s">
        <v>189</v>
      </c>
      <c r="C843" t="s">
        <v>190</v>
      </c>
      <c r="D843">
        <f>_xlfn.XLOOKUP(B843,'3.屠宰能力表'!B:B,'3.屠宰能力表'!E:E)</f>
        <v>1590</v>
      </c>
      <c r="E843">
        <f>_xlfn.XLOOKUP(B843,'4.分割能力表'!B:B,'4.分割能力表'!D:D)</f>
        <v>0</v>
      </c>
      <c r="F843">
        <f>_xlfn.XLOOKUP(B843,'4.分割能力表'!B:B,'4.分割能力表'!E:E)</f>
        <v>0</v>
      </c>
      <c r="G843" t="s">
        <v>65</v>
      </c>
      <c r="H843">
        <f>_xlfn.XLOOKUP(G843,系数辅助表!$C:$C,系数辅助表!$D:$D)</f>
        <v>4.8359602000475603E-4</v>
      </c>
      <c r="J843">
        <f t="shared" si="72"/>
        <v>92.270120616907406</v>
      </c>
      <c r="K843">
        <f t="shared" si="70"/>
        <v>92.270120616907406</v>
      </c>
    </row>
    <row r="844" spans="1:11" x14ac:dyDescent="0.3">
      <c r="A844" s="2" t="s">
        <v>29</v>
      </c>
      <c r="B844" t="s">
        <v>189</v>
      </c>
      <c r="C844" t="s">
        <v>190</v>
      </c>
      <c r="D844">
        <f>_xlfn.XLOOKUP(B844,'3.屠宰能力表'!B:B,'3.屠宰能力表'!E:E)</f>
        <v>1590</v>
      </c>
      <c r="E844">
        <f>_xlfn.XLOOKUP(B844,'4.分割能力表'!B:B,'4.分割能力表'!D:D)</f>
        <v>0</v>
      </c>
      <c r="F844">
        <f>_xlfn.XLOOKUP(B844,'4.分割能力表'!B:B,'4.分割能力表'!E:E)</f>
        <v>0</v>
      </c>
      <c r="G844" t="s">
        <v>66</v>
      </c>
      <c r="H844">
        <f>_xlfn.XLOOKUP(G844,系数辅助表!$C:$C,系数辅助表!$D:$D)</f>
        <v>1.70951193071681E-3</v>
      </c>
      <c r="J844">
        <f t="shared" si="72"/>
        <v>326.17487638076699</v>
      </c>
      <c r="K844">
        <f t="shared" si="70"/>
        <v>326.17487638076699</v>
      </c>
    </row>
    <row r="845" spans="1:11" x14ac:dyDescent="0.3">
      <c r="A845" s="2" t="s">
        <v>29</v>
      </c>
      <c r="B845" t="s">
        <v>189</v>
      </c>
      <c r="C845" t="s">
        <v>190</v>
      </c>
      <c r="D845">
        <f>_xlfn.XLOOKUP(B845,'3.屠宰能力表'!B:B,'3.屠宰能力表'!E:E)</f>
        <v>1590</v>
      </c>
      <c r="E845">
        <f>_xlfn.XLOOKUP(B845,'4.分割能力表'!B:B,'4.分割能力表'!D:D)</f>
        <v>0</v>
      </c>
      <c r="F845">
        <f>_xlfn.XLOOKUP(B845,'4.分割能力表'!B:B,'4.分割能力表'!E:E)</f>
        <v>0</v>
      </c>
      <c r="G845" t="s">
        <v>67</v>
      </c>
      <c r="H845">
        <f>_xlfn.XLOOKUP(G845,系数辅助表!$C:$C,系数辅助表!$D:$D)</f>
        <v>0.02</v>
      </c>
      <c r="J845">
        <f t="shared" si="72"/>
        <v>3816</v>
      </c>
      <c r="K845">
        <f t="shared" si="70"/>
        <v>3816</v>
      </c>
    </row>
  </sheetData>
  <autoFilter ref="A3:L845" xr:uid="{00000000-0009-0000-0000-00000E000000}"/>
  <phoneticPr fontId="14" type="noConversion"/>
  <conditionalFormatting sqref="G94:G117">
    <cfRule type="duplicateValues" dxfId="2" priority="18"/>
  </conditionalFormatting>
  <conditionalFormatting sqref="K1:K1048576">
    <cfRule type="cellIs" dxfId="1" priority="1" operator="lessThan">
      <formula>0</formula>
    </cfRule>
  </conditionalFormatting>
  <conditionalFormatting sqref="N29:N50 G29:G52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1.出栏表</vt:lpstr>
      <vt:lpstr>2.出品率表</vt:lpstr>
      <vt:lpstr>3.屠宰能力表</vt:lpstr>
      <vt:lpstr>4.分割能力表</vt:lpstr>
      <vt:lpstr>5.成本表</vt:lpstr>
      <vt:lpstr>6.仓库表</vt:lpstr>
      <vt:lpstr>7.部位订单表</vt:lpstr>
      <vt:lpstr>8.深加工需求表</vt:lpstr>
      <vt:lpstr>9.运输费用表</vt:lpstr>
      <vt:lpstr>辅助表→</vt:lpstr>
      <vt:lpstr>系数辅助表</vt:lpstr>
      <vt:lpstr>价格系数辅助表</vt:lpstr>
      <vt:lpstr>标准费用表-2024年&amp;2025年优化</vt:lpstr>
      <vt:lpstr>根据产能每天需要鲜销部分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郭毅升</dc:creator>
  <cp:lastModifiedBy>毅升 郭</cp:lastModifiedBy>
  <dcterms:created xsi:type="dcterms:W3CDTF">2023-05-12T11:15:00Z</dcterms:created>
  <dcterms:modified xsi:type="dcterms:W3CDTF">2026-04-23T16:20:29Z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ICV">
    <vt:lpwstr>8FEF47C0BB2E41CB8B928A3AE7C55CED_12</vt:lpwstr>
  </property>
  <property fmtid="{D5CDD505-2E9C-101B-9397-08002B2CF9AE}" pid="6" name="CalculationRule">
    <vt:i4>0</vt:i4>
  </property>
</Properties>
</file>